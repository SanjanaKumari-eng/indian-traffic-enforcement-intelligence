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Analyst Projects\Indian Traffic Enforcement Intelligence\Python\"/>
    </mc:Choice>
  </mc:AlternateContent>
  <xr:revisionPtr revIDLastSave="0" documentId="8_{B0B61BB0-D513-45BA-BC2D-30CB35F134F3}" xr6:coauthVersionLast="47" xr6:coauthVersionMax="47" xr10:uidLastSave="{00000000-0000-0000-0000-000000000000}"/>
  <bookViews>
    <workbookView xWindow="-108" yWindow="-108" windowWidth="23256" windowHeight="12456" xr2:uid="{635CC838-0A93-4F9A-BC35-7671AACCF9D6}"/>
  </bookViews>
  <sheets>
    <sheet name="TrafficData" sheetId="2" r:id="rId1"/>
    <sheet name="Data Dictionary" sheetId="1" r:id="rId2"/>
    <sheet name="Analysis" sheetId="3" r:id="rId3"/>
  </sheets>
  <definedNames>
    <definedName name="ExternalData_1" localSheetId="0" hidden="1">TrafficData!$A$1:$J$4062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22" i="3"/>
  <c r="B23" i="3"/>
  <c r="B24" i="3"/>
  <c r="B20" i="3"/>
  <c r="B25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EFC3A-4225-4199-AAFB-FD9DBACCD8FF}" keepAlive="1" name="Query - echallan_daily_data" description="Connection to the 'echallan_daily_data' query in the workbook." type="5" refreshedVersion="8" background="1" saveData="1">
    <dbPr connection="Provider=Microsoft.Mashup.OleDb.1;Data Source=$Workbook$;Location=echallan_daily_data;Extended Properties=&quot;&quot;" command="SELECT * FROM [echallan_daily_data]"/>
  </connection>
</connections>
</file>

<file path=xl/sharedStrings.xml><?xml version="1.0" encoding="utf-8"?>
<sst xmlns="http://schemas.openxmlformats.org/spreadsheetml/2006/main" count="140" uniqueCount="107">
  <si>
    <t>date</t>
  </si>
  <si>
    <t>totalChallan</t>
  </si>
  <si>
    <t>disposedChallan</t>
  </si>
  <si>
    <t>pendingChallan</t>
  </si>
  <si>
    <t>pendingAmount</t>
  </si>
  <si>
    <t>disposedAmount</t>
  </si>
  <si>
    <t>totalAmount</t>
  </si>
  <si>
    <t>pendingCourt</t>
  </si>
  <si>
    <t>disposedCourt</t>
  </si>
  <si>
    <t>totalCourt</t>
  </si>
  <si>
    <t>Column Name</t>
  </si>
  <si>
    <t>Meaning</t>
  </si>
  <si>
    <t>Data Type</t>
  </si>
  <si>
    <t>Example</t>
  </si>
  <si>
    <t>Problems Found</t>
  </si>
  <si>
    <t>Date of the traffic challan record</t>
  </si>
  <si>
    <t>Date</t>
  </si>
  <si>
    <t>Total number of challans recorded</t>
  </si>
  <si>
    <t>Integer</t>
  </si>
  <si>
    <t>Number of challans disposed/processed</t>
  </si>
  <si>
    <t>Number of challans still pending</t>
  </si>
  <si>
    <t>Monetary amount associated with pending challans</t>
  </si>
  <si>
    <t>Number/Currency</t>
  </si>
  <si>
    <t>Monetary amount associated with disposed challans</t>
  </si>
  <si>
    <t>Total monetary amount</t>
  </si>
  <si>
    <t>Number of pending court cases</t>
  </si>
  <si>
    <t>Number of disposed court cases</t>
  </si>
  <si>
    <t>Total court-related cases</t>
  </si>
  <si>
    <t>Challan_Check</t>
  </si>
  <si>
    <t>Amount_Check</t>
  </si>
  <si>
    <t>Court_Check</t>
  </si>
  <si>
    <t>Challan_Logic_Check</t>
  </si>
  <si>
    <t>Amount_Logic_Check</t>
  </si>
  <si>
    <t>Court_Logic_Check</t>
  </si>
  <si>
    <t>1 missing calendar date: 03-07-2019</t>
  </si>
  <si>
    <t>No blanks or negative values; maximum 332,710 on 15-11-2025</t>
  </si>
  <si>
    <t>No blanks or negative values; maximum 96,645 on 17-06-2023</t>
  </si>
  <si>
    <t>No blanks or negative values; maximum 280,588 on 15-11-2025</t>
  </si>
  <si>
    <t>No blanks or negative values; maximum 565,996,093 on 07-01-2026</t>
  </si>
  <si>
    <t>No blanks or negative values; maximum 2,071,115,652 on 21-06-2022</t>
  </si>
  <si>
    <t>No blanks or negative values; maximum 2,147,021,053 on 21-06-2022</t>
  </si>
  <si>
    <t>No blanks or negative values; maximum 136,032 on 29-11-2024</t>
  </si>
  <si>
    <t>No blanks or negative values; maximum 15,910 on 21-06-2023</t>
  </si>
  <si>
    <t>No blanks or negative values; maximum 146,748 on 29-11-2024</t>
  </si>
  <si>
    <t>Traffic Enforcement Analysis</t>
  </si>
  <si>
    <t>Metric</t>
  </si>
  <si>
    <t>Value</t>
  </si>
  <si>
    <t>Total Records</t>
  </si>
  <si>
    <t>Total Challans</t>
  </si>
  <si>
    <t>Disposed Challans</t>
  </si>
  <si>
    <t>Pending Challans</t>
  </si>
  <si>
    <t>Total Fine Amount</t>
  </si>
  <si>
    <t>Disposed Fine Amount</t>
  </si>
  <si>
    <t>Pending Fine Amount</t>
  </si>
  <si>
    <t>Total Court Cases</t>
  </si>
  <si>
    <t>Disposed Court Cases</t>
  </si>
  <si>
    <t>Pending Court Cases</t>
  </si>
  <si>
    <t>Efficiency Metrics</t>
  </si>
  <si>
    <t>Challan Disposal Rate</t>
  </si>
  <si>
    <t>Challan Pending Rate</t>
  </si>
  <si>
    <t>Fine Collection Rate</t>
  </si>
  <si>
    <t>Fine Pending Rate</t>
  </si>
  <si>
    <t>Court Disposal Rate</t>
  </si>
  <si>
    <t>Court Pending Rate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</si>
  <si>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</si>
  <si>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</si>
  <si>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</si>
  <si>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</si>
  <si>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</si>
  <si>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</si>
  <si>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</si>
  <si>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</si>
  <si>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</si>
  <si>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</si>
  <si>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</si>
  <si>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</si>
  <si>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</si>
  <si>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</si>
  <si>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Sum of totalChallan</t>
  </si>
  <si>
    <t>Sum of disposedChallan</t>
  </si>
  <si>
    <t>Sum of pendingChallan</t>
  </si>
  <si>
    <t>Sum of totalAmount</t>
  </si>
  <si>
    <t>Sum of disposedAmount</t>
  </si>
  <si>
    <t>Sum of pendingAmount</t>
  </si>
  <si>
    <t>Yearly Challan Trend</t>
  </si>
  <si>
    <t>Year</t>
  </si>
  <si>
    <t>Collected Fine Amount</t>
  </si>
  <si>
    <t>Status</t>
  </si>
  <si>
    <t>Challans</t>
  </si>
  <si>
    <t>Disposed</t>
  </si>
  <si>
    <t>Pending</t>
  </si>
  <si>
    <t>Court Cases</t>
  </si>
  <si>
    <t>Category</t>
  </si>
  <si>
    <t>INDIAN TRAFFIC ENFORCEMENT &amp; FINE COLLECTION INTELLIGENCE</t>
  </si>
  <si>
    <t>TRAFFIC ENFORCEMENT VISUAL ANALYSIS</t>
  </si>
  <si>
    <t>KPI Value</t>
  </si>
  <si>
    <t>₹635.716 Billion</t>
  </si>
  <si>
    <t>₹229.690 Billion</t>
  </si>
  <si>
    <t>₹406.026 Billion</t>
  </si>
  <si>
    <t>CHART 1</t>
  </si>
  <si>
    <t>CHART 2</t>
  </si>
  <si>
    <t>CHART 3</t>
  </si>
  <si>
    <t>CHART 4</t>
  </si>
  <si>
    <t>CHART 5</t>
  </si>
  <si>
    <t>CHART 6</t>
  </si>
  <si>
    <t>CHART 7</t>
  </si>
  <si>
    <t>CHART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</si>
</sst>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0.000,,,&quot; Billion&quot;"/>
    <numFmt numFmtId="165" formatCode="0.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10" fontId="0" fillId="0" borderId="0" xfId="0" applyNumberFormat="1"/>
    <xf numFmtId="0" fontId="1" fillId="3" borderId="1" xfId="0" applyFont="1" applyFill="1" applyBorder="1"/>
    <xf numFmtId="0" fontId="0" fillId="0" borderId="1" xfId="0" applyBorder="1"/>
    <xf numFmtId="165" fontId="0" fillId="0" borderId="1" xfId="1" applyNumberFormat="1" applyFont="1" applyBorder="1"/>
    <xf numFmtId="0" fontId="1" fillId="3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3"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numFmt numFmtId="164" formatCode="&quot;₹&quot;0.000,,,&quot; Billion&quot;"/>
    </dxf>
    <dxf>
      <numFmt numFmtId="164" formatCode="&quot;₹&quot;0.000,,,&quot; Billion&quot;"/>
    </dxf>
    <dxf>
      <numFmt numFmtId="164" formatCode="&quot;₹&quot;0.000,,,&quot; Billion&quot;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D7C531BA-0B6E-41B4-B8BB-DF8E060BB9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Yearly Challan Trend (2015–2026)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57174103237097"/>
          <c:y val="0.15107648002333041"/>
          <c:w val="0.7988727034120735"/>
          <c:h val="0.61712015164771061"/>
        </c:manualLayout>
      </c:layout>
      <c:lineChart>
        <c:grouping val="standard"/>
        <c:varyColors val="0"/>
        <c:ser>
          <c:idx val="1"/>
          <c:order val="0"/>
          <c:tx>
            <c:strRef>
              <c:f>Analysis!$F$19</c:f>
              <c:strCache>
                <c:ptCount val="1"/>
                <c:pt idx="0">
                  <c:v>Total Challans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Analysis!$E$20:$E$31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Analysis!$F$20:$F$31</c:f>
              <c:numCache>
                <c:formatCode>General</c:formatCode>
                <c:ptCount val="12"/>
                <c:pt idx="0">
                  <c:v>112492</c:v>
                </c:pt>
                <c:pt idx="1">
                  <c:v>404445</c:v>
                </c:pt>
                <c:pt idx="2">
                  <c:v>593048</c:v>
                </c:pt>
                <c:pt idx="3">
                  <c:v>4317842</c:v>
                </c:pt>
                <c:pt idx="4">
                  <c:v>20628507</c:v>
                </c:pt>
                <c:pt idx="5">
                  <c:v>41190446</c:v>
                </c:pt>
                <c:pt idx="6">
                  <c:v>42401371</c:v>
                </c:pt>
                <c:pt idx="7">
                  <c:v>47649749</c:v>
                </c:pt>
                <c:pt idx="8">
                  <c:v>67911658</c:v>
                </c:pt>
                <c:pt idx="9">
                  <c:v>81892378</c:v>
                </c:pt>
                <c:pt idx="10">
                  <c:v>97884423</c:v>
                </c:pt>
                <c:pt idx="11">
                  <c:v>11527247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C-438D-9142-0329DCF8CCD6}"/>
            </c:ext>
          </c:extLst>
        </c:ser>
        <c:ser>
          <c:idx val="2"/>
          <c:order val="1"/>
          <c:tx>
            <c:strRef>
              <c:f>Analysis!$G$19</c:f>
              <c:strCache>
                <c:ptCount val="1"/>
                <c:pt idx="0">
                  <c:v>Disposed Challans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Analysis!$E$20:$E$31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Analysis!$G$20:$G$31</c:f>
              <c:numCache>
                <c:formatCode>General</c:formatCode>
                <c:ptCount val="12"/>
                <c:pt idx="0">
                  <c:v>14952</c:v>
                </c:pt>
                <c:pt idx="1">
                  <c:v>42776</c:v>
                </c:pt>
                <c:pt idx="2">
                  <c:v>289394</c:v>
                </c:pt>
                <c:pt idx="3">
                  <c:v>3366850</c:v>
                </c:pt>
                <c:pt idx="4">
                  <c:v>13441022</c:v>
                </c:pt>
                <c:pt idx="5">
                  <c:v>18689557</c:v>
                </c:pt>
                <c:pt idx="6">
                  <c:v>20597664</c:v>
                </c:pt>
                <c:pt idx="7">
                  <c:v>23999582</c:v>
                </c:pt>
                <c:pt idx="8">
                  <c:v>27837346</c:v>
                </c:pt>
                <c:pt idx="9">
                  <c:v>26316839</c:v>
                </c:pt>
                <c:pt idx="10">
                  <c:v>22955259</c:v>
                </c:pt>
                <c:pt idx="11">
                  <c:v>1602984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AC-438D-9142-0329DCF8CCD6}"/>
            </c:ext>
          </c:extLst>
        </c:ser>
        <c:ser>
          <c:idx val="3"/>
          <c:order val="2"/>
          <c:tx>
            <c:strRef>
              <c:f>Analysis!$H$19</c:f>
              <c:strCache>
                <c:ptCount val="1"/>
                <c:pt idx="0">
                  <c:v>Pending Challans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Analysis!$E$20:$E$31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Analysis!$H$20:$H$31</c:f>
              <c:numCache>
                <c:formatCode>General</c:formatCode>
                <c:ptCount val="12"/>
                <c:pt idx="0">
                  <c:v>97540</c:v>
                </c:pt>
                <c:pt idx="1">
                  <c:v>361669</c:v>
                </c:pt>
                <c:pt idx="2">
                  <c:v>303654</c:v>
                </c:pt>
                <c:pt idx="3">
                  <c:v>950992</c:v>
                </c:pt>
                <c:pt idx="4">
                  <c:v>7187485</c:v>
                </c:pt>
                <c:pt idx="5">
                  <c:v>22500889</c:v>
                </c:pt>
                <c:pt idx="6">
                  <c:v>21803707</c:v>
                </c:pt>
                <c:pt idx="7">
                  <c:v>23650167</c:v>
                </c:pt>
                <c:pt idx="8">
                  <c:v>40074312</c:v>
                </c:pt>
                <c:pt idx="9">
                  <c:v>55575539</c:v>
                </c:pt>
                <c:pt idx="10">
                  <c:v>74929164</c:v>
                </c:pt>
                <c:pt idx="11">
                  <c:v>9924263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AC-438D-9142-0329DCF8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375999"/>
        <c:axId val="782319999"/>
      </c:lineChart>
      <c:catAx>
        <c:axId val="117337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19999"/>
        <c:crosses val="autoZero"/>
        <c:auto val="1"/>
        <c:lblAlgn val="ctr"/>
        <c:lblOffset val="100"/>
        <c:noMultiLvlLbl val="0"/>
      </c:catAx>
      <c:valAx>
        <c:axId val="78231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37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Fine Generated vs Disposed Amount (2015–2026)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5241567026344"/>
          <c:y val="0.23982035928143713"/>
          <c:w val="0.84951273451929621"/>
          <c:h val="0.5072936803558237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Analysis!$F$33</c:f>
              <c:strCache>
                <c:ptCount val="1"/>
                <c:pt idx="0">
                  <c:v>Total Fine 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Analysis!$E$34:$E$45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Analysis!$F$34:$F$45</c:f>
              <c:numCache>
                <c:formatCode>General</c:formatCode>
                <c:ptCount val="12"/>
                <c:pt idx="0">
                  <c:v>274505013</c:v>
                </c:pt>
                <c:pt idx="1">
                  <c:v>442931780</c:v>
                </c:pt>
                <c:pt idx="2">
                  <c:v>1757967913</c:v>
                </c:pt>
                <c:pt idx="3">
                  <c:v>8702586933</c:v>
                </c:pt>
                <c:pt idx="4">
                  <c:v>19851997107</c:v>
                </c:pt>
                <c:pt idx="5">
                  <c:v>41135235485</c:v>
                </c:pt>
                <c:pt idx="6">
                  <c:v>50365081755</c:v>
                </c:pt>
                <c:pt idx="7">
                  <c:v>72718986864</c:v>
                </c:pt>
                <c:pt idx="8">
                  <c:v>107653000000</c:v>
                </c:pt>
                <c:pt idx="9">
                  <c:v>128769000000</c:v>
                </c:pt>
                <c:pt idx="10">
                  <c:v>182010000000</c:v>
                </c:pt>
                <c:pt idx="11">
                  <c:v>22035216563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2-42CA-90B4-8A4DDDC4D7E6}"/>
            </c:ext>
          </c:extLst>
        </c:ser>
        <c:ser>
          <c:idx val="2"/>
          <c:order val="1"/>
          <c:tx>
            <c:strRef>
              <c:f>Analysis!$G$33</c:f>
              <c:strCache>
                <c:ptCount val="1"/>
                <c:pt idx="0">
                  <c:v>Collected Fine Amount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Analysis!$E$34:$E$45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Analysis!$G$34:$G$45</c:f>
              <c:numCache>
                <c:formatCode>General</c:formatCode>
                <c:ptCount val="12"/>
                <c:pt idx="0">
                  <c:v>55412297</c:v>
                </c:pt>
                <c:pt idx="1">
                  <c:v>102563933</c:v>
                </c:pt>
                <c:pt idx="2">
                  <c:v>1173680480</c:v>
                </c:pt>
                <c:pt idx="3">
                  <c:v>6686319692</c:v>
                </c:pt>
                <c:pt idx="4">
                  <c:v>15587127014</c:v>
                </c:pt>
                <c:pt idx="5">
                  <c:v>20084568756</c:v>
                </c:pt>
                <c:pt idx="6">
                  <c:v>25955875578</c:v>
                </c:pt>
                <c:pt idx="7">
                  <c:v>36661025294</c:v>
                </c:pt>
                <c:pt idx="8">
                  <c:v>42487725509</c:v>
                </c:pt>
                <c:pt idx="9">
                  <c:v>40065723712</c:v>
                </c:pt>
                <c:pt idx="10">
                  <c:v>37850988379</c:v>
                </c:pt>
                <c:pt idx="11">
                  <c:v>2978920858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2-42CA-90B4-8A4DDDC4D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7487871"/>
        <c:axId val="1211528511"/>
      </c:barChart>
      <c:catAx>
        <c:axId val="116748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528511"/>
        <c:crosses val="autoZero"/>
        <c:auto val="1"/>
        <c:lblAlgn val="ctr"/>
        <c:lblOffset val="100"/>
        <c:noMultiLvlLbl val="0"/>
      </c:catAx>
      <c:valAx>
        <c:axId val="121152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8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j-lt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N" sz="1600">
                <a:solidFill>
                  <a:schemeClr val="tx1"/>
                </a:solidFill>
                <a:latin typeface="+mj-lt"/>
                <a:ea typeface="Calibri" panose="020F0502020204030204" pitchFamily="34" charset="0"/>
                <a:cs typeface="Calibri" panose="020F0502020204030204" pitchFamily="34" charset="0"/>
              </a:rPr>
              <a:t>Pending Fine Trend (2015–2026)</a:t>
            </a:r>
            <a:endParaRPr lang="en-US" sz="1600">
              <a:solidFill>
                <a:schemeClr val="tx1"/>
              </a:solidFill>
              <a:latin typeface="+mj-lt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j-lt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43985126859142"/>
          <c:y val="0.23621719160104987"/>
          <c:w val="0.8534212598425196"/>
          <c:h val="0.6563834208223972"/>
        </c:manualLayout>
      </c:layout>
      <c:lineChart>
        <c:grouping val="standard"/>
        <c:varyColors val="0"/>
        <c:ser>
          <c:idx val="1"/>
          <c:order val="0"/>
          <c:tx>
            <c:strRef>
              <c:f>Analysis!$F$48</c:f>
              <c:strCache>
                <c:ptCount val="1"/>
                <c:pt idx="0">
                  <c:v>Pending Fine Amount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Analysis!$E$49:$E$60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Analysis!$F$49:$F$60</c:f>
              <c:numCache>
                <c:formatCode>General</c:formatCode>
                <c:ptCount val="12"/>
                <c:pt idx="0">
                  <c:v>219092716</c:v>
                </c:pt>
                <c:pt idx="1">
                  <c:v>340367847</c:v>
                </c:pt>
                <c:pt idx="2">
                  <c:v>584287433</c:v>
                </c:pt>
                <c:pt idx="3">
                  <c:v>2016267241</c:v>
                </c:pt>
                <c:pt idx="4">
                  <c:v>4264870093</c:v>
                </c:pt>
                <c:pt idx="5">
                  <c:v>21050666729</c:v>
                </c:pt>
                <c:pt idx="6">
                  <c:v>24409206177</c:v>
                </c:pt>
                <c:pt idx="7">
                  <c:v>36057961570</c:v>
                </c:pt>
                <c:pt idx="8">
                  <c:v>65165178521</c:v>
                </c:pt>
                <c:pt idx="9">
                  <c:v>88702822632</c:v>
                </c:pt>
                <c:pt idx="10">
                  <c:v>144159000000</c:v>
                </c:pt>
                <c:pt idx="11">
                  <c:v>19056295705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F-464F-9BA7-E4F95E3BA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720671"/>
        <c:axId val="1211529951"/>
      </c:lineChart>
      <c:catAx>
        <c:axId val="12517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529951"/>
        <c:crosses val="autoZero"/>
        <c:auto val="1"/>
        <c:lblAlgn val="ctr"/>
        <c:lblOffset val="100"/>
        <c:noMultiLvlLbl val="0"/>
      </c:catAx>
      <c:valAx>
        <c:axId val="121152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2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Challan Disposal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19378827646549"/>
          <c:y val="0.16061242344706911"/>
          <c:w val="0.45641032370953633"/>
          <c:h val="0.76068387284922723"/>
        </c:manualLayout>
      </c:layout>
      <c:doughnutChart>
        <c:varyColors val="1"/>
        <c:ser>
          <c:idx val="0"/>
          <c:order val="0"/>
          <c:tx>
            <c:strRef>
              <c:f>Analysis!$F$63</c:f>
              <c:strCache>
                <c:ptCount val="1"/>
                <c:pt idx="0">
                  <c:v>Challans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80-4352-A6C0-98523F646A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80-4352-A6C0-98523F646A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Analysis!$E$64:$E$65</c:f>
              <c:strCache>
                <c:ptCount val="2"/>
                <c:pt idx="0">
                  <c:v>Disposed</c:v>
                </c:pt>
                <c:pt idx="1">
                  <c:v>Pending</c:v>
                </c:pt>
              </c:strCache>
            </c:strRef>
          </c:cat>
          <c:val>
            <c:numRef>
              <c:f>Analysis!$F$64:$F$65</c:f>
              <c:numCache>
                <c:formatCode>General</c:formatCode>
                <c:ptCount val="2"/>
                <c:pt idx="0">
                  <c:v>159154225</c:v>
                </c:pt>
                <c:pt idx="1">
                  <c:v>257359381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80-4352-A6C0-98523F646A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935848643919512"/>
          <c:y val="0.47930555555555554"/>
          <c:w val="0.23942563429571304"/>
          <c:h val="0.17630978419364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Court Case Status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74645542188583"/>
          <c:y val="0.15059167209880631"/>
          <c:w val="0.63968847114449678"/>
          <c:h val="0.69432677682700961"/>
        </c:manualLayout>
      </c:layout>
      <c:pieChart>
        <c:varyColors val="1"/>
        <c:ser>
          <c:idx val="0"/>
          <c:order val="0"/>
          <c:tx>
            <c:strRef>
              <c:f>Analysis!$F$78</c:f>
              <c:strCache>
                <c:ptCount val="1"/>
                <c:pt idx="0">
                  <c:v>Court Cases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9F-4D1C-9D35-20684A50EC9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F-4D1C-9D35-20684A50EC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Analysis!$E$79:$E$80</c:f>
              <c:strCache>
                <c:ptCount val="2"/>
                <c:pt idx="0">
                  <c:v>Disposed</c:v>
                </c:pt>
                <c:pt idx="1">
                  <c:v>Pending</c:v>
                </c:pt>
              </c:strCache>
            </c:strRef>
          </c:cat>
          <c:val>
            <c:numRef>
              <c:f>Analysis!$F$79:$F$80</c:f>
              <c:numCache>
                <c:formatCode>General</c:formatCode>
                <c:ptCount val="2"/>
                <c:pt idx="0">
                  <c:v>22594442</c:v>
                </c:pt>
                <c:pt idx="1">
                  <c:v>128077232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9F-4D1C-9D35-20684A50EC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888888888888891E-2"/>
          <c:y val="3.847222222222222E-2"/>
          <c:w val="0.90211111111111109"/>
          <c:h val="0.78005431612715082"/>
        </c:manualLayout>
      </c:layout>
      <c:areaChart>
        <c:grouping val="standard"/>
        <c:varyColors val="0"/>
        <c:ser>
          <c:idx val="0"/>
          <c:order val="0"/>
          <c:tx>
            <c:strRef>
              <c:f>Analysis!$F$95</c:f>
              <c:strCache>
                <c:ptCount val="1"/>
                <c:pt idx="0">
                  <c:v>Fine Collection Rate</c:v>
                </c:pt>
              </c:strCache>
            </c:strRef>
          </c:tx>
          <c:spPr>
            <a:gradFill>
              <a:gsLst>
                <a:gs pos="51000">
                  <a:schemeClr val="accent6">
                    <a:lumMod val="60000"/>
                    <a:lumOff val="40000"/>
                  </a:schemeClr>
                </a:gs>
                <a:gs pos="93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dLbl>
              <c:idx val="1"/>
              <c:layout>
                <c:manualLayout>
                  <c:x val="1.388888888888886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69-41A4-BF0C-65FBFEC2616D}"/>
                </c:ext>
              </c:extLst>
            </c:dLbl>
            <c:dLbl>
              <c:idx val="3"/>
              <c:layout>
                <c:manualLayout>
                  <c:x val="-1.111111111111111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69-41A4-BF0C-65FBFEC2616D}"/>
                </c:ext>
              </c:extLst>
            </c:dLbl>
            <c:dLbl>
              <c:idx val="4"/>
              <c:layout>
                <c:manualLayout>
                  <c:x val="1.66666666666666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69-41A4-BF0C-65FBFEC2616D}"/>
                </c:ext>
              </c:extLst>
            </c:dLbl>
            <c:dLbl>
              <c:idx val="5"/>
              <c:layout>
                <c:manualLayout>
                  <c:x val="-1.3888888888888888E-2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69-41A4-BF0C-65FBFEC2616D}"/>
                </c:ext>
              </c:extLst>
            </c:dLbl>
            <c:dLbl>
              <c:idx val="6"/>
              <c:layout>
                <c:manualLayout>
                  <c:x val="2.7777777777777779E-3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69-41A4-BF0C-65FBFEC2616D}"/>
                </c:ext>
              </c:extLst>
            </c:dLbl>
            <c:dLbl>
              <c:idx val="7"/>
              <c:layout>
                <c:manualLayout>
                  <c:x val="0"/>
                  <c:y val="1.8518518518518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69-41A4-BF0C-65FBFEC2616D}"/>
                </c:ext>
              </c:extLst>
            </c:dLbl>
            <c:dLbl>
              <c:idx val="8"/>
              <c:layout>
                <c:manualLayout>
                  <c:x val="1.3888888888888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69-41A4-BF0C-65FBFEC2616D}"/>
                </c:ext>
              </c:extLst>
            </c:dLbl>
            <c:dLbl>
              <c:idx val="9"/>
              <c:layout>
                <c:manualLayout>
                  <c:x val="0"/>
                  <c:y val="1.3888888888888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69-41A4-BF0C-65FBFEC2616D}"/>
                </c:ext>
              </c:extLst>
            </c:dLbl>
            <c:dLbl>
              <c:idx val="10"/>
              <c:layout>
                <c:manualLayout>
                  <c:x val="8.3333333333332309E-3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69-41A4-BF0C-65FBFEC2616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66666666666665"/>
                      <c:h val="0.269467774861475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569-41A4-BF0C-65FBFEC261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Analysis!$E$96:$E$107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Analysis!$F$96:$F$107</c:f>
              <c:numCache>
                <c:formatCode>0.00%</c:formatCode>
                <c:ptCount val="12"/>
                <c:pt idx="0">
                  <c:v>0.2019</c:v>
                </c:pt>
                <c:pt idx="1">
                  <c:v>0.23150000000000001</c:v>
                </c:pt>
                <c:pt idx="2">
                  <c:v>0.66800000000000004</c:v>
                </c:pt>
                <c:pt idx="3">
                  <c:v>0.76829999999999998</c:v>
                </c:pt>
                <c:pt idx="4">
                  <c:v>0.78520000000000001</c:v>
                </c:pt>
                <c:pt idx="5">
                  <c:v>0.48830000000000001</c:v>
                </c:pt>
                <c:pt idx="6">
                  <c:v>0.51539999999999997</c:v>
                </c:pt>
                <c:pt idx="7">
                  <c:v>0.50409999999999999</c:v>
                </c:pt>
                <c:pt idx="8">
                  <c:v>0.3947</c:v>
                </c:pt>
                <c:pt idx="9">
                  <c:v>0.31109999999999999</c:v>
                </c:pt>
                <c:pt idx="10">
                  <c:v>0.20799999999999999</c:v>
                </c:pt>
                <c:pt idx="11">
                  <c:v>0.13519999999999999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69-41A4-BF0C-65FBFEC261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228439135"/>
        <c:axId val="1245204415"/>
      </c:areaChart>
      <c:catAx>
        <c:axId val="122843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04415"/>
        <c:crosses val="autoZero"/>
        <c:auto val="1"/>
        <c:lblAlgn val="ctr"/>
        <c:lblOffset val="100"/>
        <c:noMultiLvlLbl val="0"/>
      </c:catAx>
      <c:valAx>
        <c:axId val="1245204415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22843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Overall Challan Volume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42629046369202"/>
          <c:y val="0.14803258967629046"/>
          <c:w val="0.77053215223097105"/>
          <c:h val="0.621673957421989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Analysis!$E$112</c:f>
              <c:strCache>
                <c:ptCount val="1"/>
                <c:pt idx="0">
                  <c:v>Total Challans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Analysis!$F$111</c:f>
              <c:strCache>
                <c:ptCount val="1"/>
                <c:pt idx="0">
                  <c:v>Challans</c:v>
                </c:pt>
              </c:strCache>
            </c:strRef>
          </c:cat>
          <c:val>
            <c:numRef>
              <c:f>Analysis!$F$112</c:f>
              <c:numCache>
                <c:formatCode>General</c:formatCode>
                <c:ptCount val="1"/>
                <c:pt idx="0">
                  <c:v>416513606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9C1-8F00-496649D5DAC7}"/>
            </c:ext>
          </c:extLst>
        </c:ser>
        <c:ser>
          <c:idx val="1"/>
          <c:order val="1"/>
          <c:tx>
            <c:strRef>
              <c:f>Analysis!$E$113</c:f>
              <c:strCache>
                <c:ptCount val="1"/>
                <c:pt idx="0">
                  <c:v>Disposed Challans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Analysis!$F$111</c:f>
              <c:strCache>
                <c:ptCount val="1"/>
                <c:pt idx="0">
                  <c:v>Challans</c:v>
                </c:pt>
              </c:strCache>
            </c:strRef>
          </c:cat>
          <c:val>
            <c:numRef>
              <c:f>Analysis!$F$113</c:f>
              <c:numCache>
                <c:formatCode>General</c:formatCode>
                <c:ptCount val="1"/>
                <c:pt idx="0">
                  <c:v>159154225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1-49C1-8F00-496649D5DAC7}"/>
            </c:ext>
          </c:extLst>
        </c:ser>
        <c:ser>
          <c:idx val="2"/>
          <c:order val="2"/>
          <c:tx>
            <c:strRef>
              <c:f>Analysis!$E$114</c:f>
              <c:strCache>
                <c:ptCount val="1"/>
                <c:pt idx="0">
                  <c:v>Pending Challans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Analysis!$F$111</c:f>
              <c:strCache>
                <c:ptCount val="1"/>
                <c:pt idx="0">
                  <c:v>Challans</c:v>
                </c:pt>
              </c:strCache>
            </c:strRef>
          </c:cat>
          <c:val>
            <c:numRef>
              <c:f>Analysis!$F$114</c:f>
              <c:numCache>
                <c:formatCode>General</c:formatCode>
                <c:ptCount val="1"/>
                <c:pt idx="0">
                  <c:v>257359381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1-49C1-8F00-496649D5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60107071"/>
        <c:axId val="947922047"/>
      </c:barChart>
      <c:catAx>
        <c:axId val="136010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22047"/>
        <c:crosses val="autoZero"/>
        <c:auto val="1"/>
        <c:lblAlgn val="ctr"/>
        <c:lblOffset val="100"/>
        <c:noMultiLvlLbl val="0"/>
      </c:catAx>
      <c:valAx>
        <c:axId val="94792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0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800" b="1" i="0" u="none" strike="noStrike" cap="none" normalizeH="0" baseline="0">
                <a:solidFill>
                  <a:schemeClr val="tx1"/>
                </a:solidFill>
              </a:rPr>
              <a:t>Challan Volume vs Fine Amount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0048556430446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TrafficData!$G$1</c:f>
              <c:strCache>
                <c:ptCount val="1"/>
                <c:pt idx="0">
                  <c:v>totalAmount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TrafficData!$B$2:$B$4062</c:f>
              <c:numCache>
                <c:formatCode>General</c:formatCode>
                <c:ptCount val="4061"/>
                <c:pt idx="0">
                  <c:v>120</c:v>
                </c:pt>
                <c:pt idx="1">
                  <c:v>162</c:v>
                </c:pt>
                <c:pt idx="2">
                  <c:v>122</c:v>
                </c:pt>
                <c:pt idx="3">
                  <c:v>116</c:v>
                </c:pt>
                <c:pt idx="4">
                  <c:v>162</c:v>
                </c:pt>
                <c:pt idx="5">
                  <c:v>104</c:v>
                </c:pt>
                <c:pt idx="6">
                  <c:v>108</c:v>
                </c:pt>
                <c:pt idx="7">
                  <c:v>169</c:v>
                </c:pt>
                <c:pt idx="8">
                  <c:v>137</c:v>
                </c:pt>
                <c:pt idx="9">
                  <c:v>108</c:v>
                </c:pt>
                <c:pt idx="10">
                  <c:v>116</c:v>
                </c:pt>
                <c:pt idx="11">
                  <c:v>130</c:v>
                </c:pt>
                <c:pt idx="12">
                  <c:v>115</c:v>
                </c:pt>
                <c:pt idx="13">
                  <c:v>68</c:v>
                </c:pt>
                <c:pt idx="14">
                  <c:v>116</c:v>
                </c:pt>
                <c:pt idx="15">
                  <c:v>148</c:v>
                </c:pt>
                <c:pt idx="16">
                  <c:v>128</c:v>
                </c:pt>
                <c:pt idx="17">
                  <c:v>84</c:v>
                </c:pt>
                <c:pt idx="18">
                  <c:v>134</c:v>
                </c:pt>
                <c:pt idx="19">
                  <c:v>137</c:v>
                </c:pt>
                <c:pt idx="20">
                  <c:v>112</c:v>
                </c:pt>
                <c:pt idx="21">
                  <c:v>130</c:v>
                </c:pt>
                <c:pt idx="22">
                  <c:v>93</c:v>
                </c:pt>
                <c:pt idx="23">
                  <c:v>74</c:v>
                </c:pt>
                <c:pt idx="24">
                  <c:v>97</c:v>
                </c:pt>
                <c:pt idx="25">
                  <c:v>75</c:v>
                </c:pt>
                <c:pt idx="26">
                  <c:v>83</c:v>
                </c:pt>
                <c:pt idx="27">
                  <c:v>134</c:v>
                </c:pt>
                <c:pt idx="28">
                  <c:v>101</c:v>
                </c:pt>
                <c:pt idx="29">
                  <c:v>109</c:v>
                </c:pt>
                <c:pt idx="30">
                  <c:v>89</c:v>
                </c:pt>
                <c:pt idx="31">
                  <c:v>69</c:v>
                </c:pt>
                <c:pt idx="32">
                  <c:v>116</c:v>
                </c:pt>
                <c:pt idx="33">
                  <c:v>126</c:v>
                </c:pt>
                <c:pt idx="34">
                  <c:v>125</c:v>
                </c:pt>
                <c:pt idx="35">
                  <c:v>118</c:v>
                </c:pt>
                <c:pt idx="36">
                  <c:v>101</c:v>
                </c:pt>
                <c:pt idx="37">
                  <c:v>77</c:v>
                </c:pt>
                <c:pt idx="38">
                  <c:v>78</c:v>
                </c:pt>
                <c:pt idx="39">
                  <c:v>116</c:v>
                </c:pt>
                <c:pt idx="40">
                  <c:v>190</c:v>
                </c:pt>
                <c:pt idx="41">
                  <c:v>213</c:v>
                </c:pt>
                <c:pt idx="42">
                  <c:v>230</c:v>
                </c:pt>
                <c:pt idx="43">
                  <c:v>160</c:v>
                </c:pt>
                <c:pt idx="44">
                  <c:v>129</c:v>
                </c:pt>
                <c:pt idx="45">
                  <c:v>89</c:v>
                </c:pt>
                <c:pt idx="46">
                  <c:v>133</c:v>
                </c:pt>
                <c:pt idx="47">
                  <c:v>55</c:v>
                </c:pt>
                <c:pt idx="48">
                  <c:v>141</c:v>
                </c:pt>
                <c:pt idx="49">
                  <c:v>254</c:v>
                </c:pt>
                <c:pt idx="50">
                  <c:v>136</c:v>
                </c:pt>
                <c:pt idx="51">
                  <c:v>91</c:v>
                </c:pt>
                <c:pt idx="52">
                  <c:v>87</c:v>
                </c:pt>
                <c:pt idx="53">
                  <c:v>97</c:v>
                </c:pt>
                <c:pt idx="54">
                  <c:v>112</c:v>
                </c:pt>
                <c:pt idx="55">
                  <c:v>110</c:v>
                </c:pt>
                <c:pt idx="56">
                  <c:v>130</c:v>
                </c:pt>
                <c:pt idx="57">
                  <c:v>105</c:v>
                </c:pt>
                <c:pt idx="58">
                  <c:v>58</c:v>
                </c:pt>
                <c:pt idx="59">
                  <c:v>61</c:v>
                </c:pt>
                <c:pt idx="60">
                  <c:v>101</c:v>
                </c:pt>
                <c:pt idx="61">
                  <c:v>144</c:v>
                </c:pt>
                <c:pt idx="62">
                  <c:v>127</c:v>
                </c:pt>
                <c:pt idx="63">
                  <c:v>75</c:v>
                </c:pt>
                <c:pt idx="64">
                  <c:v>10</c:v>
                </c:pt>
                <c:pt idx="65">
                  <c:v>111</c:v>
                </c:pt>
                <c:pt idx="66">
                  <c:v>80</c:v>
                </c:pt>
                <c:pt idx="67">
                  <c:v>129</c:v>
                </c:pt>
                <c:pt idx="68">
                  <c:v>136</c:v>
                </c:pt>
                <c:pt idx="69">
                  <c:v>131</c:v>
                </c:pt>
                <c:pt idx="70">
                  <c:v>120</c:v>
                </c:pt>
                <c:pt idx="71">
                  <c:v>103</c:v>
                </c:pt>
                <c:pt idx="72">
                  <c:v>114</c:v>
                </c:pt>
                <c:pt idx="73">
                  <c:v>129</c:v>
                </c:pt>
                <c:pt idx="74">
                  <c:v>121</c:v>
                </c:pt>
                <c:pt idx="75">
                  <c:v>112</c:v>
                </c:pt>
                <c:pt idx="76">
                  <c:v>161</c:v>
                </c:pt>
                <c:pt idx="77">
                  <c:v>156</c:v>
                </c:pt>
                <c:pt idx="78">
                  <c:v>99</c:v>
                </c:pt>
                <c:pt idx="79">
                  <c:v>127</c:v>
                </c:pt>
                <c:pt idx="80">
                  <c:v>122</c:v>
                </c:pt>
                <c:pt idx="81">
                  <c:v>123</c:v>
                </c:pt>
                <c:pt idx="82">
                  <c:v>135</c:v>
                </c:pt>
                <c:pt idx="83">
                  <c:v>125</c:v>
                </c:pt>
                <c:pt idx="84">
                  <c:v>110</c:v>
                </c:pt>
                <c:pt idx="85">
                  <c:v>67</c:v>
                </c:pt>
                <c:pt idx="86">
                  <c:v>84</c:v>
                </c:pt>
                <c:pt idx="87">
                  <c:v>100</c:v>
                </c:pt>
                <c:pt idx="88">
                  <c:v>102</c:v>
                </c:pt>
                <c:pt idx="89">
                  <c:v>96</c:v>
                </c:pt>
                <c:pt idx="90">
                  <c:v>73</c:v>
                </c:pt>
                <c:pt idx="91">
                  <c:v>105</c:v>
                </c:pt>
                <c:pt idx="92">
                  <c:v>100</c:v>
                </c:pt>
                <c:pt idx="93">
                  <c:v>83</c:v>
                </c:pt>
                <c:pt idx="94">
                  <c:v>105</c:v>
                </c:pt>
                <c:pt idx="95">
                  <c:v>108</c:v>
                </c:pt>
                <c:pt idx="96">
                  <c:v>119</c:v>
                </c:pt>
                <c:pt idx="97">
                  <c:v>125</c:v>
                </c:pt>
                <c:pt idx="98">
                  <c:v>128</c:v>
                </c:pt>
                <c:pt idx="99">
                  <c:v>72</c:v>
                </c:pt>
                <c:pt idx="100">
                  <c:v>87</c:v>
                </c:pt>
                <c:pt idx="101">
                  <c:v>89</c:v>
                </c:pt>
                <c:pt idx="102">
                  <c:v>97</c:v>
                </c:pt>
                <c:pt idx="103">
                  <c:v>79</c:v>
                </c:pt>
                <c:pt idx="104">
                  <c:v>108</c:v>
                </c:pt>
                <c:pt idx="105">
                  <c:v>115</c:v>
                </c:pt>
                <c:pt idx="106">
                  <c:v>83</c:v>
                </c:pt>
                <c:pt idx="107">
                  <c:v>82</c:v>
                </c:pt>
                <c:pt idx="108">
                  <c:v>63</c:v>
                </c:pt>
                <c:pt idx="109">
                  <c:v>104</c:v>
                </c:pt>
                <c:pt idx="110">
                  <c:v>89</c:v>
                </c:pt>
                <c:pt idx="111">
                  <c:v>91</c:v>
                </c:pt>
                <c:pt idx="112">
                  <c:v>97</c:v>
                </c:pt>
                <c:pt idx="113">
                  <c:v>72</c:v>
                </c:pt>
                <c:pt idx="114">
                  <c:v>53</c:v>
                </c:pt>
                <c:pt idx="115">
                  <c:v>46</c:v>
                </c:pt>
                <c:pt idx="116">
                  <c:v>85</c:v>
                </c:pt>
                <c:pt idx="117">
                  <c:v>100</c:v>
                </c:pt>
                <c:pt idx="118">
                  <c:v>64</c:v>
                </c:pt>
                <c:pt idx="119">
                  <c:v>74</c:v>
                </c:pt>
                <c:pt idx="120">
                  <c:v>63</c:v>
                </c:pt>
                <c:pt idx="121">
                  <c:v>62</c:v>
                </c:pt>
                <c:pt idx="122">
                  <c:v>46</c:v>
                </c:pt>
                <c:pt idx="123">
                  <c:v>52</c:v>
                </c:pt>
                <c:pt idx="124">
                  <c:v>92</c:v>
                </c:pt>
                <c:pt idx="125">
                  <c:v>99</c:v>
                </c:pt>
                <c:pt idx="126">
                  <c:v>93</c:v>
                </c:pt>
                <c:pt idx="127">
                  <c:v>73</c:v>
                </c:pt>
                <c:pt idx="128">
                  <c:v>100</c:v>
                </c:pt>
                <c:pt idx="129">
                  <c:v>91</c:v>
                </c:pt>
                <c:pt idx="130">
                  <c:v>96</c:v>
                </c:pt>
                <c:pt idx="131">
                  <c:v>110</c:v>
                </c:pt>
                <c:pt idx="132">
                  <c:v>110</c:v>
                </c:pt>
                <c:pt idx="133">
                  <c:v>114</c:v>
                </c:pt>
                <c:pt idx="134">
                  <c:v>117</c:v>
                </c:pt>
                <c:pt idx="135">
                  <c:v>157</c:v>
                </c:pt>
                <c:pt idx="136">
                  <c:v>104</c:v>
                </c:pt>
                <c:pt idx="137">
                  <c:v>135</c:v>
                </c:pt>
                <c:pt idx="138">
                  <c:v>116</c:v>
                </c:pt>
                <c:pt idx="139">
                  <c:v>118</c:v>
                </c:pt>
                <c:pt idx="140">
                  <c:v>104</c:v>
                </c:pt>
                <c:pt idx="141">
                  <c:v>62</c:v>
                </c:pt>
                <c:pt idx="142">
                  <c:v>81</c:v>
                </c:pt>
                <c:pt idx="143">
                  <c:v>63</c:v>
                </c:pt>
                <c:pt idx="144">
                  <c:v>108</c:v>
                </c:pt>
                <c:pt idx="145">
                  <c:v>77</c:v>
                </c:pt>
                <c:pt idx="146">
                  <c:v>111</c:v>
                </c:pt>
                <c:pt idx="147">
                  <c:v>94</c:v>
                </c:pt>
                <c:pt idx="148">
                  <c:v>97</c:v>
                </c:pt>
                <c:pt idx="149">
                  <c:v>105</c:v>
                </c:pt>
                <c:pt idx="150">
                  <c:v>58</c:v>
                </c:pt>
                <c:pt idx="151">
                  <c:v>107</c:v>
                </c:pt>
                <c:pt idx="152">
                  <c:v>98</c:v>
                </c:pt>
                <c:pt idx="153">
                  <c:v>156</c:v>
                </c:pt>
                <c:pt idx="154">
                  <c:v>139</c:v>
                </c:pt>
                <c:pt idx="155">
                  <c:v>103</c:v>
                </c:pt>
                <c:pt idx="156">
                  <c:v>98</c:v>
                </c:pt>
                <c:pt idx="157">
                  <c:v>82</c:v>
                </c:pt>
                <c:pt idx="158">
                  <c:v>113</c:v>
                </c:pt>
                <c:pt idx="159">
                  <c:v>93</c:v>
                </c:pt>
                <c:pt idx="160">
                  <c:v>182</c:v>
                </c:pt>
                <c:pt idx="161">
                  <c:v>112</c:v>
                </c:pt>
                <c:pt idx="162">
                  <c:v>128</c:v>
                </c:pt>
                <c:pt idx="163">
                  <c:v>96</c:v>
                </c:pt>
                <c:pt idx="164">
                  <c:v>79</c:v>
                </c:pt>
                <c:pt idx="165">
                  <c:v>124</c:v>
                </c:pt>
                <c:pt idx="166">
                  <c:v>95</c:v>
                </c:pt>
                <c:pt idx="167">
                  <c:v>103</c:v>
                </c:pt>
                <c:pt idx="168">
                  <c:v>116</c:v>
                </c:pt>
                <c:pt idx="169">
                  <c:v>79</c:v>
                </c:pt>
                <c:pt idx="170">
                  <c:v>118</c:v>
                </c:pt>
                <c:pt idx="171">
                  <c:v>109</c:v>
                </c:pt>
                <c:pt idx="172">
                  <c:v>117</c:v>
                </c:pt>
                <c:pt idx="173">
                  <c:v>88</c:v>
                </c:pt>
                <c:pt idx="174">
                  <c:v>79</c:v>
                </c:pt>
                <c:pt idx="175">
                  <c:v>127</c:v>
                </c:pt>
                <c:pt idx="176">
                  <c:v>124</c:v>
                </c:pt>
                <c:pt idx="177">
                  <c:v>80</c:v>
                </c:pt>
                <c:pt idx="178">
                  <c:v>63</c:v>
                </c:pt>
                <c:pt idx="179">
                  <c:v>101</c:v>
                </c:pt>
                <c:pt idx="180">
                  <c:v>95</c:v>
                </c:pt>
                <c:pt idx="181">
                  <c:v>93</c:v>
                </c:pt>
                <c:pt idx="182">
                  <c:v>117</c:v>
                </c:pt>
                <c:pt idx="183">
                  <c:v>113</c:v>
                </c:pt>
                <c:pt idx="184">
                  <c:v>142</c:v>
                </c:pt>
                <c:pt idx="185">
                  <c:v>78</c:v>
                </c:pt>
                <c:pt idx="186">
                  <c:v>130</c:v>
                </c:pt>
                <c:pt idx="187">
                  <c:v>118</c:v>
                </c:pt>
                <c:pt idx="188">
                  <c:v>131</c:v>
                </c:pt>
                <c:pt idx="189">
                  <c:v>259</c:v>
                </c:pt>
                <c:pt idx="190">
                  <c:v>154</c:v>
                </c:pt>
                <c:pt idx="191">
                  <c:v>244</c:v>
                </c:pt>
                <c:pt idx="192">
                  <c:v>95</c:v>
                </c:pt>
                <c:pt idx="193">
                  <c:v>136</c:v>
                </c:pt>
                <c:pt idx="194">
                  <c:v>121</c:v>
                </c:pt>
                <c:pt idx="195">
                  <c:v>142</c:v>
                </c:pt>
                <c:pt idx="196">
                  <c:v>113</c:v>
                </c:pt>
                <c:pt idx="197">
                  <c:v>231</c:v>
                </c:pt>
                <c:pt idx="198">
                  <c:v>69</c:v>
                </c:pt>
                <c:pt idx="199">
                  <c:v>99</c:v>
                </c:pt>
                <c:pt idx="200">
                  <c:v>109</c:v>
                </c:pt>
                <c:pt idx="201">
                  <c:v>143</c:v>
                </c:pt>
                <c:pt idx="202">
                  <c:v>126</c:v>
                </c:pt>
                <c:pt idx="203">
                  <c:v>156</c:v>
                </c:pt>
                <c:pt idx="204">
                  <c:v>126</c:v>
                </c:pt>
                <c:pt idx="205">
                  <c:v>102</c:v>
                </c:pt>
                <c:pt idx="206">
                  <c:v>87</c:v>
                </c:pt>
                <c:pt idx="207">
                  <c:v>75</c:v>
                </c:pt>
                <c:pt idx="208">
                  <c:v>46</c:v>
                </c:pt>
                <c:pt idx="209">
                  <c:v>63</c:v>
                </c:pt>
                <c:pt idx="210">
                  <c:v>106</c:v>
                </c:pt>
                <c:pt idx="211">
                  <c:v>128</c:v>
                </c:pt>
                <c:pt idx="212">
                  <c:v>92</c:v>
                </c:pt>
                <c:pt idx="213">
                  <c:v>96</c:v>
                </c:pt>
                <c:pt idx="214">
                  <c:v>99</c:v>
                </c:pt>
                <c:pt idx="215">
                  <c:v>92</c:v>
                </c:pt>
                <c:pt idx="216">
                  <c:v>145</c:v>
                </c:pt>
                <c:pt idx="217">
                  <c:v>98</c:v>
                </c:pt>
                <c:pt idx="218">
                  <c:v>105</c:v>
                </c:pt>
                <c:pt idx="219">
                  <c:v>96</c:v>
                </c:pt>
                <c:pt idx="220">
                  <c:v>64</c:v>
                </c:pt>
                <c:pt idx="221">
                  <c:v>93</c:v>
                </c:pt>
                <c:pt idx="222">
                  <c:v>76</c:v>
                </c:pt>
                <c:pt idx="223">
                  <c:v>73</c:v>
                </c:pt>
                <c:pt idx="224">
                  <c:v>99</c:v>
                </c:pt>
                <c:pt idx="225">
                  <c:v>111</c:v>
                </c:pt>
                <c:pt idx="226">
                  <c:v>47</c:v>
                </c:pt>
                <c:pt idx="227">
                  <c:v>62</c:v>
                </c:pt>
                <c:pt idx="228">
                  <c:v>73</c:v>
                </c:pt>
                <c:pt idx="229">
                  <c:v>149</c:v>
                </c:pt>
                <c:pt idx="230">
                  <c:v>192</c:v>
                </c:pt>
                <c:pt idx="231">
                  <c:v>189</c:v>
                </c:pt>
                <c:pt idx="232">
                  <c:v>160</c:v>
                </c:pt>
                <c:pt idx="233">
                  <c:v>62</c:v>
                </c:pt>
                <c:pt idx="234">
                  <c:v>66</c:v>
                </c:pt>
                <c:pt idx="235">
                  <c:v>69</c:v>
                </c:pt>
                <c:pt idx="236">
                  <c:v>86</c:v>
                </c:pt>
                <c:pt idx="237">
                  <c:v>54</c:v>
                </c:pt>
                <c:pt idx="238">
                  <c:v>81</c:v>
                </c:pt>
                <c:pt idx="239">
                  <c:v>74</c:v>
                </c:pt>
                <c:pt idx="240">
                  <c:v>16</c:v>
                </c:pt>
                <c:pt idx="241">
                  <c:v>39</c:v>
                </c:pt>
                <c:pt idx="242">
                  <c:v>46</c:v>
                </c:pt>
                <c:pt idx="243">
                  <c:v>73</c:v>
                </c:pt>
                <c:pt idx="244">
                  <c:v>85</c:v>
                </c:pt>
                <c:pt idx="245">
                  <c:v>91</c:v>
                </c:pt>
                <c:pt idx="246">
                  <c:v>73</c:v>
                </c:pt>
                <c:pt idx="247">
                  <c:v>45</c:v>
                </c:pt>
                <c:pt idx="248">
                  <c:v>42</c:v>
                </c:pt>
                <c:pt idx="249">
                  <c:v>78</c:v>
                </c:pt>
                <c:pt idx="250">
                  <c:v>124</c:v>
                </c:pt>
                <c:pt idx="251">
                  <c:v>114</c:v>
                </c:pt>
                <c:pt idx="252">
                  <c:v>111</c:v>
                </c:pt>
                <c:pt idx="253">
                  <c:v>99</c:v>
                </c:pt>
                <c:pt idx="254">
                  <c:v>71</c:v>
                </c:pt>
                <c:pt idx="255">
                  <c:v>62</c:v>
                </c:pt>
                <c:pt idx="256">
                  <c:v>94</c:v>
                </c:pt>
                <c:pt idx="257">
                  <c:v>125</c:v>
                </c:pt>
                <c:pt idx="258">
                  <c:v>98</c:v>
                </c:pt>
                <c:pt idx="259">
                  <c:v>115</c:v>
                </c:pt>
                <c:pt idx="260">
                  <c:v>93</c:v>
                </c:pt>
                <c:pt idx="261">
                  <c:v>64</c:v>
                </c:pt>
                <c:pt idx="262">
                  <c:v>44</c:v>
                </c:pt>
                <c:pt idx="263">
                  <c:v>38</c:v>
                </c:pt>
                <c:pt idx="264">
                  <c:v>57</c:v>
                </c:pt>
                <c:pt idx="265">
                  <c:v>74</c:v>
                </c:pt>
                <c:pt idx="266">
                  <c:v>73</c:v>
                </c:pt>
                <c:pt idx="267">
                  <c:v>40</c:v>
                </c:pt>
                <c:pt idx="268">
                  <c:v>62</c:v>
                </c:pt>
                <c:pt idx="269">
                  <c:v>32</c:v>
                </c:pt>
                <c:pt idx="270">
                  <c:v>201</c:v>
                </c:pt>
                <c:pt idx="271">
                  <c:v>296</c:v>
                </c:pt>
                <c:pt idx="272">
                  <c:v>244</c:v>
                </c:pt>
                <c:pt idx="273">
                  <c:v>1217</c:v>
                </c:pt>
                <c:pt idx="274">
                  <c:v>736</c:v>
                </c:pt>
                <c:pt idx="275">
                  <c:v>1157</c:v>
                </c:pt>
                <c:pt idx="276">
                  <c:v>659</c:v>
                </c:pt>
                <c:pt idx="277">
                  <c:v>1174</c:v>
                </c:pt>
                <c:pt idx="278">
                  <c:v>1311</c:v>
                </c:pt>
                <c:pt idx="279">
                  <c:v>1293</c:v>
                </c:pt>
                <c:pt idx="280">
                  <c:v>1224</c:v>
                </c:pt>
                <c:pt idx="281">
                  <c:v>1261</c:v>
                </c:pt>
                <c:pt idx="282">
                  <c:v>1317</c:v>
                </c:pt>
                <c:pt idx="283">
                  <c:v>736</c:v>
                </c:pt>
                <c:pt idx="284">
                  <c:v>1334</c:v>
                </c:pt>
                <c:pt idx="285">
                  <c:v>1352</c:v>
                </c:pt>
                <c:pt idx="286">
                  <c:v>1540</c:v>
                </c:pt>
                <c:pt idx="287">
                  <c:v>1602</c:v>
                </c:pt>
                <c:pt idx="288">
                  <c:v>1512</c:v>
                </c:pt>
                <c:pt idx="289">
                  <c:v>1463</c:v>
                </c:pt>
                <c:pt idx="290">
                  <c:v>831</c:v>
                </c:pt>
                <c:pt idx="291">
                  <c:v>1337</c:v>
                </c:pt>
                <c:pt idx="292">
                  <c:v>1498</c:v>
                </c:pt>
                <c:pt idx="293">
                  <c:v>1269</c:v>
                </c:pt>
                <c:pt idx="294">
                  <c:v>599</c:v>
                </c:pt>
                <c:pt idx="295">
                  <c:v>1010</c:v>
                </c:pt>
                <c:pt idx="296">
                  <c:v>506</c:v>
                </c:pt>
                <c:pt idx="297">
                  <c:v>536</c:v>
                </c:pt>
                <c:pt idx="298">
                  <c:v>726</c:v>
                </c:pt>
                <c:pt idx="299">
                  <c:v>805</c:v>
                </c:pt>
                <c:pt idx="300">
                  <c:v>795</c:v>
                </c:pt>
                <c:pt idx="301">
                  <c:v>717</c:v>
                </c:pt>
                <c:pt idx="302">
                  <c:v>935</c:v>
                </c:pt>
                <c:pt idx="303">
                  <c:v>991</c:v>
                </c:pt>
                <c:pt idx="304">
                  <c:v>635</c:v>
                </c:pt>
                <c:pt idx="305">
                  <c:v>840</c:v>
                </c:pt>
                <c:pt idx="306">
                  <c:v>1205</c:v>
                </c:pt>
                <c:pt idx="307">
                  <c:v>1201</c:v>
                </c:pt>
                <c:pt idx="308">
                  <c:v>1151</c:v>
                </c:pt>
                <c:pt idx="309">
                  <c:v>1220</c:v>
                </c:pt>
                <c:pt idx="310">
                  <c:v>1181</c:v>
                </c:pt>
                <c:pt idx="311">
                  <c:v>974</c:v>
                </c:pt>
                <c:pt idx="312">
                  <c:v>1229</c:v>
                </c:pt>
                <c:pt idx="313">
                  <c:v>857</c:v>
                </c:pt>
                <c:pt idx="314">
                  <c:v>268</c:v>
                </c:pt>
                <c:pt idx="315">
                  <c:v>557</c:v>
                </c:pt>
                <c:pt idx="316">
                  <c:v>440</c:v>
                </c:pt>
                <c:pt idx="317">
                  <c:v>193</c:v>
                </c:pt>
                <c:pt idx="318">
                  <c:v>497</c:v>
                </c:pt>
                <c:pt idx="319">
                  <c:v>812</c:v>
                </c:pt>
                <c:pt idx="320">
                  <c:v>814</c:v>
                </c:pt>
                <c:pt idx="321">
                  <c:v>552</c:v>
                </c:pt>
                <c:pt idx="322">
                  <c:v>771</c:v>
                </c:pt>
                <c:pt idx="323">
                  <c:v>667</c:v>
                </c:pt>
                <c:pt idx="324">
                  <c:v>642</c:v>
                </c:pt>
                <c:pt idx="325">
                  <c:v>498</c:v>
                </c:pt>
                <c:pt idx="326">
                  <c:v>898</c:v>
                </c:pt>
                <c:pt idx="327">
                  <c:v>626</c:v>
                </c:pt>
                <c:pt idx="328">
                  <c:v>607</c:v>
                </c:pt>
                <c:pt idx="329">
                  <c:v>775</c:v>
                </c:pt>
                <c:pt idx="330">
                  <c:v>627</c:v>
                </c:pt>
                <c:pt idx="331">
                  <c:v>658</c:v>
                </c:pt>
                <c:pt idx="332">
                  <c:v>523</c:v>
                </c:pt>
                <c:pt idx="333">
                  <c:v>915</c:v>
                </c:pt>
                <c:pt idx="334">
                  <c:v>969</c:v>
                </c:pt>
                <c:pt idx="335">
                  <c:v>989</c:v>
                </c:pt>
                <c:pt idx="336">
                  <c:v>701</c:v>
                </c:pt>
                <c:pt idx="337">
                  <c:v>545</c:v>
                </c:pt>
                <c:pt idx="338">
                  <c:v>788</c:v>
                </c:pt>
                <c:pt idx="339">
                  <c:v>446</c:v>
                </c:pt>
                <c:pt idx="340">
                  <c:v>705</c:v>
                </c:pt>
                <c:pt idx="341">
                  <c:v>1104</c:v>
                </c:pt>
                <c:pt idx="342">
                  <c:v>885</c:v>
                </c:pt>
                <c:pt idx="343">
                  <c:v>987</c:v>
                </c:pt>
                <c:pt idx="344">
                  <c:v>1198</c:v>
                </c:pt>
                <c:pt idx="345">
                  <c:v>773</c:v>
                </c:pt>
                <c:pt idx="346">
                  <c:v>560</c:v>
                </c:pt>
                <c:pt idx="347">
                  <c:v>1112</c:v>
                </c:pt>
                <c:pt idx="348">
                  <c:v>1034</c:v>
                </c:pt>
                <c:pt idx="349">
                  <c:v>1010</c:v>
                </c:pt>
                <c:pt idx="350">
                  <c:v>862</c:v>
                </c:pt>
                <c:pt idx="351">
                  <c:v>1207</c:v>
                </c:pt>
                <c:pt idx="352">
                  <c:v>1052</c:v>
                </c:pt>
                <c:pt idx="353">
                  <c:v>750</c:v>
                </c:pt>
                <c:pt idx="354">
                  <c:v>1078</c:v>
                </c:pt>
                <c:pt idx="355">
                  <c:v>1114</c:v>
                </c:pt>
                <c:pt idx="356">
                  <c:v>1109</c:v>
                </c:pt>
                <c:pt idx="357">
                  <c:v>761</c:v>
                </c:pt>
                <c:pt idx="358">
                  <c:v>804</c:v>
                </c:pt>
                <c:pt idx="359">
                  <c:v>940</c:v>
                </c:pt>
                <c:pt idx="360">
                  <c:v>667</c:v>
                </c:pt>
                <c:pt idx="361">
                  <c:v>960</c:v>
                </c:pt>
                <c:pt idx="362">
                  <c:v>887</c:v>
                </c:pt>
                <c:pt idx="363">
                  <c:v>832</c:v>
                </c:pt>
                <c:pt idx="364">
                  <c:v>667</c:v>
                </c:pt>
                <c:pt idx="365">
                  <c:v>700</c:v>
                </c:pt>
                <c:pt idx="366">
                  <c:v>922</c:v>
                </c:pt>
                <c:pt idx="367">
                  <c:v>487</c:v>
                </c:pt>
                <c:pt idx="368">
                  <c:v>777</c:v>
                </c:pt>
                <c:pt idx="369">
                  <c:v>840</c:v>
                </c:pt>
                <c:pt idx="370">
                  <c:v>1170</c:v>
                </c:pt>
                <c:pt idx="371">
                  <c:v>1113</c:v>
                </c:pt>
                <c:pt idx="372">
                  <c:v>1081</c:v>
                </c:pt>
                <c:pt idx="373">
                  <c:v>863</c:v>
                </c:pt>
                <c:pt idx="374">
                  <c:v>550</c:v>
                </c:pt>
                <c:pt idx="375">
                  <c:v>746</c:v>
                </c:pt>
                <c:pt idx="376">
                  <c:v>748</c:v>
                </c:pt>
                <c:pt idx="377">
                  <c:v>1183</c:v>
                </c:pt>
                <c:pt idx="378">
                  <c:v>999</c:v>
                </c:pt>
                <c:pt idx="379">
                  <c:v>999</c:v>
                </c:pt>
                <c:pt idx="380">
                  <c:v>1140</c:v>
                </c:pt>
                <c:pt idx="381">
                  <c:v>552</c:v>
                </c:pt>
                <c:pt idx="382">
                  <c:v>975</c:v>
                </c:pt>
                <c:pt idx="383">
                  <c:v>1396</c:v>
                </c:pt>
                <c:pt idx="384">
                  <c:v>1109</c:v>
                </c:pt>
                <c:pt idx="385">
                  <c:v>981</c:v>
                </c:pt>
                <c:pt idx="386">
                  <c:v>899</c:v>
                </c:pt>
                <c:pt idx="387">
                  <c:v>610</c:v>
                </c:pt>
                <c:pt idx="388">
                  <c:v>627</c:v>
                </c:pt>
                <c:pt idx="389">
                  <c:v>785</c:v>
                </c:pt>
                <c:pt idx="390">
                  <c:v>223</c:v>
                </c:pt>
                <c:pt idx="391">
                  <c:v>1162</c:v>
                </c:pt>
                <c:pt idx="392">
                  <c:v>1028</c:v>
                </c:pt>
                <c:pt idx="393">
                  <c:v>1240</c:v>
                </c:pt>
                <c:pt idx="394">
                  <c:v>994</c:v>
                </c:pt>
                <c:pt idx="395">
                  <c:v>730</c:v>
                </c:pt>
                <c:pt idx="396">
                  <c:v>1298</c:v>
                </c:pt>
                <c:pt idx="397">
                  <c:v>1387</c:v>
                </c:pt>
                <c:pt idx="398">
                  <c:v>1553</c:v>
                </c:pt>
                <c:pt idx="399">
                  <c:v>1492</c:v>
                </c:pt>
                <c:pt idx="400">
                  <c:v>1566</c:v>
                </c:pt>
                <c:pt idx="401">
                  <c:v>1612</c:v>
                </c:pt>
                <c:pt idx="402">
                  <c:v>852</c:v>
                </c:pt>
                <c:pt idx="403">
                  <c:v>1312</c:v>
                </c:pt>
                <c:pt idx="404">
                  <c:v>1855</c:v>
                </c:pt>
                <c:pt idx="405">
                  <c:v>1704</c:v>
                </c:pt>
                <c:pt idx="406">
                  <c:v>2128</c:v>
                </c:pt>
                <c:pt idx="407">
                  <c:v>1794</c:v>
                </c:pt>
                <c:pt idx="408">
                  <c:v>1189</c:v>
                </c:pt>
                <c:pt idx="409">
                  <c:v>1171</c:v>
                </c:pt>
                <c:pt idx="410">
                  <c:v>1547</c:v>
                </c:pt>
                <c:pt idx="411">
                  <c:v>1526</c:v>
                </c:pt>
                <c:pt idx="412">
                  <c:v>1797</c:v>
                </c:pt>
                <c:pt idx="413">
                  <c:v>1622</c:v>
                </c:pt>
                <c:pt idx="414">
                  <c:v>1319</c:v>
                </c:pt>
                <c:pt idx="415">
                  <c:v>1222</c:v>
                </c:pt>
                <c:pt idx="416">
                  <c:v>797</c:v>
                </c:pt>
                <c:pt idx="417">
                  <c:v>1155</c:v>
                </c:pt>
                <c:pt idx="418">
                  <c:v>1300</c:v>
                </c:pt>
                <c:pt idx="419">
                  <c:v>1561</c:v>
                </c:pt>
                <c:pt idx="420">
                  <c:v>1495</c:v>
                </c:pt>
                <c:pt idx="421">
                  <c:v>1407</c:v>
                </c:pt>
                <c:pt idx="422">
                  <c:v>1088</c:v>
                </c:pt>
                <c:pt idx="423">
                  <c:v>821</c:v>
                </c:pt>
                <c:pt idx="424">
                  <c:v>1268</c:v>
                </c:pt>
                <c:pt idx="425">
                  <c:v>1478</c:v>
                </c:pt>
                <c:pt idx="426">
                  <c:v>1634</c:v>
                </c:pt>
                <c:pt idx="427">
                  <c:v>1435</c:v>
                </c:pt>
                <c:pt idx="428">
                  <c:v>1450</c:v>
                </c:pt>
                <c:pt idx="429">
                  <c:v>1096</c:v>
                </c:pt>
                <c:pt idx="430">
                  <c:v>586</c:v>
                </c:pt>
                <c:pt idx="431">
                  <c:v>898</c:v>
                </c:pt>
                <c:pt idx="432">
                  <c:v>1552</c:v>
                </c:pt>
                <c:pt idx="433">
                  <c:v>1517</c:v>
                </c:pt>
                <c:pt idx="434">
                  <c:v>1147</c:v>
                </c:pt>
                <c:pt idx="435">
                  <c:v>962</c:v>
                </c:pt>
                <c:pt idx="436">
                  <c:v>725</c:v>
                </c:pt>
                <c:pt idx="437">
                  <c:v>777</c:v>
                </c:pt>
                <c:pt idx="438">
                  <c:v>1265</c:v>
                </c:pt>
                <c:pt idx="439">
                  <c:v>1348</c:v>
                </c:pt>
                <c:pt idx="440">
                  <c:v>1579</c:v>
                </c:pt>
                <c:pt idx="441">
                  <c:v>1479</c:v>
                </c:pt>
                <c:pt idx="442">
                  <c:v>1477</c:v>
                </c:pt>
                <c:pt idx="443">
                  <c:v>961</c:v>
                </c:pt>
                <c:pt idx="444">
                  <c:v>945</c:v>
                </c:pt>
                <c:pt idx="445">
                  <c:v>1340</c:v>
                </c:pt>
                <c:pt idx="446">
                  <c:v>1145</c:v>
                </c:pt>
                <c:pt idx="447">
                  <c:v>1142</c:v>
                </c:pt>
                <c:pt idx="448">
                  <c:v>776</c:v>
                </c:pt>
                <c:pt idx="449">
                  <c:v>1540</c:v>
                </c:pt>
                <c:pt idx="450">
                  <c:v>1166</c:v>
                </c:pt>
                <c:pt idx="451">
                  <c:v>606</c:v>
                </c:pt>
                <c:pt idx="452">
                  <c:v>1249</c:v>
                </c:pt>
                <c:pt idx="453">
                  <c:v>1678</c:v>
                </c:pt>
                <c:pt idx="454">
                  <c:v>1698</c:v>
                </c:pt>
                <c:pt idx="455">
                  <c:v>1725</c:v>
                </c:pt>
                <c:pt idx="456">
                  <c:v>1602</c:v>
                </c:pt>
                <c:pt idx="457">
                  <c:v>1506</c:v>
                </c:pt>
                <c:pt idx="458">
                  <c:v>703</c:v>
                </c:pt>
                <c:pt idx="459">
                  <c:v>1302</c:v>
                </c:pt>
                <c:pt idx="460">
                  <c:v>1667</c:v>
                </c:pt>
                <c:pt idx="461">
                  <c:v>1735</c:v>
                </c:pt>
                <c:pt idx="462">
                  <c:v>2130</c:v>
                </c:pt>
                <c:pt idx="463">
                  <c:v>1470</c:v>
                </c:pt>
                <c:pt idx="464">
                  <c:v>1756</c:v>
                </c:pt>
                <c:pt idx="465">
                  <c:v>861</c:v>
                </c:pt>
                <c:pt idx="466">
                  <c:v>1562</c:v>
                </c:pt>
                <c:pt idx="467">
                  <c:v>1717</c:v>
                </c:pt>
                <c:pt idx="468">
                  <c:v>1984</c:v>
                </c:pt>
                <c:pt idx="469">
                  <c:v>1586</c:v>
                </c:pt>
                <c:pt idx="470">
                  <c:v>1128</c:v>
                </c:pt>
                <c:pt idx="471">
                  <c:v>1137</c:v>
                </c:pt>
                <c:pt idx="472">
                  <c:v>867</c:v>
                </c:pt>
                <c:pt idx="473">
                  <c:v>1195</c:v>
                </c:pt>
                <c:pt idx="474">
                  <c:v>1294</c:v>
                </c:pt>
                <c:pt idx="475">
                  <c:v>1338</c:v>
                </c:pt>
                <c:pt idx="476">
                  <c:v>1438</c:v>
                </c:pt>
                <c:pt idx="477">
                  <c:v>1608</c:v>
                </c:pt>
                <c:pt idx="478">
                  <c:v>1299</c:v>
                </c:pt>
                <c:pt idx="479">
                  <c:v>907</c:v>
                </c:pt>
                <c:pt idx="480">
                  <c:v>1602</c:v>
                </c:pt>
                <c:pt idx="481">
                  <c:v>1611</c:v>
                </c:pt>
                <c:pt idx="482">
                  <c:v>1464</c:v>
                </c:pt>
                <c:pt idx="483">
                  <c:v>1450</c:v>
                </c:pt>
                <c:pt idx="484">
                  <c:v>1236</c:v>
                </c:pt>
                <c:pt idx="485">
                  <c:v>1048</c:v>
                </c:pt>
                <c:pt idx="486">
                  <c:v>555</c:v>
                </c:pt>
                <c:pt idx="487">
                  <c:v>943</c:v>
                </c:pt>
                <c:pt idx="488">
                  <c:v>1278</c:v>
                </c:pt>
                <c:pt idx="489">
                  <c:v>1515</c:v>
                </c:pt>
                <c:pt idx="490">
                  <c:v>1564</c:v>
                </c:pt>
                <c:pt idx="491">
                  <c:v>1558</c:v>
                </c:pt>
                <c:pt idx="492">
                  <c:v>1233</c:v>
                </c:pt>
                <c:pt idx="493">
                  <c:v>594</c:v>
                </c:pt>
                <c:pt idx="494">
                  <c:v>1003</c:v>
                </c:pt>
                <c:pt idx="495">
                  <c:v>1492</c:v>
                </c:pt>
                <c:pt idx="496">
                  <c:v>1437</c:v>
                </c:pt>
                <c:pt idx="497">
                  <c:v>1504</c:v>
                </c:pt>
                <c:pt idx="498">
                  <c:v>1536</c:v>
                </c:pt>
                <c:pt idx="499">
                  <c:v>1494</c:v>
                </c:pt>
                <c:pt idx="500">
                  <c:v>863</c:v>
                </c:pt>
                <c:pt idx="501">
                  <c:v>1274</c:v>
                </c:pt>
                <c:pt idx="502">
                  <c:v>1521</c:v>
                </c:pt>
                <c:pt idx="503">
                  <c:v>1430</c:v>
                </c:pt>
                <c:pt idx="504">
                  <c:v>1593</c:v>
                </c:pt>
                <c:pt idx="505">
                  <c:v>1325</c:v>
                </c:pt>
                <c:pt idx="506">
                  <c:v>1153</c:v>
                </c:pt>
                <c:pt idx="507">
                  <c:v>1482</c:v>
                </c:pt>
                <c:pt idx="508">
                  <c:v>1793</c:v>
                </c:pt>
                <c:pt idx="509">
                  <c:v>1366</c:v>
                </c:pt>
                <c:pt idx="510">
                  <c:v>1780</c:v>
                </c:pt>
                <c:pt idx="511">
                  <c:v>1430</c:v>
                </c:pt>
                <c:pt idx="512">
                  <c:v>1460</c:v>
                </c:pt>
                <c:pt idx="513">
                  <c:v>1411</c:v>
                </c:pt>
                <c:pt idx="514">
                  <c:v>822</c:v>
                </c:pt>
                <c:pt idx="515">
                  <c:v>990</c:v>
                </c:pt>
                <c:pt idx="516">
                  <c:v>1532</c:v>
                </c:pt>
                <c:pt idx="517">
                  <c:v>1268</c:v>
                </c:pt>
                <c:pt idx="518">
                  <c:v>1313</c:v>
                </c:pt>
                <c:pt idx="519">
                  <c:v>1276</c:v>
                </c:pt>
                <c:pt idx="520">
                  <c:v>1310</c:v>
                </c:pt>
                <c:pt idx="521">
                  <c:v>591</c:v>
                </c:pt>
                <c:pt idx="522">
                  <c:v>987</c:v>
                </c:pt>
                <c:pt idx="523">
                  <c:v>1256</c:v>
                </c:pt>
                <c:pt idx="524">
                  <c:v>1179</c:v>
                </c:pt>
                <c:pt idx="525">
                  <c:v>994</c:v>
                </c:pt>
                <c:pt idx="526">
                  <c:v>1088</c:v>
                </c:pt>
                <c:pt idx="527">
                  <c:v>922</c:v>
                </c:pt>
                <c:pt idx="528">
                  <c:v>742</c:v>
                </c:pt>
                <c:pt idx="529">
                  <c:v>788</c:v>
                </c:pt>
                <c:pt idx="530">
                  <c:v>1406</c:v>
                </c:pt>
                <c:pt idx="531">
                  <c:v>1182</c:v>
                </c:pt>
                <c:pt idx="532">
                  <c:v>1364</c:v>
                </c:pt>
                <c:pt idx="533">
                  <c:v>1067</c:v>
                </c:pt>
                <c:pt idx="534">
                  <c:v>841</c:v>
                </c:pt>
                <c:pt idx="535">
                  <c:v>411</c:v>
                </c:pt>
                <c:pt idx="536">
                  <c:v>672</c:v>
                </c:pt>
                <c:pt idx="537">
                  <c:v>916</c:v>
                </c:pt>
                <c:pt idx="538">
                  <c:v>1349</c:v>
                </c:pt>
                <c:pt idx="539">
                  <c:v>1503</c:v>
                </c:pt>
                <c:pt idx="540">
                  <c:v>1301</c:v>
                </c:pt>
                <c:pt idx="541">
                  <c:v>1026</c:v>
                </c:pt>
                <c:pt idx="542">
                  <c:v>883</c:v>
                </c:pt>
                <c:pt idx="543">
                  <c:v>1075</c:v>
                </c:pt>
                <c:pt idx="544">
                  <c:v>1509</c:v>
                </c:pt>
                <c:pt idx="545">
                  <c:v>1180</c:v>
                </c:pt>
                <c:pt idx="546">
                  <c:v>863</c:v>
                </c:pt>
                <c:pt idx="547">
                  <c:v>1057</c:v>
                </c:pt>
                <c:pt idx="548">
                  <c:v>989</c:v>
                </c:pt>
                <c:pt idx="549">
                  <c:v>607</c:v>
                </c:pt>
                <c:pt idx="550">
                  <c:v>963</c:v>
                </c:pt>
                <c:pt idx="551">
                  <c:v>1053</c:v>
                </c:pt>
                <c:pt idx="552">
                  <c:v>1235</c:v>
                </c:pt>
                <c:pt idx="553">
                  <c:v>1137</c:v>
                </c:pt>
                <c:pt idx="554">
                  <c:v>1597</c:v>
                </c:pt>
                <c:pt idx="555">
                  <c:v>1392</c:v>
                </c:pt>
                <c:pt idx="556">
                  <c:v>754</c:v>
                </c:pt>
                <c:pt idx="557">
                  <c:v>1181</c:v>
                </c:pt>
                <c:pt idx="558">
                  <c:v>1435</c:v>
                </c:pt>
                <c:pt idx="559">
                  <c:v>1509</c:v>
                </c:pt>
                <c:pt idx="560">
                  <c:v>1026</c:v>
                </c:pt>
                <c:pt idx="561">
                  <c:v>1411</c:v>
                </c:pt>
                <c:pt idx="562">
                  <c:v>928</c:v>
                </c:pt>
                <c:pt idx="563">
                  <c:v>773</c:v>
                </c:pt>
                <c:pt idx="564">
                  <c:v>983</c:v>
                </c:pt>
                <c:pt idx="565">
                  <c:v>1251</c:v>
                </c:pt>
                <c:pt idx="566">
                  <c:v>1211</c:v>
                </c:pt>
                <c:pt idx="567">
                  <c:v>1363</c:v>
                </c:pt>
                <c:pt idx="568">
                  <c:v>1263</c:v>
                </c:pt>
                <c:pt idx="569">
                  <c:v>1005</c:v>
                </c:pt>
                <c:pt idx="570">
                  <c:v>753</c:v>
                </c:pt>
                <c:pt idx="571">
                  <c:v>1049</c:v>
                </c:pt>
                <c:pt idx="572">
                  <c:v>1557</c:v>
                </c:pt>
                <c:pt idx="573">
                  <c:v>1477</c:v>
                </c:pt>
                <c:pt idx="574">
                  <c:v>1135</c:v>
                </c:pt>
                <c:pt idx="575">
                  <c:v>1109</c:v>
                </c:pt>
                <c:pt idx="576">
                  <c:v>1379</c:v>
                </c:pt>
                <c:pt idx="577">
                  <c:v>1098</c:v>
                </c:pt>
                <c:pt idx="578">
                  <c:v>884</c:v>
                </c:pt>
                <c:pt idx="579">
                  <c:v>1365</c:v>
                </c:pt>
                <c:pt idx="580">
                  <c:v>1674</c:v>
                </c:pt>
                <c:pt idx="581">
                  <c:v>1775</c:v>
                </c:pt>
                <c:pt idx="582">
                  <c:v>1501</c:v>
                </c:pt>
                <c:pt idx="583">
                  <c:v>1447</c:v>
                </c:pt>
                <c:pt idx="584">
                  <c:v>937</c:v>
                </c:pt>
                <c:pt idx="585">
                  <c:v>1543</c:v>
                </c:pt>
                <c:pt idx="586">
                  <c:v>1603</c:v>
                </c:pt>
                <c:pt idx="587">
                  <c:v>1684</c:v>
                </c:pt>
                <c:pt idx="588">
                  <c:v>1017</c:v>
                </c:pt>
                <c:pt idx="589">
                  <c:v>1399</c:v>
                </c:pt>
                <c:pt idx="590">
                  <c:v>700</c:v>
                </c:pt>
                <c:pt idx="591">
                  <c:v>525</c:v>
                </c:pt>
                <c:pt idx="592">
                  <c:v>153</c:v>
                </c:pt>
                <c:pt idx="593">
                  <c:v>1324</c:v>
                </c:pt>
                <c:pt idx="594">
                  <c:v>1462</c:v>
                </c:pt>
                <c:pt idx="595">
                  <c:v>671</c:v>
                </c:pt>
                <c:pt idx="596">
                  <c:v>1649</c:v>
                </c:pt>
                <c:pt idx="597">
                  <c:v>1221</c:v>
                </c:pt>
                <c:pt idx="598">
                  <c:v>643</c:v>
                </c:pt>
                <c:pt idx="599">
                  <c:v>1499</c:v>
                </c:pt>
                <c:pt idx="600">
                  <c:v>1812</c:v>
                </c:pt>
                <c:pt idx="601">
                  <c:v>1521</c:v>
                </c:pt>
                <c:pt idx="602">
                  <c:v>1131</c:v>
                </c:pt>
                <c:pt idx="603">
                  <c:v>1322</c:v>
                </c:pt>
                <c:pt idx="604">
                  <c:v>1478</c:v>
                </c:pt>
                <c:pt idx="605">
                  <c:v>821</c:v>
                </c:pt>
                <c:pt idx="606">
                  <c:v>1160</c:v>
                </c:pt>
                <c:pt idx="607">
                  <c:v>1515</c:v>
                </c:pt>
                <c:pt idx="608">
                  <c:v>914</c:v>
                </c:pt>
                <c:pt idx="609">
                  <c:v>1231</c:v>
                </c:pt>
                <c:pt idx="610">
                  <c:v>947</c:v>
                </c:pt>
                <c:pt idx="611">
                  <c:v>1087</c:v>
                </c:pt>
                <c:pt idx="612">
                  <c:v>859</c:v>
                </c:pt>
                <c:pt idx="613">
                  <c:v>721</c:v>
                </c:pt>
                <c:pt idx="614">
                  <c:v>1056</c:v>
                </c:pt>
                <c:pt idx="615">
                  <c:v>1187</c:v>
                </c:pt>
                <c:pt idx="616">
                  <c:v>1143</c:v>
                </c:pt>
                <c:pt idx="617">
                  <c:v>1191</c:v>
                </c:pt>
                <c:pt idx="618">
                  <c:v>900</c:v>
                </c:pt>
                <c:pt idx="619">
                  <c:v>561</c:v>
                </c:pt>
                <c:pt idx="620">
                  <c:v>730</c:v>
                </c:pt>
                <c:pt idx="621">
                  <c:v>713</c:v>
                </c:pt>
                <c:pt idx="622">
                  <c:v>851</c:v>
                </c:pt>
                <c:pt idx="623">
                  <c:v>1149</c:v>
                </c:pt>
                <c:pt idx="624">
                  <c:v>1007</c:v>
                </c:pt>
                <c:pt idx="625">
                  <c:v>1043</c:v>
                </c:pt>
                <c:pt idx="626">
                  <c:v>422</c:v>
                </c:pt>
                <c:pt idx="627">
                  <c:v>980</c:v>
                </c:pt>
                <c:pt idx="628">
                  <c:v>1293</c:v>
                </c:pt>
                <c:pt idx="629">
                  <c:v>1196</c:v>
                </c:pt>
                <c:pt idx="630">
                  <c:v>1253</c:v>
                </c:pt>
                <c:pt idx="631">
                  <c:v>1055</c:v>
                </c:pt>
                <c:pt idx="632">
                  <c:v>940</c:v>
                </c:pt>
                <c:pt idx="633">
                  <c:v>804</c:v>
                </c:pt>
                <c:pt idx="634">
                  <c:v>918</c:v>
                </c:pt>
                <c:pt idx="635">
                  <c:v>1088</c:v>
                </c:pt>
                <c:pt idx="636">
                  <c:v>1170</c:v>
                </c:pt>
                <c:pt idx="637">
                  <c:v>1079</c:v>
                </c:pt>
                <c:pt idx="638">
                  <c:v>907</c:v>
                </c:pt>
                <c:pt idx="639">
                  <c:v>1181</c:v>
                </c:pt>
                <c:pt idx="640">
                  <c:v>427</c:v>
                </c:pt>
                <c:pt idx="641">
                  <c:v>1031</c:v>
                </c:pt>
                <c:pt idx="642">
                  <c:v>819</c:v>
                </c:pt>
                <c:pt idx="643">
                  <c:v>1158</c:v>
                </c:pt>
                <c:pt idx="644">
                  <c:v>958</c:v>
                </c:pt>
                <c:pt idx="645">
                  <c:v>1210</c:v>
                </c:pt>
                <c:pt idx="646">
                  <c:v>1018</c:v>
                </c:pt>
                <c:pt idx="647">
                  <c:v>523</c:v>
                </c:pt>
                <c:pt idx="648">
                  <c:v>959</c:v>
                </c:pt>
                <c:pt idx="649">
                  <c:v>760</c:v>
                </c:pt>
                <c:pt idx="650">
                  <c:v>843</c:v>
                </c:pt>
                <c:pt idx="651">
                  <c:v>1284</c:v>
                </c:pt>
                <c:pt idx="652">
                  <c:v>853</c:v>
                </c:pt>
                <c:pt idx="653">
                  <c:v>994</c:v>
                </c:pt>
                <c:pt idx="654">
                  <c:v>723</c:v>
                </c:pt>
                <c:pt idx="655">
                  <c:v>1037</c:v>
                </c:pt>
                <c:pt idx="656">
                  <c:v>1054</c:v>
                </c:pt>
                <c:pt idx="657">
                  <c:v>934</c:v>
                </c:pt>
                <c:pt idx="658">
                  <c:v>1242</c:v>
                </c:pt>
                <c:pt idx="659">
                  <c:v>1095</c:v>
                </c:pt>
                <c:pt idx="660">
                  <c:v>1132</c:v>
                </c:pt>
                <c:pt idx="661">
                  <c:v>829</c:v>
                </c:pt>
                <c:pt idx="662">
                  <c:v>883</c:v>
                </c:pt>
                <c:pt idx="663">
                  <c:v>1122</c:v>
                </c:pt>
                <c:pt idx="664">
                  <c:v>1109</c:v>
                </c:pt>
                <c:pt idx="665">
                  <c:v>959</c:v>
                </c:pt>
                <c:pt idx="666">
                  <c:v>1023</c:v>
                </c:pt>
                <c:pt idx="667">
                  <c:v>563</c:v>
                </c:pt>
                <c:pt idx="668">
                  <c:v>215</c:v>
                </c:pt>
                <c:pt idx="669">
                  <c:v>278</c:v>
                </c:pt>
                <c:pt idx="670">
                  <c:v>584</c:v>
                </c:pt>
                <c:pt idx="671">
                  <c:v>696</c:v>
                </c:pt>
                <c:pt idx="672">
                  <c:v>643</c:v>
                </c:pt>
                <c:pt idx="673">
                  <c:v>704</c:v>
                </c:pt>
                <c:pt idx="674">
                  <c:v>760</c:v>
                </c:pt>
                <c:pt idx="675">
                  <c:v>449</c:v>
                </c:pt>
                <c:pt idx="676">
                  <c:v>941</c:v>
                </c:pt>
                <c:pt idx="677">
                  <c:v>903</c:v>
                </c:pt>
                <c:pt idx="678">
                  <c:v>935</c:v>
                </c:pt>
                <c:pt idx="679">
                  <c:v>644</c:v>
                </c:pt>
                <c:pt idx="680">
                  <c:v>645</c:v>
                </c:pt>
                <c:pt idx="681">
                  <c:v>628</c:v>
                </c:pt>
                <c:pt idx="682">
                  <c:v>554</c:v>
                </c:pt>
                <c:pt idx="683">
                  <c:v>482</c:v>
                </c:pt>
                <c:pt idx="684">
                  <c:v>829</c:v>
                </c:pt>
                <c:pt idx="685">
                  <c:v>874</c:v>
                </c:pt>
                <c:pt idx="686">
                  <c:v>662</c:v>
                </c:pt>
                <c:pt idx="687">
                  <c:v>668</c:v>
                </c:pt>
                <c:pt idx="688">
                  <c:v>804</c:v>
                </c:pt>
                <c:pt idx="689">
                  <c:v>474</c:v>
                </c:pt>
                <c:pt idx="690">
                  <c:v>979</c:v>
                </c:pt>
                <c:pt idx="691">
                  <c:v>672</c:v>
                </c:pt>
                <c:pt idx="692">
                  <c:v>671</c:v>
                </c:pt>
                <c:pt idx="693">
                  <c:v>731</c:v>
                </c:pt>
                <c:pt idx="694">
                  <c:v>534</c:v>
                </c:pt>
                <c:pt idx="695">
                  <c:v>714</c:v>
                </c:pt>
                <c:pt idx="696">
                  <c:v>391</c:v>
                </c:pt>
                <c:pt idx="697">
                  <c:v>738</c:v>
                </c:pt>
                <c:pt idx="698">
                  <c:v>825</c:v>
                </c:pt>
                <c:pt idx="699">
                  <c:v>796</c:v>
                </c:pt>
                <c:pt idx="700">
                  <c:v>888</c:v>
                </c:pt>
                <c:pt idx="701">
                  <c:v>851</c:v>
                </c:pt>
                <c:pt idx="702">
                  <c:v>715</c:v>
                </c:pt>
                <c:pt idx="703">
                  <c:v>621</c:v>
                </c:pt>
                <c:pt idx="704">
                  <c:v>1030</c:v>
                </c:pt>
                <c:pt idx="705">
                  <c:v>1011</c:v>
                </c:pt>
                <c:pt idx="706">
                  <c:v>1160</c:v>
                </c:pt>
                <c:pt idx="707">
                  <c:v>1096</c:v>
                </c:pt>
                <c:pt idx="708">
                  <c:v>1354</c:v>
                </c:pt>
                <c:pt idx="709">
                  <c:v>804</c:v>
                </c:pt>
                <c:pt idx="710">
                  <c:v>631</c:v>
                </c:pt>
                <c:pt idx="711">
                  <c:v>818</c:v>
                </c:pt>
                <c:pt idx="712">
                  <c:v>965</c:v>
                </c:pt>
                <c:pt idx="713">
                  <c:v>1092</c:v>
                </c:pt>
                <c:pt idx="714">
                  <c:v>1425</c:v>
                </c:pt>
                <c:pt idx="715">
                  <c:v>1274</c:v>
                </c:pt>
                <c:pt idx="716">
                  <c:v>1065</c:v>
                </c:pt>
                <c:pt idx="717">
                  <c:v>770</c:v>
                </c:pt>
                <c:pt idx="718">
                  <c:v>860</c:v>
                </c:pt>
                <c:pt idx="719">
                  <c:v>1203</c:v>
                </c:pt>
                <c:pt idx="720">
                  <c:v>1067</c:v>
                </c:pt>
                <c:pt idx="721">
                  <c:v>1036</c:v>
                </c:pt>
                <c:pt idx="722">
                  <c:v>867</c:v>
                </c:pt>
                <c:pt idx="723">
                  <c:v>976</c:v>
                </c:pt>
                <c:pt idx="724">
                  <c:v>1002</c:v>
                </c:pt>
                <c:pt idx="725">
                  <c:v>830</c:v>
                </c:pt>
                <c:pt idx="726">
                  <c:v>1093</c:v>
                </c:pt>
                <c:pt idx="727">
                  <c:v>714</c:v>
                </c:pt>
                <c:pt idx="728">
                  <c:v>928</c:v>
                </c:pt>
                <c:pt idx="729">
                  <c:v>759</c:v>
                </c:pt>
                <c:pt idx="730">
                  <c:v>644</c:v>
                </c:pt>
                <c:pt idx="731">
                  <c:v>361</c:v>
                </c:pt>
                <c:pt idx="732">
                  <c:v>663</c:v>
                </c:pt>
                <c:pt idx="733">
                  <c:v>882</c:v>
                </c:pt>
                <c:pt idx="734">
                  <c:v>928</c:v>
                </c:pt>
                <c:pt idx="735">
                  <c:v>894</c:v>
                </c:pt>
                <c:pt idx="736">
                  <c:v>880</c:v>
                </c:pt>
                <c:pt idx="737">
                  <c:v>811</c:v>
                </c:pt>
                <c:pt idx="738">
                  <c:v>588</c:v>
                </c:pt>
                <c:pt idx="739">
                  <c:v>580</c:v>
                </c:pt>
                <c:pt idx="740">
                  <c:v>903</c:v>
                </c:pt>
                <c:pt idx="741">
                  <c:v>809</c:v>
                </c:pt>
                <c:pt idx="742">
                  <c:v>844</c:v>
                </c:pt>
                <c:pt idx="743">
                  <c:v>930</c:v>
                </c:pt>
                <c:pt idx="744">
                  <c:v>740</c:v>
                </c:pt>
                <c:pt idx="745">
                  <c:v>767</c:v>
                </c:pt>
                <c:pt idx="746">
                  <c:v>920</c:v>
                </c:pt>
                <c:pt idx="747">
                  <c:v>993</c:v>
                </c:pt>
                <c:pt idx="748">
                  <c:v>779</c:v>
                </c:pt>
                <c:pt idx="749">
                  <c:v>914</c:v>
                </c:pt>
                <c:pt idx="750">
                  <c:v>764</c:v>
                </c:pt>
                <c:pt idx="751">
                  <c:v>939</c:v>
                </c:pt>
                <c:pt idx="752">
                  <c:v>730</c:v>
                </c:pt>
                <c:pt idx="753">
                  <c:v>583</c:v>
                </c:pt>
                <c:pt idx="754">
                  <c:v>651</c:v>
                </c:pt>
                <c:pt idx="755">
                  <c:v>1051</c:v>
                </c:pt>
                <c:pt idx="756">
                  <c:v>319</c:v>
                </c:pt>
                <c:pt idx="757">
                  <c:v>710</c:v>
                </c:pt>
                <c:pt idx="758">
                  <c:v>693</c:v>
                </c:pt>
                <c:pt idx="759">
                  <c:v>789</c:v>
                </c:pt>
                <c:pt idx="760">
                  <c:v>807</c:v>
                </c:pt>
                <c:pt idx="761">
                  <c:v>797</c:v>
                </c:pt>
                <c:pt idx="762">
                  <c:v>765</c:v>
                </c:pt>
                <c:pt idx="763">
                  <c:v>800</c:v>
                </c:pt>
                <c:pt idx="764">
                  <c:v>910</c:v>
                </c:pt>
                <c:pt idx="765">
                  <c:v>872</c:v>
                </c:pt>
                <c:pt idx="766">
                  <c:v>612</c:v>
                </c:pt>
                <c:pt idx="767">
                  <c:v>923</c:v>
                </c:pt>
                <c:pt idx="768">
                  <c:v>1050</c:v>
                </c:pt>
                <c:pt idx="769">
                  <c:v>1132</c:v>
                </c:pt>
                <c:pt idx="770">
                  <c:v>756</c:v>
                </c:pt>
                <c:pt idx="771">
                  <c:v>821</c:v>
                </c:pt>
                <c:pt idx="772">
                  <c:v>754</c:v>
                </c:pt>
                <c:pt idx="773">
                  <c:v>398</c:v>
                </c:pt>
                <c:pt idx="774">
                  <c:v>743</c:v>
                </c:pt>
                <c:pt idx="775">
                  <c:v>1377</c:v>
                </c:pt>
                <c:pt idx="776">
                  <c:v>1255</c:v>
                </c:pt>
                <c:pt idx="777">
                  <c:v>837</c:v>
                </c:pt>
                <c:pt idx="778">
                  <c:v>1089</c:v>
                </c:pt>
                <c:pt idx="779">
                  <c:v>841</c:v>
                </c:pt>
                <c:pt idx="780">
                  <c:v>678</c:v>
                </c:pt>
                <c:pt idx="781">
                  <c:v>861</c:v>
                </c:pt>
                <c:pt idx="782">
                  <c:v>1021</c:v>
                </c:pt>
                <c:pt idx="783">
                  <c:v>1165</c:v>
                </c:pt>
                <c:pt idx="784">
                  <c:v>835</c:v>
                </c:pt>
                <c:pt idx="785">
                  <c:v>709</c:v>
                </c:pt>
                <c:pt idx="786">
                  <c:v>741</c:v>
                </c:pt>
                <c:pt idx="787">
                  <c:v>545</c:v>
                </c:pt>
                <c:pt idx="788">
                  <c:v>835</c:v>
                </c:pt>
                <c:pt idx="789">
                  <c:v>1256</c:v>
                </c:pt>
                <c:pt idx="790">
                  <c:v>1015</c:v>
                </c:pt>
                <c:pt idx="791">
                  <c:v>1059</c:v>
                </c:pt>
                <c:pt idx="792">
                  <c:v>1087</c:v>
                </c:pt>
                <c:pt idx="793">
                  <c:v>1032</c:v>
                </c:pt>
                <c:pt idx="794">
                  <c:v>480</c:v>
                </c:pt>
                <c:pt idx="795">
                  <c:v>946</c:v>
                </c:pt>
                <c:pt idx="796">
                  <c:v>1090</c:v>
                </c:pt>
                <c:pt idx="797">
                  <c:v>884</c:v>
                </c:pt>
                <c:pt idx="798">
                  <c:v>1075</c:v>
                </c:pt>
                <c:pt idx="799">
                  <c:v>1211</c:v>
                </c:pt>
                <c:pt idx="800">
                  <c:v>775</c:v>
                </c:pt>
                <c:pt idx="801">
                  <c:v>476</c:v>
                </c:pt>
                <c:pt idx="802">
                  <c:v>270</c:v>
                </c:pt>
                <c:pt idx="803">
                  <c:v>796</c:v>
                </c:pt>
                <c:pt idx="804">
                  <c:v>1134</c:v>
                </c:pt>
                <c:pt idx="805">
                  <c:v>1159</c:v>
                </c:pt>
                <c:pt idx="806">
                  <c:v>1037</c:v>
                </c:pt>
                <c:pt idx="807">
                  <c:v>1169</c:v>
                </c:pt>
                <c:pt idx="808">
                  <c:v>602</c:v>
                </c:pt>
                <c:pt idx="809">
                  <c:v>978</c:v>
                </c:pt>
                <c:pt idx="810">
                  <c:v>1177</c:v>
                </c:pt>
                <c:pt idx="811">
                  <c:v>1242</c:v>
                </c:pt>
                <c:pt idx="812">
                  <c:v>1174</c:v>
                </c:pt>
                <c:pt idx="813">
                  <c:v>1067</c:v>
                </c:pt>
                <c:pt idx="814">
                  <c:v>1116</c:v>
                </c:pt>
                <c:pt idx="815">
                  <c:v>675</c:v>
                </c:pt>
                <c:pt idx="816">
                  <c:v>1160</c:v>
                </c:pt>
                <c:pt idx="817">
                  <c:v>1322</c:v>
                </c:pt>
                <c:pt idx="818">
                  <c:v>1469</c:v>
                </c:pt>
                <c:pt idx="819">
                  <c:v>1418</c:v>
                </c:pt>
                <c:pt idx="820">
                  <c:v>1599</c:v>
                </c:pt>
                <c:pt idx="821">
                  <c:v>967</c:v>
                </c:pt>
                <c:pt idx="822">
                  <c:v>788</c:v>
                </c:pt>
                <c:pt idx="823">
                  <c:v>921</c:v>
                </c:pt>
                <c:pt idx="824">
                  <c:v>1020</c:v>
                </c:pt>
                <c:pt idx="825">
                  <c:v>1334</c:v>
                </c:pt>
                <c:pt idx="826">
                  <c:v>1501</c:v>
                </c:pt>
                <c:pt idx="827">
                  <c:v>1542</c:v>
                </c:pt>
                <c:pt idx="828">
                  <c:v>1516</c:v>
                </c:pt>
                <c:pt idx="829">
                  <c:v>781</c:v>
                </c:pt>
                <c:pt idx="830">
                  <c:v>1335</c:v>
                </c:pt>
                <c:pt idx="831">
                  <c:v>1324</c:v>
                </c:pt>
                <c:pt idx="832">
                  <c:v>1611</c:v>
                </c:pt>
                <c:pt idx="833">
                  <c:v>1312</c:v>
                </c:pt>
                <c:pt idx="834">
                  <c:v>1287</c:v>
                </c:pt>
                <c:pt idx="835">
                  <c:v>1316</c:v>
                </c:pt>
                <c:pt idx="836">
                  <c:v>850</c:v>
                </c:pt>
                <c:pt idx="837">
                  <c:v>1598</c:v>
                </c:pt>
                <c:pt idx="838">
                  <c:v>1292</c:v>
                </c:pt>
                <c:pt idx="839">
                  <c:v>1306</c:v>
                </c:pt>
                <c:pt idx="840">
                  <c:v>1248</c:v>
                </c:pt>
                <c:pt idx="841">
                  <c:v>1126</c:v>
                </c:pt>
                <c:pt idx="842">
                  <c:v>1052</c:v>
                </c:pt>
                <c:pt idx="843">
                  <c:v>522</c:v>
                </c:pt>
                <c:pt idx="844">
                  <c:v>1240</c:v>
                </c:pt>
                <c:pt idx="845">
                  <c:v>1887</c:v>
                </c:pt>
                <c:pt idx="846">
                  <c:v>1729</c:v>
                </c:pt>
                <c:pt idx="847">
                  <c:v>1664</c:v>
                </c:pt>
                <c:pt idx="848">
                  <c:v>1815</c:v>
                </c:pt>
                <c:pt idx="849">
                  <c:v>1571</c:v>
                </c:pt>
                <c:pt idx="850">
                  <c:v>762</c:v>
                </c:pt>
                <c:pt idx="851">
                  <c:v>1184</c:v>
                </c:pt>
                <c:pt idx="852">
                  <c:v>1402</c:v>
                </c:pt>
                <c:pt idx="853">
                  <c:v>1391</c:v>
                </c:pt>
                <c:pt idx="854">
                  <c:v>1420</c:v>
                </c:pt>
                <c:pt idx="855">
                  <c:v>1487</c:v>
                </c:pt>
                <c:pt idx="856">
                  <c:v>1291</c:v>
                </c:pt>
                <c:pt idx="857">
                  <c:v>474</c:v>
                </c:pt>
                <c:pt idx="858">
                  <c:v>1799</c:v>
                </c:pt>
                <c:pt idx="859">
                  <c:v>1417</c:v>
                </c:pt>
                <c:pt idx="860">
                  <c:v>1170</c:v>
                </c:pt>
                <c:pt idx="861">
                  <c:v>1480</c:v>
                </c:pt>
                <c:pt idx="862">
                  <c:v>1480</c:v>
                </c:pt>
                <c:pt idx="863">
                  <c:v>1339</c:v>
                </c:pt>
                <c:pt idx="864">
                  <c:v>769</c:v>
                </c:pt>
                <c:pt idx="865">
                  <c:v>1441</c:v>
                </c:pt>
                <c:pt idx="866">
                  <c:v>1577</c:v>
                </c:pt>
                <c:pt idx="867">
                  <c:v>2593</c:v>
                </c:pt>
                <c:pt idx="868">
                  <c:v>2026</c:v>
                </c:pt>
                <c:pt idx="869">
                  <c:v>2029</c:v>
                </c:pt>
                <c:pt idx="870">
                  <c:v>1867</c:v>
                </c:pt>
                <c:pt idx="871">
                  <c:v>1092</c:v>
                </c:pt>
                <c:pt idx="872">
                  <c:v>1843</c:v>
                </c:pt>
                <c:pt idx="873">
                  <c:v>1126</c:v>
                </c:pt>
                <c:pt idx="874">
                  <c:v>1052</c:v>
                </c:pt>
                <c:pt idx="875">
                  <c:v>1004</c:v>
                </c:pt>
                <c:pt idx="876">
                  <c:v>1474</c:v>
                </c:pt>
                <c:pt idx="877">
                  <c:v>1638</c:v>
                </c:pt>
                <c:pt idx="878">
                  <c:v>975</c:v>
                </c:pt>
                <c:pt idx="879">
                  <c:v>2073</c:v>
                </c:pt>
                <c:pt idx="880">
                  <c:v>2435</c:v>
                </c:pt>
                <c:pt idx="881">
                  <c:v>2348</c:v>
                </c:pt>
                <c:pt idx="882">
                  <c:v>1699</c:v>
                </c:pt>
                <c:pt idx="883">
                  <c:v>1533</c:v>
                </c:pt>
                <c:pt idx="884">
                  <c:v>1599</c:v>
                </c:pt>
                <c:pt idx="885">
                  <c:v>701</c:v>
                </c:pt>
                <c:pt idx="886">
                  <c:v>1746</c:v>
                </c:pt>
                <c:pt idx="887">
                  <c:v>1735</c:v>
                </c:pt>
                <c:pt idx="888">
                  <c:v>2148</c:v>
                </c:pt>
                <c:pt idx="889">
                  <c:v>1827</c:v>
                </c:pt>
                <c:pt idx="890">
                  <c:v>1864</c:v>
                </c:pt>
                <c:pt idx="891">
                  <c:v>1457</c:v>
                </c:pt>
                <c:pt idx="892">
                  <c:v>809</c:v>
                </c:pt>
                <c:pt idx="893">
                  <c:v>1780</c:v>
                </c:pt>
                <c:pt idx="894">
                  <c:v>2017</c:v>
                </c:pt>
                <c:pt idx="895">
                  <c:v>1791</c:v>
                </c:pt>
                <c:pt idx="896">
                  <c:v>1929</c:v>
                </c:pt>
                <c:pt idx="897">
                  <c:v>1732</c:v>
                </c:pt>
                <c:pt idx="898">
                  <c:v>1689</c:v>
                </c:pt>
                <c:pt idx="899">
                  <c:v>370</c:v>
                </c:pt>
                <c:pt idx="900">
                  <c:v>1070</c:v>
                </c:pt>
                <c:pt idx="901">
                  <c:v>1149</c:v>
                </c:pt>
                <c:pt idx="902">
                  <c:v>1009</c:v>
                </c:pt>
                <c:pt idx="903">
                  <c:v>1728</c:v>
                </c:pt>
                <c:pt idx="904">
                  <c:v>1742</c:v>
                </c:pt>
                <c:pt idx="905">
                  <c:v>1797</c:v>
                </c:pt>
                <c:pt idx="906">
                  <c:v>1003</c:v>
                </c:pt>
                <c:pt idx="907">
                  <c:v>739</c:v>
                </c:pt>
                <c:pt idx="908">
                  <c:v>1739</c:v>
                </c:pt>
                <c:pt idx="909">
                  <c:v>2245</c:v>
                </c:pt>
                <c:pt idx="910">
                  <c:v>2090</c:v>
                </c:pt>
                <c:pt idx="911">
                  <c:v>1966</c:v>
                </c:pt>
                <c:pt idx="912">
                  <c:v>746</c:v>
                </c:pt>
                <c:pt idx="913">
                  <c:v>452</c:v>
                </c:pt>
                <c:pt idx="914">
                  <c:v>1385</c:v>
                </c:pt>
                <c:pt idx="915">
                  <c:v>1461</c:v>
                </c:pt>
                <c:pt idx="916">
                  <c:v>1532</c:v>
                </c:pt>
                <c:pt idx="917">
                  <c:v>1719</c:v>
                </c:pt>
                <c:pt idx="918">
                  <c:v>1967</c:v>
                </c:pt>
                <c:pt idx="919">
                  <c:v>1477</c:v>
                </c:pt>
                <c:pt idx="920">
                  <c:v>619</c:v>
                </c:pt>
                <c:pt idx="921">
                  <c:v>1468</c:v>
                </c:pt>
                <c:pt idx="922">
                  <c:v>1894</c:v>
                </c:pt>
                <c:pt idx="923">
                  <c:v>2214</c:v>
                </c:pt>
                <c:pt idx="924">
                  <c:v>2206</c:v>
                </c:pt>
                <c:pt idx="925">
                  <c:v>1959</c:v>
                </c:pt>
                <c:pt idx="926">
                  <c:v>2313</c:v>
                </c:pt>
                <c:pt idx="927">
                  <c:v>1143</c:v>
                </c:pt>
                <c:pt idx="928">
                  <c:v>2282</c:v>
                </c:pt>
                <c:pt idx="929">
                  <c:v>2672</c:v>
                </c:pt>
                <c:pt idx="930">
                  <c:v>2142</c:v>
                </c:pt>
                <c:pt idx="931">
                  <c:v>2110</c:v>
                </c:pt>
                <c:pt idx="932">
                  <c:v>1844</c:v>
                </c:pt>
                <c:pt idx="933">
                  <c:v>2026</c:v>
                </c:pt>
                <c:pt idx="934">
                  <c:v>728</c:v>
                </c:pt>
                <c:pt idx="935">
                  <c:v>1868</c:v>
                </c:pt>
                <c:pt idx="936">
                  <c:v>2059</c:v>
                </c:pt>
                <c:pt idx="937">
                  <c:v>3051</c:v>
                </c:pt>
                <c:pt idx="938">
                  <c:v>2522</c:v>
                </c:pt>
                <c:pt idx="939">
                  <c:v>2853</c:v>
                </c:pt>
                <c:pt idx="940">
                  <c:v>2846</c:v>
                </c:pt>
                <c:pt idx="941">
                  <c:v>1251</c:v>
                </c:pt>
                <c:pt idx="942">
                  <c:v>1740</c:v>
                </c:pt>
                <c:pt idx="943">
                  <c:v>2079</c:v>
                </c:pt>
                <c:pt idx="944">
                  <c:v>3234</c:v>
                </c:pt>
                <c:pt idx="945">
                  <c:v>2353</c:v>
                </c:pt>
                <c:pt idx="946">
                  <c:v>2417</c:v>
                </c:pt>
                <c:pt idx="947">
                  <c:v>1934</c:v>
                </c:pt>
                <c:pt idx="948">
                  <c:v>624</c:v>
                </c:pt>
                <c:pt idx="949">
                  <c:v>644</c:v>
                </c:pt>
                <c:pt idx="950">
                  <c:v>2185</c:v>
                </c:pt>
                <c:pt idx="951">
                  <c:v>2956</c:v>
                </c:pt>
                <c:pt idx="952">
                  <c:v>2294</c:v>
                </c:pt>
                <c:pt idx="953">
                  <c:v>2455</c:v>
                </c:pt>
                <c:pt idx="954">
                  <c:v>1966</c:v>
                </c:pt>
                <c:pt idx="955">
                  <c:v>1165</c:v>
                </c:pt>
                <c:pt idx="956">
                  <c:v>1605</c:v>
                </c:pt>
                <c:pt idx="957">
                  <c:v>350</c:v>
                </c:pt>
                <c:pt idx="958">
                  <c:v>2464</c:v>
                </c:pt>
                <c:pt idx="959">
                  <c:v>1993</c:v>
                </c:pt>
                <c:pt idx="960">
                  <c:v>2286</c:v>
                </c:pt>
                <c:pt idx="961">
                  <c:v>1671</c:v>
                </c:pt>
                <c:pt idx="962">
                  <c:v>1146</c:v>
                </c:pt>
                <c:pt idx="963">
                  <c:v>1789</c:v>
                </c:pt>
                <c:pt idx="964">
                  <c:v>1718</c:v>
                </c:pt>
                <c:pt idx="965">
                  <c:v>2159</c:v>
                </c:pt>
                <c:pt idx="966">
                  <c:v>2175</c:v>
                </c:pt>
                <c:pt idx="967">
                  <c:v>1834</c:v>
                </c:pt>
                <c:pt idx="968">
                  <c:v>1822</c:v>
                </c:pt>
                <c:pt idx="969">
                  <c:v>844</c:v>
                </c:pt>
                <c:pt idx="970">
                  <c:v>1834</c:v>
                </c:pt>
                <c:pt idx="971">
                  <c:v>2009</c:v>
                </c:pt>
                <c:pt idx="972">
                  <c:v>2601</c:v>
                </c:pt>
                <c:pt idx="973">
                  <c:v>1431</c:v>
                </c:pt>
                <c:pt idx="974">
                  <c:v>1275</c:v>
                </c:pt>
                <c:pt idx="975">
                  <c:v>618</c:v>
                </c:pt>
                <c:pt idx="976">
                  <c:v>497</c:v>
                </c:pt>
                <c:pt idx="977">
                  <c:v>1663</c:v>
                </c:pt>
                <c:pt idx="978">
                  <c:v>1585</c:v>
                </c:pt>
                <c:pt idx="979">
                  <c:v>2231</c:v>
                </c:pt>
                <c:pt idx="980">
                  <c:v>1971</c:v>
                </c:pt>
                <c:pt idx="981">
                  <c:v>1583</c:v>
                </c:pt>
                <c:pt idx="982">
                  <c:v>1604</c:v>
                </c:pt>
                <c:pt idx="983">
                  <c:v>1056</c:v>
                </c:pt>
                <c:pt idx="984">
                  <c:v>2109</c:v>
                </c:pt>
                <c:pt idx="985">
                  <c:v>1995</c:v>
                </c:pt>
                <c:pt idx="986">
                  <c:v>2399</c:v>
                </c:pt>
                <c:pt idx="987">
                  <c:v>1209</c:v>
                </c:pt>
                <c:pt idx="988">
                  <c:v>1686</c:v>
                </c:pt>
                <c:pt idx="989">
                  <c:v>1873</c:v>
                </c:pt>
                <c:pt idx="990">
                  <c:v>977</c:v>
                </c:pt>
                <c:pt idx="991">
                  <c:v>2294</c:v>
                </c:pt>
                <c:pt idx="992">
                  <c:v>2575</c:v>
                </c:pt>
                <c:pt idx="993">
                  <c:v>4129</c:v>
                </c:pt>
                <c:pt idx="994">
                  <c:v>2599</c:v>
                </c:pt>
                <c:pt idx="995">
                  <c:v>2018</c:v>
                </c:pt>
                <c:pt idx="996">
                  <c:v>2042</c:v>
                </c:pt>
                <c:pt idx="997">
                  <c:v>1258</c:v>
                </c:pt>
                <c:pt idx="998">
                  <c:v>2195</c:v>
                </c:pt>
                <c:pt idx="999">
                  <c:v>2540</c:v>
                </c:pt>
                <c:pt idx="1000">
                  <c:v>3676</c:v>
                </c:pt>
                <c:pt idx="1001">
                  <c:v>2357</c:v>
                </c:pt>
                <c:pt idx="1002">
                  <c:v>1303</c:v>
                </c:pt>
                <c:pt idx="1003">
                  <c:v>693</c:v>
                </c:pt>
                <c:pt idx="1004">
                  <c:v>385</c:v>
                </c:pt>
                <c:pt idx="1005">
                  <c:v>583</c:v>
                </c:pt>
                <c:pt idx="1006">
                  <c:v>1193</c:v>
                </c:pt>
                <c:pt idx="1007">
                  <c:v>1708</c:v>
                </c:pt>
                <c:pt idx="1008">
                  <c:v>1002</c:v>
                </c:pt>
                <c:pt idx="1009">
                  <c:v>1688</c:v>
                </c:pt>
                <c:pt idx="1010">
                  <c:v>2263</c:v>
                </c:pt>
                <c:pt idx="1011">
                  <c:v>866</c:v>
                </c:pt>
                <c:pt idx="1012">
                  <c:v>2528</c:v>
                </c:pt>
                <c:pt idx="1013">
                  <c:v>2734</c:v>
                </c:pt>
                <c:pt idx="1014">
                  <c:v>3624</c:v>
                </c:pt>
                <c:pt idx="1015">
                  <c:v>2877</c:v>
                </c:pt>
                <c:pt idx="1016">
                  <c:v>3027</c:v>
                </c:pt>
                <c:pt idx="1017">
                  <c:v>2818</c:v>
                </c:pt>
                <c:pt idx="1018">
                  <c:v>1433</c:v>
                </c:pt>
                <c:pt idx="1019">
                  <c:v>2252</c:v>
                </c:pt>
                <c:pt idx="1020">
                  <c:v>2398</c:v>
                </c:pt>
                <c:pt idx="1021">
                  <c:v>1307</c:v>
                </c:pt>
                <c:pt idx="1022">
                  <c:v>251</c:v>
                </c:pt>
                <c:pt idx="1023">
                  <c:v>392</c:v>
                </c:pt>
                <c:pt idx="1024">
                  <c:v>695</c:v>
                </c:pt>
                <c:pt idx="1025">
                  <c:v>559</c:v>
                </c:pt>
                <c:pt idx="1026">
                  <c:v>2047</c:v>
                </c:pt>
                <c:pt idx="1027">
                  <c:v>2736</c:v>
                </c:pt>
                <c:pt idx="1028">
                  <c:v>3348</c:v>
                </c:pt>
                <c:pt idx="1029">
                  <c:v>2481</c:v>
                </c:pt>
                <c:pt idx="1030">
                  <c:v>2859</c:v>
                </c:pt>
                <c:pt idx="1031">
                  <c:v>2526</c:v>
                </c:pt>
                <c:pt idx="1032">
                  <c:v>1550</c:v>
                </c:pt>
                <c:pt idx="1033">
                  <c:v>2537</c:v>
                </c:pt>
                <c:pt idx="1034">
                  <c:v>2847</c:v>
                </c:pt>
                <c:pt idx="1035">
                  <c:v>2336</c:v>
                </c:pt>
                <c:pt idx="1036">
                  <c:v>2262</c:v>
                </c:pt>
                <c:pt idx="1037">
                  <c:v>2517</c:v>
                </c:pt>
                <c:pt idx="1038">
                  <c:v>1611</c:v>
                </c:pt>
                <c:pt idx="1039">
                  <c:v>1235</c:v>
                </c:pt>
                <c:pt idx="1040">
                  <c:v>2059</c:v>
                </c:pt>
                <c:pt idx="1041">
                  <c:v>2550</c:v>
                </c:pt>
                <c:pt idx="1042">
                  <c:v>2904</c:v>
                </c:pt>
                <c:pt idx="1043">
                  <c:v>2876</c:v>
                </c:pt>
                <c:pt idx="1044">
                  <c:v>2511</c:v>
                </c:pt>
                <c:pt idx="1045">
                  <c:v>2050</c:v>
                </c:pt>
                <c:pt idx="1046">
                  <c:v>1243</c:v>
                </c:pt>
                <c:pt idx="1047">
                  <c:v>2137</c:v>
                </c:pt>
                <c:pt idx="1048">
                  <c:v>2446</c:v>
                </c:pt>
                <c:pt idx="1049">
                  <c:v>2339</c:v>
                </c:pt>
                <c:pt idx="1050">
                  <c:v>2273</c:v>
                </c:pt>
                <c:pt idx="1051">
                  <c:v>2428</c:v>
                </c:pt>
                <c:pt idx="1052">
                  <c:v>1917</c:v>
                </c:pt>
                <c:pt idx="1053">
                  <c:v>1204</c:v>
                </c:pt>
                <c:pt idx="1054">
                  <c:v>1569</c:v>
                </c:pt>
                <c:pt idx="1055">
                  <c:v>2224</c:v>
                </c:pt>
                <c:pt idx="1056">
                  <c:v>2936</c:v>
                </c:pt>
                <c:pt idx="1057">
                  <c:v>1716</c:v>
                </c:pt>
                <c:pt idx="1058">
                  <c:v>1550</c:v>
                </c:pt>
                <c:pt idx="1059">
                  <c:v>1576</c:v>
                </c:pt>
                <c:pt idx="1060">
                  <c:v>1306</c:v>
                </c:pt>
                <c:pt idx="1061">
                  <c:v>1865</c:v>
                </c:pt>
                <c:pt idx="1062">
                  <c:v>2704</c:v>
                </c:pt>
                <c:pt idx="1063">
                  <c:v>5672</c:v>
                </c:pt>
                <c:pt idx="1064">
                  <c:v>2165</c:v>
                </c:pt>
                <c:pt idx="1065">
                  <c:v>1749</c:v>
                </c:pt>
                <c:pt idx="1066">
                  <c:v>1460</c:v>
                </c:pt>
                <c:pt idx="1067">
                  <c:v>1088</c:v>
                </c:pt>
                <c:pt idx="1068">
                  <c:v>1598</c:v>
                </c:pt>
                <c:pt idx="1069">
                  <c:v>2302</c:v>
                </c:pt>
                <c:pt idx="1070">
                  <c:v>10751</c:v>
                </c:pt>
                <c:pt idx="1071">
                  <c:v>2084</c:v>
                </c:pt>
                <c:pt idx="1072">
                  <c:v>1748</c:v>
                </c:pt>
                <c:pt idx="1073">
                  <c:v>1373</c:v>
                </c:pt>
                <c:pt idx="1074">
                  <c:v>863</c:v>
                </c:pt>
                <c:pt idx="1075">
                  <c:v>1720</c:v>
                </c:pt>
                <c:pt idx="1076">
                  <c:v>2340</c:v>
                </c:pt>
                <c:pt idx="1077">
                  <c:v>9647</c:v>
                </c:pt>
                <c:pt idx="1078">
                  <c:v>1984</c:v>
                </c:pt>
                <c:pt idx="1079">
                  <c:v>2244</c:v>
                </c:pt>
                <c:pt idx="1080">
                  <c:v>1565</c:v>
                </c:pt>
                <c:pt idx="1081">
                  <c:v>944</c:v>
                </c:pt>
                <c:pt idx="1082">
                  <c:v>1591</c:v>
                </c:pt>
                <c:pt idx="1083">
                  <c:v>1766</c:v>
                </c:pt>
                <c:pt idx="1084">
                  <c:v>10795</c:v>
                </c:pt>
                <c:pt idx="1085">
                  <c:v>2302</c:v>
                </c:pt>
                <c:pt idx="1086">
                  <c:v>1828</c:v>
                </c:pt>
                <c:pt idx="1087">
                  <c:v>1521</c:v>
                </c:pt>
                <c:pt idx="1088">
                  <c:v>709</c:v>
                </c:pt>
                <c:pt idx="1089">
                  <c:v>763</c:v>
                </c:pt>
                <c:pt idx="1090">
                  <c:v>1605</c:v>
                </c:pt>
                <c:pt idx="1091">
                  <c:v>10447</c:v>
                </c:pt>
                <c:pt idx="1092">
                  <c:v>1807</c:v>
                </c:pt>
                <c:pt idx="1093">
                  <c:v>2006</c:v>
                </c:pt>
                <c:pt idx="1094">
                  <c:v>1487</c:v>
                </c:pt>
                <c:pt idx="1095">
                  <c:v>760</c:v>
                </c:pt>
                <c:pt idx="1096">
                  <c:v>853</c:v>
                </c:pt>
                <c:pt idx="1097">
                  <c:v>1630</c:v>
                </c:pt>
                <c:pt idx="1098">
                  <c:v>9851</c:v>
                </c:pt>
                <c:pt idx="1099">
                  <c:v>2267</c:v>
                </c:pt>
                <c:pt idx="1100">
                  <c:v>2175</c:v>
                </c:pt>
                <c:pt idx="1101">
                  <c:v>1807</c:v>
                </c:pt>
                <c:pt idx="1102">
                  <c:v>1418</c:v>
                </c:pt>
                <c:pt idx="1103">
                  <c:v>1900</c:v>
                </c:pt>
                <c:pt idx="1104">
                  <c:v>2192</c:v>
                </c:pt>
                <c:pt idx="1105">
                  <c:v>11570</c:v>
                </c:pt>
                <c:pt idx="1106">
                  <c:v>2339</c:v>
                </c:pt>
                <c:pt idx="1107">
                  <c:v>2297</c:v>
                </c:pt>
                <c:pt idx="1108">
                  <c:v>1846</c:v>
                </c:pt>
                <c:pt idx="1109">
                  <c:v>1564</c:v>
                </c:pt>
                <c:pt idx="1110">
                  <c:v>2202</c:v>
                </c:pt>
                <c:pt idx="1111">
                  <c:v>2557</c:v>
                </c:pt>
                <c:pt idx="1112">
                  <c:v>10854</c:v>
                </c:pt>
                <c:pt idx="1113">
                  <c:v>2468</c:v>
                </c:pt>
                <c:pt idx="1114">
                  <c:v>2466</c:v>
                </c:pt>
                <c:pt idx="1115">
                  <c:v>2654</c:v>
                </c:pt>
                <c:pt idx="1116">
                  <c:v>1711</c:v>
                </c:pt>
                <c:pt idx="1117">
                  <c:v>1809</c:v>
                </c:pt>
                <c:pt idx="1118">
                  <c:v>1637</c:v>
                </c:pt>
                <c:pt idx="1119">
                  <c:v>11069</c:v>
                </c:pt>
                <c:pt idx="1120">
                  <c:v>1847</c:v>
                </c:pt>
                <c:pt idx="1121">
                  <c:v>910</c:v>
                </c:pt>
                <c:pt idx="1122">
                  <c:v>1482</c:v>
                </c:pt>
                <c:pt idx="1123">
                  <c:v>986</c:v>
                </c:pt>
                <c:pt idx="1124">
                  <c:v>1523</c:v>
                </c:pt>
                <c:pt idx="1125">
                  <c:v>1806</c:v>
                </c:pt>
                <c:pt idx="1126">
                  <c:v>10327</c:v>
                </c:pt>
                <c:pt idx="1127">
                  <c:v>2079</c:v>
                </c:pt>
                <c:pt idx="1128">
                  <c:v>1983</c:v>
                </c:pt>
                <c:pt idx="1129">
                  <c:v>1795</c:v>
                </c:pt>
                <c:pt idx="1130">
                  <c:v>721</c:v>
                </c:pt>
                <c:pt idx="1131">
                  <c:v>1775</c:v>
                </c:pt>
                <c:pt idx="1132">
                  <c:v>1989</c:v>
                </c:pt>
                <c:pt idx="1133">
                  <c:v>10484</c:v>
                </c:pt>
                <c:pt idx="1134">
                  <c:v>1987</c:v>
                </c:pt>
                <c:pt idx="1135">
                  <c:v>1774</c:v>
                </c:pt>
                <c:pt idx="1136">
                  <c:v>1737</c:v>
                </c:pt>
                <c:pt idx="1137">
                  <c:v>1026</c:v>
                </c:pt>
                <c:pt idx="1138">
                  <c:v>1466</c:v>
                </c:pt>
                <c:pt idx="1139">
                  <c:v>1855</c:v>
                </c:pt>
                <c:pt idx="1140">
                  <c:v>2104</c:v>
                </c:pt>
                <c:pt idx="1141">
                  <c:v>10152</c:v>
                </c:pt>
                <c:pt idx="1142">
                  <c:v>1847</c:v>
                </c:pt>
                <c:pt idx="1143">
                  <c:v>1442</c:v>
                </c:pt>
                <c:pt idx="1144">
                  <c:v>1050</c:v>
                </c:pt>
                <c:pt idx="1145">
                  <c:v>1222</c:v>
                </c:pt>
                <c:pt idx="1146">
                  <c:v>1971</c:v>
                </c:pt>
                <c:pt idx="1147">
                  <c:v>8469</c:v>
                </c:pt>
                <c:pt idx="1148">
                  <c:v>1939</c:v>
                </c:pt>
                <c:pt idx="1149">
                  <c:v>2114</c:v>
                </c:pt>
                <c:pt idx="1150">
                  <c:v>1973</c:v>
                </c:pt>
                <c:pt idx="1151">
                  <c:v>1360</c:v>
                </c:pt>
                <c:pt idx="1152">
                  <c:v>2274</c:v>
                </c:pt>
                <c:pt idx="1153">
                  <c:v>2188</c:v>
                </c:pt>
                <c:pt idx="1154">
                  <c:v>9391</c:v>
                </c:pt>
                <c:pt idx="1155">
                  <c:v>1066</c:v>
                </c:pt>
                <c:pt idx="1156">
                  <c:v>435</c:v>
                </c:pt>
                <c:pt idx="1157">
                  <c:v>963</c:v>
                </c:pt>
                <c:pt idx="1158">
                  <c:v>1077</c:v>
                </c:pt>
                <c:pt idx="1159">
                  <c:v>2169</c:v>
                </c:pt>
                <c:pt idx="1160">
                  <c:v>3228</c:v>
                </c:pt>
                <c:pt idx="1161">
                  <c:v>12037</c:v>
                </c:pt>
                <c:pt idx="1162">
                  <c:v>3271</c:v>
                </c:pt>
                <c:pt idx="1163">
                  <c:v>3511</c:v>
                </c:pt>
                <c:pt idx="1164">
                  <c:v>2796</c:v>
                </c:pt>
                <c:pt idx="1165">
                  <c:v>1705</c:v>
                </c:pt>
                <c:pt idx="1166">
                  <c:v>3289</c:v>
                </c:pt>
                <c:pt idx="1167">
                  <c:v>3582</c:v>
                </c:pt>
                <c:pt idx="1168">
                  <c:v>11988</c:v>
                </c:pt>
                <c:pt idx="1169">
                  <c:v>3619</c:v>
                </c:pt>
                <c:pt idx="1170">
                  <c:v>3645</c:v>
                </c:pt>
                <c:pt idx="1171">
                  <c:v>3462</c:v>
                </c:pt>
                <c:pt idx="1172">
                  <c:v>1566</c:v>
                </c:pt>
                <c:pt idx="1173">
                  <c:v>3473</c:v>
                </c:pt>
                <c:pt idx="1174">
                  <c:v>3660</c:v>
                </c:pt>
                <c:pt idx="1175">
                  <c:v>11305</c:v>
                </c:pt>
                <c:pt idx="1176">
                  <c:v>3721</c:v>
                </c:pt>
                <c:pt idx="1177">
                  <c:v>3619</c:v>
                </c:pt>
                <c:pt idx="1178">
                  <c:v>2909</c:v>
                </c:pt>
                <c:pt idx="1179">
                  <c:v>1579</c:v>
                </c:pt>
                <c:pt idx="1180">
                  <c:v>3419</c:v>
                </c:pt>
                <c:pt idx="1181">
                  <c:v>3593</c:v>
                </c:pt>
                <c:pt idx="1182">
                  <c:v>12314</c:v>
                </c:pt>
                <c:pt idx="1183">
                  <c:v>3591</c:v>
                </c:pt>
                <c:pt idx="1184">
                  <c:v>3286</c:v>
                </c:pt>
                <c:pt idx="1185">
                  <c:v>2724</c:v>
                </c:pt>
                <c:pt idx="1186">
                  <c:v>1527</c:v>
                </c:pt>
                <c:pt idx="1187">
                  <c:v>2485</c:v>
                </c:pt>
                <c:pt idx="1188">
                  <c:v>3681</c:v>
                </c:pt>
                <c:pt idx="1189">
                  <c:v>14138</c:v>
                </c:pt>
                <c:pt idx="1190">
                  <c:v>4156</c:v>
                </c:pt>
                <c:pt idx="1191">
                  <c:v>4007</c:v>
                </c:pt>
                <c:pt idx="1192">
                  <c:v>4196</c:v>
                </c:pt>
                <c:pt idx="1193">
                  <c:v>2278</c:v>
                </c:pt>
                <c:pt idx="1194">
                  <c:v>4101</c:v>
                </c:pt>
                <c:pt idx="1195">
                  <c:v>3920</c:v>
                </c:pt>
                <c:pt idx="1196">
                  <c:v>12979</c:v>
                </c:pt>
                <c:pt idx="1197">
                  <c:v>3808</c:v>
                </c:pt>
                <c:pt idx="1198">
                  <c:v>3916</c:v>
                </c:pt>
                <c:pt idx="1199">
                  <c:v>3629</c:v>
                </c:pt>
                <c:pt idx="1200">
                  <c:v>1912</c:v>
                </c:pt>
                <c:pt idx="1201">
                  <c:v>4148</c:v>
                </c:pt>
                <c:pt idx="1202">
                  <c:v>4064</c:v>
                </c:pt>
                <c:pt idx="1203">
                  <c:v>13605</c:v>
                </c:pt>
                <c:pt idx="1204">
                  <c:v>4821</c:v>
                </c:pt>
                <c:pt idx="1205">
                  <c:v>4728</c:v>
                </c:pt>
                <c:pt idx="1206">
                  <c:v>4171</c:v>
                </c:pt>
                <c:pt idx="1207">
                  <c:v>2778</c:v>
                </c:pt>
                <c:pt idx="1208">
                  <c:v>5553</c:v>
                </c:pt>
                <c:pt idx="1209">
                  <c:v>6077</c:v>
                </c:pt>
                <c:pt idx="1210">
                  <c:v>12012</c:v>
                </c:pt>
                <c:pt idx="1211">
                  <c:v>4978</c:v>
                </c:pt>
                <c:pt idx="1212">
                  <c:v>5175</c:v>
                </c:pt>
                <c:pt idx="1213">
                  <c:v>14942</c:v>
                </c:pt>
                <c:pt idx="1214">
                  <c:v>2834</c:v>
                </c:pt>
                <c:pt idx="1215">
                  <c:v>4956</c:v>
                </c:pt>
                <c:pt idx="1216">
                  <c:v>6198</c:v>
                </c:pt>
                <c:pt idx="1217">
                  <c:v>13571</c:v>
                </c:pt>
                <c:pt idx="1218">
                  <c:v>8638</c:v>
                </c:pt>
                <c:pt idx="1219">
                  <c:v>9357</c:v>
                </c:pt>
                <c:pt idx="1220">
                  <c:v>8022</c:v>
                </c:pt>
                <c:pt idx="1221">
                  <c:v>3007</c:v>
                </c:pt>
                <c:pt idx="1222">
                  <c:v>9907</c:v>
                </c:pt>
                <c:pt idx="1223">
                  <c:v>12419</c:v>
                </c:pt>
                <c:pt idx="1224">
                  <c:v>17749</c:v>
                </c:pt>
                <c:pt idx="1225">
                  <c:v>10950</c:v>
                </c:pt>
                <c:pt idx="1226">
                  <c:v>11108</c:v>
                </c:pt>
                <c:pt idx="1227">
                  <c:v>10300</c:v>
                </c:pt>
                <c:pt idx="1228">
                  <c:v>4583</c:v>
                </c:pt>
                <c:pt idx="1229">
                  <c:v>9684</c:v>
                </c:pt>
                <c:pt idx="1230">
                  <c:v>10286</c:v>
                </c:pt>
                <c:pt idx="1231">
                  <c:v>16124</c:v>
                </c:pt>
                <c:pt idx="1232">
                  <c:v>8959</c:v>
                </c:pt>
                <c:pt idx="1233">
                  <c:v>8626</c:v>
                </c:pt>
                <c:pt idx="1234">
                  <c:v>7742</c:v>
                </c:pt>
                <c:pt idx="1235">
                  <c:v>5163</c:v>
                </c:pt>
                <c:pt idx="1236">
                  <c:v>9066</c:v>
                </c:pt>
                <c:pt idx="1237">
                  <c:v>16985</c:v>
                </c:pt>
                <c:pt idx="1238">
                  <c:v>15858</c:v>
                </c:pt>
                <c:pt idx="1239">
                  <c:v>15651</c:v>
                </c:pt>
                <c:pt idx="1240">
                  <c:v>7885</c:v>
                </c:pt>
                <c:pt idx="1241">
                  <c:v>7047</c:v>
                </c:pt>
                <c:pt idx="1242">
                  <c:v>4261</c:v>
                </c:pt>
                <c:pt idx="1243">
                  <c:v>12837</c:v>
                </c:pt>
                <c:pt idx="1244">
                  <c:v>8953</c:v>
                </c:pt>
                <c:pt idx="1245">
                  <c:v>15915</c:v>
                </c:pt>
                <c:pt idx="1246">
                  <c:v>14882</c:v>
                </c:pt>
                <c:pt idx="1247">
                  <c:v>8033</c:v>
                </c:pt>
                <c:pt idx="1248">
                  <c:v>8209</c:v>
                </c:pt>
                <c:pt idx="1249">
                  <c:v>5030</c:v>
                </c:pt>
                <c:pt idx="1250">
                  <c:v>8532</c:v>
                </c:pt>
                <c:pt idx="1251">
                  <c:v>9533</c:v>
                </c:pt>
                <c:pt idx="1252">
                  <c:v>16923</c:v>
                </c:pt>
                <c:pt idx="1253">
                  <c:v>18652</c:v>
                </c:pt>
                <c:pt idx="1254">
                  <c:v>9940</c:v>
                </c:pt>
                <c:pt idx="1255">
                  <c:v>8746</c:v>
                </c:pt>
                <c:pt idx="1256">
                  <c:v>6725</c:v>
                </c:pt>
                <c:pt idx="1257">
                  <c:v>10718</c:v>
                </c:pt>
                <c:pt idx="1258">
                  <c:v>18897</c:v>
                </c:pt>
                <c:pt idx="1259">
                  <c:v>17223</c:v>
                </c:pt>
                <c:pt idx="1260">
                  <c:v>10945</c:v>
                </c:pt>
                <c:pt idx="1261">
                  <c:v>11869</c:v>
                </c:pt>
                <c:pt idx="1262">
                  <c:v>7670</c:v>
                </c:pt>
                <c:pt idx="1263">
                  <c:v>5822</c:v>
                </c:pt>
                <c:pt idx="1264">
                  <c:v>10308</c:v>
                </c:pt>
                <c:pt idx="1265">
                  <c:v>18124</c:v>
                </c:pt>
                <c:pt idx="1266">
                  <c:v>16755</c:v>
                </c:pt>
                <c:pt idx="1267">
                  <c:v>10467</c:v>
                </c:pt>
                <c:pt idx="1268">
                  <c:v>12173</c:v>
                </c:pt>
                <c:pt idx="1269">
                  <c:v>10717</c:v>
                </c:pt>
                <c:pt idx="1270">
                  <c:v>6148</c:v>
                </c:pt>
                <c:pt idx="1271">
                  <c:v>10235</c:v>
                </c:pt>
                <c:pt idx="1272">
                  <c:v>21973</c:v>
                </c:pt>
                <c:pt idx="1273">
                  <c:v>19070</c:v>
                </c:pt>
                <c:pt idx="1274">
                  <c:v>14284</c:v>
                </c:pt>
                <c:pt idx="1275">
                  <c:v>13879</c:v>
                </c:pt>
                <c:pt idx="1276">
                  <c:v>12276</c:v>
                </c:pt>
                <c:pt idx="1277">
                  <c:v>5517</c:v>
                </c:pt>
                <c:pt idx="1278">
                  <c:v>11857</c:v>
                </c:pt>
                <c:pt idx="1279">
                  <c:v>12508</c:v>
                </c:pt>
                <c:pt idx="1280">
                  <c:v>22496</c:v>
                </c:pt>
                <c:pt idx="1281">
                  <c:v>12604</c:v>
                </c:pt>
                <c:pt idx="1282">
                  <c:v>12529</c:v>
                </c:pt>
                <c:pt idx="1283">
                  <c:v>12141</c:v>
                </c:pt>
                <c:pt idx="1284">
                  <c:v>5956</c:v>
                </c:pt>
                <c:pt idx="1285">
                  <c:v>10548</c:v>
                </c:pt>
                <c:pt idx="1286">
                  <c:v>12344</c:v>
                </c:pt>
                <c:pt idx="1287">
                  <c:v>19905</c:v>
                </c:pt>
                <c:pt idx="1288">
                  <c:v>11278</c:v>
                </c:pt>
                <c:pt idx="1289">
                  <c:v>9546</c:v>
                </c:pt>
                <c:pt idx="1290">
                  <c:v>9313</c:v>
                </c:pt>
                <c:pt idx="1291">
                  <c:v>6407</c:v>
                </c:pt>
                <c:pt idx="1292">
                  <c:v>10575</c:v>
                </c:pt>
                <c:pt idx="1293">
                  <c:v>13152</c:v>
                </c:pt>
                <c:pt idx="1294">
                  <c:v>20270</c:v>
                </c:pt>
                <c:pt idx="1295">
                  <c:v>11892</c:v>
                </c:pt>
                <c:pt idx="1296">
                  <c:v>14283</c:v>
                </c:pt>
                <c:pt idx="1297">
                  <c:v>10004</c:v>
                </c:pt>
                <c:pt idx="1298">
                  <c:v>6547</c:v>
                </c:pt>
                <c:pt idx="1299">
                  <c:v>14254</c:v>
                </c:pt>
                <c:pt idx="1300">
                  <c:v>13636</c:v>
                </c:pt>
                <c:pt idx="1301">
                  <c:v>23267</c:v>
                </c:pt>
                <c:pt idx="1302">
                  <c:v>11428</c:v>
                </c:pt>
                <c:pt idx="1303">
                  <c:v>12741</c:v>
                </c:pt>
                <c:pt idx="1304">
                  <c:v>13333</c:v>
                </c:pt>
                <c:pt idx="1305">
                  <c:v>11085</c:v>
                </c:pt>
                <c:pt idx="1306">
                  <c:v>15344</c:v>
                </c:pt>
                <c:pt idx="1307">
                  <c:v>16519</c:v>
                </c:pt>
                <c:pt idx="1308">
                  <c:v>23240</c:v>
                </c:pt>
                <c:pt idx="1309">
                  <c:v>14939</c:v>
                </c:pt>
                <c:pt idx="1310">
                  <c:v>14681</c:v>
                </c:pt>
                <c:pt idx="1311">
                  <c:v>15329</c:v>
                </c:pt>
                <c:pt idx="1312">
                  <c:v>11338</c:v>
                </c:pt>
                <c:pt idx="1313">
                  <c:v>13851</c:v>
                </c:pt>
                <c:pt idx="1314">
                  <c:v>13778</c:v>
                </c:pt>
                <c:pt idx="1315">
                  <c:v>20399</c:v>
                </c:pt>
                <c:pt idx="1316">
                  <c:v>12263</c:v>
                </c:pt>
                <c:pt idx="1317">
                  <c:v>13924</c:v>
                </c:pt>
                <c:pt idx="1318">
                  <c:v>12243</c:v>
                </c:pt>
                <c:pt idx="1319">
                  <c:v>9302</c:v>
                </c:pt>
                <c:pt idx="1320">
                  <c:v>11768</c:v>
                </c:pt>
                <c:pt idx="1321">
                  <c:v>13118</c:v>
                </c:pt>
                <c:pt idx="1322">
                  <c:v>6712</c:v>
                </c:pt>
                <c:pt idx="1323">
                  <c:v>15459</c:v>
                </c:pt>
                <c:pt idx="1324">
                  <c:v>12762</c:v>
                </c:pt>
                <c:pt idx="1325">
                  <c:v>13831</c:v>
                </c:pt>
                <c:pt idx="1326">
                  <c:v>10339</c:v>
                </c:pt>
                <c:pt idx="1327">
                  <c:v>13106</c:v>
                </c:pt>
                <c:pt idx="1328">
                  <c:v>15220</c:v>
                </c:pt>
                <c:pt idx="1329">
                  <c:v>12374</c:v>
                </c:pt>
                <c:pt idx="1330">
                  <c:v>16410</c:v>
                </c:pt>
                <c:pt idx="1331">
                  <c:v>15814</c:v>
                </c:pt>
                <c:pt idx="1332">
                  <c:v>12923</c:v>
                </c:pt>
                <c:pt idx="1333">
                  <c:v>6847</c:v>
                </c:pt>
                <c:pt idx="1334">
                  <c:v>13274</c:v>
                </c:pt>
                <c:pt idx="1335">
                  <c:v>12064</c:v>
                </c:pt>
                <c:pt idx="1336">
                  <c:v>22980</c:v>
                </c:pt>
                <c:pt idx="1337">
                  <c:v>17272</c:v>
                </c:pt>
                <c:pt idx="1338">
                  <c:v>15963</c:v>
                </c:pt>
                <c:pt idx="1339">
                  <c:v>14948</c:v>
                </c:pt>
                <c:pt idx="1340">
                  <c:v>10639</c:v>
                </c:pt>
                <c:pt idx="1341">
                  <c:v>13508</c:v>
                </c:pt>
                <c:pt idx="1342">
                  <c:v>15921</c:v>
                </c:pt>
                <c:pt idx="1343">
                  <c:v>22431</c:v>
                </c:pt>
                <c:pt idx="1344">
                  <c:v>16870</c:v>
                </c:pt>
                <c:pt idx="1345">
                  <c:v>19387</c:v>
                </c:pt>
                <c:pt idx="1346">
                  <c:v>14792</c:v>
                </c:pt>
                <c:pt idx="1347">
                  <c:v>10989</c:v>
                </c:pt>
                <c:pt idx="1348">
                  <c:v>16570</c:v>
                </c:pt>
                <c:pt idx="1349">
                  <c:v>19675</c:v>
                </c:pt>
                <c:pt idx="1350">
                  <c:v>27971</c:v>
                </c:pt>
                <c:pt idx="1351">
                  <c:v>19211</c:v>
                </c:pt>
                <c:pt idx="1352">
                  <c:v>20097</c:v>
                </c:pt>
                <c:pt idx="1353">
                  <c:v>16341</c:v>
                </c:pt>
                <c:pt idx="1354">
                  <c:v>10943</c:v>
                </c:pt>
                <c:pt idx="1355">
                  <c:v>17394</c:v>
                </c:pt>
                <c:pt idx="1356">
                  <c:v>18435</c:v>
                </c:pt>
                <c:pt idx="1357">
                  <c:v>27759</c:v>
                </c:pt>
                <c:pt idx="1358">
                  <c:v>18037</c:v>
                </c:pt>
                <c:pt idx="1359">
                  <c:v>16308</c:v>
                </c:pt>
                <c:pt idx="1360">
                  <c:v>14452</c:v>
                </c:pt>
                <c:pt idx="1361">
                  <c:v>10116</c:v>
                </c:pt>
                <c:pt idx="1362">
                  <c:v>13058</c:v>
                </c:pt>
                <c:pt idx="1363">
                  <c:v>20380</c:v>
                </c:pt>
                <c:pt idx="1364">
                  <c:v>29367</c:v>
                </c:pt>
                <c:pt idx="1365">
                  <c:v>18812</c:v>
                </c:pt>
                <c:pt idx="1366">
                  <c:v>19002</c:v>
                </c:pt>
                <c:pt idx="1367">
                  <c:v>18273</c:v>
                </c:pt>
                <c:pt idx="1368">
                  <c:v>11246</c:v>
                </c:pt>
                <c:pt idx="1369">
                  <c:v>19221</c:v>
                </c:pt>
                <c:pt idx="1370">
                  <c:v>15570</c:v>
                </c:pt>
                <c:pt idx="1371">
                  <c:v>28358</c:v>
                </c:pt>
                <c:pt idx="1372">
                  <c:v>19914</c:v>
                </c:pt>
                <c:pt idx="1373">
                  <c:v>19798</c:v>
                </c:pt>
                <c:pt idx="1374">
                  <c:v>18840</c:v>
                </c:pt>
                <c:pt idx="1375">
                  <c:v>12342</c:v>
                </c:pt>
                <c:pt idx="1376">
                  <c:v>17374</c:v>
                </c:pt>
                <c:pt idx="1377">
                  <c:v>17207</c:v>
                </c:pt>
                <c:pt idx="1378">
                  <c:v>25110</c:v>
                </c:pt>
                <c:pt idx="1379">
                  <c:v>18109</c:v>
                </c:pt>
                <c:pt idx="1380">
                  <c:v>18720</c:v>
                </c:pt>
                <c:pt idx="1381">
                  <c:v>17653</c:v>
                </c:pt>
                <c:pt idx="1382">
                  <c:v>13474</c:v>
                </c:pt>
                <c:pt idx="1383">
                  <c:v>17912</c:v>
                </c:pt>
                <c:pt idx="1384">
                  <c:v>20024</c:v>
                </c:pt>
                <c:pt idx="1385">
                  <c:v>27182</c:v>
                </c:pt>
                <c:pt idx="1386">
                  <c:v>16536</c:v>
                </c:pt>
                <c:pt idx="1387">
                  <c:v>13162</c:v>
                </c:pt>
                <c:pt idx="1388">
                  <c:v>16545</c:v>
                </c:pt>
                <c:pt idx="1389">
                  <c:v>12360</c:v>
                </c:pt>
                <c:pt idx="1390">
                  <c:v>17806</c:v>
                </c:pt>
                <c:pt idx="1391">
                  <c:v>19793</c:v>
                </c:pt>
                <c:pt idx="1392">
                  <c:v>28234</c:v>
                </c:pt>
                <c:pt idx="1393">
                  <c:v>18367</c:v>
                </c:pt>
                <c:pt idx="1394">
                  <c:v>19540</c:v>
                </c:pt>
                <c:pt idx="1395">
                  <c:v>16479</c:v>
                </c:pt>
                <c:pt idx="1396">
                  <c:v>12458</c:v>
                </c:pt>
                <c:pt idx="1397">
                  <c:v>19127</c:v>
                </c:pt>
                <c:pt idx="1398">
                  <c:v>20613</c:v>
                </c:pt>
                <c:pt idx="1399">
                  <c:v>28306</c:v>
                </c:pt>
                <c:pt idx="1400">
                  <c:v>22318</c:v>
                </c:pt>
                <c:pt idx="1401">
                  <c:v>23218</c:v>
                </c:pt>
                <c:pt idx="1402">
                  <c:v>21642</c:v>
                </c:pt>
                <c:pt idx="1403">
                  <c:v>16866</c:v>
                </c:pt>
                <c:pt idx="1404">
                  <c:v>19592</c:v>
                </c:pt>
                <c:pt idx="1405">
                  <c:v>15627</c:v>
                </c:pt>
                <c:pt idx="1406">
                  <c:v>5902</c:v>
                </c:pt>
                <c:pt idx="1407">
                  <c:v>10160</c:v>
                </c:pt>
                <c:pt idx="1408">
                  <c:v>15353</c:v>
                </c:pt>
                <c:pt idx="1409">
                  <c:v>17606</c:v>
                </c:pt>
                <c:pt idx="1410">
                  <c:v>15888</c:v>
                </c:pt>
                <c:pt idx="1411">
                  <c:v>18981</c:v>
                </c:pt>
                <c:pt idx="1412">
                  <c:v>21272</c:v>
                </c:pt>
                <c:pt idx="1413">
                  <c:v>29662</c:v>
                </c:pt>
                <c:pt idx="1414">
                  <c:v>22380</c:v>
                </c:pt>
                <c:pt idx="1415">
                  <c:v>21951</c:v>
                </c:pt>
                <c:pt idx="1416">
                  <c:v>16786</c:v>
                </c:pt>
                <c:pt idx="1417">
                  <c:v>12327</c:v>
                </c:pt>
                <c:pt idx="1418">
                  <c:v>17581</c:v>
                </c:pt>
                <c:pt idx="1419">
                  <c:v>21052</c:v>
                </c:pt>
                <c:pt idx="1420">
                  <c:v>22364</c:v>
                </c:pt>
                <c:pt idx="1421">
                  <c:v>22148</c:v>
                </c:pt>
                <c:pt idx="1422">
                  <c:v>17887</c:v>
                </c:pt>
                <c:pt idx="1423">
                  <c:v>19457</c:v>
                </c:pt>
                <c:pt idx="1424">
                  <c:v>13788</c:v>
                </c:pt>
                <c:pt idx="1425">
                  <c:v>22178</c:v>
                </c:pt>
                <c:pt idx="1426">
                  <c:v>22746</c:v>
                </c:pt>
                <c:pt idx="1427">
                  <c:v>27207</c:v>
                </c:pt>
                <c:pt idx="1428">
                  <c:v>24441</c:v>
                </c:pt>
                <c:pt idx="1429">
                  <c:v>23817</c:v>
                </c:pt>
                <c:pt idx="1430">
                  <c:v>23224</c:v>
                </c:pt>
                <c:pt idx="1431">
                  <c:v>15434</c:v>
                </c:pt>
                <c:pt idx="1432">
                  <c:v>22224</c:v>
                </c:pt>
                <c:pt idx="1433">
                  <c:v>24311</c:v>
                </c:pt>
                <c:pt idx="1434">
                  <c:v>28960</c:v>
                </c:pt>
                <c:pt idx="1435">
                  <c:v>23139</c:v>
                </c:pt>
                <c:pt idx="1436">
                  <c:v>20531</c:v>
                </c:pt>
                <c:pt idx="1437">
                  <c:v>18805</c:v>
                </c:pt>
                <c:pt idx="1438">
                  <c:v>13301</c:v>
                </c:pt>
                <c:pt idx="1439">
                  <c:v>20606</c:v>
                </c:pt>
                <c:pt idx="1440">
                  <c:v>20176</c:v>
                </c:pt>
                <c:pt idx="1441">
                  <c:v>27004</c:v>
                </c:pt>
                <c:pt idx="1442">
                  <c:v>25528</c:v>
                </c:pt>
                <c:pt idx="1443">
                  <c:v>21048</c:v>
                </c:pt>
                <c:pt idx="1444">
                  <c:v>20372</c:v>
                </c:pt>
                <c:pt idx="1445">
                  <c:v>13636</c:v>
                </c:pt>
                <c:pt idx="1446">
                  <c:v>19598</c:v>
                </c:pt>
                <c:pt idx="1447">
                  <c:v>19684</c:v>
                </c:pt>
                <c:pt idx="1448">
                  <c:v>26631</c:v>
                </c:pt>
                <c:pt idx="1449">
                  <c:v>21805</c:v>
                </c:pt>
                <c:pt idx="1450">
                  <c:v>21784</c:v>
                </c:pt>
                <c:pt idx="1451">
                  <c:v>19523</c:v>
                </c:pt>
                <c:pt idx="1452">
                  <c:v>14602</c:v>
                </c:pt>
                <c:pt idx="1453">
                  <c:v>21430</c:v>
                </c:pt>
                <c:pt idx="1454">
                  <c:v>19268</c:v>
                </c:pt>
                <c:pt idx="1455">
                  <c:v>28208</c:v>
                </c:pt>
                <c:pt idx="1456">
                  <c:v>20707</c:v>
                </c:pt>
                <c:pt idx="1457">
                  <c:v>21625</c:v>
                </c:pt>
                <c:pt idx="1458">
                  <c:v>19975</c:v>
                </c:pt>
                <c:pt idx="1459">
                  <c:v>14363</c:v>
                </c:pt>
                <c:pt idx="1460">
                  <c:v>20305</c:v>
                </c:pt>
                <c:pt idx="1461">
                  <c:v>17052</c:v>
                </c:pt>
                <c:pt idx="1462">
                  <c:v>30209</c:v>
                </c:pt>
                <c:pt idx="1463">
                  <c:v>23243</c:v>
                </c:pt>
                <c:pt idx="1464">
                  <c:v>24446</c:v>
                </c:pt>
                <c:pt idx="1465">
                  <c:v>21643</c:v>
                </c:pt>
                <c:pt idx="1466">
                  <c:v>15802</c:v>
                </c:pt>
                <c:pt idx="1467">
                  <c:v>22413</c:v>
                </c:pt>
                <c:pt idx="1468">
                  <c:v>23475</c:v>
                </c:pt>
                <c:pt idx="1469">
                  <c:v>28260</c:v>
                </c:pt>
                <c:pt idx="1470">
                  <c:v>24774</c:v>
                </c:pt>
                <c:pt idx="1471">
                  <c:v>26249</c:v>
                </c:pt>
                <c:pt idx="1472">
                  <c:v>22381</c:v>
                </c:pt>
                <c:pt idx="1473">
                  <c:v>16050</c:v>
                </c:pt>
                <c:pt idx="1474">
                  <c:v>19932</c:v>
                </c:pt>
                <c:pt idx="1475">
                  <c:v>20960</c:v>
                </c:pt>
                <c:pt idx="1476">
                  <c:v>29162</c:v>
                </c:pt>
                <c:pt idx="1477">
                  <c:v>22601</c:v>
                </c:pt>
                <c:pt idx="1478">
                  <c:v>22641</c:v>
                </c:pt>
                <c:pt idx="1479">
                  <c:v>19972</c:v>
                </c:pt>
                <c:pt idx="1480">
                  <c:v>15611</c:v>
                </c:pt>
                <c:pt idx="1481">
                  <c:v>19183</c:v>
                </c:pt>
                <c:pt idx="1482">
                  <c:v>19979</c:v>
                </c:pt>
                <c:pt idx="1483">
                  <c:v>29071</c:v>
                </c:pt>
                <c:pt idx="1484">
                  <c:v>23920</c:v>
                </c:pt>
                <c:pt idx="1485">
                  <c:v>24342</c:v>
                </c:pt>
                <c:pt idx="1486">
                  <c:v>11158</c:v>
                </c:pt>
                <c:pt idx="1487">
                  <c:v>13297</c:v>
                </c:pt>
                <c:pt idx="1488">
                  <c:v>22447</c:v>
                </c:pt>
                <c:pt idx="1489">
                  <c:v>21901</c:v>
                </c:pt>
                <c:pt idx="1490">
                  <c:v>34835</c:v>
                </c:pt>
                <c:pt idx="1491">
                  <c:v>29237</c:v>
                </c:pt>
                <c:pt idx="1492">
                  <c:v>31151</c:v>
                </c:pt>
                <c:pt idx="1493">
                  <c:v>26992</c:v>
                </c:pt>
                <c:pt idx="1494">
                  <c:v>20166</c:v>
                </c:pt>
                <c:pt idx="1495">
                  <c:v>29561</c:v>
                </c:pt>
                <c:pt idx="1496">
                  <c:v>28571</c:v>
                </c:pt>
                <c:pt idx="1497">
                  <c:v>32567</c:v>
                </c:pt>
                <c:pt idx="1498">
                  <c:v>25959</c:v>
                </c:pt>
                <c:pt idx="1499">
                  <c:v>28646</c:v>
                </c:pt>
                <c:pt idx="1500">
                  <c:v>24624</c:v>
                </c:pt>
                <c:pt idx="1501">
                  <c:v>17376</c:v>
                </c:pt>
                <c:pt idx="1502">
                  <c:v>20768</c:v>
                </c:pt>
                <c:pt idx="1503">
                  <c:v>26487</c:v>
                </c:pt>
                <c:pt idx="1504">
                  <c:v>35775</c:v>
                </c:pt>
                <c:pt idx="1505">
                  <c:v>27812</c:v>
                </c:pt>
                <c:pt idx="1506">
                  <c:v>30206</c:v>
                </c:pt>
                <c:pt idx="1507">
                  <c:v>25351</c:v>
                </c:pt>
                <c:pt idx="1508">
                  <c:v>17441</c:v>
                </c:pt>
                <c:pt idx="1509">
                  <c:v>24555</c:v>
                </c:pt>
                <c:pt idx="1510">
                  <c:v>24756</c:v>
                </c:pt>
                <c:pt idx="1511">
                  <c:v>31122</c:v>
                </c:pt>
                <c:pt idx="1512">
                  <c:v>26343</c:v>
                </c:pt>
                <c:pt idx="1513">
                  <c:v>26432</c:v>
                </c:pt>
                <c:pt idx="1514">
                  <c:v>24513</c:v>
                </c:pt>
                <c:pt idx="1515">
                  <c:v>17294</c:v>
                </c:pt>
                <c:pt idx="1516">
                  <c:v>26268</c:v>
                </c:pt>
                <c:pt idx="1517">
                  <c:v>25632</c:v>
                </c:pt>
                <c:pt idx="1518">
                  <c:v>33703</c:v>
                </c:pt>
                <c:pt idx="1519">
                  <c:v>29266</c:v>
                </c:pt>
                <c:pt idx="1520">
                  <c:v>33674</c:v>
                </c:pt>
                <c:pt idx="1521">
                  <c:v>26741</c:v>
                </c:pt>
                <c:pt idx="1522">
                  <c:v>21129</c:v>
                </c:pt>
                <c:pt idx="1523">
                  <c:v>25287</c:v>
                </c:pt>
                <c:pt idx="1524">
                  <c:v>29153</c:v>
                </c:pt>
                <c:pt idx="1525">
                  <c:v>38286</c:v>
                </c:pt>
                <c:pt idx="1526">
                  <c:v>28439</c:v>
                </c:pt>
                <c:pt idx="1527">
                  <c:v>26855</c:v>
                </c:pt>
                <c:pt idx="1528">
                  <c:v>24552</c:v>
                </c:pt>
                <c:pt idx="1529">
                  <c:v>17522</c:v>
                </c:pt>
                <c:pt idx="1530">
                  <c:v>28695</c:v>
                </c:pt>
                <c:pt idx="1531">
                  <c:v>33699</c:v>
                </c:pt>
                <c:pt idx="1532">
                  <c:v>40010</c:v>
                </c:pt>
                <c:pt idx="1533">
                  <c:v>32928</c:v>
                </c:pt>
                <c:pt idx="1534">
                  <c:v>41846</c:v>
                </c:pt>
                <c:pt idx="1535">
                  <c:v>34654</c:v>
                </c:pt>
                <c:pt idx="1536">
                  <c:v>26343</c:v>
                </c:pt>
                <c:pt idx="1537">
                  <c:v>34745</c:v>
                </c:pt>
                <c:pt idx="1538">
                  <c:v>40875</c:v>
                </c:pt>
                <c:pt idx="1539">
                  <c:v>23885</c:v>
                </c:pt>
                <c:pt idx="1540">
                  <c:v>10194</c:v>
                </c:pt>
                <c:pt idx="1541">
                  <c:v>25297</c:v>
                </c:pt>
                <c:pt idx="1542">
                  <c:v>28777</c:v>
                </c:pt>
                <c:pt idx="1543">
                  <c:v>21670</c:v>
                </c:pt>
                <c:pt idx="1544">
                  <c:v>32612</c:v>
                </c:pt>
                <c:pt idx="1545">
                  <c:v>32488</c:v>
                </c:pt>
                <c:pt idx="1546">
                  <c:v>38841</c:v>
                </c:pt>
                <c:pt idx="1547">
                  <c:v>30454</c:v>
                </c:pt>
                <c:pt idx="1548">
                  <c:v>30978</c:v>
                </c:pt>
                <c:pt idx="1549">
                  <c:v>32875</c:v>
                </c:pt>
                <c:pt idx="1550">
                  <c:v>22138</c:v>
                </c:pt>
                <c:pt idx="1551">
                  <c:v>33326</c:v>
                </c:pt>
                <c:pt idx="1552">
                  <c:v>34987</c:v>
                </c:pt>
                <c:pt idx="1553">
                  <c:v>33132</c:v>
                </c:pt>
                <c:pt idx="1554">
                  <c:v>32479</c:v>
                </c:pt>
                <c:pt idx="1555">
                  <c:v>31372</c:v>
                </c:pt>
                <c:pt idx="1556">
                  <c:v>27804</c:v>
                </c:pt>
                <c:pt idx="1557">
                  <c:v>19697</c:v>
                </c:pt>
                <c:pt idx="1558">
                  <c:v>25901</c:v>
                </c:pt>
                <c:pt idx="1559">
                  <c:v>30803</c:v>
                </c:pt>
                <c:pt idx="1560">
                  <c:v>29496</c:v>
                </c:pt>
                <c:pt idx="1561">
                  <c:v>31812</c:v>
                </c:pt>
                <c:pt idx="1562">
                  <c:v>25647</c:v>
                </c:pt>
                <c:pt idx="1563">
                  <c:v>22959</c:v>
                </c:pt>
                <c:pt idx="1564">
                  <c:v>18802</c:v>
                </c:pt>
                <c:pt idx="1565">
                  <c:v>24450</c:v>
                </c:pt>
                <c:pt idx="1566">
                  <c:v>26195</c:v>
                </c:pt>
                <c:pt idx="1567">
                  <c:v>29331</c:v>
                </c:pt>
                <c:pt idx="1568">
                  <c:v>27441</c:v>
                </c:pt>
                <c:pt idx="1569">
                  <c:v>27519</c:v>
                </c:pt>
                <c:pt idx="1570">
                  <c:v>27180</c:v>
                </c:pt>
                <c:pt idx="1571">
                  <c:v>24999</c:v>
                </c:pt>
                <c:pt idx="1572">
                  <c:v>30281</c:v>
                </c:pt>
                <c:pt idx="1573">
                  <c:v>29467</c:v>
                </c:pt>
                <c:pt idx="1574">
                  <c:v>29385</c:v>
                </c:pt>
                <c:pt idx="1575">
                  <c:v>30934</c:v>
                </c:pt>
                <c:pt idx="1576">
                  <c:v>33641</c:v>
                </c:pt>
                <c:pt idx="1577">
                  <c:v>29611</c:v>
                </c:pt>
                <c:pt idx="1578">
                  <c:v>21711</c:v>
                </c:pt>
                <c:pt idx="1579">
                  <c:v>30755</c:v>
                </c:pt>
                <c:pt idx="1580">
                  <c:v>29799</c:v>
                </c:pt>
                <c:pt idx="1581">
                  <c:v>37206</c:v>
                </c:pt>
                <c:pt idx="1582">
                  <c:v>33659</c:v>
                </c:pt>
                <c:pt idx="1583">
                  <c:v>31220</c:v>
                </c:pt>
                <c:pt idx="1584">
                  <c:v>30448</c:v>
                </c:pt>
                <c:pt idx="1585">
                  <c:v>20917</c:v>
                </c:pt>
                <c:pt idx="1586">
                  <c:v>29413</c:v>
                </c:pt>
                <c:pt idx="1587">
                  <c:v>28423</c:v>
                </c:pt>
                <c:pt idx="1588">
                  <c:v>35968</c:v>
                </c:pt>
                <c:pt idx="1589">
                  <c:v>34087</c:v>
                </c:pt>
                <c:pt idx="1590">
                  <c:v>28679</c:v>
                </c:pt>
                <c:pt idx="1591">
                  <c:v>26332</c:v>
                </c:pt>
                <c:pt idx="1592">
                  <c:v>20757</c:v>
                </c:pt>
                <c:pt idx="1593">
                  <c:v>30194</c:v>
                </c:pt>
                <c:pt idx="1594">
                  <c:v>36206</c:v>
                </c:pt>
                <c:pt idx="1595">
                  <c:v>36432</c:v>
                </c:pt>
                <c:pt idx="1596">
                  <c:v>48538</c:v>
                </c:pt>
                <c:pt idx="1597">
                  <c:v>38840</c:v>
                </c:pt>
                <c:pt idx="1598">
                  <c:v>39585</c:v>
                </c:pt>
                <c:pt idx="1599">
                  <c:v>29464</c:v>
                </c:pt>
                <c:pt idx="1600">
                  <c:v>38597</c:v>
                </c:pt>
                <c:pt idx="1601">
                  <c:v>44040</c:v>
                </c:pt>
                <c:pt idx="1602">
                  <c:v>38259</c:v>
                </c:pt>
                <c:pt idx="1603">
                  <c:v>34353</c:v>
                </c:pt>
                <c:pt idx="1604">
                  <c:v>43794</c:v>
                </c:pt>
                <c:pt idx="1605">
                  <c:v>39552</c:v>
                </c:pt>
                <c:pt idx="1606">
                  <c:v>31670</c:v>
                </c:pt>
                <c:pt idx="1607">
                  <c:v>38597</c:v>
                </c:pt>
                <c:pt idx="1608">
                  <c:v>39009</c:v>
                </c:pt>
                <c:pt idx="1609">
                  <c:v>47096</c:v>
                </c:pt>
                <c:pt idx="1610">
                  <c:v>43205</c:v>
                </c:pt>
                <c:pt idx="1611">
                  <c:v>42629</c:v>
                </c:pt>
                <c:pt idx="1612">
                  <c:v>56944</c:v>
                </c:pt>
                <c:pt idx="1613">
                  <c:v>43114</c:v>
                </c:pt>
                <c:pt idx="1614">
                  <c:v>45692</c:v>
                </c:pt>
                <c:pt idx="1615">
                  <c:v>47470</c:v>
                </c:pt>
                <c:pt idx="1616">
                  <c:v>43772</c:v>
                </c:pt>
                <c:pt idx="1617">
                  <c:v>54700</c:v>
                </c:pt>
                <c:pt idx="1618">
                  <c:v>55885</c:v>
                </c:pt>
                <c:pt idx="1619">
                  <c:v>48778</c:v>
                </c:pt>
                <c:pt idx="1620">
                  <c:v>33876</c:v>
                </c:pt>
                <c:pt idx="1621">
                  <c:v>45911</c:v>
                </c:pt>
                <c:pt idx="1622">
                  <c:v>46349</c:v>
                </c:pt>
                <c:pt idx="1623">
                  <c:v>55361</c:v>
                </c:pt>
                <c:pt idx="1624">
                  <c:v>50059</c:v>
                </c:pt>
                <c:pt idx="1625">
                  <c:v>56173</c:v>
                </c:pt>
                <c:pt idx="1626">
                  <c:v>53782</c:v>
                </c:pt>
                <c:pt idx="1627">
                  <c:v>45275</c:v>
                </c:pt>
                <c:pt idx="1628">
                  <c:v>63266</c:v>
                </c:pt>
                <c:pt idx="1629">
                  <c:v>79743</c:v>
                </c:pt>
                <c:pt idx="1630">
                  <c:v>83242</c:v>
                </c:pt>
                <c:pt idx="1631">
                  <c:v>89442</c:v>
                </c:pt>
                <c:pt idx="1632">
                  <c:v>80952</c:v>
                </c:pt>
                <c:pt idx="1633">
                  <c:v>84453</c:v>
                </c:pt>
                <c:pt idx="1634">
                  <c:v>70130</c:v>
                </c:pt>
                <c:pt idx="1635">
                  <c:v>82979</c:v>
                </c:pt>
                <c:pt idx="1636">
                  <c:v>86718</c:v>
                </c:pt>
                <c:pt idx="1637">
                  <c:v>89655</c:v>
                </c:pt>
                <c:pt idx="1638">
                  <c:v>84609</c:v>
                </c:pt>
                <c:pt idx="1639">
                  <c:v>86555</c:v>
                </c:pt>
                <c:pt idx="1640">
                  <c:v>87716</c:v>
                </c:pt>
                <c:pt idx="1641">
                  <c:v>74612</c:v>
                </c:pt>
                <c:pt idx="1642">
                  <c:v>84747</c:v>
                </c:pt>
                <c:pt idx="1643">
                  <c:v>91379</c:v>
                </c:pt>
                <c:pt idx="1644">
                  <c:v>99341</c:v>
                </c:pt>
                <c:pt idx="1645">
                  <c:v>97616</c:v>
                </c:pt>
                <c:pt idx="1646">
                  <c:v>98261</c:v>
                </c:pt>
                <c:pt idx="1647">
                  <c:v>92219</c:v>
                </c:pt>
                <c:pt idx="1648">
                  <c:v>81019</c:v>
                </c:pt>
                <c:pt idx="1649">
                  <c:v>99541</c:v>
                </c:pt>
                <c:pt idx="1650">
                  <c:v>97566</c:v>
                </c:pt>
                <c:pt idx="1651">
                  <c:v>96689</c:v>
                </c:pt>
                <c:pt idx="1652">
                  <c:v>92004</c:v>
                </c:pt>
                <c:pt idx="1653">
                  <c:v>98442</c:v>
                </c:pt>
                <c:pt idx="1654">
                  <c:v>82225</c:v>
                </c:pt>
                <c:pt idx="1655">
                  <c:v>83202</c:v>
                </c:pt>
                <c:pt idx="1656">
                  <c:v>94025</c:v>
                </c:pt>
                <c:pt idx="1657">
                  <c:v>92596</c:v>
                </c:pt>
                <c:pt idx="1658">
                  <c:v>88353</c:v>
                </c:pt>
                <c:pt idx="1659">
                  <c:v>84868</c:v>
                </c:pt>
                <c:pt idx="1660">
                  <c:v>85554</c:v>
                </c:pt>
                <c:pt idx="1661">
                  <c:v>67066</c:v>
                </c:pt>
                <c:pt idx="1662">
                  <c:v>78311</c:v>
                </c:pt>
                <c:pt idx="1663">
                  <c:v>79397</c:v>
                </c:pt>
                <c:pt idx="1664">
                  <c:v>78398</c:v>
                </c:pt>
                <c:pt idx="1665">
                  <c:v>85720</c:v>
                </c:pt>
                <c:pt idx="1666">
                  <c:v>79580</c:v>
                </c:pt>
                <c:pt idx="1667">
                  <c:v>74423</c:v>
                </c:pt>
                <c:pt idx="1668">
                  <c:v>66733</c:v>
                </c:pt>
                <c:pt idx="1669">
                  <c:v>62629</c:v>
                </c:pt>
                <c:pt idx="1670">
                  <c:v>70885</c:v>
                </c:pt>
                <c:pt idx="1671">
                  <c:v>92092</c:v>
                </c:pt>
                <c:pt idx="1672">
                  <c:v>100772</c:v>
                </c:pt>
                <c:pt idx="1673">
                  <c:v>103794</c:v>
                </c:pt>
                <c:pt idx="1674">
                  <c:v>100100</c:v>
                </c:pt>
                <c:pt idx="1675">
                  <c:v>82703</c:v>
                </c:pt>
                <c:pt idx="1676">
                  <c:v>86351</c:v>
                </c:pt>
                <c:pt idx="1677">
                  <c:v>88968</c:v>
                </c:pt>
                <c:pt idx="1678">
                  <c:v>89323</c:v>
                </c:pt>
                <c:pt idx="1679">
                  <c:v>103454</c:v>
                </c:pt>
                <c:pt idx="1680">
                  <c:v>97008</c:v>
                </c:pt>
                <c:pt idx="1681">
                  <c:v>98436</c:v>
                </c:pt>
                <c:pt idx="1682">
                  <c:v>88597</c:v>
                </c:pt>
                <c:pt idx="1683">
                  <c:v>87392</c:v>
                </c:pt>
                <c:pt idx="1684">
                  <c:v>88353</c:v>
                </c:pt>
                <c:pt idx="1685">
                  <c:v>104998</c:v>
                </c:pt>
                <c:pt idx="1686">
                  <c:v>63886</c:v>
                </c:pt>
                <c:pt idx="1687">
                  <c:v>106479</c:v>
                </c:pt>
                <c:pt idx="1688">
                  <c:v>104194</c:v>
                </c:pt>
                <c:pt idx="1689">
                  <c:v>90433</c:v>
                </c:pt>
                <c:pt idx="1690">
                  <c:v>108997</c:v>
                </c:pt>
                <c:pt idx="1691">
                  <c:v>111421</c:v>
                </c:pt>
                <c:pt idx="1692">
                  <c:v>108106</c:v>
                </c:pt>
                <c:pt idx="1693">
                  <c:v>111180</c:v>
                </c:pt>
                <c:pt idx="1694">
                  <c:v>102175</c:v>
                </c:pt>
                <c:pt idx="1695">
                  <c:v>94065</c:v>
                </c:pt>
                <c:pt idx="1696">
                  <c:v>88384</c:v>
                </c:pt>
                <c:pt idx="1697">
                  <c:v>106728</c:v>
                </c:pt>
                <c:pt idx="1698">
                  <c:v>104045</c:v>
                </c:pt>
                <c:pt idx="1699">
                  <c:v>112331</c:v>
                </c:pt>
                <c:pt idx="1700">
                  <c:v>106490</c:v>
                </c:pt>
                <c:pt idx="1701">
                  <c:v>115826</c:v>
                </c:pt>
                <c:pt idx="1702">
                  <c:v>104223</c:v>
                </c:pt>
                <c:pt idx="1703">
                  <c:v>70264</c:v>
                </c:pt>
                <c:pt idx="1704">
                  <c:v>73830</c:v>
                </c:pt>
                <c:pt idx="1705">
                  <c:v>83429</c:v>
                </c:pt>
                <c:pt idx="1706">
                  <c:v>82278</c:v>
                </c:pt>
                <c:pt idx="1707">
                  <c:v>90140</c:v>
                </c:pt>
                <c:pt idx="1708">
                  <c:v>82552</c:v>
                </c:pt>
                <c:pt idx="1709">
                  <c:v>74925</c:v>
                </c:pt>
                <c:pt idx="1710">
                  <c:v>60917</c:v>
                </c:pt>
                <c:pt idx="1711">
                  <c:v>74239</c:v>
                </c:pt>
                <c:pt idx="1712">
                  <c:v>64685</c:v>
                </c:pt>
                <c:pt idx="1713">
                  <c:v>69783</c:v>
                </c:pt>
                <c:pt idx="1714">
                  <c:v>67875</c:v>
                </c:pt>
                <c:pt idx="1715">
                  <c:v>73085</c:v>
                </c:pt>
                <c:pt idx="1716">
                  <c:v>76206</c:v>
                </c:pt>
                <c:pt idx="1717">
                  <c:v>66391</c:v>
                </c:pt>
                <c:pt idx="1718">
                  <c:v>60214</c:v>
                </c:pt>
                <c:pt idx="1719">
                  <c:v>62590</c:v>
                </c:pt>
                <c:pt idx="1720">
                  <c:v>70333</c:v>
                </c:pt>
                <c:pt idx="1721">
                  <c:v>72533</c:v>
                </c:pt>
                <c:pt idx="1722">
                  <c:v>72847</c:v>
                </c:pt>
                <c:pt idx="1723">
                  <c:v>68546</c:v>
                </c:pt>
                <c:pt idx="1724">
                  <c:v>60383</c:v>
                </c:pt>
                <c:pt idx="1725">
                  <c:v>64978</c:v>
                </c:pt>
                <c:pt idx="1726">
                  <c:v>68463</c:v>
                </c:pt>
                <c:pt idx="1727">
                  <c:v>64528</c:v>
                </c:pt>
                <c:pt idx="1728">
                  <c:v>61105</c:v>
                </c:pt>
                <c:pt idx="1729">
                  <c:v>58425</c:v>
                </c:pt>
                <c:pt idx="1730">
                  <c:v>52509</c:v>
                </c:pt>
                <c:pt idx="1731">
                  <c:v>43907</c:v>
                </c:pt>
                <c:pt idx="1732">
                  <c:v>46016</c:v>
                </c:pt>
                <c:pt idx="1733">
                  <c:v>55464</c:v>
                </c:pt>
                <c:pt idx="1734">
                  <c:v>44148</c:v>
                </c:pt>
                <c:pt idx="1735">
                  <c:v>57347</c:v>
                </c:pt>
                <c:pt idx="1736">
                  <c:v>50839</c:v>
                </c:pt>
                <c:pt idx="1737">
                  <c:v>52614</c:v>
                </c:pt>
                <c:pt idx="1738">
                  <c:v>45479</c:v>
                </c:pt>
                <c:pt idx="1739">
                  <c:v>43069</c:v>
                </c:pt>
                <c:pt idx="1740">
                  <c:v>40428</c:v>
                </c:pt>
                <c:pt idx="1741">
                  <c:v>47460</c:v>
                </c:pt>
                <c:pt idx="1742">
                  <c:v>51656</c:v>
                </c:pt>
                <c:pt idx="1743">
                  <c:v>48772</c:v>
                </c:pt>
                <c:pt idx="1744">
                  <c:v>42151</c:v>
                </c:pt>
                <c:pt idx="1745">
                  <c:v>42632</c:v>
                </c:pt>
                <c:pt idx="1746">
                  <c:v>53087</c:v>
                </c:pt>
                <c:pt idx="1747">
                  <c:v>53986</c:v>
                </c:pt>
                <c:pt idx="1748">
                  <c:v>54877</c:v>
                </c:pt>
                <c:pt idx="1749">
                  <c:v>48225</c:v>
                </c:pt>
                <c:pt idx="1750">
                  <c:v>56735</c:v>
                </c:pt>
                <c:pt idx="1751">
                  <c:v>53495</c:v>
                </c:pt>
                <c:pt idx="1752">
                  <c:v>43779</c:v>
                </c:pt>
                <c:pt idx="1753">
                  <c:v>50434</c:v>
                </c:pt>
                <c:pt idx="1754">
                  <c:v>52395</c:v>
                </c:pt>
                <c:pt idx="1755">
                  <c:v>56389</c:v>
                </c:pt>
                <c:pt idx="1756">
                  <c:v>47505</c:v>
                </c:pt>
                <c:pt idx="1757">
                  <c:v>51100</c:v>
                </c:pt>
                <c:pt idx="1758">
                  <c:v>39200</c:v>
                </c:pt>
                <c:pt idx="1759">
                  <c:v>21401</c:v>
                </c:pt>
                <c:pt idx="1760">
                  <c:v>43071</c:v>
                </c:pt>
                <c:pt idx="1761">
                  <c:v>48847</c:v>
                </c:pt>
                <c:pt idx="1762">
                  <c:v>47874</c:v>
                </c:pt>
                <c:pt idx="1763">
                  <c:v>50724</c:v>
                </c:pt>
                <c:pt idx="1764">
                  <c:v>64005</c:v>
                </c:pt>
                <c:pt idx="1765">
                  <c:v>65956</c:v>
                </c:pt>
                <c:pt idx="1766">
                  <c:v>55726</c:v>
                </c:pt>
                <c:pt idx="1767">
                  <c:v>64444</c:v>
                </c:pt>
                <c:pt idx="1768">
                  <c:v>62089</c:v>
                </c:pt>
                <c:pt idx="1769">
                  <c:v>71176</c:v>
                </c:pt>
                <c:pt idx="1770">
                  <c:v>68947</c:v>
                </c:pt>
                <c:pt idx="1771">
                  <c:v>62713</c:v>
                </c:pt>
                <c:pt idx="1772">
                  <c:v>55980</c:v>
                </c:pt>
                <c:pt idx="1773">
                  <c:v>60509</c:v>
                </c:pt>
                <c:pt idx="1774">
                  <c:v>67393</c:v>
                </c:pt>
                <c:pt idx="1775">
                  <c:v>69561</c:v>
                </c:pt>
                <c:pt idx="1776">
                  <c:v>80566</c:v>
                </c:pt>
                <c:pt idx="1777">
                  <c:v>73270</c:v>
                </c:pt>
                <c:pt idx="1778">
                  <c:v>78828</c:v>
                </c:pt>
                <c:pt idx="1779">
                  <c:v>78837</c:v>
                </c:pt>
                <c:pt idx="1780">
                  <c:v>73218</c:v>
                </c:pt>
                <c:pt idx="1781">
                  <c:v>81759</c:v>
                </c:pt>
                <c:pt idx="1782">
                  <c:v>81659</c:v>
                </c:pt>
                <c:pt idx="1783">
                  <c:v>82314</c:v>
                </c:pt>
                <c:pt idx="1784">
                  <c:v>86041</c:v>
                </c:pt>
                <c:pt idx="1785">
                  <c:v>82941</c:v>
                </c:pt>
                <c:pt idx="1786">
                  <c:v>84609</c:v>
                </c:pt>
                <c:pt idx="1787">
                  <c:v>76712</c:v>
                </c:pt>
                <c:pt idx="1788">
                  <c:v>84728</c:v>
                </c:pt>
                <c:pt idx="1789">
                  <c:v>94377</c:v>
                </c:pt>
                <c:pt idx="1790">
                  <c:v>94593</c:v>
                </c:pt>
                <c:pt idx="1791">
                  <c:v>95516</c:v>
                </c:pt>
                <c:pt idx="1792">
                  <c:v>96888</c:v>
                </c:pt>
                <c:pt idx="1793">
                  <c:v>88768</c:v>
                </c:pt>
                <c:pt idx="1794">
                  <c:v>76940</c:v>
                </c:pt>
                <c:pt idx="1795">
                  <c:v>92572</c:v>
                </c:pt>
                <c:pt idx="1796">
                  <c:v>98351</c:v>
                </c:pt>
                <c:pt idx="1797">
                  <c:v>95855</c:v>
                </c:pt>
                <c:pt idx="1798">
                  <c:v>102041</c:v>
                </c:pt>
                <c:pt idx="1799">
                  <c:v>106815</c:v>
                </c:pt>
                <c:pt idx="1800">
                  <c:v>99036</c:v>
                </c:pt>
                <c:pt idx="1801">
                  <c:v>88764</c:v>
                </c:pt>
                <c:pt idx="1802">
                  <c:v>92374</c:v>
                </c:pt>
                <c:pt idx="1803">
                  <c:v>95241</c:v>
                </c:pt>
                <c:pt idx="1804">
                  <c:v>99930</c:v>
                </c:pt>
                <c:pt idx="1805">
                  <c:v>99962</c:v>
                </c:pt>
                <c:pt idx="1806">
                  <c:v>90039</c:v>
                </c:pt>
                <c:pt idx="1807">
                  <c:v>100972</c:v>
                </c:pt>
                <c:pt idx="1808">
                  <c:v>99763</c:v>
                </c:pt>
                <c:pt idx="1809">
                  <c:v>100018</c:v>
                </c:pt>
                <c:pt idx="1810">
                  <c:v>101881</c:v>
                </c:pt>
                <c:pt idx="1811">
                  <c:v>102916</c:v>
                </c:pt>
                <c:pt idx="1812">
                  <c:v>100275</c:v>
                </c:pt>
                <c:pt idx="1813">
                  <c:v>91479</c:v>
                </c:pt>
                <c:pt idx="1814">
                  <c:v>100939</c:v>
                </c:pt>
                <c:pt idx="1815">
                  <c:v>95760</c:v>
                </c:pt>
                <c:pt idx="1816">
                  <c:v>103875</c:v>
                </c:pt>
                <c:pt idx="1817">
                  <c:v>106629</c:v>
                </c:pt>
                <c:pt idx="1818">
                  <c:v>98905</c:v>
                </c:pt>
                <c:pt idx="1819">
                  <c:v>91994</c:v>
                </c:pt>
                <c:pt idx="1820">
                  <c:v>93563</c:v>
                </c:pt>
                <c:pt idx="1821">
                  <c:v>94077</c:v>
                </c:pt>
                <c:pt idx="1822">
                  <c:v>74871</c:v>
                </c:pt>
                <c:pt idx="1823">
                  <c:v>73888</c:v>
                </c:pt>
                <c:pt idx="1824">
                  <c:v>80884</c:v>
                </c:pt>
                <c:pt idx="1825">
                  <c:v>62373</c:v>
                </c:pt>
                <c:pt idx="1826">
                  <c:v>95174</c:v>
                </c:pt>
                <c:pt idx="1827">
                  <c:v>106365</c:v>
                </c:pt>
                <c:pt idx="1828">
                  <c:v>102706</c:v>
                </c:pt>
                <c:pt idx="1829">
                  <c:v>101030</c:v>
                </c:pt>
                <c:pt idx="1830">
                  <c:v>109716</c:v>
                </c:pt>
                <c:pt idx="1831">
                  <c:v>121703</c:v>
                </c:pt>
                <c:pt idx="1832">
                  <c:v>92969</c:v>
                </c:pt>
                <c:pt idx="1833">
                  <c:v>107883</c:v>
                </c:pt>
                <c:pt idx="1834">
                  <c:v>109136</c:v>
                </c:pt>
                <c:pt idx="1835">
                  <c:v>97526</c:v>
                </c:pt>
                <c:pt idx="1836">
                  <c:v>84909</c:v>
                </c:pt>
                <c:pt idx="1837">
                  <c:v>98706</c:v>
                </c:pt>
                <c:pt idx="1838">
                  <c:v>119145</c:v>
                </c:pt>
                <c:pt idx="1839">
                  <c:v>108952</c:v>
                </c:pt>
                <c:pt idx="1840">
                  <c:v>92249</c:v>
                </c:pt>
                <c:pt idx="1841">
                  <c:v>92202</c:v>
                </c:pt>
                <c:pt idx="1842">
                  <c:v>108209</c:v>
                </c:pt>
                <c:pt idx="1843">
                  <c:v>97095</c:v>
                </c:pt>
                <c:pt idx="1844">
                  <c:v>105669</c:v>
                </c:pt>
                <c:pt idx="1845">
                  <c:v>96906</c:v>
                </c:pt>
                <c:pt idx="1846">
                  <c:v>94759</c:v>
                </c:pt>
                <c:pt idx="1847">
                  <c:v>87995</c:v>
                </c:pt>
                <c:pt idx="1848">
                  <c:v>90257</c:v>
                </c:pt>
                <c:pt idx="1849">
                  <c:v>89725</c:v>
                </c:pt>
                <c:pt idx="1850">
                  <c:v>96617</c:v>
                </c:pt>
                <c:pt idx="1851">
                  <c:v>116877</c:v>
                </c:pt>
                <c:pt idx="1852">
                  <c:v>119409</c:v>
                </c:pt>
                <c:pt idx="1853">
                  <c:v>132953</c:v>
                </c:pt>
                <c:pt idx="1854">
                  <c:v>131829</c:v>
                </c:pt>
                <c:pt idx="1855">
                  <c:v>122876</c:v>
                </c:pt>
                <c:pt idx="1856">
                  <c:v>139364</c:v>
                </c:pt>
                <c:pt idx="1857">
                  <c:v>137774</c:v>
                </c:pt>
                <c:pt idx="1858">
                  <c:v>142692</c:v>
                </c:pt>
                <c:pt idx="1859">
                  <c:v>138725</c:v>
                </c:pt>
                <c:pt idx="1860">
                  <c:v>129256</c:v>
                </c:pt>
                <c:pt idx="1861">
                  <c:v>132567</c:v>
                </c:pt>
                <c:pt idx="1862">
                  <c:v>152391</c:v>
                </c:pt>
                <c:pt idx="1863">
                  <c:v>149517</c:v>
                </c:pt>
                <c:pt idx="1864">
                  <c:v>133030</c:v>
                </c:pt>
                <c:pt idx="1865">
                  <c:v>154233</c:v>
                </c:pt>
                <c:pt idx="1866">
                  <c:v>140389</c:v>
                </c:pt>
                <c:pt idx="1867">
                  <c:v>140912</c:v>
                </c:pt>
                <c:pt idx="1868">
                  <c:v>157679</c:v>
                </c:pt>
                <c:pt idx="1869">
                  <c:v>154824</c:v>
                </c:pt>
                <c:pt idx="1870">
                  <c:v>147275</c:v>
                </c:pt>
                <c:pt idx="1871">
                  <c:v>137378</c:v>
                </c:pt>
                <c:pt idx="1872">
                  <c:v>150879</c:v>
                </c:pt>
                <c:pt idx="1873">
                  <c:v>139178</c:v>
                </c:pt>
                <c:pt idx="1874">
                  <c:v>136592</c:v>
                </c:pt>
                <c:pt idx="1875">
                  <c:v>130094</c:v>
                </c:pt>
                <c:pt idx="1876">
                  <c:v>133987</c:v>
                </c:pt>
                <c:pt idx="1877">
                  <c:v>145145</c:v>
                </c:pt>
                <c:pt idx="1878">
                  <c:v>125672</c:v>
                </c:pt>
                <c:pt idx="1879">
                  <c:v>142419</c:v>
                </c:pt>
                <c:pt idx="1880">
                  <c:v>139027</c:v>
                </c:pt>
                <c:pt idx="1881">
                  <c:v>144293</c:v>
                </c:pt>
                <c:pt idx="1882">
                  <c:v>159366</c:v>
                </c:pt>
                <c:pt idx="1883">
                  <c:v>143278</c:v>
                </c:pt>
                <c:pt idx="1884">
                  <c:v>130668</c:v>
                </c:pt>
                <c:pt idx="1885">
                  <c:v>133173</c:v>
                </c:pt>
                <c:pt idx="1886">
                  <c:v>150994</c:v>
                </c:pt>
                <c:pt idx="1887">
                  <c:v>164189</c:v>
                </c:pt>
                <c:pt idx="1888">
                  <c:v>149204</c:v>
                </c:pt>
                <c:pt idx="1889">
                  <c:v>127118</c:v>
                </c:pt>
                <c:pt idx="1890">
                  <c:v>130909</c:v>
                </c:pt>
                <c:pt idx="1891">
                  <c:v>152217</c:v>
                </c:pt>
                <c:pt idx="1892">
                  <c:v>132866</c:v>
                </c:pt>
                <c:pt idx="1893">
                  <c:v>117447</c:v>
                </c:pt>
                <c:pt idx="1894">
                  <c:v>129411</c:v>
                </c:pt>
                <c:pt idx="1895">
                  <c:v>150868</c:v>
                </c:pt>
                <c:pt idx="1896">
                  <c:v>175687</c:v>
                </c:pt>
                <c:pt idx="1897">
                  <c:v>174420</c:v>
                </c:pt>
                <c:pt idx="1898">
                  <c:v>147700</c:v>
                </c:pt>
                <c:pt idx="1899">
                  <c:v>158270</c:v>
                </c:pt>
                <c:pt idx="1900">
                  <c:v>164419</c:v>
                </c:pt>
                <c:pt idx="1901">
                  <c:v>159426</c:v>
                </c:pt>
                <c:pt idx="1902">
                  <c:v>158170</c:v>
                </c:pt>
                <c:pt idx="1903">
                  <c:v>164232</c:v>
                </c:pt>
                <c:pt idx="1904">
                  <c:v>151376</c:v>
                </c:pt>
                <c:pt idx="1905">
                  <c:v>142211</c:v>
                </c:pt>
                <c:pt idx="1906">
                  <c:v>42874</c:v>
                </c:pt>
                <c:pt idx="1907">
                  <c:v>97574</c:v>
                </c:pt>
                <c:pt idx="1908">
                  <c:v>73047</c:v>
                </c:pt>
                <c:pt idx="1909">
                  <c:v>53059</c:v>
                </c:pt>
                <c:pt idx="1910">
                  <c:v>48015</c:v>
                </c:pt>
                <c:pt idx="1911">
                  <c:v>42563</c:v>
                </c:pt>
                <c:pt idx="1912">
                  <c:v>38587</c:v>
                </c:pt>
                <c:pt idx="1913">
                  <c:v>35462</c:v>
                </c:pt>
                <c:pt idx="1914">
                  <c:v>49416</c:v>
                </c:pt>
                <c:pt idx="1915">
                  <c:v>54470</c:v>
                </c:pt>
                <c:pt idx="1916">
                  <c:v>49376</c:v>
                </c:pt>
                <c:pt idx="1917">
                  <c:v>45937</c:v>
                </c:pt>
                <c:pt idx="1918">
                  <c:v>52882</c:v>
                </c:pt>
                <c:pt idx="1919">
                  <c:v>54628</c:v>
                </c:pt>
                <c:pt idx="1920">
                  <c:v>45483</c:v>
                </c:pt>
                <c:pt idx="1921">
                  <c:v>54417</c:v>
                </c:pt>
                <c:pt idx="1922">
                  <c:v>61269</c:v>
                </c:pt>
                <c:pt idx="1923">
                  <c:v>67083</c:v>
                </c:pt>
                <c:pt idx="1924">
                  <c:v>63886</c:v>
                </c:pt>
                <c:pt idx="1925">
                  <c:v>57835</c:v>
                </c:pt>
                <c:pt idx="1926">
                  <c:v>61024</c:v>
                </c:pt>
                <c:pt idx="1927">
                  <c:v>53950</c:v>
                </c:pt>
                <c:pt idx="1928">
                  <c:v>69587</c:v>
                </c:pt>
                <c:pt idx="1929">
                  <c:v>64555</c:v>
                </c:pt>
                <c:pt idx="1930">
                  <c:v>75208</c:v>
                </c:pt>
                <c:pt idx="1931">
                  <c:v>78671</c:v>
                </c:pt>
                <c:pt idx="1932">
                  <c:v>86057</c:v>
                </c:pt>
                <c:pt idx="1933">
                  <c:v>89430</c:v>
                </c:pt>
                <c:pt idx="1934">
                  <c:v>80760</c:v>
                </c:pt>
                <c:pt idx="1935">
                  <c:v>107714</c:v>
                </c:pt>
                <c:pt idx="1936">
                  <c:v>106109</c:v>
                </c:pt>
                <c:pt idx="1937">
                  <c:v>106959</c:v>
                </c:pt>
                <c:pt idx="1938">
                  <c:v>102730</c:v>
                </c:pt>
                <c:pt idx="1939">
                  <c:v>97504</c:v>
                </c:pt>
                <c:pt idx="1940">
                  <c:v>88020</c:v>
                </c:pt>
                <c:pt idx="1941">
                  <c:v>67450</c:v>
                </c:pt>
                <c:pt idx="1942">
                  <c:v>86028</c:v>
                </c:pt>
                <c:pt idx="1943">
                  <c:v>79861</c:v>
                </c:pt>
                <c:pt idx="1944">
                  <c:v>75650</c:v>
                </c:pt>
                <c:pt idx="1945">
                  <c:v>74435</c:v>
                </c:pt>
                <c:pt idx="1946">
                  <c:v>69584</c:v>
                </c:pt>
                <c:pt idx="1947">
                  <c:v>71796</c:v>
                </c:pt>
                <c:pt idx="1948">
                  <c:v>58063</c:v>
                </c:pt>
                <c:pt idx="1949">
                  <c:v>83308</c:v>
                </c:pt>
                <c:pt idx="1950">
                  <c:v>87926</c:v>
                </c:pt>
                <c:pt idx="1951">
                  <c:v>87311</c:v>
                </c:pt>
                <c:pt idx="1952">
                  <c:v>74929</c:v>
                </c:pt>
                <c:pt idx="1953">
                  <c:v>78608</c:v>
                </c:pt>
                <c:pt idx="1954">
                  <c:v>81648</c:v>
                </c:pt>
                <c:pt idx="1955">
                  <c:v>71075</c:v>
                </c:pt>
                <c:pt idx="1956">
                  <c:v>95434</c:v>
                </c:pt>
                <c:pt idx="1957">
                  <c:v>97802</c:v>
                </c:pt>
                <c:pt idx="1958">
                  <c:v>102793</c:v>
                </c:pt>
                <c:pt idx="1959">
                  <c:v>97431</c:v>
                </c:pt>
                <c:pt idx="1960">
                  <c:v>95497</c:v>
                </c:pt>
                <c:pt idx="1961">
                  <c:v>89045</c:v>
                </c:pt>
                <c:pt idx="1962">
                  <c:v>78301</c:v>
                </c:pt>
                <c:pt idx="1963">
                  <c:v>89762</c:v>
                </c:pt>
                <c:pt idx="1964">
                  <c:v>97947</c:v>
                </c:pt>
                <c:pt idx="1965">
                  <c:v>99574</c:v>
                </c:pt>
                <c:pt idx="1966">
                  <c:v>102215</c:v>
                </c:pt>
                <c:pt idx="1967">
                  <c:v>105012</c:v>
                </c:pt>
                <c:pt idx="1968">
                  <c:v>107193</c:v>
                </c:pt>
                <c:pt idx="1969">
                  <c:v>80606</c:v>
                </c:pt>
                <c:pt idx="1970">
                  <c:v>95598</c:v>
                </c:pt>
                <c:pt idx="1971">
                  <c:v>109705</c:v>
                </c:pt>
                <c:pt idx="1972">
                  <c:v>110255</c:v>
                </c:pt>
                <c:pt idx="1973">
                  <c:v>109330</c:v>
                </c:pt>
                <c:pt idx="1974">
                  <c:v>118005</c:v>
                </c:pt>
                <c:pt idx="1975">
                  <c:v>117818</c:v>
                </c:pt>
                <c:pt idx="1976">
                  <c:v>101466</c:v>
                </c:pt>
                <c:pt idx="1977">
                  <c:v>118616</c:v>
                </c:pt>
                <c:pt idx="1978">
                  <c:v>121273</c:v>
                </c:pt>
                <c:pt idx="1979">
                  <c:v>125624</c:v>
                </c:pt>
                <c:pt idx="1980">
                  <c:v>124772</c:v>
                </c:pt>
                <c:pt idx="1981">
                  <c:v>121733</c:v>
                </c:pt>
                <c:pt idx="1982">
                  <c:v>126482</c:v>
                </c:pt>
                <c:pt idx="1983">
                  <c:v>115257</c:v>
                </c:pt>
                <c:pt idx="1984">
                  <c:v>120656</c:v>
                </c:pt>
                <c:pt idx="1985">
                  <c:v>122835</c:v>
                </c:pt>
                <c:pt idx="1986">
                  <c:v>122484</c:v>
                </c:pt>
                <c:pt idx="1987">
                  <c:v>123716</c:v>
                </c:pt>
                <c:pt idx="1988">
                  <c:v>123962</c:v>
                </c:pt>
                <c:pt idx="1989">
                  <c:v>125255</c:v>
                </c:pt>
                <c:pt idx="1990">
                  <c:v>116282</c:v>
                </c:pt>
                <c:pt idx="1991">
                  <c:v>125271</c:v>
                </c:pt>
                <c:pt idx="1992">
                  <c:v>125005</c:v>
                </c:pt>
                <c:pt idx="1993">
                  <c:v>130187</c:v>
                </c:pt>
                <c:pt idx="1994">
                  <c:v>127829</c:v>
                </c:pt>
                <c:pt idx="1995">
                  <c:v>129811</c:v>
                </c:pt>
                <c:pt idx="1996">
                  <c:v>123359</c:v>
                </c:pt>
                <c:pt idx="1997">
                  <c:v>107835</c:v>
                </c:pt>
                <c:pt idx="1998">
                  <c:v>119471</c:v>
                </c:pt>
                <c:pt idx="1999">
                  <c:v>125525</c:v>
                </c:pt>
                <c:pt idx="2000">
                  <c:v>119745</c:v>
                </c:pt>
                <c:pt idx="2001">
                  <c:v>119212</c:v>
                </c:pt>
                <c:pt idx="2002">
                  <c:v>125137</c:v>
                </c:pt>
                <c:pt idx="2003">
                  <c:v>129269</c:v>
                </c:pt>
                <c:pt idx="2004">
                  <c:v>116218</c:v>
                </c:pt>
                <c:pt idx="2005">
                  <c:v>124327</c:v>
                </c:pt>
                <c:pt idx="2006">
                  <c:v>127874</c:v>
                </c:pt>
                <c:pt idx="2007">
                  <c:v>130387</c:v>
                </c:pt>
                <c:pt idx="2008">
                  <c:v>124280</c:v>
                </c:pt>
                <c:pt idx="2009">
                  <c:v>113885</c:v>
                </c:pt>
                <c:pt idx="2010">
                  <c:v>123363</c:v>
                </c:pt>
                <c:pt idx="2011">
                  <c:v>94156</c:v>
                </c:pt>
                <c:pt idx="2012">
                  <c:v>116907</c:v>
                </c:pt>
                <c:pt idx="2013">
                  <c:v>120381</c:v>
                </c:pt>
                <c:pt idx="2014">
                  <c:v>129728</c:v>
                </c:pt>
                <c:pt idx="2015">
                  <c:v>130870</c:v>
                </c:pt>
                <c:pt idx="2016">
                  <c:v>127480</c:v>
                </c:pt>
                <c:pt idx="2017">
                  <c:v>126246</c:v>
                </c:pt>
                <c:pt idx="2018">
                  <c:v>99517</c:v>
                </c:pt>
                <c:pt idx="2019">
                  <c:v>126242</c:v>
                </c:pt>
                <c:pt idx="2020">
                  <c:v>125997</c:v>
                </c:pt>
                <c:pt idx="2021">
                  <c:v>123162</c:v>
                </c:pt>
                <c:pt idx="2022">
                  <c:v>126868</c:v>
                </c:pt>
                <c:pt idx="2023">
                  <c:v>125137</c:v>
                </c:pt>
                <c:pt idx="2024">
                  <c:v>129717</c:v>
                </c:pt>
                <c:pt idx="2025">
                  <c:v>89412</c:v>
                </c:pt>
                <c:pt idx="2026">
                  <c:v>128530</c:v>
                </c:pt>
                <c:pt idx="2027">
                  <c:v>120055</c:v>
                </c:pt>
                <c:pt idx="2028">
                  <c:v>123611</c:v>
                </c:pt>
                <c:pt idx="2029">
                  <c:v>124499</c:v>
                </c:pt>
                <c:pt idx="2030">
                  <c:v>121482</c:v>
                </c:pt>
                <c:pt idx="2031">
                  <c:v>116514</c:v>
                </c:pt>
                <c:pt idx="2032">
                  <c:v>96362</c:v>
                </c:pt>
                <c:pt idx="2033">
                  <c:v>122770</c:v>
                </c:pt>
                <c:pt idx="2034">
                  <c:v>124510</c:v>
                </c:pt>
                <c:pt idx="2035">
                  <c:v>115284</c:v>
                </c:pt>
                <c:pt idx="2036">
                  <c:v>124072</c:v>
                </c:pt>
                <c:pt idx="2037">
                  <c:v>119856</c:v>
                </c:pt>
                <c:pt idx="2038">
                  <c:v>98750</c:v>
                </c:pt>
                <c:pt idx="2039">
                  <c:v>90411</c:v>
                </c:pt>
                <c:pt idx="2040">
                  <c:v>108549</c:v>
                </c:pt>
                <c:pt idx="2041">
                  <c:v>118359</c:v>
                </c:pt>
                <c:pt idx="2042">
                  <c:v>113568</c:v>
                </c:pt>
                <c:pt idx="2043">
                  <c:v>115710</c:v>
                </c:pt>
                <c:pt idx="2044">
                  <c:v>119276</c:v>
                </c:pt>
                <c:pt idx="2045">
                  <c:v>114158</c:v>
                </c:pt>
                <c:pt idx="2046">
                  <c:v>89673</c:v>
                </c:pt>
                <c:pt idx="2047">
                  <c:v>114879</c:v>
                </c:pt>
                <c:pt idx="2048">
                  <c:v>101948</c:v>
                </c:pt>
                <c:pt idx="2049">
                  <c:v>111453</c:v>
                </c:pt>
                <c:pt idx="2050">
                  <c:v>103821</c:v>
                </c:pt>
                <c:pt idx="2051">
                  <c:v>122465</c:v>
                </c:pt>
                <c:pt idx="2052">
                  <c:v>90182</c:v>
                </c:pt>
                <c:pt idx="2053">
                  <c:v>98720</c:v>
                </c:pt>
                <c:pt idx="2054">
                  <c:v>124756</c:v>
                </c:pt>
                <c:pt idx="2055">
                  <c:v>123192</c:v>
                </c:pt>
                <c:pt idx="2056">
                  <c:v>110268</c:v>
                </c:pt>
                <c:pt idx="2057">
                  <c:v>111932</c:v>
                </c:pt>
                <c:pt idx="2058">
                  <c:v>113622</c:v>
                </c:pt>
                <c:pt idx="2059">
                  <c:v>98016</c:v>
                </c:pt>
                <c:pt idx="2060">
                  <c:v>92637</c:v>
                </c:pt>
                <c:pt idx="2061">
                  <c:v>134737</c:v>
                </c:pt>
                <c:pt idx="2062">
                  <c:v>137954</c:v>
                </c:pt>
                <c:pt idx="2063">
                  <c:v>123992</c:v>
                </c:pt>
                <c:pt idx="2064">
                  <c:v>120736</c:v>
                </c:pt>
                <c:pt idx="2065">
                  <c:v>116253</c:v>
                </c:pt>
                <c:pt idx="2066">
                  <c:v>122622</c:v>
                </c:pt>
                <c:pt idx="2067">
                  <c:v>96803</c:v>
                </c:pt>
                <c:pt idx="2068">
                  <c:v>119512</c:v>
                </c:pt>
                <c:pt idx="2069">
                  <c:v>116849</c:v>
                </c:pt>
                <c:pt idx="2070">
                  <c:v>123607</c:v>
                </c:pt>
                <c:pt idx="2071">
                  <c:v>128722</c:v>
                </c:pt>
                <c:pt idx="2072">
                  <c:v>128813</c:v>
                </c:pt>
                <c:pt idx="2073">
                  <c:v>121314</c:v>
                </c:pt>
                <c:pt idx="2074">
                  <c:v>113927</c:v>
                </c:pt>
                <c:pt idx="2075">
                  <c:v>123691</c:v>
                </c:pt>
                <c:pt idx="2076">
                  <c:v>129651</c:v>
                </c:pt>
                <c:pt idx="2077">
                  <c:v>118826</c:v>
                </c:pt>
                <c:pt idx="2078">
                  <c:v>126883</c:v>
                </c:pt>
                <c:pt idx="2079">
                  <c:v>120101</c:v>
                </c:pt>
                <c:pt idx="2080">
                  <c:v>131838</c:v>
                </c:pt>
                <c:pt idx="2081">
                  <c:v>112333</c:v>
                </c:pt>
                <c:pt idx="2082">
                  <c:v>135908</c:v>
                </c:pt>
                <c:pt idx="2083">
                  <c:v>131119</c:v>
                </c:pt>
                <c:pt idx="2084">
                  <c:v>131238</c:v>
                </c:pt>
                <c:pt idx="2085">
                  <c:v>127894</c:v>
                </c:pt>
                <c:pt idx="2086">
                  <c:v>141600</c:v>
                </c:pt>
                <c:pt idx="2087">
                  <c:v>139672</c:v>
                </c:pt>
                <c:pt idx="2088">
                  <c:v>127872</c:v>
                </c:pt>
                <c:pt idx="2089">
                  <c:v>127919</c:v>
                </c:pt>
                <c:pt idx="2090">
                  <c:v>131332</c:v>
                </c:pt>
                <c:pt idx="2091">
                  <c:v>133077</c:v>
                </c:pt>
                <c:pt idx="2092">
                  <c:v>136556</c:v>
                </c:pt>
                <c:pt idx="2093">
                  <c:v>112252</c:v>
                </c:pt>
                <c:pt idx="2094">
                  <c:v>132421</c:v>
                </c:pt>
                <c:pt idx="2095">
                  <c:v>122175</c:v>
                </c:pt>
                <c:pt idx="2096">
                  <c:v>128328</c:v>
                </c:pt>
                <c:pt idx="2097">
                  <c:v>127425</c:v>
                </c:pt>
                <c:pt idx="2098">
                  <c:v>125335</c:v>
                </c:pt>
                <c:pt idx="2099">
                  <c:v>122916</c:v>
                </c:pt>
                <c:pt idx="2100">
                  <c:v>118775</c:v>
                </c:pt>
                <c:pt idx="2101">
                  <c:v>123355</c:v>
                </c:pt>
                <c:pt idx="2102">
                  <c:v>109302</c:v>
                </c:pt>
                <c:pt idx="2103">
                  <c:v>120070</c:v>
                </c:pt>
                <c:pt idx="2104">
                  <c:v>119231</c:v>
                </c:pt>
                <c:pt idx="2105">
                  <c:v>125770</c:v>
                </c:pt>
                <c:pt idx="2106">
                  <c:v>125874</c:v>
                </c:pt>
                <c:pt idx="2107">
                  <c:v>118701</c:v>
                </c:pt>
                <c:pt idx="2108">
                  <c:v>123156</c:v>
                </c:pt>
                <c:pt idx="2109">
                  <c:v>116814</c:v>
                </c:pt>
                <c:pt idx="2110">
                  <c:v>119550</c:v>
                </c:pt>
                <c:pt idx="2111">
                  <c:v>121306</c:v>
                </c:pt>
                <c:pt idx="2112">
                  <c:v>123355</c:v>
                </c:pt>
                <c:pt idx="2113">
                  <c:v>135583</c:v>
                </c:pt>
                <c:pt idx="2114">
                  <c:v>124047</c:v>
                </c:pt>
                <c:pt idx="2115">
                  <c:v>118427</c:v>
                </c:pt>
                <c:pt idx="2116">
                  <c:v>99600</c:v>
                </c:pt>
                <c:pt idx="2117">
                  <c:v>116524</c:v>
                </c:pt>
                <c:pt idx="2118">
                  <c:v>116546</c:v>
                </c:pt>
                <c:pt idx="2119">
                  <c:v>113646</c:v>
                </c:pt>
                <c:pt idx="2120">
                  <c:v>114959</c:v>
                </c:pt>
                <c:pt idx="2121">
                  <c:v>111235</c:v>
                </c:pt>
                <c:pt idx="2122">
                  <c:v>111086</c:v>
                </c:pt>
                <c:pt idx="2123">
                  <c:v>100295</c:v>
                </c:pt>
                <c:pt idx="2124">
                  <c:v>112405</c:v>
                </c:pt>
                <c:pt idx="2125">
                  <c:v>108336</c:v>
                </c:pt>
                <c:pt idx="2126">
                  <c:v>114961</c:v>
                </c:pt>
                <c:pt idx="2127">
                  <c:v>102729</c:v>
                </c:pt>
                <c:pt idx="2128">
                  <c:v>106478</c:v>
                </c:pt>
                <c:pt idx="2129">
                  <c:v>109003</c:v>
                </c:pt>
                <c:pt idx="2130">
                  <c:v>109331</c:v>
                </c:pt>
                <c:pt idx="2131">
                  <c:v>130710</c:v>
                </c:pt>
                <c:pt idx="2132">
                  <c:v>132588</c:v>
                </c:pt>
                <c:pt idx="2133">
                  <c:v>123886</c:v>
                </c:pt>
                <c:pt idx="2134">
                  <c:v>124225</c:v>
                </c:pt>
                <c:pt idx="2135">
                  <c:v>122206</c:v>
                </c:pt>
                <c:pt idx="2136">
                  <c:v>138539</c:v>
                </c:pt>
                <c:pt idx="2137">
                  <c:v>128224</c:v>
                </c:pt>
                <c:pt idx="2138">
                  <c:v>137320</c:v>
                </c:pt>
                <c:pt idx="2139">
                  <c:v>139932</c:v>
                </c:pt>
                <c:pt idx="2140">
                  <c:v>135810</c:v>
                </c:pt>
                <c:pt idx="2141">
                  <c:v>130525</c:v>
                </c:pt>
                <c:pt idx="2142">
                  <c:v>106601</c:v>
                </c:pt>
                <c:pt idx="2143">
                  <c:v>66273</c:v>
                </c:pt>
                <c:pt idx="2144">
                  <c:v>86365</c:v>
                </c:pt>
                <c:pt idx="2145">
                  <c:v>100429</c:v>
                </c:pt>
                <c:pt idx="2146">
                  <c:v>123214</c:v>
                </c:pt>
                <c:pt idx="2147">
                  <c:v>129113</c:v>
                </c:pt>
                <c:pt idx="2148">
                  <c:v>134338</c:v>
                </c:pt>
                <c:pt idx="2149">
                  <c:v>121988</c:v>
                </c:pt>
                <c:pt idx="2150">
                  <c:v>132669</c:v>
                </c:pt>
                <c:pt idx="2151">
                  <c:v>124249</c:v>
                </c:pt>
                <c:pt idx="2152">
                  <c:v>138247</c:v>
                </c:pt>
                <c:pt idx="2153">
                  <c:v>120891</c:v>
                </c:pt>
                <c:pt idx="2154">
                  <c:v>113843</c:v>
                </c:pt>
                <c:pt idx="2155">
                  <c:v>98698</c:v>
                </c:pt>
                <c:pt idx="2156">
                  <c:v>118436</c:v>
                </c:pt>
                <c:pt idx="2157">
                  <c:v>123441</c:v>
                </c:pt>
                <c:pt idx="2158">
                  <c:v>114761</c:v>
                </c:pt>
                <c:pt idx="2159">
                  <c:v>107681</c:v>
                </c:pt>
                <c:pt idx="2160">
                  <c:v>105159</c:v>
                </c:pt>
                <c:pt idx="2161">
                  <c:v>106017</c:v>
                </c:pt>
                <c:pt idx="2162">
                  <c:v>99578</c:v>
                </c:pt>
                <c:pt idx="2163">
                  <c:v>95239</c:v>
                </c:pt>
                <c:pt idx="2164">
                  <c:v>106705</c:v>
                </c:pt>
                <c:pt idx="2165">
                  <c:v>98600</c:v>
                </c:pt>
                <c:pt idx="2166">
                  <c:v>103122</c:v>
                </c:pt>
                <c:pt idx="2167">
                  <c:v>83861</c:v>
                </c:pt>
                <c:pt idx="2168">
                  <c:v>105828</c:v>
                </c:pt>
                <c:pt idx="2169">
                  <c:v>109781</c:v>
                </c:pt>
                <c:pt idx="2170">
                  <c:v>103282</c:v>
                </c:pt>
                <c:pt idx="2171">
                  <c:v>75497</c:v>
                </c:pt>
                <c:pt idx="2172">
                  <c:v>70696</c:v>
                </c:pt>
                <c:pt idx="2173">
                  <c:v>104989</c:v>
                </c:pt>
                <c:pt idx="2174">
                  <c:v>108586</c:v>
                </c:pt>
                <c:pt idx="2175">
                  <c:v>107096</c:v>
                </c:pt>
                <c:pt idx="2176">
                  <c:v>106763</c:v>
                </c:pt>
                <c:pt idx="2177">
                  <c:v>112334</c:v>
                </c:pt>
                <c:pt idx="2178">
                  <c:v>116092</c:v>
                </c:pt>
                <c:pt idx="2179">
                  <c:v>106099</c:v>
                </c:pt>
                <c:pt idx="2180">
                  <c:v>111447</c:v>
                </c:pt>
                <c:pt idx="2181">
                  <c:v>117894</c:v>
                </c:pt>
                <c:pt idx="2182">
                  <c:v>115322</c:v>
                </c:pt>
                <c:pt idx="2183">
                  <c:v>117871</c:v>
                </c:pt>
                <c:pt idx="2184">
                  <c:v>106254</c:v>
                </c:pt>
                <c:pt idx="2185">
                  <c:v>117988</c:v>
                </c:pt>
                <c:pt idx="2186">
                  <c:v>103830</c:v>
                </c:pt>
                <c:pt idx="2187">
                  <c:v>107341</c:v>
                </c:pt>
                <c:pt idx="2188">
                  <c:v>113621</c:v>
                </c:pt>
                <c:pt idx="2189">
                  <c:v>113563</c:v>
                </c:pt>
                <c:pt idx="2190">
                  <c:v>106056</c:v>
                </c:pt>
                <c:pt idx="2191">
                  <c:v>78633</c:v>
                </c:pt>
                <c:pt idx="2192">
                  <c:v>112216</c:v>
                </c:pt>
                <c:pt idx="2193">
                  <c:v>90811</c:v>
                </c:pt>
                <c:pt idx="2194">
                  <c:v>106092</c:v>
                </c:pt>
                <c:pt idx="2195">
                  <c:v>105653</c:v>
                </c:pt>
                <c:pt idx="2196">
                  <c:v>108392</c:v>
                </c:pt>
                <c:pt idx="2197">
                  <c:v>115399</c:v>
                </c:pt>
                <c:pt idx="2198">
                  <c:v>115614</c:v>
                </c:pt>
                <c:pt idx="2199">
                  <c:v>116432</c:v>
                </c:pt>
                <c:pt idx="2200">
                  <c:v>105811</c:v>
                </c:pt>
                <c:pt idx="2201">
                  <c:v>115165</c:v>
                </c:pt>
                <c:pt idx="2202">
                  <c:v>111458</c:v>
                </c:pt>
                <c:pt idx="2203">
                  <c:v>106066</c:v>
                </c:pt>
                <c:pt idx="2204">
                  <c:v>87857</c:v>
                </c:pt>
                <c:pt idx="2205">
                  <c:v>97804</c:v>
                </c:pt>
                <c:pt idx="2206">
                  <c:v>100445</c:v>
                </c:pt>
                <c:pt idx="2207">
                  <c:v>96828</c:v>
                </c:pt>
                <c:pt idx="2208">
                  <c:v>109559</c:v>
                </c:pt>
                <c:pt idx="2209">
                  <c:v>113771</c:v>
                </c:pt>
                <c:pt idx="2210">
                  <c:v>110284</c:v>
                </c:pt>
                <c:pt idx="2211">
                  <c:v>110628</c:v>
                </c:pt>
                <c:pt idx="2212">
                  <c:v>110375</c:v>
                </c:pt>
                <c:pt idx="2213">
                  <c:v>106238</c:v>
                </c:pt>
                <c:pt idx="2214">
                  <c:v>97096</c:v>
                </c:pt>
                <c:pt idx="2215">
                  <c:v>97296</c:v>
                </c:pt>
                <c:pt idx="2216">
                  <c:v>74433</c:v>
                </c:pt>
                <c:pt idx="2217">
                  <c:v>104376</c:v>
                </c:pt>
                <c:pt idx="2218">
                  <c:v>109304</c:v>
                </c:pt>
                <c:pt idx="2219">
                  <c:v>105376</c:v>
                </c:pt>
                <c:pt idx="2220">
                  <c:v>114774</c:v>
                </c:pt>
                <c:pt idx="2221">
                  <c:v>96810</c:v>
                </c:pt>
                <c:pt idx="2222">
                  <c:v>116078</c:v>
                </c:pt>
                <c:pt idx="2223">
                  <c:v>118770</c:v>
                </c:pt>
                <c:pt idx="2224">
                  <c:v>118715</c:v>
                </c:pt>
                <c:pt idx="2225">
                  <c:v>114989</c:v>
                </c:pt>
                <c:pt idx="2226">
                  <c:v>122142</c:v>
                </c:pt>
                <c:pt idx="2227">
                  <c:v>115621</c:v>
                </c:pt>
                <c:pt idx="2228">
                  <c:v>100436</c:v>
                </c:pt>
                <c:pt idx="2229">
                  <c:v>109963</c:v>
                </c:pt>
                <c:pt idx="2230">
                  <c:v>112499</c:v>
                </c:pt>
                <c:pt idx="2231">
                  <c:v>114897</c:v>
                </c:pt>
                <c:pt idx="2232">
                  <c:v>118645</c:v>
                </c:pt>
                <c:pt idx="2233">
                  <c:v>116353</c:v>
                </c:pt>
                <c:pt idx="2234">
                  <c:v>114611</c:v>
                </c:pt>
                <c:pt idx="2235">
                  <c:v>99911</c:v>
                </c:pt>
                <c:pt idx="2236">
                  <c:v>110102</c:v>
                </c:pt>
                <c:pt idx="2237">
                  <c:v>112327</c:v>
                </c:pt>
                <c:pt idx="2238">
                  <c:v>115784</c:v>
                </c:pt>
                <c:pt idx="2239">
                  <c:v>117933</c:v>
                </c:pt>
                <c:pt idx="2240">
                  <c:v>119787</c:v>
                </c:pt>
                <c:pt idx="2241">
                  <c:v>118470</c:v>
                </c:pt>
                <c:pt idx="2242">
                  <c:v>101495</c:v>
                </c:pt>
                <c:pt idx="2243">
                  <c:v>112743</c:v>
                </c:pt>
                <c:pt idx="2244">
                  <c:v>117910</c:v>
                </c:pt>
                <c:pt idx="2245">
                  <c:v>113540</c:v>
                </c:pt>
                <c:pt idx="2246">
                  <c:v>113152</c:v>
                </c:pt>
                <c:pt idx="2247">
                  <c:v>109067</c:v>
                </c:pt>
                <c:pt idx="2248">
                  <c:v>108024</c:v>
                </c:pt>
                <c:pt idx="2249">
                  <c:v>96880</c:v>
                </c:pt>
                <c:pt idx="2250">
                  <c:v>113508</c:v>
                </c:pt>
                <c:pt idx="2251">
                  <c:v>113174</c:v>
                </c:pt>
                <c:pt idx="2252">
                  <c:v>118655</c:v>
                </c:pt>
                <c:pt idx="2253">
                  <c:v>120980</c:v>
                </c:pt>
                <c:pt idx="2254">
                  <c:v>118620</c:v>
                </c:pt>
                <c:pt idx="2255">
                  <c:v>120326</c:v>
                </c:pt>
                <c:pt idx="2256">
                  <c:v>105408</c:v>
                </c:pt>
                <c:pt idx="2257">
                  <c:v>113649</c:v>
                </c:pt>
                <c:pt idx="2258">
                  <c:v>119455</c:v>
                </c:pt>
                <c:pt idx="2259">
                  <c:v>123743</c:v>
                </c:pt>
                <c:pt idx="2260">
                  <c:v>108760</c:v>
                </c:pt>
                <c:pt idx="2261">
                  <c:v>120241</c:v>
                </c:pt>
                <c:pt idx="2262">
                  <c:v>127968</c:v>
                </c:pt>
                <c:pt idx="2263">
                  <c:v>118738</c:v>
                </c:pt>
                <c:pt idx="2264">
                  <c:v>120228</c:v>
                </c:pt>
                <c:pt idx="2265">
                  <c:v>132054</c:v>
                </c:pt>
                <c:pt idx="2266">
                  <c:v>126550</c:v>
                </c:pt>
                <c:pt idx="2267">
                  <c:v>125787</c:v>
                </c:pt>
                <c:pt idx="2268">
                  <c:v>118558</c:v>
                </c:pt>
                <c:pt idx="2269">
                  <c:v>117246</c:v>
                </c:pt>
                <c:pt idx="2270">
                  <c:v>115092</c:v>
                </c:pt>
                <c:pt idx="2271">
                  <c:v>138077</c:v>
                </c:pt>
                <c:pt idx="2272">
                  <c:v>124629</c:v>
                </c:pt>
                <c:pt idx="2273">
                  <c:v>134742</c:v>
                </c:pt>
                <c:pt idx="2274">
                  <c:v>130642</c:v>
                </c:pt>
                <c:pt idx="2275">
                  <c:v>131191</c:v>
                </c:pt>
                <c:pt idx="2276">
                  <c:v>134235</c:v>
                </c:pt>
                <c:pt idx="2277">
                  <c:v>102682</c:v>
                </c:pt>
                <c:pt idx="2278">
                  <c:v>93696</c:v>
                </c:pt>
                <c:pt idx="2279">
                  <c:v>86904</c:v>
                </c:pt>
                <c:pt idx="2280">
                  <c:v>97380</c:v>
                </c:pt>
                <c:pt idx="2281">
                  <c:v>108334</c:v>
                </c:pt>
                <c:pt idx="2282">
                  <c:v>114683</c:v>
                </c:pt>
                <c:pt idx="2283">
                  <c:v>108608</c:v>
                </c:pt>
                <c:pt idx="2284">
                  <c:v>88254</c:v>
                </c:pt>
                <c:pt idx="2285">
                  <c:v>78118</c:v>
                </c:pt>
                <c:pt idx="2286">
                  <c:v>77376</c:v>
                </c:pt>
                <c:pt idx="2287">
                  <c:v>95187</c:v>
                </c:pt>
                <c:pt idx="2288">
                  <c:v>137680</c:v>
                </c:pt>
                <c:pt idx="2289">
                  <c:v>169868</c:v>
                </c:pt>
                <c:pt idx="2290">
                  <c:v>170959</c:v>
                </c:pt>
                <c:pt idx="2291">
                  <c:v>159586</c:v>
                </c:pt>
                <c:pt idx="2292">
                  <c:v>162793</c:v>
                </c:pt>
                <c:pt idx="2293">
                  <c:v>154115</c:v>
                </c:pt>
                <c:pt idx="2294">
                  <c:v>139374</c:v>
                </c:pt>
                <c:pt idx="2295">
                  <c:v>142617</c:v>
                </c:pt>
                <c:pt idx="2296">
                  <c:v>135308</c:v>
                </c:pt>
                <c:pt idx="2297">
                  <c:v>133407</c:v>
                </c:pt>
                <c:pt idx="2298">
                  <c:v>111606</c:v>
                </c:pt>
                <c:pt idx="2299">
                  <c:v>127569</c:v>
                </c:pt>
                <c:pt idx="2300">
                  <c:v>128124</c:v>
                </c:pt>
                <c:pt idx="2301">
                  <c:v>128201</c:v>
                </c:pt>
                <c:pt idx="2302">
                  <c:v>126404</c:v>
                </c:pt>
                <c:pt idx="2303">
                  <c:v>121181</c:v>
                </c:pt>
                <c:pt idx="2304">
                  <c:v>109850</c:v>
                </c:pt>
                <c:pt idx="2305">
                  <c:v>65895</c:v>
                </c:pt>
                <c:pt idx="2306">
                  <c:v>110029</c:v>
                </c:pt>
                <c:pt idx="2307">
                  <c:v>103327</c:v>
                </c:pt>
                <c:pt idx="2308">
                  <c:v>104966</c:v>
                </c:pt>
                <c:pt idx="2309">
                  <c:v>101920</c:v>
                </c:pt>
                <c:pt idx="2310">
                  <c:v>100472</c:v>
                </c:pt>
                <c:pt idx="2311">
                  <c:v>79938</c:v>
                </c:pt>
                <c:pt idx="2312">
                  <c:v>50227</c:v>
                </c:pt>
                <c:pt idx="2313">
                  <c:v>91412</c:v>
                </c:pt>
                <c:pt idx="2314">
                  <c:v>108685</c:v>
                </c:pt>
                <c:pt idx="2315">
                  <c:v>112851</c:v>
                </c:pt>
                <c:pt idx="2316">
                  <c:v>99917</c:v>
                </c:pt>
                <c:pt idx="2317">
                  <c:v>102892</c:v>
                </c:pt>
                <c:pt idx="2318">
                  <c:v>100672</c:v>
                </c:pt>
                <c:pt idx="2319">
                  <c:v>93628</c:v>
                </c:pt>
                <c:pt idx="2320">
                  <c:v>71914</c:v>
                </c:pt>
                <c:pt idx="2321">
                  <c:v>74138</c:v>
                </c:pt>
                <c:pt idx="2322">
                  <c:v>75250</c:v>
                </c:pt>
                <c:pt idx="2323">
                  <c:v>75176</c:v>
                </c:pt>
                <c:pt idx="2324">
                  <c:v>88618</c:v>
                </c:pt>
                <c:pt idx="2325">
                  <c:v>89778</c:v>
                </c:pt>
                <c:pt idx="2326">
                  <c:v>77260</c:v>
                </c:pt>
                <c:pt idx="2327">
                  <c:v>90398</c:v>
                </c:pt>
                <c:pt idx="2328">
                  <c:v>91361</c:v>
                </c:pt>
                <c:pt idx="2329">
                  <c:v>76594</c:v>
                </c:pt>
                <c:pt idx="2330">
                  <c:v>82852</c:v>
                </c:pt>
                <c:pt idx="2331">
                  <c:v>90662</c:v>
                </c:pt>
                <c:pt idx="2332">
                  <c:v>87235</c:v>
                </c:pt>
                <c:pt idx="2333">
                  <c:v>76138</c:v>
                </c:pt>
                <c:pt idx="2334">
                  <c:v>71609</c:v>
                </c:pt>
                <c:pt idx="2335">
                  <c:v>72102</c:v>
                </c:pt>
                <c:pt idx="2336">
                  <c:v>74320</c:v>
                </c:pt>
                <c:pt idx="2337">
                  <c:v>75982</c:v>
                </c:pt>
                <c:pt idx="2338">
                  <c:v>77086</c:v>
                </c:pt>
                <c:pt idx="2339">
                  <c:v>82793</c:v>
                </c:pt>
                <c:pt idx="2340">
                  <c:v>76527</c:v>
                </c:pt>
                <c:pt idx="2341">
                  <c:v>88131</c:v>
                </c:pt>
                <c:pt idx="2342">
                  <c:v>90279</c:v>
                </c:pt>
                <c:pt idx="2343">
                  <c:v>95396</c:v>
                </c:pt>
                <c:pt idx="2344">
                  <c:v>97124</c:v>
                </c:pt>
                <c:pt idx="2345">
                  <c:v>94741</c:v>
                </c:pt>
                <c:pt idx="2346">
                  <c:v>89741</c:v>
                </c:pt>
                <c:pt idx="2347">
                  <c:v>81603</c:v>
                </c:pt>
                <c:pt idx="2348">
                  <c:v>104086</c:v>
                </c:pt>
                <c:pt idx="2349">
                  <c:v>104525</c:v>
                </c:pt>
                <c:pt idx="2350">
                  <c:v>106639</c:v>
                </c:pt>
                <c:pt idx="2351">
                  <c:v>105945</c:v>
                </c:pt>
                <c:pt idx="2352">
                  <c:v>103786</c:v>
                </c:pt>
                <c:pt idx="2353">
                  <c:v>101745</c:v>
                </c:pt>
                <c:pt idx="2354">
                  <c:v>97502</c:v>
                </c:pt>
                <c:pt idx="2355">
                  <c:v>104365</c:v>
                </c:pt>
                <c:pt idx="2356">
                  <c:v>108479</c:v>
                </c:pt>
                <c:pt idx="2357">
                  <c:v>111783</c:v>
                </c:pt>
                <c:pt idx="2358">
                  <c:v>116921</c:v>
                </c:pt>
                <c:pt idx="2359">
                  <c:v>140453</c:v>
                </c:pt>
                <c:pt idx="2360">
                  <c:v>145290</c:v>
                </c:pt>
                <c:pt idx="2361">
                  <c:v>142855</c:v>
                </c:pt>
                <c:pt idx="2362">
                  <c:v>144783</c:v>
                </c:pt>
                <c:pt idx="2363">
                  <c:v>144173</c:v>
                </c:pt>
                <c:pt idx="2364">
                  <c:v>141048</c:v>
                </c:pt>
                <c:pt idx="2365">
                  <c:v>142984</c:v>
                </c:pt>
                <c:pt idx="2366">
                  <c:v>141548</c:v>
                </c:pt>
                <c:pt idx="2367">
                  <c:v>133524</c:v>
                </c:pt>
                <c:pt idx="2368">
                  <c:v>125887</c:v>
                </c:pt>
                <c:pt idx="2369">
                  <c:v>145237</c:v>
                </c:pt>
                <c:pt idx="2370">
                  <c:v>141911</c:v>
                </c:pt>
                <c:pt idx="2371">
                  <c:v>135669</c:v>
                </c:pt>
                <c:pt idx="2372">
                  <c:v>139752</c:v>
                </c:pt>
                <c:pt idx="2373">
                  <c:v>141184</c:v>
                </c:pt>
                <c:pt idx="2374">
                  <c:v>142143</c:v>
                </c:pt>
                <c:pt idx="2375">
                  <c:v>132989</c:v>
                </c:pt>
                <c:pt idx="2376">
                  <c:v>141111</c:v>
                </c:pt>
                <c:pt idx="2377">
                  <c:v>138236</c:v>
                </c:pt>
                <c:pt idx="2378">
                  <c:v>137263</c:v>
                </c:pt>
                <c:pt idx="2379">
                  <c:v>136323</c:v>
                </c:pt>
                <c:pt idx="2380">
                  <c:v>148716</c:v>
                </c:pt>
                <c:pt idx="2381">
                  <c:v>141609</c:v>
                </c:pt>
                <c:pt idx="2382">
                  <c:v>130879</c:v>
                </c:pt>
                <c:pt idx="2383">
                  <c:v>144533</c:v>
                </c:pt>
                <c:pt idx="2384">
                  <c:v>142102</c:v>
                </c:pt>
                <c:pt idx="2385">
                  <c:v>134291</c:v>
                </c:pt>
                <c:pt idx="2386">
                  <c:v>134029</c:v>
                </c:pt>
                <c:pt idx="2387">
                  <c:v>139022</c:v>
                </c:pt>
                <c:pt idx="2388">
                  <c:v>138367</c:v>
                </c:pt>
                <c:pt idx="2389">
                  <c:v>128428</c:v>
                </c:pt>
                <c:pt idx="2390">
                  <c:v>133589</c:v>
                </c:pt>
                <c:pt idx="2391">
                  <c:v>135870</c:v>
                </c:pt>
                <c:pt idx="2392">
                  <c:v>129693</c:v>
                </c:pt>
                <c:pt idx="2393">
                  <c:v>138703</c:v>
                </c:pt>
                <c:pt idx="2394">
                  <c:v>145771</c:v>
                </c:pt>
                <c:pt idx="2395">
                  <c:v>141796</c:v>
                </c:pt>
                <c:pt idx="2396">
                  <c:v>135399</c:v>
                </c:pt>
                <c:pt idx="2397">
                  <c:v>142439</c:v>
                </c:pt>
                <c:pt idx="2398">
                  <c:v>140113</c:v>
                </c:pt>
                <c:pt idx="2399">
                  <c:v>128744</c:v>
                </c:pt>
                <c:pt idx="2400">
                  <c:v>137000</c:v>
                </c:pt>
                <c:pt idx="2401">
                  <c:v>127752</c:v>
                </c:pt>
                <c:pt idx="2402">
                  <c:v>128358</c:v>
                </c:pt>
                <c:pt idx="2403">
                  <c:v>112785</c:v>
                </c:pt>
                <c:pt idx="2404">
                  <c:v>128388</c:v>
                </c:pt>
                <c:pt idx="2405">
                  <c:v>133165</c:v>
                </c:pt>
                <c:pt idx="2406">
                  <c:v>137367</c:v>
                </c:pt>
                <c:pt idx="2407">
                  <c:v>132420</c:v>
                </c:pt>
                <c:pt idx="2408">
                  <c:v>127128</c:v>
                </c:pt>
                <c:pt idx="2409">
                  <c:v>129728</c:v>
                </c:pt>
                <c:pt idx="2410">
                  <c:v>116573</c:v>
                </c:pt>
                <c:pt idx="2411">
                  <c:v>131207</c:v>
                </c:pt>
                <c:pt idx="2412">
                  <c:v>141347</c:v>
                </c:pt>
                <c:pt idx="2413">
                  <c:v>130214</c:v>
                </c:pt>
                <c:pt idx="2414">
                  <c:v>136802</c:v>
                </c:pt>
                <c:pt idx="2415">
                  <c:v>125877</c:v>
                </c:pt>
                <c:pt idx="2416">
                  <c:v>130849</c:v>
                </c:pt>
                <c:pt idx="2417">
                  <c:v>89426</c:v>
                </c:pt>
                <c:pt idx="2418">
                  <c:v>140131</c:v>
                </c:pt>
                <c:pt idx="2419">
                  <c:v>135231</c:v>
                </c:pt>
                <c:pt idx="2420">
                  <c:v>138978</c:v>
                </c:pt>
                <c:pt idx="2421">
                  <c:v>130892</c:v>
                </c:pt>
                <c:pt idx="2422">
                  <c:v>117209</c:v>
                </c:pt>
                <c:pt idx="2423">
                  <c:v>114655</c:v>
                </c:pt>
                <c:pt idx="2424">
                  <c:v>106507</c:v>
                </c:pt>
                <c:pt idx="2425">
                  <c:v>123736</c:v>
                </c:pt>
                <c:pt idx="2426">
                  <c:v>116264</c:v>
                </c:pt>
                <c:pt idx="2427">
                  <c:v>118942</c:v>
                </c:pt>
                <c:pt idx="2428">
                  <c:v>123674</c:v>
                </c:pt>
                <c:pt idx="2429">
                  <c:v>123195</c:v>
                </c:pt>
                <c:pt idx="2430">
                  <c:v>127901</c:v>
                </c:pt>
                <c:pt idx="2431">
                  <c:v>119501</c:v>
                </c:pt>
                <c:pt idx="2432">
                  <c:v>129560</c:v>
                </c:pt>
                <c:pt idx="2433">
                  <c:v>126371</c:v>
                </c:pt>
                <c:pt idx="2434">
                  <c:v>118888</c:v>
                </c:pt>
                <c:pt idx="2435">
                  <c:v>123850</c:v>
                </c:pt>
                <c:pt idx="2436">
                  <c:v>127531</c:v>
                </c:pt>
                <c:pt idx="2437">
                  <c:v>127428</c:v>
                </c:pt>
                <c:pt idx="2438">
                  <c:v>112924</c:v>
                </c:pt>
                <c:pt idx="2439">
                  <c:v>126568</c:v>
                </c:pt>
                <c:pt idx="2440">
                  <c:v>121200</c:v>
                </c:pt>
                <c:pt idx="2441">
                  <c:v>125936</c:v>
                </c:pt>
                <c:pt idx="2442">
                  <c:v>114436</c:v>
                </c:pt>
                <c:pt idx="2443">
                  <c:v>100303</c:v>
                </c:pt>
                <c:pt idx="2444">
                  <c:v>93124</c:v>
                </c:pt>
                <c:pt idx="2445">
                  <c:v>85858</c:v>
                </c:pt>
                <c:pt idx="2446">
                  <c:v>114015</c:v>
                </c:pt>
                <c:pt idx="2447">
                  <c:v>114847</c:v>
                </c:pt>
                <c:pt idx="2448">
                  <c:v>113898</c:v>
                </c:pt>
                <c:pt idx="2449">
                  <c:v>98155</c:v>
                </c:pt>
                <c:pt idx="2450">
                  <c:v>113806</c:v>
                </c:pt>
                <c:pt idx="2451">
                  <c:v>127370</c:v>
                </c:pt>
                <c:pt idx="2452">
                  <c:v>110671</c:v>
                </c:pt>
                <c:pt idx="2453">
                  <c:v>124001</c:v>
                </c:pt>
                <c:pt idx="2454">
                  <c:v>120851</c:v>
                </c:pt>
                <c:pt idx="2455">
                  <c:v>120948</c:v>
                </c:pt>
                <c:pt idx="2456">
                  <c:v>131173</c:v>
                </c:pt>
                <c:pt idx="2457">
                  <c:v>128794</c:v>
                </c:pt>
                <c:pt idx="2458">
                  <c:v>132823</c:v>
                </c:pt>
                <c:pt idx="2459">
                  <c:v>120965</c:v>
                </c:pt>
                <c:pt idx="2460">
                  <c:v>115276</c:v>
                </c:pt>
                <c:pt idx="2461">
                  <c:v>131177</c:v>
                </c:pt>
                <c:pt idx="2462">
                  <c:v>132316</c:v>
                </c:pt>
                <c:pt idx="2463">
                  <c:v>128369</c:v>
                </c:pt>
                <c:pt idx="2464">
                  <c:v>107991</c:v>
                </c:pt>
                <c:pt idx="2465">
                  <c:v>117016</c:v>
                </c:pt>
                <c:pt idx="2466">
                  <c:v>115797</c:v>
                </c:pt>
                <c:pt idx="2467">
                  <c:v>121841</c:v>
                </c:pt>
                <c:pt idx="2468">
                  <c:v>113989</c:v>
                </c:pt>
                <c:pt idx="2469">
                  <c:v>120642</c:v>
                </c:pt>
                <c:pt idx="2470">
                  <c:v>116374</c:v>
                </c:pt>
                <c:pt idx="2471">
                  <c:v>81256</c:v>
                </c:pt>
                <c:pt idx="2472">
                  <c:v>113543</c:v>
                </c:pt>
                <c:pt idx="2473">
                  <c:v>102398</c:v>
                </c:pt>
                <c:pt idx="2474">
                  <c:v>114325</c:v>
                </c:pt>
                <c:pt idx="2475">
                  <c:v>100366</c:v>
                </c:pt>
                <c:pt idx="2476">
                  <c:v>112817</c:v>
                </c:pt>
                <c:pt idx="2477">
                  <c:v>102559</c:v>
                </c:pt>
                <c:pt idx="2478">
                  <c:v>103629</c:v>
                </c:pt>
                <c:pt idx="2479">
                  <c:v>106404</c:v>
                </c:pt>
                <c:pt idx="2480">
                  <c:v>102164</c:v>
                </c:pt>
                <c:pt idx="2481">
                  <c:v>109370</c:v>
                </c:pt>
                <c:pt idx="2482">
                  <c:v>115771</c:v>
                </c:pt>
                <c:pt idx="2483">
                  <c:v>114528</c:v>
                </c:pt>
                <c:pt idx="2484">
                  <c:v>119047</c:v>
                </c:pt>
                <c:pt idx="2485">
                  <c:v>115657</c:v>
                </c:pt>
                <c:pt idx="2486">
                  <c:v>117272</c:v>
                </c:pt>
                <c:pt idx="2487">
                  <c:v>95024</c:v>
                </c:pt>
                <c:pt idx="2488">
                  <c:v>113387</c:v>
                </c:pt>
                <c:pt idx="2489">
                  <c:v>113807</c:v>
                </c:pt>
                <c:pt idx="2490">
                  <c:v>108578</c:v>
                </c:pt>
                <c:pt idx="2491">
                  <c:v>106796</c:v>
                </c:pt>
                <c:pt idx="2492">
                  <c:v>111053</c:v>
                </c:pt>
                <c:pt idx="2493">
                  <c:v>115659</c:v>
                </c:pt>
                <c:pt idx="2494">
                  <c:v>103071</c:v>
                </c:pt>
                <c:pt idx="2495">
                  <c:v>110529</c:v>
                </c:pt>
                <c:pt idx="2496">
                  <c:v>117953</c:v>
                </c:pt>
                <c:pt idx="2497">
                  <c:v>101670</c:v>
                </c:pt>
                <c:pt idx="2498">
                  <c:v>67907</c:v>
                </c:pt>
                <c:pt idx="2499">
                  <c:v>105421</c:v>
                </c:pt>
                <c:pt idx="2500">
                  <c:v>121978</c:v>
                </c:pt>
                <c:pt idx="2501">
                  <c:v>110846</c:v>
                </c:pt>
                <c:pt idx="2502">
                  <c:v>113259</c:v>
                </c:pt>
                <c:pt idx="2503">
                  <c:v>116683</c:v>
                </c:pt>
                <c:pt idx="2504">
                  <c:v>112401</c:v>
                </c:pt>
                <c:pt idx="2505">
                  <c:v>111057</c:v>
                </c:pt>
                <c:pt idx="2506">
                  <c:v>118475</c:v>
                </c:pt>
                <c:pt idx="2507">
                  <c:v>122277</c:v>
                </c:pt>
                <c:pt idx="2508">
                  <c:v>116390</c:v>
                </c:pt>
                <c:pt idx="2509">
                  <c:v>125286</c:v>
                </c:pt>
                <c:pt idx="2510">
                  <c:v>127546</c:v>
                </c:pt>
                <c:pt idx="2511">
                  <c:v>125039</c:v>
                </c:pt>
                <c:pt idx="2512">
                  <c:v>117539</c:v>
                </c:pt>
                <c:pt idx="2513">
                  <c:v>118476</c:v>
                </c:pt>
                <c:pt idx="2514">
                  <c:v>134746</c:v>
                </c:pt>
                <c:pt idx="2515">
                  <c:v>122060</c:v>
                </c:pt>
                <c:pt idx="2516">
                  <c:v>124568</c:v>
                </c:pt>
                <c:pt idx="2517">
                  <c:v>133096</c:v>
                </c:pt>
                <c:pt idx="2518">
                  <c:v>128904</c:v>
                </c:pt>
                <c:pt idx="2519">
                  <c:v>120000</c:v>
                </c:pt>
                <c:pt idx="2520">
                  <c:v>116347</c:v>
                </c:pt>
                <c:pt idx="2521">
                  <c:v>135568</c:v>
                </c:pt>
                <c:pt idx="2522">
                  <c:v>122567</c:v>
                </c:pt>
                <c:pt idx="2523">
                  <c:v>132952</c:v>
                </c:pt>
                <c:pt idx="2524">
                  <c:v>133537</c:v>
                </c:pt>
                <c:pt idx="2525">
                  <c:v>131056</c:v>
                </c:pt>
                <c:pt idx="2526">
                  <c:v>125969</c:v>
                </c:pt>
                <c:pt idx="2527">
                  <c:v>130466</c:v>
                </c:pt>
                <c:pt idx="2528">
                  <c:v>128411</c:v>
                </c:pt>
                <c:pt idx="2529">
                  <c:v>117851</c:v>
                </c:pt>
                <c:pt idx="2530">
                  <c:v>124082</c:v>
                </c:pt>
                <c:pt idx="2531">
                  <c:v>125779</c:v>
                </c:pt>
                <c:pt idx="2532">
                  <c:v>125986</c:v>
                </c:pt>
                <c:pt idx="2533">
                  <c:v>125931</c:v>
                </c:pt>
                <c:pt idx="2534">
                  <c:v>121596</c:v>
                </c:pt>
                <c:pt idx="2535">
                  <c:v>119278</c:v>
                </c:pt>
                <c:pt idx="2536">
                  <c:v>116094</c:v>
                </c:pt>
                <c:pt idx="2537">
                  <c:v>121697</c:v>
                </c:pt>
                <c:pt idx="2538">
                  <c:v>125529</c:v>
                </c:pt>
                <c:pt idx="2539">
                  <c:v>134256</c:v>
                </c:pt>
                <c:pt idx="2540">
                  <c:v>134670</c:v>
                </c:pt>
                <c:pt idx="2541">
                  <c:v>128851</c:v>
                </c:pt>
                <c:pt idx="2542">
                  <c:v>132252</c:v>
                </c:pt>
                <c:pt idx="2543">
                  <c:v>124333</c:v>
                </c:pt>
                <c:pt idx="2544">
                  <c:v>133481</c:v>
                </c:pt>
                <c:pt idx="2545">
                  <c:v>129645</c:v>
                </c:pt>
                <c:pt idx="2546">
                  <c:v>127779</c:v>
                </c:pt>
                <c:pt idx="2547">
                  <c:v>131709</c:v>
                </c:pt>
                <c:pt idx="2548">
                  <c:v>133105</c:v>
                </c:pt>
                <c:pt idx="2549">
                  <c:v>126300</c:v>
                </c:pt>
                <c:pt idx="2550">
                  <c:v>120251</c:v>
                </c:pt>
                <c:pt idx="2551">
                  <c:v>119651</c:v>
                </c:pt>
                <c:pt idx="2552">
                  <c:v>115574</c:v>
                </c:pt>
                <c:pt idx="2553">
                  <c:v>120008</c:v>
                </c:pt>
                <c:pt idx="2554">
                  <c:v>118491</c:v>
                </c:pt>
                <c:pt idx="2555">
                  <c:v>117617</c:v>
                </c:pt>
                <c:pt idx="2556">
                  <c:v>96103</c:v>
                </c:pt>
                <c:pt idx="2557">
                  <c:v>125671</c:v>
                </c:pt>
                <c:pt idx="2558">
                  <c:v>134612</c:v>
                </c:pt>
                <c:pt idx="2559">
                  <c:v>137444</c:v>
                </c:pt>
                <c:pt idx="2560">
                  <c:v>117571</c:v>
                </c:pt>
                <c:pt idx="2561">
                  <c:v>130644</c:v>
                </c:pt>
                <c:pt idx="2562">
                  <c:v>130310</c:v>
                </c:pt>
                <c:pt idx="2563">
                  <c:v>111510</c:v>
                </c:pt>
                <c:pt idx="2564">
                  <c:v>80839</c:v>
                </c:pt>
                <c:pt idx="2565">
                  <c:v>127390</c:v>
                </c:pt>
                <c:pt idx="2566">
                  <c:v>128821</c:v>
                </c:pt>
                <c:pt idx="2567">
                  <c:v>128514</c:v>
                </c:pt>
                <c:pt idx="2568">
                  <c:v>123292</c:v>
                </c:pt>
                <c:pt idx="2569">
                  <c:v>102146</c:v>
                </c:pt>
                <c:pt idx="2570">
                  <c:v>110001</c:v>
                </c:pt>
                <c:pt idx="2571">
                  <c:v>89717</c:v>
                </c:pt>
                <c:pt idx="2572">
                  <c:v>118952</c:v>
                </c:pt>
                <c:pt idx="2573">
                  <c:v>124786</c:v>
                </c:pt>
                <c:pt idx="2574">
                  <c:v>128237</c:v>
                </c:pt>
                <c:pt idx="2575">
                  <c:v>123826</c:v>
                </c:pt>
                <c:pt idx="2576">
                  <c:v>123257</c:v>
                </c:pt>
                <c:pt idx="2577">
                  <c:v>115542</c:v>
                </c:pt>
                <c:pt idx="2578">
                  <c:v>81589</c:v>
                </c:pt>
                <c:pt idx="2579">
                  <c:v>131391</c:v>
                </c:pt>
                <c:pt idx="2580">
                  <c:v>125049</c:v>
                </c:pt>
                <c:pt idx="2581">
                  <c:v>97617</c:v>
                </c:pt>
                <c:pt idx="2582">
                  <c:v>125547</c:v>
                </c:pt>
                <c:pt idx="2583">
                  <c:v>123377</c:v>
                </c:pt>
                <c:pt idx="2584">
                  <c:v>121530</c:v>
                </c:pt>
                <c:pt idx="2585">
                  <c:v>109250</c:v>
                </c:pt>
                <c:pt idx="2586">
                  <c:v>118115</c:v>
                </c:pt>
                <c:pt idx="2587">
                  <c:v>125568</c:v>
                </c:pt>
                <c:pt idx="2588">
                  <c:v>131407</c:v>
                </c:pt>
                <c:pt idx="2589">
                  <c:v>118186</c:v>
                </c:pt>
                <c:pt idx="2590">
                  <c:v>122344</c:v>
                </c:pt>
                <c:pt idx="2591">
                  <c:v>122630</c:v>
                </c:pt>
                <c:pt idx="2592">
                  <c:v>104381</c:v>
                </c:pt>
                <c:pt idx="2593">
                  <c:v>119713</c:v>
                </c:pt>
                <c:pt idx="2594">
                  <c:v>126429</c:v>
                </c:pt>
                <c:pt idx="2595">
                  <c:v>120912</c:v>
                </c:pt>
                <c:pt idx="2596">
                  <c:v>117000</c:v>
                </c:pt>
                <c:pt idx="2597">
                  <c:v>117237</c:v>
                </c:pt>
                <c:pt idx="2598">
                  <c:v>116222</c:v>
                </c:pt>
                <c:pt idx="2599">
                  <c:v>108960</c:v>
                </c:pt>
                <c:pt idx="2600">
                  <c:v>115093</c:v>
                </c:pt>
                <c:pt idx="2601">
                  <c:v>117788</c:v>
                </c:pt>
                <c:pt idx="2602">
                  <c:v>117114</c:v>
                </c:pt>
                <c:pt idx="2603">
                  <c:v>109063</c:v>
                </c:pt>
                <c:pt idx="2604">
                  <c:v>88107</c:v>
                </c:pt>
                <c:pt idx="2605">
                  <c:v>89528</c:v>
                </c:pt>
                <c:pt idx="2606">
                  <c:v>99206</c:v>
                </c:pt>
                <c:pt idx="2607">
                  <c:v>118560</c:v>
                </c:pt>
                <c:pt idx="2608">
                  <c:v>109650</c:v>
                </c:pt>
                <c:pt idx="2609">
                  <c:v>133826</c:v>
                </c:pt>
                <c:pt idx="2610">
                  <c:v>133089</c:v>
                </c:pt>
                <c:pt idx="2611">
                  <c:v>134224</c:v>
                </c:pt>
                <c:pt idx="2612">
                  <c:v>132384</c:v>
                </c:pt>
                <c:pt idx="2613">
                  <c:v>110895</c:v>
                </c:pt>
                <c:pt idx="2614">
                  <c:v>127208</c:v>
                </c:pt>
                <c:pt idx="2615">
                  <c:v>120768</c:v>
                </c:pt>
                <c:pt idx="2616">
                  <c:v>135040</c:v>
                </c:pt>
                <c:pt idx="2617">
                  <c:v>146702</c:v>
                </c:pt>
                <c:pt idx="2618">
                  <c:v>133157</c:v>
                </c:pt>
                <c:pt idx="2619">
                  <c:v>145669</c:v>
                </c:pt>
                <c:pt idx="2620">
                  <c:v>124241</c:v>
                </c:pt>
                <c:pt idx="2621">
                  <c:v>136830</c:v>
                </c:pt>
                <c:pt idx="2622">
                  <c:v>134095</c:v>
                </c:pt>
                <c:pt idx="2623">
                  <c:v>140922</c:v>
                </c:pt>
                <c:pt idx="2624">
                  <c:v>128851</c:v>
                </c:pt>
                <c:pt idx="2625">
                  <c:v>143982</c:v>
                </c:pt>
                <c:pt idx="2626">
                  <c:v>138411</c:v>
                </c:pt>
                <c:pt idx="2627">
                  <c:v>127896</c:v>
                </c:pt>
                <c:pt idx="2628">
                  <c:v>142052</c:v>
                </c:pt>
                <c:pt idx="2629">
                  <c:v>149286</c:v>
                </c:pt>
                <c:pt idx="2630">
                  <c:v>141828</c:v>
                </c:pt>
                <c:pt idx="2631">
                  <c:v>124957</c:v>
                </c:pt>
                <c:pt idx="2632">
                  <c:v>106619</c:v>
                </c:pt>
                <c:pt idx="2633">
                  <c:v>105533</c:v>
                </c:pt>
                <c:pt idx="2634">
                  <c:v>87064</c:v>
                </c:pt>
                <c:pt idx="2635">
                  <c:v>141616</c:v>
                </c:pt>
                <c:pt idx="2636">
                  <c:v>144049</c:v>
                </c:pt>
                <c:pt idx="2637">
                  <c:v>140444</c:v>
                </c:pt>
                <c:pt idx="2638">
                  <c:v>144970</c:v>
                </c:pt>
                <c:pt idx="2639">
                  <c:v>138193</c:v>
                </c:pt>
                <c:pt idx="2640">
                  <c:v>135307</c:v>
                </c:pt>
                <c:pt idx="2641">
                  <c:v>122369</c:v>
                </c:pt>
                <c:pt idx="2642">
                  <c:v>116944</c:v>
                </c:pt>
                <c:pt idx="2643">
                  <c:v>125651</c:v>
                </c:pt>
                <c:pt idx="2644">
                  <c:v>131904</c:v>
                </c:pt>
                <c:pt idx="2645">
                  <c:v>130130</c:v>
                </c:pt>
                <c:pt idx="2646">
                  <c:v>132413</c:v>
                </c:pt>
                <c:pt idx="2647">
                  <c:v>130721</c:v>
                </c:pt>
                <c:pt idx="2648">
                  <c:v>109656</c:v>
                </c:pt>
                <c:pt idx="2649">
                  <c:v>124388</c:v>
                </c:pt>
                <c:pt idx="2650">
                  <c:v>133536</c:v>
                </c:pt>
                <c:pt idx="2651">
                  <c:v>132793</c:v>
                </c:pt>
                <c:pt idx="2652">
                  <c:v>132361</c:v>
                </c:pt>
                <c:pt idx="2653">
                  <c:v>128740</c:v>
                </c:pt>
                <c:pt idx="2654">
                  <c:v>126845</c:v>
                </c:pt>
                <c:pt idx="2655">
                  <c:v>104931</c:v>
                </c:pt>
                <c:pt idx="2656">
                  <c:v>134624</c:v>
                </c:pt>
                <c:pt idx="2657">
                  <c:v>132531</c:v>
                </c:pt>
                <c:pt idx="2658">
                  <c:v>131961</c:v>
                </c:pt>
                <c:pt idx="2659">
                  <c:v>114374</c:v>
                </c:pt>
                <c:pt idx="2660">
                  <c:v>114232</c:v>
                </c:pt>
                <c:pt idx="2661">
                  <c:v>125526</c:v>
                </c:pt>
                <c:pt idx="2662">
                  <c:v>110178</c:v>
                </c:pt>
                <c:pt idx="2663">
                  <c:v>131730</c:v>
                </c:pt>
                <c:pt idx="2664">
                  <c:v>128474</c:v>
                </c:pt>
                <c:pt idx="2665">
                  <c:v>137930</c:v>
                </c:pt>
                <c:pt idx="2666">
                  <c:v>140039</c:v>
                </c:pt>
                <c:pt idx="2667">
                  <c:v>135075</c:v>
                </c:pt>
                <c:pt idx="2668">
                  <c:v>134835</c:v>
                </c:pt>
                <c:pt idx="2669">
                  <c:v>123729</c:v>
                </c:pt>
                <c:pt idx="2670">
                  <c:v>140008</c:v>
                </c:pt>
                <c:pt idx="2671">
                  <c:v>134144</c:v>
                </c:pt>
                <c:pt idx="2672">
                  <c:v>134355</c:v>
                </c:pt>
                <c:pt idx="2673">
                  <c:v>127350</c:v>
                </c:pt>
                <c:pt idx="2674">
                  <c:v>128746</c:v>
                </c:pt>
                <c:pt idx="2675">
                  <c:v>130372</c:v>
                </c:pt>
                <c:pt idx="2676">
                  <c:v>121263</c:v>
                </c:pt>
                <c:pt idx="2677">
                  <c:v>134686</c:v>
                </c:pt>
                <c:pt idx="2678">
                  <c:v>116930</c:v>
                </c:pt>
                <c:pt idx="2679">
                  <c:v>131905</c:v>
                </c:pt>
                <c:pt idx="2680">
                  <c:v>136627</c:v>
                </c:pt>
                <c:pt idx="2681">
                  <c:v>136165</c:v>
                </c:pt>
                <c:pt idx="2682">
                  <c:v>135145</c:v>
                </c:pt>
                <c:pt idx="2683">
                  <c:v>116888</c:v>
                </c:pt>
                <c:pt idx="2684">
                  <c:v>129247</c:v>
                </c:pt>
                <c:pt idx="2685">
                  <c:v>126376</c:v>
                </c:pt>
                <c:pt idx="2686">
                  <c:v>130034</c:v>
                </c:pt>
                <c:pt idx="2687">
                  <c:v>126432</c:v>
                </c:pt>
                <c:pt idx="2688">
                  <c:v>127802</c:v>
                </c:pt>
                <c:pt idx="2689">
                  <c:v>121584</c:v>
                </c:pt>
                <c:pt idx="2690">
                  <c:v>112786</c:v>
                </c:pt>
                <c:pt idx="2691">
                  <c:v>121533</c:v>
                </c:pt>
                <c:pt idx="2692">
                  <c:v>132132</c:v>
                </c:pt>
                <c:pt idx="2693">
                  <c:v>130510</c:v>
                </c:pt>
                <c:pt idx="2694">
                  <c:v>135193</c:v>
                </c:pt>
                <c:pt idx="2695">
                  <c:v>139120</c:v>
                </c:pt>
                <c:pt idx="2696">
                  <c:v>135056</c:v>
                </c:pt>
                <c:pt idx="2697">
                  <c:v>118719</c:v>
                </c:pt>
                <c:pt idx="2698">
                  <c:v>127920</c:v>
                </c:pt>
                <c:pt idx="2699">
                  <c:v>129816</c:v>
                </c:pt>
                <c:pt idx="2700">
                  <c:v>137182</c:v>
                </c:pt>
                <c:pt idx="2701">
                  <c:v>138179</c:v>
                </c:pt>
                <c:pt idx="2702">
                  <c:v>136208</c:v>
                </c:pt>
                <c:pt idx="2703">
                  <c:v>137791</c:v>
                </c:pt>
                <c:pt idx="2704">
                  <c:v>127038</c:v>
                </c:pt>
                <c:pt idx="2705">
                  <c:v>131452</c:v>
                </c:pt>
                <c:pt idx="2706">
                  <c:v>128934</c:v>
                </c:pt>
                <c:pt idx="2707">
                  <c:v>136494</c:v>
                </c:pt>
                <c:pt idx="2708">
                  <c:v>139532</c:v>
                </c:pt>
                <c:pt idx="2709">
                  <c:v>137413</c:v>
                </c:pt>
                <c:pt idx="2710">
                  <c:v>142554</c:v>
                </c:pt>
                <c:pt idx="2711">
                  <c:v>122242</c:v>
                </c:pt>
                <c:pt idx="2712">
                  <c:v>134186</c:v>
                </c:pt>
                <c:pt idx="2713">
                  <c:v>139249</c:v>
                </c:pt>
                <c:pt idx="2714">
                  <c:v>141475</c:v>
                </c:pt>
                <c:pt idx="2715">
                  <c:v>139607</c:v>
                </c:pt>
                <c:pt idx="2716">
                  <c:v>129800</c:v>
                </c:pt>
                <c:pt idx="2717">
                  <c:v>129073</c:v>
                </c:pt>
                <c:pt idx="2718">
                  <c:v>121249</c:v>
                </c:pt>
                <c:pt idx="2719">
                  <c:v>136697</c:v>
                </c:pt>
                <c:pt idx="2720">
                  <c:v>141142</c:v>
                </c:pt>
                <c:pt idx="2721">
                  <c:v>141030</c:v>
                </c:pt>
                <c:pt idx="2722">
                  <c:v>133532</c:v>
                </c:pt>
                <c:pt idx="2723">
                  <c:v>117854</c:v>
                </c:pt>
                <c:pt idx="2724">
                  <c:v>119565</c:v>
                </c:pt>
                <c:pt idx="2725">
                  <c:v>104258</c:v>
                </c:pt>
                <c:pt idx="2726">
                  <c:v>91802</c:v>
                </c:pt>
                <c:pt idx="2727">
                  <c:v>88766</c:v>
                </c:pt>
                <c:pt idx="2728">
                  <c:v>93402</c:v>
                </c:pt>
                <c:pt idx="2729">
                  <c:v>102318</c:v>
                </c:pt>
                <c:pt idx="2730">
                  <c:v>120097</c:v>
                </c:pt>
                <c:pt idx="2731">
                  <c:v>117909</c:v>
                </c:pt>
                <c:pt idx="2732">
                  <c:v>112523</c:v>
                </c:pt>
                <c:pt idx="2733">
                  <c:v>133365</c:v>
                </c:pt>
                <c:pt idx="2734">
                  <c:v>128957</c:v>
                </c:pt>
                <c:pt idx="2735">
                  <c:v>122150</c:v>
                </c:pt>
                <c:pt idx="2736">
                  <c:v>103275</c:v>
                </c:pt>
                <c:pt idx="2737">
                  <c:v>120503</c:v>
                </c:pt>
                <c:pt idx="2738">
                  <c:v>130690</c:v>
                </c:pt>
                <c:pt idx="2739">
                  <c:v>114093</c:v>
                </c:pt>
                <c:pt idx="2740">
                  <c:v>132497</c:v>
                </c:pt>
                <c:pt idx="2741">
                  <c:v>113705</c:v>
                </c:pt>
                <c:pt idx="2742">
                  <c:v>118701</c:v>
                </c:pt>
                <c:pt idx="2743">
                  <c:v>125362</c:v>
                </c:pt>
                <c:pt idx="2744">
                  <c:v>131042</c:v>
                </c:pt>
                <c:pt idx="2745">
                  <c:v>126558</c:v>
                </c:pt>
                <c:pt idx="2746">
                  <c:v>102830</c:v>
                </c:pt>
                <c:pt idx="2747">
                  <c:v>127538</c:v>
                </c:pt>
                <c:pt idx="2748">
                  <c:v>133530</c:v>
                </c:pt>
                <c:pt idx="2749">
                  <c:v>133448</c:v>
                </c:pt>
                <c:pt idx="2750">
                  <c:v>131440</c:v>
                </c:pt>
                <c:pt idx="2751">
                  <c:v>130185</c:v>
                </c:pt>
                <c:pt idx="2752">
                  <c:v>127244</c:v>
                </c:pt>
                <c:pt idx="2753">
                  <c:v>109628</c:v>
                </c:pt>
                <c:pt idx="2754">
                  <c:v>126396</c:v>
                </c:pt>
                <c:pt idx="2755">
                  <c:v>134587</c:v>
                </c:pt>
                <c:pt idx="2756">
                  <c:v>133743</c:v>
                </c:pt>
                <c:pt idx="2757">
                  <c:v>134230</c:v>
                </c:pt>
                <c:pt idx="2758">
                  <c:v>127987</c:v>
                </c:pt>
                <c:pt idx="2759">
                  <c:v>127217</c:v>
                </c:pt>
                <c:pt idx="2760">
                  <c:v>116176</c:v>
                </c:pt>
                <c:pt idx="2761">
                  <c:v>116966</c:v>
                </c:pt>
                <c:pt idx="2762">
                  <c:v>124591</c:v>
                </c:pt>
                <c:pt idx="2763">
                  <c:v>130571</c:v>
                </c:pt>
                <c:pt idx="2764">
                  <c:v>126827</c:v>
                </c:pt>
                <c:pt idx="2765">
                  <c:v>130118</c:v>
                </c:pt>
                <c:pt idx="2766">
                  <c:v>135826</c:v>
                </c:pt>
                <c:pt idx="2767">
                  <c:v>108818</c:v>
                </c:pt>
                <c:pt idx="2768">
                  <c:v>132501</c:v>
                </c:pt>
                <c:pt idx="2769">
                  <c:v>136633</c:v>
                </c:pt>
                <c:pt idx="2770">
                  <c:v>135785</c:v>
                </c:pt>
                <c:pt idx="2771">
                  <c:v>137251</c:v>
                </c:pt>
                <c:pt idx="2772">
                  <c:v>138204</c:v>
                </c:pt>
                <c:pt idx="2773">
                  <c:v>139199</c:v>
                </c:pt>
                <c:pt idx="2774">
                  <c:v>119088</c:v>
                </c:pt>
                <c:pt idx="2775">
                  <c:v>132296</c:v>
                </c:pt>
                <c:pt idx="2776">
                  <c:v>118315</c:v>
                </c:pt>
                <c:pt idx="2777">
                  <c:v>115838</c:v>
                </c:pt>
                <c:pt idx="2778">
                  <c:v>114576</c:v>
                </c:pt>
                <c:pt idx="2779">
                  <c:v>115902</c:v>
                </c:pt>
                <c:pt idx="2780">
                  <c:v>119142</c:v>
                </c:pt>
                <c:pt idx="2781">
                  <c:v>110586</c:v>
                </c:pt>
                <c:pt idx="2782">
                  <c:v>79523</c:v>
                </c:pt>
                <c:pt idx="2783">
                  <c:v>142061</c:v>
                </c:pt>
                <c:pt idx="2784">
                  <c:v>144533</c:v>
                </c:pt>
                <c:pt idx="2785">
                  <c:v>140575</c:v>
                </c:pt>
                <c:pt idx="2786">
                  <c:v>132190</c:v>
                </c:pt>
                <c:pt idx="2787">
                  <c:v>140550</c:v>
                </c:pt>
                <c:pt idx="2788">
                  <c:v>127948</c:v>
                </c:pt>
                <c:pt idx="2789">
                  <c:v>143163</c:v>
                </c:pt>
                <c:pt idx="2790">
                  <c:v>139217</c:v>
                </c:pt>
                <c:pt idx="2791">
                  <c:v>145129</c:v>
                </c:pt>
                <c:pt idx="2792">
                  <c:v>152457</c:v>
                </c:pt>
                <c:pt idx="2793">
                  <c:v>149233</c:v>
                </c:pt>
                <c:pt idx="2794">
                  <c:v>149824</c:v>
                </c:pt>
                <c:pt idx="2795">
                  <c:v>130094</c:v>
                </c:pt>
                <c:pt idx="2796">
                  <c:v>142999</c:v>
                </c:pt>
                <c:pt idx="2797">
                  <c:v>142681</c:v>
                </c:pt>
                <c:pt idx="2798">
                  <c:v>120464</c:v>
                </c:pt>
                <c:pt idx="2799">
                  <c:v>124177</c:v>
                </c:pt>
                <c:pt idx="2800">
                  <c:v>118737</c:v>
                </c:pt>
                <c:pt idx="2801">
                  <c:v>135580</c:v>
                </c:pt>
                <c:pt idx="2802">
                  <c:v>117906</c:v>
                </c:pt>
                <c:pt idx="2803">
                  <c:v>143066</c:v>
                </c:pt>
                <c:pt idx="2804">
                  <c:v>139864</c:v>
                </c:pt>
                <c:pt idx="2805">
                  <c:v>131837</c:v>
                </c:pt>
                <c:pt idx="2806">
                  <c:v>127028</c:v>
                </c:pt>
                <c:pt idx="2807">
                  <c:v>127770</c:v>
                </c:pt>
                <c:pt idx="2808">
                  <c:v>130720</c:v>
                </c:pt>
                <c:pt idx="2809">
                  <c:v>116924</c:v>
                </c:pt>
                <c:pt idx="2810">
                  <c:v>137388</c:v>
                </c:pt>
                <c:pt idx="2811">
                  <c:v>148305</c:v>
                </c:pt>
                <c:pt idx="2812">
                  <c:v>143871</c:v>
                </c:pt>
                <c:pt idx="2813">
                  <c:v>139237</c:v>
                </c:pt>
                <c:pt idx="2814">
                  <c:v>143542</c:v>
                </c:pt>
                <c:pt idx="2815">
                  <c:v>139143</c:v>
                </c:pt>
                <c:pt idx="2816">
                  <c:v>137088</c:v>
                </c:pt>
                <c:pt idx="2817">
                  <c:v>154703</c:v>
                </c:pt>
                <c:pt idx="2818">
                  <c:v>154714</c:v>
                </c:pt>
                <c:pt idx="2819">
                  <c:v>143152</c:v>
                </c:pt>
                <c:pt idx="2820">
                  <c:v>141763</c:v>
                </c:pt>
                <c:pt idx="2821">
                  <c:v>127110</c:v>
                </c:pt>
                <c:pt idx="2822">
                  <c:v>142031</c:v>
                </c:pt>
                <c:pt idx="2823">
                  <c:v>126662</c:v>
                </c:pt>
                <c:pt idx="2824">
                  <c:v>145347</c:v>
                </c:pt>
                <c:pt idx="2825">
                  <c:v>148904</c:v>
                </c:pt>
                <c:pt idx="2826">
                  <c:v>151233</c:v>
                </c:pt>
                <c:pt idx="2827">
                  <c:v>153425</c:v>
                </c:pt>
                <c:pt idx="2828">
                  <c:v>146840</c:v>
                </c:pt>
                <c:pt idx="2829">
                  <c:v>149022</c:v>
                </c:pt>
                <c:pt idx="2830">
                  <c:v>138587</c:v>
                </c:pt>
                <c:pt idx="2831">
                  <c:v>144515</c:v>
                </c:pt>
                <c:pt idx="2832">
                  <c:v>130117</c:v>
                </c:pt>
                <c:pt idx="2833">
                  <c:v>115666</c:v>
                </c:pt>
                <c:pt idx="2834">
                  <c:v>140617</c:v>
                </c:pt>
                <c:pt idx="2835">
                  <c:v>145954</c:v>
                </c:pt>
                <c:pt idx="2836">
                  <c:v>131745</c:v>
                </c:pt>
                <c:pt idx="2837">
                  <c:v>110004</c:v>
                </c:pt>
                <c:pt idx="2838">
                  <c:v>136147</c:v>
                </c:pt>
                <c:pt idx="2839">
                  <c:v>143195</c:v>
                </c:pt>
                <c:pt idx="2840">
                  <c:v>150269</c:v>
                </c:pt>
                <c:pt idx="2841">
                  <c:v>146744</c:v>
                </c:pt>
                <c:pt idx="2842">
                  <c:v>137931</c:v>
                </c:pt>
                <c:pt idx="2843">
                  <c:v>155301</c:v>
                </c:pt>
                <c:pt idx="2844">
                  <c:v>138088</c:v>
                </c:pt>
                <c:pt idx="2845">
                  <c:v>151872</c:v>
                </c:pt>
                <c:pt idx="2846">
                  <c:v>154785</c:v>
                </c:pt>
                <c:pt idx="2847">
                  <c:v>152248</c:v>
                </c:pt>
                <c:pt idx="2848">
                  <c:v>158668</c:v>
                </c:pt>
                <c:pt idx="2849">
                  <c:v>144541</c:v>
                </c:pt>
                <c:pt idx="2850">
                  <c:v>125585</c:v>
                </c:pt>
                <c:pt idx="2851">
                  <c:v>100693</c:v>
                </c:pt>
                <c:pt idx="2852">
                  <c:v>73513</c:v>
                </c:pt>
                <c:pt idx="2853">
                  <c:v>98190</c:v>
                </c:pt>
                <c:pt idx="2854">
                  <c:v>113404</c:v>
                </c:pt>
                <c:pt idx="2855">
                  <c:v>121374</c:v>
                </c:pt>
                <c:pt idx="2856">
                  <c:v>131363</c:v>
                </c:pt>
                <c:pt idx="2857">
                  <c:v>125849</c:v>
                </c:pt>
                <c:pt idx="2858">
                  <c:v>102221</c:v>
                </c:pt>
                <c:pt idx="2859">
                  <c:v>118183</c:v>
                </c:pt>
                <c:pt idx="2860">
                  <c:v>132407</c:v>
                </c:pt>
                <c:pt idx="2861">
                  <c:v>149677</c:v>
                </c:pt>
                <c:pt idx="2862">
                  <c:v>155167</c:v>
                </c:pt>
                <c:pt idx="2863">
                  <c:v>147741</c:v>
                </c:pt>
                <c:pt idx="2864">
                  <c:v>151497</c:v>
                </c:pt>
                <c:pt idx="2865">
                  <c:v>131562</c:v>
                </c:pt>
                <c:pt idx="2866">
                  <c:v>144549</c:v>
                </c:pt>
                <c:pt idx="2867">
                  <c:v>138019</c:v>
                </c:pt>
                <c:pt idx="2868">
                  <c:v>139201</c:v>
                </c:pt>
                <c:pt idx="2869">
                  <c:v>146205</c:v>
                </c:pt>
                <c:pt idx="2870">
                  <c:v>138937</c:v>
                </c:pt>
                <c:pt idx="2871">
                  <c:v>141428</c:v>
                </c:pt>
                <c:pt idx="2872">
                  <c:v>140421</c:v>
                </c:pt>
                <c:pt idx="2873">
                  <c:v>152900</c:v>
                </c:pt>
                <c:pt idx="2874">
                  <c:v>159278</c:v>
                </c:pt>
                <c:pt idx="2875">
                  <c:v>149355</c:v>
                </c:pt>
                <c:pt idx="2876">
                  <c:v>138523</c:v>
                </c:pt>
                <c:pt idx="2877">
                  <c:v>162973</c:v>
                </c:pt>
                <c:pt idx="2878">
                  <c:v>163030</c:v>
                </c:pt>
                <c:pt idx="2879">
                  <c:v>148771</c:v>
                </c:pt>
                <c:pt idx="2880">
                  <c:v>166216</c:v>
                </c:pt>
                <c:pt idx="2881">
                  <c:v>167425</c:v>
                </c:pt>
                <c:pt idx="2882">
                  <c:v>168319</c:v>
                </c:pt>
                <c:pt idx="2883">
                  <c:v>168279</c:v>
                </c:pt>
                <c:pt idx="2884">
                  <c:v>144160</c:v>
                </c:pt>
                <c:pt idx="2885">
                  <c:v>151115</c:v>
                </c:pt>
                <c:pt idx="2886">
                  <c:v>137396</c:v>
                </c:pt>
                <c:pt idx="2887">
                  <c:v>165988</c:v>
                </c:pt>
                <c:pt idx="2888">
                  <c:v>169612</c:v>
                </c:pt>
                <c:pt idx="2889">
                  <c:v>171326</c:v>
                </c:pt>
                <c:pt idx="2890">
                  <c:v>148387</c:v>
                </c:pt>
                <c:pt idx="2891">
                  <c:v>140239</c:v>
                </c:pt>
                <c:pt idx="2892">
                  <c:v>138246</c:v>
                </c:pt>
                <c:pt idx="2893">
                  <c:v>119386</c:v>
                </c:pt>
                <c:pt idx="2894">
                  <c:v>143585</c:v>
                </c:pt>
                <c:pt idx="2895">
                  <c:v>141936</c:v>
                </c:pt>
                <c:pt idx="2896">
                  <c:v>142420</c:v>
                </c:pt>
                <c:pt idx="2897">
                  <c:v>136061</c:v>
                </c:pt>
                <c:pt idx="2898">
                  <c:v>138420</c:v>
                </c:pt>
                <c:pt idx="2899">
                  <c:v>140662</c:v>
                </c:pt>
                <c:pt idx="2900">
                  <c:v>126045</c:v>
                </c:pt>
                <c:pt idx="2901">
                  <c:v>149585</c:v>
                </c:pt>
                <c:pt idx="2902">
                  <c:v>149785</c:v>
                </c:pt>
                <c:pt idx="2903">
                  <c:v>153912</c:v>
                </c:pt>
                <c:pt idx="2904">
                  <c:v>150753</c:v>
                </c:pt>
                <c:pt idx="2905">
                  <c:v>143718</c:v>
                </c:pt>
                <c:pt idx="2906">
                  <c:v>137346</c:v>
                </c:pt>
                <c:pt idx="2907">
                  <c:v>126436</c:v>
                </c:pt>
                <c:pt idx="2908">
                  <c:v>132845</c:v>
                </c:pt>
                <c:pt idx="2909">
                  <c:v>141567</c:v>
                </c:pt>
                <c:pt idx="2910">
                  <c:v>140911</c:v>
                </c:pt>
                <c:pt idx="2911">
                  <c:v>136823</c:v>
                </c:pt>
                <c:pt idx="2912">
                  <c:v>137315</c:v>
                </c:pt>
                <c:pt idx="2913">
                  <c:v>131684</c:v>
                </c:pt>
                <c:pt idx="2914">
                  <c:v>109611</c:v>
                </c:pt>
                <c:pt idx="2915">
                  <c:v>135499</c:v>
                </c:pt>
                <c:pt idx="2916">
                  <c:v>142670</c:v>
                </c:pt>
                <c:pt idx="2917">
                  <c:v>140503</c:v>
                </c:pt>
                <c:pt idx="2918">
                  <c:v>141259</c:v>
                </c:pt>
                <c:pt idx="2919">
                  <c:v>155753</c:v>
                </c:pt>
                <c:pt idx="2920">
                  <c:v>145828</c:v>
                </c:pt>
                <c:pt idx="2921">
                  <c:v>102882</c:v>
                </c:pt>
                <c:pt idx="2922">
                  <c:v>150649</c:v>
                </c:pt>
                <c:pt idx="2923">
                  <c:v>154630</c:v>
                </c:pt>
                <c:pt idx="2924">
                  <c:v>163993</c:v>
                </c:pt>
                <c:pt idx="2925">
                  <c:v>163160</c:v>
                </c:pt>
                <c:pt idx="2926">
                  <c:v>163859</c:v>
                </c:pt>
                <c:pt idx="2927">
                  <c:v>159591</c:v>
                </c:pt>
                <c:pt idx="2928">
                  <c:v>140222</c:v>
                </c:pt>
                <c:pt idx="2929">
                  <c:v>159560</c:v>
                </c:pt>
                <c:pt idx="2930">
                  <c:v>151987</c:v>
                </c:pt>
                <c:pt idx="2931">
                  <c:v>163319</c:v>
                </c:pt>
                <c:pt idx="2932">
                  <c:v>168300</c:v>
                </c:pt>
                <c:pt idx="2933">
                  <c:v>160263</c:v>
                </c:pt>
                <c:pt idx="2934">
                  <c:v>146081</c:v>
                </c:pt>
                <c:pt idx="2935">
                  <c:v>119974</c:v>
                </c:pt>
                <c:pt idx="2936">
                  <c:v>148908</c:v>
                </c:pt>
                <c:pt idx="2937">
                  <c:v>149808</c:v>
                </c:pt>
                <c:pt idx="2938">
                  <c:v>156077</c:v>
                </c:pt>
                <c:pt idx="2939">
                  <c:v>153835</c:v>
                </c:pt>
                <c:pt idx="2940">
                  <c:v>157237</c:v>
                </c:pt>
                <c:pt idx="2941">
                  <c:v>158979</c:v>
                </c:pt>
                <c:pt idx="2942">
                  <c:v>134109</c:v>
                </c:pt>
                <c:pt idx="2943">
                  <c:v>153438</c:v>
                </c:pt>
                <c:pt idx="2944">
                  <c:v>148993</c:v>
                </c:pt>
                <c:pt idx="2945">
                  <c:v>139872</c:v>
                </c:pt>
                <c:pt idx="2946">
                  <c:v>90378</c:v>
                </c:pt>
                <c:pt idx="2947">
                  <c:v>151453</c:v>
                </c:pt>
                <c:pt idx="2948">
                  <c:v>157262</c:v>
                </c:pt>
                <c:pt idx="2949">
                  <c:v>131612</c:v>
                </c:pt>
                <c:pt idx="2950">
                  <c:v>151559</c:v>
                </c:pt>
                <c:pt idx="2951">
                  <c:v>166296</c:v>
                </c:pt>
                <c:pt idx="2952">
                  <c:v>163027</c:v>
                </c:pt>
                <c:pt idx="2953">
                  <c:v>165127</c:v>
                </c:pt>
                <c:pt idx="2954">
                  <c:v>167240</c:v>
                </c:pt>
                <c:pt idx="2955">
                  <c:v>163901</c:v>
                </c:pt>
                <c:pt idx="2956">
                  <c:v>143448</c:v>
                </c:pt>
                <c:pt idx="2957">
                  <c:v>164430</c:v>
                </c:pt>
                <c:pt idx="2958">
                  <c:v>169092</c:v>
                </c:pt>
                <c:pt idx="2959">
                  <c:v>145740</c:v>
                </c:pt>
                <c:pt idx="2960">
                  <c:v>167198</c:v>
                </c:pt>
                <c:pt idx="2961">
                  <c:v>154618</c:v>
                </c:pt>
                <c:pt idx="2962">
                  <c:v>159587</c:v>
                </c:pt>
                <c:pt idx="2963">
                  <c:v>149645</c:v>
                </c:pt>
                <c:pt idx="2964">
                  <c:v>168145</c:v>
                </c:pt>
                <c:pt idx="2965">
                  <c:v>175755</c:v>
                </c:pt>
                <c:pt idx="2966">
                  <c:v>168640</c:v>
                </c:pt>
                <c:pt idx="2967">
                  <c:v>166243</c:v>
                </c:pt>
                <c:pt idx="2968">
                  <c:v>168678</c:v>
                </c:pt>
                <c:pt idx="2969">
                  <c:v>138615</c:v>
                </c:pt>
                <c:pt idx="2970">
                  <c:v>131665</c:v>
                </c:pt>
                <c:pt idx="2971">
                  <c:v>171175</c:v>
                </c:pt>
                <c:pt idx="2972">
                  <c:v>174271</c:v>
                </c:pt>
                <c:pt idx="2973">
                  <c:v>172988</c:v>
                </c:pt>
                <c:pt idx="2974">
                  <c:v>172413</c:v>
                </c:pt>
                <c:pt idx="2975">
                  <c:v>174160</c:v>
                </c:pt>
                <c:pt idx="2976">
                  <c:v>166787</c:v>
                </c:pt>
                <c:pt idx="2977">
                  <c:v>154108</c:v>
                </c:pt>
                <c:pt idx="2978">
                  <c:v>179917</c:v>
                </c:pt>
                <c:pt idx="2979">
                  <c:v>174309</c:v>
                </c:pt>
                <c:pt idx="2980">
                  <c:v>189495</c:v>
                </c:pt>
                <c:pt idx="2981">
                  <c:v>195411</c:v>
                </c:pt>
                <c:pt idx="2982">
                  <c:v>184765</c:v>
                </c:pt>
                <c:pt idx="2983">
                  <c:v>187838</c:v>
                </c:pt>
                <c:pt idx="2984">
                  <c:v>165456</c:v>
                </c:pt>
                <c:pt idx="2985">
                  <c:v>180499</c:v>
                </c:pt>
                <c:pt idx="2986">
                  <c:v>142386</c:v>
                </c:pt>
                <c:pt idx="2987">
                  <c:v>139018</c:v>
                </c:pt>
                <c:pt idx="2988">
                  <c:v>155110</c:v>
                </c:pt>
                <c:pt idx="2989">
                  <c:v>184784</c:v>
                </c:pt>
                <c:pt idx="2990">
                  <c:v>176538</c:v>
                </c:pt>
                <c:pt idx="2991">
                  <c:v>165132</c:v>
                </c:pt>
                <c:pt idx="2992">
                  <c:v>193760</c:v>
                </c:pt>
                <c:pt idx="2993">
                  <c:v>190085</c:v>
                </c:pt>
                <c:pt idx="2994">
                  <c:v>182511</c:v>
                </c:pt>
                <c:pt idx="2995">
                  <c:v>187010</c:v>
                </c:pt>
                <c:pt idx="2996">
                  <c:v>185714</c:v>
                </c:pt>
                <c:pt idx="2997">
                  <c:v>177369</c:v>
                </c:pt>
                <c:pt idx="2998">
                  <c:v>168398</c:v>
                </c:pt>
                <c:pt idx="2999">
                  <c:v>179885</c:v>
                </c:pt>
                <c:pt idx="3000">
                  <c:v>189498</c:v>
                </c:pt>
                <c:pt idx="3001">
                  <c:v>192988</c:v>
                </c:pt>
                <c:pt idx="3002">
                  <c:v>193242</c:v>
                </c:pt>
                <c:pt idx="3003">
                  <c:v>182741</c:v>
                </c:pt>
                <c:pt idx="3004">
                  <c:v>185359</c:v>
                </c:pt>
                <c:pt idx="3005">
                  <c:v>161433</c:v>
                </c:pt>
                <c:pt idx="3006">
                  <c:v>175900</c:v>
                </c:pt>
                <c:pt idx="3007">
                  <c:v>186151</c:v>
                </c:pt>
                <c:pt idx="3008">
                  <c:v>184585</c:v>
                </c:pt>
                <c:pt idx="3009">
                  <c:v>156649</c:v>
                </c:pt>
                <c:pt idx="3010">
                  <c:v>160973</c:v>
                </c:pt>
                <c:pt idx="3011">
                  <c:v>178020</c:v>
                </c:pt>
                <c:pt idx="3012">
                  <c:v>174539</c:v>
                </c:pt>
                <c:pt idx="3013">
                  <c:v>190240</c:v>
                </c:pt>
                <c:pt idx="3014">
                  <c:v>186224</c:v>
                </c:pt>
                <c:pt idx="3015">
                  <c:v>188592</c:v>
                </c:pt>
                <c:pt idx="3016">
                  <c:v>180912</c:v>
                </c:pt>
                <c:pt idx="3017">
                  <c:v>186410</c:v>
                </c:pt>
                <c:pt idx="3018">
                  <c:v>176820</c:v>
                </c:pt>
                <c:pt idx="3019">
                  <c:v>155174</c:v>
                </c:pt>
                <c:pt idx="3020">
                  <c:v>190607</c:v>
                </c:pt>
                <c:pt idx="3021">
                  <c:v>192335</c:v>
                </c:pt>
                <c:pt idx="3022">
                  <c:v>196838</c:v>
                </c:pt>
                <c:pt idx="3023">
                  <c:v>189692</c:v>
                </c:pt>
                <c:pt idx="3024">
                  <c:v>160959</c:v>
                </c:pt>
                <c:pt idx="3025">
                  <c:v>172995</c:v>
                </c:pt>
                <c:pt idx="3026">
                  <c:v>141787</c:v>
                </c:pt>
                <c:pt idx="3027">
                  <c:v>178510</c:v>
                </c:pt>
                <c:pt idx="3028">
                  <c:v>182154</c:v>
                </c:pt>
                <c:pt idx="3029">
                  <c:v>184992</c:v>
                </c:pt>
                <c:pt idx="3030">
                  <c:v>181255</c:v>
                </c:pt>
                <c:pt idx="3031">
                  <c:v>173154</c:v>
                </c:pt>
                <c:pt idx="3032">
                  <c:v>146703</c:v>
                </c:pt>
                <c:pt idx="3033">
                  <c:v>151040</c:v>
                </c:pt>
                <c:pt idx="3034">
                  <c:v>179095</c:v>
                </c:pt>
                <c:pt idx="3035">
                  <c:v>183206</c:v>
                </c:pt>
                <c:pt idx="3036">
                  <c:v>177823</c:v>
                </c:pt>
                <c:pt idx="3037">
                  <c:v>170136</c:v>
                </c:pt>
                <c:pt idx="3038">
                  <c:v>164908</c:v>
                </c:pt>
                <c:pt idx="3039">
                  <c:v>165254</c:v>
                </c:pt>
                <c:pt idx="3040">
                  <c:v>138743</c:v>
                </c:pt>
                <c:pt idx="3041">
                  <c:v>153168</c:v>
                </c:pt>
                <c:pt idx="3042">
                  <c:v>167294</c:v>
                </c:pt>
                <c:pt idx="3043">
                  <c:v>151353</c:v>
                </c:pt>
                <c:pt idx="3044">
                  <c:v>160271</c:v>
                </c:pt>
                <c:pt idx="3045">
                  <c:v>164390</c:v>
                </c:pt>
                <c:pt idx="3046">
                  <c:v>172256</c:v>
                </c:pt>
                <c:pt idx="3047">
                  <c:v>129243</c:v>
                </c:pt>
                <c:pt idx="3048">
                  <c:v>176968</c:v>
                </c:pt>
                <c:pt idx="3049">
                  <c:v>170073</c:v>
                </c:pt>
                <c:pt idx="3050">
                  <c:v>169987</c:v>
                </c:pt>
                <c:pt idx="3051">
                  <c:v>164582</c:v>
                </c:pt>
                <c:pt idx="3052">
                  <c:v>178770</c:v>
                </c:pt>
                <c:pt idx="3053">
                  <c:v>162041</c:v>
                </c:pt>
                <c:pt idx="3054">
                  <c:v>152371</c:v>
                </c:pt>
                <c:pt idx="3055">
                  <c:v>178158</c:v>
                </c:pt>
                <c:pt idx="3056">
                  <c:v>182786</c:v>
                </c:pt>
                <c:pt idx="3057">
                  <c:v>187855</c:v>
                </c:pt>
                <c:pt idx="3058">
                  <c:v>198645</c:v>
                </c:pt>
                <c:pt idx="3059">
                  <c:v>194146</c:v>
                </c:pt>
                <c:pt idx="3060">
                  <c:v>188824</c:v>
                </c:pt>
                <c:pt idx="3061">
                  <c:v>168373</c:v>
                </c:pt>
                <c:pt idx="3062">
                  <c:v>194499</c:v>
                </c:pt>
                <c:pt idx="3063">
                  <c:v>191263</c:v>
                </c:pt>
                <c:pt idx="3064">
                  <c:v>201687</c:v>
                </c:pt>
                <c:pt idx="3065">
                  <c:v>196641</c:v>
                </c:pt>
                <c:pt idx="3066">
                  <c:v>198245</c:v>
                </c:pt>
                <c:pt idx="3067">
                  <c:v>187116</c:v>
                </c:pt>
                <c:pt idx="3068">
                  <c:v>168768</c:v>
                </c:pt>
                <c:pt idx="3069">
                  <c:v>191428</c:v>
                </c:pt>
                <c:pt idx="3070">
                  <c:v>189145</c:v>
                </c:pt>
                <c:pt idx="3071">
                  <c:v>174482</c:v>
                </c:pt>
                <c:pt idx="3072">
                  <c:v>190425</c:v>
                </c:pt>
                <c:pt idx="3073">
                  <c:v>196321</c:v>
                </c:pt>
                <c:pt idx="3074">
                  <c:v>194375</c:v>
                </c:pt>
                <c:pt idx="3075">
                  <c:v>158430</c:v>
                </c:pt>
                <c:pt idx="3076">
                  <c:v>203998</c:v>
                </c:pt>
                <c:pt idx="3077">
                  <c:v>220802</c:v>
                </c:pt>
                <c:pt idx="3078">
                  <c:v>209708</c:v>
                </c:pt>
                <c:pt idx="3079">
                  <c:v>208818</c:v>
                </c:pt>
                <c:pt idx="3080">
                  <c:v>203190</c:v>
                </c:pt>
                <c:pt idx="3081">
                  <c:v>198645</c:v>
                </c:pt>
                <c:pt idx="3082">
                  <c:v>184869</c:v>
                </c:pt>
                <c:pt idx="3083">
                  <c:v>201501</c:v>
                </c:pt>
                <c:pt idx="3084">
                  <c:v>208527</c:v>
                </c:pt>
                <c:pt idx="3085">
                  <c:v>216744</c:v>
                </c:pt>
                <c:pt idx="3086">
                  <c:v>225412</c:v>
                </c:pt>
                <c:pt idx="3087">
                  <c:v>227177</c:v>
                </c:pt>
                <c:pt idx="3088">
                  <c:v>229877</c:v>
                </c:pt>
                <c:pt idx="3089">
                  <c:v>201864</c:v>
                </c:pt>
                <c:pt idx="3090">
                  <c:v>214759</c:v>
                </c:pt>
                <c:pt idx="3091">
                  <c:v>210870</c:v>
                </c:pt>
                <c:pt idx="3092">
                  <c:v>228997</c:v>
                </c:pt>
                <c:pt idx="3093">
                  <c:v>230114</c:v>
                </c:pt>
                <c:pt idx="3094">
                  <c:v>218061</c:v>
                </c:pt>
                <c:pt idx="3095">
                  <c:v>233889</c:v>
                </c:pt>
                <c:pt idx="3096">
                  <c:v>188909</c:v>
                </c:pt>
                <c:pt idx="3097">
                  <c:v>215137</c:v>
                </c:pt>
                <c:pt idx="3098">
                  <c:v>212205</c:v>
                </c:pt>
                <c:pt idx="3099">
                  <c:v>221638</c:v>
                </c:pt>
                <c:pt idx="3100">
                  <c:v>197541</c:v>
                </c:pt>
                <c:pt idx="3101">
                  <c:v>217958</c:v>
                </c:pt>
                <c:pt idx="3102">
                  <c:v>226065</c:v>
                </c:pt>
                <c:pt idx="3103">
                  <c:v>214099</c:v>
                </c:pt>
                <c:pt idx="3104">
                  <c:v>212541</c:v>
                </c:pt>
                <c:pt idx="3105">
                  <c:v>200159</c:v>
                </c:pt>
                <c:pt idx="3106">
                  <c:v>198487</c:v>
                </c:pt>
                <c:pt idx="3107">
                  <c:v>203636</c:v>
                </c:pt>
                <c:pt idx="3108">
                  <c:v>204212</c:v>
                </c:pt>
                <c:pt idx="3109">
                  <c:v>177058</c:v>
                </c:pt>
                <c:pt idx="3110">
                  <c:v>163389</c:v>
                </c:pt>
                <c:pt idx="3111">
                  <c:v>197351</c:v>
                </c:pt>
                <c:pt idx="3112">
                  <c:v>198858</c:v>
                </c:pt>
                <c:pt idx="3113">
                  <c:v>206372</c:v>
                </c:pt>
                <c:pt idx="3114">
                  <c:v>206148</c:v>
                </c:pt>
                <c:pt idx="3115">
                  <c:v>201191</c:v>
                </c:pt>
                <c:pt idx="3116">
                  <c:v>191755</c:v>
                </c:pt>
                <c:pt idx="3117">
                  <c:v>184222</c:v>
                </c:pt>
                <c:pt idx="3118">
                  <c:v>205244</c:v>
                </c:pt>
                <c:pt idx="3119">
                  <c:v>199442</c:v>
                </c:pt>
                <c:pt idx="3120">
                  <c:v>224761</c:v>
                </c:pt>
                <c:pt idx="3121">
                  <c:v>227717</c:v>
                </c:pt>
                <c:pt idx="3122">
                  <c:v>219343</c:v>
                </c:pt>
                <c:pt idx="3123">
                  <c:v>217462</c:v>
                </c:pt>
                <c:pt idx="3124">
                  <c:v>188643</c:v>
                </c:pt>
                <c:pt idx="3125">
                  <c:v>200582</c:v>
                </c:pt>
                <c:pt idx="3126">
                  <c:v>199535</c:v>
                </c:pt>
                <c:pt idx="3127">
                  <c:v>196459</c:v>
                </c:pt>
                <c:pt idx="3128">
                  <c:v>203421</c:v>
                </c:pt>
                <c:pt idx="3129">
                  <c:v>195338</c:v>
                </c:pt>
                <c:pt idx="3130">
                  <c:v>190051</c:v>
                </c:pt>
                <c:pt idx="3131">
                  <c:v>189896</c:v>
                </c:pt>
                <c:pt idx="3132">
                  <c:v>210622</c:v>
                </c:pt>
                <c:pt idx="3133">
                  <c:v>215150</c:v>
                </c:pt>
                <c:pt idx="3134">
                  <c:v>205182</c:v>
                </c:pt>
                <c:pt idx="3135">
                  <c:v>213583</c:v>
                </c:pt>
                <c:pt idx="3136">
                  <c:v>218959</c:v>
                </c:pt>
                <c:pt idx="3137">
                  <c:v>213342</c:v>
                </c:pt>
                <c:pt idx="3138">
                  <c:v>176698</c:v>
                </c:pt>
                <c:pt idx="3139">
                  <c:v>200061</c:v>
                </c:pt>
                <c:pt idx="3140">
                  <c:v>209228</c:v>
                </c:pt>
                <c:pt idx="3141">
                  <c:v>203319</c:v>
                </c:pt>
                <c:pt idx="3142">
                  <c:v>203793</c:v>
                </c:pt>
                <c:pt idx="3143">
                  <c:v>200888</c:v>
                </c:pt>
                <c:pt idx="3144">
                  <c:v>201564</c:v>
                </c:pt>
                <c:pt idx="3145">
                  <c:v>164301</c:v>
                </c:pt>
                <c:pt idx="3146">
                  <c:v>199877</c:v>
                </c:pt>
                <c:pt idx="3147">
                  <c:v>135055</c:v>
                </c:pt>
                <c:pt idx="3148">
                  <c:v>202521</c:v>
                </c:pt>
                <c:pt idx="3149">
                  <c:v>198447</c:v>
                </c:pt>
                <c:pt idx="3150">
                  <c:v>202200</c:v>
                </c:pt>
                <c:pt idx="3151">
                  <c:v>198611</c:v>
                </c:pt>
                <c:pt idx="3152">
                  <c:v>165239</c:v>
                </c:pt>
                <c:pt idx="3153">
                  <c:v>193015</c:v>
                </c:pt>
                <c:pt idx="3154">
                  <c:v>202397</c:v>
                </c:pt>
                <c:pt idx="3155">
                  <c:v>185758</c:v>
                </c:pt>
                <c:pt idx="3156">
                  <c:v>211119</c:v>
                </c:pt>
                <c:pt idx="3157">
                  <c:v>199293</c:v>
                </c:pt>
                <c:pt idx="3158">
                  <c:v>189378</c:v>
                </c:pt>
                <c:pt idx="3159">
                  <c:v>181892</c:v>
                </c:pt>
                <c:pt idx="3160">
                  <c:v>203294</c:v>
                </c:pt>
                <c:pt idx="3161">
                  <c:v>202234</c:v>
                </c:pt>
                <c:pt idx="3162">
                  <c:v>182331</c:v>
                </c:pt>
                <c:pt idx="3163">
                  <c:v>169061</c:v>
                </c:pt>
                <c:pt idx="3164">
                  <c:v>189140</c:v>
                </c:pt>
                <c:pt idx="3165">
                  <c:v>187008</c:v>
                </c:pt>
                <c:pt idx="3166">
                  <c:v>178980</c:v>
                </c:pt>
                <c:pt idx="3167">
                  <c:v>193690</c:v>
                </c:pt>
                <c:pt idx="3168">
                  <c:v>194783</c:v>
                </c:pt>
                <c:pt idx="3169">
                  <c:v>187872</c:v>
                </c:pt>
                <c:pt idx="3170">
                  <c:v>169208</c:v>
                </c:pt>
                <c:pt idx="3171">
                  <c:v>180699</c:v>
                </c:pt>
                <c:pt idx="3172">
                  <c:v>165847</c:v>
                </c:pt>
                <c:pt idx="3173">
                  <c:v>147529</c:v>
                </c:pt>
                <c:pt idx="3174">
                  <c:v>179529</c:v>
                </c:pt>
                <c:pt idx="3175">
                  <c:v>202841</c:v>
                </c:pt>
                <c:pt idx="3176">
                  <c:v>202367</c:v>
                </c:pt>
                <c:pt idx="3177">
                  <c:v>197739</c:v>
                </c:pt>
                <c:pt idx="3178">
                  <c:v>199603</c:v>
                </c:pt>
                <c:pt idx="3179">
                  <c:v>187713</c:v>
                </c:pt>
                <c:pt idx="3180">
                  <c:v>172157</c:v>
                </c:pt>
                <c:pt idx="3181">
                  <c:v>177911</c:v>
                </c:pt>
                <c:pt idx="3182">
                  <c:v>186299</c:v>
                </c:pt>
                <c:pt idx="3183">
                  <c:v>182986</c:v>
                </c:pt>
                <c:pt idx="3184">
                  <c:v>190498</c:v>
                </c:pt>
                <c:pt idx="3185">
                  <c:v>182880</c:v>
                </c:pt>
                <c:pt idx="3186">
                  <c:v>179456</c:v>
                </c:pt>
                <c:pt idx="3187">
                  <c:v>165678</c:v>
                </c:pt>
                <c:pt idx="3188">
                  <c:v>197722</c:v>
                </c:pt>
                <c:pt idx="3189">
                  <c:v>206248</c:v>
                </c:pt>
                <c:pt idx="3190">
                  <c:v>195173</c:v>
                </c:pt>
                <c:pt idx="3191">
                  <c:v>173136</c:v>
                </c:pt>
                <c:pt idx="3192">
                  <c:v>171741</c:v>
                </c:pt>
                <c:pt idx="3193">
                  <c:v>182414</c:v>
                </c:pt>
                <c:pt idx="3194">
                  <c:v>173232</c:v>
                </c:pt>
                <c:pt idx="3195">
                  <c:v>187464</c:v>
                </c:pt>
                <c:pt idx="3196">
                  <c:v>198354</c:v>
                </c:pt>
                <c:pt idx="3197">
                  <c:v>203901</c:v>
                </c:pt>
                <c:pt idx="3198">
                  <c:v>205013</c:v>
                </c:pt>
                <c:pt idx="3199">
                  <c:v>207522</c:v>
                </c:pt>
                <c:pt idx="3200">
                  <c:v>206644</c:v>
                </c:pt>
                <c:pt idx="3201">
                  <c:v>191057</c:v>
                </c:pt>
                <c:pt idx="3202">
                  <c:v>209239</c:v>
                </c:pt>
                <c:pt idx="3203">
                  <c:v>205571</c:v>
                </c:pt>
                <c:pt idx="3204">
                  <c:v>204427</c:v>
                </c:pt>
                <c:pt idx="3205">
                  <c:v>203554</c:v>
                </c:pt>
                <c:pt idx="3206">
                  <c:v>200508</c:v>
                </c:pt>
                <c:pt idx="3207">
                  <c:v>187467</c:v>
                </c:pt>
                <c:pt idx="3208">
                  <c:v>185823</c:v>
                </c:pt>
                <c:pt idx="3209">
                  <c:v>197199</c:v>
                </c:pt>
                <c:pt idx="3210">
                  <c:v>197939</c:v>
                </c:pt>
                <c:pt idx="3211">
                  <c:v>205208</c:v>
                </c:pt>
                <c:pt idx="3212">
                  <c:v>204471</c:v>
                </c:pt>
                <c:pt idx="3213">
                  <c:v>191769</c:v>
                </c:pt>
                <c:pt idx="3214">
                  <c:v>198413</c:v>
                </c:pt>
                <c:pt idx="3215">
                  <c:v>181876</c:v>
                </c:pt>
                <c:pt idx="3216">
                  <c:v>173744</c:v>
                </c:pt>
                <c:pt idx="3217">
                  <c:v>159986</c:v>
                </c:pt>
                <c:pt idx="3218">
                  <c:v>187300</c:v>
                </c:pt>
                <c:pt idx="3219">
                  <c:v>190434</c:v>
                </c:pt>
                <c:pt idx="3220">
                  <c:v>193713</c:v>
                </c:pt>
                <c:pt idx="3221">
                  <c:v>182495</c:v>
                </c:pt>
                <c:pt idx="3222">
                  <c:v>171833</c:v>
                </c:pt>
                <c:pt idx="3223">
                  <c:v>188268</c:v>
                </c:pt>
                <c:pt idx="3224">
                  <c:v>194911</c:v>
                </c:pt>
                <c:pt idx="3225">
                  <c:v>198241</c:v>
                </c:pt>
                <c:pt idx="3226">
                  <c:v>217999</c:v>
                </c:pt>
                <c:pt idx="3227">
                  <c:v>218048</c:v>
                </c:pt>
                <c:pt idx="3228">
                  <c:v>223163</c:v>
                </c:pt>
                <c:pt idx="3229">
                  <c:v>215521</c:v>
                </c:pt>
                <c:pt idx="3230">
                  <c:v>232098</c:v>
                </c:pt>
                <c:pt idx="3231">
                  <c:v>233248</c:v>
                </c:pt>
                <c:pt idx="3232">
                  <c:v>219218</c:v>
                </c:pt>
                <c:pt idx="3233">
                  <c:v>232686</c:v>
                </c:pt>
                <c:pt idx="3234">
                  <c:v>198759</c:v>
                </c:pt>
                <c:pt idx="3235">
                  <c:v>182439</c:v>
                </c:pt>
                <c:pt idx="3236">
                  <c:v>129371</c:v>
                </c:pt>
                <c:pt idx="3237">
                  <c:v>170223</c:v>
                </c:pt>
                <c:pt idx="3238">
                  <c:v>201379</c:v>
                </c:pt>
                <c:pt idx="3239">
                  <c:v>196719</c:v>
                </c:pt>
                <c:pt idx="3240">
                  <c:v>213060</c:v>
                </c:pt>
                <c:pt idx="3241">
                  <c:v>219172</c:v>
                </c:pt>
                <c:pt idx="3242">
                  <c:v>228302</c:v>
                </c:pt>
                <c:pt idx="3243">
                  <c:v>167698</c:v>
                </c:pt>
                <c:pt idx="3244">
                  <c:v>200455</c:v>
                </c:pt>
                <c:pt idx="3245">
                  <c:v>228015</c:v>
                </c:pt>
                <c:pt idx="3246">
                  <c:v>222540</c:v>
                </c:pt>
                <c:pt idx="3247">
                  <c:v>213635</c:v>
                </c:pt>
                <c:pt idx="3248">
                  <c:v>208810</c:v>
                </c:pt>
                <c:pt idx="3249">
                  <c:v>204991</c:v>
                </c:pt>
                <c:pt idx="3250">
                  <c:v>192622</c:v>
                </c:pt>
                <c:pt idx="3251">
                  <c:v>193367</c:v>
                </c:pt>
                <c:pt idx="3252">
                  <c:v>218894</c:v>
                </c:pt>
                <c:pt idx="3253">
                  <c:v>221442</c:v>
                </c:pt>
                <c:pt idx="3254">
                  <c:v>210124</c:v>
                </c:pt>
                <c:pt idx="3255">
                  <c:v>218379</c:v>
                </c:pt>
                <c:pt idx="3256">
                  <c:v>220726</c:v>
                </c:pt>
                <c:pt idx="3257">
                  <c:v>178350</c:v>
                </c:pt>
                <c:pt idx="3258">
                  <c:v>197838</c:v>
                </c:pt>
                <c:pt idx="3259">
                  <c:v>186780</c:v>
                </c:pt>
                <c:pt idx="3260">
                  <c:v>182755</c:v>
                </c:pt>
                <c:pt idx="3261">
                  <c:v>172087</c:v>
                </c:pt>
                <c:pt idx="3262">
                  <c:v>199200</c:v>
                </c:pt>
                <c:pt idx="3263">
                  <c:v>185516</c:v>
                </c:pt>
                <c:pt idx="3264">
                  <c:v>174076</c:v>
                </c:pt>
                <c:pt idx="3265">
                  <c:v>202760</c:v>
                </c:pt>
                <c:pt idx="3266">
                  <c:v>204348</c:v>
                </c:pt>
                <c:pt idx="3267">
                  <c:v>205093</c:v>
                </c:pt>
                <c:pt idx="3268">
                  <c:v>205937</c:v>
                </c:pt>
                <c:pt idx="3269">
                  <c:v>204362</c:v>
                </c:pt>
                <c:pt idx="3270">
                  <c:v>196302</c:v>
                </c:pt>
                <c:pt idx="3271">
                  <c:v>160138</c:v>
                </c:pt>
                <c:pt idx="3272">
                  <c:v>184467</c:v>
                </c:pt>
                <c:pt idx="3273">
                  <c:v>209892</c:v>
                </c:pt>
                <c:pt idx="3274">
                  <c:v>219986</c:v>
                </c:pt>
                <c:pt idx="3275">
                  <c:v>210676</c:v>
                </c:pt>
                <c:pt idx="3276">
                  <c:v>210777</c:v>
                </c:pt>
                <c:pt idx="3277">
                  <c:v>221429</c:v>
                </c:pt>
                <c:pt idx="3278">
                  <c:v>200019</c:v>
                </c:pt>
                <c:pt idx="3279">
                  <c:v>211226</c:v>
                </c:pt>
                <c:pt idx="3280">
                  <c:v>217009</c:v>
                </c:pt>
                <c:pt idx="3281">
                  <c:v>207273</c:v>
                </c:pt>
                <c:pt idx="3282">
                  <c:v>208530</c:v>
                </c:pt>
                <c:pt idx="3283">
                  <c:v>209632</c:v>
                </c:pt>
                <c:pt idx="3284">
                  <c:v>219760</c:v>
                </c:pt>
                <c:pt idx="3285">
                  <c:v>189468</c:v>
                </c:pt>
                <c:pt idx="3286">
                  <c:v>170506</c:v>
                </c:pt>
                <c:pt idx="3287">
                  <c:v>212200</c:v>
                </c:pt>
                <c:pt idx="3288">
                  <c:v>212515</c:v>
                </c:pt>
                <c:pt idx="3289">
                  <c:v>218980</c:v>
                </c:pt>
                <c:pt idx="3290">
                  <c:v>216789</c:v>
                </c:pt>
                <c:pt idx="3291">
                  <c:v>219897</c:v>
                </c:pt>
                <c:pt idx="3292">
                  <c:v>190629</c:v>
                </c:pt>
                <c:pt idx="3293">
                  <c:v>214292</c:v>
                </c:pt>
                <c:pt idx="3294">
                  <c:v>203733</c:v>
                </c:pt>
                <c:pt idx="3295">
                  <c:v>211557</c:v>
                </c:pt>
                <c:pt idx="3296">
                  <c:v>211112</c:v>
                </c:pt>
                <c:pt idx="3297">
                  <c:v>203036</c:v>
                </c:pt>
                <c:pt idx="3298">
                  <c:v>203338</c:v>
                </c:pt>
                <c:pt idx="3299">
                  <c:v>179468</c:v>
                </c:pt>
                <c:pt idx="3300">
                  <c:v>169941</c:v>
                </c:pt>
                <c:pt idx="3301">
                  <c:v>187693</c:v>
                </c:pt>
                <c:pt idx="3302">
                  <c:v>185076</c:v>
                </c:pt>
                <c:pt idx="3303">
                  <c:v>188636</c:v>
                </c:pt>
                <c:pt idx="3304">
                  <c:v>188109</c:v>
                </c:pt>
                <c:pt idx="3305">
                  <c:v>187632</c:v>
                </c:pt>
                <c:pt idx="3306">
                  <c:v>165433</c:v>
                </c:pt>
                <c:pt idx="3307">
                  <c:v>160398</c:v>
                </c:pt>
                <c:pt idx="3308">
                  <c:v>186519</c:v>
                </c:pt>
                <c:pt idx="3309">
                  <c:v>189118</c:v>
                </c:pt>
                <c:pt idx="3310">
                  <c:v>192630</c:v>
                </c:pt>
                <c:pt idx="3311">
                  <c:v>143823</c:v>
                </c:pt>
                <c:pt idx="3312">
                  <c:v>195882</c:v>
                </c:pt>
                <c:pt idx="3313">
                  <c:v>189761</c:v>
                </c:pt>
                <c:pt idx="3314">
                  <c:v>208332</c:v>
                </c:pt>
                <c:pt idx="3315">
                  <c:v>200692</c:v>
                </c:pt>
                <c:pt idx="3316">
                  <c:v>188216</c:v>
                </c:pt>
                <c:pt idx="3317">
                  <c:v>195761</c:v>
                </c:pt>
                <c:pt idx="3318">
                  <c:v>200691</c:v>
                </c:pt>
                <c:pt idx="3319">
                  <c:v>204579</c:v>
                </c:pt>
                <c:pt idx="3320">
                  <c:v>189032</c:v>
                </c:pt>
                <c:pt idx="3321">
                  <c:v>209634</c:v>
                </c:pt>
                <c:pt idx="3322">
                  <c:v>199530</c:v>
                </c:pt>
                <c:pt idx="3323">
                  <c:v>221952</c:v>
                </c:pt>
                <c:pt idx="3324">
                  <c:v>214824</c:v>
                </c:pt>
                <c:pt idx="3325">
                  <c:v>220230</c:v>
                </c:pt>
                <c:pt idx="3326">
                  <c:v>213407</c:v>
                </c:pt>
                <c:pt idx="3327">
                  <c:v>193284</c:v>
                </c:pt>
                <c:pt idx="3328">
                  <c:v>210235</c:v>
                </c:pt>
                <c:pt idx="3329">
                  <c:v>206727</c:v>
                </c:pt>
                <c:pt idx="3330">
                  <c:v>212039</c:v>
                </c:pt>
                <c:pt idx="3331">
                  <c:v>214600</c:v>
                </c:pt>
                <c:pt idx="3332">
                  <c:v>211180</c:v>
                </c:pt>
                <c:pt idx="3333">
                  <c:v>202536</c:v>
                </c:pt>
                <c:pt idx="3334">
                  <c:v>189060</c:v>
                </c:pt>
                <c:pt idx="3335">
                  <c:v>202578</c:v>
                </c:pt>
                <c:pt idx="3336">
                  <c:v>185213</c:v>
                </c:pt>
                <c:pt idx="3337">
                  <c:v>209807</c:v>
                </c:pt>
                <c:pt idx="3338">
                  <c:v>209651</c:v>
                </c:pt>
                <c:pt idx="3339">
                  <c:v>211215</c:v>
                </c:pt>
                <c:pt idx="3340">
                  <c:v>199303</c:v>
                </c:pt>
                <c:pt idx="3341">
                  <c:v>184801</c:v>
                </c:pt>
                <c:pt idx="3342">
                  <c:v>199927</c:v>
                </c:pt>
                <c:pt idx="3343">
                  <c:v>201211</c:v>
                </c:pt>
                <c:pt idx="3344">
                  <c:v>205481</c:v>
                </c:pt>
                <c:pt idx="3345">
                  <c:v>209697</c:v>
                </c:pt>
                <c:pt idx="3346">
                  <c:v>219738</c:v>
                </c:pt>
                <c:pt idx="3347">
                  <c:v>217652</c:v>
                </c:pt>
                <c:pt idx="3348">
                  <c:v>203836</c:v>
                </c:pt>
                <c:pt idx="3349">
                  <c:v>225353</c:v>
                </c:pt>
                <c:pt idx="3350">
                  <c:v>223060</c:v>
                </c:pt>
                <c:pt idx="3351">
                  <c:v>224359</c:v>
                </c:pt>
                <c:pt idx="3352">
                  <c:v>212884</c:v>
                </c:pt>
                <c:pt idx="3353">
                  <c:v>188750</c:v>
                </c:pt>
                <c:pt idx="3354">
                  <c:v>207775</c:v>
                </c:pt>
                <c:pt idx="3355">
                  <c:v>200435</c:v>
                </c:pt>
                <c:pt idx="3356">
                  <c:v>221254</c:v>
                </c:pt>
                <c:pt idx="3357">
                  <c:v>226489</c:v>
                </c:pt>
                <c:pt idx="3358">
                  <c:v>224881</c:v>
                </c:pt>
                <c:pt idx="3359">
                  <c:v>232600</c:v>
                </c:pt>
                <c:pt idx="3360">
                  <c:v>230443</c:v>
                </c:pt>
                <c:pt idx="3361">
                  <c:v>229969</c:v>
                </c:pt>
                <c:pt idx="3362">
                  <c:v>207370</c:v>
                </c:pt>
                <c:pt idx="3363">
                  <c:v>234599</c:v>
                </c:pt>
                <c:pt idx="3364">
                  <c:v>238982</c:v>
                </c:pt>
                <c:pt idx="3365">
                  <c:v>236521</c:v>
                </c:pt>
                <c:pt idx="3366">
                  <c:v>249175</c:v>
                </c:pt>
                <c:pt idx="3367">
                  <c:v>246908</c:v>
                </c:pt>
                <c:pt idx="3368">
                  <c:v>246233</c:v>
                </c:pt>
                <c:pt idx="3369">
                  <c:v>191494</c:v>
                </c:pt>
                <c:pt idx="3370">
                  <c:v>162477</c:v>
                </c:pt>
                <c:pt idx="3371">
                  <c:v>183510</c:v>
                </c:pt>
                <c:pt idx="3372">
                  <c:v>225418</c:v>
                </c:pt>
                <c:pt idx="3373">
                  <c:v>233365</c:v>
                </c:pt>
                <c:pt idx="3374">
                  <c:v>235547</c:v>
                </c:pt>
                <c:pt idx="3375">
                  <c:v>227159</c:v>
                </c:pt>
                <c:pt idx="3376">
                  <c:v>206483</c:v>
                </c:pt>
                <c:pt idx="3377">
                  <c:v>228485</c:v>
                </c:pt>
                <c:pt idx="3378">
                  <c:v>227837</c:v>
                </c:pt>
                <c:pt idx="3379">
                  <c:v>224668</c:v>
                </c:pt>
                <c:pt idx="3380">
                  <c:v>235750</c:v>
                </c:pt>
                <c:pt idx="3381">
                  <c:v>232486</c:v>
                </c:pt>
                <c:pt idx="3382">
                  <c:v>231392</c:v>
                </c:pt>
                <c:pt idx="3383">
                  <c:v>203991</c:v>
                </c:pt>
                <c:pt idx="3384">
                  <c:v>230204</c:v>
                </c:pt>
                <c:pt idx="3385">
                  <c:v>212631</c:v>
                </c:pt>
                <c:pt idx="3386">
                  <c:v>222867</c:v>
                </c:pt>
                <c:pt idx="3387">
                  <c:v>199840</c:v>
                </c:pt>
                <c:pt idx="3388">
                  <c:v>228401</c:v>
                </c:pt>
                <c:pt idx="3389">
                  <c:v>216143</c:v>
                </c:pt>
                <c:pt idx="3390">
                  <c:v>184113</c:v>
                </c:pt>
                <c:pt idx="3391">
                  <c:v>220333</c:v>
                </c:pt>
                <c:pt idx="3392">
                  <c:v>211004</c:v>
                </c:pt>
                <c:pt idx="3393">
                  <c:v>180366</c:v>
                </c:pt>
                <c:pt idx="3394">
                  <c:v>180317</c:v>
                </c:pt>
                <c:pt idx="3395">
                  <c:v>175461</c:v>
                </c:pt>
                <c:pt idx="3396">
                  <c:v>196695</c:v>
                </c:pt>
                <c:pt idx="3397">
                  <c:v>198948</c:v>
                </c:pt>
                <c:pt idx="3398">
                  <c:v>204012</c:v>
                </c:pt>
                <c:pt idx="3399">
                  <c:v>193995</c:v>
                </c:pt>
                <c:pt idx="3400">
                  <c:v>197572</c:v>
                </c:pt>
                <c:pt idx="3401">
                  <c:v>193973</c:v>
                </c:pt>
                <c:pt idx="3402">
                  <c:v>184708</c:v>
                </c:pt>
                <c:pt idx="3403">
                  <c:v>207419</c:v>
                </c:pt>
                <c:pt idx="3404">
                  <c:v>198604</c:v>
                </c:pt>
                <c:pt idx="3405">
                  <c:v>205484</c:v>
                </c:pt>
                <c:pt idx="3406">
                  <c:v>217052</c:v>
                </c:pt>
                <c:pt idx="3407">
                  <c:v>227166</c:v>
                </c:pt>
                <c:pt idx="3408">
                  <c:v>232056</c:v>
                </c:pt>
                <c:pt idx="3409">
                  <c:v>228813</c:v>
                </c:pt>
                <c:pt idx="3410">
                  <c:v>224717</c:v>
                </c:pt>
                <c:pt idx="3411">
                  <c:v>195774</c:v>
                </c:pt>
                <c:pt idx="3412">
                  <c:v>200134</c:v>
                </c:pt>
                <c:pt idx="3413">
                  <c:v>193230</c:v>
                </c:pt>
                <c:pt idx="3414">
                  <c:v>211449</c:v>
                </c:pt>
                <c:pt idx="3415">
                  <c:v>211348</c:v>
                </c:pt>
                <c:pt idx="3416">
                  <c:v>199226</c:v>
                </c:pt>
                <c:pt idx="3417">
                  <c:v>197613</c:v>
                </c:pt>
                <c:pt idx="3418">
                  <c:v>190959</c:v>
                </c:pt>
                <c:pt idx="3419">
                  <c:v>202256</c:v>
                </c:pt>
                <c:pt idx="3420">
                  <c:v>203640</c:v>
                </c:pt>
                <c:pt idx="3421">
                  <c:v>217485</c:v>
                </c:pt>
                <c:pt idx="3422">
                  <c:v>215396</c:v>
                </c:pt>
                <c:pt idx="3423">
                  <c:v>208622</c:v>
                </c:pt>
                <c:pt idx="3424">
                  <c:v>208494</c:v>
                </c:pt>
                <c:pt idx="3425">
                  <c:v>188899</c:v>
                </c:pt>
                <c:pt idx="3426">
                  <c:v>186945</c:v>
                </c:pt>
                <c:pt idx="3427">
                  <c:v>204550</c:v>
                </c:pt>
                <c:pt idx="3428">
                  <c:v>193450</c:v>
                </c:pt>
                <c:pt idx="3429">
                  <c:v>181921</c:v>
                </c:pt>
                <c:pt idx="3430">
                  <c:v>191063</c:v>
                </c:pt>
                <c:pt idx="3431">
                  <c:v>195900</c:v>
                </c:pt>
                <c:pt idx="3432">
                  <c:v>179508</c:v>
                </c:pt>
                <c:pt idx="3433">
                  <c:v>205285</c:v>
                </c:pt>
                <c:pt idx="3434">
                  <c:v>200270</c:v>
                </c:pt>
                <c:pt idx="3435">
                  <c:v>199523</c:v>
                </c:pt>
                <c:pt idx="3436">
                  <c:v>196841</c:v>
                </c:pt>
                <c:pt idx="3437">
                  <c:v>198148</c:v>
                </c:pt>
                <c:pt idx="3438">
                  <c:v>207246</c:v>
                </c:pt>
                <c:pt idx="3439">
                  <c:v>209095</c:v>
                </c:pt>
                <c:pt idx="3440">
                  <c:v>214961</c:v>
                </c:pt>
                <c:pt idx="3441">
                  <c:v>155543</c:v>
                </c:pt>
                <c:pt idx="3442">
                  <c:v>229610</c:v>
                </c:pt>
                <c:pt idx="3443">
                  <c:v>234226</c:v>
                </c:pt>
                <c:pt idx="3444">
                  <c:v>232412</c:v>
                </c:pt>
                <c:pt idx="3445">
                  <c:v>223370</c:v>
                </c:pt>
                <c:pt idx="3446">
                  <c:v>190880</c:v>
                </c:pt>
                <c:pt idx="3447">
                  <c:v>220884</c:v>
                </c:pt>
                <c:pt idx="3448">
                  <c:v>236392</c:v>
                </c:pt>
                <c:pt idx="3449">
                  <c:v>233007</c:v>
                </c:pt>
                <c:pt idx="3450">
                  <c:v>237233</c:v>
                </c:pt>
                <c:pt idx="3451">
                  <c:v>237095</c:v>
                </c:pt>
                <c:pt idx="3452">
                  <c:v>241666</c:v>
                </c:pt>
                <c:pt idx="3453">
                  <c:v>209973</c:v>
                </c:pt>
                <c:pt idx="3454">
                  <c:v>204682</c:v>
                </c:pt>
                <c:pt idx="3455">
                  <c:v>223850</c:v>
                </c:pt>
                <c:pt idx="3456">
                  <c:v>228091</c:v>
                </c:pt>
                <c:pt idx="3457">
                  <c:v>230905</c:v>
                </c:pt>
                <c:pt idx="3458">
                  <c:v>215160</c:v>
                </c:pt>
                <c:pt idx="3459">
                  <c:v>232213</c:v>
                </c:pt>
                <c:pt idx="3460">
                  <c:v>215403</c:v>
                </c:pt>
                <c:pt idx="3461">
                  <c:v>231327</c:v>
                </c:pt>
                <c:pt idx="3462">
                  <c:v>231698</c:v>
                </c:pt>
                <c:pt idx="3463">
                  <c:v>215474</c:v>
                </c:pt>
                <c:pt idx="3464">
                  <c:v>224925</c:v>
                </c:pt>
                <c:pt idx="3465">
                  <c:v>213887</c:v>
                </c:pt>
                <c:pt idx="3466">
                  <c:v>226458</c:v>
                </c:pt>
                <c:pt idx="3467">
                  <c:v>205914</c:v>
                </c:pt>
                <c:pt idx="3468">
                  <c:v>228507</c:v>
                </c:pt>
                <c:pt idx="3469">
                  <c:v>228468</c:v>
                </c:pt>
                <c:pt idx="3470">
                  <c:v>230802</c:v>
                </c:pt>
                <c:pt idx="3471">
                  <c:v>238333</c:v>
                </c:pt>
                <c:pt idx="3472">
                  <c:v>230206</c:v>
                </c:pt>
                <c:pt idx="3473">
                  <c:v>227235</c:v>
                </c:pt>
                <c:pt idx="3474">
                  <c:v>203253</c:v>
                </c:pt>
                <c:pt idx="3475">
                  <c:v>244221</c:v>
                </c:pt>
                <c:pt idx="3476">
                  <c:v>230801</c:v>
                </c:pt>
                <c:pt idx="3477">
                  <c:v>224599</c:v>
                </c:pt>
                <c:pt idx="3478">
                  <c:v>216531</c:v>
                </c:pt>
                <c:pt idx="3479">
                  <c:v>241900</c:v>
                </c:pt>
                <c:pt idx="3480">
                  <c:v>230660</c:v>
                </c:pt>
                <c:pt idx="3481">
                  <c:v>215975</c:v>
                </c:pt>
                <c:pt idx="3482">
                  <c:v>217947</c:v>
                </c:pt>
                <c:pt idx="3483">
                  <c:v>228031</c:v>
                </c:pt>
                <c:pt idx="3484">
                  <c:v>210676</c:v>
                </c:pt>
                <c:pt idx="3485">
                  <c:v>226981</c:v>
                </c:pt>
                <c:pt idx="3486">
                  <c:v>248437</c:v>
                </c:pt>
                <c:pt idx="3487">
                  <c:v>254859</c:v>
                </c:pt>
                <c:pt idx="3488">
                  <c:v>214032</c:v>
                </c:pt>
                <c:pt idx="3489">
                  <c:v>225823</c:v>
                </c:pt>
                <c:pt idx="3490">
                  <c:v>224452</c:v>
                </c:pt>
                <c:pt idx="3491">
                  <c:v>226802</c:v>
                </c:pt>
                <c:pt idx="3492">
                  <c:v>226107</c:v>
                </c:pt>
                <c:pt idx="3493">
                  <c:v>225340</c:v>
                </c:pt>
                <c:pt idx="3494">
                  <c:v>223895</c:v>
                </c:pt>
                <c:pt idx="3495">
                  <c:v>211907</c:v>
                </c:pt>
                <c:pt idx="3496">
                  <c:v>208593</c:v>
                </c:pt>
                <c:pt idx="3497">
                  <c:v>215061</c:v>
                </c:pt>
                <c:pt idx="3498">
                  <c:v>190247</c:v>
                </c:pt>
                <c:pt idx="3499">
                  <c:v>215563</c:v>
                </c:pt>
                <c:pt idx="3500">
                  <c:v>222431</c:v>
                </c:pt>
                <c:pt idx="3501">
                  <c:v>222234</c:v>
                </c:pt>
                <c:pt idx="3502">
                  <c:v>205533</c:v>
                </c:pt>
                <c:pt idx="3503">
                  <c:v>229105</c:v>
                </c:pt>
                <c:pt idx="3504">
                  <c:v>233952</c:v>
                </c:pt>
                <c:pt idx="3505">
                  <c:v>237687</c:v>
                </c:pt>
                <c:pt idx="3506">
                  <c:v>246650</c:v>
                </c:pt>
                <c:pt idx="3507">
                  <c:v>231599</c:v>
                </c:pt>
                <c:pt idx="3508">
                  <c:v>247726</c:v>
                </c:pt>
                <c:pt idx="3509">
                  <c:v>209663</c:v>
                </c:pt>
                <c:pt idx="3510">
                  <c:v>227515</c:v>
                </c:pt>
                <c:pt idx="3511">
                  <c:v>229670</c:v>
                </c:pt>
                <c:pt idx="3512">
                  <c:v>228895</c:v>
                </c:pt>
                <c:pt idx="3513">
                  <c:v>164153</c:v>
                </c:pt>
                <c:pt idx="3514">
                  <c:v>245648</c:v>
                </c:pt>
                <c:pt idx="3515">
                  <c:v>232773</c:v>
                </c:pt>
                <c:pt idx="3516">
                  <c:v>216109</c:v>
                </c:pt>
                <c:pt idx="3517">
                  <c:v>195626</c:v>
                </c:pt>
                <c:pt idx="3518">
                  <c:v>232573</c:v>
                </c:pt>
                <c:pt idx="3519">
                  <c:v>223640</c:v>
                </c:pt>
                <c:pt idx="3520">
                  <c:v>243369</c:v>
                </c:pt>
                <c:pt idx="3521">
                  <c:v>232912</c:v>
                </c:pt>
                <c:pt idx="3522">
                  <c:v>236413</c:v>
                </c:pt>
                <c:pt idx="3523">
                  <c:v>210314</c:v>
                </c:pt>
                <c:pt idx="3524">
                  <c:v>200983</c:v>
                </c:pt>
                <c:pt idx="3525">
                  <c:v>221095</c:v>
                </c:pt>
                <c:pt idx="3526">
                  <c:v>217788</c:v>
                </c:pt>
                <c:pt idx="3527">
                  <c:v>210063</c:v>
                </c:pt>
                <c:pt idx="3528">
                  <c:v>223313</c:v>
                </c:pt>
                <c:pt idx="3529">
                  <c:v>220542</c:v>
                </c:pt>
                <c:pt idx="3530">
                  <c:v>213523</c:v>
                </c:pt>
                <c:pt idx="3531">
                  <c:v>237513</c:v>
                </c:pt>
                <c:pt idx="3532">
                  <c:v>242696</c:v>
                </c:pt>
                <c:pt idx="3533">
                  <c:v>224490</c:v>
                </c:pt>
                <c:pt idx="3534">
                  <c:v>241036</c:v>
                </c:pt>
                <c:pt idx="3535">
                  <c:v>225307</c:v>
                </c:pt>
                <c:pt idx="3536">
                  <c:v>219738</c:v>
                </c:pt>
                <c:pt idx="3537">
                  <c:v>211995</c:v>
                </c:pt>
                <c:pt idx="3538">
                  <c:v>218886</c:v>
                </c:pt>
                <c:pt idx="3539">
                  <c:v>226030</c:v>
                </c:pt>
                <c:pt idx="3540">
                  <c:v>216973</c:v>
                </c:pt>
                <c:pt idx="3541">
                  <c:v>214417</c:v>
                </c:pt>
                <c:pt idx="3542">
                  <c:v>215264</c:v>
                </c:pt>
                <c:pt idx="3543">
                  <c:v>226606</c:v>
                </c:pt>
                <c:pt idx="3544">
                  <c:v>203380</c:v>
                </c:pt>
                <c:pt idx="3545">
                  <c:v>200988</c:v>
                </c:pt>
                <c:pt idx="3546">
                  <c:v>193230</c:v>
                </c:pt>
                <c:pt idx="3547">
                  <c:v>211485</c:v>
                </c:pt>
                <c:pt idx="3548">
                  <c:v>243377</c:v>
                </c:pt>
                <c:pt idx="3549">
                  <c:v>245315</c:v>
                </c:pt>
                <c:pt idx="3550">
                  <c:v>240737</c:v>
                </c:pt>
                <c:pt idx="3551">
                  <c:v>222967</c:v>
                </c:pt>
                <c:pt idx="3552">
                  <c:v>239364</c:v>
                </c:pt>
                <c:pt idx="3553">
                  <c:v>238259</c:v>
                </c:pt>
                <c:pt idx="3554">
                  <c:v>231894</c:v>
                </c:pt>
                <c:pt idx="3555">
                  <c:v>226225</c:v>
                </c:pt>
                <c:pt idx="3556">
                  <c:v>225048</c:v>
                </c:pt>
                <c:pt idx="3557">
                  <c:v>230343</c:v>
                </c:pt>
                <c:pt idx="3558">
                  <c:v>215589</c:v>
                </c:pt>
                <c:pt idx="3559">
                  <c:v>233813</c:v>
                </c:pt>
                <c:pt idx="3560">
                  <c:v>221005</c:v>
                </c:pt>
                <c:pt idx="3561">
                  <c:v>224189</c:v>
                </c:pt>
                <c:pt idx="3562">
                  <c:v>243884</c:v>
                </c:pt>
                <c:pt idx="3563">
                  <c:v>253179</c:v>
                </c:pt>
                <c:pt idx="3564">
                  <c:v>246858</c:v>
                </c:pt>
                <c:pt idx="3565">
                  <c:v>219152</c:v>
                </c:pt>
                <c:pt idx="3566">
                  <c:v>250608</c:v>
                </c:pt>
                <c:pt idx="3567">
                  <c:v>243070</c:v>
                </c:pt>
                <c:pt idx="3568">
                  <c:v>245724</c:v>
                </c:pt>
                <c:pt idx="3569">
                  <c:v>245970</c:v>
                </c:pt>
                <c:pt idx="3570">
                  <c:v>222930</c:v>
                </c:pt>
                <c:pt idx="3571">
                  <c:v>209250</c:v>
                </c:pt>
                <c:pt idx="3572">
                  <c:v>215186</c:v>
                </c:pt>
                <c:pt idx="3573">
                  <c:v>231939</c:v>
                </c:pt>
                <c:pt idx="3574">
                  <c:v>230557</c:v>
                </c:pt>
                <c:pt idx="3575">
                  <c:v>238243</c:v>
                </c:pt>
                <c:pt idx="3576">
                  <c:v>251494</c:v>
                </c:pt>
                <c:pt idx="3577">
                  <c:v>262834</c:v>
                </c:pt>
                <c:pt idx="3578">
                  <c:v>257096</c:v>
                </c:pt>
                <c:pt idx="3579">
                  <c:v>226377</c:v>
                </c:pt>
                <c:pt idx="3580">
                  <c:v>249975</c:v>
                </c:pt>
                <c:pt idx="3581">
                  <c:v>253326</c:v>
                </c:pt>
                <c:pt idx="3582">
                  <c:v>261278</c:v>
                </c:pt>
                <c:pt idx="3583">
                  <c:v>255930</c:v>
                </c:pt>
                <c:pt idx="3584">
                  <c:v>242721</c:v>
                </c:pt>
                <c:pt idx="3585">
                  <c:v>252713</c:v>
                </c:pt>
                <c:pt idx="3586">
                  <c:v>229345</c:v>
                </c:pt>
                <c:pt idx="3587">
                  <c:v>241849</c:v>
                </c:pt>
                <c:pt idx="3588">
                  <c:v>215471</c:v>
                </c:pt>
                <c:pt idx="3589">
                  <c:v>200341</c:v>
                </c:pt>
                <c:pt idx="3590">
                  <c:v>140691</c:v>
                </c:pt>
                <c:pt idx="3591">
                  <c:v>191462</c:v>
                </c:pt>
                <c:pt idx="3592">
                  <c:v>243040</c:v>
                </c:pt>
                <c:pt idx="3593">
                  <c:v>242004</c:v>
                </c:pt>
                <c:pt idx="3594">
                  <c:v>267975</c:v>
                </c:pt>
                <c:pt idx="3595">
                  <c:v>280284</c:v>
                </c:pt>
                <c:pt idx="3596">
                  <c:v>283776</c:v>
                </c:pt>
                <c:pt idx="3597">
                  <c:v>258982</c:v>
                </c:pt>
                <c:pt idx="3598">
                  <c:v>267724</c:v>
                </c:pt>
                <c:pt idx="3599">
                  <c:v>286740</c:v>
                </c:pt>
                <c:pt idx="3600">
                  <c:v>270624</c:v>
                </c:pt>
                <c:pt idx="3601">
                  <c:v>294651</c:v>
                </c:pt>
                <c:pt idx="3602">
                  <c:v>276286</c:v>
                </c:pt>
                <c:pt idx="3603">
                  <c:v>285907</c:v>
                </c:pt>
                <c:pt idx="3604">
                  <c:v>272520</c:v>
                </c:pt>
                <c:pt idx="3605">
                  <c:v>268287</c:v>
                </c:pt>
                <c:pt idx="3606">
                  <c:v>283526</c:v>
                </c:pt>
                <c:pt idx="3607">
                  <c:v>271760</c:v>
                </c:pt>
                <c:pt idx="3608">
                  <c:v>286688</c:v>
                </c:pt>
                <c:pt idx="3609">
                  <c:v>295382</c:v>
                </c:pt>
                <c:pt idx="3610">
                  <c:v>294187</c:v>
                </c:pt>
                <c:pt idx="3611">
                  <c:v>300821</c:v>
                </c:pt>
                <c:pt idx="3612">
                  <c:v>306500</c:v>
                </c:pt>
                <c:pt idx="3613">
                  <c:v>292464</c:v>
                </c:pt>
                <c:pt idx="3614">
                  <c:v>268434</c:v>
                </c:pt>
                <c:pt idx="3615">
                  <c:v>287667</c:v>
                </c:pt>
                <c:pt idx="3616">
                  <c:v>280952</c:v>
                </c:pt>
                <c:pt idx="3617">
                  <c:v>303156</c:v>
                </c:pt>
                <c:pt idx="3618">
                  <c:v>296184</c:v>
                </c:pt>
                <c:pt idx="3619">
                  <c:v>297645</c:v>
                </c:pt>
                <c:pt idx="3620">
                  <c:v>267802</c:v>
                </c:pt>
                <c:pt idx="3621">
                  <c:v>237392</c:v>
                </c:pt>
                <c:pt idx="3622">
                  <c:v>254183</c:v>
                </c:pt>
                <c:pt idx="3623">
                  <c:v>267230</c:v>
                </c:pt>
                <c:pt idx="3624">
                  <c:v>266905</c:v>
                </c:pt>
                <c:pt idx="3625">
                  <c:v>262270</c:v>
                </c:pt>
                <c:pt idx="3626">
                  <c:v>252366</c:v>
                </c:pt>
                <c:pt idx="3627">
                  <c:v>255466</c:v>
                </c:pt>
                <c:pt idx="3628">
                  <c:v>237177</c:v>
                </c:pt>
                <c:pt idx="3629">
                  <c:v>258293</c:v>
                </c:pt>
                <c:pt idx="3630">
                  <c:v>264246</c:v>
                </c:pt>
                <c:pt idx="3631">
                  <c:v>259177</c:v>
                </c:pt>
                <c:pt idx="3632">
                  <c:v>228924</c:v>
                </c:pt>
                <c:pt idx="3633">
                  <c:v>239229</c:v>
                </c:pt>
                <c:pt idx="3634">
                  <c:v>243277</c:v>
                </c:pt>
                <c:pt idx="3635">
                  <c:v>237319</c:v>
                </c:pt>
                <c:pt idx="3636">
                  <c:v>258914</c:v>
                </c:pt>
                <c:pt idx="3637">
                  <c:v>261572</c:v>
                </c:pt>
                <c:pt idx="3638">
                  <c:v>261867</c:v>
                </c:pt>
                <c:pt idx="3639">
                  <c:v>267787</c:v>
                </c:pt>
                <c:pt idx="3640">
                  <c:v>259021</c:v>
                </c:pt>
                <c:pt idx="3641">
                  <c:v>271985</c:v>
                </c:pt>
                <c:pt idx="3642">
                  <c:v>253967</c:v>
                </c:pt>
                <c:pt idx="3643">
                  <c:v>265467</c:v>
                </c:pt>
                <c:pt idx="3644">
                  <c:v>262890</c:v>
                </c:pt>
                <c:pt idx="3645">
                  <c:v>252525</c:v>
                </c:pt>
                <c:pt idx="3646">
                  <c:v>267904</c:v>
                </c:pt>
                <c:pt idx="3647">
                  <c:v>225594</c:v>
                </c:pt>
                <c:pt idx="3648">
                  <c:v>243124</c:v>
                </c:pt>
                <c:pt idx="3649">
                  <c:v>239056</c:v>
                </c:pt>
                <c:pt idx="3650">
                  <c:v>246120</c:v>
                </c:pt>
                <c:pt idx="3651">
                  <c:v>173951</c:v>
                </c:pt>
                <c:pt idx="3652">
                  <c:v>218265</c:v>
                </c:pt>
                <c:pt idx="3653">
                  <c:v>262483</c:v>
                </c:pt>
                <c:pt idx="3654">
                  <c:v>273327</c:v>
                </c:pt>
                <c:pt idx="3655">
                  <c:v>271942</c:v>
                </c:pt>
                <c:pt idx="3656">
                  <c:v>262272</c:v>
                </c:pt>
                <c:pt idx="3657">
                  <c:v>284360</c:v>
                </c:pt>
                <c:pt idx="3658">
                  <c:v>271518</c:v>
                </c:pt>
                <c:pt idx="3659">
                  <c:v>277421</c:v>
                </c:pt>
                <c:pt idx="3660">
                  <c:v>284496</c:v>
                </c:pt>
                <c:pt idx="3661">
                  <c:v>274888</c:v>
                </c:pt>
                <c:pt idx="3662">
                  <c:v>269840</c:v>
                </c:pt>
                <c:pt idx="3663">
                  <c:v>252376</c:v>
                </c:pt>
                <c:pt idx="3664">
                  <c:v>260226</c:v>
                </c:pt>
                <c:pt idx="3665">
                  <c:v>222175</c:v>
                </c:pt>
                <c:pt idx="3666">
                  <c:v>245724</c:v>
                </c:pt>
                <c:pt idx="3667">
                  <c:v>264069</c:v>
                </c:pt>
                <c:pt idx="3668">
                  <c:v>274379</c:v>
                </c:pt>
                <c:pt idx="3669">
                  <c:v>277542</c:v>
                </c:pt>
                <c:pt idx="3670">
                  <c:v>265299</c:v>
                </c:pt>
                <c:pt idx="3671">
                  <c:v>276917</c:v>
                </c:pt>
                <c:pt idx="3672">
                  <c:v>272720</c:v>
                </c:pt>
                <c:pt idx="3673">
                  <c:v>273270</c:v>
                </c:pt>
                <c:pt idx="3674">
                  <c:v>264748</c:v>
                </c:pt>
                <c:pt idx="3675">
                  <c:v>276803</c:v>
                </c:pt>
                <c:pt idx="3676">
                  <c:v>272892</c:v>
                </c:pt>
                <c:pt idx="3677">
                  <c:v>191070</c:v>
                </c:pt>
                <c:pt idx="3678">
                  <c:v>275008</c:v>
                </c:pt>
                <c:pt idx="3679">
                  <c:v>274454</c:v>
                </c:pt>
                <c:pt idx="3680">
                  <c:v>281583</c:v>
                </c:pt>
                <c:pt idx="3681">
                  <c:v>270801</c:v>
                </c:pt>
                <c:pt idx="3682">
                  <c:v>265387</c:v>
                </c:pt>
                <c:pt idx="3683">
                  <c:v>268141</c:v>
                </c:pt>
                <c:pt idx="3684">
                  <c:v>250609</c:v>
                </c:pt>
                <c:pt idx="3685">
                  <c:v>273454</c:v>
                </c:pt>
                <c:pt idx="3686">
                  <c:v>266475</c:v>
                </c:pt>
                <c:pt idx="3687">
                  <c:v>276780</c:v>
                </c:pt>
                <c:pt idx="3688">
                  <c:v>264608</c:v>
                </c:pt>
                <c:pt idx="3689">
                  <c:v>268211</c:v>
                </c:pt>
                <c:pt idx="3690">
                  <c:v>260195</c:v>
                </c:pt>
                <c:pt idx="3691">
                  <c:v>244444</c:v>
                </c:pt>
                <c:pt idx="3692">
                  <c:v>269892</c:v>
                </c:pt>
                <c:pt idx="3693">
                  <c:v>272736</c:v>
                </c:pt>
                <c:pt idx="3694">
                  <c:v>268772</c:v>
                </c:pt>
                <c:pt idx="3695">
                  <c:v>267545</c:v>
                </c:pt>
                <c:pt idx="3696">
                  <c:v>272413</c:v>
                </c:pt>
                <c:pt idx="3697">
                  <c:v>300480</c:v>
                </c:pt>
                <c:pt idx="3698">
                  <c:v>266530</c:v>
                </c:pt>
                <c:pt idx="3699">
                  <c:v>287878</c:v>
                </c:pt>
                <c:pt idx="3700">
                  <c:v>292279</c:v>
                </c:pt>
                <c:pt idx="3701">
                  <c:v>291743</c:v>
                </c:pt>
                <c:pt idx="3702">
                  <c:v>272641</c:v>
                </c:pt>
                <c:pt idx="3703">
                  <c:v>282769</c:v>
                </c:pt>
                <c:pt idx="3704">
                  <c:v>281965</c:v>
                </c:pt>
                <c:pt idx="3705">
                  <c:v>254167</c:v>
                </c:pt>
                <c:pt idx="3706">
                  <c:v>283910</c:v>
                </c:pt>
                <c:pt idx="3707">
                  <c:v>278490</c:v>
                </c:pt>
                <c:pt idx="3708">
                  <c:v>240411</c:v>
                </c:pt>
                <c:pt idx="3709">
                  <c:v>258139</c:v>
                </c:pt>
                <c:pt idx="3710">
                  <c:v>267561</c:v>
                </c:pt>
                <c:pt idx="3711">
                  <c:v>265329</c:v>
                </c:pt>
                <c:pt idx="3712">
                  <c:v>232304</c:v>
                </c:pt>
                <c:pt idx="3713">
                  <c:v>263029</c:v>
                </c:pt>
                <c:pt idx="3714">
                  <c:v>254787</c:v>
                </c:pt>
                <c:pt idx="3715">
                  <c:v>254294</c:v>
                </c:pt>
                <c:pt idx="3716">
                  <c:v>257225</c:v>
                </c:pt>
                <c:pt idx="3717">
                  <c:v>268433</c:v>
                </c:pt>
                <c:pt idx="3718">
                  <c:v>258626</c:v>
                </c:pt>
                <c:pt idx="3719">
                  <c:v>246168</c:v>
                </c:pt>
                <c:pt idx="3720">
                  <c:v>268407</c:v>
                </c:pt>
                <c:pt idx="3721">
                  <c:v>269497</c:v>
                </c:pt>
                <c:pt idx="3722">
                  <c:v>271222</c:v>
                </c:pt>
                <c:pt idx="3723">
                  <c:v>246391</c:v>
                </c:pt>
                <c:pt idx="3724">
                  <c:v>198622</c:v>
                </c:pt>
                <c:pt idx="3725">
                  <c:v>217328</c:v>
                </c:pt>
                <c:pt idx="3726">
                  <c:v>248770</c:v>
                </c:pt>
                <c:pt idx="3727">
                  <c:v>290607</c:v>
                </c:pt>
                <c:pt idx="3728">
                  <c:v>286433</c:v>
                </c:pt>
                <c:pt idx="3729">
                  <c:v>275274</c:v>
                </c:pt>
                <c:pt idx="3730">
                  <c:v>286014</c:v>
                </c:pt>
                <c:pt idx="3731">
                  <c:v>288955</c:v>
                </c:pt>
                <c:pt idx="3732">
                  <c:v>288305</c:v>
                </c:pt>
                <c:pt idx="3733">
                  <c:v>267856</c:v>
                </c:pt>
                <c:pt idx="3734">
                  <c:v>287265</c:v>
                </c:pt>
                <c:pt idx="3735">
                  <c:v>285401</c:v>
                </c:pt>
                <c:pt idx="3736">
                  <c:v>298447</c:v>
                </c:pt>
                <c:pt idx="3737">
                  <c:v>290466</c:v>
                </c:pt>
                <c:pt idx="3738">
                  <c:v>282746</c:v>
                </c:pt>
                <c:pt idx="3739">
                  <c:v>278230</c:v>
                </c:pt>
                <c:pt idx="3740">
                  <c:v>250806</c:v>
                </c:pt>
                <c:pt idx="3741">
                  <c:v>246623</c:v>
                </c:pt>
                <c:pt idx="3742">
                  <c:v>274857</c:v>
                </c:pt>
                <c:pt idx="3743">
                  <c:v>290393</c:v>
                </c:pt>
                <c:pt idx="3744">
                  <c:v>284058</c:v>
                </c:pt>
                <c:pt idx="3745">
                  <c:v>279424</c:v>
                </c:pt>
                <c:pt idx="3746">
                  <c:v>270364</c:v>
                </c:pt>
                <c:pt idx="3747">
                  <c:v>230920</c:v>
                </c:pt>
                <c:pt idx="3748">
                  <c:v>276137</c:v>
                </c:pt>
                <c:pt idx="3749">
                  <c:v>297635</c:v>
                </c:pt>
                <c:pt idx="3750">
                  <c:v>286673</c:v>
                </c:pt>
                <c:pt idx="3751">
                  <c:v>245288</c:v>
                </c:pt>
                <c:pt idx="3752">
                  <c:v>254175</c:v>
                </c:pt>
                <c:pt idx="3753">
                  <c:v>265284</c:v>
                </c:pt>
                <c:pt idx="3754">
                  <c:v>264323</c:v>
                </c:pt>
                <c:pt idx="3755">
                  <c:v>247786</c:v>
                </c:pt>
                <c:pt idx="3756">
                  <c:v>284714</c:v>
                </c:pt>
                <c:pt idx="3757">
                  <c:v>281386</c:v>
                </c:pt>
                <c:pt idx="3758">
                  <c:v>285232</c:v>
                </c:pt>
                <c:pt idx="3759">
                  <c:v>284531</c:v>
                </c:pt>
                <c:pt idx="3760">
                  <c:v>279791</c:v>
                </c:pt>
                <c:pt idx="3761">
                  <c:v>255150</c:v>
                </c:pt>
                <c:pt idx="3762">
                  <c:v>278153</c:v>
                </c:pt>
                <c:pt idx="3763">
                  <c:v>275828</c:v>
                </c:pt>
                <c:pt idx="3764">
                  <c:v>265932</c:v>
                </c:pt>
                <c:pt idx="3765">
                  <c:v>274495</c:v>
                </c:pt>
                <c:pt idx="3766">
                  <c:v>279286</c:v>
                </c:pt>
                <c:pt idx="3767">
                  <c:v>282732</c:v>
                </c:pt>
                <c:pt idx="3768">
                  <c:v>260751</c:v>
                </c:pt>
                <c:pt idx="3769">
                  <c:v>288313</c:v>
                </c:pt>
                <c:pt idx="3770">
                  <c:v>266284</c:v>
                </c:pt>
                <c:pt idx="3771">
                  <c:v>260400</c:v>
                </c:pt>
                <c:pt idx="3772">
                  <c:v>272221</c:v>
                </c:pt>
                <c:pt idx="3773">
                  <c:v>277721</c:v>
                </c:pt>
                <c:pt idx="3774">
                  <c:v>288143</c:v>
                </c:pt>
                <c:pt idx="3775">
                  <c:v>246852</c:v>
                </c:pt>
                <c:pt idx="3776">
                  <c:v>277734</c:v>
                </c:pt>
                <c:pt idx="3777">
                  <c:v>282714</c:v>
                </c:pt>
                <c:pt idx="3778">
                  <c:v>264252</c:v>
                </c:pt>
                <c:pt idx="3779">
                  <c:v>279848</c:v>
                </c:pt>
                <c:pt idx="3780">
                  <c:v>272704</c:v>
                </c:pt>
                <c:pt idx="3781">
                  <c:v>261056</c:v>
                </c:pt>
                <c:pt idx="3782">
                  <c:v>252308</c:v>
                </c:pt>
                <c:pt idx="3783">
                  <c:v>272127</c:v>
                </c:pt>
                <c:pt idx="3784">
                  <c:v>275150</c:v>
                </c:pt>
                <c:pt idx="3785">
                  <c:v>270026</c:v>
                </c:pt>
                <c:pt idx="3786">
                  <c:v>283906</c:v>
                </c:pt>
                <c:pt idx="3787">
                  <c:v>294383</c:v>
                </c:pt>
                <c:pt idx="3788">
                  <c:v>295649</c:v>
                </c:pt>
                <c:pt idx="3789">
                  <c:v>278121</c:v>
                </c:pt>
                <c:pt idx="3790">
                  <c:v>285184</c:v>
                </c:pt>
                <c:pt idx="3791">
                  <c:v>282779</c:v>
                </c:pt>
                <c:pt idx="3792">
                  <c:v>277880</c:v>
                </c:pt>
                <c:pt idx="3793">
                  <c:v>281628</c:v>
                </c:pt>
                <c:pt idx="3794">
                  <c:v>254340</c:v>
                </c:pt>
                <c:pt idx="3795">
                  <c:v>250264</c:v>
                </c:pt>
                <c:pt idx="3796">
                  <c:v>234774</c:v>
                </c:pt>
                <c:pt idx="3797">
                  <c:v>264029</c:v>
                </c:pt>
                <c:pt idx="3798">
                  <c:v>274445</c:v>
                </c:pt>
                <c:pt idx="3799">
                  <c:v>279714</c:v>
                </c:pt>
                <c:pt idx="3800">
                  <c:v>254785</c:v>
                </c:pt>
                <c:pt idx="3801">
                  <c:v>253201</c:v>
                </c:pt>
                <c:pt idx="3802">
                  <c:v>251815</c:v>
                </c:pt>
                <c:pt idx="3803">
                  <c:v>246634</c:v>
                </c:pt>
                <c:pt idx="3804">
                  <c:v>287295</c:v>
                </c:pt>
                <c:pt idx="3805">
                  <c:v>298421</c:v>
                </c:pt>
                <c:pt idx="3806">
                  <c:v>294603</c:v>
                </c:pt>
                <c:pt idx="3807">
                  <c:v>288602</c:v>
                </c:pt>
                <c:pt idx="3808">
                  <c:v>281893</c:v>
                </c:pt>
                <c:pt idx="3809">
                  <c:v>258841</c:v>
                </c:pt>
                <c:pt idx="3810">
                  <c:v>262474</c:v>
                </c:pt>
                <c:pt idx="3811">
                  <c:v>287888</c:v>
                </c:pt>
                <c:pt idx="3812">
                  <c:v>281062</c:v>
                </c:pt>
                <c:pt idx="3813">
                  <c:v>281994</c:v>
                </c:pt>
                <c:pt idx="3814">
                  <c:v>269440</c:v>
                </c:pt>
                <c:pt idx="3815">
                  <c:v>266312</c:v>
                </c:pt>
                <c:pt idx="3816">
                  <c:v>255478</c:v>
                </c:pt>
                <c:pt idx="3817">
                  <c:v>236576</c:v>
                </c:pt>
                <c:pt idx="3818">
                  <c:v>269761</c:v>
                </c:pt>
                <c:pt idx="3819">
                  <c:v>255101</c:v>
                </c:pt>
                <c:pt idx="3820">
                  <c:v>279275</c:v>
                </c:pt>
                <c:pt idx="3821">
                  <c:v>271303</c:v>
                </c:pt>
                <c:pt idx="3822">
                  <c:v>289944</c:v>
                </c:pt>
                <c:pt idx="3823">
                  <c:v>283856</c:v>
                </c:pt>
                <c:pt idx="3824">
                  <c:v>254586</c:v>
                </c:pt>
                <c:pt idx="3825">
                  <c:v>282142</c:v>
                </c:pt>
                <c:pt idx="3826">
                  <c:v>282233</c:v>
                </c:pt>
                <c:pt idx="3827">
                  <c:v>261215</c:v>
                </c:pt>
                <c:pt idx="3828">
                  <c:v>248132</c:v>
                </c:pt>
                <c:pt idx="3829">
                  <c:v>260258</c:v>
                </c:pt>
                <c:pt idx="3830">
                  <c:v>266857</c:v>
                </c:pt>
                <c:pt idx="3831">
                  <c:v>245247</c:v>
                </c:pt>
                <c:pt idx="3832">
                  <c:v>267053</c:v>
                </c:pt>
                <c:pt idx="3833">
                  <c:v>276880</c:v>
                </c:pt>
                <c:pt idx="3834">
                  <c:v>283059</c:v>
                </c:pt>
                <c:pt idx="3835">
                  <c:v>278685</c:v>
                </c:pt>
                <c:pt idx="3836">
                  <c:v>273345</c:v>
                </c:pt>
                <c:pt idx="3837">
                  <c:v>256474</c:v>
                </c:pt>
                <c:pt idx="3838">
                  <c:v>217945</c:v>
                </c:pt>
                <c:pt idx="3839">
                  <c:v>264894</c:v>
                </c:pt>
                <c:pt idx="3840">
                  <c:v>258801</c:v>
                </c:pt>
                <c:pt idx="3841">
                  <c:v>253088</c:v>
                </c:pt>
                <c:pt idx="3842">
                  <c:v>260961</c:v>
                </c:pt>
                <c:pt idx="3843">
                  <c:v>278494</c:v>
                </c:pt>
                <c:pt idx="3844">
                  <c:v>265995</c:v>
                </c:pt>
                <c:pt idx="3845">
                  <c:v>247879</c:v>
                </c:pt>
                <c:pt idx="3846">
                  <c:v>258669</c:v>
                </c:pt>
                <c:pt idx="3847">
                  <c:v>276598</c:v>
                </c:pt>
                <c:pt idx="3848">
                  <c:v>270265</c:v>
                </c:pt>
                <c:pt idx="3849">
                  <c:v>260253</c:v>
                </c:pt>
                <c:pt idx="3850">
                  <c:v>270249</c:v>
                </c:pt>
                <c:pt idx="3851">
                  <c:v>261351</c:v>
                </c:pt>
                <c:pt idx="3852">
                  <c:v>247647</c:v>
                </c:pt>
                <c:pt idx="3853">
                  <c:v>241334</c:v>
                </c:pt>
                <c:pt idx="3854">
                  <c:v>244188</c:v>
                </c:pt>
                <c:pt idx="3855">
                  <c:v>251301</c:v>
                </c:pt>
                <c:pt idx="3856">
                  <c:v>261893</c:v>
                </c:pt>
                <c:pt idx="3857">
                  <c:v>250892</c:v>
                </c:pt>
                <c:pt idx="3858">
                  <c:v>240702</c:v>
                </c:pt>
                <c:pt idx="3859">
                  <c:v>232453</c:v>
                </c:pt>
                <c:pt idx="3860">
                  <c:v>256711</c:v>
                </c:pt>
                <c:pt idx="3861">
                  <c:v>271233</c:v>
                </c:pt>
                <c:pt idx="3862">
                  <c:v>272423</c:v>
                </c:pt>
                <c:pt idx="3863">
                  <c:v>254156</c:v>
                </c:pt>
                <c:pt idx="3864">
                  <c:v>267709</c:v>
                </c:pt>
                <c:pt idx="3865">
                  <c:v>279402</c:v>
                </c:pt>
                <c:pt idx="3866">
                  <c:v>241263</c:v>
                </c:pt>
                <c:pt idx="3867">
                  <c:v>262298</c:v>
                </c:pt>
                <c:pt idx="3868">
                  <c:v>278037</c:v>
                </c:pt>
                <c:pt idx="3869">
                  <c:v>292681</c:v>
                </c:pt>
                <c:pt idx="3870">
                  <c:v>284075</c:v>
                </c:pt>
                <c:pt idx="3871">
                  <c:v>259681</c:v>
                </c:pt>
                <c:pt idx="3872">
                  <c:v>190385</c:v>
                </c:pt>
                <c:pt idx="3873">
                  <c:v>241337</c:v>
                </c:pt>
                <c:pt idx="3874">
                  <c:v>268633</c:v>
                </c:pt>
                <c:pt idx="3875">
                  <c:v>278353</c:v>
                </c:pt>
                <c:pt idx="3876">
                  <c:v>250333</c:v>
                </c:pt>
                <c:pt idx="3877">
                  <c:v>244744</c:v>
                </c:pt>
                <c:pt idx="3878">
                  <c:v>175714</c:v>
                </c:pt>
                <c:pt idx="3879">
                  <c:v>233623</c:v>
                </c:pt>
                <c:pt idx="3880">
                  <c:v>219945</c:v>
                </c:pt>
                <c:pt idx="3881">
                  <c:v>236884</c:v>
                </c:pt>
                <c:pt idx="3882">
                  <c:v>270092</c:v>
                </c:pt>
                <c:pt idx="3883">
                  <c:v>275790</c:v>
                </c:pt>
                <c:pt idx="3884">
                  <c:v>268357</c:v>
                </c:pt>
                <c:pt idx="3885">
                  <c:v>278109</c:v>
                </c:pt>
                <c:pt idx="3886">
                  <c:v>263401</c:v>
                </c:pt>
                <c:pt idx="3887">
                  <c:v>231341</c:v>
                </c:pt>
                <c:pt idx="3888">
                  <c:v>263953</c:v>
                </c:pt>
                <c:pt idx="3889">
                  <c:v>268059</c:v>
                </c:pt>
                <c:pt idx="3890">
                  <c:v>247663</c:v>
                </c:pt>
                <c:pt idx="3891">
                  <c:v>249726</c:v>
                </c:pt>
                <c:pt idx="3892">
                  <c:v>236852</c:v>
                </c:pt>
                <c:pt idx="3893">
                  <c:v>253887</c:v>
                </c:pt>
                <c:pt idx="3894">
                  <c:v>207685</c:v>
                </c:pt>
                <c:pt idx="3895">
                  <c:v>226713</c:v>
                </c:pt>
                <c:pt idx="3896">
                  <c:v>236448</c:v>
                </c:pt>
                <c:pt idx="3897">
                  <c:v>245262</c:v>
                </c:pt>
                <c:pt idx="3898">
                  <c:v>255752</c:v>
                </c:pt>
                <c:pt idx="3899">
                  <c:v>232898</c:v>
                </c:pt>
                <c:pt idx="3900">
                  <c:v>227726</c:v>
                </c:pt>
                <c:pt idx="3901">
                  <c:v>223538</c:v>
                </c:pt>
                <c:pt idx="3902">
                  <c:v>284593</c:v>
                </c:pt>
                <c:pt idx="3903">
                  <c:v>273822</c:v>
                </c:pt>
                <c:pt idx="3904">
                  <c:v>275903</c:v>
                </c:pt>
                <c:pt idx="3905">
                  <c:v>278110</c:v>
                </c:pt>
                <c:pt idx="3906">
                  <c:v>278156</c:v>
                </c:pt>
                <c:pt idx="3907">
                  <c:v>272165</c:v>
                </c:pt>
                <c:pt idx="3908">
                  <c:v>252799</c:v>
                </c:pt>
                <c:pt idx="3909">
                  <c:v>279051</c:v>
                </c:pt>
                <c:pt idx="3910">
                  <c:v>272120</c:v>
                </c:pt>
                <c:pt idx="3911">
                  <c:v>258318</c:v>
                </c:pt>
                <c:pt idx="3912">
                  <c:v>283059</c:v>
                </c:pt>
                <c:pt idx="3913">
                  <c:v>275362</c:v>
                </c:pt>
                <c:pt idx="3914">
                  <c:v>271259</c:v>
                </c:pt>
                <c:pt idx="3915">
                  <c:v>240182</c:v>
                </c:pt>
                <c:pt idx="3916">
                  <c:v>271587</c:v>
                </c:pt>
                <c:pt idx="3917">
                  <c:v>255353</c:v>
                </c:pt>
                <c:pt idx="3918">
                  <c:v>258041</c:v>
                </c:pt>
                <c:pt idx="3919">
                  <c:v>259204</c:v>
                </c:pt>
                <c:pt idx="3920">
                  <c:v>256672</c:v>
                </c:pt>
                <c:pt idx="3921">
                  <c:v>248784</c:v>
                </c:pt>
                <c:pt idx="3922">
                  <c:v>222361</c:v>
                </c:pt>
                <c:pt idx="3923">
                  <c:v>248093</c:v>
                </c:pt>
                <c:pt idx="3924">
                  <c:v>227579</c:v>
                </c:pt>
                <c:pt idx="3925">
                  <c:v>243496</c:v>
                </c:pt>
                <c:pt idx="3926">
                  <c:v>207523</c:v>
                </c:pt>
                <c:pt idx="3927">
                  <c:v>242990</c:v>
                </c:pt>
                <c:pt idx="3928">
                  <c:v>255227</c:v>
                </c:pt>
                <c:pt idx="3929">
                  <c:v>246284</c:v>
                </c:pt>
                <c:pt idx="3930">
                  <c:v>256980</c:v>
                </c:pt>
                <c:pt idx="3931">
                  <c:v>262912</c:v>
                </c:pt>
                <c:pt idx="3932">
                  <c:v>283406</c:v>
                </c:pt>
                <c:pt idx="3933">
                  <c:v>279034</c:v>
                </c:pt>
                <c:pt idx="3934">
                  <c:v>261257</c:v>
                </c:pt>
                <c:pt idx="3935">
                  <c:v>275546</c:v>
                </c:pt>
                <c:pt idx="3936">
                  <c:v>255377</c:v>
                </c:pt>
                <c:pt idx="3937">
                  <c:v>282562</c:v>
                </c:pt>
                <c:pt idx="3938">
                  <c:v>292662</c:v>
                </c:pt>
                <c:pt idx="3939">
                  <c:v>296452</c:v>
                </c:pt>
                <c:pt idx="3940">
                  <c:v>285165</c:v>
                </c:pt>
                <c:pt idx="3941">
                  <c:v>276014</c:v>
                </c:pt>
                <c:pt idx="3942">
                  <c:v>255922</c:v>
                </c:pt>
                <c:pt idx="3943">
                  <c:v>213453</c:v>
                </c:pt>
                <c:pt idx="3944">
                  <c:v>157314</c:v>
                </c:pt>
                <c:pt idx="3945">
                  <c:v>193124</c:v>
                </c:pt>
                <c:pt idx="3946">
                  <c:v>222078</c:v>
                </c:pt>
                <c:pt idx="3947">
                  <c:v>235805</c:v>
                </c:pt>
                <c:pt idx="3948">
                  <c:v>265205</c:v>
                </c:pt>
                <c:pt idx="3949">
                  <c:v>264950</c:v>
                </c:pt>
                <c:pt idx="3950">
                  <c:v>234845</c:v>
                </c:pt>
                <c:pt idx="3951">
                  <c:v>219112</c:v>
                </c:pt>
                <c:pt idx="3952">
                  <c:v>233675</c:v>
                </c:pt>
                <c:pt idx="3953">
                  <c:v>248524</c:v>
                </c:pt>
                <c:pt idx="3954">
                  <c:v>232109</c:v>
                </c:pt>
                <c:pt idx="3955">
                  <c:v>234040</c:v>
                </c:pt>
                <c:pt idx="3956">
                  <c:v>257010</c:v>
                </c:pt>
                <c:pt idx="3957">
                  <c:v>252590</c:v>
                </c:pt>
                <c:pt idx="3958">
                  <c:v>281338</c:v>
                </c:pt>
                <c:pt idx="3959">
                  <c:v>283882</c:v>
                </c:pt>
                <c:pt idx="3960">
                  <c:v>293871</c:v>
                </c:pt>
                <c:pt idx="3961">
                  <c:v>309149</c:v>
                </c:pt>
                <c:pt idx="3962">
                  <c:v>297245</c:v>
                </c:pt>
                <c:pt idx="3963">
                  <c:v>285152</c:v>
                </c:pt>
                <c:pt idx="3964">
                  <c:v>281507</c:v>
                </c:pt>
                <c:pt idx="3965">
                  <c:v>312285</c:v>
                </c:pt>
                <c:pt idx="3966">
                  <c:v>315623</c:v>
                </c:pt>
                <c:pt idx="3967">
                  <c:v>322801</c:v>
                </c:pt>
                <c:pt idx="3968">
                  <c:v>330124</c:v>
                </c:pt>
                <c:pt idx="3969">
                  <c:v>319788</c:v>
                </c:pt>
                <c:pt idx="3970">
                  <c:v>332710</c:v>
                </c:pt>
                <c:pt idx="3971">
                  <c:v>300011</c:v>
                </c:pt>
                <c:pt idx="3972">
                  <c:v>327914</c:v>
                </c:pt>
                <c:pt idx="3973">
                  <c:v>330422</c:v>
                </c:pt>
                <c:pt idx="3974">
                  <c:v>332423</c:v>
                </c:pt>
                <c:pt idx="3975">
                  <c:v>331999</c:v>
                </c:pt>
                <c:pt idx="3976">
                  <c:v>329886</c:v>
                </c:pt>
                <c:pt idx="3977">
                  <c:v>318408</c:v>
                </c:pt>
                <c:pt idx="3978">
                  <c:v>284393</c:v>
                </c:pt>
                <c:pt idx="3979">
                  <c:v>295356</c:v>
                </c:pt>
                <c:pt idx="3980">
                  <c:v>316243</c:v>
                </c:pt>
                <c:pt idx="3981">
                  <c:v>319978</c:v>
                </c:pt>
                <c:pt idx="3982">
                  <c:v>323364</c:v>
                </c:pt>
                <c:pt idx="3983">
                  <c:v>318198</c:v>
                </c:pt>
                <c:pt idx="3984">
                  <c:v>315080</c:v>
                </c:pt>
                <c:pt idx="3985">
                  <c:v>275395</c:v>
                </c:pt>
                <c:pt idx="3986">
                  <c:v>284080</c:v>
                </c:pt>
                <c:pt idx="3987">
                  <c:v>280307</c:v>
                </c:pt>
                <c:pt idx="3988">
                  <c:v>284547</c:v>
                </c:pt>
                <c:pt idx="3989">
                  <c:v>273381</c:v>
                </c:pt>
                <c:pt idx="3990">
                  <c:v>265402</c:v>
                </c:pt>
                <c:pt idx="3991">
                  <c:v>269462</c:v>
                </c:pt>
                <c:pt idx="3992">
                  <c:v>267820</c:v>
                </c:pt>
                <c:pt idx="3993">
                  <c:v>285634</c:v>
                </c:pt>
                <c:pt idx="3994">
                  <c:v>289285</c:v>
                </c:pt>
                <c:pt idx="3995">
                  <c:v>288495</c:v>
                </c:pt>
                <c:pt idx="3996">
                  <c:v>287572</c:v>
                </c:pt>
                <c:pt idx="3997">
                  <c:v>292997</c:v>
                </c:pt>
                <c:pt idx="3998">
                  <c:v>285511</c:v>
                </c:pt>
                <c:pt idx="3999">
                  <c:v>269233</c:v>
                </c:pt>
                <c:pt idx="4000">
                  <c:v>297330</c:v>
                </c:pt>
                <c:pt idx="4001">
                  <c:v>293319</c:v>
                </c:pt>
                <c:pt idx="4002">
                  <c:v>293594</c:v>
                </c:pt>
                <c:pt idx="4003">
                  <c:v>297905</c:v>
                </c:pt>
                <c:pt idx="4004">
                  <c:v>294971</c:v>
                </c:pt>
                <c:pt idx="4005">
                  <c:v>281650</c:v>
                </c:pt>
                <c:pt idx="4006">
                  <c:v>267488</c:v>
                </c:pt>
                <c:pt idx="4007">
                  <c:v>303202</c:v>
                </c:pt>
                <c:pt idx="4008">
                  <c:v>295607</c:v>
                </c:pt>
                <c:pt idx="4009">
                  <c:v>287532</c:v>
                </c:pt>
                <c:pt idx="4010">
                  <c:v>263161</c:v>
                </c:pt>
                <c:pt idx="4011">
                  <c:v>272025</c:v>
                </c:pt>
                <c:pt idx="4012">
                  <c:v>274970</c:v>
                </c:pt>
                <c:pt idx="4013">
                  <c:v>251313</c:v>
                </c:pt>
                <c:pt idx="4014">
                  <c:v>275093</c:v>
                </c:pt>
                <c:pt idx="4015">
                  <c:v>287402</c:v>
                </c:pt>
                <c:pt idx="4016">
                  <c:v>277330</c:v>
                </c:pt>
                <c:pt idx="4017">
                  <c:v>237939</c:v>
                </c:pt>
                <c:pt idx="4018">
                  <c:v>297429</c:v>
                </c:pt>
                <c:pt idx="4019">
                  <c:v>292558</c:v>
                </c:pt>
                <c:pt idx="4020">
                  <c:v>284379</c:v>
                </c:pt>
                <c:pt idx="4021">
                  <c:v>308929</c:v>
                </c:pt>
                <c:pt idx="4022">
                  <c:v>305473</c:v>
                </c:pt>
                <c:pt idx="4023">
                  <c:v>320516</c:v>
                </c:pt>
                <c:pt idx="4024">
                  <c:v>311700</c:v>
                </c:pt>
                <c:pt idx="4025">
                  <c:v>308525</c:v>
                </c:pt>
                <c:pt idx="4026">
                  <c:v>306890</c:v>
                </c:pt>
                <c:pt idx="4027">
                  <c:v>280817</c:v>
                </c:pt>
                <c:pt idx="4028">
                  <c:v>298223</c:v>
                </c:pt>
                <c:pt idx="4029">
                  <c:v>290418</c:v>
                </c:pt>
                <c:pt idx="4030">
                  <c:v>258178</c:v>
                </c:pt>
                <c:pt idx="4031">
                  <c:v>249702</c:v>
                </c:pt>
                <c:pt idx="4032">
                  <c:v>272880</c:v>
                </c:pt>
                <c:pt idx="4033">
                  <c:v>267745</c:v>
                </c:pt>
                <c:pt idx="4034">
                  <c:v>263957</c:v>
                </c:pt>
                <c:pt idx="4035">
                  <c:v>285197</c:v>
                </c:pt>
                <c:pt idx="4036">
                  <c:v>286707</c:v>
                </c:pt>
                <c:pt idx="4037">
                  <c:v>283845</c:v>
                </c:pt>
                <c:pt idx="4038">
                  <c:v>291447</c:v>
                </c:pt>
                <c:pt idx="4039">
                  <c:v>229715</c:v>
                </c:pt>
                <c:pt idx="4040">
                  <c:v>279695</c:v>
                </c:pt>
                <c:pt idx="4041">
                  <c:v>251323</c:v>
                </c:pt>
                <c:pt idx="4042">
                  <c:v>191126</c:v>
                </c:pt>
                <c:pt idx="4043">
                  <c:v>258242</c:v>
                </c:pt>
                <c:pt idx="4044">
                  <c:v>277413</c:v>
                </c:pt>
                <c:pt idx="4045">
                  <c:v>287230</c:v>
                </c:pt>
                <c:pt idx="4046">
                  <c:v>272162</c:v>
                </c:pt>
                <c:pt idx="4047">
                  <c:v>253134</c:v>
                </c:pt>
                <c:pt idx="4048">
                  <c:v>224412</c:v>
                </c:pt>
                <c:pt idx="4049">
                  <c:v>262525</c:v>
                </c:pt>
                <c:pt idx="4050">
                  <c:v>266069</c:v>
                </c:pt>
                <c:pt idx="4051">
                  <c:v>268438</c:v>
                </c:pt>
                <c:pt idx="4052">
                  <c:v>268447</c:v>
                </c:pt>
                <c:pt idx="4053">
                  <c:v>256490</c:v>
                </c:pt>
                <c:pt idx="4054">
                  <c:v>252749</c:v>
                </c:pt>
                <c:pt idx="4055">
                  <c:v>221014</c:v>
                </c:pt>
                <c:pt idx="4056">
                  <c:v>242251</c:v>
                </c:pt>
                <c:pt idx="4057">
                  <c:v>235459</c:v>
                </c:pt>
                <c:pt idx="4058">
                  <c:v>234315</c:v>
                </c:pt>
                <c:pt idx="4059">
                  <c:v>185594</c:v>
                </c:pt>
                <c:pt idx="4060">
                  <c:v>5990</c:v>
                </c:pt>
              </c:numCache>
            </c:numRef>
          </c:xVal>
          <c:yVal>
            <c:numRef>
              <c:f>TrafficData!$G$2:$G$4062</c:f>
              <c:numCache>
                <c:formatCode>General</c:formatCode>
                <c:ptCount val="4061"/>
                <c:pt idx="0">
                  <c:v>705460</c:v>
                </c:pt>
                <c:pt idx="1">
                  <c:v>944775</c:v>
                </c:pt>
                <c:pt idx="2">
                  <c:v>883850</c:v>
                </c:pt>
                <c:pt idx="3">
                  <c:v>1268950</c:v>
                </c:pt>
                <c:pt idx="4">
                  <c:v>980654</c:v>
                </c:pt>
                <c:pt idx="5">
                  <c:v>746600</c:v>
                </c:pt>
                <c:pt idx="6">
                  <c:v>873250</c:v>
                </c:pt>
                <c:pt idx="7">
                  <c:v>1043102</c:v>
                </c:pt>
                <c:pt idx="8">
                  <c:v>1134850</c:v>
                </c:pt>
                <c:pt idx="9">
                  <c:v>851830</c:v>
                </c:pt>
                <c:pt idx="10">
                  <c:v>919100</c:v>
                </c:pt>
                <c:pt idx="11">
                  <c:v>735750</c:v>
                </c:pt>
                <c:pt idx="12">
                  <c:v>662235</c:v>
                </c:pt>
                <c:pt idx="13">
                  <c:v>429900</c:v>
                </c:pt>
                <c:pt idx="14">
                  <c:v>798500</c:v>
                </c:pt>
                <c:pt idx="15">
                  <c:v>609600</c:v>
                </c:pt>
                <c:pt idx="16">
                  <c:v>747900</c:v>
                </c:pt>
                <c:pt idx="17">
                  <c:v>502650</c:v>
                </c:pt>
                <c:pt idx="18">
                  <c:v>698400</c:v>
                </c:pt>
                <c:pt idx="19">
                  <c:v>742950</c:v>
                </c:pt>
                <c:pt idx="20">
                  <c:v>691149</c:v>
                </c:pt>
                <c:pt idx="21">
                  <c:v>777400</c:v>
                </c:pt>
                <c:pt idx="22">
                  <c:v>533550</c:v>
                </c:pt>
                <c:pt idx="23">
                  <c:v>538250</c:v>
                </c:pt>
                <c:pt idx="24">
                  <c:v>778750</c:v>
                </c:pt>
                <c:pt idx="25">
                  <c:v>453600</c:v>
                </c:pt>
                <c:pt idx="26">
                  <c:v>484120</c:v>
                </c:pt>
                <c:pt idx="27">
                  <c:v>637700</c:v>
                </c:pt>
                <c:pt idx="28">
                  <c:v>675888</c:v>
                </c:pt>
                <c:pt idx="29">
                  <c:v>877630</c:v>
                </c:pt>
                <c:pt idx="30">
                  <c:v>675271</c:v>
                </c:pt>
                <c:pt idx="31">
                  <c:v>482096</c:v>
                </c:pt>
                <c:pt idx="32">
                  <c:v>753650</c:v>
                </c:pt>
                <c:pt idx="33">
                  <c:v>981998</c:v>
                </c:pt>
                <c:pt idx="34">
                  <c:v>860586</c:v>
                </c:pt>
                <c:pt idx="35">
                  <c:v>905220</c:v>
                </c:pt>
                <c:pt idx="36">
                  <c:v>663250</c:v>
                </c:pt>
                <c:pt idx="37">
                  <c:v>510450</c:v>
                </c:pt>
                <c:pt idx="38">
                  <c:v>355750</c:v>
                </c:pt>
                <c:pt idx="39">
                  <c:v>745000</c:v>
                </c:pt>
                <c:pt idx="40">
                  <c:v>1306690</c:v>
                </c:pt>
                <c:pt idx="41">
                  <c:v>1226422</c:v>
                </c:pt>
                <c:pt idx="42">
                  <c:v>1246600</c:v>
                </c:pt>
                <c:pt idx="43">
                  <c:v>1072585</c:v>
                </c:pt>
                <c:pt idx="44">
                  <c:v>616660</c:v>
                </c:pt>
                <c:pt idx="45">
                  <c:v>428200</c:v>
                </c:pt>
                <c:pt idx="46">
                  <c:v>852220</c:v>
                </c:pt>
                <c:pt idx="47">
                  <c:v>228900</c:v>
                </c:pt>
                <c:pt idx="48">
                  <c:v>817650</c:v>
                </c:pt>
                <c:pt idx="49">
                  <c:v>1244750</c:v>
                </c:pt>
                <c:pt idx="50">
                  <c:v>911350</c:v>
                </c:pt>
                <c:pt idx="51">
                  <c:v>522550</c:v>
                </c:pt>
                <c:pt idx="52">
                  <c:v>392300</c:v>
                </c:pt>
                <c:pt idx="53">
                  <c:v>691000</c:v>
                </c:pt>
                <c:pt idx="54">
                  <c:v>746310</c:v>
                </c:pt>
                <c:pt idx="55">
                  <c:v>585950</c:v>
                </c:pt>
                <c:pt idx="56">
                  <c:v>1050150</c:v>
                </c:pt>
                <c:pt idx="57">
                  <c:v>695650</c:v>
                </c:pt>
                <c:pt idx="58">
                  <c:v>378650</c:v>
                </c:pt>
                <c:pt idx="59">
                  <c:v>466400</c:v>
                </c:pt>
                <c:pt idx="60">
                  <c:v>815050</c:v>
                </c:pt>
                <c:pt idx="61">
                  <c:v>1080050</c:v>
                </c:pt>
                <c:pt idx="62">
                  <c:v>931050</c:v>
                </c:pt>
                <c:pt idx="63">
                  <c:v>490500</c:v>
                </c:pt>
                <c:pt idx="64">
                  <c:v>54400</c:v>
                </c:pt>
                <c:pt idx="65">
                  <c:v>527750</c:v>
                </c:pt>
                <c:pt idx="66">
                  <c:v>552350</c:v>
                </c:pt>
                <c:pt idx="67">
                  <c:v>732250</c:v>
                </c:pt>
                <c:pt idx="68">
                  <c:v>897510</c:v>
                </c:pt>
                <c:pt idx="69">
                  <c:v>1048160</c:v>
                </c:pt>
                <c:pt idx="70">
                  <c:v>862460</c:v>
                </c:pt>
                <c:pt idx="71">
                  <c:v>713920</c:v>
                </c:pt>
                <c:pt idx="72">
                  <c:v>686210</c:v>
                </c:pt>
                <c:pt idx="73">
                  <c:v>573599</c:v>
                </c:pt>
                <c:pt idx="74">
                  <c:v>804730</c:v>
                </c:pt>
                <c:pt idx="75">
                  <c:v>761448</c:v>
                </c:pt>
                <c:pt idx="76">
                  <c:v>1276350</c:v>
                </c:pt>
                <c:pt idx="77">
                  <c:v>1648350</c:v>
                </c:pt>
                <c:pt idx="78">
                  <c:v>549955</c:v>
                </c:pt>
                <c:pt idx="79">
                  <c:v>696000</c:v>
                </c:pt>
                <c:pt idx="80">
                  <c:v>725580</c:v>
                </c:pt>
                <c:pt idx="81">
                  <c:v>782500</c:v>
                </c:pt>
                <c:pt idx="82">
                  <c:v>999350</c:v>
                </c:pt>
                <c:pt idx="83">
                  <c:v>877888</c:v>
                </c:pt>
                <c:pt idx="84">
                  <c:v>676080</c:v>
                </c:pt>
                <c:pt idx="85">
                  <c:v>452524</c:v>
                </c:pt>
                <c:pt idx="86">
                  <c:v>497600</c:v>
                </c:pt>
                <c:pt idx="87">
                  <c:v>487700</c:v>
                </c:pt>
                <c:pt idx="88">
                  <c:v>569350</c:v>
                </c:pt>
                <c:pt idx="89">
                  <c:v>488100</c:v>
                </c:pt>
                <c:pt idx="90">
                  <c:v>448875</c:v>
                </c:pt>
                <c:pt idx="91">
                  <c:v>544707</c:v>
                </c:pt>
                <c:pt idx="92">
                  <c:v>743100</c:v>
                </c:pt>
                <c:pt idx="93">
                  <c:v>416660</c:v>
                </c:pt>
                <c:pt idx="94">
                  <c:v>650380</c:v>
                </c:pt>
                <c:pt idx="95">
                  <c:v>730320</c:v>
                </c:pt>
                <c:pt idx="96">
                  <c:v>696440</c:v>
                </c:pt>
                <c:pt idx="97">
                  <c:v>812630</c:v>
                </c:pt>
                <c:pt idx="98">
                  <c:v>1055680</c:v>
                </c:pt>
                <c:pt idx="99">
                  <c:v>554400</c:v>
                </c:pt>
                <c:pt idx="100">
                  <c:v>419801</c:v>
                </c:pt>
                <c:pt idx="101">
                  <c:v>469000</c:v>
                </c:pt>
                <c:pt idx="102">
                  <c:v>847000</c:v>
                </c:pt>
                <c:pt idx="103">
                  <c:v>409450</c:v>
                </c:pt>
                <c:pt idx="104">
                  <c:v>1035500</c:v>
                </c:pt>
                <c:pt idx="105">
                  <c:v>1300900</c:v>
                </c:pt>
                <c:pt idx="106">
                  <c:v>404500</c:v>
                </c:pt>
                <c:pt idx="107">
                  <c:v>617970</c:v>
                </c:pt>
                <c:pt idx="108">
                  <c:v>341350</c:v>
                </c:pt>
                <c:pt idx="109">
                  <c:v>510600</c:v>
                </c:pt>
                <c:pt idx="110">
                  <c:v>495350</c:v>
                </c:pt>
                <c:pt idx="111">
                  <c:v>558360</c:v>
                </c:pt>
                <c:pt idx="112">
                  <c:v>741625</c:v>
                </c:pt>
                <c:pt idx="113">
                  <c:v>475400</c:v>
                </c:pt>
                <c:pt idx="114">
                  <c:v>294450</c:v>
                </c:pt>
                <c:pt idx="115">
                  <c:v>270550</c:v>
                </c:pt>
                <c:pt idx="116">
                  <c:v>623500</c:v>
                </c:pt>
                <c:pt idx="117">
                  <c:v>654750</c:v>
                </c:pt>
                <c:pt idx="118">
                  <c:v>441275</c:v>
                </c:pt>
                <c:pt idx="119">
                  <c:v>560600</c:v>
                </c:pt>
                <c:pt idx="120">
                  <c:v>486990</c:v>
                </c:pt>
                <c:pt idx="121">
                  <c:v>476350</c:v>
                </c:pt>
                <c:pt idx="122">
                  <c:v>232350</c:v>
                </c:pt>
                <c:pt idx="123">
                  <c:v>360338</c:v>
                </c:pt>
                <c:pt idx="124">
                  <c:v>661898</c:v>
                </c:pt>
                <c:pt idx="125">
                  <c:v>851075</c:v>
                </c:pt>
                <c:pt idx="126">
                  <c:v>740873</c:v>
                </c:pt>
                <c:pt idx="127">
                  <c:v>622000</c:v>
                </c:pt>
                <c:pt idx="128">
                  <c:v>772100</c:v>
                </c:pt>
                <c:pt idx="129">
                  <c:v>475847</c:v>
                </c:pt>
                <c:pt idx="130">
                  <c:v>443781</c:v>
                </c:pt>
                <c:pt idx="131">
                  <c:v>666707</c:v>
                </c:pt>
                <c:pt idx="132">
                  <c:v>686650</c:v>
                </c:pt>
                <c:pt idx="133">
                  <c:v>599096</c:v>
                </c:pt>
                <c:pt idx="134">
                  <c:v>1045388</c:v>
                </c:pt>
                <c:pt idx="135">
                  <c:v>893000</c:v>
                </c:pt>
                <c:pt idx="136">
                  <c:v>674650</c:v>
                </c:pt>
                <c:pt idx="137">
                  <c:v>909398</c:v>
                </c:pt>
                <c:pt idx="138">
                  <c:v>807700</c:v>
                </c:pt>
                <c:pt idx="139">
                  <c:v>780450</c:v>
                </c:pt>
                <c:pt idx="140">
                  <c:v>1042150</c:v>
                </c:pt>
                <c:pt idx="141">
                  <c:v>484849</c:v>
                </c:pt>
                <c:pt idx="142">
                  <c:v>446525</c:v>
                </c:pt>
                <c:pt idx="143">
                  <c:v>367800</c:v>
                </c:pt>
                <c:pt idx="144">
                  <c:v>638450</c:v>
                </c:pt>
                <c:pt idx="145">
                  <c:v>543380</c:v>
                </c:pt>
                <c:pt idx="146">
                  <c:v>924450</c:v>
                </c:pt>
                <c:pt idx="147">
                  <c:v>612100</c:v>
                </c:pt>
                <c:pt idx="148">
                  <c:v>610350</c:v>
                </c:pt>
                <c:pt idx="149">
                  <c:v>544900</c:v>
                </c:pt>
                <c:pt idx="150">
                  <c:v>391101</c:v>
                </c:pt>
                <c:pt idx="151">
                  <c:v>876450</c:v>
                </c:pt>
                <c:pt idx="152">
                  <c:v>721955</c:v>
                </c:pt>
                <c:pt idx="153">
                  <c:v>1349840</c:v>
                </c:pt>
                <c:pt idx="154">
                  <c:v>980340</c:v>
                </c:pt>
                <c:pt idx="155">
                  <c:v>880440</c:v>
                </c:pt>
                <c:pt idx="156">
                  <c:v>748248</c:v>
                </c:pt>
                <c:pt idx="157">
                  <c:v>601950</c:v>
                </c:pt>
                <c:pt idx="158">
                  <c:v>886180</c:v>
                </c:pt>
                <c:pt idx="159">
                  <c:v>703100</c:v>
                </c:pt>
                <c:pt idx="160">
                  <c:v>1197310</c:v>
                </c:pt>
                <c:pt idx="161">
                  <c:v>796350</c:v>
                </c:pt>
                <c:pt idx="162">
                  <c:v>877600</c:v>
                </c:pt>
                <c:pt idx="163">
                  <c:v>614698</c:v>
                </c:pt>
                <c:pt idx="164">
                  <c:v>579850</c:v>
                </c:pt>
                <c:pt idx="165">
                  <c:v>929250</c:v>
                </c:pt>
                <c:pt idx="166">
                  <c:v>626800</c:v>
                </c:pt>
                <c:pt idx="167">
                  <c:v>681950</c:v>
                </c:pt>
                <c:pt idx="168">
                  <c:v>643800</c:v>
                </c:pt>
                <c:pt idx="169">
                  <c:v>646945</c:v>
                </c:pt>
                <c:pt idx="170">
                  <c:v>883950</c:v>
                </c:pt>
                <c:pt idx="171">
                  <c:v>778698</c:v>
                </c:pt>
                <c:pt idx="172">
                  <c:v>756800</c:v>
                </c:pt>
                <c:pt idx="173">
                  <c:v>778030</c:v>
                </c:pt>
                <c:pt idx="174">
                  <c:v>588840</c:v>
                </c:pt>
                <c:pt idx="175">
                  <c:v>1092650</c:v>
                </c:pt>
                <c:pt idx="176">
                  <c:v>1300675</c:v>
                </c:pt>
                <c:pt idx="177">
                  <c:v>528350</c:v>
                </c:pt>
                <c:pt idx="178">
                  <c:v>368700</c:v>
                </c:pt>
                <c:pt idx="179">
                  <c:v>654080</c:v>
                </c:pt>
                <c:pt idx="180">
                  <c:v>516550</c:v>
                </c:pt>
                <c:pt idx="181">
                  <c:v>816260</c:v>
                </c:pt>
                <c:pt idx="182">
                  <c:v>823300</c:v>
                </c:pt>
                <c:pt idx="183">
                  <c:v>704860</c:v>
                </c:pt>
                <c:pt idx="184">
                  <c:v>895157</c:v>
                </c:pt>
                <c:pt idx="185">
                  <c:v>510600</c:v>
                </c:pt>
                <c:pt idx="186">
                  <c:v>935520</c:v>
                </c:pt>
                <c:pt idx="187">
                  <c:v>902925</c:v>
                </c:pt>
                <c:pt idx="188">
                  <c:v>1375438</c:v>
                </c:pt>
                <c:pt idx="189">
                  <c:v>2553680</c:v>
                </c:pt>
                <c:pt idx="190">
                  <c:v>1597960</c:v>
                </c:pt>
                <c:pt idx="191">
                  <c:v>2251357</c:v>
                </c:pt>
                <c:pt idx="192">
                  <c:v>1100300</c:v>
                </c:pt>
                <c:pt idx="193">
                  <c:v>1152504</c:v>
                </c:pt>
                <c:pt idx="194">
                  <c:v>1073620</c:v>
                </c:pt>
                <c:pt idx="195">
                  <c:v>1363485</c:v>
                </c:pt>
                <c:pt idx="196">
                  <c:v>1216600</c:v>
                </c:pt>
                <c:pt idx="197">
                  <c:v>1827267</c:v>
                </c:pt>
                <c:pt idx="198">
                  <c:v>654100</c:v>
                </c:pt>
                <c:pt idx="199">
                  <c:v>574100</c:v>
                </c:pt>
                <c:pt idx="200">
                  <c:v>848700</c:v>
                </c:pt>
                <c:pt idx="201">
                  <c:v>990575</c:v>
                </c:pt>
                <c:pt idx="202">
                  <c:v>1220320</c:v>
                </c:pt>
                <c:pt idx="203">
                  <c:v>1003321</c:v>
                </c:pt>
                <c:pt idx="204">
                  <c:v>776500</c:v>
                </c:pt>
                <c:pt idx="205">
                  <c:v>755950</c:v>
                </c:pt>
                <c:pt idx="206">
                  <c:v>636550</c:v>
                </c:pt>
                <c:pt idx="207">
                  <c:v>690750</c:v>
                </c:pt>
                <c:pt idx="208">
                  <c:v>293637</c:v>
                </c:pt>
                <c:pt idx="209">
                  <c:v>582469</c:v>
                </c:pt>
                <c:pt idx="210">
                  <c:v>772160</c:v>
                </c:pt>
                <c:pt idx="211">
                  <c:v>921903</c:v>
                </c:pt>
                <c:pt idx="212">
                  <c:v>886950</c:v>
                </c:pt>
                <c:pt idx="213">
                  <c:v>919600</c:v>
                </c:pt>
                <c:pt idx="214">
                  <c:v>556362</c:v>
                </c:pt>
                <c:pt idx="215">
                  <c:v>539750</c:v>
                </c:pt>
                <c:pt idx="216">
                  <c:v>1802190</c:v>
                </c:pt>
                <c:pt idx="217">
                  <c:v>735840</c:v>
                </c:pt>
                <c:pt idx="218">
                  <c:v>765590</c:v>
                </c:pt>
                <c:pt idx="219">
                  <c:v>535200</c:v>
                </c:pt>
                <c:pt idx="220">
                  <c:v>303900</c:v>
                </c:pt>
                <c:pt idx="221">
                  <c:v>636769</c:v>
                </c:pt>
                <c:pt idx="222">
                  <c:v>413880</c:v>
                </c:pt>
                <c:pt idx="223">
                  <c:v>548280</c:v>
                </c:pt>
                <c:pt idx="224">
                  <c:v>551050</c:v>
                </c:pt>
                <c:pt idx="225">
                  <c:v>741510</c:v>
                </c:pt>
                <c:pt idx="226">
                  <c:v>303010</c:v>
                </c:pt>
                <c:pt idx="227">
                  <c:v>274275</c:v>
                </c:pt>
                <c:pt idx="228">
                  <c:v>399600</c:v>
                </c:pt>
                <c:pt idx="229">
                  <c:v>780345</c:v>
                </c:pt>
                <c:pt idx="230">
                  <c:v>721040</c:v>
                </c:pt>
                <c:pt idx="231">
                  <c:v>1398200</c:v>
                </c:pt>
                <c:pt idx="232">
                  <c:v>1005970</c:v>
                </c:pt>
                <c:pt idx="233">
                  <c:v>352846</c:v>
                </c:pt>
                <c:pt idx="234">
                  <c:v>356350</c:v>
                </c:pt>
                <c:pt idx="235">
                  <c:v>293600</c:v>
                </c:pt>
                <c:pt idx="236">
                  <c:v>514100</c:v>
                </c:pt>
                <c:pt idx="237">
                  <c:v>394000</c:v>
                </c:pt>
                <c:pt idx="238">
                  <c:v>561127</c:v>
                </c:pt>
                <c:pt idx="239">
                  <c:v>361350</c:v>
                </c:pt>
                <c:pt idx="240">
                  <c:v>57551</c:v>
                </c:pt>
                <c:pt idx="241">
                  <c:v>241400</c:v>
                </c:pt>
                <c:pt idx="242">
                  <c:v>220700</c:v>
                </c:pt>
                <c:pt idx="243">
                  <c:v>768128</c:v>
                </c:pt>
                <c:pt idx="244">
                  <c:v>696850</c:v>
                </c:pt>
                <c:pt idx="245">
                  <c:v>661350</c:v>
                </c:pt>
                <c:pt idx="246">
                  <c:v>464648</c:v>
                </c:pt>
                <c:pt idx="247">
                  <c:v>270907</c:v>
                </c:pt>
                <c:pt idx="248">
                  <c:v>289800</c:v>
                </c:pt>
                <c:pt idx="249">
                  <c:v>617596</c:v>
                </c:pt>
                <c:pt idx="250">
                  <c:v>783007</c:v>
                </c:pt>
                <c:pt idx="251">
                  <c:v>701940</c:v>
                </c:pt>
                <c:pt idx="252">
                  <c:v>735850</c:v>
                </c:pt>
                <c:pt idx="253">
                  <c:v>664049</c:v>
                </c:pt>
                <c:pt idx="254">
                  <c:v>343900</c:v>
                </c:pt>
                <c:pt idx="255">
                  <c:v>331719</c:v>
                </c:pt>
                <c:pt idx="256">
                  <c:v>514375</c:v>
                </c:pt>
                <c:pt idx="257">
                  <c:v>874825</c:v>
                </c:pt>
                <c:pt idx="258">
                  <c:v>676876</c:v>
                </c:pt>
                <c:pt idx="259">
                  <c:v>527080</c:v>
                </c:pt>
                <c:pt idx="260">
                  <c:v>479650</c:v>
                </c:pt>
                <c:pt idx="261">
                  <c:v>330685</c:v>
                </c:pt>
                <c:pt idx="262">
                  <c:v>327650</c:v>
                </c:pt>
                <c:pt idx="263">
                  <c:v>299700</c:v>
                </c:pt>
                <c:pt idx="264">
                  <c:v>387125</c:v>
                </c:pt>
                <c:pt idx="265">
                  <c:v>491030</c:v>
                </c:pt>
                <c:pt idx="266">
                  <c:v>558725</c:v>
                </c:pt>
                <c:pt idx="267">
                  <c:v>352250</c:v>
                </c:pt>
                <c:pt idx="268">
                  <c:v>478649</c:v>
                </c:pt>
                <c:pt idx="269">
                  <c:v>212497</c:v>
                </c:pt>
                <c:pt idx="270">
                  <c:v>1025200</c:v>
                </c:pt>
                <c:pt idx="271">
                  <c:v>1533019</c:v>
                </c:pt>
                <c:pt idx="272">
                  <c:v>1246460</c:v>
                </c:pt>
                <c:pt idx="273">
                  <c:v>1226860</c:v>
                </c:pt>
                <c:pt idx="274">
                  <c:v>1094600</c:v>
                </c:pt>
                <c:pt idx="275">
                  <c:v>806160</c:v>
                </c:pt>
                <c:pt idx="276">
                  <c:v>654500</c:v>
                </c:pt>
                <c:pt idx="277">
                  <c:v>1063475</c:v>
                </c:pt>
                <c:pt idx="278">
                  <c:v>1279990</c:v>
                </c:pt>
                <c:pt idx="279">
                  <c:v>1082350</c:v>
                </c:pt>
                <c:pt idx="280">
                  <c:v>1041875</c:v>
                </c:pt>
                <c:pt idx="281">
                  <c:v>1262950</c:v>
                </c:pt>
                <c:pt idx="282">
                  <c:v>1487920</c:v>
                </c:pt>
                <c:pt idx="283">
                  <c:v>676050</c:v>
                </c:pt>
                <c:pt idx="284">
                  <c:v>649810</c:v>
                </c:pt>
                <c:pt idx="285">
                  <c:v>921500</c:v>
                </c:pt>
                <c:pt idx="286">
                  <c:v>1064450</c:v>
                </c:pt>
                <c:pt idx="287">
                  <c:v>1227697</c:v>
                </c:pt>
                <c:pt idx="288">
                  <c:v>1374705</c:v>
                </c:pt>
                <c:pt idx="289">
                  <c:v>1687800</c:v>
                </c:pt>
                <c:pt idx="290">
                  <c:v>519850</c:v>
                </c:pt>
                <c:pt idx="291">
                  <c:v>1014510</c:v>
                </c:pt>
                <c:pt idx="292">
                  <c:v>1049100</c:v>
                </c:pt>
                <c:pt idx="293">
                  <c:v>1344150</c:v>
                </c:pt>
                <c:pt idx="294">
                  <c:v>411482</c:v>
                </c:pt>
                <c:pt idx="295">
                  <c:v>776161</c:v>
                </c:pt>
                <c:pt idx="296">
                  <c:v>278450</c:v>
                </c:pt>
                <c:pt idx="297">
                  <c:v>792160</c:v>
                </c:pt>
                <c:pt idx="298">
                  <c:v>1000510</c:v>
                </c:pt>
                <c:pt idx="299">
                  <c:v>1606050</c:v>
                </c:pt>
                <c:pt idx="300">
                  <c:v>1749960</c:v>
                </c:pt>
                <c:pt idx="301">
                  <c:v>2184880</c:v>
                </c:pt>
                <c:pt idx="302">
                  <c:v>1654900</c:v>
                </c:pt>
                <c:pt idx="303">
                  <c:v>1011721</c:v>
                </c:pt>
                <c:pt idx="304">
                  <c:v>411800</c:v>
                </c:pt>
                <c:pt idx="305">
                  <c:v>802875</c:v>
                </c:pt>
                <c:pt idx="306">
                  <c:v>879398</c:v>
                </c:pt>
                <c:pt idx="307">
                  <c:v>1099915</c:v>
                </c:pt>
                <c:pt idx="308">
                  <c:v>1095100</c:v>
                </c:pt>
                <c:pt idx="309">
                  <c:v>769090</c:v>
                </c:pt>
                <c:pt idx="310">
                  <c:v>844956</c:v>
                </c:pt>
                <c:pt idx="311">
                  <c:v>619980</c:v>
                </c:pt>
                <c:pt idx="312">
                  <c:v>1138260</c:v>
                </c:pt>
                <c:pt idx="313">
                  <c:v>660600</c:v>
                </c:pt>
                <c:pt idx="314">
                  <c:v>137775</c:v>
                </c:pt>
                <c:pt idx="315">
                  <c:v>235650</c:v>
                </c:pt>
                <c:pt idx="316">
                  <c:v>195150</c:v>
                </c:pt>
                <c:pt idx="317">
                  <c:v>220818</c:v>
                </c:pt>
                <c:pt idx="318">
                  <c:v>476125</c:v>
                </c:pt>
                <c:pt idx="319">
                  <c:v>615819</c:v>
                </c:pt>
                <c:pt idx="320">
                  <c:v>595657</c:v>
                </c:pt>
                <c:pt idx="321">
                  <c:v>632093</c:v>
                </c:pt>
                <c:pt idx="322">
                  <c:v>897585</c:v>
                </c:pt>
                <c:pt idx="323">
                  <c:v>531639</c:v>
                </c:pt>
                <c:pt idx="324">
                  <c:v>365651</c:v>
                </c:pt>
                <c:pt idx="325">
                  <c:v>409954</c:v>
                </c:pt>
                <c:pt idx="326">
                  <c:v>496603</c:v>
                </c:pt>
                <c:pt idx="327">
                  <c:v>523390</c:v>
                </c:pt>
                <c:pt idx="328">
                  <c:v>499200</c:v>
                </c:pt>
                <c:pt idx="329">
                  <c:v>642597</c:v>
                </c:pt>
                <c:pt idx="330">
                  <c:v>578736</c:v>
                </c:pt>
                <c:pt idx="331">
                  <c:v>338750</c:v>
                </c:pt>
                <c:pt idx="332">
                  <c:v>310550</c:v>
                </c:pt>
                <c:pt idx="333">
                  <c:v>800070</c:v>
                </c:pt>
                <c:pt idx="334">
                  <c:v>796167</c:v>
                </c:pt>
                <c:pt idx="335">
                  <c:v>968140</c:v>
                </c:pt>
                <c:pt idx="336">
                  <c:v>813410</c:v>
                </c:pt>
                <c:pt idx="337">
                  <c:v>590110</c:v>
                </c:pt>
                <c:pt idx="338">
                  <c:v>1153118</c:v>
                </c:pt>
                <c:pt idx="339">
                  <c:v>410960</c:v>
                </c:pt>
                <c:pt idx="340">
                  <c:v>733010</c:v>
                </c:pt>
                <c:pt idx="341">
                  <c:v>949885</c:v>
                </c:pt>
                <c:pt idx="342">
                  <c:v>1071000</c:v>
                </c:pt>
                <c:pt idx="343">
                  <c:v>883400</c:v>
                </c:pt>
                <c:pt idx="344">
                  <c:v>955000</c:v>
                </c:pt>
                <c:pt idx="345">
                  <c:v>591625</c:v>
                </c:pt>
                <c:pt idx="346">
                  <c:v>484850</c:v>
                </c:pt>
                <c:pt idx="347">
                  <c:v>818700</c:v>
                </c:pt>
                <c:pt idx="348">
                  <c:v>984300</c:v>
                </c:pt>
                <c:pt idx="349">
                  <c:v>1330500</c:v>
                </c:pt>
                <c:pt idx="350">
                  <c:v>1169680</c:v>
                </c:pt>
                <c:pt idx="351">
                  <c:v>1713405</c:v>
                </c:pt>
                <c:pt idx="352">
                  <c:v>997590</c:v>
                </c:pt>
                <c:pt idx="353">
                  <c:v>445360</c:v>
                </c:pt>
                <c:pt idx="354">
                  <c:v>724600</c:v>
                </c:pt>
                <c:pt idx="355">
                  <c:v>1119000</c:v>
                </c:pt>
                <c:pt idx="356">
                  <c:v>840095</c:v>
                </c:pt>
                <c:pt idx="357">
                  <c:v>568775</c:v>
                </c:pt>
                <c:pt idx="358">
                  <c:v>422250</c:v>
                </c:pt>
                <c:pt idx="359">
                  <c:v>898069</c:v>
                </c:pt>
                <c:pt idx="360">
                  <c:v>585727</c:v>
                </c:pt>
                <c:pt idx="361">
                  <c:v>943975</c:v>
                </c:pt>
                <c:pt idx="362">
                  <c:v>811919</c:v>
                </c:pt>
                <c:pt idx="363">
                  <c:v>734875</c:v>
                </c:pt>
                <c:pt idx="364">
                  <c:v>623850</c:v>
                </c:pt>
                <c:pt idx="365">
                  <c:v>957425</c:v>
                </c:pt>
                <c:pt idx="366">
                  <c:v>912580</c:v>
                </c:pt>
                <c:pt idx="367">
                  <c:v>469058</c:v>
                </c:pt>
                <c:pt idx="368">
                  <c:v>878235</c:v>
                </c:pt>
                <c:pt idx="369">
                  <c:v>1689930</c:v>
                </c:pt>
                <c:pt idx="370">
                  <c:v>1470869</c:v>
                </c:pt>
                <c:pt idx="371">
                  <c:v>1232520</c:v>
                </c:pt>
                <c:pt idx="372">
                  <c:v>1175645</c:v>
                </c:pt>
                <c:pt idx="373">
                  <c:v>708635</c:v>
                </c:pt>
                <c:pt idx="374">
                  <c:v>902050</c:v>
                </c:pt>
                <c:pt idx="375">
                  <c:v>1002375</c:v>
                </c:pt>
                <c:pt idx="376">
                  <c:v>1225078</c:v>
                </c:pt>
                <c:pt idx="377">
                  <c:v>1841702</c:v>
                </c:pt>
                <c:pt idx="378">
                  <c:v>993790</c:v>
                </c:pt>
                <c:pt idx="379">
                  <c:v>897330</c:v>
                </c:pt>
                <c:pt idx="380">
                  <c:v>1347775</c:v>
                </c:pt>
                <c:pt idx="381">
                  <c:v>559675</c:v>
                </c:pt>
                <c:pt idx="382">
                  <c:v>1147318</c:v>
                </c:pt>
                <c:pt idx="383">
                  <c:v>1694750</c:v>
                </c:pt>
                <c:pt idx="384">
                  <c:v>2158958</c:v>
                </c:pt>
                <c:pt idx="385">
                  <c:v>2152517</c:v>
                </c:pt>
                <c:pt idx="386">
                  <c:v>1962760</c:v>
                </c:pt>
                <c:pt idx="387">
                  <c:v>871300</c:v>
                </c:pt>
                <c:pt idx="388">
                  <c:v>553905</c:v>
                </c:pt>
                <c:pt idx="389">
                  <c:v>977650</c:v>
                </c:pt>
                <c:pt idx="390">
                  <c:v>632325</c:v>
                </c:pt>
                <c:pt idx="391">
                  <c:v>1579075</c:v>
                </c:pt>
                <c:pt idx="392">
                  <c:v>1298624</c:v>
                </c:pt>
                <c:pt idx="393">
                  <c:v>1252175</c:v>
                </c:pt>
                <c:pt idx="394">
                  <c:v>1764018</c:v>
                </c:pt>
                <c:pt idx="395">
                  <c:v>844524</c:v>
                </c:pt>
                <c:pt idx="396">
                  <c:v>1035070</c:v>
                </c:pt>
                <c:pt idx="397">
                  <c:v>2181301</c:v>
                </c:pt>
                <c:pt idx="398">
                  <c:v>1898600</c:v>
                </c:pt>
                <c:pt idx="399">
                  <c:v>1680843</c:v>
                </c:pt>
                <c:pt idx="400">
                  <c:v>1630682</c:v>
                </c:pt>
                <c:pt idx="401">
                  <c:v>957899</c:v>
                </c:pt>
                <c:pt idx="402">
                  <c:v>804750</c:v>
                </c:pt>
                <c:pt idx="403">
                  <c:v>1196678</c:v>
                </c:pt>
                <c:pt idx="404">
                  <c:v>1450023</c:v>
                </c:pt>
                <c:pt idx="405">
                  <c:v>1252010</c:v>
                </c:pt>
                <c:pt idx="406">
                  <c:v>1652825</c:v>
                </c:pt>
                <c:pt idx="407">
                  <c:v>1389633</c:v>
                </c:pt>
                <c:pt idx="408">
                  <c:v>813850</c:v>
                </c:pt>
                <c:pt idx="409">
                  <c:v>661300</c:v>
                </c:pt>
                <c:pt idx="410">
                  <c:v>845050</c:v>
                </c:pt>
                <c:pt idx="411">
                  <c:v>1127055</c:v>
                </c:pt>
                <c:pt idx="412">
                  <c:v>1470400</c:v>
                </c:pt>
                <c:pt idx="413">
                  <c:v>1215828</c:v>
                </c:pt>
                <c:pt idx="414">
                  <c:v>1108200</c:v>
                </c:pt>
                <c:pt idx="415">
                  <c:v>991250</c:v>
                </c:pt>
                <c:pt idx="416">
                  <c:v>540450</c:v>
                </c:pt>
                <c:pt idx="417">
                  <c:v>1059035</c:v>
                </c:pt>
                <c:pt idx="418">
                  <c:v>1477025</c:v>
                </c:pt>
                <c:pt idx="419">
                  <c:v>1531501</c:v>
                </c:pt>
                <c:pt idx="420">
                  <c:v>1583754</c:v>
                </c:pt>
                <c:pt idx="421">
                  <c:v>1278591</c:v>
                </c:pt>
                <c:pt idx="422">
                  <c:v>942800</c:v>
                </c:pt>
                <c:pt idx="423">
                  <c:v>667665</c:v>
                </c:pt>
                <c:pt idx="424">
                  <c:v>927711</c:v>
                </c:pt>
                <c:pt idx="425">
                  <c:v>1319400</c:v>
                </c:pt>
                <c:pt idx="426">
                  <c:v>2687012</c:v>
                </c:pt>
                <c:pt idx="427">
                  <c:v>2010565</c:v>
                </c:pt>
                <c:pt idx="428">
                  <c:v>1426290</c:v>
                </c:pt>
                <c:pt idx="429">
                  <c:v>1408975</c:v>
                </c:pt>
                <c:pt idx="430">
                  <c:v>674160</c:v>
                </c:pt>
                <c:pt idx="431">
                  <c:v>2068850</c:v>
                </c:pt>
                <c:pt idx="432">
                  <c:v>2006911</c:v>
                </c:pt>
                <c:pt idx="433">
                  <c:v>1913800</c:v>
                </c:pt>
                <c:pt idx="434">
                  <c:v>1818950</c:v>
                </c:pt>
                <c:pt idx="435">
                  <c:v>1500570</c:v>
                </c:pt>
                <c:pt idx="436">
                  <c:v>1035650</c:v>
                </c:pt>
                <c:pt idx="437">
                  <c:v>975340</c:v>
                </c:pt>
                <c:pt idx="438">
                  <c:v>1398698</c:v>
                </c:pt>
                <c:pt idx="439">
                  <c:v>1449700</c:v>
                </c:pt>
                <c:pt idx="440">
                  <c:v>1574986</c:v>
                </c:pt>
                <c:pt idx="441">
                  <c:v>1208610</c:v>
                </c:pt>
                <c:pt idx="442">
                  <c:v>1347998</c:v>
                </c:pt>
                <c:pt idx="443">
                  <c:v>1362830</c:v>
                </c:pt>
                <c:pt idx="444">
                  <c:v>834772</c:v>
                </c:pt>
                <c:pt idx="445">
                  <c:v>1451755</c:v>
                </c:pt>
                <c:pt idx="446">
                  <c:v>1228051</c:v>
                </c:pt>
                <c:pt idx="447">
                  <c:v>1107549</c:v>
                </c:pt>
                <c:pt idx="448">
                  <c:v>219700</c:v>
                </c:pt>
                <c:pt idx="449">
                  <c:v>1336100</c:v>
                </c:pt>
                <c:pt idx="450">
                  <c:v>863250</c:v>
                </c:pt>
                <c:pt idx="451">
                  <c:v>821149</c:v>
                </c:pt>
                <c:pt idx="452">
                  <c:v>1135200</c:v>
                </c:pt>
                <c:pt idx="453">
                  <c:v>1022760</c:v>
                </c:pt>
                <c:pt idx="454">
                  <c:v>1708484</c:v>
                </c:pt>
                <c:pt idx="455">
                  <c:v>1306450</c:v>
                </c:pt>
                <c:pt idx="456">
                  <c:v>1157300</c:v>
                </c:pt>
                <c:pt idx="457">
                  <c:v>1552700</c:v>
                </c:pt>
                <c:pt idx="458">
                  <c:v>478525</c:v>
                </c:pt>
                <c:pt idx="459">
                  <c:v>1656669</c:v>
                </c:pt>
                <c:pt idx="460">
                  <c:v>1822180</c:v>
                </c:pt>
                <c:pt idx="461">
                  <c:v>1461700</c:v>
                </c:pt>
                <c:pt idx="462">
                  <c:v>1732116</c:v>
                </c:pt>
                <c:pt idx="463">
                  <c:v>909750</c:v>
                </c:pt>
                <c:pt idx="464">
                  <c:v>1110910</c:v>
                </c:pt>
                <c:pt idx="465">
                  <c:v>690170</c:v>
                </c:pt>
                <c:pt idx="466">
                  <c:v>1248100</c:v>
                </c:pt>
                <c:pt idx="467">
                  <c:v>1790625</c:v>
                </c:pt>
                <c:pt idx="468">
                  <c:v>1243150</c:v>
                </c:pt>
                <c:pt idx="469">
                  <c:v>1042977</c:v>
                </c:pt>
                <c:pt idx="470">
                  <c:v>854756</c:v>
                </c:pt>
                <c:pt idx="471">
                  <c:v>1032800</c:v>
                </c:pt>
                <c:pt idx="472">
                  <c:v>467696</c:v>
                </c:pt>
                <c:pt idx="473">
                  <c:v>920249</c:v>
                </c:pt>
                <c:pt idx="474">
                  <c:v>3001311</c:v>
                </c:pt>
                <c:pt idx="475">
                  <c:v>1347951</c:v>
                </c:pt>
                <c:pt idx="476">
                  <c:v>1394260</c:v>
                </c:pt>
                <c:pt idx="477">
                  <c:v>1205100</c:v>
                </c:pt>
                <c:pt idx="478">
                  <c:v>1184221</c:v>
                </c:pt>
                <c:pt idx="479">
                  <c:v>817125</c:v>
                </c:pt>
                <c:pt idx="480">
                  <c:v>1410810</c:v>
                </c:pt>
                <c:pt idx="481">
                  <c:v>1330200</c:v>
                </c:pt>
                <c:pt idx="482">
                  <c:v>1535500</c:v>
                </c:pt>
                <c:pt idx="483">
                  <c:v>1628765</c:v>
                </c:pt>
                <c:pt idx="484">
                  <c:v>1765172</c:v>
                </c:pt>
                <c:pt idx="485">
                  <c:v>825250</c:v>
                </c:pt>
                <c:pt idx="486">
                  <c:v>612100</c:v>
                </c:pt>
                <c:pt idx="487">
                  <c:v>1025802</c:v>
                </c:pt>
                <c:pt idx="488">
                  <c:v>1121985</c:v>
                </c:pt>
                <c:pt idx="489">
                  <c:v>1818380</c:v>
                </c:pt>
                <c:pt idx="490">
                  <c:v>1540880</c:v>
                </c:pt>
                <c:pt idx="491">
                  <c:v>1660710</c:v>
                </c:pt>
                <c:pt idx="492">
                  <c:v>1110322</c:v>
                </c:pt>
                <c:pt idx="493">
                  <c:v>524150</c:v>
                </c:pt>
                <c:pt idx="494">
                  <c:v>754500</c:v>
                </c:pt>
                <c:pt idx="495">
                  <c:v>1341593</c:v>
                </c:pt>
                <c:pt idx="496">
                  <c:v>1616980</c:v>
                </c:pt>
                <c:pt idx="497">
                  <c:v>1207885</c:v>
                </c:pt>
                <c:pt idx="498">
                  <c:v>1267964</c:v>
                </c:pt>
                <c:pt idx="499">
                  <c:v>1064370</c:v>
                </c:pt>
                <c:pt idx="500">
                  <c:v>793000</c:v>
                </c:pt>
                <c:pt idx="501">
                  <c:v>1225550</c:v>
                </c:pt>
                <c:pt idx="502">
                  <c:v>4029730</c:v>
                </c:pt>
                <c:pt idx="503">
                  <c:v>1453723</c:v>
                </c:pt>
                <c:pt idx="504">
                  <c:v>1447784</c:v>
                </c:pt>
                <c:pt idx="505">
                  <c:v>1128800</c:v>
                </c:pt>
                <c:pt idx="506">
                  <c:v>954850</c:v>
                </c:pt>
                <c:pt idx="507">
                  <c:v>632825</c:v>
                </c:pt>
                <c:pt idx="508">
                  <c:v>830327</c:v>
                </c:pt>
                <c:pt idx="509">
                  <c:v>1229275</c:v>
                </c:pt>
                <c:pt idx="510">
                  <c:v>1358650</c:v>
                </c:pt>
                <c:pt idx="511">
                  <c:v>1147670</c:v>
                </c:pt>
                <c:pt idx="512">
                  <c:v>1234910</c:v>
                </c:pt>
                <c:pt idx="513">
                  <c:v>946790</c:v>
                </c:pt>
                <c:pt idx="514">
                  <c:v>674670</c:v>
                </c:pt>
                <c:pt idx="515">
                  <c:v>848711</c:v>
                </c:pt>
                <c:pt idx="516">
                  <c:v>1072700</c:v>
                </c:pt>
                <c:pt idx="517">
                  <c:v>1497500</c:v>
                </c:pt>
                <c:pt idx="518">
                  <c:v>1423450</c:v>
                </c:pt>
                <c:pt idx="519">
                  <c:v>1801913</c:v>
                </c:pt>
                <c:pt idx="520">
                  <c:v>1377247</c:v>
                </c:pt>
                <c:pt idx="521">
                  <c:v>1153570</c:v>
                </c:pt>
                <c:pt idx="522">
                  <c:v>2092600</c:v>
                </c:pt>
                <c:pt idx="523">
                  <c:v>1417450</c:v>
                </c:pt>
                <c:pt idx="524">
                  <c:v>1713610</c:v>
                </c:pt>
                <c:pt idx="525">
                  <c:v>1419799</c:v>
                </c:pt>
                <c:pt idx="526">
                  <c:v>1299600</c:v>
                </c:pt>
                <c:pt idx="527">
                  <c:v>1029100</c:v>
                </c:pt>
                <c:pt idx="528">
                  <c:v>899000</c:v>
                </c:pt>
                <c:pt idx="529">
                  <c:v>1305200</c:v>
                </c:pt>
                <c:pt idx="530">
                  <c:v>1885200</c:v>
                </c:pt>
                <c:pt idx="531">
                  <c:v>1690515</c:v>
                </c:pt>
                <c:pt idx="532">
                  <c:v>1546174</c:v>
                </c:pt>
                <c:pt idx="533">
                  <c:v>1317700</c:v>
                </c:pt>
                <c:pt idx="534">
                  <c:v>1628950</c:v>
                </c:pt>
                <c:pt idx="535">
                  <c:v>790501</c:v>
                </c:pt>
                <c:pt idx="536">
                  <c:v>952600</c:v>
                </c:pt>
                <c:pt idx="537">
                  <c:v>1305640</c:v>
                </c:pt>
                <c:pt idx="538">
                  <c:v>1537858</c:v>
                </c:pt>
                <c:pt idx="539">
                  <c:v>1477664</c:v>
                </c:pt>
                <c:pt idx="540">
                  <c:v>1210870</c:v>
                </c:pt>
                <c:pt idx="541">
                  <c:v>1156500</c:v>
                </c:pt>
                <c:pt idx="542">
                  <c:v>981100</c:v>
                </c:pt>
                <c:pt idx="543">
                  <c:v>985160</c:v>
                </c:pt>
                <c:pt idx="544">
                  <c:v>1423636</c:v>
                </c:pt>
                <c:pt idx="545">
                  <c:v>1404190</c:v>
                </c:pt>
                <c:pt idx="546">
                  <c:v>1113821</c:v>
                </c:pt>
                <c:pt idx="547">
                  <c:v>1152650</c:v>
                </c:pt>
                <c:pt idx="548">
                  <c:v>1137300</c:v>
                </c:pt>
                <c:pt idx="549">
                  <c:v>536125</c:v>
                </c:pt>
                <c:pt idx="550">
                  <c:v>976032</c:v>
                </c:pt>
                <c:pt idx="551">
                  <c:v>1185535</c:v>
                </c:pt>
                <c:pt idx="552">
                  <c:v>1022900</c:v>
                </c:pt>
                <c:pt idx="553">
                  <c:v>1065300</c:v>
                </c:pt>
                <c:pt idx="554">
                  <c:v>1074850</c:v>
                </c:pt>
                <c:pt idx="555">
                  <c:v>994325</c:v>
                </c:pt>
                <c:pt idx="556">
                  <c:v>730120</c:v>
                </c:pt>
                <c:pt idx="557">
                  <c:v>1566500</c:v>
                </c:pt>
                <c:pt idx="558">
                  <c:v>1501741</c:v>
                </c:pt>
                <c:pt idx="559">
                  <c:v>1279100</c:v>
                </c:pt>
                <c:pt idx="560">
                  <c:v>1578750</c:v>
                </c:pt>
                <c:pt idx="561">
                  <c:v>1248463</c:v>
                </c:pt>
                <c:pt idx="562">
                  <c:v>1417750</c:v>
                </c:pt>
                <c:pt idx="563">
                  <c:v>931700</c:v>
                </c:pt>
                <c:pt idx="564">
                  <c:v>1664999</c:v>
                </c:pt>
                <c:pt idx="565">
                  <c:v>1303323</c:v>
                </c:pt>
                <c:pt idx="566">
                  <c:v>1485615</c:v>
                </c:pt>
                <c:pt idx="567">
                  <c:v>1561410</c:v>
                </c:pt>
                <c:pt idx="568">
                  <c:v>1346700</c:v>
                </c:pt>
                <c:pt idx="569">
                  <c:v>1217075</c:v>
                </c:pt>
                <c:pt idx="570">
                  <c:v>786469</c:v>
                </c:pt>
                <c:pt idx="571">
                  <c:v>1373000</c:v>
                </c:pt>
                <c:pt idx="572">
                  <c:v>1068295</c:v>
                </c:pt>
                <c:pt idx="573">
                  <c:v>1647290</c:v>
                </c:pt>
                <c:pt idx="574">
                  <c:v>1209100</c:v>
                </c:pt>
                <c:pt idx="575">
                  <c:v>1416485</c:v>
                </c:pt>
                <c:pt idx="576">
                  <c:v>1018311</c:v>
                </c:pt>
                <c:pt idx="577">
                  <c:v>583310</c:v>
                </c:pt>
                <c:pt idx="578">
                  <c:v>1151950</c:v>
                </c:pt>
                <c:pt idx="579">
                  <c:v>1571460</c:v>
                </c:pt>
                <c:pt idx="580">
                  <c:v>1089925</c:v>
                </c:pt>
                <c:pt idx="581">
                  <c:v>1377380</c:v>
                </c:pt>
                <c:pt idx="582">
                  <c:v>1380002</c:v>
                </c:pt>
                <c:pt idx="583">
                  <c:v>947650</c:v>
                </c:pt>
                <c:pt idx="584">
                  <c:v>995850</c:v>
                </c:pt>
                <c:pt idx="585">
                  <c:v>990510</c:v>
                </c:pt>
                <c:pt idx="586">
                  <c:v>1414200</c:v>
                </c:pt>
                <c:pt idx="587">
                  <c:v>1531975</c:v>
                </c:pt>
                <c:pt idx="588">
                  <c:v>1161386</c:v>
                </c:pt>
                <c:pt idx="589">
                  <c:v>1163852</c:v>
                </c:pt>
                <c:pt idx="590">
                  <c:v>630900</c:v>
                </c:pt>
                <c:pt idx="591">
                  <c:v>377040</c:v>
                </c:pt>
                <c:pt idx="592">
                  <c:v>323900</c:v>
                </c:pt>
                <c:pt idx="593">
                  <c:v>1155624</c:v>
                </c:pt>
                <c:pt idx="594">
                  <c:v>1144204</c:v>
                </c:pt>
                <c:pt idx="595">
                  <c:v>571200</c:v>
                </c:pt>
                <c:pt idx="596">
                  <c:v>1073325</c:v>
                </c:pt>
                <c:pt idx="597">
                  <c:v>1428420</c:v>
                </c:pt>
                <c:pt idx="598">
                  <c:v>564170</c:v>
                </c:pt>
                <c:pt idx="599">
                  <c:v>1605900</c:v>
                </c:pt>
                <c:pt idx="600">
                  <c:v>1330519</c:v>
                </c:pt>
                <c:pt idx="601">
                  <c:v>1346380</c:v>
                </c:pt>
                <c:pt idx="602">
                  <c:v>830450</c:v>
                </c:pt>
                <c:pt idx="603">
                  <c:v>1017950</c:v>
                </c:pt>
                <c:pt idx="604">
                  <c:v>1208149</c:v>
                </c:pt>
                <c:pt idx="605">
                  <c:v>669780</c:v>
                </c:pt>
                <c:pt idx="606">
                  <c:v>1311797</c:v>
                </c:pt>
                <c:pt idx="607">
                  <c:v>1331954</c:v>
                </c:pt>
                <c:pt idx="608">
                  <c:v>1028250</c:v>
                </c:pt>
                <c:pt idx="609">
                  <c:v>1319160</c:v>
                </c:pt>
                <c:pt idx="610">
                  <c:v>1213626</c:v>
                </c:pt>
                <c:pt idx="611">
                  <c:v>1403280</c:v>
                </c:pt>
                <c:pt idx="612">
                  <c:v>621770</c:v>
                </c:pt>
                <c:pt idx="613">
                  <c:v>725300</c:v>
                </c:pt>
                <c:pt idx="614">
                  <c:v>1517475</c:v>
                </c:pt>
                <c:pt idx="615">
                  <c:v>1790784</c:v>
                </c:pt>
                <c:pt idx="616">
                  <c:v>1304700</c:v>
                </c:pt>
                <c:pt idx="617">
                  <c:v>1349525</c:v>
                </c:pt>
                <c:pt idx="618">
                  <c:v>1351230</c:v>
                </c:pt>
                <c:pt idx="619">
                  <c:v>614250</c:v>
                </c:pt>
                <c:pt idx="620">
                  <c:v>601050</c:v>
                </c:pt>
                <c:pt idx="621">
                  <c:v>555225</c:v>
                </c:pt>
                <c:pt idx="622">
                  <c:v>901119</c:v>
                </c:pt>
                <c:pt idx="623">
                  <c:v>1055008</c:v>
                </c:pt>
                <c:pt idx="624">
                  <c:v>1100300</c:v>
                </c:pt>
                <c:pt idx="625">
                  <c:v>1120199</c:v>
                </c:pt>
                <c:pt idx="626">
                  <c:v>396600</c:v>
                </c:pt>
                <c:pt idx="627">
                  <c:v>1084450</c:v>
                </c:pt>
                <c:pt idx="628">
                  <c:v>1286653</c:v>
                </c:pt>
                <c:pt idx="629">
                  <c:v>1387800</c:v>
                </c:pt>
                <c:pt idx="630">
                  <c:v>1409139</c:v>
                </c:pt>
                <c:pt idx="631">
                  <c:v>1383650</c:v>
                </c:pt>
                <c:pt idx="632">
                  <c:v>996092</c:v>
                </c:pt>
                <c:pt idx="633">
                  <c:v>870400</c:v>
                </c:pt>
                <c:pt idx="634">
                  <c:v>851470</c:v>
                </c:pt>
                <c:pt idx="635">
                  <c:v>1389455</c:v>
                </c:pt>
                <c:pt idx="636">
                  <c:v>2156701</c:v>
                </c:pt>
                <c:pt idx="637">
                  <c:v>1616045</c:v>
                </c:pt>
                <c:pt idx="638">
                  <c:v>480300</c:v>
                </c:pt>
                <c:pt idx="639">
                  <c:v>1450650</c:v>
                </c:pt>
                <c:pt idx="640">
                  <c:v>769440</c:v>
                </c:pt>
                <c:pt idx="641">
                  <c:v>892450</c:v>
                </c:pt>
                <c:pt idx="642">
                  <c:v>918501</c:v>
                </c:pt>
                <c:pt idx="643">
                  <c:v>1331210</c:v>
                </c:pt>
                <c:pt idx="644">
                  <c:v>1265500</c:v>
                </c:pt>
                <c:pt idx="645">
                  <c:v>1495146</c:v>
                </c:pt>
                <c:pt idx="646">
                  <c:v>1028900</c:v>
                </c:pt>
                <c:pt idx="647">
                  <c:v>966950</c:v>
                </c:pt>
                <c:pt idx="648">
                  <c:v>890775</c:v>
                </c:pt>
                <c:pt idx="649">
                  <c:v>494520</c:v>
                </c:pt>
                <c:pt idx="650">
                  <c:v>876450</c:v>
                </c:pt>
                <c:pt idx="651">
                  <c:v>1207351</c:v>
                </c:pt>
                <c:pt idx="652">
                  <c:v>1229910</c:v>
                </c:pt>
                <c:pt idx="653">
                  <c:v>1501290</c:v>
                </c:pt>
                <c:pt idx="654">
                  <c:v>934710</c:v>
                </c:pt>
                <c:pt idx="655">
                  <c:v>1528130</c:v>
                </c:pt>
                <c:pt idx="656">
                  <c:v>1325152</c:v>
                </c:pt>
                <c:pt idx="657">
                  <c:v>1538500</c:v>
                </c:pt>
                <c:pt idx="658">
                  <c:v>1073102</c:v>
                </c:pt>
                <c:pt idx="659">
                  <c:v>1229375</c:v>
                </c:pt>
                <c:pt idx="660">
                  <c:v>1013590</c:v>
                </c:pt>
                <c:pt idx="661">
                  <c:v>451470</c:v>
                </c:pt>
                <c:pt idx="662">
                  <c:v>1024250</c:v>
                </c:pt>
                <c:pt idx="663">
                  <c:v>1478599</c:v>
                </c:pt>
                <c:pt idx="664">
                  <c:v>2001800</c:v>
                </c:pt>
                <c:pt idx="665">
                  <c:v>915800</c:v>
                </c:pt>
                <c:pt idx="666">
                  <c:v>727404</c:v>
                </c:pt>
                <c:pt idx="667">
                  <c:v>432800</c:v>
                </c:pt>
                <c:pt idx="668">
                  <c:v>177900</c:v>
                </c:pt>
                <c:pt idx="669">
                  <c:v>118050</c:v>
                </c:pt>
                <c:pt idx="670">
                  <c:v>349400</c:v>
                </c:pt>
                <c:pt idx="671">
                  <c:v>717000</c:v>
                </c:pt>
                <c:pt idx="672">
                  <c:v>893046</c:v>
                </c:pt>
                <c:pt idx="673">
                  <c:v>669460</c:v>
                </c:pt>
                <c:pt idx="674">
                  <c:v>988729</c:v>
                </c:pt>
                <c:pt idx="675">
                  <c:v>566951</c:v>
                </c:pt>
                <c:pt idx="676">
                  <c:v>982604</c:v>
                </c:pt>
                <c:pt idx="677">
                  <c:v>1477335</c:v>
                </c:pt>
                <c:pt idx="678">
                  <c:v>1027848</c:v>
                </c:pt>
                <c:pt idx="679">
                  <c:v>938699</c:v>
                </c:pt>
                <c:pt idx="680">
                  <c:v>1145619</c:v>
                </c:pt>
                <c:pt idx="681">
                  <c:v>782698</c:v>
                </c:pt>
                <c:pt idx="682">
                  <c:v>752400</c:v>
                </c:pt>
                <c:pt idx="683">
                  <c:v>701100</c:v>
                </c:pt>
                <c:pt idx="684">
                  <c:v>767399</c:v>
                </c:pt>
                <c:pt idx="685">
                  <c:v>956850</c:v>
                </c:pt>
                <c:pt idx="686">
                  <c:v>976560</c:v>
                </c:pt>
                <c:pt idx="687">
                  <c:v>1025210</c:v>
                </c:pt>
                <c:pt idx="688">
                  <c:v>749800</c:v>
                </c:pt>
                <c:pt idx="689">
                  <c:v>660465</c:v>
                </c:pt>
                <c:pt idx="690">
                  <c:v>912990</c:v>
                </c:pt>
                <c:pt idx="691">
                  <c:v>1340010</c:v>
                </c:pt>
                <c:pt idx="692">
                  <c:v>1111350</c:v>
                </c:pt>
                <c:pt idx="693">
                  <c:v>984950</c:v>
                </c:pt>
                <c:pt idx="694">
                  <c:v>1129300</c:v>
                </c:pt>
                <c:pt idx="695">
                  <c:v>1138800</c:v>
                </c:pt>
                <c:pt idx="696">
                  <c:v>730450</c:v>
                </c:pt>
                <c:pt idx="697">
                  <c:v>1170883</c:v>
                </c:pt>
                <c:pt idx="698">
                  <c:v>1210050</c:v>
                </c:pt>
                <c:pt idx="699">
                  <c:v>1152041</c:v>
                </c:pt>
                <c:pt idx="700">
                  <c:v>1477531</c:v>
                </c:pt>
                <c:pt idx="701">
                  <c:v>1308125</c:v>
                </c:pt>
                <c:pt idx="702">
                  <c:v>1384345</c:v>
                </c:pt>
                <c:pt idx="703">
                  <c:v>770338</c:v>
                </c:pt>
                <c:pt idx="704">
                  <c:v>1167199</c:v>
                </c:pt>
                <c:pt idx="705">
                  <c:v>1058450</c:v>
                </c:pt>
                <c:pt idx="706">
                  <c:v>1342124</c:v>
                </c:pt>
                <c:pt idx="707">
                  <c:v>1315411</c:v>
                </c:pt>
                <c:pt idx="708">
                  <c:v>1081620</c:v>
                </c:pt>
                <c:pt idx="709">
                  <c:v>940299</c:v>
                </c:pt>
                <c:pt idx="710">
                  <c:v>666890</c:v>
                </c:pt>
                <c:pt idx="711">
                  <c:v>1067150</c:v>
                </c:pt>
                <c:pt idx="712">
                  <c:v>1491414</c:v>
                </c:pt>
                <c:pt idx="713">
                  <c:v>1358290</c:v>
                </c:pt>
                <c:pt idx="714">
                  <c:v>1843845</c:v>
                </c:pt>
                <c:pt idx="715">
                  <c:v>1790799</c:v>
                </c:pt>
                <c:pt idx="716">
                  <c:v>2521940</c:v>
                </c:pt>
                <c:pt idx="717">
                  <c:v>941290</c:v>
                </c:pt>
                <c:pt idx="718">
                  <c:v>2098520</c:v>
                </c:pt>
                <c:pt idx="719">
                  <c:v>2542183</c:v>
                </c:pt>
                <c:pt idx="720">
                  <c:v>2239420</c:v>
                </c:pt>
                <c:pt idx="721">
                  <c:v>1716132</c:v>
                </c:pt>
                <c:pt idx="722">
                  <c:v>1490511</c:v>
                </c:pt>
                <c:pt idx="723">
                  <c:v>1395500</c:v>
                </c:pt>
                <c:pt idx="724">
                  <c:v>1211626</c:v>
                </c:pt>
                <c:pt idx="725">
                  <c:v>1529100</c:v>
                </c:pt>
                <c:pt idx="726">
                  <c:v>1943760</c:v>
                </c:pt>
                <c:pt idx="727">
                  <c:v>2069446</c:v>
                </c:pt>
                <c:pt idx="728">
                  <c:v>1816075</c:v>
                </c:pt>
                <c:pt idx="729">
                  <c:v>939052</c:v>
                </c:pt>
                <c:pt idx="730">
                  <c:v>1569785</c:v>
                </c:pt>
                <c:pt idx="731">
                  <c:v>729820</c:v>
                </c:pt>
                <c:pt idx="732">
                  <c:v>1360930</c:v>
                </c:pt>
                <c:pt idx="733">
                  <c:v>2002600</c:v>
                </c:pt>
                <c:pt idx="734">
                  <c:v>1552179</c:v>
                </c:pt>
                <c:pt idx="735">
                  <c:v>2004326</c:v>
                </c:pt>
                <c:pt idx="736">
                  <c:v>2643846</c:v>
                </c:pt>
                <c:pt idx="737">
                  <c:v>1681740</c:v>
                </c:pt>
                <c:pt idx="738">
                  <c:v>792186</c:v>
                </c:pt>
                <c:pt idx="739">
                  <c:v>897651</c:v>
                </c:pt>
                <c:pt idx="740">
                  <c:v>1136030</c:v>
                </c:pt>
                <c:pt idx="741">
                  <c:v>1456110</c:v>
                </c:pt>
                <c:pt idx="742">
                  <c:v>1649300</c:v>
                </c:pt>
                <c:pt idx="743">
                  <c:v>1236090</c:v>
                </c:pt>
                <c:pt idx="744">
                  <c:v>679500</c:v>
                </c:pt>
                <c:pt idx="745">
                  <c:v>863910</c:v>
                </c:pt>
                <c:pt idx="746">
                  <c:v>1225676</c:v>
                </c:pt>
                <c:pt idx="747">
                  <c:v>1627900</c:v>
                </c:pt>
                <c:pt idx="748">
                  <c:v>1439040</c:v>
                </c:pt>
                <c:pt idx="749">
                  <c:v>1442000</c:v>
                </c:pt>
                <c:pt idx="750">
                  <c:v>1860286</c:v>
                </c:pt>
                <c:pt idx="751">
                  <c:v>1664650</c:v>
                </c:pt>
                <c:pt idx="752">
                  <c:v>760850</c:v>
                </c:pt>
                <c:pt idx="753">
                  <c:v>1270125</c:v>
                </c:pt>
                <c:pt idx="754">
                  <c:v>1765785</c:v>
                </c:pt>
                <c:pt idx="755">
                  <c:v>1488105</c:v>
                </c:pt>
                <c:pt idx="756">
                  <c:v>505450</c:v>
                </c:pt>
                <c:pt idx="757">
                  <c:v>1525619</c:v>
                </c:pt>
                <c:pt idx="758">
                  <c:v>1566430</c:v>
                </c:pt>
                <c:pt idx="759">
                  <c:v>1842428</c:v>
                </c:pt>
                <c:pt idx="760">
                  <c:v>2041810</c:v>
                </c:pt>
                <c:pt idx="761">
                  <c:v>1124250</c:v>
                </c:pt>
                <c:pt idx="762">
                  <c:v>2180965</c:v>
                </c:pt>
                <c:pt idx="763">
                  <c:v>1176263</c:v>
                </c:pt>
                <c:pt idx="764">
                  <c:v>1823300</c:v>
                </c:pt>
                <c:pt idx="765">
                  <c:v>933251</c:v>
                </c:pt>
                <c:pt idx="766">
                  <c:v>1010070</c:v>
                </c:pt>
                <c:pt idx="767">
                  <c:v>1229990</c:v>
                </c:pt>
                <c:pt idx="768">
                  <c:v>1569575</c:v>
                </c:pt>
                <c:pt idx="769">
                  <c:v>2045950</c:v>
                </c:pt>
                <c:pt idx="770">
                  <c:v>1414700</c:v>
                </c:pt>
                <c:pt idx="771">
                  <c:v>806000</c:v>
                </c:pt>
                <c:pt idx="772">
                  <c:v>946850</c:v>
                </c:pt>
                <c:pt idx="773">
                  <c:v>925125</c:v>
                </c:pt>
                <c:pt idx="774">
                  <c:v>1196599</c:v>
                </c:pt>
                <c:pt idx="775">
                  <c:v>1654100</c:v>
                </c:pt>
                <c:pt idx="776">
                  <c:v>1320660</c:v>
                </c:pt>
                <c:pt idx="777">
                  <c:v>1150100</c:v>
                </c:pt>
                <c:pt idx="778">
                  <c:v>1689400</c:v>
                </c:pt>
                <c:pt idx="779">
                  <c:v>993051</c:v>
                </c:pt>
                <c:pt idx="780">
                  <c:v>667300</c:v>
                </c:pt>
                <c:pt idx="781">
                  <c:v>1353410</c:v>
                </c:pt>
                <c:pt idx="782">
                  <c:v>1729201</c:v>
                </c:pt>
                <c:pt idx="783">
                  <c:v>1964338</c:v>
                </c:pt>
                <c:pt idx="784">
                  <c:v>1279291</c:v>
                </c:pt>
                <c:pt idx="785">
                  <c:v>997150</c:v>
                </c:pt>
                <c:pt idx="786">
                  <c:v>1075050</c:v>
                </c:pt>
                <c:pt idx="787">
                  <c:v>832895</c:v>
                </c:pt>
                <c:pt idx="788">
                  <c:v>1267920</c:v>
                </c:pt>
                <c:pt idx="789">
                  <c:v>1506575</c:v>
                </c:pt>
                <c:pt idx="790">
                  <c:v>2486850</c:v>
                </c:pt>
                <c:pt idx="791">
                  <c:v>2325560</c:v>
                </c:pt>
                <c:pt idx="792">
                  <c:v>1980131</c:v>
                </c:pt>
                <c:pt idx="793">
                  <c:v>1973500</c:v>
                </c:pt>
                <c:pt idx="794">
                  <c:v>772050</c:v>
                </c:pt>
                <c:pt idx="795">
                  <c:v>1903784</c:v>
                </c:pt>
                <c:pt idx="796">
                  <c:v>1761320</c:v>
                </c:pt>
                <c:pt idx="797">
                  <c:v>1601950</c:v>
                </c:pt>
                <c:pt idx="798">
                  <c:v>1900788</c:v>
                </c:pt>
                <c:pt idx="799">
                  <c:v>1316530</c:v>
                </c:pt>
                <c:pt idx="800">
                  <c:v>886350</c:v>
                </c:pt>
                <c:pt idx="801">
                  <c:v>400425</c:v>
                </c:pt>
                <c:pt idx="802">
                  <c:v>129775</c:v>
                </c:pt>
                <c:pt idx="803">
                  <c:v>834700</c:v>
                </c:pt>
                <c:pt idx="804">
                  <c:v>992737</c:v>
                </c:pt>
                <c:pt idx="805">
                  <c:v>1675205</c:v>
                </c:pt>
                <c:pt idx="806">
                  <c:v>1496249</c:v>
                </c:pt>
                <c:pt idx="807">
                  <c:v>2036210</c:v>
                </c:pt>
                <c:pt idx="808">
                  <c:v>1214206</c:v>
                </c:pt>
                <c:pt idx="809">
                  <c:v>1451400</c:v>
                </c:pt>
                <c:pt idx="810">
                  <c:v>2511837</c:v>
                </c:pt>
                <c:pt idx="811">
                  <c:v>2457756</c:v>
                </c:pt>
                <c:pt idx="812">
                  <c:v>3394625</c:v>
                </c:pt>
                <c:pt idx="813">
                  <c:v>2455780</c:v>
                </c:pt>
                <c:pt idx="814">
                  <c:v>3706328</c:v>
                </c:pt>
                <c:pt idx="815">
                  <c:v>1475480</c:v>
                </c:pt>
                <c:pt idx="816">
                  <c:v>2281641</c:v>
                </c:pt>
                <c:pt idx="817">
                  <c:v>2228370</c:v>
                </c:pt>
                <c:pt idx="818">
                  <c:v>2384605</c:v>
                </c:pt>
                <c:pt idx="819">
                  <c:v>1638100</c:v>
                </c:pt>
                <c:pt idx="820">
                  <c:v>1794880</c:v>
                </c:pt>
                <c:pt idx="821">
                  <c:v>32213060</c:v>
                </c:pt>
                <c:pt idx="822">
                  <c:v>1317435</c:v>
                </c:pt>
                <c:pt idx="823">
                  <c:v>2101306</c:v>
                </c:pt>
                <c:pt idx="824">
                  <c:v>2357820</c:v>
                </c:pt>
                <c:pt idx="825">
                  <c:v>1688970</c:v>
                </c:pt>
                <c:pt idx="826">
                  <c:v>1602160</c:v>
                </c:pt>
                <c:pt idx="827">
                  <c:v>2331992</c:v>
                </c:pt>
                <c:pt idx="828">
                  <c:v>2314710</c:v>
                </c:pt>
                <c:pt idx="829">
                  <c:v>980000</c:v>
                </c:pt>
                <c:pt idx="830">
                  <c:v>2156560</c:v>
                </c:pt>
                <c:pt idx="831">
                  <c:v>1928317</c:v>
                </c:pt>
                <c:pt idx="832">
                  <c:v>2715330</c:v>
                </c:pt>
                <c:pt idx="833">
                  <c:v>3048820</c:v>
                </c:pt>
                <c:pt idx="834">
                  <c:v>2212045</c:v>
                </c:pt>
                <c:pt idx="835">
                  <c:v>2149880</c:v>
                </c:pt>
                <c:pt idx="836">
                  <c:v>1225910</c:v>
                </c:pt>
                <c:pt idx="837">
                  <c:v>2596570</c:v>
                </c:pt>
                <c:pt idx="838">
                  <c:v>2826045</c:v>
                </c:pt>
                <c:pt idx="839">
                  <c:v>2693933</c:v>
                </c:pt>
                <c:pt idx="840">
                  <c:v>3276177</c:v>
                </c:pt>
                <c:pt idx="841">
                  <c:v>2605542</c:v>
                </c:pt>
                <c:pt idx="842">
                  <c:v>2460010</c:v>
                </c:pt>
                <c:pt idx="843">
                  <c:v>968150</c:v>
                </c:pt>
                <c:pt idx="844">
                  <c:v>2808310</c:v>
                </c:pt>
                <c:pt idx="845">
                  <c:v>3462195</c:v>
                </c:pt>
                <c:pt idx="846">
                  <c:v>3217045</c:v>
                </c:pt>
                <c:pt idx="847">
                  <c:v>2691852</c:v>
                </c:pt>
                <c:pt idx="848">
                  <c:v>2460321</c:v>
                </c:pt>
                <c:pt idx="849">
                  <c:v>2402389</c:v>
                </c:pt>
                <c:pt idx="850">
                  <c:v>1221095</c:v>
                </c:pt>
                <c:pt idx="851">
                  <c:v>3221220</c:v>
                </c:pt>
                <c:pt idx="852">
                  <c:v>3358228</c:v>
                </c:pt>
                <c:pt idx="853">
                  <c:v>4226549</c:v>
                </c:pt>
                <c:pt idx="854">
                  <c:v>3243090</c:v>
                </c:pt>
                <c:pt idx="855">
                  <c:v>3791845</c:v>
                </c:pt>
                <c:pt idx="856">
                  <c:v>3215950</c:v>
                </c:pt>
                <c:pt idx="857">
                  <c:v>1109725</c:v>
                </c:pt>
                <c:pt idx="858">
                  <c:v>3620010</c:v>
                </c:pt>
                <c:pt idx="859">
                  <c:v>3501603</c:v>
                </c:pt>
                <c:pt idx="860">
                  <c:v>3064958</c:v>
                </c:pt>
                <c:pt idx="861">
                  <c:v>3506955</c:v>
                </c:pt>
                <c:pt idx="862">
                  <c:v>4053210</c:v>
                </c:pt>
                <c:pt idx="863">
                  <c:v>4177020</c:v>
                </c:pt>
                <c:pt idx="864">
                  <c:v>1547540</c:v>
                </c:pt>
                <c:pt idx="865">
                  <c:v>3026255</c:v>
                </c:pt>
                <c:pt idx="866">
                  <c:v>3695703</c:v>
                </c:pt>
                <c:pt idx="867">
                  <c:v>5386178</c:v>
                </c:pt>
                <c:pt idx="868">
                  <c:v>4977556</c:v>
                </c:pt>
                <c:pt idx="869">
                  <c:v>5498852</c:v>
                </c:pt>
                <c:pt idx="870">
                  <c:v>5591638</c:v>
                </c:pt>
                <c:pt idx="871">
                  <c:v>3039100</c:v>
                </c:pt>
                <c:pt idx="872">
                  <c:v>8986405</c:v>
                </c:pt>
                <c:pt idx="873">
                  <c:v>2077310</c:v>
                </c:pt>
                <c:pt idx="874">
                  <c:v>1545440</c:v>
                </c:pt>
                <c:pt idx="875">
                  <c:v>1410650</c:v>
                </c:pt>
                <c:pt idx="876">
                  <c:v>3279725</c:v>
                </c:pt>
                <c:pt idx="877">
                  <c:v>3686512</c:v>
                </c:pt>
                <c:pt idx="878">
                  <c:v>2787395</c:v>
                </c:pt>
                <c:pt idx="879">
                  <c:v>4422775</c:v>
                </c:pt>
                <c:pt idx="880">
                  <c:v>5207562</c:v>
                </c:pt>
                <c:pt idx="881">
                  <c:v>5772743</c:v>
                </c:pt>
                <c:pt idx="882">
                  <c:v>6355573</c:v>
                </c:pt>
                <c:pt idx="883">
                  <c:v>5792784</c:v>
                </c:pt>
                <c:pt idx="884">
                  <c:v>5891582</c:v>
                </c:pt>
                <c:pt idx="885">
                  <c:v>3146090</c:v>
                </c:pt>
                <c:pt idx="886">
                  <c:v>7186880</c:v>
                </c:pt>
                <c:pt idx="887">
                  <c:v>6503016</c:v>
                </c:pt>
                <c:pt idx="888">
                  <c:v>7539245</c:v>
                </c:pt>
                <c:pt idx="889">
                  <c:v>7330526</c:v>
                </c:pt>
                <c:pt idx="890">
                  <c:v>8076003</c:v>
                </c:pt>
                <c:pt idx="891">
                  <c:v>5139210</c:v>
                </c:pt>
                <c:pt idx="892">
                  <c:v>3544593</c:v>
                </c:pt>
                <c:pt idx="893">
                  <c:v>6497126</c:v>
                </c:pt>
                <c:pt idx="894">
                  <c:v>8315864</c:v>
                </c:pt>
                <c:pt idx="895">
                  <c:v>7223143</c:v>
                </c:pt>
                <c:pt idx="896">
                  <c:v>8040040</c:v>
                </c:pt>
                <c:pt idx="897">
                  <c:v>7183220</c:v>
                </c:pt>
                <c:pt idx="898">
                  <c:v>6752017</c:v>
                </c:pt>
                <c:pt idx="899">
                  <c:v>2393352</c:v>
                </c:pt>
                <c:pt idx="900">
                  <c:v>2614705</c:v>
                </c:pt>
                <c:pt idx="901">
                  <c:v>3191150</c:v>
                </c:pt>
                <c:pt idx="902">
                  <c:v>3002339</c:v>
                </c:pt>
                <c:pt idx="903">
                  <c:v>4477914</c:v>
                </c:pt>
                <c:pt idx="904">
                  <c:v>6683675</c:v>
                </c:pt>
                <c:pt idx="905">
                  <c:v>9968533</c:v>
                </c:pt>
                <c:pt idx="906">
                  <c:v>6263735</c:v>
                </c:pt>
                <c:pt idx="907">
                  <c:v>2986561</c:v>
                </c:pt>
                <c:pt idx="908">
                  <c:v>6457952</c:v>
                </c:pt>
                <c:pt idx="909">
                  <c:v>8544237</c:v>
                </c:pt>
                <c:pt idx="910">
                  <c:v>8585452</c:v>
                </c:pt>
                <c:pt idx="911">
                  <c:v>7449563</c:v>
                </c:pt>
                <c:pt idx="912">
                  <c:v>6021070</c:v>
                </c:pt>
                <c:pt idx="913">
                  <c:v>2412606</c:v>
                </c:pt>
                <c:pt idx="914">
                  <c:v>5705039</c:v>
                </c:pt>
                <c:pt idx="915">
                  <c:v>6853518</c:v>
                </c:pt>
                <c:pt idx="916">
                  <c:v>6288036</c:v>
                </c:pt>
                <c:pt idx="917">
                  <c:v>7135685</c:v>
                </c:pt>
                <c:pt idx="918">
                  <c:v>8964708</c:v>
                </c:pt>
                <c:pt idx="919">
                  <c:v>5233920</c:v>
                </c:pt>
                <c:pt idx="920">
                  <c:v>2586415</c:v>
                </c:pt>
                <c:pt idx="921">
                  <c:v>5687725</c:v>
                </c:pt>
                <c:pt idx="922">
                  <c:v>7666684</c:v>
                </c:pt>
                <c:pt idx="923">
                  <c:v>7801508</c:v>
                </c:pt>
                <c:pt idx="924">
                  <c:v>8672098</c:v>
                </c:pt>
                <c:pt idx="925">
                  <c:v>9283728</c:v>
                </c:pt>
                <c:pt idx="926">
                  <c:v>7390071</c:v>
                </c:pt>
                <c:pt idx="927">
                  <c:v>4111066</c:v>
                </c:pt>
                <c:pt idx="928">
                  <c:v>6607670</c:v>
                </c:pt>
                <c:pt idx="929">
                  <c:v>9548602</c:v>
                </c:pt>
                <c:pt idx="930">
                  <c:v>6875595</c:v>
                </c:pt>
                <c:pt idx="931">
                  <c:v>6036368</c:v>
                </c:pt>
                <c:pt idx="932">
                  <c:v>5797792</c:v>
                </c:pt>
                <c:pt idx="933">
                  <c:v>7063569</c:v>
                </c:pt>
                <c:pt idx="934">
                  <c:v>2826570</c:v>
                </c:pt>
                <c:pt idx="935">
                  <c:v>5350576</c:v>
                </c:pt>
                <c:pt idx="936">
                  <c:v>7509404</c:v>
                </c:pt>
                <c:pt idx="937">
                  <c:v>10063451</c:v>
                </c:pt>
                <c:pt idx="938">
                  <c:v>8684488</c:v>
                </c:pt>
                <c:pt idx="939">
                  <c:v>8786635</c:v>
                </c:pt>
                <c:pt idx="940">
                  <c:v>7295473</c:v>
                </c:pt>
                <c:pt idx="941">
                  <c:v>3624382</c:v>
                </c:pt>
                <c:pt idx="942">
                  <c:v>6922214</c:v>
                </c:pt>
                <c:pt idx="943">
                  <c:v>8246052</c:v>
                </c:pt>
                <c:pt idx="944">
                  <c:v>9161447</c:v>
                </c:pt>
                <c:pt idx="945">
                  <c:v>7723369</c:v>
                </c:pt>
                <c:pt idx="946">
                  <c:v>7650549</c:v>
                </c:pt>
                <c:pt idx="947">
                  <c:v>7561241</c:v>
                </c:pt>
                <c:pt idx="948">
                  <c:v>2149290</c:v>
                </c:pt>
                <c:pt idx="949">
                  <c:v>662690</c:v>
                </c:pt>
                <c:pt idx="950">
                  <c:v>4755351</c:v>
                </c:pt>
                <c:pt idx="951">
                  <c:v>9409100</c:v>
                </c:pt>
                <c:pt idx="952">
                  <c:v>9674870</c:v>
                </c:pt>
                <c:pt idx="953">
                  <c:v>8042255</c:v>
                </c:pt>
                <c:pt idx="954">
                  <c:v>7759562</c:v>
                </c:pt>
                <c:pt idx="955">
                  <c:v>4883243</c:v>
                </c:pt>
                <c:pt idx="956">
                  <c:v>5724113</c:v>
                </c:pt>
                <c:pt idx="957">
                  <c:v>1201950</c:v>
                </c:pt>
                <c:pt idx="958">
                  <c:v>4511703</c:v>
                </c:pt>
                <c:pt idx="959">
                  <c:v>6358035</c:v>
                </c:pt>
                <c:pt idx="960">
                  <c:v>6439164</c:v>
                </c:pt>
                <c:pt idx="961">
                  <c:v>7649806</c:v>
                </c:pt>
                <c:pt idx="962">
                  <c:v>2817015</c:v>
                </c:pt>
                <c:pt idx="963">
                  <c:v>5980590</c:v>
                </c:pt>
                <c:pt idx="964">
                  <c:v>6122436</c:v>
                </c:pt>
                <c:pt idx="965">
                  <c:v>5955973</c:v>
                </c:pt>
                <c:pt idx="966">
                  <c:v>7290407</c:v>
                </c:pt>
                <c:pt idx="967">
                  <c:v>5469314</c:v>
                </c:pt>
                <c:pt idx="968">
                  <c:v>5119070</c:v>
                </c:pt>
                <c:pt idx="969">
                  <c:v>3208865</c:v>
                </c:pt>
                <c:pt idx="970">
                  <c:v>5023163</c:v>
                </c:pt>
                <c:pt idx="971">
                  <c:v>6691779</c:v>
                </c:pt>
                <c:pt idx="972">
                  <c:v>6823345</c:v>
                </c:pt>
                <c:pt idx="973">
                  <c:v>4362854</c:v>
                </c:pt>
                <c:pt idx="974">
                  <c:v>5473805</c:v>
                </c:pt>
                <c:pt idx="975">
                  <c:v>1471930</c:v>
                </c:pt>
                <c:pt idx="976">
                  <c:v>3538390</c:v>
                </c:pt>
                <c:pt idx="977">
                  <c:v>6494403</c:v>
                </c:pt>
                <c:pt idx="978">
                  <c:v>9207352</c:v>
                </c:pt>
                <c:pt idx="979">
                  <c:v>9064632</c:v>
                </c:pt>
                <c:pt idx="980">
                  <c:v>7270918</c:v>
                </c:pt>
                <c:pt idx="981">
                  <c:v>6653846</c:v>
                </c:pt>
                <c:pt idx="982">
                  <c:v>4902741</c:v>
                </c:pt>
                <c:pt idx="983">
                  <c:v>3352871</c:v>
                </c:pt>
                <c:pt idx="984">
                  <c:v>7276299</c:v>
                </c:pt>
                <c:pt idx="985">
                  <c:v>11288710</c:v>
                </c:pt>
                <c:pt idx="986">
                  <c:v>7443031</c:v>
                </c:pt>
                <c:pt idx="987">
                  <c:v>3719665</c:v>
                </c:pt>
                <c:pt idx="988">
                  <c:v>5064920</c:v>
                </c:pt>
                <c:pt idx="989">
                  <c:v>7260885</c:v>
                </c:pt>
                <c:pt idx="990">
                  <c:v>4024006</c:v>
                </c:pt>
                <c:pt idx="991">
                  <c:v>7027257</c:v>
                </c:pt>
                <c:pt idx="992">
                  <c:v>10094898</c:v>
                </c:pt>
                <c:pt idx="993">
                  <c:v>9592125</c:v>
                </c:pt>
                <c:pt idx="994">
                  <c:v>6497019</c:v>
                </c:pt>
                <c:pt idx="995">
                  <c:v>7097818</c:v>
                </c:pt>
                <c:pt idx="996">
                  <c:v>6029091</c:v>
                </c:pt>
                <c:pt idx="997">
                  <c:v>4407576</c:v>
                </c:pt>
                <c:pt idx="998">
                  <c:v>7842523</c:v>
                </c:pt>
                <c:pt idx="999">
                  <c:v>8882042</c:v>
                </c:pt>
                <c:pt idx="1000">
                  <c:v>10088482</c:v>
                </c:pt>
                <c:pt idx="1001">
                  <c:v>5961409</c:v>
                </c:pt>
                <c:pt idx="1002">
                  <c:v>2723950</c:v>
                </c:pt>
                <c:pt idx="1003">
                  <c:v>825100</c:v>
                </c:pt>
                <c:pt idx="1004">
                  <c:v>1392850</c:v>
                </c:pt>
                <c:pt idx="1005">
                  <c:v>1599185</c:v>
                </c:pt>
                <c:pt idx="1006">
                  <c:v>4275678</c:v>
                </c:pt>
                <c:pt idx="1007">
                  <c:v>4502583</c:v>
                </c:pt>
                <c:pt idx="1008">
                  <c:v>2927542</c:v>
                </c:pt>
                <c:pt idx="1009">
                  <c:v>3932387</c:v>
                </c:pt>
                <c:pt idx="1010">
                  <c:v>7641841</c:v>
                </c:pt>
                <c:pt idx="1011">
                  <c:v>2842600</c:v>
                </c:pt>
                <c:pt idx="1012">
                  <c:v>6775517</c:v>
                </c:pt>
                <c:pt idx="1013">
                  <c:v>10327100</c:v>
                </c:pt>
                <c:pt idx="1014">
                  <c:v>10050661</c:v>
                </c:pt>
                <c:pt idx="1015">
                  <c:v>9378062</c:v>
                </c:pt>
                <c:pt idx="1016">
                  <c:v>11461213</c:v>
                </c:pt>
                <c:pt idx="1017">
                  <c:v>8787156</c:v>
                </c:pt>
                <c:pt idx="1018">
                  <c:v>4791135</c:v>
                </c:pt>
                <c:pt idx="1019">
                  <c:v>6744363</c:v>
                </c:pt>
                <c:pt idx="1020">
                  <c:v>5751516</c:v>
                </c:pt>
                <c:pt idx="1021">
                  <c:v>1622260</c:v>
                </c:pt>
                <c:pt idx="1022">
                  <c:v>255750</c:v>
                </c:pt>
                <c:pt idx="1023">
                  <c:v>189500</c:v>
                </c:pt>
                <c:pt idx="1024">
                  <c:v>360910</c:v>
                </c:pt>
                <c:pt idx="1025">
                  <c:v>725600</c:v>
                </c:pt>
                <c:pt idx="1026">
                  <c:v>4659594</c:v>
                </c:pt>
                <c:pt idx="1027">
                  <c:v>9801363</c:v>
                </c:pt>
                <c:pt idx="1028">
                  <c:v>9353312</c:v>
                </c:pt>
                <c:pt idx="1029">
                  <c:v>9293389</c:v>
                </c:pt>
                <c:pt idx="1030">
                  <c:v>9192342</c:v>
                </c:pt>
                <c:pt idx="1031">
                  <c:v>7131454</c:v>
                </c:pt>
                <c:pt idx="1032">
                  <c:v>5920144</c:v>
                </c:pt>
                <c:pt idx="1033">
                  <c:v>8468106</c:v>
                </c:pt>
                <c:pt idx="1034">
                  <c:v>8959601</c:v>
                </c:pt>
                <c:pt idx="1035">
                  <c:v>6893430</c:v>
                </c:pt>
                <c:pt idx="1036">
                  <c:v>8488874</c:v>
                </c:pt>
                <c:pt idx="1037">
                  <c:v>8754939</c:v>
                </c:pt>
                <c:pt idx="1038">
                  <c:v>4845354</c:v>
                </c:pt>
                <c:pt idx="1039">
                  <c:v>3176900</c:v>
                </c:pt>
                <c:pt idx="1040">
                  <c:v>6862792</c:v>
                </c:pt>
                <c:pt idx="1041">
                  <c:v>9653633</c:v>
                </c:pt>
                <c:pt idx="1042">
                  <c:v>9241434</c:v>
                </c:pt>
                <c:pt idx="1043">
                  <c:v>12101475</c:v>
                </c:pt>
                <c:pt idx="1044">
                  <c:v>8083229</c:v>
                </c:pt>
                <c:pt idx="1045">
                  <c:v>7512461</c:v>
                </c:pt>
                <c:pt idx="1046">
                  <c:v>4075925</c:v>
                </c:pt>
                <c:pt idx="1047">
                  <c:v>6178364</c:v>
                </c:pt>
                <c:pt idx="1048">
                  <c:v>6550113</c:v>
                </c:pt>
                <c:pt idx="1049">
                  <c:v>7218267</c:v>
                </c:pt>
                <c:pt idx="1050">
                  <c:v>7379516</c:v>
                </c:pt>
                <c:pt idx="1051">
                  <c:v>7298658</c:v>
                </c:pt>
                <c:pt idx="1052">
                  <c:v>6679045</c:v>
                </c:pt>
                <c:pt idx="1053">
                  <c:v>4227082</c:v>
                </c:pt>
                <c:pt idx="1054">
                  <c:v>4865102</c:v>
                </c:pt>
                <c:pt idx="1055">
                  <c:v>5701076</c:v>
                </c:pt>
                <c:pt idx="1056">
                  <c:v>5188439</c:v>
                </c:pt>
                <c:pt idx="1057">
                  <c:v>4908578</c:v>
                </c:pt>
                <c:pt idx="1058">
                  <c:v>4951629</c:v>
                </c:pt>
                <c:pt idx="1059">
                  <c:v>4717365</c:v>
                </c:pt>
                <c:pt idx="1060">
                  <c:v>4216305</c:v>
                </c:pt>
                <c:pt idx="1061">
                  <c:v>4770446</c:v>
                </c:pt>
                <c:pt idx="1062">
                  <c:v>7556847</c:v>
                </c:pt>
                <c:pt idx="1063">
                  <c:v>7686689</c:v>
                </c:pt>
                <c:pt idx="1064">
                  <c:v>5286092</c:v>
                </c:pt>
                <c:pt idx="1065">
                  <c:v>6505227</c:v>
                </c:pt>
                <c:pt idx="1066">
                  <c:v>4691025</c:v>
                </c:pt>
                <c:pt idx="1067">
                  <c:v>2643230</c:v>
                </c:pt>
                <c:pt idx="1068">
                  <c:v>5340534</c:v>
                </c:pt>
                <c:pt idx="1069">
                  <c:v>8949424</c:v>
                </c:pt>
                <c:pt idx="1070">
                  <c:v>15647228</c:v>
                </c:pt>
                <c:pt idx="1071">
                  <c:v>7726392</c:v>
                </c:pt>
                <c:pt idx="1072">
                  <c:v>7942401</c:v>
                </c:pt>
                <c:pt idx="1073">
                  <c:v>8728780</c:v>
                </c:pt>
                <c:pt idx="1074">
                  <c:v>3202332</c:v>
                </c:pt>
                <c:pt idx="1075">
                  <c:v>8565057</c:v>
                </c:pt>
                <c:pt idx="1076">
                  <c:v>8393915</c:v>
                </c:pt>
                <c:pt idx="1077">
                  <c:v>13918550</c:v>
                </c:pt>
                <c:pt idx="1078">
                  <c:v>7765873</c:v>
                </c:pt>
                <c:pt idx="1079">
                  <c:v>10739891</c:v>
                </c:pt>
                <c:pt idx="1080">
                  <c:v>8161701</c:v>
                </c:pt>
                <c:pt idx="1081">
                  <c:v>4037300</c:v>
                </c:pt>
                <c:pt idx="1082">
                  <c:v>3630125</c:v>
                </c:pt>
                <c:pt idx="1083">
                  <c:v>8587064</c:v>
                </c:pt>
                <c:pt idx="1084">
                  <c:v>17289851</c:v>
                </c:pt>
                <c:pt idx="1085">
                  <c:v>14633108</c:v>
                </c:pt>
                <c:pt idx="1086">
                  <c:v>10740653</c:v>
                </c:pt>
                <c:pt idx="1087">
                  <c:v>11066815</c:v>
                </c:pt>
                <c:pt idx="1088">
                  <c:v>4926910</c:v>
                </c:pt>
                <c:pt idx="1089">
                  <c:v>4273580</c:v>
                </c:pt>
                <c:pt idx="1090">
                  <c:v>8130129</c:v>
                </c:pt>
                <c:pt idx="1091">
                  <c:v>16890999</c:v>
                </c:pt>
                <c:pt idx="1092">
                  <c:v>13288496</c:v>
                </c:pt>
                <c:pt idx="1093">
                  <c:v>14126675</c:v>
                </c:pt>
                <c:pt idx="1094">
                  <c:v>7061602</c:v>
                </c:pt>
                <c:pt idx="1095">
                  <c:v>3120758</c:v>
                </c:pt>
                <c:pt idx="1096">
                  <c:v>3113675</c:v>
                </c:pt>
                <c:pt idx="1097">
                  <c:v>9708517</c:v>
                </c:pt>
                <c:pt idx="1098">
                  <c:v>17986211</c:v>
                </c:pt>
                <c:pt idx="1099">
                  <c:v>14312608</c:v>
                </c:pt>
                <c:pt idx="1100">
                  <c:v>15941153</c:v>
                </c:pt>
                <c:pt idx="1101">
                  <c:v>10267418</c:v>
                </c:pt>
                <c:pt idx="1102">
                  <c:v>10054693</c:v>
                </c:pt>
                <c:pt idx="1103">
                  <c:v>12919847</c:v>
                </c:pt>
                <c:pt idx="1104">
                  <c:v>15345142</c:v>
                </c:pt>
                <c:pt idx="1105">
                  <c:v>20326286</c:v>
                </c:pt>
                <c:pt idx="1106">
                  <c:v>15024307</c:v>
                </c:pt>
                <c:pt idx="1107">
                  <c:v>17562521</c:v>
                </c:pt>
                <c:pt idx="1108">
                  <c:v>14826926</c:v>
                </c:pt>
                <c:pt idx="1109">
                  <c:v>14952960</c:v>
                </c:pt>
                <c:pt idx="1110">
                  <c:v>16393255</c:v>
                </c:pt>
                <c:pt idx="1111">
                  <c:v>21753380</c:v>
                </c:pt>
                <c:pt idx="1112">
                  <c:v>22264071</c:v>
                </c:pt>
                <c:pt idx="1113">
                  <c:v>20113859</c:v>
                </c:pt>
                <c:pt idx="1114">
                  <c:v>20369895</c:v>
                </c:pt>
                <c:pt idx="1115">
                  <c:v>23635987</c:v>
                </c:pt>
                <c:pt idx="1116">
                  <c:v>15344307</c:v>
                </c:pt>
                <c:pt idx="1117">
                  <c:v>14244145</c:v>
                </c:pt>
                <c:pt idx="1118">
                  <c:v>13731273</c:v>
                </c:pt>
                <c:pt idx="1119">
                  <c:v>21848927</c:v>
                </c:pt>
                <c:pt idx="1120">
                  <c:v>14835201</c:v>
                </c:pt>
                <c:pt idx="1121">
                  <c:v>13670501</c:v>
                </c:pt>
                <c:pt idx="1122">
                  <c:v>10605250</c:v>
                </c:pt>
                <c:pt idx="1123">
                  <c:v>7885199</c:v>
                </c:pt>
                <c:pt idx="1124">
                  <c:v>9657778</c:v>
                </c:pt>
                <c:pt idx="1125">
                  <c:v>14765012</c:v>
                </c:pt>
                <c:pt idx="1126">
                  <c:v>16023164</c:v>
                </c:pt>
                <c:pt idx="1127">
                  <c:v>13088677</c:v>
                </c:pt>
                <c:pt idx="1128">
                  <c:v>15564707</c:v>
                </c:pt>
                <c:pt idx="1129">
                  <c:v>15554869</c:v>
                </c:pt>
                <c:pt idx="1130">
                  <c:v>6628773</c:v>
                </c:pt>
                <c:pt idx="1131">
                  <c:v>12864992</c:v>
                </c:pt>
                <c:pt idx="1132">
                  <c:v>14903785</c:v>
                </c:pt>
                <c:pt idx="1133">
                  <c:v>19883044</c:v>
                </c:pt>
                <c:pt idx="1134">
                  <c:v>14869492</c:v>
                </c:pt>
                <c:pt idx="1135">
                  <c:v>15372053</c:v>
                </c:pt>
                <c:pt idx="1136">
                  <c:v>11277108</c:v>
                </c:pt>
                <c:pt idx="1137">
                  <c:v>5056569</c:v>
                </c:pt>
                <c:pt idx="1138">
                  <c:v>10623703</c:v>
                </c:pt>
                <c:pt idx="1139">
                  <c:v>12454671</c:v>
                </c:pt>
                <c:pt idx="1140">
                  <c:v>9813519</c:v>
                </c:pt>
                <c:pt idx="1141">
                  <c:v>17880977</c:v>
                </c:pt>
                <c:pt idx="1142">
                  <c:v>13776898</c:v>
                </c:pt>
                <c:pt idx="1143">
                  <c:v>11003840</c:v>
                </c:pt>
                <c:pt idx="1144">
                  <c:v>8921252</c:v>
                </c:pt>
                <c:pt idx="1145">
                  <c:v>8011192</c:v>
                </c:pt>
                <c:pt idx="1146">
                  <c:v>13112495</c:v>
                </c:pt>
                <c:pt idx="1147">
                  <c:v>24953073</c:v>
                </c:pt>
                <c:pt idx="1148">
                  <c:v>13253086</c:v>
                </c:pt>
                <c:pt idx="1149">
                  <c:v>14551421</c:v>
                </c:pt>
                <c:pt idx="1150">
                  <c:v>14337929</c:v>
                </c:pt>
                <c:pt idx="1151">
                  <c:v>12578651</c:v>
                </c:pt>
                <c:pt idx="1152">
                  <c:v>18773101</c:v>
                </c:pt>
                <c:pt idx="1153">
                  <c:v>15011841</c:v>
                </c:pt>
                <c:pt idx="1154">
                  <c:v>15297068</c:v>
                </c:pt>
                <c:pt idx="1155">
                  <c:v>6382344</c:v>
                </c:pt>
                <c:pt idx="1156">
                  <c:v>1521550</c:v>
                </c:pt>
                <c:pt idx="1157">
                  <c:v>3481113</c:v>
                </c:pt>
                <c:pt idx="1158">
                  <c:v>3609150</c:v>
                </c:pt>
                <c:pt idx="1159">
                  <c:v>8264821</c:v>
                </c:pt>
                <c:pt idx="1160">
                  <c:v>18298254</c:v>
                </c:pt>
                <c:pt idx="1161">
                  <c:v>20033345</c:v>
                </c:pt>
                <c:pt idx="1162">
                  <c:v>15964082</c:v>
                </c:pt>
                <c:pt idx="1163">
                  <c:v>16640686</c:v>
                </c:pt>
                <c:pt idx="1164">
                  <c:v>12418374</c:v>
                </c:pt>
                <c:pt idx="1165">
                  <c:v>10583883</c:v>
                </c:pt>
                <c:pt idx="1166">
                  <c:v>14308696</c:v>
                </c:pt>
                <c:pt idx="1167">
                  <c:v>18326481</c:v>
                </c:pt>
                <c:pt idx="1168">
                  <c:v>26820348</c:v>
                </c:pt>
                <c:pt idx="1169">
                  <c:v>18137091</c:v>
                </c:pt>
                <c:pt idx="1170">
                  <c:v>19598848</c:v>
                </c:pt>
                <c:pt idx="1171">
                  <c:v>16510009</c:v>
                </c:pt>
                <c:pt idx="1172">
                  <c:v>8019570</c:v>
                </c:pt>
                <c:pt idx="1173">
                  <c:v>14030403</c:v>
                </c:pt>
                <c:pt idx="1174">
                  <c:v>20650923</c:v>
                </c:pt>
                <c:pt idx="1175">
                  <c:v>23064612</c:v>
                </c:pt>
                <c:pt idx="1176">
                  <c:v>13916837</c:v>
                </c:pt>
                <c:pt idx="1177">
                  <c:v>11867424</c:v>
                </c:pt>
                <c:pt idx="1178">
                  <c:v>16708582</c:v>
                </c:pt>
                <c:pt idx="1179">
                  <c:v>10259220</c:v>
                </c:pt>
                <c:pt idx="1180">
                  <c:v>15206561</c:v>
                </c:pt>
                <c:pt idx="1181">
                  <c:v>20226609</c:v>
                </c:pt>
                <c:pt idx="1182">
                  <c:v>22329272</c:v>
                </c:pt>
                <c:pt idx="1183">
                  <c:v>12467475</c:v>
                </c:pt>
                <c:pt idx="1184">
                  <c:v>11937283</c:v>
                </c:pt>
                <c:pt idx="1185">
                  <c:v>7915372</c:v>
                </c:pt>
                <c:pt idx="1186">
                  <c:v>5227140</c:v>
                </c:pt>
                <c:pt idx="1187">
                  <c:v>8871502</c:v>
                </c:pt>
                <c:pt idx="1188">
                  <c:v>11976646</c:v>
                </c:pt>
                <c:pt idx="1189">
                  <c:v>20272435</c:v>
                </c:pt>
                <c:pt idx="1190">
                  <c:v>13341184</c:v>
                </c:pt>
                <c:pt idx="1191">
                  <c:v>14785760</c:v>
                </c:pt>
                <c:pt idx="1192">
                  <c:v>12977145</c:v>
                </c:pt>
                <c:pt idx="1193">
                  <c:v>6073930</c:v>
                </c:pt>
                <c:pt idx="1194">
                  <c:v>14013595</c:v>
                </c:pt>
                <c:pt idx="1195">
                  <c:v>12683140</c:v>
                </c:pt>
                <c:pt idx="1196">
                  <c:v>19740512</c:v>
                </c:pt>
                <c:pt idx="1197">
                  <c:v>15186469</c:v>
                </c:pt>
                <c:pt idx="1198">
                  <c:v>13287559</c:v>
                </c:pt>
                <c:pt idx="1199">
                  <c:v>14054858</c:v>
                </c:pt>
                <c:pt idx="1200">
                  <c:v>5723846</c:v>
                </c:pt>
                <c:pt idx="1201">
                  <c:v>16474810</c:v>
                </c:pt>
                <c:pt idx="1202">
                  <c:v>17840693</c:v>
                </c:pt>
                <c:pt idx="1203">
                  <c:v>24720141</c:v>
                </c:pt>
                <c:pt idx="1204">
                  <c:v>13985501</c:v>
                </c:pt>
                <c:pt idx="1205">
                  <c:v>13270756</c:v>
                </c:pt>
                <c:pt idx="1206">
                  <c:v>10525996</c:v>
                </c:pt>
                <c:pt idx="1207">
                  <c:v>8969098</c:v>
                </c:pt>
                <c:pt idx="1208">
                  <c:v>7885261</c:v>
                </c:pt>
                <c:pt idx="1209">
                  <c:v>13292119</c:v>
                </c:pt>
                <c:pt idx="1210">
                  <c:v>14880775</c:v>
                </c:pt>
                <c:pt idx="1211">
                  <c:v>10279541</c:v>
                </c:pt>
                <c:pt idx="1212">
                  <c:v>10722011</c:v>
                </c:pt>
                <c:pt idx="1213">
                  <c:v>14137216</c:v>
                </c:pt>
                <c:pt idx="1214">
                  <c:v>9527280</c:v>
                </c:pt>
                <c:pt idx="1215">
                  <c:v>8245613</c:v>
                </c:pt>
                <c:pt idx="1216">
                  <c:v>13398849</c:v>
                </c:pt>
                <c:pt idx="1217">
                  <c:v>21516590</c:v>
                </c:pt>
                <c:pt idx="1218">
                  <c:v>18361179</c:v>
                </c:pt>
                <c:pt idx="1219">
                  <c:v>20591318</c:v>
                </c:pt>
                <c:pt idx="1220">
                  <c:v>17535733</c:v>
                </c:pt>
                <c:pt idx="1221">
                  <c:v>5002710</c:v>
                </c:pt>
                <c:pt idx="1222">
                  <c:v>14947155</c:v>
                </c:pt>
                <c:pt idx="1223">
                  <c:v>21121693</c:v>
                </c:pt>
                <c:pt idx="1224">
                  <c:v>27082107</c:v>
                </c:pt>
                <c:pt idx="1225">
                  <c:v>19183147</c:v>
                </c:pt>
                <c:pt idx="1226">
                  <c:v>16702615</c:v>
                </c:pt>
                <c:pt idx="1227">
                  <c:v>13563780</c:v>
                </c:pt>
                <c:pt idx="1228">
                  <c:v>4629850</c:v>
                </c:pt>
                <c:pt idx="1229">
                  <c:v>15036181</c:v>
                </c:pt>
                <c:pt idx="1230">
                  <c:v>23396687</c:v>
                </c:pt>
                <c:pt idx="1231">
                  <c:v>22836294</c:v>
                </c:pt>
                <c:pt idx="1232">
                  <c:v>20163557</c:v>
                </c:pt>
                <c:pt idx="1233">
                  <c:v>22896882</c:v>
                </c:pt>
                <c:pt idx="1234">
                  <c:v>17443137</c:v>
                </c:pt>
                <c:pt idx="1235">
                  <c:v>10157027</c:v>
                </c:pt>
                <c:pt idx="1236">
                  <c:v>15895524</c:v>
                </c:pt>
                <c:pt idx="1237">
                  <c:v>20940753</c:v>
                </c:pt>
                <c:pt idx="1238">
                  <c:v>25191140</c:v>
                </c:pt>
                <c:pt idx="1239">
                  <c:v>17154433</c:v>
                </c:pt>
                <c:pt idx="1240">
                  <c:v>17179627</c:v>
                </c:pt>
                <c:pt idx="1241">
                  <c:v>12045931</c:v>
                </c:pt>
                <c:pt idx="1242">
                  <c:v>8324203</c:v>
                </c:pt>
                <c:pt idx="1243">
                  <c:v>13419333</c:v>
                </c:pt>
                <c:pt idx="1244">
                  <c:v>21805535</c:v>
                </c:pt>
                <c:pt idx="1245">
                  <c:v>25191545</c:v>
                </c:pt>
                <c:pt idx="1246">
                  <c:v>16735792</c:v>
                </c:pt>
                <c:pt idx="1247">
                  <c:v>17086295</c:v>
                </c:pt>
                <c:pt idx="1248">
                  <c:v>17356476</c:v>
                </c:pt>
                <c:pt idx="1249">
                  <c:v>15142331</c:v>
                </c:pt>
                <c:pt idx="1250">
                  <c:v>14937685</c:v>
                </c:pt>
                <c:pt idx="1251">
                  <c:v>23324304</c:v>
                </c:pt>
                <c:pt idx="1252">
                  <c:v>32089583</c:v>
                </c:pt>
                <c:pt idx="1253">
                  <c:v>26655545</c:v>
                </c:pt>
                <c:pt idx="1254">
                  <c:v>24645165</c:v>
                </c:pt>
                <c:pt idx="1255">
                  <c:v>21304145</c:v>
                </c:pt>
                <c:pt idx="1256">
                  <c:v>9043806</c:v>
                </c:pt>
                <c:pt idx="1257">
                  <c:v>22413873</c:v>
                </c:pt>
                <c:pt idx="1258">
                  <c:v>31575088</c:v>
                </c:pt>
                <c:pt idx="1259">
                  <c:v>35527296</c:v>
                </c:pt>
                <c:pt idx="1260">
                  <c:v>32190253</c:v>
                </c:pt>
                <c:pt idx="1261">
                  <c:v>21891620</c:v>
                </c:pt>
                <c:pt idx="1262">
                  <c:v>9056497</c:v>
                </c:pt>
                <c:pt idx="1263">
                  <c:v>9867825</c:v>
                </c:pt>
                <c:pt idx="1264">
                  <c:v>16386300</c:v>
                </c:pt>
                <c:pt idx="1265">
                  <c:v>28785855</c:v>
                </c:pt>
                <c:pt idx="1266">
                  <c:v>29143619</c:v>
                </c:pt>
                <c:pt idx="1267">
                  <c:v>28568940</c:v>
                </c:pt>
                <c:pt idx="1268">
                  <c:v>35661999</c:v>
                </c:pt>
                <c:pt idx="1269">
                  <c:v>23342238</c:v>
                </c:pt>
                <c:pt idx="1270">
                  <c:v>12220835</c:v>
                </c:pt>
                <c:pt idx="1271">
                  <c:v>25975758</c:v>
                </c:pt>
                <c:pt idx="1272">
                  <c:v>54104069</c:v>
                </c:pt>
                <c:pt idx="1273">
                  <c:v>62599214</c:v>
                </c:pt>
                <c:pt idx="1274">
                  <c:v>40344730</c:v>
                </c:pt>
                <c:pt idx="1275">
                  <c:v>52897621</c:v>
                </c:pt>
                <c:pt idx="1276">
                  <c:v>32819021</c:v>
                </c:pt>
                <c:pt idx="1277">
                  <c:v>14635051</c:v>
                </c:pt>
                <c:pt idx="1278">
                  <c:v>33149120</c:v>
                </c:pt>
                <c:pt idx="1279">
                  <c:v>31313803</c:v>
                </c:pt>
                <c:pt idx="1280">
                  <c:v>38121757</c:v>
                </c:pt>
                <c:pt idx="1281">
                  <c:v>32553230</c:v>
                </c:pt>
                <c:pt idx="1282">
                  <c:v>31703953</c:v>
                </c:pt>
                <c:pt idx="1283">
                  <c:v>33127671</c:v>
                </c:pt>
                <c:pt idx="1284">
                  <c:v>13756437</c:v>
                </c:pt>
                <c:pt idx="1285">
                  <c:v>27362409</c:v>
                </c:pt>
                <c:pt idx="1286">
                  <c:v>40979920</c:v>
                </c:pt>
                <c:pt idx="1287">
                  <c:v>43493186</c:v>
                </c:pt>
                <c:pt idx="1288">
                  <c:v>31185237</c:v>
                </c:pt>
                <c:pt idx="1289">
                  <c:v>33717427</c:v>
                </c:pt>
                <c:pt idx="1290">
                  <c:v>13829501</c:v>
                </c:pt>
                <c:pt idx="1291">
                  <c:v>10206582</c:v>
                </c:pt>
                <c:pt idx="1292">
                  <c:v>27367264</c:v>
                </c:pt>
                <c:pt idx="1293">
                  <c:v>31405626</c:v>
                </c:pt>
                <c:pt idx="1294">
                  <c:v>34889168</c:v>
                </c:pt>
                <c:pt idx="1295">
                  <c:v>32140872</c:v>
                </c:pt>
                <c:pt idx="1296">
                  <c:v>34993396</c:v>
                </c:pt>
                <c:pt idx="1297">
                  <c:v>20938222</c:v>
                </c:pt>
                <c:pt idx="1298">
                  <c:v>9409910</c:v>
                </c:pt>
                <c:pt idx="1299">
                  <c:v>21358063</c:v>
                </c:pt>
                <c:pt idx="1300">
                  <c:v>30673152</c:v>
                </c:pt>
                <c:pt idx="1301">
                  <c:v>39912757</c:v>
                </c:pt>
                <c:pt idx="1302">
                  <c:v>26260380</c:v>
                </c:pt>
                <c:pt idx="1303">
                  <c:v>27715123</c:v>
                </c:pt>
                <c:pt idx="1304">
                  <c:v>21320343</c:v>
                </c:pt>
                <c:pt idx="1305">
                  <c:v>19473800</c:v>
                </c:pt>
                <c:pt idx="1306">
                  <c:v>28584539</c:v>
                </c:pt>
                <c:pt idx="1307">
                  <c:v>34520564</c:v>
                </c:pt>
                <c:pt idx="1308">
                  <c:v>41234724</c:v>
                </c:pt>
                <c:pt idx="1309">
                  <c:v>34169085</c:v>
                </c:pt>
                <c:pt idx="1310">
                  <c:v>32530478</c:v>
                </c:pt>
                <c:pt idx="1311">
                  <c:v>31022579</c:v>
                </c:pt>
                <c:pt idx="1312">
                  <c:v>16399869</c:v>
                </c:pt>
                <c:pt idx="1313">
                  <c:v>24817550</c:v>
                </c:pt>
                <c:pt idx="1314">
                  <c:v>27622467</c:v>
                </c:pt>
                <c:pt idx="1315">
                  <c:v>37703978</c:v>
                </c:pt>
                <c:pt idx="1316">
                  <c:v>31019640</c:v>
                </c:pt>
                <c:pt idx="1317">
                  <c:v>27416270</c:v>
                </c:pt>
                <c:pt idx="1318">
                  <c:v>26076119</c:v>
                </c:pt>
                <c:pt idx="1319">
                  <c:v>15398901</c:v>
                </c:pt>
                <c:pt idx="1320">
                  <c:v>20057381</c:v>
                </c:pt>
                <c:pt idx="1321">
                  <c:v>26817202</c:v>
                </c:pt>
                <c:pt idx="1322">
                  <c:v>12328288</c:v>
                </c:pt>
                <c:pt idx="1323">
                  <c:v>28348972</c:v>
                </c:pt>
                <c:pt idx="1324">
                  <c:v>24933215</c:v>
                </c:pt>
                <c:pt idx="1325">
                  <c:v>29736867</c:v>
                </c:pt>
                <c:pt idx="1326">
                  <c:v>17847142</c:v>
                </c:pt>
                <c:pt idx="1327">
                  <c:v>24910565</c:v>
                </c:pt>
                <c:pt idx="1328">
                  <c:v>32872357</c:v>
                </c:pt>
                <c:pt idx="1329">
                  <c:v>22691501</c:v>
                </c:pt>
                <c:pt idx="1330">
                  <c:v>29226825</c:v>
                </c:pt>
                <c:pt idx="1331">
                  <c:v>30002006</c:v>
                </c:pt>
                <c:pt idx="1332">
                  <c:v>24320066</c:v>
                </c:pt>
                <c:pt idx="1333">
                  <c:v>8966027</c:v>
                </c:pt>
                <c:pt idx="1334">
                  <c:v>18132628</c:v>
                </c:pt>
                <c:pt idx="1335">
                  <c:v>27582967</c:v>
                </c:pt>
                <c:pt idx="1336">
                  <c:v>37069354</c:v>
                </c:pt>
                <c:pt idx="1337">
                  <c:v>39415647</c:v>
                </c:pt>
                <c:pt idx="1338">
                  <c:v>28337512</c:v>
                </c:pt>
                <c:pt idx="1339">
                  <c:v>28494675</c:v>
                </c:pt>
                <c:pt idx="1340">
                  <c:v>23916536</c:v>
                </c:pt>
                <c:pt idx="1341">
                  <c:v>18484509</c:v>
                </c:pt>
                <c:pt idx="1342">
                  <c:v>22524722</c:v>
                </c:pt>
                <c:pt idx="1343">
                  <c:v>32758292</c:v>
                </c:pt>
                <c:pt idx="1344">
                  <c:v>31302298</c:v>
                </c:pt>
                <c:pt idx="1345">
                  <c:v>36155998</c:v>
                </c:pt>
                <c:pt idx="1346">
                  <c:v>25419577</c:v>
                </c:pt>
                <c:pt idx="1347">
                  <c:v>15770255</c:v>
                </c:pt>
                <c:pt idx="1348">
                  <c:v>23292395</c:v>
                </c:pt>
                <c:pt idx="1349">
                  <c:v>35839131</c:v>
                </c:pt>
                <c:pt idx="1350">
                  <c:v>37917119</c:v>
                </c:pt>
                <c:pt idx="1351">
                  <c:v>32478171</c:v>
                </c:pt>
                <c:pt idx="1352">
                  <c:v>35022272</c:v>
                </c:pt>
                <c:pt idx="1353">
                  <c:v>28299048</c:v>
                </c:pt>
                <c:pt idx="1354">
                  <c:v>20884002</c:v>
                </c:pt>
                <c:pt idx="1355">
                  <c:v>22505714</c:v>
                </c:pt>
                <c:pt idx="1356">
                  <c:v>30676535</c:v>
                </c:pt>
                <c:pt idx="1357">
                  <c:v>41202864</c:v>
                </c:pt>
                <c:pt idx="1358">
                  <c:v>30354880</c:v>
                </c:pt>
                <c:pt idx="1359">
                  <c:v>24188591</c:v>
                </c:pt>
                <c:pt idx="1360">
                  <c:v>29049628</c:v>
                </c:pt>
                <c:pt idx="1361">
                  <c:v>15562613</c:v>
                </c:pt>
                <c:pt idx="1362">
                  <c:v>20575058</c:v>
                </c:pt>
                <c:pt idx="1363">
                  <c:v>28822177</c:v>
                </c:pt>
                <c:pt idx="1364">
                  <c:v>39363447</c:v>
                </c:pt>
                <c:pt idx="1365">
                  <c:v>29865682</c:v>
                </c:pt>
                <c:pt idx="1366">
                  <c:v>32744640</c:v>
                </c:pt>
                <c:pt idx="1367">
                  <c:v>37243244</c:v>
                </c:pt>
                <c:pt idx="1368">
                  <c:v>22146437</c:v>
                </c:pt>
                <c:pt idx="1369">
                  <c:v>36426313</c:v>
                </c:pt>
                <c:pt idx="1370">
                  <c:v>29153602</c:v>
                </c:pt>
                <c:pt idx="1371">
                  <c:v>35423220</c:v>
                </c:pt>
                <c:pt idx="1372">
                  <c:v>37006625</c:v>
                </c:pt>
                <c:pt idx="1373">
                  <c:v>47776188</c:v>
                </c:pt>
                <c:pt idx="1374">
                  <c:v>37689056</c:v>
                </c:pt>
                <c:pt idx="1375">
                  <c:v>22003009</c:v>
                </c:pt>
                <c:pt idx="1376">
                  <c:v>25404385</c:v>
                </c:pt>
                <c:pt idx="1377">
                  <c:v>30198410</c:v>
                </c:pt>
                <c:pt idx="1378">
                  <c:v>35714659</c:v>
                </c:pt>
                <c:pt idx="1379">
                  <c:v>30803023</c:v>
                </c:pt>
                <c:pt idx="1380">
                  <c:v>33237582</c:v>
                </c:pt>
                <c:pt idx="1381">
                  <c:v>28483039</c:v>
                </c:pt>
                <c:pt idx="1382">
                  <c:v>20162974</c:v>
                </c:pt>
                <c:pt idx="1383">
                  <c:v>25237540</c:v>
                </c:pt>
                <c:pt idx="1384">
                  <c:v>31676883</c:v>
                </c:pt>
                <c:pt idx="1385">
                  <c:v>37061484</c:v>
                </c:pt>
                <c:pt idx="1386">
                  <c:v>22686699</c:v>
                </c:pt>
                <c:pt idx="1387">
                  <c:v>14555559</c:v>
                </c:pt>
                <c:pt idx="1388">
                  <c:v>18036254</c:v>
                </c:pt>
                <c:pt idx="1389">
                  <c:v>16609271</c:v>
                </c:pt>
                <c:pt idx="1390">
                  <c:v>24698554</c:v>
                </c:pt>
                <c:pt idx="1391">
                  <c:v>34035541</c:v>
                </c:pt>
                <c:pt idx="1392">
                  <c:v>41062304</c:v>
                </c:pt>
                <c:pt idx="1393">
                  <c:v>27451072</c:v>
                </c:pt>
                <c:pt idx="1394">
                  <c:v>177937239</c:v>
                </c:pt>
                <c:pt idx="1395">
                  <c:v>25761025</c:v>
                </c:pt>
                <c:pt idx="1396">
                  <c:v>15439545</c:v>
                </c:pt>
                <c:pt idx="1397">
                  <c:v>27214993</c:v>
                </c:pt>
                <c:pt idx="1398">
                  <c:v>33612538</c:v>
                </c:pt>
                <c:pt idx="1399">
                  <c:v>40977546</c:v>
                </c:pt>
                <c:pt idx="1400">
                  <c:v>48403379</c:v>
                </c:pt>
                <c:pt idx="1401">
                  <c:v>41242456</c:v>
                </c:pt>
                <c:pt idx="1402">
                  <c:v>42810946</c:v>
                </c:pt>
                <c:pt idx="1403">
                  <c:v>24422787</c:v>
                </c:pt>
                <c:pt idx="1404">
                  <c:v>24596176</c:v>
                </c:pt>
                <c:pt idx="1405">
                  <c:v>16050911</c:v>
                </c:pt>
                <c:pt idx="1406">
                  <c:v>7420100</c:v>
                </c:pt>
                <c:pt idx="1407">
                  <c:v>10806910</c:v>
                </c:pt>
                <c:pt idx="1408">
                  <c:v>12327869</c:v>
                </c:pt>
                <c:pt idx="1409">
                  <c:v>16520719</c:v>
                </c:pt>
                <c:pt idx="1410">
                  <c:v>17878498</c:v>
                </c:pt>
                <c:pt idx="1411">
                  <c:v>31873858</c:v>
                </c:pt>
                <c:pt idx="1412">
                  <c:v>35751622</c:v>
                </c:pt>
                <c:pt idx="1413">
                  <c:v>40449249</c:v>
                </c:pt>
                <c:pt idx="1414">
                  <c:v>34925330</c:v>
                </c:pt>
                <c:pt idx="1415">
                  <c:v>37094315</c:v>
                </c:pt>
                <c:pt idx="1416">
                  <c:v>34454773</c:v>
                </c:pt>
                <c:pt idx="1417">
                  <c:v>19444090</c:v>
                </c:pt>
                <c:pt idx="1418">
                  <c:v>30566574</c:v>
                </c:pt>
                <c:pt idx="1419">
                  <c:v>40429093</c:v>
                </c:pt>
                <c:pt idx="1420">
                  <c:v>37573683</c:v>
                </c:pt>
                <c:pt idx="1421">
                  <c:v>37505925</c:v>
                </c:pt>
                <c:pt idx="1422">
                  <c:v>34095702</c:v>
                </c:pt>
                <c:pt idx="1423">
                  <c:v>25608501</c:v>
                </c:pt>
                <c:pt idx="1424">
                  <c:v>17827426</c:v>
                </c:pt>
                <c:pt idx="1425">
                  <c:v>32337697</c:v>
                </c:pt>
                <c:pt idx="1426">
                  <c:v>38675118</c:v>
                </c:pt>
                <c:pt idx="1427">
                  <c:v>36935923</c:v>
                </c:pt>
                <c:pt idx="1428">
                  <c:v>41074355</c:v>
                </c:pt>
                <c:pt idx="1429">
                  <c:v>52156255</c:v>
                </c:pt>
                <c:pt idx="1430">
                  <c:v>61886379</c:v>
                </c:pt>
                <c:pt idx="1431">
                  <c:v>29743482</c:v>
                </c:pt>
                <c:pt idx="1432">
                  <c:v>32761073</c:v>
                </c:pt>
                <c:pt idx="1433">
                  <c:v>41788952</c:v>
                </c:pt>
                <c:pt idx="1434">
                  <c:v>40691929</c:v>
                </c:pt>
                <c:pt idx="1435">
                  <c:v>39556621</c:v>
                </c:pt>
                <c:pt idx="1436">
                  <c:v>35523662</c:v>
                </c:pt>
                <c:pt idx="1437">
                  <c:v>30201676</c:v>
                </c:pt>
                <c:pt idx="1438">
                  <c:v>20365177</c:v>
                </c:pt>
                <c:pt idx="1439">
                  <c:v>26267164</c:v>
                </c:pt>
                <c:pt idx="1440">
                  <c:v>39689879</c:v>
                </c:pt>
                <c:pt idx="1441">
                  <c:v>45006967</c:v>
                </c:pt>
                <c:pt idx="1442">
                  <c:v>37881997</c:v>
                </c:pt>
                <c:pt idx="1443">
                  <c:v>41159490</c:v>
                </c:pt>
                <c:pt idx="1444">
                  <c:v>35807263</c:v>
                </c:pt>
                <c:pt idx="1445">
                  <c:v>25471577</c:v>
                </c:pt>
                <c:pt idx="1446">
                  <c:v>32017692</c:v>
                </c:pt>
                <c:pt idx="1447">
                  <c:v>34938606</c:v>
                </c:pt>
                <c:pt idx="1448">
                  <c:v>40581563</c:v>
                </c:pt>
                <c:pt idx="1449">
                  <c:v>43768151</c:v>
                </c:pt>
                <c:pt idx="1450">
                  <c:v>82475404</c:v>
                </c:pt>
                <c:pt idx="1451">
                  <c:v>36120594</c:v>
                </c:pt>
                <c:pt idx="1452">
                  <c:v>24418300</c:v>
                </c:pt>
                <c:pt idx="1453">
                  <c:v>33595544</c:v>
                </c:pt>
                <c:pt idx="1454">
                  <c:v>33375587</c:v>
                </c:pt>
                <c:pt idx="1455">
                  <c:v>38802041</c:v>
                </c:pt>
                <c:pt idx="1456">
                  <c:v>38629210</c:v>
                </c:pt>
                <c:pt idx="1457">
                  <c:v>36158314</c:v>
                </c:pt>
                <c:pt idx="1458">
                  <c:v>33847149</c:v>
                </c:pt>
                <c:pt idx="1459">
                  <c:v>24999798</c:v>
                </c:pt>
                <c:pt idx="1460">
                  <c:v>30509868</c:v>
                </c:pt>
                <c:pt idx="1461">
                  <c:v>32823370</c:v>
                </c:pt>
                <c:pt idx="1462">
                  <c:v>42310353</c:v>
                </c:pt>
                <c:pt idx="1463">
                  <c:v>40507979</c:v>
                </c:pt>
                <c:pt idx="1464">
                  <c:v>42393951</c:v>
                </c:pt>
                <c:pt idx="1465">
                  <c:v>38757625</c:v>
                </c:pt>
                <c:pt idx="1466">
                  <c:v>23336591</c:v>
                </c:pt>
                <c:pt idx="1467">
                  <c:v>41322326</c:v>
                </c:pt>
                <c:pt idx="1468">
                  <c:v>43466915</c:v>
                </c:pt>
                <c:pt idx="1469">
                  <c:v>42672342</c:v>
                </c:pt>
                <c:pt idx="1470">
                  <c:v>46640733</c:v>
                </c:pt>
                <c:pt idx="1471">
                  <c:v>154377750</c:v>
                </c:pt>
                <c:pt idx="1472">
                  <c:v>36753410</c:v>
                </c:pt>
                <c:pt idx="1473">
                  <c:v>21342077</c:v>
                </c:pt>
                <c:pt idx="1474">
                  <c:v>27654049</c:v>
                </c:pt>
                <c:pt idx="1475">
                  <c:v>37208539</c:v>
                </c:pt>
                <c:pt idx="1476">
                  <c:v>43897476</c:v>
                </c:pt>
                <c:pt idx="1477">
                  <c:v>44370065</c:v>
                </c:pt>
                <c:pt idx="1478">
                  <c:v>40023185</c:v>
                </c:pt>
                <c:pt idx="1479">
                  <c:v>38835748</c:v>
                </c:pt>
                <c:pt idx="1480">
                  <c:v>25632412</c:v>
                </c:pt>
                <c:pt idx="1481">
                  <c:v>31314988</c:v>
                </c:pt>
                <c:pt idx="1482">
                  <c:v>39688800</c:v>
                </c:pt>
                <c:pt idx="1483">
                  <c:v>49037649</c:v>
                </c:pt>
                <c:pt idx="1484">
                  <c:v>40183094</c:v>
                </c:pt>
                <c:pt idx="1485">
                  <c:v>40953976</c:v>
                </c:pt>
                <c:pt idx="1486">
                  <c:v>16266118</c:v>
                </c:pt>
                <c:pt idx="1487">
                  <c:v>17720261</c:v>
                </c:pt>
                <c:pt idx="1488">
                  <c:v>35330261</c:v>
                </c:pt>
                <c:pt idx="1489">
                  <c:v>46344941</c:v>
                </c:pt>
                <c:pt idx="1490">
                  <c:v>52755694</c:v>
                </c:pt>
                <c:pt idx="1491">
                  <c:v>46240958</c:v>
                </c:pt>
                <c:pt idx="1492">
                  <c:v>53270678</c:v>
                </c:pt>
                <c:pt idx="1493">
                  <c:v>45562993</c:v>
                </c:pt>
                <c:pt idx="1494">
                  <c:v>25910296</c:v>
                </c:pt>
                <c:pt idx="1495">
                  <c:v>32540624</c:v>
                </c:pt>
                <c:pt idx="1496">
                  <c:v>39311664</c:v>
                </c:pt>
                <c:pt idx="1497">
                  <c:v>44083522</c:v>
                </c:pt>
                <c:pt idx="1498">
                  <c:v>41586714</c:v>
                </c:pt>
                <c:pt idx="1499">
                  <c:v>42160691</c:v>
                </c:pt>
                <c:pt idx="1500">
                  <c:v>34338955</c:v>
                </c:pt>
                <c:pt idx="1501">
                  <c:v>20733215</c:v>
                </c:pt>
                <c:pt idx="1502">
                  <c:v>26760219</c:v>
                </c:pt>
                <c:pt idx="1503">
                  <c:v>47559781</c:v>
                </c:pt>
                <c:pt idx="1504">
                  <c:v>52362630</c:v>
                </c:pt>
                <c:pt idx="1505">
                  <c:v>47331834</c:v>
                </c:pt>
                <c:pt idx="1506">
                  <c:v>46084327</c:v>
                </c:pt>
                <c:pt idx="1507">
                  <c:v>43070199</c:v>
                </c:pt>
                <c:pt idx="1508">
                  <c:v>25792613</c:v>
                </c:pt>
                <c:pt idx="1509">
                  <c:v>35803741</c:v>
                </c:pt>
                <c:pt idx="1510">
                  <c:v>37383358</c:v>
                </c:pt>
                <c:pt idx="1511">
                  <c:v>41763230</c:v>
                </c:pt>
                <c:pt idx="1512">
                  <c:v>41138601</c:v>
                </c:pt>
                <c:pt idx="1513">
                  <c:v>44796871</c:v>
                </c:pt>
                <c:pt idx="1514">
                  <c:v>33326437</c:v>
                </c:pt>
                <c:pt idx="1515">
                  <c:v>25030037</c:v>
                </c:pt>
                <c:pt idx="1516">
                  <c:v>38926397</c:v>
                </c:pt>
                <c:pt idx="1517">
                  <c:v>47123702</c:v>
                </c:pt>
                <c:pt idx="1518">
                  <c:v>51083653</c:v>
                </c:pt>
                <c:pt idx="1519">
                  <c:v>50453117</c:v>
                </c:pt>
                <c:pt idx="1520">
                  <c:v>61779736</c:v>
                </c:pt>
                <c:pt idx="1521">
                  <c:v>47295463</c:v>
                </c:pt>
                <c:pt idx="1522">
                  <c:v>39798772</c:v>
                </c:pt>
                <c:pt idx="1523">
                  <c:v>37437839</c:v>
                </c:pt>
                <c:pt idx="1524">
                  <c:v>32427220</c:v>
                </c:pt>
                <c:pt idx="1525">
                  <c:v>51978753</c:v>
                </c:pt>
                <c:pt idx="1526">
                  <c:v>45290296</c:v>
                </c:pt>
                <c:pt idx="1527">
                  <c:v>41385309</c:v>
                </c:pt>
                <c:pt idx="1528">
                  <c:v>35340905</c:v>
                </c:pt>
                <c:pt idx="1529">
                  <c:v>23366000</c:v>
                </c:pt>
                <c:pt idx="1530">
                  <c:v>37715001</c:v>
                </c:pt>
                <c:pt idx="1531">
                  <c:v>48589894</c:v>
                </c:pt>
                <c:pt idx="1532">
                  <c:v>53174979</c:v>
                </c:pt>
                <c:pt idx="1533">
                  <c:v>45336807</c:v>
                </c:pt>
                <c:pt idx="1534">
                  <c:v>55391739</c:v>
                </c:pt>
                <c:pt idx="1535">
                  <c:v>47967064</c:v>
                </c:pt>
                <c:pt idx="1536">
                  <c:v>30086259</c:v>
                </c:pt>
                <c:pt idx="1537">
                  <c:v>40716708</c:v>
                </c:pt>
                <c:pt idx="1538">
                  <c:v>48921793</c:v>
                </c:pt>
                <c:pt idx="1539">
                  <c:v>26513823</c:v>
                </c:pt>
                <c:pt idx="1540">
                  <c:v>9421537</c:v>
                </c:pt>
                <c:pt idx="1541">
                  <c:v>18580316</c:v>
                </c:pt>
                <c:pt idx="1542">
                  <c:v>28101639</c:v>
                </c:pt>
                <c:pt idx="1543">
                  <c:v>22653963</c:v>
                </c:pt>
                <c:pt idx="1544">
                  <c:v>37416867</c:v>
                </c:pt>
                <c:pt idx="1545">
                  <c:v>48192572</c:v>
                </c:pt>
                <c:pt idx="1546">
                  <c:v>53654053</c:v>
                </c:pt>
                <c:pt idx="1547">
                  <c:v>39540332</c:v>
                </c:pt>
                <c:pt idx="1548">
                  <c:v>42302308</c:v>
                </c:pt>
                <c:pt idx="1549">
                  <c:v>35469252</c:v>
                </c:pt>
                <c:pt idx="1550">
                  <c:v>25608417</c:v>
                </c:pt>
                <c:pt idx="1551">
                  <c:v>40357819</c:v>
                </c:pt>
                <c:pt idx="1552">
                  <c:v>41236933</c:v>
                </c:pt>
                <c:pt idx="1553">
                  <c:v>41334773</c:v>
                </c:pt>
                <c:pt idx="1554">
                  <c:v>34170657</c:v>
                </c:pt>
                <c:pt idx="1555">
                  <c:v>39689195</c:v>
                </c:pt>
                <c:pt idx="1556">
                  <c:v>30555230</c:v>
                </c:pt>
                <c:pt idx="1557">
                  <c:v>22060066</c:v>
                </c:pt>
                <c:pt idx="1558">
                  <c:v>28541663</c:v>
                </c:pt>
                <c:pt idx="1559">
                  <c:v>35584927</c:v>
                </c:pt>
                <c:pt idx="1560">
                  <c:v>37704218</c:v>
                </c:pt>
                <c:pt idx="1561">
                  <c:v>59144366</c:v>
                </c:pt>
                <c:pt idx="1562">
                  <c:v>35707876</c:v>
                </c:pt>
                <c:pt idx="1563">
                  <c:v>24632013</c:v>
                </c:pt>
                <c:pt idx="1564">
                  <c:v>17677082</c:v>
                </c:pt>
                <c:pt idx="1565">
                  <c:v>26590751</c:v>
                </c:pt>
                <c:pt idx="1566">
                  <c:v>36115955</c:v>
                </c:pt>
                <c:pt idx="1567">
                  <c:v>59041235</c:v>
                </c:pt>
                <c:pt idx="1568">
                  <c:v>37579517</c:v>
                </c:pt>
                <c:pt idx="1569">
                  <c:v>33760375</c:v>
                </c:pt>
                <c:pt idx="1570">
                  <c:v>32621369</c:v>
                </c:pt>
                <c:pt idx="1571">
                  <c:v>23304762</c:v>
                </c:pt>
                <c:pt idx="1572">
                  <c:v>33216254</c:v>
                </c:pt>
                <c:pt idx="1573">
                  <c:v>31222640</c:v>
                </c:pt>
                <c:pt idx="1574">
                  <c:v>33513604</c:v>
                </c:pt>
                <c:pt idx="1575">
                  <c:v>61219036</c:v>
                </c:pt>
                <c:pt idx="1576">
                  <c:v>40842561</c:v>
                </c:pt>
                <c:pt idx="1577">
                  <c:v>33310465</c:v>
                </c:pt>
                <c:pt idx="1578">
                  <c:v>20230409</c:v>
                </c:pt>
                <c:pt idx="1579">
                  <c:v>31549418</c:v>
                </c:pt>
                <c:pt idx="1580">
                  <c:v>40103517</c:v>
                </c:pt>
                <c:pt idx="1581">
                  <c:v>49084796</c:v>
                </c:pt>
                <c:pt idx="1582">
                  <c:v>43451114</c:v>
                </c:pt>
                <c:pt idx="1583">
                  <c:v>36360552</c:v>
                </c:pt>
                <c:pt idx="1584">
                  <c:v>36220929</c:v>
                </c:pt>
                <c:pt idx="1585">
                  <c:v>28616108</c:v>
                </c:pt>
                <c:pt idx="1586">
                  <c:v>34493184</c:v>
                </c:pt>
                <c:pt idx="1587">
                  <c:v>34401528</c:v>
                </c:pt>
                <c:pt idx="1588">
                  <c:v>41175372</c:v>
                </c:pt>
                <c:pt idx="1589">
                  <c:v>38716063</c:v>
                </c:pt>
                <c:pt idx="1590">
                  <c:v>33076716</c:v>
                </c:pt>
                <c:pt idx="1591">
                  <c:v>79341375</c:v>
                </c:pt>
                <c:pt idx="1592">
                  <c:v>22159851</c:v>
                </c:pt>
                <c:pt idx="1593">
                  <c:v>29911196</c:v>
                </c:pt>
                <c:pt idx="1594">
                  <c:v>50633315</c:v>
                </c:pt>
                <c:pt idx="1595">
                  <c:v>46385615</c:v>
                </c:pt>
                <c:pt idx="1596">
                  <c:v>56090145</c:v>
                </c:pt>
                <c:pt idx="1597">
                  <c:v>49636945</c:v>
                </c:pt>
                <c:pt idx="1598">
                  <c:v>38532110</c:v>
                </c:pt>
                <c:pt idx="1599">
                  <c:v>23421804</c:v>
                </c:pt>
                <c:pt idx="1600">
                  <c:v>36211624</c:v>
                </c:pt>
                <c:pt idx="1601">
                  <c:v>44770774</c:v>
                </c:pt>
                <c:pt idx="1602">
                  <c:v>46472330</c:v>
                </c:pt>
                <c:pt idx="1603">
                  <c:v>35702979</c:v>
                </c:pt>
                <c:pt idx="1604">
                  <c:v>42759121</c:v>
                </c:pt>
                <c:pt idx="1605">
                  <c:v>44992223</c:v>
                </c:pt>
                <c:pt idx="1606">
                  <c:v>33797972</c:v>
                </c:pt>
                <c:pt idx="1607">
                  <c:v>62987313</c:v>
                </c:pt>
                <c:pt idx="1608">
                  <c:v>43126563</c:v>
                </c:pt>
                <c:pt idx="1609">
                  <c:v>49675183</c:v>
                </c:pt>
                <c:pt idx="1610">
                  <c:v>47703036</c:v>
                </c:pt>
                <c:pt idx="1611">
                  <c:v>49705454</c:v>
                </c:pt>
                <c:pt idx="1612">
                  <c:v>62546060</c:v>
                </c:pt>
                <c:pt idx="1613">
                  <c:v>47730348</c:v>
                </c:pt>
                <c:pt idx="1614">
                  <c:v>50187443</c:v>
                </c:pt>
                <c:pt idx="1615">
                  <c:v>54736811</c:v>
                </c:pt>
                <c:pt idx="1616">
                  <c:v>31525235</c:v>
                </c:pt>
                <c:pt idx="1617">
                  <c:v>138882430</c:v>
                </c:pt>
                <c:pt idx="1618">
                  <c:v>45729222</c:v>
                </c:pt>
                <c:pt idx="1619">
                  <c:v>38045331</c:v>
                </c:pt>
                <c:pt idx="1620">
                  <c:v>27754294</c:v>
                </c:pt>
                <c:pt idx="1621">
                  <c:v>41057581</c:v>
                </c:pt>
                <c:pt idx="1622">
                  <c:v>48042159</c:v>
                </c:pt>
                <c:pt idx="1623">
                  <c:v>52688399</c:v>
                </c:pt>
                <c:pt idx="1624">
                  <c:v>48003373</c:v>
                </c:pt>
                <c:pt idx="1625">
                  <c:v>59172858</c:v>
                </c:pt>
                <c:pt idx="1626">
                  <c:v>52574731</c:v>
                </c:pt>
                <c:pt idx="1627">
                  <c:v>39230401</c:v>
                </c:pt>
                <c:pt idx="1628">
                  <c:v>55047363</c:v>
                </c:pt>
                <c:pt idx="1629">
                  <c:v>91805851</c:v>
                </c:pt>
                <c:pt idx="1630">
                  <c:v>79971003</c:v>
                </c:pt>
                <c:pt idx="1631">
                  <c:v>80409530</c:v>
                </c:pt>
                <c:pt idx="1632">
                  <c:v>67646196</c:v>
                </c:pt>
                <c:pt idx="1633">
                  <c:v>62980565</c:v>
                </c:pt>
                <c:pt idx="1634">
                  <c:v>41218386</c:v>
                </c:pt>
                <c:pt idx="1635">
                  <c:v>59524491</c:v>
                </c:pt>
                <c:pt idx="1636">
                  <c:v>71398228</c:v>
                </c:pt>
                <c:pt idx="1637">
                  <c:v>90792191</c:v>
                </c:pt>
                <c:pt idx="1638">
                  <c:v>69580998</c:v>
                </c:pt>
                <c:pt idx="1639">
                  <c:v>65478454</c:v>
                </c:pt>
                <c:pt idx="1640">
                  <c:v>57358892</c:v>
                </c:pt>
                <c:pt idx="1641">
                  <c:v>47315459</c:v>
                </c:pt>
                <c:pt idx="1642">
                  <c:v>61913503</c:v>
                </c:pt>
                <c:pt idx="1643">
                  <c:v>68388000</c:v>
                </c:pt>
                <c:pt idx="1644">
                  <c:v>68911529</c:v>
                </c:pt>
                <c:pt idx="1645">
                  <c:v>69414929</c:v>
                </c:pt>
                <c:pt idx="1646">
                  <c:v>66541890</c:v>
                </c:pt>
                <c:pt idx="1647">
                  <c:v>60858728</c:v>
                </c:pt>
                <c:pt idx="1648">
                  <c:v>48154358</c:v>
                </c:pt>
                <c:pt idx="1649">
                  <c:v>67595952</c:v>
                </c:pt>
                <c:pt idx="1650">
                  <c:v>66483743</c:v>
                </c:pt>
                <c:pt idx="1651">
                  <c:v>71723042</c:v>
                </c:pt>
                <c:pt idx="1652">
                  <c:v>68816586</c:v>
                </c:pt>
                <c:pt idx="1653">
                  <c:v>64136837</c:v>
                </c:pt>
                <c:pt idx="1654">
                  <c:v>47698005</c:v>
                </c:pt>
                <c:pt idx="1655">
                  <c:v>57221333</c:v>
                </c:pt>
                <c:pt idx="1656">
                  <c:v>72828219</c:v>
                </c:pt>
                <c:pt idx="1657">
                  <c:v>72851643</c:v>
                </c:pt>
                <c:pt idx="1658">
                  <c:v>75582876</c:v>
                </c:pt>
                <c:pt idx="1659">
                  <c:v>70701409</c:v>
                </c:pt>
                <c:pt idx="1660">
                  <c:v>66411971</c:v>
                </c:pt>
                <c:pt idx="1661">
                  <c:v>43556494</c:v>
                </c:pt>
                <c:pt idx="1662">
                  <c:v>55432076</c:v>
                </c:pt>
                <c:pt idx="1663">
                  <c:v>67489523</c:v>
                </c:pt>
                <c:pt idx="1664">
                  <c:v>70681597</c:v>
                </c:pt>
                <c:pt idx="1665">
                  <c:v>71478552</c:v>
                </c:pt>
                <c:pt idx="1666">
                  <c:v>65935405</c:v>
                </c:pt>
                <c:pt idx="1667">
                  <c:v>57665832</c:v>
                </c:pt>
                <c:pt idx="1668">
                  <c:v>50015507</c:v>
                </c:pt>
                <c:pt idx="1669">
                  <c:v>48551154</c:v>
                </c:pt>
                <c:pt idx="1670">
                  <c:v>51918783</c:v>
                </c:pt>
                <c:pt idx="1671">
                  <c:v>67441615</c:v>
                </c:pt>
                <c:pt idx="1672">
                  <c:v>69376657</c:v>
                </c:pt>
                <c:pt idx="1673">
                  <c:v>79539609</c:v>
                </c:pt>
                <c:pt idx="1674">
                  <c:v>68808746</c:v>
                </c:pt>
                <c:pt idx="1675">
                  <c:v>45246413</c:v>
                </c:pt>
                <c:pt idx="1676">
                  <c:v>57271684</c:v>
                </c:pt>
                <c:pt idx="1677">
                  <c:v>71139493</c:v>
                </c:pt>
                <c:pt idx="1678">
                  <c:v>72109404</c:v>
                </c:pt>
                <c:pt idx="1679">
                  <c:v>85942449</c:v>
                </c:pt>
                <c:pt idx="1680">
                  <c:v>74230456</c:v>
                </c:pt>
                <c:pt idx="1681">
                  <c:v>64915326</c:v>
                </c:pt>
                <c:pt idx="1682">
                  <c:v>51387901</c:v>
                </c:pt>
                <c:pt idx="1683">
                  <c:v>38031931</c:v>
                </c:pt>
                <c:pt idx="1684">
                  <c:v>59293389</c:v>
                </c:pt>
                <c:pt idx="1685">
                  <c:v>72696580</c:v>
                </c:pt>
                <c:pt idx="1686">
                  <c:v>30303080</c:v>
                </c:pt>
                <c:pt idx="1687">
                  <c:v>66072508</c:v>
                </c:pt>
                <c:pt idx="1688">
                  <c:v>69245212</c:v>
                </c:pt>
                <c:pt idx="1689">
                  <c:v>46485825</c:v>
                </c:pt>
                <c:pt idx="1690">
                  <c:v>72545487</c:v>
                </c:pt>
                <c:pt idx="1691">
                  <c:v>79870534</c:v>
                </c:pt>
                <c:pt idx="1692">
                  <c:v>78674929</c:v>
                </c:pt>
                <c:pt idx="1693">
                  <c:v>80588407</c:v>
                </c:pt>
                <c:pt idx="1694">
                  <c:v>57213214</c:v>
                </c:pt>
                <c:pt idx="1695">
                  <c:v>54752624</c:v>
                </c:pt>
                <c:pt idx="1696">
                  <c:v>44622127</c:v>
                </c:pt>
                <c:pt idx="1697">
                  <c:v>67905625</c:v>
                </c:pt>
                <c:pt idx="1698">
                  <c:v>73377586</c:v>
                </c:pt>
                <c:pt idx="1699">
                  <c:v>79643836</c:v>
                </c:pt>
                <c:pt idx="1700">
                  <c:v>73382586</c:v>
                </c:pt>
                <c:pt idx="1701">
                  <c:v>76610870</c:v>
                </c:pt>
                <c:pt idx="1702">
                  <c:v>68370244</c:v>
                </c:pt>
                <c:pt idx="1703">
                  <c:v>54542693</c:v>
                </c:pt>
                <c:pt idx="1704">
                  <c:v>66866139</c:v>
                </c:pt>
                <c:pt idx="1705">
                  <c:v>75827401</c:v>
                </c:pt>
                <c:pt idx="1706">
                  <c:v>74731435</c:v>
                </c:pt>
                <c:pt idx="1707">
                  <c:v>86522581</c:v>
                </c:pt>
                <c:pt idx="1708">
                  <c:v>74988956</c:v>
                </c:pt>
                <c:pt idx="1709">
                  <c:v>72239872</c:v>
                </c:pt>
                <c:pt idx="1710">
                  <c:v>48786433</c:v>
                </c:pt>
                <c:pt idx="1711">
                  <c:v>65688086</c:v>
                </c:pt>
                <c:pt idx="1712">
                  <c:v>54977856</c:v>
                </c:pt>
                <c:pt idx="1713">
                  <c:v>73182774</c:v>
                </c:pt>
                <c:pt idx="1714">
                  <c:v>72660167</c:v>
                </c:pt>
                <c:pt idx="1715">
                  <c:v>71421697</c:v>
                </c:pt>
                <c:pt idx="1716">
                  <c:v>62615482</c:v>
                </c:pt>
                <c:pt idx="1717">
                  <c:v>47368968</c:v>
                </c:pt>
                <c:pt idx="1718">
                  <c:v>61954631</c:v>
                </c:pt>
                <c:pt idx="1719">
                  <c:v>66615522</c:v>
                </c:pt>
                <c:pt idx="1720">
                  <c:v>67557436</c:v>
                </c:pt>
                <c:pt idx="1721">
                  <c:v>72453278</c:v>
                </c:pt>
                <c:pt idx="1722">
                  <c:v>68809042</c:v>
                </c:pt>
                <c:pt idx="1723">
                  <c:v>64292144</c:v>
                </c:pt>
                <c:pt idx="1724">
                  <c:v>45972151</c:v>
                </c:pt>
                <c:pt idx="1725">
                  <c:v>54660923</c:v>
                </c:pt>
                <c:pt idx="1726">
                  <c:v>66202341</c:v>
                </c:pt>
                <c:pt idx="1727">
                  <c:v>69820360</c:v>
                </c:pt>
                <c:pt idx="1728">
                  <c:v>64139125</c:v>
                </c:pt>
                <c:pt idx="1729">
                  <c:v>67002366</c:v>
                </c:pt>
                <c:pt idx="1730">
                  <c:v>58030553</c:v>
                </c:pt>
                <c:pt idx="1731">
                  <c:v>40970234</c:v>
                </c:pt>
                <c:pt idx="1732">
                  <c:v>51182781</c:v>
                </c:pt>
                <c:pt idx="1733">
                  <c:v>377192890</c:v>
                </c:pt>
                <c:pt idx="1734">
                  <c:v>54266483</c:v>
                </c:pt>
                <c:pt idx="1735">
                  <c:v>76254636</c:v>
                </c:pt>
                <c:pt idx="1736">
                  <c:v>68211744</c:v>
                </c:pt>
                <c:pt idx="1737">
                  <c:v>63695978</c:v>
                </c:pt>
                <c:pt idx="1738">
                  <c:v>44053372</c:v>
                </c:pt>
                <c:pt idx="1739">
                  <c:v>47316318</c:v>
                </c:pt>
                <c:pt idx="1740">
                  <c:v>36650779</c:v>
                </c:pt>
                <c:pt idx="1741">
                  <c:v>54159925</c:v>
                </c:pt>
                <c:pt idx="1742">
                  <c:v>69948520</c:v>
                </c:pt>
                <c:pt idx="1743">
                  <c:v>71063973</c:v>
                </c:pt>
                <c:pt idx="1744">
                  <c:v>58386747</c:v>
                </c:pt>
                <c:pt idx="1745">
                  <c:v>45027468</c:v>
                </c:pt>
                <c:pt idx="1746">
                  <c:v>59264778</c:v>
                </c:pt>
                <c:pt idx="1747">
                  <c:v>64867041</c:v>
                </c:pt>
                <c:pt idx="1748">
                  <c:v>71604701</c:v>
                </c:pt>
                <c:pt idx="1749">
                  <c:v>65058181</c:v>
                </c:pt>
                <c:pt idx="1750">
                  <c:v>67404694</c:v>
                </c:pt>
                <c:pt idx="1751">
                  <c:v>67457446</c:v>
                </c:pt>
                <c:pt idx="1752">
                  <c:v>51359174</c:v>
                </c:pt>
                <c:pt idx="1753">
                  <c:v>64294363</c:v>
                </c:pt>
                <c:pt idx="1754">
                  <c:v>71452075</c:v>
                </c:pt>
                <c:pt idx="1755">
                  <c:v>75520367</c:v>
                </c:pt>
                <c:pt idx="1756">
                  <c:v>65767850</c:v>
                </c:pt>
                <c:pt idx="1757">
                  <c:v>57065609</c:v>
                </c:pt>
                <c:pt idx="1758">
                  <c:v>34606474</c:v>
                </c:pt>
                <c:pt idx="1759">
                  <c:v>15130880</c:v>
                </c:pt>
                <c:pt idx="1760">
                  <c:v>22172821</c:v>
                </c:pt>
                <c:pt idx="1761">
                  <c:v>33115077</c:v>
                </c:pt>
                <c:pt idx="1762">
                  <c:v>48952644</c:v>
                </c:pt>
                <c:pt idx="1763">
                  <c:v>58631928</c:v>
                </c:pt>
                <c:pt idx="1764">
                  <c:v>72197443</c:v>
                </c:pt>
                <c:pt idx="1765">
                  <c:v>73979628</c:v>
                </c:pt>
                <c:pt idx="1766">
                  <c:v>54207215</c:v>
                </c:pt>
                <c:pt idx="1767">
                  <c:v>70981065</c:v>
                </c:pt>
                <c:pt idx="1768">
                  <c:v>79552931</c:v>
                </c:pt>
                <c:pt idx="1769">
                  <c:v>81202469</c:v>
                </c:pt>
                <c:pt idx="1770">
                  <c:v>78382316</c:v>
                </c:pt>
                <c:pt idx="1771">
                  <c:v>74146449</c:v>
                </c:pt>
                <c:pt idx="1772">
                  <c:v>54591871</c:v>
                </c:pt>
                <c:pt idx="1773">
                  <c:v>44064861</c:v>
                </c:pt>
                <c:pt idx="1774">
                  <c:v>72708258</c:v>
                </c:pt>
                <c:pt idx="1775">
                  <c:v>58767070</c:v>
                </c:pt>
                <c:pt idx="1776">
                  <c:v>81647395</c:v>
                </c:pt>
                <c:pt idx="1777">
                  <c:v>85972731</c:v>
                </c:pt>
                <c:pt idx="1778">
                  <c:v>85647877</c:v>
                </c:pt>
                <c:pt idx="1779">
                  <c:v>84433511</c:v>
                </c:pt>
                <c:pt idx="1780">
                  <c:v>59719543</c:v>
                </c:pt>
                <c:pt idx="1781">
                  <c:v>76153187</c:v>
                </c:pt>
                <c:pt idx="1782">
                  <c:v>84769162</c:v>
                </c:pt>
                <c:pt idx="1783">
                  <c:v>78927392</c:v>
                </c:pt>
                <c:pt idx="1784">
                  <c:v>78163308</c:v>
                </c:pt>
                <c:pt idx="1785">
                  <c:v>75844440</c:v>
                </c:pt>
                <c:pt idx="1786">
                  <c:v>73945812</c:v>
                </c:pt>
                <c:pt idx="1787">
                  <c:v>60140354</c:v>
                </c:pt>
                <c:pt idx="1788">
                  <c:v>78199301</c:v>
                </c:pt>
                <c:pt idx="1789">
                  <c:v>90481917</c:v>
                </c:pt>
                <c:pt idx="1790">
                  <c:v>81892299</c:v>
                </c:pt>
                <c:pt idx="1791">
                  <c:v>79362641</c:v>
                </c:pt>
                <c:pt idx="1792">
                  <c:v>79707650</c:v>
                </c:pt>
                <c:pt idx="1793">
                  <c:v>65396797</c:v>
                </c:pt>
                <c:pt idx="1794">
                  <c:v>48632640</c:v>
                </c:pt>
                <c:pt idx="1795">
                  <c:v>65127885</c:v>
                </c:pt>
                <c:pt idx="1796">
                  <c:v>75043035</c:v>
                </c:pt>
                <c:pt idx="1797">
                  <c:v>76224414</c:v>
                </c:pt>
                <c:pt idx="1798">
                  <c:v>73261875</c:v>
                </c:pt>
                <c:pt idx="1799">
                  <c:v>77679222</c:v>
                </c:pt>
                <c:pt idx="1800">
                  <c:v>69489049</c:v>
                </c:pt>
                <c:pt idx="1801">
                  <c:v>48405345</c:v>
                </c:pt>
                <c:pt idx="1802">
                  <c:v>66935218</c:v>
                </c:pt>
                <c:pt idx="1803">
                  <c:v>75625864</c:v>
                </c:pt>
                <c:pt idx="1804">
                  <c:v>76177676</c:v>
                </c:pt>
                <c:pt idx="1805">
                  <c:v>72058446</c:v>
                </c:pt>
                <c:pt idx="1806">
                  <c:v>61446844</c:v>
                </c:pt>
                <c:pt idx="1807">
                  <c:v>67993372</c:v>
                </c:pt>
                <c:pt idx="1808">
                  <c:v>53542950</c:v>
                </c:pt>
                <c:pt idx="1809">
                  <c:v>66211648</c:v>
                </c:pt>
                <c:pt idx="1810">
                  <c:v>67889916</c:v>
                </c:pt>
                <c:pt idx="1811">
                  <c:v>72898778</c:v>
                </c:pt>
                <c:pt idx="1812">
                  <c:v>72757380</c:v>
                </c:pt>
                <c:pt idx="1813">
                  <c:v>64744472</c:v>
                </c:pt>
                <c:pt idx="1814">
                  <c:v>58574183</c:v>
                </c:pt>
                <c:pt idx="1815">
                  <c:v>41944742</c:v>
                </c:pt>
                <c:pt idx="1816">
                  <c:v>65676646</c:v>
                </c:pt>
                <c:pt idx="1817">
                  <c:v>71429893</c:v>
                </c:pt>
                <c:pt idx="1818">
                  <c:v>57512246</c:v>
                </c:pt>
                <c:pt idx="1819">
                  <c:v>60479607</c:v>
                </c:pt>
                <c:pt idx="1820">
                  <c:v>61961383</c:v>
                </c:pt>
                <c:pt idx="1821">
                  <c:v>63006424</c:v>
                </c:pt>
                <c:pt idx="1822">
                  <c:v>40548459</c:v>
                </c:pt>
                <c:pt idx="1823">
                  <c:v>48140842</c:v>
                </c:pt>
                <c:pt idx="1824">
                  <c:v>49719964</c:v>
                </c:pt>
                <c:pt idx="1825">
                  <c:v>36562277</c:v>
                </c:pt>
                <c:pt idx="1826">
                  <c:v>55247723</c:v>
                </c:pt>
                <c:pt idx="1827">
                  <c:v>66532663</c:v>
                </c:pt>
                <c:pt idx="1828">
                  <c:v>67233605</c:v>
                </c:pt>
                <c:pt idx="1829">
                  <c:v>50509117</c:v>
                </c:pt>
                <c:pt idx="1830">
                  <c:v>61627870</c:v>
                </c:pt>
                <c:pt idx="1831">
                  <c:v>76302821</c:v>
                </c:pt>
                <c:pt idx="1832">
                  <c:v>63750330</c:v>
                </c:pt>
                <c:pt idx="1833">
                  <c:v>68463172</c:v>
                </c:pt>
                <c:pt idx="1834">
                  <c:v>67156145</c:v>
                </c:pt>
                <c:pt idx="1835">
                  <c:v>54707884</c:v>
                </c:pt>
                <c:pt idx="1836">
                  <c:v>52319535</c:v>
                </c:pt>
                <c:pt idx="1837">
                  <c:v>62962226</c:v>
                </c:pt>
                <c:pt idx="1838">
                  <c:v>69669149</c:v>
                </c:pt>
                <c:pt idx="1839">
                  <c:v>62437021</c:v>
                </c:pt>
                <c:pt idx="1840">
                  <c:v>58874459</c:v>
                </c:pt>
                <c:pt idx="1841">
                  <c:v>59541032</c:v>
                </c:pt>
                <c:pt idx="1842">
                  <c:v>69047951</c:v>
                </c:pt>
                <c:pt idx="1843">
                  <c:v>50373047</c:v>
                </c:pt>
                <c:pt idx="1844">
                  <c:v>65715385</c:v>
                </c:pt>
                <c:pt idx="1845">
                  <c:v>77193066</c:v>
                </c:pt>
                <c:pt idx="1846">
                  <c:v>78488638</c:v>
                </c:pt>
                <c:pt idx="1847">
                  <c:v>78340350</c:v>
                </c:pt>
                <c:pt idx="1848">
                  <c:v>81694614</c:v>
                </c:pt>
                <c:pt idx="1849">
                  <c:v>66797465</c:v>
                </c:pt>
                <c:pt idx="1850">
                  <c:v>32229990</c:v>
                </c:pt>
                <c:pt idx="1851">
                  <c:v>67647374</c:v>
                </c:pt>
                <c:pt idx="1852">
                  <c:v>76251586</c:v>
                </c:pt>
                <c:pt idx="1853">
                  <c:v>71657683</c:v>
                </c:pt>
                <c:pt idx="1854">
                  <c:v>68219036</c:v>
                </c:pt>
                <c:pt idx="1855">
                  <c:v>67377933</c:v>
                </c:pt>
                <c:pt idx="1856">
                  <c:v>73127670</c:v>
                </c:pt>
                <c:pt idx="1857">
                  <c:v>55694552</c:v>
                </c:pt>
                <c:pt idx="1858">
                  <c:v>75580965</c:v>
                </c:pt>
                <c:pt idx="1859">
                  <c:v>88011499</c:v>
                </c:pt>
                <c:pt idx="1860">
                  <c:v>73233330</c:v>
                </c:pt>
                <c:pt idx="1861">
                  <c:v>84237291</c:v>
                </c:pt>
                <c:pt idx="1862">
                  <c:v>84065563</c:v>
                </c:pt>
                <c:pt idx="1863">
                  <c:v>69248022</c:v>
                </c:pt>
                <c:pt idx="1864">
                  <c:v>49537691</c:v>
                </c:pt>
                <c:pt idx="1865">
                  <c:v>82612050</c:v>
                </c:pt>
                <c:pt idx="1866">
                  <c:v>90792641</c:v>
                </c:pt>
                <c:pt idx="1867">
                  <c:v>90042281</c:v>
                </c:pt>
                <c:pt idx="1868">
                  <c:v>97552031</c:v>
                </c:pt>
                <c:pt idx="1869">
                  <c:v>94618427</c:v>
                </c:pt>
                <c:pt idx="1870">
                  <c:v>81342240</c:v>
                </c:pt>
                <c:pt idx="1871">
                  <c:v>62155381</c:v>
                </c:pt>
                <c:pt idx="1872">
                  <c:v>83193579</c:v>
                </c:pt>
                <c:pt idx="1873">
                  <c:v>84775052</c:v>
                </c:pt>
                <c:pt idx="1874">
                  <c:v>88863966</c:v>
                </c:pt>
                <c:pt idx="1875">
                  <c:v>82904528</c:v>
                </c:pt>
                <c:pt idx="1876">
                  <c:v>53888046</c:v>
                </c:pt>
                <c:pt idx="1877">
                  <c:v>75677433</c:v>
                </c:pt>
                <c:pt idx="1878">
                  <c:v>60990514</c:v>
                </c:pt>
                <c:pt idx="1879">
                  <c:v>76157682</c:v>
                </c:pt>
                <c:pt idx="1880">
                  <c:v>81691624</c:v>
                </c:pt>
                <c:pt idx="1881">
                  <c:v>76553828</c:v>
                </c:pt>
                <c:pt idx="1882">
                  <c:v>85246432</c:v>
                </c:pt>
                <c:pt idx="1883">
                  <c:v>82031112</c:v>
                </c:pt>
                <c:pt idx="1884">
                  <c:v>69154734</c:v>
                </c:pt>
                <c:pt idx="1885">
                  <c:v>83232491</c:v>
                </c:pt>
                <c:pt idx="1886">
                  <c:v>101079301</c:v>
                </c:pt>
                <c:pt idx="1887">
                  <c:v>115106171</c:v>
                </c:pt>
                <c:pt idx="1888">
                  <c:v>120353601</c:v>
                </c:pt>
                <c:pt idx="1889">
                  <c:v>111941655</c:v>
                </c:pt>
                <c:pt idx="1890">
                  <c:v>97082294</c:v>
                </c:pt>
                <c:pt idx="1891">
                  <c:v>94932484</c:v>
                </c:pt>
                <c:pt idx="1892">
                  <c:v>72147587</c:v>
                </c:pt>
                <c:pt idx="1893">
                  <c:v>54557253</c:v>
                </c:pt>
                <c:pt idx="1894">
                  <c:v>33936112</c:v>
                </c:pt>
                <c:pt idx="1895">
                  <c:v>62218544</c:v>
                </c:pt>
                <c:pt idx="1896">
                  <c:v>88348357</c:v>
                </c:pt>
                <c:pt idx="1897">
                  <c:v>101835302</c:v>
                </c:pt>
                <c:pt idx="1898">
                  <c:v>186769561</c:v>
                </c:pt>
                <c:pt idx="1899">
                  <c:v>214422943</c:v>
                </c:pt>
                <c:pt idx="1900">
                  <c:v>225212747</c:v>
                </c:pt>
                <c:pt idx="1901">
                  <c:v>220997758</c:v>
                </c:pt>
                <c:pt idx="1902">
                  <c:v>223101819</c:v>
                </c:pt>
                <c:pt idx="1903">
                  <c:v>229007092</c:v>
                </c:pt>
                <c:pt idx="1904">
                  <c:v>213931522</c:v>
                </c:pt>
                <c:pt idx="1905">
                  <c:v>192061704</c:v>
                </c:pt>
                <c:pt idx="1906">
                  <c:v>64051201</c:v>
                </c:pt>
                <c:pt idx="1907">
                  <c:v>124274812</c:v>
                </c:pt>
                <c:pt idx="1908">
                  <c:v>101125972</c:v>
                </c:pt>
                <c:pt idx="1909">
                  <c:v>67063680</c:v>
                </c:pt>
                <c:pt idx="1910">
                  <c:v>57362382</c:v>
                </c:pt>
                <c:pt idx="1911">
                  <c:v>49884261</c:v>
                </c:pt>
                <c:pt idx="1912">
                  <c:v>44786930</c:v>
                </c:pt>
                <c:pt idx="1913">
                  <c:v>40086328</c:v>
                </c:pt>
                <c:pt idx="1914">
                  <c:v>57376590</c:v>
                </c:pt>
                <c:pt idx="1915">
                  <c:v>60872545</c:v>
                </c:pt>
                <c:pt idx="1916">
                  <c:v>52655645</c:v>
                </c:pt>
                <c:pt idx="1917">
                  <c:v>47715433</c:v>
                </c:pt>
                <c:pt idx="1918">
                  <c:v>60240615</c:v>
                </c:pt>
                <c:pt idx="1919">
                  <c:v>62443026</c:v>
                </c:pt>
                <c:pt idx="1920">
                  <c:v>49019446</c:v>
                </c:pt>
                <c:pt idx="1921">
                  <c:v>60115954</c:v>
                </c:pt>
                <c:pt idx="1922">
                  <c:v>70750191</c:v>
                </c:pt>
                <c:pt idx="1923">
                  <c:v>72307053</c:v>
                </c:pt>
                <c:pt idx="1924">
                  <c:v>68758576</c:v>
                </c:pt>
                <c:pt idx="1925">
                  <c:v>66900737</c:v>
                </c:pt>
                <c:pt idx="1926">
                  <c:v>72689692</c:v>
                </c:pt>
                <c:pt idx="1927">
                  <c:v>62274992</c:v>
                </c:pt>
                <c:pt idx="1928">
                  <c:v>82610032</c:v>
                </c:pt>
                <c:pt idx="1929">
                  <c:v>78484098</c:v>
                </c:pt>
                <c:pt idx="1930">
                  <c:v>90424461</c:v>
                </c:pt>
                <c:pt idx="1931">
                  <c:v>88698944</c:v>
                </c:pt>
                <c:pt idx="1932">
                  <c:v>89454669</c:v>
                </c:pt>
                <c:pt idx="1933">
                  <c:v>84278094</c:v>
                </c:pt>
                <c:pt idx="1934">
                  <c:v>67821653</c:v>
                </c:pt>
                <c:pt idx="1935">
                  <c:v>101872057</c:v>
                </c:pt>
                <c:pt idx="1936">
                  <c:v>101966817</c:v>
                </c:pt>
                <c:pt idx="1937">
                  <c:v>102050122</c:v>
                </c:pt>
                <c:pt idx="1938">
                  <c:v>102345666</c:v>
                </c:pt>
                <c:pt idx="1939">
                  <c:v>96611438</c:v>
                </c:pt>
                <c:pt idx="1940">
                  <c:v>87669633</c:v>
                </c:pt>
                <c:pt idx="1941">
                  <c:v>66877806</c:v>
                </c:pt>
                <c:pt idx="1942">
                  <c:v>85925200</c:v>
                </c:pt>
                <c:pt idx="1943">
                  <c:v>78664020</c:v>
                </c:pt>
                <c:pt idx="1944">
                  <c:v>72020849</c:v>
                </c:pt>
                <c:pt idx="1945">
                  <c:v>68244435</c:v>
                </c:pt>
                <c:pt idx="1946">
                  <c:v>64835532</c:v>
                </c:pt>
                <c:pt idx="1947">
                  <c:v>63718245</c:v>
                </c:pt>
                <c:pt idx="1948">
                  <c:v>49641915</c:v>
                </c:pt>
                <c:pt idx="1949">
                  <c:v>75282813</c:v>
                </c:pt>
                <c:pt idx="1950">
                  <c:v>77720625</c:v>
                </c:pt>
                <c:pt idx="1951">
                  <c:v>84103737</c:v>
                </c:pt>
                <c:pt idx="1952">
                  <c:v>70621719</c:v>
                </c:pt>
                <c:pt idx="1953">
                  <c:v>82011984</c:v>
                </c:pt>
                <c:pt idx="1954">
                  <c:v>77186343</c:v>
                </c:pt>
                <c:pt idx="1955">
                  <c:v>64954319</c:v>
                </c:pt>
                <c:pt idx="1956">
                  <c:v>87249635</c:v>
                </c:pt>
                <c:pt idx="1957">
                  <c:v>91065700</c:v>
                </c:pt>
                <c:pt idx="1958">
                  <c:v>97840796</c:v>
                </c:pt>
                <c:pt idx="1959">
                  <c:v>93168202</c:v>
                </c:pt>
                <c:pt idx="1960">
                  <c:v>94472366</c:v>
                </c:pt>
                <c:pt idx="1961">
                  <c:v>95277793</c:v>
                </c:pt>
                <c:pt idx="1962">
                  <c:v>81849271</c:v>
                </c:pt>
                <c:pt idx="1963">
                  <c:v>93742273</c:v>
                </c:pt>
                <c:pt idx="1964">
                  <c:v>102190337</c:v>
                </c:pt>
                <c:pt idx="1965">
                  <c:v>102811923</c:v>
                </c:pt>
                <c:pt idx="1966">
                  <c:v>106250829</c:v>
                </c:pt>
                <c:pt idx="1967">
                  <c:v>113089729</c:v>
                </c:pt>
                <c:pt idx="1968">
                  <c:v>113109934</c:v>
                </c:pt>
                <c:pt idx="1969">
                  <c:v>72515403</c:v>
                </c:pt>
                <c:pt idx="1970">
                  <c:v>99052810</c:v>
                </c:pt>
                <c:pt idx="1971">
                  <c:v>114056016</c:v>
                </c:pt>
                <c:pt idx="1972">
                  <c:v>116381805</c:v>
                </c:pt>
                <c:pt idx="1973">
                  <c:v>118548084</c:v>
                </c:pt>
                <c:pt idx="1974">
                  <c:v>118114994</c:v>
                </c:pt>
                <c:pt idx="1975">
                  <c:v>114976670</c:v>
                </c:pt>
                <c:pt idx="1976">
                  <c:v>96967081</c:v>
                </c:pt>
                <c:pt idx="1977">
                  <c:v>124526017</c:v>
                </c:pt>
                <c:pt idx="1978">
                  <c:v>132122934</c:v>
                </c:pt>
                <c:pt idx="1979">
                  <c:v>137015807</c:v>
                </c:pt>
                <c:pt idx="1980">
                  <c:v>139362619</c:v>
                </c:pt>
                <c:pt idx="1981">
                  <c:v>136164454</c:v>
                </c:pt>
                <c:pt idx="1982">
                  <c:v>144319628</c:v>
                </c:pt>
                <c:pt idx="1983">
                  <c:v>126692728</c:v>
                </c:pt>
                <c:pt idx="1984">
                  <c:v>134502986</c:v>
                </c:pt>
                <c:pt idx="1985">
                  <c:v>145000440</c:v>
                </c:pt>
                <c:pt idx="1986">
                  <c:v>136432432</c:v>
                </c:pt>
                <c:pt idx="1987">
                  <c:v>131570731</c:v>
                </c:pt>
                <c:pt idx="1988">
                  <c:v>136291985</c:v>
                </c:pt>
                <c:pt idx="1989">
                  <c:v>128400963</c:v>
                </c:pt>
                <c:pt idx="1990">
                  <c:v>125017746</c:v>
                </c:pt>
                <c:pt idx="1991">
                  <c:v>126216654</c:v>
                </c:pt>
                <c:pt idx="1992">
                  <c:v>130793088</c:v>
                </c:pt>
                <c:pt idx="1993">
                  <c:v>136930312</c:v>
                </c:pt>
                <c:pt idx="1994">
                  <c:v>133221713</c:v>
                </c:pt>
                <c:pt idx="1995">
                  <c:v>136697345</c:v>
                </c:pt>
                <c:pt idx="1996">
                  <c:v>120264246</c:v>
                </c:pt>
                <c:pt idx="1997">
                  <c:v>105984664</c:v>
                </c:pt>
                <c:pt idx="1998">
                  <c:v>109735328</c:v>
                </c:pt>
                <c:pt idx="1999">
                  <c:v>124482370</c:v>
                </c:pt>
                <c:pt idx="2000">
                  <c:v>120572555</c:v>
                </c:pt>
                <c:pt idx="2001">
                  <c:v>123205737</c:v>
                </c:pt>
                <c:pt idx="2002">
                  <c:v>127146152</c:v>
                </c:pt>
                <c:pt idx="2003">
                  <c:v>139758035</c:v>
                </c:pt>
                <c:pt idx="2004">
                  <c:v>128595404</c:v>
                </c:pt>
                <c:pt idx="2005">
                  <c:v>123090735</c:v>
                </c:pt>
                <c:pt idx="2006">
                  <c:v>135937110</c:v>
                </c:pt>
                <c:pt idx="2007">
                  <c:v>138470470</c:v>
                </c:pt>
                <c:pt idx="2008">
                  <c:v>134041601</c:v>
                </c:pt>
                <c:pt idx="2009">
                  <c:v>128502522</c:v>
                </c:pt>
                <c:pt idx="2010">
                  <c:v>135312014</c:v>
                </c:pt>
                <c:pt idx="2011">
                  <c:v>115864226</c:v>
                </c:pt>
                <c:pt idx="2012">
                  <c:v>128227564</c:v>
                </c:pt>
                <c:pt idx="2013">
                  <c:v>132394403</c:v>
                </c:pt>
                <c:pt idx="2014">
                  <c:v>139084361</c:v>
                </c:pt>
                <c:pt idx="2015">
                  <c:v>134523844</c:v>
                </c:pt>
                <c:pt idx="2016">
                  <c:v>131011689</c:v>
                </c:pt>
                <c:pt idx="2017">
                  <c:v>127917683</c:v>
                </c:pt>
                <c:pt idx="2018">
                  <c:v>106957257</c:v>
                </c:pt>
                <c:pt idx="2019">
                  <c:v>117723253</c:v>
                </c:pt>
                <c:pt idx="2020">
                  <c:v>123629083</c:v>
                </c:pt>
                <c:pt idx="2021">
                  <c:v>127157453</c:v>
                </c:pt>
                <c:pt idx="2022">
                  <c:v>128819113</c:v>
                </c:pt>
                <c:pt idx="2023">
                  <c:v>128163831</c:v>
                </c:pt>
                <c:pt idx="2024">
                  <c:v>130529655</c:v>
                </c:pt>
                <c:pt idx="2025">
                  <c:v>88901694</c:v>
                </c:pt>
                <c:pt idx="2026">
                  <c:v>121959541</c:v>
                </c:pt>
                <c:pt idx="2027">
                  <c:v>117742190</c:v>
                </c:pt>
                <c:pt idx="2028">
                  <c:v>118592957</c:v>
                </c:pt>
                <c:pt idx="2029">
                  <c:v>126364144</c:v>
                </c:pt>
                <c:pt idx="2030">
                  <c:v>125055988</c:v>
                </c:pt>
                <c:pt idx="2031">
                  <c:v>122444725</c:v>
                </c:pt>
                <c:pt idx="2032">
                  <c:v>112933042</c:v>
                </c:pt>
                <c:pt idx="2033">
                  <c:v>123425362</c:v>
                </c:pt>
                <c:pt idx="2034">
                  <c:v>133810280</c:v>
                </c:pt>
                <c:pt idx="2035">
                  <c:v>121646365</c:v>
                </c:pt>
                <c:pt idx="2036">
                  <c:v>130092907</c:v>
                </c:pt>
                <c:pt idx="2037">
                  <c:v>121044598</c:v>
                </c:pt>
                <c:pt idx="2038">
                  <c:v>99764068</c:v>
                </c:pt>
                <c:pt idx="2039">
                  <c:v>102146315</c:v>
                </c:pt>
                <c:pt idx="2040">
                  <c:v>106275521</c:v>
                </c:pt>
                <c:pt idx="2041">
                  <c:v>115219531</c:v>
                </c:pt>
                <c:pt idx="2042">
                  <c:v>127498937</c:v>
                </c:pt>
                <c:pt idx="2043">
                  <c:v>134146331</c:v>
                </c:pt>
                <c:pt idx="2044">
                  <c:v>137337404</c:v>
                </c:pt>
                <c:pt idx="2045">
                  <c:v>131021229</c:v>
                </c:pt>
                <c:pt idx="2046">
                  <c:v>106226640</c:v>
                </c:pt>
                <c:pt idx="2047">
                  <c:v>123602667</c:v>
                </c:pt>
                <c:pt idx="2048">
                  <c:v>102939403</c:v>
                </c:pt>
                <c:pt idx="2049">
                  <c:v>116500869</c:v>
                </c:pt>
                <c:pt idx="2050">
                  <c:v>102973313</c:v>
                </c:pt>
                <c:pt idx="2051">
                  <c:v>139086451</c:v>
                </c:pt>
                <c:pt idx="2052">
                  <c:v>95329600</c:v>
                </c:pt>
                <c:pt idx="2053">
                  <c:v>111401380</c:v>
                </c:pt>
                <c:pt idx="2054">
                  <c:v>134258319</c:v>
                </c:pt>
                <c:pt idx="2055">
                  <c:v>141820684</c:v>
                </c:pt>
                <c:pt idx="2056">
                  <c:v>120993544</c:v>
                </c:pt>
                <c:pt idx="2057">
                  <c:v>126520632</c:v>
                </c:pt>
                <c:pt idx="2058">
                  <c:v>137819074</c:v>
                </c:pt>
                <c:pt idx="2059">
                  <c:v>119362019</c:v>
                </c:pt>
                <c:pt idx="2060">
                  <c:v>113688586</c:v>
                </c:pt>
                <c:pt idx="2061">
                  <c:v>137637475</c:v>
                </c:pt>
                <c:pt idx="2062">
                  <c:v>145592719</c:v>
                </c:pt>
                <c:pt idx="2063">
                  <c:v>143960447</c:v>
                </c:pt>
                <c:pt idx="2064">
                  <c:v>139298549</c:v>
                </c:pt>
                <c:pt idx="2065">
                  <c:v>136227398</c:v>
                </c:pt>
                <c:pt idx="2066">
                  <c:v>138312489</c:v>
                </c:pt>
                <c:pt idx="2067">
                  <c:v>112919037</c:v>
                </c:pt>
                <c:pt idx="2068">
                  <c:v>125582034</c:v>
                </c:pt>
                <c:pt idx="2069">
                  <c:v>131856907</c:v>
                </c:pt>
                <c:pt idx="2070">
                  <c:v>140609914</c:v>
                </c:pt>
                <c:pt idx="2071">
                  <c:v>158457997</c:v>
                </c:pt>
                <c:pt idx="2072">
                  <c:v>155818699</c:v>
                </c:pt>
                <c:pt idx="2073">
                  <c:v>138068461</c:v>
                </c:pt>
                <c:pt idx="2074">
                  <c:v>155734410</c:v>
                </c:pt>
                <c:pt idx="2075">
                  <c:v>154255732</c:v>
                </c:pt>
                <c:pt idx="2076">
                  <c:v>162091657</c:v>
                </c:pt>
                <c:pt idx="2077">
                  <c:v>151536539</c:v>
                </c:pt>
                <c:pt idx="2078">
                  <c:v>148112258</c:v>
                </c:pt>
                <c:pt idx="2079">
                  <c:v>145196235</c:v>
                </c:pt>
                <c:pt idx="2080">
                  <c:v>138378326</c:v>
                </c:pt>
                <c:pt idx="2081">
                  <c:v>120362002</c:v>
                </c:pt>
                <c:pt idx="2082">
                  <c:v>140573486</c:v>
                </c:pt>
                <c:pt idx="2083">
                  <c:v>143999009</c:v>
                </c:pt>
                <c:pt idx="2084">
                  <c:v>150090763</c:v>
                </c:pt>
                <c:pt idx="2085">
                  <c:v>145126650</c:v>
                </c:pt>
                <c:pt idx="2086">
                  <c:v>148428856</c:v>
                </c:pt>
                <c:pt idx="2087">
                  <c:v>159100401</c:v>
                </c:pt>
                <c:pt idx="2088">
                  <c:v>135860741</c:v>
                </c:pt>
                <c:pt idx="2089">
                  <c:v>138912647</c:v>
                </c:pt>
                <c:pt idx="2090">
                  <c:v>149354759</c:v>
                </c:pt>
                <c:pt idx="2091">
                  <c:v>142090049</c:v>
                </c:pt>
                <c:pt idx="2092">
                  <c:v>144232508</c:v>
                </c:pt>
                <c:pt idx="2093">
                  <c:v>125893512</c:v>
                </c:pt>
                <c:pt idx="2094">
                  <c:v>136969988</c:v>
                </c:pt>
                <c:pt idx="2095">
                  <c:v>120188171</c:v>
                </c:pt>
                <c:pt idx="2096">
                  <c:v>131197465</c:v>
                </c:pt>
                <c:pt idx="2097">
                  <c:v>136440421</c:v>
                </c:pt>
                <c:pt idx="2098">
                  <c:v>156180489</c:v>
                </c:pt>
                <c:pt idx="2099">
                  <c:v>131833957</c:v>
                </c:pt>
                <c:pt idx="2100">
                  <c:v>117008366</c:v>
                </c:pt>
                <c:pt idx="2101">
                  <c:v>126277891</c:v>
                </c:pt>
                <c:pt idx="2102">
                  <c:v>107768254</c:v>
                </c:pt>
                <c:pt idx="2103">
                  <c:v>123593151</c:v>
                </c:pt>
                <c:pt idx="2104">
                  <c:v>129931493</c:v>
                </c:pt>
                <c:pt idx="2105">
                  <c:v>138843688</c:v>
                </c:pt>
                <c:pt idx="2106">
                  <c:v>146519918</c:v>
                </c:pt>
                <c:pt idx="2107">
                  <c:v>135108862</c:v>
                </c:pt>
                <c:pt idx="2108">
                  <c:v>130447077</c:v>
                </c:pt>
                <c:pt idx="2109">
                  <c:v>124767683</c:v>
                </c:pt>
                <c:pt idx="2110">
                  <c:v>137658505</c:v>
                </c:pt>
                <c:pt idx="2111">
                  <c:v>149145911</c:v>
                </c:pt>
                <c:pt idx="2112">
                  <c:v>148452449</c:v>
                </c:pt>
                <c:pt idx="2113">
                  <c:v>145119002</c:v>
                </c:pt>
                <c:pt idx="2114">
                  <c:v>142544849</c:v>
                </c:pt>
                <c:pt idx="2115">
                  <c:v>130965270</c:v>
                </c:pt>
                <c:pt idx="2116">
                  <c:v>106258281</c:v>
                </c:pt>
                <c:pt idx="2117">
                  <c:v>122272928</c:v>
                </c:pt>
                <c:pt idx="2118">
                  <c:v>130358687</c:v>
                </c:pt>
                <c:pt idx="2119">
                  <c:v>130884142</c:v>
                </c:pt>
                <c:pt idx="2120">
                  <c:v>122558274</c:v>
                </c:pt>
                <c:pt idx="2121">
                  <c:v>120565556</c:v>
                </c:pt>
                <c:pt idx="2122">
                  <c:v>114801633</c:v>
                </c:pt>
                <c:pt idx="2123">
                  <c:v>100856575</c:v>
                </c:pt>
                <c:pt idx="2124">
                  <c:v>115799970</c:v>
                </c:pt>
                <c:pt idx="2125">
                  <c:v>125317526</c:v>
                </c:pt>
                <c:pt idx="2126">
                  <c:v>132503216</c:v>
                </c:pt>
                <c:pt idx="2127">
                  <c:v>125280132</c:v>
                </c:pt>
                <c:pt idx="2128">
                  <c:v>131467607</c:v>
                </c:pt>
                <c:pt idx="2129">
                  <c:v>127165013</c:v>
                </c:pt>
                <c:pt idx="2130">
                  <c:v>108734372</c:v>
                </c:pt>
                <c:pt idx="2131">
                  <c:v>140196053</c:v>
                </c:pt>
                <c:pt idx="2132">
                  <c:v>142604877</c:v>
                </c:pt>
                <c:pt idx="2133">
                  <c:v>144414600</c:v>
                </c:pt>
                <c:pt idx="2134">
                  <c:v>160491627</c:v>
                </c:pt>
                <c:pt idx="2135">
                  <c:v>148288731</c:v>
                </c:pt>
                <c:pt idx="2136">
                  <c:v>156501294</c:v>
                </c:pt>
                <c:pt idx="2137">
                  <c:v>139545457</c:v>
                </c:pt>
                <c:pt idx="2138">
                  <c:v>163599487</c:v>
                </c:pt>
                <c:pt idx="2139">
                  <c:v>171444795</c:v>
                </c:pt>
                <c:pt idx="2140">
                  <c:v>171502049</c:v>
                </c:pt>
                <c:pt idx="2141">
                  <c:v>157235972</c:v>
                </c:pt>
                <c:pt idx="2142">
                  <c:v>124232607</c:v>
                </c:pt>
                <c:pt idx="2143">
                  <c:v>73746018</c:v>
                </c:pt>
                <c:pt idx="2144">
                  <c:v>76984654</c:v>
                </c:pt>
                <c:pt idx="2145">
                  <c:v>102581958</c:v>
                </c:pt>
                <c:pt idx="2146">
                  <c:v>129311045</c:v>
                </c:pt>
                <c:pt idx="2147">
                  <c:v>152309852</c:v>
                </c:pt>
                <c:pt idx="2148">
                  <c:v>161715421</c:v>
                </c:pt>
                <c:pt idx="2149">
                  <c:v>153127681</c:v>
                </c:pt>
                <c:pt idx="2150">
                  <c:v>144422671</c:v>
                </c:pt>
                <c:pt idx="2151">
                  <c:v>135572355</c:v>
                </c:pt>
                <c:pt idx="2152">
                  <c:v>149536851</c:v>
                </c:pt>
                <c:pt idx="2153">
                  <c:v>166273105</c:v>
                </c:pt>
                <c:pt idx="2154">
                  <c:v>154000969</c:v>
                </c:pt>
                <c:pt idx="2155">
                  <c:v>134597119</c:v>
                </c:pt>
                <c:pt idx="2156">
                  <c:v>144022872</c:v>
                </c:pt>
                <c:pt idx="2157">
                  <c:v>144364097</c:v>
                </c:pt>
                <c:pt idx="2158">
                  <c:v>124655189</c:v>
                </c:pt>
                <c:pt idx="2159">
                  <c:v>117178294</c:v>
                </c:pt>
                <c:pt idx="2160">
                  <c:v>125519633</c:v>
                </c:pt>
                <c:pt idx="2161">
                  <c:v>141612258</c:v>
                </c:pt>
                <c:pt idx="2162">
                  <c:v>142381844</c:v>
                </c:pt>
                <c:pt idx="2163">
                  <c:v>139213999</c:v>
                </c:pt>
                <c:pt idx="2164">
                  <c:v>140936754</c:v>
                </c:pt>
                <c:pt idx="2165">
                  <c:v>113943014</c:v>
                </c:pt>
                <c:pt idx="2166">
                  <c:v>119211827</c:v>
                </c:pt>
                <c:pt idx="2167">
                  <c:v>105529652</c:v>
                </c:pt>
                <c:pt idx="2168">
                  <c:v>128598617</c:v>
                </c:pt>
                <c:pt idx="2169">
                  <c:v>144004956</c:v>
                </c:pt>
                <c:pt idx="2170">
                  <c:v>137271099</c:v>
                </c:pt>
                <c:pt idx="2171">
                  <c:v>127634328</c:v>
                </c:pt>
                <c:pt idx="2172">
                  <c:v>98859078</c:v>
                </c:pt>
                <c:pt idx="2173">
                  <c:v>127472062</c:v>
                </c:pt>
                <c:pt idx="2174">
                  <c:v>135672544</c:v>
                </c:pt>
                <c:pt idx="2175">
                  <c:v>141679409</c:v>
                </c:pt>
                <c:pt idx="2176">
                  <c:v>142769982</c:v>
                </c:pt>
                <c:pt idx="2177">
                  <c:v>152268796</c:v>
                </c:pt>
                <c:pt idx="2178">
                  <c:v>149573413</c:v>
                </c:pt>
                <c:pt idx="2179">
                  <c:v>124880588</c:v>
                </c:pt>
                <c:pt idx="2180">
                  <c:v>148975053</c:v>
                </c:pt>
                <c:pt idx="2181">
                  <c:v>165401898</c:v>
                </c:pt>
                <c:pt idx="2182">
                  <c:v>160675110</c:v>
                </c:pt>
                <c:pt idx="2183">
                  <c:v>152062067</c:v>
                </c:pt>
                <c:pt idx="2184">
                  <c:v>127282340</c:v>
                </c:pt>
                <c:pt idx="2185">
                  <c:v>132986295</c:v>
                </c:pt>
                <c:pt idx="2186">
                  <c:v>114669354</c:v>
                </c:pt>
                <c:pt idx="2187">
                  <c:v>134352056</c:v>
                </c:pt>
                <c:pt idx="2188">
                  <c:v>147111025</c:v>
                </c:pt>
                <c:pt idx="2189">
                  <c:v>140431657</c:v>
                </c:pt>
                <c:pt idx="2190">
                  <c:v>132235842</c:v>
                </c:pt>
                <c:pt idx="2191">
                  <c:v>90558726</c:v>
                </c:pt>
                <c:pt idx="2192">
                  <c:v>123267103</c:v>
                </c:pt>
                <c:pt idx="2193">
                  <c:v>89869609</c:v>
                </c:pt>
                <c:pt idx="2194">
                  <c:v>125854658</c:v>
                </c:pt>
                <c:pt idx="2195">
                  <c:v>142267595</c:v>
                </c:pt>
                <c:pt idx="2196">
                  <c:v>148210588</c:v>
                </c:pt>
                <c:pt idx="2197">
                  <c:v>148538910</c:v>
                </c:pt>
                <c:pt idx="2198">
                  <c:v>141828638</c:v>
                </c:pt>
                <c:pt idx="2199">
                  <c:v>138141684</c:v>
                </c:pt>
                <c:pt idx="2200">
                  <c:v>116027289</c:v>
                </c:pt>
                <c:pt idx="2201">
                  <c:v>140694606</c:v>
                </c:pt>
                <c:pt idx="2202">
                  <c:v>156578489</c:v>
                </c:pt>
                <c:pt idx="2203">
                  <c:v>149297770</c:v>
                </c:pt>
                <c:pt idx="2204">
                  <c:v>127654052</c:v>
                </c:pt>
                <c:pt idx="2205">
                  <c:v>130358978</c:v>
                </c:pt>
                <c:pt idx="2206">
                  <c:v>121315560</c:v>
                </c:pt>
                <c:pt idx="2207">
                  <c:v>105074410</c:v>
                </c:pt>
                <c:pt idx="2208">
                  <c:v>118661759</c:v>
                </c:pt>
                <c:pt idx="2209">
                  <c:v>139676681</c:v>
                </c:pt>
                <c:pt idx="2210">
                  <c:v>129276281</c:v>
                </c:pt>
                <c:pt idx="2211">
                  <c:v>132870640</c:v>
                </c:pt>
                <c:pt idx="2212">
                  <c:v>136423999</c:v>
                </c:pt>
                <c:pt idx="2213">
                  <c:v>128023285</c:v>
                </c:pt>
                <c:pt idx="2214">
                  <c:v>111717504</c:v>
                </c:pt>
                <c:pt idx="2215">
                  <c:v>121754432</c:v>
                </c:pt>
                <c:pt idx="2216">
                  <c:v>68449188</c:v>
                </c:pt>
                <c:pt idx="2217">
                  <c:v>131684476</c:v>
                </c:pt>
                <c:pt idx="2218">
                  <c:v>155502969</c:v>
                </c:pt>
                <c:pt idx="2219">
                  <c:v>128355036</c:v>
                </c:pt>
                <c:pt idx="2220">
                  <c:v>129086791</c:v>
                </c:pt>
                <c:pt idx="2221">
                  <c:v>100676822</c:v>
                </c:pt>
                <c:pt idx="2222">
                  <c:v>132767492</c:v>
                </c:pt>
                <c:pt idx="2223">
                  <c:v>149615860</c:v>
                </c:pt>
                <c:pt idx="2224">
                  <c:v>157645709</c:v>
                </c:pt>
                <c:pt idx="2225">
                  <c:v>150529302</c:v>
                </c:pt>
                <c:pt idx="2226">
                  <c:v>158023981</c:v>
                </c:pt>
                <c:pt idx="2227">
                  <c:v>140230483</c:v>
                </c:pt>
                <c:pt idx="2228">
                  <c:v>110596835</c:v>
                </c:pt>
                <c:pt idx="2229">
                  <c:v>144498597</c:v>
                </c:pt>
                <c:pt idx="2230">
                  <c:v>154517791</c:v>
                </c:pt>
                <c:pt idx="2231">
                  <c:v>147755062</c:v>
                </c:pt>
                <c:pt idx="2232">
                  <c:v>152514509</c:v>
                </c:pt>
                <c:pt idx="2233">
                  <c:v>147306535</c:v>
                </c:pt>
                <c:pt idx="2234">
                  <c:v>135581912</c:v>
                </c:pt>
                <c:pt idx="2235">
                  <c:v>110501345</c:v>
                </c:pt>
                <c:pt idx="2236">
                  <c:v>117902220</c:v>
                </c:pt>
                <c:pt idx="2237">
                  <c:v>135120740</c:v>
                </c:pt>
                <c:pt idx="2238">
                  <c:v>147665181</c:v>
                </c:pt>
                <c:pt idx="2239">
                  <c:v>147514007</c:v>
                </c:pt>
                <c:pt idx="2240">
                  <c:v>153400930</c:v>
                </c:pt>
                <c:pt idx="2241">
                  <c:v>141399938</c:v>
                </c:pt>
                <c:pt idx="2242">
                  <c:v>117950048</c:v>
                </c:pt>
                <c:pt idx="2243">
                  <c:v>147851907</c:v>
                </c:pt>
                <c:pt idx="2244">
                  <c:v>165120751</c:v>
                </c:pt>
                <c:pt idx="2245">
                  <c:v>159568866</c:v>
                </c:pt>
                <c:pt idx="2246">
                  <c:v>157157224</c:v>
                </c:pt>
                <c:pt idx="2247">
                  <c:v>131121799</c:v>
                </c:pt>
                <c:pt idx="2248">
                  <c:v>133733314</c:v>
                </c:pt>
                <c:pt idx="2249">
                  <c:v>114268696</c:v>
                </c:pt>
                <c:pt idx="2250">
                  <c:v>154362061</c:v>
                </c:pt>
                <c:pt idx="2251">
                  <c:v>167333940</c:v>
                </c:pt>
                <c:pt idx="2252">
                  <c:v>178290978</c:v>
                </c:pt>
                <c:pt idx="2253">
                  <c:v>181303772</c:v>
                </c:pt>
                <c:pt idx="2254">
                  <c:v>171539378</c:v>
                </c:pt>
                <c:pt idx="2255">
                  <c:v>172130322</c:v>
                </c:pt>
                <c:pt idx="2256">
                  <c:v>131343265</c:v>
                </c:pt>
                <c:pt idx="2257">
                  <c:v>151070028</c:v>
                </c:pt>
                <c:pt idx="2258">
                  <c:v>168693537</c:v>
                </c:pt>
                <c:pt idx="2259">
                  <c:v>164251605</c:v>
                </c:pt>
                <c:pt idx="2260">
                  <c:v>137404034</c:v>
                </c:pt>
                <c:pt idx="2261">
                  <c:v>159205030</c:v>
                </c:pt>
                <c:pt idx="2262">
                  <c:v>163700696</c:v>
                </c:pt>
                <c:pt idx="2263">
                  <c:v>140222925</c:v>
                </c:pt>
                <c:pt idx="2264">
                  <c:v>161452894</c:v>
                </c:pt>
                <c:pt idx="2265">
                  <c:v>179118417</c:v>
                </c:pt>
                <c:pt idx="2266">
                  <c:v>172596028</c:v>
                </c:pt>
                <c:pt idx="2267">
                  <c:v>171916886</c:v>
                </c:pt>
                <c:pt idx="2268">
                  <c:v>149481644</c:v>
                </c:pt>
                <c:pt idx="2269">
                  <c:v>144070133</c:v>
                </c:pt>
                <c:pt idx="2270">
                  <c:v>119743756</c:v>
                </c:pt>
                <c:pt idx="2271">
                  <c:v>155394492</c:v>
                </c:pt>
                <c:pt idx="2272">
                  <c:v>153948289</c:v>
                </c:pt>
                <c:pt idx="2273">
                  <c:v>156942158</c:v>
                </c:pt>
                <c:pt idx="2274">
                  <c:v>160718181</c:v>
                </c:pt>
                <c:pt idx="2275">
                  <c:v>150963993</c:v>
                </c:pt>
                <c:pt idx="2276">
                  <c:v>144226444</c:v>
                </c:pt>
                <c:pt idx="2277">
                  <c:v>103697434</c:v>
                </c:pt>
                <c:pt idx="2278">
                  <c:v>79498930</c:v>
                </c:pt>
                <c:pt idx="2279">
                  <c:v>71790249</c:v>
                </c:pt>
                <c:pt idx="2280">
                  <c:v>100793459</c:v>
                </c:pt>
                <c:pt idx="2281">
                  <c:v>138722361</c:v>
                </c:pt>
                <c:pt idx="2282">
                  <c:v>153132839</c:v>
                </c:pt>
                <c:pt idx="2283">
                  <c:v>143328942</c:v>
                </c:pt>
                <c:pt idx="2284">
                  <c:v>129688195</c:v>
                </c:pt>
                <c:pt idx="2285">
                  <c:v>127440574</c:v>
                </c:pt>
                <c:pt idx="2286">
                  <c:v>138702679</c:v>
                </c:pt>
                <c:pt idx="2287">
                  <c:v>160471180</c:v>
                </c:pt>
                <c:pt idx="2288">
                  <c:v>175199372</c:v>
                </c:pt>
                <c:pt idx="2289">
                  <c:v>174025207</c:v>
                </c:pt>
                <c:pt idx="2290">
                  <c:v>165231158</c:v>
                </c:pt>
                <c:pt idx="2291">
                  <c:v>140026091</c:v>
                </c:pt>
                <c:pt idx="2292">
                  <c:v>150725232</c:v>
                </c:pt>
                <c:pt idx="2293">
                  <c:v>146516290</c:v>
                </c:pt>
                <c:pt idx="2294">
                  <c:v>134233829</c:v>
                </c:pt>
                <c:pt idx="2295">
                  <c:v>146178970</c:v>
                </c:pt>
                <c:pt idx="2296">
                  <c:v>138282151</c:v>
                </c:pt>
                <c:pt idx="2297">
                  <c:v>131195070</c:v>
                </c:pt>
                <c:pt idx="2298">
                  <c:v>92381291</c:v>
                </c:pt>
                <c:pt idx="2299">
                  <c:v>117939300</c:v>
                </c:pt>
                <c:pt idx="2300">
                  <c:v>130050889</c:v>
                </c:pt>
                <c:pt idx="2301">
                  <c:v>124394671</c:v>
                </c:pt>
                <c:pt idx="2302">
                  <c:v>127099735</c:v>
                </c:pt>
                <c:pt idx="2303">
                  <c:v>118446377</c:v>
                </c:pt>
                <c:pt idx="2304">
                  <c:v>101389956</c:v>
                </c:pt>
                <c:pt idx="2305">
                  <c:v>81376693</c:v>
                </c:pt>
                <c:pt idx="2306">
                  <c:v>105066595</c:v>
                </c:pt>
                <c:pt idx="2307">
                  <c:v>104135819</c:v>
                </c:pt>
                <c:pt idx="2308">
                  <c:v>102015439</c:v>
                </c:pt>
                <c:pt idx="2309">
                  <c:v>97125915</c:v>
                </c:pt>
                <c:pt idx="2310">
                  <c:v>92451063</c:v>
                </c:pt>
                <c:pt idx="2311">
                  <c:v>88523408</c:v>
                </c:pt>
                <c:pt idx="2312">
                  <c:v>77688606</c:v>
                </c:pt>
                <c:pt idx="2313">
                  <c:v>89039191</c:v>
                </c:pt>
                <c:pt idx="2314">
                  <c:v>97112023</c:v>
                </c:pt>
                <c:pt idx="2315">
                  <c:v>111676394</c:v>
                </c:pt>
                <c:pt idx="2316">
                  <c:v>103968780</c:v>
                </c:pt>
                <c:pt idx="2317">
                  <c:v>100418458</c:v>
                </c:pt>
                <c:pt idx="2318">
                  <c:v>99639897</c:v>
                </c:pt>
                <c:pt idx="2319">
                  <c:v>86308722</c:v>
                </c:pt>
                <c:pt idx="2320">
                  <c:v>88030162</c:v>
                </c:pt>
                <c:pt idx="2321">
                  <c:v>86003972</c:v>
                </c:pt>
                <c:pt idx="2322">
                  <c:v>85883735</c:v>
                </c:pt>
                <c:pt idx="2323">
                  <c:v>90688841</c:v>
                </c:pt>
                <c:pt idx="2324">
                  <c:v>84210526</c:v>
                </c:pt>
                <c:pt idx="2325">
                  <c:v>88537332</c:v>
                </c:pt>
                <c:pt idx="2326">
                  <c:v>89618659</c:v>
                </c:pt>
                <c:pt idx="2327">
                  <c:v>101226708</c:v>
                </c:pt>
                <c:pt idx="2328">
                  <c:v>98841385</c:v>
                </c:pt>
                <c:pt idx="2329">
                  <c:v>84329832</c:v>
                </c:pt>
                <c:pt idx="2330">
                  <c:v>93135806</c:v>
                </c:pt>
                <c:pt idx="2331">
                  <c:v>98462421</c:v>
                </c:pt>
                <c:pt idx="2332">
                  <c:v>104847725</c:v>
                </c:pt>
                <c:pt idx="2333">
                  <c:v>88199908</c:v>
                </c:pt>
                <c:pt idx="2334">
                  <c:v>93048116</c:v>
                </c:pt>
                <c:pt idx="2335">
                  <c:v>94837127</c:v>
                </c:pt>
                <c:pt idx="2336">
                  <c:v>94926650</c:v>
                </c:pt>
                <c:pt idx="2337">
                  <c:v>100668327</c:v>
                </c:pt>
                <c:pt idx="2338">
                  <c:v>93122289</c:v>
                </c:pt>
                <c:pt idx="2339">
                  <c:v>103810119</c:v>
                </c:pt>
                <c:pt idx="2340">
                  <c:v>94410212</c:v>
                </c:pt>
                <c:pt idx="2341">
                  <c:v>102217648</c:v>
                </c:pt>
                <c:pt idx="2342">
                  <c:v>108397301</c:v>
                </c:pt>
                <c:pt idx="2343">
                  <c:v>129934308</c:v>
                </c:pt>
                <c:pt idx="2344">
                  <c:v>124296079</c:v>
                </c:pt>
                <c:pt idx="2345">
                  <c:v>118042960</c:v>
                </c:pt>
                <c:pt idx="2346">
                  <c:v>113358680</c:v>
                </c:pt>
                <c:pt idx="2347">
                  <c:v>92816745</c:v>
                </c:pt>
                <c:pt idx="2348">
                  <c:v>118930452</c:v>
                </c:pt>
                <c:pt idx="2349">
                  <c:v>131578824</c:v>
                </c:pt>
                <c:pt idx="2350">
                  <c:v>132076689</c:v>
                </c:pt>
                <c:pt idx="2351">
                  <c:v>118383905</c:v>
                </c:pt>
                <c:pt idx="2352">
                  <c:v>117890453</c:v>
                </c:pt>
                <c:pt idx="2353">
                  <c:v>117595531</c:v>
                </c:pt>
                <c:pt idx="2354">
                  <c:v>100995809</c:v>
                </c:pt>
                <c:pt idx="2355">
                  <c:v>120689568</c:v>
                </c:pt>
                <c:pt idx="2356">
                  <c:v>134906530</c:v>
                </c:pt>
                <c:pt idx="2357">
                  <c:v>135944866</c:v>
                </c:pt>
                <c:pt idx="2358">
                  <c:v>130232656</c:v>
                </c:pt>
                <c:pt idx="2359">
                  <c:v>138022558</c:v>
                </c:pt>
                <c:pt idx="2360">
                  <c:v>133354230</c:v>
                </c:pt>
                <c:pt idx="2361">
                  <c:v>221710144</c:v>
                </c:pt>
                <c:pt idx="2362">
                  <c:v>145965753</c:v>
                </c:pt>
                <c:pt idx="2363">
                  <c:v>149997003</c:v>
                </c:pt>
                <c:pt idx="2364">
                  <c:v>151518848</c:v>
                </c:pt>
                <c:pt idx="2365">
                  <c:v>146748687</c:v>
                </c:pt>
                <c:pt idx="2366">
                  <c:v>147475290</c:v>
                </c:pt>
                <c:pt idx="2367">
                  <c:v>134744002</c:v>
                </c:pt>
                <c:pt idx="2368">
                  <c:v>118844055</c:v>
                </c:pt>
                <c:pt idx="2369">
                  <c:v>137720368</c:v>
                </c:pt>
                <c:pt idx="2370">
                  <c:v>140872922</c:v>
                </c:pt>
                <c:pt idx="2371">
                  <c:v>141030072</c:v>
                </c:pt>
                <c:pt idx="2372">
                  <c:v>146321947</c:v>
                </c:pt>
                <c:pt idx="2373">
                  <c:v>138932563</c:v>
                </c:pt>
                <c:pt idx="2374">
                  <c:v>133640954</c:v>
                </c:pt>
                <c:pt idx="2375">
                  <c:v>120497860</c:v>
                </c:pt>
                <c:pt idx="2376">
                  <c:v>142072085</c:v>
                </c:pt>
                <c:pt idx="2377">
                  <c:v>172867806</c:v>
                </c:pt>
                <c:pt idx="2378">
                  <c:v>153484526</c:v>
                </c:pt>
                <c:pt idx="2379">
                  <c:v>147241515</c:v>
                </c:pt>
                <c:pt idx="2380">
                  <c:v>152604296</c:v>
                </c:pt>
                <c:pt idx="2381">
                  <c:v>138394382</c:v>
                </c:pt>
                <c:pt idx="2382">
                  <c:v>119612603</c:v>
                </c:pt>
                <c:pt idx="2383">
                  <c:v>138819148</c:v>
                </c:pt>
                <c:pt idx="2384">
                  <c:v>181166641</c:v>
                </c:pt>
                <c:pt idx="2385">
                  <c:v>136443437</c:v>
                </c:pt>
                <c:pt idx="2386">
                  <c:v>137472480</c:v>
                </c:pt>
                <c:pt idx="2387">
                  <c:v>134436432</c:v>
                </c:pt>
                <c:pt idx="2388">
                  <c:v>136584344</c:v>
                </c:pt>
                <c:pt idx="2389">
                  <c:v>108182650</c:v>
                </c:pt>
                <c:pt idx="2390">
                  <c:v>109659915</c:v>
                </c:pt>
                <c:pt idx="2391">
                  <c:v>125079934</c:v>
                </c:pt>
                <c:pt idx="2392">
                  <c:v>115608237</c:v>
                </c:pt>
                <c:pt idx="2393">
                  <c:v>135826067</c:v>
                </c:pt>
                <c:pt idx="2394">
                  <c:v>137601540</c:v>
                </c:pt>
                <c:pt idx="2395">
                  <c:v>138976704</c:v>
                </c:pt>
                <c:pt idx="2396">
                  <c:v>124435003</c:v>
                </c:pt>
                <c:pt idx="2397">
                  <c:v>137606077</c:v>
                </c:pt>
                <c:pt idx="2398">
                  <c:v>129935604</c:v>
                </c:pt>
                <c:pt idx="2399">
                  <c:v>122207705</c:v>
                </c:pt>
                <c:pt idx="2400">
                  <c:v>128610782</c:v>
                </c:pt>
                <c:pt idx="2401">
                  <c:v>130368845</c:v>
                </c:pt>
                <c:pt idx="2402">
                  <c:v>129280823</c:v>
                </c:pt>
                <c:pt idx="2403">
                  <c:v>106281662</c:v>
                </c:pt>
                <c:pt idx="2404">
                  <c:v>131372767</c:v>
                </c:pt>
                <c:pt idx="2405">
                  <c:v>155019174</c:v>
                </c:pt>
                <c:pt idx="2406">
                  <c:v>160037017</c:v>
                </c:pt>
                <c:pt idx="2407">
                  <c:v>160233712</c:v>
                </c:pt>
                <c:pt idx="2408">
                  <c:v>147357437</c:v>
                </c:pt>
                <c:pt idx="2409">
                  <c:v>144592186</c:v>
                </c:pt>
                <c:pt idx="2410">
                  <c:v>114082047</c:v>
                </c:pt>
                <c:pt idx="2411">
                  <c:v>137467521</c:v>
                </c:pt>
                <c:pt idx="2412">
                  <c:v>148370926</c:v>
                </c:pt>
                <c:pt idx="2413">
                  <c:v>144987513</c:v>
                </c:pt>
                <c:pt idx="2414">
                  <c:v>173448387</c:v>
                </c:pt>
                <c:pt idx="2415">
                  <c:v>134635294</c:v>
                </c:pt>
                <c:pt idx="2416">
                  <c:v>136282335</c:v>
                </c:pt>
                <c:pt idx="2417">
                  <c:v>74732218</c:v>
                </c:pt>
                <c:pt idx="2418">
                  <c:v>142091123</c:v>
                </c:pt>
                <c:pt idx="2419">
                  <c:v>150546542</c:v>
                </c:pt>
                <c:pt idx="2420">
                  <c:v>147915964</c:v>
                </c:pt>
                <c:pt idx="2421">
                  <c:v>144309744</c:v>
                </c:pt>
                <c:pt idx="2422">
                  <c:v>123150899</c:v>
                </c:pt>
                <c:pt idx="2423">
                  <c:v>114768303</c:v>
                </c:pt>
                <c:pt idx="2424">
                  <c:v>81318582</c:v>
                </c:pt>
                <c:pt idx="2425">
                  <c:v>114447057</c:v>
                </c:pt>
                <c:pt idx="2426">
                  <c:v>132700755</c:v>
                </c:pt>
                <c:pt idx="2427">
                  <c:v>147531803</c:v>
                </c:pt>
                <c:pt idx="2428">
                  <c:v>147417884</c:v>
                </c:pt>
                <c:pt idx="2429">
                  <c:v>139408688</c:v>
                </c:pt>
                <c:pt idx="2430">
                  <c:v>137183535</c:v>
                </c:pt>
                <c:pt idx="2431">
                  <c:v>115223458</c:v>
                </c:pt>
                <c:pt idx="2432">
                  <c:v>108294721</c:v>
                </c:pt>
                <c:pt idx="2433">
                  <c:v>112135461</c:v>
                </c:pt>
                <c:pt idx="2434">
                  <c:v>130068169</c:v>
                </c:pt>
                <c:pt idx="2435">
                  <c:v>142079432</c:v>
                </c:pt>
                <c:pt idx="2436">
                  <c:v>142563966</c:v>
                </c:pt>
                <c:pt idx="2437">
                  <c:v>146445712</c:v>
                </c:pt>
                <c:pt idx="2438">
                  <c:v>120332083</c:v>
                </c:pt>
                <c:pt idx="2439">
                  <c:v>144634704</c:v>
                </c:pt>
                <c:pt idx="2440">
                  <c:v>140455674</c:v>
                </c:pt>
                <c:pt idx="2441">
                  <c:v>153584805</c:v>
                </c:pt>
                <c:pt idx="2442">
                  <c:v>145864762</c:v>
                </c:pt>
                <c:pt idx="2443">
                  <c:v>127659832</c:v>
                </c:pt>
                <c:pt idx="2444">
                  <c:v>97251615</c:v>
                </c:pt>
                <c:pt idx="2445">
                  <c:v>95499557</c:v>
                </c:pt>
                <c:pt idx="2446">
                  <c:v>122478514</c:v>
                </c:pt>
                <c:pt idx="2447">
                  <c:v>129189758</c:v>
                </c:pt>
                <c:pt idx="2448">
                  <c:v>137535958</c:v>
                </c:pt>
                <c:pt idx="2449">
                  <c:v>118234888</c:v>
                </c:pt>
                <c:pt idx="2450">
                  <c:v>123930874</c:v>
                </c:pt>
                <c:pt idx="2451">
                  <c:v>144579904</c:v>
                </c:pt>
                <c:pt idx="2452">
                  <c:v>115672905</c:v>
                </c:pt>
                <c:pt idx="2453">
                  <c:v>147615822</c:v>
                </c:pt>
                <c:pt idx="2454">
                  <c:v>142205508</c:v>
                </c:pt>
                <c:pt idx="2455">
                  <c:v>146122898</c:v>
                </c:pt>
                <c:pt idx="2456">
                  <c:v>148408562</c:v>
                </c:pt>
                <c:pt idx="2457">
                  <c:v>136232614</c:v>
                </c:pt>
                <c:pt idx="2458">
                  <c:v>144238725</c:v>
                </c:pt>
                <c:pt idx="2459">
                  <c:v>126231972</c:v>
                </c:pt>
                <c:pt idx="2460">
                  <c:v>1080944827</c:v>
                </c:pt>
                <c:pt idx="2461">
                  <c:v>140877625</c:v>
                </c:pt>
                <c:pt idx="2462">
                  <c:v>141428941</c:v>
                </c:pt>
                <c:pt idx="2463">
                  <c:v>143381719</c:v>
                </c:pt>
                <c:pt idx="2464">
                  <c:v>127246999</c:v>
                </c:pt>
                <c:pt idx="2465">
                  <c:v>124102276</c:v>
                </c:pt>
                <c:pt idx="2466">
                  <c:v>118444174</c:v>
                </c:pt>
                <c:pt idx="2467">
                  <c:v>135661744</c:v>
                </c:pt>
                <c:pt idx="2468">
                  <c:v>144643572</c:v>
                </c:pt>
                <c:pt idx="2469">
                  <c:v>148582210</c:v>
                </c:pt>
                <c:pt idx="2470">
                  <c:v>148486976</c:v>
                </c:pt>
                <c:pt idx="2471">
                  <c:v>111891157</c:v>
                </c:pt>
                <c:pt idx="2472">
                  <c:v>146697051</c:v>
                </c:pt>
                <c:pt idx="2473">
                  <c:v>111024357</c:v>
                </c:pt>
                <c:pt idx="2474">
                  <c:v>138598067</c:v>
                </c:pt>
                <c:pt idx="2475">
                  <c:v>136653277</c:v>
                </c:pt>
                <c:pt idx="2476">
                  <c:v>142274657</c:v>
                </c:pt>
                <c:pt idx="2477">
                  <c:v>123058572</c:v>
                </c:pt>
                <c:pt idx="2478">
                  <c:v>106479674</c:v>
                </c:pt>
                <c:pt idx="2479">
                  <c:v>116125272</c:v>
                </c:pt>
                <c:pt idx="2480">
                  <c:v>102032061</c:v>
                </c:pt>
                <c:pt idx="2481">
                  <c:v>121572719</c:v>
                </c:pt>
                <c:pt idx="2482">
                  <c:v>129102756</c:v>
                </c:pt>
                <c:pt idx="2483">
                  <c:v>140632799</c:v>
                </c:pt>
                <c:pt idx="2484">
                  <c:v>147304015</c:v>
                </c:pt>
                <c:pt idx="2485">
                  <c:v>153611590</c:v>
                </c:pt>
                <c:pt idx="2486">
                  <c:v>151589071</c:v>
                </c:pt>
                <c:pt idx="2487">
                  <c:v>99145784</c:v>
                </c:pt>
                <c:pt idx="2488">
                  <c:v>128001478</c:v>
                </c:pt>
                <c:pt idx="2489">
                  <c:v>147949203</c:v>
                </c:pt>
                <c:pt idx="2490">
                  <c:v>144307123</c:v>
                </c:pt>
                <c:pt idx="2491">
                  <c:v>145386615</c:v>
                </c:pt>
                <c:pt idx="2492">
                  <c:v>147467568</c:v>
                </c:pt>
                <c:pt idx="2493">
                  <c:v>150191663</c:v>
                </c:pt>
                <c:pt idx="2494">
                  <c:v>113787295</c:v>
                </c:pt>
                <c:pt idx="2495">
                  <c:v>137894257</c:v>
                </c:pt>
                <c:pt idx="2496">
                  <c:v>146027402</c:v>
                </c:pt>
                <c:pt idx="2497">
                  <c:v>115196181</c:v>
                </c:pt>
                <c:pt idx="2498">
                  <c:v>70897639</c:v>
                </c:pt>
                <c:pt idx="2499">
                  <c:v>94648316</c:v>
                </c:pt>
                <c:pt idx="2500">
                  <c:v>111974979</c:v>
                </c:pt>
                <c:pt idx="2501">
                  <c:v>114968867</c:v>
                </c:pt>
                <c:pt idx="2502">
                  <c:v>149379435</c:v>
                </c:pt>
                <c:pt idx="2503">
                  <c:v>158588050</c:v>
                </c:pt>
                <c:pt idx="2504">
                  <c:v>157421472</c:v>
                </c:pt>
                <c:pt idx="2505">
                  <c:v>157054908</c:v>
                </c:pt>
                <c:pt idx="2506">
                  <c:v>169472792</c:v>
                </c:pt>
                <c:pt idx="2507">
                  <c:v>163510780</c:v>
                </c:pt>
                <c:pt idx="2508">
                  <c:v>138747587</c:v>
                </c:pt>
                <c:pt idx="2509">
                  <c:v>165882521</c:v>
                </c:pt>
                <c:pt idx="2510">
                  <c:v>177105727</c:v>
                </c:pt>
                <c:pt idx="2511">
                  <c:v>184915602</c:v>
                </c:pt>
                <c:pt idx="2512">
                  <c:v>191381944</c:v>
                </c:pt>
                <c:pt idx="2513">
                  <c:v>166595529</c:v>
                </c:pt>
                <c:pt idx="2514">
                  <c:v>181269246</c:v>
                </c:pt>
                <c:pt idx="2515">
                  <c:v>154346667</c:v>
                </c:pt>
                <c:pt idx="2516">
                  <c:v>174707261</c:v>
                </c:pt>
                <c:pt idx="2517">
                  <c:v>189064830</c:v>
                </c:pt>
                <c:pt idx="2518">
                  <c:v>179349483</c:v>
                </c:pt>
                <c:pt idx="2519">
                  <c:v>159237606</c:v>
                </c:pt>
                <c:pt idx="2520">
                  <c:v>152038849</c:v>
                </c:pt>
                <c:pt idx="2521">
                  <c:v>248143284</c:v>
                </c:pt>
                <c:pt idx="2522">
                  <c:v>141852616</c:v>
                </c:pt>
                <c:pt idx="2523">
                  <c:v>153215420</c:v>
                </c:pt>
                <c:pt idx="2524">
                  <c:v>154239662</c:v>
                </c:pt>
                <c:pt idx="2525">
                  <c:v>164328049</c:v>
                </c:pt>
                <c:pt idx="2526">
                  <c:v>166219667</c:v>
                </c:pt>
                <c:pt idx="2527">
                  <c:v>169848958</c:v>
                </c:pt>
                <c:pt idx="2528">
                  <c:v>172667115</c:v>
                </c:pt>
                <c:pt idx="2529">
                  <c:v>137193998</c:v>
                </c:pt>
                <c:pt idx="2530">
                  <c:v>160285858</c:v>
                </c:pt>
                <c:pt idx="2531">
                  <c:v>172248390</c:v>
                </c:pt>
                <c:pt idx="2532">
                  <c:v>180246991</c:v>
                </c:pt>
                <c:pt idx="2533">
                  <c:v>176426663</c:v>
                </c:pt>
                <c:pt idx="2534">
                  <c:v>165539200</c:v>
                </c:pt>
                <c:pt idx="2535">
                  <c:v>149584609</c:v>
                </c:pt>
                <c:pt idx="2536">
                  <c:v>134168466</c:v>
                </c:pt>
                <c:pt idx="2537">
                  <c:v>158635017</c:v>
                </c:pt>
                <c:pt idx="2538">
                  <c:v>172701228</c:v>
                </c:pt>
                <c:pt idx="2539">
                  <c:v>189340967</c:v>
                </c:pt>
                <c:pt idx="2540">
                  <c:v>186044574</c:v>
                </c:pt>
                <c:pt idx="2541">
                  <c:v>175313431</c:v>
                </c:pt>
                <c:pt idx="2542">
                  <c:v>177993514</c:v>
                </c:pt>
                <c:pt idx="2543">
                  <c:v>139668786</c:v>
                </c:pt>
                <c:pt idx="2544">
                  <c:v>161112426</c:v>
                </c:pt>
                <c:pt idx="2545">
                  <c:v>164541803</c:v>
                </c:pt>
                <c:pt idx="2546">
                  <c:v>183320107</c:v>
                </c:pt>
                <c:pt idx="2547">
                  <c:v>175387258</c:v>
                </c:pt>
                <c:pt idx="2548">
                  <c:v>172896288</c:v>
                </c:pt>
                <c:pt idx="2549">
                  <c:v>149486756</c:v>
                </c:pt>
                <c:pt idx="2550">
                  <c:v>131952984</c:v>
                </c:pt>
                <c:pt idx="2551">
                  <c:v>150936749</c:v>
                </c:pt>
                <c:pt idx="2552">
                  <c:v>146531028</c:v>
                </c:pt>
                <c:pt idx="2553">
                  <c:v>153930910</c:v>
                </c:pt>
                <c:pt idx="2554">
                  <c:v>150788875</c:v>
                </c:pt>
                <c:pt idx="2555">
                  <c:v>146243788</c:v>
                </c:pt>
                <c:pt idx="2556">
                  <c:v>117339831</c:v>
                </c:pt>
                <c:pt idx="2557">
                  <c:v>133435568</c:v>
                </c:pt>
                <c:pt idx="2558">
                  <c:v>165578392</c:v>
                </c:pt>
                <c:pt idx="2559">
                  <c:v>179202515</c:v>
                </c:pt>
                <c:pt idx="2560">
                  <c:v>145004013</c:v>
                </c:pt>
                <c:pt idx="2561">
                  <c:v>167592153</c:v>
                </c:pt>
                <c:pt idx="2562">
                  <c:v>169438085</c:v>
                </c:pt>
                <c:pt idx="2563">
                  <c:v>118130035</c:v>
                </c:pt>
                <c:pt idx="2564">
                  <c:v>103422096</c:v>
                </c:pt>
                <c:pt idx="2565">
                  <c:v>152084401</c:v>
                </c:pt>
                <c:pt idx="2566">
                  <c:v>163987521</c:v>
                </c:pt>
                <c:pt idx="2567">
                  <c:v>169666125</c:v>
                </c:pt>
                <c:pt idx="2568">
                  <c:v>164514278</c:v>
                </c:pt>
                <c:pt idx="2569">
                  <c:v>144862891</c:v>
                </c:pt>
                <c:pt idx="2570">
                  <c:v>134575962</c:v>
                </c:pt>
                <c:pt idx="2571">
                  <c:v>114800657</c:v>
                </c:pt>
                <c:pt idx="2572">
                  <c:v>148193563</c:v>
                </c:pt>
                <c:pt idx="2573">
                  <c:v>156080284</c:v>
                </c:pt>
                <c:pt idx="2574">
                  <c:v>247450348</c:v>
                </c:pt>
                <c:pt idx="2575">
                  <c:v>148015112</c:v>
                </c:pt>
                <c:pt idx="2576">
                  <c:v>156324993</c:v>
                </c:pt>
                <c:pt idx="2577">
                  <c:v>126068179</c:v>
                </c:pt>
                <c:pt idx="2578">
                  <c:v>104004909</c:v>
                </c:pt>
                <c:pt idx="2579">
                  <c:v>151817349</c:v>
                </c:pt>
                <c:pt idx="2580">
                  <c:v>166841290</c:v>
                </c:pt>
                <c:pt idx="2581">
                  <c:v>93477801</c:v>
                </c:pt>
                <c:pt idx="2582">
                  <c:v>160946182</c:v>
                </c:pt>
                <c:pt idx="2583">
                  <c:v>163141330</c:v>
                </c:pt>
                <c:pt idx="2584">
                  <c:v>159500143</c:v>
                </c:pt>
                <c:pt idx="2585">
                  <c:v>131732478</c:v>
                </c:pt>
                <c:pt idx="2586">
                  <c:v>154839547</c:v>
                </c:pt>
                <c:pt idx="2587">
                  <c:v>170198651</c:v>
                </c:pt>
                <c:pt idx="2588">
                  <c:v>189970450</c:v>
                </c:pt>
                <c:pt idx="2589">
                  <c:v>174467418</c:v>
                </c:pt>
                <c:pt idx="2590">
                  <c:v>172987787</c:v>
                </c:pt>
                <c:pt idx="2591">
                  <c:v>157849192</c:v>
                </c:pt>
                <c:pt idx="2592">
                  <c:v>131374137</c:v>
                </c:pt>
                <c:pt idx="2593">
                  <c:v>164717960</c:v>
                </c:pt>
                <c:pt idx="2594">
                  <c:v>178423150</c:v>
                </c:pt>
                <c:pt idx="2595">
                  <c:v>172387334</c:v>
                </c:pt>
                <c:pt idx="2596">
                  <c:v>161655646</c:v>
                </c:pt>
                <c:pt idx="2597">
                  <c:v>153601082</c:v>
                </c:pt>
                <c:pt idx="2598">
                  <c:v>151291412</c:v>
                </c:pt>
                <c:pt idx="2599">
                  <c:v>127429779</c:v>
                </c:pt>
                <c:pt idx="2600">
                  <c:v>146868948</c:v>
                </c:pt>
                <c:pt idx="2601">
                  <c:v>158321557</c:v>
                </c:pt>
                <c:pt idx="2602">
                  <c:v>155502157</c:v>
                </c:pt>
                <c:pt idx="2603">
                  <c:v>161682470</c:v>
                </c:pt>
                <c:pt idx="2604">
                  <c:v>149986356</c:v>
                </c:pt>
                <c:pt idx="2605">
                  <c:v>155056153</c:v>
                </c:pt>
                <c:pt idx="2606">
                  <c:v>132845397</c:v>
                </c:pt>
                <c:pt idx="2607">
                  <c:v>163899172</c:v>
                </c:pt>
                <c:pt idx="2608">
                  <c:v>170243589</c:v>
                </c:pt>
                <c:pt idx="2609">
                  <c:v>185168956</c:v>
                </c:pt>
                <c:pt idx="2610">
                  <c:v>176403078</c:v>
                </c:pt>
                <c:pt idx="2611">
                  <c:v>183586707</c:v>
                </c:pt>
                <c:pt idx="2612">
                  <c:v>162614244</c:v>
                </c:pt>
                <c:pt idx="2613">
                  <c:v>119217765</c:v>
                </c:pt>
                <c:pt idx="2614">
                  <c:v>154128602</c:v>
                </c:pt>
                <c:pt idx="2615">
                  <c:v>167033957</c:v>
                </c:pt>
                <c:pt idx="2616">
                  <c:v>206979540</c:v>
                </c:pt>
                <c:pt idx="2617">
                  <c:v>220311313</c:v>
                </c:pt>
                <c:pt idx="2618">
                  <c:v>203616309</c:v>
                </c:pt>
                <c:pt idx="2619">
                  <c:v>202126992</c:v>
                </c:pt>
                <c:pt idx="2620">
                  <c:v>164817469</c:v>
                </c:pt>
                <c:pt idx="2621">
                  <c:v>202225245</c:v>
                </c:pt>
                <c:pt idx="2622">
                  <c:v>218430386</c:v>
                </c:pt>
                <c:pt idx="2623">
                  <c:v>213259843</c:v>
                </c:pt>
                <c:pt idx="2624">
                  <c:v>187114880</c:v>
                </c:pt>
                <c:pt idx="2625">
                  <c:v>204317359</c:v>
                </c:pt>
                <c:pt idx="2626">
                  <c:v>187533841</c:v>
                </c:pt>
                <c:pt idx="2627">
                  <c:v>175489141</c:v>
                </c:pt>
                <c:pt idx="2628">
                  <c:v>211984063</c:v>
                </c:pt>
                <c:pt idx="2629">
                  <c:v>211471541</c:v>
                </c:pt>
                <c:pt idx="2630">
                  <c:v>197692989</c:v>
                </c:pt>
                <c:pt idx="2631">
                  <c:v>140797027</c:v>
                </c:pt>
                <c:pt idx="2632">
                  <c:v>105151217</c:v>
                </c:pt>
                <c:pt idx="2633">
                  <c:v>96053435</c:v>
                </c:pt>
                <c:pt idx="2634">
                  <c:v>94314239</c:v>
                </c:pt>
                <c:pt idx="2635">
                  <c:v>184196930</c:v>
                </c:pt>
                <c:pt idx="2636">
                  <c:v>192221833</c:v>
                </c:pt>
                <c:pt idx="2637">
                  <c:v>200975236</c:v>
                </c:pt>
                <c:pt idx="2638">
                  <c:v>207805232</c:v>
                </c:pt>
                <c:pt idx="2639">
                  <c:v>201102334</c:v>
                </c:pt>
                <c:pt idx="2640">
                  <c:v>194109242</c:v>
                </c:pt>
                <c:pt idx="2641">
                  <c:v>160334106</c:v>
                </c:pt>
                <c:pt idx="2642">
                  <c:v>178006136</c:v>
                </c:pt>
                <c:pt idx="2643">
                  <c:v>188514994</c:v>
                </c:pt>
                <c:pt idx="2644">
                  <c:v>191325624</c:v>
                </c:pt>
                <c:pt idx="2645">
                  <c:v>186392718</c:v>
                </c:pt>
                <c:pt idx="2646">
                  <c:v>181618940</c:v>
                </c:pt>
                <c:pt idx="2647">
                  <c:v>175547496</c:v>
                </c:pt>
                <c:pt idx="2648">
                  <c:v>138098600</c:v>
                </c:pt>
                <c:pt idx="2649">
                  <c:v>178679747</c:v>
                </c:pt>
                <c:pt idx="2650">
                  <c:v>208845705</c:v>
                </c:pt>
                <c:pt idx="2651">
                  <c:v>206464841</c:v>
                </c:pt>
                <c:pt idx="2652">
                  <c:v>208423834</c:v>
                </c:pt>
                <c:pt idx="2653">
                  <c:v>185250231</c:v>
                </c:pt>
                <c:pt idx="2654">
                  <c:v>163136828</c:v>
                </c:pt>
                <c:pt idx="2655">
                  <c:v>127489504</c:v>
                </c:pt>
                <c:pt idx="2656">
                  <c:v>180381409</c:v>
                </c:pt>
                <c:pt idx="2657">
                  <c:v>196942561</c:v>
                </c:pt>
                <c:pt idx="2658">
                  <c:v>186737746</c:v>
                </c:pt>
                <c:pt idx="2659">
                  <c:v>145884877</c:v>
                </c:pt>
                <c:pt idx="2660">
                  <c:v>147813111</c:v>
                </c:pt>
                <c:pt idx="2661">
                  <c:v>161724545</c:v>
                </c:pt>
                <c:pt idx="2662">
                  <c:v>125737726</c:v>
                </c:pt>
                <c:pt idx="2663">
                  <c:v>164096515</c:v>
                </c:pt>
                <c:pt idx="2664">
                  <c:v>177687630</c:v>
                </c:pt>
                <c:pt idx="2665">
                  <c:v>188292178</c:v>
                </c:pt>
                <c:pt idx="2666">
                  <c:v>190054615</c:v>
                </c:pt>
                <c:pt idx="2667">
                  <c:v>184723206</c:v>
                </c:pt>
                <c:pt idx="2668">
                  <c:v>177897185</c:v>
                </c:pt>
                <c:pt idx="2669">
                  <c:v>144173544</c:v>
                </c:pt>
                <c:pt idx="2670">
                  <c:v>176742077</c:v>
                </c:pt>
                <c:pt idx="2671">
                  <c:v>185110087</c:v>
                </c:pt>
                <c:pt idx="2672">
                  <c:v>189350506</c:v>
                </c:pt>
                <c:pt idx="2673">
                  <c:v>174562906</c:v>
                </c:pt>
                <c:pt idx="2674">
                  <c:v>177466897</c:v>
                </c:pt>
                <c:pt idx="2675">
                  <c:v>166446844</c:v>
                </c:pt>
                <c:pt idx="2676">
                  <c:v>147391210</c:v>
                </c:pt>
                <c:pt idx="2677">
                  <c:v>174584803</c:v>
                </c:pt>
                <c:pt idx="2678">
                  <c:v>136445953</c:v>
                </c:pt>
                <c:pt idx="2679">
                  <c:v>180527595</c:v>
                </c:pt>
                <c:pt idx="2680">
                  <c:v>208184422</c:v>
                </c:pt>
                <c:pt idx="2681">
                  <c:v>205068920</c:v>
                </c:pt>
                <c:pt idx="2682">
                  <c:v>195452225</c:v>
                </c:pt>
                <c:pt idx="2683">
                  <c:v>147707216</c:v>
                </c:pt>
                <c:pt idx="2684">
                  <c:v>185456268</c:v>
                </c:pt>
                <c:pt idx="2685">
                  <c:v>197560289</c:v>
                </c:pt>
                <c:pt idx="2686">
                  <c:v>200131690</c:v>
                </c:pt>
                <c:pt idx="2687">
                  <c:v>195794809</c:v>
                </c:pt>
                <c:pt idx="2688">
                  <c:v>188737024</c:v>
                </c:pt>
                <c:pt idx="2689">
                  <c:v>171922419</c:v>
                </c:pt>
                <c:pt idx="2690">
                  <c:v>162120642</c:v>
                </c:pt>
                <c:pt idx="2691">
                  <c:v>166131941</c:v>
                </c:pt>
                <c:pt idx="2692">
                  <c:v>194781462</c:v>
                </c:pt>
                <c:pt idx="2693">
                  <c:v>202800046</c:v>
                </c:pt>
                <c:pt idx="2694">
                  <c:v>219270355</c:v>
                </c:pt>
                <c:pt idx="2695">
                  <c:v>218393680</c:v>
                </c:pt>
                <c:pt idx="2696">
                  <c:v>197785756</c:v>
                </c:pt>
                <c:pt idx="2697">
                  <c:v>167159349</c:v>
                </c:pt>
                <c:pt idx="2698">
                  <c:v>186159737</c:v>
                </c:pt>
                <c:pt idx="2699">
                  <c:v>210940544</c:v>
                </c:pt>
                <c:pt idx="2700">
                  <c:v>219024696</c:v>
                </c:pt>
                <c:pt idx="2701">
                  <c:v>207726249</c:v>
                </c:pt>
                <c:pt idx="2702">
                  <c:v>210866621</c:v>
                </c:pt>
                <c:pt idx="2703">
                  <c:v>198427335</c:v>
                </c:pt>
                <c:pt idx="2704">
                  <c:v>167148280</c:v>
                </c:pt>
                <c:pt idx="2705">
                  <c:v>187922377</c:v>
                </c:pt>
                <c:pt idx="2706">
                  <c:v>189469338</c:v>
                </c:pt>
                <c:pt idx="2707">
                  <c:v>218372167</c:v>
                </c:pt>
                <c:pt idx="2708">
                  <c:v>225383582</c:v>
                </c:pt>
                <c:pt idx="2709">
                  <c:v>214989973</c:v>
                </c:pt>
                <c:pt idx="2710">
                  <c:v>219899522</c:v>
                </c:pt>
                <c:pt idx="2711">
                  <c:v>166046938</c:v>
                </c:pt>
                <c:pt idx="2712">
                  <c:v>197978233</c:v>
                </c:pt>
                <c:pt idx="2713">
                  <c:v>219514047</c:v>
                </c:pt>
                <c:pt idx="2714">
                  <c:v>218021251</c:v>
                </c:pt>
                <c:pt idx="2715">
                  <c:v>216459244</c:v>
                </c:pt>
                <c:pt idx="2716">
                  <c:v>195189576</c:v>
                </c:pt>
                <c:pt idx="2717">
                  <c:v>182992067</c:v>
                </c:pt>
                <c:pt idx="2718">
                  <c:v>156913990</c:v>
                </c:pt>
                <c:pt idx="2719">
                  <c:v>197534813</c:v>
                </c:pt>
                <c:pt idx="2720">
                  <c:v>201861268</c:v>
                </c:pt>
                <c:pt idx="2721">
                  <c:v>199421991</c:v>
                </c:pt>
                <c:pt idx="2722">
                  <c:v>201275127</c:v>
                </c:pt>
                <c:pt idx="2723">
                  <c:v>170701819</c:v>
                </c:pt>
                <c:pt idx="2724">
                  <c:v>163694840</c:v>
                </c:pt>
                <c:pt idx="2725">
                  <c:v>129692046</c:v>
                </c:pt>
                <c:pt idx="2726">
                  <c:v>132276908</c:v>
                </c:pt>
                <c:pt idx="2727">
                  <c:v>2147021053</c:v>
                </c:pt>
                <c:pt idx="2728">
                  <c:v>156792632</c:v>
                </c:pt>
                <c:pt idx="2729">
                  <c:v>163800606</c:v>
                </c:pt>
                <c:pt idx="2730">
                  <c:v>194821424</c:v>
                </c:pt>
                <c:pt idx="2731">
                  <c:v>195520465</c:v>
                </c:pt>
                <c:pt idx="2732">
                  <c:v>157973896</c:v>
                </c:pt>
                <c:pt idx="2733">
                  <c:v>186703025</c:v>
                </c:pt>
                <c:pt idx="2734">
                  <c:v>183484189</c:v>
                </c:pt>
                <c:pt idx="2735">
                  <c:v>174306104</c:v>
                </c:pt>
                <c:pt idx="2736">
                  <c:v>138960264</c:v>
                </c:pt>
                <c:pt idx="2737">
                  <c:v>163773516</c:v>
                </c:pt>
                <c:pt idx="2738">
                  <c:v>175618916</c:v>
                </c:pt>
                <c:pt idx="2739">
                  <c:v>144157094</c:v>
                </c:pt>
                <c:pt idx="2740">
                  <c:v>174527417</c:v>
                </c:pt>
                <c:pt idx="2741">
                  <c:v>177177867</c:v>
                </c:pt>
                <c:pt idx="2742">
                  <c:v>192949748</c:v>
                </c:pt>
                <c:pt idx="2743">
                  <c:v>193545989</c:v>
                </c:pt>
                <c:pt idx="2744">
                  <c:v>192585045</c:v>
                </c:pt>
                <c:pt idx="2745">
                  <c:v>176265278</c:v>
                </c:pt>
                <c:pt idx="2746">
                  <c:v>142140669</c:v>
                </c:pt>
                <c:pt idx="2747">
                  <c:v>190920733</c:v>
                </c:pt>
                <c:pt idx="2748">
                  <c:v>202434041</c:v>
                </c:pt>
                <c:pt idx="2749">
                  <c:v>205612174</c:v>
                </c:pt>
                <c:pt idx="2750">
                  <c:v>199897260</c:v>
                </c:pt>
                <c:pt idx="2751">
                  <c:v>238582349</c:v>
                </c:pt>
                <c:pt idx="2752">
                  <c:v>188746971</c:v>
                </c:pt>
                <c:pt idx="2753">
                  <c:v>147099552</c:v>
                </c:pt>
                <c:pt idx="2754">
                  <c:v>194021541</c:v>
                </c:pt>
                <c:pt idx="2755">
                  <c:v>216193276</c:v>
                </c:pt>
                <c:pt idx="2756">
                  <c:v>202781204</c:v>
                </c:pt>
                <c:pt idx="2757">
                  <c:v>218024193</c:v>
                </c:pt>
                <c:pt idx="2758">
                  <c:v>196758600</c:v>
                </c:pt>
                <c:pt idx="2759">
                  <c:v>161606657</c:v>
                </c:pt>
                <c:pt idx="2760">
                  <c:v>137025414</c:v>
                </c:pt>
                <c:pt idx="2761">
                  <c:v>176529020</c:v>
                </c:pt>
                <c:pt idx="2762">
                  <c:v>186236228</c:v>
                </c:pt>
                <c:pt idx="2763">
                  <c:v>213438572</c:v>
                </c:pt>
                <c:pt idx="2764">
                  <c:v>204239504</c:v>
                </c:pt>
                <c:pt idx="2765">
                  <c:v>188431474</c:v>
                </c:pt>
                <c:pt idx="2766">
                  <c:v>180885553</c:v>
                </c:pt>
                <c:pt idx="2767">
                  <c:v>148483332</c:v>
                </c:pt>
                <c:pt idx="2768">
                  <c:v>184582712</c:v>
                </c:pt>
                <c:pt idx="2769">
                  <c:v>216148795</c:v>
                </c:pt>
                <c:pt idx="2770">
                  <c:v>227491649</c:v>
                </c:pt>
                <c:pt idx="2771">
                  <c:v>223834326</c:v>
                </c:pt>
                <c:pt idx="2772">
                  <c:v>212498268</c:v>
                </c:pt>
                <c:pt idx="2773">
                  <c:v>208765740</c:v>
                </c:pt>
                <c:pt idx="2774">
                  <c:v>158976320</c:v>
                </c:pt>
                <c:pt idx="2775">
                  <c:v>184486286</c:v>
                </c:pt>
                <c:pt idx="2776">
                  <c:v>167138973</c:v>
                </c:pt>
                <c:pt idx="2777">
                  <c:v>168995313</c:v>
                </c:pt>
                <c:pt idx="2778">
                  <c:v>144720379</c:v>
                </c:pt>
                <c:pt idx="2779">
                  <c:v>163208114</c:v>
                </c:pt>
                <c:pt idx="2780">
                  <c:v>155517814</c:v>
                </c:pt>
                <c:pt idx="2781">
                  <c:v>138436201</c:v>
                </c:pt>
                <c:pt idx="2782">
                  <c:v>86966679</c:v>
                </c:pt>
                <c:pt idx="2783">
                  <c:v>206884545</c:v>
                </c:pt>
                <c:pt idx="2784">
                  <c:v>220866061</c:v>
                </c:pt>
                <c:pt idx="2785">
                  <c:v>223435381</c:v>
                </c:pt>
                <c:pt idx="2786">
                  <c:v>181435192</c:v>
                </c:pt>
                <c:pt idx="2787">
                  <c:v>199914001</c:v>
                </c:pt>
                <c:pt idx="2788">
                  <c:v>179563044</c:v>
                </c:pt>
                <c:pt idx="2789">
                  <c:v>230209330</c:v>
                </c:pt>
                <c:pt idx="2790">
                  <c:v>228587467</c:v>
                </c:pt>
                <c:pt idx="2791">
                  <c:v>338667792</c:v>
                </c:pt>
                <c:pt idx="2792">
                  <c:v>235976763</c:v>
                </c:pt>
                <c:pt idx="2793">
                  <c:v>217434974</c:v>
                </c:pt>
                <c:pt idx="2794">
                  <c:v>213691387</c:v>
                </c:pt>
                <c:pt idx="2795">
                  <c:v>172757852</c:v>
                </c:pt>
                <c:pt idx="2796">
                  <c:v>196428382</c:v>
                </c:pt>
                <c:pt idx="2797">
                  <c:v>199036926</c:v>
                </c:pt>
                <c:pt idx="2798">
                  <c:v>173485549</c:v>
                </c:pt>
                <c:pt idx="2799">
                  <c:v>194238727</c:v>
                </c:pt>
                <c:pt idx="2800">
                  <c:v>208640567</c:v>
                </c:pt>
                <c:pt idx="2801">
                  <c:v>212831888</c:v>
                </c:pt>
                <c:pt idx="2802">
                  <c:v>165839085</c:v>
                </c:pt>
                <c:pt idx="2803">
                  <c:v>216549269</c:v>
                </c:pt>
                <c:pt idx="2804">
                  <c:v>228957303</c:v>
                </c:pt>
                <c:pt idx="2805">
                  <c:v>229437760</c:v>
                </c:pt>
                <c:pt idx="2806">
                  <c:v>217925421</c:v>
                </c:pt>
                <c:pt idx="2807">
                  <c:v>205093437</c:v>
                </c:pt>
                <c:pt idx="2808">
                  <c:v>198840873</c:v>
                </c:pt>
                <c:pt idx="2809">
                  <c:v>189973963</c:v>
                </c:pt>
                <c:pt idx="2810">
                  <c:v>204364845</c:v>
                </c:pt>
                <c:pt idx="2811">
                  <c:v>362992870</c:v>
                </c:pt>
                <c:pt idx="2812">
                  <c:v>224178770</c:v>
                </c:pt>
                <c:pt idx="2813">
                  <c:v>225932649</c:v>
                </c:pt>
                <c:pt idx="2814">
                  <c:v>208993077</c:v>
                </c:pt>
                <c:pt idx="2815">
                  <c:v>187857100</c:v>
                </c:pt>
                <c:pt idx="2816">
                  <c:v>155328628</c:v>
                </c:pt>
                <c:pt idx="2817">
                  <c:v>216620887</c:v>
                </c:pt>
                <c:pt idx="2818">
                  <c:v>224042118</c:v>
                </c:pt>
                <c:pt idx="2819">
                  <c:v>211647768</c:v>
                </c:pt>
                <c:pt idx="2820">
                  <c:v>209106108</c:v>
                </c:pt>
                <c:pt idx="2821">
                  <c:v>184640737</c:v>
                </c:pt>
                <c:pt idx="2822">
                  <c:v>171828363</c:v>
                </c:pt>
                <c:pt idx="2823">
                  <c:v>156053434</c:v>
                </c:pt>
                <c:pt idx="2824">
                  <c:v>191563377</c:v>
                </c:pt>
                <c:pt idx="2825">
                  <c:v>213292201</c:v>
                </c:pt>
                <c:pt idx="2826">
                  <c:v>217396344</c:v>
                </c:pt>
                <c:pt idx="2827">
                  <c:v>203420789</c:v>
                </c:pt>
                <c:pt idx="2828">
                  <c:v>193074092</c:v>
                </c:pt>
                <c:pt idx="2829">
                  <c:v>206268147</c:v>
                </c:pt>
                <c:pt idx="2830">
                  <c:v>175306888</c:v>
                </c:pt>
                <c:pt idx="2831">
                  <c:v>199998291</c:v>
                </c:pt>
                <c:pt idx="2832">
                  <c:v>177647971</c:v>
                </c:pt>
                <c:pt idx="2833">
                  <c:v>141740044</c:v>
                </c:pt>
                <c:pt idx="2834">
                  <c:v>194321625</c:v>
                </c:pt>
                <c:pt idx="2835">
                  <c:v>198289414</c:v>
                </c:pt>
                <c:pt idx="2836">
                  <c:v>171852512</c:v>
                </c:pt>
                <c:pt idx="2837">
                  <c:v>120898206</c:v>
                </c:pt>
                <c:pt idx="2838">
                  <c:v>178479839</c:v>
                </c:pt>
                <c:pt idx="2839">
                  <c:v>209069206</c:v>
                </c:pt>
                <c:pt idx="2840">
                  <c:v>223350475</c:v>
                </c:pt>
                <c:pt idx="2841">
                  <c:v>213835444</c:v>
                </c:pt>
                <c:pt idx="2842">
                  <c:v>193129421</c:v>
                </c:pt>
                <c:pt idx="2843">
                  <c:v>223947874</c:v>
                </c:pt>
                <c:pt idx="2844">
                  <c:v>164996759</c:v>
                </c:pt>
                <c:pt idx="2845">
                  <c:v>219877367</c:v>
                </c:pt>
                <c:pt idx="2846">
                  <c:v>224449517</c:v>
                </c:pt>
                <c:pt idx="2847">
                  <c:v>239008891</c:v>
                </c:pt>
                <c:pt idx="2848">
                  <c:v>236321036</c:v>
                </c:pt>
                <c:pt idx="2849">
                  <c:v>208834676</c:v>
                </c:pt>
                <c:pt idx="2850">
                  <c:v>175337957</c:v>
                </c:pt>
                <c:pt idx="2851">
                  <c:v>116200522</c:v>
                </c:pt>
                <c:pt idx="2852">
                  <c:v>89291268</c:v>
                </c:pt>
                <c:pt idx="2853">
                  <c:v>115224344</c:v>
                </c:pt>
                <c:pt idx="2854">
                  <c:v>156991391</c:v>
                </c:pt>
                <c:pt idx="2855">
                  <c:v>175500938</c:v>
                </c:pt>
                <c:pt idx="2856">
                  <c:v>201065491</c:v>
                </c:pt>
                <c:pt idx="2857">
                  <c:v>199197717</c:v>
                </c:pt>
                <c:pt idx="2858">
                  <c:v>150795773</c:v>
                </c:pt>
                <c:pt idx="2859">
                  <c:v>186829816</c:v>
                </c:pt>
                <c:pt idx="2860">
                  <c:v>224736436</c:v>
                </c:pt>
                <c:pt idx="2861">
                  <c:v>255636636</c:v>
                </c:pt>
                <c:pt idx="2862">
                  <c:v>276018986</c:v>
                </c:pt>
                <c:pt idx="2863">
                  <c:v>261599639</c:v>
                </c:pt>
                <c:pt idx="2864">
                  <c:v>258024593</c:v>
                </c:pt>
                <c:pt idx="2865">
                  <c:v>205079952</c:v>
                </c:pt>
                <c:pt idx="2866">
                  <c:v>247027179</c:v>
                </c:pt>
                <c:pt idx="2867">
                  <c:v>234118603</c:v>
                </c:pt>
                <c:pt idx="2868">
                  <c:v>243735503</c:v>
                </c:pt>
                <c:pt idx="2869">
                  <c:v>261440805</c:v>
                </c:pt>
                <c:pt idx="2870">
                  <c:v>250273238</c:v>
                </c:pt>
                <c:pt idx="2871">
                  <c:v>222678445</c:v>
                </c:pt>
                <c:pt idx="2872">
                  <c:v>203809803</c:v>
                </c:pt>
                <c:pt idx="2873">
                  <c:v>250034342</c:v>
                </c:pt>
                <c:pt idx="2874">
                  <c:v>270501231</c:v>
                </c:pt>
                <c:pt idx="2875">
                  <c:v>264889901</c:v>
                </c:pt>
                <c:pt idx="2876">
                  <c:v>248466084</c:v>
                </c:pt>
                <c:pt idx="2877">
                  <c:v>284783218</c:v>
                </c:pt>
                <c:pt idx="2878">
                  <c:v>269168742</c:v>
                </c:pt>
                <c:pt idx="2879">
                  <c:v>209447141</c:v>
                </c:pt>
                <c:pt idx="2880">
                  <c:v>257570363</c:v>
                </c:pt>
                <c:pt idx="2881">
                  <c:v>276921381</c:v>
                </c:pt>
                <c:pt idx="2882">
                  <c:v>275009172</c:v>
                </c:pt>
                <c:pt idx="2883">
                  <c:v>1313202877</c:v>
                </c:pt>
                <c:pt idx="2884">
                  <c:v>225225066</c:v>
                </c:pt>
                <c:pt idx="2885">
                  <c:v>231812480</c:v>
                </c:pt>
                <c:pt idx="2886">
                  <c:v>190898839</c:v>
                </c:pt>
                <c:pt idx="2887">
                  <c:v>239672249</c:v>
                </c:pt>
                <c:pt idx="2888">
                  <c:v>264336196</c:v>
                </c:pt>
                <c:pt idx="2889">
                  <c:v>254671271</c:v>
                </c:pt>
                <c:pt idx="2890">
                  <c:v>240537900</c:v>
                </c:pt>
                <c:pt idx="2891">
                  <c:v>229505028</c:v>
                </c:pt>
                <c:pt idx="2892">
                  <c:v>221339322</c:v>
                </c:pt>
                <c:pt idx="2893">
                  <c:v>169240884</c:v>
                </c:pt>
                <c:pt idx="2894">
                  <c:v>241016603</c:v>
                </c:pt>
                <c:pt idx="2895">
                  <c:v>254145864</c:v>
                </c:pt>
                <c:pt idx="2896">
                  <c:v>259916810</c:v>
                </c:pt>
                <c:pt idx="2897">
                  <c:v>255429063</c:v>
                </c:pt>
                <c:pt idx="2898">
                  <c:v>240180868</c:v>
                </c:pt>
                <c:pt idx="2899">
                  <c:v>235232823</c:v>
                </c:pt>
                <c:pt idx="2900">
                  <c:v>193558502</c:v>
                </c:pt>
                <c:pt idx="2901">
                  <c:v>257189416</c:v>
                </c:pt>
                <c:pt idx="2902">
                  <c:v>271442399</c:v>
                </c:pt>
                <c:pt idx="2903">
                  <c:v>277204455</c:v>
                </c:pt>
                <c:pt idx="2904">
                  <c:v>267472741</c:v>
                </c:pt>
                <c:pt idx="2905">
                  <c:v>243387787</c:v>
                </c:pt>
                <c:pt idx="2906">
                  <c:v>235058946</c:v>
                </c:pt>
                <c:pt idx="2907">
                  <c:v>189974412</c:v>
                </c:pt>
                <c:pt idx="2908">
                  <c:v>214428243</c:v>
                </c:pt>
                <c:pt idx="2909">
                  <c:v>254206666</c:v>
                </c:pt>
                <c:pt idx="2910">
                  <c:v>235921279</c:v>
                </c:pt>
                <c:pt idx="2911">
                  <c:v>243842445</c:v>
                </c:pt>
                <c:pt idx="2912">
                  <c:v>233305029</c:v>
                </c:pt>
                <c:pt idx="2913">
                  <c:v>203561871</c:v>
                </c:pt>
                <c:pt idx="2914">
                  <c:v>156632673</c:v>
                </c:pt>
                <c:pt idx="2915">
                  <c:v>205379185</c:v>
                </c:pt>
                <c:pt idx="2916">
                  <c:v>217754429</c:v>
                </c:pt>
                <c:pt idx="2917">
                  <c:v>227468627</c:v>
                </c:pt>
                <c:pt idx="2918">
                  <c:v>222988673</c:v>
                </c:pt>
                <c:pt idx="2919">
                  <c:v>249463069</c:v>
                </c:pt>
                <c:pt idx="2920">
                  <c:v>218127256</c:v>
                </c:pt>
                <c:pt idx="2921">
                  <c:v>158430492</c:v>
                </c:pt>
                <c:pt idx="2922">
                  <c:v>230928407</c:v>
                </c:pt>
                <c:pt idx="2923">
                  <c:v>246870035</c:v>
                </c:pt>
                <c:pt idx="2924">
                  <c:v>281185139</c:v>
                </c:pt>
                <c:pt idx="2925">
                  <c:v>270626291</c:v>
                </c:pt>
                <c:pt idx="2926">
                  <c:v>268574471</c:v>
                </c:pt>
                <c:pt idx="2927">
                  <c:v>256380322</c:v>
                </c:pt>
                <c:pt idx="2928">
                  <c:v>207701397</c:v>
                </c:pt>
                <c:pt idx="2929">
                  <c:v>267315573</c:v>
                </c:pt>
                <c:pt idx="2930">
                  <c:v>267399438</c:v>
                </c:pt>
                <c:pt idx="2931">
                  <c:v>281796927</c:v>
                </c:pt>
                <c:pt idx="2932">
                  <c:v>286064331</c:v>
                </c:pt>
                <c:pt idx="2933">
                  <c:v>268965063</c:v>
                </c:pt>
                <c:pt idx="2934">
                  <c:v>214098612</c:v>
                </c:pt>
                <c:pt idx="2935">
                  <c:v>172467084</c:v>
                </c:pt>
                <c:pt idx="2936">
                  <c:v>236046417</c:v>
                </c:pt>
                <c:pt idx="2937">
                  <c:v>242017419</c:v>
                </c:pt>
                <c:pt idx="2938">
                  <c:v>268958016</c:v>
                </c:pt>
                <c:pt idx="2939">
                  <c:v>260834241</c:v>
                </c:pt>
                <c:pt idx="2940">
                  <c:v>268141075</c:v>
                </c:pt>
                <c:pt idx="2941">
                  <c:v>253099303</c:v>
                </c:pt>
                <c:pt idx="2942">
                  <c:v>194919874</c:v>
                </c:pt>
                <c:pt idx="2943">
                  <c:v>237563573</c:v>
                </c:pt>
                <c:pt idx="2944">
                  <c:v>256189838</c:v>
                </c:pt>
                <c:pt idx="2945">
                  <c:v>233723390</c:v>
                </c:pt>
                <c:pt idx="2946">
                  <c:v>116308717</c:v>
                </c:pt>
                <c:pt idx="2947">
                  <c:v>234371554</c:v>
                </c:pt>
                <c:pt idx="2948">
                  <c:v>237726564</c:v>
                </c:pt>
                <c:pt idx="2949">
                  <c:v>190280247</c:v>
                </c:pt>
                <c:pt idx="2950">
                  <c:v>235893199</c:v>
                </c:pt>
                <c:pt idx="2951">
                  <c:v>261968594</c:v>
                </c:pt>
                <c:pt idx="2952">
                  <c:v>288139452</c:v>
                </c:pt>
                <c:pt idx="2953">
                  <c:v>305178275</c:v>
                </c:pt>
                <c:pt idx="2954">
                  <c:v>302197306</c:v>
                </c:pt>
                <c:pt idx="2955">
                  <c:v>280037087</c:v>
                </c:pt>
                <c:pt idx="2956">
                  <c:v>226940191</c:v>
                </c:pt>
                <c:pt idx="2957">
                  <c:v>279088696</c:v>
                </c:pt>
                <c:pt idx="2958">
                  <c:v>305551818</c:v>
                </c:pt>
                <c:pt idx="2959">
                  <c:v>260287432</c:v>
                </c:pt>
                <c:pt idx="2960">
                  <c:v>302678878</c:v>
                </c:pt>
                <c:pt idx="2961">
                  <c:v>271650381</c:v>
                </c:pt>
                <c:pt idx="2962">
                  <c:v>250905839</c:v>
                </c:pt>
                <c:pt idx="2963">
                  <c:v>215294592</c:v>
                </c:pt>
                <c:pt idx="2964">
                  <c:v>284331944</c:v>
                </c:pt>
                <c:pt idx="2965">
                  <c:v>312810995</c:v>
                </c:pt>
                <c:pt idx="2966">
                  <c:v>302006043</c:v>
                </c:pt>
                <c:pt idx="2967">
                  <c:v>301916215</c:v>
                </c:pt>
                <c:pt idx="2968">
                  <c:v>305477021</c:v>
                </c:pt>
                <c:pt idx="2969">
                  <c:v>226659423</c:v>
                </c:pt>
                <c:pt idx="2970">
                  <c:v>203828484</c:v>
                </c:pt>
                <c:pt idx="2971">
                  <c:v>295259789</c:v>
                </c:pt>
                <c:pt idx="2972">
                  <c:v>323256997</c:v>
                </c:pt>
                <c:pt idx="2973">
                  <c:v>1203109016</c:v>
                </c:pt>
                <c:pt idx="2974">
                  <c:v>314276834</c:v>
                </c:pt>
                <c:pt idx="2975">
                  <c:v>292021886</c:v>
                </c:pt>
                <c:pt idx="2976">
                  <c:v>279462965</c:v>
                </c:pt>
                <c:pt idx="2977">
                  <c:v>234603370</c:v>
                </c:pt>
                <c:pt idx="2978">
                  <c:v>299593705</c:v>
                </c:pt>
                <c:pt idx="2979">
                  <c:v>295550186</c:v>
                </c:pt>
                <c:pt idx="2980">
                  <c:v>339470377</c:v>
                </c:pt>
                <c:pt idx="2981">
                  <c:v>361055118</c:v>
                </c:pt>
                <c:pt idx="2982">
                  <c:v>359005541</c:v>
                </c:pt>
                <c:pt idx="2983">
                  <c:v>339539699</c:v>
                </c:pt>
                <c:pt idx="2984">
                  <c:v>253882391</c:v>
                </c:pt>
                <c:pt idx="2985">
                  <c:v>287979979</c:v>
                </c:pt>
                <c:pt idx="2986">
                  <c:v>198123868</c:v>
                </c:pt>
                <c:pt idx="2987">
                  <c:v>211144175</c:v>
                </c:pt>
                <c:pt idx="2988">
                  <c:v>239502478</c:v>
                </c:pt>
                <c:pt idx="2989">
                  <c:v>305141805</c:v>
                </c:pt>
                <c:pt idx="2990">
                  <c:v>300174116</c:v>
                </c:pt>
                <c:pt idx="2991">
                  <c:v>260098251</c:v>
                </c:pt>
                <c:pt idx="2992">
                  <c:v>329968048</c:v>
                </c:pt>
                <c:pt idx="2993">
                  <c:v>342289536</c:v>
                </c:pt>
                <c:pt idx="2994">
                  <c:v>322026407</c:v>
                </c:pt>
                <c:pt idx="2995">
                  <c:v>346655079</c:v>
                </c:pt>
                <c:pt idx="2996">
                  <c:v>338096798</c:v>
                </c:pt>
                <c:pt idx="2997">
                  <c:v>323177147</c:v>
                </c:pt>
                <c:pt idx="2998">
                  <c:v>271150942</c:v>
                </c:pt>
                <c:pt idx="2999">
                  <c:v>406371571</c:v>
                </c:pt>
                <c:pt idx="3000">
                  <c:v>330479916</c:v>
                </c:pt>
                <c:pt idx="3001">
                  <c:v>327624225</c:v>
                </c:pt>
                <c:pt idx="3002">
                  <c:v>356374546</c:v>
                </c:pt>
                <c:pt idx="3003">
                  <c:v>327739733</c:v>
                </c:pt>
                <c:pt idx="3004">
                  <c:v>317436915</c:v>
                </c:pt>
                <c:pt idx="3005">
                  <c:v>256427872</c:v>
                </c:pt>
                <c:pt idx="3006">
                  <c:v>289354491</c:v>
                </c:pt>
                <c:pt idx="3007">
                  <c:v>323501271</c:v>
                </c:pt>
                <c:pt idx="3008">
                  <c:v>308451117</c:v>
                </c:pt>
                <c:pt idx="3009">
                  <c:v>247391905</c:v>
                </c:pt>
                <c:pt idx="3010">
                  <c:v>261981614</c:v>
                </c:pt>
                <c:pt idx="3011">
                  <c:v>291591034</c:v>
                </c:pt>
                <c:pt idx="3012">
                  <c:v>268268191</c:v>
                </c:pt>
                <c:pt idx="3013">
                  <c:v>305589019</c:v>
                </c:pt>
                <c:pt idx="3014">
                  <c:v>298302520</c:v>
                </c:pt>
                <c:pt idx="3015">
                  <c:v>321202905</c:v>
                </c:pt>
                <c:pt idx="3016">
                  <c:v>310092475</c:v>
                </c:pt>
                <c:pt idx="3017">
                  <c:v>291562339</c:v>
                </c:pt>
                <c:pt idx="3018">
                  <c:v>271787195</c:v>
                </c:pt>
                <c:pt idx="3019">
                  <c:v>225920016</c:v>
                </c:pt>
                <c:pt idx="3020">
                  <c:v>292068443</c:v>
                </c:pt>
                <c:pt idx="3021">
                  <c:v>305471965</c:v>
                </c:pt>
                <c:pt idx="3022">
                  <c:v>309760425</c:v>
                </c:pt>
                <c:pt idx="3023">
                  <c:v>299411727</c:v>
                </c:pt>
                <c:pt idx="3024">
                  <c:v>238292006</c:v>
                </c:pt>
                <c:pt idx="3025">
                  <c:v>272849660</c:v>
                </c:pt>
                <c:pt idx="3026">
                  <c:v>202783396</c:v>
                </c:pt>
                <c:pt idx="3027">
                  <c:v>284959978</c:v>
                </c:pt>
                <c:pt idx="3028">
                  <c:v>300684412</c:v>
                </c:pt>
                <c:pt idx="3029">
                  <c:v>304174508</c:v>
                </c:pt>
                <c:pt idx="3030">
                  <c:v>293439970</c:v>
                </c:pt>
                <c:pt idx="3031">
                  <c:v>269078539</c:v>
                </c:pt>
                <c:pt idx="3032">
                  <c:v>217518077</c:v>
                </c:pt>
                <c:pt idx="3033">
                  <c:v>217456082</c:v>
                </c:pt>
                <c:pt idx="3034">
                  <c:v>282169858</c:v>
                </c:pt>
                <c:pt idx="3035">
                  <c:v>315453776</c:v>
                </c:pt>
                <c:pt idx="3036">
                  <c:v>294167718</c:v>
                </c:pt>
                <c:pt idx="3037">
                  <c:v>289087431</c:v>
                </c:pt>
                <c:pt idx="3038">
                  <c:v>271570778</c:v>
                </c:pt>
                <c:pt idx="3039">
                  <c:v>262908633</c:v>
                </c:pt>
                <c:pt idx="3040">
                  <c:v>216278316</c:v>
                </c:pt>
                <c:pt idx="3041">
                  <c:v>231084195</c:v>
                </c:pt>
                <c:pt idx="3042">
                  <c:v>288531668</c:v>
                </c:pt>
                <c:pt idx="3043">
                  <c:v>256707395</c:v>
                </c:pt>
                <c:pt idx="3044">
                  <c:v>280343463</c:v>
                </c:pt>
                <c:pt idx="3045">
                  <c:v>277025883</c:v>
                </c:pt>
                <c:pt idx="3046">
                  <c:v>287954074</c:v>
                </c:pt>
                <c:pt idx="3047">
                  <c:v>198710013</c:v>
                </c:pt>
                <c:pt idx="3048">
                  <c:v>288238302</c:v>
                </c:pt>
                <c:pt idx="3049">
                  <c:v>283913257</c:v>
                </c:pt>
                <c:pt idx="3050">
                  <c:v>281902295</c:v>
                </c:pt>
                <c:pt idx="3051">
                  <c:v>262730370</c:v>
                </c:pt>
                <c:pt idx="3052">
                  <c:v>291133574</c:v>
                </c:pt>
                <c:pt idx="3053">
                  <c:v>264761729</c:v>
                </c:pt>
                <c:pt idx="3054">
                  <c:v>229225587</c:v>
                </c:pt>
                <c:pt idx="3055">
                  <c:v>287217145</c:v>
                </c:pt>
                <c:pt idx="3056">
                  <c:v>297771119</c:v>
                </c:pt>
                <c:pt idx="3057">
                  <c:v>315748693</c:v>
                </c:pt>
                <c:pt idx="3058">
                  <c:v>325564438</c:v>
                </c:pt>
                <c:pt idx="3059">
                  <c:v>324255910</c:v>
                </c:pt>
                <c:pt idx="3060">
                  <c:v>295255935</c:v>
                </c:pt>
                <c:pt idx="3061">
                  <c:v>253300524</c:v>
                </c:pt>
                <c:pt idx="3062">
                  <c:v>292587944</c:v>
                </c:pt>
                <c:pt idx="3063">
                  <c:v>323868764</c:v>
                </c:pt>
                <c:pt idx="3064">
                  <c:v>338675955</c:v>
                </c:pt>
                <c:pt idx="3065">
                  <c:v>325381586</c:v>
                </c:pt>
                <c:pt idx="3066">
                  <c:v>328379215</c:v>
                </c:pt>
                <c:pt idx="3067">
                  <c:v>298094159</c:v>
                </c:pt>
                <c:pt idx="3068">
                  <c:v>247869945</c:v>
                </c:pt>
                <c:pt idx="3069">
                  <c:v>299296125</c:v>
                </c:pt>
                <c:pt idx="3070">
                  <c:v>304032752</c:v>
                </c:pt>
                <c:pt idx="3071">
                  <c:v>333135845</c:v>
                </c:pt>
                <c:pt idx="3072">
                  <c:v>306161261</c:v>
                </c:pt>
                <c:pt idx="3073">
                  <c:v>318057153</c:v>
                </c:pt>
                <c:pt idx="3074">
                  <c:v>317400063</c:v>
                </c:pt>
                <c:pt idx="3075">
                  <c:v>238500391</c:v>
                </c:pt>
                <c:pt idx="3076">
                  <c:v>316628704</c:v>
                </c:pt>
                <c:pt idx="3077">
                  <c:v>347522536</c:v>
                </c:pt>
                <c:pt idx="3078">
                  <c:v>335179626</c:v>
                </c:pt>
                <c:pt idx="3079">
                  <c:v>326348044</c:v>
                </c:pt>
                <c:pt idx="3080">
                  <c:v>332815713</c:v>
                </c:pt>
                <c:pt idx="3081">
                  <c:v>297156920</c:v>
                </c:pt>
                <c:pt idx="3082">
                  <c:v>251667490</c:v>
                </c:pt>
                <c:pt idx="3083">
                  <c:v>303292007</c:v>
                </c:pt>
                <c:pt idx="3084">
                  <c:v>323920350</c:v>
                </c:pt>
                <c:pt idx="3085">
                  <c:v>347013338</c:v>
                </c:pt>
                <c:pt idx="3086">
                  <c:v>343161577</c:v>
                </c:pt>
                <c:pt idx="3087">
                  <c:v>350124117</c:v>
                </c:pt>
                <c:pt idx="3088">
                  <c:v>340709559</c:v>
                </c:pt>
                <c:pt idx="3089">
                  <c:v>278213246</c:v>
                </c:pt>
                <c:pt idx="3090">
                  <c:v>315875292</c:v>
                </c:pt>
                <c:pt idx="3091">
                  <c:v>314962206</c:v>
                </c:pt>
                <c:pt idx="3092">
                  <c:v>342396312</c:v>
                </c:pt>
                <c:pt idx="3093">
                  <c:v>355583719</c:v>
                </c:pt>
                <c:pt idx="3094">
                  <c:v>335699432</c:v>
                </c:pt>
                <c:pt idx="3095">
                  <c:v>343932462</c:v>
                </c:pt>
                <c:pt idx="3096">
                  <c:v>246007307</c:v>
                </c:pt>
                <c:pt idx="3097">
                  <c:v>301879564</c:v>
                </c:pt>
                <c:pt idx="3098">
                  <c:v>316032680</c:v>
                </c:pt>
                <c:pt idx="3099">
                  <c:v>322120888</c:v>
                </c:pt>
                <c:pt idx="3100">
                  <c:v>263738078</c:v>
                </c:pt>
                <c:pt idx="3101">
                  <c:v>296884890</c:v>
                </c:pt>
                <c:pt idx="3102">
                  <c:v>305441269</c:v>
                </c:pt>
                <c:pt idx="3103">
                  <c:v>280006780</c:v>
                </c:pt>
                <c:pt idx="3104">
                  <c:v>314569357</c:v>
                </c:pt>
                <c:pt idx="3105">
                  <c:v>326072369</c:v>
                </c:pt>
                <c:pt idx="3106">
                  <c:v>330907735</c:v>
                </c:pt>
                <c:pt idx="3107">
                  <c:v>317461331</c:v>
                </c:pt>
                <c:pt idx="3108">
                  <c:v>313370601</c:v>
                </c:pt>
                <c:pt idx="3109">
                  <c:v>244187268</c:v>
                </c:pt>
                <c:pt idx="3110">
                  <c:v>197382061</c:v>
                </c:pt>
                <c:pt idx="3111">
                  <c:v>285407912</c:v>
                </c:pt>
                <c:pt idx="3112">
                  <c:v>310189053</c:v>
                </c:pt>
                <c:pt idx="3113">
                  <c:v>314894705</c:v>
                </c:pt>
                <c:pt idx="3114">
                  <c:v>300688299</c:v>
                </c:pt>
                <c:pt idx="3115">
                  <c:v>286631224</c:v>
                </c:pt>
                <c:pt idx="3116">
                  <c:v>269055445</c:v>
                </c:pt>
                <c:pt idx="3117">
                  <c:v>233423497</c:v>
                </c:pt>
                <c:pt idx="3118">
                  <c:v>290579618</c:v>
                </c:pt>
                <c:pt idx="3119">
                  <c:v>303256090</c:v>
                </c:pt>
                <c:pt idx="3120">
                  <c:v>348303652</c:v>
                </c:pt>
                <c:pt idx="3121">
                  <c:v>352719985</c:v>
                </c:pt>
                <c:pt idx="3122">
                  <c:v>340048350</c:v>
                </c:pt>
                <c:pt idx="3123">
                  <c:v>312291513</c:v>
                </c:pt>
                <c:pt idx="3124">
                  <c:v>262225983</c:v>
                </c:pt>
                <c:pt idx="3125">
                  <c:v>306013176</c:v>
                </c:pt>
                <c:pt idx="3126">
                  <c:v>327108428</c:v>
                </c:pt>
                <c:pt idx="3127">
                  <c:v>310952405</c:v>
                </c:pt>
                <c:pt idx="3128">
                  <c:v>318343523</c:v>
                </c:pt>
                <c:pt idx="3129">
                  <c:v>282799176</c:v>
                </c:pt>
                <c:pt idx="3130">
                  <c:v>256270928</c:v>
                </c:pt>
                <c:pt idx="3131">
                  <c:v>243347995</c:v>
                </c:pt>
                <c:pt idx="3132">
                  <c:v>282469285</c:v>
                </c:pt>
                <c:pt idx="3133">
                  <c:v>325654007</c:v>
                </c:pt>
                <c:pt idx="3134">
                  <c:v>309242650</c:v>
                </c:pt>
                <c:pt idx="3135">
                  <c:v>446700156</c:v>
                </c:pt>
                <c:pt idx="3136">
                  <c:v>337702224</c:v>
                </c:pt>
                <c:pt idx="3137">
                  <c:v>312550804</c:v>
                </c:pt>
                <c:pt idx="3138">
                  <c:v>239673184</c:v>
                </c:pt>
                <c:pt idx="3139">
                  <c:v>292572526</c:v>
                </c:pt>
                <c:pt idx="3140">
                  <c:v>334372443</c:v>
                </c:pt>
                <c:pt idx="3141">
                  <c:v>327800182</c:v>
                </c:pt>
                <c:pt idx="3142">
                  <c:v>322726879</c:v>
                </c:pt>
                <c:pt idx="3143">
                  <c:v>316278079</c:v>
                </c:pt>
                <c:pt idx="3144">
                  <c:v>301392437</c:v>
                </c:pt>
                <c:pt idx="3145">
                  <c:v>223994933</c:v>
                </c:pt>
                <c:pt idx="3146">
                  <c:v>297405080</c:v>
                </c:pt>
                <c:pt idx="3147">
                  <c:v>160395513</c:v>
                </c:pt>
                <c:pt idx="3148">
                  <c:v>304634969</c:v>
                </c:pt>
                <c:pt idx="3149">
                  <c:v>306628601</c:v>
                </c:pt>
                <c:pt idx="3150">
                  <c:v>312995240</c:v>
                </c:pt>
                <c:pt idx="3151">
                  <c:v>289961808</c:v>
                </c:pt>
                <c:pt idx="3152">
                  <c:v>211837936</c:v>
                </c:pt>
                <c:pt idx="3153">
                  <c:v>283543028</c:v>
                </c:pt>
                <c:pt idx="3154">
                  <c:v>329348316</c:v>
                </c:pt>
                <c:pt idx="3155">
                  <c:v>293285708</c:v>
                </c:pt>
                <c:pt idx="3156">
                  <c:v>330493663</c:v>
                </c:pt>
                <c:pt idx="3157">
                  <c:v>309970019</c:v>
                </c:pt>
                <c:pt idx="3158">
                  <c:v>275903783</c:v>
                </c:pt>
                <c:pt idx="3159">
                  <c:v>234548827</c:v>
                </c:pt>
                <c:pt idx="3160">
                  <c:v>286472573</c:v>
                </c:pt>
                <c:pt idx="3161">
                  <c:v>306198095</c:v>
                </c:pt>
                <c:pt idx="3162">
                  <c:v>252127495</c:v>
                </c:pt>
                <c:pt idx="3163">
                  <c:v>219959206</c:v>
                </c:pt>
                <c:pt idx="3164">
                  <c:v>272095984</c:v>
                </c:pt>
                <c:pt idx="3165">
                  <c:v>270310791</c:v>
                </c:pt>
                <c:pt idx="3166">
                  <c:v>230735753</c:v>
                </c:pt>
                <c:pt idx="3167">
                  <c:v>290121905</c:v>
                </c:pt>
                <c:pt idx="3168">
                  <c:v>307152470</c:v>
                </c:pt>
                <c:pt idx="3169">
                  <c:v>291977358</c:v>
                </c:pt>
                <c:pt idx="3170">
                  <c:v>244756596</c:v>
                </c:pt>
                <c:pt idx="3171">
                  <c:v>270086336</c:v>
                </c:pt>
                <c:pt idx="3172">
                  <c:v>222875096</c:v>
                </c:pt>
                <c:pt idx="3173">
                  <c:v>177621880</c:v>
                </c:pt>
                <c:pt idx="3174">
                  <c:v>266326646</c:v>
                </c:pt>
                <c:pt idx="3175">
                  <c:v>320577677</c:v>
                </c:pt>
                <c:pt idx="3176">
                  <c:v>328796449</c:v>
                </c:pt>
                <c:pt idx="3177">
                  <c:v>323778877</c:v>
                </c:pt>
                <c:pt idx="3178">
                  <c:v>324118001</c:v>
                </c:pt>
                <c:pt idx="3179">
                  <c:v>276773206</c:v>
                </c:pt>
                <c:pt idx="3180">
                  <c:v>224236584</c:v>
                </c:pt>
                <c:pt idx="3181">
                  <c:v>265068343</c:v>
                </c:pt>
                <c:pt idx="3182">
                  <c:v>277443106</c:v>
                </c:pt>
                <c:pt idx="3183">
                  <c:v>293067757</c:v>
                </c:pt>
                <c:pt idx="3184">
                  <c:v>296256345</c:v>
                </c:pt>
                <c:pt idx="3185">
                  <c:v>288528772</c:v>
                </c:pt>
                <c:pt idx="3186">
                  <c:v>278895155</c:v>
                </c:pt>
                <c:pt idx="3187">
                  <c:v>233586285</c:v>
                </c:pt>
                <c:pt idx="3188">
                  <c:v>283892589</c:v>
                </c:pt>
                <c:pt idx="3189">
                  <c:v>328654617</c:v>
                </c:pt>
                <c:pt idx="3190">
                  <c:v>311283552</c:v>
                </c:pt>
                <c:pt idx="3191">
                  <c:v>256602714</c:v>
                </c:pt>
                <c:pt idx="3192">
                  <c:v>278148051</c:v>
                </c:pt>
                <c:pt idx="3193">
                  <c:v>272924784</c:v>
                </c:pt>
                <c:pt idx="3194">
                  <c:v>235592939</c:v>
                </c:pt>
                <c:pt idx="3195">
                  <c:v>245648574</c:v>
                </c:pt>
                <c:pt idx="3196">
                  <c:v>298150430</c:v>
                </c:pt>
                <c:pt idx="3197">
                  <c:v>332975487</c:v>
                </c:pt>
                <c:pt idx="3198">
                  <c:v>341426392</c:v>
                </c:pt>
                <c:pt idx="3199">
                  <c:v>332573984</c:v>
                </c:pt>
                <c:pt idx="3200">
                  <c:v>319450280</c:v>
                </c:pt>
                <c:pt idx="3201">
                  <c:v>258784098</c:v>
                </c:pt>
                <c:pt idx="3202">
                  <c:v>322125308</c:v>
                </c:pt>
                <c:pt idx="3203">
                  <c:v>340645150</c:v>
                </c:pt>
                <c:pt idx="3204">
                  <c:v>332283248</c:v>
                </c:pt>
                <c:pt idx="3205">
                  <c:v>321581600</c:v>
                </c:pt>
                <c:pt idx="3206">
                  <c:v>323518117</c:v>
                </c:pt>
                <c:pt idx="3207">
                  <c:v>276751318</c:v>
                </c:pt>
                <c:pt idx="3208">
                  <c:v>240264205</c:v>
                </c:pt>
                <c:pt idx="3209">
                  <c:v>296279333</c:v>
                </c:pt>
                <c:pt idx="3210">
                  <c:v>313371864</c:v>
                </c:pt>
                <c:pt idx="3211">
                  <c:v>324357709</c:v>
                </c:pt>
                <c:pt idx="3212">
                  <c:v>314400246</c:v>
                </c:pt>
                <c:pt idx="3213">
                  <c:v>290110834</c:v>
                </c:pt>
                <c:pt idx="3214">
                  <c:v>279267646</c:v>
                </c:pt>
                <c:pt idx="3215">
                  <c:v>234320283</c:v>
                </c:pt>
                <c:pt idx="3216">
                  <c:v>234940761</c:v>
                </c:pt>
                <c:pt idx="3217">
                  <c:v>198465549</c:v>
                </c:pt>
                <c:pt idx="3218">
                  <c:v>270922126</c:v>
                </c:pt>
                <c:pt idx="3219">
                  <c:v>302992144</c:v>
                </c:pt>
                <c:pt idx="3220">
                  <c:v>371068782</c:v>
                </c:pt>
                <c:pt idx="3221">
                  <c:v>291456019</c:v>
                </c:pt>
                <c:pt idx="3222">
                  <c:v>238897216</c:v>
                </c:pt>
                <c:pt idx="3223">
                  <c:v>292498089</c:v>
                </c:pt>
                <c:pt idx="3224">
                  <c:v>294245554</c:v>
                </c:pt>
                <c:pt idx="3225">
                  <c:v>302131306</c:v>
                </c:pt>
                <c:pt idx="3226">
                  <c:v>345807434</c:v>
                </c:pt>
                <c:pt idx="3227">
                  <c:v>371281253</c:v>
                </c:pt>
                <c:pt idx="3228">
                  <c:v>382113308</c:v>
                </c:pt>
                <c:pt idx="3229">
                  <c:v>325850242</c:v>
                </c:pt>
                <c:pt idx="3230">
                  <c:v>377002706</c:v>
                </c:pt>
                <c:pt idx="3231">
                  <c:v>403672225</c:v>
                </c:pt>
                <c:pt idx="3232">
                  <c:v>391825942</c:v>
                </c:pt>
                <c:pt idx="3233">
                  <c:v>405938405</c:v>
                </c:pt>
                <c:pt idx="3234">
                  <c:v>322742194</c:v>
                </c:pt>
                <c:pt idx="3235">
                  <c:v>264602452</c:v>
                </c:pt>
                <c:pt idx="3236">
                  <c:v>166254447</c:v>
                </c:pt>
                <c:pt idx="3237">
                  <c:v>236221331</c:v>
                </c:pt>
                <c:pt idx="3238">
                  <c:v>303850983</c:v>
                </c:pt>
                <c:pt idx="3239">
                  <c:v>286433887</c:v>
                </c:pt>
                <c:pt idx="3240">
                  <c:v>342197689</c:v>
                </c:pt>
                <c:pt idx="3241">
                  <c:v>353726756</c:v>
                </c:pt>
                <c:pt idx="3242">
                  <c:v>353385523</c:v>
                </c:pt>
                <c:pt idx="3243">
                  <c:v>245431427</c:v>
                </c:pt>
                <c:pt idx="3244">
                  <c:v>293860836</c:v>
                </c:pt>
                <c:pt idx="3245">
                  <c:v>372329390</c:v>
                </c:pt>
                <c:pt idx="3246">
                  <c:v>360177022</c:v>
                </c:pt>
                <c:pt idx="3247">
                  <c:v>347673363</c:v>
                </c:pt>
                <c:pt idx="3248">
                  <c:v>339191759</c:v>
                </c:pt>
                <c:pt idx="3249">
                  <c:v>327188608</c:v>
                </c:pt>
                <c:pt idx="3250">
                  <c:v>340129426</c:v>
                </c:pt>
                <c:pt idx="3251">
                  <c:v>276249389</c:v>
                </c:pt>
                <c:pt idx="3252">
                  <c:v>332141879</c:v>
                </c:pt>
                <c:pt idx="3253">
                  <c:v>340061726</c:v>
                </c:pt>
                <c:pt idx="3254">
                  <c:v>321269526</c:v>
                </c:pt>
                <c:pt idx="3255">
                  <c:v>345880340</c:v>
                </c:pt>
                <c:pt idx="3256">
                  <c:v>345015203</c:v>
                </c:pt>
                <c:pt idx="3257">
                  <c:v>274442730</c:v>
                </c:pt>
                <c:pt idx="3258">
                  <c:v>320998926</c:v>
                </c:pt>
                <c:pt idx="3259">
                  <c:v>313512029</c:v>
                </c:pt>
                <c:pt idx="3260">
                  <c:v>305022200</c:v>
                </c:pt>
                <c:pt idx="3261">
                  <c:v>287191769</c:v>
                </c:pt>
                <c:pt idx="3262">
                  <c:v>311832361</c:v>
                </c:pt>
                <c:pt idx="3263">
                  <c:v>275509912</c:v>
                </c:pt>
                <c:pt idx="3264">
                  <c:v>237821018</c:v>
                </c:pt>
                <c:pt idx="3265">
                  <c:v>305605713</c:v>
                </c:pt>
                <c:pt idx="3266">
                  <c:v>328211798</c:v>
                </c:pt>
                <c:pt idx="3267">
                  <c:v>334585468</c:v>
                </c:pt>
                <c:pt idx="3268">
                  <c:v>334885584</c:v>
                </c:pt>
                <c:pt idx="3269">
                  <c:v>316791555</c:v>
                </c:pt>
                <c:pt idx="3270">
                  <c:v>297068836</c:v>
                </c:pt>
                <c:pt idx="3271">
                  <c:v>241487709</c:v>
                </c:pt>
                <c:pt idx="3272">
                  <c:v>304135465</c:v>
                </c:pt>
                <c:pt idx="3273">
                  <c:v>339518623</c:v>
                </c:pt>
                <c:pt idx="3274">
                  <c:v>354491854</c:v>
                </c:pt>
                <c:pt idx="3275">
                  <c:v>349562015</c:v>
                </c:pt>
                <c:pt idx="3276">
                  <c:v>336459217</c:v>
                </c:pt>
                <c:pt idx="3277">
                  <c:v>487491939</c:v>
                </c:pt>
                <c:pt idx="3278">
                  <c:v>293248821</c:v>
                </c:pt>
                <c:pt idx="3279">
                  <c:v>307356175</c:v>
                </c:pt>
                <c:pt idx="3280">
                  <c:v>340058928</c:v>
                </c:pt>
                <c:pt idx="3281">
                  <c:v>329910868</c:v>
                </c:pt>
                <c:pt idx="3282">
                  <c:v>325444615</c:v>
                </c:pt>
                <c:pt idx="3283">
                  <c:v>327854713</c:v>
                </c:pt>
                <c:pt idx="3284">
                  <c:v>332718021</c:v>
                </c:pt>
                <c:pt idx="3285">
                  <c:v>263037320</c:v>
                </c:pt>
                <c:pt idx="3286">
                  <c:v>242653864</c:v>
                </c:pt>
                <c:pt idx="3287">
                  <c:v>292841051</c:v>
                </c:pt>
                <c:pt idx="3288">
                  <c:v>316686556</c:v>
                </c:pt>
                <c:pt idx="3289">
                  <c:v>337671027</c:v>
                </c:pt>
                <c:pt idx="3290">
                  <c:v>336895153</c:v>
                </c:pt>
                <c:pt idx="3291">
                  <c:v>339205105</c:v>
                </c:pt>
                <c:pt idx="3292">
                  <c:v>282184388</c:v>
                </c:pt>
                <c:pt idx="3293">
                  <c:v>325849469</c:v>
                </c:pt>
                <c:pt idx="3294">
                  <c:v>323156383</c:v>
                </c:pt>
                <c:pt idx="3295">
                  <c:v>342579855</c:v>
                </c:pt>
                <c:pt idx="3296">
                  <c:v>331190705</c:v>
                </c:pt>
                <c:pt idx="3297">
                  <c:v>315924809</c:v>
                </c:pt>
                <c:pt idx="3298">
                  <c:v>296744559</c:v>
                </c:pt>
                <c:pt idx="3299">
                  <c:v>236076149</c:v>
                </c:pt>
                <c:pt idx="3300">
                  <c:v>256684011</c:v>
                </c:pt>
                <c:pt idx="3301">
                  <c:v>295882741</c:v>
                </c:pt>
                <c:pt idx="3302">
                  <c:v>287623353</c:v>
                </c:pt>
                <c:pt idx="3303">
                  <c:v>288684525</c:v>
                </c:pt>
                <c:pt idx="3304">
                  <c:v>299871406</c:v>
                </c:pt>
                <c:pt idx="3305">
                  <c:v>280819604</c:v>
                </c:pt>
                <c:pt idx="3306">
                  <c:v>230868791</c:v>
                </c:pt>
                <c:pt idx="3307">
                  <c:v>216964955</c:v>
                </c:pt>
                <c:pt idx="3308">
                  <c:v>326398093</c:v>
                </c:pt>
                <c:pt idx="3309">
                  <c:v>301450156</c:v>
                </c:pt>
                <c:pt idx="3310">
                  <c:v>290647297</c:v>
                </c:pt>
                <c:pt idx="3311">
                  <c:v>170551046</c:v>
                </c:pt>
                <c:pt idx="3312">
                  <c:v>282809054</c:v>
                </c:pt>
                <c:pt idx="3313">
                  <c:v>261152973</c:v>
                </c:pt>
                <c:pt idx="3314">
                  <c:v>305263902</c:v>
                </c:pt>
                <c:pt idx="3315">
                  <c:v>306920950</c:v>
                </c:pt>
                <c:pt idx="3316">
                  <c:v>279162224</c:v>
                </c:pt>
                <c:pt idx="3317">
                  <c:v>294091320</c:v>
                </c:pt>
                <c:pt idx="3318">
                  <c:v>303587079</c:v>
                </c:pt>
                <c:pt idx="3319">
                  <c:v>301655641</c:v>
                </c:pt>
                <c:pt idx="3320">
                  <c:v>253084307</c:v>
                </c:pt>
                <c:pt idx="3321">
                  <c:v>309098061</c:v>
                </c:pt>
                <c:pt idx="3322">
                  <c:v>315317325</c:v>
                </c:pt>
                <c:pt idx="3323">
                  <c:v>348208322</c:v>
                </c:pt>
                <c:pt idx="3324">
                  <c:v>331663428</c:v>
                </c:pt>
                <c:pt idx="3325">
                  <c:v>330337085</c:v>
                </c:pt>
                <c:pt idx="3326">
                  <c:v>301956197</c:v>
                </c:pt>
                <c:pt idx="3327">
                  <c:v>253617048</c:v>
                </c:pt>
                <c:pt idx="3328">
                  <c:v>310527878</c:v>
                </c:pt>
                <c:pt idx="3329">
                  <c:v>309374263</c:v>
                </c:pt>
                <c:pt idx="3330">
                  <c:v>307150872</c:v>
                </c:pt>
                <c:pt idx="3331">
                  <c:v>320075106</c:v>
                </c:pt>
                <c:pt idx="3332">
                  <c:v>306294384</c:v>
                </c:pt>
                <c:pt idx="3333">
                  <c:v>298223780</c:v>
                </c:pt>
                <c:pt idx="3334">
                  <c:v>246571110</c:v>
                </c:pt>
                <c:pt idx="3335">
                  <c:v>293639466</c:v>
                </c:pt>
                <c:pt idx="3336">
                  <c:v>282866648</c:v>
                </c:pt>
                <c:pt idx="3337">
                  <c:v>317412625</c:v>
                </c:pt>
                <c:pt idx="3338">
                  <c:v>315328922</c:v>
                </c:pt>
                <c:pt idx="3339">
                  <c:v>311137845</c:v>
                </c:pt>
                <c:pt idx="3340">
                  <c:v>275087535</c:v>
                </c:pt>
                <c:pt idx="3341">
                  <c:v>249062672</c:v>
                </c:pt>
                <c:pt idx="3342">
                  <c:v>282158591</c:v>
                </c:pt>
                <c:pt idx="3343">
                  <c:v>299998018</c:v>
                </c:pt>
                <c:pt idx="3344">
                  <c:v>301342146</c:v>
                </c:pt>
                <c:pt idx="3345">
                  <c:v>307258386</c:v>
                </c:pt>
                <c:pt idx="3346">
                  <c:v>352643479</c:v>
                </c:pt>
                <c:pt idx="3347">
                  <c:v>336838506</c:v>
                </c:pt>
                <c:pt idx="3348">
                  <c:v>282740181</c:v>
                </c:pt>
                <c:pt idx="3349">
                  <c:v>334852634</c:v>
                </c:pt>
                <c:pt idx="3350">
                  <c:v>344833702</c:v>
                </c:pt>
                <c:pt idx="3351">
                  <c:v>377990775</c:v>
                </c:pt>
                <c:pt idx="3352">
                  <c:v>346989478</c:v>
                </c:pt>
                <c:pt idx="3353">
                  <c:v>285389093</c:v>
                </c:pt>
                <c:pt idx="3354">
                  <c:v>312185641</c:v>
                </c:pt>
                <c:pt idx="3355">
                  <c:v>267877752</c:v>
                </c:pt>
                <c:pt idx="3356">
                  <c:v>319360247</c:v>
                </c:pt>
                <c:pt idx="3357">
                  <c:v>349454173</c:v>
                </c:pt>
                <c:pt idx="3358">
                  <c:v>357864998</c:v>
                </c:pt>
                <c:pt idx="3359">
                  <c:v>382060573</c:v>
                </c:pt>
                <c:pt idx="3360">
                  <c:v>361692034</c:v>
                </c:pt>
                <c:pt idx="3361">
                  <c:v>345009989</c:v>
                </c:pt>
                <c:pt idx="3362">
                  <c:v>280087590</c:v>
                </c:pt>
                <c:pt idx="3363">
                  <c:v>342367826</c:v>
                </c:pt>
                <c:pt idx="3364">
                  <c:v>372820622</c:v>
                </c:pt>
                <c:pt idx="3365">
                  <c:v>358863421</c:v>
                </c:pt>
                <c:pt idx="3366">
                  <c:v>386662939</c:v>
                </c:pt>
                <c:pt idx="3367">
                  <c:v>406780582</c:v>
                </c:pt>
                <c:pt idx="3368">
                  <c:v>357565219</c:v>
                </c:pt>
                <c:pt idx="3369">
                  <c:v>243705188</c:v>
                </c:pt>
                <c:pt idx="3370">
                  <c:v>198989418</c:v>
                </c:pt>
                <c:pt idx="3371">
                  <c:v>225872860</c:v>
                </c:pt>
                <c:pt idx="3372">
                  <c:v>325336941</c:v>
                </c:pt>
                <c:pt idx="3373">
                  <c:v>353065620</c:v>
                </c:pt>
                <c:pt idx="3374">
                  <c:v>336885674</c:v>
                </c:pt>
                <c:pt idx="3375">
                  <c:v>337589495</c:v>
                </c:pt>
                <c:pt idx="3376">
                  <c:v>278144535</c:v>
                </c:pt>
                <c:pt idx="3377">
                  <c:v>324212991</c:v>
                </c:pt>
                <c:pt idx="3378">
                  <c:v>351932785</c:v>
                </c:pt>
                <c:pt idx="3379">
                  <c:v>335590582</c:v>
                </c:pt>
                <c:pt idx="3380">
                  <c:v>361820974</c:v>
                </c:pt>
                <c:pt idx="3381">
                  <c:v>345903627</c:v>
                </c:pt>
                <c:pt idx="3382">
                  <c:v>342518717</c:v>
                </c:pt>
                <c:pt idx="3383">
                  <c:v>277714001</c:v>
                </c:pt>
                <c:pt idx="3384">
                  <c:v>336316318</c:v>
                </c:pt>
                <c:pt idx="3385">
                  <c:v>323432237</c:v>
                </c:pt>
                <c:pt idx="3386">
                  <c:v>334978542</c:v>
                </c:pt>
                <c:pt idx="3387">
                  <c:v>276786438</c:v>
                </c:pt>
                <c:pt idx="3388">
                  <c:v>334679423</c:v>
                </c:pt>
                <c:pt idx="3389">
                  <c:v>297825270</c:v>
                </c:pt>
                <c:pt idx="3390">
                  <c:v>237382510</c:v>
                </c:pt>
                <c:pt idx="3391">
                  <c:v>310517624</c:v>
                </c:pt>
                <c:pt idx="3392">
                  <c:v>308637558</c:v>
                </c:pt>
                <c:pt idx="3393">
                  <c:v>257829546</c:v>
                </c:pt>
                <c:pt idx="3394">
                  <c:v>276963114</c:v>
                </c:pt>
                <c:pt idx="3395">
                  <c:v>265640585</c:v>
                </c:pt>
                <c:pt idx="3396">
                  <c:v>275963308</c:v>
                </c:pt>
                <c:pt idx="3397">
                  <c:v>257481504</c:v>
                </c:pt>
                <c:pt idx="3398">
                  <c:v>286408983</c:v>
                </c:pt>
                <c:pt idx="3399">
                  <c:v>288422347</c:v>
                </c:pt>
                <c:pt idx="3400">
                  <c:v>297722985</c:v>
                </c:pt>
                <c:pt idx="3401">
                  <c:v>285048066</c:v>
                </c:pt>
                <c:pt idx="3402">
                  <c:v>280492771</c:v>
                </c:pt>
                <c:pt idx="3403">
                  <c:v>297774699</c:v>
                </c:pt>
                <c:pt idx="3404">
                  <c:v>271227113</c:v>
                </c:pt>
                <c:pt idx="3405">
                  <c:v>278681605</c:v>
                </c:pt>
                <c:pt idx="3406">
                  <c:v>315771972</c:v>
                </c:pt>
                <c:pt idx="3407">
                  <c:v>320428034</c:v>
                </c:pt>
                <c:pt idx="3408">
                  <c:v>337324581</c:v>
                </c:pt>
                <c:pt idx="3409">
                  <c:v>335992915</c:v>
                </c:pt>
                <c:pt idx="3410">
                  <c:v>332617989</c:v>
                </c:pt>
                <c:pt idx="3411">
                  <c:v>314507056</c:v>
                </c:pt>
                <c:pt idx="3412">
                  <c:v>295157665</c:v>
                </c:pt>
                <c:pt idx="3413">
                  <c:v>289537852</c:v>
                </c:pt>
                <c:pt idx="3414">
                  <c:v>316232201</c:v>
                </c:pt>
                <c:pt idx="3415">
                  <c:v>322544662</c:v>
                </c:pt>
                <c:pt idx="3416">
                  <c:v>298150506</c:v>
                </c:pt>
                <c:pt idx="3417">
                  <c:v>272646404</c:v>
                </c:pt>
                <c:pt idx="3418">
                  <c:v>258916362</c:v>
                </c:pt>
                <c:pt idx="3419">
                  <c:v>308055611</c:v>
                </c:pt>
                <c:pt idx="3420">
                  <c:v>324827920</c:v>
                </c:pt>
                <c:pt idx="3421">
                  <c:v>337509655</c:v>
                </c:pt>
                <c:pt idx="3422">
                  <c:v>321768299</c:v>
                </c:pt>
                <c:pt idx="3423">
                  <c:v>315808503</c:v>
                </c:pt>
                <c:pt idx="3424">
                  <c:v>305962119</c:v>
                </c:pt>
                <c:pt idx="3425">
                  <c:v>252163622</c:v>
                </c:pt>
                <c:pt idx="3426">
                  <c:v>270780504</c:v>
                </c:pt>
                <c:pt idx="3427">
                  <c:v>308840062</c:v>
                </c:pt>
                <c:pt idx="3428">
                  <c:v>286284509</c:v>
                </c:pt>
                <c:pt idx="3429">
                  <c:v>253211987</c:v>
                </c:pt>
                <c:pt idx="3430">
                  <c:v>269670981</c:v>
                </c:pt>
                <c:pt idx="3431">
                  <c:v>259731124</c:v>
                </c:pt>
                <c:pt idx="3432">
                  <c:v>227021408</c:v>
                </c:pt>
                <c:pt idx="3433">
                  <c:v>299132868</c:v>
                </c:pt>
                <c:pt idx="3434">
                  <c:v>314447461</c:v>
                </c:pt>
                <c:pt idx="3435">
                  <c:v>319732872</c:v>
                </c:pt>
                <c:pt idx="3436">
                  <c:v>310352289</c:v>
                </c:pt>
                <c:pt idx="3437">
                  <c:v>313073509</c:v>
                </c:pt>
                <c:pt idx="3438">
                  <c:v>319739343</c:v>
                </c:pt>
                <c:pt idx="3439">
                  <c:v>279833501</c:v>
                </c:pt>
                <c:pt idx="3440">
                  <c:v>325122489</c:v>
                </c:pt>
                <c:pt idx="3441">
                  <c:v>257276671</c:v>
                </c:pt>
                <c:pt idx="3442">
                  <c:v>360916564</c:v>
                </c:pt>
                <c:pt idx="3443">
                  <c:v>366290874</c:v>
                </c:pt>
                <c:pt idx="3444">
                  <c:v>359095753</c:v>
                </c:pt>
                <c:pt idx="3445">
                  <c:v>320109990</c:v>
                </c:pt>
                <c:pt idx="3446">
                  <c:v>252437144</c:v>
                </c:pt>
                <c:pt idx="3447">
                  <c:v>334036891</c:v>
                </c:pt>
                <c:pt idx="3448">
                  <c:v>378736616</c:v>
                </c:pt>
                <c:pt idx="3449">
                  <c:v>377802081</c:v>
                </c:pt>
                <c:pt idx="3450">
                  <c:v>382821968</c:v>
                </c:pt>
                <c:pt idx="3451">
                  <c:v>373931630</c:v>
                </c:pt>
                <c:pt idx="3452">
                  <c:v>346608755</c:v>
                </c:pt>
                <c:pt idx="3453">
                  <c:v>339034737</c:v>
                </c:pt>
                <c:pt idx="3454">
                  <c:v>278023151</c:v>
                </c:pt>
                <c:pt idx="3455">
                  <c:v>332367550</c:v>
                </c:pt>
                <c:pt idx="3456">
                  <c:v>362473168</c:v>
                </c:pt>
                <c:pt idx="3457">
                  <c:v>357511589</c:v>
                </c:pt>
                <c:pt idx="3458">
                  <c:v>338999205</c:v>
                </c:pt>
                <c:pt idx="3459">
                  <c:v>342796707</c:v>
                </c:pt>
                <c:pt idx="3460">
                  <c:v>289562973</c:v>
                </c:pt>
                <c:pt idx="3461">
                  <c:v>340745676</c:v>
                </c:pt>
                <c:pt idx="3462">
                  <c:v>357750346</c:v>
                </c:pt>
                <c:pt idx="3463">
                  <c:v>334710621</c:v>
                </c:pt>
                <c:pt idx="3464">
                  <c:v>333688500</c:v>
                </c:pt>
                <c:pt idx="3465">
                  <c:v>296971015</c:v>
                </c:pt>
                <c:pt idx="3466">
                  <c:v>308015823</c:v>
                </c:pt>
                <c:pt idx="3467">
                  <c:v>256645450</c:v>
                </c:pt>
                <c:pt idx="3468">
                  <c:v>308174900</c:v>
                </c:pt>
                <c:pt idx="3469">
                  <c:v>335666786</c:v>
                </c:pt>
                <c:pt idx="3470">
                  <c:v>338688615</c:v>
                </c:pt>
                <c:pt idx="3471">
                  <c:v>360159260</c:v>
                </c:pt>
                <c:pt idx="3472">
                  <c:v>346036147</c:v>
                </c:pt>
                <c:pt idx="3473">
                  <c:v>326820605</c:v>
                </c:pt>
                <c:pt idx="3474">
                  <c:v>272073392</c:v>
                </c:pt>
                <c:pt idx="3475">
                  <c:v>362547566</c:v>
                </c:pt>
                <c:pt idx="3476">
                  <c:v>363109949</c:v>
                </c:pt>
                <c:pt idx="3477">
                  <c:v>359437324</c:v>
                </c:pt>
                <c:pt idx="3478">
                  <c:v>347872414</c:v>
                </c:pt>
                <c:pt idx="3479">
                  <c:v>377198477</c:v>
                </c:pt>
                <c:pt idx="3480">
                  <c:v>351304876</c:v>
                </c:pt>
                <c:pt idx="3481">
                  <c:v>289901794</c:v>
                </c:pt>
                <c:pt idx="3482">
                  <c:v>335798747</c:v>
                </c:pt>
                <c:pt idx="3483">
                  <c:v>353501041</c:v>
                </c:pt>
                <c:pt idx="3484">
                  <c:v>306165676</c:v>
                </c:pt>
                <c:pt idx="3485">
                  <c:v>356290604</c:v>
                </c:pt>
                <c:pt idx="3486">
                  <c:v>378951834</c:v>
                </c:pt>
                <c:pt idx="3487">
                  <c:v>368061719</c:v>
                </c:pt>
                <c:pt idx="3488">
                  <c:v>281291222</c:v>
                </c:pt>
                <c:pt idx="3489">
                  <c:v>319972026</c:v>
                </c:pt>
                <c:pt idx="3490">
                  <c:v>347102642</c:v>
                </c:pt>
                <c:pt idx="3491">
                  <c:v>344095643</c:v>
                </c:pt>
                <c:pt idx="3492">
                  <c:v>344479472</c:v>
                </c:pt>
                <c:pt idx="3493">
                  <c:v>334286558</c:v>
                </c:pt>
                <c:pt idx="3494">
                  <c:v>307656803</c:v>
                </c:pt>
                <c:pt idx="3495">
                  <c:v>267094667</c:v>
                </c:pt>
                <c:pt idx="3496">
                  <c:v>297792110</c:v>
                </c:pt>
                <c:pt idx="3497">
                  <c:v>326808841</c:v>
                </c:pt>
                <c:pt idx="3498">
                  <c:v>270056997</c:v>
                </c:pt>
                <c:pt idx="3499">
                  <c:v>314721633</c:v>
                </c:pt>
                <c:pt idx="3500">
                  <c:v>329326917</c:v>
                </c:pt>
                <c:pt idx="3501">
                  <c:v>560274002</c:v>
                </c:pt>
                <c:pt idx="3502">
                  <c:v>276537336</c:v>
                </c:pt>
                <c:pt idx="3503">
                  <c:v>356642680</c:v>
                </c:pt>
                <c:pt idx="3504">
                  <c:v>378694896</c:v>
                </c:pt>
                <c:pt idx="3505">
                  <c:v>396083198</c:v>
                </c:pt>
                <c:pt idx="3506">
                  <c:v>401990571</c:v>
                </c:pt>
                <c:pt idx="3507">
                  <c:v>374355749</c:v>
                </c:pt>
                <c:pt idx="3508">
                  <c:v>371968892</c:v>
                </c:pt>
                <c:pt idx="3509">
                  <c:v>285054501</c:v>
                </c:pt>
                <c:pt idx="3510">
                  <c:v>350989457</c:v>
                </c:pt>
                <c:pt idx="3511">
                  <c:v>375326815</c:v>
                </c:pt>
                <c:pt idx="3512">
                  <c:v>368761300</c:v>
                </c:pt>
                <c:pt idx="3513">
                  <c:v>206264042</c:v>
                </c:pt>
                <c:pt idx="3514">
                  <c:v>386473021</c:v>
                </c:pt>
                <c:pt idx="3515">
                  <c:v>359366586</c:v>
                </c:pt>
                <c:pt idx="3516">
                  <c:v>298619457</c:v>
                </c:pt>
                <c:pt idx="3517">
                  <c:v>257869569</c:v>
                </c:pt>
                <c:pt idx="3518">
                  <c:v>345296987</c:v>
                </c:pt>
                <c:pt idx="3519">
                  <c:v>359935137</c:v>
                </c:pt>
                <c:pt idx="3520">
                  <c:v>401671701</c:v>
                </c:pt>
                <c:pt idx="3521">
                  <c:v>372631054</c:v>
                </c:pt>
                <c:pt idx="3522">
                  <c:v>366988627</c:v>
                </c:pt>
                <c:pt idx="3523">
                  <c:v>293755453</c:v>
                </c:pt>
                <c:pt idx="3524">
                  <c:v>283911819</c:v>
                </c:pt>
                <c:pt idx="3525">
                  <c:v>336988879</c:v>
                </c:pt>
                <c:pt idx="3526">
                  <c:v>409787826</c:v>
                </c:pt>
                <c:pt idx="3527">
                  <c:v>335095978</c:v>
                </c:pt>
                <c:pt idx="3528">
                  <c:v>364223004</c:v>
                </c:pt>
                <c:pt idx="3529">
                  <c:v>354600281</c:v>
                </c:pt>
                <c:pt idx="3530">
                  <c:v>294062821</c:v>
                </c:pt>
                <c:pt idx="3531">
                  <c:v>381027635</c:v>
                </c:pt>
                <c:pt idx="3532">
                  <c:v>399772641</c:v>
                </c:pt>
                <c:pt idx="3533">
                  <c:v>370259762</c:v>
                </c:pt>
                <c:pt idx="3534">
                  <c:v>395877739</c:v>
                </c:pt>
                <c:pt idx="3535">
                  <c:v>359735956</c:v>
                </c:pt>
                <c:pt idx="3536">
                  <c:v>339343596</c:v>
                </c:pt>
                <c:pt idx="3537">
                  <c:v>312183803</c:v>
                </c:pt>
                <c:pt idx="3538">
                  <c:v>338176027</c:v>
                </c:pt>
                <c:pt idx="3539">
                  <c:v>377414083</c:v>
                </c:pt>
                <c:pt idx="3540">
                  <c:v>364256523</c:v>
                </c:pt>
                <c:pt idx="3541">
                  <c:v>351252189</c:v>
                </c:pt>
                <c:pt idx="3542">
                  <c:v>352315782</c:v>
                </c:pt>
                <c:pt idx="3543">
                  <c:v>352132345</c:v>
                </c:pt>
                <c:pt idx="3544">
                  <c:v>294812040</c:v>
                </c:pt>
                <c:pt idx="3545">
                  <c:v>306796207</c:v>
                </c:pt>
                <c:pt idx="3546">
                  <c:v>297789215</c:v>
                </c:pt>
                <c:pt idx="3547">
                  <c:v>336859654</c:v>
                </c:pt>
                <c:pt idx="3548">
                  <c:v>392393800</c:v>
                </c:pt>
                <c:pt idx="3549">
                  <c:v>400692218</c:v>
                </c:pt>
                <c:pt idx="3550">
                  <c:v>362821689</c:v>
                </c:pt>
                <c:pt idx="3551">
                  <c:v>320791982</c:v>
                </c:pt>
                <c:pt idx="3552">
                  <c:v>377933886</c:v>
                </c:pt>
                <c:pt idx="3553">
                  <c:v>391635672</c:v>
                </c:pt>
                <c:pt idx="3554">
                  <c:v>386562942</c:v>
                </c:pt>
                <c:pt idx="3555">
                  <c:v>362782963</c:v>
                </c:pt>
                <c:pt idx="3556">
                  <c:v>356457506</c:v>
                </c:pt>
                <c:pt idx="3557">
                  <c:v>344034427</c:v>
                </c:pt>
                <c:pt idx="3558">
                  <c:v>301218596</c:v>
                </c:pt>
                <c:pt idx="3559">
                  <c:v>353363513</c:v>
                </c:pt>
                <c:pt idx="3560">
                  <c:v>353292616</c:v>
                </c:pt>
                <c:pt idx="3561">
                  <c:v>346927649</c:v>
                </c:pt>
                <c:pt idx="3562">
                  <c:v>401515848</c:v>
                </c:pt>
                <c:pt idx="3563">
                  <c:v>420839879</c:v>
                </c:pt>
                <c:pt idx="3564">
                  <c:v>401628391</c:v>
                </c:pt>
                <c:pt idx="3565">
                  <c:v>326930513</c:v>
                </c:pt>
                <c:pt idx="3566">
                  <c:v>414529074</c:v>
                </c:pt>
                <c:pt idx="3567">
                  <c:v>418993521</c:v>
                </c:pt>
                <c:pt idx="3568">
                  <c:v>418560711</c:v>
                </c:pt>
                <c:pt idx="3569">
                  <c:v>416423493</c:v>
                </c:pt>
                <c:pt idx="3570">
                  <c:v>359069905</c:v>
                </c:pt>
                <c:pt idx="3571">
                  <c:v>315170009</c:v>
                </c:pt>
                <c:pt idx="3572">
                  <c:v>319505268</c:v>
                </c:pt>
                <c:pt idx="3573">
                  <c:v>388783905</c:v>
                </c:pt>
                <c:pt idx="3574">
                  <c:v>402762705</c:v>
                </c:pt>
                <c:pt idx="3575">
                  <c:v>404840887</c:v>
                </c:pt>
                <c:pt idx="3576">
                  <c:v>432612508</c:v>
                </c:pt>
                <c:pt idx="3577">
                  <c:v>456911378</c:v>
                </c:pt>
                <c:pt idx="3578">
                  <c:v>439303945</c:v>
                </c:pt>
                <c:pt idx="3579">
                  <c:v>324147487</c:v>
                </c:pt>
                <c:pt idx="3580">
                  <c:v>420874808</c:v>
                </c:pt>
                <c:pt idx="3581">
                  <c:v>446766380</c:v>
                </c:pt>
                <c:pt idx="3582">
                  <c:v>470702375</c:v>
                </c:pt>
                <c:pt idx="3583">
                  <c:v>446051478</c:v>
                </c:pt>
                <c:pt idx="3584">
                  <c:v>424617731</c:v>
                </c:pt>
                <c:pt idx="3585">
                  <c:v>424894526</c:v>
                </c:pt>
                <c:pt idx="3586">
                  <c:v>361311501</c:v>
                </c:pt>
                <c:pt idx="3587">
                  <c:v>414491896</c:v>
                </c:pt>
                <c:pt idx="3588">
                  <c:v>371254564</c:v>
                </c:pt>
                <c:pt idx="3589">
                  <c:v>337935236</c:v>
                </c:pt>
                <c:pt idx="3590">
                  <c:v>203198703</c:v>
                </c:pt>
                <c:pt idx="3591">
                  <c:v>300877884</c:v>
                </c:pt>
                <c:pt idx="3592">
                  <c:v>374570973</c:v>
                </c:pt>
                <c:pt idx="3593">
                  <c:v>372966463</c:v>
                </c:pt>
                <c:pt idx="3594">
                  <c:v>475426555</c:v>
                </c:pt>
                <c:pt idx="3595">
                  <c:v>524824495</c:v>
                </c:pt>
                <c:pt idx="3596">
                  <c:v>532079342</c:v>
                </c:pt>
                <c:pt idx="3597">
                  <c:v>471430536</c:v>
                </c:pt>
                <c:pt idx="3598">
                  <c:v>472528168</c:v>
                </c:pt>
                <c:pt idx="3599">
                  <c:v>476043370</c:v>
                </c:pt>
                <c:pt idx="3600">
                  <c:v>415076757</c:v>
                </c:pt>
                <c:pt idx="3601">
                  <c:v>498058406</c:v>
                </c:pt>
                <c:pt idx="3602">
                  <c:v>503925789</c:v>
                </c:pt>
                <c:pt idx="3603">
                  <c:v>523201432</c:v>
                </c:pt>
                <c:pt idx="3604">
                  <c:v>502095051</c:v>
                </c:pt>
                <c:pt idx="3605">
                  <c:v>474836941</c:v>
                </c:pt>
                <c:pt idx="3606">
                  <c:v>581391522</c:v>
                </c:pt>
                <c:pt idx="3607">
                  <c:v>439021895</c:v>
                </c:pt>
                <c:pt idx="3608">
                  <c:v>505192537</c:v>
                </c:pt>
                <c:pt idx="3609">
                  <c:v>534734586</c:v>
                </c:pt>
                <c:pt idx="3610">
                  <c:v>528153828</c:v>
                </c:pt>
                <c:pt idx="3611">
                  <c:v>539054581</c:v>
                </c:pt>
                <c:pt idx="3612">
                  <c:v>529847517</c:v>
                </c:pt>
                <c:pt idx="3613">
                  <c:v>484789462</c:v>
                </c:pt>
                <c:pt idx="3614">
                  <c:v>404406806</c:v>
                </c:pt>
                <c:pt idx="3615">
                  <c:v>487066875</c:v>
                </c:pt>
                <c:pt idx="3616">
                  <c:v>557663816</c:v>
                </c:pt>
                <c:pt idx="3617">
                  <c:v>597274499</c:v>
                </c:pt>
                <c:pt idx="3618">
                  <c:v>578481867</c:v>
                </c:pt>
                <c:pt idx="3619">
                  <c:v>579086858</c:v>
                </c:pt>
                <c:pt idx="3620">
                  <c:v>530265920</c:v>
                </c:pt>
                <c:pt idx="3621">
                  <c:v>446992244</c:v>
                </c:pt>
                <c:pt idx="3622">
                  <c:v>511927751</c:v>
                </c:pt>
                <c:pt idx="3623">
                  <c:v>538332009</c:v>
                </c:pt>
                <c:pt idx="3624">
                  <c:v>550778077</c:v>
                </c:pt>
                <c:pt idx="3625">
                  <c:v>530651169</c:v>
                </c:pt>
                <c:pt idx="3626">
                  <c:v>453255525</c:v>
                </c:pt>
                <c:pt idx="3627">
                  <c:v>434001377</c:v>
                </c:pt>
                <c:pt idx="3628">
                  <c:v>370284220</c:v>
                </c:pt>
                <c:pt idx="3629">
                  <c:v>454792224</c:v>
                </c:pt>
                <c:pt idx="3630">
                  <c:v>484966001</c:v>
                </c:pt>
                <c:pt idx="3631">
                  <c:v>482032069</c:v>
                </c:pt>
                <c:pt idx="3632">
                  <c:v>448456679</c:v>
                </c:pt>
                <c:pt idx="3633">
                  <c:v>440965804</c:v>
                </c:pt>
                <c:pt idx="3634">
                  <c:v>381938870</c:v>
                </c:pt>
                <c:pt idx="3635">
                  <c:v>355997685</c:v>
                </c:pt>
                <c:pt idx="3636">
                  <c:v>456645488</c:v>
                </c:pt>
                <c:pt idx="3637">
                  <c:v>518742736</c:v>
                </c:pt>
                <c:pt idx="3638">
                  <c:v>542439569</c:v>
                </c:pt>
                <c:pt idx="3639">
                  <c:v>540828876</c:v>
                </c:pt>
                <c:pt idx="3640">
                  <c:v>507563625</c:v>
                </c:pt>
                <c:pt idx="3641">
                  <c:v>495305679</c:v>
                </c:pt>
                <c:pt idx="3642">
                  <c:v>435325426</c:v>
                </c:pt>
                <c:pt idx="3643">
                  <c:v>506031312</c:v>
                </c:pt>
                <c:pt idx="3644">
                  <c:v>512938574</c:v>
                </c:pt>
                <c:pt idx="3645">
                  <c:v>424670244</c:v>
                </c:pt>
                <c:pt idx="3646">
                  <c:v>477609364</c:v>
                </c:pt>
                <c:pt idx="3647">
                  <c:v>325513685</c:v>
                </c:pt>
                <c:pt idx="3648">
                  <c:v>390836671</c:v>
                </c:pt>
                <c:pt idx="3649">
                  <c:v>358594110</c:v>
                </c:pt>
                <c:pt idx="3650">
                  <c:v>406918572</c:v>
                </c:pt>
                <c:pt idx="3651">
                  <c:v>304395896</c:v>
                </c:pt>
                <c:pt idx="3652">
                  <c:v>354607051</c:v>
                </c:pt>
                <c:pt idx="3653">
                  <c:v>447387162</c:v>
                </c:pt>
                <c:pt idx="3654">
                  <c:v>473284716</c:v>
                </c:pt>
                <c:pt idx="3655">
                  <c:v>479083633</c:v>
                </c:pt>
                <c:pt idx="3656">
                  <c:v>398087659</c:v>
                </c:pt>
                <c:pt idx="3657">
                  <c:v>482623159</c:v>
                </c:pt>
                <c:pt idx="3658">
                  <c:v>477332286</c:v>
                </c:pt>
                <c:pt idx="3659">
                  <c:v>497773913</c:v>
                </c:pt>
                <c:pt idx="3660">
                  <c:v>508311859</c:v>
                </c:pt>
                <c:pt idx="3661">
                  <c:v>498018273</c:v>
                </c:pt>
                <c:pt idx="3662">
                  <c:v>459794290</c:v>
                </c:pt>
                <c:pt idx="3663">
                  <c:v>412086576</c:v>
                </c:pt>
                <c:pt idx="3664">
                  <c:v>458272702</c:v>
                </c:pt>
                <c:pt idx="3665">
                  <c:v>412124075</c:v>
                </c:pt>
                <c:pt idx="3666">
                  <c:v>452544784</c:v>
                </c:pt>
                <c:pt idx="3667">
                  <c:v>492965892</c:v>
                </c:pt>
                <c:pt idx="3668">
                  <c:v>479665199</c:v>
                </c:pt>
                <c:pt idx="3669">
                  <c:v>454268575</c:v>
                </c:pt>
                <c:pt idx="3670">
                  <c:v>412044219</c:v>
                </c:pt>
                <c:pt idx="3671">
                  <c:v>452850608</c:v>
                </c:pt>
                <c:pt idx="3672">
                  <c:v>460909279</c:v>
                </c:pt>
                <c:pt idx="3673">
                  <c:v>462155144</c:v>
                </c:pt>
                <c:pt idx="3674">
                  <c:v>420041258</c:v>
                </c:pt>
                <c:pt idx="3675">
                  <c:v>475419380</c:v>
                </c:pt>
                <c:pt idx="3676">
                  <c:v>438544150</c:v>
                </c:pt>
                <c:pt idx="3677">
                  <c:v>252612405</c:v>
                </c:pt>
                <c:pt idx="3678">
                  <c:v>453254418</c:v>
                </c:pt>
                <c:pt idx="3679">
                  <c:v>459666759</c:v>
                </c:pt>
                <c:pt idx="3680">
                  <c:v>472532495</c:v>
                </c:pt>
                <c:pt idx="3681">
                  <c:v>460524364</c:v>
                </c:pt>
                <c:pt idx="3682">
                  <c:v>447340975</c:v>
                </c:pt>
                <c:pt idx="3683">
                  <c:v>450912548</c:v>
                </c:pt>
                <c:pt idx="3684">
                  <c:v>385756369</c:v>
                </c:pt>
                <c:pt idx="3685">
                  <c:v>453988782</c:v>
                </c:pt>
                <c:pt idx="3686">
                  <c:v>447035639</c:v>
                </c:pt>
                <c:pt idx="3687">
                  <c:v>465685923</c:v>
                </c:pt>
                <c:pt idx="3688">
                  <c:v>463022659</c:v>
                </c:pt>
                <c:pt idx="3689">
                  <c:v>469911552</c:v>
                </c:pt>
                <c:pt idx="3690">
                  <c:v>411447156</c:v>
                </c:pt>
                <c:pt idx="3691">
                  <c:v>377922940</c:v>
                </c:pt>
                <c:pt idx="3692">
                  <c:v>456151638</c:v>
                </c:pt>
                <c:pt idx="3693">
                  <c:v>500024988</c:v>
                </c:pt>
                <c:pt idx="3694">
                  <c:v>484639006</c:v>
                </c:pt>
                <c:pt idx="3695">
                  <c:v>480863618</c:v>
                </c:pt>
                <c:pt idx="3696">
                  <c:v>485229709</c:v>
                </c:pt>
                <c:pt idx="3697">
                  <c:v>493581529</c:v>
                </c:pt>
                <c:pt idx="3698">
                  <c:v>403921995</c:v>
                </c:pt>
                <c:pt idx="3699">
                  <c:v>498043669</c:v>
                </c:pt>
                <c:pt idx="3700">
                  <c:v>521664018</c:v>
                </c:pt>
                <c:pt idx="3701">
                  <c:v>521648182</c:v>
                </c:pt>
                <c:pt idx="3702">
                  <c:v>492603465</c:v>
                </c:pt>
                <c:pt idx="3703">
                  <c:v>512339378</c:v>
                </c:pt>
                <c:pt idx="3704">
                  <c:v>484702353</c:v>
                </c:pt>
                <c:pt idx="3705">
                  <c:v>392350315</c:v>
                </c:pt>
                <c:pt idx="3706">
                  <c:v>509882537</c:v>
                </c:pt>
                <c:pt idx="3707">
                  <c:v>525218440</c:v>
                </c:pt>
                <c:pt idx="3708">
                  <c:v>412148809</c:v>
                </c:pt>
                <c:pt idx="3709">
                  <c:v>545205766</c:v>
                </c:pt>
                <c:pt idx="3710">
                  <c:v>483906392</c:v>
                </c:pt>
                <c:pt idx="3711">
                  <c:v>495308645</c:v>
                </c:pt>
                <c:pt idx="3712">
                  <c:v>392378734</c:v>
                </c:pt>
                <c:pt idx="3713">
                  <c:v>506109656</c:v>
                </c:pt>
                <c:pt idx="3714">
                  <c:v>520732942</c:v>
                </c:pt>
                <c:pt idx="3715">
                  <c:v>520660010</c:v>
                </c:pt>
                <c:pt idx="3716">
                  <c:v>592589063</c:v>
                </c:pt>
                <c:pt idx="3717">
                  <c:v>602166082</c:v>
                </c:pt>
                <c:pt idx="3718">
                  <c:v>493596658</c:v>
                </c:pt>
                <c:pt idx="3719">
                  <c:v>435878897</c:v>
                </c:pt>
                <c:pt idx="3720">
                  <c:v>536065738</c:v>
                </c:pt>
                <c:pt idx="3721">
                  <c:v>551274746</c:v>
                </c:pt>
                <c:pt idx="3722">
                  <c:v>524429573</c:v>
                </c:pt>
                <c:pt idx="3723">
                  <c:v>455151571</c:v>
                </c:pt>
                <c:pt idx="3724">
                  <c:v>377525788</c:v>
                </c:pt>
                <c:pt idx="3725">
                  <c:v>379402326</c:v>
                </c:pt>
                <c:pt idx="3726">
                  <c:v>414114497</c:v>
                </c:pt>
                <c:pt idx="3727">
                  <c:v>566480442</c:v>
                </c:pt>
                <c:pt idx="3728">
                  <c:v>587692480</c:v>
                </c:pt>
                <c:pt idx="3729">
                  <c:v>572016639</c:v>
                </c:pt>
                <c:pt idx="3730">
                  <c:v>589325720</c:v>
                </c:pt>
                <c:pt idx="3731">
                  <c:v>588713754</c:v>
                </c:pt>
                <c:pt idx="3732">
                  <c:v>583064668</c:v>
                </c:pt>
                <c:pt idx="3733">
                  <c:v>489053686</c:v>
                </c:pt>
                <c:pt idx="3734">
                  <c:v>585266687</c:v>
                </c:pt>
                <c:pt idx="3735">
                  <c:v>573768776</c:v>
                </c:pt>
                <c:pt idx="3736">
                  <c:v>582084799</c:v>
                </c:pt>
                <c:pt idx="3737">
                  <c:v>577261509</c:v>
                </c:pt>
                <c:pt idx="3738">
                  <c:v>548232879</c:v>
                </c:pt>
                <c:pt idx="3739">
                  <c:v>520235717</c:v>
                </c:pt>
                <c:pt idx="3740">
                  <c:v>490471261</c:v>
                </c:pt>
                <c:pt idx="3741">
                  <c:v>428980667</c:v>
                </c:pt>
                <c:pt idx="3742">
                  <c:v>506328099</c:v>
                </c:pt>
                <c:pt idx="3743">
                  <c:v>606356716</c:v>
                </c:pt>
                <c:pt idx="3744">
                  <c:v>557285810</c:v>
                </c:pt>
                <c:pt idx="3745">
                  <c:v>547816289</c:v>
                </c:pt>
                <c:pt idx="3746">
                  <c:v>528580875</c:v>
                </c:pt>
                <c:pt idx="3747">
                  <c:v>410642574</c:v>
                </c:pt>
                <c:pt idx="3748">
                  <c:v>553681720</c:v>
                </c:pt>
                <c:pt idx="3749">
                  <c:v>607957564</c:v>
                </c:pt>
                <c:pt idx="3750">
                  <c:v>572161820</c:v>
                </c:pt>
                <c:pt idx="3751">
                  <c:v>459953255</c:v>
                </c:pt>
                <c:pt idx="3752">
                  <c:v>471753284</c:v>
                </c:pt>
                <c:pt idx="3753">
                  <c:v>490669651</c:v>
                </c:pt>
                <c:pt idx="3754">
                  <c:v>418519152</c:v>
                </c:pt>
                <c:pt idx="3755">
                  <c:v>403237421</c:v>
                </c:pt>
                <c:pt idx="3756">
                  <c:v>543060940</c:v>
                </c:pt>
                <c:pt idx="3757">
                  <c:v>539682659</c:v>
                </c:pt>
                <c:pt idx="3758">
                  <c:v>554510997</c:v>
                </c:pt>
                <c:pt idx="3759">
                  <c:v>482562737</c:v>
                </c:pt>
                <c:pt idx="3760">
                  <c:v>495580275</c:v>
                </c:pt>
                <c:pt idx="3761">
                  <c:v>402468957</c:v>
                </c:pt>
                <c:pt idx="3762">
                  <c:v>514689705</c:v>
                </c:pt>
                <c:pt idx="3763">
                  <c:v>530110069</c:v>
                </c:pt>
                <c:pt idx="3764">
                  <c:v>529672980</c:v>
                </c:pt>
                <c:pt idx="3765">
                  <c:v>518380229</c:v>
                </c:pt>
                <c:pt idx="3766">
                  <c:v>541850583</c:v>
                </c:pt>
                <c:pt idx="3767">
                  <c:v>506699014</c:v>
                </c:pt>
                <c:pt idx="3768">
                  <c:v>411113355</c:v>
                </c:pt>
                <c:pt idx="3769">
                  <c:v>512357459</c:v>
                </c:pt>
                <c:pt idx="3770">
                  <c:v>479563009</c:v>
                </c:pt>
                <c:pt idx="3771">
                  <c:v>466927682</c:v>
                </c:pt>
                <c:pt idx="3772">
                  <c:v>481418511</c:v>
                </c:pt>
                <c:pt idx="3773">
                  <c:v>493792588</c:v>
                </c:pt>
                <c:pt idx="3774">
                  <c:v>528780671</c:v>
                </c:pt>
                <c:pt idx="3775">
                  <c:v>406164683</c:v>
                </c:pt>
                <c:pt idx="3776">
                  <c:v>520013493</c:v>
                </c:pt>
                <c:pt idx="3777">
                  <c:v>525943769</c:v>
                </c:pt>
                <c:pt idx="3778">
                  <c:v>498802040</c:v>
                </c:pt>
                <c:pt idx="3779">
                  <c:v>532844137</c:v>
                </c:pt>
                <c:pt idx="3780">
                  <c:v>512868120</c:v>
                </c:pt>
                <c:pt idx="3781">
                  <c:v>446136176</c:v>
                </c:pt>
                <c:pt idx="3782">
                  <c:v>409635036</c:v>
                </c:pt>
                <c:pt idx="3783">
                  <c:v>481590655</c:v>
                </c:pt>
                <c:pt idx="3784">
                  <c:v>513650959</c:v>
                </c:pt>
                <c:pt idx="3785">
                  <c:v>523421904</c:v>
                </c:pt>
                <c:pt idx="3786">
                  <c:v>553713067</c:v>
                </c:pt>
                <c:pt idx="3787">
                  <c:v>555777244</c:v>
                </c:pt>
                <c:pt idx="3788">
                  <c:v>562901795</c:v>
                </c:pt>
                <c:pt idx="3789">
                  <c:v>470073462</c:v>
                </c:pt>
                <c:pt idx="3790">
                  <c:v>518471327</c:v>
                </c:pt>
                <c:pt idx="3791">
                  <c:v>528505463</c:v>
                </c:pt>
                <c:pt idx="3792">
                  <c:v>522993277</c:v>
                </c:pt>
                <c:pt idx="3793">
                  <c:v>520763560</c:v>
                </c:pt>
                <c:pt idx="3794">
                  <c:v>446448176</c:v>
                </c:pt>
                <c:pt idx="3795">
                  <c:v>462769032</c:v>
                </c:pt>
                <c:pt idx="3796">
                  <c:v>388055472</c:v>
                </c:pt>
                <c:pt idx="3797">
                  <c:v>483952757</c:v>
                </c:pt>
                <c:pt idx="3798">
                  <c:v>510715798</c:v>
                </c:pt>
                <c:pt idx="3799">
                  <c:v>523973272</c:v>
                </c:pt>
                <c:pt idx="3800">
                  <c:v>487984426</c:v>
                </c:pt>
                <c:pt idx="3801">
                  <c:v>486958640</c:v>
                </c:pt>
                <c:pt idx="3802">
                  <c:v>453545105</c:v>
                </c:pt>
                <c:pt idx="3803">
                  <c:v>394886188</c:v>
                </c:pt>
                <c:pt idx="3804">
                  <c:v>518712208</c:v>
                </c:pt>
                <c:pt idx="3805">
                  <c:v>560944563</c:v>
                </c:pt>
                <c:pt idx="3806">
                  <c:v>561557840</c:v>
                </c:pt>
                <c:pt idx="3807">
                  <c:v>545639881</c:v>
                </c:pt>
                <c:pt idx="3808">
                  <c:v>524527967</c:v>
                </c:pt>
                <c:pt idx="3809">
                  <c:v>431341714</c:v>
                </c:pt>
                <c:pt idx="3810">
                  <c:v>415903325</c:v>
                </c:pt>
                <c:pt idx="3811">
                  <c:v>518503053</c:v>
                </c:pt>
                <c:pt idx="3812">
                  <c:v>517097119</c:v>
                </c:pt>
                <c:pt idx="3813">
                  <c:v>526146974</c:v>
                </c:pt>
                <c:pt idx="3814">
                  <c:v>502774917</c:v>
                </c:pt>
                <c:pt idx="3815">
                  <c:v>512710400</c:v>
                </c:pt>
                <c:pt idx="3816">
                  <c:v>443227249</c:v>
                </c:pt>
                <c:pt idx="3817">
                  <c:v>390738108</c:v>
                </c:pt>
                <c:pt idx="3818">
                  <c:v>491534313</c:v>
                </c:pt>
                <c:pt idx="3819">
                  <c:v>468854071</c:v>
                </c:pt>
                <c:pt idx="3820">
                  <c:v>512738615</c:v>
                </c:pt>
                <c:pt idx="3821">
                  <c:v>513521001</c:v>
                </c:pt>
                <c:pt idx="3822">
                  <c:v>529863987</c:v>
                </c:pt>
                <c:pt idx="3823">
                  <c:v>496684823</c:v>
                </c:pt>
                <c:pt idx="3824">
                  <c:v>412401031</c:v>
                </c:pt>
                <c:pt idx="3825">
                  <c:v>501347736</c:v>
                </c:pt>
                <c:pt idx="3826">
                  <c:v>519969223</c:v>
                </c:pt>
                <c:pt idx="3827">
                  <c:v>493390272</c:v>
                </c:pt>
                <c:pt idx="3828">
                  <c:v>483189286</c:v>
                </c:pt>
                <c:pt idx="3829">
                  <c:v>480768165</c:v>
                </c:pt>
                <c:pt idx="3830">
                  <c:v>464132800</c:v>
                </c:pt>
                <c:pt idx="3831">
                  <c:v>387036665</c:v>
                </c:pt>
                <c:pt idx="3832">
                  <c:v>466395127</c:v>
                </c:pt>
                <c:pt idx="3833">
                  <c:v>489636661</c:v>
                </c:pt>
                <c:pt idx="3834">
                  <c:v>521291351</c:v>
                </c:pt>
                <c:pt idx="3835">
                  <c:v>526054760</c:v>
                </c:pt>
                <c:pt idx="3836">
                  <c:v>520456750</c:v>
                </c:pt>
                <c:pt idx="3837">
                  <c:v>481011479</c:v>
                </c:pt>
                <c:pt idx="3838">
                  <c:v>369313705</c:v>
                </c:pt>
                <c:pt idx="3839">
                  <c:v>481966116</c:v>
                </c:pt>
                <c:pt idx="3840">
                  <c:v>496912673</c:v>
                </c:pt>
                <c:pt idx="3841">
                  <c:v>472362447</c:v>
                </c:pt>
                <c:pt idx="3842">
                  <c:v>498356686</c:v>
                </c:pt>
                <c:pt idx="3843">
                  <c:v>532393581</c:v>
                </c:pt>
                <c:pt idx="3844">
                  <c:v>472896426</c:v>
                </c:pt>
                <c:pt idx="3845">
                  <c:v>409823956</c:v>
                </c:pt>
                <c:pt idx="3846">
                  <c:v>476519736</c:v>
                </c:pt>
                <c:pt idx="3847">
                  <c:v>529536884</c:v>
                </c:pt>
                <c:pt idx="3848">
                  <c:v>520513523</c:v>
                </c:pt>
                <c:pt idx="3849">
                  <c:v>489881702</c:v>
                </c:pt>
                <c:pt idx="3850">
                  <c:v>486206370</c:v>
                </c:pt>
                <c:pt idx="3851">
                  <c:v>464503355</c:v>
                </c:pt>
                <c:pt idx="3852">
                  <c:v>384238915</c:v>
                </c:pt>
                <c:pt idx="3853">
                  <c:v>442406491</c:v>
                </c:pt>
                <c:pt idx="3854">
                  <c:v>440141624</c:v>
                </c:pt>
                <c:pt idx="3855">
                  <c:v>464000028</c:v>
                </c:pt>
                <c:pt idx="3856">
                  <c:v>486122064</c:v>
                </c:pt>
                <c:pt idx="3857">
                  <c:v>471303767</c:v>
                </c:pt>
                <c:pt idx="3858">
                  <c:v>424939864</c:v>
                </c:pt>
                <c:pt idx="3859">
                  <c:v>362901316</c:v>
                </c:pt>
                <c:pt idx="3860">
                  <c:v>469389836</c:v>
                </c:pt>
                <c:pt idx="3861">
                  <c:v>519041428</c:v>
                </c:pt>
                <c:pt idx="3862">
                  <c:v>517382111</c:v>
                </c:pt>
                <c:pt idx="3863">
                  <c:v>475765688</c:v>
                </c:pt>
                <c:pt idx="3864">
                  <c:v>535539746</c:v>
                </c:pt>
                <c:pt idx="3865">
                  <c:v>523789624</c:v>
                </c:pt>
                <c:pt idx="3866">
                  <c:v>409704322</c:v>
                </c:pt>
                <c:pt idx="3867">
                  <c:v>515240554</c:v>
                </c:pt>
                <c:pt idx="3868">
                  <c:v>558918162</c:v>
                </c:pt>
                <c:pt idx="3869">
                  <c:v>594683402</c:v>
                </c:pt>
                <c:pt idx="3870">
                  <c:v>576730567</c:v>
                </c:pt>
                <c:pt idx="3871">
                  <c:v>520625456</c:v>
                </c:pt>
                <c:pt idx="3872">
                  <c:v>301935994</c:v>
                </c:pt>
                <c:pt idx="3873">
                  <c:v>385291116</c:v>
                </c:pt>
                <c:pt idx="3874">
                  <c:v>485572952</c:v>
                </c:pt>
                <c:pt idx="3875">
                  <c:v>549377671</c:v>
                </c:pt>
                <c:pt idx="3876">
                  <c:v>497989327</c:v>
                </c:pt>
                <c:pt idx="3877">
                  <c:v>463652278</c:v>
                </c:pt>
                <c:pt idx="3878">
                  <c:v>300392813</c:v>
                </c:pt>
                <c:pt idx="3879">
                  <c:v>426536325</c:v>
                </c:pt>
                <c:pt idx="3880">
                  <c:v>386927908</c:v>
                </c:pt>
                <c:pt idx="3881">
                  <c:v>479562916</c:v>
                </c:pt>
                <c:pt idx="3882">
                  <c:v>556468523</c:v>
                </c:pt>
                <c:pt idx="3883">
                  <c:v>555309836</c:v>
                </c:pt>
                <c:pt idx="3884">
                  <c:v>546768067</c:v>
                </c:pt>
                <c:pt idx="3885">
                  <c:v>549469866</c:v>
                </c:pt>
                <c:pt idx="3886">
                  <c:v>479245053</c:v>
                </c:pt>
                <c:pt idx="3887">
                  <c:v>379273587</c:v>
                </c:pt>
                <c:pt idx="3888">
                  <c:v>503971076</c:v>
                </c:pt>
                <c:pt idx="3889">
                  <c:v>514046852</c:v>
                </c:pt>
                <c:pt idx="3890">
                  <c:v>475212991</c:v>
                </c:pt>
                <c:pt idx="3891">
                  <c:v>489287624</c:v>
                </c:pt>
                <c:pt idx="3892">
                  <c:v>478052596</c:v>
                </c:pt>
                <c:pt idx="3893">
                  <c:v>492648827</c:v>
                </c:pt>
                <c:pt idx="3894">
                  <c:v>388092620</c:v>
                </c:pt>
                <c:pt idx="3895">
                  <c:v>424653105</c:v>
                </c:pt>
                <c:pt idx="3896">
                  <c:v>471169192</c:v>
                </c:pt>
                <c:pt idx="3897">
                  <c:v>478447736</c:v>
                </c:pt>
                <c:pt idx="3898">
                  <c:v>512675067</c:v>
                </c:pt>
                <c:pt idx="3899">
                  <c:v>463000999</c:v>
                </c:pt>
                <c:pt idx="3900">
                  <c:v>448202533</c:v>
                </c:pt>
                <c:pt idx="3901">
                  <c:v>398565433</c:v>
                </c:pt>
                <c:pt idx="3902">
                  <c:v>543708785</c:v>
                </c:pt>
                <c:pt idx="3903">
                  <c:v>555912315</c:v>
                </c:pt>
                <c:pt idx="3904">
                  <c:v>563077910</c:v>
                </c:pt>
                <c:pt idx="3905">
                  <c:v>568731614</c:v>
                </c:pt>
                <c:pt idx="3906">
                  <c:v>566229746</c:v>
                </c:pt>
                <c:pt idx="3907">
                  <c:v>494209001</c:v>
                </c:pt>
                <c:pt idx="3908">
                  <c:v>436459469</c:v>
                </c:pt>
                <c:pt idx="3909">
                  <c:v>521939195</c:v>
                </c:pt>
                <c:pt idx="3910">
                  <c:v>523019099</c:v>
                </c:pt>
                <c:pt idx="3911">
                  <c:v>484200952</c:v>
                </c:pt>
                <c:pt idx="3912">
                  <c:v>542704161</c:v>
                </c:pt>
                <c:pt idx="3913">
                  <c:v>544241746</c:v>
                </c:pt>
                <c:pt idx="3914">
                  <c:v>518586371</c:v>
                </c:pt>
                <c:pt idx="3915">
                  <c:v>410351034</c:v>
                </c:pt>
                <c:pt idx="3916">
                  <c:v>500287503</c:v>
                </c:pt>
                <c:pt idx="3917">
                  <c:v>513197877</c:v>
                </c:pt>
                <c:pt idx="3918">
                  <c:v>498660267</c:v>
                </c:pt>
                <c:pt idx="3919">
                  <c:v>508942757</c:v>
                </c:pt>
                <c:pt idx="3920">
                  <c:v>497350457</c:v>
                </c:pt>
                <c:pt idx="3921">
                  <c:v>450261340</c:v>
                </c:pt>
                <c:pt idx="3922">
                  <c:v>381186859</c:v>
                </c:pt>
                <c:pt idx="3923">
                  <c:v>447644873</c:v>
                </c:pt>
                <c:pt idx="3924">
                  <c:v>405978091</c:v>
                </c:pt>
                <c:pt idx="3925">
                  <c:v>446291721</c:v>
                </c:pt>
                <c:pt idx="3926">
                  <c:v>361877435</c:v>
                </c:pt>
                <c:pt idx="3927">
                  <c:v>459813338</c:v>
                </c:pt>
                <c:pt idx="3928">
                  <c:v>497812983</c:v>
                </c:pt>
                <c:pt idx="3929">
                  <c:v>441323133</c:v>
                </c:pt>
                <c:pt idx="3930">
                  <c:v>509403401</c:v>
                </c:pt>
                <c:pt idx="3931">
                  <c:v>501049044</c:v>
                </c:pt>
                <c:pt idx="3932">
                  <c:v>559649460</c:v>
                </c:pt>
                <c:pt idx="3933">
                  <c:v>567201681</c:v>
                </c:pt>
                <c:pt idx="3934">
                  <c:v>520898069</c:v>
                </c:pt>
                <c:pt idx="3935">
                  <c:v>502688495</c:v>
                </c:pt>
                <c:pt idx="3936">
                  <c:v>488961149</c:v>
                </c:pt>
                <c:pt idx="3937">
                  <c:v>583296113</c:v>
                </c:pt>
                <c:pt idx="3938">
                  <c:v>605410148</c:v>
                </c:pt>
                <c:pt idx="3939">
                  <c:v>618594597</c:v>
                </c:pt>
                <c:pt idx="3940">
                  <c:v>585379656</c:v>
                </c:pt>
                <c:pt idx="3941">
                  <c:v>552909122</c:v>
                </c:pt>
                <c:pt idx="3942">
                  <c:v>481666678</c:v>
                </c:pt>
                <c:pt idx="3943">
                  <c:v>365256386</c:v>
                </c:pt>
                <c:pt idx="3944">
                  <c:v>248787723</c:v>
                </c:pt>
                <c:pt idx="3945">
                  <c:v>349479359</c:v>
                </c:pt>
                <c:pt idx="3946">
                  <c:v>429804052</c:v>
                </c:pt>
                <c:pt idx="3947">
                  <c:v>457643285</c:v>
                </c:pt>
                <c:pt idx="3948">
                  <c:v>530115424</c:v>
                </c:pt>
                <c:pt idx="3949">
                  <c:v>544268728</c:v>
                </c:pt>
                <c:pt idx="3950">
                  <c:v>446946188</c:v>
                </c:pt>
                <c:pt idx="3951">
                  <c:v>456604931</c:v>
                </c:pt>
                <c:pt idx="3952">
                  <c:v>488500118</c:v>
                </c:pt>
                <c:pt idx="3953">
                  <c:v>497045858</c:v>
                </c:pt>
                <c:pt idx="3954">
                  <c:v>465231192</c:v>
                </c:pt>
                <c:pt idx="3955">
                  <c:v>447068231</c:v>
                </c:pt>
                <c:pt idx="3956">
                  <c:v>474297956</c:v>
                </c:pt>
                <c:pt idx="3957">
                  <c:v>426283138</c:v>
                </c:pt>
                <c:pt idx="3958">
                  <c:v>536814639</c:v>
                </c:pt>
                <c:pt idx="3959">
                  <c:v>558626969</c:v>
                </c:pt>
                <c:pt idx="3960">
                  <c:v>543785371</c:v>
                </c:pt>
                <c:pt idx="3961">
                  <c:v>586004418</c:v>
                </c:pt>
                <c:pt idx="3962">
                  <c:v>570821913</c:v>
                </c:pt>
                <c:pt idx="3963">
                  <c:v>488197867</c:v>
                </c:pt>
                <c:pt idx="3964">
                  <c:v>495423042</c:v>
                </c:pt>
                <c:pt idx="3965">
                  <c:v>592900053</c:v>
                </c:pt>
                <c:pt idx="3966">
                  <c:v>620755771</c:v>
                </c:pt>
                <c:pt idx="3967">
                  <c:v>637813288</c:v>
                </c:pt>
                <c:pt idx="3968">
                  <c:v>636735428</c:v>
                </c:pt>
                <c:pt idx="3969">
                  <c:v>623492011</c:v>
                </c:pt>
                <c:pt idx="3970">
                  <c:v>600535619</c:v>
                </c:pt>
                <c:pt idx="3971">
                  <c:v>500087933</c:v>
                </c:pt>
                <c:pt idx="3972">
                  <c:v>615306244</c:v>
                </c:pt>
                <c:pt idx="3973">
                  <c:v>640247220</c:v>
                </c:pt>
                <c:pt idx="3974">
                  <c:v>656239191</c:v>
                </c:pt>
                <c:pt idx="3975">
                  <c:v>633648720</c:v>
                </c:pt>
                <c:pt idx="3976">
                  <c:v>618580068</c:v>
                </c:pt>
                <c:pt idx="3977">
                  <c:v>587179052</c:v>
                </c:pt>
                <c:pt idx="3978">
                  <c:v>513481261</c:v>
                </c:pt>
                <c:pt idx="3979">
                  <c:v>564242167</c:v>
                </c:pt>
                <c:pt idx="3980">
                  <c:v>579136998</c:v>
                </c:pt>
                <c:pt idx="3981">
                  <c:v>618242049</c:v>
                </c:pt>
                <c:pt idx="3982">
                  <c:v>608687380</c:v>
                </c:pt>
                <c:pt idx="3983">
                  <c:v>578801852</c:v>
                </c:pt>
                <c:pt idx="3984">
                  <c:v>573278475</c:v>
                </c:pt>
                <c:pt idx="3985">
                  <c:v>456804812</c:v>
                </c:pt>
                <c:pt idx="3986">
                  <c:v>546539045</c:v>
                </c:pt>
                <c:pt idx="3987">
                  <c:v>569782537</c:v>
                </c:pt>
                <c:pt idx="3988">
                  <c:v>576703374</c:v>
                </c:pt>
                <c:pt idx="3989">
                  <c:v>573206763</c:v>
                </c:pt>
                <c:pt idx="3990">
                  <c:v>546293098</c:v>
                </c:pt>
                <c:pt idx="3991">
                  <c:v>529174086</c:v>
                </c:pt>
                <c:pt idx="3992">
                  <c:v>484500156</c:v>
                </c:pt>
                <c:pt idx="3993">
                  <c:v>587835789</c:v>
                </c:pt>
                <c:pt idx="3994">
                  <c:v>595948442</c:v>
                </c:pt>
                <c:pt idx="3995">
                  <c:v>595658485</c:v>
                </c:pt>
                <c:pt idx="3996">
                  <c:v>592612977</c:v>
                </c:pt>
                <c:pt idx="3997">
                  <c:v>585931634</c:v>
                </c:pt>
                <c:pt idx="3998">
                  <c:v>547594188</c:v>
                </c:pt>
                <c:pt idx="3999">
                  <c:v>490412022</c:v>
                </c:pt>
                <c:pt idx="4000">
                  <c:v>589533777</c:v>
                </c:pt>
                <c:pt idx="4001">
                  <c:v>587205660</c:v>
                </c:pt>
                <c:pt idx="4002">
                  <c:v>637080420</c:v>
                </c:pt>
                <c:pt idx="4003">
                  <c:v>641467867</c:v>
                </c:pt>
                <c:pt idx="4004">
                  <c:v>620562542</c:v>
                </c:pt>
                <c:pt idx="4005">
                  <c:v>589267528</c:v>
                </c:pt>
                <c:pt idx="4006">
                  <c:v>530153135</c:v>
                </c:pt>
                <c:pt idx="4007">
                  <c:v>624722712</c:v>
                </c:pt>
                <c:pt idx="4008">
                  <c:v>623521614</c:v>
                </c:pt>
                <c:pt idx="4009">
                  <c:v>604923762</c:v>
                </c:pt>
                <c:pt idx="4010">
                  <c:v>444055354</c:v>
                </c:pt>
                <c:pt idx="4011">
                  <c:v>485047391</c:v>
                </c:pt>
                <c:pt idx="4012">
                  <c:v>517603698</c:v>
                </c:pt>
                <c:pt idx="4013">
                  <c:v>402555521</c:v>
                </c:pt>
                <c:pt idx="4014">
                  <c:v>512027764</c:v>
                </c:pt>
                <c:pt idx="4015">
                  <c:v>570499515</c:v>
                </c:pt>
                <c:pt idx="4016">
                  <c:v>549601361</c:v>
                </c:pt>
                <c:pt idx="4017">
                  <c:v>441845915</c:v>
                </c:pt>
                <c:pt idx="4018">
                  <c:v>546801028</c:v>
                </c:pt>
                <c:pt idx="4019">
                  <c:v>540196566</c:v>
                </c:pt>
                <c:pt idx="4020">
                  <c:v>513311565</c:v>
                </c:pt>
                <c:pt idx="4021">
                  <c:v>582787584</c:v>
                </c:pt>
                <c:pt idx="4022">
                  <c:v>601822485</c:v>
                </c:pt>
                <c:pt idx="4023">
                  <c:v>659146066</c:v>
                </c:pt>
                <c:pt idx="4024">
                  <c:v>629939327</c:v>
                </c:pt>
                <c:pt idx="4025">
                  <c:v>596283210</c:v>
                </c:pt>
                <c:pt idx="4026">
                  <c:v>574717210</c:v>
                </c:pt>
                <c:pt idx="4027">
                  <c:v>506470449</c:v>
                </c:pt>
                <c:pt idx="4028">
                  <c:v>588428995</c:v>
                </c:pt>
                <c:pt idx="4029">
                  <c:v>577567719</c:v>
                </c:pt>
                <c:pt idx="4030">
                  <c:v>511848908</c:v>
                </c:pt>
                <c:pt idx="4031">
                  <c:v>501852103</c:v>
                </c:pt>
                <c:pt idx="4032">
                  <c:v>538436148</c:v>
                </c:pt>
                <c:pt idx="4033">
                  <c:v>494329106</c:v>
                </c:pt>
                <c:pt idx="4034">
                  <c:v>482942092</c:v>
                </c:pt>
                <c:pt idx="4035">
                  <c:v>534195982</c:v>
                </c:pt>
                <c:pt idx="4036">
                  <c:v>539418221</c:v>
                </c:pt>
                <c:pt idx="4037">
                  <c:v>539707487</c:v>
                </c:pt>
                <c:pt idx="4038">
                  <c:v>563948714</c:v>
                </c:pt>
                <c:pt idx="4039">
                  <c:v>405709636</c:v>
                </c:pt>
                <c:pt idx="4040">
                  <c:v>530377653</c:v>
                </c:pt>
                <c:pt idx="4041">
                  <c:v>438641831</c:v>
                </c:pt>
                <c:pt idx="4042">
                  <c:v>322342520</c:v>
                </c:pt>
                <c:pt idx="4043">
                  <c:v>476289083</c:v>
                </c:pt>
                <c:pt idx="4044">
                  <c:v>531026839</c:v>
                </c:pt>
                <c:pt idx="4045">
                  <c:v>542001229</c:v>
                </c:pt>
                <c:pt idx="4046">
                  <c:v>498381252</c:v>
                </c:pt>
                <c:pt idx="4047">
                  <c:v>459997824</c:v>
                </c:pt>
                <c:pt idx="4048">
                  <c:v>396624307</c:v>
                </c:pt>
                <c:pt idx="4049">
                  <c:v>520759654</c:v>
                </c:pt>
                <c:pt idx="4050">
                  <c:v>538013056</c:v>
                </c:pt>
                <c:pt idx="4051">
                  <c:v>535262124</c:v>
                </c:pt>
                <c:pt idx="4052">
                  <c:v>548837061</c:v>
                </c:pt>
                <c:pt idx="4053">
                  <c:v>519502211</c:v>
                </c:pt>
                <c:pt idx="4054">
                  <c:v>494408249</c:v>
                </c:pt>
                <c:pt idx="4055">
                  <c:v>396960037</c:v>
                </c:pt>
                <c:pt idx="4056">
                  <c:v>471366573</c:v>
                </c:pt>
                <c:pt idx="4057">
                  <c:v>484682298</c:v>
                </c:pt>
                <c:pt idx="4058">
                  <c:v>479193001</c:v>
                </c:pt>
                <c:pt idx="4059">
                  <c:v>361843499</c:v>
                </c:pt>
                <c:pt idx="4060">
                  <c:v>16999746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6-40D7-BC13-BE105363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647215"/>
        <c:axId val="1292751647"/>
      </c:scatterChart>
      <c:valAx>
        <c:axId val="14166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51647"/>
        <c:crosses val="autoZero"/>
        <c:crossBetween val="midCat"/>
      </c:valAx>
      <c:valAx>
        <c:axId val="129275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3055620</xdr:colOff>
      <xdr:row>5</xdr:row>
      <xdr:rowOff>87630</xdr:rowOff>
    </xdr:from>
    <xdr:to>
      <xdr:col>18</xdr:col>
      <xdr:colOff>381000</xdr:colOff>
      <xdr:row>18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F04F5A-357A-C656-76BB-68146BE9B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548640</xdr:colOff>
      <xdr:row>5</xdr:row>
      <xdr:rowOff>0</xdr:rowOff>
    </xdr:from>
    <xdr:to>
      <xdr:col>26</xdr:col>
      <xdr:colOff>457200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11E196-47B9-46C4-A992-1FCB9B86F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3124200</xdr:colOff>
      <xdr:row>21</xdr:row>
      <xdr:rowOff>68580</xdr:rowOff>
    </xdr:from>
    <xdr:to>
      <xdr:col>19</xdr:col>
      <xdr:colOff>228600</xdr:colOff>
      <xdr:row>34</xdr:row>
      <xdr:rowOff>110490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31AB50E-D8C4-4026-ABF1-5B862078C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21</xdr:row>
      <xdr:rowOff>0</xdr:rowOff>
    </xdr:from>
    <xdr:to>
      <xdr:col>26</xdr:col>
      <xdr:colOff>342900</xdr:colOff>
      <xdr:row>33</xdr:row>
      <xdr:rowOff>72390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AF34E19-8D2B-461C-89E9-26FADFA66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37</xdr:row>
      <xdr:rowOff>60960</xdr:rowOff>
    </xdr:from>
    <xdr:to>
      <xdr:col>19</xdr:col>
      <xdr:colOff>91440</xdr:colOff>
      <xdr:row>52</xdr:row>
      <xdr:rowOff>106680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26651F5-314B-4E0D-A0F9-5876BD660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22860</xdr:colOff>
      <xdr:row>36</xdr:row>
      <xdr:rowOff>114300</xdr:rowOff>
    </xdr:from>
    <xdr:to>
      <xdr:col>28</xdr:col>
      <xdr:colOff>327660</xdr:colOff>
      <xdr:row>51</xdr:row>
      <xdr:rowOff>99060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E1E458-E140-47D7-A85C-DEDCDA2CE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472440</xdr:colOff>
      <xdr:row>55</xdr:row>
      <xdr:rowOff>53340</xdr:rowOff>
    </xdr:from>
    <xdr:to>
      <xdr:col>20</xdr:col>
      <xdr:colOff>411480</xdr:colOff>
      <xdr:row>70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462CD5B-A84D-4A80-9315-E1C82E81B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182880</xdr:colOff>
      <xdr:row>54</xdr:row>
      <xdr:rowOff>160020</xdr:rowOff>
    </xdr:from>
    <xdr:to>
      <xdr:col>28</xdr:col>
      <xdr:colOff>487680</xdr:colOff>
      <xdr:row>69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BE70A33-5988-46F4-BCB2-E7445340F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kumari" refreshedDate="46287.828854050924" createdVersion="8" refreshedVersion="8" minRefreshableVersion="3" recordCount="4061" xr:uid="{8D9D5C99-3CD2-45B3-8BA5-98A051EE4975}">
  <cacheSource type="worksheet">
    <worksheetSource name="TrafficData"/>
  </cacheSource>
  <cacheFields count="19">
    <cacheField name="date" numFmtId="14">
      <sharedItems containsSemiMixedTypes="0" containsNonDate="0" containsDate="1" containsString="0" minDate="2015-01-01T00:00:00" maxDate="2026-02-14T00:00:00" count="4061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</sharedItems>
      <fieldGroup par="18"/>
    </cacheField>
    <cacheField name="totalChallan" numFmtId="0">
      <sharedItems containsSemiMixedTypes="0" containsString="0" containsNumber="1" containsInteger="1" minValue="10" maxValue="332710"/>
    </cacheField>
    <cacheField name="disposedChallan" numFmtId="0">
      <sharedItems containsSemiMixedTypes="0" containsString="0" containsNumber="1" containsInteger="1" minValue="6" maxValue="96645"/>
    </cacheField>
    <cacheField name="pendingChallan" numFmtId="0">
      <sharedItems containsSemiMixedTypes="0" containsString="0" containsNumber="1" containsInteger="1" minValue="3" maxValue="280588"/>
    </cacheField>
    <cacheField name="pendingAmount" numFmtId="0">
      <sharedItems containsSemiMixedTypes="0" containsString="0" containsNumber="1" containsInteger="1" minValue="20400" maxValue="565996093"/>
    </cacheField>
    <cacheField name="disposedAmount" numFmtId="0">
      <sharedItems containsSemiMixedTypes="0" containsString="0" containsNumber="1" containsInteger="1" minValue="6700" maxValue="2071115652"/>
    </cacheField>
    <cacheField name="totalAmount" numFmtId="0">
      <sharedItems containsSemiMixedTypes="0" containsString="0" containsNumber="1" containsInteger="1" minValue="54400" maxValue="2147021053"/>
    </cacheField>
    <cacheField name="pendingCourt" numFmtId="0">
      <sharedItems containsSemiMixedTypes="0" containsString="0" containsNumber="1" containsInteger="1" minValue="0" maxValue="136032"/>
    </cacheField>
    <cacheField name="disposedCourt" numFmtId="0">
      <sharedItems containsSemiMixedTypes="0" containsString="0" containsNumber="1" containsInteger="1" minValue="0" maxValue="15910"/>
    </cacheField>
    <cacheField name="totalCourt" numFmtId="0">
      <sharedItems containsSemiMixedTypes="0" containsString="0" containsNumber="1" containsInteger="1" minValue="0" maxValue="146748"/>
    </cacheField>
    <cacheField name="Challan_Check" numFmtId="0">
      <sharedItems/>
    </cacheField>
    <cacheField name="Amount_Check" numFmtId="0">
      <sharedItems/>
    </cacheField>
    <cacheField name="Court_Check" numFmtId="0">
      <sharedItems/>
    </cacheField>
    <cacheField name="Challan_Logic_Check" numFmtId="0">
      <sharedItems/>
    </cacheField>
    <cacheField name="Amount_Logic_Check" numFmtId="0">
      <sharedItems/>
    </cacheField>
    <cacheField name="Court_Logic_Check" numFmtId="0">
      <sharedItems/>
    </cacheField>
    <cacheField name="Months (date)" numFmtId="0" databaseField="0">
      <fieldGroup base="0">
        <rangePr groupBy="months" startDate="2015-01-01T00:00:00" endDate="2026-02-14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2-2026"/>
        </groupItems>
      </fieldGroup>
    </cacheField>
    <cacheField name="Quarters (date)" numFmtId="0" databaseField="0">
      <fieldGroup base="0">
        <rangePr groupBy="quarters" startDate="2015-01-01T00:00:00" endDate="2026-02-14T00:00:00"/>
        <groupItems count="6">
          <s v="&lt;01-01-2015"/>
          <s v="Qtr1"/>
          <s v="Qtr2"/>
          <s v="Qtr3"/>
          <s v="Qtr4"/>
          <s v="&gt;14-02-2026"/>
        </groupItems>
      </fieldGroup>
    </cacheField>
    <cacheField name="Years (date)" numFmtId="0" databaseField="0">
      <fieldGroup base="0">
        <rangePr groupBy="years" startDate="2015-01-01T00:00:00" endDate="2026-02-14T00:00:00"/>
        <groupItems count="14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4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1">
  <r>
    <x v="0"/>
    <n v="120"/>
    <n v="29"/>
    <n v="91"/>
    <n v="588600"/>
    <n v="116860"/>
    <n v="705460"/>
    <n v="1"/>
    <n v="0"/>
    <n v="1"/>
    <b v="1"/>
    <b v="1"/>
    <b v="1"/>
    <b v="1"/>
    <b v="1"/>
    <b v="1"/>
  </r>
  <r>
    <x v="1"/>
    <n v="162"/>
    <n v="39"/>
    <n v="123"/>
    <n v="663350"/>
    <n v="281425"/>
    <n v="944775"/>
    <n v="1"/>
    <n v="1"/>
    <n v="2"/>
    <b v="1"/>
    <b v="1"/>
    <b v="1"/>
    <b v="1"/>
    <b v="1"/>
    <b v="1"/>
  </r>
  <r>
    <x v="2"/>
    <n v="122"/>
    <n v="34"/>
    <n v="88"/>
    <n v="596900"/>
    <n v="286950"/>
    <n v="883850"/>
    <n v="4"/>
    <n v="1"/>
    <n v="5"/>
    <b v="1"/>
    <b v="1"/>
    <b v="1"/>
    <b v="1"/>
    <b v="1"/>
    <b v="1"/>
  </r>
  <r>
    <x v="3"/>
    <n v="116"/>
    <n v="27"/>
    <n v="89"/>
    <n v="967350"/>
    <n v="301600"/>
    <n v="1268950"/>
    <n v="3"/>
    <n v="2"/>
    <n v="5"/>
    <b v="1"/>
    <b v="1"/>
    <b v="1"/>
    <b v="1"/>
    <b v="1"/>
    <b v="1"/>
  </r>
  <r>
    <x v="4"/>
    <n v="162"/>
    <n v="28"/>
    <n v="134"/>
    <n v="877654"/>
    <n v="103000"/>
    <n v="980654"/>
    <n v="2"/>
    <n v="0"/>
    <n v="2"/>
    <b v="1"/>
    <b v="1"/>
    <b v="1"/>
    <b v="1"/>
    <b v="1"/>
    <b v="1"/>
  </r>
  <r>
    <x v="5"/>
    <n v="104"/>
    <n v="24"/>
    <n v="80"/>
    <n v="597100"/>
    <n v="149500"/>
    <n v="746600"/>
    <n v="2"/>
    <n v="1"/>
    <n v="3"/>
    <b v="1"/>
    <b v="1"/>
    <b v="1"/>
    <b v="1"/>
    <b v="1"/>
    <b v="1"/>
  </r>
  <r>
    <x v="6"/>
    <n v="108"/>
    <n v="22"/>
    <n v="86"/>
    <n v="728650"/>
    <n v="144600"/>
    <n v="873250"/>
    <n v="3"/>
    <n v="1"/>
    <n v="4"/>
    <b v="1"/>
    <b v="1"/>
    <b v="1"/>
    <b v="1"/>
    <b v="1"/>
    <b v="1"/>
  </r>
  <r>
    <x v="7"/>
    <n v="169"/>
    <n v="37"/>
    <n v="132"/>
    <n v="886802"/>
    <n v="156300"/>
    <n v="1043102"/>
    <n v="0"/>
    <n v="0"/>
    <n v="0"/>
    <b v="1"/>
    <b v="1"/>
    <b v="1"/>
    <b v="1"/>
    <b v="1"/>
    <b v="1"/>
  </r>
  <r>
    <x v="8"/>
    <n v="137"/>
    <n v="30"/>
    <n v="107"/>
    <n v="852650"/>
    <n v="282200"/>
    <n v="1134850"/>
    <n v="7"/>
    <n v="0"/>
    <n v="7"/>
    <b v="1"/>
    <b v="1"/>
    <b v="1"/>
    <b v="1"/>
    <b v="1"/>
    <b v="1"/>
  </r>
  <r>
    <x v="9"/>
    <n v="108"/>
    <n v="35"/>
    <n v="73"/>
    <n v="668450"/>
    <n v="183380"/>
    <n v="851830"/>
    <n v="6"/>
    <n v="0"/>
    <n v="6"/>
    <b v="1"/>
    <b v="1"/>
    <b v="1"/>
    <b v="1"/>
    <b v="1"/>
    <b v="1"/>
  </r>
  <r>
    <x v="10"/>
    <n v="116"/>
    <n v="18"/>
    <n v="98"/>
    <n v="809900"/>
    <n v="109200"/>
    <n v="919100"/>
    <n v="3"/>
    <n v="0"/>
    <n v="3"/>
    <b v="1"/>
    <b v="1"/>
    <b v="1"/>
    <b v="1"/>
    <b v="1"/>
    <b v="1"/>
  </r>
  <r>
    <x v="11"/>
    <n v="130"/>
    <n v="19"/>
    <n v="111"/>
    <n v="650150"/>
    <n v="85600"/>
    <n v="735750"/>
    <n v="1"/>
    <n v="1"/>
    <n v="2"/>
    <b v="1"/>
    <b v="1"/>
    <b v="1"/>
    <b v="1"/>
    <b v="1"/>
    <b v="1"/>
  </r>
  <r>
    <x v="12"/>
    <n v="115"/>
    <n v="24"/>
    <n v="91"/>
    <n v="579000"/>
    <n v="83235"/>
    <n v="662235"/>
    <n v="8"/>
    <n v="3"/>
    <n v="11"/>
    <b v="1"/>
    <b v="1"/>
    <b v="1"/>
    <b v="1"/>
    <b v="1"/>
    <b v="1"/>
  </r>
  <r>
    <x v="13"/>
    <n v="68"/>
    <n v="15"/>
    <n v="53"/>
    <n v="352850"/>
    <n v="77050"/>
    <n v="429900"/>
    <n v="6"/>
    <n v="0"/>
    <n v="6"/>
    <b v="1"/>
    <b v="1"/>
    <b v="1"/>
    <b v="1"/>
    <b v="1"/>
    <b v="1"/>
  </r>
  <r>
    <x v="14"/>
    <n v="116"/>
    <n v="30"/>
    <n v="86"/>
    <n v="650400"/>
    <n v="148100"/>
    <n v="798500"/>
    <n v="1"/>
    <n v="0"/>
    <n v="1"/>
    <b v="1"/>
    <b v="1"/>
    <b v="1"/>
    <b v="1"/>
    <b v="1"/>
    <b v="1"/>
  </r>
  <r>
    <x v="15"/>
    <n v="148"/>
    <n v="27"/>
    <n v="121"/>
    <n v="555800"/>
    <n v="53800"/>
    <n v="609600"/>
    <n v="1"/>
    <n v="1"/>
    <n v="2"/>
    <b v="1"/>
    <b v="1"/>
    <b v="1"/>
    <b v="1"/>
    <b v="1"/>
    <b v="1"/>
  </r>
  <r>
    <x v="16"/>
    <n v="128"/>
    <n v="37"/>
    <n v="91"/>
    <n v="610100"/>
    <n v="137800"/>
    <n v="747900"/>
    <n v="2"/>
    <n v="2"/>
    <n v="4"/>
    <b v="1"/>
    <b v="1"/>
    <b v="1"/>
    <b v="1"/>
    <b v="1"/>
    <b v="1"/>
  </r>
  <r>
    <x v="17"/>
    <n v="84"/>
    <n v="22"/>
    <n v="62"/>
    <n v="450350"/>
    <n v="52300"/>
    <n v="502650"/>
    <n v="1"/>
    <n v="1"/>
    <n v="2"/>
    <b v="1"/>
    <b v="1"/>
    <b v="1"/>
    <b v="1"/>
    <b v="1"/>
    <b v="1"/>
  </r>
  <r>
    <x v="18"/>
    <n v="134"/>
    <n v="32"/>
    <n v="102"/>
    <n v="567500"/>
    <n v="130900"/>
    <n v="698400"/>
    <n v="7"/>
    <n v="2"/>
    <n v="9"/>
    <b v="1"/>
    <b v="1"/>
    <b v="1"/>
    <b v="1"/>
    <b v="1"/>
    <b v="1"/>
  </r>
  <r>
    <x v="19"/>
    <n v="137"/>
    <n v="33"/>
    <n v="104"/>
    <n v="584350"/>
    <n v="158600"/>
    <n v="742950"/>
    <n v="7"/>
    <n v="0"/>
    <n v="7"/>
    <b v="1"/>
    <b v="1"/>
    <b v="1"/>
    <b v="1"/>
    <b v="1"/>
    <b v="1"/>
  </r>
  <r>
    <x v="20"/>
    <n v="112"/>
    <n v="23"/>
    <n v="89"/>
    <n v="634749"/>
    <n v="56400"/>
    <n v="691149"/>
    <n v="2"/>
    <n v="0"/>
    <n v="2"/>
    <b v="1"/>
    <b v="1"/>
    <b v="1"/>
    <b v="1"/>
    <b v="1"/>
    <b v="1"/>
  </r>
  <r>
    <x v="21"/>
    <n v="130"/>
    <n v="27"/>
    <n v="103"/>
    <n v="670600"/>
    <n v="106800"/>
    <n v="777400"/>
    <n v="2"/>
    <n v="3"/>
    <n v="5"/>
    <b v="1"/>
    <b v="1"/>
    <b v="1"/>
    <b v="1"/>
    <b v="1"/>
    <b v="1"/>
  </r>
  <r>
    <x v="22"/>
    <n v="93"/>
    <n v="25"/>
    <n v="68"/>
    <n v="354000"/>
    <n v="179550"/>
    <n v="533550"/>
    <n v="7"/>
    <n v="0"/>
    <n v="7"/>
    <b v="1"/>
    <b v="1"/>
    <b v="1"/>
    <b v="1"/>
    <b v="1"/>
    <b v="1"/>
  </r>
  <r>
    <x v="23"/>
    <n v="74"/>
    <n v="17"/>
    <n v="57"/>
    <n v="447450"/>
    <n v="90800"/>
    <n v="538250"/>
    <n v="2"/>
    <n v="1"/>
    <n v="3"/>
    <b v="1"/>
    <b v="1"/>
    <b v="1"/>
    <b v="1"/>
    <b v="1"/>
    <b v="1"/>
  </r>
  <r>
    <x v="24"/>
    <n v="97"/>
    <n v="30"/>
    <n v="67"/>
    <n v="617050"/>
    <n v="161700"/>
    <n v="778750"/>
    <n v="2"/>
    <n v="0"/>
    <n v="2"/>
    <b v="1"/>
    <b v="1"/>
    <b v="1"/>
    <b v="1"/>
    <b v="1"/>
    <b v="1"/>
  </r>
  <r>
    <x v="25"/>
    <n v="75"/>
    <n v="13"/>
    <n v="62"/>
    <n v="410350"/>
    <n v="43250"/>
    <n v="453600"/>
    <n v="2"/>
    <n v="0"/>
    <n v="2"/>
    <b v="1"/>
    <b v="1"/>
    <b v="1"/>
    <b v="1"/>
    <b v="1"/>
    <b v="1"/>
  </r>
  <r>
    <x v="26"/>
    <n v="83"/>
    <n v="33"/>
    <n v="50"/>
    <n v="319620"/>
    <n v="164500"/>
    <n v="484120"/>
    <n v="1"/>
    <n v="0"/>
    <n v="1"/>
    <b v="1"/>
    <b v="1"/>
    <b v="1"/>
    <b v="1"/>
    <b v="1"/>
    <b v="1"/>
  </r>
  <r>
    <x v="27"/>
    <n v="134"/>
    <n v="23"/>
    <n v="111"/>
    <n v="586950"/>
    <n v="50750"/>
    <n v="637700"/>
    <n v="4"/>
    <n v="1"/>
    <n v="5"/>
    <b v="1"/>
    <b v="1"/>
    <b v="1"/>
    <b v="1"/>
    <b v="1"/>
    <b v="1"/>
  </r>
  <r>
    <x v="28"/>
    <n v="101"/>
    <n v="29"/>
    <n v="72"/>
    <n v="442198"/>
    <n v="233690"/>
    <n v="675888"/>
    <n v="1"/>
    <n v="0"/>
    <n v="1"/>
    <b v="1"/>
    <b v="1"/>
    <b v="1"/>
    <b v="1"/>
    <b v="1"/>
    <b v="1"/>
  </r>
  <r>
    <x v="29"/>
    <n v="109"/>
    <n v="28"/>
    <n v="81"/>
    <n v="681600"/>
    <n v="196030"/>
    <n v="877630"/>
    <n v="3"/>
    <n v="1"/>
    <n v="4"/>
    <b v="1"/>
    <b v="1"/>
    <b v="1"/>
    <b v="1"/>
    <b v="1"/>
    <b v="1"/>
  </r>
  <r>
    <x v="30"/>
    <n v="89"/>
    <n v="19"/>
    <n v="70"/>
    <n v="563971"/>
    <n v="111300"/>
    <n v="675271"/>
    <n v="2"/>
    <n v="0"/>
    <n v="2"/>
    <b v="1"/>
    <b v="1"/>
    <b v="1"/>
    <b v="1"/>
    <b v="1"/>
    <b v="1"/>
  </r>
  <r>
    <x v="31"/>
    <n v="69"/>
    <n v="21"/>
    <n v="48"/>
    <n v="413896"/>
    <n v="68200"/>
    <n v="482096"/>
    <n v="3"/>
    <n v="2"/>
    <n v="5"/>
    <b v="1"/>
    <b v="1"/>
    <b v="1"/>
    <b v="1"/>
    <b v="1"/>
    <b v="1"/>
  </r>
  <r>
    <x v="32"/>
    <n v="116"/>
    <n v="32"/>
    <n v="84"/>
    <n v="607850"/>
    <n v="145800"/>
    <n v="753650"/>
    <n v="6"/>
    <n v="0"/>
    <n v="6"/>
    <b v="1"/>
    <b v="1"/>
    <b v="1"/>
    <b v="1"/>
    <b v="1"/>
    <b v="1"/>
  </r>
  <r>
    <x v="33"/>
    <n v="126"/>
    <n v="36"/>
    <n v="90"/>
    <n v="797798"/>
    <n v="184200"/>
    <n v="981998"/>
    <n v="2"/>
    <n v="1"/>
    <n v="3"/>
    <b v="1"/>
    <b v="1"/>
    <b v="1"/>
    <b v="1"/>
    <b v="1"/>
    <b v="1"/>
  </r>
  <r>
    <x v="34"/>
    <n v="125"/>
    <n v="37"/>
    <n v="88"/>
    <n v="656550"/>
    <n v="204036"/>
    <n v="860586"/>
    <n v="2"/>
    <n v="1"/>
    <n v="3"/>
    <b v="1"/>
    <b v="1"/>
    <b v="1"/>
    <b v="1"/>
    <b v="1"/>
    <b v="1"/>
  </r>
  <r>
    <x v="35"/>
    <n v="118"/>
    <n v="32"/>
    <n v="86"/>
    <n v="758500"/>
    <n v="146720"/>
    <n v="905220"/>
    <n v="2"/>
    <n v="0"/>
    <n v="2"/>
    <b v="1"/>
    <b v="1"/>
    <b v="1"/>
    <b v="1"/>
    <b v="1"/>
    <b v="1"/>
  </r>
  <r>
    <x v="36"/>
    <n v="101"/>
    <n v="32"/>
    <n v="69"/>
    <n v="553250"/>
    <n v="110000"/>
    <n v="663250"/>
    <n v="4"/>
    <n v="1"/>
    <n v="5"/>
    <b v="1"/>
    <b v="1"/>
    <b v="1"/>
    <b v="1"/>
    <b v="1"/>
    <b v="1"/>
  </r>
  <r>
    <x v="37"/>
    <n v="77"/>
    <n v="29"/>
    <n v="48"/>
    <n v="401850"/>
    <n v="108600"/>
    <n v="510450"/>
    <n v="2"/>
    <n v="0"/>
    <n v="2"/>
    <b v="1"/>
    <b v="1"/>
    <b v="1"/>
    <b v="1"/>
    <b v="1"/>
    <b v="1"/>
  </r>
  <r>
    <x v="38"/>
    <n v="78"/>
    <n v="27"/>
    <n v="51"/>
    <n v="273650"/>
    <n v="82100"/>
    <n v="355750"/>
    <n v="2"/>
    <n v="0"/>
    <n v="2"/>
    <b v="1"/>
    <b v="1"/>
    <b v="1"/>
    <b v="1"/>
    <b v="1"/>
    <b v="1"/>
  </r>
  <r>
    <x v="39"/>
    <n v="116"/>
    <n v="37"/>
    <n v="79"/>
    <n v="604400"/>
    <n v="140600"/>
    <n v="745000"/>
    <n v="1"/>
    <n v="0"/>
    <n v="1"/>
    <b v="1"/>
    <b v="1"/>
    <b v="1"/>
    <b v="1"/>
    <b v="1"/>
    <b v="1"/>
  </r>
  <r>
    <x v="40"/>
    <n v="190"/>
    <n v="54"/>
    <n v="136"/>
    <n v="1101190"/>
    <n v="205500"/>
    <n v="1306690"/>
    <n v="5"/>
    <n v="0"/>
    <n v="5"/>
    <b v="1"/>
    <b v="1"/>
    <b v="1"/>
    <b v="1"/>
    <b v="1"/>
    <b v="1"/>
  </r>
  <r>
    <x v="41"/>
    <n v="213"/>
    <n v="54"/>
    <n v="159"/>
    <n v="984522"/>
    <n v="241900"/>
    <n v="1226422"/>
    <n v="2"/>
    <n v="0"/>
    <n v="2"/>
    <b v="1"/>
    <b v="1"/>
    <b v="1"/>
    <b v="1"/>
    <b v="1"/>
    <b v="1"/>
  </r>
  <r>
    <x v="42"/>
    <n v="230"/>
    <n v="56"/>
    <n v="174"/>
    <n v="1046250"/>
    <n v="200350"/>
    <n v="1246600"/>
    <n v="2"/>
    <n v="0"/>
    <n v="2"/>
    <b v="1"/>
    <b v="1"/>
    <b v="1"/>
    <b v="1"/>
    <b v="1"/>
    <b v="1"/>
  </r>
  <r>
    <x v="43"/>
    <n v="160"/>
    <n v="46"/>
    <n v="114"/>
    <n v="927550"/>
    <n v="145035"/>
    <n v="1072585"/>
    <n v="2"/>
    <n v="2"/>
    <n v="4"/>
    <b v="1"/>
    <b v="1"/>
    <b v="1"/>
    <b v="1"/>
    <b v="1"/>
    <b v="1"/>
  </r>
  <r>
    <x v="44"/>
    <n v="129"/>
    <n v="23"/>
    <n v="106"/>
    <n v="561350"/>
    <n v="55310"/>
    <n v="616660"/>
    <n v="3"/>
    <n v="0"/>
    <n v="3"/>
    <b v="1"/>
    <b v="1"/>
    <b v="1"/>
    <b v="1"/>
    <b v="1"/>
    <b v="1"/>
  </r>
  <r>
    <x v="45"/>
    <n v="89"/>
    <n v="34"/>
    <n v="55"/>
    <n v="318900"/>
    <n v="109300"/>
    <n v="428200"/>
    <n v="2"/>
    <n v="0"/>
    <n v="2"/>
    <b v="1"/>
    <b v="1"/>
    <b v="1"/>
    <b v="1"/>
    <b v="1"/>
    <b v="1"/>
  </r>
  <r>
    <x v="46"/>
    <n v="133"/>
    <n v="29"/>
    <n v="104"/>
    <n v="735620"/>
    <n v="116600"/>
    <n v="852220"/>
    <n v="0"/>
    <n v="1"/>
    <n v="1"/>
    <b v="1"/>
    <b v="1"/>
    <b v="1"/>
    <b v="1"/>
    <b v="1"/>
    <b v="1"/>
  </r>
  <r>
    <x v="47"/>
    <n v="55"/>
    <n v="18"/>
    <n v="37"/>
    <n v="168300"/>
    <n v="60600"/>
    <n v="228900"/>
    <n v="0"/>
    <n v="0"/>
    <n v="0"/>
    <b v="1"/>
    <b v="1"/>
    <b v="1"/>
    <b v="1"/>
    <b v="1"/>
    <b v="1"/>
  </r>
  <r>
    <x v="48"/>
    <n v="141"/>
    <n v="34"/>
    <n v="107"/>
    <n v="687850"/>
    <n v="129800"/>
    <n v="817650"/>
    <n v="1"/>
    <n v="0"/>
    <n v="1"/>
    <b v="1"/>
    <b v="1"/>
    <b v="1"/>
    <b v="1"/>
    <b v="1"/>
    <b v="1"/>
  </r>
  <r>
    <x v="49"/>
    <n v="254"/>
    <n v="76"/>
    <n v="178"/>
    <n v="938700"/>
    <n v="306050"/>
    <n v="1244750"/>
    <n v="0"/>
    <n v="0"/>
    <n v="0"/>
    <b v="1"/>
    <b v="1"/>
    <b v="1"/>
    <b v="1"/>
    <b v="1"/>
    <b v="1"/>
  </r>
  <r>
    <x v="50"/>
    <n v="136"/>
    <n v="30"/>
    <n v="106"/>
    <n v="814350"/>
    <n v="97000"/>
    <n v="911350"/>
    <n v="3"/>
    <n v="0"/>
    <n v="3"/>
    <b v="1"/>
    <b v="1"/>
    <b v="1"/>
    <b v="1"/>
    <b v="1"/>
    <b v="1"/>
  </r>
  <r>
    <x v="51"/>
    <n v="91"/>
    <n v="24"/>
    <n v="67"/>
    <n v="376900"/>
    <n v="145650"/>
    <n v="522550"/>
    <n v="4"/>
    <n v="1"/>
    <n v="5"/>
    <b v="1"/>
    <b v="1"/>
    <b v="1"/>
    <b v="1"/>
    <b v="1"/>
    <b v="1"/>
  </r>
  <r>
    <x v="52"/>
    <n v="87"/>
    <n v="16"/>
    <n v="71"/>
    <n v="365800"/>
    <n v="26500"/>
    <n v="392300"/>
    <n v="0"/>
    <n v="0"/>
    <n v="0"/>
    <b v="1"/>
    <b v="1"/>
    <b v="1"/>
    <b v="1"/>
    <b v="1"/>
    <b v="1"/>
  </r>
  <r>
    <x v="53"/>
    <n v="97"/>
    <n v="15"/>
    <n v="82"/>
    <n v="622500"/>
    <n v="68500"/>
    <n v="691000"/>
    <n v="3"/>
    <n v="0"/>
    <n v="3"/>
    <b v="1"/>
    <b v="1"/>
    <b v="1"/>
    <b v="1"/>
    <b v="1"/>
    <b v="1"/>
  </r>
  <r>
    <x v="54"/>
    <n v="112"/>
    <n v="30"/>
    <n v="82"/>
    <n v="545150"/>
    <n v="201160"/>
    <n v="746310"/>
    <n v="1"/>
    <n v="2"/>
    <n v="3"/>
    <b v="1"/>
    <b v="1"/>
    <b v="1"/>
    <b v="1"/>
    <b v="1"/>
    <b v="1"/>
  </r>
  <r>
    <x v="55"/>
    <n v="110"/>
    <n v="37"/>
    <n v="73"/>
    <n v="463000"/>
    <n v="122950"/>
    <n v="585950"/>
    <n v="4"/>
    <n v="1"/>
    <n v="5"/>
    <b v="1"/>
    <b v="1"/>
    <b v="1"/>
    <b v="1"/>
    <b v="1"/>
    <b v="1"/>
  </r>
  <r>
    <x v="56"/>
    <n v="130"/>
    <n v="44"/>
    <n v="86"/>
    <n v="860450"/>
    <n v="189700"/>
    <n v="1050150"/>
    <n v="1"/>
    <n v="2"/>
    <n v="3"/>
    <b v="1"/>
    <b v="1"/>
    <b v="1"/>
    <b v="1"/>
    <b v="1"/>
    <b v="1"/>
  </r>
  <r>
    <x v="57"/>
    <n v="105"/>
    <n v="35"/>
    <n v="70"/>
    <n v="529650"/>
    <n v="166000"/>
    <n v="695650"/>
    <n v="1"/>
    <n v="1"/>
    <n v="2"/>
    <b v="1"/>
    <b v="1"/>
    <b v="1"/>
    <b v="1"/>
    <b v="1"/>
    <b v="1"/>
  </r>
  <r>
    <x v="58"/>
    <n v="58"/>
    <n v="16"/>
    <n v="42"/>
    <n v="310650"/>
    <n v="68000"/>
    <n v="378650"/>
    <n v="0"/>
    <n v="0"/>
    <n v="0"/>
    <b v="1"/>
    <b v="1"/>
    <b v="1"/>
    <b v="1"/>
    <b v="1"/>
    <b v="1"/>
  </r>
  <r>
    <x v="59"/>
    <n v="61"/>
    <n v="14"/>
    <n v="47"/>
    <n v="373700"/>
    <n v="92700"/>
    <n v="466400"/>
    <n v="1"/>
    <n v="1"/>
    <n v="2"/>
    <b v="1"/>
    <b v="1"/>
    <b v="1"/>
    <b v="1"/>
    <b v="1"/>
    <b v="1"/>
  </r>
  <r>
    <x v="60"/>
    <n v="101"/>
    <n v="19"/>
    <n v="82"/>
    <n v="787050"/>
    <n v="28000"/>
    <n v="815050"/>
    <n v="2"/>
    <n v="1"/>
    <n v="3"/>
    <b v="1"/>
    <b v="1"/>
    <b v="1"/>
    <b v="1"/>
    <b v="1"/>
    <b v="1"/>
  </r>
  <r>
    <x v="61"/>
    <n v="144"/>
    <n v="27"/>
    <n v="117"/>
    <n v="908550"/>
    <n v="171500"/>
    <n v="1080050"/>
    <n v="6"/>
    <n v="1"/>
    <n v="7"/>
    <b v="1"/>
    <b v="1"/>
    <b v="1"/>
    <b v="1"/>
    <b v="1"/>
    <b v="1"/>
  </r>
  <r>
    <x v="62"/>
    <n v="127"/>
    <n v="26"/>
    <n v="101"/>
    <n v="805500"/>
    <n v="125550"/>
    <n v="931050"/>
    <n v="4"/>
    <n v="0"/>
    <n v="4"/>
    <b v="1"/>
    <b v="1"/>
    <b v="1"/>
    <b v="1"/>
    <b v="1"/>
    <b v="1"/>
  </r>
  <r>
    <x v="63"/>
    <n v="75"/>
    <n v="19"/>
    <n v="56"/>
    <n v="357000"/>
    <n v="133500"/>
    <n v="490500"/>
    <n v="4"/>
    <n v="1"/>
    <n v="5"/>
    <b v="1"/>
    <b v="1"/>
    <b v="1"/>
    <b v="1"/>
    <b v="1"/>
    <b v="1"/>
  </r>
  <r>
    <x v="64"/>
    <n v="10"/>
    <n v="7"/>
    <n v="3"/>
    <n v="20400"/>
    <n v="34000"/>
    <n v="54400"/>
    <n v="0"/>
    <n v="0"/>
    <n v="0"/>
    <b v="1"/>
    <b v="1"/>
    <b v="1"/>
    <b v="1"/>
    <b v="1"/>
    <b v="1"/>
  </r>
  <r>
    <x v="65"/>
    <n v="111"/>
    <n v="23"/>
    <n v="88"/>
    <n v="457850"/>
    <n v="69900"/>
    <n v="527750"/>
    <n v="2"/>
    <n v="0"/>
    <n v="2"/>
    <b v="1"/>
    <b v="1"/>
    <b v="1"/>
    <b v="1"/>
    <b v="1"/>
    <b v="1"/>
  </r>
  <r>
    <x v="66"/>
    <n v="80"/>
    <n v="22"/>
    <n v="58"/>
    <n v="453050"/>
    <n v="99300"/>
    <n v="552350"/>
    <n v="1"/>
    <n v="0"/>
    <n v="1"/>
    <b v="1"/>
    <b v="1"/>
    <b v="1"/>
    <b v="1"/>
    <b v="1"/>
    <b v="1"/>
  </r>
  <r>
    <x v="67"/>
    <n v="129"/>
    <n v="28"/>
    <n v="101"/>
    <n v="626400"/>
    <n v="105850"/>
    <n v="732250"/>
    <n v="4"/>
    <n v="1"/>
    <n v="5"/>
    <b v="1"/>
    <b v="1"/>
    <b v="1"/>
    <b v="1"/>
    <b v="1"/>
    <b v="1"/>
  </r>
  <r>
    <x v="68"/>
    <n v="136"/>
    <n v="35"/>
    <n v="101"/>
    <n v="734350"/>
    <n v="163160"/>
    <n v="897510"/>
    <n v="5"/>
    <n v="2"/>
    <n v="7"/>
    <b v="1"/>
    <b v="1"/>
    <b v="1"/>
    <b v="1"/>
    <b v="1"/>
    <b v="1"/>
  </r>
  <r>
    <x v="69"/>
    <n v="131"/>
    <n v="43"/>
    <n v="88"/>
    <n v="760160"/>
    <n v="288000"/>
    <n v="1048160"/>
    <n v="3"/>
    <n v="0"/>
    <n v="3"/>
    <b v="1"/>
    <b v="1"/>
    <b v="1"/>
    <b v="1"/>
    <b v="1"/>
    <b v="1"/>
  </r>
  <r>
    <x v="70"/>
    <n v="120"/>
    <n v="26"/>
    <n v="94"/>
    <n v="672050"/>
    <n v="190410"/>
    <n v="862460"/>
    <n v="1"/>
    <n v="1"/>
    <n v="2"/>
    <b v="1"/>
    <b v="1"/>
    <b v="1"/>
    <b v="1"/>
    <b v="1"/>
    <b v="1"/>
  </r>
  <r>
    <x v="71"/>
    <n v="103"/>
    <n v="35"/>
    <n v="68"/>
    <n v="560600"/>
    <n v="153320"/>
    <n v="713920"/>
    <n v="3"/>
    <n v="4"/>
    <n v="7"/>
    <b v="1"/>
    <b v="1"/>
    <b v="1"/>
    <b v="1"/>
    <b v="1"/>
    <b v="1"/>
  </r>
  <r>
    <x v="72"/>
    <n v="114"/>
    <n v="30"/>
    <n v="84"/>
    <n v="538600"/>
    <n v="147610"/>
    <n v="686210"/>
    <n v="0"/>
    <n v="2"/>
    <n v="2"/>
    <b v="1"/>
    <b v="1"/>
    <b v="1"/>
    <b v="1"/>
    <b v="1"/>
    <b v="1"/>
  </r>
  <r>
    <x v="73"/>
    <n v="129"/>
    <n v="43"/>
    <n v="86"/>
    <n v="404150"/>
    <n v="169449"/>
    <n v="573599"/>
    <n v="1"/>
    <n v="1"/>
    <n v="2"/>
    <b v="1"/>
    <b v="1"/>
    <b v="1"/>
    <b v="1"/>
    <b v="1"/>
    <b v="1"/>
  </r>
  <r>
    <x v="74"/>
    <n v="121"/>
    <n v="25"/>
    <n v="96"/>
    <n v="700600"/>
    <n v="104130"/>
    <n v="804730"/>
    <n v="2"/>
    <n v="1"/>
    <n v="3"/>
    <b v="1"/>
    <b v="1"/>
    <b v="1"/>
    <b v="1"/>
    <b v="1"/>
    <b v="1"/>
  </r>
  <r>
    <x v="75"/>
    <n v="112"/>
    <n v="24"/>
    <n v="88"/>
    <n v="588900"/>
    <n v="172548"/>
    <n v="761448"/>
    <n v="2"/>
    <n v="1"/>
    <n v="3"/>
    <b v="1"/>
    <b v="1"/>
    <b v="1"/>
    <b v="1"/>
    <b v="1"/>
    <b v="1"/>
  </r>
  <r>
    <x v="76"/>
    <n v="161"/>
    <n v="42"/>
    <n v="119"/>
    <n v="994400"/>
    <n v="281950"/>
    <n v="1276350"/>
    <n v="3"/>
    <n v="1"/>
    <n v="4"/>
    <b v="1"/>
    <b v="1"/>
    <b v="1"/>
    <b v="1"/>
    <b v="1"/>
    <b v="1"/>
  </r>
  <r>
    <x v="77"/>
    <n v="156"/>
    <n v="47"/>
    <n v="109"/>
    <n v="1320100"/>
    <n v="328250"/>
    <n v="1648350"/>
    <n v="4"/>
    <n v="4"/>
    <n v="8"/>
    <b v="1"/>
    <b v="1"/>
    <b v="1"/>
    <b v="1"/>
    <b v="1"/>
    <b v="1"/>
  </r>
  <r>
    <x v="78"/>
    <n v="99"/>
    <n v="26"/>
    <n v="73"/>
    <n v="378401"/>
    <n v="171554"/>
    <n v="549955"/>
    <n v="6"/>
    <n v="1"/>
    <n v="7"/>
    <b v="1"/>
    <b v="1"/>
    <b v="1"/>
    <b v="1"/>
    <b v="1"/>
    <b v="1"/>
  </r>
  <r>
    <x v="79"/>
    <n v="127"/>
    <n v="30"/>
    <n v="97"/>
    <n v="574250"/>
    <n v="121750"/>
    <n v="696000"/>
    <n v="0"/>
    <n v="2"/>
    <n v="2"/>
    <b v="1"/>
    <b v="1"/>
    <b v="1"/>
    <b v="1"/>
    <b v="1"/>
    <b v="1"/>
  </r>
  <r>
    <x v="80"/>
    <n v="122"/>
    <n v="41"/>
    <n v="81"/>
    <n v="519200"/>
    <n v="206380"/>
    <n v="725580"/>
    <n v="1"/>
    <n v="0"/>
    <n v="1"/>
    <b v="1"/>
    <b v="1"/>
    <b v="1"/>
    <b v="1"/>
    <b v="1"/>
    <b v="1"/>
  </r>
  <r>
    <x v="81"/>
    <n v="123"/>
    <n v="27"/>
    <n v="96"/>
    <n v="729000"/>
    <n v="53500"/>
    <n v="782500"/>
    <n v="8"/>
    <n v="0"/>
    <n v="8"/>
    <b v="1"/>
    <b v="1"/>
    <b v="1"/>
    <b v="1"/>
    <b v="1"/>
    <b v="1"/>
  </r>
  <r>
    <x v="82"/>
    <n v="135"/>
    <n v="41"/>
    <n v="94"/>
    <n v="764750"/>
    <n v="234600"/>
    <n v="999350"/>
    <n v="4"/>
    <n v="0"/>
    <n v="4"/>
    <b v="1"/>
    <b v="1"/>
    <b v="1"/>
    <b v="1"/>
    <b v="1"/>
    <b v="1"/>
  </r>
  <r>
    <x v="83"/>
    <n v="125"/>
    <n v="28"/>
    <n v="97"/>
    <n v="771050"/>
    <n v="106838"/>
    <n v="877888"/>
    <n v="1"/>
    <n v="1"/>
    <n v="2"/>
    <b v="1"/>
    <b v="1"/>
    <b v="1"/>
    <b v="1"/>
    <b v="1"/>
    <b v="1"/>
  </r>
  <r>
    <x v="84"/>
    <n v="110"/>
    <n v="31"/>
    <n v="79"/>
    <n v="536650"/>
    <n v="139430"/>
    <n v="676080"/>
    <n v="6"/>
    <n v="2"/>
    <n v="8"/>
    <b v="1"/>
    <b v="1"/>
    <b v="1"/>
    <b v="1"/>
    <b v="1"/>
    <b v="1"/>
  </r>
  <r>
    <x v="85"/>
    <n v="67"/>
    <n v="23"/>
    <n v="44"/>
    <n v="328200"/>
    <n v="124324"/>
    <n v="452524"/>
    <n v="2"/>
    <n v="0"/>
    <n v="2"/>
    <b v="1"/>
    <b v="1"/>
    <b v="1"/>
    <b v="1"/>
    <b v="1"/>
    <b v="1"/>
  </r>
  <r>
    <x v="86"/>
    <n v="84"/>
    <n v="22"/>
    <n v="62"/>
    <n v="359700"/>
    <n v="137900"/>
    <n v="497600"/>
    <n v="0"/>
    <n v="2"/>
    <n v="2"/>
    <b v="1"/>
    <b v="1"/>
    <b v="1"/>
    <b v="1"/>
    <b v="1"/>
    <b v="1"/>
  </r>
  <r>
    <x v="87"/>
    <n v="100"/>
    <n v="24"/>
    <n v="76"/>
    <n v="411800"/>
    <n v="75900"/>
    <n v="487700"/>
    <n v="0"/>
    <n v="0"/>
    <n v="0"/>
    <b v="1"/>
    <b v="1"/>
    <b v="1"/>
    <b v="1"/>
    <b v="1"/>
    <b v="1"/>
  </r>
  <r>
    <x v="88"/>
    <n v="102"/>
    <n v="21"/>
    <n v="81"/>
    <n v="508630"/>
    <n v="60720"/>
    <n v="569350"/>
    <n v="2"/>
    <n v="2"/>
    <n v="4"/>
    <b v="1"/>
    <b v="1"/>
    <b v="1"/>
    <b v="1"/>
    <b v="1"/>
    <b v="1"/>
  </r>
  <r>
    <x v="89"/>
    <n v="96"/>
    <n v="26"/>
    <n v="70"/>
    <n v="383800"/>
    <n v="104300"/>
    <n v="488100"/>
    <n v="1"/>
    <n v="0"/>
    <n v="1"/>
    <b v="1"/>
    <b v="1"/>
    <b v="1"/>
    <b v="1"/>
    <b v="1"/>
    <b v="1"/>
  </r>
  <r>
    <x v="90"/>
    <n v="73"/>
    <n v="22"/>
    <n v="51"/>
    <n v="335100"/>
    <n v="113775"/>
    <n v="448875"/>
    <n v="1"/>
    <n v="1"/>
    <n v="2"/>
    <b v="1"/>
    <b v="1"/>
    <b v="1"/>
    <b v="1"/>
    <b v="1"/>
    <b v="1"/>
  </r>
  <r>
    <x v="91"/>
    <n v="105"/>
    <n v="31"/>
    <n v="74"/>
    <n v="426747"/>
    <n v="117960"/>
    <n v="544707"/>
    <n v="1"/>
    <n v="0"/>
    <n v="1"/>
    <b v="1"/>
    <b v="1"/>
    <b v="1"/>
    <b v="1"/>
    <b v="1"/>
    <b v="1"/>
  </r>
  <r>
    <x v="92"/>
    <n v="100"/>
    <n v="24"/>
    <n v="76"/>
    <n v="621300"/>
    <n v="121800"/>
    <n v="743100"/>
    <n v="3"/>
    <n v="0"/>
    <n v="3"/>
    <b v="1"/>
    <b v="1"/>
    <b v="1"/>
    <b v="1"/>
    <b v="1"/>
    <b v="1"/>
  </r>
  <r>
    <x v="93"/>
    <n v="83"/>
    <n v="14"/>
    <n v="69"/>
    <n v="379600"/>
    <n v="37060"/>
    <n v="416660"/>
    <n v="0"/>
    <n v="0"/>
    <n v="0"/>
    <b v="1"/>
    <b v="1"/>
    <b v="1"/>
    <b v="1"/>
    <b v="1"/>
    <b v="1"/>
  </r>
  <r>
    <x v="94"/>
    <n v="105"/>
    <n v="29"/>
    <n v="76"/>
    <n v="510430"/>
    <n v="139950"/>
    <n v="650380"/>
    <n v="1"/>
    <n v="0"/>
    <n v="1"/>
    <b v="1"/>
    <b v="1"/>
    <b v="1"/>
    <b v="1"/>
    <b v="1"/>
    <b v="1"/>
  </r>
  <r>
    <x v="95"/>
    <n v="108"/>
    <n v="23"/>
    <n v="85"/>
    <n v="663120"/>
    <n v="67200"/>
    <n v="730320"/>
    <n v="0"/>
    <n v="0"/>
    <n v="0"/>
    <b v="1"/>
    <b v="1"/>
    <b v="1"/>
    <b v="1"/>
    <b v="1"/>
    <b v="1"/>
  </r>
  <r>
    <x v="96"/>
    <n v="119"/>
    <n v="22"/>
    <n v="97"/>
    <n v="586650"/>
    <n v="109790"/>
    <n v="696440"/>
    <n v="7"/>
    <n v="0"/>
    <n v="7"/>
    <b v="1"/>
    <b v="1"/>
    <b v="1"/>
    <b v="1"/>
    <b v="1"/>
    <b v="1"/>
  </r>
  <r>
    <x v="97"/>
    <n v="125"/>
    <n v="39"/>
    <n v="86"/>
    <n v="559220"/>
    <n v="253410"/>
    <n v="812630"/>
    <n v="2"/>
    <n v="0"/>
    <n v="2"/>
    <b v="1"/>
    <b v="1"/>
    <b v="1"/>
    <b v="1"/>
    <b v="1"/>
    <b v="1"/>
  </r>
  <r>
    <x v="98"/>
    <n v="128"/>
    <n v="40"/>
    <n v="88"/>
    <n v="823300"/>
    <n v="232380"/>
    <n v="1055680"/>
    <n v="3"/>
    <n v="3"/>
    <n v="6"/>
    <b v="1"/>
    <b v="1"/>
    <b v="1"/>
    <b v="1"/>
    <b v="1"/>
    <b v="1"/>
  </r>
  <r>
    <x v="99"/>
    <n v="72"/>
    <n v="13"/>
    <n v="59"/>
    <n v="503600"/>
    <n v="50800"/>
    <n v="554400"/>
    <n v="1"/>
    <n v="1"/>
    <n v="2"/>
    <b v="1"/>
    <b v="1"/>
    <b v="1"/>
    <b v="1"/>
    <b v="1"/>
    <b v="1"/>
  </r>
  <r>
    <x v="100"/>
    <n v="87"/>
    <n v="36"/>
    <n v="51"/>
    <n v="310501"/>
    <n v="109300"/>
    <n v="419801"/>
    <n v="0"/>
    <n v="1"/>
    <n v="1"/>
    <b v="1"/>
    <b v="1"/>
    <b v="1"/>
    <b v="1"/>
    <b v="1"/>
    <b v="1"/>
  </r>
  <r>
    <x v="101"/>
    <n v="89"/>
    <n v="20"/>
    <n v="69"/>
    <n v="385700"/>
    <n v="83300"/>
    <n v="469000"/>
    <n v="0"/>
    <n v="0"/>
    <n v="0"/>
    <b v="1"/>
    <b v="1"/>
    <b v="1"/>
    <b v="1"/>
    <b v="1"/>
    <b v="1"/>
  </r>
  <r>
    <x v="102"/>
    <n v="97"/>
    <n v="24"/>
    <n v="73"/>
    <n v="746950"/>
    <n v="100050"/>
    <n v="847000"/>
    <n v="1"/>
    <n v="3"/>
    <n v="4"/>
    <b v="1"/>
    <b v="1"/>
    <b v="1"/>
    <b v="1"/>
    <b v="1"/>
    <b v="1"/>
  </r>
  <r>
    <x v="103"/>
    <n v="79"/>
    <n v="19"/>
    <n v="60"/>
    <n v="319050"/>
    <n v="90400"/>
    <n v="409450"/>
    <n v="4"/>
    <n v="0"/>
    <n v="4"/>
    <b v="1"/>
    <b v="1"/>
    <b v="1"/>
    <b v="1"/>
    <b v="1"/>
    <b v="1"/>
  </r>
  <r>
    <x v="104"/>
    <n v="108"/>
    <n v="29"/>
    <n v="79"/>
    <n v="838500"/>
    <n v="197000"/>
    <n v="1035500"/>
    <n v="0"/>
    <n v="1"/>
    <n v="1"/>
    <b v="1"/>
    <b v="1"/>
    <b v="1"/>
    <b v="1"/>
    <b v="1"/>
    <b v="1"/>
  </r>
  <r>
    <x v="105"/>
    <n v="115"/>
    <n v="35"/>
    <n v="80"/>
    <n v="1098300"/>
    <n v="202600"/>
    <n v="1300900"/>
    <n v="3"/>
    <n v="1"/>
    <n v="4"/>
    <b v="1"/>
    <b v="1"/>
    <b v="1"/>
    <b v="1"/>
    <b v="1"/>
    <b v="1"/>
  </r>
  <r>
    <x v="106"/>
    <n v="83"/>
    <n v="28"/>
    <n v="55"/>
    <n v="311000"/>
    <n v="93500"/>
    <n v="404500"/>
    <n v="4"/>
    <n v="2"/>
    <n v="6"/>
    <b v="1"/>
    <b v="1"/>
    <b v="1"/>
    <b v="1"/>
    <b v="1"/>
    <b v="1"/>
  </r>
  <r>
    <x v="107"/>
    <n v="82"/>
    <n v="23"/>
    <n v="59"/>
    <n v="510770"/>
    <n v="107200"/>
    <n v="617970"/>
    <n v="4"/>
    <n v="1"/>
    <n v="5"/>
    <b v="1"/>
    <b v="1"/>
    <b v="1"/>
    <b v="1"/>
    <b v="1"/>
    <b v="1"/>
  </r>
  <r>
    <x v="108"/>
    <n v="63"/>
    <n v="15"/>
    <n v="48"/>
    <n v="261350"/>
    <n v="80000"/>
    <n v="341350"/>
    <n v="0"/>
    <n v="0"/>
    <n v="0"/>
    <b v="1"/>
    <b v="1"/>
    <b v="1"/>
    <b v="1"/>
    <b v="1"/>
    <b v="1"/>
  </r>
  <r>
    <x v="109"/>
    <n v="104"/>
    <n v="26"/>
    <n v="78"/>
    <n v="357900"/>
    <n v="152700"/>
    <n v="510600"/>
    <n v="5"/>
    <n v="1"/>
    <n v="6"/>
    <b v="1"/>
    <b v="1"/>
    <b v="1"/>
    <b v="1"/>
    <b v="1"/>
    <b v="1"/>
  </r>
  <r>
    <x v="110"/>
    <n v="89"/>
    <n v="27"/>
    <n v="62"/>
    <n v="377450"/>
    <n v="117900"/>
    <n v="495350"/>
    <n v="2"/>
    <n v="3"/>
    <n v="5"/>
    <b v="1"/>
    <b v="1"/>
    <b v="1"/>
    <b v="1"/>
    <b v="1"/>
    <b v="1"/>
  </r>
  <r>
    <x v="111"/>
    <n v="91"/>
    <n v="32"/>
    <n v="59"/>
    <n v="442560"/>
    <n v="115800"/>
    <n v="558360"/>
    <n v="1"/>
    <n v="1"/>
    <n v="2"/>
    <b v="1"/>
    <b v="1"/>
    <b v="1"/>
    <b v="1"/>
    <b v="1"/>
    <b v="1"/>
  </r>
  <r>
    <x v="112"/>
    <n v="97"/>
    <n v="32"/>
    <n v="65"/>
    <n v="564100"/>
    <n v="177525"/>
    <n v="741625"/>
    <n v="3"/>
    <n v="3"/>
    <n v="6"/>
    <b v="1"/>
    <b v="1"/>
    <b v="1"/>
    <b v="1"/>
    <b v="1"/>
    <b v="1"/>
  </r>
  <r>
    <x v="113"/>
    <n v="72"/>
    <n v="16"/>
    <n v="56"/>
    <n v="323900"/>
    <n v="151500"/>
    <n v="475400"/>
    <n v="2"/>
    <n v="0"/>
    <n v="2"/>
    <b v="1"/>
    <b v="1"/>
    <b v="1"/>
    <b v="1"/>
    <b v="1"/>
    <b v="1"/>
  </r>
  <r>
    <x v="114"/>
    <n v="53"/>
    <n v="21"/>
    <n v="32"/>
    <n v="181900"/>
    <n v="112550"/>
    <n v="294450"/>
    <n v="2"/>
    <n v="2"/>
    <n v="4"/>
    <b v="1"/>
    <b v="1"/>
    <b v="1"/>
    <b v="1"/>
    <b v="1"/>
    <b v="1"/>
  </r>
  <r>
    <x v="115"/>
    <n v="46"/>
    <n v="16"/>
    <n v="30"/>
    <n v="169850"/>
    <n v="100700"/>
    <n v="270550"/>
    <n v="0"/>
    <n v="0"/>
    <n v="0"/>
    <b v="1"/>
    <b v="1"/>
    <b v="1"/>
    <b v="1"/>
    <b v="1"/>
    <b v="1"/>
  </r>
  <r>
    <x v="116"/>
    <n v="85"/>
    <n v="24"/>
    <n v="61"/>
    <n v="470250"/>
    <n v="153250"/>
    <n v="623500"/>
    <n v="4"/>
    <n v="1"/>
    <n v="5"/>
    <b v="1"/>
    <b v="1"/>
    <b v="1"/>
    <b v="1"/>
    <b v="1"/>
    <b v="1"/>
  </r>
  <r>
    <x v="117"/>
    <n v="100"/>
    <n v="18"/>
    <n v="82"/>
    <n v="611000"/>
    <n v="43750"/>
    <n v="654750"/>
    <n v="4"/>
    <n v="1"/>
    <n v="5"/>
    <b v="1"/>
    <b v="1"/>
    <b v="1"/>
    <b v="1"/>
    <b v="1"/>
    <b v="1"/>
  </r>
  <r>
    <x v="118"/>
    <n v="64"/>
    <n v="17"/>
    <n v="47"/>
    <n v="345200"/>
    <n v="96075"/>
    <n v="441275"/>
    <n v="2"/>
    <n v="0"/>
    <n v="2"/>
    <b v="1"/>
    <b v="1"/>
    <b v="1"/>
    <b v="1"/>
    <b v="1"/>
    <b v="1"/>
  </r>
  <r>
    <x v="119"/>
    <n v="74"/>
    <n v="23"/>
    <n v="51"/>
    <n v="441100"/>
    <n v="119500"/>
    <n v="560600"/>
    <n v="0"/>
    <n v="0"/>
    <n v="0"/>
    <b v="1"/>
    <b v="1"/>
    <b v="1"/>
    <b v="1"/>
    <b v="1"/>
    <b v="1"/>
  </r>
  <r>
    <x v="120"/>
    <n v="63"/>
    <n v="12"/>
    <n v="51"/>
    <n v="434440"/>
    <n v="52550"/>
    <n v="486990"/>
    <n v="1"/>
    <n v="1"/>
    <n v="2"/>
    <b v="1"/>
    <b v="1"/>
    <b v="1"/>
    <b v="1"/>
    <b v="1"/>
    <b v="1"/>
  </r>
  <r>
    <x v="121"/>
    <n v="62"/>
    <n v="15"/>
    <n v="47"/>
    <n v="391000"/>
    <n v="85350"/>
    <n v="476350"/>
    <n v="1"/>
    <n v="0"/>
    <n v="1"/>
    <b v="1"/>
    <b v="1"/>
    <b v="1"/>
    <b v="1"/>
    <b v="1"/>
    <b v="1"/>
  </r>
  <r>
    <x v="122"/>
    <n v="46"/>
    <n v="22"/>
    <n v="24"/>
    <n v="129000"/>
    <n v="103350"/>
    <n v="232350"/>
    <n v="0"/>
    <n v="0"/>
    <n v="0"/>
    <b v="1"/>
    <b v="1"/>
    <b v="1"/>
    <b v="1"/>
    <b v="1"/>
    <b v="1"/>
  </r>
  <r>
    <x v="123"/>
    <n v="52"/>
    <n v="11"/>
    <n v="41"/>
    <n v="319900"/>
    <n v="40438"/>
    <n v="360338"/>
    <n v="0"/>
    <n v="0"/>
    <n v="0"/>
    <b v="1"/>
    <b v="1"/>
    <b v="1"/>
    <b v="1"/>
    <b v="1"/>
    <b v="1"/>
  </r>
  <r>
    <x v="124"/>
    <n v="92"/>
    <n v="29"/>
    <n v="63"/>
    <n v="427098"/>
    <n v="234800"/>
    <n v="661898"/>
    <n v="1"/>
    <n v="0"/>
    <n v="1"/>
    <b v="1"/>
    <b v="1"/>
    <b v="1"/>
    <b v="1"/>
    <b v="1"/>
    <b v="1"/>
  </r>
  <r>
    <x v="125"/>
    <n v="99"/>
    <n v="31"/>
    <n v="68"/>
    <n v="674475"/>
    <n v="176600"/>
    <n v="851075"/>
    <n v="0"/>
    <n v="1"/>
    <n v="1"/>
    <b v="1"/>
    <b v="1"/>
    <b v="1"/>
    <b v="1"/>
    <b v="1"/>
    <b v="1"/>
  </r>
  <r>
    <x v="126"/>
    <n v="93"/>
    <n v="42"/>
    <n v="51"/>
    <n v="509100"/>
    <n v="231773"/>
    <n v="740873"/>
    <n v="1"/>
    <n v="1"/>
    <n v="2"/>
    <b v="1"/>
    <b v="1"/>
    <b v="1"/>
    <b v="1"/>
    <b v="1"/>
    <b v="1"/>
  </r>
  <r>
    <x v="127"/>
    <n v="73"/>
    <n v="20"/>
    <n v="53"/>
    <n v="510500"/>
    <n v="111500"/>
    <n v="622000"/>
    <n v="3"/>
    <n v="0"/>
    <n v="3"/>
    <b v="1"/>
    <b v="1"/>
    <b v="1"/>
    <b v="1"/>
    <b v="1"/>
    <b v="1"/>
  </r>
  <r>
    <x v="128"/>
    <n v="100"/>
    <n v="28"/>
    <n v="72"/>
    <n v="612550"/>
    <n v="159550"/>
    <n v="772100"/>
    <n v="1"/>
    <n v="2"/>
    <n v="3"/>
    <b v="1"/>
    <b v="1"/>
    <b v="1"/>
    <b v="1"/>
    <b v="1"/>
    <b v="1"/>
  </r>
  <r>
    <x v="129"/>
    <n v="91"/>
    <n v="33"/>
    <n v="58"/>
    <n v="366347"/>
    <n v="109500"/>
    <n v="475847"/>
    <n v="3"/>
    <n v="1"/>
    <n v="4"/>
    <b v="1"/>
    <b v="1"/>
    <b v="1"/>
    <b v="1"/>
    <b v="1"/>
    <b v="1"/>
  </r>
  <r>
    <x v="130"/>
    <n v="96"/>
    <n v="30"/>
    <n v="66"/>
    <n v="349148"/>
    <n v="94633"/>
    <n v="443781"/>
    <n v="3"/>
    <n v="1"/>
    <n v="4"/>
    <b v="1"/>
    <b v="1"/>
    <b v="1"/>
    <b v="1"/>
    <b v="1"/>
    <b v="1"/>
  </r>
  <r>
    <x v="131"/>
    <n v="110"/>
    <n v="22"/>
    <n v="88"/>
    <n v="533947"/>
    <n v="132760"/>
    <n v="666707"/>
    <n v="2"/>
    <n v="1"/>
    <n v="3"/>
    <b v="1"/>
    <b v="1"/>
    <b v="1"/>
    <b v="1"/>
    <b v="1"/>
    <b v="1"/>
  </r>
  <r>
    <x v="132"/>
    <n v="110"/>
    <n v="34"/>
    <n v="76"/>
    <n v="566200"/>
    <n v="120450"/>
    <n v="686650"/>
    <n v="3"/>
    <n v="0"/>
    <n v="3"/>
    <b v="1"/>
    <b v="1"/>
    <b v="1"/>
    <b v="1"/>
    <b v="1"/>
    <b v="1"/>
  </r>
  <r>
    <x v="133"/>
    <n v="114"/>
    <n v="34"/>
    <n v="80"/>
    <n v="442646"/>
    <n v="156450"/>
    <n v="599096"/>
    <n v="2"/>
    <n v="0"/>
    <n v="2"/>
    <b v="1"/>
    <b v="1"/>
    <b v="1"/>
    <b v="1"/>
    <b v="1"/>
    <b v="1"/>
  </r>
  <r>
    <x v="134"/>
    <n v="117"/>
    <n v="31"/>
    <n v="86"/>
    <n v="721438"/>
    <n v="323950"/>
    <n v="1045388"/>
    <n v="3"/>
    <n v="1"/>
    <n v="4"/>
    <b v="1"/>
    <b v="1"/>
    <b v="1"/>
    <b v="1"/>
    <b v="1"/>
    <b v="1"/>
  </r>
  <r>
    <x v="135"/>
    <n v="157"/>
    <n v="44"/>
    <n v="113"/>
    <n v="690450"/>
    <n v="202550"/>
    <n v="893000"/>
    <n v="2"/>
    <n v="2"/>
    <n v="4"/>
    <b v="1"/>
    <b v="1"/>
    <b v="1"/>
    <b v="1"/>
    <b v="1"/>
    <b v="1"/>
  </r>
  <r>
    <x v="136"/>
    <n v="104"/>
    <n v="21"/>
    <n v="83"/>
    <n v="600400"/>
    <n v="74250"/>
    <n v="674650"/>
    <n v="3"/>
    <n v="0"/>
    <n v="3"/>
    <b v="1"/>
    <b v="1"/>
    <b v="1"/>
    <b v="1"/>
    <b v="1"/>
    <b v="1"/>
  </r>
  <r>
    <x v="137"/>
    <n v="135"/>
    <n v="28"/>
    <n v="107"/>
    <n v="812548"/>
    <n v="96850"/>
    <n v="909398"/>
    <n v="3"/>
    <n v="1"/>
    <n v="4"/>
    <b v="1"/>
    <b v="1"/>
    <b v="1"/>
    <b v="1"/>
    <b v="1"/>
    <b v="1"/>
  </r>
  <r>
    <x v="138"/>
    <n v="116"/>
    <n v="27"/>
    <n v="89"/>
    <n v="715000"/>
    <n v="92700"/>
    <n v="807700"/>
    <n v="3"/>
    <n v="0"/>
    <n v="3"/>
    <b v="1"/>
    <b v="1"/>
    <b v="1"/>
    <b v="1"/>
    <b v="1"/>
    <b v="1"/>
  </r>
  <r>
    <x v="139"/>
    <n v="118"/>
    <n v="34"/>
    <n v="84"/>
    <n v="557400"/>
    <n v="223050"/>
    <n v="780450"/>
    <n v="2"/>
    <n v="2"/>
    <n v="4"/>
    <b v="1"/>
    <b v="1"/>
    <b v="1"/>
    <b v="1"/>
    <b v="1"/>
    <b v="1"/>
  </r>
  <r>
    <x v="140"/>
    <n v="104"/>
    <n v="20"/>
    <n v="84"/>
    <n v="954750"/>
    <n v="87400"/>
    <n v="1042150"/>
    <n v="2"/>
    <n v="1"/>
    <n v="3"/>
    <b v="1"/>
    <b v="1"/>
    <b v="1"/>
    <b v="1"/>
    <b v="1"/>
    <b v="1"/>
  </r>
  <r>
    <x v="141"/>
    <n v="62"/>
    <n v="20"/>
    <n v="42"/>
    <n v="358950"/>
    <n v="125899"/>
    <n v="484849"/>
    <n v="2"/>
    <n v="0"/>
    <n v="2"/>
    <b v="1"/>
    <b v="1"/>
    <b v="1"/>
    <b v="1"/>
    <b v="1"/>
    <b v="1"/>
  </r>
  <r>
    <x v="142"/>
    <n v="81"/>
    <n v="22"/>
    <n v="59"/>
    <n v="385500"/>
    <n v="61025"/>
    <n v="446525"/>
    <n v="0"/>
    <n v="1"/>
    <n v="1"/>
    <b v="1"/>
    <b v="1"/>
    <b v="1"/>
    <b v="1"/>
    <b v="1"/>
    <b v="1"/>
  </r>
  <r>
    <x v="143"/>
    <n v="63"/>
    <n v="16"/>
    <n v="47"/>
    <n v="308450"/>
    <n v="59350"/>
    <n v="367800"/>
    <n v="0"/>
    <n v="0"/>
    <n v="0"/>
    <b v="1"/>
    <b v="1"/>
    <b v="1"/>
    <b v="1"/>
    <b v="1"/>
    <b v="1"/>
  </r>
  <r>
    <x v="144"/>
    <n v="108"/>
    <n v="35"/>
    <n v="73"/>
    <n v="481650"/>
    <n v="156800"/>
    <n v="638450"/>
    <n v="4"/>
    <n v="0"/>
    <n v="4"/>
    <b v="1"/>
    <b v="1"/>
    <b v="1"/>
    <b v="1"/>
    <b v="1"/>
    <b v="1"/>
  </r>
  <r>
    <x v="145"/>
    <n v="77"/>
    <n v="19"/>
    <n v="58"/>
    <n v="439950"/>
    <n v="103430"/>
    <n v="543380"/>
    <n v="0"/>
    <n v="0"/>
    <n v="0"/>
    <b v="1"/>
    <b v="1"/>
    <b v="1"/>
    <b v="1"/>
    <b v="1"/>
    <b v="1"/>
  </r>
  <r>
    <x v="146"/>
    <n v="111"/>
    <n v="33"/>
    <n v="78"/>
    <n v="715150"/>
    <n v="209300"/>
    <n v="924450"/>
    <n v="2"/>
    <n v="0"/>
    <n v="2"/>
    <b v="1"/>
    <b v="1"/>
    <b v="1"/>
    <b v="1"/>
    <b v="1"/>
    <b v="1"/>
  </r>
  <r>
    <x v="147"/>
    <n v="94"/>
    <n v="22"/>
    <n v="72"/>
    <n v="480300"/>
    <n v="131800"/>
    <n v="612100"/>
    <n v="5"/>
    <n v="1"/>
    <n v="6"/>
    <b v="1"/>
    <b v="1"/>
    <b v="1"/>
    <b v="1"/>
    <b v="1"/>
    <b v="1"/>
  </r>
  <r>
    <x v="148"/>
    <n v="97"/>
    <n v="19"/>
    <n v="78"/>
    <n v="518250"/>
    <n v="92100"/>
    <n v="610350"/>
    <n v="6"/>
    <n v="0"/>
    <n v="6"/>
    <b v="1"/>
    <b v="1"/>
    <b v="1"/>
    <b v="1"/>
    <b v="1"/>
    <b v="1"/>
  </r>
  <r>
    <x v="149"/>
    <n v="105"/>
    <n v="44"/>
    <n v="61"/>
    <n v="302800"/>
    <n v="242100"/>
    <n v="544900"/>
    <n v="2"/>
    <n v="1"/>
    <n v="3"/>
    <b v="1"/>
    <b v="1"/>
    <b v="1"/>
    <b v="1"/>
    <b v="1"/>
    <b v="1"/>
  </r>
  <r>
    <x v="150"/>
    <n v="58"/>
    <n v="19"/>
    <n v="39"/>
    <n v="277901"/>
    <n v="113200"/>
    <n v="391101"/>
    <n v="0"/>
    <n v="1"/>
    <n v="1"/>
    <b v="1"/>
    <b v="1"/>
    <b v="1"/>
    <b v="1"/>
    <b v="1"/>
    <b v="1"/>
  </r>
  <r>
    <x v="151"/>
    <n v="107"/>
    <n v="36"/>
    <n v="71"/>
    <n v="632450"/>
    <n v="244000"/>
    <n v="876450"/>
    <n v="3"/>
    <n v="1"/>
    <n v="4"/>
    <b v="1"/>
    <b v="1"/>
    <b v="1"/>
    <b v="1"/>
    <b v="1"/>
    <b v="1"/>
  </r>
  <r>
    <x v="152"/>
    <n v="98"/>
    <n v="31"/>
    <n v="67"/>
    <n v="561550"/>
    <n v="160405"/>
    <n v="721955"/>
    <n v="6"/>
    <n v="0"/>
    <n v="6"/>
    <b v="1"/>
    <b v="1"/>
    <b v="1"/>
    <b v="1"/>
    <b v="1"/>
    <b v="1"/>
  </r>
  <r>
    <x v="153"/>
    <n v="156"/>
    <n v="46"/>
    <n v="110"/>
    <n v="971600"/>
    <n v="378240"/>
    <n v="1349840"/>
    <n v="2"/>
    <n v="1"/>
    <n v="3"/>
    <b v="1"/>
    <b v="1"/>
    <b v="1"/>
    <b v="1"/>
    <b v="1"/>
    <b v="1"/>
  </r>
  <r>
    <x v="154"/>
    <n v="139"/>
    <n v="41"/>
    <n v="98"/>
    <n v="779900"/>
    <n v="200440"/>
    <n v="980340"/>
    <n v="0"/>
    <n v="0"/>
    <n v="0"/>
    <b v="1"/>
    <b v="1"/>
    <b v="1"/>
    <b v="1"/>
    <b v="1"/>
    <b v="1"/>
  </r>
  <r>
    <x v="155"/>
    <n v="103"/>
    <n v="28"/>
    <n v="75"/>
    <n v="678650"/>
    <n v="201790"/>
    <n v="880440"/>
    <n v="1"/>
    <n v="1"/>
    <n v="2"/>
    <b v="1"/>
    <b v="1"/>
    <b v="1"/>
    <b v="1"/>
    <b v="1"/>
    <b v="1"/>
  </r>
  <r>
    <x v="156"/>
    <n v="98"/>
    <n v="26"/>
    <n v="72"/>
    <n v="584250"/>
    <n v="163998"/>
    <n v="748248"/>
    <n v="1"/>
    <n v="0"/>
    <n v="1"/>
    <b v="1"/>
    <b v="1"/>
    <b v="1"/>
    <b v="1"/>
    <b v="1"/>
    <b v="1"/>
  </r>
  <r>
    <x v="157"/>
    <n v="82"/>
    <n v="29"/>
    <n v="53"/>
    <n v="431550"/>
    <n v="170400"/>
    <n v="601950"/>
    <n v="0"/>
    <n v="1"/>
    <n v="1"/>
    <b v="1"/>
    <b v="1"/>
    <b v="1"/>
    <b v="1"/>
    <b v="1"/>
    <b v="1"/>
  </r>
  <r>
    <x v="158"/>
    <n v="113"/>
    <n v="36"/>
    <n v="77"/>
    <n v="712700"/>
    <n v="173480"/>
    <n v="886180"/>
    <n v="2"/>
    <n v="0"/>
    <n v="2"/>
    <b v="1"/>
    <b v="1"/>
    <b v="1"/>
    <b v="1"/>
    <b v="1"/>
    <b v="1"/>
  </r>
  <r>
    <x v="159"/>
    <n v="93"/>
    <n v="21"/>
    <n v="72"/>
    <n v="591500"/>
    <n v="111600"/>
    <n v="703100"/>
    <n v="0"/>
    <n v="0"/>
    <n v="0"/>
    <b v="1"/>
    <b v="1"/>
    <b v="1"/>
    <b v="1"/>
    <b v="1"/>
    <b v="1"/>
  </r>
  <r>
    <x v="160"/>
    <n v="182"/>
    <n v="68"/>
    <n v="114"/>
    <n v="853150"/>
    <n v="344160"/>
    <n v="1197310"/>
    <n v="1"/>
    <n v="2"/>
    <n v="3"/>
    <b v="1"/>
    <b v="1"/>
    <b v="1"/>
    <b v="1"/>
    <b v="1"/>
    <b v="1"/>
  </r>
  <r>
    <x v="161"/>
    <n v="112"/>
    <n v="38"/>
    <n v="74"/>
    <n v="631100"/>
    <n v="165250"/>
    <n v="796350"/>
    <n v="0"/>
    <n v="0"/>
    <n v="0"/>
    <b v="1"/>
    <b v="1"/>
    <b v="1"/>
    <b v="1"/>
    <b v="1"/>
    <b v="1"/>
  </r>
  <r>
    <x v="162"/>
    <n v="128"/>
    <n v="33"/>
    <n v="95"/>
    <n v="699850"/>
    <n v="177750"/>
    <n v="877600"/>
    <n v="1"/>
    <n v="0"/>
    <n v="1"/>
    <b v="1"/>
    <b v="1"/>
    <b v="1"/>
    <b v="1"/>
    <b v="1"/>
    <b v="1"/>
  </r>
  <r>
    <x v="163"/>
    <n v="96"/>
    <n v="26"/>
    <n v="70"/>
    <n v="498248"/>
    <n v="116450"/>
    <n v="614698"/>
    <n v="2"/>
    <n v="0"/>
    <n v="2"/>
    <b v="1"/>
    <b v="1"/>
    <b v="1"/>
    <b v="1"/>
    <b v="1"/>
    <b v="1"/>
  </r>
  <r>
    <x v="164"/>
    <n v="79"/>
    <n v="24"/>
    <n v="55"/>
    <n v="504250"/>
    <n v="75600"/>
    <n v="579850"/>
    <n v="2"/>
    <n v="1"/>
    <n v="3"/>
    <b v="1"/>
    <b v="1"/>
    <b v="1"/>
    <b v="1"/>
    <b v="1"/>
    <b v="1"/>
  </r>
  <r>
    <x v="165"/>
    <n v="124"/>
    <n v="31"/>
    <n v="93"/>
    <n v="732950"/>
    <n v="196300"/>
    <n v="929250"/>
    <n v="4"/>
    <n v="0"/>
    <n v="4"/>
    <b v="1"/>
    <b v="1"/>
    <b v="1"/>
    <b v="1"/>
    <b v="1"/>
    <b v="1"/>
  </r>
  <r>
    <x v="166"/>
    <n v="95"/>
    <n v="25"/>
    <n v="70"/>
    <n v="513700"/>
    <n v="113100"/>
    <n v="626800"/>
    <n v="8"/>
    <n v="0"/>
    <n v="8"/>
    <b v="1"/>
    <b v="1"/>
    <b v="1"/>
    <b v="1"/>
    <b v="1"/>
    <b v="1"/>
  </r>
  <r>
    <x v="167"/>
    <n v="103"/>
    <n v="36"/>
    <n v="67"/>
    <n v="512320"/>
    <n v="169630"/>
    <n v="681950"/>
    <n v="5"/>
    <n v="0"/>
    <n v="5"/>
    <b v="1"/>
    <b v="1"/>
    <b v="1"/>
    <b v="1"/>
    <b v="1"/>
    <b v="1"/>
  </r>
  <r>
    <x v="168"/>
    <n v="116"/>
    <n v="36"/>
    <n v="80"/>
    <n v="366400"/>
    <n v="277400"/>
    <n v="643800"/>
    <n v="18"/>
    <n v="1"/>
    <n v="19"/>
    <b v="1"/>
    <b v="1"/>
    <b v="1"/>
    <b v="1"/>
    <b v="1"/>
    <b v="1"/>
  </r>
  <r>
    <x v="169"/>
    <n v="79"/>
    <n v="17"/>
    <n v="62"/>
    <n v="514590"/>
    <n v="132355"/>
    <n v="646945"/>
    <n v="6"/>
    <n v="0"/>
    <n v="6"/>
    <b v="1"/>
    <b v="1"/>
    <b v="1"/>
    <b v="1"/>
    <b v="1"/>
    <b v="1"/>
  </r>
  <r>
    <x v="170"/>
    <n v="118"/>
    <n v="30"/>
    <n v="88"/>
    <n v="779800"/>
    <n v="104150"/>
    <n v="883950"/>
    <n v="12"/>
    <n v="2"/>
    <n v="14"/>
    <b v="1"/>
    <b v="1"/>
    <b v="1"/>
    <b v="1"/>
    <b v="1"/>
    <b v="1"/>
  </r>
  <r>
    <x v="171"/>
    <n v="109"/>
    <n v="29"/>
    <n v="80"/>
    <n v="680698"/>
    <n v="98000"/>
    <n v="778698"/>
    <n v="1"/>
    <n v="0"/>
    <n v="1"/>
    <b v="1"/>
    <b v="1"/>
    <b v="1"/>
    <b v="1"/>
    <b v="1"/>
    <b v="1"/>
  </r>
  <r>
    <x v="172"/>
    <n v="117"/>
    <n v="25"/>
    <n v="92"/>
    <n v="634400"/>
    <n v="122400"/>
    <n v="756800"/>
    <n v="0"/>
    <n v="1"/>
    <n v="1"/>
    <b v="1"/>
    <b v="1"/>
    <b v="1"/>
    <b v="1"/>
    <b v="1"/>
    <b v="1"/>
  </r>
  <r>
    <x v="173"/>
    <n v="88"/>
    <n v="20"/>
    <n v="68"/>
    <n v="675030"/>
    <n v="103000"/>
    <n v="778030"/>
    <n v="4"/>
    <n v="0"/>
    <n v="4"/>
    <b v="1"/>
    <b v="1"/>
    <b v="1"/>
    <b v="1"/>
    <b v="1"/>
    <b v="1"/>
  </r>
  <r>
    <x v="174"/>
    <n v="79"/>
    <n v="26"/>
    <n v="53"/>
    <n v="469390"/>
    <n v="119450"/>
    <n v="588840"/>
    <n v="2"/>
    <n v="1"/>
    <n v="3"/>
    <b v="1"/>
    <b v="1"/>
    <b v="1"/>
    <b v="1"/>
    <b v="1"/>
    <b v="1"/>
  </r>
  <r>
    <x v="175"/>
    <n v="127"/>
    <n v="34"/>
    <n v="93"/>
    <n v="961950"/>
    <n v="130700"/>
    <n v="1092650"/>
    <n v="1"/>
    <n v="1"/>
    <n v="2"/>
    <b v="1"/>
    <b v="1"/>
    <b v="1"/>
    <b v="1"/>
    <b v="1"/>
    <b v="1"/>
  </r>
  <r>
    <x v="176"/>
    <n v="124"/>
    <n v="31"/>
    <n v="93"/>
    <n v="1077100"/>
    <n v="223575"/>
    <n v="1300675"/>
    <n v="2"/>
    <n v="0"/>
    <n v="2"/>
    <b v="1"/>
    <b v="1"/>
    <b v="1"/>
    <b v="1"/>
    <b v="1"/>
    <b v="1"/>
  </r>
  <r>
    <x v="177"/>
    <n v="80"/>
    <n v="19"/>
    <n v="61"/>
    <n v="434150"/>
    <n v="94200"/>
    <n v="528350"/>
    <n v="1"/>
    <n v="1"/>
    <n v="2"/>
    <b v="1"/>
    <b v="1"/>
    <b v="1"/>
    <b v="1"/>
    <b v="1"/>
    <b v="1"/>
  </r>
  <r>
    <x v="178"/>
    <n v="63"/>
    <n v="10"/>
    <n v="53"/>
    <n v="336400"/>
    <n v="32300"/>
    <n v="368700"/>
    <n v="0"/>
    <n v="0"/>
    <n v="0"/>
    <b v="1"/>
    <b v="1"/>
    <b v="1"/>
    <b v="1"/>
    <b v="1"/>
    <b v="1"/>
  </r>
  <r>
    <x v="179"/>
    <n v="101"/>
    <n v="23"/>
    <n v="78"/>
    <n v="518500"/>
    <n v="135580"/>
    <n v="654080"/>
    <n v="5"/>
    <n v="0"/>
    <n v="5"/>
    <b v="1"/>
    <b v="1"/>
    <b v="1"/>
    <b v="1"/>
    <b v="1"/>
    <b v="1"/>
  </r>
  <r>
    <x v="180"/>
    <n v="95"/>
    <n v="25"/>
    <n v="70"/>
    <n v="423850"/>
    <n v="92700"/>
    <n v="516550"/>
    <n v="2"/>
    <n v="3"/>
    <n v="5"/>
    <b v="1"/>
    <b v="1"/>
    <b v="1"/>
    <b v="1"/>
    <b v="1"/>
    <b v="1"/>
  </r>
  <r>
    <x v="181"/>
    <n v="93"/>
    <n v="28"/>
    <n v="65"/>
    <n v="672150"/>
    <n v="144110"/>
    <n v="816260"/>
    <n v="1"/>
    <n v="0"/>
    <n v="1"/>
    <b v="1"/>
    <b v="1"/>
    <b v="1"/>
    <b v="1"/>
    <b v="1"/>
    <b v="1"/>
  </r>
  <r>
    <x v="182"/>
    <n v="117"/>
    <n v="34"/>
    <n v="83"/>
    <n v="663950"/>
    <n v="159350"/>
    <n v="823300"/>
    <n v="0"/>
    <n v="0"/>
    <n v="0"/>
    <b v="1"/>
    <b v="1"/>
    <b v="1"/>
    <b v="1"/>
    <b v="1"/>
    <b v="1"/>
  </r>
  <r>
    <x v="183"/>
    <n v="113"/>
    <n v="41"/>
    <n v="72"/>
    <n v="540250"/>
    <n v="164610"/>
    <n v="704860"/>
    <n v="1"/>
    <n v="0"/>
    <n v="1"/>
    <b v="1"/>
    <b v="1"/>
    <b v="1"/>
    <b v="1"/>
    <b v="1"/>
    <b v="1"/>
  </r>
  <r>
    <x v="184"/>
    <n v="142"/>
    <n v="39"/>
    <n v="103"/>
    <n v="619000"/>
    <n v="276157"/>
    <n v="895157"/>
    <n v="0"/>
    <n v="0"/>
    <n v="0"/>
    <b v="1"/>
    <b v="1"/>
    <b v="1"/>
    <b v="1"/>
    <b v="1"/>
    <b v="1"/>
  </r>
  <r>
    <x v="185"/>
    <n v="78"/>
    <n v="31"/>
    <n v="47"/>
    <n v="346300"/>
    <n v="164300"/>
    <n v="510600"/>
    <n v="0"/>
    <n v="1"/>
    <n v="1"/>
    <b v="1"/>
    <b v="1"/>
    <b v="1"/>
    <b v="1"/>
    <b v="1"/>
    <b v="1"/>
  </r>
  <r>
    <x v="186"/>
    <n v="130"/>
    <n v="34"/>
    <n v="96"/>
    <n v="731300"/>
    <n v="204220"/>
    <n v="935520"/>
    <n v="0"/>
    <n v="1"/>
    <n v="1"/>
    <b v="1"/>
    <b v="1"/>
    <b v="1"/>
    <b v="1"/>
    <b v="1"/>
    <b v="1"/>
  </r>
  <r>
    <x v="187"/>
    <n v="118"/>
    <n v="27"/>
    <n v="91"/>
    <n v="772375"/>
    <n v="130550"/>
    <n v="902925"/>
    <n v="1"/>
    <n v="0"/>
    <n v="1"/>
    <b v="1"/>
    <b v="1"/>
    <b v="1"/>
    <b v="1"/>
    <b v="1"/>
    <b v="1"/>
  </r>
  <r>
    <x v="188"/>
    <n v="131"/>
    <n v="52"/>
    <n v="79"/>
    <n v="993500"/>
    <n v="381938"/>
    <n v="1375438"/>
    <n v="0"/>
    <n v="2"/>
    <n v="2"/>
    <b v="1"/>
    <b v="1"/>
    <b v="1"/>
    <b v="1"/>
    <b v="1"/>
    <b v="1"/>
  </r>
  <r>
    <x v="189"/>
    <n v="259"/>
    <n v="88"/>
    <n v="171"/>
    <n v="1804180"/>
    <n v="749500"/>
    <n v="2553680"/>
    <n v="2"/>
    <n v="1"/>
    <n v="3"/>
    <b v="1"/>
    <b v="1"/>
    <b v="1"/>
    <b v="1"/>
    <b v="1"/>
    <b v="1"/>
  </r>
  <r>
    <x v="190"/>
    <n v="154"/>
    <n v="62"/>
    <n v="92"/>
    <n v="1088100"/>
    <n v="509860"/>
    <n v="1597960"/>
    <n v="1"/>
    <n v="1"/>
    <n v="2"/>
    <b v="1"/>
    <b v="1"/>
    <b v="1"/>
    <b v="1"/>
    <b v="1"/>
    <b v="1"/>
  </r>
  <r>
    <x v="191"/>
    <n v="244"/>
    <n v="100"/>
    <n v="144"/>
    <n v="1521147"/>
    <n v="730210"/>
    <n v="2251357"/>
    <n v="0"/>
    <n v="0"/>
    <n v="0"/>
    <b v="1"/>
    <b v="1"/>
    <b v="1"/>
    <b v="1"/>
    <b v="1"/>
    <b v="1"/>
  </r>
  <r>
    <x v="192"/>
    <n v="95"/>
    <n v="42"/>
    <n v="53"/>
    <n v="752800"/>
    <n v="347500"/>
    <n v="1100300"/>
    <n v="0"/>
    <n v="0"/>
    <n v="0"/>
    <b v="1"/>
    <b v="1"/>
    <b v="1"/>
    <b v="1"/>
    <b v="1"/>
    <b v="1"/>
  </r>
  <r>
    <x v="193"/>
    <n v="136"/>
    <n v="53"/>
    <n v="83"/>
    <n v="684704"/>
    <n v="467800"/>
    <n v="1152504"/>
    <n v="2"/>
    <n v="1"/>
    <n v="3"/>
    <b v="1"/>
    <b v="1"/>
    <b v="1"/>
    <b v="1"/>
    <b v="1"/>
    <b v="1"/>
  </r>
  <r>
    <x v="194"/>
    <n v="121"/>
    <n v="45"/>
    <n v="76"/>
    <n v="758770"/>
    <n v="314850"/>
    <n v="1073620"/>
    <n v="2"/>
    <n v="0"/>
    <n v="2"/>
    <b v="1"/>
    <b v="1"/>
    <b v="1"/>
    <b v="1"/>
    <b v="1"/>
    <b v="1"/>
  </r>
  <r>
    <x v="195"/>
    <n v="142"/>
    <n v="55"/>
    <n v="87"/>
    <n v="959500"/>
    <n v="403985"/>
    <n v="1363485"/>
    <n v="0"/>
    <n v="0"/>
    <n v="0"/>
    <b v="1"/>
    <b v="1"/>
    <b v="1"/>
    <b v="1"/>
    <b v="1"/>
    <b v="1"/>
  </r>
  <r>
    <x v="196"/>
    <n v="113"/>
    <n v="29"/>
    <n v="84"/>
    <n v="959300"/>
    <n v="257300"/>
    <n v="1216600"/>
    <n v="2"/>
    <n v="0"/>
    <n v="2"/>
    <b v="1"/>
    <b v="1"/>
    <b v="1"/>
    <b v="1"/>
    <b v="1"/>
    <b v="1"/>
  </r>
  <r>
    <x v="197"/>
    <n v="231"/>
    <n v="72"/>
    <n v="159"/>
    <n v="1279497"/>
    <n v="547770"/>
    <n v="1827267"/>
    <n v="1"/>
    <n v="2"/>
    <n v="3"/>
    <b v="1"/>
    <b v="1"/>
    <b v="1"/>
    <b v="1"/>
    <b v="1"/>
    <b v="1"/>
  </r>
  <r>
    <x v="198"/>
    <n v="69"/>
    <n v="25"/>
    <n v="44"/>
    <n v="490500"/>
    <n v="163600"/>
    <n v="654100"/>
    <n v="0"/>
    <n v="0"/>
    <n v="0"/>
    <b v="1"/>
    <b v="1"/>
    <b v="1"/>
    <b v="1"/>
    <b v="1"/>
    <b v="1"/>
  </r>
  <r>
    <x v="199"/>
    <n v="99"/>
    <n v="20"/>
    <n v="79"/>
    <n v="486000"/>
    <n v="88100"/>
    <n v="574100"/>
    <n v="0"/>
    <n v="0"/>
    <n v="0"/>
    <b v="1"/>
    <b v="1"/>
    <b v="1"/>
    <b v="1"/>
    <b v="1"/>
    <b v="1"/>
  </r>
  <r>
    <x v="200"/>
    <n v="109"/>
    <n v="28"/>
    <n v="81"/>
    <n v="713150"/>
    <n v="135550"/>
    <n v="848700"/>
    <n v="1"/>
    <n v="1"/>
    <n v="2"/>
    <b v="1"/>
    <b v="1"/>
    <b v="1"/>
    <b v="1"/>
    <b v="1"/>
    <b v="1"/>
  </r>
  <r>
    <x v="201"/>
    <n v="143"/>
    <n v="48"/>
    <n v="95"/>
    <n v="654300"/>
    <n v="336275"/>
    <n v="990575"/>
    <n v="4"/>
    <n v="0"/>
    <n v="4"/>
    <b v="1"/>
    <b v="1"/>
    <b v="1"/>
    <b v="1"/>
    <b v="1"/>
    <b v="1"/>
  </r>
  <r>
    <x v="202"/>
    <n v="126"/>
    <n v="47"/>
    <n v="79"/>
    <n v="736350"/>
    <n v="483970"/>
    <n v="1220320"/>
    <n v="1"/>
    <n v="1"/>
    <n v="2"/>
    <b v="1"/>
    <b v="1"/>
    <b v="1"/>
    <b v="1"/>
    <b v="1"/>
    <b v="1"/>
  </r>
  <r>
    <x v="203"/>
    <n v="156"/>
    <n v="55"/>
    <n v="101"/>
    <n v="674951"/>
    <n v="328370"/>
    <n v="1003321"/>
    <n v="1"/>
    <n v="1"/>
    <n v="2"/>
    <b v="1"/>
    <b v="1"/>
    <b v="1"/>
    <b v="1"/>
    <b v="1"/>
    <b v="1"/>
  </r>
  <r>
    <x v="204"/>
    <n v="126"/>
    <n v="37"/>
    <n v="89"/>
    <n v="589150"/>
    <n v="187350"/>
    <n v="776500"/>
    <n v="4"/>
    <n v="0"/>
    <n v="4"/>
    <b v="1"/>
    <b v="1"/>
    <b v="1"/>
    <b v="1"/>
    <b v="1"/>
    <b v="1"/>
  </r>
  <r>
    <x v="205"/>
    <n v="102"/>
    <n v="39"/>
    <n v="63"/>
    <n v="546350"/>
    <n v="209600"/>
    <n v="755950"/>
    <n v="0"/>
    <n v="5"/>
    <n v="5"/>
    <b v="1"/>
    <b v="1"/>
    <b v="1"/>
    <b v="1"/>
    <b v="1"/>
    <b v="1"/>
  </r>
  <r>
    <x v="206"/>
    <n v="87"/>
    <n v="33"/>
    <n v="54"/>
    <n v="416000"/>
    <n v="220550"/>
    <n v="636550"/>
    <n v="0"/>
    <n v="2"/>
    <n v="2"/>
    <b v="1"/>
    <b v="1"/>
    <b v="1"/>
    <b v="1"/>
    <b v="1"/>
    <b v="1"/>
  </r>
  <r>
    <x v="207"/>
    <n v="75"/>
    <n v="28"/>
    <n v="47"/>
    <n v="491950"/>
    <n v="198800"/>
    <n v="690750"/>
    <n v="0"/>
    <n v="0"/>
    <n v="0"/>
    <b v="1"/>
    <b v="1"/>
    <b v="1"/>
    <b v="1"/>
    <b v="1"/>
    <b v="1"/>
  </r>
  <r>
    <x v="208"/>
    <n v="46"/>
    <n v="18"/>
    <n v="28"/>
    <n v="175700"/>
    <n v="117937"/>
    <n v="293637"/>
    <n v="5"/>
    <n v="0"/>
    <n v="5"/>
    <b v="1"/>
    <b v="1"/>
    <b v="1"/>
    <b v="1"/>
    <b v="1"/>
    <b v="1"/>
  </r>
  <r>
    <x v="209"/>
    <n v="63"/>
    <n v="21"/>
    <n v="42"/>
    <n v="465119"/>
    <n v="117350"/>
    <n v="582469"/>
    <n v="1"/>
    <n v="1"/>
    <n v="2"/>
    <b v="1"/>
    <b v="1"/>
    <b v="1"/>
    <b v="1"/>
    <b v="1"/>
    <b v="1"/>
  </r>
  <r>
    <x v="210"/>
    <n v="106"/>
    <n v="39"/>
    <n v="67"/>
    <n v="459300"/>
    <n v="312860"/>
    <n v="772160"/>
    <n v="1"/>
    <n v="0"/>
    <n v="1"/>
    <b v="1"/>
    <b v="1"/>
    <b v="1"/>
    <b v="1"/>
    <b v="1"/>
    <b v="1"/>
  </r>
  <r>
    <x v="211"/>
    <n v="128"/>
    <n v="47"/>
    <n v="81"/>
    <n v="560100"/>
    <n v="361803"/>
    <n v="921903"/>
    <n v="0"/>
    <n v="0"/>
    <n v="0"/>
    <b v="1"/>
    <b v="1"/>
    <b v="1"/>
    <b v="1"/>
    <b v="1"/>
    <b v="1"/>
  </r>
  <r>
    <x v="212"/>
    <n v="92"/>
    <n v="26"/>
    <n v="66"/>
    <n v="756250"/>
    <n v="130700"/>
    <n v="886950"/>
    <n v="5"/>
    <n v="1"/>
    <n v="6"/>
    <b v="1"/>
    <b v="1"/>
    <b v="1"/>
    <b v="1"/>
    <b v="1"/>
    <b v="1"/>
  </r>
  <r>
    <x v="213"/>
    <n v="96"/>
    <n v="42"/>
    <n v="54"/>
    <n v="573550"/>
    <n v="346050"/>
    <n v="919600"/>
    <n v="0"/>
    <n v="0"/>
    <n v="0"/>
    <b v="1"/>
    <b v="1"/>
    <b v="1"/>
    <b v="1"/>
    <b v="1"/>
    <b v="1"/>
  </r>
  <r>
    <x v="214"/>
    <n v="99"/>
    <n v="31"/>
    <n v="68"/>
    <n v="356370"/>
    <n v="199992"/>
    <n v="556362"/>
    <n v="3"/>
    <n v="0"/>
    <n v="3"/>
    <b v="1"/>
    <b v="1"/>
    <b v="1"/>
    <b v="1"/>
    <b v="1"/>
    <b v="1"/>
  </r>
  <r>
    <x v="215"/>
    <n v="92"/>
    <n v="29"/>
    <n v="63"/>
    <n v="431550"/>
    <n v="108200"/>
    <n v="539750"/>
    <n v="0"/>
    <n v="0"/>
    <n v="0"/>
    <b v="1"/>
    <b v="1"/>
    <b v="1"/>
    <b v="1"/>
    <b v="1"/>
    <b v="1"/>
  </r>
  <r>
    <x v="216"/>
    <n v="145"/>
    <n v="70"/>
    <n v="75"/>
    <n v="824320"/>
    <n v="977870"/>
    <n v="1802190"/>
    <n v="2"/>
    <n v="0"/>
    <n v="2"/>
    <b v="1"/>
    <b v="1"/>
    <b v="1"/>
    <b v="1"/>
    <b v="1"/>
    <b v="1"/>
  </r>
  <r>
    <x v="217"/>
    <n v="98"/>
    <n v="38"/>
    <n v="60"/>
    <n v="502700"/>
    <n v="233140"/>
    <n v="735840"/>
    <n v="4"/>
    <n v="0"/>
    <n v="4"/>
    <b v="1"/>
    <b v="1"/>
    <b v="1"/>
    <b v="1"/>
    <b v="1"/>
    <b v="1"/>
  </r>
  <r>
    <x v="218"/>
    <n v="105"/>
    <n v="35"/>
    <n v="70"/>
    <n v="494570"/>
    <n v="271020"/>
    <n v="765590"/>
    <n v="6"/>
    <n v="1"/>
    <n v="7"/>
    <b v="1"/>
    <b v="1"/>
    <b v="1"/>
    <b v="1"/>
    <b v="1"/>
    <b v="1"/>
  </r>
  <r>
    <x v="219"/>
    <n v="96"/>
    <n v="29"/>
    <n v="67"/>
    <n v="418300"/>
    <n v="116900"/>
    <n v="535200"/>
    <n v="0"/>
    <n v="1"/>
    <n v="1"/>
    <b v="1"/>
    <b v="1"/>
    <b v="1"/>
    <b v="1"/>
    <b v="1"/>
    <b v="1"/>
  </r>
  <r>
    <x v="220"/>
    <n v="64"/>
    <n v="18"/>
    <n v="46"/>
    <n v="182100"/>
    <n v="121800"/>
    <n v="303900"/>
    <n v="0"/>
    <n v="1"/>
    <n v="1"/>
    <b v="1"/>
    <b v="1"/>
    <b v="1"/>
    <b v="1"/>
    <b v="1"/>
    <b v="1"/>
  </r>
  <r>
    <x v="221"/>
    <n v="93"/>
    <n v="23"/>
    <n v="70"/>
    <n v="526169"/>
    <n v="110600"/>
    <n v="636769"/>
    <n v="1"/>
    <n v="0"/>
    <n v="1"/>
    <b v="1"/>
    <b v="1"/>
    <b v="1"/>
    <b v="1"/>
    <b v="1"/>
    <b v="1"/>
  </r>
  <r>
    <x v="222"/>
    <n v="76"/>
    <n v="21"/>
    <n v="55"/>
    <n v="281850"/>
    <n v="132030"/>
    <n v="413880"/>
    <n v="4"/>
    <n v="0"/>
    <n v="4"/>
    <b v="1"/>
    <b v="1"/>
    <b v="1"/>
    <b v="1"/>
    <b v="1"/>
    <b v="1"/>
  </r>
  <r>
    <x v="223"/>
    <n v="73"/>
    <n v="28"/>
    <n v="45"/>
    <n v="341150"/>
    <n v="207130"/>
    <n v="548280"/>
    <n v="2"/>
    <n v="2"/>
    <n v="4"/>
    <b v="1"/>
    <b v="1"/>
    <b v="1"/>
    <b v="1"/>
    <b v="1"/>
    <b v="1"/>
  </r>
  <r>
    <x v="224"/>
    <n v="99"/>
    <n v="33"/>
    <n v="66"/>
    <n v="311300"/>
    <n v="239750"/>
    <n v="551050"/>
    <n v="3"/>
    <n v="1"/>
    <n v="4"/>
    <b v="1"/>
    <b v="1"/>
    <b v="1"/>
    <b v="1"/>
    <b v="1"/>
    <b v="1"/>
  </r>
  <r>
    <x v="225"/>
    <n v="111"/>
    <n v="31"/>
    <n v="80"/>
    <n v="560050"/>
    <n v="181460"/>
    <n v="741510"/>
    <n v="1"/>
    <n v="2"/>
    <n v="3"/>
    <b v="1"/>
    <b v="1"/>
    <b v="1"/>
    <b v="1"/>
    <b v="1"/>
    <b v="1"/>
  </r>
  <r>
    <x v="226"/>
    <n v="47"/>
    <n v="9"/>
    <n v="38"/>
    <n v="272500"/>
    <n v="30510"/>
    <n v="303010"/>
    <n v="0"/>
    <n v="0"/>
    <n v="0"/>
    <b v="1"/>
    <b v="1"/>
    <b v="1"/>
    <b v="1"/>
    <b v="1"/>
    <b v="1"/>
  </r>
  <r>
    <x v="227"/>
    <n v="62"/>
    <n v="18"/>
    <n v="44"/>
    <n v="162050"/>
    <n v="112225"/>
    <n v="274275"/>
    <n v="0"/>
    <n v="0"/>
    <n v="0"/>
    <b v="1"/>
    <b v="1"/>
    <b v="1"/>
    <b v="1"/>
    <b v="1"/>
    <b v="1"/>
  </r>
  <r>
    <x v="228"/>
    <n v="73"/>
    <n v="20"/>
    <n v="53"/>
    <n v="309300"/>
    <n v="90300"/>
    <n v="399600"/>
    <n v="0"/>
    <n v="1"/>
    <n v="1"/>
    <b v="1"/>
    <b v="1"/>
    <b v="1"/>
    <b v="1"/>
    <b v="1"/>
    <b v="1"/>
  </r>
  <r>
    <x v="229"/>
    <n v="149"/>
    <n v="49"/>
    <n v="100"/>
    <n v="578896"/>
    <n v="201449"/>
    <n v="780345"/>
    <n v="1"/>
    <n v="3"/>
    <n v="4"/>
    <b v="1"/>
    <b v="1"/>
    <b v="1"/>
    <b v="1"/>
    <b v="1"/>
    <b v="1"/>
  </r>
  <r>
    <x v="230"/>
    <n v="192"/>
    <n v="54"/>
    <n v="138"/>
    <n v="599350"/>
    <n v="121690"/>
    <n v="721040"/>
    <n v="2"/>
    <n v="1"/>
    <n v="3"/>
    <b v="1"/>
    <b v="1"/>
    <b v="1"/>
    <b v="1"/>
    <b v="1"/>
    <b v="1"/>
  </r>
  <r>
    <x v="231"/>
    <n v="189"/>
    <n v="58"/>
    <n v="131"/>
    <n v="1134900"/>
    <n v="263300"/>
    <n v="1398200"/>
    <n v="1"/>
    <n v="1"/>
    <n v="2"/>
    <b v="1"/>
    <b v="1"/>
    <b v="1"/>
    <b v="1"/>
    <b v="1"/>
    <b v="1"/>
  </r>
  <r>
    <x v="232"/>
    <n v="160"/>
    <n v="52"/>
    <n v="108"/>
    <n v="616120"/>
    <n v="389850"/>
    <n v="1005970"/>
    <n v="2"/>
    <n v="3"/>
    <n v="5"/>
    <b v="1"/>
    <b v="1"/>
    <b v="1"/>
    <b v="1"/>
    <b v="1"/>
    <b v="1"/>
  </r>
  <r>
    <x v="233"/>
    <n v="62"/>
    <n v="17"/>
    <n v="45"/>
    <n v="308446"/>
    <n v="44400"/>
    <n v="352846"/>
    <n v="1"/>
    <n v="0"/>
    <n v="1"/>
    <b v="1"/>
    <b v="1"/>
    <b v="1"/>
    <b v="1"/>
    <b v="1"/>
    <b v="1"/>
  </r>
  <r>
    <x v="234"/>
    <n v="66"/>
    <n v="16"/>
    <n v="50"/>
    <n v="337650"/>
    <n v="18700"/>
    <n v="356350"/>
    <n v="0"/>
    <n v="0"/>
    <n v="0"/>
    <b v="1"/>
    <b v="1"/>
    <b v="1"/>
    <b v="1"/>
    <b v="1"/>
    <b v="1"/>
  </r>
  <r>
    <x v="235"/>
    <n v="69"/>
    <n v="16"/>
    <n v="53"/>
    <n v="215650"/>
    <n v="77950"/>
    <n v="293600"/>
    <n v="4"/>
    <n v="1"/>
    <n v="5"/>
    <b v="1"/>
    <b v="1"/>
    <b v="1"/>
    <b v="1"/>
    <b v="1"/>
    <b v="1"/>
  </r>
  <r>
    <x v="236"/>
    <n v="86"/>
    <n v="39"/>
    <n v="47"/>
    <n v="300700"/>
    <n v="213400"/>
    <n v="514100"/>
    <n v="0"/>
    <n v="1"/>
    <n v="1"/>
    <b v="1"/>
    <b v="1"/>
    <b v="1"/>
    <b v="1"/>
    <b v="1"/>
    <b v="1"/>
  </r>
  <r>
    <x v="237"/>
    <n v="54"/>
    <n v="9"/>
    <n v="45"/>
    <n v="332000"/>
    <n v="62000"/>
    <n v="394000"/>
    <n v="0"/>
    <n v="0"/>
    <n v="0"/>
    <b v="1"/>
    <b v="1"/>
    <b v="1"/>
    <b v="1"/>
    <b v="1"/>
    <b v="1"/>
  </r>
  <r>
    <x v="238"/>
    <n v="81"/>
    <n v="16"/>
    <n v="65"/>
    <n v="489620"/>
    <n v="71507"/>
    <n v="561127"/>
    <n v="4"/>
    <n v="1"/>
    <n v="5"/>
    <b v="1"/>
    <b v="1"/>
    <b v="1"/>
    <b v="1"/>
    <b v="1"/>
    <b v="1"/>
  </r>
  <r>
    <x v="239"/>
    <n v="74"/>
    <n v="17"/>
    <n v="57"/>
    <n v="309950"/>
    <n v="51400"/>
    <n v="361350"/>
    <n v="1"/>
    <n v="0"/>
    <n v="1"/>
    <b v="1"/>
    <b v="1"/>
    <b v="1"/>
    <b v="1"/>
    <b v="1"/>
    <b v="1"/>
  </r>
  <r>
    <x v="240"/>
    <n v="16"/>
    <n v="6"/>
    <n v="10"/>
    <n v="47151"/>
    <n v="10400"/>
    <n v="57551"/>
    <n v="0"/>
    <n v="0"/>
    <n v="0"/>
    <b v="1"/>
    <b v="1"/>
    <b v="1"/>
    <b v="1"/>
    <b v="1"/>
    <b v="1"/>
  </r>
  <r>
    <x v="241"/>
    <n v="39"/>
    <n v="10"/>
    <n v="29"/>
    <n v="201800"/>
    <n v="39600"/>
    <n v="241400"/>
    <n v="0"/>
    <n v="0"/>
    <n v="0"/>
    <b v="1"/>
    <b v="1"/>
    <b v="1"/>
    <b v="1"/>
    <b v="1"/>
    <b v="1"/>
  </r>
  <r>
    <x v="242"/>
    <n v="46"/>
    <n v="14"/>
    <n v="32"/>
    <n v="189000"/>
    <n v="31700"/>
    <n v="220700"/>
    <n v="0"/>
    <n v="0"/>
    <n v="0"/>
    <b v="1"/>
    <b v="1"/>
    <b v="1"/>
    <b v="1"/>
    <b v="1"/>
    <b v="1"/>
  </r>
  <r>
    <x v="243"/>
    <n v="73"/>
    <n v="16"/>
    <n v="57"/>
    <n v="687848"/>
    <n v="80280"/>
    <n v="768128"/>
    <n v="0"/>
    <n v="1"/>
    <n v="1"/>
    <b v="1"/>
    <b v="1"/>
    <b v="1"/>
    <b v="1"/>
    <b v="1"/>
    <b v="1"/>
  </r>
  <r>
    <x v="244"/>
    <n v="85"/>
    <n v="19"/>
    <n v="66"/>
    <n v="556400"/>
    <n v="140450"/>
    <n v="696850"/>
    <n v="2"/>
    <n v="2"/>
    <n v="4"/>
    <b v="1"/>
    <b v="1"/>
    <b v="1"/>
    <b v="1"/>
    <b v="1"/>
    <b v="1"/>
  </r>
  <r>
    <x v="245"/>
    <n v="91"/>
    <n v="26"/>
    <n v="65"/>
    <n v="573300"/>
    <n v="88050"/>
    <n v="661350"/>
    <n v="2"/>
    <n v="0"/>
    <n v="2"/>
    <b v="1"/>
    <b v="1"/>
    <b v="1"/>
    <b v="1"/>
    <b v="1"/>
    <b v="1"/>
  </r>
  <r>
    <x v="246"/>
    <n v="73"/>
    <n v="22"/>
    <n v="51"/>
    <n v="311000"/>
    <n v="153648"/>
    <n v="464648"/>
    <n v="5"/>
    <n v="0"/>
    <n v="5"/>
    <b v="1"/>
    <b v="1"/>
    <b v="1"/>
    <b v="1"/>
    <b v="1"/>
    <b v="1"/>
  </r>
  <r>
    <x v="247"/>
    <n v="45"/>
    <n v="9"/>
    <n v="36"/>
    <n v="220400"/>
    <n v="50507"/>
    <n v="270907"/>
    <n v="2"/>
    <n v="0"/>
    <n v="2"/>
    <b v="1"/>
    <b v="1"/>
    <b v="1"/>
    <b v="1"/>
    <b v="1"/>
    <b v="1"/>
  </r>
  <r>
    <x v="248"/>
    <n v="42"/>
    <n v="13"/>
    <n v="29"/>
    <n v="241150"/>
    <n v="48650"/>
    <n v="289800"/>
    <n v="1"/>
    <n v="0"/>
    <n v="1"/>
    <b v="1"/>
    <b v="1"/>
    <b v="1"/>
    <b v="1"/>
    <b v="1"/>
    <b v="1"/>
  </r>
  <r>
    <x v="249"/>
    <n v="78"/>
    <n v="28"/>
    <n v="50"/>
    <n v="502196"/>
    <n v="115400"/>
    <n v="617596"/>
    <n v="4"/>
    <n v="1"/>
    <n v="5"/>
    <b v="1"/>
    <b v="1"/>
    <b v="1"/>
    <b v="1"/>
    <b v="1"/>
    <b v="1"/>
  </r>
  <r>
    <x v="250"/>
    <n v="124"/>
    <n v="31"/>
    <n v="93"/>
    <n v="634447"/>
    <n v="148560"/>
    <n v="783007"/>
    <n v="4"/>
    <n v="0"/>
    <n v="4"/>
    <b v="1"/>
    <b v="1"/>
    <b v="1"/>
    <b v="1"/>
    <b v="1"/>
    <b v="1"/>
  </r>
  <r>
    <x v="251"/>
    <n v="114"/>
    <n v="36"/>
    <n v="78"/>
    <n v="549150"/>
    <n v="152790"/>
    <n v="701940"/>
    <n v="2"/>
    <n v="2"/>
    <n v="4"/>
    <b v="1"/>
    <b v="1"/>
    <b v="1"/>
    <b v="1"/>
    <b v="1"/>
    <b v="1"/>
  </r>
  <r>
    <x v="252"/>
    <n v="111"/>
    <n v="32"/>
    <n v="79"/>
    <n v="584550"/>
    <n v="151300"/>
    <n v="735850"/>
    <n v="2"/>
    <n v="1"/>
    <n v="3"/>
    <b v="1"/>
    <b v="1"/>
    <b v="1"/>
    <b v="1"/>
    <b v="1"/>
    <b v="1"/>
  </r>
  <r>
    <x v="253"/>
    <n v="99"/>
    <n v="21"/>
    <n v="78"/>
    <n v="531899"/>
    <n v="132150"/>
    <n v="664049"/>
    <n v="0"/>
    <n v="0"/>
    <n v="0"/>
    <b v="1"/>
    <b v="1"/>
    <b v="1"/>
    <b v="1"/>
    <b v="1"/>
    <b v="1"/>
  </r>
  <r>
    <x v="254"/>
    <n v="71"/>
    <n v="17"/>
    <n v="54"/>
    <n v="291900"/>
    <n v="52000"/>
    <n v="343900"/>
    <n v="1"/>
    <n v="0"/>
    <n v="1"/>
    <b v="1"/>
    <b v="1"/>
    <b v="1"/>
    <b v="1"/>
    <b v="1"/>
    <b v="1"/>
  </r>
  <r>
    <x v="255"/>
    <n v="62"/>
    <n v="15"/>
    <n v="47"/>
    <n v="301419"/>
    <n v="30300"/>
    <n v="331719"/>
    <n v="0"/>
    <n v="0"/>
    <n v="0"/>
    <b v="1"/>
    <b v="1"/>
    <b v="1"/>
    <b v="1"/>
    <b v="1"/>
    <b v="1"/>
  </r>
  <r>
    <x v="256"/>
    <n v="94"/>
    <n v="24"/>
    <n v="70"/>
    <n v="458500"/>
    <n v="55875"/>
    <n v="514375"/>
    <n v="2"/>
    <n v="0"/>
    <n v="2"/>
    <b v="1"/>
    <b v="1"/>
    <b v="1"/>
    <b v="1"/>
    <b v="1"/>
    <b v="1"/>
  </r>
  <r>
    <x v="257"/>
    <n v="125"/>
    <n v="37"/>
    <n v="88"/>
    <n v="695525"/>
    <n v="179300"/>
    <n v="874825"/>
    <n v="6"/>
    <n v="0"/>
    <n v="6"/>
    <b v="1"/>
    <b v="1"/>
    <b v="1"/>
    <b v="1"/>
    <b v="1"/>
    <b v="1"/>
  </r>
  <r>
    <x v="258"/>
    <n v="98"/>
    <n v="18"/>
    <n v="80"/>
    <n v="544156"/>
    <n v="132720"/>
    <n v="676876"/>
    <n v="1"/>
    <n v="1"/>
    <n v="2"/>
    <b v="1"/>
    <b v="1"/>
    <b v="1"/>
    <b v="1"/>
    <b v="1"/>
    <b v="1"/>
  </r>
  <r>
    <x v="259"/>
    <n v="115"/>
    <n v="27"/>
    <n v="88"/>
    <n v="388980"/>
    <n v="138100"/>
    <n v="527080"/>
    <n v="1"/>
    <n v="1"/>
    <n v="2"/>
    <b v="1"/>
    <b v="1"/>
    <b v="1"/>
    <b v="1"/>
    <b v="1"/>
    <b v="1"/>
  </r>
  <r>
    <x v="260"/>
    <n v="93"/>
    <n v="19"/>
    <n v="74"/>
    <n v="408950"/>
    <n v="70700"/>
    <n v="479650"/>
    <n v="0"/>
    <n v="1"/>
    <n v="1"/>
    <b v="1"/>
    <b v="1"/>
    <b v="1"/>
    <b v="1"/>
    <b v="1"/>
    <b v="1"/>
  </r>
  <r>
    <x v="261"/>
    <n v="64"/>
    <n v="22"/>
    <n v="42"/>
    <n v="278460"/>
    <n v="52225"/>
    <n v="330685"/>
    <n v="2"/>
    <n v="2"/>
    <n v="4"/>
    <b v="1"/>
    <b v="1"/>
    <b v="1"/>
    <b v="1"/>
    <b v="1"/>
    <b v="1"/>
  </r>
  <r>
    <x v="262"/>
    <n v="44"/>
    <n v="16"/>
    <n v="28"/>
    <n v="256300"/>
    <n v="71350"/>
    <n v="327650"/>
    <n v="1"/>
    <n v="0"/>
    <n v="1"/>
    <b v="1"/>
    <b v="1"/>
    <b v="1"/>
    <b v="1"/>
    <b v="1"/>
    <b v="1"/>
  </r>
  <r>
    <x v="263"/>
    <n v="38"/>
    <n v="11"/>
    <n v="27"/>
    <n v="247900"/>
    <n v="51800"/>
    <n v="299700"/>
    <n v="2"/>
    <n v="0"/>
    <n v="2"/>
    <b v="1"/>
    <b v="1"/>
    <b v="1"/>
    <b v="1"/>
    <b v="1"/>
    <b v="1"/>
  </r>
  <r>
    <x v="264"/>
    <n v="57"/>
    <n v="18"/>
    <n v="39"/>
    <n v="308300"/>
    <n v="78825"/>
    <n v="387125"/>
    <n v="4"/>
    <n v="0"/>
    <n v="4"/>
    <b v="1"/>
    <b v="1"/>
    <b v="1"/>
    <b v="1"/>
    <b v="1"/>
    <b v="1"/>
  </r>
  <r>
    <x v="265"/>
    <n v="74"/>
    <n v="25"/>
    <n v="49"/>
    <n v="345700"/>
    <n v="145330"/>
    <n v="491030"/>
    <n v="3"/>
    <n v="1"/>
    <n v="4"/>
    <b v="1"/>
    <b v="1"/>
    <b v="1"/>
    <b v="1"/>
    <b v="1"/>
    <b v="1"/>
  </r>
  <r>
    <x v="266"/>
    <n v="73"/>
    <n v="21"/>
    <n v="52"/>
    <n v="458675"/>
    <n v="100050"/>
    <n v="558725"/>
    <n v="4"/>
    <n v="0"/>
    <n v="4"/>
    <b v="1"/>
    <b v="1"/>
    <b v="1"/>
    <b v="1"/>
    <b v="1"/>
    <b v="1"/>
  </r>
  <r>
    <x v="267"/>
    <n v="40"/>
    <n v="10"/>
    <n v="30"/>
    <n v="283650"/>
    <n v="68600"/>
    <n v="352250"/>
    <n v="4"/>
    <n v="0"/>
    <n v="4"/>
    <b v="1"/>
    <b v="1"/>
    <b v="1"/>
    <b v="1"/>
    <b v="1"/>
    <b v="1"/>
  </r>
  <r>
    <x v="268"/>
    <n v="62"/>
    <n v="19"/>
    <n v="43"/>
    <n v="416149"/>
    <n v="62500"/>
    <n v="478649"/>
    <n v="0"/>
    <n v="2"/>
    <n v="2"/>
    <b v="1"/>
    <b v="1"/>
    <b v="1"/>
    <b v="1"/>
    <b v="1"/>
    <b v="1"/>
  </r>
  <r>
    <x v="269"/>
    <n v="32"/>
    <n v="10"/>
    <n v="22"/>
    <n v="166497"/>
    <n v="46000"/>
    <n v="212497"/>
    <n v="1"/>
    <n v="0"/>
    <n v="1"/>
    <b v="1"/>
    <b v="1"/>
    <b v="1"/>
    <b v="1"/>
    <b v="1"/>
    <b v="1"/>
  </r>
  <r>
    <x v="270"/>
    <n v="201"/>
    <n v="40"/>
    <n v="161"/>
    <n v="857600"/>
    <n v="167600"/>
    <n v="1025200"/>
    <n v="2"/>
    <n v="6"/>
    <n v="8"/>
    <b v="1"/>
    <b v="1"/>
    <b v="1"/>
    <b v="1"/>
    <b v="1"/>
    <b v="1"/>
  </r>
  <r>
    <x v="271"/>
    <n v="296"/>
    <n v="55"/>
    <n v="241"/>
    <n v="1354999"/>
    <n v="178020"/>
    <n v="1533019"/>
    <n v="3"/>
    <n v="11"/>
    <n v="14"/>
    <b v="1"/>
    <b v="1"/>
    <b v="1"/>
    <b v="1"/>
    <b v="1"/>
    <b v="1"/>
  </r>
  <r>
    <x v="272"/>
    <n v="244"/>
    <n v="63"/>
    <n v="181"/>
    <n v="1037360"/>
    <n v="209100"/>
    <n v="1246460"/>
    <n v="5"/>
    <n v="11"/>
    <n v="16"/>
    <b v="1"/>
    <b v="1"/>
    <b v="1"/>
    <b v="1"/>
    <b v="1"/>
    <b v="1"/>
  </r>
  <r>
    <x v="273"/>
    <n v="1217"/>
    <n v="47"/>
    <n v="1170"/>
    <n v="1088670"/>
    <n v="138190"/>
    <n v="1226860"/>
    <n v="983"/>
    <n v="11"/>
    <n v="994"/>
    <b v="1"/>
    <b v="1"/>
    <b v="1"/>
    <b v="1"/>
    <b v="1"/>
    <b v="1"/>
  </r>
  <r>
    <x v="274"/>
    <n v="736"/>
    <n v="62"/>
    <n v="674"/>
    <n v="844550"/>
    <n v="250050"/>
    <n v="1094600"/>
    <n v="542"/>
    <n v="7"/>
    <n v="549"/>
    <b v="1"/>
    <b v="1"/>
    <b v="1"/>
    <b v="1"/>
    <b v="1"/>
    <b v="1"/>
  </r>
  <r>
    <x v="275"/>
    <n v="1157"/>
    <n v="32"/>
    <n v="1125"/>
    <n v="729760"/>
    <n v="76400"/>
    <n v="806160"/>
    <n v="1063"/>
    <n v="3"/>
    <n v="1066"/>
    <b v="1"/>
    <b v="1"/>
    <b v="1"/>
    <b v="1"/>
    <b v="1"/>
    <b v="1"/>
  </r>
  <r>
    <x v="276"/>
    <n v="659"/>
    <n v="29"/>
    <n v="630"/>
    <n v="591100"/>
    <n v="63400"/>
    <n v="654500"/>
    <n v="589"/>
    <n v="7"/>
    <n v="596"/>
    <b v="1"/>
    <b v="1"/>
    <b v="1"/>
    <b v="1"/>
    <b v="1"/>
    <b v="1"/>
  </r>
  <r>
    <x v="277"/>
    <n v="1174"/>
    <n v="48"/>
    <n v="1126"/>
    <n v="814350"/>
    <n v="249125"/>
    <n v="1063475"/>
    <n v="1038"/>
    <n v="6"/>
    <n v="1044"/>
    <b v="1"/>
    <b v="1"/>
    <b v="1"/>
    <b v="1"/>
    <b v="1"/>
    <b v="1"/>
  </r>
  <r>
    <x v="278"/>
    <n v="1311"/>
    <n v="34"/>
    <n v="1277"/>
    <n v="1163240"/>
    <n v="116750"/>
    <n v="1279990"/>
    <n v="1202"/>
    <n v="10"/>
    <n v="1212"/>
    <b v="1"/>
    <b v="1"/>
    <b v="1"/>
    <b v="1"/>
    <b v="1"/>
    <b v="1"/>
  </r>
  <r>
    <x v="279"/>
    <n v="1293"/>
    <n v="46"/>
    <n v="1247"/>
    <n v="996450"/>
    <n v="85900"/>
    <n v="1082350"/>
    <n v="1163"/>
    <n v="3"/>
    <n v="1166"/>
    <b v="1"/>
    <b v="1"/>
    <b v="1"/>
    <b v="1"/>
    <b v="1"/>
    <b v="1"/>
  </r>
  <r>
    <x v="280"/>
    <n v="1224"/>
    <n v="53"/>
    <n v="1171"/>
    <n v="889375"/>
    <n v="152500"/>
    <n v="1041875"/>
    <n v="1082"/>
    <n v="6"/>
    <n v="1088"/>
    <b v="1"/>
    <b v="1"/>
    <b v="1"/>
    <b v="1"/>
    <b v="1"/>
    <b v="1"/>
  </r>
  <r>
    <x v="281"/>
    <n v="1261"/>
    <n v="50"/>
    <n v="1211"/>
    <n v="1065350"/>
    <n v="197600"/>
    <n v="1262950"/>
    <n v="1122"/>
    <n v="12"/>
    <n v="1134"/>
    <b v="1"/>
    <b v="1"/>
    <b v="1"/>
    <b v="1"/>
    <b v="1"/>
    <b v="1"/>
  </r>
  <r>
    <x v="282"/>
    <n v="1317"/>
    <n v="59"/>
    <n v="1258"/>
    <n v="1234380"/>
    <n v="253540"/>
    <n v="1487920"/>
    <n v="1163"/>
    <n v="12"/>
    <n v="1175"/>
    <b v="1"/>
    <b v="1"/>
    <b v="1"/>
    <b v="1"/>
    <b v="1"/>
    <b v="1"/>
  </r>
  <r>
    <x v="283"/>
    <n v="736"/>
    <n v="37"/>
    <n v="699"/>
    <n v="629950"/>
    <n v="46100"/>
    <n v="676050"/>
    <n v="638"/>
    <n v="17"/>
    <n v="655"/>
    <b v="1"/>
    <b v="1"/>
    <b v="1"/>
    <b v="1"/>
    <b v="1"/>
    <b v="1"/>
  </r>
  <r>
    <x v="284"/>
    <n v="1334"/>
    <n v="32"/>
    <n v="1302"/>
    <n v="533410"/>
    <n v="116400"/>
    <n v="649810"/>
    <n v="1236"/>
    <n v="5"/>
    <n v="1241"/>
    <b v="1"/>
    <b v="1"/>
    <b v="1"/>
    <b v="1"/>
    <b v="1"/>
    <b v="1"/>
  </r>
  <r>
    <x v="285"/>
    <n v="1352"/>
    <n v="65"/>
    <n v="1287"/>
    <n v="793450"/>
    <n v="128050"/>
    <n v="921500"/>
    <n v="1218"/>
    <n v="5"/>
    <n v="1223"/>
    <b v="1"/>
    <b v="1"/>
    <b v="1"/>
    <b v="1"/>
    <b v="1"/>
    <b v="1"/>
  </r>
  <r>
    <x v="286"/>
    <n v="1540"/>
    <n v="52"/>
    <n v="1488"/>
    <n v="1016650"/>
    <n v="47800"/>
    <n v="1064450"/>
    <n v="1421"/>
    <n v="24"/>
    <n v="1445"/>
    <b v="1"/>
    <b v="1"/>
    <b v="1"/>
    <b v="1"/>
    <b v="1"/>
    <b v="1"/>
  </r>
  <r>
    <x v="287"/>
    <n v="1602"/>
    <n v="47"/>
    <n v="1555"/>
    <n v="1111327"/>
    <n v="116370"/>
    <n v="1227697"/>
    <n v="1451"/>
    <n v="3"/>
    <n v="1454"/>
    <b v="1"/>
    <b v="1"/>
    <b v="1"/>
    <b v="1"/>
    <b v="1"/>
    <b v="1"/>
  </r>
  <r>
    <x v="288"/>
    <n v="1512"/>
    <n v="70"/>
    <n v="1442"/>
    <n v="1040610"/>
    <n v="334095"/>
    <n v="1374705"/>
    <n v="1342"/>
    <n v="7"/>
    <n v="1349"/>
    <b v="1"/>
    <b v="1"/>
    <b v="1"/>
    <b v="1"/>
    <b v="1"/>
    <b v="1"/>
  </r>
  <r>
    <x v="289"/>
    <n v="1463"/>
    <n v="61"/>
    <n v="1402"/>
    <n v="1093200"/>
    <n v="594600"/>
    <n v="1687800"/>
    <n v="1298"/>
    <n v="16"/>
    <n v="1314"/>
    <b v="1"/>
    <b v="1"/>
    <b v="1"/>
    <b v="1"/>
    <b v="1"/>
    <b v="1"/>
  </r>
  <r>
    <x v="290"/>
    <n v="831"/>
    <n v="18"/>
    <n v="813"/>
    <n v="489700"/>
    <n v="30150"/>
    <n v="519850"/>
    <n v="763"/>
    <n v="1"/>
    <n v="764"/>
    <b v="1"/>
    <b v="1"/>
    <b v="1"/>
    <b v="1"/>
    <b v="1"/>
    <b v="1"/>
  </r>
  <r>
    <x v="291"/>
    <n v="1337"/>
    <n v="38"/>
    <n v="1299"/>
    <n v="923860"/>
    <n v="90650"/>
    <n v="1014510"/>
    <n v="1201"/>
    <n v="14"/>
    <n v="1215"/>
    <b v="1"/>
    <b v="1"/>
    <b v="1"/>
    <b v="1"/>
    <b v="1"/>
    <b v="1"/>
  </r>
  <r>
    <x v="292"/>
    <n v="1498"/>
    <n v="46"/>
    <n v="1452"/>
    <n v="970250"/>
    <n v="78850"/>
    <n v="1049100"/>
    <n v="1360"/>
    <n v="5"/>
    <n v="1365"/>
    <b v="1"/>
    <b v="1"/>
    <b v="1"/>
    <b v="1"/>
    <b v="1"/>
    <b v="1"/>
  </r>
  <r>
    <x v="293"/>
    <n v="1269"/>
    <n v="39"/>
    <n v="1230"/>
    <n v="1238030"/>
    <n v="106120"/>
    <n v="1344150"/>
    <n v="1151"/>
    <n v="13"/>
    <n v="1164"/>
    <b v="1"/>
    <b v="1"/>
    <b v="1"/>
    <b v="1"/>
    <b v="1"/>
    <b v="1"/>
  </r>
  <r>
    <x v="294"/>
    <n v="599"/>
    <n v="23"/>
    <n v="576"/>
    <n v="336100"/>
    <n v="75382"/>
    <n v="411482"/>
    <n v="545"/>
    <n v="7"/>
    <n v="552"/>
    <b v="1"/>
    <b v="1"/>
    <b v="1"/>
    <b v="1"/>
    <b v="1"/>
    <b v="1"/>
  </r>
  <r>
    <x v="295"/>
    <n v="1010"/>
    <n v="41"/>
    <n v="969"/>
    <n v="623300"/>
    <n v="152861"/>
    <n v="776161"/>
    <n v="898"/>
    <n v="14"/>
    <n v="912"/>
    <b v="1"/>
    <b v="1"/>
    <b v="1"/>
    <b v="1"/>
    <b v="1"/>
    <b v="1"/>
  </r>
  <r>
    <x v="296"/>
    <n v="506"/>
    <n v="15"/>
    <n v="491"/>
    <n v="239300"/>
    <n v="39150"/>
    <n v="278450"/>
    <n v="461"/>
    <n v="3"/>
    <n v="464"/>
    <b v="1"/>
    <b v="1"/>
    <b v="1"/>
    <b v="1"/>
    <b v="1"/>
    <b v="1"/>
  </r>
  <r>
    <x v="297"/>
    <n v="536"/>
    <n v="42"/>
    <n v="494"/>
    <n v="649460"/>
    <n v="142700"/>
    <n v="792160"/>
    <n v="418"/>
    <n v="5"/>
    <n v="423"/>
    <b v="1"/>
    <b v="1"/>
    <b v="1"/>
    <b v="1"/>
    <b v="1"/>
    <b v="1"/>
  </r>
  <r>
    <x v="298"/>
    <n v="726"/>
    <n v="47"/>
    <n v="679"/>
    <n v="870210"/>
    <n v="130300"/>
    <n v="1000510"/>
    <n v="550"/>
    <n v="11"/>
    <n v="561"/>
    <b v="1"/>
    <b v="1"/>
    <b v="1"/>
    <b v="1"/>
    <b v="1"/>
    <b v="1"/>
  </r>
  <r>
    <x v="299"/>
    <n v="805"/>
    <n v="44"/>
    <n v="761"/>
    <n v="1358350"/>
    <n v="247700"/>
    <n v="1606050"/>
    <n v="613"/>
    <n v="6"/>
    <n v="619"/>
    <b v="1"/>
    <b v="1"/>
    <b v="1"/>
    <b v="1"/>
    <b v="1"/>
    <b v="1"/>
  </r>
  <r>
    <x v="300"/>
    <n v="795"/>
    <n v="94"/>
    <n v="701"/>
    <n v="1436210"/>
    <n v="313750"/>
    <n v="1749960"/>
    <n v="557"/>
    <n v="22"/>
    <n v="579"/>
    <b v="1"/>
    <b v="1"/>
    <b v="1"/>
    <b v="1"/>
    <b v="1"/>
    <b v="1"/>
  </r>
  <r>
    <x v="301"/>
    <n v="717"/>
    <n v="55"/>
    <n v="662"/>
    <n v="1955830"/>
    <n v="229050"/>
    <n v="2184880"/>
    <n v="502"/>
    <n v="5"/>
    <n v="507"/>
    <b v="1"/>
    <b v="1"/>
    <b v="1"/>
    <b v="1"/>
    <b v="1"/>
    <b v="1"/>
  </r>
  <r>
    <x v="302"/>
    <n v="935"/>
    <n v="42"/>
    <n v="893"/>
    <n v="1565850"/>
    <n v="89050"/>
    <n v="1654900"/>
    <n v="755"/>
    <n v="1"/>
    <n v="756"/>
    <b v="1"/>
    <b v="1"/>
    <b v="1"/>
    <b v="1"/>
    <b v="1"/>
    <b v="1"/>
  </r>
  <r>
    <x v="303"/>
    <n v="991"/>
    <n v="89"/>
    <n v="902"/>
    <n v="884591"/>
    <n v="127130"/>
    <n v="1011721"/>
    <n v="811"/>
    <n v="45"/>
    <n v="856"/>
    <b v="1"/>
    <b v="1"/>
    <b v="1"/>
    <b v="1"/>
    <b v="1"/>
    <b v="1"/>
  </r>
  <r>
    <x v="304"/>
    <n v="635"/>
    <n v="65"/>
    <n v="570"/>
    <n v="338300"/>
    <n v="73500"/>
    <n v="411800"/>
    <n v="504"/>
    <n v="13"/>
    <n v="517"/>
    <b v="1"/>
    <b v="1"/>
    <b v="1"/>
    <b v="1"/>
    <b v="1"/>
    <b v="1"/>
  </r>
  <r>
    <x v="305"/>
    <n v="840"/>
    <n v="85"/>
    <n v="755"/>
    <n v="600025"/>
    <n v="202850"/>
    <n v="802875"/>
    <n v="698"/>
    <n v="42"/>
    <n v="740"/>
    <b v="1"/>
    <b v="1"/>
    <b v="1"/>
    <b v="1"/>
    <b v="1"/>
    <b v="1"/>
  </r>
  <r>
    <x v="306"/>
    <n v="1205"/>
    <n v="133"/>
    <n v="1072"/>
    <n v="696448"/>
    <n v="182950"/>
    <n v="879398"/>
    <n v="986"/>
    <n v="27"/>
    <n v="1013"/>
    <b v="1"/>
    <b v="1"/>
    <b v="1"/>
    <b v="1"/>
    <b v="1"/>
    <b v="1"/>
  </r>
  <r>
    <x v="307"/>
    <n v="1201"/>
    <n v="125"/>
    <n v="1076"/>
    <n v="854875"/>
    <n v="245040"/>
    <n v="1099915"/>
    <n v="1000"/>
    <n v="28"/>
    <n v="1028"/>
    <b v="1"/>
    <b v="1"/>
    <b v="1"/>
    <b v="1"/>
    <b v="1"/>
    <b v="1"/>
  </r>
  <r>
    <x v="308"/>
    <n v="1151"/>
    <n v="141"/>
    <n v="1010"/>
    <n v="923550"/>
    <n v="171550"/>
    <n v="1095100"/>
    <n v="903"/>
    <n v="35"/>
    <n v="938"/>
    <b v="1"/>
    <b v="1"/>
    <b v="1"/>
    <b v="1"/>
    <b v="1"/>
    <b v="1"/>
  </r>
  <r>
    <x v="309"/>
    <n v="1220"/>
    <n v="143"/>
    <n v="1077"/>
    <n v="572600"/>
    <n v="196490"/>
    <n v="769090"/>
    <n v="996"/>
    <n v="25"/>
    <n v="1021"/>
    <b v="1"/>
    <b v="1"/>
    <b v="1"/>
    <b v="1"/>
    <b v="1"/>
    <b v="1"/>
  </r>
  <r>
    <x v="310"/>
    <n v="1181"/>
    <n v="127"/>
    <n v="1054"/>
    <n v="762175"/>
    <n v="82781"/>
    <n v="844956"/>
    <n v="973"/>
    <n v="28"/>
    <n v="1001"/>
    <b v="1"/>
    <b v="1"/>
    <b v="1"/>
    <b v="1"/>
    <b v="1"/>
    <b v="1"/>
  </r>
  <r>
    <x v="311"/>
    <n v="974"/>
    <n v="114"/>
    <n v="860"/>
    <n v="497050"/>
    <n v="122930"/>
    <n v="619980"/>
    <n v="794"/>
    <n v="52"/>
    <n v="846"/>
    <b v="1"/>
    <b v="1"/>
    <b v="1"/>
    <b v="1"/>
    <b v="1"/>
    <b v="1"/>
  </r>
  <r>
    <x v="312"/>
    <n v="1229"/>
    <n v="137"/>
    <n v="1092"/>
    <n v="1024400"/>
    <n v="113860"/>
    <n v="1138260"/>
    <n v="1004"/>
    <n v="31"/>
    <n v="1035"/>
    <b v="1"/>
    <b v="1"/>
    <b v="1"/>
    <b v="1"/>
    <b v="1"/>
    <b v="1"/>
  </r>
  <r>
    <x v="313"/>
    <n v="857"/>
    <n v="84"/>
    <n v="773"/>
    <n v="587800"/>
    <n v="72800"/>
    <n v="660600"/>
    <n v="710"/>
    <n v="17"/>
    <n v="727"/>
    <b v="1"/>
    <b v="1"/>
    <b v="1"/>
    <b v="1"/>
    <b v="1"/>
    <b v="1"/>
  </r>
  <r>
    <x v="314"/>
    <n v="268"/>
    <n v="29"/>
    <n v="239"/>
    <n v="101825"/>
    <n v="35950"/>
    <n v="137775"/>
    <n v="196"/>
    <n v="10"/>
    <n v="206"/>
    <b v="1"/>
    <b v="1"/>
    <b v="1"/>
    <b v="1"/>
    <b v="1"/>
    <b v="1"/>
  </r>
  <r>
    <x v="315"/>
    <n v="557"/>
    <n v="48"/>
    <n v="509"/>
    <n v="196900"/>
    <n v="38750"/>
    <n v="235650"/>
    <n v="474"/>
    <n v="14"/>
    <n v="488"/>
    <b v="1"/>
    <b v="1"/>
    <b v="1"/>
    <b v="1"/>
    <b v="1"/>
    <b v="1"/>
  </r>
  <r>
    <x v="316"/>
    <n v="440"/>
    <n v="48"/>
    <n v="392"/>
    <n v="176150"/>
    <n v="19000"/>
    <n v="195150"/>
    <n v="358"/>
    <n v="28"/>
    <n v="386"/>
    <b v="1"/>
    <b v="1"/>
    <b v="1"/>
    <b v="1"/>
    <b v="1"/>
    <b v="1"/>
  </r>
  <r>
    <x v="317"/>
    <n v="193"/>
    <n v="21"/>
    <n v="172"/>
    <n v="201948"/>
    <n v="18870"/>
    <n v="220818"/>
    <n v="131"/>
    <n v="7"/>
    <n v="138"/>
    <b v="1"/>
    <b v="1"/>
    <b v="1"/>
    <b v="1"/>
    <b v="1"/>
    <b v="1"/>
  </r>
  <r>
    <x v="318"/>
    <n v="497"/>
    <n v="57"/>
    <n v="440"/>
    <n v="381525"/>
    <n v="94600"/>
    <n v="476125"/>
    <n v="373"/>
    <n v="25"/>
    <n v="398"/>
    <b v="1"/>
    <b v="1"/>
    <b v="1"/>
    <b v="1"/>
    <b v="1"/>
    <b v="1"/>
  </r>
  <r>
    <x v="319"/>
    <n v="812"/>
    <n v="69"/>
    <n v="743"/>
    <n v="565449"/>
    <n v="50370"/>
    <n v="615819"/>
    <n v="686"/>
    <n v="17"/>
    <n v="703"/>
    <b v="1"/>
    <b v="1"/>
    <b v="1"/>
    <b v="1"/>
    <b v="1"/>
    <b v="1"/>
  </r>
  <r>
    <x v="320"/>
    <n v="814"/>
    <n v="72"/>
    <n v="742"/>
    <n v="532800"/>
    <n v="62857"/>
    <n v="595657"/>
    <n v="658"/>
    <n v="32"/>
    <n v="690"/>
    <b v="1"/>
    <b v="1"/>
    <b v="1"/>
    <b v="1"/>
    <b v="1"/>
    <b v="1"/>
  </r>
  <r>
    <x v="321"/>
    <n v="552"/>
    <n v="47"/>
    <n v="505"/>
    <n v="586613"/>
    <n v="45480"/>
    <n v="632093"/>
    <n v="444"/>
    <n v="3"/>
    <n v="447"/>
    <b v="1"/>
    <b v="1"/>
    <b v="1"/>
    <b v="1"/>
    <b v="1"/>
    <b v="1"/>
  </r>
  <r>
    <x v="322"/>
    <n v="771"/>
    <n v="85"/>
    <n v="686"/>
    <n v="694725"/>
    <n v="202860"/>
    <n v="897585"/>
    <n v="608"/>
    <n v="17"/>
    <n v="625"/>
    <b v="1"/>
    <b v="1"/>
    <b v="1"/>
    <b v="1"/>
    <b v="1"/>
    <b v="1"/>
  </r>
  <r>
    <x v="323"/>
    <n v="667"/>
    <n v="74"/>
    <n v="593"/>
    <n v="406050"/>
    <n v="125589"/>
    <n v="531639"/>
    <n v="528"/>
    <n v="35"/>
    <n v="563"/>
    <b v="1"/>
    <b v="1"/>
    <b v="1"/>
    <b v="1"/>
    <b v="1"/>
    <b v="1"/>
  </r>
  <r>
    <x v="324"/>
    <n v="642"/>
    <n v="74"/>
    <n v="568"/>
    <n v="322850"/>
    <n v="42801"/>
    <n v="365651"/>
    <n v="507"/>
    <n v="45"/>
    <n v="552"/>
    <b v="1"/>
    <b v="1"/>
    <b v="1"/>
    <b v="1"/>
    <b v="1"/>
    <b v="1"/>
  </r>
  <r>
    <x v="325"/>
    <n v="498"/>
    <n v="49"/>
    <n v="449"/>
    <n v="276900"/>
    <n v="133054"/>
    <n v="409954"/>
    <n v="400"/>
    <n v="7"/>
    <n v="407"/>
    <b v="1"/>
    <b v="1"/>
    <b v="1"/>
    <b v="1"/>
    <b v="1"/>
    <b v="1"/>
  </r>
  <r>
    <x v="326"/>
    <n v="898"/>
    <n v="76"/>
    <n v="822"/>
    <n v="430725"/>
    <n v="65878"/>
    <n v="496603"/>
    <n v="766"/>
    <n v="44"/>
    <n v="810"/>
    <b v="1"/>
    <b v="1"/>
    <b v="1"/>
    <b v="1"/>
    <b v="1"/>
    <b v="1"/>
  </r>
  <r>
    <x v="327"/>
    <n v="626"/>
    <n v="63"/>
    <n v="563"/>
    <n v="416100"/>
    <n v="107290"/>
    <n v="523390"/>
    <n v="508"/>
    <n v="12"/>
    <n v="520"/>
    <b v="1"/>
    <b v="1"/>
    <b v="1"/>
    <b v="1"/>
    <b v="1"/>
    <b v="1"/>
  </r>
  <r>
    <x v="328"/>
    <n v="607"/>
    <n v="46"/>
    <n v="561"/>
    <n v="419970"/>
    <n v="79230"/>
    <n v="499200"/>
    <n v="515"/>
    <n v="11"/>
    <n v="526"/>
    <b v="1"/>
    <b v="1"/>
    <b v="1"/>
    <b v="1"/>
    <b v="1"/>
    <b v="1"/>
  </r>
  <r>
    <x v="329"/>
    <n v="775"/>
    <n v="87"/>
    <n v="688"/>
    <n v="565747"/>
    <n v="76850"/>
    <n v="642597"/>
    <n v="599"/>
    <n v="44"/>
    <n v="643"/>
    <b v="1"/>
    <b v="1"/>
    <b v="1"/>
    <b v="1"/>
    <b v="1"/>
    <b v="1"/>
  </r>
  <r>
    <x v="330"/>
    <n v="627"/>
    <n v="71"/>
    <n v="556"/>
    <n v="528600"/>
    <n v="50136"/>
    <n v="578736"/>
    <n v="492"/>
    <n v="37"/>
    <n v="529"/>
    <b v="1"/>
    <b v="1"/>
    <b v="1"/>
    <b v="1"/>
    <b v="1"/>
    <b v="1"/>
  </r>
  <r>
    <x v="331"/>
    <n v="658"/>
    <n v="61"/>
    <n v="597"/>
    <n v="305400"/>
    <n v="33350"/>
    <n v="338750"/>
    <n v="562"/>
    <n v="23"/>
    <n v="585"/>
    <b v="1"/>
    <b v="1"/>
    <b v="1"/>
    <b v="1"/>
    <b v="1"/>
    <b v="1"/>
  </r>
  <r>
    <x v="332"/>
    <n v="523"/>
    <n v="56"/>
    <n v="467"/>
    <n v="275450"/>
    <n v="35100"/>
    <n v="310550"/>
    <n v="429"/>
    <n v="38"/>
    <n v="467"/>
    <b v="1"/>
    <b v="1"/>
    <b v="1"/>
    <b v="1"/>
    <b v="1"/>
    <b v="1"/>
  </r>
  <r>
    <x v="333"/>
    <n v="915"/>
    <n v="100"/>
    <n v="815"/>
    <n v="677550"/>
    <n v="122520"/>
    <n v="800070"/>
    <n v="713"/>
    <n v="50"/>
    <n v="763"/>
    <b v="1"/>
    <b v="1"/>
    <b v="1"/>
    <b v="1"/>
    <b v="1"/>
    <b v="1"/>
  </r>
  <r>
    <x v="334"/>
    <n v="969"/>
    <n v="102"/>
    <n v="867"/>
    <n v="648610"/>
    <n v="147557"/>
    <n v="796167"/>
    <n v="795"/>
    <n v="54"/>
    <n v="849"/>
    <b v="1"/>
    <b v="1"/>
    <b v="1"/>
    <b v="1"/>
    <b v="1"/>
    <b v="1"/>
  </r>
  <r>
    <x v="335"/>
    <n v="989"/>
    <n v="90"/>
    <n v="899"/>
    <n v="752230"/>
    <n v="215910"/>
    <n v="968140"/>
    <n v="837"/>
    <n v="18"/>
    <n v="855"/>
    <b v="1"/>
    <b v="1"/>
    <b v="1"/>
    <b v="1"/>
    <b v="1"/>
    <b v="1"/>
  </r>
  <r>
    <x v="336"/>
    <n v="701"/>
    <n v="82"/>
    <n v="619"/>
    <n v="678660"/>
    <n v="134750"/>
    <n v="813410"/>
    <n v="496"/>
    <n v="35"/>
    <n v="531"/>
    <b v="1"/>
    <b v="1"/>
    <b v="1"/>
    <b v="1"/>
    <b v="1"/>
    <b v="1"/>
  </r>
  <r>
    <x v="337"/>
    <n v="545"/>
    <n v="76"/>
    <n v="469"/>
    <n v="472850"/>
    <n v="117260"/>
    <n v="590110"/>
    <n v="393"/>
    <n v="35"/>
    <n v="428"/>
    <b v="1"/>
    <b v="1"/>
    <b v="1"/>
    <b v="1"/>
    <b v="1"/>
    <b v="1"/>
  </r>
  <r>
    <x v="338"/>
    <n v="788"/>
    <n v="79"/>
    <n v="709"/>
    <n v="889000"/>
    <n v="264118"/>
    <n v="1153118"/>
    <n v="629"/>
    <n v="32"/>
    <n v="661"/>
    <b v="1"/>
    <b v="1"/>
    <b v="1"/>
    <b v="1"/>
    <b v="1"/>
    <b v="1"/>
  </r>
  <r>
    <x v="339"/>
    <n v="446"/>
    <n v="60"/>
    <n v="386"/>
    <n v="300860"/>
    <n v="110100"/>
    <n v="410960"/>
    <n v="342"/>
    <n v="22"/>
    <n v="364"/>
    <b v="1"/>
    <b v="1"/>
    <b v="1"/>
    <b v="1"/>
    <b v="1"/>
    <b v="1"/>
  </r>
  <r>
    <x v="340"/>
    <n v="705"/>
    <n v="70"/>
    <n v="635"/>
    <n v="586450"/>
    <n v="146560"/>
    <n v="733010"/>
    <n v="572"/>
    <n v="13"/>
    <n v="585"/>
    <b v="1"/>
    <b v="1"/>
    <b v="1"/>
    <b v="1"/>
    <b v="1"/>
    <b v="1"/>
  </r>
  <r>
    <x v="341"/>
    <n v="1104"/>
    <n v="107"/>
    <n v="997"/>
    <n v="777860"/>
    <n v="172025"/>
    <n v="949885"/>
    <n v="927"/>
    <n v="19"/>
    <n v="946"/>
    <b v="1"/>
    <b v="1"/>
    <b v="1"/>
    <b v="1"/>
    <b v="1"/>
    <b v="1"/>
  </r>
  <r>
    <x v="342"/>
    <n v="885"/>
    <n v="122"/>
    <n v="763"/>
    <n v="785300"/>
    <n v="285700"/>
    <n v="1071000"/>
    <n v="682"/>
    <n v="49"/>
    <n v="731"/>
    <b v="1"/>
    <b v="1"/>
    <b v="1"/>
    <b v="1"/>
    <b v="1"/>
    <b v="1"/>
  </r>
  <r>
    <x v="343"/>
    <n v="987"/>
    <n v="101"/>
    <n v="886"/>
    <n v="768700"/>
    <n v="114700"/>
    <n v="883400"/>
    <n v="781"/>
    <n v="39"/>
    <n v="820"/>
    <b v="1"/>
    <b v="1"/>
    <b v="1"/>
    <b v="1"/>
    <b v="1"/>
    <b v="1"/>
  </r>
  <r>
    <x v="344"/>
    <n v="1198"/>
    <n v="113"/>
    <n v="1085"/>
    <n v="848350"/>
    <n v="106650"/>
    <n v="955000"/>
    <n v="1028"/>
    <n v="16"/>
    <n v="1044"/>
    <b v="1"/>
    <b v="1"/>
    <b v="1"/>
    <b v="1"/>
    <b v="1"/>
    <b v="1"/>
  </r>
  <r>
    <x v="345"/>
    <n v="773"/>
    <n v="81"/>
    <n v="692"/>
    <n v="527700"/>
    <n v="63925"/>
    <n v="591625"/>
    <n v="632"/>
    <n v="18"/>
    <n v="650"/>
    <b v="1"/>
    <b v="1"/>
    <b v="1"/>
    <b v="1"/>
    <b v="1"/>
    <b v="1"/>
  </r>
  <r>
    <x v="346"/>
    <n v="560"/>
    <n v="55"/>
    <n v="505"/>
    <n v="397300"/>
    <n v="87550"/>
    <n v="484850"/>
    <n v="453"/>
    <n v="18"/>
    <n v="471"/>
    <b v="1"/>
    <b v="1"/>
    <b v="1"/>
    <b v="1"/>
    <b v="1"/>
    <b v="1"/>
  </r>
  <r>
    <x v="347"/>
    <n v="1112"/>
    <n v="103"/>
    <n v="1009"/>
    <n v="752300"/>
    <n v="66400"/>
    <n v="818700"/>
    <n v="945"/>
    <n v="62"/>
    <n v="1007"/>
    <b v="1"/>
    <b v="1"/>
    <b v="1"/>
    <b v="1"/>
    <b v="1"/>
    <b v="1"/>
  </r>
  <r>
    <x v="348"/>
    <n v="1034"/>
    <n v="123"/>
    <n v="911"/>
    <n v="805650"/>
    <n v="178650"/>
    <n v="984300"/>
    <n v="824"/>
    <n v="67"/>
    <n v="891"/>
    <b v="1"/>
    <b v="1"/>
    <b v="1"/>
    <b v="1"/>
    <b v="1"/>
    <b v="1"/>
  </r>
  <r>
    <x v="349"/>
    <n v="1010"/>
    <n v="104"/>
    <n v="906"/>
    <n v="1168000"/>
    <n v="162500"/>
    <n v="1330500"/>
    <n v="813"/>
    <n v="17"/>
    <n v="830"/>
    <b v="1"/>
    <b v="1"/>
    <b v="1"/>
    <b v="1"/>
    <b v="1"/>
    <b v="1"/>
  </r>
  <r>
    <x v="350"/>
    <n v="862"/>
    <n v="100"/>
    <n v="762"/>
    <n v="1009720"/>
    <n v="159960"/>
    <n v="1169680"/>
    <n v="658"/>
    <n v="37"/>
    <n v="695"/>
    <b v="1"/>
    <b v="1"/>
    <b v="1"/>
    <b v="1"/>
    <b v="1"/>
    <b v="1"/>
  </r>
  <r>
    <x v="351"/>
    <n v="1207"/>
    <n v="165"/>
    <n v="1042"/>
    <n v="1377555"/>
    <n v="335850"/>
    <n v="1713405"/>
    <n v="881"/>
    <n v="61"/>
    <n v="942"/>
    <b v="1"/>
    <b v="1"/>
    <b v="1"/>
    <b v="1"/>
    <b v="1"/>
    <b v="1"/>
  </r>
  <r>
    <x v="352"/>
    <n v="1052"/>
    <n v="126"/>
    <n v="926"/>
    <n v="770040"/>
    <n v="227550"/>
    <n v="997590"/>
    <n v="803"/>
    <n v="27"/>
    <n v="830"/>
    <b v="1"/>
    <b v="1"/>
    <b v="1"/>
    <b v="1"/>
    <b v="1"/>
    <b v="1"/>
  </r>
  <r>
    <x v="353"/>
    <n v="750"/>
    <n v="80"/>
    <n v="670"/>
    <n v="353460"/>
    <n v="91900"/>
    <n v="445360"/>
    <n v="629"/>
    <n v="45"/>
    <n v="674"/>
    <b v="1"/>
    <b v="1"/>
    <b v="1"/>
    <b v="1"/>
    <b v="1"/>
    <b v="1"/>
  </r>
  <r>
    <x v="354"/>
    <n v="1078"/>
    <n v="101"/>
    <n v="977"/>
    <n v="614200"/>
    <n v="110400"/>
    <n v="724600"/>
    <n v="872"/>
    <n v="46"/>
    <n v="918"/>
    <b v="1"/>
    <b v="1"/>
    <b v="1"/>
    <b v="1"/>
    <b v="1"/>
    <b v="1"/>
  </r>
  <r>
    <x v="355"/>
    <n v="1114"/>
    <n v="141"/>
    <n v="973"/>
    <n v="834450"/>
    <n v="284550"/>
    <n v="1119000"/>
    <n v="889"/>
    <n v="17"/>
    <n v="906"/>
    <b v="1"/>
    <b v="1"/>
    <b v="1"/>
    <b v="1"/>
    <b v="1"/>
    <b v="1"/>
  </r>
  <r>
    <x v="356"/>
    <n v="1109"/>
    <n v="122"/>
    <n v="987"/>
    <n v="689245"/>
    <n v="150850"/>
    <n v="840095"/>
    <n v="916"/>
    <n v="21"/>
    <n v="937"/>
    <b v="1"/>
    <b v="1"/>
    <b v="1"/>
    <b v="1"/>
    <b v="1"/>
    <b v="1"/>
  </r>
  <r>
    <x v="357"/>
    <n v="761"/>
    <n v="92"/>
    <n v="669"/>
    <n v="458975"/>
    <n v="109800"/>
    <n v="568775"/>
    <n v="613"/>
    <n v="42"/>
    <n v="655"/>
    <b v="1"/>
    <b v="1"/>
    <b v="1"/>
    <b v="1"/>
    <b v="1"/>
    <b v="1"/>
  </r>
  <r>
    <x v="358"/>
    <n v="804"/>
    <n v="89"/>
    <n v="715"/>
    <n v="346550"/>
    <n v="75700"/>
    <n v="422250"/>
    <n v="659"/>
    <n v="47"/>
    <n v="706"/>
    <b v="1"/>
    <b v="1"/>
    <b v="1"/>
    <b v="1"/>
    <b v="1"/>
    <b v="1"/>
  </r>
  <r>
    <x v="359"/>
    <n v="940"/>
    <n v="110"/>
    <n v="830"/>
    <n v="814000"/>
    <n v="84069"/>
    <n v="898069"/>
    <n v="771"/>
    <n v="66"/>
    <n v="837"/>
    <b v="1"/>
    <b v="1"/>
    <b v="1"/>
    <b v="1"/>
    <b v="1"/>
    <b v="1"/>
  </r>
  <r>
    <x v="360"/>
    <n v="667"/>
    <n v="94"/>
    <n v="573"/>
    <n v="483100"/>
    <n v="102627"/>
    <n v="585727"/>
    <n v="505"/>
    <n v="20"/>
    <n v="525"/>
    <b v="1"/>
    <b v="1"/>
    <b v="1"/>
    <b v="1"/>
    <b v="1"/>
    <b v="1"/>
  </r>
  <r>
    <x v="361"/>
    <n v="960"/>
    <n v="112"/>
    <n v="848"/>
    <n v="786475"/>
    <n v="157500"/>
    <n v="943975"/>
    <n v="749"/>
    <n v="20"/>
    <n v="769"/>
    <b v="1"/>
    <b v="1"/>
    <b v="1"/>
    <b v="1"/>
    <b v="1"/>
    <b v="1"/>
  </r>
  <r>
    <x v="362"/>
    <n v="887"/>
    <n v="70"/>
    <n v="817"/>
    <n v="695025"/>
    <n v="116894"/>
    <n v="811919"/>
    <n v="740"/>
    <n v="36"/>
    <n v="776"/>
    <b v="1"/>
    <b v="1"/>
    <b v="1"/>
    <b v="1"/>
    <b v="1"/>
    <b v="1"/>
  </r>
  <r>
    <x v="363"/>
    <n v="832"/>
    <n v="124"/>
    <n v="708"/>
    <n v="548200"/>
    <n v="186675"/>
    <n v="734875"/>
    <n v="627"/>
    <n v="63"/>
    <n v="690"/>
    <b v="1"/>
    <b v="1"/>
    <b v="1"/>
    <b v="1"/>
    <b v="1"/>
    <b v="1"/>
  </r>
  <r>
    <x v="364"/>
    <n v="667"/>
    <n v="90"/>
    <n v="577"/>
    <n v="442800"/>
    <n v="181050"/>
    <n v="623850"/>
    <n v="511"/>
    <n v="31"/>
    <n v="542"/>
    <b v="1"/>
    <b v="1"/>
    <b v="1"/>
    <b v="1"/>
    <b v="1"/>
    <b v="1"/>
  </r>
  <r>
    <x v="365"/>
    <n v="700"/>
    <n v="122"/>
    <n v="578"/>
    <n v="692125"/>
    <n v="265300"/>
    <n v="957425"/>
    <n v="398"/>
    <n v="16"/>
    <n v="414"/>
    <b v="1"/>
    <b v="1"/>
    <b v="1"/>
    <b v="1"/>
    <b v="1"/>
    <b v="1"/>
  </r>
  <r>
    <x v="366"/>
    <n v="922"/>
    <n v="122"/>
    <n v="800"/>
    <n v="631630"/>
    <n v="280950"/>
    <n v="912580"/>
    <n v="555"/>
    <n v="17"/>
    <n v="572"/>
    <b v="1"/>
    <b v="1"/>
    <b v="1"/>
    <b v="1"/>
    <b v="1"/>
    <b v="1"/>
  </r>
  <r>
    <x v="367"/>
    <n v="487"/>
    <n v="70"/>
    <n v="417"/>
    <n v="316430"/>
    <n v="152628"/>
    <n v="469058"/>
    <n v="297"/>
    <n v="25"/>
    <n v="322"/>
    <b v="1"/>
    <b v="1"/>
    <b v="1"/>
    <b v="1"/>
    <b v="1"/>
    <b v="1"/>
  </r>
  <r>
    <x v="368"/>
    <n v="777"/>
    <n v="108"/>
    <n v="669"/>
    <n v="625480"/>
    <n v="252755"/>
    <n v="878235"/>
    <n v="478"/>
    <n v="31"/>
    <n v="509"/>
    <b v="1"/>
    <b v="1"/>
    <b v="1"/>
    <b v="1"/>
    <b v="1"/>
    <b v="1"/>
  </r>
  <r>
    <x v="369"/>
    <n v="840"/>
    <n v="130"/>
    <n v="710"/>
    <n v="1211370"/>
    <n v="478560"/>
    <n v="1689930"/>
    <n v="482"/>
    <n v="13"/>
    <n v="495"/>
    <b v="1"/>
    <b v="1"/>
    <b v="1"/>
    <b v="1"/>
    <b v="1"/>
    <b v="1"/>
  </r>
  <r>
    <x v="370"/>
    <n v="1170"/>
    <n v="179"/>
    <n v="991"/>
    <n v="1137138"/>
    <n v="333731"/>
    <n v="1470869"/>
    <n v="717"/>
    <n v="61"/>
    <n v="778"/>
    <b v="1"/>
    <b v="1"/>
    <b v="1"/>
    <b v="1"/>
    <b v="1"/>
    <b v="1"/>
  </r>
  <r>
    <x v="371"/>
    <n v="1113"/>
    <n v="156"/>
    <n v="957"/>
    <n v="830050"/>
    <n v="402470"/>
    <n v="1232520"/>
    <n v="669"/>
    <n v="11"/>
    <n v="680"/>
    <b v="1"/>
    <b v="1"/>
    <b v="1"/>
    <b v="1"/>
    <b v="1"/>
    <b v="1"/>
  </r>
  <r>
    <x v="372"/>
    <n v="1081"/>
    <n v="135"/>
    <n v="946"/>
    <n v="903555"/>
    <n v="272090"/>
    <n v="1175645"/>
    <n v="686"/>
    <n v="53"/>
    <n v="739"/>
    <b v="1"/>
    <b v="1"/>
    <b v="1"/>
    <b v="1"/>
    <b v="1"/>
    <b v="1"/>
  </r>
  <r>
    <x v="373"/>
    <n v="863"/>
    <n v="101"/>
    <n v="762"/>
    <n v="558950"/>
    <n v="149685"/>
    <n v="708635"/>
    <n v="552"/>
    <n v="38"/>
    <n v="590"/>
    <b v="1"/>
    <b v="1"/>
    <b v="1"/>
    <b v="1"/>
    <b v="1"/>
    <b v="1"/>
  </r>
  <r>
    <x v="374"/>
    <n v="550"/>
    <n v="72"/>
    <n v="478"/>
    <n v="711500"/>
    <n v="190550"/>
    <n v="902050"/>
    <n v="336"/>
    <n v="23"/>
    <n v="359"/>
    <b v="1"/>
    <b v="1"/>
    <b v="1"/>
    <b v="1"/>
    <b v="1"/>
    <b v="1"/>
  </r>
  <r>
    <x v="375"/>
    <n v="746"/>
    <n v="105"/>
    <n v="641"/>
    <n v="728050"/>
    <n v="274325"/>
    <n v="1002375"/>
    <n v="424"/>
    <n v="15"/>
    <n v="439"/>
    <b v="1"/>
    <b v="1"/>
    <b v="1"/>
    <b v="1"/>
    <b v="1"/>
    <b v="1"/>
  </r>
  <r>
    <x v="376"/>
    <n v="748"/>
    <n v="128"/>
    <n v="620"/>
    <n v="970790"/>
    <n v="254288"/>
    <n v="1225078"/>
    <n v="396"/>
    <n v="31"/>
    <n v="427"/>
    <b v="1"/>
    <b v="1"/>
    <b v="1"/>
    <b v="1"/>
    <b v="1"/>
    <b v="1"/>
  </r>
  <r>
    <x v="377"/>
    <n v="1183"/>
    <n v="163"/>
    <n v="1020"/>
    <n v="1519252"/>
    <n v="322450"/>
    <n v="1841702"/>
    <n v="705"/>
    <n v="22"/>
    <n v="727"/>
    <b v="1"/>
    <b v="1"/>
    <b v="1"/>
    <b v="1"/>
    <b v="1"/>
    <b v="1"/>
  </r>
  <r>
    <x v="378"/>
    <n v="999"/>
    <n v="121"/>
    <n v="878"/>
    <n v="869440"/>
    <n v="124350"/>
    <n v="993790"/>
    <n v="639"/>
    <n v="21"/>
    <n v="660"/>
    <b v="1"/>
    <b v="1"/>
    <b v="1"/>
    <b v="1"/>
    <b v="1"/>
    <b v="1"/>
  </r>
  <r>
    <x v="379"/>
    <n v="999"/>
    <n v="105"/>
    <n v="894"/>
    <n v="699280"/>
    <n v="198050"/>
    <n v="897330"/>
    <n v="687"/>
    <n v="53"/>
    <n v="740"/>
    <b v="1"/>
    <b v="1"/>
    <b v="1"/>
    <b v="1"/>
    <b v="1"/>
    <b v="1"/>
  </r>
  <r>
    <x v="380"/>
    <n v="1140"/>
    <n v="139"/>
    <n v="1001"/>
    <n v="1119700"/>
    <n v="228075"/>
    <n v="1347775"/>
    <n v="668"/>
    <n v="24"/>
    <n v="692"/>
    <b v="1"/>
    <b v="1"/>
    <b v="1"/>
    <b v="1"/>
    <b v="1"/>
    <b v="1"/>
  </r>
  <r>
    <x v="381"/>
    <n v="552"/>
    <n v="64"/>
    <n v="488"/>
    <n v="503200"/>
    <n v="56475"/>
    <n v="559675"/>
    <n v="389"/>
    <n v="35"/>
    <n v="424"/>
    <b v="1"/>
    <b v="1"/>
    <b v="1"/>
    <b v="1"/>
    <b v="1"/>
    <b v="1"/>
  </r>
  <r>
    <x v="382"/>
    <n v="975"/>
    <n v="121"/>
    <n v="854"/>
    <n v="916051"/>
    <n v="231267"/>
    <n v="1147318"/>
    <n v="639"/>
    <n v="38"/>
    <n v="677"/>
    <b v="1"/>
    <b v="1"/>
    <b v="1"/>
    <b v="1"/>
    <b v="1"/>
    <b v="1"/>
  </r>
  <r>
    <x v="383"/>
    <n v="1396"/>
    <n v="197"/>
    <n v="1199"/>
    <n v="1497600"/>
    <n v="197150"/>
    <n v="1694750"/>
    <n v="885"/>
    <n v="70"/>
    <n v="955"/>
    <b v="1"/>
    <b v="1"/>
    <b v="1"/>
    <b v="1"/>
    <b v="1"/>
    <b v="1"/>
  </r>
  <r>
    <x v="384"/>
    <n v="1109"/>
    <n v="191"/>
    <n v="918"/>
    <n v="1523480"/>
    <n v="635478"/>
    <n v="2158958"/>
    <n v="622"/>
    <n v="46"/>
    <n v="668"/>
    <b v="1"/>
    <b v="1"/>
    <b v="1"/>
    <b v="1"/>
    <b v="1"/>
    <b v="1"/>
  </r>
  <r>
    <x v="385"/>
    <n v="981"/>
    <n v="190"/>
    <n v="791"/>
    <n v="1560451"/>
    <n v="592066"/>
    <n v="2152517"/>
    <n v="480"/>
    <n v="43"/>
    <n v="523"/>
    <b v="1"/>
    <b v="1"/>
    <b v="1"/>
    <b v="1"/>
    <b v="1"/>
    <b v="1"/>
  </r>
  <r>
    <x v="386"/>
    <n v="899"/>
    <n v="139"/>
    <n v="760"/>
    <n v="1451320"/>
    <n v="511440"/>
    <n v="1962760"/>
    <n v="481"/>
    <n v="13"/>
    <n v="494"/>
    <b v="1"/>
    <b v="1"/>
    <b v="1"/>
    <b v="1"/>
    <b v="1"/>
    <b v="1"/>
  </r>
  <r>
    <x v="387"/>
    <n v="610"/>
    <n v="80"/>
    <n v="530"/>
    <n v="712300"/>
    <n v="159000"/>
    <n v="871300"/>
    <n v="333"/>
    <n v="29"/>
    <n v="362"/>
    <b v="1"/>
    <b v="1"/>
    <b v="1"/>
    <b v="1"/>
    <b v="1"/>
    <b v="1"/>
  </r>
  <r>
    <x v="388"/>
    <n v="627"/>
    <n v="82"/>
    <n v="545"/>
    <n v="365180"/>
    <n v="188725"/>
    <n v="553905"/>
    <n v="415"/>
    <n v="33"/>
    <n v="448"/>
    <b v="1"/>
    <b v="1"/>
    <b v="1"/>
    <b v="1"/>
    <b v="1"/>
    <b v="1"/>
  </r>
  <r>
    <x v="389"/>
    <n v="785"/>
    <n v="132"/>
    <n v="653"/>
    <n v="866500"/>
    <n v="111150"/>
    <n v="977650"/>
    <n v="425"/>
    <n v="34"/>
    <n v="459"/>
    <b v="1"/>
    <b v="1"/>
    <b v="1"/>
    <b v="1"/>
    <b v="1"/>
    <b v="1"/>
  </r>
  <r>
    <x v="390"/>
    <n v="223"/>
    <n v="39"/>
    <n v="184"/>
    <n v="409925"/>
    <n v="222400"/>
    <n v="632325"/>
    <n v="103"/>
    <n v="6"/>
    <n v="109"/>
    <b v="1"/>
    <b v="1"/>
    <b v="1"/>
    <b v="1"/>
    <b v="1"/>
    <b v="1"/>
  </r>
  <r>
    <x v="391"/>
    <n v="1162"/>
    <n v="158"/>
    <n v="1004"/>
    <n v="1353575"/>
    <n v="225500"/>
    <n v="1579075"/>
    <n v="709"/>
    <n v="44"/>
    <n v="753"/>
    <b v="1"/>
    <b v="1"/>
    <b v="1"/>
    <b v="1"/>
    <b v="1"/>
    <b v="1"/>
  </r>
  <r>
    <x v="392"/>
    <n v="1028"/>
    <n v="149"/>
    <n v="879"/>
    <n v="1048600"/>
    <n v="250024"/>
    <n v="1298624"/>
    <n v="609"/>
    <n v="47"/>
    <n v="656"/>
    <b v="1"/>
    <b v="1"/>
    <b v="1"/>
    <b v="1"/>
    <b v="1"/>
    <b v="1"/>
  </r>
  <r>
    <x v="393"/>
    <n v="1240"/>
    <n v="168"/>
    <n v="1072"/>
    <n v="714125"/>
    <n v="538050"/>
    <n v="1252175"/>
    <n v="813"/>
    <n v="39"/>
    <n v="852"/>
    <b v="1"/>
    <b v="1"/>
    <b v="1"/>
    <b v="1"/>
    <b v="1"/>
    <b v="1"/>
  </r>
  <r>
    <x v="394"/>
    <n v="994"/>
    <n v="168"/>
    <n v="826"/>
    <n v="1094568"/>
    <n v="669450"/>
    <n v="1764018"/>
    <n v="599"/>
    <n v="38"/>
    <n v="637"/>
    <b v="1"/>
    <b v="1"/>
    <b v="1"/>
    <b v="1"/>
    <b v="1"/>
    <b v="1"/>
  </r>
  <r>
    <x v="395"/>
    <n v="730"/>
    <n v="81"/>
    <n v="649"/>
    <n v="615199"/>
    <n v="229325"/>
    <n v="844524"/>
    <n v="460"/>
    <n v="21"/>
    <n v="481"/>
    <b v="1"/>
    <b v="1"/>
    <b v="1"/>
    <b v="1"/>
    <b v="1"/>
    <b v="1"/>
  </r>
  <r>
    <x v="396"/>
    <n v="1298"/>
    <n v="128"/>
    <n v="1170"/>
    <n v="870425"/>
    <n v="164645"/>
    <n v="1035070"/>
    <n v="824"/>
    <n v="41"/>
    <n v="865"/>
    <b v="1"/>
    <b v="1"/>
    <b v="1"/>
    <b v="1"/>
    <b v="1"/>
    <b v="1"/>
  </r>
  <r>
    <x v="397"/>
    <n v="1387"/>
    <n v="173"/>
    <n v="1214"/>
    <n v="1753849"/>
    <n v="427452"/>
    <n v="2181301"/>
    <n v="838"/>
    <n v="14"/>
    <n v="852"/>
    <b v="1"/>
    <b v="1"/>
    <b v="1"/>
    <b v="1"/>
    <b v="1"/>
    <b v="1"/>
  </r>
  <r>
    <x v="398"/>
    <n v="1553"/>
    <n v="203"/>
    <n v="1350"/>
    <n v="1266500"/>
    <n v="632100"/>
    <n v="1898600"/>
    <n v="969"/>
    <n v="24"/>
    <n v="993"/>
    <b v="1"/>
    <b v="1"/>
    <b v="1"/>
    <b v="1"/>
    <b v="1"/>
    <b v="1"/>
  </r>
  <r>
    <x v="399"/>
    <n v="1492"/>
    <n v="184"/>
    <n v="1308"/>
    <n v="1297770"/>
    <n v="383073"/>
    <n v="1680843"/>
    <n v="981"/>
    <n v="50"/>
    <n v="1031"/>
    <b v="1"/>
    <b v="1"/>
    <b v="1"/>
    <b v="1"/>
    <b v="1"/>
    <b v="1"/>
  </r>
  <r>
    <x v="400"/>
    <n v="1566"/>
    <n v="178"/>
    <n v="1388"/>
    <n v="1346385"/>
    <n v="284297"/>
    <n v="1630682"/>
    <n v="1038"/>
    <n v="74"/>
    <n v="1112"/>
    <b v="1"/>
    <b v="1"/>
    <b v="1"/>
    <b v="1"/>
    <b v="1"/>
    <b v="1"/>
  </r>
  <r>
    <x v="401"/>
    <n v="1612"/>
    <n v="182"/>
    <n v="1430"/>
    <n v="697974"/>
    <n v="259925"/>
    <n v="957899"/>
    <n v="1146"/>
    <n v="58"/>
    <n v="1204"/>
    <b v="1"/>
    <b v="1"/>
    <b v="1"/>
    <b v="1"/>
    <b v="1"/>
    <b v="1"/>
  </r>
  <r>
    <x v="402"/>
    <n v="852"/>
    <n v="80"/>
    <n v="772"/>
    <n v="666350"/>
    <n v="138400"/>
    <n v="804750"/>
    <n v="579"/>
    <n v="27"/>
    <n v="606"/>
    <b v="1"/>
    <b v="1"/>
    <b v="1"/>
    <b v="1"/>
    <b v="1"/>
    <b v="1"/>
  </r>
  <r>
    <x v="403"/>
    <n v="1312"/>
    <n v="139"/>
    <n v="1173"/>
    <n v="1037175"/>
    <n v="159503"/>
    <n v="1196678"/>
    <n v="876"/>
    <n v="60"/>
    <n v="936"/>
    <b v="1"/>
    <b v="1"/>
    <b v="1"/>
    <b v="1"/>
    <b v="1"/>
    <b v="1"/>
  </r>
  <r>
    <x v="404"/>
    <n v="1855"/>
    <n v="181"/>
    <n v="1674"/>
    <n v="1233023"/>
    <n v="217000"/>
    <n v="1450023"/>
    <n v="1343"/>
    <n v="74"/>
    <n v="1417"/>
    <b v="1"/>
    <b v="1"/>
    <b v="1"/>
    <b v="1"/>
    <b v="1"/>
    <b v="1"/>
  </r>
  <r>
    <x v="405"/>
    <n v="1704"/>
    <n v="177"/>
    <n v="1527"/>
    <n v="914000"/>
    <n v="338010"/>
    <n v="1252010"/>
    <n v="1147"/>
    <n v="66"/>
    <n v="1213"/>
    <b v="1"/>
    <b v="1"/>
    <b v="1"/>
    <b v="1"/>
    <b v="1"/>
    <b v="1"/>
  </r>
  <r>
    <x v="406"/>
    <n v="2128"/>
    <n v="244"/>
    <n v="1884"/>
    <n v="1242300"/>
    <n v="410525"/>
    <n v="1652825"/>
    <n v="1418"/>
    <n v="76"/>
    <n v="1494"/>
    <b v="1"/>
    <b v="1"/>
    <b v="1"/>
    <b v="1"/>
    <b v="1"/>
    <b v="1"/>
  </r>
  <r>
    <x v="407"/>
    <n v="1794"/>
    <n v="173"/>
    <n v="1621"/>
    <n v="1077990"/>
    <n v="311643"/>
    <n v="1389633"/>
    <n v="1229"/>
    <n v="53"/>
    <n v="1282"/>
    <b v="1"/>
    <b v="1"/>
    <b v="1"/>
    <b v="1"/>
    <b v="1"/>
    <b v="1"/>
  </r>
  <r>
    <x v="408"/>
    <n v="1189"/>
    <n v="109"/>
    <n v="1080"/>
    <n v="580525"/>
    <n v="233325"/>
    <n v="813850"/>
    <n v="808"/>
    <n v="30"/>
    <n v="838"/>
    <b v="1"/>
    <b v="1"/>
    <b v="1"/>
    <b v="1"/>
    <b v="1"/>
    <b v="1"/>
  </r>
  <r>
    <x v="409"/>
    <n v="1171"/>
    <n v="120"/>
    <n v="1051"/>
    <n v="450500"/>
    <n v="210800"/>
    <n v="661300"/>
    <n v="813"/>
    <n v="50"/>
    <n v="863"/>
    <b v="1"/>
    <b v="1"/>
    <b v="1"/>
    <b v="1"/>
    <b v="1"/>
    <b v="1"/>
  </r>
  <r>
    <x v="410"/>
    <n v="1547"/>
    <n v="148"/>
    <n v="1399"/>
    <n v="692550"/>
    <n v="152500"/>
    <n v="845050"/>
    <n v="1019"/>
    <n v="56"/>
    <n v="1075"/>
    <b v="1"/>
    <b v="1"/>
    <b v="1"/>
    <b v="1"/>
    <b v="1"/>
    <b v="1"/>
  </r>
  <r>
    <x v="411"/>
    <n v="1526"/>
    <n v="165"/>
    <n v="1361"/>
    <n v="950425"/>
    <n v="176630"/>
    <n v="1127055"/>
    <n v="1007"/>
    <n v="18"/>
    <n v="1025"/>
    <b v="1"/>
    <b v="1"/>
    <b v="1"/>
    <b v="1"/>
    <b v="1"/>
    <b v="1"/>
  </r>
  <r>
    <x v="412"/>
    <n v="1797"/>
    <n v="210"/>
    <n v="1587"/>
    <n v="985200"/>
    <n v="485200"/>
    <n v="1470400"/>
    <n v="1157"/>
    <n v="65"/>
    <n v="1222"/>
    <b v="1"/>
    <b v="1"/>
    <b v="1"/>
    <b v="1"/>
    <b v="1"/>
    <b v="1"/>
  </r>
  <r>
    <x v="413"/>
    <n v="1622"/>
    <n v="241"/>
    <n v="1381"/>
    <n v="794053"/>
    <n v="421775"/>
    <n v="1215828"/>
    <n v="976"/>
    <n v="57"/>
    <n v="1033"/>
    <b v="1"/>
    <b v="1"/>
    <b v="1"/>
    <b v="1"/>
    <b v="1"/>
    <b v="1"/>
  </r>
  <r>
    <x v="414"/>
    <n v="1319"/>
    <n v="157"/>
    <n v="1162"/>
    <n v="853100"/>
    <n v="255100"/>
    <n v="1108200"/>
    <n v="845"/>
    <n v="40"/>
    <n v="885"/>
    <b v="1"/>
    <b v="1"/>
    <b v="1"/>
    <b v="1"/>
    <b v="1"/>
    <b v="1"/>
  </r>
  <r>
    <x v="415"/>
    <n v="1222"/>
    <n v="115"/>
    <n v="1107"/>
    <n v="832900"/>
    <n v="158350"/>
    <n v="991250"/>
    <n v="872"/>
    <n v="38"/>
    <n v="910"/>
    <b v="1"/>
    <b v="1"/>
    <b v="1"/>
    <b v="1"/>
    <b v="1"/>
    <b v="1"/>
  </r>
  <r>
    <x v="416"/>
    <n v="797"/>
    <n v="92"/>
    <n v="705"/>
    <n v="372350"/>
    <n v="168100"/>
    <n v="540450"/>
    <n v="571"/>
    <n v="34"/>
    <n v="605"/>
    <b v="1"/>
    <b v="1"/>
    <b v="1"/>
    <b v="1"/>
    <b v="1"/>
    <b v="1"/>
  </r>
  <r>
    <x v="417"/>
    <n v="1155"/>
    <n v="114"/>
    <n v="1041"/>
    <n v="869250"/>
    <n v="189785"/>
    <n v="1059035"/>
    <n v="772"/>
    <n v="38"/>
    <n v="810"/>
    <b v="1"/>
    <b v="1"/>
    <b v="1"/>
    <b v="1"/>
    <b v="1"/>
    <b v="1"/>
  </r>
  <r>
    <x v="418"/>
    <n v="1300"/>
    <n v="142"/>
    <n v="1158"/>
    <n v="1249550"/>
    <n v="227475"/>
    <n v="1477025"/>
    <n v="868"/>
    <n v="49"/>
    <n v="917"/>
    <b v="1"/>
    <b v="1"/>
    <b v="1"/>
    <b v="1"/>
    <b v="1"/>
    <b v="1"/>
  </r>
  <r>
    <x v="419"/>
    <n v="1561"/>
    <n v="170"/>
    <n v="1391"/>
    <n v="1327851"/>
    <n v="203650"/>
    <n v="1531501"/>
    <n v="1023"/>
    <n v="52"/>
    <n v="1075"/>
    <b v="1"/>
    <b v="1"/>
    <b v="1"/>
    <b v="1"/>
    <b v="1"/>
    <b v="1"/>
  </r>
  <r>
    <x v="420"/>
    <n v="1495"/>
    <n v="153"/>
    <n v="1342"/>
    <n v="1076860"/>
    <n v="506894"/>
    <n v="1583754"/>
    <n v="983"/>
    <n v="58"/>
    <n v="1041"/>
    <b v="1"/>
    <b v="1"/>
    <b v="1"/>
    <b v="1"/>
    <b v="1"/>
    <b v="1"/>
  </r>
  <r>
    <x v="421"/>
    <n v="1407"/>
    <n v="154"/>
    <n v="1253"/>
    <n v="1022500"/>
    <n v="256091"/>
    <n v="1278591"/>
    <n v="958"/>
    <n v="29"/>
    <n v="987"/>
    <b v="1"/>
    <b v="1"/>
    <b v="1"/>
    <b v="1"/>
    <b v="1"/>
    <b v="1"/>
  </r>
  <r>
    <x v="422"/>
    <n v="1088"/>
    <n v="102"/>
    <n v="986"/>
    <n v="758050"/>
    <n v="184750"/>
    <n v="942800"/>
    <n v="749"/>
    <n v="19"/>
    <n v="768"/>
    <b v="1"/>
    <b v="1"/>
    <b v="1"/>
    <b v="1"/>
    <b v="1"/>
    <b v="1"/>
  </r>
  <r>
    <x v="423"/>
    <n v="821"/>
    <n v="97"/>
    <n v="724"/>
    <n v="519190"/>
    <n v="148475"/>
    <n v="667665"/>
    <n v="571"/>
    <n v="40"/>
    <n v="611"/>
    <b v="1"/>
    <b v="1"/>
    <b v="1"/>
    <b v="1"/>
    <b v="1"/>
    <b v="1"/>
  </r>
  <r>
    <x v="424"/>
    <n v="1268"/>
    <n v="100"/>
    <n v="1168"/>
    <n v="700330"/>
    <n v="227381"/>
    <n v="927711"/>
    <n v="841"/>
    <n v="46"/>
    <n v="887"/>
    <b v="1"/>
    <b v="1"/>
    <b v="1"/>
    <b v="1"/>
    <b v="1"/>
    <b v="1"/>
  </r>
  <r>
    <x v="425"/>
    <n v="1478"/>
    <n v="181"/>
    <n v="1297"/>
    <n v="1019300"/>
    <n v="300100"/>
    <n v="1319400"/>
    <n v="960"/>
    <n v="61"/>
    <n v="1021"/>
    <b v="1"/>
    <b v="1"/>
    <b v="1"/>
    <b v="1"/>
    <b v="1"/>
    <b v="1"/>
  </r>
  <r>
    <x v="426"/>
    <n v="1634"/>
    <n v="221"/>
    <n v="1413"/>
    <n v="1999862"/>
    <n v="687150"/>
    <n v="2687012"/>
    <n v="975"/>
    <n v="30"/>
    <n v="1005"/>
    <b v="1"/>
    <b v="1"/>
    <b v="1"/>
    <b v="1"/>
    <b v="1"/>
    <b v="1"/>
  </r>
  <r>
    <x v="427"/>
    <n v="1435"/>
    <n v="212"/>
    <n v="1223"/>
    <n v="1529240"/>
    <n v="481325"/>
    <n v="2010565"/>
    <n v="903"/>
    <n v="22"/>
    <n v="925"/>
    <b v="1"/>
    <b v="1"/>
    <b v="1"/>
    <b v="1"/>
    <b v="1"/>
    <b v="1"/>
  </r>
  <r>
    <x v="428"/>
    <n v="1450"/>
    <n v="168"/>
    <n v="1282"/>
    <n v="1159200"/>
    <n v="267090"/>
    <n v="1426290"/>
    <n v="969"/>
    <n v="27"/>
    <n v="996"/>
    <b v="1"/>
    <b v="1"/>
    <b v="1"/>
    <b v="1"/>
    <b v="1"/>
    <b v="1"/>
  </r>
  <r>
    <x v="429"/>
    <n v="1096"/>
    <n v="134"/>
    <n v="962"/>
    <n v="1137675"/>
    <n v="271300"/>
    <n v="1408975"/>
    <n v="674"/>
    <n v="40"/>
    <n v="714"/>
    <b v="1"/>
    <b v="1"/>
    <b v="1"/>
    <b v="1"/>
    <b v="1"/>
    <b v="1"/>
  </r>
  <r>
    <x v="430"/>
    <n v="586"/>
    <n v="88"/>
    <n v="498"/>
    <n v="575360"/>
    <n v="98800"/>
    <n v="674160"/>
    <n v="365"/>
    <n v="32"/>
    <n v="397"/>
    <b v="1"/>
    <b v="1"/>
    <b v="1"/>
    <b v="1"/>
    <b v="1"/>
    <b v="1"/>
  </r>
  <r>
    <x v="431"/>
    <n v="898"/>
    <n v="132"/>
    <n v="766"/>
    <n v="1232650"/>
    <n v="836200"/>
    <n v="2068850"/>
    <n v="522"/>
    <n v="39"/>
    <n v="561"/>
    <b v="1"/>
    <b v="1"/>
    <b v="1"/>
    <b v="1"/>
    <b v="1"/>
    <b v="1"/>
  </r>
  <r>
    <x v="432"/>
    <n v="1552"/>
    <n v="182"/>
    <n v="1370"/>
    <n v="1576371"/>
    <n v="430540"/>
    <n v="2006911"/>
    <n v="1003"/>
    <n v="72"/>
    <n v="1075"/>
    <b v="1"/>
    <b v="1"/>
    <b v="1"/>
    <b v="1"/>
    <b v="1"/>
    <b v="1"/>
  </r>
  <r>
    <x v="433"/>
    <n v="1517"/>
    <n v="196"/>
    <n v="1321"/>
    <n v="1435050"/>
    <n v="478750"/>
    <n v="1913800"/>
    <n v="964"/>
    <n v="67"/>
    <n v="1031"/>
    <b v="1"/>
    <b v="1"/>
    <b v="1"/>
    <b v="1"/>
    <b v="1"/>
    <b v="1"/>
  </r>
  <r>
    <x v="434"/>
    <n v="1147"/>
    <n v="133"/>
    <n v="1014"/>
    <n v="1443750"/>
    <n v="375200"/>
    <n v="1818950"/>
    <n v="719"/>
    <n v="25"/>
    <n v="744"/>
    <b v="1"/>
    <b v="1"/>
    <b v="1"/>
    <b v="1"/>
    <b v="1"/>
    <b v="1"/>
  </r>
  <r>
    <x v="435"/>
    <n v="962"/>
    <n v="125"/>
    <n v="837"/>
    <n v="1210225"/>
    <n v="290345"/>
    <n v="1500570"/>
    <n v="545"/>
    <n v="26"/>
    <n v="571"/>
    <b v="1"/>
    <b v="1"/>
    <b v="1"/>
    <b v="1"/>
    <b v="1"/>
    <b v="1"/>
  </r>
  <r>
    <x v="436"/>
    <n v="725"/>
    <n v="95"/>
    <n v="630"/>
    <n v="778800"/>
    <n v="256850"/>
    <n v="1035650"/>
    <n v="443"/>
    <n v="25"/>
    <n v="468"/>
    <b v="1"/>
    <b v="1"/>
    <b v="1"/>
    <b v="1"/>
    <b v="1"/>
    <b v="1"/>
  </r>
  <r>
    <x v="437"/>
    <n v="777"/>
    <n v="95"/>
    <n v="682"/>
    <n v="796000"/>
    <n v="179340"/>
    <n v="975340"/>
    <n v="491"/>
    <n v="31"/>
    <n v="522"/>
    <b v="1"/>
    <b v="1"/>
    <b v="1"/>
    <b v="1"/>
    <b v="1"/>
    <b v="1"/>
  </r>
  <r>
    <x v="438"/>
    <n v="1265"/>
    <n v="151"/>
    <n v="1114"/>
    <n v="1065848"/>
    <n v="332850"/>
    <n v="1398698"/>
    <n v="807"/>
    <n v="30"/>
    <n v="837"/>
    <b v="1"/>
    <b v="1"/>
    <b v="1"/>
    <b v="1"/>
    <b v="1"/>
    <b v="1"/>
  </r>
  <r>
    <x v="439"/>
    <n v="1348"/>
    <n v="171"/>
    <n v="1177"/>
    <n v="1160650"/>
    <n v="289050"/>
    <n v="1449700"/>
    <n v="870"/>
    <n v="17"/>
    <n v="887"/>
    <b v="1"/>
    <b v="1"/>
    <b v="1"/>
    <b v="1"/>
    <b v="1"/>
    <b v="1"/>
  </r>
  <r>
    <x v="440"/>
    <n v="1579"/>
    <n v="188"/>
    <n v="1391"/>
    <n v="1197396"/>
    <n v="377590"/>
    <n v="1574986"/>
    <n v="1050"/>
    <n v="51"/>
    <n v="1101"/>
    <b v="1"/>
    <b v="1"/>
    <b v="1"/>
    <b v="1"/>
    <b v="1"/>
    <b v="1"/>
  </r>
  <r>
    <x v="441"/>
    <n v="1479"/>
    <n v="166"/>
    <n v="1313"/>
    <n v="965600"/>
    <n v="243010"/>
    <n v="1208610"/>
    <n v="1010"/>
    <n v="63"/>
    <n v="1073"/>
    <b v="1"/>
    <b v="1"/>
    <b v="1"/>
    <b v="1"/>
    <b v="1"/>
    <b v="1"/>
  </r>
  <r>
    <x v="442"/>
    <n v="1477"/>
    <n v="161"/>
    <n v="1316"/>
    <n v="973050"/>
    <n v="374948"/>
    <n v="1347998"/>
    <n v="1044"/>
    <n v="29"/>
    <n v="1073"/>
    <b v="1"/>
    <b v="1"/>
    <b v="1"/>
    <b v="1"/>
    <b v="1"/>
    <b v="1"/>
  </r>
  <r>
    <x v="443"/>
    <n v="961"/>
    <n v="120"/>
    <n v="841"/>
    <n v="951430"/>
    <n v="411400"/>
    <n v="1362830"/>
    <n v="597"/>
    <n v="44"/>
    <n v="641"/>
    <b v="1"/>
    <b v="1"/>
    <b v="1"/>
    <b v="1"/>
    <b v="1"/>
    <b v="1"/>
  </r>
  <r>
    <x v="444"/>
    <n v="945"/>
    <n v="96"/>
    <n v="849"/>
    <n v="676138"/>
    <n v="158634"/>
    <n v="834772"/>
    <n v="677"/>
    <n v="33"/>
    <n v="710"/>
    <b v="1"/>
    <b v="1"/>
    <b v="1"/>
    <b v="1"/>
    <b v="1"/>
    <b v="1"/>
  </r>
  <r>
    <x v="445"/>
    <n v="1340"/>
    <n v="145"/>
    <n v="1195"/>
    <n v="1193900"/>
    <n v="257855"/>
    <n v="1451755"/>
    <n v="893"/>
    <n v="28"/>
    <n v="921"/>
    <b v="1"/>
    <b v="1"/>
    <b v="1"/>
    <b v="1"/>
    <b v="1"/>
    <b v="1"/>
  </r>
  <r>
    <x v="446"/>
    <n v="1145"/>
    <n v="115"/>
    <n v="1030"/>
    <n v="1077600"/>
    <n v="150451"/>
    <n v="1228051"/>
    <n v="791"/>
    <n v="41"/>
    <n v="832"/>
    <b v="1"/>
    <b v="1"/>
    <b v="1"/>
    <b v="1"/>
    <b v="1"/>
    <b v="1"/>
  </r>
  <r>
    <x v="447"/>
    <n v="1142"/>
    <n v="157"/>
    <n v="985"/>
    <n v="838300"/>
    <n v="269249"/>
    <n v="1107549"/>
    <n v="774"/>
    <n v="56"/>
    <n v="830"/>
    <b v="1"/>
    <b v="1"/>
    <b v="1"/>
    <b v="1"/>
    <b v="1"/>
    <b v="1"/>
  </r>
  <r>
    <x v="448"/>
    <n v="776"/>
    <n v="49"/>
    <n v="727"/>
    <n v="192500"/>
    <n v="27200"/>
    <n v="219700"/>
    <n v="623"/>
    <n v="11"/>
    <n v="634"/>
    <b v="1"/>
    <b v="1"/>
    <b v="1"/>
    <b v="1"/>
    <b v="1"/>
    <b v="1"/>
  </r>
  <r>
    <x v="449"/>
    <n v="1540"/>
    <n v="143"/>
    <n v="1397"/>
    <n v="1234000"/>
    <n v="102100"/>
    <n v="1336100"/>
    <n v="1125"/>
    <n v="78"/>
    <n v="1203"/>
    <b v="1"/>
    <b v="1"/>
    <b v="1"/>
    <b v="1"/>
    <b v="1"/>
    <b v="1"/>
  </r>
  <r>
    <x v="450"/>
    <n v="1166"/>
    <n v="140"/>
    <n v="1026"/>
    <n v="718150"/>
    <n v="145100"/>
    <n v="863250"/>
    <n v="767"/>
    <n v="54"/>
    <n v="821"/>
    <b v="1"/>
    <b v="1"/>
    <b v="1"/>
    <b v="1"/>
    <b v="1"/>
    <b v="1"/>
  </r>
  <r>
    <x v="451"/>
    <n v="606"/>
    <n v="87"/>
    <n v="519"/>
    <n v="677649"/>
    <n v="143500"/>
    <n v="821149"/>
    <n v="355"/>
    <n v="22"/>
    <n v="377"/>
    <b v="1"/>
    <b v="1"/>
    <b v="1"/>
    <b v="1"/>
    <b v="1"/>
    <b v="1"/>
  </r>
  <r>
    <x v="452"/>
    <n v="1249"/>
    <n v="163"/>
    <n v="1086"/>
    <n v="945800"/>
    <n v="189400"/>
    <n v="1135200"/>
    <n v="823"/>
    <n v="21"/>
    <n v="844"/>
    <b v="1"/>
    <b v="1"/>
    <b v="1"/>
    <b v="1"/>
    <b v="1"/>
    <b v="1"/>
  </r>
  <r>
    <x v="453"/>
    <n v="1678"/>
    <n v="216"/>
    <n v="1462"/>
    <n v="723900"/>
    <n v="298860"/>
    <n v="1022760"/>
    <n v="1163"/>
    <n v="78"/>
    <n v="1241"/>
    <b v="1"/>
    <b v="1"/>
    <b v="1"/>
    <b v="1"/>
    <b v="1"/>
    <b v="1"/>
  </r>
  <r>
    <x v="454"/>
    <n v="1698"/>
    <n v="251"/>
    <n v="1447"/>
    <n v="1135300"/>
    <n v="573184"/>
    <n v="1708484"/>
    <n v="1161"/>
    <n v="36"/>
    <n v="1197"/>
    <b v="1"/>
    <b v="1"/>
    <b v="1"/>
    <b v="1"/>
    <b v="1"/>
    <b v="1"/>
  </r>
  <r>
    <x v="455"/>
    <n v="1725"/>
    <n v="199"/>
    <n v="1526"/>
    <n v="1132750"/>
    <n v="173700"/>
    <n v="1306450"/>
    <n v="1253"/>
    <n v="29"/>
    <n v="1282"/>
    <b v="1"/>
    <b v="1"/>
    <b v="1"/>
    <b v="1"/>
    <b v="1"/>
    <b v="1"/>
  </r>
  <r>
    <x v="456"/>
    <n v="1602"/>
    <n v="168"/>
    <n v="1434"/>
    <n v="970150"/>
    <n v="187150"/>
    <n v="1157300"/>
    <n v="1135"/>
    <n v="83"/>
    <n v="1218"/>
    <b v="1"/>
    <b v="1"/>
    <b v="1"/>
    <b v="1"/>
    <b v="1"/>
    <b v="1"/>
  </r>
  <r>
    <x v="457"/>
    <n v="1506"/>
    <n v="163"/>
    <n v="1343"/>
    <n v="1257850"/>
    <n v="294850"/>
    <n v="1552700"/>
    <n v="974"/>
    <n v="54"/>
    <n v="1028"/>
    <b v="1"/>
    <b v="1"/>
    <b v="1"/>
    <b v="1"/>
    <b v="1"/>
    <b v="1"/>
  </r>
  <r>
    <x v="458"/>
    <n v="703"/>
    <n v="82"/>
    <n v="621"/>
    <n v="396075"/>
    <n v="82450"/>
    <n v="478525"/>
    <n v="463"/>
    <n v="32"/>
    <n v="495"/>
    <b v="1"/>
    <b v="1"/>
    <b v="1"/>
    <b v="1"/>
    <b v="1"/>
    <b v="1"/>
  </r>
  <r>
    <x v="459"/>
    <n v="1302"/>
    <n v="156"/>
    <n v="1146"/>
    <n v="1380648"/>
    <n v="276021"/>
    <n v="1656669"/>
    <n v="795"/>
    <n v="57"/>
    <n v="852"/>
    <b v="1"/>
    <b v="1"/>
    <b v="1"/>
    <b v="1"/>
    <b v="1"/>
    <b v="1"/>
  </r>
  <r>
    <x v="460"/>
    <n v="1667"/>
    <n v="186"/>
    <n v="1481"/>
    <n v="1637440"/>
    <n v="184740"/>
    <n v="1822180"/>
    <n v="1147"/>
    <n v="63"/>
    <n v="1210"/>
    <b v="1"/>
    <b v="1"/>
    <b v="1"/>
    <b v="1"/>
    <b v="1"/>
    <b v="1"/>
  </r>
  <r>
    <x v="461"/>
    <n v="1735"/>
    <n v="234"/>
    <n v="1501"/>
    <n v="1123400"/>
    <n v="338300"/>
    <n v="1461700"/>
    <n v="1128"/>
    <n v="28"/>
    <n v="1156"/>
    <b v="1"/>
    <b v="1"/>
    <b v="1"/>
    <b v="1"/>
    <b v="1"/>
    <b v="1"/>
  </r>
  <r>
    <x v="462"/>
    <n v="2130"/>
    <n v="223"/>
    <n v="1907"/>
    <n v="1441296"/>
    <n v="290820"/>
    <n v="1732116"/>
    <n v="1552"/>
    <n v="39"/>
    <n v="1591"/>
    <b v="1"/>
    <b v="1"/>
    <b v="1"/>
    <b v="1"/>
    <b v="1"/>
    <b v="1"/>
  </r>
  <r>
    <x v="463"/>
    <n v="1470"/>
    <n v="118"/>
    <n v="1352"/>
    <n v="794050"/>
    <n v="115700"/>
    <n v="909750"/>
    <n v="1075"/>
    <n v="44"/>
    <n v="1119"/>
    <b v="1"/>
    <b v="1"/>
    <b v="1"/>
    <b v="1"/>
    <b v="1"/>
    <b v="1"/>
  </r>
  <r>
    <x v="464"/>
    <n v="1756"/>
    <n v="222"/>
    <n v="1534"/>
    <n v="928450"/>
    <n v="182460"/>
    <n v="1110910"/>
    <n v="1248"/>
    <n v="101"/>
    <n v="1349"/>
    <b v="1"/>
    <b v="1"/>
    <b v="1"/>
    <b v="1"/>
    <b v="1"/>
    <b v="1"/>
  </r>
  <r>
    <x v="465"/>
    <n v="861"/>
    <n v="111"/>
    <n v="750"/>
    <n v="552270"/>
    <n v="137900"/>
    <n v="690170"/>
    <n v="533"/>
    <n v="25"/>
    <n v="558"/>
    <b v="1"/>
    <b v="1"/>
    <b v="1"/>
    <b v="1"/>
    <b v="1"/>
    <b v="1"/>
  </r>
  <r>
    <x v="466"/>
    <n v="1562"/>
    <n v="187"/>
    <n v="1375"/>
    <n v="1003900"/>
    <n v="244200"/>
    <n v="1248100"/>
    <n v="983"/>
    <n v="69"/>
    <n v="1052"/>
    <b v="1"/>
    <b v="1"/>
    <b v="1"/>
    <b v="1"/>
    <b v="1"/>
    <b v="1"/>
  </r>
  <r>
    <x v="467"/>
    <n v="1717"/>
    <n v="229"/>
    <n v="1488"/>
    <n v="1395700"/>
    <n v="394925"/>
    <n v="1790625"/>
    <n v="1115"/>
    <n v="88"/>
    <n v="1203"/>
    <b v="1"/>
    <b v="1"/>
    <b v="1"/>
    <b v="1"/>
    <b v="1"/>
    <b v="1"/>
  </r>
  <r>
    <x v="468"/>
    <n v="1984"/>
    <n v="203"/>
    <n v="1781"/>
    <n v="963150"/>
    <n v="280000"/>
    <n v="1243150"/>
    <n v="1411"/>
    <n v="88"/>
    <n v="1499"/>
    <b v="1"/>
    <b v="1"/>
    <b v="1"/>
    <b v="1"/>
    <b v="1"/>
    <b v="1"/>
  </r>
  <r>
    <x v="469"/>
    <n v="1586"/>
    <n v="146"/>
    <n v="1440"/>
    <n v="812527"/>
    <n v="230450"/>
    <n v="1042977"/>
    <n v="1063"/>
    <n v="50"/>
    <n v="1113"/>
    <b v="1"/>
    <b v="1"/>
    <b v="1"/>
    <b v="1"/>
    <b v="1"/>
    <b v="1"/>
  </r>
  <r>
    <x v="470"/>
    <n v="1128"/>
    <n v="146"/>
    <n v="982"/>
    <n v="652731"/>
    <n v="202025"/>
    <n v="854756"/>
    <n v="727"/>
    <n v="24"/>
    <n v="751"/>
    <b v="1"/>
    <b v="1"/>
    <b v="1"/>
    <b v="1"/>
    <b v="1"/>
    <b v="1"/>
  </r>
  <r>
    <x v="471"/>
    <n v="1137"/>
    <n v="121"/>
    <n v="1016"/>
    <n v="828300"/>
    <n v="204500"/>
    <n v="1032800"/>
    <n v="803"/>
    <n v="42"/>
    <n v="845"/>
    <b v="1"/>
    <b v="1"/>
    <b v="1"/>
    <b v="1"/>
    <b v="1"/>
    <b v="1"/>
  </r>
  <r>
    <x v="472"/>
    <n v="867"/>
    <n v="99"/>
    <n v="768"/>
    <n v="371019"/>
    <n v="96677"/>
    <n v="467696"/>
    <n v="618"/>
    <n v="45"/>
    <n v="663"/>
    <b v="1"/>
    <b v="1"/>
    <b v="1"/>
    <b v="1"/>
    <b v="1"/>
    <b v="1"/>
  </r>
  <r>
    <x v="473"/>
    <n v="1195"/>
    <n v="138"/>
    <n v="1057"/>
    <n v="620549"/>
    <n v="299700"/>
    <n v="920249"/>
    <n v="764"/>
    <n v="54"/>
    <n v="818"/>
    <b v="1"/>
    <b v="1"/>
    <b v="1"/>
    <b v="1"/>
    <b v="1"/>
    <b v="1"/>
  </r>
  <r>
    <x v="474"/>
    <n v="1294"/>
    <n v="175"/>
    <n v="1119"/>
    <n v="2798411"/>
    <n v="202900"/>
    <n v="3001311"/>
    <n v="869"/>
    <n v="31"/>
    <n v="900"/>
    <b v="1"/>
    <b v="1"/>
    <b v="1"/>
    <b v="1"/>
    <b v="1"/>
    <b v="1"/>
  </r>
  <r>
    <x v="475"/>
    <n v="1338"/>
    <n v="132"/>
    <n v="1206"/>
    <n v="1052750"/>
    <n v="295201"/>
    <n v="1347951"/>
    <n v="906"/>
    <n v="54"/>
    <n v="960"/>
    <b v="1"/>
    <b v="1"/>
    <b v="1"/>
    <b v="1"/>
    <b v="1"/>
    <b v="1"/>
  </r>
  <r>
    <x v="476"/>
    <n v="1438"/>
    <n v="160"/>
    <n v="1278"/>
    <n v="1022600"/>
    <n v="371660"/>
    <n v="1394260"/>
    <n v="1006"/>
    <n v="37"/>
    <n v="1043"/>
    <b v="1"/>
    <b v="1"/>
    <b v="1"/>
    <b v="1"/>
    <b v="1"/>
    <b v="1"/>
  </r>
  <r>
    <x v="477"/>
    <n v="1608"/>
    <n v="172"/>
    <n v="1436"/>
    <n v="963200"/>
    <n v="241900"/>
    <n v="1205100"/>
    <n v="1129"/>
    <n v="89"/>
    <n v="1218"/>
    <b v="1"/>
    <b v="1"/>
    <b v="1"/>
    <b v="1"/>
    <b v="1"/>
    <b v="1"/>
  </r>
  <r>
    <x v="478"/>
    <n v="1299"/>
    <n v="143"/>
    <n v="1156"/>
    <n v="808231"/>
    <n v="375990"/>
    <n v="1184221"/>
    <n v="899"/>
    <n v="36"/>
    <n v="935"/>
    <b v="1"/>
    <b v="1"/>
    <b v="1"/>
    <b v="1"/>
    <b v="1"/>
    <b v="1"/>
  </r>
  <r>
    <x v="479"/>
    <n v="907"/>
    <n v="92"/>
    <n v="815"/>
    <n v="612650"/>
    <n v="204475"/>
    <n v="817125"/>
    <n v="659"/>
    <n v="43"/>
    <n v="702"/>
    <b v="1"/>
    <b v="1"/>
    <b v="1"/>
    <b v="1"/>
    <b v="1"/>
    <b v="1"/>
  </r>
  <r>
    <x v="480"/>
    <n v="1602"/>
    <n v="232"/>
    <n v="1370"/>
    <n v="945300"/>
    <n v="465510"/>
    <n v="1410810"/>
    <n v="1067"/>
    <n v="37"/>
    <n v="1104"/>
    <b v="1"/>
    <b v="1"/>
    <b v="1"/>
    <b v="1"/>
    <b v="1"/>
    <b v="1"/>
  </r>
  <r>
    <x v="481"/>
    <n v="1611"/>
    <n v="184"/>
    <n v="1427"/>
    <n v="1011700"/>
    <n v="318500"/>
    <n v="1330200"/>
    <n v="1093"/>
    <n v="64"/>
    <n v="1157"/>
    <b v="1"/>
    <b v="1"/>
    <b v="1"/>
    <b v="1"/>
    <b v="1"/>
    <b v="1"/>
  </r>
  <r>
    <x v="482"/>
    <n v="1464"/>
    <n v="184"/>
    <n v="1280"/>
    <n v="1283500"/>
    <n v="252000"/>
    <n v="1535500"/>
    <n v="909"/>
    <n v="59"/>
    <n v="968"/>
    <b v="1"/>
    <b v="1"/>
    <b v="1"/>
    <b v="1"/>
    <b v="1"/>
    <b v="1"/>
  </r>
  <r>
    <x v="483"/>
    <n v="1450"/>
    <n v="206"/>
    <n v="1244"/>
    <n v="1160450"/>
    <n v="468315"/>
    <n v="1628765"/>
    <n v="903"/>
    <n v="55"/>
    <n v="958"/>
    <b v="1"/>
    <b v="1"/>
    <b v="1"/>
    <b v="1"/>
    <b v="1"/>
    <b v="1"/>
  </r>
  <r>
    <x v="484"/>
    <n v="1236"/>
    <n v="170"/>
    <n v="1066"/>
    <n v="1153040"/>
    <n v="612132"/>
    <n v="1765172"/>
    <n v="673"/>
    <n v="29"/>
    <n v="702"/>
    <b v="1"/>
    <b v="1"/>
    <b v="1"/>
    <b v="1"/>
    <b v="1"/>
    <b v="1"/>
  </r>
  <r>
    <x v="485"/>
    <n v="1048"/>
    <n v="117"/>
    <n v="931"/>
    <n v="649450"/>
    <n v="175800"/>
    <n v="825250"/>
    <n v="653"/>
    <n v="40"/>
    <n v="693"/>
    <b v="1"/>
    <b v="1"/>
    <b v="1"/>
    <b v="1"/>
    <b v="1"/>
    <b v="1"/>
  </r>
  <r>
    <x v="486"/>
    <n v="555"/>
    <n v="58"/>
    <n v="497"/>
    <n v="514500"/>
    <n v="97600"/>
    <n v="612100"/>
    <n v="333"/>
    <n v="7"/>
    <n v="340"/>
    <b v="1"/>
    <b v="1"/>
    <b v="1"/>
    <b v="1"/>
    <b v="1"/>
    <b v="1"/>
  </r>
  <r>
    <x v="487"/>
    <n v="943"/>
    <n v="107"/>
    <n v="836"/>
    <n v="787697"/>
    <n v="238105"/>
    <n v="1025802"/>
    <n v="532"/>
    <n v="45"/>
    <n v="577"/>
    <b v="1"/>
    <b v="1"/>
    <b v="1"/>
    <b v="1"/>
    <b v="1"/>
    <b v="1"/>
  </r>
  <r>
    <x v="488"/>
    <n v="1278"/>
    <n v="141"/>
    <n v="1137"/>
    <n v="866530"/>
    <n v="255455"/>
    <n v="1121985"/>
    <n v="818"/>
    <n v="46"/>
    <n v="864"/>
    <b v="1"/>
    <b v="1"/>
    <b v="1"/>
    <b v="1"/>
    <b v="1"/>
    <b v="1"/>
  </r>
  <r>
    <x v="489"/>
    <n v="1515"/>
    <n v="177"/>
    <n v="1338"/>
    <n v="1380350"/>
    <n v="438030"/>
    <n v="1818380"/>
    <n v="993"/>
    <n v="28"/>
    <n v="1021"/>
    <b v="1"/>
    <b v="1"/>
    <b v="1"/>
    <b v="1"/>
    <b v="1"/>
    <b v="1"/>
  </r>
  <r>
    <x v="490"/>
    <n v="1564"/>
    <n v="165"/>
    <n v="1399"/>
    <n v="1135190"/>
    <n v="405690"/>
    <n v="1540880"/>
    <n v="1070"/>
    <n v="55"/>
    <n v="1125"/>
    <b v="1"/>
    <b v="1"/>
    <b v="1"/>
    <b v="1"/>
    <b v="1"/>
    <b v="1"/>
  </r>
  <r>
    <x v="491"/>
    <n v="1558"/>
    <n v="156"/>
    <n v="1402"/>
    <n v="1377120"/>
    <n v="283590"/>
    <n v="1660710"/>
    <n v="1015"/>
    <n v="23"/>
    <n v="1038"/>
    <b v="1"/>
    <b v="1"/>
    <b v="1"/>
    <b v="1"/>
    <b v="1"/>
    <b v="1"/>
  </r>
  <r>
    <x v="492"/>
    <n v="1233"/>
    <n v="128"/>
    <n v="1105"/>
    <n v="892350"/>
    <n v="217972"/>
    <n v="1110322"/>
    <n v="823"/>
    <n v="18"/>
    <n v="841"/>
    <b v="1"/>
    <b v="1"/>
    <b v="1"/>
    <b v="1"/>
    <b v="1"/>
    <b v="1"/>
  </r>
  <r>
    <x v="493"/>
    <n v="594"/>
    <n v="52"/>
    <n v="542"/>
    <n v="369950"/>
    <n v="154200"/>
    <n v="524150"/>
    <n v="377"/>
    <n v="18"/>
    <n v="395"/>
    <b v="1"/>
    <b v="1"/>
    <b v="1"/>
    <b v="1"/>
    <b v="1"/>
    <b v="1"/>
  </r>
  <r>
    <x v="494"/>
    <n v="1003"/>
    <n v="103"/>
    <n v="900"/>
    <n v="661500"/>
    <n v="93000"/>
    <n v="754500"/>
    <n v="592"/>
    <n v="40"/>
    <n v="632"/>
    <b v="1"/>
    <b v="1"/>
    <b v="1"/>
    <b v="1"/>
    <b v="1"/>
    <b v="1"/>
  </r>
  <r>
    <x v="495"/>
    <n v="1492"/>
    <n v="175"/>
    <n v="1317"/>
    <n v="1125048"/>
    <n v="216545"/>
    <n v="1341593"/>
    <n v="935"/>
    <n v="21"/>
    <n v="956"/>
    <b v="1"/>
    <b v="1"/>
    <b v="1"/>
    <b v="1"/>
    <b v="1"/>
    <b v="1"/>
  </r>
  <r>
    <x v="496"/>
    <n v="1437"/>
    <n v="176"/>
    <n v="1261"/>
    <n v="1134100"/>
    <n v="482880"/>
    <n v="1616980"/>
    <n v="844"/>
    <n v="25"/>
    <n v="869"/>
    <b v="1"/>
    <b v="1"/>
    <b v="1"/>
    <b v="1"/>
    <b v="1"/>
    <b v="1"/>
  </r>
  <r>
    <x v="497"/>
    <n v="1504"/>
    <n v="166"/>
    <n v="1338"/>
    <n v="959150"/>
    <n v="248735"/>
    <n v="1207885"/>
    <n v="932"/>
    <n v="14"/>
    <n v="946"/>
    <b v="1"/>
    <b v="1"/>
    <b v="1"/>
    <b v="1"/>
    <b v="1"/>
    <b v="1"/>
  </r>
  <r>
    <x v="498"/>
    <n v="1536"/>
    <n v="163"/>
    <n v="1373"/>
    <n v="925900"/>
    <n v="342064"/>
    <n v="1267964"/>
    <n v="1039"/>
    <n v="51"/>
    <n v="1090"/>
    <b v="1"/>
    <b v="1"/>
    <b v="1"/>
    <b v="1"/>
    <b v="1"/>
    <b v="1"/>
  </r>
  <r>
    <x v="499"/>
    <n v="1494"/>
    <n v="128"/>
    <n v="1366"/>
    <n v="804835"/>
    <n v="259535"/>
    <n v="1064370"/>
    <n v="965"/>
    <n v="21"/>
    <n v="986"/>
    <b v="1"/>
    <b v="1"/>
    <b v="1"/>
    <b v="1"/>
    <b v="1"/>
    <b v="1"/>
  </r>
  <r>
    <x v="500"/>
    <n v="863"/>
    <n v="57"/>
    <n v="806"/>
    <n v="650300"/>
    <n v="142700"/>
    <n v="793000"/>
    <n v="610"/>
    <n v="13"/>
    <n v="623"/>
    <b v="1"/>
    <b v="1"/>
    <b v="1"/>
    <b v="1"/>
    <b v="1"/>
    <b v="1"/>
  </r>
  <r>
    <x v="501"/>
    <n v="1274"/>
    <n v="93"/>
    <n v="1181"/>
    <n v="977550"/>
    <n v="248000"/>
    <n v="1225550"/>
    <n v="817"/>
    <n v="8"/>
    <n v="825"/>
    <b v="1"/>
    <b v="1"/>
    <b v="1"/>
    <b v="1"/>
    <b v="1"/>
    <b v="1"/>
  </r>
  <r>
    <x v="502"/>
    <n v="1521"/>
    <n v="88"/>
    <n v="1433"/>
    <n v="3716605"/>
    <n v="313125"/>
    <n v="4029730"/>
    <n v="1032"/>
    <n v="7"/>
    <n v="1039"/>
    <b v="1"/>
    <b v="1"/>
    <b v="1"/>
    <b v="1"/>
    <b v="1"/>
    <b v="1"/>
  </r>
  <r>
    <x v="503"/>
    <n v="1430"/>
    <n v="112"/>
    <n v="1318"/>
    <n v="1084645"/>
    <n v="369078"/>
    <n v="1453723"/>
    <n v="993"/>
    <n v="31"/>
    <n v="1024"/>
    <b v="1"/>
    <b v="1"/>
    <b v="1"/>
    <b v="1"/>
    <b v="1"/>
    <b v="1"/>
  </r>
  <r>
    <x v="504"/>
    <n v="1593"/>
    <n v="71"/>
    <n v="1522"/>
    <n v="1222900"/>
    <n v="224884"/>
    <n v="1447784"/>
    <n v="1143"/>
    <n v="3"/>
    <n v="1146"/>
    <b v="1"/>
    <b v="1"/>
    <b v="1"/>
    <b v="1"/>
    <b v="1"/>
    <b v="1"/>
  </r>
  <r>
    <x v="505"/>
    <n v="1325"/>
    <n v="54"/>
    <n v="1271"/>
    <n v="924150"/>
    <n v="204650"/>
    <n v="1128800"/>
    <n v="1004"/>
    <n v="4"/>
    <n v="1008"/>
    <b v="1"/>
    <b v="1"/>
    <b v="1"/>
    <b v="1"/>
    <b v="1"/>
    <b v="1"/>
  </r>
  <r>
    <x v="506"/>
    <n v="1153"/>
    <n v="58"/>
    <n v="1095"/>
    <n v="731550"/>
    <n v="223300"/>
    <n v="954850"/>
    <n v="872"/>
    <n v="1"/>
    <n v="873"/>
    <b v="1"/>
    <b v="1"/>
    <b v="1"/>
    <b v="1"/>
    <b v="1"/>
    <b v="1"/>
  </r>
  <r>
    <x v="507"/>
    <n v="1482"/>
    <n v="39"/>
    <n v="1443"/>
    <n v="546950"/>
    <n v="85875"/>
    <n v="632825"/>
    <n v="1306"/>
    <n v="3"/>
    <n v="1309"/>
    <b v="1"/>
    <b v="1"/>
    <b v="1"/>
    <b v="1"/>
    <b v="1"/>
    <b v="1"/>
  </r>
  <r>
    <x v="508"/>
    <n v="1793"/>
    <n v="59"/>
    <n v="1734"/>
    <n v="690627"/>
    <n v="139700"/>
    <n v="830327"/>
    <n v="1507"/>
    <n v="14"/>
    <n v="1521"/>
    <b v="1"/>
    <b v="1"/>
    <b v="1"/>
    <b v="1"/>
    <b v="1"/>
    <b v="1"/>
  </r>
  <r>
    <x v="509"/>
    <n v="1366"/>
    <n v="80"/>
    <n v="1286"/>
    <n v="963700"/>
    <n v="265575"/>
    <n v="1229275"/>
    <n v="969"/>
    <n v="9"/>
    <n v="978"/>
    <b v="1"/>
    <b v="1"/>
    <b v="1"/>
    <b v="1"/>
    <b v="1"/>
    <b v="1"/>
  </r>
  <r>
    <x v="510"/>
    <n v="1780"/>
    <n v="77"/>
    <n v="1703"/>
    <n v="1013300"/>
    <n v="345350"/>
    <n v="1358650"/>
    <n v="13"/>
    <n v="6"/>
    <n v="19"/>
    <b v="1"/>
    <b v="1"/>
    <b v="1"/>
    <b v="1"/>
    <b v="1"/>
    <b v="1"/>
  </r>
  <r>
    <x v="511"/>
    <n v="1430"/>
    <n v="94"/>
    <n v="1336"/>
    <n v="794220"/>
    <n v="353450"/>
    <n v="1147670"/>
    <n v="1015"/>
    <n v="23"/>
    <n v="1038"/>
    <b v="1"/>
    <b v="1"/>
    <b v="1"/>
    <b v="1"/>
    <b v="1"/>
    <b v="1"/>
  </r>
  <r>
    <x v="512"/>
    <n v="1460"/>
    <n v="105"/>
    <n v="1355"/>
    <n v="935900"/>
    <n v="299010"/>
    <n v="1234910"/>
    <n v="982"/>
    <n v="4"/>
    <n v="986"/>
    <b v="1"/>
    <b v="1"/>
    <b v="1"/>
    <b v="1"/>
    <b v="1"/>
    <b v="1"/>
  </r>
  <r>
    <x v="513"/>
    <n v="1411"/>
    <n v="46"/>
    <n v="1365"/>
    <n v="851890"/>
    <n v="94900"/>
    <n v="946790"/>
    <n v="977"/>
    <n v="11"/>
    <n v="988"/>
    <b v="1"/>
    <b v="1"/>
    <b v="1"/>
    <b v="1"/>
    <b v="1"/>
    <b v="1"/>
  </r>
  <r>
    <x v="514"/>
    <n v="822"/>
    <n v="30"/>
    <n v="792"/>
    <n v="565870"/>
    <n v="108800"/>
    <n v="674670"/>
    <n v="599"/>
    <n v="3"/>
    <n v="602"/>
    <b v="1"/>
    <b v="1"/>
    <b v="1"/>
    <b v="1"/>
    <b v="1"/>
    <b v="1"/>
  </r>
  <r>
    <x v="515"/>
    <n v="990"/>
    <n v="69"/>
    <n v="921"/>
    <n v="686610"/>
    <n v="162101"/>
    <n v="848711"/>
    <n v="647"/>
    <n v="2"/>
    <n v="649"/>
    <b v="1"/>
    <b v="1"/>
    <b v="1"/>
    <b v="1"/>
    <b v="1"/>
    <b v="1"/>
  </r>
  <r>
    <x v="516"/>
    <n v="1532"/>
    <n v="74"/>
    <n v="1458"/>
    <n v="874250"/>
    <n v="198450"/>
    <n v="1072700"/>
    <n v="1115"/>
    <n v="4"/>
    <n v="1119"/>
    <b v="1"/>
    <b v="1"/>
    <b v="1"/>
    <b v="1"/>
    <b v="1"/>
    <b v="1"/>
  </r>
  <r>
    <x v="517"/>
    <n v="1268"/>
    <n v="101"/>
    <n v="1167"/>
    <n v="1253700"/>
    <n v="243800"/>
    <n v="1497500"/>
    <n v="894"/>
    <n v="14"/>
    <n v="908"/>
    <b v="1"/>
    <b v="1"/>
    <b v="1"/>
    <b v="1"/>
    <b v="1"/>
    <b v="1"/>
  </r>
  <r>
    <x v="518"/>
    <n v="1313"/>
    <n v="83"/>
    <n v="1230"/>
    <n v="1076800"/>
    <n v="346650"/>
    <n v="1423450"/>
    <n v="900"/>
    <n v="18"/>
    <n v="918"/>
    <b v="1"/>
    <b v="1"/>
    <b v="1"/>
    <b v="1"/>
    <b v="1"/>
    <b v="1"/>
  </r>
  <r>
    <x v="519"/>
    <n v="1276"/>
    <n v="100"/>
    <n v="1176"/>
    <n v="1514640"/>
    <n v="287273"/>
    <n v="1801913"/>
    <n v="849"/>
    <n v="15"/>
    <n v="864"/>
    <b v="1"/>
    <b v="1"/>
    <b v="1"/>
    <b v="1"/>
    <b v="1"/>
    <b v="1"/>
  </r>
  <r>
    <x v="520"/>
    <n v="1310"/>
    <n v="86"/>
    <n v="1224"/>
    <n v="1139147"/>
    <n v="238100"/>
    <n v="1377247"/>
    <n v="843"/>
    <n v="6"/>
    <n v="849"/>
    <b v="1"/>
    <b v="1"/>
    <b v="1"/>
    <b v="1"/>
    <b v="1"/>
    <b v="1"/>
  </r>
  <r>
    <x v="521"/>
    <n v="591"/>
    <n v="56"/>
    <n v="535"/>
    <n v="1022950"/>
    <n v="130620"/>
    <n v="1153570"/>
    <n v="325"/>
    <n v="12"/>
    <n v="337"/>
    <b v="1"/>
    <b v="1"/>
    <b v="1"/>
    <b v="1"/>
    <b v="1"/>
    <b v="1"/>
  </r>
  <r>
    <x v="522"/>
    <n v="987"/>
    <n v="136"/>
    <n v="851"/>
    <n v="1558250"/>
    <n v="534350"/>
    <n v="2092600"/>
    <n v="503"/>
    <n v="27"/>
    <n v="530"/>
    <b v="1"/>
    <b v="1"/>
    <b v="1"/>
    <b v="1"/>
    <b v="1"/>
    <b v="1"/>
  </r>
  <r>
    <x v="523"/>
    <n v="1256"/>
    <n v="158"/>
    <n v="1098"/>
    <n v="1162900"/>
    <n v="254550"/>
    <n v="1417450"/>
    <n v="817"/>
    <n v="53"/>
    <n v="870"/>
    <b v="1"/>
    <b v="1"/>
    <b v="1"/>
    <b v="1"/>
    <b v="1"/>
    <b v="1"/>
  </r>
  <r>
    <x v="524"/>
    <n v="1179"/>
    <n v="121"/>
    <n v="1058"/>
    <n v="1487410"/>
    <n v="226200"/>
    <n v="1713610"/>
    <n v="749"/>
    <n v="39"/>
    <n v="788"/>
    <b v="1"/>
    <b v="1"/>
    <b v="1"/>
    <b v="1"/>
    <b v="1"/>
    <b v="1"/>
  </r>
  <r>
    <x v="525"/>
    <n v="994"/>
    <n v="130"/>
    <n v="864"/>
    <n v="1132419"/>
    <n v="287380"/>
    <n v="1419799"/>
    <n v="586"/>
    <n v="33"/>
    <n v="619"/>
    <b v="1"/>
    <b v="1"/>
    <b v="1"/>
    <b v="1"/>
    <b v="1"/>
    <b v="1"/>
  </r>
  <r>
    <x v="526"/>
    <n v="1088"/>
    <n v="157"/>
    <n v="931"/>
    <n v="957250"/>
    <n v="342350"/>
    <n v="1299600"/>
    <n v="663"/>
    <n v="38"/>
    <n v="701"/>
    <b v="1"/>
    <b v="1"/>
    <b v="1"/>
    <b v="1"/>
    <b v="1"/>
    <b v="1"/>
  </r>
  <r>
    <x v="527"/>
    <n v="922"/>
    <n v="135"/>
    <n v="787"/>
    <n v="805550"/>
    <n v="223550"/>
    <n v="1029100"/>
    <n v="585"/>
    <n v="40"/>
    <n v="625"/>
    <b v="1"/>
    <b v="1"/>
    <b v="1"/>
    <b v="1"/>
    <b v="1"/>
    <b v="1"/>
  </r>
  <r>
    <x v="528"/>
    <n v="742"/>
    <n v="103"/>
    <n v="639"/>
    <n v="710850"/>
    <n v="188150"/>
    <n v="899000"/>
    <n v="478"/>
    <n v="14"/>
    <n v="492"/>
    <b v="1"/>
    <b v="1"/>
    <b v="1"/>
    <b v="1"/>
    <b v="1"/>
    <b v="1"/>
  </r>
  <r>
    <x v="529"/>
    <n v="788"/>
    <n v="89"/>
    <n v="699"/>
    <n v="1220500"/>
    <n v="84700"/>
    <n v="1305200"/>
    <n v="453"/>
    <n v="27"/>
    <n v="480"/>
    <b v="1"/>
    <b v="1"/>
    <b v="1"/>
    <b v="1"/>
    <b v="1"/>
    <b v="1"/>
  </r>
  <r>
    <x v="530"/>
    <n v="1406"/>
    <n v="177"/>
    <n v="1229"/>
    <n v="1496250"/>
    <n v="388950"/>
    <n v="1885200"/>
    <n v="939"/>
    <n v="30"/>
    <n v="969"/>
    <b v="1"/>
    <b v="1"/>
    <b v="1"/>
    <b v="1"/>
    <b v="1"/>
    <b v="1"/>
  </r>
  <r>
    <x v="531"/>
    <n v="1182"/>
    <n v="209"/>
    <n v="973"/>
    <n v="1294355"/>
    <n v="396160"/>
    <n v="1690515"/>
    <n v="679"/>
    <n v="28"/>
    <n v="707"/>
    <b v="1"/>
    <b v="1"/>
    <b v="1"/>
    <b v="1"/>
    <b v="1"/>
    <b v="1"/>
  </r>
  <r>
    <x v="532"/>
    <n v="1364"/>
    <n v="193"/>
    <n v="1171"/>
    <n v="1226350"/>
    <n v="319824"/>
    <n v="1546174"/>
    <n v="915"/>
    <n v="71"/>
    <n v="986"/>
    <b v="1"/>
    <b v="1"/>
    <b v="1"/>
    <b v="1"/>
    <b v="1"/>
    <b v="1"/>
  </r>
  <r>
    <x v="533"/>
    <n v="1067"/>
    <n v="142"/>
    <n v="925"/>
    <n v="1095900"/>
    <n v="221800"/>
    <n v="1317700"/>
    <n v="677"/>
    <n v="15"/>
    <n v="692"/>
    <b v="1"/>
    <b v="1"/>
    <b v="1"/>
    <b v="1"/>
    <b v="1"/>
    <b v="1"/>
  </r>
  <r>
    <x v="534"/>
    <n v="841"/>
    <n v="131"/>
    <n v="710"/>
    <n v="1218950"/>
    <n v="410000"/>
    <n v="1628950"/>
    <n v="516"/>
    <n v="13"/>
    <n v="529"/>
    <b v="1"/>
    <b v="1"/>
    <b v="1"/>
    <b v="1"/>
    <b v="1"/>
    <b v="1"/>
  </r>
  <r>
    <x v="535"/>
    <n v="411"/>
    <n v="61"/>
    <n v="350"/>
    <n v="601201"/>
    <n v="189300"/>
    <n v="790501"/>
    <n v="247"/>
    <n v="4"/>
    <n v="251"/>
    <b v="1"/>
    <b v="1"/>
    <b v="1"/>
    <b v="1"/>
    <b v="1"/>
    <b v="1"/>
  </r>
  <r>
    <x v="536"/>
    <n v="672"/>
    <n v="78"/>
    <n v="594"/>
    <n v="768625"/>
    <n v="183975"/>
    <n v="952600"/>
    <n v="377"/>
    <n v="5"/>
    <n v="382"/>
    <b v="1"/>
    <b v="1"/>
    <b v="1"/>
    <b v="1"/>
    <b v="1"/>
    <b v="1"/>
  </r>
  <r>
    <x v="537"/>
    <n v="916"/>
    <n v="132"/>
    <n v="784"/>
    <n v="950300"/>
    <n v="355340"/>
    <n v="1305640"/>
    <n v="520"/>
    <n v="11"/>
    <n v="531"/>
    <b v="1"/>
    <b v="1"/>
    <b v="1"/>
    <b v="1"/>
    <b v="1"/>
    <b v="1"/>
  </r>
  <r>
    <x v="538"/>
    <n v="1349"/>
    <n v="127"/>
    <n v="1222"/>
    <n v="1270150"/>
    <n v="267708"/>
    <n v="1537858"/>
    <n v="837"/>
    <n v="36"/>
    <n v="873"/>
    <b v="1"/>
    <b v="1"/>
    <b v="1"/>
    <b v="1"/>
    <b v="1"/>
    <b v="1"/>
  </r>
  <r>
    <x v="539"/>
    <n v="1503"/>
    <n v="142"/>
    <n v="1361"/>
    <n v="1165850"/>
    <n v="311814"/>
    <n v="1477664"/>
    <n v="1038"/>
    <n v="16"/>
    <n v="1054"/>
    <b v="1"/>
    <b v="1"/>
    <b v="1"/>
    <b v="1"/>
    <b v="1"/>
    <b v="1"/>
  </r>
  <r>
    <x v="540"/>
    <n v="1301"/>
    <n v="88"/>
    <n v="1213"/>
    <n v="917100"/>
    <n v="293770"/>
    <n v="1210870"/>
    <n v="969"/>
    <n v="20"/>
    <n v="989"/>
    <b v="1"/>
    <b v="1"/>
    <b v="1"/>
    <b v="1"/>
    <b v="1"/>
    <b v="1"/>
  </r>
  <r>
    <x v="541"/>
    <n v="1026"/>
    <n v="72"/>
    <n v="954"/>
    <n v="898450"/>
    <n v="258050"/>
    <n v="1156500"/>
    <n v="708"/>
    <n v="7"/>
    <n v="715"/>
    <b v="1"/>
    <b v="1"/>
    <b v="1"/>
    <b v="1"/>
    <b v="1"/>
    <b v="1"/>
  </r>
  <r>
    <x v="542"/>
    <n v="883"/>
    <n v="66"/>
    <n v="817"/>
    <n v="728750"/>
    <n v="252350"/>
    <n v="981100"/>
    <n v="611"/>
    <n v="7"/>
    <n v="618"/>
    <b v="1"/>
    <b v="1"/>
    <b v="1"/>
    <b v="1"/>
    <b v="1"/>
    <b v="1"/>
  </r>
  <r>
    <x v="543"/>
    <n v="1075"/>
    <n v="61"/>
    <n v="1014"/>
    <n v="861300"/>
    <n v="123860"/>
    <n v="985160"/>
    <n v="723"/>
    <n v="5"/>
    <n v="728"/>
    <b v="1"/>
    <b v="1"/>
    <b v="1"/>
    <b v="1"/>
    <b v="1"/>
    <b v="1"/>
  </r>
  <r>
    <x v="544"/>
    <n v="1509"/>
    <n v="72"/>
    <n v="1437"/>
    <n v="1066700"/>
    <n v="356936"/>
    <n v="1423636"/>
    <n v="1153"/>
    <n v="6"/>
    <n v="1159"/>
    <b v="1"/>
    <b v="1"/>
    <b v="1"/>
    <b v="1"/>
    <b v="1"/>
    <b v="1"/>
  </r>
  <r>
    <x v="545"/>
    <n v="1180"/>
    <n v="74"/>
    <n v="1106"/>
    <n v="1206590"/>
    <n v="197600"/>
    <n v="1404190"/>
    <n v="827"/>
    <n v="3"/>
    <n v="830"/>
    <b v="1"/>
    <b v="1"/>
    <b v="1"/>
    <b v="1"/>
    <b v="1"/>
    <b v="1"/>
  </r>
  <r>
    <x v="546"/>
    <n v="863"/>
    <n v="72"/>
    <n v="791"/>
    <n v="836900"/>
    <n v="276921"/>
    <n v="1113821"/>
    <n v="514"/>
    <n v="6"/>
    <n v="520"/>
    <b v="1"/>
    <b v="1"/>
    <b v="1"/>
    <b v="1"/>
    <b v="1"/>
    <b v="1"/>
  </r>
  <r>
    <x v="547"/>
    <n v="1057"/>
    <n v="52"/>
    <n v="1005"/>
    <n v="998150"/>
    <n v="154500"/>
    <n v="1152650"/>
    <n v="739"/>
    <n v="2"/>
    <n v="741"/>
    <b v="1"/>
    <b v="1"/>
    <b v="1"/>
    <b v="1"/>
    <b v="1"/>
    <b v="1"/>
  </r>
  <r>
    <x v="548"/>
    <n v="989"/>
    <n v="71"/>
    <n v="918"/>
    <n v="979100"/>
    <n v="158200"/>
    <n v="1137300"/>
    <n v="682"/>
    <n v="8"/>
    <n v="690"/>
    <b v="1"/>
    <b v="1"/>
    <b v="1"/>
    <b v="1"/>
    <b v="1"/>
    <b v="1"/>
  </r>
  <r>
    <x v="549"/>
    <n v="607"/>
    <n v="40"/>
    <n v="567"/>
    <n v="441325"/>
    <n v="94800"/>
    <n v="536125"/>
    <n v="459"/>
    <n v="8"/>
    <n v="467"/>
    <b v="1"/>
    <b v="1"/>
    <b v="1"/>
    <b v="1"/>
    <b v="1"/>
    <b v="1"/>
  </r>
  <r>
    <x v="550"/>
    <n v="963"/>
    <n v="81"/>
    <n v="882"/>
    <n v="784525"/>
    <n v="191507"/>
    <n v="976032"/>
    <n v="634"/>
    <n v="14"/>
    <n v="648"/>
    <b v="1"/>
    <b v="1"/>
    <b v="1"/>
    <b v="1"/>
    <b v="1"/>
    <b v="1"/>
  </r>
  <r>
    <x v="551"/>
    <n v="1053"/>
    <n v="70"/>
    <n v="983"/>
    <n v="759485"/>
    <n v="426050"/>
    <n v="1185535"/>
    <n v="738"/>
    <n v="17"/>
    <n v="755"/>
    <b v="1"/>
    <b v="1"/>
    <b v="1"/>
    <b v="1"/>
    <b v="1"/>
    <b v="1"/>
  </r>
  <r>
    <x v="552"/>
    <n v="1235"/>
    <n v="63"/>
    <n v="1172"/>
    <n v="780950"/>
    <n v="241950"/>
    <n v="1022900"/>
    <n v="879"/>
    <n v="2"/>
    <n v="881"/>
    <b v="1"/>
    <b v="1"/>
    <b v="1"/>
    <b v="1"/>
    <b v="1"/>
    <b v="1"/>
  </r>
  <r>
    <x v="553"/>
    <n v="1137"/>
    <n v="51"/>
    <n v="1086"/>
    <n v="769500"/>
    <n v="295800"/>
    <n v="1065300"/>
    <n v="810"/>
    <n v="1"/>
    <n v="811"/>
    <b v="1"/>
    <b v="1"/>
    <b v="1"/>
    <b v="1"/>
    <b v="1"/>
    <b v="1"/>
  </r>
  <r>
    <x v="554"/>
    <n v="1597"/>
    <n v="81"/>
    <n v="1516"/>
    <n v="883650"/>
    <n v="191200"/>
    <n v="1074850"/>
    <n v="1191"/>
    <n v="17"/>
    <n v="1208"/>
    <b v="1"/>
    <b v="1"/>
    <b v="1"/>
    <b v="1"/>
    <b v="1"/>
    <b v="1"/>
  </r>
  <r>
    <x v="555"/>
    <n v="1392"/>
    <n v="62"/>
    <n v="1330"/>
    <n v="805225"/>
    <n v="189100"/>
    <n v="994325"/>
    <n v="1143"/>
    <n v="3"/>
    <n v="1146"/>
    <b v="1"/>
    <b v="1"/>
    <b v="1"/>
    <b v="1"/>
    <b v="1"/>
    <b v="1"/>
  </r>
  <r>
    <x v="556"/>
    <n v="754"/>
    <n v="45"/>
    <n v="709"/>
    <n v="540050"/>
    <n v="190070"/>
    <n v="730120"/>
    <n v="556"/>
    <n v="7"/>
    <n v="563"/>
    <b v="1"/>
    <b v="1"/>
    <b v="1"/>
    <b v="1"/>
    <b v="1"/>
    <b v="1"/>
  </r>
  <r>
    <x v="557"/>
    <n v="1181"/>
    <n v="88"/>
    <n v="1093"/>
    <n v="1075400"/>
    <n v="491100"/>
    <n v="1566500"/>
    <n v="902"/>
    <n v="5"/>
    <n v="907"/>
    <b v="1"/>
    <b v="1"/>
    <b v="1"/>
    <b v="1"/>
    <b v="1"/>
    <b v="1"/>
  </r>
  <r>
    <x v="558"/>
    <n v="1435"/>
    <n v="94"/>
    <n v="1341"/>
    <n v="1051550"/>
    <n v="450191"/>
    <n v="1501741"/>
    <n v="1068"/>
    <n v="17"/>
    <n v="1085"/>
    <b v="1"/>
    <b v="1"/>
    <b v="1"/>
    <b v="1"/>
    <b v="1"/>
    <b v="1"/>
  </r>
  <r>
    <x v="559"/>
    <n v="1509"/>
    <n v="110"/>
    <n v="1399"/>
    <n v="919725"/>
    <n v="359375"/>
    <n v="1279100"/>
    <n v="1075"/>
    <n v="4"/>
    <n v="1079"/>
    <b v="1"/>
    <b v="1"/>
    <b v="1"/>
    <b v="1"/>
    <b v="1"/>
    <b v="1"/>
  </r>
  <r>
    <x v="560"/>
    <n v="1026"/>
    <n v="84"/>
    <n v="942"/>
    <n v="1219700"/>
    <n v="359050"/>
    <n v="1578750"/>
    <n v="656"/>
    <n v="13"/>
    <n v="669"/>
    <b v="1"/>
    <b v="1"/>
    <b v="1"/>
    <b v="1"/>
    <b v="1"/>
    <b v="1"/>
  </r>
  <r>
    <x v="561"/>
    <n v="1411"/>
    <n v="71"/>
    <n v="1340"/>
    <n v="1101614"/>
    <n v="146849"/>
    <n v="1248463"/>
    <n v="991"/>
    <n v="9"/>
    <n v="1000"/>
    <b v="1"/>
    <b v="1"/>
    <b v="1"/>
    <b v="1"/>
    <b v="1"/>
    <b v="1"/>
  </r>
  <r>
    <x v="562"/>
    <n v="928"/>
    <n v="64"/>
    <n v="864"/>
    <n v="1099100"/>
    <n v="318650"/>
    <n v="1417750"/>
    <n v="607"/>
    <n v="2"/>
    <n v="609"/>
    <b v="1"/>
    <b v="1"/>
    <b v="1"/>
    <b v="1"/>
    <b v="1"/>
    <b v="1"/>
  </r>
  <r>
    <x v="563"/>
    <n v="773"/>
    <n v="68"/>
    <n v="705"/>
    <n v="733550"/>
    <n v="198150"/>
    <n v="931700"/>
    <n v="524"/>
    <n v="14"/>
    <n v="538"/>
    <b v="1"/>
    <b v="1"/>
    <b v="1"/>
    <b v="1"/>
    <b v="1"/>
    <b v="1"/>
  </r>
  <r>
    <x v="564"/>
    <n v="983"/>
    <n v="75"/>
    <n v="908"/>
    <n v="1213150"/>
    <n v="451849"/>
    <n v="1664999"/>
    <n v="673"/>
    <n v="4"/>
    <n v="677"/>
    <b v="1"/>
    <b v="1"/>
    <b v="1"/>
    <b v="1"/>
    <b v="1"/>
    <b v="1"/>
  </r>
  <r>
    <x v="565"/>
    <n v="1251"/>
    <n v="96"/>
    <n v="1155"/>
    <n v="1086696"/>
    <n v="216627"/>
    <n v="1303323"/>
    <n v="906"/>
    <n v="31"/>
    <n v="937"/>
    <b v="1"/>
    <b v="1"/>
    <b v="1"/>
    <b v="1"/>
    <b v="1"/>
    <b v="1"/>
  </r>
  <r>
    <x v="566"/>
    <n v="1211"/>
    <n v="124"/>
    <n v="1087"/>
    <n v="1178040"/>
    <n v="307575"/>
    <n v="1485615"/>
    <n v="796"/>
    <n v="12"/>
    <n v="808"/>
    <b v="1"/>
    <b v="1"/>
    <b v="1"/>
    <b v="1"/>
    <b v="1"/>
    <b v="1"/>
  </r>
  <r>
    <x v="567"/>
    <n v="1363"/>
    <n v="91"/>
    <n v="1272"/>
    <n v="1185610"/>
    <n v="375800"/>
    <n v="1561410"/>
    <n v="871"/>
    <n v="19"/>
    <n v="890"/>
    <b v="1"/>
    <b v="1"/>
    <b v="1"/>
    <b v="1"/>
    <b v="1"/>
    <b v="1"/>
  </r>
  <r>
    <x v="568"/>
    <n v="1263"/>
    <n v="99"/>
    <n v="1164"/>
    <n v="999150"/>
    <n v="347550"/>
    <n v="1346700"/>
    <n v="880"/>
    <n v="5"/>
    <n v="885"/>
    <b v="1"/>
    <b v="1"/>
    <b v="1"/>
    <b v="1"/>
    <b v="1"/>
    <b v="1"/>
  </r>
  <r>
    <x v="569"/>
    <n v="1005"/>
    <n v="63"/>
    <n v="942"/>
    <n v="827250"/>
    <n v="389825"/>
    <n v="1217075"/>
    <n v="722"/>
    <n v="8"/>
    <n v="730"/>
    <b v="1"/>
    <b v="1"/>
    <b v="1"/>
    <b v="1"/>
    <b v="1"/>
    <b v="1"/>
  </r>
  <r>
    <x v="570"/>
    <n v="753"/>
    <n v="43"/>
    <n v="710"/>
    <n v="559810"/>
    <n v="226659"/>
    <n v="786469"/>
    <n v="580"/>
    <n v="6"/>
    <n v="586"/>
    <b v="1"/>
    <b v="1"/>
    <b v="1"/>
    <b v="1"/>
    <b v="1"/>
    <b v="1"/>
  </r>
  <r>
    <x v="571"/>
    <n v="1049"/>
    <n v="67"/>
    <n v="982"/>
    <n v="1112700"/>
    <n v="260300"/>
    <n v="1373000"/>
    <n v="727"/>
    <n v="13"/>
    <n v="740"/>
    <b v="1"/>
    <b v="1"/>
    <b v="1"/>
    <b v="1"/>
    <b v="1"/>
    <b v="1"/>
  </r>
  <r>
    <x v="572"/>
    <n v="1557"/>
    <n v="99"/>
    <n v="1458"/>
    <n v="812845"/>
    <n v="255450"/>
    <n v="1068295"/>
    <n v="1175"/>
    <n v="5"/>
    <n v="1180"/>
    <b v="1"/>
    <b v="1"/>
    <b v="1"/>
    <b v="1"/>
    <b v="1"/>
    <b v="1"/>
  </r>
  <r>
    <x v="573"/>
    <n v="1477"/>
    <n v="116"/>
    <n v="1361"/>
    <n v="1178000"/>
    <n v="469290"/>
    <n v="1647290"/>
    <n v="1053"/>
    <n v="8"/>
    <n v="1061"/>
    <b v="1"/>
    <b v="1"/>
    <b v="1"/>
    <b v="1"/>
    <b v="1"/>
    <b v="1"/>
  </r>
  <r>
    <x v="574"/>
    <n v="1135"/>
    <n v="76"/>
    <n v="1059"/>
    <n v="903700"/>
    <n v="305400"/>
    <n v="1209100"/>
    <n v="762"/>
    <n v="16"/>
    <n v="778"/>
    <b v="1"/>
    <b v="1"/>
    <b v="1"/>
    <b v="1"/>
    <b v="1"/>
    <b v="1"/>
  </r>
  <r>
    <x v="575"/>
    <n v="1109"/>
    <n v="80"/>
    <n v="1029"/>
    <n v="1097335"/>
    <n v="319150"/>
    <n v="1416485"/>
    <n v="720"/>
    <n v="7"/>
    <n v="727"/>
    <b v="1"/>
    <b v="1"/>
    <b v="1"/>
    <b v="1"/>
    <b v="1"/>
    <b v="1"/>
  </r>
  <r>
    <x v="576"/>
    <n v="1379"/>
    <n v="72"/>
    <n v="1307"/>
    <n v="836371"/>
    <n v="181940"/>
    <n v="1018311"/>
    <n v="1080"/>
    <n v="8"/>
    <n v="1088"/>
    <b v="1"/>
    <b v="1"/>
    <b v="1"/>
    <b v="1"/>
    <b v="1"/>
    <b v="1"/>
  </r>
  <r>
    <x v="577"/>
    <n v="1098"/>
    <n v="30"/>
    <n v="1068"/>
    <n v="505410"/>
    <n v="77900"/>
    <n v="583310"/>
    <n v="865"/>
    <n v="5"/>
    <n v="870"/>
    <b v="1"/>
    <b v="1"/>
    <b v="1"/>
    <b v="1"/>
    <b v="1"/>
    <b v="1"/>
  </r>
  <r>
    <x v="578"/>
    <n v="884"/>
    <n v="92"/>
    <n v="792"/>
    <n v="870400"/>
    <n v="281550"/>
    <n v="1151950"/>
    <n v="556"/>
    <n v="15"/>
    <n v="571"/>
    <b v="1"/>
    <b v="1"/>
    <b v="1"/>
    <b v="1"/>
    <b v="1"/>
    <b v="1"/>
  </r>
  <r>
    <x v="579"/>
    <n v="1365"/>
    <n v="124"/>
    <n v="1241"/>
    <n v="1180650"/>
    <n v="390810"/>
    <n v="1571460"/>
    <n v="949"/>
    <n v="6"/>
    <n v="955"/>
    <b v="1"/>
    <b v="1"/>
    <b v="1"/>
    <b v="1"/>
    <b v="1"/>
    <b v="1"/>
  </r>
  <r>
    <x v="580"/>
    <n v="1674"/>
    <n v="84"/>
    <n v="1590"/>
    <n v="830425"/>
    <n v="259500"/>
    <n v="1089925"/>
    <n v="1308"/>
    <n v="25"/>
    <n v="1333"/>
    <b v="1"/>
    <b v="1"/>
    <b v="1"/>
    <b v="1"/>
    <b v="1"/>
    <b v="1"/>
  </r>
  <r>
    <x v="581"/>
    <n v="1775"/>
    <n v="97"/>
    <n v="1678"/>
    <n v="979310"/>
    <n v="398070"/>
    <n v="1377380"/>
    <n v="1381"/>
    <n v="5"/>
    <n v="1386"/>
    <b v="1"/>
    <b v="1"/>
    <b v="1"/>
    <b v="1"/>
    <b v="1"/>
    <b v="1"/>
  </r>
  <r>
    <x v="582"/>
    <n v="1501"/>
    <n v="75"/>
    <n v="1426"/>
    <n v="1115852"/>
    <n v="264150"/>
    <n v="1380002"/>
    <n v="1167"/>
    <n v="4"/>
    <n v="1171"/>
    <b v="1"/>
    <b v="1"/>
    <b v="1"/>
    <b v="1"/>
    <b v="1"/>
    <b v="1"/>
  </r>
  <r>
    <x v="583"/>
    <n v="1447"/>
    <n v="91"/>
    <n v="1356"/>
    <n v="732100"/>
    <n v="215550"/>
    <n v="947650"/>
    <n v="1091"/>
    <n v="5"/>
    <n v="1096"/>
    <b v="1"/>
    <b v="1"/>
    <b v="1"/>
    <b v="1"/>
    <b v="1"/>
    <b v="1"/>
  </r>
  <r>
    <x v="584"/>
    <n v="937"/>
    <n v="73"/>
    <n v="864"/>
    <n v="790300"/>
    <n v="205550"/>
    <n v="995850"/>
    <n v="669"/>
    <n v="7"/>
    <n v="676"/>
    <b v="1"/>
    <b v="1"/>
    <b v="1"/>
    <b v="1"/>
    <b v="1"/>
    <b v="1"/>
  </r>
  <r>
    <x v="585"/>
    <n v="1543"/>
    <n v="96"/>
    <n v="1447"/>
    <n v="852660"/>
    <n v="137850"/>
    <n v="990510"/>
    <n v="1140"/>
    <n v="7"/>
    <n v="1147"/>
    <b v="1"/>
    <b v="1"/>
    <b v="1"/>
    <b v="1"/>
    <b v="1"/>
    <b v="1"/>
  </r>
  <r>
    <x v="586"/>
    <n v="1603"/>
    <n v="111"/>
    <n v="1492"/>
    <n v="987450"/>
    <n v="426750"/>
    <n v="1414200"/>
    <n v="1218"/>
    <n v="3"/>
    <n v="1221"/>
    <b v="1"/>
    <b v="1"/>
    <b v="1"/>
    <b v="1"/>
    <b v="1"/>
    <b v="1"/>
  </r>
  <r>
    <x v="587"/>
    <n v="1684"/>
    <n v="112"/>
    <n v="1572"/>
    <n v="1175475"/>
    <n v="356500"/>
    <n v="1531975"/>
    <n v="1238"/>
    <n v="5"/>
    <n v="1243"/>
    <b v="1"/>
    <b v="1"/>
    <b v="1"/>
    <b v="1"/>
    <b v="1"/>
    <b v="1"/>
  </r>
  <r>
    <x v="588"/>
    <n v="1017"/>
    <n v="100"/>
    <n v="917"/>
    <n v="848310"/>
    <n v="313076"/>
    <n v="1161386"/>
    <n v="661"/>
    <n v="11"/>
    <n v="672"/>
    <b v="1"/>
    <b v="1"/>
    <b v="1"/>
    <b v="1"/>
    <b v="1"/>
    <b v="1"/>
  </r>
  <r>
    <x v="589"/>
    <n v="1399"/>
    <n v="130"/>
    <n v="1269"/>
    <n v="746952"/>
    <n v="416900"/>
    <n v="1163852"/>
    <n v="880"/>
    <n v="31"/>
    <n v="911"/>
    <b v="1"/>
    <b v="1"/>
    <b v="1"/>
    <b v="1"/>
    <b v="1"/>
    <b v="1"/>
  </r>
  <r>
    <x v="590"/>
    <n v="700"/>
    <n v="64"/>
    <n v="636"/>
    <n v="453100"/>
    <n v="177800"/>
    <n v="630900"/>
    <n v="475"/>
    <n v="7"/>
    <n v="482"/>
    <b v="1"/>
    <b v="1"/>
    <b v="1"/>
    <b v="1"/>
    <b v="1"/>
    <b v="1"/>
  </r>
  <r>
    <x v="591"/>
    <n v="525"/>
    <n v="41"/>
    <n v="484"/>
    <n v="286400"/>
    <n v="90640"/>
    <n v="377040"/>
    <n v="346"/>
    <n v="10"/>
    <n v="356"/>
    <b v="1"/>
    <b v="1"/>
    <b v="1"/>
    <b v="1"/>
    <b v="1"/>
    <b v="1"/>
  </r>
  <r>
    <x v="592"/>
    <n v="153"/>
    <n v="34"/>
    <n v="119"/>
    <n v="121100"/>
    <n v="202800"/>
    <n v="323900"/>
    <n v="50"/>
    <n v="7"/>
    <n v="57"/>
    <b v="1"/>
    <b v="1"/>
    <b v="1"/>
    <b v="1"/>
    <b v="1"/>
    <b v="1"/>
  </r>
  <r>
    <x v="593"/>
    <n v="1324"/>
    <n v="112"/>
    <n v="1212"/>
    <n v="995100"/>
    <n v="160524"/>
    <n v="1155624"/>
    <n v="1019"/>
    <n v="5"/>
    <n v="1024"/>
    <b v="1"/>
    <b v="1"/>
    <b v="1"/>
    <b v="1"/>
    <b v="1"/>
    <b v="1"/>
  </r>
  <r>
    <x v="594"/>
    <n v="1462"/>
    <n v="129"/>
    <n v="1333"/>
    <n v="920000"/>
    <n v="224204"/>
    <n v="1144204"/>
    <n v="1141"/>
    <n v="11"/>
    <n v="1152"/>
    <b v="1"/>
    <b v="1"/>
    <b v="1"/>
    <b v="1"/>
    <b v="1"/>
    <b v="1"/>
  </r>
  <r>
    <x v="595"/>
    <n v="671"/>
    <n v="35"/>
    <n v="636"/>
    <n v="527350"/>
    <n v="43850"/>
    <n v="571200"/>
    <n v="476"/>
    <n v="1"/>
    <n v="477"/>
    <b v="1"/>
    <b v="1"/>
    <b v="1"/>
    <b v="1"/>
    <b v="1"/>
    <b v="1"/>
  </r>
  <r>
    <x v="596"/>
    <n v="1649"/>
    <n v="125"/>
    <n v="1524"/>
    <n v="812050"/>
    <n v="261275"/>
    <n v="1073325"/>
    <n v="1309"/>
    <n v="7"/>
    <n v="1316"/>
    <b v="1"/>
    <b v="1"/>
    <b v="1"/>
    <b v="1"/>
    <b v="1"/>
    <b v="1"/>
  </r>
  <r>
    <x v="597"/>
    <n v="1221"/>
    <n v="87"/>
    <n v="1134"/>
    <n v="1173670"/>
    <n v="254750"/>
    <n v="1428420"/>
    <n v="916"/>
    <n v="4"/>
    <n v="920"/>
    <b v="1"/>
    <b v="1"/>
    <b v="1"/>
    <b v="1"/>
    <b v="1"/>
    <b v="1"/>
  </r>
  <r>
    <x v="598"/>
    <n v="643"/>
    <n v="57"/>
    <n v="586"/>
    <n v="449600"/>
    <n v="114570"/>
    <n v="564170"/>
    <n v="480"/>
    <n v="10"/>
    <n v="490"/>
    <b v="1"/>
    <b v="1"/>
    <b v="1"/>
    <b v="1"/>
    <b v="1"/>
    <b v="1"/>
  </r>
  <r>
    <x v="599"/>
    <n v="1499"/>
    <n v="109"/>
    <n v="1390"/>
    <n v="1222050"/>
    <n v="383850"/>
    <n v="1605900"/>
    <n v="1170"/>
    <n v="9"/>
    <n v="1179"/>
    <b v="1"/>
    <b v="1"/>
    <b v="1"/>
    <b v="1"/>
    <b v="1"/>
    <b v="1"/>
  </r>
  <r>
    <x v="600"/>
    <n v="1812"/>
    <n v="116"/>
    <n v="1696"/>
    <n v="916579"/>
    <n v="413940"/>
    <n v="1330519"/>
    <n v="1446"/>
    <n v="12"/>
    <n v="1458"/>
    <b v="1"/>
    <b v="1"/>
    <b v="1"/>
    <b v="1"/>
    <b v="1"/>
    <b v="1"/>
  </r>
  <r>
    <x v="601"/>
    <n v="1521"/>
    <n v="88"/>
    <n v="1433"/>
    <n v="965000"/>
    <n v="381380"/>
    <n v="1346380"/>
    <n v="1151"/>
    <n v="9"/>
    <n v="1160"/>
    <b v="1"/>
    <b v="1"/>
    <b v="1"/>
    <b v="1"/>
    <b v="1"/>
    <b v="1"/>
  </r>
  <r>
    <x v="602"/>
    <n v="1131"/>
    <n v="49"/>
    <n v="1082"/>
    <n v="659750"/>
    <n v="170700"/>
    <n v="830450"/>
    <n v="928"/>
    <n v="19"/>
    <n v="947"/>
    <b v="1"/>
    <b v="1"/>
    <b v="1"/>
    <b v="1"/>
    <b v="1"/>
    <b v="1"/>
  </r>
  <r>
    <x v="603"/>
    <n v="1322"/>
    <n v="80"/>
    <n v="1242"/>
    <n v="821650"/>
    <n v="196300"/>
    <n v="1017950"/>
    <n v="1033"/>
    <n v="28"/>
    <n v="1061"/>
    <b v="1"/>
    <b v="1"/>
    <b v="1"/>
    <b v="1"/>
    <b v="1"/>
    <b v="1"/>
  </r>
  <r>
    <x v="604"/>
    <n v="1478"/>
    <n v="88"/>
    <n v="1390"/>
    <n v="983384"/>
    <n v="224765"/>
    <n v="1208149"/>
    <n v="1071"/>
    <n v="7"/>
    <n v="1078"/>
    <b v="1"/>
    <b v="1"/>
    <b v="1"/>
    <b v="1"/>
    <b v="1"/>
    <b v="1"/>
  </r>
  <r>
    <x v="605"/>
    <n v="821"/>
    <n v="69"/>
    <n v="752"/>
    <n v="448350"/>
    <n v="221430"/>
    <n v="669780"/>
    <n v="591"/>
    <n v="7"/>
    <n v="598"/>
    <b v="1"/>
    <b v="1"/>
    <b v="1"/>
    <b v="1"/>
    <b v="1"/>
    <b v="1"/>
  </r>
  <r>
    <x v="606"/>
    <n v="1160"/>
    <n v="88"/>
    <n v="1072"/>
    <n v="977200"/>
    <n v="334597"/>
    <n v="1311797"/>
    <n v="793"/>
    <n v="2"/>
    <n v="795"/>
    <b v="1"/>
    <b v="1"/>
    <b v="1"/>
    <b v="1"/>
    <b v="1"/>
    <b v="1"/>
  </r>
  <r>
    <x v="607"/>
    <n v="1515"/>
    <n v="115"/>
    <n v="1400"/>
    <n v="898550"/>
    <n v="433404"/>
    <n v="1331954"/>
    <n v="1063"/>
    <n v="8"/>
    <n v="1071"/>
    <b v="1"/>
    <b v="1"/>
    <b v="1"/>
    <b v="1"/>
    <b v="1"/>
    <b v="1"/>
  </r>
  <r>
    <x v="608"/>
    <n v="914"/>
    <n v="78"/>
    <n v="836"/>
    <n v="727900"/>
    <n v="300350"/>
    <n v="1028250"/>
    <n v="637"/>
    <n v="13"/>
    <n v="650"/>
    <b v="1"/>
    <b v="1"/>
    <b v="1"/>
    <b v="1"/>
    <b v="1"/>
    <b v="1"/>
  </r>
  <r>
    <x v="609"/>
    <n v="1231"/>
    <n v="96"/>
    <n v="1135"/>
    <n v="1045400"/>
    <n v="273760"/>
    <n v="1319160"/>
    <n v="899"/>
    <n v="2"/>
    <n v="901"/>
    <b v="1"/>
    <b v="1"/>
    <b v="1"/>
    <b v="1"/>
    <b v="1"/>
    <b v="1"/>
  </r>
  <r>
    <x v="610"/>
    <n v="947"/>
    <n v="79"/>
    <n v="868"/>
    <n v="813300"/>
    <n v="400326"/>
    <n v="1213626"/>
    <n v="704"/>
    <n v="22"/>
    <n v="726"/>
    <b v="1"/>
    <b v="1"/>
    <b v="1"/>
    <b v="1"/>
    <b v="1"/>
    <b v="1"/>
  </r>
  <r>
    <x v="611"/>
    <n v="1087"/>
    <n v="60"/>
    <n v="1027"/>
    <n v="1164400"/>
    <n v="238880"/>
    <n v="1403280"/>
    <n v="813"/>
    <n v="9"/>
    <n v="822"/>
    <b v="1"/>
    <b v="1"/>
    <b v="1"/>
    <b v="1"/>
    <b v="1"/>
    <b v="1"/>
  </r>
  <r>
    <x v="612"/>
    <n v="859"/>
    <n v="53"/>
    <n v="806"/>
    <n v="572385"/>
    <n v="49385"/>
    <n v="621770"/>
    <n v="622"/>
    <n v="1"/>
    <n v="623"/>
    <b v="1"/>
    <b v="1"/>
    <b v="1"/>
    <b v="1"/>
    <b v="1"/>
    <b v="1"/>
  </r>
  <r>
    <x v="613"/>
    <n v="721"/>
    <n v="64"/>
    <n v="657"/>
    <n v="595200"/>
    <n v="130100"/>
    <n v="725300"/>
    <n v="483"/>
    <n v="17"/>
    <n v="500"/>
    <b v="1"/>
    <b v="1"/>
    <b v="1"/>
    <b v="1"/>
    <b v="1"/>
    <b v="1"/>
  </r>
  <r>
    <x v="614"/>
    <n v="1056"/>
    <n v="92"/>
    <n v="964"/>
    <n v="1264200"/>
    <n v="253275"/>
    <n v="1517475"/>
    <n v="711"/>
    <n v="21"/>
    <n v="732"/>
    <b v="1"/>
    <b v="1"/>
    <b v="1"/>
    <b v="1"/>
    <b v="1"/>
    <b v="1"/>
  </r>
  <r>
    <x v="615"/>
    <n v="1187"/>
    <n v="118"/>
    <n v="1069"/>
    <n v="1295845"/>
    <n v="494939"/>
    <n v="1790784"/>
    <n v="832"/>
    <n v="8"/>
    <n v="840"/>
    <b v="1"/>
    <b v="1"/>
    <b v="1"/>
    <b v="1"/>
    <b v="1"/>
    <b v="1"/>
  </r>
  <r>
    <x v="616"/>
    <n v="1143"/>
    <n v="72"/>
    <n v="1071"/>
    <n v="1125500"/>
    <n v="179200"/>
    <n v="1304700"/>
    <n v="829"/>
    <n v="8"/>
    <n v="837"/>
    <b v="1"/>
    <b v="1"/>
    <b v="1"/>
    <b v="1"/>
    <b v="1"/>
    <b v="1"/>
  </r>
  <r>
    <x v="617"/>
    <n v="1191"/>
    <n v="115"/>
    <n v="1076"/>
    <n v="888350"/>
    <n v="461175"/>
    <n v="1349525"/>
    <n v="826"/>
    <n v="5"/>
    <n v="831"/>
    <b v="1"/>
    <b v="1"/>
    <b v="1"/>
    <b v="1"/>
    <b v="1"/>
    <b v="1"/>
  </r>
  <r>
    <x v="618"/>
    <n v="900"/>
    <n v="119"/>
    <n v="781"/>
    <n v="900330"/>
    <n v="450900"/>
    <n v="1351230"/>
    <n v="611"/>
    <n v="12"/>
    <n v="623"/>
    <b v="1"/>
    <b v="1"/>
    <b v="1"/>
    <b v="1"/>
    <b v="1"/>
    <b v="1"/>
  </r>
  <r>
    <x v="619"/>
    <n v="561"/>
    <n v="50"/>
    <n v="511"/>
    <n v="514150"/>
    <n v="100100"/>
    <n v="614250"/>
    <n v="426"/>
    <n v="16"/>
    <n v="442"/>
    <b v="1"/>
    <b v="1"/>
    <b v="1"/>
    <b v="1"/>
    <b v="1"/>
    <b v="1"/>
  </r>
  <r>
    <x v="620"/>
    <n v="730"/>
    <n v="47"/>
    <n v="683"/>
    <n v="513400"/>
    <n v="87650"/>
    <n v="601050"/>
    <n v="526"/>
    <n v="13"/>
    <n v="539"/>
    <b v="1"/>
    <b v="1"/>
    <b v="1"/>
    <b v="1"/>
    <b v="1"/>
    <b v="1"/>
  </r>
  <r>
    <x v="621"/>
    <n v="713"/>
    <n v="35"/>
    <n v="678"/>
    <n v="450500"/>
    <n v="104725"/>
    <n v="555225"/>
    <n v="518"/>
    <n v="9"/>
    <n v="527"/>
    <b v="1"/>
    <b v="1"/>
    <b v="1"/>
    <b v="1"/>
    <b v="1"/>
    <b v="1"/>
  </r>
  <r>
    <x v="622"/>
    <n v="851"/>
    <n v="72"/>
    <n v="779"/>
    <n v="687750"/>
    <n v="213369"/>
    <n v="901119"/>
    <n v="551"/>
    <n v="22"/>
    <n v="573"/>
    <b v="1"/>
    <b v="1"/>
    <b v="1"/>
    <b v="1"/>
    <b v="1"/>
    <b v="1"/>
  </r>
  <r>
    <x v="623"/>
    <n v="1149"/>
    <n v="80"/>
    <n v="1069"/>
    <n v="775698"/>
    <n v="279310"/>
    <n v="1055008"/>
    <n v="865"/>
    <n v="15"/>
    <n v="880"/>
    <b v="1"/>
    <b v="1"/>
    <b v="1"/>
    <b v="1"/>
    <b v="1"/>
    <b v="1"/>
  </r>
  <r>
    <x v="624"/>
    <n v="1007"/>
    <n v="56"/>
    <n v="951"/>
    <n v="921250"/>
    <n v="179050"/>
    <n v="1100300"/>
    <n v="762"/>
    <n v="3"/>
    <n v="765"/>
    <b v="1"/>
    <b v="1"/>
    <b v="1"/>
    <b v="1"/>
    <b v="1"/>
    <b v="1"/>
  </r>
  <r>
    <x v="625"/>
    <n v="1043"/>
    <n v="78"/>
    <n v="965"/>
    <n v="737499"/>
    <n v="382700"/>
    <n v="1120199"/>
    <n v="790"/>
    <n v="27"/>
    <n v="817"/>
    <b v="1"/>
    <b v="1"/>
    <b v="1"/>
    <b v="1"/>
    <b v="1"/>
    <b v="1"/>
  </r>
  <r>
    <x v="626"/>
    <n v="422"/>
    <n v="50"/>
    <n v="372"/>
    <n v="294200"/>
    <n v="102400"/>
    <n v="396600"/>
    <n v="227"/>
    <n v="10"/>
    <n v="237"/>
    <b v="1"/>
    <b v="1"/>
    <b v="1"/>
    <b v="1"/>
    <b v="1"/>
    <b v="1"/>
  </r>
  <r>
    <x v="627"/>
    <n v="980"/>
    <n v="72"/>
    <n v="908"/>
    <n v="875100"/>
    <n v="209350"/>
    <n v="1084450"/>
    <n v="642"/>
    <n v="24"/>
    <n v="666"/>
    <b v="1"/>
    <b v="1"/>
    <b v="1"/>
    <b v="1"/>
    <b v="1"/>
    <b v="1"/>
  </r>
  <r>
    <x v="628"/>
    <n v="1293"/>
    <n v="107"/>
    <n v="1186"/>
    <n v="1022501"/>
    <n v="264152"/>
    <n v="1286653"/>
    <n v="894"/>
    <n v="11"/>
    <n v="905"/>
    <b v="1"/>
    <b v="1"/>
    <b v="1"/>
    <b v="1"/>
    <b v="1"/>
    <b v="1"/>
  </r>
  <r>
    <x v="629"/>
    <n v="1196"/>
    <n v="93"/>
    <n v="1103"/>
    <n v="1084400"/>
    <n v="303400"/>
    <n v="1387800"/>
    <n v="837"/>
    <n v="8"/>
    <n v="845"/>
    <b v="1"/>
    <b v="1"/>
    <b v="1"/>
    <b v="1"/>
    <b v="1"/>
    <b v="1"/>
  </r>
  <r>
    <x v="630"/>
    <n v="1253"/>
    <n v="87"/>
    <n v="1166"/>
    <n v="1050549"/>
    <n v="358590"/>
    <n v="1409139"/>
    <n v="914"/>
    <n v="25"/>
    <n v="939"/>
    <b v="1"/>
    <b v="1"/>
    <b v="1"/>
    <b v="1"/>
    <b v="1"/>
    <b v="1"/>
  </r>
  <r>
    <x v="631"/>
    <n v="1055"/>
    <n v="117"/>
    <n v="938"/>
    <n v="852400"/>
    <n v="531250"/>
    <n v="1383650"/>
    <n v="659"/>
    <n v="6"/>
    <n v="665"/>
    <b v="1"/>
    <b v="1"/>
    <b v="1"/>
    <b v="1"/>
    <b v="1"/>
    <b v="1"/>
  </r>
  <r>
    <x v="632"/>
    <n v="940"/>
    <n v="85"/>
    <n v="855"/>
    <n v="735442"/>
    <n v="260650"/>
    <n v="996092"/>
    <n v="621"/>
    <n v="4"/>
    <n v="625"/>
    <b v="1"/>
    <b v="1"/>
    <b v="1"/>
    <b v="1"/>
    <b v="1"/>
    <b v="1"/>
  </r>
  <r>
    <x v="633"/>
    <n v="804"/>
    <n v="48"/>
    <n v="756"/>
    <n v="759900"/>
    <n v="110500"/>
    <n v="870400"/>
    <n v="567"/>
    <n v="1"/>
    <n v="568"/>
    <b v="1"/>
    <b v="1"/>
    <b v="1"/>
    <b v="1"/>
    <b v="1"/>
    <b v="1"/>
  </r>
  <r>
    <x v="634"/>
    <n v="918"/>
    <n v="58"/>
    <n v="860"/>
    <n v="706320"/>
    <n v="145150"/>
    <n v="851470"/>
    <n v="613"/>
    <n v="5"/>
    <n v="618"/>
    <b v="1"/>
    <b v="1"/>
    <b v="1"/>
    <b v="1"/>
    <b v="1"/>
    <b v="1"/>
  </r>
  <r>
    <x v="635"/>
    <n v="1088"/>
    <n v="83"/>
    <n v="1005"/>
    <n v="1054754"/>
    <n v="334701"/>
    <n v="1389455"/>
    <n v="760"/>
    <n v="15"/>
    <n v="775"/>
    <b v="1"/>
    <b v="1"/>
    <b v="1"/>
    <b v="1"/>
    <b v="1"/>
    <b v="1"/>
  </r>
  <r>
    <x v="636"/>
    <n v="1170"/>
    <n v="96"/>
    <n v="1074"/>
    <n v="1065850"/>
    <n v="1090851"/>
    <n v="2156701"/>
    <n v="849"/>
    <n v="18"/>
    <n v="867"/>
    <b v="1"/>
    <b v="1"/>
    <b v="1"/>
    <b v="1"/>
    <b v="1"/>
    <b v="1"/>
  </r>
  <r>
    <x v="637"/>
    <n v="1079"/>
    <n v="112"/>
    <n v="967"/>
    <n v="1278735"/>
    <n v="337310"/>
    <n v="1616045"/>
    <n v="721"/>
    <n v="7"/>
    <n v="728"/>
    <b v="1"/>
    <b v="1"/>
    <b v="1"/>
    <b v="1"/>
    <b v="1"/>
    <b v="1"/>
  </r>
  <r>
    <x v="638"/>
    <n v="907"/>
    <n v="50"/>
    <n v="857"/>
    <n v="392200"/>
    <n v="88100"/>
    <n v="480300"/>
    <n v="676"/>
    <n v="10"/>
    <n v="686"/>
    <b v="1"/>
    <b v="1"/>
    <b v="1"/>
    <b v="1"/>
    <b v="1"/>
    <b v="1"/>
  </r>
  <r>
    <x v="639"/>
    <n v="1181"/>
    <n v="72"/>
    <n v="1109"/>
    <n v="1283700"/>
    <n v="166950"/>
    <n v="1450650"/>
    <n v="906"/>
    <n v="8"/>
    <n v="914"/>
    <b v="1"/>
    <b v="1"/>
    <b v="1"/>
    <b v="1"/>
    <b v="1"/>
    <b v="1"/>
  </r>
  <r>
    <x v="640"/>
    <n v="427"/>
    <n v="39"/>
    <n v="388"/>
    <n v="670340"/>
    <n v="99100"/>
    <n v="769440"/>
    <n v="258"/>
    <n v="1"/>
    <n v="259"/>
    <b v="1"/>
    <b v="1"/>
    <b v="1"/>
    <b v="1"/>
    <b v="1"/>
    <b v="1"/>
  </r>
  <r>
    <x v="641"/>
    <n v="1031"/>
    <n v="86"/>
    <n v="945"/>
    <n v="704300"/>
    <n v="188150"/>
    <n v="892450"/>
    <n v="782"/>
    <n v="20"/>
    <n v="802"/>
    <b v="1"/>
    <b v="1"/>
    <b v="1"/>
    <b v="1"/>
    <b v="1"/>
    <b v="1"/>
  </r>
  <r>
    <x v="642"/>
    <n v="819"/>
    <n v="60"/>
    <n v="759"/>
    <n v="801101"/>
    <n v="117400"/>
    <n v="918501"/>
    <n v="585"/>
    <n v="20"/>
    <n v="605"/>
    <b v="1"/>
    <b v="1"/>
    <b v="1"/>
    <b v="1"/>
    <b v="1"/>
    <b v="1"/>
  </r>
  <r>
    <x v="643"/>
    <n v="1158"/>
    <n v="96"/>
    <n v="1062"/>
    <n v="1059460"/>
    <n v="271750"/>
    <n v="1331210"/>
    <n v="822"/>
    <n v="5"/>
    <n v="827"/>
    <b v="1"/>
    <b v="1"/>
    <b v="1"/>
    <b v="1"/>
    <b v="1"/>
    <b v="1"/>
  </r>
  <r>
    <x v="644"/>
    <n v="958"/>
    <n v="76"/>
    <n v="882"/>
    <n v="1037650"/>
    <n v="227850"/>
    <n v="1265500"/>
    <n v="676"/>
    <n v="15"/>
    <n v="691"/>
    <b v="1"/>
    <b v="1"/>
    <b v="1"/>
    <b v="1"/>
    <b v="1"/>
    <b v="1"/>
  </r>
  <r>
    <x v="645"/>
    <n v="1210"/>
    <n v="74"/>
    <n v="1136"/>
    <n v="1269651"/>
    <n v="225495"/>
    <n v="1495146"/>
    <n v="893"/>
    <n v="8"/>
    <n v="901"/>
    <b v="1"/>
    <b v="1"/>
    <b v="1"/>
    <b v="1"/>
    <b v="1"/>
    <b v="1"/>
  </r>
  <r>
    <x v="646"/>
    <n v="1018"/>
    <n v="61"/>
    <n v="957"/>
    <n v="836150"/>
    <n v="192750"/>
    <n v="1028900"/>
    <n v="778"/>
    <n v="3"/>
    <n v="781"/>
    <b v="1"/>
    <b v="1"/>
    <b v="1"/>
    <b v="1"/>
    <b v="1"/>
    <b v="1"/>
  </r>
  <r>
    <x v="647"/>
    <n v="523"/>
    <n v="52"/>
    <n v="471"/>
    <n v="666650"/>
    <n v="300300"/>
    <n v="966950"/>
    <n v="331"/>
    <n v="7"/>
    <n v="338"/>
    <b v="1"/>
    <b v="1"/>
    <b v="1"/>
    <b v="1"/>
    <b v="1"/>
    <b v="1"/>
  </r>
  <r>
    <x v="648"/>
    <n v="959"/>
    <n v="88"/>
    <n v="871"/>
    <n v="768050"/>
    <n v="122725"/>
    <n v="890775"/>
    <n v="711"/>
    <n v="7"/>
    <n v="718"/>
    <b v="1"/>
    <b v="1"/>
    <b v="1"/>
    <b v="1"/>
    <b v="1"/>
    <b v="1"/>
  </r>
  <r>
    <x v="649"/>
    <n v="760"/>
    <n v="27"/>
    <n v="733"/>
    <n v="422820"/>
    <n v="71700"/>
    <n v="494520"/>
    <n v="658"/>
    <n v="3"/>
    <n v="661"/>
    <b v="1"/>
    <b v="1"/>
    <b v="1"/>
    <b v="1"/>
    <b v="1"/>
    <b v="1"/>
  </r>
  <r>
    <x v="650"/>
    <n v="843"/>
    <n v="40"/>
    <n v="803"/>
    <n v="806800"/>
    <n v="69650"/>
    <n v="876450"/>
    <n v="692"/>
    <n v="1"/>
    <n v="693"/>
    <b v="1"/>
    <b v="1"/>
    <b v="1"/>
    <b v="1"/>
    <b v="1"/>
    <b v="1"/>
  </r>
  <r>
    <x v="651"/>
    <n v="1284"/>
    <n v="87"/>
    <n v="1197"/>
    <n v="1035501"/>
    <n v="171850"/>
    <n v="1207351"/>
    <n v="1042"/>
    <n v="24"/>
    <n v="1066"/>
    <b v="1"/>
    <b v="1"/>
    <b v="1"/>
    <b v="1"/>
    <b v="1"/>
    <b v="1"/>
  </r>
  <r>
    <x v="652"/>
    <n v="853"/>
    <n v="101"/>
    <n v="752"/>
    <n v="1054610"/>
    <n v="175300"/>
    <n v="1229910"/>
    <n v="570"/>
    <n v="4"/>
    <n v="574"/>
    <b v="1"/>
    <b v="1"/>
    <b v="1"/>
    <b v="1"/>
    <b v="1"/>
    <b v="1"/>
  </r>
  <r>
    <x v="653"/>
    <n v="994"/>
    <n v="139"/>
    <n v="855"/>
    <n v="1034340"/>
    <n v="466950"/>
    <n v="1501290"/>
    <n v="736"/>
    <n v="28"/>
    <n v="764"/>
    <b v="1"/>
    <b v="1"/>
    <b v="1"/>
    <b v="1"/>
    <b v="1"/>
    <b v="1"/>
  </r>
  <r>
    <x v="654"/>
    <n v="723"/>
    <n v="98"/>
    <n v="625"/>
    <n v="569450"/>
    <n v="365260"/>
    <n v="934710"/>
    <n v="540"/>
    <n v="18"/>
    <n v="558"/>
    <b v="1"/>
    <b v="1"/>
    <b v="1"/>
    <b v="1"/>
    <b v="1"/>
    <b v="1"/>
  </r>
  <r>
    <x v="655"/>
    <n v="1037"/>
    <n v="116"/>
    <n v="921"/>
    <n v="1143280"/>
    <n v="384850"/>
    <n v="1528130"/>
    <n v="769"/>
    <n v="17"/>
    <n v="786"/>
    <b v="1"/>
    <b v="1"/>
    <b v="1"/>
    <b v="1"/>
    <b v="1"/>
    <b v="1"/>
  </r>
  <r>
    <x v="656"/>
    <n v="1054"/>
    <n v="107"/>
    <n v="947"/>
    <n v="910502"/>
    <n v="414650"/>
    <n v="1325152"/>
    <n v="806"/>
    <n v="19"/>
    <n v="825"/>
    <b v="1"/>
    <b v="1"/>
    <b v="1"/>
    <b v="1"/>
    <b v="1"/>
    <b v="1"/>
  </r>
  <r>
    <x v="657"/>
    <n v="934"/>
    <n v="92"/>
    <n v="842"/>
    <n v="1214250"/>
    <n v="324250"/>
    <n v="1538500"/>
    <n v="695"/>
    <n v="12"/>
    <n v="707"/>
    <b v="1"/>
    <b v="1"/>
    <b v="1"/>
    <b v="1"/>
    <b v="1"/>
    <b v="1"/>
  </r>
  <r>
    <x v="658"/>
    <n v="1242"/>
    <n v="89"/>
    <n v="1153"/>
    <n v="838152"/>
    <n v="234950"/>
    <n v="1073102"/>
    <n v="1018"/>
    <n v="25"/>
    <n v="1043"/>
    <b v="1"/>
    <b v="1"/>
    <b v="1"/>
    <b v="1"/>
    <b v="1"/>
    <b v="1"/>
  </r>
  <r>
    <x v="659"/>
    <n v="1095"/>
    <n v="109"/>
    <n v="986"/>
    <n v="1008050"/>
    <n v="221325"/>
    <n v="1229375"/>
    <n v="818"/>
    <n v="16"/>
    <n v="834"/>
    <b v="1"/>
    <b v="1"/>
    <b v="1"/>
    <b v="1"/>
    <b v="1"/>
    <b v="1"/>
  </r>
  <r>
    <x v="660"/>
    <n v="1132"/>
    <n v="111"/>
    <n v="1021"/>
    <n v="762650"/>
    <n v="250940"/>
    <n v="1013590"/>
    <n v="901"/>
    <n v="28"/>
    <n v="929"/>
    <b v="1"/>
    <b v="1"/>
    <b v="1"/>
    <b v="1"/>
    <b v="1"/>
    <b v="1"/>
  </r>
  <r>
    <x v="661"/>
    <n v="829"/>
    <n v="59"/>
    <n v="770"/>
    <n v="261300"/>
    <n v="190170"/>
    <n v="451470"/>
    <n v="636"/>
    <n v="1"/>
    <n v="637"/>
    <b v="1"/>
    <b v="1"/>
    <b v="1"/>
    <b v="1"/>
    <b v="1"/>
    <b v="1"/>
  </r>
  <r>
    <x v="662"/>
    <n v="883"/>
    <n v="58"/>
    <n v="825"/>
    <n v="796600"/>
    <n v="227650"/>
    <n v="1024250"/>
    <n v="693"/>
    <n v="3"/>
    <n v="696"/>
    <b v="1"/>
    <b v="1"/>
    <b v="1"/>
    <b v="1"/>
    <b v="1"/>
    <b v="1"/>
  </r>
  <r>
    <x v="663"/>
    <n v="1122"/>
    <n v="97"/>
    <n v="1025"/>
    <n v="1236449"/>
    <n v="242150"/>
    <n v="1478599"/>
    <n v="38"/>
    <n v="29"/>
    <n v="67"/>
    <b v="1"/>
    <b v="1"/>
    <b v="1"/>
    <b v="1"/>
    <b v="1"/>
    <b v="1"/>
  </r>
  <r>
    <x v="664"/>
    <n v="1109"/>
    <n v="98"/>
    <n v="1011"/>
    <n v="1458200"/>
    <n v="543600"/>
    <n v="2001800"/>
    <n v="856"/>
    <n v="3"/>
    <n v="859"/>
    <b v="1"/>
    <b v="1"/>
    <b v="1"/>
    <b v="1"/>
    <b v="1"/>
    <b v="1"/>
  </r>
  <r>
    <x v="665"/>
    <n v="959"/>
    <n v="53"/>
    <n v="906"/>
    <n v="766350"/>
    <n v="149450"/>
    <n v="915800"/>
    <n v="808"/>
    <n v="8"/>
    <n v="816"/>
    <b v="1"/>
    <b v="1"/>
    <b v="1"/>
    <b v="1"/>
    <b v="1"/>
    <b v="1"/>
  </r>
  <r>
    <x v="666"/>
    <n v="1023"/>
    <n v="87"/>
    <n v="936"/>
    <n v="535000"/>
    <n v="192404"/>
    <n v="727404"/>
    <n v="828"/>
    <n v="34"/>
    <n v="862"/>
    <b v="1"/>
    <b v="1"/>
    <b v="1"/>
    <b v="1"/>
    <b v="1"/>
    <b v="1"/>
  </r>
  <r>
    <x v="667"/>
    <n v="563"/>
    <n v="28"/>
    <n v="535"/>
    <n v="375050"/>
    <n v="57750"/>
    <n v="432800"/>
    <n v="443"/>
    <n v="0"/>
    <n v="443"/>
    <b v="1"/>
    <b v="1"/>
    <b v="1"/>
    <b v="1"/>
    <b v="1"/>
    <b v="1"/>
  </r>
  <r>
    <x v="668"/>
    <n v="215"/>
    <n v="11"/>
    <n v="204"/>
    <n v="159500"/>
    <n v="18400"/>
    <n v="177900"/>
    <n v="139"/>
    <n v="2"/>
    <n v="141"/>
    <b v="1"/>
    <b v="1"/>
    <b v="1"/>
    <b v="1"/>
    <b v="1"/>
    <b v="1"/>
  </r>
  <r>
    <x v="669"/>
    <n v="278"/>
    <n v="22"/>
    <n v="256"/>
    <n v="111350"/>
    <n v="6700"/>
    <n v="118050"/>
    <n v="204"/>
    <n v="8"/>
    <n v="212"/>
    <b v="1"/>
    <b v="1"/>
    <b v="1"/>
    <b v="1"/>
    <b v="1"/>
    <b v="1"/>
  </r>
  <r>
    <x v="670"/>
    <n v="584"/>
    <n v="34"/>
    <n v="550"/>
    <n v="314000"/>
    <n v="35400"/>
    <n v="349400"/>
    <n v="503"/>
    <n v="15"/>
    <n v="518"/>
    <b v="1"/>
    <b v="1"/>
    <b v="1"/>
    <b v="1"/>
    <b v="1"/>
    <b v="1"/>
  </r>
  <r>
    <x v="671"/>
    <n v="696"/>
    <n v="50"/>
    <n v="646"/>
    <n v="652500"/>
    <n v="64500"/>
    <n v="717000"/>
    <n v="563"/>
    <n v="19"/>
    <n v="582"/>
    <b v="1"/>
    <b v="1"/>
    <b v="1"/>
    <b v="1"/>
    <b v="1"/>
    <b v="1"/>
  </r>
  <r>
    <x v="672"/>
    <n v="643"/>
    <n v="56"/>
    <n v="587"/>
    <n v="703500"/>
    <n v="189546"/>
    <n v="893046"/>
    <n v="486"/>
    <n v="4"/>
    <n v="490"/>
    <b v="1"/>
    <b v="1"/>
    <b v="1"/>
    <b v="1"/>
    <b v="1"/>
    <b v="1"/>
  </r>
  <r>
    <x v="673"/>
    <n v="704"/>
    <n v="53"/>
    <n v="651"/>
    <n v="479950"/>
    <n v="189510"/>
    <n v="669460"/>
    <n v="548"/>
    <n v="10"/>
    <n v="558"/>
    <b v="1"/>
    <b v="1"/>
    <b v="1"/>
    <b v="1"/>
    <b v="1"/>
    <b v="1"/>
  </r>
  <r>
    <x v="674"/>
    <n v="760"/>
    <n v="71"/>
    <n v="689"/>
    <n v="756629"/>
    <n v="232100"/>
    <n v="988729"/>
    <n v="566"/>
    <n v="11"/>
    <n v="577"/>
    <b v="1"/>
    <b v="1"/>
    <b v="1"/>
    <b v="1"/>
    <b v="1"/>
    <b v="1"/>
  </r>
  <r>
    <x v="675"/>
    <n v="449"/>
    <n v="31"/>
    <n v="418"/>
    <n v="475750"/>
    <n v="91201"/>
    <n v="566951"/>
    <n v="323"/>
    <n v="3"/>
    <n v="326"/>
    <b v="1"/>
    <b v="1"/>
    <b v="1"/>
    <b v="1"/>
    <b v="1"/>
    <b v="1"/>
  </r>
  <r>
    <x v="676"/>
    <n v="941"/>
    <n v="81"/>
    <n v="860"/>
    <n v="828450"/>
    <n v="154154"/>
    <n v="982604"/>
    <n v="644"/>
    <n v="8"/>
    <n v="652"/>
    <b v="1"/>
    <b v="1"/>
    <b v="1"/>
    <b v="1"/>
    <b v="1"/>
    <b v="1"/>
  </r>
  <r>
    <x v="677"/>
    <n v="903"/>
    <n v="119"/>
    <n v="784"/>
    <n v="1117433"/>
    <n v="359902"/>
    <n v="1477335"/>
    <n v="616"/>
    <n v="11"/>
    <n v="627"/>
    <b v="1"/>
    <b v="1"/>
    <b v="1"/>
    <b v="1"/>
    <b v="1"/>
    <b v="1"/>
  </r>
  <r>
    <x v="678"/>
    <n v="935"/>
    <n v="113"/>
    <n v="822"/>
    <n v="623348"/>
    <n v="404500"/>
    <n v="1027848"/>
    <n v="688"/>
    <n v="22"/>
    <n v="710"/>
    <b v="1"/>
    <b v="1"/>
    <b v="1"/>
    <b v="1"/>
    <b v="1"/>
    <b v="1"/>
  </r>
  <r>
    <x v="679"/>
    <n v="644"/>
    <n v="75"/>
    <n v="569"/>
    <n v="662800"/>
    <n v="275899"/>
    <n v="938699"/>
    <n v="434"/>
    <n v="7"/>
    <n v="441"/>
    <b v="1"/>
    <b v="1"/>
    <b v="1"/>
    <b v="1"/>
    <b v="1"/>
    <b v="1"/>
  </r>
  <r>
    <x v="680"/>
    <n v="645"/>
    <n v="116"/>
    <n v="529"/>
    <n v="602700"/>
    <n v="542919"/>
    <n v="1145619"/>
    <n v="379"/>
    <n v="13"/>
    <n v="392"/>
    <b v="1"/>
    <b v="1"/>
    <b v="1"/>
    <b v="1"/>
    <b v="1"/>
    <b v="1"/>
  </r>
  <r>
    <x v="681"/>
    <n v="628"/>
    <n v="86"/>
    <n v="542"/>
    <n v="461948"/>
    <n v="320750"/>
    <n v="782698"/>
    <n v="432"/>
    <n v="19"/>
    <n v="451"/>
    <b v="1"/>
    <b v="1"/>
    <b v="1"/>
    <b v="1"/>
    <b v="1"/>
    <b v="1"/>
  </r>
  <r>
    <x v="682"/>
    <n v="554"/>
    <n v="101"/>
    <n v="453"/>
    <n v="280950"/>
    <n v="471450"/>
    <n v="752400"/>
    <n v="317"/>
    <n v="18"/>
    <n v="335"/>
    <b v="1"/>
    <b v="1"/>
    <b v="1"/>
    <b v="1"/>
    <b v="1"/>
    <b v="1"/>
  </r>
  <r>
    <x v="683"/>
    <n v="482"/>
    <n v="79"/>
    <n v="403"/>
    <n v="370850"/>
    <n v="330250"/>
    <n v="701100"/>
    <n v="275"/>
    <n v="11"/>
    <n v="286"/>
    <b v="1"/>
    <b v="1"/>
    <b v="1"/>
    <b v="1"/>
    <b v="1"/>
    <b v="1"/>
  </r>
  <r>
    <x v="684"/>
    <n v="829"/>
    <n v="87"/>
    <n v="742"/>
    <n v="629349"/>
    <n v="138050"/>
    <n v="767399"/>
    <n v="527"/>
    <n v="13"/>
    <n v="540"/>
    <b v="1"/>
    <b v="1"/>
    <b v="1"/>
    <b v="1"/>
    <b v="1"/>
    <b v="1"/>
  </r>
  <r>
    <x v="685"/>
    <n v="874"/>
    <n v="107"/>
    <n v="767"/>
    <n v="670600"/>
    <n v="286250"/>
    <n v="956850"/>
    <n v="567"/>
    <n v="37"/>
    <n v="604"/>
    <b v="1"/>
    <b v="1"/>
    <b v="1"/>
    <b v="1"/>
    <b v="1"/>
    <b v="1"/>
  </r>
  <r>
    <x v="686"/>
    <n v="662"/>
    <n v="100"/>
    <n v="562"/>
    <n v="710350"/>
    <n v="266210"/>
    <n v="976560"/>
    <n v="385"/>
    <n v="22"/>
    <n v="407"/>
    <b v="1"/>
    <b v="1"/>
    <b v="1"/>
    <b v="1"/>
    <b v="1"/>
    <b v="1"/>
  </r>
  <r>
    <x v="687"/>
    <n v="668"/>
    <n v="106"/>
    <n v="562"/>
    <n v="665400"/>
    <n v="359810"/>
    <n v="1025210"/>
    <n v="395"/>
    <n v="17"/>
    <n v="412"/>
    <b v="1"/>
    <b v="1"/>
    <b v="1"/>
    <b v="1"/>
    <b v="1"/>
    <b v="1"/>
  </r>
  <r>
    <x v="688"/>
    <n v="804"/>
    <n v="114"/>
    <n v="690"/>
    <n v="556900"/>
    <n v="192900"/>
    <n v="749800"/>
    <n v="521"/>
    <n v="35"/>
    <n v="556"/>
    <b v="1"/>
    <b v="1"/>
    <b v="1"/>
    <b v="1"/>
    <b v="1"/>
    <b v="1"/>
  </r>
  <r>
    <x v="689"/>
    <n v="474"/>
    <n v="81"/>
    <n v="393"/>
    <n v="525450"/>
    <n v="135015"/>
    <n v="660465"/>
    <n v="247"/>
    <n v="16"/>
    <n v="263"/>
    <b v="1"/>
    <b v="1"/>
    <b v="1"/>
    <b v="1"/>
    <b v="1"/>
    <b v="1"/>
  </r>
  <r>
    <x v="690"/>
    <n v="979"/>
    <n v="114"/>
    <n v="865"/>
    <n v="753390"/>
    <n v="159600"/>
    <n v="912990"/>
    <n v="670"/>
    <n v="38"/>
    <n v="708"/>
    <b v="1"/>
    <b v="1"/>
    <b v="1"/>
    <b v="1"/>
    <b v="1"/>
    <b v="1"/>
  </r>
  <r>
    <x v="691"/>
    <n v="672"/>
    <n v="110"/>
    <n v="562"/>
    <n v="1054450"/>
    <n v="285560"/>
    <n v="1340010"/>
    <n v="354"/>
    <n v="21"/>
    <n v="375"/>
    <b v="1"/>
    <b v="1"/>
    <b v="1"/>
    <b v="1"/>
    <b v="1"/>
    <b v="1"/>
  </r>
  <r>
    <x v="692"/>
    <n v="671"/>
    <n v="129"/>
    <n v="542"/>
    <n v="816200"/>
    <n v="295150"/>
    <n v="1111350"/>
    <n v="342"/>
    <n v="32"/>
    <n v="374"/>
    <b v="1"/>
    <b v="1"/>
    <b v="1"/>
    <b v="1"/>
    <b v="1"/>
    <b v="1"/>
  </r>
  <r>
    <x v="693"/>
    <n v="731"/>
    <n v="109"/>
    <n v="622"/>
    <n v="751300"/>
    <n v="233650"/>
    <n v="984950"/>
    <n v="458"/>
    <n v="24"/>
    <n v="482"/>
    <b v="1"/>
    <b v="1"/>
    <b v="1"/>
    <b v="1"/>
    <b v="1"/>
    <b v="1"/>
  </r>
  <r>
    <x v="694"/>
    <n v="534"/>
    <n v="95"/>
    <n v="439"/>
    <n v="847650"/>
    <n v="281650"/>
    <n v="1129300"/>
    <n v="260"/>
    <n v="22"/>
    <n v="282"/>
    <b v="1"/>
    <b v="1"/>
    <b v="1"/>
    <b v="1"/>
    <b v="1"/>
    <b v="1"/>
  </r>
  <r>
    <x v="695"/>
    <n v="714"/>
    <n v="98"/>
    <n v="616"/>
    <n v="988250"/>
    <n v="150550"/>
    <n v="1138800"/>
    <n v="424"/>
    <n v="16"/>
    <n v="440"/>
    <b v="1"/>
    <b v="1"/>
    <b v="1"/>
    <b v="1"/>
    <b v="1"/>
    <b v="1"/>
  </r>
  <r>
    <x v="696"/>
    <n v="391"/>
    <n v="58"/>
    <n v="333"/>
    <n v="394750"/>
    <n v="335700"/>
    <n v="730450"/>
    <n v="212"/>
    <n v="14"/>
    <n v="226"/>
    <b v="1"/>
    <b v="1"/>
    <b v="1"/>
    <b v="1"/>
    <b v="1"/>
    <b v="1"/>
  </r>
  <r>
    <x v="697"/>
    <n v="738"/>
    <n v="161"/>
    <n v="577"/>
    <n v="875508"/>
    <n v="295375"/>
    <n v="1170883"/>
    <n v="399"/>
    <n v="15"/>
    <n v="414"/>
    <b v="1"/>
    <b v="1"/>
    <b v="1"/>
    <b v="1"/>
    <b v="1"/>
    <b v="1"/>
  </r>
  <r>
    <x v="698"/>
    <n v="825"/>
    <n v="186"/>
    <n v="639"/>
    <n v="812950"/>
    <n v="397100"/>
    <n v="1210050"/>
    <n v="486"/>
    <n v="36"/>
    <n v="522"/>
    <b v="1"/>
    <b v="1"/>
    <b v="1"/>
    <b v="1"/>
    <b v="1"/>
    <b v="1"/>
  </r>
  <r>
    <x v="699"/>
    <n v="796"/>
    <n v="144"/>
    <n v="652"/>
    <n v="946250"/>
    <n v="205791"/>
    <n v="1152041"/>
    <n v="459"/>
    <n v="34"/>
    <n v="493"/>
    <b v="1"/>
    <b v="1"/>
    <b v="1"/>
    <b v="1"/>
    <b v="1"/>
    <b v="1"/>
  </r>
  <r>
    <x v="700"/>
    <n v="888"/>
    <n v="141"/>
    <n v="747"/>
    <n v="1115650"/>
    <n v="361881"/>
    <n v="1477531"/>
    <n v="528"/>
    <n v="46"/>
    <n v="574"/>
    <b v="1"/>
    <b v="1"/>
    <b v="1"/>
    <b v="1"/>
    <b v="1"/>
    <b v="1"/>
  </r>
  <r>
    <x v="701"/>
    <n v="851"/>
    <n v="113"/>
    <n v="738"/>
    <n v="1025160"/>
    <n v="282965"/>
    <n v="1308125"/>
    <n v="534"/>
    <n v="32"/>
    <n v="566"/>
    <b v="1"/>
    <b v="1"/>
    <b v="1"/>
    <b v="1"/>
    <b v="1"/>
    <b v="1"/>
  </r>
  <r>
    <x v="702"/>
    <n v="715"/>
    <n v="111"/>
    <n v="604"/>
    <n v="1023800"/>
    <n v="360545"/>
    <n v="1384345"/>
    <n v="422"/>
    <n v="22"/>
    <n v="444"/>
    <b v="1"/>
    <b v="1"/>
    <b v="1"/>
    <b v="1"/>
    <b v="1"/>
    <b v="1"/>
  </r>
  <r>
    <x v="703"/>
    <n v="621"/>
    <n v="91"/>
    <n v="530"/>
    <n v="631400"/>
    <n v="138938"/>
    <n v="770338"/>
    <n v="427"/>
    <n v="28"/>
    <n v="455"/>
    <b v="1"/>
    <b v="1"/>
    <b v="1"/>
    <b v="1"/>
    <b v="1"/>
    <b v="1"/>
  </r>
  <r>
    <x v="704"/>
    <n v="1030"/>
    <n v="145"/>
    <n v="885"/>
    <n v="906548"/>
    <n v="260651"/>
    <n v="1167199"/>
    <n v="642"/>
    <n v="54"/>
    <n v="696"/>
    <b v="1"/>
    <b v="1"/>
    <b v="1"/>
    <b v="1"/>
    <b v="1"/>
    <b v="1"/>
  </r>
  <r>
    <x v="705"/>
    <n v="1011"/>
    <n v="120"/>
    <n v="891"/>
    <n v="871150"/>
    <n v="187300"/>
    <n v="1058450"/>
    <n v="697"/>
    <n v="19"/>
    <n v="716"/>
    <b v="1"/>
    <b v="1"/>
    <b v="1"/>
    <b v="1"/>
    <b v="1"/>
    <b v="1"/>
  </r>
  <r>
    <x v="706"/>
    <n v="1160"/>
    <n v="165"/>
    <n v="995"/>
    <n v="1073699"/>
    <n v="268425"/>
    <n v="1342124"/>
    <n v="750"/>
    <n v="44"/>
    <n v="794"/>
    <b v="1"/>
    <b v="1"/>
    <b v="1"/>
    <b v="1"/>
    <b v="1"/>
    <b v="1"/>
  </r>
  <r>
    <x v="707"/>
    <n v="1096"/>
    <n v="200"/>
    <n v="896"/>
    <n v="911801"/>
    <n v="403610"/>
    <n v="1315411"/>
    <n v="700"/>
    <n v="63"/>
    <n v="763"/>
    <b v="1"/>
    <b v="1"/>
    <b v="1"/>
    <b v="1"/>
    <b v="1"/>
    <b v="1"/>
  </r>
  <r>
    <x v="708"/>
    <n v="1354"/>
    <n v="200"/>
    <n v="1154"/>
    <n v="765670"/>
    <n v="315950"/>
    <n v="1081620"/>
    <n v="1006"/>
    <n v="71"/>
    <n v="1077"/>
    <b v="1"/>
    <b v="1"/>
    <b v="1"/>
    <b v="1"/>
    <b v="1"/>
    <b v="1"/>
  </r>
  <r>
    <x v="709"/>
    <n v="804"/>
    <n v="119"/>
    <n v="685"/>
    <n v="707704"/>
    <n v="232595"/>
    <n v="940299"/>
    <n v="545"/>
    <n v="33"/>
    <n v="578"/>
    <b v="1"/>
    <b v="1"/>
    <b v="1"/>
    <b v="1"/>
    <b v="1"/>
    <b v="1"/>
  </r>
  <r>
    <x v="710"/>
    <n v="631"/>
    <n v="93"/>
    <n v="538"/>
    <n v="521600"/>
    <n v="145290"/>
    <n v="666890"/>
    <n v="412"/>
    <n v="27"/>
    <n v="439"/>
    <b v="1"/>
    <b v="1"/>
    <b v="1"/>
    <b v="1"/>
    <b v="1"/>
    <b v="1"/>
  </r>
  <r>
    <x v="711"/>
    <n v="818"/>
    <n v="146"/>
    <n v="672"/>
    <n v="650850"/>
    <n v="416300"/>
    <n v="1067150"/>
    <n v="529"/>
    <n v="40"/>
    <n v="569"/>
    <b v="1"/>
    <b v="1"/>
    <b v="1"/>
    <b v="1"/>
    <b v="1"/>
    <b v="1"/>
  </r>
  <r>
    <x v="712"/>
    <n v="965"/>
    <n v="185"/>
    <n v="780"/>
    <n v="1082879"/>
    <n v="408535"/>
    <n v="1491414"/>
    <n v="593"/>
    <n v="52"/>
    <n v="645"/>
    <b v="1"/>
    <b v="1"/>
    <b v="1"/>
    <b v="1"/>
    <b v="1"/>
    <b v="1"/>
  </r>
  <r>
    <x v="713"/>
    <n v="1092"/>
    <n v="233"/>
    <n v="859"/>
    <n v="958200"/>
    <n v="400090"/>
    <n v="1358290"/>
    <n v="623"/>
    <n v="66"/>
    <n v="689"/>
    <b v="1"/>
    <b v="1"/>
    <b v="1"/>
    <b v="1"/>
    <b v="1"/>
    <b v="1"/>
  </r>
  <r>
    <x v="714"/>
    <n v="1425"/>
    <n v="294"/>
    <n v="1131"/>
    <n v="1365600"/>
    <n v="478245"/>
    <n v="1843845"/>
    <n v="901"/>
    <n v="49"/>
    <n v="950"/>
    <b v="1"/>
    <b v="1"/>
    <b v="1"/>
    <b v="1"/>
    <b v="1"/>
    <b v="1"/>
  </r>
  <r>
    <x v="715"/>
    <n v="1274"/>
    <n v="235"/>
    <n v="1039"/>
    <n v="1217100"/>
    <n v="573699"/>
    <n v="1790799"/>
    <n v="790"/>
    <n v="48"/>
    <n v="838"/>
    <b v="1"/>
    <b v="1"/>
    <b v="1"/>
    <b v="1"/>
    <b v="1"/>
    <b v="1"/>
  </r>
  <r>
    <x v="716"/>
    <n v="1065"/>
    <n v="225"/>
    <n v="840"/>
    <n v="1854130"/>
    <n v="667810"/>
    <n v="2521940"/>
    <n v="598"/>
    <n v="40"/>
    <n v="638"/>
    <b v="1"/>
    <b v="1"/>
    <b v="1"/>
    <b v="1"/>
    <b v="1"/>
    <b v="1"/>
  </r>
  <r>
    <x v="717"/>
    <n v="770"/>
    <n v="137"/>
    <n v="633"/>
    <n v="749200"/>
    <n v="192090"/>
    <n v="941290"/>
    <n v="507"/>
    <n v="22"/>
    <n v="529"/>
    <b v="1"/>
    <b v="1"/>
    <b v="1"/>
    <b v="1"/>
    <b v="1"/>
    <b v="1"/>
  </r>
  <r>
    <x v="718"/>
    <n v="860"/>
    <n v="196"/>
    <n v="664"/>
    <n v="1676350"/>
    <n v="422170"/>
    <n v="2098520"/>
    <n v="393"/>
    <n v="46"/>
    <n v="439"/>
    <b v="1"/>
    <b v="1"/>
    <b v="1"/>
    <b v="1"/>
    <b v="1"/>
    <b v="1"/>
  </r>
  <r>
    <x v="719"/>
    <n v="1203"/>
    <n v="235"/>
    <n v="968"/>
    <n v="1790600"/>
    <n v="751583"/>
    <n v="2542183"/>
    <n v="722"/>
    <n v="71"/>
    <n v="793"/>
    <b v="1"/>
    <b v="1"/>
    <b v="1"/>
    <b v="1"/>
    <b v="1"/>
    <b v="1"/>
  </r>
  <r>
    <x v="720"/>
    <n v="1067"/>
    <n v="244"/>
    <n v="823"/>
    <n v="1633150"/>
    <n v="606270"/>
    <n v="2239420"/>
    <n v="572"/>
    <n v="71"/>
    <n v="643"/>
    <b v="1"/>
    <b v="1"/>
    <b v="1"/>
    <b v="1"/>
    <b v="1"/>
    <b v="1"/>
  </r>
  <r>
    <x v="721"/>
    <n v="1036"/>
    <n v="190"/>
    <n v="846"/>
    <n v="1277240"/>
    <n v="438892"/>
    <n v="1716132"/>
    <n v="611"/>
    <n v="50"/>
    <n v="661"/>
    <b v="1"/>
    <b v="1"/>
    <b v="1"/>
    <b v="1"/>
    <b v="1"/>
    <b v="1"/>
  </r>
  <r>
    <x v="722"/>
    <n v="867"/>
    <n v="197"/>
    <n v="670"/>
    <n v="1114510"/>
    <n v="376001"/>
    <n v="1490511"/>
    <n v="473"/>
    <n v="71"/>
    <n v="544"/>
    <b v="1"/>
    <b v="1"/>
    <b v="1"/>
    <b v="1"/>
    <b v="1"/>
    <b v="1"/>
  </r>
  <r>
    <x v="723"/>
    <n v="976"/>
    <n v="232"/>
    <n v="744"/>
    <n v="977800"/>
    <n v="417700"/>
    <n v="1395500"/>
    <n v="551"/>
    <n v="49"/>
    <n v="600"/>
    <b v="1"/>
    <b v="1"/>
    <b v="1"/>
    <b v="1"/>
    <b v="1"/>
    <b v="1"/>
  </r>
  <r>
    <x v="724"/>
    <n v="1002"/>
    <n v="194"/>
    <n v="808"/>
    <n v="887550"/>
    <n v="324076"/>
    <n v="1211626"/>
    <n v="590"/>
    <n v="58"/>
    <n v="648"/>
    <b v="1"/>
    <b v="1"/>
    <b v="1"/>
    <b v="1"/>
    <b v="1"/>
    <b v="1"/>
  </r>
  <r>
    <x v="725"/>
    <n v="830"/>
    <n v="177"/>
    <n v="653"/>
    <n v="1126850"/>
    <n v="402250"/>
    <n v="1529100"/>
    <n v="441"/>
    <n v="42"/>
    <n v="483"/>
    <b v="1"/>
    <b v="1"/>
    <b v="1"/>
    <b v="1"/>
    <b v="1"/>
    <b v="1"/>
  </r>
  <r>
    <x v="726"/>
    <n v="1093"/>
    <n v="250"/>
    <n v="843"/>
    <n v="1001565"/>
    <n v="942195"/>
    <n v="1943760"/>
    <n v="668"/>
    <n v="26"/>
    <n v="694"/>
    <b v="1"/>
    <b v="1"/>
    <b v="1"/>
    <b v="1"/>
    <b v="1"/>
    <b v="1"/>
  </r>
  <r>
    <x v="727"/>
    <n v="714"/>
    <n v="245"/>
    <n v="469"/>
    <n v="1434150"/>
    <n v="635296"/>
    <n v="2069446"/>
    <n v="306"/>
    <n v="42"/>
    <n v="348"/>
    <b v="1"/>
    <b v="1"/>
    <b v="1"/>
    <b v="1"/>
    <b v="1"/>
    <b v="1"/>
  </r>
  <r>
    <x v="728"/>
    <n v="928"/>
    <n v="242"/>
    <n v="686"/>
    <n v="1330675"/>
    <n v="485400"/>
    <n v="1816075"/>
    <n v="516"/>
    <n v="71"/>
    <n v="587"/>
    <b v="1"/>
    <b v="1"/>
    <b v="1"/>
    <b v="1"/>
    <b v="1"/>
    <b v="1"/>
  </r>
  <r>
    <x v="729"/>
    <n v="759"/>
    <n v="233"/>
    <n v="526"/>
    <n v="687100"/>
    <n v="251952"/>
    <n v="939052"/>
    <n v="401"/>
    <n v="47"/>
    <n v="448"/>
    <b v="1"/>
    <b v="1"/>
    <b v="1"/>
    <b v="1"/>
    <b v="1"/>
    <b v="1"/>
  </r>
  <r>
    <x v="730"/>
    <n v="644"/>
    <n v="194"/>
    <n v="450"/>
    <n v="975220"/>
    <n v="594565"/>
    <n v="1569785"/>
    <n v="282"/>
    <n v="43"/>
    <n v="325"/>
    <b v="1"/>
    <b v="1"/>
    <b v="1"/>
    <b v="1"/>
    <b v="1"/>
    <b v="1"/>
  </r>
  <r>
    <x v="731"/>
    <n v="361"/>
    <n v="77"/>
    <n v="284"/>
    <n v="585970"/>
    <n v="143850"/>
    <n v="729820"/>
    <n v="155"/>
    <n v="11"/>
    <n v="166"/>
    <b v="1"/>
    <b v="1"/>
    <b v="1"/>
    <b v="1"/>
    <b v="1"/>
    <b v="1"/>
  </r>
  <r>
    <x v="732"/>
    <n v="663"/>
    <n v="109"/>
    <n v="554"/>
    <n v="1249980"/>
    <n v="110950"/>
    <n v="1360930"/>
    <n v="357"/>
    <n v="31"/>
    <n v="388"/>
    <b v="1"/>
    <b v="1"/>
    <b v="1"/>
    <b v="1"/>
    <b v="1"/>
    <b v="1"/>
  </r>
  <r>
    <x v="733"/>
    <n v="882"/>
    <n v="169"/>
    <n v="713"/>
    <n v="1601800"/>
    <n v="400800"/>
    <n v="2002600"/>
    <n v="525"/>
    <n v="45"/>
    <n v="570"/>
    <b v="1"/>
    <b v="1"/>
    <b v="1"/>
    <b v="1"/>
    <b v="1"/>
    <b v="1"/>
  </r>
  <r>
    <x v="734"/>
    <n v="928"/>
    <n v="142"/>
    <n v="786"/>
    <n v="1170409"/>
    <n v="381770"/>
    <n v="1552179"/>
    <n v="563"/>
    <n v="43"/>
    <n v="606"/>
    <b v="1"/>
    <b v="1"/>
    <b v="1"/>
    <b v="1"/>
    <b v="1"/>
    <b v="1"/>
  </r>
  <r>
    <x v="735"/>
    <n v="894"/>
    <n v="157"/>
    <n v="737"/>
    <n v="1562351"/>
    <n v="441975"/>
    <n v="2004326"/>
    <n v="531"/>
    <n v="37"/>
    <n v="568"/>
    <b v="1"/>
    <b v="1"/>
    <b v="1"/>
    <b v="1"/>
    <b v="1"/>
    <b v="1"/>
  </r>
  <r>
    <x v="736"/>
    <n v="880"/>
    <n v="174"/>
    <n v="706"/>
    <n v="2062456"/>
    <n v="581390"/>
    <n v="2643846"/>
    <n v="461"/>
    <n v="23"/>
    <n v="484"/>
    <b v="1"/>
    <b v="1"/>
    <b v="1"/>
    <b v="1"/>
    <b v="1"/>
    <b v="1"/>
  </r>
  <r>
    <x v="737"/>
    <n v="811"/>
    <n v="194"/>
    <n v="617"/>
    <n v="1134250"/>
    <n v="547490"/>
    <n v="1681740"/>
    <n v="419"/>
    <n v="38"/>
    <n v="457"/>
    <b v="1"/>
    <b v="1"/>
    <b v="1"/>
    <b v="1"/>
    <b v="1"/>
    <b v="1"/>
  </r>
  <r>
    <x v="738"/>
    <n v="588"/>
    <n v="132"/>
    <n v="456"/>
    <n v="505951"/>
    <n v="286235"/>
    <n v="792186"/>
    <n v="273"/>
    <n v="22"/>
    <n v="295"/>
    <b v="1"/>
    <b v="1"/>
    <b v="1"/>
    <b v="1"/>
    <b v="1"/>
    <b v="1"/>
  </r>
  <r>
    <x v="739"/>
    <n v="580"/>
    <n v="110"/>
    <n v="470"/>
    <n v="654000"/>
    <n v="243651"/>
    <n v="897651"/>
    <n v="288"/>
    <n v="24"/>
    <n v="312"/>
    <b v="1"/>
    <b v="1"/>
    <b v="1"/>
    <b v="1"/>
    <b v="1"/>
    <b v="1"/>
  </r>
  <r>
    <x v="740"/>
    <n v="903"/>
    <n v="197"/>
    <n v="706"/>
    <n v="900100"/>
    <n v="235930"/>
    <n v="1136030"/>
    <n v="505"/>
    <n v="40"/>
    <n v="545"/>
    <b v="1"/>
    <b v="1"/>
    <b v="1"/>
    <b v="1"/>
    <b v="1"/>
    <b v="1"/>
  </r>
  <r>
    <x v="741"/>
    <n v="809"/>
    <n v="164"/>
    <n v="645"/>
    <n v="1201810"/>
    <n v="254300"/>
    <n v="1456110"/>
    <n v="444"/>
    <n v="40"/>
    <n v="484"/>
    <b v="1"/>
    <b v="1"/>
    <b v="1"/>
    <b v="1"/>
    <b v="1"/>
    <b v="1"/>
  </r>
  <r>
    <x v="742"/>
    <n v="844"/>
    <n v="188"/>
    <n v="656"/>
    <n v="1409600"/>
    <n v="239700"/>
    <n v="1649300"/>
    <n v="428"/>
    <n v="56"/>
    <n v="484"/>
    <b v="1"/>
    <b v="1"/>
    <b v="1"/>
    <b v="1"/>
    <b v="1"/>
    <b v="1"/>
  </r>
  <r>
    <x v="743"/>
    <n v="930"/>
    <n v="217"/>
    <n v="713"/>
    <n v="845350"/>
    <n v="390740"/>
    <n v="1236090"/>
    <n v="554"/>
    <n v="58"/>
    <n v="612"/>
    <b v="1"/>
    <b v="1"/>
    <b v="1"/>
    <b v="1"/>
    <b v="1"/>
    <b v="1"/>
  </r>
  <r>
    <x v="744"/>
    <n v="740"/>
    <n v="143"/>
    <n v="597"/>
    <n v="480000"/>
    <n v="199500"/>
    <n v="679500"/>
    <n v="473"/>
    <n v="56"/>
    <n v="529"/>
    <b v="1"/>
    <b v="1"/>
    <b v="1"/>
    <b v="1"/>
    <b v="1"/>
    <b v="1"/>
  </r>
  <r>
    <x v="745"/>
    <n v="767"/>
    <n v="124"/>
    <n v="643"/>
    <n v="652750"/>
    <n v="211160"/>
    <n v="863910"/>
    <n v="501"/>
    <n v="45"/>
    <n v="546"/>
    <b v="1"/>
    <b v="1"/>
    <b v="1"/>
    <b v="1"/>
    <b v="1"/>
    <b v="1"/>
  </r>
  <r>
    <x v="746"/>
    <n v="920"/>
    <n v="200"/>
    <n v="720"/>
    <n v="867151"/>
    <n v="358525"/>
    <n v="1225676"/>
    <n v="513"/>
    <n v="28"/>
    <n v="541"/>
    <b v="1"/>
    <b v="1"/>
    <b v="1"/>
    <b v="1"/>
    <b v="1"/>
    <b v="1"/>
  </r>
  <r>
    <x v="747"/>
    <n v="993"/>
    <n v="223"/>
    <n v="770"/>
    <n v="1256200"/>
    <n v="371700"/>
    <n v="1627900"/>
    <n v="562"/>
    <n v="50"/>
    <n v="612"/>
    <b v="1"/>
    <b v="1"/>
    <b v="1"/>
    <b v="1"/>
    <b v="1"/>
    <b v="1"/>
  </r>
  <r>
    <x v="748"/>
    <n v="779"/>
    <n v="190"/>
    <n v="589"/>
    <n v="1212190"/>
    <n v="226850"/>
    <n v="1439040"/>
    <n v="431"/>
    <n v="45"/>
    <n v="476"/>
    <b v="1"/>
    <b v="1"/>
    <b v="1"/>
    <b v="1"/>
    <b v="1"/>
    <b v="1"/>
  </r>
  <r>
    <x v="749"/>
    <n v="914"/>
    <n v="223"/>
    <n v="691"/>
    <n v="1021100"/>
    <n v="420900"/>
    <n v="1442000"/>
    <n v="512"/>
    <n v="57"/>
    <n v="569"/>
    <b v="1"/>
    <b v="1"/>
    <b v="1"/>
    <b v="1"/>
    <b v="1"/>
    <b v="1"/>
  </r>
  <r>
    <x v="750"/>
    <n v="764"/>
    <n v="212"/>
    <n v="552"/>
    <n v="1300995"/>
    <n v="559291"/>
    <n v="1860286"/>
    <n v="343"/>
    <n v="47"/>
    <n v="390"/>
    <b v="1"/>
    <b v="1"/>
    <b v="1"/>
    <b v="1"/>
    <b v="1"/>
    <b v="1"/>
  </r>
  <r>
    <x v="751"/>
    <n v="939"/>
    <n v="243"/>
    <n v="696"/>
    <n v="1161550"/>
    <n v="503100"/>
    <n v="1664650"/>
    <n v="504"/>
    <n v="64"/>
    <n v="568"/>
    <b v="1"/>
    <b v="1"/>
    <b v="1"/>
    <b v="1"/>
    <b v="1"/>
    <b v="1"/>
  </r>
  <r>
    <x v="752"/>
    <n v="730"/>
    <n v="144"/>
    <n v="586"/>
    <n v="560100"/>
    <n v="200750"/>
    <n v="760850"/>
    <n v="437"/>
    <n v="51"/>
    <n v="488"/>
    <b v="1"/>
    <b v="1"/>
    <b v="1"/>
    <b v="1"/>
    <b v="1"/>
    <b v="1"/>
  </r>
  <r>
    <x v="753"/>
    <n v="583"/>
    <n v="165"/>
    <n v="418"/>
    <n v="942075"/>
    <n v="328050"/>
    <n v="1270125"/>
    <n v="207"/>
    <n v="24"/>
    <n v="231"/>
    <b v="1"/>
    <b v="1"/>
    <b v="1"/>
    <b v="1"/>
    <b v="1"/>
    <b v="1"/>
  </r>
  <r>
    <x v="754"/>
    <n v="651"/>
    <n v="172"/>
    <n v="479"/>
    <n v="1159835"/>
    <n v="605950"/>
    <n v="1765785"/>
    <n v="287"/>
    <n v="28"/>
    <n v="315"/>
    <b v="1"/>
    <b v="1"/>
    <b v="1"/>
    <b v="1"/>
    <b v="1"/>
    <b v="1"/>
  </r>
  <r>
    <x v="755"/>
    <n v="1051"/>
    <n v="219"/>
    <n v="832"/>
    <n v="904400"/>
    <n v="583705"/>
    <n v="1488105"/>
    <n v="670"/>
    <n v="14"/>
    <n v="684"/>
    <b v="1"/>
    <b v="1"/>
    <b v="1"/>
    <b v="1"/>
    <b v="1"/>
    <b v="1"/>
  </r>
  <r>
    <x v="756"/>
    <n v="319"/>
    <n v="50"/>
    <n v="269"/>
    <n v="314200"/>
    <n v="191250"/>
    <n v="505450"/>
    <n v="149"/>
    <n v="5"/>
    <n v="154"/>
    <b v="1"/>
    <b v="1"/>
    <b v="1"/>
    <b v="1"/>
    <b v="1"/>
    <b v="1"/>
  </r>
  <r>
    <x v="757"/>
    <n v="710"/>
    <n v="308"/>
    <n v="402"/>
    <n v="928709"/>
    <n v="596910"/>
    <n v="1525619"/>
    <n v="266"/>
    <n v="30"/>
    <n v="296"/>
    <b v="1"/>
    <b v="1"/>
    <b v="1"/>
    <b v="1"/>
    <b v="1"/>
    <b v="1"/>
  </r>
  <r>
    <x v="758"/>
    <n v="693"/>
    <n v="222"/>
    <n v="471"/>
    <n v="1129950"/>
    <n v="436480"/>
    <n v="1566430"/>
    <n v="328"/>
    <n v="48"/>
    <n v="376"/>
    <b v="1"/>
    <b v="1"/>
    <b v="1"/>
    <b v="1"/>
    <b v="1"/>
    <b v="1"/>
  </r>
  <r>
    <x v="759"/>
    <n v="789"/>
    <n v="265"/>
    <n v="524"/>
    <n v="1059050"/>
    <n v="783378"/>
    <n v="1842428"/>
    <n v="414"/>
    <n v="33"/>
    <n v="447"/>
    <b v="1"/>
    <b v="1"/>
    <b v="1"/>
    <b v="1"/>
    <b v="1"/>
    <b v="1"/>
  </r>
  <r>
    <x v="760"/>
    <n v="807"/>
    <n v="286"/>
    <n v="521"/>
    <n v="1250050"/>
    <n v="791760"/>
    <n v="2041810"/>
    <n v="318"/>
    <n v="52"/>
    <n v="370"/>
    <b v="1"/>
    <b v="1"/>
    <b v="1"/>
    <b v="1"/>
    <b v="1"/>
    <b v="1"/>
  </r>
  <r>
    <x v="761"/>
    <n v="797"/>
    <n v="221"/>
    <n v="576"/>
    <n v="766900"/>
    <n v="357350"/>
    <n v="1124250"/>
    <n v="349"/>
    <n v="41"/>
    <n v="390"/>
    <b v="1"/>
    <b v="1"/>
    <b v="1"/>
    <b v="1"/>
    <b v="1"/>
    <b v="1"/>
  </r>
  <r>
    <x v="762"/>
    <n v="765"/>
    <n v="111"/>
    <n v="654"/>
    <n v="1654900"/>
    <n v="526065"/>
    <n v="2180965"/>
    <n v="476"/>
    <n v="12"/>
    <n v="488"/>
    <b v="1"/>
    <b v="1"/>
    <b v="1"/>
    <b v="1"/>
    <b v="1"/>
    <b v="1"/>
  </r>
  <r>
    <x v="763"/>
    <n v="800"/>
    <n v="141"/>
    <n v="659"/>
    <n v="822200"/>
    <n v="354063"/>
    <n v="1176263"/>
    <n v="434"/>
    <n v="34"/>
    <n v="468"/>
    <b v="1"/>
    <b v="1"/>
    <b v="1"/>
    <b v="1"/>
    <b v="1"/>
    <b v="1"/>
  </r>
  <r>
    <x v="764"/>
    <n v="910"/>
    <n v="164"/>
    <n v="746"/>
    <n v="1477000"/>
    <n v="346300"/>
    <n v="1823300"/>
    <n v="461"/>
    <n v="32"/>
    <n v="493"/>
    <b v="1"/>
    <b v="1"/>
    <b v="1"/>
    <b v="1"/>
    <b v="1"/>
    <b v="1"/>
  </r>
  <r>
    <x v="765"/>
    <n v="872"/>
    <n v="123"/>
    <n v="749"/>
    <n v="657100"/>
    <n v="276151"/>
    <n v="933251"/>
    <n v="572"/>
    <n v="22"/>
    <n v="594"/>
    <b v="1"/>
    <b v="1"/>
    <b v="1"/>
    <b v="1"/>
    <b v="1"/>
    <b v="1"/>
  </r>
  <r>
    <x v="766"/>
    <n v="612"/>
    <n v="92"/>
    <n v="520"/>
    <n v="867920"/>
    <n v="142150"/>
    <n v="1010070"/>
    <n v="385"/>
    <n v="24"/>
    <n v="409"/>
    <b v="1"/>
    <b v="1"/>
    <b v="1"/>
    <b v="1"/>
    <b v="1"/>
    <b v="1"/>
  </r>
  <r>
    <x v="767"/>
    <n v="923"/>
    <n v="187"/>
    <n v="736"/>
    <n v="772400"/>
    <n v="457590"/>
    <n v="1229990"/>
    <n v="508"/>
    <n v="39"/>
    <n v="547"/>
    <b v="1"/>
    <b v="1"/>
    <b v="1"/>
    <b v="1"/>
    <b v="1"/>
    <b v="1"/>
  </r>
  <r>
    <x v="768"/>
    <n v="1050"/>
    <n v="185"/>
    <n v="865"/>
    <n v="1112250"/>
    <n v="457325"/>
    <n v="1569575"/>
    <n v="635"/>
    <n v="34"/>
    <n v="669"/>
    <b v="1"/>
    <b v="1"/>
    <b v="1"/>
    <b v="1"/>
    <b v="1"/>
    <b v="1"/>
  </r>
  <r>
    <x v="769"/>
    <n v="1132"/>
    <n v="226"/>
    <n v="906"/>
    <n v="1628700"/>
    <n v="417250"/>
    <n v="2045950"/>
    <n v="612"/>
    <n v="62"/>
    <n v="674"/>
    <b v="1"/>
    <b v="1"/>
    <b v="1"/>
    <b v="1"/>
    <b v="1"/>
    <b v="1"/>
  </r>
  <r>
    <x v="770"/>
    <n v="756"/>
    <n v="143"/>
    <n v="613"/>
    <n v="1009250"/>
    <n v="405450"/>
    <n v="1414700"/>
    <n v="390"/>
    <n v="19"/>
    <n v="409"/>
    <b v="1"/>
    <b v="1"/>
    <b v="1"/>
    <b v="1"/>
    <b v="1"/>
    <b v="1"/>
  </r>
  <r>
    <x v="771"/>
    <n v="821"/>
    <n v="144"/>
    <n v="677"/>
    <n v="635400"/>
    <n v="170600"/>
    <n v="806000"/>
    <n v="455"/>
    <n v="16"/>
    <n v="471"/>
    <b v="1"/>
    <b v="1"/>
    <b v="1"/>
    <b v="1"/>
    <b v="1"/>
    <b v="1"/>
  </r>
  <r>
    <x v="772"/>
    <n v="754"/>
    <n v="126"/>
    <n v="628"/>
    <n v="555800"/>
    <n v="391050"/>
    <n v="946850"/>
    <n v="400"/>
    <n v="31"/>
    <n v="431"/>
    <b v="1"/>
    <b v="1"/>
    <b v="1"/>
    <b v="1"/>
    <b v="1"/>
    <b v="1"/>
  </r>
  <r>
    <x v="773"/>
    <n v="398"/>
    <n v="77"/>
    <n v="321"/>
    <n v="798000"/>
    <n v="127125"/>
    <n v="925125"/>
    <n v="172"/>
    <n v="13"/>
    <n v="185"/>
    <b v="1"/>
    <b v="1"/>
    <b v="1"/>
    <b v="1"/>
    <b v="1"/>
    <b v="1"/>
  </r>
  <r>
    <x v="774"/>
    <n v="743"/>
    <n v="115"/>
    <n v="628"/>
    <n v="1045099"/>
    <n v="151500"/>
    <n v="1196599"/>
    <n v="398"/>
    <n v="6"/>
    <n v="404"/>
    <b v="1"/>
    <b v="1"/>
    <b v="1"/>
    <b v="1"/>
    <b v="1"/>
    <b v="1"/>
  </r>
  <r>
    <x v="775"/>
    <n v="1377"/>
    <n v="222"/>
    <n v="1155"/>
    <n v="1290750"/>
    <n v="363350"/>
    <n v="1654100"/>
    <n v="809"/>
    <n v="27"/>
    <n v="836"/>
    <b v="1"/>
    <b v="1"/>
    <b v="1"/>
    <b v="1"/>
    <b v="1"/>
    <b v="1"/>
  </r>
  <r>
    <x v="776"/>
    <n v="1255"/>
    <n v="209"/>
    <n v="1046"/>
    <n v="1025550"/>
    <n v="295110"/>
    <n v="1320660"/>
    <n v="721"/>
    <n v="57"/>
    <n v="778"/>
    <b v="1"/>
    <b v="1"/>
    <b v="1"/>
    <b v="1"/>
    <b v="1"/>
    <b v="1"/>
  </r>
  <r>
    <x v="777"/>
    <n v="837"/>
    <n v="204"/>
    <n v="633"/>
    <n v="823850"/>
    <n v="326250"/>
    <n v="1150100"/>
    <n v="394"/>
    <n v="44"/>
    <n v="438"/>
    <b v="1"/>
    <b v="1"/>
    <b v="1"/>
    <b v="1"/>
    <b v="1"/>
    <b v="1"/>
  </r>
  <r>
    <x v="778"/>
    <n v="1089"/>
    <n v="234"/>
    <n v="855"/>
    <n v="1067100"/>
    <n v="622300"/>
    <n v="1689400"/>
    <n v="584"/>
    <n v="16"/>
    <n v="600"/>
    <b v="1"/>
    <b v="1"/>
    <b v="1"/>
    <b v="1"/>
    <b v="1"/>
    <b v="1"/>
  </r>
  <r>
    <x v="779"/>
    <n v="841"/>
    <n v="211"/>
    <n v="630"/>
    <n v="672050"/>
    <n v="321001"/>
    <n v="993051"/>
    <n v="358"/>
    <n v="10"/>
    <n v="368"/>
    <b v="1"/>
    <b v="1"/>
    <b v="1"/>
    <b v="1"/>
    <b v="1"/>
    <b v="1"/>
  </r>
  <r>
    <x v="780"/>
    <n v="678"/>
    <n v="163"/>
    <n v="515"/>
    <n v="502000"/>
    <n v="165300"/>
    <n v="667300"/>
    <n v="339"/>
    <n v="15"/>
    <n v="354"/>
    <b v="1"/>
    <b v="1"/>
    <b v="1"/>
    <b v="1"/>
    <b v="1"/>
    <b v="1"/>
  </r>
  <r>
    <x v="781"/>
    <n v="861"/>
    <n v="179"/>
    <n v="682"/>
    <n v="1045750"/>
    <n v="307660"/>
    <n v="1353410"/>
    <n v="405"/>
    <n v="48"/>
    <n v="453"/>
    <b v="1"/>
    <b v="1"/>
    <b v="1"/>
    <b v="1"/>
    <b v="1"/>
    <b v="1"/>
  </r>
  <r>
    <x v="782"/>
    <n v="1021"/>
    <n v="213"/>
    <n v="808"/>
    <n v="1438650"/>
    <n v="290551"/>
    <n v="1729201"/>
    <n v="486"/>
    <n v="50"/>
    <n v="536"/>
    <b v="1"/>
    <b v="1"/>
    <b v="1"/>
    <b v="1"/>
    <b v="1"/>
    <b v="1"/>
  </r>
  <r>
    <x v="783"/>
    <n v="1165"/>
    <n v="261"/>
    <n v="904"/>
    <n v="1315590"/>
    <n v="648748"/>
    <n v="1964338"/>
    <n v="644"/>
    <n v="19"/>
    <n v="663"/>
    <b v="1"/>
    <b v="1"/>
    <b v="1"/>
    <b v="1"/>
    <b v="1"/>
    <b v="1"/>
  </r>
  <r>
    <x v="784"/>
    <n v="835"/>
    <n v="203"/>
    <n v="632"/>
    <n v="830700"/>
    <n v="448591"/>
    <n v="1279291"/>
    <n v="421"/>
    <n v="56"/>
    <n v="477"/>
    <b v="1"/>
    <b v="1"/>
    <b v="1"/>
    <b v="1"/>
    <b v="1"/>
    <b v="1"/>
  </r>
  <r>
    <x v="785"/>
    <n v="709"/>
    <n v="221"/>
    <n v="488"/>
    <n v="655800"/>
    <n v="341350"/>
    <n v="997150"/>
    <n v="320"/>
    <n v="74"/>
    <n v="394"/>
    <b v="1"/>
    <b v="1"/>
    <b v="1"/>
    <b v="1"/>
    <b v="1"/>
    <b v="1"/>
  </r>
  <r>
    <x v="786"/>
    <n v="741"/>
    <n v="243"/>
    <n v="498"/>
    <n v="736750"/>
    <n v="338300"/>
    <n v="1075050"/>
    <n v="291"/>
    <n v="27"/>
    <n v="318"/>
    <b v="1"/>
    <b v="1"/>
    <b v="1"/>
    <b v="1"/>
    <b v="1"/>
    <b v="1"/>
  </r>
  <r>
    <x v="787"/>
    <n v="545"/>
    <n v="183"/>
    <n v="362"/>
    <n v="504600"/>
    <n v="328295"/>
    <n v="832895"/>
    <n v="209"/>
    <n v="29"/>
    <n v="238"/>
    <b v="1"/>
    <b v="1"/>
    <b v="1"/>
    <b v="1"/>
    <b v="1"/>
    <b v="1"/>
  </r>
  <r>
    <x v="788"/>
    <n v="835"/>
    <n v="248"/>
    <n v="587"/>
    <n v="912150"/>
    <n v="355770"/>
    <n v="1267920"/>
    <n v="362"/>
    <n v="62"/>
    <n v="424"/>
    <b v="1"/>
    <b v="1"/>
    <b v="1"/>
    <b v="1"/>
    <b v="1"/>
    <b v="1"/>
  </r>
  <r>
    <x v="789"/>
    <n v="1256"/>
    <n v="271"/>
    <n v="985"/>
    <n v="1001650"/>
    <n v="504925"/>
    <n v="1506575"/>
    <n v="697"/>
    <n v="63"/>
    <n v="760"/>
    <b v="1"/>
    <b v="1"/>
    <b v="1"/>
    <b v="1"/>
    <b v="1"/>
    <b v="1"/>
  </r>
  <r>
    <x v="790"/>
    <n v="1015"/>
    <n v="282"/>
    <n v="733"/>
    <n v="1531110"/>
    <n v="955740"/>
    <n v="2486850"/>
    <n v="406"/>
    <n v="44"/>
    <n v="450"/>
    <b v="1"/>
    <b v="1"/>
    <b v="1"/>
    <b v="1"/>
    <b v="1"/>
    <b v="1"/>
  </r>
  <r>
    <x v="791"/>
    <n v="1059"/>
    <n v="275"/>
    <n v="784"/>
    <n v="1628500"/>
    <n v="697060"/>
    <n v="2325560"/>
    <n v="449"/>
    <n v="74"/>
    <n v="523"/>
    <b v="1"/>
    <b v="1"/>
    <b v="1"/>
    <b v="1"/>
    <b v="1"/>
    <b v="1"/>
  </r>
  <r>
    <x v="792"/>
    <n v="1087"/>
    <n v="271"/>
    <n v="816"/>
    <n v="1297550"/>
    <n v="682581"/>
    <n v="1980131"/>
    <n v="431"/>
    <n v="37"/>
    <n v="468"/>
    <b v="1"/>
    <b v="1"/>
    <b v="1"/>
    <b v="1"/>
    <b v="1"/>
    <b v="1"/>
  </r>
  <r>
    <x v="793"/>
    <n v="1032"/>
    <n v="211"/>
    <n v="821"/>
    <n v="1429500"/>
    <n v="544000"/>
    <n v="1973500"/>
    <n v="550"/>
    <n v="48"/>
    <n v="598"/>
    <b v="1"/>
    <b v="1"/>
    <b v="1"/>
    <b v="1"/>
    <b v="1"/>
    <b v="1"/>
  </r>
  <r>
    <x v="794"/>
    <n v="480"/>
    <n v="98"/>
    <n v="382"/>
    <n v="525650"/>
    <n v="246400"/>
    <n v="772050"/>
    <n v="164"/>
    <n v="13"/>
    <n v="177"/>
    <b v="1"/>
    <b v="1"/>
    <b v="1"/>
    <b v="1"/>
    <b v="1"/>
    <b v="1"/>
  </r>
  <r>
    <x v="795"/>
    <n v="946"/>
    <n v="238"/>
    <n v="708"/>
    <n v="1051850"/>
    <n v="851934"/>
    <n v="1903784"/>
    <n v="429"/>
    <n v="32"/>
    <n v="461"/>
    <b v="1"/>
    <b v="1"/>
    <b v="1"/>
    <b v="1"/>
    <b v="1"/>
    <b v="1"/>
  </r>
  <r>
    <x v="796"/>
    <n v="1090"/>
    <n v="244"/>
    <n v="846"/>
    <n v="1225900"/>
    <n v="535420"/>
    <n v="1761320"/>
    <n v="545"/>
    <n v="33"/>
    <n v="578"/>
    <b v="1"/>
    <b v="1"/>
    <b v="1"/>
    <b v="1"/>
    <b v="1"/>
    <b v="1"/>
  </r>
  <r>
    <x v="797"/>
    <n v="884"/>
    <n v="251"/>
    <n v="633"/>
    <n v="979100"/>
    <n v="622850"/>
    <n v="1601950"/>
    <n v="395"/>
    <n v="42"/>
    <n v="437"/>
    <b v="1"/>
    <b v="1"/>
    <b v="1"/>
    <b v="1"/>
    <b v="1"/>
    <b v="1"/>
  </r>
  <r>
    <x v="798"/>
    <n v="1075"/>
    <n v="313"/>
    <n v="762"/>
    <n v="1249550"/>
    <n v="651238"/>
    <n v="1900788"/>
    <n v="421"/>
    <n v="67"/>
    <n v="488"/>
    <b v="1"/>
    <b v="1"/>
    <b v="1"/>
    <b v="1"/>
    <b v="1"/>
    <b v="1"/>
  </r>
  <r>
    <x v="799"/>
    <n v="1211"/>
    <n v="322"/>
    <n v="889"/>
    <n v="920630"/>
    <n v="395900"/>
    <n v="1316530"/>
    <n v="537"/>
    <n v="60"/>
    <n v="597"/>
    <b v="1"/>
    <b v="1"/>
    <b v="1"/>
    <b v="1"/>
    <b v="1"/>
    <b v="1"/>
  </r>
  <r>
    <x v="800"/>
    <n v="775"/>
    <n v="154"/>
    <n v="621"/>
    <n v="657250"/>
    <n v="229100"/>
    <n v="886350"/>
    <n v="368"/>
    <n v="31"/>
    <n v="399"/>
    <b v="1"/>
    <b v="1"/>
    <b v="1"/>
    <b v="1"/>
    <b v="1"/>
    <b v="1"/>
  </r>
  <r>
    <x v="801"/>
    <n v="476"/>
    <n v="98"/>
    <n v="378"/>
    <n v="315800"/>
    <n v="84625"/>
    <n v="400425"/>
    <n v="170"/>
    <n v="6"/>
    <n v="176"/>
    <b v="1"/>
    <b v="1"/>
    <b v="1"/>
    <b v="1"/>
    <b v="1"/>
    <b v="1"/>
  </r>
  <r>
    <x v="802"/>
    <n v="270"/>
    <n v="35"/>
    <n v="235"/>
    <n v="93100"/>
    <n v="36675"/>
    <n v="129775"/>
    <n v="145"/>
    <n v="8"/>
    <n v="153"/>
    <b v="1"/>
    <b v="1"/>
    <b v="1"/>
    <b v="1"/>
    <b v="1"/>
    <b v="1"/>
  </r>
  <r>
    <x v="803"/>
    <n v="796"/>
    <n v="111"/>
    <n v="685"/>
    <n v="654700"/>
    <n v="180000"/>
    <n v="834700"/>
    <n v="423"/>
    <n v="4"/>
    <n v="427"/>
    <b v="1"/>
    <b v="1"/>
    <b v="1"/>
    <b v="1"/>
    <b v="1"/>
    <b v="1"/>
  </r>
  <r>
    <x v="804"/>
    <n v="1134"/>
    <n v="190"/>
    <n v="944"/>
    <n v="596850"/>
    <n v="395887"/>
    <n v="992737"/>
    <n v="619"/>
    <n v="18"/>
    <n v="637"/>
    <b v="1"/>
    <b v="1"/>
    <b v="1"/>
    <b v="1"/>
    <b v="1"/>
    <b v="1"/>
  </r>
  <r>
    <x v="805"/>
    <n v="1159"/>
    <n v="292"/>
    <n v="867"/>
    <n v="922340"/>
    <n v="752865"/>
    <n v="1675205"/>
    <n v="546"/>
    <n v="50"/>
    <n v="596"/>
    <b v="1"/>
    <b v="1"/>
    <b v="1"/>
    <b v="1"/>
    <b v="1"/>
    <b v="1"/>
  </r>
  <r>
    <x v="806"/>
    <n v="1037"/>
    <n v="259"/>
    <n v="778"/>
    <n v="988899"/>
    <n v="507350"/>
    <n v="1496249"/>
    <n v="456"/>
    <n v="56"/>
    <n v="512"/>
    <b v="1"/>
    <b v="1"/>
    <b v="1"/>
    <b v="1"/>
    <b v="1"/>
    <b v="1"/>
  </r>
  <r>
    <x v="807"/>
    <n v="1169"/>
    <n v="262"/>
    <n v="907"/>
    <n v="1058260"/>
    <n v="977950"/>
    <n v="2036210"/>
    <n v="548"/>
    <n v="64"/>
    <n v="612"/>
    <b v="1"/>
    <b v="1"/>
    <b v="1"/>
    <b v="1"/>
    <b v="1"/>
    <b v="1"/>
  </r>
  <r>
    <x v="808"/>
    <n v="602"/>
    <n v="154"/>
    <n v="448"/>
    <n v="644300"/>
    <n v="569906"/>
    <n v="1214206"/>
    <n v="219"/>
    <n v="17"/>
    <n v="236"/>
    <b v="1"/>
    <b v="1"/>
    <b v="1"/>
    <b v="1"/>
    <b v="1"/>
    <b v="1"/>
  </r>
  <r>
    <x v="809"/>
    <n v="978"/>
    <n v="209"/>
    <n v="769"/>
    <n v="830150"/>
    <n v="621250"/>
    <n v="1451400"/>
    <n v="452"/>
    <n v="38"/>
    <n v="490"/>
    <b v="1"/>
    <b v="1"/>
    <b v="1"/>
    <b v="1"/>
    <b v="1"/>
    <b v="1"/>
  </r>
  <r>
    <x v="810"/>
    <n v="1177"/>
    <n v="302"/>
    <n v="875"/>
    <n v="1455752"/>
    <n v="1056085"/>
    <n v="2511837"/>
    <n v="580"/>
    <n v="72"/>
    <n v="652"/>
    <b v="1"/>
    <b v="1"/>
    <b v="1"/>
    <b v="1"/>
    <b v="1"/>
    <b v="1"/>
  </r>
  <r>
    <x v="811"/>
    <n v="1242"/>
    <n v="407"/>
    <n v="835"/>
    <n v="1341251"/>
    <n v="1116505"/>
    <n v="2457756"/>
    <n v="537"/>
    <n v="69"/>
    <n v="606"/>
    <b v="1"/>
    <b v="1"/>
    <b v="1"/>
    <b v="1"/>
    <b v="1"/>
    <b v="1"/>
  </r>
  <r>
    <x v="812"/>
    <n v="1174"/>
    <n v="342"/>
    <n v="832"/>
    <n v="2386665"/>
    <n v="1007960"/>
    <n v="3394625"/>
    <n v="552"/>
    <n v="32"/>
    <n v="584"/>
    <b v="1"/>
    <b v="1"/>
    <b v="1"/>
    <b v="1"/>
    <b v="1"/>
    <b v="1"/>
  </r>
  <r>
    <x v="813"/>
    <n v="1067"/>
    <n v="378"/>
    <n v="689"/>
    <n v="955850"/>
    <n v="1499930"/>
    <n v="2455780"/>
    <n v="397"/>
    <n v="48"/>
    <n v="445"/>
    <b v="1"/>
    <b v="1"/>
    <b v="1"/>
    <b v="1"/>
    <b v="1"/>
    <b v="1"/>
  </r>
  <r>
    <x v="814"/>
    <n v="1116"/>
    <n v="392"/>
    <n v="724"/>
    <n v="1003650"/>
    <n v="2702678"/>
    <n v="3706328"/>
    <n v="434"/>
    <n v="58"/>
    <n v="492"/>
    <b v="1"/>
    <b v="1"/>
    <b v="1"/>
    <b v="1"/>
    <b v="1"/>
    <b v="1"/>
  </r>
  <r>
    <x v="815"/>
    <n v="675"/>
    <n v="222"/>
    <n v="453"/>
    <n v="495400"/>
    <n v="980080"/>
    <n v="1475480"/>
    <n v="225"/>
    <n v="35"/>
    <n v="260"/>
    <b v="1"/>
    <b v="1"/>
    <b v="1"/>
    <b v="1"/>
    <b v="1"/>
    <b v="1"/>
  </r>
  <r>
    <x v="816"/>
    <n v="1160"/>
    <n v="354"/>
    <n v="806"/>
    <n v="916600"/>
    <n v="1365041"/>
    <n v="2281641"/>
    <n v="512"/>
    <n v="83"/>
    <n v="595"/>
    <b v="1"/>
    <b v="1"/>
    <b v="1"/>
    <b v="1"/>
    <b v="1"/>
    <b v="1"/>
  </r>
  <r>
    <x v="817"/>
    <n v="1322"/>
    <n v="349"/>
    <n v="973"/>
    <n v="1232350"/>
    <n v="996020"/>
    <n v="2228370"/>
    <n v="664"/>
    <n v="78"/>
    <n v="742"/>
    <b v="1"/>
    <b v="1"/>
    <b v="1"/>
    <b v="1"/>
    <b v="1"/>
    <b v="1"/>
  </r>
  <r>
    <x v="818"/>
    <n v="1469"/>
    <n v="422"/>
    <n v="1047"/>
    <n v="1030900"/>
    <n v="1353705"/>
    <n v="2384605"/>
    <n v="738"/>
    <n v="65"/>
    <n v="803"/>
    <b v="1"/>
    <b v="1"/>
    <b v="1"/>
    <b v="1"/>
    <b v="1"/>
    <b v="1"/>
  </r>
  <r>
    <x v="819"/>
    <n v="1418"/>
    <n v="409"/>
    <n v="1009"/>
    <n v="906490"/>
    <n v="731610"/>
    <n v="1638100"/>
    <n v="643"/>
    <n v="77"/>
    <n v="720"/>
    <b v="1"/>
    <b v="1"/>
    <b v="1"/>
    <b v="1"/>
    <b v="1"/>
    <b v="1"/>
  </r>
  <r>
    <x v="820"/>
    <n v="1599"/>
    <n v="485"/>
    <n v="1114"/>
    <n v="1043000"/>
    <n v="751880"/>
    <n v="1794880"/>
    <n v="666"/>
    <n v="61"/>
    <n v="727"/>
    <b v="1"/>
    <b v="1"/>
    <b v="1"/>
    <b v="1"/>
    <b v="1"/>
    <b v="1"/>
  </r>
  <r>
    <x v="821"/>
    <n v="967"/>
    <n v="257"/>
    <n v="710"/>
    <n v="31478850"/>
    <n v="734210"/>
    <n v="32213060"/>
    <n v="351"/>
    <n v="28"/>
    <n v="379"/>
    <b v="1"/>
    <b v="1"/>
    <b v="1"/>
    <b v="1"/>
    <b v="1"/>
    <b v="1"/>
  </r>
  <r>
    <x v="822"/>
    <n v="788"/>
    <n v="213"/>
    <n v="575"/>
    <n v="800500"/>
    <n v="516935"/>
    <n v="1317435"/>
    <n v="314"/>
    <n v="36"/>
    <n v="350"/>
    <b v="1"/>
    <b v="1"/>
    <b v="1"/>
    <b v="1"/>
    <b v="1"/>
    <b v="1"/>
  </r>
  <r>
    <x v="823"/>
    <n v="921"/>
    <n v="276"/>
    <n v="645"/>
    <n v="1004850"/>
    <n v="1096456"/>
    <n v="2101306"/>
    <n v="344"/>
    <n v="53"/>
    <n v="397"/>
    <b v="1"/>
    <b v="1"/>
    <b v="1"/>
    <b v="1"/>
    <b v="1"/>
    <b v="1"/>
  </r>
  <r>
    <x v="824"/>
    <n v="1020"/>
    <n v="276"/>
    <n v="744"/>
    <n v="1325150"/>
    <n v="1032670"/>
    <n v="2357820"/>
    <n v="395"/>
    <n v="51"/>
    <n v="446"/>
    <b v="1"/>
    <b v="1"/>
    <b v="1"/>
    <b v="1"/>
    <b v="1"/>
    <b v="1"/>
  </r>
  <r>
    <x v="825"/>
    <n v="1334"/>
    <n v="258"/>
    <n v="1076"/>
    <n v="1080760"/>
    <n v="608210"/>
    <n v="1688970"/>
    <n v="685"/>
    <n v="68"/>
    <n v="753"/>
    <b v="1"/>
    <b v="1"/>
    <b v="1"/>
    <b v="1"/>
    <b v="1"/>
    <b v="1"/>
  </r>
  <r>
    <x v="826"/>
    <n v="1501"/>
    <n v="303"/>
    <n v="1198"/>
    <n v="910149"/>
    <n v="692011"/>
    <n v="1602160"/>
    <n v="785"/>
    <n v="79"/>
    <n v="864"/>
    <b v="1"/>
    <b v="1"/>
    <b v="1"/>
    <b v="1"/>
    <b v="1"/>
    <b v="1"/>
  </r>
  <r>
    <x v="827"/>
    <n v="1542"/>
    <n v="349"/>
    <n v="1193"/>
    <n v="1179590"/>
    <n v="1152402"/>
    <n v="2331992"/>
    <n v="762"/>
    <n v="40"/>
    <n v="802"/>
    <b v="1"/>
    <b v="1"/>
    <b v="1"/>
    <b v="1"/>
    <b v="1"/>
    <b v="1"/>
  </r>
  <r>
    <x v="828"/>
    <n v="1516"/>
    <n v="411"/>
    <n v="1105"/>
    <n v="989000"/>
    <n v="1325710"/>
    <n v="2314710"/>
    <n v="699"/>
    <n v="37"/>
    <n v="736"/>
    <b v="1"/>
    <b v="1"/>
    <b v="1"/>
    <b v="1"/>
    <b v="1"/>
    <b v="1"/>
  </r>
  <r>
    <x v="829"/>
    <n v="781"/>
    <n v="200"/>
    <n v="581"/>
    <n v="463550"/>
    <n v="516450"/>
    <n v="980000"/>
    <n v="350"/>
    <n v="50"/>
    <n v="400"/>
    <b v="1"/>
    <b v="1"/>
    <b v="1"/>
    <b v="1"/>
    <b v="1"/>
    <b v="1"/>
  </r>
  <r>
    <x v="830"/>
    <n v="1335"/>
    <n v="325"/>
    <n v="1010"/>
    <n v="1204500"/>
    <n v="952060"/>
    <n v="2156560"/>
    <n v="630"/>
    <n v="64"/>
    <n v="694"/>
    <b v="1"/>
    <b v="1"/>
    <b v="1"/>
    <b v="1"/>
    <b v="1"/>
    <b v="1"/>
  </r>
  <r>
    <x v="831"/>
    <n v="1324"/>
    <n v="297"/>
    <n v="1027"/>
    <n v="1110051"/>
    <n v="818266"/>
    <n v="1928317"/>
    <n v="687"/>
    <n v="27"/>
    <n v="714"/>
    <b v="1"/>
    <b v="1"/>
    <b v="1"/>
    <b v="1"/>
    <b v="1"/>
    <b v="1"/>
  </r>
  <r>
    <x v="832"/>
    <n v="1611"/>
    <n v="493"/>
    <n v="1118"/>
    <n v="1337700"/>
    <n v="1377630"/>
    <n v="2715330"/>
    <n v="750"/>
    <n v="72"/>
    <n v="822"/>
    <b v="1"/>
    <b v="1"/>
    <b v="1"/>
    <b v="1"/>
    <b v="1"/>
    <b v="1"/>
  </r>
  <r>
    <x v="833"/>
    <n v="1312"/>
    <n v="466"/>
    <n v="846"/>
    <n v="1431550"/>
    <n v="1617270"/>
    <n v="3048820"/>
    <n v="508"/>
    <n v="55"/>
    <n v="563"/>
    <b v="1"/>
    <b v="1"/>
    <b v="1"/>
    <b v="1"/>
    <b v="1"/>
    <b v="1"/>
  </r>
  <r>
    <x v="834"/>
    <n v="1287"/>
    <n v="448"/>
    <n v="839"/>
    <n v="1062950"/>
    <n v="1149095"/>
    <n v="2212045"/>
    <n v="572"/>
    <n v="77"/>
    <n v="649"/>
    <b v="1"/>
    <b v="1"/>
    <b v="1"/>
    <b v="1"/>
    <b v="1"/>
    <b v="1"/>
  </r>
  <r>
    <x v="835"/>
    <n v="1316"/>
    <n v="425"/>
    <n v="891"/>
    <n v="1015160"/>
    <n v="1134720"/>
    <n v="2149880"/>
    <n v="545"/>
    <n v="76"/>
    <n v="621"/>
    <b v="1"/>
    <b v="1"/>
    <b v="1"/>
    <b v="1"/>
    <b v="1"/>
    <b v="1"/>
  </r>
  <r>
    <x v="836"/>
    <n v="850"/>
    <n v="345"/>
    <n v="505"/>
    <n v="563250"/>
    <n v="662660"/>
    <n v="1225910"/>
    <n v="218"/>
    <n v="33"/>
    <n v="251"/>
    <b v="1"/>
    <b v="1"/>
    <b v="1"/>
    <b v="1"/>
    <b v="1"/>
    <b v="1"/>
  </r>
  <r>
    <x v="837"/>
    <n v="1598"/>
    <n v="494"/>
    <n v="1104"/>
    <n v="1276150"/>
    <n v="1320420"/>
    <n v="2596570"/>
    <n v="693"/>
    <n v="45"/>
    <n v="738"/>
    <b v="1"/>
    <b v="1"/>
    <b v="1"/>
    <b v="1"/>
    <b v="1"/>
    <b v="1"/>
  </r>
  <r>
    <x v="838"/>
    <n v="1292"/>
    <n v="455"/>
    <n v="837"/>
    <n v="1439041"/>
    <n v="1387004"/>
    <n v="2826045"/>
    <n v="484"/>
    <n v="103"/>
    <n v="587"/>
    <b v="1"/>
    <b v="1"/>
    <b v="1"/>
    <b v="1"/>
    <b v="1"/>
    <b v="1"/>
  </r>
  <r>
    <x v="839"/>
    <n v="1306"/>
    <n v="514"/>
    <n v="792"/>
    <n v="1154018"/>
    <n v="1539915"/>
    <n v="2693933"/>
    <n v="497"/>
    <n v="48"/>
    <n v="545"/>
    <b v="1"/>
    <b v="1"/>
    <b v="1"/>
    <b v="1"/>
    <b v="1"/>
    <b v="1"/>
  </r>
  <r>
    <x v="840"/>
    <n v="1248"/>
    <n v="469"/>
    <n v="779"/>
    <n v="1556345"/>
    <n v="1719832"/>
    <n v="3276177"/>
    <n v="495"/>
    <n v="63"/>
    <n v="558"/>
    <b v="1"/>
    <b v="1"/>
    <b v="1"/>
    <b v="1"/>
    <b v="1"/>
    <b v="1"/>
  </r>
  <r>
    <x v="841"/>
    <n v="1126"/>
    <n v="401"/>
    <n v="725"/>
    <n v="1250447"/>
    <n v="1355095"/>
    <n v="2605542"/>
    <n v="344"/>
    <n v="54"/>
    <n v="398"/>
    <b v="1"/>
    <b v="1"/>
    <b v="1"/>
    <b v="1"/>
    <b v="1"/>
    <b v="1"/>
  </r>
  <r>
    <x v="842"/>
    <n v="1052"/>
    <n v="420"/>
    <n v="632"/>
    <n v="1022250"/>
    <n v="1437760"/>
    <n v="2460010"/>
    <n v="351"/>
    <n v="49"/>
    <n v="400"/>
    <b v="1"/>
    <b v="1"/>
    <b v="1"/>
    <b v="1"/>
    <b v="1"/>
    <b v="1"/>
  </r>
  <r>
    <x v="843"/>
    <n v="522"/>
    <n v="198"/>
    <n v="324"/>
    <n v="445800"/>
    <n v="522350"/>
    <n v="968150"/>
    <n v="105"/>
    <n v="35"/>
    <n v="140"/>
    <b v="1"/>
    <b v="1"/>
    <b v="1"/>
    <b v="1"/>
    <b v="1"/>
    <b v="1"/>
  </r>
  <r>
    <x v="844"/>
    <n v="1240"/>
    <n v="469"/>
    <n v="771"/>
    <n v="1545835"/>
    <n v="1262475"/>
    <n v="2808310"/>
    <n v="430"/>
    <n v="60"/>
    <n v="490"/>
    <b v="1"/>
    <b v="1"/>
    <b v="1"/>
    <b v="1"/>
    <b v="1"/>
    <b v="1"/>
  </r>
  <r>
    <x v="845"/>
    <n v="1887"/>
    <n v="742"/>
    <n v="1145"/>
    <n v="1316600"/>
    <n v="2145595"/>
    <n v="3462195"/>
    <n v="796"/>
    <n v="117"/>
    <n v="913"/>
    <b v="1"/>
    <b v="1"/>
    <b v="1"/>
    <b v="1"/>
    <b v="1"/>
    <b v="1"/>
  </r>
  <r>
    <x v="846"/>
    <n v="1729"/>
    <n v="609"/>
    <n v="1120"/>
    <n v="1491600"/>
    <n v="1725445"/>
    <n v="3217045"/>
    <n v="707"/>
    <n v="51"/>
    <n v="758"/>
    <b v="1"/>
    <b v="1"/>
    <b v="1"/>
    <b v="1"/>
    <b v="1"/>
    <b v="1"/>
  </r>
  <r>
    <x v="847"/>
    <n v="1664"/>
    <n v="652"/>
    <n v="1012"/>
    <n v="1028200"/>
    <n v="1663652"/>
    <n v="2691852"/>
    <n v="623"/>
    <n v="98"/>
    <n v="721"/>
    <b v="1"/>
    <b v="1"/>
    <b v="1"/>
    <b v="1"/>
    <b v="1"/>
    <b v="1"/>
  </r>
  <r>
    <x v="848"/>
    <n v="1815"/>
    <n v="619"/>
    <n v="1196"/>
    <n v="1302899"/>
    <n v="1157422"/>
    <n v="2460321"/>
    <n v="789"/>
    <n v="93"/>
    <n v="882"/>
    <b v="1"/>
    <b v="1"/>
    <b v="1"/>
    <b v="1"/>
    <b v="1"/>
    <b v="1"/>
  </r>
  <r>
    <x v="849"/>
    <n v="1571"/>
    <n v="669"/>
    <n v="902"/>
    <n v="902602"/>
    <n v="1499787"/>
    <n v="2402389"/>
    <n v="530"/>
    <n v="73"/>
    <n v="603"/>
    <b v="1"/>
    <b v="1"/>
    <b v="1"/>
    <b v="1"/>
    <b v="1"/>
    <b v="1"/>
  </r>
  <r>
    <x v="850"/>
    <n v="762"/>
    <n v="326"/>
    <n v="436"/>
    <n v="665755"/>
    <n v="555340"/>
    <n v="1221095"/>
    <n v="209"/>
    <n v="30"/>
    <n v="239"/>
    <b v="1"/>
    <b v="1"/>
    <b v="1"/>
    <b v="1"/>
    <b v="1"/>
    <b v="1"/>
  </r>
  <r>
    <x v="851"/>
    <n v="1184"/>
    <n v="446"/>
    <n v="738"/>
    <n v="1458000"/>
    <n v="1763220"/>
    <n v="3221220"/>
    <n v="460"/>
    <n v="56"/>
    <n v="516"/>
    <b v="1"/>
    <b v="1"/>
    <b v="1"/>
    <b v="1"/>
    <b v="1"/>
    <b v="1"/>
  </r>
  <r>
    <x v="852"/>
    <n v="1402"/>
    <n v="541"/>
    <n v="861"/>
    <n v="1200800"/>
    <n v="2157428"/>
    <n v="3358228"/>
    <n v="504"/>
    <n v="73"/>
    <n v="577"/>
    <b v="1"/>
    <b v="1"/>
    <b v="1"/>
    <b v="1"/>
    <b v="1"/>
    <b v="1"/>
  </r>
  <r>
    <x v="853"/>
    <n v="1391"/>
    <n v="611"/>
    <n v="780"/>
    <n v="1677932"/>
    <n v="2548617"/>
    <n v="4226549"/>
    <n v="477"/>
    <n v="80"/>
    <n v="557"/>
    <b v="1"/>
    <b v="1"/>
    <b v="1"/>
    <b v="1"/>
    <b v="1"/>
    <b v="1"/>
  </r>
  <r>
    <x v="854"/>
    <n v="1420"/>
    <n v="549"/>
    <n v="871"/>
    <n v="1280500"/>
    <n v="1962590"/>
    <n v="3243090"/>
    <n v="591"/>
    <n v="52"/>
    <n v="643"/>
    <b v="1"/>
    <b v="1"/>
    <b v="1"/>
    <b v="1"/>
    <b v="1"/>
    <b v="1"/>
  </r>
  <r>
    <x v="855"/>
    <n v="1487"/>
    <n v="594"/>
    <n v="893"/>
    <n v="1418099"/>
    <n v="2373746"/>
    <n v="3791845"/>
    <n v="652"/>
    <n v="103"/>
    <n v="755"/>
    <b v="1"/>
    <b v="1"/>
    <b v="1"/>
    <b v="1"/>
    <b v="1"/>
    <b v="1"/>
  </r>
  <r>
    <x v="856"/>
    <n v="1291"/>
    <n v="589"/>
    <n v="702"/>
    <n v="1116900"/>
    <n v="2099050"/>
    <n v="3215950"/>
    <n v="499"/>
    <n v="97"/>
    <n v="596"/>
    <b v="1"/>
    <b v="1"/>
    <b v="1"/>
    <b v="1"/>
    <b v="1"/>
    <b v="1"/>
  </r>
  <r>
    <x v="857"/>
    <n v="474"/>
    <n v="180"/>
    <n v="294"/>
    <n v="537200"/>
    <n v="572525"/>
    <n v="1109725"/>
    <n v="148"/>
    <n v="17"/>
    <n v="165"/>
    <b v="1"/>
    <b v="1"/>
    <b v="1"/>
    <b v="1"/>
    <b v="1"/>
    <b v="1"/>
  </r>
  <r>
    <x v="858"/>
    <n v="1799"/>
    <n v="665"/>
    <n v="1134"/>
    <n v="1422150"/>
    <n v="2197860"/>
    <n v="3620010"/>
    <n v="929"/>
    <n v="88"/>
    <n v="1017"/>
    <b v="1"/>
    <b v="1"/>
    <b v="1"/>
    <b v="1"/>
    <b v="1"/>
    <b v="1"/>
  </r>
  <r>
    <x v="859"/>
    <n v="1417"/>
    <n v="660"/>
    <n v="757"/>
    <n v="1206950"/>
    <n v="2294653"/>
    <n v="3501603"/>
    <n v="599"/>
    <n v="110"/>
    <n v="709"/>
    <b v="1"/>
    <b v="1"/>
    <b v="1"/>
    <b v="1"/>
    <b v="1"/>
    <b v="1"/>
  </r>
  <r>
    <x v="860"/>
    <n v="1170"/>
    <n v="521"/>
    <n v="649"/>
    <n v="930000"/>
    <n v="2134958"/>
    <n v="3064958"/>
    <n v="463"/>
    <n v="96"/>
    <n v="559"/>
    <b v="1"/>
    <b v="1"/>
    <b v="1"/>
    <b v="1"/>
    <b v="1"/>
    <b v="1"/>
  </r>
  <r>
    <x v="861"/>
    <n v="1480"/>
    <n v="600"/>
    <n v="880"/>
    <n v="1223500"/>
    <n v="2283455"/>
    <n v="3506955"/>
    <n v="608"/>
    <n v="76"/>
    <n v="684"/>
    <b v="1"/>
    <b v="1"/>
    <b v="1"/>
    <b v="1"/>
    <b v="1"/>
    <b v="1"/>
  </r>
  <r>
    <x v="862"/>
    <n v="1480"/>
    <n v="670"/>
    <n v="810"/>
    <n v="1254500"/>
    <n v="2798710"/>
    <n v="4053210"/>
    <n v="617"/>
    <n v="86"/>
    <n v="703"/>
    <b v="1"/>
    <b v="1"/>
    <b v="1"/>
    <b v="1"/>
    <b v="1"/>
    <b v="1"/>
  </r>
  <r>
    <x v="863"/>
    <n v="1339"/>
    <n v="634"/>
    <n v="705"/>
    <n v="1448925"/>
    <n v="2728095"/>
    <n v="4177020"/>
    <n v="490"/>
    <n v="108"/>
    <n v="598"/>
    <b v="1"/>
    <b v="1"/>
    <b v="1"/>
    <b v="1"/>
    <b v="1"/>
    <b v="1"/>
  </r>
  <r>
    <x v="864"/>
    <n v="769"/>
    <n v="269"/>
    <n v="500"/>
    <n v="739780"/>
    <n v="807760"/>
    <n v="1547540"/>
    <n v="367"/>
    <n v="39"/>
    <n v="406"/>
    <b v="1"/>
    <b v="1"/>
    <b v="1"/>
    <b v="1"/>
    <b v="1"/>
    <b v="1"/>
  </r>
  <r>
    <x v="865"/>
    <n v="1441"/>
    <n v="574"/>
    <n v="867"/>
    <n v="1248000"/>
    <n v="1778255"/>
    <n v="3026255"/>
    <n v="674"/>
    <n v="82"/>
    <n v="756"/>
    <b v="1"/>
    <b v="1"/>
    <b v="1"/>
    <b v="1"/>
    <b v="1"/>
    <b v="1"/>
  </r>
  <r>
    <x v="866"/>
    <n v="1577"/>
    <n v="752"/>
    <n v="825"/>
    <n v="1394051"/>
    <n v="2301652"/>
    <n v="3695703"/>
    <n v="642"/>
    <n v="64"/>
    <n v="706"/>
    <b v="1"/>
    <b v="1"/>
    <b v="1"/>
    <b v="1"/>
    <b v="1"/>
    <b v="1"/>
  </r>
  <r>
    <x v="867"/>
    <n v="2593"/>
    <n v="1464"/>
    <n v="1129"/>
    <n v="1694212"/>
    <n v="3691966"/>
    <n v="5386178"/>
    <n v="919"/>
    <n v="159"/>
    <n v="1078"/>
    <b v="1"/>
    <b v="1"/>
    <b v="1"/>
    <b v="1"/>
    <b v="1"/>
    <b v="1"/>
  </r>
  <r>
    <x v="868"/>
    <n v="2026"/>
    <n v="1034"/>
    <n v="992"/>
    <n v="1901904"/>
    <n v="3075652"/>
    <n v="4977556"/>
    <n v="801"/>
    <n v="131"/>
    <n v="932"/>
    <b v="1"/>
    <b v="1"/>
    <b v="1"/>
    <b v="1"/>
    <b v="1"/>
    <b v="1"/>
  </r>
  <r>
    <x v="869"/>
    <n v="2029"/>
    <n v="1096"/>
    <n v="933"/>
    <n v="1744340"/>
    <n v="3754512"/>
    <n v="5498852"/>
    <n v="738"/>
    <n v="153"/>
    <n v="891"/>
    <b v="1"/>
    <b v="1"/>
    <b v="1"/>
    <b v="1"/>
    <b v="1"/>
    <b v="1"/>
  </r>
  <r>
    <x v="870"/>
    <n v="1867"/>
    <n v="972"/>
    <n v="895"/>
    <n v="1958002"/>
    <n v="3633636"/>
    <n v="5591638"/>
    <n v="724"/>
    <n v="170"/>
    <n v="894"/>
    <b v="1"/>
    <b v="1"/>
    <b v="1"/>
    <b v="1"/>
    <b v="1"/>
    <b v="1"/>
  </r>
  <r>
    <x v="871"/>
    <n v="1092"/>
    <n v="558"/>
    <n v="534"/>
    <n v="788900"/>
    <n v="2250200"/>
    <n v="3039100"/>
    <n v="416"/>
    <n v="61"/>
    <n v="477"/>
    <b v="1"/>
    <b v="1"/>
    <b v="1"/>
    <b v="1"/>
    <b v="1"/>
    <b v="1"/>
  </r>
  <r>
    <x v="872"/>
    <n v="1843"/>
    <n v="976"/>
    <n v="867"/>
    <n v="6085955"/>
    <n v="2900450"/>
    <n v="8986405"/>
    <n v="692"/>
    <n v="165"/>
    <n v="857"/>
    <b v="1"/>
    <b v="1"/>
    <b v="1"/>
    <b v="1"/>
    <b v="1"/>
    <b v="1"/>
  </r>
  <r>
    <x v="873"/>
    <n v="1126"/>
    <n v="348"/>
    <n v="778"/>
    <n v="1025050"/>
    <n v="1052260"/>
    <n v="2077310"/>
    <n v="589"/>
    <n v="79"/>
    <n v="668"/>
    <b v="1"/>
    <b v="1"/>
    <b v="1"/>
    <b v="1"/>
    <b v="1"/>
    <b v="1"/>
  </r>
  <r>
    <x v="874"/>
    <n v="1052"/>
    <n v="228"/>
    <n v="824"/>
    <n v="1070850"/>
    <n v="474590"/>
    <n v="1545440"/>
    <n v="675"/>
    <n v="28"/>
    <n v="703"/>
    <b v="1"/>
    <b v="1"/>
    <b v="1"/>
    <b v="1"/>
    <b v="1"/>
    <b v="1"/>
  </r>
  <r>
    <x v="875"/>
    <n v="1004"/>
    <n v="207"/>
    <n v="797"/>
    <n v="1022450"/>
    <n v="388200"/>
    <n v="1410650"/>
    <n v="562"/>
    <n v="55"/>
    <n v="617"/>
    <b v="1"/>
    <b v="1"/>
    <b v="1"/>
    <b v="1"/>
    <b v="1"/>
    <b v="1"/>
  </r>
  <r>
    <x v="876"/>
    <n v="1474"/>
    <n v="699"/>
    <n v="775"/>
    <n v="1280650"/>
    <n v="1999075"/>
    <n v="3279725"/>
    <n v="526"/>
    <n v="64"/>
    <n v="590"/>
    <b v="1"/>
    <b v="1"/>
    <b v="1"/>
    <b v="1"/>
    <b v="1"/>
    <b v="1"/>
  </r>
  <r>
    <x v="877"/>
    <n v="1638"/>
    <n v="975"/>
    <n v="663"/>
    <n v="1164800"/>
    <n v="2521712"/>
    <n v="3686512"/>
    <n v="516"/>
    <n v="122"/>
    <n v="638"/>
    <b v="1"/>
    <b v="1"/>
    <b v="1"/>
    <b v="1"/>
    <b v="1"/>
    <b v="1"/>
  </r>
  <r>
    <x v="878"/>
    <n v="975"/>
    <n v="590"/>
    <n v="385"/>
    <n v="1123096"/>
    <n v="1664299"/>
    <n v="2787395"/>
    <n v="290"/>
    <n v="78"/>
    <n v="368"/>
    <b v="1"/>
    <b v="1"/>
    <b v="1"/>
    <b v="1"/>
    <b v="1"/>
    <b v="1"/>
  </r>
  <r>
    <x v="879"/>
    <n v="2073"/>
    <n v="1230"/>
    <n v="843"/>
    <n v="1640835"/>
    <n v="2781940"/>
    <n v="4422775"/>
    <n v="642"/>
    <n v="141"/>
    <n v="783"/>
    <b v="1"/>
    <b v="1"/>
    <b v="1"/>
    <b v="1"/>
    <b v="1"/>
    <b v="1"/>
  </r>
  <r>
    <x v="880"/>
    <n v="2435"/>
    <n v="1298"/>
    <n v="1137"/>
    <n v="1609780"/>
    <n v="3597782"/>
    <n v="5207562"/>
    <n v="916"/>
    <n v="124"/>
    <n v="1040"/>
    <b v="1"/>
    <b v="1"/>
    <b v="1"/>
    <b v="1"/>
    <b v="1"/>
    <b v="1"/>
  </r>
  <r>
    <x v="881"/>
    <n v="2348"/>
    <n v="1539"/>
    <n v="809"/>
    <n v="2037868"/>
    <n v="3734875"/>
    <n v="5772743"/>
    <n v="671"/>
    <n v="142"/>
    <n v="813"/>
    <b v="1"/>
    <b v="1"/>
    <b v="1"/>
    <b v="1"/>
    <b v="1"/>
    <b v="1"/>
  </r>
  <r>
    <x v="882"/>
    <n v="1699"/>
    <n v="870"/>
    <n v="829"/>
    <n v="1456750"/>
    <n v="4898823"/>
    <n v="6355573"/>
    <n v="663"/>
    <n v="130"/>
    <n v="793"/>
    <b v="1"/>
    <b v="1"/>
    <b v="1"/>
    <b v="1"/>
    <b v="1"/>
    <b v="1"/>
  </r>
  <r>
    <x v="883"/>
    <n v="1533"/>
    <n v="869"/>
    <n v="664"/>
    <n v="1641804"/>
    <n v="4150980"/>
    <n v="5792784"/>
    <n v="517"/>
    <n v="128"/>
    <n v="645"/>
    <b v="1"/>
    <b v="1"/>
    <b v="1"/>
    <b v="1"/>
    <b v="1"/>
    <b v="1"/>
  </r>
  <r>
    <x v="884"/>
    <n v="1599"/>
    <n v="872"/>
    <n v="727"/>
    <n v="1761946"/>
    <n v="4129636"/>
    <n v="5891582"/>
    <n v="543"/>
    <n v="137"/>
    <n v="680"/>
    <b v="1"/>
    <b v="1"/>
    <b v="1"/>
    <b v="1"/>
    <b v="1"/>
    <b v="1"/>
  </r>
  <r>
    <x v="885"/>
    <n v="701"/>
    <n v="375"/>
    <n v="326"/>
    <n v="812330"/>
    <n v="2333760"/>
    <n v="3146090"/>
    <n v="245"/>
    <n v="36"/>
    <n v="281"/>
    <b v="1"/>
    <b v="1"/>
    <b v="1"/>
    <b v="1"/>
    <b v="1"/>
    <b v="1"/>
  </r>
  <r>
    <x v="886"/>
    <n v="1746"/>
    <n v="966"/>
    <n v="780"/>
    <n v="1358050"/>
    <n v="5828830"/>
    <n v="7186880"/>
    <n v="589"/>
    <n v="114"/>
    <n v="703"/>
    <b v="1"/>
    <b v="1"/>
    <b v="1"/>
    <b v="1"/>
    <b v="1"/>
    <b v="1"/>
  </r>
  <r>
    <x v="887"/>
    <n v="1735"/>
    <n v="952"/>
    <n v="783"/>
    <n v="1964886"/>
    <n v="4538130"/>
    <n v="6503016"/>
    <n v="573"/>
    <n v="136"/>
    <n v="709"/>
    <b v="1"/>
    <b v="1"/>
    <b v="1"/>
    <b v="1"/>
    <b v="1"/>
    <b v="1"/>
  </r>
  <r>
    <x v="888"/>
    <n v="2148"/>
    <n v="1143"/>
    <n v="1005"/>
    <n v="1951980"/>
    <n v="5587265"/>
    <n v="7539245"/>
    <n v="787"/>
    <n v="127"/>
    <n v="914"/>
    <b v="1"/>
    <b v="1"/>
    <b v="1"/>
    <b v="1"/>
    <b v="1"/>
    <b v="1"/>
  </r>
  <r>
    <x v="889"/>
    <n v="1827"/>
    <n v="1090"/>
    <n v="737"/>
    <n v="1722341"/>
    <n v="5608185"/>
    <n v="7330526"/>
    <n v="585"/>
    <n v="126"/>
    <n v="711"/>
    <b v="1"/>
    <b v="1"/>
    <b v="1"/>
    <b v="1"/>
    <b v="1"/>
    <b v="1"/>
  </r>
  <r>
    <x v="890"/>
    <n v="1864"/>
    <n v="1031"/>
    <n v="833"/>
    <n v="1997060"/>
    <n v="6078943"/>
    <n v="8076003"/>
    <n v="655"/>
    <n v="106"/>
    <n v="761"/>
    <b v="1"/>
    <b v="1"/>
    <b v="1"/>
    <b v="1"/>
    <b v="1"/>
    <b v="1"/>
  </r>
  <r>
    <x v="891"/>
    <n v="1457"/>
    <n v="769"/>
    <n v="688"/>
    <n v="1094600"/>
    <n v="4044610"/>
    <n v="5139210"/>
    <n v="528"/>
    <n v="89"/>
    <n v="617"/>
    <b v="1"/>
    <b v="1"/>
    <b v="1"/>
    <b v="1"/>
    <b v="1"/>
    <b v="1"/>
  </r>
  <r>
    <x v="892"/>
    <n v="809"/>
    <n v="488"/>
    <n v="321"/>
    <n v="851930"/>
    <n v="2692663"/>
    <n v="3544593"/>
    <n v="217"/>
    <n v="51"/>
    <n v="268"/>
    <b v="1"/>
    <b v="1"/>
    <b v="1"/>
    <b v="1"/>
    <b v="1"/>
    <b v="1"/>
  </r>
  <r>
    <x v="893"/>
    <n v="1780"/>
    <n v="943"/>
    <n v="837"/>
    <n v="1434300"/>
    <n v="5062826"/>
    <n v="6497126"/>
    <n v="628"/>
    <n v="129"/>
    <n v="757"/>
    <b v="1"/>
    <b v="1"/>
    <b v="1"/>
    <b v="1"/>
    <b v="1"/>
    <b v="1"/>
  </r>
  <r>
    <x v="894"/>
    <n v="2017"/>
    <n v="1110"/>
    <n v="907"/>
    <n v="1711800"/>
    <n v="6604064"/>
    <n v="8315864"/>
    <n v="705"/>
    <n v="119"/>
    <n v="824"/>
    <b v="1"/>
    <b v="1"/>
    <b v="1"/>
    <b v="1"/>
    <b v="1"/>
    <b v="1"/>
  </r>
  <r>
    <x v="895"/>
    <n v="1791"/>
    <n v="999"/>
    <n v="792"/>
    <n v="1979250"/>
    <n v="5243893"/>
    <n v="7223143"/>
    <n v="556"/>
    <n v="112"/>
    <n v="668"/>
    <b v="1"/>
    <b v="1"/>
    <b v="1"/>
    <b v="1"/>
    <b v="1"/>
    <b v="1"/>
  </r>
  <r>
    <x v="896"/>
    <n v="1929"/>
    <n v="1143"/>
    <n v="786"/>
    <n v="1927140"/>
    <n v="6112900"/>
    <n v="8040040"/>
    <n v="558"/>
    <n v="101"/>
    <n v="659"/>
    <b v="1"/>
    <b v="1"/>
    <b v="1"/>
    <b v="1"/>
    <b v="1"/>
    <b v="1"/>
  </r>
  <r>
    <x v="897"/>
    <n v="1732"/>
    <n v="1036"/>
    <n v="696"/>
    <n v="1598350"/>
    <n v="5584870"/>
    <n v="7183220"/>
    <n v="501"/>
    <n v="99"/>
    <n v="600"/>
    <b v="1"/>
    <b v="1"/>
    <b v="1"/>
    <b v="1"/>
    <b v="1"/>
    <b v="1"/>
  </r>
  <r>
    <x v="898"/>
    <n v="1689"/>
    <n v="918"/>
    <n v="771"/>
    <n v="2018872"/>
    <n v="4733145"/>
    <n v="6752017"/>
    <n v="542"/>
    <n v="97"/>
    <n v="639"/>
    <b v="1"/>
    <b v="1"/>
    <b v="1"/>
    <b v="1"/>
    <b v="1"/>
    <b v="1"/>
  </r>
  <r>
    <x v="899"/>
    <n v="370"/>
    <n v="144"/>
    <n v="226"/>
    <n v="982852"/>
    <n v="1410500"/>
    <n v="2393352"/>
    <n v="146"/>
    <n v="10"/>
    <n v="156"/>
    <b v="1"/>
    <b v="1"/>
    <b v="1"/>
    <b v="1"/>
    <b v="1"/>
    <b v="1"/>
  </r>
  <r>
    <x v="900"/>
    <n v="1070"/>
    <n v="486"/>
    <n v="584"/>
    <n v="929200"/>
    <n v="1685505"/>
    <n v="2614705"/>
    <n v="418"/>
    <n v="43"/>
    <n v="461"/>
    <b v="1"/>
    <b v="1"/>
    <b v="1"/>
    <b v="1"/>
    <b v="1"/>
    <b v="1"/>
  </r>
  <r>
    <x v="901"/>
    <n v="1149"/>
    <n v="439"/>
    <n v="710"/>
    <n v="1399300"/>
    <n v="1791850"/>
    <n v="3191150"/>
    <n v="506"/>
    <n v="60"/>
    <n v="566"/>
    <b v="1"/>
    <b v="1"/>
    <b v="1"/>
    <b v="1"/>
    <b v="1"/>
    <b v="1"/>
  </r>
  <r>
    <x v="902"/>
    <n v="1009"/>
    <n v="388"/>
    <n v="621"/>
    <n v="1230550"/>
    <n v="1771789"/>
    <n v="3002339"/>
    <n v="459"/>
    <n v="75"/>
    <n v="534"/>
    <b v="1"/>
    <b v="1"/>
    <b v="1"/>
    <b v="1"/>
    <b v="1"/>
    <b v="1"/>
  </r>
  <r>
    <x v="903"/>
    <n v="1728"/>
    <n v="875"/>
    <n v="853"/>
    <n v="1405200"/>
    <n v="3072714"/>
    <n v="4477914"/>
    <n v="661"/>
    <n v="119"/>
    <n v="780"/>
    <b v="1"/>
    <b v="1"/>
    <b v="1"/>
    <b v="1"/>
    <b v="1"/>
    <b v="1"/>
  </r>
  <r>
    <x v="904"/>
    <n v="1742"/>
    <n v="1016"/>
    <n v="726"/>
    <n v="1780560"/>
    <n v="4903115"/>
    <n v="6683675"/>
    <n v="569"/>
    <n v="106"/>
    <n v="675"/>
    <b v="1"/>
    <b v="1"/>
    <b v="1"/>
    <b v="1"/>
    <b v="1"/>
    <b v="1"/>
  </r>
  <r>
    <x v="905"/>
    <n v="1797"/>
    <n v="1178"/>
    <n v="619"/>
    <n v="2066727"/>
    <n v="7901806"/>
    <n v="9968533"/>
    <n v="484"/>
    <n v="128"/>
    <n v="612"/>
    <b v="1"/>
    <b v="1"/>
    <b v="1"/>
    <b v="1"/>
    <b v="1"/>
    <b v="1"/>
  </r>
  <r>
    <x v="906"/>
    <n v="1003"/>
    <n v="760"/>
    <n v="243"/>
    <n v="818000"/>
    <n v="5445735"/>
    <n v="6263735"/>
    <n v="191"/>
    <n v="84"/>
    <n v="275"/>
    <b v="1"/>
    <b v="1"/>
    <b v="1"/>
    <b v="1"/>
    <b v="1"/>
    <b v="1"/>
  </r>
  <r>
    <x v="907"/>
    <n v="739"/>
    <n v="371"/>
    <n v="368"/>
    <n v="898151"/>
    <n v="2088410"/>
    <n v="2986561"/>
    <n v="247"/>
    <n v="42"/>
    <n v="289"/>
    <b v="1"/>
    <b v="1"/>
    <b v="1"/>
    <b v="1"/>
    <b v="1"/>
    <b v="1"/>
  </r>
  <r>
    <x v="908"/>
    <n v="1739"/>
    <n v="1022"/>
    <n v="717"/>
    <n v="1446150"/>
    <n v="5011802"/>
    <n v="6457952"/>
    <n v="569"/>
    <n v="161"/>
    <n v="730"/>
    <b v="1"/>
    <b v="1"/>
    <b v="1"/>
    <b v="1"/>
    <b v="1"/>
    <b v="1"/>
  </r>
  <r>
    <x v="909"/>
    <n v="2245"/>
    <n v="1442"/>
    <n v="803"/>
    <n v="1708460"/>
    <n v="6835777"/>
    <n v="8544237"/>
    <n v="627"/>
    <n v="112"/>
    <n v="739"/>
    <b v="1"/>
    <b v="1"/>
    <b v="1"/>
    <b v="1"/>
    <b v="1"/>
    <b v="1"/>
  </r>
  <r>
    <x v="910"/>
    <n v="2090"/>
    <n v="1190"/>
    <n v="900"/>
    <n v="1960292"/>
    <n v="6625160"/>
    <n v="8585452"/>
    <n v="746"/>
    <n v="163"/>
    <n v="909"/>
    <b v="1"/>
    <b v="1"/>
    <b v="1"/>
    <b v="1"/>
    <b v="1"/>
    <b v="1"/>
  </r>
  <r>
    <x v="911"/>
    <n v="1966"/>
    <n v="1305"/>
    <n v="661"/>
    <n v="1903150"/>
    <n v="5546413"/>
    <n v="7449563"/>
    <n v="548"/>
    <n v="184"/>
    <n v="732"/>
    <b v="1"/>
    <b v="1"/>
    <b v="1"/>
    <b v="1"/>
    <b v="1"/>
    <b v="1"/>
  </r>
  <r>
    <x v="912"/>
    <n v="746"/>
    <n v="426"/>
    <n v="320"/>
    <n v="1622550"/>
    <n v="4398520"/>
    <n v="6021070"/>
    <n v="178"/>
    <n v="49"/>
    <n v="227"/>
    <b v="1"/>
    <b v="1"/>
    <b v="1"/>
    <b v="1"/>
    <b v="1"/>
    <b v="1"/>
  </r>
  <r>
    <x v="913"/>
    <n v="452"/>
    <n v="229"/>
    <n v="223"/>
    <n v="847146"/>
    <n v="1565460"/>
    <n v="2412606"/>
    <n v="138"/>
    <n v="30"/>
    <n v="168"/>
    <b v="1"/>
    <b v="1"/>
    <b v="1"/>
    <b v="1"/>
    <b v="1"/>
    <b v="1"/>
  </r>
  <r>
    <x v="914"/>
    <n v="1385"/>
    <n v="667"/>
    <n v="718"/>
    <n v="1424700"/>
    <n v="4280339"/>
    <n v="5705039"/>
    <n v="519"/>
    <n v="83"/>
    <n v="602"/>
    <b v="1"/>
    <b v="1"/>
    <b v="1"/>
    <b v="1"/>
    <b v="1"/>
    <b v="1"/>
  </r>
  <r>
    <x v="915"/>
    <n v="1461"/>
    <n v="765"/>
    <n v="696"/>
    <n v="1891357"/>
    <n v="4962161"/>
    <n v="6853518"/>
    <n v="539"/>
    <n v="100"/>
    <n v="639"/>
    <b v="1"/>
    <b v="1"/>
    <b v="1"/>
    <b v="1"/>
    <b v="1"/>
    <b v="1"/>
  </r>
  <r>
    <x v="916"/>
    <n v="1532"/>
    <n v="759"/>
    <n v="773"/>
    <n v="1567300"/>
    <n v="4720736"/>
    <n v="6288036"/>
    <n v="546"/>
    <n v="86"/>
    <n v="632"/>
    <b v="1"/>
    <b v="1"/>
    <b v="1"/>
    <b v="1"/>
    <b v="1"/>
    <b v="1"/>
  </r>
  <r>
    <x v="917"/>
    <n v="1719"/>
    <n v="926"/>
    <n v="793"/>
    <n v="1943800"/>
    <n v="5191885"/>
    <n v="7135685"/>
    <n v="581"/>
    <n v="112"/>
    <n v="693"/>
    <b v="1"/>
    <b v="1"/>
    <b v="1"/>
    <b v="1"/>
    <b v="1"/>
    <b v="1"/>
  </r>
  <r>
    <x v="918"/>
    <n v="1967"/>
    <n v="1107"/>
    <n v="860"/>
    <n v="2011554"/>
    <n v="6953154"/>
    <n v="8964708"/>
    <n v="609"/>
    <n v="154"/>
    <n v="763"/>
    <b v="1"/>
    <b v="1"/>
    <b v="1"/>
    <b v="1"/>
    <b v="1"/>
    <b v="1"/>
  </r>
  <r>
    <x v="919"/>
    <n v="1477"/>
    <n v="705"/>
    <n v="772"/>
    <n v="1333650"/>
    <n v="3900270"/>
    <n v="5233920"/>
    <n v="553"/>
    <n v="131"/>
    <n v="684"/>
    <b v="1"/>
    <b v="1"/>
    <b v="1"/>
    <b v="1"/>
    <b v="1"/>
    <b v="1"/>
  </r>
  <r>
    <x v="920"/>
    <n v="619"/>
    <n v="281"/>
    <n v="338"/>
    <n v="981470"/>
    <n v="1604945"/>
    <n v="2586415"/>
    <n v="195"/>
    <n v="42"/>
    <n v="237"/>
    <b v="1"/>
    <b v="1"/>
    <b v="1"/>
    <b v="1"/>
    <b v="1"/>
    <b v="1"/>
  </r>
  <r>
    <x v="921"/>
    <n v="1468"/>
    <n v="736"/>
    <n v="732"/>
    <n v="1697350"/>
    <n v="3990375"/>
    <n v="5687725"/>
    <n v="497"/>
    <n v="66"/>
    <n v="563"/>
    <b v="1"/>
    <b v="1"/>
    <b v="1"/>
    <b v="1"/>
    <b v="1"/>
    <b v="1"/>
  </r>
  <r>
    <x v="922"/>
    <n v="1894"/>
    <n v="1032"/>
    <n v="862"/>
    <n v="1428680"/>
    <n v="6238004"/>
    <n v="7666684"/>
    <n v="656"/>
    <n v="116"/>
    <n v="772"/>
    <b v="1"/>
    <b v="1"/>
    <b v="1"/>
    <b v="1"/>
    <b v="1"/>
    <b v="1"/>
  </r>
  <r>
    <x v="923"/>
    <n v="2214"/>
    <n v="1106"/>
    <n v="1108"/>
    <n v="2019350"/>
    <n v="5782158"/>
    <n v="7801508"/>
    <n v="847"/>
    <n v="143"/>
    <n v="990"/>
    <b v="1"/>
    <b v="1"/>
    <b v="1"/>
    <b v="1"/>
    <b v="1"/>
    <b v="1"/>
  </r>
  <r>
    <x v="924"/>
    <n v="2206"/>
    <n v="1228"/>
    <n v="978"/>
    <n v="2063150"/>
    <n v="6608948"/>
    <n v="8672098"/>
    <n v="743"/>
    <n v="175"/>
    <n v="918"/>
    <b v="1"/>
    <b v="1"/>
    <b v="1"/>
    <b v="1"/>
    <b v="1"/>
    <b v="1"/>
  </r>
  <r>
    <x v="925"/>
    <n v="1959"/>
    <n v="1110"/>
    <n v="849"/>
    <n v="2299631"/>
    <n v="6984097"/>
    <n v="9283728"/>
    <n v="566"/>
    <n v="148"/>
    <n v="714"/>
    <b v="1"/>
    <b v="1"/>
    <b v="1"/>
    <b v="1"/>
    <b v="1"/>
    <b v="1"/>
  </r>
  <r>
    <x v="926"/>
    <n v="2313"/>
    <n v="1372"/>
    <n v="941"/>
    <n v="1953880"/>
    <n v="5436191"/>
    <n v="7390071"/>
    <n v="736"/>
    <n v="167"/>
    <n v="903"/>
    <b v="1"/>
    <b v="1"/>
    <b v="1"/>
    <b v="1"/>
    <b v="1"/>
    <b v="1"/>
  </r>
  <r>
    <x v="927"/>
    <n v="1143"/>
    <n v="736"/>
    <n v="407"/>
    <n v="1073850"/>
    <n v="3037216"/>
    <n v="4111066"/>
    <n v="286"/>
    <n v="112"/>
    <n v="398"/>
    <b v="1"/>
    <b v="1"/>
    <b v="1"/>
    <b v="1"/>
    <b v="1"/>
    <b v="1"/>
  </r>
  <r>
    <x v="928"/>
    <n v="2282"/>
    <n v="1312"/>
    <n v="970"/>
    <n v="2067700"/>
    <n v="4539970"/>
    <n v="6607670"/>
    <n v="737"/>
    <n v="161"/>
    <n v="898"/>
    <b v="1"/>
    <b v="1"/>
    <b v="1"/>
    <b v="1"/>
    <b v="1"/>
    <b v="1"/>
  </r>
  <r>
    <x v="929"/>
    <n v="2672"/>
    <n v="1419"/>
    <n v="1253"/>
    <n v="2690800"/>
    <n v="6857802"/>
    <n v="9548602"/>
    <n v="950"/>
    <n v="170"/>
    <n v="1120"/>
    <b v="1"/>
    <b v="1"/>
    <b v="1"/>
    <b v="1"/>
    <b v="1"/>
    <b v="1"/>
  </r>
  <r>
    <x v="930"/>
    <n v="2142"/>
    <n v="1087"/>
    <n v="1055"/>
    <n v="2371650"/>
    <n v="4503945"/>
    <n v="6875595"/>
    <n v="789"/>
    <n v="142"/>
    <n v="931"/>
    <b v="1"/>
    <b v="1"/>
    <b v="1"/>
    <b v="1"/>
    <b v="1"/>
    <b v="1"/>
  </r>
  <r>
    <x v="931"/>
    <n v="2110"/>
    <n v="1077"/>
    <n v="1033"/>
    <n v="2060761"/>
    <n v="3975607"/>
    <n v="6036368"/>
    <n v="786"/>
    <n v="148"/>
    <n v="934"/>
    <b v="1"/>
    <b v="1"/>
    <b v="1"/>
    <b v="1"/>
    <b v="1"/>
    <b v="1"/>
  </r>
  <r>
    <x v="932"/>
    <n v="1844"/>
    <n v="990"/>
    <n v="854"/>
    <n v="1978190"/>
    <n v="3819602"/>
    <n v="5797792"/>
    <n v="654"/>
    <n v="152"/>
    <n v="806"/>
    <b v="1"/>
    <b v="1"/>
    <b v="1"/>
    <b v="1"/>
    <b v="1"/>
    <b v="1"/>
  </r>
  <r>
    <x v="933"/>
    <n v="2026"/>
    <n v="1087"/>
    <n v="939"/>
    <n v="2238762"/>
    <n v="4824807"/>
    <n v="7063569"/>
    <n v="708"/>
    <n v="139"/>
    <n v="847"/>
    <b v="1"/>
    <b v="1"/>
    <b v="1"/>
    <b v="1"/>
    <b v="1"/>
    <b v="1"/>
  </r>
  <r>
    <x v="934"/>
    <n v="728"/>
    <n v="401"/>
    <n v="327"/>
    <n v="521400"/>
    <n v="2305170"/>
    <n v="2826570"/>
    <n v="269"/>
    <n v="62"/>
    <n v="331"/>
    <b v="1"/>
    <b v="1"/>
    <b v="1"/>
    <b v="1"/>
    <b v="1"/>
    <b v="1"/>
  </r>
  <r>
    <x v="935"/>
    <n v="1868"/>
    <n v="894"/>
    <n v="974"/>
    <n v="1577833"/>
    <n v="3772743"/>
    <n v="5350576"/>
    <n v="772"/>
    <n v="100"/>
    <n v="872"/>
    <b v="1"/>
    <b v="1"/>
    <b v="1"/>
    <b v="1"/>
    <b v="1"/>
    <b v="1"/>
  </r>
  <r>
    <x v="936"/>
    <n v="2059"/>
    <n v="1127"/>
    <n v="932"/>
    <n v="1465178"/>
    <n v="6044226"/>
    <n v="7509404"/>
    <n v="744"/>
    <n v="119"/>
    <n v="863"/>
    <b v="1"/>
    <b v="1"/>
    <b v="1"/>
    <b v="1"/>
    <b v="1"/>
    <b v="1"/>
  </r>
  <r>
    <x v="937"/>
    <n v="3051"/>
    <n v="1761"/>
    <n v="1290"/>
    <n v="3056800"/>
    <n v="7006651"/>
    <n v="10063451"/>
    <n v="990"/>
    <n v="204"/>
    <n v="1194"/>
    <b v="1"/>
    <b v="1"/>
    <b v="1"/>
    <b v="1"/>
    <b v="1"/>
    <b v="1"/>
  </r>
  <r>
    <x v="938"/>
    <n v="2522"/>
    <n v="1438"/>
    <n v="1084"/>
    <n v="1867430"/>
    <n v="6817058"/>
    <n v="8684488"/>
    <n v="898"/>
    <n v="199"/>
    <n v="1097"/>
    <b v="1"/>
    <b v="1"/>
    <b v="1"/>
    <b v="1"/>
    <b v="1"/>
    <b v="1"/>
  </r>
  <r>
    <x v="939"/>
    <n v="2853"/>
    <n v="1638"/>
    <n v="1215"/>
    <n v="1965600"/>
    <n v="6821035"/>
    <n v="8786635"/>
    <n v="962"/>
    <n v="204"/>
    <n v="1166"/>
    <b v="1"/>
    <b v="1"/>
    <b v="1"/>
    <b v="1"/>
    <b v="1"/>
    <b v="1"/>
  </r>
  <r>
    <x v="940"/>
    <n v="2846"/>
    <n v="1529"/>
    <n v="1317"/>
    <n v="1912250"/>
    <n v="5383223"/>
    <n v="7295473"/>
    <n v="1004"/>
    <n v="197"/>
    <n v="1201"/>
    <b v="1"/>
    <b v="1"/>
    <b v="1"/>
    <b v="1"/>
    <b v="1"/>
    <b v="1"/>
  </r>
  <r>
    <x v="941"/>
    <n v="1251"/>
    <n v="742"/>
    <n v="509"/>
    <n v="1147700"/>
    <n v="2476682"/>
    <n v="3624382"/>
    <n v="366"/>
    <n v="88"/>
    <n v="454"/>
    <b v="1"/>
    <b v="1"/>
    <b v="1"/>
    <b v="1"/>
    <b v="1"/>
    <b v="1"/>
  </r>
  <r>
    <x v="942"/>
    <n v="1740"/>
    <n v="1005"/>
    <n v="735"/>
    <n v="1522850"/>
    <n v="5399364"/>
    <n v="6922214"/>
    <n v="569"/>
    <n v="134"/>
    <n v="703"/>
    <b v="1"/>
    <b v="1"/>
    <b v="1"/>
    <b v="1"/>
    <b v="1"/>
    <b v="1"/>
  </r>
  <r>
    <x v="943"/>
    <n v="2079"/>
    <n v="920"/>
    <n v="1159"/>
    <n v="1921850"/>
    <n v="6324202"/>
    <n v="8246052"/>
    <n v="908"/>
    <n v="141"/>
    <n v="1049"/>
    <b v="1"/>
    <b v="1"/>
    <b v="1"/>
    <b v="1"/>
    <b v="1"/>
    <b v="1"/>
  </r>
  <r>
    <x v="944"/>
    <n v="3234"/>
    <n v="2018"/>
    <n v="1216"/>
    <n v="2820940"/>
    <n v="6340507"/>
    <n v="9161447"/>
    <n v="953"/>
    <n v="271"/>
    <n v="1224"/>
    <b v="1"/>
    <b v="1"/>
    <b v="1"/>
    <b v="1"/>
    <b v="1"/>
    <b v="1"/>
  </r>
  <r>
    <x v="945"/>
    <n v="2353"/>
    <n v="1147"/>
    <n v="1206"/>
    <n v="1975100"/>
    <n v="5748269"/>
    <n v="7723369"/>
    <n v="922"/>
    <n v="184"/>
    <n v="1106"/>
    <b v="1"/>
    <b v="1"/>
    <b v="1"/>
    <b v="1"/>
    <b v="1"/>
    <b v="1"/>
  </r>
  <r>
    <x v="946"/>
    <n v="2417"/>
    <n v="1138"/>
    <n v="1279"/>
    <n v="1819700"/>
    <n v="5830849"/>
    <n v="7650549"/>
    <n v="1036"/>
    <n v="165"/>
    <n v="1201"/>
    <b v="1"/>
    <b v="1"/>
    <b v="1"/>
    <b v="1"/>
    <b v="1"/>
    <b v="1"/>
  </r>
  <r>
    <x v="947"/>
    <n v="1934"/>
    <n v="930"/>
    <n v="1004"/>
    <n v="1704618"/>
    <n v="5856623"/>
    <n v="7561241"/>
    <n v="745"/>
    <n v="153"/>
    <n v="898"/>
    <b v="1"/>
    <b v="1"/>
    <b v="1"/>
    <b v="1"/>
    <b v="1"/>
    <b v="1"/>
  </r>
  <r>
    <x v="948"/>
    <n v="624"/>
    <n v="278"/>
    <n v="346"/>
    <n v="785150"/>
    <n v="1364140"/>
    <n v="2149290"/>
    <n v="223"/>
    <n v="31"/>
    <n v="254"/>
    <b v="1"/>
    <b v="1"/>
    <b v="1"/>
    <b v="1"/>
    <b v="1"/>
    <b v="1"/>
  </r>
  <r>
    <x v="949"/>
    <n v="644"/>
    <n v="109"/>
    <n v="535"/>
    <n v="502100"/>
    <n v="160590"/>
    <n v="662690"/>
    <n v="379"/>
    <n v="20"/>
    <n v="399"/>
    <b v="1"/>
    <b v="1"/>
    <b v="1"/>
    <b v="1"/>
    <b v="1"/>
    <b v="1"/>
  </r>
  <r>
    <x v="950"/>
    <n v="2185"/>
    <n v="830"/>
    <n v="1355"/>
    <n v="1943550"/>
    <n v="2811801"/>
    <n v="4755351"/>
    <n v="985"/>
    <n v="139"/>
    <n v="1124"/>
    <b v="1"/>
    <b v="1"/>
    <b v="1"/>
    <b v="1"/>
    <b v="1"/>
    <b v="1"/>
  </r>
  <r>
    <x v="951"/>
    <n v="2956"/>
    <n v="1655"/>
    <n v="1301"/>
    <n v="3334600"/>
    <n v="6074500"/>
    <n v="9409100"/>
    <n v="1007"/>
    <n v="186"/>
    <n v="1193"/>
    <b v="1"/>
    <b v="1"/>
    <b v="1"/>
    <b v="1"/>
    <b v="1"/>
    <b v="1"/>
  </r>
  <r>
    <x v="952"/>
    <n v="2294"/>
    <n v="1274"/>
    <n v="1020"/>
    <n v="2049598"/>
    <n v="7625272"/>
    <n v="9674870"/>
    <n v="765"/>
    <n v="144"/>
    <n v="909"/>
    <b v="1"/>
    <b v="1"/>
    <b v="1"/>
    <b v="1"/>
    <b v="1"/>
    <b v="1"/>
  </r>
  <r>
    <x v="953"/>
    <n v="2455"/>
    <n v="1150"/>
    <n v="1305"/>
    <n v="2066500"/>
    <n v="5975755"/>
    <n v="8042255"/>
    <n v="988"/>
    <n v="206"/>
    <n v="1194"/>
    <b v="1"/>
    <b v="1"/>
    <b v="1"/>
    <b v="1"/>
    <b v="1"/>
    <b v="1"/>
  </r>
  <r>
    <x v="954"/>
    <n v="1966"/>
    <n v="935"/>
    <n v="1031"/>
    <n v="2276313"/>
    <n v="5483249"/>
    <n v="7759562"/>
    <n v="781"/>
    <n v="152"/>
    <n v="933"/>
    <b v="1"/>
    <b v="1"/>
    <b v="1"/>
    <b v="1"/>
    <b v="1"/>
    <b v="1"/>
  </r>
  <r>
    <x v="955"/>
    <n v="1165"/>
    <n v="594"/>
    <n v="571"/>
    <n v="1198730"/>
    <n v="3684513"/>
    <n v="4883243"/>
    <n v="391"/>
    <n v="74"/>
    <n v="465"/>
    <b v="1"/>
    <b v="1"/>
    <b v="1"/>
    <b v="1"/>
    <b v="1"/>
    <b v="1"/>
  </r>
  <r>
    <x v="956"/>
    <n v="1605"/>
    <n v="783"/>
    <n v="822"/>
    <n v="1576578"/>
    <n v="4147535"/>
    <n v="5724113"/>
    <n v="645"/>
    <n v="92"/>
    <n v="737"/>
    <b v="1"/>
    <b v="1"/>
    <b v="1"/>
    <b v="1"/>
    <b v="1"/>
    <b v="1"/>
  </r>
  <r>
    <x v="957"/>
    <n v="350"/>
    <n v="93"/>
    <n v="257"/>
    <n v="242260"/>
    <n v="959690"/>
    <n v="1201950"/>
    <n v="166"/>
    <n v="9"/>
    <n v="175"/>
    <b v="1"/>
    <b v="1"/>
    <b v="1"/>
    <b v="1"/>
    <b v="1"/>
    <b v="1"/>
  </r>
  <r>
    <x v="958"/>
    <n v="2464"/>
    <n v="1035"/>
    <n v="1429"/>
    <n v="1784940"/>
    <n v="2726763"/>
    <n v="4511703"/>
    <n v="1041"/>
    <n v="158"/>
    <n v="1199"/>
    <b v="1"/>
    <b v="1"/>
    <b v="1"/>
    <b v="1"/>
    <b v="1"/>
    <b v="1"/>
  </r>
  <r>
    <x v="959"/>
    <n v="1993"/>
    <n v="993"/>
    <n v="1000"/>
    <n v="1962320"/>
    <n v="4395715"/>
    <n v="6358035"/>
    <n v="714"/>
    <n v="96"/>
    <n v="810"/>
    <b v="1"/>
    <b v="1"/>
    <b v="1"/>
    <b v="1"/>
    <b v="1"/>
    <b v="1"/>
  </r>
  <r>
    <x v="960"/>
    <n v="2286"/>
    <n v="930"/>
    <n v="1356"/>
    <n v="1573300"/>
    <n v="4865864"/>
    <n v="6439164"/>
    <n v="1091"/>
    <n v="130"/>
    <n v="1221"/>
    <b v="1"/>
    <b v="1"/>
    <b v="1"/>
    <b v="1"/>
    <b v="1"/>
    <b v="1"/>
  </r>
  <r>
    <x v="961"/>
    <n v="1671"/>
    <n v="768"/>
    <n v="903"/>
    <n v="1627000"/>
    <n v="6022806"/>
    <n v="7649806"/>
    <n v="723"/>
    <n v="116"/>
    <n v="839"/>
    <b v="1"/>
    <b v="1"/>
    <b v="1"/>
    <b v="1"/>
    <b v="1"/>
    <b v="1"/>
  </r>
  <r>
    <x v="962"/>
    <n v="1146"/>
    <n v="356"/>
    <n v="790"/>
    <n v="887300"/>
    <n v="1929715"/>
    <n v="2817015"/>
    <n v="580"/>
    <n v="72"/>
    <n v="652"/>
    <b v="1"/>
    <b v="1"/>
    <b v="1"/>
    <b v="1"/>
    <b v="1"/>
    <b v="1"/>
  </r>
  <r>
    <x v="963"/>
    <n v="1789"/>
    <n v="808"/>
    <n v="981"/>
    <n v="1815600"/>
    <n v="4164990"/>
    <n v="5980590"/>
    <n v="752"/>
    <n v="95"/>
    <n v="847"/>
    <b v="1"/>
    <b v="1"/>
    <b v="1"/>
    <b v="1"/>
    <b v="1"/>
    <b v="1"/>
  </r>
  <r>
    <x v="964"/>
    <n v="1718"/>
    <n v="779"/>
    <n v="939"/>
    <n v="1306550"/>
    <n v="4815886"/>
    <n v="6122436"/>
    <n v="733"/>
    <n v="95"/>
    <n v="828"/>
    <b v="1"/>
    <b v="1"/>
    <b v="1"/>
    <b v="1"/>
    <b v="1"/>
    <b v="1"/>
  </r>
  <r>
    <x v="965"/>
    <n v="2159"/>
    <n v="1105"/>
    <n v="1054"/>
    <n v="1736098"/>
    <n v="4219875"/>
    <n v="5955973"/>
    <n v="799"/>
    <n v="119"/>
    <n v="918"/>
    <b v="1"/>
    <b v="1"/>
    <b v="1"/>
    <b v="1"/>
    <b v="1"/>
    <b v="1"/>
  </r>
  <r>
    <x v="966"/>
    <n v="2175"/>
    <n v="982"/>
    <n v="1193"/>
    <n v="1831700"/>
    <n v="5458707"/>
    <n v="7290407"/>
    <n v="879"/>
    <n v="126"/>
    <n v="1005"/>
    <b v="1"/>
    <b v="1"/>
    <b v="1"/>
    <b v="1"/>
    <b v="1"/>
    <b v="1"/>
  </r>
  <r>
    <x v="967"/>
    <n v="1834"/>
    <n v="843"/>
    <n v="991"/>
    <n v="1299098"/>
    <n v="4170216"/>
    <n v="5469314"/>
    <n v="739"/>
    <n v="94"/>
    <n v="833"/>
    <b v="1"/>
    <b v="1"/>
    <b v="1"/>
    <b v="1"/>
    <b v="1"/>
    <b v="1"/>
  </r>
  <r>
    <x v="968"/>
    <n v="1822"/>
    <n v="702"/>
    <n v="1120"/>
    <n v="1600050"/>
    <n v="3519020"/>
    <n v="5119070"/>
    <n v="839"/>
    <n v="110"/>
    <n v="949"/>
    <b v="1"/>
    <b v="1"/>
    <b v="1"/>
    <b v="1"/>
    <b v="1"/>
    <b v="1"/>
  </r>
  <r>
    <x v="969"/>
    <n v="844"/>
    <n v="420"/>
    <n v="424"/>
    <n v="527950"/>
    <n v="2680915"/>
    <n v="3208865"/>
    <n v="314"/>
    <n v="58"/>
    <n v="372"/>
    <b v="1"/>
    <b v="1"/>
    <b v="1"/>
    <b v="1"/>
    <b v="1"/>
    <b v="1"/>
  </r>
  <r>
    <x v="970"/>
    <n v="1834"/>
    <n v="874"/>
    <n v="960"/>
    <n v="1313229"/>
    <n v="3709934"/>
    <n v="5023163"/>
    <n v="715"/>
    <n v="114"/>
    <n v="829"/>
    <b v="1"/>
    <b v="1"/>
    <b v="1"/>
    <b v="1"/>
    <b v="1"/>
    <b v="1"/>
  </r>
  <r>
    <x v="971"/>
    <n v="2009"/>
    <n v="948"/>
    <n v="1061"/>
    <n v="1945301"/>
    <n v="4746478"/>
    <n v="6691779"/>
    <n v="803"/>
    <n v="176"/>
    <n v="979"/>
    <b v="1"/>
    <b v="1"/>
    <b v="1"/>
    <b v="1"/>
    <b v="1"/>
    <b v="1"/>
  </r>
  <r>
    <x v="972"/>
    <n v="2601"/>
    <n v="1517"/>
    <n v="1084"/>
    <n v="2059350"/>
    <n v="4763995"/>
    <n v="6823345"/>
    <n v="853"/>
    <n v="180"/>
    <n v="1033"/>
    <b v="1"/>
    <b v="1"/>
    <b v="1"/>
    <b v="1"/>
    <b v="1"/>
    <b v="1"/>
  </r>
  <r>
    <x v="973"/>
    <n v="1431"/>
    <n v="890"/>
    <n v="541"/>
    <n v="1131354"/>
    <n v="3231500"/>
    <n v="4362854"/>
    <n v="401"/>
    <n v="138"/>
    <n v="539"/>
    <b v="1"/>
    <b v="1"/>
    <b v="1"/>
    <b v="1"/>
    <b v="1"/>
    <b v="1"/>
  </r>
  <r>
    <x v="974"/>
    <n v="1275"/>
    <n v="629"/>
    <n v="646"/>
    <n v="1721640"/>
    <n v="3752165"/>
    <n v="5473805"/>
    <n v="447"/>
    <n v="98"/>
    <n v="545"/>
    <b v="1"/>
    <b v="1"/>
    <b v="1"/>
    <b v="1"/>
    <b v="1"/>
    <b v="1"/>
  </r>
  <r>
    <x v="975"/>
    <n v="618"/>
    <n v="246"/>
    <n v="372"/>
    <n v="496500"/>
    <n v="975430"/>
    <n v="1471930"/>
    <n v="264"/>
    <n v="32"/>
    <n v="296"/>
    <b v="1"/>
    <b v="1"/>
    <b v="1"/>
    <b v="1"/>
    <b v="1"/>
    <b v="1"/>
  </r>
  <r>
    <x v="976"/>
    <n v="497"/>
    <n v="313"/>
    <n v="184"/>
    <n v="755900"/>
    <n v="2782490"/>
    <n v="3538390"/>
    <n v="113"/>
    <n v="39"/>
    <n v="152"/>
    <b v="1"/>
    <b v="1"/>
    <b v="1"/>
    <b v="1"/>
    <b v="1"/>
    <b v="1"/>
  </r>
  <r>
    <x v="977"/>
    <n v="1663"/>
    <n v="834"/>
    <n v="829"/>
    <n v="1781547"/>
    <n v="4712856"/>
    <n v="6494403"/>
    <n v="642"/>
    <n v="116"/>
    <n v="758"/>
    <b v="1"/>
    <b v="1"/>
    <b v="1"/>
    <b v="1"/>
    <b v="1"/>
    <b v="1"/>
  </r>
  <r>
    <x v="978"/>
    <n v="1585"/>
    <n v="837"/>
    <n v="748"/>
    <n v="1983290"/>
    <n v="7224062"/>
    <n v="9207352"/>
    <n v="587"/>
    <n v="105"/>
    <n v="692"/>
    <b v="1"/>
    <b v="1"/>
    <b v="1"/>
    <b v="1"/>
    <b v="1"/>
    <b v="1"/>
  </r>
  <r>
    <x v="979"/>
    <n v="2231"/>
    <n v="1433"/>
    <n v="798"/>
    <n v="2295900"/>
    <n v="6768732"/>
    <n v="9064632"/>
    <n v="606"/>
    <n v="144"/>
    <n v="750"/>
    <b v="1"/>
    <b v="1"/>
    <b v="1"/>
    <b v="1"/>
    <b v="1"/>
    <b v="1"/>
  </r>
  <r>
    <x v="980"/>
    <n v="1971"/>
    <n v="969"/>
    <n v="1002"/>
    <n v="1798534"/>
    <n v="5472384"/>
    <n v="7270918"/>
    <n v="770"/>
    <n v="93"/>
    <n v="863"/>
    <b v="1"/>
    <b v="1"/>
    <b v="1"/>
    <b v="1"/>
    <b v="1"/>
    <b v="1"/>
  </r>
  <r>
    <x v="981"/>
    <n v="1583"/>
    <n v="820"/>
    <n v="763"/>
    <n v="1599700"/>
    <n v="5054146"/>
    <n v="6653846"/>
    <n v="586"/>
    <n v="81"/>
    <n v="667"/>
    <b v="1"/>
    <b v="1"/>
    <b v="1"/>
    <b v="1"/>
    <b v="1"/>
    <b v="1"/>
  </r>
  <r>
    <x v="982"/>
    <n v="1604"/>
    <n v="677"/>
    <n v="927"/>
    <n v="973050"/>
    <n v="3929691"/>
    <n v="4902741"/>
    <n v="746"/>
    <n v="92"/>
    <n v="838"/>
    <b v="1"/>
    <b v="1"/>
    <b v="1"/>
    <b v="1"/>
    <b v="1"/>
    <b v="1"/>
  </r>
  <r>
    <x v="983"/>
    <n v="1056"/>
    <n v="468"/>
    <n v="588"/>
    <n v="1022160"/>
    <n v="2330711"/>
    <n v="3352871"/>
    <n v="449"/>
    <n v="70"/>
    <n v="519"/>
    <b v="1"/>
    <b v="1"/>
    <b v="1"/>
    <b v="1"/>
    <b v="1"/>
    <b v="1"/>
  </r>
  <r>
    <x v="984"/>
    <n v="2109"/>
    <n v="1031"/>
    <n v="1078"/>
    <n v="1832375"/>
    <n v="5443924"/>
    <n v="7276299"/>
    <n v="843"/>
    <n v="188"/>
    <n v="1031"/>
    <b v="1"/>
    <b v="1"/>
    <b v="1"/>
    <b v="1"/>
    <b v="1"/>
    <b v="1"/>
  </r>
  <r>
    <x v="985"/>
    <n v="1995"/>
    <n v="1076"/>
    <n v="919"/>
    <n v="1908759"/>
    <n v="9379951"/>
    <n v="11288710"/>
    <n v="684"/>
    <n v="141"/>
    <n v="825"/>
    <b v="1"/>
    <b v="1"/>
    <b v="1"/>
    <b v="1"/>
    <b v="1"/>
    <b v="1"/>
  </r>
  <r>
    <x v="986"/>
    <n v="2399"/>
    <n v="1370"/>
    <n v="1029"/>
    <n v="1911403"/>
    <n v="5531628"/>
    <n v="7443031"/>
    <n v="823"/>
    <n v="160"/>
    <n v="983"/>
    <b v="1"/>
    <b v="1"/>
    <b v="1"/>
    <b v="1"/>
    <b v="1"/>
    <b v="1"/>
  </r>
  <r>
    <x v="987"/>
    <n v="1209"/>
    <n v="382"/>
    <n v="827"/>
    <n v="1188390"/>
    <n v="2531275"/>
    <n v="3719665"/>
    <n v="646"/>
    <n v="71"/>
    <n v="717"/>
    <b v="1"/>
    <b v="1"/>
    <b v="1"/>
    <b v="1"/>
    <b v="1"/>
    <b v="1"/>
  </r>
  <r>
    <x v="988"/>
    <n v="1686"/>
    <n v="825"/>
    <n v="861"/>
    <n v="1574230"/>
    <n v="3490690"/>
    <n v="5064920"/>
    <n v="685"/>
    <n v="148"/>
    <n v="833"/>
    <b v="1"/>
    <b v="1"/>
    <b v="1"/>
    <b v="1"/>
    <b v="1"/>
    <b v="1"/>
  </r>
  <r>
    <x v="989"/>
    <n v="1873"/>
    <n v="976"/>
    <n v="897"/>
    <n v="1478150"/>
    <n v="5782735"/>
    <n v="7260885"/>
    <n v="746"/>
    <n v="158"/>
    <n v="904"/>
    <b v="1"/>
    <b v="1"/>
    <b v="1"/>
    <b v="1"/>
    <b v="1"/>
    <b v="1"/>
  </r>
  <r>
    <x v="990"/>
    <n v="977"/>
    <n v="527"/>
    <n v="450"/>
    <n v="945300"/>
    <n v="3078706"/>
    <n v="4024006"/>
    <n v="348"/>
    <n v="70"/>
    <n v="418"/>
    <b v="1"/>
    <b v="1"/>
    <b v="1"/>
    <b v="1"/>
    <b v="1"/>
    <b v="1"/>
  </r>
  <r>
    <x v="991"/>
    <n v="2294"/>
    <n v="1193"/>
    <n v="1101"/>
    <n v="2258200"/>
    <n v="4769057"/>
    <n v="7027257"/>
    <n v="844"/>
    <n v="176"/>
    <n v="1020"/>
    <b v="1"/>
    <b v="1"/>
    <b v="1"/>
    <b v="1"/>
    <b v="1"/>
    <b v="1"/>
  </r>
  <r>
    <x v="992"/>
    <n v="2575"/>
    <n v="1278"/>
    <n v="1297"/>
    <n v="3633254"/>
    <n v="6461644"/>
    <n v="10094898"/>
    <n v="887"/>
    <n v="209"/>
    <n v="1096"/>
    <b v="1"/>
    <b v="1"/>
    <b v="1"/>
    <b v="1"/>
    <b v="1"/>
    <b v="1"/>
  </r>
  <r>
    <x v="993"/>
    <n v="4129"/>
    <n v="2637"/>
    <n v="1492"/>
    <n v="3991700"/>
    <n v="5600425"/>
    <n v="9592125"/>
    <n v="1154"/>
    <n v="288"/>
    <n v="1442"/>
    <b v="1"/>
    <b v="1"/>
    <b v="1"/>
    <b v="1"/>
    <b v="1"/>
    <b v="1"/>
  </r>
  <r>
    <x v="994"/>
    <n v="2599"/>
    <n v="1374"/>
    <n v="1225"/>
    <n v="2735775"/>
    <n v="3761244"/>
    <n v="6497019"/>
    <n v="918"/>
    <n v="186"/>
    <n v="1104"/>
    <b v="1"/>
    <b v="1"/>
    <b v="1"/>
    <b v="1"/>
    <b v="1"/>
    <b v="1"/>
  </r>
  <r>
    <x v="995"/>
    <n v="2018"/>
    <n v="1155"/>
    <n v="863"/>
    <n v="2801550"/>
    <n v="4296268"/>
    <n v="7097818"/>
    <n v="566"/>
    <n v="173"/>
    <n v="739"/>
    <b v="1"/>
    <b v="1"/>
    <b v="1"/>
    <b v="1"/>
    <b v="1"/>
    <b v="1"/>
  </r>
  <r>
    <x v="996"/>
    <n v="2042"/>
    <n v="1185"/>
    <n v="857"/>
    <n v="2087425"/>
    <n v="3941666"/>
    <n v="6029091"/>
    <n v="683"/>
    <n v="174"/>
    <n v="857"/>
    <b v="1"/>
    <b v="1"/>
    <b v="1"/>
    <b v="1"/>
    <b v="1"/>
    <b v="1"/>
  </r>
  <r>
    <x v="997"/>
    <n v="1258"/>
    <n v="860"/>
    <n v="398"/>
    <n v="1383264"/>
    <n v="3024312"/>
    <n v="4407576"/>
    <n v="283"/>
    <n v="82"/>
    <n v="365"/>
    <b v="1"/>
    <b v="1"/>
    <b v="1"/>
    <b v="1"/>
    <b v="1"/>
    <b v="1"/>
  </r>
  <r>
    <x v="998"/>
    <n v="2195"/>
    <n v="1320"/>
    <n v="875"/>
    <n v="2204150"/>
    <n v="5638373"/>
    <n v="7842523"/>
    <n v="699"/>
    <n v="203"/>
    <n v="902"/>
    <b v="1"/>
    <b v="1"/>
    <b v="1"/>
    <b v="1"/>
    <b v="1"/>
    <b v="1"/>
  </r>
  <r>
    <x v="999"/>
    <n v="2540"/>
    <n v="1571"/>
    <n v="969"/>
    <n v="2029102"/>
    <n v="6852940"/>
    <n v="8882042"/>
    <n v="785"/>
    <n v="219"/>
    <n v="1004"/>
    <b v="1"/>
    <b v="1"/>
    <b v="1"/>
    <b v="1"/>
    <b v="1"/>
    <b v="1"/>
  </r>
  <r>
    <x v="1000"/>
    <n v="3676"/>
    <n v="2514"/>
    <n v="1162"/>
    <n v="3014052"/>
    <n v="7074430"/>
    <n v="10088482"/>
    <n v="962"/>
    <n v="375"/>
    <n v="1337"/>
    <b v="1"/>
    <b v="1"/>
    <b v="1"/>
    <b v="1"/>
    <b v="1"/>
    <b v="1"/>
  </r>
  <r>
    <x v="1001"/>
    <n v="2357"/>
    <n v="1296"/>
    <n v="1061"/>
    <n v="2373224"/>
    <n v="3588185"/>
    <n v="5961409"/>
    <n v="860"/>
    <n v="150"/>
    <n v="1010"/>
    <b v="1"/>
    <b v="1"/>
    <b v="1"/>
    <b v="1"/>
    <b v="1"/>
    <b v="1"/>
  </r>
  <r>
    <x v="1002"/>
    <n v="1303"/>
    <n v="625"/>
    <n v="678"/>
    <n v="1009250"/>
    <n v="1714700"/>
    <n v="2723950"/>
    <n v="552"/>
    <n v="71"/>
    <n v="623"/>
    <b v="1"/>
    <b v="1"/>
    <b v="1"/>
    <b v="1"/>
    <b v="1"/>
    <b v="1"/>
  </r>
  <r>
    <x v="1003"/>
    <n v="693"/>
    <n v="270"/>
    <n v="423"/>
    <n v="455550"/>
    <n v="369550"/>
    <n v="825100"/>
    <n v="318"/>
    <n v="43"/>
    <n v="361"/>
    <b v="1"/>
    <b v="1"/>
    <b v="1"/>
    <b v="1"/>
    <b v="1"/>
    <b v="1"/>
  </r>
  <r>
    <x v="1004"/>
    <n v="385"/>
    <n v="129"/>
    <n v="256"/>
    <n v="668350"/>
    <n v="724500"/>
    <n v="1392850"/>
    <n v="168"/>
    <n v="16"/>
    <n v="184"/>
    <b v="1"/>
    <b v="1"/>
    <b v="1"/>
    <b v="1"/>
    <b v="1"/>
    <b v="1"/>
  </r>
  <r>
    <x v="1005"/>
    <n v="583"/>
    <n v="193"/>
    <n v="390"/>
    <n v="588750"/>
    <n v="1010435"/>
    <n v="1599185"/>
    <n v="269"/>
    <n v="35"/>
    <n v="304"/>
    <b v="1"/>
    <b v="1"/>
    <b v="1"/>
    <b v="1"/>
    <b v="1"/>
    <b v="1"/>
  </r>
  <r>
    <x v="1006"/>
    <n v="1193"/>
    <n v="459"/>
    <n v="734"/>
    <n v="1043750"/>
    <n v="3231928"/>
    <n v="4275678"/>
    <n v="552"/>
    <n v="40"/>
    <n v="592"/>
    <b v="1"/>
    <b v="1"/>
    <b v="1"/>
    <b v="1"/>
    <b v="1"/>
    <b v="1"/>
  </r>
  <r>
    <x v="1007"/>
    <n v="1708"/>
    <n v="782"/>
    <n v="926"/>
    <n v="1252400"/>
    <n v="3250183"/>
    <n v="4502583"/>
    <n v="737"/>
    <n v="72"/>
    <n v="809"/>
    <b v="1"/>
    <b v="1"/>
    <b v="1"/>
    <b v="1"/>
    <b v="1"/>
    <b v="1"/>
  </r>
  <r>
    <x v="1008"/>
    <n v="1002"/>
    <n v="295"/>
    <n v="707"/>
    <n v="1243750"/>
    <n v="1683792"/>
    <n v="2927542"/>
    <n v="569"/>
    <n v="52"/>
    <n v="621"/>
    <b v="1"/>
    <b v="1"/>
    <b v="1"/>
    <b v="1"/>
    <b v="1"/>
    <b v="1"/>
  </r>
  <r>
    <x v="1009"/>
    <n v="1688"/>
    <n v="641"/>
    <n v="1047"/>
    <n v="1712771"/>
    <n v="2219616"/>
    <n v="3932387"/>
    <n v="874"/>
    <n v="72"/>
    <n v="946"/>
    <b v="1"/>
    <b v="1"/>
    <b v="1"/>
    <b v="1"/>
    <b v="1"/>
    <b v="1"/>
  </r>
  <r>
    <x v="1010"/>
    <n v="2263"/>
    <n v="1173"/>
    <n v="1090"/>
    <n v="2245872"/>
    <n v="5395969"/>
    <n v="7641841"/>
    <n v="922"/>
    <n v="171"/>
    <n v="1093"/>
    <b v="1"/>
    <b v="1"/>
    <b v="1"/>
    <b v="1"/>
    <b v="1"/>
    <b v="1"/>
  </r>
  <r>
    <x v="1011"/>
    <n v="866"/>
    <n v="471"/>
    <n v="395"/>
    <n v="1040300"/>
    <n v="1802300"/>
    <n v="2842600"/>
    <n v="304"/>
    <n v="35"/>
    <n v="339"/>
    <b v="1"/>
    <b v="1"/>
    <b v="1"/>
    <b v="1"/>
    <b v="1"/>
    <b v="1"/>
  </r>
  <r>
    <x v="1012"/>
    <n v="2528"/>
    <n v="1159"/>
    <n v="1369"/>
    <n v="2364981"/>
    <n v="4410536"/>
    <n v="6775517"/>
    <n v="1190"/>
    <n v="169"/>
    <n v="1359"/>
    <b v="1"/>
    <b v="1"/>
    <b v="1"/>
    <b v="1"/>
    <b v="1"/>
    <b v="1"/>
  </r>
  <r>
    <x v="1013"/>
    <n v="2734"/>
    <n v="1426"/>
    <n v="1308"/>
    <n v="2586850"/>
    <n v="7740250"/>
    <n v="10327100"/>
    <n v="1056"/>
    <n v="168"/>
    <n v="1224"/>
    <b v="1"/>
    <b v="1"/>
    <b v="1"/>
    <b v="1"/>
    <b v="1"/>
    <b v="1"/>
  </r>
  <r>
    <x v="1014"/>
    <n v="3624"/>
    <n v="1968"/>
    <n v="1656"/>
    <n v="3236150"/>
    <n v="6814511"/>
    <n v="10050661"/>
    <n v="1369"/>
    <n v="258"/>
    <n v="1627"/>
    <b v="1"/>
    <b v="1"/>
    <b v="1"/>
    <b v="1"/>
    <b v="1"/>
    <b v="1"/>
  </r>
  <r>
    <x v="1015"/>
    <n v="2877"/>
    <n v="1496"/>
    <n v="1381"/>
    <n v="2125850"/>
    <n v="7252212"/>
    <n v="9378062"/>
    <n v="1165"/>
    <n v="210"/>
    <n v="1375"/>
    <b v="1"/>
    <b v="1"/>
    <b v="1"/>
    <b v="1"/>
    <b v="1"/>
    <b v="1"/>
  </r>
  <r>
    <x v="1016"/>
    <n v="3027"/>
    <n v="1527"/>
    <n v="1500"/>
    <n v="2887600"/>
    <n v="8573613"/>
    <n v="11461213"/>
    <n v="1258"/>
    <n v="208"/>
    <n v="1466"/>
    <b v="1"/>
    <b v="1"/>
    <b v="1"/>
    <b v="1"/>
    <b v="1"/>
    <b v="1"/>
  </r>
  <r>
    <x v="1017"/>
    <n v="2818"/>
    <n v="1457"/>
    <n v="1361"/>
    <n v="2358150"/>
    <n v="6429006"/>
    <n v="8787156"/>
    <n v="1175"/>
    <n v="187"/>
    <n v="1362"/>
    <b v="1"/>
    <b v="1"/>
    <b v="1"/>
    <b v="1"/>
    <b v="1"/>
    <b v="1"/>
  </r>
  <r>
    <x v="1018"/>
    <n v="1433"/>
    <n v="649"/>
    <n v="784"/>
    <n v="1113550"/>
    <n v="3677585"/>
    <n v="4791135"/>
    <n v="653"/>
    <n v="101"/>
    <n v="754"/>
    <b v="1"/>
    <b v="1"/>
    <b v="1"/>
    <b v="1"/>
    <b v="1"/>
    <b v="1"/>
  </r>
  <r>
    <x v="1019"/>
    <n v="2252"/>
    <n v="1180"/>
    <n v="1072"/>
    <n v="2112112"/>
    <n v="4632251"/>
    <n v="6744363"/>
    <n v="860"/>
    <n v="155"/>
    <n v="1015"/>
    <b v="1"/>
    <b v="1"/>
    <b v="1"/>
    <b v="1"/>
    <b v="1"/>
    <b v="1"/>
  </r>
  <r>
    <x v="1020"/>
    <n v="2398"/>
    <n v="1215"/>
    <n v="1183"/>
    <n v="1339226"/>
    <n v="4412290"/>
    <n v="5751516"/>
    <n v="987"/>
    <n v="122"/>
    <n v="1109"/>
    <b v="1"/>
    <b v="1"/>
    <b v="1"/>
    <b v="1"/>
    <b v="1"/>
    <b v="1"/>
  </r>
  <r>
    <x v="1021"/>
    <n v="1307"/>
    <n v="425"/>
    <n v="882"/>
    <n v="691250"/>
    <n v="931010"/>
    <n v="1622260"/>
    <n v="668"/>
    <n v="71"/>
    <n v="739"/>
    <b v="1"/>
    <b v="1"/>
    <b v="1"/>
    <b v="1"/>
    <b v="1"/>
    <b v="1"/>
  </r>
  <r>
    <x v="1022"/>
    <n v="251"/>
    <n v="29"/>
    <n v="222"/>
    <n v="218150"/>
    <n v="37600"/>
    <n v="255750"/>
    <n v="132"/>
    <n v="6"/>
    <n v="138"/>
    <b v="1"/>
    <b v="1"/>
    <b v="1"/>
    <b v="1"/>
    <b v="1"/>
    <b v="1"/>
  </r>
  <r>
    <x v="1023"/>
    <n v="392"/>
    <n v="84"/>
    <n v="308"/>
    <n v="129200"/>
    <n v="60300"/>
    <n v="189500"/>
    <n v="252"/>
    <n v="20"/>
    <n v="272"/>
    <b v="1"/>
    <b v="1"/>
    <b v="1"/>
    <b v="1"/>
    <b v="1"/>
    <b v="1"/>
  </r>
  <r>
    <x v="1024"/>
    <n v="695"/>
    <n v="185"/>
    <n v="510"/>
    <n v="290550"/>
    <n v="70360"/>
    <n v="360910"/>
    <n v="412"/>
    <n v="45"/>
    <n v="457"/>
    <b v="1"/>
    <b v="1"/>
    <b v="1"/>
    <b v="1"/>
    <b v="1"/>
    <b v="1"/>
  </r>
  <r>
    <x v="1025"/>
    <n v="559"/>
    <n v="156"/>
    <n v="403"/>
    <n v="216600"/>
    <n v="509000"/>
    <n v="725600"/>
    <n v="345"/>
    <n v="28"/>
    <n v="373"/>
    <b v="1"/>
    <b v="1"/>
    <b v="1"/>
    <b v="1"/>
    <b v="1"/>
    <b v="1"/>
  </r>
  <r>
    <x v="1026"/>
    <n v="2047"/>
    <n v="1164"/>
    <n v="883"/>
    <n v="1417750"/>
    <n v="3241844"/>
    <n v="4659594"/>
    <n v="739"/>
    <n v="153"/>
    <n v="892"/>
    <b v="1"/>
    <b v="1"/>
    <b v="1"/>
    <b v="1"/>
    <b v="1"/>
    <b v="1"/>
  </r>
  <r>
    <x v="1027"/>
    <n v="2736"/>
    <n v="1472"/>
    <n v="1264"/>
    <n v="2090600"/>
    <n v="7710763"/>
    <n v="9801363"/>
    <n v="1002"/>
    <n v="205"/>
    <n v="1207"/>
    <b v="1"/>
    <b v="1"/>
    <b v="1"/>
    <b v="1"/>
    <b v="1"/>
    <b v="1"/>
  </r>
  <r>
    <x v="1028"/>
    <n v="3348"/>
    <n v="2184"/>
    <n v="1164"/>
    <n v="2659725"/>
    <n v="6693587"/>
    <n v="9353312"/>
    <n v="930"/>
    <n v="221"/>
    <n v="1151"/>
    <b v="1"/>
    <b v="1"/>
    <b v="1"/>
    <b v="1"/>
    <b v="1"/>
    <b v="1"/>
  </r>
  <r>
    <x v="1029"/>
    <n v="2481"/>
    <n v="1489"/>
    <n v="992"/>
    <n v="2568225"/>
    <n v="6725164"/>
    <n v="9293389"/>
    <n v="780"/>
    <n v="168"/>
    <n v="948"/>
    <b v="1"/>
    <b v="1"/>
    <b v="1"/>
    <b v="1"/>
    <b v="1"/>
    <b v="1"/>
  </r>
  <r>
    <x v="1030"/>
    <n v="2859"/>
    <n v="1618"/>
    <n v="1241"/>
    <n v="2646240"/>
    <n v="6546102"/>
    <n v="9192342"/>
    <n v="966"/>
    <n v="144"/>
    <n v="1110"/>
    <b v="1"/>
    <b v="1"/>
    <b v="1"/>
    <b v="1"/>
    <b v="1"/>
    <b v="1"/>
  </r>
  <r>
    <x v="1031"/>
    <n v="2526"/>
    <n v="1579"/>
    <n v="947"/>
    <n v="1862500"/>
    <n v="5268954"/>
    <n v="7131454"/>
    <n v="786"/>
    <n v="159"/>
    <n v="945"/>
    <b v="1"/>
    <b v="1"/>
    <b v="1"/>
    <b v="1"/>
    <b v="1"/>
    <b v="1"/>
  </r>
  <r>
    <x v="1032"/>
    <n v="1550"/>
    <n v="965"/>
    <n v="585"/>
    <n v="1457650"/>
    <n v="4462494"/>
    <n v="5920144"/>
    <n v="437"/>
    <n v="103"/>
    <n v="540"/>
    <b v="1"/>
    <b v="1"/>
    <b v="1"/>
    <b v="1"/>
    <b v="1"/>
    <b v="1"/>
  </r>
  <r>
    <x v="1033"/>
    <n v="2537"/>
    <n v="1536"/>
    <n v="1001"/>
    <n v="2658650"/>
    <n v="5809456"/>
    <n v="8468106"/>
    <n v="773"/>
    <n v="199"/>
    <n v="972"/>
    <b v="1"/>
    <b v="1"/>
    <b v="1"/>
    <b v="1"/>
    <b v="1"/>
    <b v="1"/>
  </r>
  <r>
    <x v="1034"/>
    <n v="2847"/>
    <n v="1767"/>
    <n v="1080"/>
    <n v="2247850"/>
    <n v="6711751"/>
    <n v="8959601"/>
    <n v="865"/>
    <n v="226"/>
    <n v="1091"/>
    <b v="1"/>
    <b v="1"/>
    <b v="1"/>
    <b v="1"/>
    <b v="1"/>
    <b v="1"/>
  </r>
  <r>
    <x v="1035"/>
    <n v="2336"/>
    <n v="1446"/>
    <n v="890"/>
    <n v="1765850"/>
    <n v="5127580"/>
    <n v="6893430"/>
    <n v="737"/>
    <n v="201"/>
    <n v="938"/>
    <b v="1"/>
    <b v="1"/>
    <b v="1"/>
    <b v="1"/>
    <b v="1"/>
    <b v="1"/>
  </r>
  <r>
    <x v="1036"/>
    <n v="2262"/>
    <n v="1241"/>
    <n v="1021"/>
    <n v="2085900"/>
    <n v="6402974"/>
    <n v="8488874"/>
    <n v="802"/>
    <n v="155"/>
    <n v="957"/>
    <b v="1"/>
    <b v="1"/>
    <b v="1"/>
    <b v="1"/>
    <b v="1"/>
    <b v="1"/>
  </r>
  <r>
    <x v="1037"/>
    <n v="2517"/>
    <n v="1460"/>
    <n v="1057"/>
    <n v="2518320"/>
    <n v="6236619"/>
    <n v="8754939"/>
    <n v="830"/>
    <n v="189"/>
    <n v="1019"/>
    <b v="1"/>
    <b v="1"/>
    <b v="1"/>
    <b v="1"/>
    <b v="1"/>
    <b v="1"/>
  </r>
  <r>
    <x v="1038"/>
    <n v="1611"/>
    <n v="746"/>
    <n v="865"/>
    <n v="1563954"/>
    <n v="3281400"/>
    <n v="4845354"/>
    <n v="703"/>
    <n v="92"/>
    <n v="795"/>
    <b v="1"/>
    <b v="1"/>
    <b v="1"/>
    <b v="1"/>
    <b v="1"/>
    <b v="1"/>
  </r>
  <r>
    <x v="1039"/>
    <n v="1235"/>
    <n v="624"/>
    <n v="611"/>
    <n v="927900"/>
    <n v="2249000"/>
    <n v="3176900"/>
    <n v="475"/>
    <n v="54"/>
    <n v="529"/>
    <b v="1"/>
    <b v="1"/>
    <b v="1"/>
    <b v="1"/>
    <b v="1"/>
    <b v="1"/>
  </r>
  <r>
    <x v="1040"/>
    <n v="2059"/>
    <n v="1068"/>
    <n v="991"/>
    <n v="1905800"/>
    <n v="4956992"/>
    <n v="6862792"/>
    <n v="811"/>
    <n v="122"/>
    <n v="933"/>
    <b v="1"/>
    <b v="1"/>
    <b v="1"/>
    <b v="1"/>
    <b v="1"/>
    <b v="1"/>
  </r>
  <r>
    <x v="1041"/>
    <n v="2550"/>
    <n v="1384"/>
    <n v="1166"/>
    <n v="2793302"/>
    <n v="6860331"/>
    <n v="9653633"/>
    <n v="954"/>
    <n v="188"/>
    <n v="1142"/>
    <b v="1"/>
    <b v="1"/>
    <b v="1"/>
    <b v="1"/>
    <b v="1"/>
    <b v="1"/>
  </r>
  <r>
    <x v="1042"/>
    <n v="2904"/>
    <n v="1886"/>
    <n v="1018"/>
    <n v="2516525"/>
    <n v="6724909"/>
    <n v="9241434"/>
    <n v="805"/>
    <n v="209"/>
    <n v="1014"/>
    <b v="1"/>
    <b v="1"/>
    <b v="1"/>
    <b v="1"/>
    <b v="1"/>
    <b v="1"/>
  </r>
  <r>
    <x v="1043"/>
    <n v="2876"/>
    <n v="1698"/>
    <n v="1178"/>
    <n v="2805282"/>
    <n v="9296193"/>
    <n v="12101475"/>
    <n v="953"/>
    <n v="173"/>
    <n v="1126"/>
    <b v="1"/>
    <b v="1"/>
    <b v="1"/>
    <b v="1"/>
    <b v="1"/>
    <b v="1"/>
  </r>
  <r>
    <x v="1044"/>
    <n v="2511"/>
    <n v="1349"/>
    <n v="1162"/>
    <n v="2325580"/>
    <n v="5757649"/>
    <n v="8083229"/>
    <n v="928"/>
    <n v="154"/>
    <n v="1082"/>
    <b v="1"/>
    <b v="1"/>
    <b v="1"/>
    <b v="1"/>
    <b v="1"/>
    <b v="1"/>
  </r>
  <r>
    <x v="1045"/>
    <n v="2050"/>
    <n v="1060"/>
    <n v="990"/>
    <n v="1980629"/>
    <n v="5531832"/>
    <n v="7512461"/>
    <n v="855"/>
    <n v="160"/>
    <n v="1015"/>
    <b v="1"/>
    <b v="1"/>
    <b v="1"/>
    <b v="1"/>
    <b v="1"/>
    <b v="1"/>
  </r>
  <r>
    <x v="1046"/>
    <n v="1243"/>
    <n v="634"/>
    <n v="609"/>
    <n v="1230100"/>
    <n v="2845825"/>
    <n v="4075925"/>
    <n v="498"/>
    <n v="66"/>
    <n v="564"/>
    <b v="1"/>
    <b v="1"/>
    <b v="1"/>
    <b v="1"/>
    <b v="1"/>
    <b v="1"/>
  </r>
  <r>
    <x v="1047"/>
    <n v="2137"/>
    <n v="972"/>
    <n v="1165"/>
    <n v="1963121"/>
    <n v="4215243"/>
    <n v="6178364"/>
    <n v="905"/>
    <n v="143"/>
    <n v="1048"/>
    <b v="1"/>
    <b v="1"/>
    <b v="1"/>
    <b v="1"/>
    <b v="1"/>
    <b v="1"/>
  </r>
  <r>
    <x v="1048"/>
    <n v="2446"/>
    <n v="1272"/>
    <n v="1174"/>
    <n v="1530374"/>
    <n v="5019739"/>
    <n v="6550113"/>
    <n v="983"/>
    <n v="118"/>
    <n v="1101"/>
    <b v="1"/>
    <b v="1"/>
    <b v="1"/>
    <b v="1"/>
    <b v="1"/>
    <b v="1"/>
  </r>
  <r>
    <x v="1049"/>
    <n v="2339"/>
    <n v="1263"/>
    <n v="1076"/>
    <n v="2234281"/>
    <n v="4983986"/>
    <n v="7218267"/>
    <n v="862"/>
    <n v="120"/>
    <n v="982"/>
    <b v="1"/>
    <b v="1"/>
    <b v="1"/>
    <b v="1"/>
    <b v="1"/>
    <b v="1"/>
  </r>
  <r>
    <x v="1050"/>
    <n v="2273"/>
    <n v="1181"/>
    <n v="1092"/>
    <n v="2687204"/>
    <n v="4692312"/>
    <n v="7379516"/>
    <n v="878"/>
    <n v="100"/>
    <n v="978"/>
    <b v="1"/>
    <b v="1"/>
    <b v="1"/>
    <b v="1"/>
    <b v="1"/>
    <b v="1"/>
  </r>
  <r>
    <x v="1051"/>
    <n v="2428"/>
    <n v="1252"/>
    <n v="1176"/>
    <n v="2029165"/>
    <n v="5269493"/>
    <n v="7298658"/>
    <n v="928"/>
    <n v="183"/>
    <n v="1111"/>
    <b v="1"/>
    <b v="1"/>
    <b v="1"/>
    <b v="1"/>
    <b v="1"/>
    <b v="1"/>
  </r>
  <r>
    <x v="1052"/>
    <n v="1917"/>
    <n v="1075"/>
    <n v="842"/>
    <n v="1875650"/>
    <n v="4803395"/>
    <n v="6679045"/>
    <n v="650"/>
    <n v="123"/>
    <n v="773"/>
    <b v="1"/>
    <b v="1"/>
    <b v="1"/>
    <b v="1"/>
    <b v="1"/>
    <b v="1"/>
  </r>
  <r>
    <x v="1053"/>
    <n v="1204"/>
    <n v="594"/>
    <n v="610"/>
    <n v="1298760"/>
    <n v="2928322"/>
    <n v="4227082"/>
    <n v="441"/>
    <n v="62"/>
    <n v="503"/>
    <b v="1"/>
    <b v="1"/>
    <b v="1"/>
    <b v="1"/>
    <b v="1"/>
    <b v="1"/>
  </r>
  <r>
    <x v="1054"/>
    <n v="1569"/>
    <n v="718"/>
    <n v="851"/>
    <n v="1699800"/>
    <n v="3165302"/>
    <n v="4865102"/>
    <n v="630"/>
    <n v="65"/>
    <n v="695"/>
    <b v="1"/>
    <b v="1"/>
    <b v="1"/>
    <b v="1"/>
    <b v="1"/>
    <b v="1"/>
  </r>
  <r>
    <x v="1055"/>
    <n v="2224"/>
    <n v="886"/>
    <n v="1338"/>
    <n v="2547200"/>
    <n v="3153876"/>
    <n v="5701076"/>
    <n v="892"/>
    <n v="111"/>
    <n v="1003"/>
    <b v="1"/>
    <b v="1"/>
    <b v="1"/>
    <b v="1"/>
    <b v="1"/>
    <b v="1"/>
  </r>
  <r>
    <x v="1056"/>
    <n v="2936"/>
    <n v="1673"/>
    <n v="1263"/>
    <n v="2355109"/>
    <n v="2833330"/>
    <n v="5188439"/>
    <n v="1079"/>
    <n v="150"/>
    <n v="1229"/>
    <b v="1"/>
    <b v="1"/>
    <b v="1"/>
    <b v="1"/>
    <b v="1"/>
    <b v="1"/>
  </r>
  <r>
    <x v="1057"/>
    <n v="1716"/>
    <n v="836"/>
    <n v="880"/>
    <n v="2094053"/>
    <n v="2814525"/>
    <n v="4908578"/>
    <n v="630"/>
    <n v="88"/>
    <n v="718"/>
    <b v="1"/>
    <b v="1"/>
    <b v="1"/>
    <b v="1"/>
    <b v="1"/>
    <b v="1"/>
  </r>
  <r>
    <x v="1058"/>
    <n v="1550"/>
    <n v="808"/>
    <n v="742"/>
    <n v="1523400"/>
    <n v="3428229"/>
    <n v="4951629"/>
    <n v="588"/>
    <n v="72"/>
    <n v="660"/>
    <b v="1"/>
    <b v="1"/>
    <b v="1"/>
    <b v="1"/>
    <b v="1"/>
    <b v="1"/>
  </r>
  <r>
    <x v="1059"/>
    <n v="1576"/>
    <n v="797"/>
    <n v="779"/>
    <n v="1356575"/>
    <n v="3360790"/>
    <n v="4717365"/>
    <n v="646"/>
    <n v="97"/>
    <n v="743"/>
    <b v="1"/>
    <b v="1"/>
    <b v="1"/>
    <b v="1"/>
    <b v="1"/>
    <b v="1"/>
  </r>
  <r>
    <x v="1060"/>
    <n v="1306"/>
    <n v="573"/>
    <n v="733"/>
    <n v="1127800"/>
    <n v="3088505"/>
    <n v="4216305"/>
    <n v="623"/>
    <n v="64"/>
    <n v="687"/>
    <b v="1"/>
    <b v="1"/>
    <b v="1"/>
    <b v="1"/>
    <b v="1"/>
    <b v="1"/>
  </r>
  <r>
    <x v="1061"/>
    <n v="1865"/>
    <n v="949"/>
    <n v="916"/>
    <n v="1269650"/>
    <n v="3500796"/>
    <n v="4770446"/>
    <n v="770"/>
    <n v="115"/>
    <n v="885"/>
    <b v="1"/>
    <b v="1"/>
    <b v="1"/>
    <b v="1"/>
    <b v="1"/>
    <b v="1"/>
  </r>
  <r>
    <x v="1062"/>
    <n v="2704"/>
    <n v="1437"/>
    <n v="1267"/>
    <n v="2401550"/>
    <n v="5155297"/>
    <n v="7556847"/>
    <n v="971"/>
    <n v="160"/>
    <n v="1131"/>
    <b v="1"/>
    <b v="1"/>
    <b v="1"/>
    <b v="1"/>
    <b v="1"/>
    <b v="1"/>
  </r>
  <r>
    <x v="1063"/>
    <n v="5672"/>
    <n v="4021"/>
    <n v="1651"/>
    <n v="3630200"/>
    <n v="4056489"/>
    <n v="7686689"/>
    <n v="1390"/>
    <n v="498"/>
    <n v="1888"/>
    <b v="1"/>
    <b v="1"/>
    <b v="1"/>
    <b v="1"/>
    <b v="1"/>
    <b v="1"/>
  </r>
  <r>
    <x v="1064"/>
    <n v="2165"/>
    <n v="1288"/>
    <n v="877"/>
    <n v="2100114"/>
    <n v="3185978"/>
    <n v="5286092"/>
    <n v="717"/>
    <n v="140"/>
    <n v="857"/>
    <b v="1"/>
    <b v="1"/>
    <b v="1"/>
    <b v="1"/>
    <b v="1"/>
    <b v="1"/>
  </r>
  <r>
    <x v="1065"/>
    <n v="1749"/>
    <n v="906"/>
    <n v="843"/>
    <n v="2068350"/>
    <n v="4436877"/>
    <n v="6505227"/>
    <n v="690"/>
    <n v="137"/>
    <n v="827"/>
    <b v="1"/>
    <b v="1"/>
    <b v="1"/>
    <b v="1"/>
    <b v="1"/>
    <b v="1"/>
  </r>
  <r>
    <x v="1066"/>
    <n v="1460"/>
    <n v="740"/>
    <n v="720"/>
    <n v="1160475"/>
    <n v="3530550"/>
    <n v="4691025"/>
    <n v="631"/>
    <n v="64"/>
    <n v="695"/>
    <b v="1"/>
    <b v="1"/>
    <b v="1"/>
    <b v="1"/>
    <b v="1"/>
    <b v="1"/>
  </r>
  <r>
    <x v="1067"/>
    <n v="1088"/>
    <n v="566"/>
    <n v="522"/>
    <n v="793950"/>
    <n v="1849280"/>
    <n v="2643230"/>
    <n v="409"/>
    <n v="38"/>
    <n v="447"/>
    <b v="1"/>
    <b v="1"/>
    <b v="1"/>
    <b v="1"/>
    <b v="1"/>
    <b v="1"/>
  </r>
  <r>
    <x v="1068"/>
    <n v="1598"/>
    <n v="971"/>
    <n v="627"/>
    <n v="1337044"/>
    <n v="4003490"/>
    <n v="5340534"/>
    <n v="522"/>
    <n v="101"/>
    <n v="623"/>
    <b v="1"/>
    <b v="1"/>
    <b v="1"/>
    <b v="1"/>
    <b v="1"/>
    <b v="1"/>
  </r>
  <r>
    <x v="1069"/>
    <n v="2302"/>
    <n v="1344"/>
    <n v="958"/>
    <n v="1829308"/>
    <n v="7120116"/>
    <n v="8949424"/>
    <n v="858"/>
    <n v="165"/>
    <n v="1023"/>
    <b v="1"/>
    <b v="1"/>
    <b v="1"/>
    <b v="1"/>
    <b v="1"/>
    <b v="1"/>
  </r>
  <r>
    <x v="1070"/>
    <n v="10751"/>
    <n v="7711"/>
    <n v="3040"/>
    <n v="7036000"/>
    <n v="8611228"/>
    <n v="15647228"/>
    <n v="2667"/>
    <n v="740"/>
    <n v="3407"/>
    <b v="1"/>
    <b v="1"/>
    <b v="1"/>
    <b v="1"/>
    <b v="1"/>
    <b v="1"/>
  </r>
  <r>
    <x v="1071"/>
    <n v="2084"/>
    <n v="1204"/>
    <n v="880"/>
    <n v="1341050"/>
    <n v="6385342"/>
    <n v="7726392"/>
    <n v="781"/>
    <n v="123"/>
    <n v="904"/>
    <b v="1"/>
    <b v="1"/>
    <b v="1"/>
    <b v="1"/>
    <b v="1"/>
    <b v="1"/>
  </r>
  <r>
    <x v="1072"/>
    <n v="1748"/>
    <n v="944"/>
    <n v="804"/>
    <n v="1435350"/>
    <n v="6507051"/>
    <n v="7942401"/>
    <n v="659"/>
    <n v="136"/>
    <n v="795"/>
    <b v="1"/>
    <b v="1"/>
    <b v="1"/>
    <b v="1"/>
    <b v="1"/>
    <b v="1"/>
  </r>
  <r>
    <x v="1073"/>
    <n v="1373"/>
    <n v="726"/>
    <n v="647"/>
    <n v="1468400"/>
    <n v="7260380"/>
    <n v="8728780"/>
    <n v="545"/>
    <n v="115"/>
    <n v="660"/>
    <b v="1"/>
    <b v="1"/>
    <b v="1"/>
    <b v="1"/>
    <b v="1"/>
    <b v="1"/>
  </r>
  <r>
    <x v="1074"/>
    <n v="863"/>
    <n v="466"/>
    <n v="397"/>
    <n v="541700"/>
    <n v="2660632"/>
    <n v="3202332"/>
    <n v="353"/>
    <n v="53"/>
    <n v="406"/>
    <b v="1"/>
    <b v="1"/>
    <b v="1"/>
    <b v="1"/>
    <b v="1"/>
    <b v="1"/>
  </r>
  <r>
    <x v="1075"/>
    <n v="1720"/>
    <n v="855"/>
    <n v="865"/>
    <n v="1452650"/>
    <n v="7112407"/>
    <n v="8565057"/>
    <n v="752"/>
    <n v="104"/>
    <n v="856"/>
    <b v="1"/>
    <b v="1"/>
    <b v="1"/>
    <b v="1"/>
    <b v="1"/>
    <b v="1"/>
  </r>
  <r>
    <x v="1076"/>
    <n v="2340"/>
    <n v="1209"/>
    <n v="1131"/>
    <n v="1518850"/>
    <n v="6875065"/>
    <n v="8393915"/>
    <n v="970"/>
    <n v="116"/>
    <n v="1086"/>
    <b v="1"/>
    <b v="1"/>
    <b v="1"/>
    <b v="1"/>
    <b v="1"/>
    <b v="1"/>
  </r>
  <r>
    <x v="1077"/>
    <n v="9647"/>
    <n v="6805"/>
    <n v="2842"/>
    <n v="6610425"/>
    <n v="7308125"/>
    <n v="13918550"/>
    <n v="2495"/>
    <n v="675"/>
    <n v="3170"/>
    <b v="1"/>
    <b v="1"/>
    <b v="1"/>
    <b v="1"/>
    <b v="1"/>
    <b v="1"/>
  </r>
  <r>
    <x v="1078"/>
    <n v="1984"/>
    <n v="949"/>
    <n v="1035"/>
    <n v="1415450"/>
    <n v="6350423"/>
    <n v="7765873"/>
    <n v="857"/>
    <n v="97"/>
    <n v="954"/>
    <b v="1"/>
    <b v="1"/>
    <b v="1"/>
    <b v="1"/>
    <b v="1"/>
    <b v="1"/>
  </r>
  <r>
    <x v="1079"/>
    <n v="2244"/>
    <n v="1038"/>
    <n v="1206"/>
    <n v="2534800"/>
    <n v="8205091"/>
    <n v="10739891"/>
    <n v="827"/>
    <n v="109"/>
    <n v="936"/>
    <b v="1"/>
    <b v="1"/>
    <b v="1"/>
    <b v="1"/>
    <b v="1"/>
    <b v="1"/>
  </r>
  <r>
    <x v="1080"/>
    <n v="1565"/>
    <n v="889"/>
    <n v="676"/>
    <n v="1392660"/>
    <n v="6769041"/>
    <n v="8161701"/>
    <n v="563"/>
    <n v="111"/>
    <n v="674"/>
    <b v="1"/>
    <b v="1"/>
    <b v="1"/>
    <b v="1"/>
    <b v="1"/>
    <b v="1"/>
  </r>
  <r>
    <x v="1081"/>
    <n v="944"/>
    <n v="474"/>
    <n v="470"/>
    <n v="1074800"/>
    <n v="2962500"/>
    <n v="4037300"/>
    <n v="371"/>
    <n v="54"/>
    <n v="425"/>
    <b v="1"/>
    <b v="1"/>
    <b v="1"/>
    <b v="1"/>
    <b v="1"/>
    <b v="1"/>
  </r>
  <r>
    <x v="1082"/>
    <n v="1591"/>
    <n v="530"/>
    <n v="1061"/>
    <n v="1058500"/>
    <n v="2571625"/>
    <n v="3630125"/>
    <n v="881"/>
    <n v="91"/>
    <n v="972"/>
    <b v="1"/>
    <b v="1"/>
    <b v="1"/>
    <b v="1"/>
    <b v="1"/>
    <b v="1"/>
  </r>
  <r>
    <x v="1083"/>
    <n v="1766"/>
    <n v="858"/>
    <n v="908"/>
    <n v="1650899"/>
    <n v="6936165"/>
    <n v="8587064"/>
    <n v="730"/>
    <n v="119"/>
    <n v="849"/>
    <b v="1"/>
    <b v="1"/>
    <b v="1"/>
    <b v="1"/>
    <b v="1"/>
    <b v="1"/>
  </r>
  <r>
    <x v="1084"/>
    <n v="10795"/>
    <n v="7523"/>
    <n v="3272"/>
    <n v="7149300"/>
    <n v="10140551"/>
    <n v="17289851"/>
    <n v="2770"/>
    <n v="641"/>
    <n v="3411"/>
    <b v="1"/>
    <b v="1"/>
    <b v="1"/>
    <b v="1"/>
    <b v="1"/>
    <b v="1"/>
  </r>
  <r>
    <x v="1085"/>
    <n v="2302"/>
    <n v="1258"/>
    <n v="1044"/>
    <n v="2390626"/>
    <n v="12242482"/>
    <n v="14633108"/>
    <n v="753"/>
    <n v="185"/>
    <n v="938"/>
    <b v="1"/>
    <b v="1"/>
    <b v="1"/>
    <b v="1"/>
    <b v="1"/>
    <b v="1"/>
  </r>
  <r>
    <x v="1086"/>
    <n v="1828"/>
    <n v="1203"/>
    <n v="625"/>
    <n v="1646948"/>
    <n v="9093705"/>
    <n v="10740653"/>
    <n v="420"/>
    <n v="141"/>
    <n v="561"/>
    <b v="1"/>
    <b v="1"/>
    <b v="1"/>
    <b v="1"/>
    <b v="1"/>
    <b v="1"/>
  </r>
  <r>
    <x v="1087"/>
    <n v="1521"/>
    <n v="1041"/>
    <n v="480"/>
    <n v="1977650"/>
    <n v="9089165"/>
    <n v="11066815"/>
    <n v="312"/>
    <n v="101"/>
    <n v="413"/>
    <b v="1"/>
    <b v="1"/>
    <b v="1"/>
    <b v="1"/>
    <b v="1"/>
    <b v="1"/>
  </r>
  <r>
    <x v="1088"/>
    <n v="709"/>
    <n v="419"/>
    <n v="290"/>
    <n v="1132200"/>
    <n v="3794710"/>
    <n v="4926910"/>
    <n v="202"/>
    <n v="42"/>
    <n v="244"/>
    <b v="1"/>
    <b v="1"/>
    <b v="1"/>
    <b v="1"/>
    <b v="1"/>
    <b v="1"/>
  </r>
  <r>
    <x v="1089"/>
    <n v="763"/>
    <n v="474"/>
    <n v="289"/>
    <n v="710150"/>
    <n v="3563430"/>
    <n v="4273580"/>
    <n v="201"/>
    <n v="40"/>
    <n v="241"/>
    <b v="1"/>
    <b v="1"/>
    <b v="1"/>
    <b v="1"/>
    <b v="1"/>
    <b v="1"/>
  </r>
  <r>
    <x v="1090"/>
    <n v="1605"/>
    <n v="1021"/>
    <n v="584"/>
    <n v="1727000"/>
    <n v="6403129"/>
    <n v="8130129"/>
    <n v="450"/>
    <n v="112"/>
    <n v="562"/>
    <b v="1"/>
    <b v="1"/>
    <b v="1"/>
    <b v="1"/>
    <b v="1"/>
    <b v="1"/>
  </r>
  <r>
    <x v="1091"/>
    <n v="10447"/>
    <n v="7803"/>
    <n v="2644"/>
    <n v="6920000"/>
    <n v="9970999"/>
    <n v="16890999"/>
    <n v="2219"/>
    <n v="712"/>
    <n v="2931"/>
    <b v="1"/>
    <b v="1"/>
    <b v="1"/>
    <b v="1"/>
    <b v="1"/>
    <b v="1"/>
  </r>
  <r>
    <x v="1092"/>
    <n v="1807"/>
    <n v="1041"/>
    <n v="766"/>
    <n v="2200890"/>
    <n v="11087606"/>
    <n v="13288496"/>
    <n v="595"/>
    <n v="98"/>
    <n v="693"/>
    <b v="1"/>
    <b v="1"/>
    <b v="1"/>
    <b v="1"/>
    <b v="1"/>
    <b v="1"/>
  </r>
  <r>
    <x v="1093"/>
    <n v="2006"/>
    <n v="1227"/>
    <n v="779"/>
    <n v="2229275"/>
    <n v="11897400"/>
    <n v="14126675"/>
    <n v="620"/>
    <n v="114"/>
    <n v="734"/>
    <b v="1"/>
    <b v="1"/>
    <b v="1"/>
    <b v="1"/>
    <b v="1"/>
    <b v="1"/>
  </r>
  <r>
    <x v="1094"/>
    <n v="1487"/>
    <n v="810"/>
    <n v="677"/>
    <n v="1137200"/>
    <n v="5924402"/>
    <n v="7061602"/>
    <n v="545"/>
    <n v="129"/>
    <n v="674"/>
    <b v="1"/>
    <b v="1"/>
    <b v="1"/>
    <b v="1"/>
    <b v="1"/>
    <b v="1"/>
  </r>
  <r>
    <x v="1095"/>
    <n v="760"/>
    <n v="430"/>
    <n v="330"/>
    <n v="708510"/>
    <n v="2412248"/>
    <n v="3120758"/>
    <n v="249"/>
    <n v="43"/>
    <n v="292"/>
    <b v="1"/>
    <b v="1"/>
    <b v="1"/>
    <b v="1"/>
    <b v="1"/>
    <b v="1"/>
  </r>
  <r>
    <x v="1096"/>
    <n v="853"/>
    <n v="484"/>
    <n v="369"/>
    <n v="1120800"/>
    <n v="1992875"/>
    <n v="3113675"/>
    <n v="247"/>
    <n v="46"/>
    <n v="293"/>
    <b v="1"/>
    <b v="1"/>
    <b v="1"/>
    <b v="1"/>
    <b v="1"/>
    <b v="1"/>
  </r>
  <r>
    <x v="1097"/>
    <n v="1630"/>
    <n v="1024"/>
    <n v="606"/>
    <n v="2496849"/>
    <n v="7211668"/>
    <n v="9708517"/>
    <n v="442"/>
    <n v="129"/>
    <n v="571"/>
    <b v="1"/>
    <b v="1"/>
    <b v="1"/>
    <b v="1"/>
    <b v="1"/>
    <b v="1"/>
  </r>
  <r>
    <x v="1098"/>
    <n v="9851"/>
    <n v="7490"/>
    <n v="2361"/>
    <n v="6672801"/>
    <n v="11313410"/>
    <n v="17986211"/>
    <n v="2141"/>
    <n v="827"/>
    <n v="2968"/>
    <b v="1"/>
    <b v="1"/>
    <b v="1"/>
    <b v="1"/>
    <b v="1"/>
    <b v="1"/>
  </r>
  <r>
    <x v="1099"/>
    <n v="2267"/>
    <n v="1370"/>
    <n v="897"/>
    <n v="3206699"/>
    <n v="11105909"/>
    <n v="14312608"/>
    <n v="731"/>
    <n v="229"/>
    <n v="960"/>
    <b v="1"/>
    <b v="1"/>
    <b v="1"/>
    <b v="1"/>
    <b v="1"/>
    <b v="1"/>
  </r>
  <r>
    <x v="1100"/>
    <n v="2175"/>
    <n v="1360"/>
    <n v="815"/>
    <n v="2184325"/>
    <n v="13756828"/>
    <n v="15941153"/>
    <n v="635"/>
    <n v="216"/>
    <n v="851"/>
    <b v="1"/>
    <b v="1"/>
    <b v="1"/>
    <b v="1"/>
    <b v="1"/>
    <b v="1"/>
  </r>
  <r>
    <x v="1101"/>
    <n v="1807"/>
    <n v="1031"/>
    <n v="776"/>
    <n v="1859952"/>
    <n v="8407466"/>
    <n v="10267418"/>
    <n v="615"/>
    <n v="183"/>
    <n v="798"/>
    <b v="1"/>
    <b v="1"/>
    <b v="1"/>
    <b v="1"/>
    <b v="1"/>
    <b v="1"/>
  </r>
  <r>
    <x v="1102"/>
    <n v="1418"/>
    <n v="839"/>
    <n v="579"/>
    <n v="1976500"/>
    <n v="8078193"/>
    <n v="10054693"/>
    <n v="436"/>
    <n v="157"/>
    <n v="593"/>
    <b v="1"/>
    <b v="1"/>
    <b v="1"/>
    <b v="1"/>
    <b v="1"/>
    <b v="1"/>
  </r>
  <r>
    <x v="1103"/>
    <n v="1900"/>
    <n v="1198"/>
    <n v="702"/>
    <n v="2625250"/>
    <n v="10294597"/>
    <n v="12919847"/>
    <n v="504"/>
    <n v="184"/>
    <n v="688"/>
    <b v="1"/>
    <b v="1"/>
    <b v="1"/>
    <b v="1"/>
    <b v="1"/>
    <b v="1"/>
  </r>
  <r>
    <x v="1104"/>
    <n v="2192"/>
    <n v="1330"/>
    <n v="862"/>
    <n v="2661000"/>
    <n v="12684142"/>
    <n v="15345142"/>
    <n v="656"/>
    <n v="231"/>
    <n v="887"/>
    <b v="1"/>
    <b v="1"/>
    <b v="1"/>
    <b v="1"/>
    <b v="1"/>
    <b v="1"/>
  </r>
  <r>
    <x v="1105"/>
    <n v="11570"/>
    <n v="8373"/>
    <n v="3197"/>
    <n v="8709284"/>
    <n v="11617002"/>
    <n v="20326286"/>
    <n v="2805"/>
    <n v="843"/>
    <n v="3648"/>
    <b v="1"/>
    <b v="1"/>
    <b v="1"/>
    <b v="1"/>
    <b v="1"/>
    <b v="1"/>
  </r>
  <r>
    <x v="1106"/>
    <n v="2339"/>
    <n v="1366"/>
    <n v="973"/>
    <n v="2943025"/>
    <n v="12081282"/>
    <n v="15024307"/>
    <n v="728"/>
    <n v="168"/>
    <n v="896"/>
    <b v="1"/>
    <b v="1"/>
    <b v="1"/>
    <b v="1"/>
    <b v="1"/>
    <b v="1"/>
  </r>
  <r>
    <x v="1107"/>
    <n v="2297"/>
    <n v="1419"/>
    <n v="878"/>
    <n v="4294900"/>
    <n v="13267621"/>
    <n v="17562521"/>
    <n v="639"/>
    <n v="155"/>
    <n v="794"/>
    <b v="1"/>
    <b v="1"/>
    <b v="1"/>
    <b v="1"/>
    <b v="1"/>
    <b v="1"/>
  </r>
  <r>
    <x v="1108"/>
    <n v="1846"/>
    <n v="1111"/>
    <n v="735"/>
    <n v="2779700"/>
    <n v="12047226"/>
    <n v="14826926"/>
    <n v="554"/>
    <n v="220"/>
    <n v="774"/>
    <b v="1"/>
    <b v="1"/>
    <b v="1"/>
    <b v="1"/>
    <b v="1"/>
    <b v="1"/>
  </r>
  <r>
    <x v="1109"/>
    <n v="1564"/>
    <n v="1119"/>
    <n v="445"/>
    <n v="2826800"/>
    <n v="12126160"/>
    <n v="14952960"/>
    <n v="380"/>
    <n v="265"/>
    <n v="645"/>
    <b v="1"/>
    <b v="1"/>
    <b v="1"/>
    <b v="1"/>
    <b v="1"/>
    <b v="1"/>
  </r>
  <r>
    <x v="1110"/>
    <n v="2202"/>
    <n v="1326"/>
    <n v="876"/>
    <n v="3553500"/>
    <n v="12839755"/>
    <n v="16393255"/>
    <n v="691"/>
    <n v="159"/>
    <n v="850"/>
    <b v="1"/>
    <b v="1"/>
    <b v="1"/>
    <b v="1"/>
    <b v="1"/>
    <b v="1"/>
  </r>
  <r>
    <x v="1111"/>
    <n v="2557"/>
    <n v="1518"/>
    <n v="1039"/>
    <n v="4879300"/>
    <n v="16874080"/>
    <n v="21753380"/>
    <n v="797"/>
    <n v="237"/>
    <n v="1034"/>
    <b v="1"/>
    <b v="1"/>
    <b v="1"/>
    <b v="1"/>
    <b v="1"/>
    <b v="1"/>
  </r>
  <r>
    <x v="1112"/>
    <n v="10854"/>
    <n v="7890"/>
    <n v="2964"/>
    <n v="9234525"/>
    <n v="13029546"/>
    <n v="22264071"/>
    <n v="2593"/>
    <n v="673"/>
    <n v="3266"/>
    <b v="1"/>
    <b v="1"/>
    <b v="1"/>
    <b v="1"/>
    <b v="1"/>
    <b v="1"/>
  </r>
  <r>
    <x v="1113"/>
    <n v="2468"/>
    <n v="1606"/>
    <n v="862"/>
    <n v="4410975"/>
    <n v="15702884"/>
    <n v="20113859"/>
    <n v="628"/>
    <n v="243"/>
    <n v="871"/>
    <b v="1"/>
    <b v="1"/>
    <b v="1"/>
    <b v="1"/>
    <b v="1"/>
    <b v="1"/>
  </r>
  <r>
    <x v="1114"/>
    <n v="2466"/>
    <n v="1514"/>
    <n v="952"/>
    <n v="5143050"/>
    <n v="15226845"/>
    <n v="20369895"/>
    <n v="721"/>
    <n v="339"/>
    <n v="1060"/>
    <b v="1"/>
    <b v="1"/>
    <b v="1"/>
    <b v="1"/>
    <b v="1"/>
    <b v="1"/>
  </r>
  <r>
    <x v="1115"/>
    <n v="2654"/>
    <n v="1715"/>
    <n v="939"/>
    <n v="6075725"/>
    <n v="17560262"/>
    <n v="23635987"/>
    <n v="695"/>
    <n v="424"/>
    <n v="1119"/>
    <b v="1"/>
    <b v="1"/>
    <b v="1"/>
    <b v="1"/>
    <b v="1"/>
    <b v="1"/>
  </r>
  <r>
    <x v="1116"/>
    <n v="1711"/>
    <n v="1205"/>
    <n v="506"/>
    <n v="2836200"/>
    <n v="12508107"/>
    <n v="15344307"/>
    <n v="401"/>
    <n v="342"/>
    <n v="743"/>
    <b v="1"/>
    <b v="1"/>
    <b v="1"/>
    <b v="1"/>
    <b v="1"/>
    <b v="1"/>
  </r>
  <r>
    <x v="1117"/>
    <n v="1809"/>
    <n v="1067"/>
    <n v="742"/>
    <n v="3167900"/>
    <n v="11076245"/>
    <n v="14244145"/>
    <n v="551"/>
    <n v="178"/>
    <n v="729"/>
    <b v="1"/>
    <b v="1"/>
    <b v="1"/>
    <b v="1"/>
    <b v="1"/>
    <b v="1"/>
  </r>
  <r>
    <x v="1118"/>
    <n v="1637"/>
    <n v="1050"/>
    <n v="587"/>
    <n v="2635325"/>
    <n v="11095948"/>
    <n v="13731273"/>
    <n v="428"/>
    <n v="168"/>
    <n v="596"/>
    <b v="1"/>
    <b v="1"/>
    <b v="1"/>
    <b v="1"/>
    <b v="1"/>
    <b v="1"/>
  </r>
  <r>
    <x v="1119"/>
    <n v="11069"/>
    <n v="7841"/>
    <n v="3228"/>
    <n v="9615683"/>
    <n v="12233244"/>
    <n v="21848927"/>
    <n v="2810"/>
    <n v="696"/>
    <n v="3506"/>
    <b v="1"/>
    <b v="1"/>
    <b v="1"/>
    <b v="1"/>
    <b v="1"/>
    <b v="1"/>
  </r>
  <r>
    <x v="1120"/>
    <n v="1847"/>
    <n v="1261"/>
    <n v="586"/>
    <n v="3427081"/>
    <n v="11408120"/>
    <n v="14835201"/>
    <n v="346"/>
    <n v="146"/>
    <n v="492"/>
    <b v="1"/>
    <b v="1"/>
    <b v="1"/>
    <b v="1"/>
    <b v="1"/>
    <b v="1"/>
  </r>
  <r>
    <x v="1121"/>
    <n v="910"/>
    <n v="707"/>
    <n v="203"/>
    <n v="1252550"/>
    <n v="12417951"/>
    <n v="13670501"/>
    <n v="128"/>
    <n v="139"/>
    <n v="267"/>
    <b v="1"/>
    <b v="1"/>
    <b v="1"/>
    <b v="1"/>
    <b v="1"/>
    <b v="1"/>
  </r>
  <r>
    <x v="1122"/>
    <n v="1482"/>
    <n v="937"/>
    <n v="545"/>
    <n v="1680801"/>
    <n v="8924449"/>
    <n v="10605250"/>
    <n v="415"/>
    <n v="140"/>
    <n v="555"/>
    <b v="1"/>
    <b v="1"/>
    <b v="1"/>
    <b v="1"/>
    <b v="1"/>
    <b v="1"/>
  </r>
  <r>
    <x v="1123"/>
    <n v="986"/>
    <n v="623"/>
    <n v="363"/>
    <n v="1181900"/>
    <n v="6703299"/>
    <n v="7885199"/>
    <n v="290"/>
    <n v="84"/>
    <n v="374"/>
    <b v="1"/>
    <b v="1"/>
    <b v="1"/>
    <b v="1"/>
    <b v="1"/>
    <b v="1"/>
  </r>
  <r>
    <x v="1124"/>
    <n v="1523"/>
    <n v="934"/>
    <n v="589"/>
    <n v="1660200"/>
    <n v="7997578"/>
    <n v="9657778"/>
    <n v="444"/>
    <n v="147"/>
    <n v="591"/>
    <b v="1"/>
    <b v="1"/>
    <b v="1"/>
    <b v="1"/>
    <b v="1"/>
    <b v="1"/>
  </r>
  <r>
    <x v="1125"/>
    <n v="1806"/>
    <n v="1042"/>
    <n v="764"/>
    <n v="3777400"/>
    <n v="10987612"/>
    <n v="14765012"/>
    <n v="549"/>
    <n v="151"/>
    <n v="700"/>
    <b v="1"/>
    <b v="1"/>
    <b v="1"/>
    <b v="1"/>
    <b v="1"/>
    <b v="1"/>
  </r>
  <r>
    <x v="1126"/>
    <n v="10327"/>
    <n v="7561"/>
    <n v="2766"/>
    <n v="6600070"/>
    <n v="9423094"/>
    <n v="16023164"/>
    <n v="2450"/>
    <n v="723"/>
    <n v="3173"/>
    <b v="1"/>
    <b v="1"/>
    <b v="1"/>
    <b v="1"/>
    <b v="1"/>
    <b v="1"/>
  </r>
  <r>
    <x v="1127"/>
    <n v="2079"/>
    <n v="1302"/>
    <n v="777"/>
    <n v="3020400"/>
    <n v="10068277"/>
    <n v="13088677"/>
    <n v="582"/>
    <n v="183"/>
    <n v="765"/>
    <b v="1"/>
    <b v="1"/>
    <b v="1"/>
    <b v="1"/>
    <b v="1"/>
    <b v="1"/>
  </r>
  <r>
    <x v="1128"/>
    <n v="1983"/>
    <n v="1344"/>
    <n v="639"/>
    <n v="3152256"/>
    <n v="12412451"/>
    <n v="15564707"/>
    <n v="423"/>
    <n v="157"/>
    <n v="580"/>
    <b v="1"/>
    <b v="1"/>
    <b v="1"/>
    <b v="1"/>
    <b v="1"/>
    <b v="1"/>
  </r>
  <r>
    <x v="1129"/>
    <n v="1795"/>
    <n v="1161"/>
    <n v="634"/>
    <n v="2815500"/>
    <n v="12739369"/>
    <n v="15554869"/>
    <n v="406"/>
    <n v="159"/>
    <n v="565"/>
    <b v="1"/>
    <b v="1"/>
    <b v="1"/>
    <b v="1"/>
    <b v="1"/>
    <b v="1"/>
  </r>
  <r>
    <x v="1130"/>
    <n v="721"/>
    <n v="445"/>
    <n v="276"/>
    <n v="1048250"/>
    <n v="5580523"/>
    <n v="6628773"/>
    <n v="207"/>
    <n v="66"/>
    <n v="273"/>
    <b v="1"/>
    <b v="1"/>
    <b v="1"/>
    <b v="1"/>
    <b v="1"/>
    <b v="1"/>
  </r>
  <r>
    <x v="1131"/>
    <n v="1775"/>
    <n v="1162"/>
    <n v="613"/>
    <n v="2690750"/>
    <n v="10174242"/>
    <n v="12864992"/>
    <n v="419"/>
    <n v="232"/>
    <n v="651"/>
    <b v="1"/>
    <b v="1"/>
    <b v="1"/>
    <b v="1"/>
    <b v="1"/>
    <b v="1"/>
  </r>
  <r>
    <x v="1132"/>
    <n v="1989"/>
    <n v="1256"/>
    <n v="733"/>
    <n v="3257700"/>
    <n v="11646085"/>
    <n v="14903785"/>
    <n v="556"/>
    <n v="193"/>
    <n v="749"/>
    <b v="1"/>
    <b v="1"/>
    <b v="1"/>
    <b v="1"/>
    <b v="1"/>
    <b v="1"/>
  </r>
  <r>
    <x v="1133"/>
    <n v="10484"/>
    <n v="7632"/>
    <n v="2852"/>
    <n v="8253150"/>
    <n v="11629894"/>
    <n v="19883044"/>
    <n v="2547"/>
    <n v="726"/>
    <n v="3273"/>
    <b v="1"/>
    <b v="1"/>
    <b v="1"/>
    <b v="1"/>
    <b v="1"/>
    <b v="1"/>
  </r>
  <r>
    <x v="1134"/>
    <n v="1987"/>
    <n v="1269"/>
    <n v="718"/>
    <n v="2709150"/>
    <n v="12160342"/>
    <n v="14869492"/>
    <n v="488"/>
    <n v="145"/>
    <n v="633"/>
    <b v="1"/>
    <b v="1"/>
    <b v="1"/>
    <b v="1"/>
    <b v="1"/>
    <b v="1"/>
  </r>
  <r>
    <x v="1135"/>
    <n v="1774"/>
    <n v="1209"/>
    <n v="565"/>
    <n v="2487500"/>
    <n v="12884553"/>
    <n v="15372053"/>
    <n v="370"/>
    <n v="158"/>
    <n v="528"/>
    <b v="1"/>
    <b v="1"/>
    <b v="1"/>
    <b v="1"/>
    <b v="1"/>
    <b v="1"/>
  </r>
  <r>
    <x v="1136"/>
    <n v="1737"/>
    <n v="1120"/>
    <n v="617"/>
    <n v="1680650"/>
    <n v="9596458"/>
    <n v="11277108"/>
    <n v="485"/>
    <n v="134"/>
    <n v="619"/>
    <b v="1"/>
    <b v="1"/>
    <b v="1"/>
    <b v="1"/>
    <b v="1"/>
    <b v="1"/>
  </r>
  <r>
    <x v="1137"/>
    <n v="1026"/>
    <n v="617"/>
    <n v="409"/>
    <n v="873650"/>
    <n v="4182919"/>
    <n v="5056569"/>
    <n v="290"/>
    <n v="81"/>
    <n v="371"/>
    <b v="1"/>
    <b v="1"/>
    <b v="1"/>
    <b v="1"/>
    <b v="1"/>
    <b v="1"/>
  </r>
  <r>
    <x v="1138"/>
    <n v="1466"/>
    <n v="800"/>
    <n v="666"/>
    <n v="2183900"/>
    <n v="8439803"/>
    <n v="10623703"/>
    <n v="465"/>
    <n v="138"/>
    <n v="603"/>
    <b v="1"/>
    <b v="1"/>
    <b v="1"/>
    <b v="1"/>
    <b v="1"/>
    <b v="1"/>
  </r>
  <r>
    <x v="1139"/>
    <n v="1855"/>
    <n v="1098"/>
    <n v="757"/>
    <n v="2404600"/>
    <n v="10050071"/>
    <n v="12454671"/>
    <n v="531"/>
    <n v="131"/>
    <n v="662"/>
    <b v="1"/>
    <b v="1"/>
    <b v="1"/>
    <b v="1"/>
    <b v="1"/>
    <b v="1"/>
  </r>
  <r>
    <x v="1140"/>
    <n v="2104"/>
    <n v="1069"/>
    <n v="1035"/>
    <n v="2185300"/>
    <n v="7628219"/>
    <n v="9813519"/>
    <n v="812"/>
    <n v="110"/>
    <n v="922"/>
    <b v="1"/>
    <b v="1"/>
    <b v="1"/>
    <b v="1"/>
    <b v="1"/>
    <b v="1"/>
  </r>
  <r>
    <x v="1141"/>
    <n v="10152"/>
    <n v="7273"/>
    <n v="2879"/>
    <n v="7950425"/>
    <n v="9930552"/>
    <n v="17880977"/>
    <n v="2546"/>
    <n v="740"/>
    <n v="3286"/>
    <b v="1"/>
    <b v="1"/>
    <b v="1"/>
    <b v="1"/>
    <b v="1"/>
    <b v="1"/>
  </r>
  <r>
    <x v="1142"/>
    <n v="1847"/>
    <n v="1118"/>
    <n v="729"/>
    <n v="2247235"/>
    <n v="11529663"/>
    <n v="13776898"/>
    <n v="558"/>
    <n v="124"/>
    <n v="682"/>
    <b v="1"/>
    <b v="1"/>
    <b v="1"/>
    <b v="1"/>
    <b v="1"/>
    <b v="1"/>
  </r>
  <r>
    <x v="1143"/>
    <n v="1442"/>
    <n v="792"/>
    <n v="650"/>
    <n v="2014350"/>
    <n v="8989490"/>
    <n v="11003840"/>
    <n v="449"/>
    <n v="110"/>
    <n v="559"/>
    <b v="1"/>
    <b v="1"/>
    <b v="1"/>
    <b v="1"/>
    <b v="1"/>
    <b v="1"/>
  </r>
  <r>
    <x v="1144"/>
    <n v="1050"/>
    <n v="563"/>
    <n v="487"/>
    <n v="1380100"/>
    <n v="7541152"/>
    <n v="8921252"/>
    <n v="363"/>
    <n v="49"/>
    <n v="412"/>
    <b v="1"/>
    <b v="1"/>
    <b v="1"/>
    <b v="1"/>
    <b v="1"/>
    <b v="1"/>
  </r>
  <r>
    <x v="1145"/>
    <n v="1222"/>
    <n v="725"/>
    <n v="497"/>
    <n v="1253400"/>
    <n v="6757792"/>
    <n v="8011192"/>
    <n v="364"/>
    <n v="96"/>
    <n v="460"/>
    <b v="1"/>
    <b v="1"/>
    <b v="1"/>
    <b v="1"/>
    <b v="1"/>
    <b v="1"/>
  </r>
  <r>
    <x v="1146"/>
    <n v="1971"/>
    <n v="1056"/>
    <n v="915"/>
    <n v="2648050"/>
    <n v="10464445"/>
    <n v="13112495"/>
    <n v="716"/>
    <n v="155"/>
    <n v="871"/>
    <b v="1"/>
    <b v="1"/>
    <b v="1"/>
    <b v="1"/>
    <b v="1"/>
    <b v="1"/>
  </r>
  <r>
    <x v="1147"/>
    <n v="8469"/>
    <n v="5955"/>
    <n v="2514"/>
    <n v="7960250"/>
    <n v="16992823"/>
    <n v="24953073"/>
    <n v="2196"/>
    <n v="566"/>
    <n v="2762"/>
    <b v="1"/>
    <b v="1"/>
    <b v="1"/>
    <b v="1"/>
    <b v="1"/>
    <b v="1"/>
  </r>
  <r>
    <x v="1148"/>
    <n v="1939"/>
    <n v="1121"/>
    <n v="818"/>
    <n v="2617950"/>
    <n v="10635136"/>
    <n v="13253086"/>
    <n v="555"/>
    <n v="141"/>
    <n v="696"/>
    <b v="1"/>
    <b v="1"/>
    <b v="1"/>
    <b v="1"/>
    <b v="1"/>
    <b v="1"/>
  </r>
  <r>
    <x v="1149"/>
    <n v="2114"/>
    <n v="1238"/>
    <n v="876"/>
    <n v="2878251"/>
    <n v="11673170"/>
    <n v="14551421"/>
    <n v="632"/>
    <n v="223"/>
    <n v="855"/>
    <b v="1"/>
    <b v="1"/>
    <b v="1"/>
    <b v="1"/>
    <b v="1"/>
    <b v="1"/>
  </r>
  <r>
    <x v="1150"/>
    <n v="1973"/>
    <n v="1259"/>
    <n v="714"/>
    <n v="2430775"/>
    <n v="11907154"/>
    <n v="14337929"/>
    <n v="582"/>
    <n v="207"/>
    <n v="789"/>
    <b v="1"/>
    <b v="1"/>
    <b v="1"/>
    <b v="1"/>
    <b v="1"/>
    <b v="1"/>
  </r>
  <r>
    <x v="1151"/>
    <n v="1360"/>
    <n v="878"/>
    <n v="482"/>
    <n v="2111452"/>
    <n v="10467199"/>
    <n v="12578651"/>
    <n v="361"/>
    <n v="122"/>
    <n v="483"/>
    <b v="1"/>
    <b v="1"/>
    <b v="1"/>
    <b v="1"/>
    <b v="1"/>
    <b v="1"/>
  </r>
  <r>
    <x v="1152"/>
    <n v="2274"/>
    <n v="1462"/>
    <n v="812"/>
    <n v="3576832"/>
    <n v="15196269"/>
    <n v="18773101"/>
    <n v="616"/>
    <n v="289"/>
    <n v="905"/>
    <b v="1"/>
    <b v="1"/>
    <b v="1"/>
    <b v="1"/>
    <b v="1"/>
    <b v="1"/>
  </r>
  <r>
    <x v="1153"/>
    <n v="2188"/>
    <n v="1252"/>
    <n v="936"/>
    <n v="3205238"/>
    <n v="11806603"/>
    <n v="15011841"/>
    <n v="633"/>
    <n v="180"/>
    <n v="813"/>
    <b v="1"/>
    <b v="1"/>
    <b v="1"/>
    <b v="1"/>
    <b v="1"/>
    <b v="1"/>
  </r>
  <r>
    <x v="1154"/>
    <n v="9391"/>
    <n v="6504"/>
    <n v="2887"/>
    <n v="7580900"/>
    <n v="7716168"/>
    <n v="15297068"/>
    <n v="2599"/>
    <n v="614"/>
    <n v="3213"/>
    <b v="1"/>
    <b v="1"/>
    <b v="1"/>
    <b v="1"/>
    <b v="1"/>
    <b v="1"/>
  </r>
  <r>
    <x v="1155"/>
    <n v="1066"/>
    <n v="502"/>
    <n v="564"/>
    <n v="1484399"/>
    <n v="4897945"/>
    <n v="6382344"/>
    <n v="394"/>
    <n v="62"/>
    <n v="456"/>
    <b v="1"/>
    <b v="1"/>
    <b v="1"/>
    <b v="1"/>
    <b v="1"/>
    <b v="1"/>
  </r>
  <r>
    <x v="1156"/>
    <n v="435"/>
    <n v="162"/>
    <n v="273"/>
    <n v="531600"/>
    <n v="989950"/>
    <n v="1521550"/>
    <n v="213"/>
    <n v="28"/>
    <n v="241"/>
    <b v="1"/>
    <b v="1"/>
    <b v="1"/>
    <b v="1"/>
    <b v="1"/>
    <b v="1"/>
  </r>
  <r>
    <x v="1157"/>
    <n v="963"/>
    <n v="427"/>
    <n v="536"/>
    <n v="1737250"/>
    <n v="1743863"/>
    <n v="3481113"/>
    <n v="377"/>
    <n v="49"/>
    <n v="426"/>
    <b v="1"/>
    <b v="1"/>
    <b v="1"/>
    <b v="1"/>
    <b v="1"/>
    <b v="1"/>
  </r>
  <r>
    <x v="1158"/>
    <n v="1077"/>
    <n v="637"/>
    <n v="440"/>
    <n v="1071550"/>
    <n v="2537600"/>
    <n v="3609150"/>
    <n v="350"/>
    <n v="43"/>
    <n v="393"/>
    <b v="1"/>
    <b v="1"/>
    <b v="1"/>
    <b v="1"/>
    <b v="1"/>
    <b v="1"/>
  </r>
  <r>
    <x v="1159"/>
    <n v="2169"/>
    <n v="1331"/>
    <n v="838"/>
    <n v="2019551"/>
    <n v="6245270"/>
    <n v="8264821"/>
    <n v="634"/>
    <n v="89"/>
    <n v="723"/>
    <b v="1"/>
    <b v="1"/>
    <b v="1"/>
    <b v="1"/>
    <b v="1"/>
    <b v="1"/>
  </r>
  <r>
    <x v="1160"/>
    <n v="3228"/>
    <n v="2326"/>
    <n v="902"/>
    <n v="4068254"/>
    <n v="14230000"/>
    <n v="18298254"/>
    <n v="640"/>
    <n v="146"/>
    <n v="786"/>
    <b v="1"/>
    <b v="1"/>
    <b v="1"/>
    <b v="1"/>
    <b v="1"/>
    <b v="1"/>
  </r>
  <r>
    <x v="1161"/>
    <n v="12037"/>
    <n v="8970"/>
    <n v="3067"/>
    <n v="9243000"/>
    <n v="10790345"/>
    <n v="20033345"/>
    <n v="2703"/>
    <n v="693"/>
    <n v="3396"/>
    <b v="1"/>
    <b v="1"/>
    <b v="1"/>
    <b v="1"/>
    <b v="1"/>
    <b v="1"/>
  </r>
  <r>
    <x v="1162"/>
    <n v="3271"/>
    <n v="2569"/>
    <n v="702"/>
    <n v="2864451"/>
    <n v="13099631"/>
    <n v="15964082"/>
    <n v="470"/>
    <n v="161"/>
    <n v="631"/>
    <b v="1"/>
    <b v="1"/>
    <b v="1"/>
    <b v="1"/>
    <b v="1"/>
    <b v="1"/>
  </r>
  <r>
    <x v="1163"/>
    <n v="3511"/>
    <n v="2848"/>
    <n v="663"/>
    <n v="3331601"/>
    <n v="13309085"/>
    <n v="16640686"/>
    <n v="467"/>
    <n v="150"/>
    <n v="617"/>
    <b v="1"/>
    <b v="1"/>
    <b v="1"/>
    <b v="1"/>
    <b v="1"/>
    <b v="1"/>
  </r>
  <r>
    <x v="1164"/>
    <n v="2796"/>
    <n v="2330"/>
    <n v="466"/>
    <n v="1829174"/>
    <n v="10589200"/>
    <n v="12418374"/>
    <n v="309"/>
    <n v="104"/>
    <n v="413"/>
    <b v="1"/>
    <b v="1"/>
    <b v="1"/>
    <b v="1"/>
    <b v="1"/>
    <b v="1"/>
  </r>
  <r>
    <x v="1165"/>
    <n v="1705"/>
    <n v="1363"/>
    <n v="342"/>
    <n v="1991801"/>
    <n v="8592082"/>
    <n v="10583883"/>
    <n v="217"/>
    <n v="85"/>
    <n v="302"/>
    <b v="1"/>
    <b v="1"/>
    <b v="1"/>
    <b v="1"/>
    <b v="1"/>
    <b v="1"/>
  </r>
  <r>
    <x v="1166"/>
    <n v="3289"/>
    <n v="2601"/>
    <n v="688"/>
    <n v="2743860"/>
    <n v="11564836"/>
    <n v="14308696"/>
    <n v="480"/>
    <n v="145"/>
    <n v="625"/>
    <b v="1"/>
    <b v="1"/>
    <b v="1"/>
    <b v="1"/>
    <b v="1"/>
    <b v="1"/>
  </r>
  <r>
    <x v="1167"/>
    <n v="3582"/>
    <n v="2755"/>
    <n v="827"/>
    <n v="3754215"/>
    <n v="14572266"/>
    <n v="18326481"/>
    <n v="595"/>
    <n v="171"/>
    <n v="766"/>
    <b v="1"/>
    <b v="1"/>
    <b v="1"/>
    <b v="1"/>
    <b v="1"/>
    <b v="1"/>
  </r>
  <r>
    <x v="1168"/>
    <n v="11988"/>
    <n v="8823"/>
    <n v="3165"/>
    <n v="9264054"/>
    <n v="17556294"/>
    <n v="26820348"/>
    <n v="2771"/>
    <n v="734"/>
    <n v="3505"/>
    <b v="1"/>
    <b v="1"/>
    <b v="1"/>
    <b v="1"/>
    <b v="1"/>
    <b v="1"/>
  </r>
  <r>
    <x v="1169"/>
    <n v="3619"/>
    <n v="2829"/>
    <n v="790"/>
    <n v="3008751"/>
    <n v="15128340"/>
    <n v="18137091"/>
    <n v="603"/>
    <n v="149"/>
    <n v="752"/>
    <b v="1"/>
    <b v="1"/>
    <b v="1"/>
    <b v="1"/>
    <b v="1"/>
    <b v="1"/>
  </r>
  <r>
    <x v="1170"/>
    <n v="3645"/>
    <n v="2701"/>
    <n v="944"/>
    <n v="3298390"/>
    <n v="16300458"/>
    <n v="19598848"/>
    <n v="721"/>
    <n v="175"/>
    <n v="896"/>
    <b v="1"/>
    <b v="1"/>
    <b v="1"/>
    <b v="1"/>
    <b v="1"/>
    <b v="1"/>
  </r>
  <r>
    <x v="1171"/>
    <n v="3462"/>
    <n v="2616"/>
    <n v="846"/>
    <n v="2929466"/>
    <n v="13580543"/>
    <n v="16510009"/>
    <n v="669"/>
    <n v="177"/>
    <n v="846"/>
    <b v="1"/>
    <b v="1"/>
    <b v="1"/>
    <b v="1"/>
    <b v="1"/>
    <b v="1"/>
  </r>
  <r>
    <x v="1172"/>
    <n v="1566"/>
    <n v="1191"/>
    <n v="375"/>
    <n v="1206050"/>
    <n v="6813520"/>
    <n v="8019570"/>
    <n v="259"/>
    <n v="60"/>
    <n v="319"/>
    <b v="1"/>
    <b v="1"/>
    <b v="1"/>
    <b v="1"/>
    <b v="1"/>
    <b v="1"/>
  </r>
  <r>
    <x v="1173"/>
    <n v="3473"/>
    <n v="2775"/>
    <n v="698"/>
    <n v="2880550"/>
    <n v="11149853"/>
    <n v="14030403"/>
    <n v="481"/>
    <n v="162"/>
    <n v="643"/>
    <b v="1"/>
    <b v="1"/>
    <b v="1"/>
    <b v="1"/>
    <b v="1"/>
    <b v="1"/>
  </r>
  <r>
    <x v="1174"/>
    <n v="3660"/>
    <n v="2909"/>
    <n v="751"/>
    <n v="4604400"/>
    <n v="16046523"/>
    <n v="20650923"/>
    <n v="507"/>
    <n v="124"/>
    <n v="631"/>
    <b v="1"/>
    <b v="1"/>
    <b v="1"/>
    <b v="1"/>
    <b v="1"/>
    <b v="1"/>
  </r>
  <r>
    <x v="1175"/>
    <n v="11305"/>
    <n v="8640"/>
    <n v="2665"/>
    <n v="7693551"/>
    <n v="15371061"/>
    <n v="23064612"/>
    <n v="2338"/>
    <n v="695"/>
    <n v="3033"/>
    <b v="1"/>
    <b v="1"/>
    <b v="1"/>
    <b v="1"/>
    <b v="1"/>
    <b v="1"/>
  </r>
  <r>
    <x v="1176"/>
    <n v="3721"/>
    <n v="2890"/>
    <n v="831"/>
    <n v="2535301"/>
    <n v="11381536"/>
    <n v="13916837"/>
    <n v="576"/>
    <n v="154"/>
    <n v="730"/>
    <b v="1"/>
    <b v="1"/>
    <b v="1"/>
    <b v="1"/>
    <b v="1"/>
    <b v="1"/>
  </r>
  <r>
    <x v="1177"/>
    <n v="3619"/>
    <n v="2837"/>
    <n v="782"/>
    <n v="1861402"/>
    <n v="10006022"/>
    <n v="11867424"/>
    <n v="557"/>
    <n v="111"/>
    <n v="668"/>
    <b v="1"/>
    <b v="1"/>
    <b v="1"/>
    <b v="1"/>
    <b v="1"/>
    <b v="1"/>
  </r>
  <r>
    <x v="1178"/>
    <n v="2909"/>
    <n v="2324"/>
    <n v="585"/>
    <n v="2344701"/>
    <n v="14363881"/>
    <n v="16708582"/>
    <n v="367"/>
    <n v="122"/>
    <n v="489"/>
    <b v="1"/>
    <b v="1"/>
    <b v="1"/>
    <b v="1"/>
    <b v="1"/>
    <b v="1"/>
  </r>
  <r>
    <x v="1179"/>
    <n v="1579"/>
    <n v="1274"/>
    <n v="305"/>
    <n v="1194700"/>
    <n v="9064520"/>
    <n v="10259220"/>
    <n v="209"/>
    <n v="53"/>
    <n v="262"/>
    <b v="1"/>
    <b v="1"/>
    <b v="1"/>
    <b v="1"/>
    <b v="1"/>
    <b v="1"/>
  </r>
  <r>
    <x v="1180"/>
    <n v="3419"/>
    <n v="2768"/>
    <n v="651"/>
    <n v="3080775"/>
    <n v="12125786"/>
    <n v="15206561"/>
    <n v="382"/>
    <n v="106"/>
    <n v="488"/>
    <b v="1"/>
    <b v="1"/>
    <b v="1"/>
    <b v="1"/>
    <b v="1"/>
    <b v="1"/>
  </r>
  <r>
    <x v="1181"/>
    <n v="3593"/>
    <n v="2905"/>
    <n v="688"/>
    <n v="3275100"/>
    <n v="16951509"/>
    <n v="20226609"/>
    <n v="400"/>
    <n v="126"/>
    <n v="526"/>
    <b v="1"/>
    <b v="1"/>
    <b v="1"/>
    <b v="1"/>
    <b v="1"/>
    <b v="1"/>
  </r>
  <r>
    <x v="1182"/>
    <n v="12314"/>
    <n v="9029"/>
    <n v="3285"/>
    <n v="8596450"/>
    <n v="13732822"/>
    <n v="22329272"/>
    <n v="2860"/>
    <n v="834"/>
    <n v="3694"/>
    <b v="1"/>
    <b v="1"/>
    <b v="1"/>
    <b v="1"/>
    <b v="1"/>
    <b v="1"/>
  </r>
  <r>
    <x v="1183"/>
    <n v="3591"/>
    <n v="2780"/>
    <n v="811"/>
    <n v="1564650"/>
    <n v="10902825"/>
    <n v="12467475"/>
    <n v="637"/>
    <n v="158"/>
    <n v="795"/>
    <b v="1"/>
    <b v="1"/>
    <b v="1"/>
    <b v="1"/>
    <b v="1"/>
    <b v="1"/>
  </r>
  <r>
    <x v="1184"/>
    <n v="3286"/>
    <n v="2621"/>
    <n v="665"/>
    <n v="1700200"/>
    <n v="10237083"/>
    <n v="11937283"/>
    <n v="490"/>
    <n v="119"/>
    <n v="609"/>
    <b v="1"/>
    <b v="1"/>
    <b v="1"/>
    <b v="1"/>
    <b v="1"/>
    <b v="1"/>
  </r>
  <r>
    <x v="1185"/>
    <n v="2724"/>
    <n v="2173"/>
    <n v="551"/>
    <n v="1365450"/>
    <n v="6549922"/>
    <n v="7915372"/>
    <n v="406"/>
    <n v="95"/>
    <n v="501"/>
    <b v="1"/>
    <b v="1"/>
    <b v="1"/>
    <b v="1"/>
    <b v="1"/>
    <b v="1"/>
  </r>
  <r>
    <x v="1186"/>
    <n v="1527"/>
    <n v="1148"/>
    <n v="379"/>
    <n v="1094390"/>
    <n v="4132750"/>
    <n v="5227140"/>
    <n v="268"/>
    <n v="49"/>
    <n v="317"/>
    <b v="1"/>
    <b v="1"/>
    <b v="1"/>
    <b v="1"/>
    <b v="1"/>
    <b v="1"/>
  </r>
  <r>
    <x v="1187"/>
    <n v="2485"/>
    <n v="2066"/>
    <n v="419"/>
    <n v="1684250"/>
    <n v="7187252"/>
    <n v="8871502"/>
    <n v="297"/>
    <n v="80"/>
    <n v="377"/>
    <b v="1"/>
    <b v="1"/>
    <b v="1"/>
    <b v="1"/>
    <b v="1"/>
    <b v="1"/>
  </r>
  <r>
    <x v="1188"/>
    <n v="3681"/>
    <n v="2895"/>
    <n v="786"/>
    <n v="2113188"/>
    <n v="9863458"/>
    <n v="11976646"/>
    <n v="581"/>
    <n v="152"/>
    <n v="733"/>
    <b v="1"/>
    <b v="1"/>
    <b v="1"/>
    <b v="1"/>
    <b v="1"/>
    <b v="1"/>
  </r>
  <r>
    <x v="1189"/>
    <n v="14138"/>
    <n v="10412"/>
    <n v="3726"/>
    <n v="9354450"/>
    <n v="10917985"/>
    <n v="20272435"/>
    <n v="3355"/>
    <n v="1327"/>
    <n v="4682"/>
    <b v="1"/>
    <b v="1"/>
    <b v="1"/>
    <b v="1"/>
    <b v="1"/>
    <b v="1"/>
  </r>
  <r>
    <x v="1190"/>
    <n v="4156"/>
    <n v="3198"/>
    <n v="958"/>
    <n v="2025300"/>
    <n v="11315884"/>
    <n v="13341184"/>
    <n v="735"/>
    <n v="143"/>
    <n v="878"/>
    <b v="1"/>
    <b v="1"/>
    <b v="1"/>
    <b v="1"/>
    <b v="1"/>
    <b v="1"/>
  </r>
  <r>
    <x v="1191"/>
    <n v="4007"/>
    <n v="3109"/>
    <n v="898"/>
    <n v="2574150"/>
    <n v="12211610"/>
    <n v="14785760"/>
    <n v="693"/>
    <n v="148"/>
    <n v="841"/>
    <b v="1"/>
    <b v="1"/>
    <b v="1"/>
    <b v="1"/>
    <b v="1"/>
    <b v="1"/>
  </r>
  <r>
    <x v="1192"/>
    <n v="4196"/>
    <n v="2952"/>
    <n v="1244"/>
    <n v="2975648"/>
    <n v="10001497"/>
    <n v="12977145"/>
    <n v="1008"/>
    <n v="177"/>
    <n v="1185"/>
    <b v="1"/>
    <b v="1"/>
    <b v="1"/>
    <b v="1"/>
    <b v="1"/>
    <b v="1"/>
  </r>
  <r>
    <x v="1193"/>
    <n v="2278"/>
    <n v="1456"/>
    <n v="822"/>
    <n v="1154180"/>
    <n v="4919750"/>
    <n v="6073930"/>
    <n v="690"/>
    <n v="119"/>
    <n v="809"/>
    <b v="1"/>
    <b v="1"/>
    <b v="1"/>
    <b v="1"/>
    <b v="1"/>
    <b v="1"/>
  </r>
  <r>
    <x v="1194"/>
    <n v="4101"/>
    <n v="3056"/>
    <n v="1045"/>
    <n v="2354899"/>
    <n v="11658696"/>
    <n v="14013595"/>
    <n v="807"/>
    <n v="154"/>
    <n v="961"/>
    <b v="1"/>
    <b v="1"/>
    <b v="1"/>
    <b v="1"/>
    <b v="1"/>
    <b v="1"/>
  </r>
  <r>
    <x v="1195"/>
    <n v="3920"/>
    <n v="3076"/>
    <n v="844"/>
    <n v="2001700"/>
    <n v="10681440"/>
    <n v="12683140"/>
    <n v="613"/>
    <n v="136"/>
    <n v="749"/>
    <b v="1"/>
    <b v="1"/>
    <b v="1"/>
    <b v="1"/>
    <b v="1"/>
    <b v="1"/>
  </r>
  <r>
    <x v="1196"/>
    <n v="12979"/>
    <n v="9544"/>
    <n v="3435"/>
    <n v="9199343"/>
    <n v="10541169"/>
    <n v="19740512"/>
    <n v="3042"/>
    <n v="968"/>
    <n v="4010"/>
    <b v="1"/>
    <b v="1"/>
    <b v="1"/>
    <b v="1"/>
    <b v="1"/>
    <b v="1"/>
  </r>
  <r>
    <x v="1197"/>
    <n v="3808"/>
    <n v="2754"/>
    <n v="1054"/>
    <n v="2827850"/>
    <n v="12358619"/>
    <n v="15186469"/>
    <n v="808"/>
    <n v="184"/>
    <n v="992"/>
    <b v="1"/>
    <b v="1"/>
    <b v="1"/>
    <b v="1"/>
    <b v="1"/>
    <b v="1"/>
  </r>
  <r>
    <x v="1198"/>
    <n v="3916"/>
    <n v="2953"/>
    <n v="963"/>
    <n v="2118500"/>
    <n v="11169059"/>
    <n v="13287559"/>
    <n v="747"/>
    <n v="158"/>
    <n v="905"/>
    <b v="1"/>
    <b v="1"/>
    <b v="1"/>
    <b v="1"/>
    <b v="1"/>
    <b v="1"/>
  </r>
  <r>
    <x v="1199"/>
    <n v="3629"/>
    <n v="2704"/>
    <n v="925"/>
    <n v="1962050"/>
    <n v="12092808"/>
    <n v="14054858"/>
    <n v="759"/>
    <n v="159"/>
    <n v="918"/>
    <b v="1"/>
    <b v="1"/>
    <b v="1"/>
    <b v="1"/>
    <b v="1"/>
    <b v="1"/>
  </r>
  <r>
    <x v="1200"/>
    <n v="1912"/>
    <n v="1227"/>
    <n v="685"/>
    <n v="690350"/>
    <n v="5033496"/>
    <n v="5723846"/>
    <n v="567"/>
    <n v="77"/>
    <n v="644"/>
    <b v="1"/>
    <b v="1"/>
    <b v="1"/>
    <b v="1"/>
    <b v="1"/>
    <b v="1"/>
  </r>
  <r>
    <x v="1201"/>
    <n v="4148"/>
    <n v="3299"/>
    <n v="849"/>
    <n v="2740600"/>
    <n v="13734210"/>
    <n v="16474810"/>
    <n v="644"/>
    <n v="214"/>
    <n v="858"/>
    <b v="1"/>
    <b v="1"/>
    <b v="1"/>
    <b v="1"/>
    <b v="1"/>
    <b v="1"/>
  </r>
  <r>
    <x v="1202"/>
    <n v="4064"/>
    <n v="3427"/>
    <n v="637"/>
    <n v="2703900"/>
    <n v="15136793"/>
    <n v="17840693"/>
    <n v="404"/>
    <n v="213"/>
    <n v="617"/>
    <b v="1"/>
    <b v="1"/>
    <b v="1"/>
    <b v="1"/>
    <b v="1"/>
    <b v="1"/>
  </r>
  <r>
    <x v="1203"/>
    <n v="13605"/>
    <n v="10080"/>
    <n v="3525"/>
    <n v="8340490"/>
    <n v="16379651"/>
    <n v="24720141"/>
    <n v="3127"/>
    <n v="1018"/>
    <n v="4145"/>
    <b v="1"/>
    <b v="1"/>
    <b v="1"/>
    <b v="1"/>
    <b v="1"/>
    <b v="1"/>
  </r>
  <r>
    <x v="1204"/>
    <n v="4821"/>
    <n v="3880"/>
    <n v="941"/>
    <n v="2156200"/>
    <n v="11829301"/>
    <n v="13985501"/>
    <n v="695"/>
    <n v="156"/>
    <n v="851"/>
    <b v="1"/>
    <b v="1"/>
    <b v="1"/>
    <b v="1"/>
    <b v="1"/>
    <b v="1"/>
  </r>
  <r>
    <x v="1205"/>
    <n v="4728"/>
    <n v="3723"/>
    <n v="1005"/>
    <n v="2351450"/>
    <n v="10919306"/>
    <n v="13270756"/>
    <n v="741"/>
    <n v="148"/>
    <n v="889"/>
    <b v="1"/>
    <b v="1"/>
    <b v="1"/>
    <b v="1"/>
    <b v="1"/>
    <b v="1"/>
  </r>
  <r>
    <x v="1206"/>
    <n v="4171"/>
    <n v="3243"/>
    <n v="928"/>
    <n v="1736750"/>
    <n v="8789246"/>
    <n v="10525996"/>
    <n v="687"/>
    <n v="160"/>
    <n v="847"/>
    <b v="1"/>
    <b v="1"/>
    <b v="1"/>
    <b v="1"/>
    <b v="1"/>
    <b v="1"/>
  </r>
  <r>
    <x v="1207"/>
    <n v="2778"/>
    <n v="2021"/>
    <n v="757"/>
    <n v="1830350"/>
    <n v="7138748"/>
    <n v="8969098"/>
    <n v="586"/>
    <n v="114"/>
    <n v="700"/>
    <b v="1"/>
    <b v="1"/>
    <b v="1"/>
    <b v="1"/>
    <b v="1"/>
    <b v="1"/>
  </r>
  <r>
    <x v="1208"/>
    <n v="5553"/>
    <n v="4764"/>
    <n v="789"/>
    <n v="1818411"/>
    <n v="6066850"/>
    <n v="7885261"/>
    <n v="475"/>
    <n v="126"/>
    <n v="601"/>
    <b v="1"/>
    <b v="1"/>
    <b v="1"/>
    <b v="1"/>
    <b v="1"/>
    <b v="1"/>
  </r>
  <r>
    <x v="1209"/>
    <n v="6077"/>
    <n v="5083"/>
    <n v="994"/>
    <n v="2508500"/>
    <n v="10783619"/>
    <n v="13292119"/>
    <n v="546"/>
    <n v="172"/>
    <n v="718"/>
    <b v="1"/>
    <b v="1"/>
    <b v="1"/>
    <b v="1"/>
    <b v="1"/>
    <b v="1"/>
  </r>
  <r>
    <x v="1210"/>
    <n v="12012"/>
    <n v="9001"/>
    <n v="3011"/>
    <n v="6840600"/>
    <n v="8040175"/>
    <n v="14880775"/>
    <n v="2644"/>
    <n v="644"/>
    <n v="3288"/>
    <b v="1"/>
    <b v="1"/>
    <b v="1"/>
    <b v="1"/>
    <b v="1"/>
    <b v="1"/>
  </r>
  <r>
    <x v="1211"/>
    <n v="4978"/>
    <n v="3990"/>
    <n v="988"/>
    <n v="2178944"/>
    <n v="8100597"/>
    <n v="10279541"/>
    <n v="653"/>
    <n v="162"/>
    <n v="815"/>
    <b v="1"/>
    <b v="1"/>
    <b v="1"/>
    <b v="1"/>
    <b v="1"/>
    <b v="1"/>
  </r>
  <r>
    <x v="1212"/>
    <n v="5175"/>
    <n v="4223"/>
    <n v="952"/>
    <n v="2704050"/>
    <n v="8017961"/>
    <n v="10722011"/>
    <n v="621"/>
    <n v="220"/>
    <n v="841"/>
    <b v="1"/>
    <b v="1"/>
    <b v="1"/>
    <b v="1"/>
    <b v="1"/>
    <b v="1"/>
  </r>
  <r>
    <x v="1213"/>
    <n v="14942"/>
    <n v="13911"/>
    <n v="1031"/>
    <n v="3081200"/>
    <n v="11056016"/>
    <n v="14137216"/>
    <n v="716"/>
    <n v="253"/>
    <n v="969"/>
    <b v="1"/>
    <b v="1"/>
    <b v="1"/>
    <b v="1"/>
    <b v="1"/>
    <b v="1"/>
  </r>
  <r>
    <x v="1214"/>
    <n v="2834"/>
    <n v="2089"/>
    <n v="745"/>
    <n v="1689050"/>
    <n v="7838230"/>
    <n v="9527280"/>
    <n v="430"/>
    <n v="140"/>
    <n v="570"/>
    <b v="1"/>
    <b v="1"/>
    <b v="1"/>
    <b v="1"/>
    <b v="1"/>
    <b v="1"/>
  </r>
  <r>
    <x v="1215"/>
    <n v="4956"/>
    <n v="4146"/>
    <n v="810"/>
    <n v="1533750"/>
    <n v="6711863"/>
    <n v="8245613"/>
    <n v="425"/>
    <n v="162"/>
    <n v="587"/>
    <b v="1"/>
    <b v="1"/>
    <b v="1"/>
    <b v="1"/>
    <b v="1"/>
    <b v="1"/>
  </r>
  <r>
    <x v="1216"/>
    <n v="6198"/>
    <n v="4941"/>
    <n v="1257"/>
    <n v="2929350"/>
    <n v="10469499"/>
    <n v="13398849"/>
    <n v="722"/>
    <n v="245"/>
    <n v="967"/>
    <b v="1"/>
    <b v="1"/>
    <b v="1"/>
    <b v="1"/>
    <b v="1"/>
    <b v="1"/>
  </r>
  <r>
    <x v="1217"/>
    <n v="13571"/>
    <n v="9953"/>
    <n v="3618"/>
    <n v="8349200"/>
    <n v="13167390"/>
    <n v="21516590"/>
    <n v="2882"/>
    <n v="909"/>
    <n v="3791"/>
    <b v="1"/>
    <b v="1"/>
    <b v="1"/>
    <b v="1"/>
    <b v="1"/>
    <b v="1"/>
  </r>
  <r>
    <x v="1218"/>
    <n v="8638"/>
    <n v="6443"/>
    <n v="2195"/>
    <n v="4576950"/>
    <n v="13784229"/>
    <n v="18361179"/>
    <n v="1461"/>
    <n v="546"/>
    <n v="2007"/>
    <b v="1"/>
    <b v="1"/>
    <b v="1"/>
    <b v="1"/>
    <b v="1"/>
    <b v="1"/>
  </r>
  <r>
    <x v="1219"/>
    <n v="9357"/>
    <n v="6990"/>
    <n v="2367"/>
    <n v="4860168"/>
    <n v="15731150"/>
    <n v="20591318"/>
    <n v="1391"/>
    <n v="534"/>
    <n v="1925"/>
    <b v="1"/>
    <b v="1"/>
    <b v="1"/>
    <b v="1"/>
    <b v="1"/>
    <b v="1"/>
  </r>
  <r>
    <x v="1220"/>
    <n v="8022"/>
    <n v="6193"/>
    <n v="1829"/>
    <n v="3515300"/>
    <n v="14020433"/>
    <n v="17535733"/>
    <n v="819"/>
    <n v="400"/>
    <n v="1219"/>
    <b v="1"/>
    <b v="1"/>
    <b v="1"/>
    <b v="1"/>
    <b v="1"/>
    <b v="1"/>
  </r>
  <r>
    <x v="1221"/>
    <n v="3007"/>
    <n v="2285"/>
    <n v="722"/>
    <n v="1327450"/>
    <n v="3675260"/>
    <n v="5002710"/>
    <n v="413"/>
    <n v="104"/>
    <n v="517"/>
    <b v="1"/>
    <b v="1"/>
    <b v="1"/>
    <b v="1"/>
    <b v="1"/>
    <b v="1"/>
  </r>
  <r>
    <x v="1222"/>
    <n v="9907"/>
    <n v="7560"/>
    <n v="2347"/>
    <n v="4424681"/>
    <n v="10522474"/>
    <n v="14947155"/>
    <n v="1337"/>
    <n v="511"/>
    <n v="1848"/>
    <b v="1"/>
    <b v="1"/>
    <b v="1"/>
    <b v="1"/>
    <b v="1"/>
    <b v="1"/>
  </r>
  <r>
    <x v="1223"/>
    <n v="12419"/>
    <n v="9126"/>
    <n v="3293"/>
    <n v="5208199"/>
    <n v="15913494"/>
    <n v="21121693"/>
    <n v="1886"/>
    <n v="620"/>
    <n v="2506"/>
    <b v="1"/>
    <b v="1"/>
    <b v="1"/>
    <b v="1"/>
    <b v="1"/>
    <b v="1"/>
  </r>
  <r>
    <x v="1224"/>
    <n v="17749"/>
    <n v="12634"/>
    <n v="5115"/>
    <n v="8239310"/>
    <n v="18842797"/>
    <n v="27082107"/>
    <n v="3538"/>
    <n v="966"/>
    <n v="4504"/>
    <b v="1"/>
    <b v="1"/>
    <b v="1"/>
    <b v="1"/>
    <b v="1"/>
    <b v="1"/>
  </r>
  <r>
    <x v="1225"/>
    <n v="10950"/>
    <n v="7828"/>
    <n v="3122"/>
    <n v="3719730"/>
    <n v="15463417"/>
    <n v="19183147"/>
    <n v="1905"/>
    <n v="395"/>
    <n v="2300"/>
    <b v="1"/>
    <b v="1"/>
    <b v="1"/>
    <b v="1"/>
    <b v="1"/>
    <b v="1"/>
  </r>
  <r>
    <x v="1226"/>
    <n v="11108"/>
    <n v="8549"/>
    <n v="2559"/>
    <n v="3480050"/>
    <n v="13222565"/>
    <n v="16702615"/>
    <n v="1409"/>
    <n v="369"/>
    <n v="1778"/>
    <b v="1"/>
    <b v="1"/>
    <b v="1"/>
    <b v="1"/>
    <b v="1"/>
    <b v="1"/>
  </r>
  <r>
    <x v="1227"/>
    <n v="10300"/>
    <n v="7974"/>
    <n v="2326"/>
    <n v="2495850"/>
    <n v="11067930"/>
    <n v="13563780"/>
    <n v="1196"/>
    <n v="242"/>
    <n v="1438"/>
    <b v="1"/>
    <b v="1"/>
    <b v="1"/>
    <b v="1"/>
    <b v="1"/>
    <b v="1"/>
  </r>
  <r>
    <x v="1228"/>
    <n v="4583"/>
    <n v="3594"/>
    <n v="989"/>
    <n v="955950"/>
    <n v="3673900"/>
    <n v="4629850"/>
    <n v="563"/>
    <n v="121"/>
    <n v="684"/>
    <b v="1"/>
    <b v="1"/>
    <b v="1"/>
    <b v="1"/>
    <b v="1"/>
    <b v="1"/>
  </r>
  <r>
    <x v="1229"/>
    <n v="9684"/>
    <n v="7718"/>
    <n v="1966"/>
    <n v="3417395"/>
    <n v="11618786"/>
    <n v="15036181"/>
    <n v="1109"/>
    <n v="248"/>
    <n v="1357"/>
    <b v="1"/>
    <b v="1"/>
    <b v="1"/>
    <b v="1"/>
    <b v="1"/>
    <b v="1"/>
  </r>
  <r>
    <x v="1230"/>
    <n v="10286"/>
    <n v="8338"/>
    <n v="1948"/>
    <n v="3166950"/>
    <n v="20229737"/>
    <n v="23396687"/>
    <n v="1196"/>
    <n v="292"/>
    <n v="1488"/>
    <b v="1"/>
    <b v="1"/>
    <b v="1"/>
    <b v="1"/>
    <b v="1"/>
    <b v="1"/>
  </r>
  <r>
    <x v="1231"/>
    <n v="16124"/>
    <n v="12106"/>
    <n v="4018"/>
    <n v="7853705"/>
    <n v="14982589"/>
    <n v="22836294"/>
    <n v="3122"/>
    <n v="809"/>
    <n v="3931"/>
    <b v="1"/>
    <b v="1"/>
    <b v="1"/>
    <b v="1"/>
    <b v="1"/>
    <b v="1"/>
  </r>
  <r>
    <x v="1232"/>
    <n v="8959"/>
    <n v="6899"/>
    <n v="2060"/>
    <n v="3141697"/>
    <n v="17021860"/>
    <n v="20163557"/>
    <n v="1390"/>
    <n v="306"/>
    <n v="1696"/>
    <b v="1"/>
    <b v="1"/>
    <b v="1"/>
    <b v="1"/>
    <b v="1"/>
    <b v="1"/>
  </r>
  <r>
    <x v="1233"/>
    <n v="8626"/>
    <n v="6428"/>
    <n v="2198"/>
    <n v="3465848"/>
    <n v="19431034"/>
    <n v="22896882"/>
    <n v="1371"/>
    <n v="326"/>
    <n v="1697"/>
    <b v="1"/>
    <b v="1"/>
    <b v="1"/>
    <b v="1"/>
    <b v="1"/>
    <b v="1"/>
  </r>
  <r>
    <x v="1234"/>
    <n v="7742"/>
    <n v="6009"/>
    <n v="1733"/>
    <n v="3045151"/>
    <n v="14397986"/>
    <n v="17443137"/>
    <n v="1112"/>
    <n v="213"/>
    <n v="1325"/>
    <b v="1"/>
    <b v="1"/>
    <b v="1"/>
    <b v="1"/>
    <b v="1"/>
    <b v="1"/>
  </r>
  <r>
    <x v="1235"/>
    <n v="5163"/>
    <n v="3888"/>
    <n v="1275"/>
    <n v="1710050"/>
    <n v="8446977"/>
    <n v="10157027"/>
    <n v="624"/>
    <n v="147"/>
    <n v="771"/>
    <b v="1"/>
    <b v="1"/>
    <b v="1"/>
    <b v="1"/>
    <b v="1"/>
    <b v="1"/>
  </r>
  <r>
    <x v="1236"/>
    <n v="9066"/>
    <n v="7106"/>
    <n v="1960"/>
    <n v="2833821"/>
    <n v="13061703"/>
    <n v="15895524"/>
    <n v="1050"/>
    <n v="232"/>
    <n v="1282"/>
    <b v="1"/>
    <b v="1"/>
    <b v="1"/>
    <b v="1"/>
    <b v="1"/>
    <b v="1"/>
  </r>
  <r>
    <x v="1237"/>
    <n v="16985"/>
    <n v="14790"/>
    <n v="2195"/>
    <n v="3802650"/>
    <n v="17138103"/>
    <n v="20940753"/>
    <n v="1332"/>
    <n v="279"/>
    <n v="1611"/>
    <b v="1"/>
    <b v="1"/>
    <b v="1"/>
    <b v="1"/>
    <b v="1"/>
    <b v="1"/>
  </r>
  <r>
    <x v="1238"/>
    <n v="15858"/>
    <n v="11743"/>
    <n v="4115"/>
    <n v="7946750"/>
    <n v="17244390"/>
    <n v="25191140"/>
    <n v="3248"/>
    <n v="821"/>
    <n v="4069"/>
    <b v="1"/>
    <b v="1"/>
    <b v="1"/>
    <b v="1"/>
    <b v="1"/>
    <b v="1"/>
  </r>
  <r>
    <x v="1239"/>
    <n v="15651"/>
    <n v="14024"/>
    <n v="1627"/>
    <n v="2821801"/>
    <n v="14332632"/>
    <n v="17154433"/>
    <n v="1028"/>
    <n v="201"/>
    <n v="1229"/>
    <b v="1"/>
    <b v="1"/>
    <b v="1"/>
    <b v="1"/>
    <b v="1"/>
    <b v="1"/>
  </r>
  <r>
    <x v="1240"/>
    <n v="7885"/>
    <n v="6312"/>
    <n v="1573"/>
    <n v="3337300"/>
    <n v="13842327"/>
    <n v="17179627"/>
    <n v="1037"/>
    <n v="234"/>
    <n v="1271"/>
    <b v="1"/>
    <b v="1"/>
    <b v="1"/>
    <b v="1"/>
    <b v="1"/>
    <b v="1"/>
  </r>
  <r>
    <x v="1241"/>
    <n v="7047"/>
    <n v="5919"/>
    <n v="1128"/>
    <n v="2187350"/>
    <n v="9858581"/>
    <n v="12045931"/>
    <n v="721"/>
    <n v="190"/>
    <n v="911"/>
    <b v="1"/>
    <b v="1"/>
    <b v="1"/>
    <b v="1"/>
    <b v="1"/>
    <b v="1"/>
  </r>
  <r>
    <x v="1242"/>
    <n v="4261"/>
    <n v="3404"/>
    <n v="857"/>
    <n v="1392523"/>
    <n v="6931680"/>
    <n v="8324203"/>
    <n v="486"/>
    <n v="137"/>
    <n v="623"/>
    <b v="1"/>
    <b v="1"/>
    <b v="1"/>
    <b v="1"/>
    <b v="1"/>
    <b v="1"/>
  </r>
  <r>
    <x v="1243"/>
    <n v="12837"/>
    <n v="11204"/>
    <n v="1633"/>
    <n v="2397300"/>
    <n v="11022033"/>
    <n v="13419333"/>
    <n v="1078"/>
    <n v="198"/>
    <n v="1276"/>
    <b v="1"/>
    <b v="1"/>
    <b v="1"/>
    <b v="1"/>
    <b v="1"/>
    <b v="1"/>
  </r>
  <r>
    <x v="1244"/>
    <n v="8953"/>
    <n v="6888"/>
    <n v="2065"/>
    <n v="3475000"/>
    <n v="18330535"/>
    <n v="21805535"/>
    <n v="1267"/>
    <n v="273"/>
    <n v="1540"/>
    <b v="1"/>
    <b v="1"/>
    <b v="1"/>
    <b v="1"/>
    <b v="1"/>
    <b v="1"/>
  </r>
  <r>
    <x v="1245"/>
    <n v="15915"/>
    <n v="11834"/>
    <n v="4081"/>
    <n v="7902500"/>
    <n v="17289045"/>
    <n v="25191545"/>
    <n v="3147"/>
    <n v="769"/>
    <n v="3916"/>
    <b v="1"/>
    <b v="1"/>
    <b v="1"/>
    <b v="1"/>
    <b v="1"/>
    <b v="1"/>
  </r>
  <r>
    <x v="1246"/>
    <n v="14882"/>
    <n v="13060"/>
    <n v="1822"/>
    <n v="3240140"/>
    <n v="13495652"/>
    <n v="16735792"/>
    <n v="1146"/>
    <n v="227"/>
    <n v="1373"/>
    <b v="1"/>
    <b v="1"/>
    <b v="1"/>
    <b v="1"/>
    <b v="1"/>
    <b v="1"/>
  </r>
  <r>
    <x v="1247"/>
    <n v="8033"/>
    <n v="6619"/>
    <n v="1414"/>
    <n v="2616955"/>
    <n v="14469340"/>
    <n v="17086295"/>
    <n v="828"/>
    <n v="213"/>
    <n v="1041"/>
    <b v="1"/>
    <b v="1"/>
    <b v="1"/>
    <b v="1"/>
    <b v="1"/>
    <b v="1"/>
  </r>
  <r>
    <x v="1248"/>
    <n v="8209"/>
    <n v="6738"/>
    <n v="1471"/>
    <n v="3039663"/>
    <n v="14316813"/>
    <n v="17356476"/>
    <n v="918"/>
    <n v="224"/>
    <n v="1142"/>
    <b v="1"/>
    <b v="1"/>
    <b v="1"/>
    <b v="1"/>
    <b v="1"/>
    <b v="1"/>
  </r>
  <r>
    <x v="1249"/>
    <n v="5030"/>
    <n v="4059"/>
    <n v="971"/>
    <n v="4545260"/>
    <n v="10597071"/>
    <n v="15142331"/>
    <n v="667"/>
    <n v="103"/>
    <n v="770"/>
    <b v="1"/>
    <b v="1"/>
    <b v="1"/>
    <b v="1"/>
    <b v="1"/>
    <b v="1"/>
  </r>
  <r>
    <x v="1250"/>
    <n v="8532"/>
    <n v="6936"/>
    <n v="1596"/>
    <n v="2591355"/>
    <n v="12346330"/>
    <n v="14937685"/>
    <n v="755"/>
    <n v="261"/>
    <n v="1016"/>
    <b v="1"/>
    <b v="1"/>
    <b v="1"/>
    <b v="1"/>
    <b v="1"/>
    <b v="1"/>
  </r>
  <r>
    <x v="1251"/>
    <n v="9533"/>
    <n v="7859"/>
    <n v="1674"/>
    <n v="3548597"/>
    <n v="19775707"/>
    <n v="23324304"/>
    <n v="828"/>
    <n v="292"/>
    <n v="1120"/>
    <b v="1"/>
    <b v="1"/>
    <b v="1"/>
    <b v="1"/>
    <b v="1"/>
    <b v="1"/>
  </r>
  <r>
    <x v="1252"/>
    <n v="16923"/>
    <n v="13049"/>
    <n v="3874"/>
    <n v="8682100"/>
    <n v="23407483"/>
    <n v="32089583"/>
    <n v="2725"/>
    <n v="949"/>
    <n v="3674"/>
    <b v="1"/>
    <b v="1"/>
    <b v="1"/>
    <b v="1"/>
    <b v="1"/>
    <b v="1"/>
  </r>
  <r>
    <x v="1253"/>
    <n v="18652"/>
    <n v="16740"/>
    <n v="1912"/>
    <n v="4093473"/>
    <n v="22562072"/>
    <n v="26655545"/>
    <n v="1148"/>
    <n v="347"/>
    <n v="1495"/>
    <b v="1"/>
    <b v="1"/>
    <b v="1"/>
    <b v="1"/>
    <b v="1"/>
    <b v="1"/>
  </r>
  <r>
    <x v="1254"/>
    <n v="9940"/>
    <n v="8448"/>
    <n v="1492"/>
    <n v="3141865"/>
    <n v="21503300"/>
    <n v="24645165"/>
    <n v="826"/>
    <n v="342"/>
    <n v="1168"/>
    <b v="1"/>
    <b v="1"/>
    <b v="1"/>
    <b v="1"/>
    <b v="1"/>
    <b v="1"/>
  </r>
  <r>
    <x v="1255"/>
    <n v="8746"/>
    <n v="7562"/>
    <n v="1184"/>
    <n v="2963450"/>
    <n v="18340695"/>
    <n v="21304145"/>
    <n v="675"/>
    <n v="355"/>
    <n v="1030"/>
    <b v="1"/>
    <b v="1"/>
    <b v="1"/>
    <b v="1"/>
    <b v="1"/>
    <b v="1"/>
  </r>
  <r>
    <x v="1256"/>
    <n v="6725"/>
    <n v="5865"/>
    <n v="860"/>
    <n v="1740010"/>
    <n v="7303796"/>
    <n v="9043806"/>
    <n v="433"/>
    <n v="154"/>
    <n v="587"/>
    <b v="1"/>
    <b v="1"/>
    <b v="1"/>
    <b v="1"/>
    <b v="1"/>
    <b v="1"/>
  </r>
  <r>
    <x v="1257"/>
    <n v="10718"/>
    <n v="9046"/>
    <n v="1672"/>
    <n v="3860800"/>
    <n v="18553073"/>
    <n v="22413873"/>
    <n v="728"/>
    <n v="321"/>
    <n v="1049"/>
    <b v="1"/>
    <b v="1"/>
    <b v="1"/>
    <b v="1"/>
    <b v="1"/>
    <b v="1"/>
  </r>
  <r>
    <x v="1258"/>
    <n v="18897"/>
    <n v="17025"/>
    <n v="1872"/>
    <n v="6216300"/>
    <n v="25358788"/>
    <n v="31575088"/>
    <n v="833"/>
    <n v="352"/>
    <n v="1185"/>
    <b v="1"/>
    <b v="1"/>
    <b v="1"/>
    <b v="1"/>
    <b v="1"/>
    <b v="1"/>
  </r>
  <r>
    <x v="1259"/>
    <n v="17223"/>
    <n v="13290"/>
    <n v="3933"/>
    <n v="11252225"/>
    <n v="24275071"/>
    <n v="35527296"/>
    <n v="2705"/>
    <n v="760"/>
    <n v="3465"/>
    <b v="1"/>
    <b v="1"/>
    <b v="1"/>
    <b v="1"/>
    <b v="1"/>
    <b v="1"/>
  </r>
  <r>
    <x v="1260"/>
    <n v="10945"/>
    <n v="8923"/>
    <n v="2022"/>
    <n v="9950225"/>
    <n v="22240028"/>
    <n v="32190253"/>
    <n v="855"/>
    <n v="247"/>
    <n v="1102"/>
    <b v="1"/>
    <b v="1"/>
    <b v="1"/>
    <b v="1"/>
    <b v="1"/>
    <b v="1"/>
  </r>
  <r>
    <x v="1261"/>
    <n v="11869"/>
    <n v="9789"/>
    <n v="2080"/>
    <n v="3386549"/>
    <n v="18505071"/>
    <n v="21891620"/>
    <n v="877"/>
    <n v="363"/>
    <n v="1240"/>
    <b v="1"/>
    <b v="1"/>
    <b v="1"/>
    <b v="1"/>
    <b v="1"/>
    <b v="1"/>
  </r>
  <r>
    <x v="1262"/>
    <n v="7670"/>
    <n v="6597"/>
    <n v="1073"/>
    <n v="1399200"/>
    <n v="7657297"/>
    <n v="9056497"/>
    <n v="628"/>
    <n v="179"/>
    <n v="807"/>
    <b v="1"/>
    <b v="1"/>
    <b v="1"/>
    <b v="1"/>
    <b v="1"/>
    <b v="1"/>
  </r>
  <r>
    <x v="1263"/>
    <n v="5822"/>
    <n v="4995"/>
    <n v="827"/>
    <n v="1886575"/>
    <n v="7981250"/>
    <n v="9867825"/>
    <n v="539"/>
    <n v="92"/>
    <n v="631"/>
    <b v="1"/>
    <b v="1"/>
    <b v="1"/>
    <b v="1"/>
    <b v="1"/>
    <b v="1"/>
  </r>
  <r>
    <x v="1264"/>
    <n v="10308"/>
    <n v="8635"/>
    <n v="1673"/>
    <n v="4175700"/>
    <n v="12210600"/>
    <n v="16386300"/>
    <n v="881"/>
    <n v="261"/>
    <n v="1142"/>
    <b v="1"/>
    <b v="1"/>
    <b v="1"/>
    <b v="1"/>
    <b v="1"/>
    <b v="1"/>
  </r>
  <r>
    <x v="1265"/>
    <n v="18124"/>
    <n v="16557"/>
    <n v="1567"/>
    <n v="5535475"/>
    <n v="23250380"/>
    <n v="28785855"/>
    <n v="806"/>
    <n v="279"/>
    <n v="1085"/>
    <b v="1"/>
    <b v="1"/>
    <b v="1"/>
    <b v="1"/>
    <b v="1"/>
    <b v="1"/>
  </r>
  <r>
    <x v="1266"/>
    <n v="16755"/>
    <n v="13051"/>
    <n v="3704"/>
    <n v="9145254"/>
    <n v="19998365"/>
    <n v="29143619"/>
    <n v="2563"/>
    <n v="798"/>
    <n v="3361"/>
    <b v="1"/>
    <b v="1"/>
    <b v="1"/>
    <b v="1"/>
    <b v="1"/>
    <b v="1"/>
  </r>
  <r>
    <x v="1267"/>
    <n v="10467"/>
    <n v="8408"/>
    <n v="2059"/>
    <n v="9100184"/>
    <n v="19468756"/>
    <n v="28568940"/>
    <n v="698"/>
    <n v="196"/>
    <n v="894"/>
    <b v="1"/>
    <b v="1"/>
    <b v="1"/>
    <b v="1"/>
    <b v="1"/>
    <b v="1"/>
  </r>
  <r>
    <x v="1268"/>
    <n v="12173"/>
    <n v="9203"/>
    <n v="2970"/>
    <n v="14228547"/>
    <n v="21433452"/>
    <n v="35661999"/>
    <n v="1020"/>
    <n v="336"/>
    <n v="1356"/>
    <b v="1"/>
    <b v="1"/>
    <b v="1"/>
    <b v="1"/>
    <b v="1"/>
    <b v="1"/>
  </r>
  <r>
    <x v="1269"/>
    <n v="10717"/>
    <n v="8491"/>
    <n v="2226"/>
    <n v="8665650"/>
    <n v="14676588"/>
    <n v="23342238"/>
    <n v="741"/>
    <n v="349"/>
    <n v="1090"/>
    <b v="1"/>
    <b v="1"/>
    <b v="1"/>
    <b v="1"/>
    <b v="1"/>
    <b v="1"/>
  </r>
  <r>
    <x v="1270"/>
    <n v="6148"/>
    <n v="5090"/>
    <n v="1058"/>
    <n v="2163286"/>
    <n v="10057549"/>
    <n v="12220835"/>
    <n v="565"/>
    <n v="127"/>
    <n v="692"/>
    <b v="1"/>
    <b v="1"/>
    <b v="1"/>
    <b v="1"/>
    <b v="1"/>
    <b v="1"/>
  </r>
  <r>
    <x v="1271"/>
    <n v="10235"/>
    <n v="8127"/>
    <n v="2108"/>
    <n v="9756617"/>
    <n v="16219141"/>
    <n v="25975758"/>
    <n v="714"/>
    <n v="252"/>
    <n v="966"/>
    <b v="1"/>
    <b v="1"/>
    <b v="1"/>
    <b v="1"/>
    <b v="1"/>
    <b v="1"/>
  </r>
  <r>
    <x v="1272"/>
    <n v="21973"/>
    <n v="18748"/>
    <n v="3225"/>
    <n v="27133632"/>
    <n v="26970437"/>
    <n v="54104069"/>
    <n v="560"/>
    <n v="363"/>
    <n v="923"/>
    <b v="1"/>
    <b v="1"/>
    <b v="1"/>
    <b v="1"/>
    <b v="1"/>
    <b v="1"/>
  </r>
  <r>
    <x v="1273"/>
    <n v="19070"/>
    <n v="13788"/>
    <n v="5282"/>
    <n v="41384448"/>
    <n v="21214766"/>
    <n v="62599214"/>
    <n v="2673"/>
    <n v="753"/>
    <n v="3426"/>
    <b v="1"/>
    <b v="1"/>
    <b v="1"/>
    <b v="1"/>
    <b v="1"/>
    <b v="1"/>
  </r>
  <r>
    <x v="1274"/>
    <n v="14284"/>
    <n v="9983"/>
    <n v="4301"/>
    <n v="20121948"/>
    <n v="20222782"/>
    <n v="40344730"/>
    <n v="700"/>
    <n v="314"/>
    <n v="1014"/>
    <b v="1"/>
    <b v="1"/>
    <b v="1"/>
    <b v="1"/>
    <b v="1"/>
    <b v="1"/>
  </r>
  <r>
    <x v="1275"/>
    <n v="13879"/>
    <n v="9330"/>
    <n v="4549"/>
    <n v="31142312"/>
    <n v="21755309"/>
    <n v="52897621"/>
    <n v="956"/>
    <n v="303"/>
    <n v="1259"/>
    <b v="1"/>
    <b v="1"/>
    <b v="1"/>
    <b v="1"/>
    <b v="1"/>
    <b v="1"/>
  </r>
  <r>
    <x v="1276"/>
    <n v="12276"/>
    <n v="8481"/>
    <n v="3795"/>
    <n v="18864332"/>
    <n v="13954689"/>
    <n v="32819021"/>
    <n v="788"/>
    <n v="164"/>
    <n v="952"/>
    <b v="1"/>
    <b v="1"/>
    <b v="1"/>
    <b v="1"/>
    <b v="1"/>
    <b v="1"/>
  </r>
  <r>
    <x v="1277"/>
    <n v="5517"/>
    <n v="4421"/>
    <n v="1096"/>
    <n v="3295599"/>
    <n v="11339452"/>
    <n v="14635051"/>
    <n v="545"/>
    <n v="89"/>
    <n v="634"/>
    <b v="1"/>
    <b v="1"/>
    <b v="1"/>
    <b v="1"/>
    <b v="1"/>
    <b v="1"/>
  </r>
  <r>
    <x v="1278"/>
    <n v="11857"/>
    <n v="8447"/>
    <n v="3410"/>
    <n v="15721599"/>
    <n v="17427521"/>
    <n v="33149120"/>
    <n v="1250"/>
    <n v="323"/>
    <n v="1573"/>
    <b v="1"/>
    <b v="1"/>
    <b v="1"/>
    <b v="1"/>
    <b v="1"/>
    <b v="1"/>
  </r>
  <r>
    <x v="1279"/>
    <n v="12508"/>
    <n v="9269"/>
    <n v="3239"/>
    <n v="13175929"/>
    <n v="18137874"/>
    <n v="31313803"/>
    <n v="1232"/>
    <n v="358"/>
    <n v="1590"/>
    <b v="1"/>
    <b v="1"/>
    <b v="1"/>
    <b v="1"/>
    <b v="1"/>
    <b v="1"/>
  </r>
  <r>
    <x v="1280"/>
    <n v="22496"/>
    <n v="15919"/>
    <n v="6577"/>
    <n v="20744607"/>
    <n v="17377150"/>
    <n v="38121757"/>
    <n v="3920"/>
    <n v="1104"/>
    <n v="5024"/>
    <b v="1"/>
    <b v="1"/>
    <b v="1"/>
    <b v="1"/>
    <b v="1"/>
    <b v="1"/>
  </r>
  <r>
    <x v="1281"/>
    <n v="12604"/>
    <n v="9459"/>
    <n v="3145"/>
    <n v="12754608"/>
    <n v="19798622"/>
    <n v="32553230"/>
    <n v="1059"/>
    <n v="270"/>
    <n v="1329"/>
    <b v="1"/>
    <b v="1"/>
    <b v="1"/>
    <b v="1"/>
    <b v="1"/>
    <b v="1"/>
  </r>
  <r>
    <x v="1282"/>
    <n v="12529"/>
    <n v="9287"/>
    <n v="3242"/>
    <n v="13315455"/>
    <n v="18388498"/>
    <n v="31703953"/>
    <n v="1068"/>
    <n v="304"/>
    <n v="1372"/>
    <b v="1"/>
    <b v="1"/>
    <b v="1"/>
    <b v="1"/>
    <b v="1"/>
    <b v="1"/>
  </r>
  <r>
    <x v="1283"/>
    <n v="12141"/>
    <n v="8396"/>
    <n v="3745"/>
    <n v="14991544"/>
    <n v="18136127"/>
    <n v="33127671"/>
    <n v="1035"/>
    <n v="314"/>
    <n v="1349"/>
    <b v="1"/>
    <b v="1"/>
    <b v="1"/>
    <b v="1"/>
    <b v="1"/>
    <b v="1"/>
  </r>
  <r>
    <x v="1284"/>
    <n v="5956"/>
    <n v="4487"/>
    <n v="1469"/>
    <n v="4464511"/>
    <n v="9291926"/>
    <n v="13756437"/>
    <n v="516"/>
    <n v="145"/>
    <n v="661"/>
    <b v="1"/>
    <b v="1"/>
    <b v="1"/>
    <b v="1"/>
    <b v="1"/>
    <b v="1"/>
  </r>
  <r>
    <x v="1285"/>
    <n v="10548"/>
    <n v="7723"/>
    <n v="2825"/>
    <n v="11631578"/>
    <n v="15730831"/>
    <n v="27362409"/>
    <n v="954"/>
    <n v="280"/>
    <n v="1234"/>
    <b v="1"/>
    <b v="1"/>
    <b v="1"/>
    <b v="1"/>
    <b v="1"/>
    <b v="1"/>
  </r>
  <r>
    <x v="1286"/>
    <n v="12344"/>
    <n v="8806"/>
    <n v="3538"/>
    <n v="14285091"/>
    <n v="26694829"/>
    <n v="40979920"/>
    <n v="1083"/>
    <n v="458"/>
    <n v="1541"/>
    <b v="1"/>
    <b v="1"/>
    <b v="1"/>
    <b v="1"/>
    <b v="1"/>
    <b v="1"/>
  </r>
  <r>
    <x v="1287"/>
    <n v="19905"/>
    <n v="13871"/>
    <n v="6034"/>
    <n v="20756899"/>
    <n v="22736287"/>
    <n v="43493186"/>
    <n v="3639"/>
    <n v="892"/>
    <n v="4531"/>
    <b v="1"/>
    <b v="1"/>
    <b v="1"/>
    <b v="1"/>
    <b v="1"/>
    <b v="1"/>
  </r>
  <r>
    <x v="1288"/>
    <n v="11278"/>
    <n v="7898"/>
    <n v="3380"/>
    <n v="10968974"/>
    <n v="20216263"/>
    <n v="31185237"/>
    <n v="1251"/>
    <n v="335"/>
    <n v="1586"/>
    <b v="1"/>
    <b v="1"/>
    <b v="1"/>
    <b v="1"/>
    <b v="1"/>
    <b v="1"/>
  </r>
  <r>
    <x v="1289"/>
    <n v="9546"/>
    <n v="7096"/>
    <n v="2450"/>
    <n v="10049079"/>
    <n v="23668348"/>
    <n v="33717427"/>
    <n v="922"/>
    <n v="265"/>
    <n v="1187"/>
    <b v="1"/>
    <b v="1"/>
    <b v="1"/>
    <b v="1"/>
    <b v="1"/>
    <b v="1"/>
  </r>
  <r>
    <x v="1290"/>
    <n v="9313"/>
    <n v="6706"/>
    <n v="2607"/>
    <n v="4629588"/>
    <n v="9199913"/>
    <n v="13829501"/>
    <n v="1072"/>
    <n v="293"/>
    <n v="1365"/>
    <b v="1"/>
    <b v="1"/>
    <b v="1"/>
    <b v="1"/>
    <b v="1"/>
    <b v="1"/>
  </r>
  <r>
    <x v="1291"/>
    <n v="6407"/>
    <n v="4461"/>
    <n v="1946"/>
    <n v="2966724"/>
    <n v="7239858"/>
    <n v="10206582"/>
    <n v="976"/>
    <n v="137"/>
    <n v="1113"/>
    <b v="1"/>
    <b v="1"/>
    <b v="1"/>
    <b v="1"/>
    <b v="1"/>
    <b v="1"/>
  </r>
  <r>
    <x v="1292"/>
    <n v="10575"/>
    <n v="8059"/>
    <n v="2516"/>
    <n v="11198613"/>
    <n v="16168651"/>
    <n v="27367264"/>
    <n v="969"/>
    <n v="388"/>
    <n v="1357"/>
    <b v="1"/>
    <b v="1"/>
    <b v="1"/>
    <b v="1"/>
    <b v="1"/>
    <b v="1"/>
  </r>
  <r>
    <x v="1293"/>
    <n v="13152"/>
    <n v="9423"/>
    <n v="3729"/>
    <n v="12337899"/>
    <n v="19067727"/>
    <n v="31405626"/>
    <n v="1541"/>
    <n v="397"/>
    <n v="1938"/>
    <b v="1"/>
    <b v="1"/>
    <b v="1"/>
    <b v="1"/>
    <b v="1"/>
    <b v="1"/>
  </r>
  <r>
    <x v="1294"/>
    <n v="20270"/>
    <n v="13690"/>
    <n v="6580"/>
    <n v="16180439"/>
    <n v="18708729"/>
    <n v="34889168"/>
    <n v="4103"/>
    <n v="1116"/>
    <n v="5219"/>
    <b v="1"/>
    <b v="1"/>
    <b v="1"/>
    <b v="1"/>
    <b v="1"/>
    <b v="1"/>
  </r>
  <r>
    <x v="1295"/>
    <n v="11892"/>
    <n v="8550"/>
    <n v="3342"/>
    <n v="13231752"/>
    <n v="18909120"/>
    <n v="32140872"/>
    <n v="1127"/>
    <n v="366"/>
    <n v="1493"/>
    <b v="1"/>
    <b v="1"/>
    <b v="1"/>
    <b v="1"/>
    <b v="1"/>
    <b v="1"/>
  </r>
  <r>
    <x v="1296"/>
    <n v="14283"/>
    <n v="8960"/>
    <n v="5323"/>
    <n v="14492525"/>
    <n v="20500871"/>
    <n v="34993396"/>
    <n v="1053"/>
    <n v="396"/>
    <n v="1449"/>
    <b v="1"/>
    <b v="1"/>
    <b v="1"/>
    <b v="1"/>
    <b v="1"/>
    <b v="1"/>
  </r>
  <r>
    <x v="1297"/>
    <n v="10004"/>
    <n v="6245"/>
    <n v="3759"/>
    <n v="10825410"/>
    <n v="10112812"/>
    <n v="20938222"/>
    <n v="1030"/>
    <n v="259"/>
    <n v="1289"/>
    <b v="1"/>
    <b v="1"/>
    <b v="1"/>
    <b v="1"/>
    <b v="1"/>
    <b v="1"/>
  </r>
  <r>
    <x v="1298"/>
    <n v="6547"/>
    <n v="4704"/>
    <n v="1843"/>
    <n v="4108231"/>
    <n v="5301679"/>
    <n v="9409910"/>
    <n v="599"/>
    <n v="120"/>
    <n v="719"/>
    <b v="1"/>
    <b v="1"/>
    <b v="1"/>
    <b v="1"/>
    <b v="1"/>
    <b v="1"/>
  </r>
  <r>
    <x v="1299"/>
    <n v="14254"/>
    <n v="9861"/>
    <n v="4393"/>
    <n v="8025418"/>
    <n v="13332645"/>
    <n v="21358063"/>
    <n v="1056"/>
    <n v="503"/>
    <n v="1559"/>
    <b v="1"/>
    <b v="1"/>
    <b v="1"/>
    <b v="1"/>
    <b v="1"/>
    <b v="1"/>
  </r>
  <r>
    <x v="1300"/>
    <n v="13636"/>
    <n v="8894"/>
    <n v="4742"/>
    <n v="10672400"/>
    <n v="20000752"/>
    <n v="30673152"/>
    <n v="1492"/>
    <n v="381"/>
    <n v="1873"/>
    <b v="1"/>
    <b v="1"/>
    <b v="1"/>
    <b v="1"/>
    <b v="1"/>
    <b v="1"/>
  </r>
  <r>
    <x v="1301"/>
    <n v="23267"/>
    <n v="14462"/>
    <n v="8805"/>
    <n v="21368021"/>
    <n v="18544736"/>
    <n v="39912757"/>
    <n v="4286"/>
    <n v="1011"/>
    <n v="5297"/>
    <b v="1"/>
    <b v="1"/>
    <b v="1"/>
    <b v="1"/>
    <b v="1"/>
    <b v="1"/>
  </r>
  <r>
    <x v="1302"/>
    <n v="11428"/>
    <n v="7805"/>
    <n v="3623"/>
    <n v="10413406"/>
    <n v="15846974"/>
    <n v="26260380"/>
    <n v="951"/>
    <n v="247"/>
    <n v="1198"/>
    <b v="1"/>
    <b v="1"/>
    <b v="1"/>
    <b v="1"/>
    <b v="1"/>
    <b v="1"/>
  </r>
  <r>
    <x v="1303"/>
    <n v="12741"/>
    <n v="8037"/>
    <n v="4704"/>
    <n v="13161895"/>
    <n v="14553228"/>
    <n v="27715123"/>
    <n v="1438"/>
    <n v="378"/>
    <n v="1816"/>
    <b v="1"/>
    <b v="1"/>
    <b v="1"/>
    <b v="1"/>
    <b v="1"/>
    <b v="1"/>
  </r>
  <r>
    <x v="1304"/>
    <n v="13333"/>
    <n v="9349"/>
    <n v="3984"/>
    <n v="6685181"/>
    <n v="14635162"/>
    <n v="21320343"/>
    <n v="1335"/>
    <n v="284"/>
    <n v="1619"/>
    <b v="1"/>
    <b v="1"/>
    <b v="1"/>
    <b v="1"/>
    <b v="1"/>
    <b v="1"/>
  </r>
  <r>
    <x v="1305"/>
    <n v="11085"/>
    <n v="8204"/>
    <n v="2881"/>
    <n v="8252055"/>
    <n v="11221745"/>
    <n v="19473800"/>
    <n v="803"/>
    <n v="145"/>
    <n v="948"/>
    <b v="1"/>
    <b v="1"/>
    <b v="1"/>
    <b v="1"/>
    <b v="1"/>
    <b v="1"/>
  </r>
  <r>
    <x v="1306"/>
    <n v="15344"/>
    <n v="11163"/>
    <n v="4181"/>
    <n v="11461174"/>
    <n v="17123365"/>
    <n v="28584539"/>
    <n v="1542"/>
    <n v="410"/>
    <n v="1952"/>
    <b v="1"/>
    <b v="1"/>
    <b v="1"/>
    <b v="1"/>
    <b v="1"/>
    <b v="1"/>
  </r>
  <r>
    <x v="1307"/>
    <n v="16519"/>
    <n v="12108"/>
    <n v="4411"/>
    <n v="10084451"/>
    <n v="24436113"/>
    <n v="34520564"/>
    <n v="1926"/>
    <n v="396"/>
    <n v="2322"/>
    <b v="1"/>
    <b v="1"/>
    <b v="1"/>
    <b v="1"/>
    <b v="1"/>
    <b v="1"/>
  </r>
  <r>
    <x v="1308"/>
    <n v="23240"/>
    <n v="16538"/>
    <n v="6702"/>
    <n v="14906334"/>
    <n v="26328390"/>
    <n v="41234724"/>
    <n v="4262"/>
    <n v="860"/>
    <n v="5122"/>
    <b v="1"/>
    <b v="1"/>
    <b v="1"/>
    <b v="1"/>
    <b v="1"/>
    <b v="1"/>
  </r>
  <r>
    <x v="1309"/>
    <n v="14939"/>
    <n v="11199"/>
    <n v="3740"/>
    <n v="9267905"/>
    <n v="24901180"/>
    <n v="34169085"/>
    <n v="1218"/>
    <n v="433"/>
    <n v="1651"/>
    <b v="1"/>
    <b v="1"/>
    <b v="1"/>
    <b v="1"/>
    <b v="1"/>
    <b v="1"/>
  </r>
  <r>
    <x v="1310"/>
    <n v="14681"/>
    <n v="11073"/>
    <n v="3608"/>
    <n v="10893085"/>
    <n v="21637393"/>
    <n v="32530478"/>
    <n v="1549"/>
    <n v="407"/>
    <n v="1956"/>
    <b v="1"/>
    <b v="1"/>
    <b v="1"/>
    <b v="1"/>
    <b v="1"/>
    <b v="1"/>
  </r>
  <r>
    <x v="1311"/>
    <n v="15329"/>
    <n v="11304"/>
    <n v="4025"/>
    <n v="9599425"/>
    <n v="21423154"/>
    <n v="31022579"/>
    <n v="1621"/>
    <n v="558"/>
    <n v="2179"/>
    <b v="1"/>
    <b v="1"/>
    <b v="1"/>
    <b v="1"/>
    <b v="1"/>
    <b v="1"/>
  </r>
  <r>
    <x v="1312"/>
    <n v="11338"/>
    <n v="9688"/>
    <n v="1650"/>
    <n v="3132205"/>
    <n v="13267664"/>
    <n v="16399869"/>
    <n v="761"/>
    <n v="246"/>
    <n v="1007"/>
    <b v="1"/>
    <b v="1"/>
    <b v="1"/>
    <b v="1"/>
    <b v="1"/>
    <b v="1"/>
  </r>
  <r>
    <x v="1313"/>
    <n v="13851"/>
    <n v="11033"/>
    <n v="2818"/>
    <n v="5709114"/>
    <n v="19108436"/>
    <n v="24817550"/>
    <n v="1151"/>
    <n v="445"/>
    <n v="1596"/>
    <b v="1"/>
    <b v="1"/>
    <b v="1"/>
    <b v="1"/>
    <b v="1"/>
    <b v="1"/>
  </r>
  <r>
    <x v="1314"/>
    <n v="13778"/>
    <n v="10770"/>
    <n v="3008"/>
    <n v="5748975"/>
    <n v="21873492"/>
    <n v="27622467"/>
    <n v="1294"/>
    <n v="445"/>
    <n v="1739"/>
    <b v="1"/>
    <b v="1"/>
    <b v="1"/>
    <b v="1"/>
    <b v="1"/>
    <b v="1"/>
  </r>
  <r>
    <x v="1315"/>
    <n v="20399"/>
    <n v="15309"/>
    <n v="5090"/>
    <n v="8718747"/>
    <n v="28985231"/>
    <n v="37703978"/>
    <n v="3564"/>
    <n v="947"/>
    <n v="4511"/>
    <b v="1"/>
    <b v="1"/>
    <b v="1"/>
    <b v="1"/>
    <b v="1"/>
    <b v="1"/>
  </r>
  <r>
    <x v="1316"/>
    <n v="12263"/>
    <n v="9603"/>
    <n v="2660"/>
    <n v="12622286"/>
    <n v="18397354"/>
    <n v="31019640"/>
    <n v="1290"/>
    <n v="416"/>
    <n v="1706"/>
    <b v="1"/>
    <b v="1"/>
    <b v="1"/>
    <b v="1"/>
    <b v="1"/>
    <b v="1"/>
  </r>
  <r>
    <x v="1317"/>
    <n v="13924"/>
    <n v="11299"/>
    <n v="2625"/>
    <n v="5309243"/>
    <n v="22107027"/>
    <n v="27416270"/>
    <n v="1204"/>
    <n v="460"/>
    <n v="1664"/>
    <b v="1"/>
    <b v="1"/>
    <b v="1"/>
    <b v="1"/>
    <b v="1"/>
    <b v="1"/>
  </r>
  <r>
    <x v="1318"/>
    <n v="12243"/>
    <n v="10258"/>
    <n v="1985"/>
    <n v="3115000"/>
    <n v="22961119"/>
    <n v="26076119"/>
    <n v="1156"/>
    <n v="347"/>
    <n v="1503"/>
    <b v="1"/>
    <b v="1"/>
    <b v="1"/>
    <b v="1"/>
    <b v="1"/>
    <b v="1"/>
  </r>
  <r>
    <x v="1319"/>
    <n v="9302"/>
    <n v="7880"/>
    <n v="1422"/>
    <n v="2128297"/>
    <n v="13270604"/>
    <n v="15398901"/>
    <n v="809"/>
    <n v="154"/>
    <n v="963"/>
    <b v="1"/>
    <b v="1"/>
    <b v="1"/>
    <b v="1"/>
    <b v="1"/>
    <b v="1"/>
  </r>
  <r>
    <x v="1320"/>
    <n v="11768"/>
    <n v="10020"/>
    <n v="1748"/>
    <n v="2560274"/>
    <n v="17497107"/>
    <n v="20057381"/>
    <n v="858"/>
    <n v="434"/>
    <n v="1292"/>
    <b v="1"/>
    <b v="1"/>
    <b v="1"/>
    <b v="1"/>
    <b v="1"/>
    <b v="1"/>
  </r>
  <r>
    <x v="1321"/>
    <n v="13118"/>
    <n v="11264"/>
    <n v="1854"/>
    <n v="3939882"/>
    <n v="22877320"/>
    <n v="26817202"/>
    <n v="838"/>
    <n v="462"/>
    <n v="1300"/>
    <b v="1"/>
    <b v="1"/>
    <b v="1"/>
    <b v="1"/>
    <b v="1"/>
    <b v="1"/>
  </r>
  <r>
    <x v="1322"/>
    <n v="6712"/>
    <n v="5467"/>
    <n v="1245"/>
    <n v="1421374"/>
    <n v="10906914"/>
    <n v="12328288"/>
    <n v="416"/>
    <n v="150"/>
    <n v="566"/>
    <b v="1"/>
    <b v="1"/>
    <b v="1"/>
    <b v="1"/>
    <b v="1"/>
    <b v="1"/>
  </r>
  <r>
    <x v="1323"/>
    <n v="15459"/>
    <n v="12931"/>
    <n v="2528"/>
    <n v="5830575"/>
    <n v="22518397"/>
    <n v="28348972"/>
    <n v="1394"/>
    <n v="558"/>
    <n v="1952"/>
    <b v="1"/>
    <b v="1"/>
    <b v="1"/>
    <b v="1"/>
    <b v="1"/>
    <b v="1"/>
  </r>
  <r>
    <x v="1324"/>
    <n v="12762"/>
    <n v="10993"/>
    <n v="1769"/>
    <n v="2661050"/>
    <n v="22272165"/>
    <n v="24933215"/>
    <n v="596"/>
    <n v="338"/>
    <n v="934"/>
    <b v="1"/>
    <b v="1"/>
    <b v="1"/>
    <b v="1"/>
    <b v="1"/>
    <b v="1"/>
  </r>
  <r>
    <x v="1325"/>
    <n v="13831"/>
    <n v="11523"/>
    <n v="2308"/>
    <n v="3515700"/>
    <n v="26221167"/>
    <n v="29736867"/>
    <n v="1291"/>
    <n v="377"/>
    <n v="1668"/>
    <b v="1"/>
    <b v="1"/>
    <b v="1"/>
    <b v="1"/>
    <b v="1"/>
    <b v="1"/>
  </r>
  <r>
    <x v="1326"/>
    <n v="10339"/>
    <n v="8753"/>
    <n v="1586"/>
    <n v="1896111"/>
    <n v="15951031"/>
    <n v="17847142"/>
    <n v="852"/>
    <n v="282"/>
    <n v="1134"/>
    <b v="1"/>
    <b v="1"/>
    <b v="1"/>
    <b v="1"/>
    <b v="1"/>
    <b v="1"/>
  </r>
  <r>
    <x v="1327"/>
    <n v="13106"/>
    <n v="11051"/>
    <n v="2055"/>
    <n v="3342570"/>
    <n v="21567995"/>
    <n v="24910565"/>
    <n v="1157"/>
    <n v="410"/>
    <n v="1567"/>
    <b v="1"/>
    <b v="1"/>
    <b v="1"/>
    <b v="1"/>
    <b v="1"/>
    <b v="1"/>
  </r>
  <r>
    <x v="1328"/>
    <n v="15220"/>
    <n v="12594"/>
    <n v="2626"/>
    <n v="5422725"/>
    <n v="27449632"/>
    <n v="32872357"/>
    <n v="1219"/>
    <n v="546"/>
    <n v="1765"/>
    <b v="1"/>
    <b v="1"/>
    <b v="1"/>
    <b v="1"/>
    <b v="1"/>
    <b v="1"/>
  </r>
  <r>
    <x v="1329"/>
    <n v="12374"/>
    <n v="10455"/>
    <n v="1919"/>
    <n v="3229624"/>
    <n v="19461877"/>
    <n v="22691501"/>
    <n v="815"/>
    <n v="436"/>
    <n v="1251"/>
    <b v="1"/>
    <b v="1"/>
    <b v="1"/>
    <b v="1"/>
    <b v="1"/>
    <b v="1"/>
  </r>
  <r>
    <x v="1330"/>
    <n v="16410"/>
    <n v="13643"/>
    <n v="2767"/>
    <n v="4945874"/>
    <n v="24280951"/>
    <n v="29226825"/>
    <n v="1602"/>
    <n v="568"/>
    <n v="2170"/>
    <b v="1"/>
    <b v="1"/>
    <b v="1"/>
    <b v="1"/>
    <b v="1"/>
    <b v="1"/>
  </r>
  <r>
    <x v="1331"/>
    <n v="15814"/>
    <n v="13113"/>
    <n v="2701"/>
    <n v="4978736"/>
    <n v="25023270"/>
    <n v="30002006"/>
    <n v="1394"/>
    <n v="475"/>
    <n v="1869"/>
    <b v="1"/>
    <b v="1"/>
    <b v="1"/>
    <b v="1"/>
    <b v="1"/>
    <b v="1"/>
  </r>
  <r>
    <x v="1332"/>
    <n v="12923"/>
    <n v="10870"/>
    <n v="2053"/>
    <n v="3181908"/>
    <n v="21138158"/>
    <n v="24320066"/>
    <n v="1007"/>
    <n v="380"/>
    <n v="1387"/>
    <b v="1"/>
    <b v="1"/>
    <b v="1"/>
    <b v="1"/>
    <b v="1"/>
    <b v="1"/>
  </r>
  <r>
    <x v="1333"/>
    <n v="6847"/>
    <n v="5892"/>
    <n v="955"/>
    <n v="1012520"/>
    <n v="7953507"/>
    <n v="8966027"/>
    <n v="383"/>
    <n v="139"/>
    <n v="522"/>
    <b v="1"/>
    <b v="1"/>
    <b v="1"/>
    <b v="1"/>
    <b v="1"/>
    <b v="1"/>
  </r>
  <r>
    <x v="1334"/>
    <n v="13274"/>
    <n v="11103"/>
    <n v="2171"/>
    <n v="3258642"/>
    <n v="14873986"/>
    <n v="18132628"/>
    <n v="908"/>
    <n v="356"/>
    <n v="1264"/>
    <b v="1"/>
    <b v="1"/>
    <b v="1"/>
    <b v="1"/>
    <b v="1"/>
    <b v="1"/>
  </r>
  <r>
    <x v="1335"/>
    <n v="12064"/>
    <n v="9733"/>
    <n v="2331"/>
    <n v="5196754"/>
    <n v="22386213"/>
    <n v="27582967"/>
    <n v="1234"/>
    <n v="348"/>
    <n v="1582"/>
    <b v="1"/>
    <b v="1"/>
    <b v="1"/>
    <b v="1"/>
    <b v="1"/>
    <b v="1"/>
  </r>
  <r>
    <x v="1336"/>
    <n v="22980"/>
    <n v="17533"/>
    <n v="5447"/>
    <n v="9756415"/>
    <n v="27312939"/>
    <n v="37069354"/>
    <n v="4040"/>
    <n v="952"/>
    <n v="4992"/>
    <b v="1"/>
    <b v="1"/>
    <b v="1"/>
    <b v="1"/>
    <b v="1"/>
    <b v="1"/>
  </r>
  <r>
    <x v="1337"/>
    <n v="17272"/>
    <n v="14352"/>
    <n v="2920"/>
    <n v="5061945"/>
    <n v="34353702"/>
    <n v="39415647"/>
    <n v="1618"/>
    <n v="547"/>
    <n v="2165"/>
    <b v="1"/>
    <b v="1"/>
    <b v="1"/>
    <b v="1"/>
    <b v="1"/>
    <b v="1"/>
  </r>
  <r>
    <x v="1338"/>
    <n v="15963"/>
    <n v="13046"/>
    <n v="2917"/>
    <n v="3485985"/>
    <n v="24851527"/>
    <n v="28337512"/>
    <n v="1555"/>
    <n v="505"/>
    <n v="2060"/>
    <b v="1"/>
    <b v="1"/>
    <b v="1"/>
    <b v="1"/>
    <b v="1"/>
    <b v="1"/>
  </r>
  <r>
    <x v="1339"/>
    <n v="14948"/>
    <n v="12304"/>
    <n v="2644"/>
    <n v="2933148"/>
    <n v="25561527"/>
    <n v="28494675"/>
    <n v="1548"/>
    <n v="305"/>
    <n v="1853"/>
    <b v="1"/>
    <b v="1"/>
    <b v="1"/>
    <b v="1"/>
    <b v="1"/>
    <b v="1"/>
  </r>
  <r>
    <x v="1340"/>
    <n v="10639"/>
    <n v="8829"/>
    <n v="1810"/>
    <n v="2175066"/>
    <n v="21741470"/>
    <n v="23916536"/>
    <n v="1212"/>
    <n v="139"/>
    <n v="1351"/>
    <b v="1"/>
    <b v="1"/>
    <b v="1"/>
    <b v="1"/>
    <b v="1"/>
    <b v="1"/>
  </r>
  <r>
    <x v="1341"/>
    <n v="13508"/>
    <n v="10950"/>
    <n v="2558"/>
    <n v="2273255"/>
    <n v="16211254"/>
    <n v="18484509"/>
    <n v="1522"/>
    <n v="334"/>
    <n v="1856"/>
    <b v="1"/>
    <b v="1"/>
    <b v="1"/>
    <b v="1"/>
    <b v="1"/>
    <b v="1"/>
  </r>
  <r>
    <x v="1342"/>
    <n v="15921"/>
    <n v="12383"/>
    <n v="3538"/>
    <n v="4295338"/>
    <n v="18229384"/>
    <n v="22524722"/>
    <n v="2337"/>
    <n v="473"/>
    <n v="2810"/>
    <b v="1"/>
    <b v="1"/>
    <b v="1"/>
    <b v="1"/>
    <b v="1"/>
    <b v="1"/>
  </r>
  <r>
    <x v="1343"/>
    <n v="22431"/>
    <n v="16453"/>
    <n v="5978"/>
    <n v="8306262"/>
    <n v="24452030"/>
    <n v="32758292"/>
    <n v="4470"/>
    <n v="987"/>
    <n v="5457"/>
    <b v="1"/>
    <b v="1"/>
    <b v="1"/>
    <b v="1"/>
    <b v="1"/>
    <b v="1"/>
  </r>
  <r>
    <x v="1344"/>
    <n v="16870"/>
    <n v="13154"/>
    <n v="3716"/>
    <n v="5129260"/>
    <n v="26173038"/>
    <n v="31302298"/>
    <n v="2467"/>
    <n v="624"/>
    <n v="3091"/>
    <b v="1"/>
    <b v="1"/>
    <b v="1"/>
    <b v="1"/>
    <b v="1"/>
    <b v="1"/>
  </r>
  <r>
    <x v="1345"/>
    <n v="19387"/>
    <n v="14192"/>
    <n v="5195"/>
    <n v="6538327"/>
    <n v="29617671"/>
    <n v="36155998"/>
    <n v="3523"/>
    <n v="771"/>
    <n v="4294"/>
    <b v="1"/>
    <b v="1"/>
    <b v="1"/>
    <b v="1"/>
    <b v="1"/>
    <b v="1"/>
  </r>
  <r>
    <x v="1346"/>
    <n v="14792"/>
    <n v="10793"/>
    <n v="3999"/>
    <n v="3863678"/>
    <n v="21555899"/>
    <n v="25419577"/>
    <n v="2757"/>
    <n v="565"/>
    <n v="3322"/>
    <b v="1"/>
    <b v="1"/>
    <b v="1"/>
    <b v="1"/>
    <b v="1"/>
    <b v="1"/>
  </r>
  <r>
    <x v="1347"/>
    <n v="10989"/>
    <n v="8511"/>
    <n v="2478"/>
    <n v="1540598"/>
    <n v="14229657"/>
    <n v="15770255"/>
    <n v="1681"/>
    <n v="360"/>
    <n v="2041"/>
    <b v="1"/>
    <b v="1"/>
    <b v="1"/>
    <b v="1"/>
    <b v="1"/>
    <b v="1"/>
  </r>
  <r>
    <x v="1348"/>
    <n v="16570"/>
    <n v="12045"/>
    <n v="4525"/>
    <n v="4727051"/>
    <n v="18565344"/>
    <n v="23292395"/>
    <n v="2955"/>
    <n v="699"/>
    <n v="3654"/>
    <b v="1"/>
    <b v="1"/>
    <b v="1"/>
    <b v="1"/>
    <b v="1"/>
    <b v="1"/>
  </r>
  <r>
    <x v="1349"/>
    <n v="19675"/>
    <n v="15030"/>
    <n v="4645"/>
    <n v="6377088"/>
    <n v="29462043"/>
    <n v="35839131"/>
    <n v="3061"/>
    <n v="751"/>
    <n v="3812"/>
    <b v="1"/>
    <b v="1"/>
    <b v="1"/>
    <b v="1"/>
    <b v="1"/>
    <b v="1"/>
  </r>
  <r>
    <x v="1350"/>
    <n v="27971"/>
    <n v="20253"/>
    <n v="7718"/>
    <n v="10000145"/>
    <n v="27916974"/>
    <n v="37917119"/>
    <n v="5654"/>
    <n v="1298"/>
    <n v="6952"/>
    <b v="1"/>
    <b v="1"/>
    <b v="1"/>
    <b v="1"/>
    <b v="1"/>
    <b v="1"/>
  </r>
  <r>
    <x v="1351"/>
    <n v="19211"/>
    <n v="14702"/>
    <n v="4509"/>
    <n v="4434625"/>
    <n v="28043546"/>
    <n v="32478171"/>
    <n v="2949"/>
    <n v="837"/>
    <n v="3786"/>
    <b v="1"/>
    <b v="1"/>
    <b v="1"/>
    <b v="1"/>
    <b v="1"/>
    <b v="1"/>
  </r>
  <r>
    <x v="1352"/>
    <n v="20097"/>
    <n v="15385"/>
    <n v="4712"/>
    <n v="6662599"/>
    <n v="28359673"/>
    <n v="35022272"/>
    <n v="2934"/>
    <n v="931"/>
    <n v="3865"/>
    <b v="1"/>
    <b v="1"/>
    <b v="1"/>
    <b v="1"/>
    <b v="1"/>
    <b v="1"/>
  </r>
  <r>
    <x v="1353"/>
    <n v="16341"/>
    <n v="12365"/>
    <n v="3976"/>
    <n v="4368306"/>
    <n v="23930742"/>
    <n v="28299048"/>
    <n v="2784"/>
    <n v="660"/>
    <n v="3444"/>
    <b v="1"/>
    <b v="1"/>
    <b v="1"/>
    <b v="1"/>
    <b v="1"/>
    <b v="1"/>
  </r>
  <r>
    <x v="1354"/>
    <n v="10943"/>
    <n v="8668"/>
    <n v="2275"/>
    <n v="2213275"/>
    <n v="18670727"/>
    <n v="20884002"/>
    <n v="1437"/>
    <n v="352"/>
    <n v="1789"/>
    <b v="1"/>
    <b v="1"/>
    <b v="1"/>
    <b v="1"/>
    <b v="1"/>
    <b v="1"/>
  </r>
  <r>
    <x v="1355"/>
    <n v="17394"/>
    <n v="13553"/>
    <n v="3841"/>
    <n v="3506750"/>
    <n v="18998964"/>
    <n v="22505714"/>
    <n v="2478"/>
    <n v="765"/>
    <n v="3243"/>
    <b v="1"/>
    <b v="1"/>
    <b v="1"/>
    <b v="1"/>
    <b v="1"/>
    <b v="1"/>
  </r>
  <r>
    <x v="1356"/>
    <n v="18435"/>
    <n v="14627"/>
    <n v="3808"/>
    <n v="4955795"/>
    <n v="25720740"/>
    <n v="30676535"/>
    <n v="2380"/>
    <n v="859"/>
    <n v="3239"/>
    <b v="1"/>
    <b v="1"/>
    <b v="1"/>
    <b v="1"/>
    <b v="1"/>
    <b v="1"/>
  </r>
  <r>
    <x v="1357"/>
    <n v="27759"/>
    <n v="20322"/>
    <n v="7437"/>
    <n v="9285621"/>
    <n v="31917243"/>
    <n v="41202864"/>
    <n v="5588"/>
    <n v="1435"/>
    <n v="7023"/>
    <b v="1"/>
    <b v="1"/>
    <b v="1"/>
    <b v="1"/>
    <b v="1"/>
    <b v="1"/>
  </r>
  <r>
    <x v="1358"/>
    <n v="18037"/>
    <n v="13741"/>
    <n v="4296"/>
    <n v="4547548"/>
    <n v="25807332"/>
    <n v="30354880"/>
    <n v="2882"/>
    <n v="726"/>
    <n v="3608"/>
    <b v="1"/>
    <b v="1"/>
    <b v="1"/>
    <b v="1"/>
    <b v="1"/>
    <b v="1"/>
  </r>
  <r>
    <x v="1359"/>
    <n v="16308"/>
    <n v="12816"/>
    <n v="3492"/>
    <n v="2825838"/>
    <n v="21362753"/>
    <n v="24188591"/>
    <n v="2310"/>
    <n v="661"/>
    <n v="2971"/>
    <b v="1"/>
    <b v="1"/>
    <b v="1"/>
    <b v="1"/>
    <b v="1"/>
    <b v="1"/>
  </r>
  <r>
    <x v="1360"/>
    <n v="14452"/>
    <n v="11147"/>
    <n v="3305"/>
    <n v="3147700"/>
    <n v="25901928"/>
    <n v="29049628"/>
    <n v="2159"/>
    <n v="458"/>
    <n v="2617"/>
    <b v="1"/>
    <b v="1"/>
    <b v="1"/>
    <b v="1"/>
    <b v="1"/>
    <b v="1"/>
  </r>
  <r>
    <x v="1361"/>
    <n v="10116"/>
    <n v="7989"/>
    <n v="2127"/>
    <n v="1483275"/>
    <n v="14079338"/>
    <n v="15562613"/>
    <n v="1395"/>
    <n v="280"/>
    <n v="1675"/>
    <b v="1"/>
    <b v="1"/>
    <b v="1"/>
    <b v="1"/>
    <b v="1"/>
    <b v="1"/>
  </r>
  <r>
    <x v="1362"/>
    <n v="13058"/>
    <n v="10044"/>
    <n v="3014"/>
    <n v="3218212"/>
    <n v="17356846"/>
    <n v="20575058"/>
    <n v="1963"/>
    <n v="468"/>
    <n v="2431"/>
    <b v="1"/>
    <b v="1"/>
    <b v="1"/>
    <b v="1"/>
    <b v="1"/>
    <b v="1"/>
  </r>
  <r>
    <x v="1363"/>
    <n v="20380"/>
    <n v="15567"/>
    <n v="4813"/>
    <n v="4480093"/>
    <n v="24342084"/>
    <n v="28822177"/>
    <n v="3147"/>
    <n v="924"/>
    <n v="4071"/>
    <b v="1"/>
    <b v="1"/>
    <b v="1"/>
    <b v="1"/>
    <b v="1"/>
    <b v="1"/>
  </r>
  <r>
    <x v="1364"/>
    <n v="29367"/>
    <n v="21211"/>
    <n v="8156"/>
    <n v="10821825"/>
    <n v="28541622"/>
    <n v="39363447"/>
    <n v="6175"/>
    <n v="1609"/>
    <n v="7784"/>
    <b v="1"/>
    <b v="1"/>
    <b v="1"/>
    <b v="1"/>
    <b v="1"/>
    <b v="1"/>
  </r>
  <r>
    <x v="1365"/>
    <n v="18812"/>
    <n v="14540"/>
    <n v="4272"/>
    <n v="4431874"/>
    <n v="25433808"/>
    <n v="29865682"/>
    <n v="2789"/>
    <n v="811"/>
    <n v="3600"/>
    <b v="1"/>
    <b v="1"/>
    <b v="1"/>
    <b v="1"/>
    <b v="1"/>
    <b v="1"/>
  </r>
  <r>
    <x v="1366"/>
    <n v="19002"/>
    <n v="14721"/>
    <n v="4281"/>
    <n v="5327834"/>
    <n v="27416806"/>
    <n v="32744640"/>
    <n v="2795"/>
    <n v="768"/>
    <n v="3563"/>
    <b v="1"/>
    <b v="1"/>
    <b v="1"/>
    <b v="1"/>
    <b v="1"/>
    <b v="1"/>
  </r>
  <r>
    <x v="1367"/>
    <n v="18273"/>
    <n v="13463"/>
    <n v="4810"/>
    <n v="12058962"/>
    <n v="25184282"/>
    <n v="37243244"/>
    <n v="3066"/>
    <n v="856"/>
    <n v="3922"/>
    <b v="1"/>
    <b v="1"/>
    <b v="1"/>
    <b v="1"/>
    <b v="1"/>
    <b v="1"/>
  </r>
  <r>
    <x v="1368"/>
    <n v="11246"/>
    <n v="9174"/>
    <n v="2072"/>
    <n v="2148120"/>
    <n v="19998317"/>
    <n v="22146437"/>
    <n v="1511"/>
    <n v="300"/>
    <n v="1811"/>
    <b v="1"/>
    <b v="1"/>
    <b v="1"/>
    <b v="1"/>
    <b v="1"/>
    <b v="1"/>
  </r>
  <r>
    <x v="1369"/>
    <n v="19221"/>
    <n v="15597"/>
    <n v="3624"/>
    <n v="3391020"/>
    <n v="33035293"/>
    <n v="36426313"/>
    <n v="2245"/>
    <n v="667"/>
    <n v="2912"/>
    <b v="1"/>
    <b v="1"/>
    <b v="1"/>
    <b v="1"/>
    <b v="1"/>
    <b v="1"/>
  </r>
  <r>
    <x v="1370"/>
    <n v="15570"/>
    <n v="12848"/>
    <n v="2722"/>
    <n v="4872426"/>
    <n v="24281176"/>
    <n v="29153602"/>
    <n v="1448"/>
    <n v="622"/>
    <n v="2070"/>
    <b v="1"/>
    <b v="1"/>
    <b v="1"/>
    <b v="1"/>
    <b v="1"/>
    <b v="1"/>
  </r>
  <r>
    <x v="1371"/>
    <n v="28358"/>
    <n v="21032"/>
    <n v="7326"/>
    <n v="10761333"/>
    <n v="24661887"/>
    <n v="35423220"/>
    <n v="5469"/>
    <n v="1462"/>
    <n v="6931"/>
    <b v="1"/>
    <b v="1"/>
    <b v="1"/>
    <b v="1"/>
    <b v="1"/>
    <b v="1"/>
  </r>
  <r>
    <x v="1372"/>
    <n v="19914"/>
    <n v="15347"/>
    <n v="4567"/>
    <n v="9550753"/>
    <n v="27455872"/>
    <n v="37006625"/>
    <n v="2674"/>
    <n v="897"/>
    <n v="3571"/>
    <b v="1"/>
    <b v="1"/>
    <b v="1"/>
    <b v="1"/>
    <b v="1"/>
    <b v="1"/>
  </r>
  <r>
    <x v="1373"/>
    <n v="19798"/>
    <n v="14915"/>
    <n v="4883"/>
    <n v="15234169"/>
    <n v="32542019"/>
    <n v="47776188"/>
    <n v="2526"/>
    <n v="837"/>
    <n v="3363"/>
    <b v="1"/>
    <b v="1"/>
    <b v="1"/>
    <b v="1"/>
    <b v="1"/>
    <b v="1"/>
  </r>
  <r>
    <x v="1374"/>
    <n v="18840"/>
    <n v="13632"/>
    <n v="5208"/>
    <n v="15202101"/>
    <n v="22486955"/>
    <n v="37689056"/>
    <n v="2228"/>
    <n v="695"/>
    <n v="2923"/>
    <b v="1"/>
    <b v="1"/>
    <b v="1"/>
    <b v="1"/>
    <b v="1"/>
    <b v="1"/>
  </r>
  <r>
    <x v="1375"/>
    <n v="12342"/>
    <n v="9953"/>
    <n v="2389"/>
    <n v="3691430"/>
    <n v="18311579"/>
    <n v="22003009"/>
    <n v="1311"/>
    <n v="480"/>
    <n v="1791"/>
    <b v="1"/>
    <b v="1"/>
    <b v="1"/>
    <b v="1"/>
    <b v="1"/>
    <b v="1"/>
  </r>
  <r>
    <x v="1376"/>
    <n v="17374"/>
    <n v="13449"/>
    <n v="3925"/>
    <n v="6817919"/>
    <n v="18586466"/>
    <n v="25404385"/>
    <n v="1934"/>
    <n v="684"/>
    <n v="2618"/>
    <b v="1"/>
    <b v="1"/>
    <b v="1"/>
    <b v="1"/>
    <b v="1"/>
    <b v="1"/>
  </r>
  <r>
    <x v="1377"/>
    <n v="17207"/>
    <n v="14030"/>
    <n v="3177"/>
    <n v="6496542"/>
    <n v="23701868"/>
    <n v="30198410"/>
    <n v="1498"/>
    <n v="765"/>
    <n v="2263"/>
    <b v="1"/>
    <b v="1"/>
    <b v="1"/>
    <b v="1"/>
    <b v="1"/>
    <b v="1"/>
  </r>
  <r>
    <x v="1378"/>
    <n v="25110"/>
    <n v="19201"/>
    <n v="5909"/>
    <n v="8648124"/>
    <n v="27066535"/>
    <n v="35714659"/>
    <n v="4228"/>
    <n v="1532"/>
    <n v="5760"/>
    <b v="1"/>
    <b v="1"/>
    <b v="1"/>
    <b v="1"/>
    <b v="1"/>
    <b v="1"/>
  </r>
  <r>
    <x v="1379"/>
    <n v="18109"/>
    <n v="14512"/>
    <n v="3597"/>
    <n v="7370061"/>
    <n v="23432962"/>
    <n v="30803023"/>
    <n v="1690"/>
    <n v="845"/>
    <n v="2535"/>
    <b v="1"/>
    <b v="1"/>
    <b v="1"/>
    <b v="1"/>
    <b v="1"/>
    <b v="1"/>
  </r>
  <r>
    <x v="1380"/>
    <n v="18720"/>
    <n v="14320"/>
    <n v="4400"/>
    <n v="5583125"/>
    <n v="27654457"/>
    <n v="33237582"/>
    <n v="2912"/>
    <n v="811"/>
    <n v="3723"/>
    <b v="1"/>
    <b v="1"/>
    <b v="1"/>
    <b v="1"/>
    <b v="1"/>
    <b v="1"/>
  </r>
  <r>
    <x v="1381"/>
    <n v="17653"/>
    <n v="13488"/>
    <n v="4165"/>
    <n v="4409712"/>
    <n v="24073327"/>
    <n v="28483039"/>
    <n v="2767"/>
    <n v="641"/>
    <n v="3408"/>
    <b v="1"/>
    <b v="1"/>
    <b v="1"/>
    <b v="1"/>
    <b v="1"/>
    <b v="1"/>
  </r>
  <r>
    <x v="1382"/>
    <n v="13474"/>
    <n v="10480"/>
    <n v="2994"/>
    <n v="3292340"/>
    <n v="16870634"/>
    <n v="20162974"/>
    <n v="1909"/>
    <n v="572"/>
    <n v="2481"/>
    <b v="1"/>
    <b v="1"/>
    <b v="1"/>
    <b v="1"/>
    <b v="1"/>
    <b v="1"/>
  </r>
  <r>
    <x v="1383"/>
    <n v="17912"/>
    <n v="13379"/>
    <n v="4533"/>
    <n v="5600725"/>
    <n v="19636815"/>
    <n v="25237540"/>
    <n v="2827"/>
    <n v="820"/>
    <n v="3647"/>
    <b v="1"/>
    <b v="1"/>
    <b v="1"/>
    <b v="1"/>
    <b v="1"/>
    <b v="1"/>
  </r>
  <r>
    <x v="1384"/>
    <n v="20024"/>
    <n v="15339"/>
    <n v="4685"/>
    <n v="5968668"/>
    <n v="25708215"/>
    <n v="31676883"/>
    <n v="3041"/>
    <n v="815"/>
    <n v="3856"/>
    <b v="1"/>
    <b v="1"/>
    <b v="1"/>
    <b v="1"/>
    <b v="1"/>
    <b v="1"/>
  </r>
  <r>
    <x v="1385"/>
    <n v="27182"/>
    <n v="19815"/>
    <n v="7367"/>
    <n v="10558646"/>
    <n v="26502838"/>
    <n v="37061484"/>
    <n v="5337"/>
    <n v="1272"/>
    <n v="6609"/>
    <b v="1"/>
    <b v="1"/>
    <b v="1"/>
    <b v="1"/>
    <b v="1"/>
    <b v="1"/>
  </r>
  <r>
    <x v="1386"/>
    <n v="16536"/>
    <n v="12613"/>
    <n v="3923"/>
    <n v="5943350"/>
    <n v="16743349"/>
    <n v="22686699"/>
    <n v="2364"/>
    <n v="702"/>
    <n v="3066"/>
    <b v="1"/>
    <b v="1"/>
    <b v="1"/>
    <b v="1"/>
    <b v="1"/>
    <b v="1"/>
  </r>
  <r>
    <x v="1387"/>
    <n v="13162"/>
    <n v="10370"/>
    <n v="2792"/>
    <n v="3794190"/>
    <n v="10761369"/>
    <n v="14555559"/>
    <n v="1545"/>
    <n v="448"/>
    <n v="1993"/>
    <b v="1"/>
    <b v="1"/>
    <b v="1"/>
    <b v="1"/>
    <b v="1"/>
    <b v="1"/>
  </r>
  <r>
    <x v="1388"/>
    <n v="16545"/>
    <n v="12915"/>
    <n v="3630"/>
    <n v="4037900"/>
    <n v="13998354"/>
    <n v="18036254"/>
    <n v="2100"/>
    <n v="539"/>
    <n v="2639"/>
    <b v="1"/>
    <b v="1"/>
    <b v="1"/>
    <b v="1"/>
    <b v="1"/>
    <b v="1"/>
  </r>
  <r>
    <x v="1389"/>
    <n v="12360"/>
    <n v="10046"/>
    <n v="2314"/>
    <n v="2196451"/>
    <n v="14412820"/>
    <n v="16609271"/>
    <n v="1450"/>
    <n v="410"/>
    <n v="1860"/>
    <b v="1"/>
    <b v="1"/>
    <b v="1"/>
    <b v="1"/>
    <b v="1"/>
    <b v="1"/>
  </r>
  <r>
    <x v="1390"/>
    <n v="17806"/>
    <n v="13906"/>
    <n v="3900"/>
    <n v="5208225"/>
    <n v="19490329"/>
    <n v="24698554"/>
    <n v="2226"/>
    <n v="732"/>
    <n v="2958"/>
    <b v="1"/>
    <b v="1"/>
    <b v="1"/>
    <b v="1"/>
    <b v="1"/>
    <b v="1"/>
  </r>
  <r>
    <x v="1391"/>
    <n v="19793"/>
    <n v="15229"/>
    <n v="4564"/>
    <n v="8170354"/>
    <n v="25865187"/>
    <n v="34035541"/>
    <n v="2390"/>
    <n v="707"/>
    <n v="3097"/>
    <b v="1"/>
    <b v="1"/>
    <b v="1"/>
    <b v="1"/>
    <b v="1"/>
    <b v="1"/>
  </r>
  <r>
    <x v="1392"/>
    <n v="28234"/>
    <n v="20304"/>
    <n v="7930"/>
    <n v="16580242"/>
    <n v="24482062"/>
    <n v="41062304"/>
    <n v="5223"/>
    <n v="1339"/>
    <n v="6562"/>
    <b v="1"/>
    <b v="1"/>
    <b v="1"/>
    <b v="1"/>
    <b v="1"/>
    <b v="1"/>
  </r>
  <r>
    <x v="1393"/>
    <n v="18367"/>
    <n v="14535"/>
    <n v="3832"/>
    <n v="6841618"/>
    <n v="20609454"/>
    <n v="27451072"/>
    <n v="2081"/>
    <n v="694"/>
    <n v="2775"/>
    <b v="1"/>
    <b v="1"/>
    <b v="1"/>
    <b v="1"/>
    <b v="1"/>
    <b v="1"/>
  </r>
  <r>
    <x v="1394"/>
    <n v="19540"/>
    <n v="15321"/>
    <n v="4219"/>
    <n v="7467469"/>
    <n v="170469770"/>
    <n v="177937239"/>
    <n v="2292"/>
    <n v="812"/>
    <n v="3104"/>
    <b v="1"/>
    <b v="1"/>
    <b v="1"/>
    <b v="1"/>
    <b v="1"/>
    <b v="1"/>
  </r>
  <r>
    <x v="1395"/>
    <n v="16479"/>
    <n v="13168"/>
    <n v="3311"/>
    <n v="4097825"/>
    <n v="21663200"/>
    <n v="25761025"/>
    <n v="1721"/>
    <n v="672"/>
    <n v="2393"/>
    <b v="1"/>
    <b v="1"/>
    <b v="1"/>
    <b v="1"/>
    <b v="1"/>
    <b v="1"/>
  </r>
  <r>
    <x v="1396"/>
    <n v="12458"/>
    <n v="10299"/>
    <n v="2159"/>
    <n v="2896090"/>
    <n v="12543455"/>
    <n v="15439545"/>
    <n v="1308"/>
    <n v="441"/>
    <n v="1749"/>
    <b v="1"/>
    <b v="1"/>
    <b v="1"/>
    <b v="1"/>
    <b v="1"/>
    <b v="1"/>
  </r>
  <r>
    <x v="1397"/>
    <n v="19127"/>
    <n v="14900"/>
    <n v="4227"/>
    <n v="5948524"/>
    <n v="21266469"/>
    <n v="27214993"/>
    <n v="2368"/>
    <n v="764"/>
    <n v="3132"/>
    <b v="1"/>
    <b v="1"/>
    <b v="1"/>
    <b v="1"/>
    <b v="1"/>
    <b v="1"/>
  </r>
  <r>
    <x v="1398"/>
    <n v="20613"/>
    <n v="16434"/>
    <n v="4179"/>
    <n v="5318258"/>
    <n v="28294280"/>
    <n v="33612538"/>
    <n v="2355"/>
    <n v="734"/>
    <n v="3089"/>
    <b v="1"/>
    <b v="1"/>
    <b v="1"/>
    <b v="1"/>
    <b v="1"/>
    <b v="1"/>
  </r>
  <r>
    <x v="1399"/>
    <n v="28306"/>
    <n v="21313"/>
    <n v="6993"/>
    <n v="8188610"/>
    <n v="32788936"/>
    <n v="40977546"/>
    <n v="5161"/>
    <n v="1321"/>
    <n v="6482"/>
    <b v="1"/>
    <b v="1"/>
    <b v="1"/>
    <b v="1"/>
    <b v="1"/>
    <b v="1"/>
  </r>
  <r>
    <x v="1400"/>
    <n v="22318"/>
    <n v="18465"/>
    <n v="3853"/>
    <n v="4594137"/>
    <n v="43809242"/>
    <n v="48403379"/>
    <n v="2053"/>
    <n v="650"/>
    <n v="2703"/>
    <b v="1"/>
    <b v="1"/>
    <b v="1"/>
    <b v="1"/>
    <b v="1"/>
    <b v="1"/>
  </r>
  <r>
    <x v="1401"/>
    <n v="23218"/>
    <n v="18908"/>
    <n v="4310"/>
    <n v="4927291"/>
    <n v="36315165"/>
    <n v="41242456"/>
    <n v="2350"/>
    <n v="815"/>
    <n v="3165"/>
    <b v="1"/>
    <b v="1"/>
    <b v="1"/>
    <b v="1"/>
    <b v="1"/>
    <b v="1"/>
  </r>
  <r>
    <x v="1402"/>
    <n v="21642"/>
    <n v="17307"/>
    <n v="4335"/>
    <n v="7860129"/>
    <n v="34950817"/>
    <n v="42810946"/>
    <n v="2173"/>
    <n v="674"/>
    <n v="2847"/>
    <b v="1"/>
    <b v="1"/>
    <b v="1"/>
    <b v="1"/>
    <b v="1"/>
    <b v="1"/>
  </r>
  <r>
    <x v="1403"/>
    <n v="16866"/>
    <n v="13796"/>
    <n v="3070"/>
    <n v="3012430"/>
    <n v="21410357"/>
    <n v="24422787"/>
    <n v="1634"/>
    <n v="529"/>
    <n v="2163"/>
    <b v="1"/>
    <b v="1"/>
    <b v="1"/>
    <b v="1"/>
    <b v="1"/>
    <b v="1"/>
  </r>
  <r>
    <x v="1404"/>
    <n v="19592"/>
    <n v="15276"/>
    <n v="4316"/>
    <n v="4109125"/>
    <n v="20487051"/>
    <n v="24596176"/>
    <n v="2239"/>
    <n v="717"/>
    <n v="2956"/>
    <b v="1"/>
    <b v="1"/>
    <b v="1"/>
    <b v="1"/>
    <b v="1"/>
    <b v="1"/>
  </r>
  <r>
    <x v="1405"/>
    <n v="15627"/>
    <n v="11983"/>
    <n v="3644"/>
    <n v="4059175"/>
    <n v="11991736"/>
    <n v="16050911"/>
    <n v="1799"/>
    <n v="576"/>
    <n v="2375"/>
    <b v="1"/>
    <b v="1"/>
    <b v="1"/>
    <b v="1"/>
    <b v="1"/>
    <b v="1"/>
  </r>
  <r>
    <x v="1406"/>
    <n v="5902"/>
    <n v="4283"/>
    <n v="1619"/>
    <n v="2753400"/>
    <n v="4666700"/>
    <n v="7420100"/>
    <n v="514"/>
    <n v="191"/>
    <n v="705"/>
    <b v="1"/>
    <b v="1"/>
    <b v="1"/>
    <b v="1"/>
    <b v="1"/>
    <b v="1"/>
  </r>
  <r>
    <x v="1407"/>
    <n v="10160"/>
    <n v="7830"/>
    <n v="2330"/>
    <n v="3884198"/>
    <n v="6922712"/>
    <n v="10806910"/>
    <n v="1067"/>
    <n v="386"/>
    <n v="1453"/>
    <b v="1"/>
    <b v="1"/>
    <b v="1"/>
    <b v="1"/>
    <b v="1"/>
    <b v="1"/>
  </r>
  <r>
    <x v="1408"/>
    <n v="15353"/>
    <n v="12212"/>
    <n v="3141"/>
    <n v="3634050"/>
    <n v="8693819"/>
    <n v="12327869"/>
    <n v="1387"/>
    <n v="559"/>
    <n v="1946"/>
    <b v="1"/>
    <b v="1"/>
    <b v="1"/>
    <b v="1"/>
    <b v="1"/>
    <b v="1"/>
  </r>
  <r>
    <x v="1409"/>
    <n v="17606"/>
    <n v="14184"/>
    <n v="3422"/>
    <n v="3587447"/>
    <n v="12933272"/>
    <n v="16520719"/>
    <n v="1698"/>
    <n v="612"/>
    <n v="2310"/>
    <b v="1"/>
    <b v="1"/>
    <b v="1"/>
    <b v="1"/>
    <b v="1"/>
    <b v="1"/>
  </r>
  <r>
    <x v="1410"/>
    <n v="15888"/>
    <n v="13180"/>
    <n v="2708"/>
    <n v="4948713"/>
    <n v="12929785"/>
    <n v="17878498"/>
    <n v="1226"/>
    <n v="527"/>
    <n v="1753"/>
    <b v="1"/>
    <b v="1"/>
    <b v="1"/>
    <b v="1"/>
    <b v="1"/>
    <b v="1"/>
  </r>
  <r>
    <x v="1411"/>
    <n v="18981"/>
    <n v="14465"/>
    <n v="4516"/>
    <n v="8849548"/>
    <n v="23024310"/>
    <n v="31873858"/>
    <n v="1730"/>
    <n v="750"/>
    <n v="2480"/>
    <b v="1"/>
    <b v="1"/>
    <b v="1"/>
    <b v="1"/>
    <b v="1"/>
    <b v="1"/>
  </r>
  <r>
    <x v="1412"/>
    <n v="21272"/>
    <n v="16470"/>
    <n v="4802"/>
    <n v="8405669"/>
    <n v="27345953"/>
    <n v="35751622"/>
    <n v="1668"/>
    <n v="950"/>
    <n v="2618"/>
    <b v="1"/>
    <b v="1"/>
    <b v="1"/>
    <b v="1"/>
    <b v="1"/>
    <b v="1"/>
  </r>
  <r>
    <x v="1413"/>
    <n v="29662"/>
    <n v="21824"/>
    <n v="7838"/>
    <n v="14268660"/>
    <n v="26180589"/>
    <n v="40449249"/>
    <n v="4314"/>
    <n v="1331"/>
    <n v="5645"/>
    <b v="1"/>
    <b v="1"/>
    <b v="1"/>
    <b v="1"/>
    <b v="1"/>
    <b v="1"/>
  </r>
  <r>
    <x v="1414"/>
    <n v="22380"/>
    <n v="17743"/>
    <n v="4637"/>
    <n v="7698259"/>
    <n v="27227071"/>
    <n v="34925330"/>
    <n v="1747"/>
    <n v="1022"/>
    <n v="2769"/>
    <b v="1"/>
    <b v="1"/>
    <b v="1"/>
    <b v="1"/>
    <b v="1"/>
    <b v="1"/>
  </r>
  <r>
    <x v="1415"/>
    <n v="21951"/>
    <n v="17580"/>
    <n v="4371"/>
    <n v="6410058"/>
    <n v="30684257"/>
    <n v="37094315"/>
    <n v="1783"/>
    <n v="920"/>
    <n v="2703"/>
    <b v="1"/>
    <b v="1"/>
    <b v="1"/>
    <b v="1"/>
    <b v="1"/>
    <b v="1"/>
  </r>
  <r>
    <x v="1416"/>
    <n v="16786"/>
    <n v="12956"/>
    <n v="3830"/>
    <n v="5945892"/>
    <n v="28508881"/>
    <n v="34454773"/>
    <n v="1407"/>
    <n v="749"/>
    <n v="2156"/>
    <b v="1"/>
    <b v="1"/>
    <b v="1"/>
    <b v="1"/>
    <b v="1"/>
    <b v="1"/>
  </r>
  <r>
    <x v="1417"/>
    <n v="12327"/>
    <n v="9750"/>
    <n v="2577"/>
    <n v="2971873"/>
    <n v="16472217"/>
    <n v="19444090"/>
    <n v="1117"/>
    <n v="470"/>
    <n v="1587"/>
    <b v="1"/>
    <b v="1"/>
    <b v="1"/>
    <b v="1"/>
    <b v="1"/>
    <b v="1"/>
  </r>
  <r>
    <x v="1418"/>
    <n v="17581"/>
    <n v="13051"/>
    <n v="4530"/>
    <n v="5363441"/>
    <n v="25203133"/>
    <n v="30566574"/>
    <n v="1881"/>
    <n v="810"/>
    <n v="2691"/>
    <b v="1"/>
    <b v="1"/>
    <b v="1"/>
    <b v="1"/>
    <b v="1"/>
    <b v="1"/>
  </r>
  <r>
    <x v="1419"/>
    <n v="21052"/>
    <n v="16649"/>
    <n v="4403"/>
    <n v="6294175"/>
    <n v="34134918"/>
    <n v="40429093"/>
    <n v="2021"/>
    <n v="983"/>
    <n v="3004"/>
    <b v="1"/>
    <b v="1"/>
    <b v="1"/>
    <b v="1"/>
    <b v="1"/>
    <b v="1"/>
  </r>
  <r>
    <x v="1420"/>
    <n v="22364"/>
    <n v="17463"/>
    <n v="4901"/>
    <n v="6583454"/>
    <n v="30990229"/>
    <n v="37573683"/>
    <n v="2423"/>
    <n v="901"/>
    <n v="3324"/>
    <b v="1"/>
    <b v="1"/>
    <b v="1"/>
    <b v="1"/>
    <b v="1"/>
    <b v="1"/>
  </r>
  <r>
    <x v="1421"/>
    <n v="22148"/>
    <n v="17802"/>
    <n v="4346"/>
    <n v="5945048"/>
    <n v="31560877"/>
    <n v="37505925"/>
    <n v="1957"/>
    <n v="866"/>
    <n v="2823"/>
    <b v="1"/>
    <b v="1"/>
    <b v="1"/>
    <b v="1"/>
    <b v="1"/>
    <b v="1"/>
  </r>
  <r>
    <x v="1422"/>
    <n v="17887"/>
    <n v="14422"/>
    <n v="3465"/>
    <n v="7040025"/>
    <n v="27055677"/>
    <n v="34095702"/>
    <n v="1349"/>
    <n v="744"/>
    <n v="2093"/>
    <b v="1"/>
    <b v="1"/>
    <b v="1"/>
    <b v="1"/>
    <b v="1"/>
    <b v="1"/>
  </r>
  <r>
    <x v="1423"/>
    <n v="19457"/>
    <n v="15616"/>
    <n v="3841"/>
    <n v="3418783"/>
    <n v="22189718"/>
    <n v="25608501"/>
    <n v="1605"/>
    <n v="765"/>
    <n v="2370"/>
    <b v="1"/>
    <b v="1"/>
    <b v="1"/>
    <b v="1"/>
    <b v="1"/>
    <b v="1"/>
  </r>
  <r>
    <x v="1424"/>
    <n v="13788"/>
    <n v="11370"/>
    <n v="2418"/>
    <n v="2477577"/>
    <n v="15349849"/>
    <n v="17827426"/>
    <n v="1232"/>
    <n v="624"/>
    <n v="1856"/>
    <b v="1"/>
    <b v="1"/>
    <b v="1"/>
    <b v="1"/>
    <b v="1"/>
    <b v="1"/>
  </r>
  <r>
    <x v="1425"/>
    <n v="22178"/>
    <n v="17439"/>
    <n v="4739"/>
    <n v="6210771"/>
    <n v="26126926"/>
    <n v="32337697"/>
    <n v="1958"/>
    <n v="1011"/>
    <n v="2969"/>
    <b v="1"/>
    <b v="1"/>
    <b v="1"/>
    <b v="1"/>
    <b v="1"/>
    <b v="1"/>
  </r>
  <r>
    <x v="1426"/>
    <n v="22746"/>
    <n v="18082"/>
    <n v="4664"/>
    <n v="5806965"/>
    <n v="32868153"/>
    <n v="38675118"/>
    <n v="1764"/>
    <n v="1021"/>
    <n v="2785"/>
    <b v="1"/>
    <b v="1"/>
    <b v="1"/>
    <b v="1"/>
    <b v="1"/>
    <b v="1"/>
  </r>
  <r>
    <x v="1427"/>
    <n v="27207"/>
    <n v="21117"/>
    <n v="6090"/>
    <n v="7970838"/>
    <n v="28965085"/>
    <n v="36935923"/>
    <n v="3279"/>
    <n v="1100"/>
    <n v="4379"/>
    <b v="1"/>
    <b v="1"/>
    <b v="1"/>
    <b v="1"/>
    <b v="1"/>
    <b v="1"/>
  </r>
  <r>
    <x v="1428"/>
    <n v="24441"/>
    <n v="19773"/>
    <n v="4668"/>
    <n v="6714465"/>
    <n v="34359890"/>
    <n v="41074355"/>
    <n v="2074"/>
    <n v="1165"/>
    <n v="3239"/>
    <b v="1"/>
    <b v="1"/>
    <b v="1"/>
    <b v="1"/>
    <b v="1"/>
    <b v="1"/>
  </r>
  <r>
    <x v="1429"/>
    <n v="23817"/>
    <n v="19661"/>
    <n v="4156"/>
    <n v="7468221"/>
    <n v="44688034"/>
    <n v="52156255"/>
    <n v="2133"/>
    <n v="954"/>
    <n v="3087"/>
    <b v="1"/>
    <b v="1"/>
    <b v="1"/>
    <b v="1"/>
    <b v="1"/>
    <b v="1"/>
  </r>
  <r>
    <x v="1430"/>
    <n v="23224"/>
    <n v="19919"/>
    <n v="3305"/>
    <n v="6061968"/>
    <n v="55824411"/>
    <n v="61886379"/>
    <n v="1555"/>
    <n v="650"/>
    <n v="2205"/>
    <b v="1"/>
    <b v="1"/>
    <b v="1"/>
    <b v="1"/>
    <b v="1"/>
    <b v="1"/>
  </r>
  <r>
    <x v="1431"/>
    <n v="15434"/>
    <n v="13748"/>
    <n v="1686"/>
    <n v="2795763"/>
    <n v="26947719"/>
    <n v="29743482"/>
    <n v="1111"/>
    <n v="500"/>
    <n v="1611"/>
    <b v="1"/>
    <b v="1"/>
    <b v="1"/>
    <b v="1"/>
    <b v="1"/>
    <b v="1"/>
  </r>
  <r>
    <x v="1432"/>
    <n v="22224"/>
    <n v="18535"/>
    <n v="3689"/>
    <n v="5399051"/>
    <n v="27362022"/>
    <n v="32761073"/>
    <n v="1678"/>
    <n v="831"/>
    <n v="2509"/>
    <b v="1"/>
    <b v="1"/>
    <b v="1"/>
    <b v="1"/>
    <b v="1"/>
    <b v="1"/>
  </r>
  <r>
    <x v="1433"/>
    <n v="24311"/>
    <n v="19947"/>
    <n v="4364"/>
    <n v="6730189"/>
    <n v="35058763"/>
    <n v="41788952"/>
    <n v="1968"/>
    <n v="875"/>
    <n v="2843"/>
    <b v="1"/>
    <b v="1"/>
    <b v="1"/>
    <b v="1"/>
    <b v="1"/>
    <b v="1"/>
  </r>
  <r>
    <x v="1434"/>
    <n v="28960"/>
    <n v="22599"/>
    <n v="6361"/>
    <n v="8713434"/>
    <n v="31978495"/>
    <n v="40691929"/>
    <n v="3805"/>
    <n v="1070"/>
    <n v="4875"/>
    <b v="1"/>
    <b v="1"/>
    <b v="1"/>
    <b v="1"/>
    <b v="1"/>
    <b v="1"/>
  </r>
  <r>
    <x v="1435"/>
    <n v="23139"/>
    <n v="18858"/>
    <n v="4281"/>
    <n v="6852910"/>
    <n v="32703711"/>
    <n v="39556621"/>
    <n v="1909"/>
    <n v="831"/>
    <n v="2740"/>
    <b v="1"/>
    <b v="1"/>
    <b v="1"/>
    <b v="1"/>
    <b v="1"/>
    <b v="1"/>
  </r>
  <r>
    <x v="1436"/>
    <n v="20531"/>
    <n v="17050"/>
    <n v="3481"/>
    <n v="4794539"/>
    <n v="30729123"/>
    <n v="35523662"/>
    <n v="1575"/>
    <n v="652"/>
    <n v="2227"/>
    <b v="1"/>
    <b v="1"/>
    <b v="1"/>
    <b v="1"/>
    <b v="1"/>
    <b v="1"/>
  </r>
  <r>
    <x v="1437"/>
    <n v="18805"/>
    <n v="15542"/>
    <n v="3263"/>
    <n v="3539273"/>
    <n v="26662403"/>
    <n v="30201676"/>
    <n v="1417"/>
    <n v="503"/>
    <n v="1920"/>
    <b v="1"/>
    <b v="1"/>
    <b v="1"/>
    <b v="1"/>
    <b v="1"/>
    <b v="1"/>
  </r>
  <r>
    <x v="1438"/>
    <n v="13301"/>
    <n v="11271"/>
    <n v="2030"/>
    <n v="2253453"/>
    <n v="18111724"/>
    <n v="20365177"/>
    <n v="935"/>
    <n v="331"/>
    <n v="1266"/>
    <b v="1"/>
    <b v="1"/>
    <b v="1"/>
    <b v="1"/>
    <b v="1"/>
    <b v="1"/>
  </r>
  <r>
    <x v="1439"/>
    <n v="20606"/>
    <n v="16789"/>
    <n v="3817"/>
    <n v="4047053"/>
    <n v="22220111"/>
    <n v="26267164"/>
    <n v="1629"/>
    <n v="768"/>
    <n v="2397"/>
    <b v="1"/>
    <b v="1"/>
    <b v="1"/>
    <b v="1"/>
    <b v="1"/>
    <b v="1"/>
  </r>
  <r>
    <x v="1440"/>
    <n v="20176"/>
    <n v="16504"/>
    <n v="3672"/>
    <n v="6432737"/>
    <n v="33257142"/>
    <n v="39689879"/>
    <n v="1683"/>
    <n v="881"/>
    <n v="2564"/>
    <b v="1"/>
    <b v="1"/>
    <b v="1"/>
    <b v="1"/>
    <b v="1"/>
    <b v="1"/>
  </r>
  <r>
    <x v="1441"/>
    <n v="27004"/>
    <n v="20647"/>
    <n v="6357"/>
    <n v="9337920"/>
    <n v="35669047"/>
    <n v="45006967"/>
    <n v="3921"/>
    <n v="1139"/>
    <n v="5060"/>
    <b v="1"/>
    <b v="1"/>
    <b v="1"/>
    <b v="1"/>
    <b v="1"/>
    <b v="1"/>
  </r>
  <r>
    <x v="1442"/>
    <n v="25528"/>
    <n v="21959"/>
    <n v="3569"/>
    <n v="5993995"/>
    <n v="31888002"/>
    <n v="37881997"/>
    <n v="1570"/>
    <n v="860"/>
    <n v="2430"/>
    <b v="1"/>
    <b v="1"/>
    <b v="1"/>
    <b v="1"/>
    <b v="1"/>
    <b v="1"/>
  </r>
  <r>
    <x v="1443"/>
    <n v="21048"/>
    <n v="17255"/>
    <n v="3793"/>
    <n v="6944655"/>
    <n v="34214835"/>
    <n v="41159490"/>
    <n v="1665"/>
    <n v="907"/>
    <n v="2572"/>
    <b v="1"/>
    <b v="1"/>
    <b v="1"/>
    <b v="1"/>
    <b v="1"/>
    <b v="1"/>
  </r>
  <r>
    <x v="1444"/>
    <n v="20372"/>
    <n v="16783"/>
    <n v="3589"/>
    <n v="6818951"/>
    <n v="28988312"/>
    <n v="35807263"/>
    <n v="1488"/>
    <n v="688"/>
    <n v="2176"/>
    <b v="1"/>
    <b v="1"/>
    <b v="1"/>
    <b v="1"/>
    <b v="1"/>
    <b v="1"/>
  </r>
  <r>
    <x v="1445"/>
    <n v="13636"/>
    <n v="11300"/>
    <n v="2336"/>
    <n v="5278075"/>
    <n v="20193502"/>
    <n v="25471577"/>
    <n v="1130"/>
    <n v="503"/>
    <n v="1633"/>
    <b v="1"/>
    <b v="1"/>
    <b v="1"/>
    <b v="1"/>
    <b v="1"/>
    <b v="1"/>
  </r>
  <r>
    <x v="1446"/>
    <n v="19598"/>
    <n v="16224"/>
    <n v="3374"/>
    <n v="5800236"/>
    <n v="26217456"/>
    <n v="32017692"/>
    <n v="1696"/>
    <n v="824"/>
    <n v="2520"/>
    <b v="1"/>
    <b v="1"/>
    <b v="1"/>
    <b v="1"/>
    <b v="1"/>
    <b v="1"/>
  </r>
  <r>
    <x v="1447"/>
    <n v="19684"/>
    <n v="16618"/>
    <n v="3066"/>
    <n v="5099501"/>
    <n v="29839105"/>
    <n v="34938606"/>
    <n v="1747"/>
    <n v="809"/>
    <n v="2556"/>
    <b v="1"/>
    <b v="1"/>
    <b v="1"/>
    <b v="1"/>
    <b v="1"/>
    <b v="1"/>
  </r>
  <r>
    <x v="1448"/>
    <n v="26631"/>
    <n v="21476"/>
    <n v="5155"/>
    <n v="6711510"/>
    <n v="33870053"/>
    <n v="40581563"/>
    <n v="3745"/>
    <n v="1368"/>
    <n v="5113"/>
    <b v="1"/>
    <b v="1"/>
    <b v="1"/>
    <b v="1"/>
    <b v="1"/>
    <b v="1"/>
  </r>
  <r>
    <x v="1449"/>
    <n v="21805"/>
    <n v="18559"/>
    <n v="3246"/>
    <n v="5920016"/>
    <n v="37848135"/>
    <n v="43768151"/>
    <n v="1868"/>
    <n v="1053"/>
    <n v="2921"/>
    <b v="1"/>
    <b v="1"/>
    <b v="1"/>
    <b v="1"/>
    <b v="1"/>
    <b v="1"/>
  </r>
  <r>
    <x v="1450"/>
    <n v="21784"/>
    <n v="18940"/>
    <n v="2844"/>
    <n v="5642271"/>
    <n v="76833133"/>
    <n v="82475404"/>
    <n v="1682"/>
    <n v="930"/>
    <n v="2612"/>
    <b v="1"/>
    <b v="1"/>
    <b v="1"/>
    <b v="1"/>
    <b v="1"/>
    <b v="1"/>
  </r>
  <r>
    <x v="1451"/>
    <n v="19523"/>
    <n v="16710"/>
    <n v="2813"/>
    <n v="5508575"/>
    <n v="30612019"/>
    <n v="36120594"/>
    <n v="1628"/>
    <n v="716"/>
    <n v="2344"/>
    <b v="1"/>
    <b v="1"/>
    <b v="1"/>
    <b v="1"/>
    <b v="1"/>
    <b v="1"/>
  </r>
  <r>
    <x v="1452"/>
    <n v="14602"/>
    <n v="12596"/>
    <n v="2006"/>
    <n v="3726771"/>
    <n v="20691529"/>
    <n v="24418300"/>
    <n v="1064"/>
    <n v="532"/>
    <n v="1596"/>
    <b v="1"/>
    <b v="1"/>
    <b v="1"/>
    <b v="1"/>
    <b v="1"/>
    <b v="1"/>
  </r>
  <r>
    <x v="1453"/>
    <n v="21430"/>
    <n v="17836"/>
    <n v="3594"/>
    <n v="5031728"/>
    <n v="28563816"/>
    <n v="33595544"/>
    <n v="1619"/>
    <n v="982"/>
    <n v="2601"/>
    <b v="1"/>
    <b v="1"/>
    <b v="1"/>
    <b v="1"/>
    <b v="1"/>
    <b v="1"/>
  </r>
  <r>
    <x v="1454"/>
    <n v="19268"/>
    <n v="15342"/>
    <n v="3926"/>
    <n v="5290353"/>
    <n v="28085234"/>
    <n v="33375587"/>
    <n v="1358"/>
    <n v="774"/>
    <n v="2132"/>
    <b v="1"/>
    <b v="1"/>
    <b v="1"/>
    <b v="1"/>
    <b v="1"/>
    <b v="1"/>
  </r>
  <r>
    <x v="1455"/>
    <n v="28208"/>
    <n v="22410"/>
    <n v="5798"/>
    <n v="8208040"/>
    <n v="30594001"/>
    <n v="38802041"/>
    <n v="3966"/>
    <n v="1570"/>
    <n v="5536"/>
    <b v="1"/>
    <b v="1"/>
    <b v="1"/>
    <b v="1"/>
    <b v="1"/>
    <b v="1"/>
  </r>
  <r>
    <x v="1456"/>
    <n v="20707"/>
    <n v="17913"/>
    <n v="2794"/>
    <n v="5493529"/>
    <n v="33135681"/>
    <n v="38629210"/>
    <n v="1860"/>
    <n v="1059"/>
    <n v="2919"/>
    <b v="1"/>
    <b v="1"/>
    <b v="1"/>
    <b v="1"/>
    <b v="1"/>
    <b v="1"/>
  </r>
  <r>
    <x v="1457"/>
    <n v="21625"/>
    <n v="18879"/>
    <n v="2746"/>
    <n v="4281482"/>
    <n v="31876832"/>
    <n v="36158314"/>
    <n v="1907"/>
    <n v="1269"/>
    <n v="3176"/>
    <b v="1"/>
    <b v="1"/>
    <b v="1"/>
    <b v="1"/>
    <b v="1"/>
    <b v="1"/>
  </r>
  <r>
    <x v="1458"/>
    <n v="19975"/>
    <n v="17833"/>
    <n v="2142"/>
    <n v="3623819"/>
    <n v="30223330"/>
    <n v="33847149"/>
    <n v="1500"/>
    <n v="1153"/>
    <n v="2653"/>
    <b v="1"/>
    <b v="1"/>
    <b v="1"/>
    <b v="1"/>
    <b v="1"/>
    <b v="1"/>
  </r>
  <r>
    <x v="1459"/>
    <n v="14363"/>
    <n v="12826"/>
    <n v="1537"/>
    <n v="2644522"/>
    <n v="22355276"/>
    <n v="24999798"/>
    <n v="1056"/>
    <n v="927"/>
    <n v="1983"/>
    <b v="1"/>
    <b v="1"/>
    <b v="1"/>
    <b v="1"/>
    <b v="1"/>
    <b v="1"/>
  </r>
  <r>
    <x v="1460"/>
    <n v="20305"/>
    <n v="18154"/>
    <n v="2151"/>
    <n v="2682222"/>
    <n v="27827646"/>
    <n v="30509868"/>
    <n v="1404"/>
    <n v="1393"/>
    <n v="2797"/>
    <b v="1"/>
    <b v="1"/>
    <b v="1"/>
    <b v="1"/>
    <b v="1"/>
    <b v="1"/>
  </r>
  <r>
    <x v="1461"/>
    <n v="17052"/>
    <n v="15546"/>
    <n v="1506"/>
    <n v="2513812"/>
    <n v="30309558"/>
    <n v="32823370"/>
    <n v="1120"/>
    <n v="1525"/>
    <n v="2645"/>
    <b v="1"/>
    <b v="1"/>
    <b v="1"/>
    <b v="1"/>
    <b v="1"/>
    <b v="1"/>
  </r>
  <r>
    <x v="1462"/>
    <n v="30209"/>
    <n v="25622"/>
    <n v="4587"/>
    <n v="6796646"/>
    <n v="35513707"/>
    <n v="42310353"/>
    <n v="3788"/>
    <n v="2350"/>
    <n v="6138"/>
    <b v="1"/>
    <b v="1"/>
    <b v="1"/>
    <b v="1"/>
    <b v="1"/>
    <b v="1"/>
  </r>
  <r>
    <x v="1463"/>
    <n v="23243"/>
    <n v="21049"/>
    <n v="2194"/>
    <n v="5150324"/>
    <n v="35357655"/>
    <n v="40507979"/>
    <n v="1567"/>
    <n v="1989"/>
    <n v="3556"/>
    <b v="1"/>
    <b v="1"/>
    <b v="1"/>
    <b v="1"/>
    <b v="1"/>
    <b v="1"/>
  </r>
  <r>
    <x v="1464"/>
    <n v="24446"/>
    <n v="22068"/>
    <n v="2378"/>
    <n v="4806014"/>
    <n v="37587937"/>
    <n v="42393951"/>
    <n v="1719"/>
    <n v="2012"/>
    <n v="3731"/>
    <b v="1"/>
    <b v="1"/>
    <b v="1"/>
    <b v="1"/>
    <b v="1"/>
    <b v="1"/>
  </r>
  <r>
    <x v="1465"/>
    <n v="21643"/>
    <n v="19079"/>
    <n v="2564"/>
    <n v="4972676"/>
    <n v="33784949"/>
    <n v="38757625"/>
    <n v="1952"/>
    <n v="1273"/>
    <n v="3225"/>
    <b v="1"/>
    <b v="1"/>
    <b v="1"/>
    <b v="1"/>
    <b v="1"/>
    <b v="1"/>
  </r>
  <r>
    <x v="1466"/>
    <n v="15802"/>
    <n v="14447"/>
    <n v="1355"/>
    <n v="1992520"/>
    <n v="21344071"/>
    <n v="23336591"/>
    <n v="1088"/>
    <n v="1130"/>
    <n v="2218"/>
    <b v="1"/>
    <b v="1"/>
    <b v="1"/>
    <b v="1"/>
    <b v="1"/>
    <b v="1"/>
  </r>
  <r>
    <x v="1467"/>
    <n v="22413"/>
    <n v="19911"/>
    <n v="2502"/>
    <n v="8971195"/>
    <n v="32351131"/>
    <n v="41322326"/>
    <n v="1717"/>
    <n v="1455"/>
    <n v="3172"/>
    <b v="1"/>
    <b v="1"/>
    <b v="1"/>
    <b v="1"/>
    <b v="1"/>
    <b v="1"/>
  </r>
  <r>
    <x v="1468"/>
    <n v="23475"/>
    <n v="20665"/>
    <n v="2810"/>
    <n v="6894624"/>
    <n v="36572291"/>
    <n v="43466915"/>
    <n v="1936"/>
    <n v="2100"/>
    <n v="4036"/>
    <b v="1"/>
    <b v="1"/>
    <b v="1"/>
    <b v="1"/>
    <b v="1"/>
    <b v="1"/>
  </r>
  <r>
    <x v="1469"/>
    <n v="28260"/>
    <n v="23180"/>
    <n v="5080"/>
    <n v="8801578"/>
    <n v="33870764"/>
    <n v="42672342"/>
    <n v="4103"/>
    <n v="1868"/>
    <n v="5971"/>
    <b v="1"/>
    <b v="1"/>
    <b v="1"/>
    <b v="1"/>
    <b v="1"/>
    <b v="1"/>
  </r>
  <r>
    <x v="1470"/>
    <n v="24774"/>
    <n v="21384"/>
    <n v="3390"/>
    <n v="8245770"/>
    <n v="38394963"/>
    <n v="46640733"/>
    <n v="2140"/>
    <n v="1782"/>
    <n v="3922"/>
    <b v="1"/>
    <b v="1"/>
    <b v="1"/>
    <b v="1"/>
    <b v="1"/>
    <b v="1"/>
  </r>
  <r>
    <x v="1471"/>
    <n v="26249"/>
    <n v="22245"/>
    <n v="4004"/>
    <n v="13009662"/>
    <n v="141368088"/>
    <n v="154377750"/>
    <n v="2003"/>
    <n v="1956"/>
    <n v="3959"/>
    <b v="1"/>
    <b v="1"/>
    <b v="1"/>
    <b v="1"/>
    <b v="1"/>
    <b v="1"/>
  </r>
  <r>
    <x v="1472"/>
    <n v="22381"/>
    <n v="19448"/>
    <n v="2933"/>
    <n v="4728530"/>
    <n v="32024880"/>
    <n v="36753410"/>
    <n v="2316"/>
    <n v="1580"/>
    <n v="3896"/>
    <b v="1"/>
    <b v="1"/>
    <b v="1"/>
    <b v="1"/>
    <b v="1"/>
    <b v="1"/>
  </r>
  <r>
    <x v="1473"/>
    <n v="16050"/>
    <n v="13893"/>
    <n v="2157"/>
    <n v="3077542"/>
    <n v="18264535"/>
    <n v="21342077"/>
    <n v="1505"/>
    <n v="1372"/>
    <n v="2877"/>
    <b v="1"/>
    <b v="1"/>
    <b v="1"/>
    <b v="1"/>
    <b v="1"/>
    <b v="1"/>
  </r>
  <r>
    <x v="1474"/>
    <n v="19932"/>
    <n v="17499"/>
    <n v="2433"/>
    <n v="3107745"/>
    <n v="24546304"/>
    <n v="27654049"/>
    <n v="1506"/>
    <n v="1676"/>
    <n v="3182"/>
    <b v="1"/>
    <b v="1"/>
    <b v="1"/>
    <b v="1"/>
    <b v="1"/>
    <b v="1"/>
  </r>
  <r>
    <x v="1475"/>
    <n v="20960"/>
    <n v="18410"/>
    <n v="2550"/>
    <n v="4982955"/>
    <n v="32225584"/>
    <n v="37208539"/>
    <n v="1423"/>
    <n v="1515"/>
    <n v="2938"/>
    <b v="1"/>
    <b v="1"/>
    <b v="1"/>
    <b v="1"/>
    <b v="1"/>
    <b v="1"/>
  </r>
  <r>
    <x v="1476"/>
    <n v="29162"/>
    <n v="23847"/>
    <n v="5315"/>
    <n v="9211210"/>
    <n v="34686266"/>
    <n v="43897476"/>
    <n v="3908"/>
    <n v="1821"/>
    <n v="5729"/>
    <b v="1"/>
    <b v="1"/>
    <b v="1"/>
    <b v="1"/>
    <b v="1"/>
    <b v="1"/>
  </r>
  <r>
    <x v="1477"/>
    <n v="22601"/>
    <n v="19605"/>
    <n v="2996"/>
    <n v="7812976"/>
    <n v="36557089"/>
    <n v="44370065"/>
    <n v="1643"/>
    <n v="1345"/>
    <n v="2988"/>
    <b v="1"/>
    <b v="1"/>
    <b v="1"/>
    <b v="1"/>
    <b v="1"/>
    <b v="1"/>
  </r>
  <r>
    <x v="1478"/>
    <n v="22641"/>
    <n v="19747"/>
    <n v="2894"/>
    <n v="6766151"/>
    <n v="33257034"/>
    <n v="40023185"/>
    <n v="1693"/>
    <n v="1487"/>
    <n v="3180"/>
    <b v="1"/>
    <b v="1"/>
    <b v="1"/>
    <b v="1"/>
    <b v="1"/>
    <b v="1"/>
  </r>
  <r>
    <x v="1479"/>
    <n v="19972"/>
    <n v="17033"/>
    <n v="2939"/>
    <n v="8082364"/>
    <n v="30753384"/>
    <n v="38835748"/>
    <n v="1622"/>
    <n v="1106"/>
    <n v="2728"/>
    <b v="1"/>
    <b v="1"/>
    <b v="1"/>
    <b v="1"/>
    <b v="1"/>
    <b v="1"/>
  </r>
  <r>
    <x v="1480"/>
    <n v="15611"/>
    <n v="13218"/>
    <n v="2393"/>
    <n v="5588785"/>
    <n v="20043627"/>
    <n v="25632412"/>
    <n v="1607"/>
    <n v="929"/>
    <n v="2536"/>
    <b v="1"/>
    <b v="1"/>
    <b v="1"/>
    <b v="1"/>
    <b v="1"/>
    <b v="1"/>
  </r>
  <r>
    <x v="1481"/>
    <n v="19183"/>
    <n v="16672"/>
    <n v="2511"/>
    <n v="5641414"/>
    <n v="25673574"/>
    <n v="31314988"/>
    <n v="1357"/>
    <n v="1223"/>
    <n v="2580"/>
    <b v="1"/>
    <b v="1"/>
    <b v="1"/>
    <b v="1"/>
    <b v="1"/>
    <b v="1"/>
  </r>
  <r>
    <x v="1482"/>
    <n v="19979"/>
    <n v="16201"/>
    <n v="3778"/>
    <n v="8541297"/>
    <n v="31147503"/>
    <n v="39688800"/>
    <n v="2239"/>
    <n v="1172"/>
    <n v="3411"/>
    <b v="1"/>
    <b v="1"/>
    <b v="1"/>
    <b v="1"/>
    <b v="1"/>
    <b v="1"/>
  </r>
  <r>
    <x v="1483"/>
    <n v="29071"/>
    <n v="22868"/>
    <n v="6203"/>
    <n v="13082831"/>
    <n v="35954818"/>
    <n v="49037649"/>
    <n v="4606"/>
    <n v="1993"/>
    <n v="6599"/>
    <b v="1"/>
    <b v="1"/>
    <b v="1"/>
    <b v="1"/>
    <b v="1"/>
    <b v="1"/>
  </r>
  <r>
    <x v="1484"/>
    <n v="23920"/>
    <n v="19517"/>
    <n v="4403"/>
    <n v="6412459"/>
    <n v="33770635"/>
    <n v="40183094"/>
    <n v="2358"/>
    <n v="1491"/>
    <n v="3849"/>
    <b v="1"/>
    <b v="1"/>
    <b v="1"/>
    <b v="1"/>
    <b v="1"/>
    <b v="1"/>
  </r>
  <r>
    <x v="1485"/>
    <n v="24342"/>
    <n v="20427"/>
    <n v="3915"/>
    <n v="7771270"/>
    <n v="33182706"/>
    <n v="40953976"/>
    <n v="1763"/>
    <n v="1462"/>
    <n v="3225"/>
    <b v="1"/>
    <b v="1"/>
    <b v="1"/>
    <b v="1"/>
    <b v="1"/>
    <b v="1"/>
  </r>
  <r>
    <x v="1486"/>
    <n v="11158"/>
    <n v="9576"/>
    <n v="1582"/>
    <n v="1013100"/>
    <n v="15253018"/>
    <n v="16266118"/>
    <n v="526"/>
    <n v="562"/>
    <n v="1088"/>
    <b v="1"/>
    <b v="1"/>
    <b v="1"/>
    <b v="1"/>
    <b v="1"/>
    <b v="1"/>
  </r>
  <r>
    <x v="1487"/>
    <n v="13297"/>
    <n v="11299"/>
    <n v="1998"/>
    <n v="2312994"/>
    <n v="15407267"/>
    <n v="17720261"/>
    <n v="939"/>
    <n v="1107"/>
    <n v="2046"/>
    <b v="1"/>
    <b v="1"/>
    <b v="1"/>
    <b v="1"/>
    <b v="1"/>
    <b v="1"/>
  </r>
  <r>
    <x v="1488"/>
    <n v="22447"/>
    <n v="18473"/>
    <n v="3974"/>
    <n v="6948279"/>
    <n v="28381982"/>
    <n v="35330261"/>
    <n v="1887"/>
    <n v="1510"/>
    <n v="3397"/>
    <b v="1"/>
    <b v="1"/>
    <b v="1"/>
    <b v="1"/>
    <b v="1"/>
    <b v="1"/>
  </r>
  <r>
    <x v="1489"/>
    <n v="21901"/>
    <n v="17506"/>
    <n v="4395"/>
    <n v="8898324"/>
    <n v="37446617"/>
    <n v="46344941"/>
    <n v="2578"/>
    <n v="1980"/>
    <n v="4558"/>
    <b v="1"/>
    <b v="1"/>
    <b v="1"/>
    <b v="1"/>
    <b v="1"/>
    <b v="1"/>
  </r>
  <r>
    <x v="1490"/>
    <n v="34835"/>
    <n v="27432"/>
    <n v="7403"/>
    <n v="11294920"/>
    <n v="41460774"/>
    <n v="52755694"/>
    <n v="5030"/>
    <n v="2697"/>
    <n v="7727"/>
    <b v="1"/>
    <b v="1"/>
    <b v="1"/>
    <b v="1"/>
    <b v="1"/>
    <b v="1"/>
  </r>
  <r>
    <x v="1491"/>
    <n v="29237"/>
    <n v="23737"/>
    <n v="5500"/>
    <n v="7275019"/>
    <n v="38965939"/>
    <n v="46240958"/>
    <n v="3264"/>
    <n v="2824"/>
    <n v="6088"/>
    <b v="1"/>
    <b v="1"/>
    <b v="1"/>
    <b v="1"/>
    <b v="1"/>
    <b v="1"/>
  </r>
  <r>
    <x v="1492"/>
    <n v="31151"/>
    <n v="26207"/>
    <n v="4944"/>
    <n v="6808740"/>
    <n v="46461938"/>
    <n v="53270678"/>
    <n v="2715"/>
    <n v="2523"/>
    <n v="5238"/>
    <b v="1"/>
    <b v="1"/>
    <b v="1"/>
    <b v="1"/>
    <b v="1"/>
    <b v="1"/>
  </r>
  <r>
    <x v="1493"/>
    <n v="26992"/>
    <n v="22670"/>
    <n v="4322"/>
    <n v="6718908"/>
    <n v="38844085"/>
    <n v="45562993"/>
    <n v="2466"/>
    <n v="2537"/>
    <n v="5003"/>
    <b v="1"/>
    <b v="1"/>
    <b v="1"/>
    <b v="1"/>
    <b v="1"/>
    <b v="1"/>
  </r>
  <r>
    <x v="1494"/>
    <n v="20166"/>
    <n v="17056"/>
    <n v="3110"/>
    <n v="3579910"/>
    <n v="22330386"/>
    <n v="25910296"/>
    <n v="1813"/>
    <n v="2299"/>
    <n v="4112"/>
    <b v="1"/>
    <b v="1"/>
    <b v="1"/>
    <b v="1"/>
    <b v="1"/>
    <b v="1"/>
  </r>
  <r>
    <x v="1495"/>
    <n v="29561"/>
    <n v="24659"/>
    <n v="4902"/>
    <n v="5590848"/>
    <n v="26949776"/>
    <n v="32540624"/>
    <n v="3473"/>
    <n v="2771"/>
    <n v="6244"/>
    <b v="1"/>
    <b v="1"/>
    <b v="1"/>
    <b v="1"/>
    <b v="1"/>
    <b v="1"/>
  </r>
  <r>
    <x v="1496"/>
    <n v="28571"/>
    <n v="24622"/>
    <n v="3949"/>
    <n v="6458433"/>
    <n v="32853231"/>
    <n v="39311664"/>
    <n v="2317"/>
    <n v="2220"/>
    <n v="4537"/>
    <b v="1"/>
    <b v="1"/>
    <b v="1"/>
    <b v="1"/>
    <b v="1"/>
    <b v="1"/>
  </r>
  <r>
    <x v="1497"/>
    <n v="32567"/>
    <n v="26527"/>
    <n v="6040"/>
    <n v="9470999"/>
    <n v="34612523"/>
    <n v="44083522"/>
    <n v="3872"/>
    <n v="2661"/>
    <n v="6533"/>
    <b v="1"/>
    <b v="1"/>
    <b v="1"/>
    <b v="1"/>
    <b v="1"/>
    <b v="1"/>
  </r>
  <r>
    <x v="1498"/>
    <n v="25959"/>
    <n v="22010"/>
    <n v="3949"/>
    <n v="7026050"/>
    <n v="34560664"/>
    <n v="41586714"/>
    <n v="2231"/>
    <n v="2201"/>
    <n v="4432"/>
    <b v="1"/>
    <b v="1"/>
    <b v="1"/>
    <b v="1"/>
    <b v="1"/>
    <b v="1"/>
  </r>
  <r>
    <x v="1499"/>
    <n v="28646"/>
    <n v="24107"/>
    <n v="4539"/>
    <n v="5920592"/>
    <n v="36240099"/>
    <n v="42160691"/>
    <n v="2756"/>
    <n v="2412"/>
    <n v="5168"/>
    <b v="1"/>
    <b v="1"/>
    <b v="1"/>
    <b v="1"/>
    <b v="1"/>
    <b v="1"/>
  </r>
  <r>
    <x v="1500"/>
    <n v="24624"/>
    <n v="20734"/>
    <n v="3890"/>
    <n v="4729417"/>
    <n v="29609538"/>
    <n v="34338955"/>
    <n v="2400"/>
    <n v="2363"/>
    <n v="4763"/>
    <b v="1"/>
    <b v="1"/>
    <b v="1"/>
    <b v="1"/>
    <b v="1"/>
    <b v="1"/>
  </r>
  <r>
    <x v="1501"/>
    <n v="17376"/>
    <n v="14830"/>
    <n v="2546"/>
    <n v="2633573"/>
    <n v="18099642"/>
    <n v="20733215"/>
    <n v="1631"/>
    <n v="1872"/>
    <n v="3503"/>
    <b v="1"/>
    <b v="1"/>
    <b v="1"/>
    <b v="1"/>
    <b v="1"/>
    <b v="1"/>
  </r>
  <r>
    <x v="1502"/>
    <n v="20768"/>
    <n v="17746"/>
    <n v="3022"/>
    <n v="4391319"/>
    <n v="22368900"/>
    <n v="26760219"/>
    <n v="1482"/>
    <n v="1507"/>
    <n v="2989"/>
    <b v="1"/>
    <b v="1"/>
    <b v="1"/>
    <b v="1"/>
    <b v="1"/>
    <b v="1"/>
  </r>
  <r>
    <x v="1503"/>
    <n v="26487"/>
    <n v="22047"/>
    <n v="4440"/>
    <n v="7465067"/>
    <n v="40094714"/>
    <n v="47559781"/>
    <n v="2403"/>
    <n v="2374"/>
    <n v="4777"/>
    <b v="1"/>
    <b v="1"/>
    <b v="1"/>
    <b v="1"/>
    <b v="1"/>
    <b v="1"/>
  </r>
  <r>
    <x v="1504"/>
    <n v="35775"/>
    <n v="28053"/>
    <n v="7722"/>
    <n v="10115904"/>
    <n v="42246726"/>
    <n v="52362630"/>
    <n v="5182"/>
    <n v="2953"/>
    <n v="8135"/>
    <b v="1"/>
    <b v="1"/>
    <b v="1"/>
    <b v="1"/>
    <b v="1"/>
    <b v="1"/>
  </r>
  <r>
    <x v="1505"/>
    <n v="27812"/>
    <n v="22945"/>
    <n v="4867"/>
    <n v="9247467"/>
    <n v="38084367"/>
    <n v="47331834"/>
    <n v="2607"/>
    <n v="2264"/>
    <n v="4871"/>
    <b v="1"/>
    <b v="1"/>
    <b v="1"/>
    <b v="1"/>
    <b v="1"/>
    <b v="1"/>
  </r>
  <r>
    <x v="1506"/>
    <n v="30206"/>
    <n v="24688"/>
    <n v="5518"/>
    <n v="8968320"/>
    <n v="37116007"/>
    <n v="46084327"/>
    <n v="3213"/>
    <n v="2497"/>
    <n v="5710"/>
    <b v="1"/>
    <b v="1"/>
    <b v="1"/>
    <b v="1"/>
    <b v="1"/>
    <b v="1"/>
  </r>
  <r>
    <x v="1507"/>
    <n v="25351"/>
    <n v="21022"/>
    <n v="4329"/>
    <n v="7151394"/>
    <n v="35918805"/>
    <n v="43070199"/>
    <n v="2313"/>
    <n v="2209"/>
    <n v="4522"/>
    <b v="1"/>
    <b v="1"/>
    <b v="1"/>
    <b v="1"/>
    <b v="1"/>
    <b v="1"/>
  </r>
  <r>
    <x v="1508"/>
    <n v="17441"/>
    <n v="14841"/>
    <n v="2600"/>
    <n v="3150425"/>
    <n v="22642188"/>
    <n v="25792613"/>
    <n v="1389"/>
    <n v="1631"/>
    <n v="3020"/>
    <b v="1"/>
    <b v="1"/>
    <b v="1"/>
    <b v="1"/>
    <b v="1"/>
    <b v="1"/>
  </r>
  <r>
    <x v="1509"/>
    <n v="24555"/>
    <n v="20347"/>
    <n v="4208"/>
    <n v="5563075"/>
    <n v="30240666"/>
    <n v="35803741"/>
    <n v="2415"/>
    <n v="1897"/>
    <n v="4312"/>
    <b v="1"/>
    <b v="1"/>
    <b v="1"/>
    <b v="1"/>
    <b v="1"/>
    <b v="1"/>
  </r>
  <r>
    <x v="1510"/>
    <n v="24756"/>
    <n v="20577"/>
    <n v="4179"/>
    <n v="7042197"/>
    <n v="30341161"/>
    <n v="37383358"/>
    <n v="2210"/>
    <n v="1794"/>
    <n v="4004"/>
    <b v="1"/>
    <b v="1"/>
    <b v="1"/>
    <b v="1"/>
    <b v="1"/>
    <b v="1"/>
  </r>
  <r>
    <x v="1511"/>
    <n v="31122"/>
    <n v="24457"/>
    <n v="6665"/>
    <n v="8412204"/>
    <n v="33351026"/>
    <n v="41763230"/>
    <n v="4695"/>
    <n v="2378"/>
    <n v="7073"/>
    <b v="1"/>
    <b v="1"/>
    <b v="1"/>
    <b v="1"/>
    <b v="1"/>
    <b v="1"/>
  </r>
  <r>
    <x v="1512"/>
    <n v="26343"/>
    <n v="21912"/>
    <n v="4431"/>
    <n v="6927346"/>
    <n v="34211255"/>
    <n v="41138601"/>
    <n v="2439"/>
    <n v="2152"/>
    <n v="4591"/>
    <b v="1"/>
    <b v="1"/>
    <b v="1"/>
    <b v="1"/>
    <b v="1"/>
    <b v="1"/>
  </r>
  <r>
    <x v="1513"/>
    <n v="26432"/>
    <n v="22454"/>
    <n v="3978"/>
    <n v="6756997"/>
    <n v="38039874"/>
    <n v="44796871"/>
    <n v="2394"/>
    <n v="2012"/>
    <n v="4406"/>
    <b v="1"/>
    <b v="1"/>
    <b v="1"/>
    <b v="1"/>
    <b v="1"/>
    <b v="1"/>
  </r>
  <r>
    <x v="1514"/>
    <n v="24513"/>
    <n v="20802"/>
    <n v="3711"/>
    <n v="5019770"/>
    <n v="28306667"/>
    <n v="33326437"/>
    <n v="2001"/>
    <n v="1688"/>
    <n v="3689"/>
    <b v="1"/>
    <b v="1"/>
    <b v="1"/>
    <b v="1"/>
    <b v="1"/>
    <b v="1"/>
  </r>
  <r>
    <x v="1515"/>
    <n v="17294"/>
    <n v="14693"/>
    <n v="2601"/>
    <n v="2871225"/>
    <n v="22158812"/>
    <n v="25030037"/>
    <n v="1282"/>
    <n v="1192"/>
    <n v="2474"/>
    <b v="1"/>
    <b v="1"/>
    <b v="1"/>
    <b v="1"/>
    <b v="1"/>
    <b v="1"/>
  </r>
  <r>
    <x v="1516"/>
    <n v="26268"/>
    <n v="21647"/>
    <n v="4621"/>
    <n v="6520325"/>
    <n v="32406072"/>
    <n v="38926397"/>
    <n v="2481"/>
    <n v="1928"/>
    <n v="4409"/>
    <b v="1"/>
    <b v="1"/>
    <b v="1"/>
    <b v="1"/>
    <b v="1"/>
    <b v="1"/>
  </r>
  <r>
    <x v="1517"/>
    <n v="25632"/>
    <n v="21768"/>
    <n v="3864"/>
    <n v="8611388"/>
    <n v="38512314"/>
    <n v="47123702"/>
    <n v="2097"/>
    <n v="1838"/>
    <n v="3935"/>
    <b v="1"/>
    <b v="1"/>
    <b v="1"/>
    <b v="1"/>
    <b v="1"/>
    <b v="1"/>
  </r>
  <r>
    <x v="1518"/>
    <n v="33703"/>
    <n v="26792"/>
    <n v="6911"/>
    <n v="10684383"/>
    <n v="40399270"/>
    <n v="51083653"/>
    <n v="5205"/>
    <n v="2564"/>
    <n v="7769"/>
    <b v="1"/>
    <b v="1"/>
    <b v="1"/>
    <b v="1"/>
    <b v="1"/>
    <b v="1"/>
  </r>
  <r>
    <x v="1519"/>
    <n v="29266"/>
    <n v="24585"/>
    <n v="4681"/>
    <n v="8162334"/>
    <n v="42290783"/>
    <n v="50453117"/>
    <n v="2809"/>
    <n v="2379"/>
    <n v="5188"/>
    <b v="1"/>
    <b v="1"/>
    <b v="1"/>
    <b v="1"/>
    <b v="1"/>
    <b v="1"/>
  </r>
  <r>
    <x v="1520"/>
    <n v="33674"/>
    <n v="29022"/>
    <n v="4652"/>
    <n v="9592482"/>
    <n v="52187254"/>
    <n v="61779736"/>
    <n v="2692"/>
    <n v="2433"/>
    <n v="5125"/>
    <b v="1"/>
    <b v="1"/>
    <b v="1"/>
    <b v="1"/>
    <b v="1"/>
    <b v="1"/>
  </r>
  <r>
    <x v="1521"/>
    <n v="26741"/>
    <n v="22757"/>
    <n v="3984"/>
    <n v="6810584"/>
    <n v="40484879"/>
    <n v="47295463"/>
    <n v="2096"/>
    <n v="1873"/>
    <n v="3969"/>
    <b v="1"/>
    <b v="1"/>
    <b v="1"/>
    <b v="1"/>
    <b v="1"/>
    <b v="1"/>
  </r>
  <r>
    <x v="1522"/>
    <n v="21129"/>
    <n v="17813"/>
    <n v="3316"/>
    <n v="7969326"/>
    <n v="31829446"/>
    <n v="39798772"/>
    <n v="1565"/>
    <n v="1458"/>
    <n v="3023"/>
    <b v="1"/>
    <b v="1"/>
    <b v="1"/>
    <b v="1"/>
    <b v="1"/>
    <b v="1"/>
  </r>
  <r>
    <x v="1523"/>
    <n v="25287"/>
    <n v="21303"/>
    <n v="3984"/>
    <n v="7421952"/>
    <n v="30015887"/>
    <n v="37437839"/>
    <n v="1719"/>
    <n v="1702"/>
    <n v="3421"/>
    <b v="1"/>
    <b v="1"/>
    <b v="1"/>
    <b v="1"/>
    <b v="1"/>
    <b v="1"/>
  </r>
  <r>
    <x v="1524"/>
    <n v="29153"/>
    <n v="23763"/>
    <n v="5390"/>
    <n v="5524255"/>
    <n v="26902965"/>
    <n v="32427220"/>
    <n v="2438"/>
    <n v="2102"/>
    <n v="4540"/>
    <b v="1"/>
    <b v="1"/>
    <b v="1"/>
    <b v="1"/>
    <b v="1"/>
    <b v="1"/>
  </r>
  <r>
    <x v="1525"/>
    <n v="38286"/>
    <n v="29745"/>
    <n v="8541"/>
    <n v="11115511"/>
    <n v="40863242"/>
    <n v="51978753"/>
    <n v="5157"/>
    <n v="2599"/>
    <n v="7756"/>
    <b v="1"/>
    <b v="1"/>
    <b v="1"/>
    <b v="1"/>
    <b v="1"/>
    <b v="1"/>
  </r>
  <r>
    <x v="1526"/>
    <n v="28439"/>
    <n v="23601"/>
    <n v="4838"/>
    <n v="6173500"/>
    <n v="39116796"/>
    <n v="45290296"/>
    <n v="2481"/>
    <n v="1950"/>
    <n v="4431"/>
    <b v="1"/>
    <b v="1"/>
    <b v="1"/>
    <b v="1"/>
    <b v="1"/>
    <b v="1"/>
  </r>
  <r>
    <x v="1527"/>
    <n v="26855"/>
    <n v="21928"/>
    <n v="4927"/>
    <n v="6890948"/>
    <n v="34494361"/>
    <n v="41385309"/>
    <n v="2605"/>
    <n v="1754"/>
    <n v="4359"/>
    <b v="1"/>
    <b v="1"/>
    <b v="1"/>
    <b v="1"/>
    <b v="1"/>
    <b v="1"/>
  </r>
  <r>
    <x v="1528"/>
    <n v="24552"/>
    <n v="20404"/>
    <n v="4148"/>
    <n v="4423814"/>
    <n v="30917091"/>
    <n v="35340905"/>
    <n v="1702"/>
    <n v="1468"/>
    <n v="3170"/>
    <b v="1"/>
    <b v="1"/>
    <b v="1"/>
    <b v="1"/>
    <b v="1"/>
    <b v="1"/>
  </r>
  <r>
    <x v="1529"/>
    <n v="17522"/>
    <n v="14296"/>
    <n v="3226"/>
    <n v="3279925"/>
    <n v="20086075"/>
    <n v="23366000"/>
    <n v="1389"/>
    <n v="1339"/>
    <n v="2728"/>
    <b v="1"/>
    <b v="1"/>
    <b v="1"/>
    <b v="1"/>
    <b v="1"/>
    <b v="1"/>
  </r>
  <r>
    <x v="1530"/>
    <n v="28695"/>
    <n v="23204"/>
    <n v="5491"/>
    <n v="6824417"/>
    <n v="30890584"/>
    <n v="37715001"/>
    <n v="2945"/>
    <n v="2250"/>
    <n v="5195"/>
    <b v="1"/>
    <b v="1"/>
    <b v="1"/>
    <b v="1"/>
    <b v="1"/>
    <b v="1"/>
  </r>
  <r>
    <x v="1531"/>
    <n v="33699"/>
    <n v="27484"/>
    <n v="6215"/>
    <n v="7897930"/>
    <n v="40691964"/>
    <n v="48589894"/>
    <n v="3449"/>
    <n v="2561"/>
    <n v="6010"/>
    <b v="1"/>
    <b v="1"/>
    <b v="1"/>
    <b v="1"/>
    <b v="1"/>
    <b v="1"/>
  </r>
  <r>
    <x v="1532"/>
    <n v="40010"/>
    <n v="30761"/>
    <n v="9249"/>
    <n v="9646563"/>
    <n v="43528416"/>
    <n v="53174979"/>
    <n v="6113"/>
    <n v="3147"/>
    <n v="9260"/>
    <b v="1"/>
    <b v="1"/>
    <b v="1"/>
    <b v="1"/>
    <b v="1"/>
    <b v="1"/>
  </r>
  <r>
    <x v="1533"/>
    <n v="32928"/>
    <n v="26814"/>
    <n v="6114"/>
    <n v="7839895"/>
    <n v="37496912"/>
    <n v="45336807"/>
    <n v="3168"/>
    <n v="2828"/>
    <n v="5996"/>
    <b v="1"/>
    <b v="1"/>
    <b v="1"/>
    <b v="1"/>
    <b v="1"/>
    <b v="1"/>
  </r>
  <r>
    <x v="1534"/>
    <n v="41846"/>
    <n v="32440"/>
    <n v="9406"/>
    <n v="10063735"/>
    <n v="45328004"/>
    <n v="55391739"/>
    <n v="5898"/>
    <n v="3408"/>
    <n v="9306"/>
    <b v="1"/>
    <b v="1"/>
    <b v="1"/>
    <b v="1"/>
    <b v="1"/>
    <b v="1"/>
  </r>
  <r>
    <x v="1535"/>
    <n v="34654"/>
    <n v="27894"/>
    <n v="6760"/>
    <n v="9890005"/>
    <n v="38077059"/>
    <n v="47967064"/>
    <n v="4686"/>
    <n v="2748"/>
    <n v="7434"/>
    <b v="1"/>
    <b v="1"/>
    <b v="1"/>
    <b v="1"/>
    <b v="1"/>
    <b v="1"/>
  </r>
  <r>
    <x v="1536"/>
    <n v="26343"/>
    <n v="20969"/>
    <n v="5374"/>
    <n v="4413548"/>
    <n v="25672711"/>
    <n v="30086259"/>
    <n v="4383"/>
    <n v="2563"/>
    <n v="6946"/>
    <b v="1"/>
    <b v="1"/>
    <b v="1"/>
    <b v="1"/>
    <b v="1"/>
    <b v="1"/>
  </r>
  <r>
    <x v="1537"/>
    <n v="34745"/>
    <n v="27726"/>
    <n v="7019"/>
    <n v="8447053"/>
    <n v="32269655"/>
    <n v="40716708"/>
    <n v="5352"/>
    <n v="3194"/>
    <n v="8546"/>
    <b v="1"/>
    <b v="1"/>
    <b v="1"/>
    <b v="1"/>
    <b v="1"/>
    <b v="1"/>
  </r>
  <r>
    <x v="1538"/>
    <n v="40875"/>
    <n v="31372"/>
    <n v="9503"/>
    <n v="9030656"/>
    <n v="39891137"/>
    <n v="48921793"/>
    <n v="6103"/>
    <n v="3411"/>
    <n v="9514"/>
    <b v="1"/>
    <b v="1"/>
    <b v="1"/>
    <b v="1"/>
    <b v="1"/>
    <b v="1"/>
  </r>
  <r>
    <x v="1539"/>
    <n v="23885"/>
    <n v="18656"/>
    <n v="5229"/>
    <n v="9273140"/>
    <n v="17240683"/>
    <n v="26513823"/>
    <n v="1898"/>
    <n v="1769"/>
    <n v="3667"/>
    <b v="1"/>
    <b v="1"/>
    <b v="1"/>
    <b v="1"/>
    <b v="1"/>
    <b v="1"/>
  </r>
  <r>
    <x v="1540"/>
    <n v="10194"/>
    <n v="6868"/>
    <n v="3326"/>
    <n v="1519215"/>
    <n v="7902322"/>
    <n v="9421537"/>
    <n v="609"/>
    <n v="1058"/>
    <n v="1667"/>
    <b v="1"/>
    <b v="1"/>
    <b v="1"/>
    <b v="1"/>
    <b v="1"/>
    <b v="1"/>
  </r>
  <r>
    <x v="1541"/>
    <n v="25297"/>
    <n v="19766"/>
    <n v="5531"/>
    <n v="4480330"/>
    <n v="14099986"/>
    <n v="18580316"/>
    <n v="2069"/>
    <n v="1201"/>
    <n v="3270"/>
    <b v="1"/>
    <b v="1"/>
    <b v="1"/>
    <b v="1"/>
    <b v="1"/>
    <b v="1"/>
  </r>
  <r>
    <x v="1542"/>
    <n v="28777"/>
    <n v="23097"/>
    <n v="5680"/>
    <n v="4989725"/>
    <n v="23111914"/>
    <n v="28101639"/>
    <n v="2206"/>
    <n v="2567"/>
    <n v="4773"/>
    <b v="1"/>
    <b v="1"/>
    <b v="1"/>
    <b v="1"/>
    <b v="1"/>
    <b v="1"/>
  </r>
  <r>
    <x v="1543"/>
    <n v="21670"/>
    <n v="17295"/>
    <n v="4375"/>
    <n v="4158760"/>
    <n v="18495203"/>
    <n v="22653963"/>
    <n v="1627"/>
    <n v="2303"/>
    <n v="3930"/>
    <b v="1"/>
    <b v="1"/>
    <b v="1"/>
    <b v="1"/>
    <b v="1"/>
    <b v="1"/>
  </r>
  <r>
    <x v="1544"/>
    <n v="32612"/>
    <n v="25739"/>
    <n v="6873"/>
    <n v="6450067"/>
    <n v="30966800"/>
    <n v="37416867"/>
    <n v="3051"/>
    <n v="3422"/>
    <n v="6473"/>
    <b v="1"/>
    <b v="1"/>
    <b v="1"/>
    <b v="1"/>
    <b v="1"/>
    <b v="1"/>
  </r>
  <r>
    <x v="1545"/>
    <n v="32488"/>
    <n v="26638"/>
    <n v="5850"/>
    <n v="7624245"/>
    <n v="40568327"/>
    <n v="48192572"/>
    <n v="2578"/>
    <n v="3120"/>
    <n v="5698"/>
    <b v="1"/>
    <b v="1"/>
    <b v="1"/>
    <b v="1"/>
    <b v="1"/>
    <b v="1"/>
  </r>
  <r>
    <x v="1546"/>
    <n v="38841"/>
    <n v="30140"/>
    <n v="8701"/>
    <n v="10591219"/>
    <n v="43062834"/>
    <n v="53654053"/>
    <n v="5203"/>
    <n v="3861"/>
    <n v="9064"/>
    <b v="1"/>
    <b v="1"/>
    <b v="1"/>
    <b v="1"/>
    <b v="1"/>
    <b v="1"/>
  </r>
  <r>
    <x v="1547"/>
    <n v="30454"/>
    <n v="25006"/>
    <n v="5448"/>
    <n v="6168227"/>
    <n v="33372105"/>
    <n v="39540332"/>
    <n v="2604"/>
    <n v="3487"/>
    <n v="6091"/>
    <b v="1"/>
    <b v="1"/>
    <b v="1"/>
    <b v="1"/>
    <b v="1"/>
    <b v="1"/>
  </r>
  <r>
    <x v="1548"/>
    <n v="30978"/>
    <n v="25447"/>
    <n v="5531"/>
    <n v="7227179"/>
    <n v="35075129"/>
    <n v="42302308"/>
    <n v="2528"/>
    <n v="3605"/>
    <n v="6133"/>
    <b v="1"/>
    <b v="1"/>
    <b v="1"/>
    <b v="1"/>
    <b v="1"/>
    <b v="1"/>
  </r>
  <r>
    <x v="1549"/>
    <n v="32875"/>
    <n v="25497"/>
    <n v="7378"/>
    <n v="7877485"/>
    <n v="27591767"/>
    <n v="35469252"/>
    <n v="4261"/>
    <n v="3436"/>
    <n v="7697"/>
    <b v="1"/>
    <b v="1"/>
    <b v="1"/>
    <b v="1"/>
    <b v="1"/>
    <b v="1"/>
  </r>
  <r>
    <x v="1550"/>
    <n v="22138"/>
    <n v="17766"/>
    <n v="4372"/>
    <n v="3647351"/>
    <n v="21961066"/>
    <n v="25608417"/>
    <n v="1971"/>
    <n v="2677"/>
    <n v="4648"/>
    <b v="1"/>
    <b v="1"/>
    <b v="1"/>
    <b v="1"/>
    <b v="1"/>
    <b v="1"/>
  </r>
  <r>
    <x v="1551"/>
    <n v="33326"/>
    <n v="27196"/>
    <n v="6130"/>
    <n v="6270770"/>
    <n v="34087049"/>
    <n v="40357819"/>
    <n v="4567"/>
    <n v="3511"/>
    <n v="8078"/>
    <b v="1"/>
    <b v="1"/>
    <b v="1"/>
    <b v="1"/>
    <b v="1"/>
    <b v="1"/>
  </r>
  <r>
    <x v="1552"/>
    <n v="34987"/>
    <n v="27827"/>
    <n v="7160"/>
    <n v="5131831"/>
    <n v="36105102"/>
    <n v="41236933"/>
    <n v="2811"/>
    <n v="3096"/>
    <n v="5907"/>
    <b v="1"/>
    <b v="1"/>
    <b v="1"/>
    <b v="1"/>
    <b v="1"/>
    <b v="1"/>
  </r>
  <r>
    <x v="1553"/>
    <n v="33132"/>
    <n v="25662"/>
    <n v="7470"/>
    <n v="7354700"/>
    <n v="33980073"/>
    <n v="41334773"/>
    <n v="3510"/>
    <n v="2534"/>
    <n v="6044"/>
    <b v="1"/>
    <b v="1"/>
    <b v="1"/>
    <b v="1"/>
    <b v="1"/>
    <b v="1"/>
  </r>
  <r>
    <x v="1554"/>
    <n v="32479"/>
    <n v="25441"/>
    <n v="7038"/>
    <n v="4555497"/>
    <n v="29615160"/>
    <n v="34170657"/>
    <n v="2498"/>
    <n v="2777"/>
    <n v="5275"/>
    <b v="1"/>
    <b v="1"/>
    <b v="1"/>
    <b v="1"/>
    <b v="1"/>
    <b v="1"/>
  </r>
  <r>
    <x v="1555"/>
    <n v="31372"/>
    <n v="24680"/>
    <n v="6692"/>
    <n v="5563780"/>
    <n v="34125415"/>
    <n v="39689195"/>
    <n v="3079"/>
    <n v="3188"/>
    <n v="6267"/>
    <b v="1"/>
    <b v="1"/>
    <b v="1"/>
    <b v="1"/>
    <b v="1"/>
    <b v="1"/>
  </r>
  <r>
    <x v="1556"/>
    <n v="27804"/>
    <n v="22080"/>
    <n v="5724"/>
    <n v="4759905"/>
    <n v="25795325"/>
    <n v="30555230"/>
    <n v="3017"/>
    <n v="2938"/>
    <n v="5955"/>
    <b v="1"/>
    <b v="1"/>
    <b v="1"/>
    <b v="1"/>
    <b v="1"/>
    <b v="1"/>
  </r>
  <r>
    <x v="1557"/>
    <n v="19697"/>
    <n v="16188"/>
    <n v="3509"/>
    <n v="3213775"/>
    <n v="18846291"/>
    <n v="22060066"/>
    <n v="1896"/>
    <n v="2643"/>
    <n v="4539"/>
    <b v="1"/>
    <b v="1"/>
    <b v="1"/>
    <b v="1"/>
    <b v="1"/>
    <b v="1"/>
  </r>
  <r>
    <x v="1558"/>
    <n v="25901"/>
    <n v="20832"/>
    <n v="5069"/>
    <n v="4633670"/>
    <n v="23907993"/>
    <n v="28541663"/>
    <n v="3011"/>
    <n v="3055"/>
    <n v="6066"/>
    <b v="1"/>
    <b v="1"/>
    <b v="1"/>
    <b v="1"/>
    <b v="1"/>
    <b v="1"/>
  </r>
  <r>
    <x v="1559"/>
    <n v="30803"/>
    <n v="23465"/>
    <n v="7338"/>
    <n v="7801176"/>
    <n v="27783751"/>
    <n v="35584927"/>
    <n v="4805"/>
    <n v="3345"/>
    <n v="8150"/>
    <b v="1"/>
    <b v="1"/>
    <b v="1"/>
    <b v="1"/>
    <b v="1"/>
    <b v="1"/>
  </r>
  <r>
    <x v="1560"/>
    <n v="29496"/>
    <n v="22420"/>
    <n v="7076"/>
    <n v="5844116"/>
    <n v="31860102"/>
    <n v="37704218"/>
    <n v="3193"/>
    <n v="2839"/>
    <n v="6032"/>
    <b v="1"/>
    <b v="1"/>
    <b v="1"/>
    <b v="1"/>
    <b v="1"/>
    <b v="1"/>
  </r>
  <r>
    <x v="1561"/>
    <n v="31812"/>
    <n v="23421"/>
    <n v="8391"/>
    <n v="13617589"/>
    <n v="45526777"/>
    <n v="59144366"/>
    <n v="4632"/>
    <n v="3166"/>
    <n v="7798"/>
    <b v="1"/>
    <b v="1"/>
    <b v="1"/>
    <b v="1"/>
    <b v="1"/>
    <b v="1"/>
  </r>
  <r>
    <x v="1562"/>
    <n v="25647"/>
    <n v="20459"/>
    <n v="5188"/>
    <n v="4890652"/>
    <n v="30817224"/>
    <n v="35707876"/>
    <n v="2842"/>
    <n v="2982"/>
    <n v="5824"/>
    <b v="1"/>
    <b v="1"/>
    <b v="1"/>
    <b v="1"/>
    <b v="1"/>
    <b v="1"/>
  </r>
  <r>
    <x v="1563"/>
    <n v="22959"/>
    <n v="17691"/>
    <n v="5268"/>
    <n v="4207425"/>
    <n v="20424588"/>
    <n v="24632013"/>
    <n v="2491"/>
    <n v="2384"/>
    <n v="4875"/>
    <b v="1"/>
    <b v="1"/>
    <b v="1"/>
    <b v="1"/>
    <b v="1"/>
    <b v="1"/>
  </r>
  <r>
    <x v="1564"/>
    <n v="18802"/>
    <n v="14687"/>
    <n v="4115"/>
    <n v="2744050"/>
    <n v="14933032"/>
    <n v="17677082"/>
    <n v="1695"/>
    <n v="2076"/>
    <n v="3771"/>
    <b v="1"/>
    <b v="1"/>
    <b v="1"/>
    <b v="1"/>
    <b v="1"/>
    <b v="1"/>
  </r>
  <r>
    <x v="1565"/>
    <n v="24450"/>
    <n v="19552"/>
    <n v="4898"/>
    <n v="5182257"/>
    <n v="21408494"/>
    <n v="26590751"/>
    <n v="2388"/>
    <n v="2757"/>
    <n v="5145"/>
    <b v="1"/>
    <b v="1"/>
    <b v="1"/>
    <b v="1"/>
    <b v="1"/>
    <b v="1"/>
  </r>
  <r>
    <x v="1566"/>
    <n v="26195"/>
    <n v="20674"/>
    <n v="5521"/>
    <n v="6375185"/>
    <n v="29740770"/>
    <n v="36115955"/>
    <n v="2767"/>
    <n v="3303"/>
    <n v="6070"/>
    <b v="1"/>
    <b v="1"/>
    <b v="1"/>
    <b v="1"/>
    <b v="1"/>
    <b v="1"/>
  </r>
  <r>
    <x v="1567"/>
    <n v="29331"/>
    <n v="22582"/>
    <n v="6749"/>
    <n v="12995975"/>
    <n v="46045260"/>
    <n v="59041235"/>
    <n v="4290"/>
    <n v="3425"/>
    <n v="7715"/>
    <b v="1"/>
    <b v="1"/>
    <b v="1"/>
    <b v="1"/>
    <b v="1"/>
    <b v="1"/>
  </r>
  <r>
    <x v="1568"/>
    <n v="27441"/>
    <n v="22039"/>
    <n v="5402"/>
    <n v="6803042"/>
    <n v="30776475"/>
    <n v="37579517"/>
    <n v="3067"/>
    <n v="3051"/>
    <n v="6118"/>
    <b v="1"/>
    <b v="1"/>
    <b v="1"/>
    <b v="1"/>
    <b v="1"/>
    <b v="1"/>
  </r>
  <r>
    <x v="1569"/>
    <n v="27519"/>
    <n v="21505"/>
    <n v="6014"/>
    <n v="5926275"/>
    <n v="27834100"/>
    <n v="33760375"/>
    <n v="3633"/>
    <n v="3026"/>
    <n v="6659"/>
    <b v="1"/>
    <b v="1"/>
    <b v="1"/>
    <b v="1"/>
    <b v="1"/>
    <b v="1"/>
  </r>
  <r>
    <x v="1570"/>
    <n v="27180"/>
    <n v="21887"/>
    <n v="5293"/>
    <n v="5630464"/>
    <n v="26990905"/>
    <n v="32621369"/>
    <n v="2719"/>
    <n v="3048"/>
    <n v="5767"/>
    <b v="1"/>
    <b v="1"/>
    <b v="1"/>
    <b v="1"/>
    <b v="1"/>
    <b v="1"/>
  </r>
  <r>
    <x v="1571"/>
    <n v="24999"/>
    <n v="19284"/>
    <n v="5715"/>
    <n v="3090385"/>
    <n v="20214377"/>
    <n v="23304762"/>
    <n v="2041"/>
    <n v="2389"/>
    <n v="4430"/>
    <b v="1"/>
    <b v="1"/>
    <b v="1"/>
    <b v="1"/>
    <b v="1"/>
    <b v="1"/>
  </r>
  <r>
    <x v="1572"/>
    <n v="30281"/>
    <n v="22823"/>
    <n v="7458"/>
    <n v="4353445"/>
    <n v="28862809"/>
    <n v="33216254"/>
    <n v="3742"/>
    <n v="3157"/>
    <n v="6899"/>
    <b v="1"/>
    <b v="1"/>
    <b v="1"/>
    <b v="1"/>
    <b v="1"/>
    <b v="1"/>
  </r>
  <r>
    <x v="1573"/>
    <n v="29467"/>
    <n v="22779"/>
    <n v="6688"/>
    <n v="5471090"/>
    <n v="25751550"/>
    <n v="31222640"/>
    <n v="3295"/>
    <n v="3099"/>
    <n v="6394"/>
    <b v="1"/>
    <b v="1"/>
    <b v="1"/>
    <b v="1"/>
    <b v="1"/>
    <b v="1"/>
  </r>
  <r>
    <x v="1574"/>
    <n v="29385"/>
    <n v="22473"/>
    <n v="6912"/>
    <n v="5231818"/>
    <n v="28281786"/>
    <n v="33513604"/>
    <n v="3469"/>
    <n v="2568"/>
    <n v="6037"/>
    <b v="1"/>
    <b v="1"/>
    <b v="1"/>
    <b v="1"/>
    <b v="1"/>
    <b v="1"/>
  </r>
  <r>
    <x v="1575"/>
    <n v="30934"/>
    <n v="23659"/>
    <n v="7275"/>
    <n v="13453945"/>
    <n v="47765091"/>
    <n v="61219036"/>
    <n v="3396"/>
    <n v="2418"/>
    <n v="5814"/>
    <b v="1"/>
    <b v="1"/>
    <b v="1"/>
    <b v="1"/>
    <b v="1"/>
    <b v="1"/>
  </r>
  <r>
    <x v="1576"/>
    <n v="33641"/>
    <n v="24906"/>
    <n v="8735"/>
    <n v="9065135"/>
    <n v="31777426"/>
    <n v="40842561"/>
    <n v="4957"/>
    <n v="2602"/>
    <n v="7559"/>
    <b v="1"/>
    <b v="1"/>
    <b v="1"/>
    <b v="1"/>
    <b v="1"/>
    <b v="1"/>
  </r>
  <r>
    <x v="1577"/>
    <n v="29611"/>
    <n v="22949"/>
    <n v="6662"/>
    <n v="6951276"/>
    <n v="26359189"/>
    <n v="33310465"/>
    <n v="3618"/>
    <n v="2626"/>
    <n v="6244"/>
    <b v="1"/>
    <b v="1"/>
    <b v="1"/>
    <b v="1"/>
    <b v="1"/>
    <b v="1"/>
  </r>
  <r>
    <x v="1578"/>
    <n v="21711"/>
    <n v="16801"/>
    <n v="4910"/>
    <n v="3047874"/>
    <n v="17182535"/>
    <n v="20230409"/>
    <n v="1781"/>
    <n v="1742"/>
    <n v="3523"/>
    <b v="1"/>
    <b v="1"/>
    <b v="1"/>
    <b v="1"/>
    <b v="1"/>
    <b v="1"/>
  </r>
  <r>
    <x v="1579"/>
    <n v="30755"/>
    <n v="22690"/>
    <n v="8065"/>
    <n v="5767725"/>
    <n v="25781693"/>
    <n v="31549418"/>
    <n v="4485"/>
    <n v="2515"/>
    <n v="7000"/>
    <b v="1"/>
    <b v="1"/>
    <b v="1"/>
    <b v="1"/>
    <b v="1"/>
    <b v="1"/>
  </r>
  <r>
    <x v="1580"/>
    <n v="29799"/>
    <n v="22429"/>
    <n v="7370"/>
    <n v="5476247"/>
    <n v="34627270"/>
    <n v="40103517"/>
    <n v="3344"/>
    <n v="2341"/>
    <n v="5685"/>
    <b v="1"/>
    <b v="1"/>
    <b v="1"/>
    <b v="1"/>
    <b v="1"/>
    <b v="1"/>
  </r>
  <r>
    <x v="1581"/>
    <n v="37206"/>
    <n v="28157"/>
    <n v="9049"/>
    <n v="7555817"/>
    <n v="41528979"/>
    <n v="49084796"/>
    <n v="5334"/>
    <n v="2774"/>
    <n v="8108"/>
    <b v="1"/>
    <b v="1"/>
    <b v="1"/>
    <b v="1"/>
    <b v="1"/>
    <b v="1"/>
  </r>
  <r>
    <x v="1582"/>
    <n v="33659"/>
    <n v="26143"/>
    <n v="7516"/>
    <n v="6471530"/>
    <n v="36979584"/>
    <n v="43451114"/>
    <n v="3841"/>
    <n v="2739"/>
    <n v="6580"/>
    <b v="1"/>
    <b v="1"/>
    <b v="1"/>
    <b v="1"/>
    <b v="1"/>
    <b v="1"/>
  </r>
  <r>
    <x v="1583"/>
    <n v="31220"/>
    <n v="24903"/>
    <n v="6317"/>
    <n v="5566043"/>
    <n v="30794509"/>
    <n v="36360552"/>
    <n v="3113"/>
    <n v="3010"/>
    <n v="6123"/>
    <b v="1"/>
    <b v="1"/>
    <b v="1"/>
    <b v="1"/>
    <b v="1"/>
    <b v="1"/>
  </r>
  <r>
    <x v="1584"/>
    <n v="30448"/>
    <n v="24759"/>
    <n v="5689"/>
    <n v="5888465"/>
    <n v="30332464"/>
    <n v="36220929"/>
    <n v="3102"/>
    <n v="3023"/>
    <n v="6125"/>
    <b v="1"/>
    <b v="1"/>
    <b v="1"/>
    <b v="1"/>
    <b v="1"/>
    <b v="1"/>
  </r>
  <r>
    <x v="1585"/>
    <n v="20917"/>
    <n v="17661"/>
    <n v="3256"/>
    <n v="3727020"/>
    <n v="24889088"/>
    <n v="28616108"/>
    <n v="1550"/>
    <n v="2400"/>
    <n v="3950"/>
    <b v="1"/>
    <b v="1"/>
    <b v="1"/>
    <b v="1"/>
    <b v="1"/>
    <b v="1"/>
  </r>
  <r>
    <x v="1586"/>
    <n v="29413"/>
    <n v="23076"/>
    <n v="6337"/>
    <n v="6461932"/>
    <n v="28031252"/>
    <n v="34493184"/>
    <n v="4086"/>
    <n v="3026"/>
    <n v="7112"/>
    <b v="1"/>
    <b v="1"/>
    <b v="1"/>
    <b v="1"/>
    <b v="1"/>
    <b v="1"/>
  </r>
  <r>
    <x v="1587"/>
    <n v="28423"/>
    <n v="22165"/>
    <n v="6258"/>
    <n v="6465945"/>
    <n v="27935583"/>
    <n v="34401528"/>
    <n v="3794"/>
    <n v="2882"/>
    <n v="6676"/>
    <b v="1"/>
    <b v="1"/>
    <b v="1"/>
    <b v="1"/>
    <b v="1"/>
    <b v="1"/>
  </r>
  <r>
    <x v="1588"/>
    <n v="35968"/>
    <n v="26428"/>
    <n v="9540"/>
    <n v="8398336"/>
    <n v="32777036"/>
    <n v="41175372"/>
    <n v="6530"/>
    <n v="3031"/>
    <n v="9561"/>
    <b v="1"/>
    <b v="1"/>
    <b v="1"/>
    <b v="1"/>
    <b v="1"/>
    <b v="1"/>
  </r>
  <r>
    <x v="1589"/>
    <n v="34087"/>
    <n v="24893"/>
    <n v="9194"/>
    <n v="7943838"/>
    <n v="30772225"/>
    <n v="38716063"/>
    <n v="5550"/>
    <n v="2555"/>
    <n v="8105"/>
    <b v="1"/>
    <b v="1"/>
    <b v="1"/>
    <b v="1"/>
    <b v="1"/>
    <b v="1"/>
  </r>
  <r>
    <x v="1590"/>
    <n v="28679"/>
    <n v="21451"/>
    <n v="7228"/>
    <n v="5869311"/>
    <n v="27207405"/>
    <n v="33076716"/>
    <n v="3554"/>
    <n v="2380"/>
    <n v="5934"/>
    <b v="1"/>
    <b v="1"/>
    <b v="1"/>
    <b v="1"/>
    <b v="1"/>
    <b v="1"/>
  </r>
  <r>
    <x v="1591"/>
    <n v="26332"/>
    <n v="19236"/>
    <n v="7096"/>
    <n v="4407487"/>
    <n v="74933888"/>
    <n v="79341375"/>
    <n v="3387"/>
    <n v="2558"/>
    <n v="5945"/>
    <b v="1"/>
    <b v="1"/>
    <b v="1"/>
    <b v="1"/>
    <b v="1"/>
    <b v="1"/>
  </r>
  <r>
    <x v="1592"/>
    <n v="20757"/>
    <n v="15582"/>
    <n v="5175"/>
    <n v="3308405"/>
    <n v="18851446"/>
    <n v="22159851"/>
    <n v="2136"/>
    <n v="2008"/>
    <n v="4144"/>
    <b v="1"/>
    <b v="1"/>
    <b v="1"/>
    <b v="1"/>
    <b v="1"/>
    <b v="1"/>
  </r>
  <r>
    <x v="1593"/>
    <n v="30194"/>
    <n v="23066"/>
    <n v="7128"/>
    <n v="5677650"/>
    <n v="24233546"/>
    <n v="29911196"/>
    <n v="3664"/>
    <n v="2677"/>
    <n v="6341"/>
    <b v="1"/>
    <b v="1"/>
    <b v="1"/>
    <b v="1"/>
    <b v="1"/>
    <b v="1"/>
  </r>
  <r>
    <x v="1594"/>
    <n v="36206"/>
    <n v="28106"/>
    <n v="8100"/>
    <n v="8512640"/>
    <n v="42120675"/>
    <n v="50633315"/>
    <n v="3864"/>
    <n v="2690"/>
    <n v="6554"/>
    <b v="1"/>
    <b v="1"/>
    <b v="1"/>
    <b v="1"/>
    <b v="1"/>
    <b v="1"/>
  </r>
  <r>
    <x v="1595"/>
    <n v="36432"/>
    <n v="28536"/>
    <n v="7896"/>
    <n v="7692170"/>
    <n v="38693445"/>
    <n v="46385615"/>
    <n v="3870"/>
    <n v="2745"/>
    <n v="6615"/>
    <b v="1"/>
    <b v="1"/>
    <b v="1"/>
    <b v="1"/>
    <b v="1"/>
    <b v="1"/>
  </r>
  <r>
    <x v="1596"/>
    <n v="48538"/>
    <n v="35398"/>
    <n v="13140"/>
    <n v="12277062"/>
    <n v="43813083"/>
    <n v="56090145"/>
    <n v="5821"/>
    <n v="3680"/>
    <n v="9501"/>
    <b v="1"/>
    <b v="1"/>
    <b v="1"/>
    <b v="1"/>
    <b v="1"/>
    <b v="1"/>
  </r>
  <r>
    <x v="1597"/>
    <n v="38840"/>
    <n v="29807"/>
    <n v="9033"/>
    <n v="9910129"/>
    <n v="39726816"/>
    <n v="49636945"/>
    <n v="3434"/>
    <n v="3239"/>
    <n v="6673"/>
    <b v="1"/>
    <b v="1"/>
    <b v="1"/>
    <b v="1"/>
    <b v="1"/>
    <b v="1"/>
  </r>
  <r>
    <x v="1598"/>
    <n v="39585"/>
    <n v="29563"/>
    <n v="10022"/>
    <n v="7946172"/>
    <n v="30585938"/>
    <n v="38532110"/>
    <n v="4313"/>
    <n v="3011"/>
    <n v="7324"/>
    <b v="1"/>
    <b v="1"/>
    <b v="1"/>
    <b v="1"/>
    <b v="1"/>
    <b v="1"/>
  </r>
  <r>
    <x v="1599"/>
    <n v="29464"/>
    <n v="21474"/>
    <n v="7990"/>
    <n v="4279450"/>
    <n v="19142354"/>
    <n v="23421804"/>
    <n v="2791"/>
    <n v="2231"/>
    <n v="5022"/>
    <b v="1"/>
    <b v="1"/>
    <b v="1"/>
    <b v="1"/>
    <b v="1"/>
    <b v="1"/>
  </r>
  <r>
    <x v="1600"/>
    <n v="38597"/>
    <n v="28804"/>
    <n v="9793"/>
    <n v="7767413"/>
    <n v="28444211"/>
    <n v="36211624"/>
    <n v="4904"/>
    <n v="3322"/>
    <n v="8226"/>
    <b v="1"/>
    <b v="1"/>
    <b v="1"/>
    <b v="1"/>
    <b v="1"/>
    <b v="1"/>
  </r>
  <r>
    <x v="1601"/>
    <n v="44040"/>
    <n v="33064"/>
    <n v="10976"/>
    <n v="10554124"/>
    <n v="34216650"/>
    <n v="44770774"/>
    <n v="5953"/>
    <n v="4502"/>
    <n v="10455"/>
    <b v="1"/>
    <b v="1"/>
    <b v="1"/>
    <b v="1"/>
    <b v="1"/>
    <b v="1"/>
  </r>
  <r>
    <x v="1602"/>
    <n v="38259"/>
    <n v="28755"/>
    <n v="9504"/>
    <n v="9927752"/>
    <n v="36544578"/>
    <n v="46472330"/>
    <n v="4002"/>
    <n v="3386"/>
    <n v="7388"/>
    <b v="1"/>
    <b v="1"/>
    <b v="1"/>
    <b v="1"/>
    <b v="1"/>
    <b v="1"/>
  </r>
  <r>
    <x v="1603"/>
    <n v="34353"/>
    <n v="23292"/>
    <n v="11061"/>
    <n v="8248393"/>
    <n v="27454586"/>
    <n v="35702979"/>
    <n v="5008"/>
    <n v="2000"/>
    <n v="7008"/>
    <b v="1"/>
    <b v="1"/>
    <b v="1"/>
    <b v="1"/>
    <b v="1"/>
    <b v="1"/>
  </r>
  <r>
    <x v="1604"/>
    <n v="43794"/>
    <n v="32011"/>
    <n v="11783"/>
    <n v="9613861"/>
    <n v="33145260"/>
    <n v="42759121"/>
    <n v="4696"/>
    <n v="3422"/>
    <n v="8118"/>
    <b v="1"/>
    <b v="1"/>
    <b v="1"/>
    <b v="1"/>
    <b v="1"/>
    <b v="1"/>
  </r>
  <r>
    <x v="1605"/>
    <n v="39552"/>
    <n v="29805"/>
    <n v="9747"/>
    <n v="9257737"/>
    <n v="35734486"/>
    <n v="44992223"/>
    <n v="3506"/>
    <n v="3190"/>
    <n v="6696"/>
    <b v="1"/>
    <b v="1"/>
    <b v="1"/>
    <b v="1"/>
    <b v="1"/>
    <b v="1"/>
  </r>
  <r>
    <x v="1606"/>
    <n v="31670"/>
    <n v="22415"/>
    <n v="9255"/>
    <n v="9671184"/>
    <n v="24126788"/>
    <n v="33797972"/>
    <n v="2572"/>
    <n v="2280"/>
    <n v="4852"/>
    <b v="1"/>
    <b v="1"/>
    <b v="1"/>
    <b v="1"/>
    <b v="1"/>
    <b v="1"/>
  </r>
  <r>
    <x v="1607"/>
    <n v="38597"/>
    <n v="28058"/>
    <n v="10539"/>
    <n v="17389968"/>
    <n v="45597345"/>
    <n v="62987313"/>
    <n v="4394"/>
    <n v="2579"/>
    <n v="6973"/>
    <b v="1"/>
    <b v="1"/>
    <b v="1"/>
    <b v="1"/>
    <b v="1"/>
    <b v="1"/>
  </r>
  <r>
    <x v="1608"/>
    <n v="39009"/>
    <n v="28537"/>
    <n v="10472"/>
    <n v="11511677"/>
    <n v="31614886"/>
    <n v="43126563"/>
    <n v="4072"/>
    <n v="3132"/>
    <n v="7204"/>
    <b v="1"/>
    <b v="1"/>
    <b v="1"/>
    <b v="1"/>
    <b v="1"/>
    <b v="1"/>
  </r>
  <r>
    <x v="1609"/>
    <n v="47096"/>
    <n v="32895"/>
    <n v="14201"/>
    <n v="17439515"/>
    <n v="32235668"/>
    <n v="49675183"/>
    <n v="6705"/>
    <n v="4143"/>
    <n v="10848"/>
    <b v="1"/>
    <b v="1"/>
    <b v="1"/>
    <b v="1"/>
    <b v="1"/>
    <b v="1"/>
  </r>
  <r>
    <x v="1610"/>
    <n v="43205"/>
    <n v="30201"/>
    <n v="13004"/>
    <n v="15264319"/>
    <n v="32438717"/>
    <n v="47703036"/>
    <n v="4860"/>
    <n v="3206"/>
    <n v="8066"/>
    <b v="1"/>
    <b v="1"/>
    <b v="1"/>
    <b v="1"/>
    <b v="1"/>
    <b v="1"/>
  </r>
  <r>
    <x v="1611"/>
    <n v="42629"/>
    <n v="29904"/>
    <n v="12725"/>
    <n v="15659188"/>
    <n v="34046266"/>
    <n v="49705454"/>
    <n v="3293"/>
    <n v="3156"/>
    <n v="6449"/>
    <b v="1"/>
    <b v="1"/>
    <b v="1"/>
    <b v="1"/>
    <b v="1"/>
    <b v="1"/>
  </r>
  <r>
    <x v="1612"/>
    <n v="56944"/>
    <n v="38055"/>
    <n v="18889"/>
    <n v="17473100"/>
    <n v="45072960"/>
    <n v="62546060"/>
    <n v="8148"/>
    <n v="3799"/>
    <n v="11947"/>
    <b v="1"/>
    <b v="1"/>
    <b v="1"/>
    <b v="1"/>
    <b v="1"/>
    <b v="1"/>
  </r>
  <r>
    <x v="1613"/>
    <n v="43114"/>
    <n v="28759"/>
    <n v="14355"/>
    <n v="16433955"/>
    <n v="31296393"/>
    <n v="47730348"/>
    <n v="4945"/>
    <n v="2838"/>
    <n v="7783"/>
    <b v="1"/>
    <b v="1"/>
    <b v="1"/>
    <b v="1"/>
    <b v="1"/>
    <b v="1"/>
  </r>
  <r>
    <x v="1614"/>
    <n v="45692"/>
    <n v="31554"/>
    <n v="14138"/>
    <n v="17285357"/>
    <n v="32902086"/>
    <n v="50187443"/>
    <n v="4312"/>
    <n v="3247"/>
    <n v="7559"/>
    <b v="1"/>
    <b v="1"/>
    <b v="1"/>
    <b v="1"/>
    <b v="1"/>
    <b v="1"/>
  </r>
  <r>
    <x v="1615"/>
    <n v="47470"/>
    <n v="33725"/>
    <n v="13745"/>
    <n v="15163889"/>
    <n v="39572922"/>
    <n v="54736811"/>
    <n v="5071"/>
    <n v="3587"/>
    <n v="8658"/>
    <b v="1"/>
    <b v="1"/>
    <b v="1"/>
    <b v="1"/>
    <b v="1"/>
    <b v="1"/>
  </r>
  <r>
    <x v="1616"/>
    <n v="43772"/>
    <n v="29818"/>
    <n v="13954"/>
    <n v="7633437"/>
    <n v="23891798"/>
    <n v="31525235"/>
    <n v="3963"/>
    <n v="2392"/>
    <n v="6355"/>
    <b v="1"/>
    <b v="1"/>
    <b v="1"/>
    <b v="1"/>
    <b v="1"/>
    <b v="1"/>
  </r>
  <r>
    <x v="1617"/>
    <n v="54700"/>
    <n v="37247"/>
    <n v="17453"/>
    <n v="12362265"/>
    <n v="126520165"/>
    <n v="138882430"/>
    <n v="7904"/>
    <n v="3765"/>
    <n v="11669"/>
    <b v="1"/>
    <b v="1"/>
    <b v="1"/>
    <b v="1"/>
    <b v="1"/>
    <b v="1"/>
  </r>
  <r>
    <x v="1618"/>
    <n v="55885"/>
    <n v="38088"/>
    <n v="17797"/>
    <n v="13386183"/>
    <n v="32343039"/>
    <n v="45729222"/>
    <n v="7922"/>
    <n v="3943"/>
    <n v="11865"/>
    <b v="1"/>
    <b v="1"/>
    <b v="1"/>
    <b v="1"/>
    <b v="1"/>
    <b v="1"/>
  </r>
  <r>
    <x v="1619"/>
    <n v="48778"/>
    <n v="35546"/>
    <n v="13232"/>
    <n v="8899978"/>
    <n v="29145353"/>
    <n v="38045331"/>
    <n v="5459"/>
    <n v="3225"/>
    <n v="8684"/>
    <b v="1"/>
    <b v="1"/>
    <b v="1"/>
    <b v="1"/>
    <b v="1"/>
    <b v="1"/>
  </r>
  <r>
    <x v="1620"/>
    <n v="33876"/>
    <n v="25281"/>
    <n v="8595"/>
    <n v="5337305"/>
    <n v="22416989"/>
    <n v="27754294"/>
    <n v="3024"/>
    <n v="2664"/>
    <n v="5688"/>
    <b v="1"/>
    <b v="1"/>
    <b v="1"/>
    <b v="1"/>
    <b v="1"/>
    <b v="1"/>
  </r>
  <r>
    <x v="1621"/>
    <n v="45911"/>
    <n v="33480"/>
    <n v="12431"/>
    <n v="8965239"/>
    <n v="32092342"/>
    <n v="41057581"/>
    <n v="4042"/>
    <n v="2967"/>
    <n v="7009"/>
    <b v="1"/>
    <b v="1"/>
    <b v="1"/>
    <b v="1"/>
    <b v="1"/>
    <b v="1"/>
  </r>
  <r>
    <x v="1622"/>
    <n v="46349"/>
    <n v="34100"/>
    <n v="12249"/>
    <n v="9043596"/>
    <n v="38998563"/>
    <n v="48042159"/>
    <n v="4620"/>
    <n v="2909"/>
    <n v="7529"/>
    <b v="1"/>
    <b v="1"/>
    <b v="1"/>
    <b v="1"/>
    <b v="1"/>
    <b v="1"/>
  </r>
  <r>
    <x v="1623"/>
    <n v="55361"/>
    <n v="37857"/>
    <n v="17504"/>
    <n v="12989893"/>
    <n v="39698506"/>
    <n v="52688399"/>
    <n v="7617"/>
    <n v="3758"/>
    <n v="11375"/>
    <b v="1"/>
    <b v="1"/>
    <b v="1"/>
    <b v="1"/>
    <b v="1"/>
    <b v="1"/>
  </r>
  <r>
    <x v="1624"/>
    <n v="50059"/>
    <n v="35634"/>
    <n v="14425"/>
    <n v="10728810"/>
    <n v="37274563"/>
    <n v="48003373"/>
    <n v="5166"/>
    <n v="3315"/>
    <n v="8481"/>
    <b v="1"/>
    <b v="1"/>
    <b v="1"/>
    <b v="1"/>
    <b v="1"/>
    <b v="1"/>
  </r>
  <r>
    <x v="1625"/>
    <n v="56173"/>
    <n v="38680"/>
    <n v="17493"/>
    <n v="18262066"/>
    <n v="40910792"/>
    <n v="59172858"/>
    <n v="8577"/>
    <n v="4399"/>
    <n v="12976"/>
    <b v="1"/>
    <b v="1"/>
    <b v="1"/>
    <b v="1"/>
    <b v="1"/>
    <b v="1"/>
  </r>
  <r>
    <x v="1626"/>
    <n v="53782"/>
    <n v="38196"/>
    <n v="15586"/>
    <n v="12402205"/>
    <n v="40172526"/>
    <n v="52574731"/>
    <n v="6374"/>
    <n v="3413"/>
    <n v="9787"/>
    <b v="1"/>
    <b v="1"/>
    <b v="1"/>
    <b v="1"/>
    <b v="1"/>
    <b v="1"/>
  </r>
  <r>
    <x v="1627"/>
    <n v="45275"/>
    <n v="31474"/>
    <n v="13801"/>
    <n v="10628365"/>
    <n v="28602036"/>
    <n v="39230401"/>
    <n v="5617"/>
    <n v="3218"/>
    <n v="8835"/>
    <b v="1"/>
    <b v="1"/>
    <b v="1"/>
    <b v="1"/>
    <b v="1"/>
    <b v="1"/>
  </r>
  <r>
    <x v="1628"/>
    <n v="63266"/>
    <n v="46044"/>
    <n v="17222"/>
    <n v="15322607"/>
    <n v="39724756"/>
    <n v="55047363"/>
    <n v="7976"/>
    <n v="4055"/>
    <n v="12031"/>
    <b v="1"/>
    <b v="1"/>
    <b v="1"/>
    <b v="1"/>
    <b v="1"/>
    <b v="1"/>
  </r>
  <r>
    <x v="1629"/>
    <n v="79743"/>
    <n v="58372"/>
    <n v="21371"/>
    <n v="24353888"/>
    <n v="67451963"/>
    <n v="91805851"/>
    <n v="9766"/>
    <n v="5310"/>
    <n v="15076"/>
    <b v="1"/>
    <b v="1"/>
    <b v="1"/>
    <b v="1"/>
    <b v="1"/>
    <b v="1"/>
  </r>
  <r>
    <x v="1630"/>
    <n v="83242"/>
    <n v="63136"/>
    <n v="20106"/>
    <n v="20870092"/>
    <n v="59100911"/>
    <n v="79971003"/>
    <n v="8895"/>
    <n v="5496"/>
    <n v="14391"/>
    <b v="1"/>
    <b v="1"/>
    <b v="1"/>
    <b v="1"/>
    <b v="1"/>
    <b v="1"/>
  </r>
  <r>
    <x v="1631"/>
    <n v="89442"/>
    <n v="66312"/>
    <n v="23130"/>
    <n v="25060295"/>
    <n v="55349235"/>
    <n v="80409530"/>
    <n v="10713"/>
    <n v="6814"/>
    <n v="17527"/>
    <b v="1"/>
    <b v="1"/>
    <b v="1"/>
    <b v="1"/>
    <b v="1"/>
    <b v="1"/>
  </r>
  <r>
    <x v="1632"/>
    <n v="80952"/>
    <n v="62117"/>
    <n v="18835"/>
    <n v="15317758"/>
    <n v="52328438"/>
    <n v="67646196"/>
    <n v="6620"/>
    <n v="5393"/>
    <n v="12013"/>
    <b v="1"/>
    <b v="1"/>
    <b v="1"/>
    <b v="1"/>
    <b v="1"/>
    <b v="1"/>
  </r>
  <r>
    <x v="1633"/>
    <n v="84453"/>
    <n v="66440"/>
    <n v="18013"/>
    <n v="14878367"/>
    <n v="48102198"/>
    <n v="62980565"/>
    <n v="6741"/>
    <n v="6886"/>
    <n v="13627"/>
    <b v="1"/>
    <b v="1"/>
    <b v="1"/>
    <b v="1"/>
    <b v="1"/>
    <b v="1"/>
  </r>
  <r>
    <x v="1634"/>
    <n v="70130"/>
    <n v="53586"/>
    <n v="16544"/>
    <n v="11739756"/>
    <n v="29478630"/>
    <n v="41218386"/>
    <n v="5902"/>
    <n v="5261"/>
    <n v="11163"/>
    <b v="1"/>
    <b v="1"/>
    <b v="1"/>
    <b v="1"/>
    <b v="1"/>
    <b v="1"/>
  </r>
  <r>
    <x v="1635"/>
    <n v="82979"/>
    <n v="64471"/>
    <n v="18508"/>
    <n v="15292297"/>
    <n v="44232194"/>
    <n v="59524491"/>
    <n v="7309"/>
    <n v="6122"/>
    <n v="13431"/>
    <b v="1"/>
    <b v="1"/>
    <b v="1"/>
    <b v="1"/>
    <b v="1"/>
    <b v="1"/>
  </r>
  <r>
    <x v="1636"/>
    <n v="86718"/>
    <n v="66208"/>
    <n v="20510"/>
    <n v="18809560"/>
    <n v="52588668"/>
    <n v="71398228"/>
    <n v="8543"/>
    <n v="7177"/>
    <n v="15720"/>
    <b v="1"/>
    <b v="1"/>
    <b v="1"/>
    <b v="1"/>
    <b v="1"/>
    <b v="1"/>
  </r>
  <r>
    <x v="1637"/>
    <n v="89655"/>
    <n v="68106"/>
    <n v="21549"/>
    <n v="22797350"/>
    <n v="67994841"/>
    <n v="90792191"/>
    <n v="10230"/>
    <n v="7848"/>
    <n v="18078"/>
    <b v="1"/>
    <b v="1"/>
    <b v="1"/>
    <b v="1"/>
    <b v="1"/>
    <b v="1"/>
  </r>
  <r>
    <x v="1638"/>
    <n v="84609"/>
    <n v="64677"/>
    <n v="19932"/>
    <n v="15872270"/>
    <n v="53708728"/>
    <n v="69580998"/>
    <n v="8631"/>
    <n v="7700"/>
    <n v="16331"/>
    <b v="1"/>
    <b v="1"/>
    <b v="1"/>
    <b v="1"/>
    <b v="1"/>
    <b v="1"/>
  </r>
  <r>
    <x v="1639"/>
    <n v="86555"/>
    <n v="66146"/>
    <n v="20409"/>
    <n v="19709963"/>
    <n v="45768491"/>
    <n v="65478454"/>
    <n v="10417"/>
    <n v="8150"/>
    <n v="18567"/>
    <b v="1"/>
    <b v="1"/>
    <b v="1"/>
    <b v="1"/>
    <b v="1"/>
    <b v="1"/>
  </r>
  <r>
    <x v="1640"/>
    <n v="87716"/>
    <n v="68406"/>
    <n v="19310"/>
    <n v="14264508"/>
    <n v="43094384"/>
    <n v="57358892"/>
    <n v="8691"/>
    <n v="7860"/>
    <n v="16551"/>
    <b v="1"/>
    <b v="1"/>
    <b v="1"/>
    <b v="1"/>
    <b v="1"/>
    <b v="1"/>
  </r>
  <r>
    <x v="1641"/>
    <n v="74612"/>
    <n v="57825"/>
    <n v="16787"/>
    <n v="11673587"/>
    <n v="35641872"/>
    <n v="47315459"/>
    <n v="6466"/>
    <n v="6019"/>
    <n v="12485"/>
    <b v="1"/>
    <b v="1"/>
    <b v="1"/>
    <b v="1"/>
    <b v="1"/>
    <b v="1"/>
  </r>
  <r>
    <x v="1642"/>
    <n v="84747"/>
    <n v="65278"/>
    <n v="19469"/>
    <n v="13917870"/>
    <n v="47995633"/>
    <n v="61913503"/>
    <n v="7373"/>
    <n v="7178"/>
    <n v="14551"/>
    <b v="1"/>
    <b v="1"/>
    <b v="1"/>
    <b v="1"/>
    <b v="1"/>
    <b v="1"/>
  </r>
  <r>
    <x v="1643"/>
    <n v="91379"/>
    <n v="70098"/>
    <n v="21281"/>
    <n v="15658798"/>
    <n v="52729202"/>
    <n v="68388000"/>
    <n v="8435"/>
    <n v="7118"/>
    <n v="15553"/>
    <b v="1"/>
    <b v="1"/>
    <b v="1"/>
    <b v="1"/>
    <b v="1"/>
    <b v="1"/>
  </r>
  <r>
    <x v="1644"/>
    <n v="99341"/>
    <n v="74973"/>
    <n v="24368"/>
    <n v="16656258"/>
    <n v="52255271"/>
    <n v="68911529"/>
    <n v="10094"/>
    <n v="8044"/>
    <n v="18138"/>
    <b v="1"/>
    <b v="1"/>
    <b v="1"/>
    <b v="1"/>
    <b v="1"/>
    <b v="1"/>
  </r>
  <r>
    <x v="1645"/>
    <n v="97616"/>
    <n v="71127"/>
    <n v="26489"/>
    <n v="20519228"/>
    <n v="48895701"/>
    <n v="69414929"/>
    <n v="12223"/>
    <n v="7519"/>
    <n v="19742"/>
    <b v="1"/>
    <b v="1"/>
    <b v="1"/>
    <b v="1"/>
    <b v="1"/>
    <b v="1"/>
  </r>
  <r>
    <x v="1646"/>
    <n v="98261"/>
    <n v="72569"/>
    <n v="25692"/>
    <n v="20919519"/>
    <n v="45622371"/>
    <n v="66541890"/>
    <n v="12070"/>
    <n v="6664"/>
    <n v="18734"/>
    <b v="1"/>
    <b v="1"/>
    <b v="1"/>
    <b v="1"/>
    <b v="1"/>
    <b v="1"/>
  </r>
  <r>
    <x v="1647"/>
    <n v="92219"/>
    <n v="69818"/>
    <n v="22401"/>
    <n v="16934842"/>
    <n v="43923886"/>
    <n v="60858728"/>
    <n v="9773"/>
    <n v="6063"/>
    <n v="15836"/>
    <b v="1"/>
    <b v="1"/>
    <b v="1"/>
    <b v="1"/>
    <b v="1"/>
    <b v="1"/>
  </r>
  <r>
    <x v="1648"/>
    <n v="81019"/>
    <n v="60827"/>
    <n v="20192"/>
    <n v="12951693"/>
    <n v="35202665"/>
    <n v="48154358"/>
    <n v="8569"/>
    <n v="5739"/>
    <n v="14308"/>
    <b v="1"/>
    <b v="1"/>
    <b v="1"/>
    <b v="1"/>
    <b v="1"/>
    <b v="1"/>
  </r>
  <r>
    <x v="1649"/>
    <n v="99541"/>
    <n v="73737"/>
    <n v="25804"/>
    <n v="19450480"/>
    <n v="48145472"/>
    <n v="67595952"/>
    <n v="11508"/>
    <n v="7376"/>
    <n v="18884"/>
    <b v="1"/>
    <b v="1"/>
    <b v="1"/>
    <b v="1"/>
    <b v="1"/>
    <b v="1"/>
  </r>
  <r>
    <x v="1650"/>
    <n v="97566"/>
    <n v="72058"/>
    <n v="25508"/>
    <n v="17071307"/>
    <n v="49412436"/>
    <n v="66483743"/>
    <n v="9593"/>
    <n v="6373"/>
    <n v="15966"/>
    <b v="1"/>
    <b v="1"/>
    <b v="1"/>
    <b v="1"/>
    <b v="1"/>
    <b v="1"/>
  </r>
  <r>
    <x v="1651"/>
    <n v="96689"/>
    <n v="73033"/>
    <n v="23656"/>
    <n v="17405716"/>
    <n v="54317326"/>
    <n v="71723042"/>
    <n v="10217"/>
    <n v="7582"/>
    <n v="17799"/>
    <b v="1"/>
    <b v="1"/>
    <b v="1"/>
    <b v="1"/>
    <b v="1"/>
    <b v="1"/>
  </r>
  <r>
    <x v="1652"/>
    <n v="92004"/>
    <n v="70472"/>
    <n v="21532"/>
    <n v="17981394"/>
    <n v="50835192"/>
    <n v="68816586"/>
    <n v="9884"/>
    <n v="7283"/>
    <n v="17167"/>
    <b v="1"/>
    <b v="1"/>
    <b v="1"/>
    <b v="1"/>
    <b v="1"/>
    <b v="1"/>
  </r>
  <r>
    <x v="1653"/>
    <n v="98442"/>
    <n v="74191"/>
    <n v="24251"/>
    <n v="19647964"/>
    <n v="44488873"/>
    <n v="64136837"/>
    <n v="11526"/>
    <n v="8363"/>
    <n v="19889"/>
    <b v="1"/>
    <b v="1"/>
    <b v="1"/>
    <b v="1"/>
    <b v="1"/>
    <b v="1"/>
  </r>
  <r>
    <x v="1654"/>
    <n v="82225"/>
    <n v="61936"/>
    <n v="20289"/>
    <n v="14111438"/>
    <n v="33586567"/>
    <n v="47698005"/>
    <n v="7243"/>
    <n v="5160"/>
    <n v="12403"/>
    <b v="1"/>
    <b v="1"/>
    <b v="1"/>
    <b v="1"/>
    <b v="1"/>
    <b v="1"/>
  </r>
  <r>
    <x v="1655"/>
    <n v="83202"/>
    <n v="62456"/>
    <n v="20746"/>
    <n v="15383343"/>
    <n v="41837990"/>
    <n v="57221333"/>
    <n v="8193"/>
    <n v="6332"/>
    <n v="14525"/>
    <b v="1"/>
    <b v="1"/>
    <b v="1"/>
    <b v="1"/>
    <b v="1"/>
    <b v="1"/>
  </r>
  <r>
    <x v="1656"/>
    <n v="94025"/>
    <n v="70561"/>
    <n v="23464"/>
    <n v="21578275"/>
    <n v="51249944"/>
    <n v="72828219"/>
    <n v="10743"/>
    <n v="6454"/>
    <n v="17197"/>
    <b v="1"/>
    <b v="1"/>
    <b v="1"/>
    <b v="1"/>
    <b v="1"/>
    <b v="1"/>
  </r>
  <r>
    <x v="1657"/>
    <n v="92596"/>
    <n v="69667"/>
    <n v="22929"/>
    <n v="24601025"/>
    <n v="48250618"/>
    <n v="72851643"/>
    <n v="11923"/>
    <n v="7539"/>
    <n v="19462"/>
    <b v="1"/>
    <b v="1"/>
    <b v="1"/>
    <b v="1"/>
    <b v="1"/>
    <b v="1"/>
  </r>
  <r>
    <x v="1658"/>
    <n v="88353"/>
    <n v="68215"/>
    <n v="20138"/>
    <n v="23180142"/>
    <n v="52402734"/>
    <n v="75582876"/>
    <n v="11714"/>
    <n v="8180"/>
    <n v="19894"/>
    <b v="1"/>
    <b v="1"/>
    <b v="1"/>
    <b v="1"/>
    <b v="1"/>
    <b v="1"/>
  </r>
  <r>
    <x v="1659"/>
    <n v="84868"/>
    <n v="67890"/>
    <n v="16978"/>
    <n v="19456510"/>
    <n v="51244899"/>
    <n v="70701409"/>
    <n v="9049"/>
    <n v="7733"/>
    <n v="16782"/>
    <b v="1"/>
    <b v="1"/>
    <b v="1"/>
    <b v="1"/>
    <b v="1"/>
    <b v="1"/>
  </r>
  <r>
    <x v="1660"/>
    <n v="85554"/>
    <n v="66978"/>
    <n v="18576"/>
    <n v="18112994"/>
    <n v="48298977"/>
    <n v="66411971"/>
    <n v="9552"/>
    <n v="6875"/>
    <n v="16427"/>
    <b v="1"/>
    <b v="1"/>
    <b v="1"/>
    <b v="1"/>
    <b v="1"/>
    <b v="1"/>
  </r>
  <r>
    <x v="1661"/>
    <n v="67066"/>
    <n v="52526"/>
    <n v="14540"/>
    <n v="11019815"/>
    <n v="32536679"/>
    <n v="43556494"/>
    <n v="6180"/>
    <n v="6120"/>
    <n v="12300"/>
    <b v="1"/>
    <b v="1"/>
    <b v="1"/>
    <b v="1"/>
    <b v="1"/>
    <b v="1"/>
  </r>
  <r>
    <x v="1662"/>
    <n v="78311"/>
    <n v="62537"/>
    <n v="15774"/>
    <n v="16137880"/>
    <n v="39294196"/>
    <n v="55432076"/>
    <n v="8459"/>
    <n v="7542"/>
    <n v="16001"/>
    <b v="1"/>
    <b v="1"/>
    <b v="1"/>
    <b v="1"/>
    <b v="1"/>
    <b v="1"/>
  </r>
  <r>
    <x v="1663"/>
    <n v="79397"/>
    <n v="64690"/>
    <n v="14707"/>
    <n v="17584751"/>
    <n v="49904772"/>
    <n v="67489523"/>
    <n v="7630"/>
    <n v="8084"/>
    <n v="15714"/>
    <b v="1"/>
    <b v="1"/>
    <b v="1"/>
    <b v="1"/>
    <b v="1"/>
    <b v="1"/>
  </r>
  <r>
    <x v="1664"/>
    <n v="78398"/>
    <n v="63925"/>
    <n v="14473"/>
    <n v="17148310"/>
    <n v="53533287"/>
    <n v="70681597"/>
    <n v="7383"/>
    <n v="7693"/>
    <n v="15076"/>
    <b v="1"/>
    <b v="1"/>
    <b v="1"/>
    <b v="1"/>
    <b v="1"/>
    <b v="1"/>
  </r>
  <r>
    <x v="1665"/>
    <n v="85720"/>
    <n v="65409"/>
    <n v="20311"/>
    <n v="24150728"/>
    <n v="47327824"/>
    <n v="71478552"/>
    <n v="12650"/>
    <n v="7494"/>
    <n v="20144"/>
    <b v="1"/>
    <b v="1"/>
    <b v="1"/>
    <b v="1"/>
    <b v="1"/>
    <b v="1"/>
  </r>
  <r>
    <x v="1666"/>
    <n v="79580"/>
    <n v="60138"/>
    <n v="19442"/>
    <n v="21140201"/>
    <n v="44795204"/>
    <n v="65935405"/>
    <n v="11176"/>
    <n v="6916"/>
    <n v="18092"/>
    <b v="1"/>
    <b v="1"/>
    <b v="1"/>
    <b v="1"/>
    <b v="1"/>
    <b v="1"/>
  </r>
  <r>
    <x v="1667"/>
    <n v="74423"/>
    <n v="57993"/>
    <n v="16430"/>
    <n v="15264453"/>
    <n v="42401379"/>
    <n v="57665832"/>
    <n v="8403"/>
    <n v="6437"/>
    <n v="14840"/>
    <b v="1"/>
    <b v="1"/>
    <b v="1"/>
    <b v="1"/>
    <b v="1"/>
    <b v="1"/>
  </r>
  <r>
    <x v="1668"/>
    <n v="66733"/>
    <n v="51822"/>
    <n v="14911"/>
    <n v="12147870"/>
    <n v="37867637"/>
    <n v="50015507"/>
    <n v="6403"/>
    <n v="5299"/>
    <n v="11702"/>
    <b v="1"/>
    <b v="1"/>
    <b v="1"/>
    <b v="1"/>
    <b v="1"/>
    <b v="1"/>
  </r>
  <r>
    <x v="1669"/>
    <n v="62629"/>
    <n v="49371"/>
    <n v="13258"/>
    <n v="14333030"/>
    <n v="34218124"/>
    <n v="48551154"/>
    <n v="7420"/>
    <n v="5814"/>
    <n v="13234"/>
    <b v="1"/>
    <b v="1"/>
    <b v="1"/>
    <b v="1"/>
    <b v="1"/>
    <b v="1"/>
  </r>
  <r>
    <x v="1670"/>
    <n v="70885"/>
    <n v="55828"/>
    <n v="15057"/>
    <n v="14914353"/>
    <n v="37004430"/>
    <n v="51918783"/>
    <n v="7630"/>
    <n v="6303"/>
    <n v="13933"/>
    <b v="1"/>
    <b v="1"/>
    <b v="1"/>
    <b v="1"/>
    <b v="1"/>
    <b v="1"/>
  </r>
  <r>
    <x v="1671"/>
    <n v="92092"/>
    <n v="68981"/>
    <n v="23111"/>
    <n v="20602301"/>
    <n v="46839314"/>
    <n v="67441615"/>
    <n v="10627"/>
    <n v="8708"/>
    <n v="19335"/>
    <b v="1"/>
    <b v="1"/>
    <b v="1"/>
    <b v="1"/>
    <b v="1"/>
    <b v="1"/>
  </r>
  <r>
    <x v="1672"/>
    <n v="100772"/>
    <n v="74077"/>
    <n v="26695"/>
    <n v="17229640"/>
    <n v="52147017"/>
    <n v="69376657"/>
    <n v="7159"/>
    <n v="8229"/>
    <n v="15388"/>
    <b v="1"/>
    <b v="1"/>
    <b v="1"/>
    <b v="1"/>
    <b v="1"/>
    <b v="1"/>
  </r>
  <r>
    <x v="1673"/>
    <n v="103794"/>
    <n v="73346"/>
    <n v="30448"/>
    <n v="26698541"/>
    <n v="52841068"/>
    <n v="79539609"/>
    <n v="11787"/>
    <n v="7266"/>
    <n v="19053"/>
    <b v="1"/>
    <b v="1"/>
    <b v="1"/>
    <b v="1"/>
    <b v="1"/>
    <b v="1"/>
  </r>
  <r>
    <x v="1674"/>
    <n v="100100"/>
    <n v="72458"/>
    <n v="27642"/>
    <n v="18540294"/>
    <n v="50268452"/>
    <n v="68808746"/>
    <n v="8155"/>
    <n v="6007"/>
    <n v="14162"/>
    <b v="1"/>
    <b v="1"/>
    <b v="1"/>
    <b v="1"/>
    <b v="1"/>
    <b v="1"/>
  </r>
  <r>
    <x v="1675"/>
    <n v="82703"/>
    <n v="60391"/>
    <n v="22312"/>
    <n v="12134155"/>
    <n v="33112258"/>
    <n v="45246413"/>
    <n v="5201"/>
    <n v="5784"/>
    <n v="10985"/>
    <b v="1"/>
    <b v="1"/>
    <b v="1"/>
    <b v="1"/>
    <b v="1"/>
    <b v="1"/>
  </r>
  <r>
    <x v="1676"/>
    <n v="86351"/>
    <n v="64286"/>
    <n v="22065"/>
    <n v="15237838"/>
    <n v="42033846"/>
    <n v="57271684"/>
    <n v="7152"/>
    <n v="5407"/>
    <n v="12559"/>
    <b v="1"/>
    <b v="1"/>
    <b v="1"/>
    <b v="1"/>
    <b v="1"/>
    <b v="1"/>
  </r>
  <r>
    <x v="1677"/>
    <n v="88968"/>
    <n v="64045"/>
    <n v="24923"/>
    <n v="21516600"/>
    <n v="49622893"/>
    <n v="71139493"/>
    <n v="10365"/>
    <n v="5707"/>
    <n v="16072"/>
    <b v="1"/>
    <b v="1"/>
    <b v="1"/>
    <b v="1"/>
    <b v="1"/>
    <b v="1"/>
  </r>
  <r>
    <x v="1678"/>
    <n v="89323"/>
    <n v="66508"/>
    <n v="22815"/>
    <n v="18686690"/>
    <n v="53422714"/>
    <n v="72109404"/>
    <n v="8530"/>
    <n v="6681"/>
    <n v="15211"/>
    <b v="1"/>
    <b v="1"/>
    <b v="1"/>
    <b v="1"/>
    <b v="1"/>
    <b v="1"/>
  </r>
  <r>
    <x v="1679"/>
    <n v="103454"/>
    <n v="73647"/>
    <n v="29807"/>
    <n v="27908159"/>
    <n v="58034290"/>
    <n v="85942449"/>
    <n v="13042"/>
    <n v="7068"/>
    <n v="20110"/>
    <b v="1"/>
    <b v="1"/>
    <b v="1"/>
    <b v="1"/>
    <b v="1"/>
    <b v="1"/>
  </r>
  <r>
    <x v="1680"/>
    <n v="97008"/>
    <n v="70200"/>
    <n v="26808"/>
    <n v="18728070"/>
    <n v="55502386"/>
    <n v="74230456"/>
    <n v="8945"/>
    <n v="6072"/>
    <n v="15017"/>
    <b v="1"/>
    <b v="1"/>
    <b v="1"/>
    <b v="1"/>
    <b v="1"/>
    <b v="1"/>
  </r>
  <r>
    <x v="1681"/>
    <n v="98436"/>
    <n v="69331"/>
    <n v="29105"/>
    <n v="18189821"/>
    <n v="46725505"/>
    <n v="64915326"/>
    <n v="8773"/>
    <n v="5976"/>
    <n v="14749"/>
    <b v="1"/>
    <b v="1"/>
    <b v="1"/>
    <b v="1"/>
    <b v="1"/>
    <b v="1"/>
  </r>
  <r>
    <x v="1682"/>
    <n v="88597"/>
    <n v="58588"/>
    <n v="30009"/>
    <n v="15508350"/>
    <n v="35879551"/>
    <n v="51387901"/>
    <n v="7050"/>
    <n v="4792"/>
    <n v="11842"/>
    <b v="1"/>
    <b v="1"/>
    <b v="1"/>
    <b v="1"/>
    <b v="1"/>
    <b v="1"/>
  </r>
  <r>
    <x v="1683"/>
    <n v="87392"/>
    <n v="59620"/>
    <n v="27772"/>
    <n v="12317050"/>
    <n v="25714881"/>
    <n v="38031931"/>
    <n v="5898"/>
    <n v="4064"/>
    <n v="9962"/>
    <b v="1"/>
    <b v="1"/>
    <b v="1"/>
    <b v="1"/>
    <b v="1"/>
    <b v="1"/>
  </r>
  <r>
    <x v="1684"/>
    <n v="88353"/>
    <n v="56850"/>
    <n v="31503"/>
    <n v="16780559"/>
    <n v="42512830"/>
    <n v="59293389"/>
    <n v="7519"/>
    <n v="5770"/>
    <n v="13289"/>
    <b v="1"/>
    <b v="1"/>
    <b v="1"/>
    <b v="1"/>
    <b v="1"/>
    <b v="1"/>
  </r>
  <r>
    <x v="1685"/>
    <n v="104998"/>
    <n v="71160"/>
    <n v="33838"/>
    <n v="21646303"/>
    <n v="51050277"/>
    <n v="72696580"/>
    <n v="11035"/>
    <n v="6688"/>
    <n v="17723"/>
    <b v="1"/>
    <b v="1"/>
    <b v="1"/>
    <b v="1"/>
    <b v="1"/>
    <b v="1"/>
  </r>
  <r>
    <x v="1686"/>
    <n v="63886"/>
    <n v="37490"/>
    <n v="26396"/>
    <n v="10606532"/>
    <n v="19696548"/>
    <n v="30303080"/>
    <n v="4838"/>
    <n v="2537"/>
    <n v="7375"/>
    <b v="1"/>
    <b v="1"/>
    <b v="1"/>
    <b v="1"/>
    <b v="1"/>
    <b v="1"/>
  </r>
  <r>
    <x v="1687"/>
    <n v="106479"/>
    <n v="72357"/>
    <n v="34122"/>
    <n v="24050958"/>
    <n v="42021550"/>
    <n v="66072508"/>
    <n v="11528"/>
    <n v="6931"/>
    <n v="18459"/>
    <b v="1"/>
    <b v="1"/>
    <b v="1"/>
    <b v="1"/>
    <b v="1"/>
    <b v="1"/>
  </r>
  <r>
    <x v="1688"/>
    <n v="104194"/>
    <n v="71975"/>
    <n v="32219"/>
    <n v="22196180"/>
    <n v="47049032"/>
    <n v="69245212"/>
    <n v="10347"/>
    <n v="7173"/>
    <n v="17520"/>
    <b v="1"/>
    <b v="1"/>
    <b v="1"/>
    <b v="1"/>
    <b v="1"/>
    <b v="1"/>
  </r>
  <r>
    <x v="1689"/>
    <n v="90433"/>
    <n v="63095"/>
    <n v="27338"/>
    <n v="14083950"/>
    <n v="32401875"/>
    <n v="46485825"/>
    <n v="6687"/>
    <n v="5380"/>
    <n v="12067"/>
    <b v="1"/>
    <b v="1"/>
    <b v="1"/>
    <b v="1"/>
    <b v="1"/>
    <b v="1"/>
  </r>
  <r>
    <x v="1690"/>
    <n v="108997"/>
    <n v="76146"/>
    <n v="32851"/>
    <n v="21155292"/>
    <n v="51390195"/>
    <n v="72545487"/>
    <n v="9164"/>
    <n v="7639"/>
    <n v="16803"/>
    <b v="1"/>
    <b v="1"/>
    <b v="1"/>
    <b v="1"/>
    <b v="1"/>
    <b v="1"/>
  </r>
  <r>
    <x v="1691"/>
    <n v="111421"/>
    <n v="80367"/>
    <n v="31054"/>
    <n v="19585145"/>
    <n v="60285389"/>
    <n v="79870534"/>
    <n v="9101"/>
    <n v="8366"/>
    <n v="17467"/>
    <b v="1"/>
    <b v="1"/>
    <b v="1"/>
    <b v="1"/>
    <b v="1"/>
    <b v="1"/>
  </r>
  <r>
    <x v="1692"/>
    <n v="108106"/>
    <n v="75845"/>
    <n v="32261"/>
    <n v="24152230"/>
    <n v="54522699"/>
    <n v="78674929"/>
    <n v="12036"/>
    <n v="7312"/>
    <n v="19348"/>
    <b v="1"/>
    <b v="1"/>
    <b v="1"/>
    <b v="1"/>
    <b v="1"/>
    <b v="1"/>
  </r>
  <r>
    <x v="1693"/>
    <n v="111180"/>
    <n v="78548"/>
    <n v="32632"/>
    <n v="24111032"/>
    <n v="56477375"/>
    <n v="80588407"/>
    <n v="11639"/>
    <n v="6743"/>
    <n v="18382"/>
    <b v="1"/>
    <b v="1"/>
    <b v="1"/>
    <b v="1"/>
    <b v="1"/>
    <b v="1"/>
  </r>
  <r>
    <x v="1694"/>
    <n v="102175"/>
    <n v="73657"/>
    <n v="28518"/>
    <n v="14876440"/>
    <n v="42336774"/>
    <n v="57213214"/>
    <n v="7586"/>
    <n v="5129"/>
    <n v="12715"/>
    <b v="1"/>
    <b v="1"/>
    <b v="1"/>
    <b v="1"/>
    <b v="1"/>
    <b v="1"/>
  </r>
  <r>
    <x v="1695"/>
    <n v="94065"/>
    <n v="68052"/>
    <n v="26013"/>
    <n v="14290504"/>
    <n v="40462120"/>
    <n v="54752624"/>
    <n v="8435"/>
    <n v="5846"/>
    <n v="14281"/>
    <b v="1"/>
    <b v="1"/>
    <b v="1"/>
    <b v="1"/>
    <b v="1"/>
    <b v="1"/>
  </r>
  <r>
    <x v="1696"/>
    <n v="88384"/>
    <n v="61055"/>
    <n v="27329"/>
    <n v="12578615"/>
    <n v="32043512"/>
    <n v="44622127"/>
    <n v="6357"/>
    <n v="4545"/>
    <n v="10902"/>
    <b v="1"/>
    <b v="1"/>
    <b v="1"/>
    <b v="1"/>
    <b v="1"/>
    <b v="1"/>
  </r>
  <r>
    <x v="1697"/>
    <n v="106728"/>
    <n v="77037"/>
    <n v="29691"/>
    <n v="18687535"/>
    <n v="49218090"/>
    <n v="67905625"/>
    <n v="9062"/>
    <n v="6998"/>
    <n v="16060"/>
    <b v="1"/>
    <b v="1"/>
    <b v="1"/>
    <b v="1"/>
    <b v="1"/>
    <b v="1"/>
  </r>
  <r>
    <x v="1698"/>
    <n v="104045"/>
    <n v="76020"/>
    <n v="28025"/>
    <n v="19530876"/>
    <n v="53846710"/>
    <n v="73377586"/>
    <n v="8854"/>
    <n v="6234"/>
    <n v="15088"/>
    <b v="1"/>
    <b v="1"/>
    <b v="1"/>
    <b v="1"/>
    <b v="1"/>
    <b v="1"/>
  </r>
  <r>
    <x v="1699"/>
    <n v="112331"/>
    <n v="80609"/>
    <n v="31722"/>
    <n v="26359206"/>
    <n v="53284630"/>
    <n v="79643836"/>
    <n v="13179"/>
    <n v="6596"/>
    <n v="19775"/>
    <b v="1"/>
    <b v="1"/>
    <b v="1"/>
    <b v="1"/>
    <b v="1"/>
    <b v="1"/>
  </r>
  <r>
    <x v="1700"/>
    <n v="106490"/>
    <n v="77633"/>
    <n v="28857"/>
    <n v="19658851"/>
    <n v="53723735"/>
    <n v="73382586"/>
    <n v="8298"/>
    <n v="5879"/>
    <n v="14177"/>
    <b v="1"/>
    <b v="1"/>
    <b v="1"/>
    <b v="1"/>
    <b v="1"/>
    <b v="1"/>
  </r>
  <r>
    <x v="1701"/>
    <n v="115826"/>
    <n v="78278"/>
    <n v="37548"/>
    <n v="25785980"/>
    <n v="50824890"/>
    <n v="76610870"/>
    <n v="10812"/>
    <n v="6258"/>
    <n v="17070"/>
    <b v="1"/>
    <b v="1"/>
    <b v="1"/>
    <b v="1"/>
    <b v="1"/>
    <b v="1"/>
  </r>
  <r>
    <x v="1702"/>
    <n v="104223"/>
    <n v="73703"/>
    <n v="30520"/>
    <n v="17282802"/>
    <n v="51087442"/>
    <n v="68370244"/>
    <n v="9730"/>
    <n v="4392"/>
    <n v="14122"/>
    <b v="1"/>
    <b v="1"/>
    <b v="1"/>
    <b v="1"/>
    <b v="1"/>
    <b v="1"/>
  </r>
  <r>
    <x v="1703"/>
    <n v="70264"/>
    <n v="36492"/>
    <n v="33772"/>
    <n v="10555741"/>
    <n v="43986952"/>
    <n v="54542693"/>
    <n v="26633"/>
    <n v="6172"/>
    <n v="32805"/>
    <b v="1"/>
    <b v="1"/>
    <b v="1"/>
    <b v="1"/>
    <b v="1"/>
    <b v="1"/>
  </r>
  <r>
    <x v="1704"/>
    <n v="73830"/>
    <n v="36856"/>
    <n v="36974"/>
    <n v="14446912"/>
    <n v="52419227"/>
    <n v="66866139"/>
    <n v="31278"/>
    <n v="8009"/>
    <n v="39287"/>
    <b v="1"/>
    <b v="1"/>
    <b v="1"/>
    <b v="1"/>
    <b v="1"/>
    <b v="1"/>
  </r>
  <r>
    <x v="1705"/>
    <n v="83429"/>
    <n v="41855"/>
    <n v="41574"/>
    <n v="17086235"/>
    <n v="58741166"/>
    <n v="75827401"/>
    <n v="34344"/>
    <n v="8474"/>
    <n v="42818"/>
    <b v="1"/>
    <b v="1"/>
    <b v="1"/>
    <b v="1"/>
    <b v="1"/>
    <b v="1"/>
  </r>
  <r>
    <x v="1706"/>
    <n v="82278"/>
    <n v="38030"/>
    <n v="44248"/>
    <n v="17453783"/>
    <n v="57277652"/>
    <n v="74731435"/>
    <n v="39181"/>
    <n v="8325"/>
    <n v="47506"/>
    <b v="1"/>
    <b v="1"/>
    <b v="1"/>
    <b v="1"/>
    <b v="1"/>
    <b v="1"/>
  </r>
  <r>
    <x v="1707"/>
    <n v="90140"/>
    <n v="41864"/>
    <n v="48276"/>
    <n v="21762494"/>
    <n v="64760087"/>
    <n v="86522581"/>
    <n v="41529"/>
    <n v="8278"/>
    <n v="49807"/>
    <b v="1"/>
    <b v="1"/>
    <b v="1"/>
    <b v="1"/>
    <b v="1"/>
    <b v="1"/>
  </r>
  <r>
    <x v="1708"/>
    <n v="82552"/>
    <n v="39083"/>
    <n v="43469"/>
    <n v="19288616"/>
    <n v="55700340"/>
    <n v="74988956"/>
    <n v="37114"/>
    <n v="7762"/>
    <n v="44876"/>
    <b v="1"/>
    <b v="1"/>
    <b v="1"/>
    <b v="1"/>
    <b v="1"/>
    <b v="1"/>
  </r>
  <r>
    <x v="1709"/>
    <n v="74925"/>
    <n v="38946"/>
    <n v="35979"/>
    <n v="14411980"/>
    <n v="57827892"/>
    <n v="72239872"/>
    <n v="29284"/>
    <n v="8136"/>
    <n v="37420"/>
    <b v="1"/>
    <b v="1"/>
    <b v="1"/>
    <b v="1"/>
    <b v="1"/>
    <b v="1"/>
  </r>
  <r>
    <x v="1710"/>
    <n v="60917"/>
    <n v="29267"/>
    <n v="31650"/>
    <n v="9033470"/>
    <n v="39752963"/>
    <n v="48786433"/>
    <n v="26922"/>
    <n v="7027"/>
    <n v="33949"/>
    <b v="1"/>
    <b v="1"/>
    <b v="1"/>
    <b v="1"/>
    <b v="1"/>
    <b v="1"/>
  </r>
  <r>
    <x v="1711"/>
    <n v="74239"/>
    <n v="39305"/>
    <n v="34934"/>
    <n v="13035937"/>
    <n v="52652149"/>
    <n v="65688086"/>
    <n v="28201"/>
    <n v="8434"/>
    <n v="36635"/>
    <b v="1"/>
    <b v="1"/>
    <b v="1"/>
    <b v="1"/>
    <b v="1"/>
    <b v="1"/>
  </r>
  <r>
    <x v="1712"/>
    <n v="64685"/>
    <n v="32889"/>
    <n v="31796"/>
    <n v="10466612"/>
    <n v="44511244"/>
    <n v="54977856"/>
    <n v="25761"/>
    <n v="6723"/>
    <n v="32484"/>
    <b v="1"/>
    <b v="1"/>
    <b v="1"/>
    <b v="1"/>
    <b v="1"/>
    <b v="1"/>
  </r>
  <r>
    <x v="1713"/>
    <n v="69783"/>
    <n v="36231"/>
    <n v="33552"/>
    <n v="18214309"/>
    <n v="54968465"/>
    <n v="73182774"/>
    <n v="27928"/>
    <n v="9173"/>
    <n v="37101"/>
    <b v="1"/>
    <b v="1"/>
    <b v="1"/>
    <b v="1"/>
    <b v="1"/>
    <b v="1"/>
  </r>
  <r>
    <x v="1714"/>
    <n v="67875"/>
    <n v="32893"/>
    <n v="34982"/>
    <n v="14279090"/>
    <n v="58381077"/>
    <n v="72660167"/>
    <n v="28754"/>
    <n v="7624"/>
    <n v="36378"/>
    <b v="1"/>
    <b v="1"/>
    <b v="1"/>
    <b v="1"/>
    <b v="1"/>
    <b v="1"/>
  </r>
  <r>
    <x v="1715"/>
    <n v="73085"/>
    <n v="36272"/>
    <n v="36813"/>
    <n v="17096194"/>
    <n v="54325503"/>
    <n v="71421697"/>
    <n v="30458"/>
    <n v="8396"/>
    <n v="38854"/>
    <b v="1"/>
    <b v="1"/>
    <b v="1"/>
    <b v="1"/>
    <b v="1"/>
    <b v="1"/>
  </r>
  <r>
    <x v="1716"/>
    <n v="76206"/>
    <n v="40290"/>
    <n v="35916"/>
    <n v="12149670"/>
    <n v="50465812"/>
    <n v="62615482"/>
    <n v="27237"/>
    <n v="8223"/>
    <n v="35460"/>
    <b v="1"/>
    <b v="1"/>
    <b v="1"/>
    <b v="1"/>
    <b v="1"/>
    <b v="1"/>
  </r>
  <r>
    <x v="1717"/>
    <n v="66391"/>
    <n v="32999"/>
    <n v="33392"/>
    <n v="8979374"/>
    <n v="38389594"/>
    <n v="47368968"/>
    <n v="26083"/>
    <n v="7982"/>
    <n v="34065"/>
    <b v="1"/>
    <b v="1"/>
    <b v="1"/>
    <b v="1"/>
    <b v="1"/>
    <b v="1"/>
  </r>
  <r>
    <x v="1718"/>
    <n v="60214"/>
    <n v="30919"/>
    <n v="29295"/>
    <n v="10638041"/>
    <n v="51316590"/>
    <n v="61954631"/>
    <n v="23880"/>
    <n v="8698"/>
    <n v="32578"/>
    <b v="1"/>
    <b v="1"/>
    <b v="1"/>
    <b v="1"/>
    <b v="1"/>
    <b v="1"/>
  </r>
  <r>
    <x v="1719"/>
    <n v="62590"/>
    <n v="33467"/>
    <n v="29123"/>
    <n v="10429480"/>
    <n v="56186042"/>
    <n v="66615522"/>
    <n v="22438"/>
    <n v="8805"/>
    <n v="31243"/>
    <b v="1"/>
    <b v="1"/>
    <b v="1"/>
    <b v="1"/>
    <b v="1"/>
    <b v="1"/>
  </r>
  <r>
    <x v="1720"/>
    <n v="70333"/>
    <n v="36844"/>
    <n v="33489"/>
    <n v="15568927"/>
    <n v="51988509"/>
    <n v="67557436"/>
    <n v="25982"/>
    <n v="8759"/>
    <n v="34741"/>
    <b v="1"/>
    <b v="1"/>
    <b v="1"/>
    <b v="1"/>
    <b v="1"/>
    <b v="1"/>
  </r>
  <r>
    <x v="1721"/>
    <n v="72533"/>
    <n v="36050"/>
    <n v="36483"/>
    <n v="16435711"/>
    <n v="56017567"/>
    <n v="72453278"/>
    <n v="29272"/>
    <n v="8658"/>
    <n v="37930"/>
    <b v="1"/>
    <b v="1"/>
    <b v="1"/>
    <b v="1"/>
    <b v="1"/>
    <b v="1"/>
  </r>
  <r>
    <x v="1722"/>
    <n v="72847"/>
    <n v="38783"/>
    <n v="34064"/>
    <n v="12559065"/>
    <n v="56249977"/>
    <n v="68809042"/>
    <n v="25882"/>
    <n v="8733"/>
    <n v="34615"/>
    <b v="1"/>
    <b v="1"/>
    <b v="1"/>
    <b v="1"/>
    <b v="1"/>
    <b v="1"/>
  </r>
  <r>
    <x v="1723"/>
    <n v="68546"/>
    <n v="36176"/>
    <n v="32370"/>
    <n v="10724807"/>
    <n v="53567337"/>
    <n v="64292144"/>
    <n v="24770"/>
    <n v="7779"/>
    <n v="32549"/>
    <b v="1"/>
    <b v="1"/>
    <b v="1"/>
    <b v="1"/>
    <b v="1"/>
    <b v="1"/>
  </r>
  <r>
    <x v="1724"/>
    <n v="60383"/>
    <n v="31730"/>
    <n v="28653"/>
    <n v="8002056"/>
    <n v="37970095"/>
    <n v="45972151"/>
    <n v="21233"/>
    <n v="7278"/>
    <n v="28511"/>
    <b v="1"/>
    <b v="1"/>
    <b v="1"/>
    <b v="1"/>
    <b v="1"/>
    <b v="1"/>
  </r>
  <r>
    <x v="1725"/>
    <n v="64978"/>
    <n v="35548"/>
    <n v="29430"/>
    <n v="9503786"/>
    <n v="45157137"/>
    <n v="54660923"/>
    <n v="22064"/>
    <n v="8639"/>
    <n v="30703"/>
    <b v="1"/>
    <b v="1"/>
    <b v="1"/>
    <b v="1"/>
    <b v="1"/>
    <b v="1"/>
  </r>
  <r>
    <x v="1726"/>
    <n v="68463"/>
    <n v="38486"/>
    <n v="29977"/>
    <n v="12641720"/>
    <n v="53560621"/>
    <n v="66202341"/>
    <n v="22061"/>
    <n v="9032"/>
    <n v="31093"/>
    <b v="1"/>
    <b v="1"/>
    <b v="1"/>
    <b v="1"/>
    <b v="1"/>
    <b v="1"/>
  </r>
  <r>
    <x v="1727"/>
    <n v="64528"/>
    <n v="36934"/>
    <n v="27594"/>
    <n v="11879533"/>
    <n v="57940827"/>
    <n v="69820360"/>
    <n v="19943"/>
    <n v="8865"/>
    <n v="28808"/>
    <b v="1"/>
    <b v="1"/>
    <b v="1"/>
    <b v="1"/>
    <b v="1"/>
    <b v="1"/>
  </r>
  <r>
    <x v="1728"/>
    <n v="61105"/>
    <n v="36312"/>
    <n v="24793"/>
    <n v="11329309"/>
    <n v="52809816"/>
    <n v="64139125"/>
    <n v="17038"/>
    <n v="7809"/>
    <n v="24847"/>
    <b v="1"/>
    <b v="1"/>
    <b v="1"/>
    <b v="1"/>
    <b v="1"/>
    <b v="1"/>
  </r>
  <r>
    <x v="1729"/>
    <n v="58425"/>
    <n v="35368"/>
    <n v="23057"/>
    <n v="13215002"/>
    <n v="53787364"/>
    <n v="67002366"/>
    <n v="15761"/>
    <n v="8387"/>
    <n v="24148"/>
    <b v="1"/>
    <b v="1"/>
    <b v="1"/>
    <b v="1"/>
    <b v="1"/>
    <b v="1"/>
  </r>
  <r>
    <x v="1730"/>
    <n v="52509"/>
    <n v="32739"/>
    <n v="19770"/>
    <n v="13156065"/>
    <n v="44874488"/>
    <n v="58030553"/>
    <n v="13525"/>
    <n v="8295"/>
    <n v="21820"/>
    <b v="1"/>
    <b v="1"/>
    <b v="1"/>
    <b v="1"/>
    <b v="1"/>
    <b v="1"/>
  </r>
  <r>
    <x v="1731"/>
    <n v="43907"/>
    <n v="26574"/>
    <n v="17333"/>
    <n v="7558826"/>
    <n v="33411408"/>
    <n v="40970234"/>
    <n v="11699"/>
    <n v="6861"/>
    <n v="18560"/>
    <b v="1"/>
    <b v="1"/>
    <b v="1"/>
    <b v="1"/>
    <b v="1"/>
    <b v="1"/>
  </r>
  <r>
    <x v="1732"/>
    <n v="46016"/>
    <n v="31505"/>
    <n v="14511"/>
    <n v="8597585"/>
    <n v="42585196"/>
    <n v="51182781"/>
    <n v="9031"/>
    <n v="8445"/>
    <n v="17476"/>
    <b v="1"/>
    <b v="1"/>
    <b v="1"/>
    <b v="1"/>
    <b v="1"/>
    <b v="1"/>
  </r>
  <r>
    <x v="1733"/>
    <n v="55464"/>
    <n v="37958"/>
    <n v="17506"/>
    <n v="13963680"/>
    <n v="363229210"/>
    <n v="377192890"/>
    <n v="11160"/>
    <n v="8966"/>
    <n v="20126"/>
    <b v="1"/>
    <b v="1"/>
    <b v="1"/>
    <b v="1"/>
    <b v="1"/>
    <b v="1"/>
  </r>
  <r>
    <x v="1734"/>
    <n v="44148"/>
    <n v="32078"/>
    <n v="12070"/>
    <n v="8412305"/>
    <n v="45854178"/>
    <n v="54266483"/>
    <n v="6263"/>
    <n v="7109"/>
    <n v="13372"/>
    <b v="1"/>
    <b v="1"/>
    <b v="1"/>
    <b v="1"/>
    <b v="1"/>
    <b v="1"/>
  </r>
  <r>
    <x v="1735"/>
    <n v="57347"/>
    <n v="39693"/>
    <n v="17654"/>
    <n v="15431141"/>
    <n v="60823495"/>
    <n v="76254636"/>
    <n v="11207"/>
    <n v="9584"/>
    <n v="20791"/>
    <b v="1"/>
    <b v="1"/>
    <b v="1"/>
    <b v="1"/>
    <b v="1"/>
    <b v="1"/>
  </r>
  <r>
    <x v="1736"/>
    <n v="50839"/>
    <n v="36093"/>
    <n v="14746"/>
    <n v="11470327"/>
    <n v="56741417"/>
    <n v="68211744"/>
    <n v="8330"/>
    <n v="8546"/>
    <n v="16876"/>
    <b v="1"/>
    <b v="1"/>
    <b v="1"/>
    <b v="1"/>
    <b v="1"/>
    <b v="1"/>
  </r>
  <r>
    <x v="1737"/>
    <n v="52614"/>
    <n v="35094"/>
    <n v="17520"/>
    <n v="11811611"/>
    <n v="51884367"/>
    <n v="63695978"/>
    <n v="10750"/>
    <n v="8514"/>
    <n v="19264"/>
    <b v="1"/>
    <b v="1"/>
    <b v="1"/>
    <b v="1"/>
    <b v="1"/>
    <b v="1"/>
  </r>
  <r>
    <x v="1738"/>
    <n v="45479"/>
    <n v="30830"/>
    <n v="14649"/>
    <n v="6946089"/>
    <n v="37107283"/>
    <n v="44053372"/>
    <n v="7401"/>
    <n v="7724"/>
    <n v="15125"/>
    <b v="1"/>
    <b v="1"/>
    <b v="1"/>
    <b v="1"/>
    <b v="1"/>
    <b v="1"/>
  </r>
  <r>
    <x v="1739"/>
    <n v="43069"/>
    <n v="28854"/>
    <n v="14215"/>
    <n v="7272763"/>
    <n v="40043555"/>
    <n v="47316318"/>
    <n v="8303"/>
    <n v="8566"/>
    <n v="16869"/>
    <b v="1"/>
    <b v="1"/>
    <b v="1"/>
    <b v="1"/>
    <b v="1"/>
    <b v="1"/>
  </r>
  <r>
    <x v="1740"/>
    <n v="40428"/>
    <n v="27150"/>
    <n v="13278"/>
    <n v="5804695"/>
    <n v="30846084"/>
    <n v="36650779"/>
    <n v="7062"/>
    <n v="6807"/>
    <n v="13869"/>
    <b v="1"/>
    <b v="1"/>
    <b v="1"/>
    <b v="1"/>
    <b v="1"/>
    <b v="1"/>
  </r>
  <r>
    <x v="1741"/>
    <n v="47460"/>
    <n v="32152"/>
    <n v="15308"/>
    <n v="9452980"/>
    <n v="44706945"/>
    <n v="54159925"/>
    <n v="9175"/>
    <n v="8769"/>
    <n v="17944"/>
    <b v="1"/>
    <b v="1"/>
    <b v="1"/>
    <b v="1"/>
    <b v="1"/>
    <b v="1"/>
  </r>
  <r>
    <x v="1742"/>
    <n v="51656"/>
    <n v="34002"/>
    <n v="17654"/>
    <n v="14089726"/>
    <n v="55858794"/>
    <n v="69948520"/>
    <n v="12248"/>
    <n v="9675"/>
    <n v="21923"/>
    <b v="1"/>
    <b v="1"/>
    <b v="1"/>
    <b v="1"/>
    <b v="1"/>
    <b v="1"/>
  </r>
  <r>
    <x v="1743"/>
    <n v="48772"/>
    <n v="32606"/>
    <n v="16166"/>
    <n v="12795217"/>
    <n v="58268756"/>
    <n v="71063973"/>
    <n v="10971"/>
    <n v="9000"/>
    <n v="19971"/>
    <b v="1"/>
    <b v="1"/>
    <b v="1"/>
    <b v="1"/>
    <b v="1"/>
    <b v="1"/>
  </r>
  <r>
    <x v="1744"/>
    <n v="42151"/>
    <n v="29881"/>
    <n v="12270"/>
    <n v="8827645"/>
    <n v="49559102"/>
    <n v="58386747"/>
    <n v="7585"/>
    <n v="7869"/>
    <n v="15454"/>
    <b v="1"/>
    <b v="1"/>
    <b v="1"/>
    <b v="1"/>
    <b v="1"/>
    <b v="1"/>
  </r>
  <r>
    <x v="1745"/>
    <n v="42632"/>
    <n v="29395"/>
    <n v="13237"/>
    <n v="6529475"/>
    <n v="38497993"/>
    <n v="45027468"/>
    <n v="7346"/>
    <n v="7063"/>
    <n v="14409"/>
    <b v="1"/>
    <b v="1"/>
    <b v="1"/>
    <b v="1"/>
    <b v="1"/>
    <b v="1"/>
  </r>
  <r>
    <x v="1746"/>
    <n v="53087"/>
    <n v="36355"/>
    <n v="16732"/>
    <n v="9992006"/>
    <n v="49272772"/>
    <n v="59264778"/>
    <n v="9395"/>
    <n v="8219"/>
    <n v="17614"/>
    <b v="1"/>
    <b v="1"/>
    <b v="1"/>
    <b v="1"/>
    <b v="1"/>
    <b v="1"/>
  </r>
  <r>
    <x v="1747"/>
    <n v="53986"/>
    <n v="36358"/>
    <n v="17628"/>
    <n v="11455990"/>
    <n v="53411051"/>
    <n v="64867041"/>
    <n v="10125"/>
    <n v="8247"/>
    <n v="18372"/>
    <b v="1"/>
    <b v="1"/>
    <b v="1"/>
    <b v="1"/>
    <b v="1"/>
    <b v="1"/>
  </r>
  <r>
    <x v="1748"/>
    <n v="54877"/>
    <n v="36490"/>
    <n v="18387"/>
    <n v="13703941"/>
    <n v="57900760"/>
    <n v="71604701"/>
    <n v="11834"/>
    <n v="9354"/>
    <n v="21188"/>
    <b v="1"/>
    <b v="1"/>
    <b v="1"/>
    <b v="1"/>
    <b v="1"/>
    <b v="1"/>
  </r>
  <r>
    <x v="1749"/>
    <n v="48225"/>
    <n v="33691"/>
    <n v="14534"/>
    <n v="10479771"/>
    <n v="54578410"/>
    <n v="65058181"/>
    <n v="8439"/>
    <n v="8877"/>
    <n v="17316"/>
    <b v="1"/>
    <b v="1"/>
    <b v="1"/>
    <b v="1"/>
    <b v="1"/>
    <b v="1"/>
  </r>
  <r>
    <x v="1750"/>
    <n v="56735"/>
    <n v="38670"/>
    <n v="18065"/>
    <n v="11744350"/>
    <n v="55660344"/>
    <n v="67404694"/>
    <n v="10412"/>
    <n v="9634"/>
    <n v="20046"/>
    <b v="1"/>
    <b v="1"/>
    <b v="1"/>
    <b v="1"/>
    <b v="1"/>
    <b v="1"/>
  </r>
  <r>
    <x v="1751"/>
    <n v="53495"/>
    <n v="37637"/>
    <n v="15858"/>
    <n v="9831200"/>
    <n v="57626246"/>
    <n v="67457446"/>
    <n v="8990"/>
    <n v="9565"/>
    <n v="18555"/>
    <b v="1"/>
    <b v="1"/>
    <b v="1"/>
    <b v="1"/>
    <b v="1"/>
    <b v="1"/>
  </r>
  <r>
    <x v="1752"/>
    <n v="43779"/>
    <n v="29814"/>
    <n v="13965"/>
    <n v="7104282"/>
    <n v="44254892"/>
    <n v="51359174"/>
    <n v="8330"/>
    <n v="8588"/>
    <n v="16918"/>
    <b v="1"/>
    <b v="1"/>
    <b v="1"/>
    <b v="1"/>
    <b v="1"/>
    <b v="1"/>
  </r>
  <r>
    <x v="1753"/>
    <n v="50434"/>
    <n v="34266"/>
    <n v="16168"/>
    <n v="11707603"/>
    <n v="52586760"/>
    <n v="64294363"/>
    <n v="9704"/>
    <n v="9322"/>
    <n v="19026"/>
    <b v="1"/>
    <b v="1"/>
    <b v="1"/>
    <b v="1"/>
    <b v="1"/>
    <b v="1"/>
  </r>
  <r>
    <x v="1754"/>
    <n v="52395"/>
    <n v="35970"/>
    <n v="16425"/>
    <n v="11625457"/>
    <n v="59826618"/>
    <n v="71452075"/>
    <n v="10033"/>
    <n v="9946"/>
    <n v="19979"/>
    <b v="1"/>
    <b v="1"/>
    <b v="1"/>
    <b v="1"/>
    <b v="1"/>
    <b v="1"/>
  </r>
  <r>
    <x v="1755"/>
    <n v="56389"/>
    <n v="37865"/>
    <n v="18524"/>
    <n v="15395149"/>
    <n v="60125218"/>
    <n v="75520367"/>
    <n v="11742"/>
    <n v="10615"/>
    <n v="22357"/>
    <b v="1"/>
    <b v="1"/>
    <b v="1"/>
    <b v="1"/>
    <b v="1"/>
    <b v="1"/>
  </r>
  <r>
    <x v="1756"/>
    <n v="47505"/>
    <n v="31326"/>
    <n v="16179"/>
    <n v="12001375"/>
    <n v="53766475"/>
    <n v="65767850"/>
    <n v="10118"/>
    <n v="8699"/>
    <n v="18817"/>
    <b v="1"/>
    <b v="1"/>
    <b v="1"/>
    <b v="1"/>
    <b v="1"/>
    <b v="1"/>
  </r>
  <r>
    <x v="1757"/>
    <n v="51100"/>
    <n v="30021"/>
    <n v="21079"/>
    <n v="12189525"/>
    <n v="44876084"/>
    <n v="57065609"/>
    <n v="15289"/>
    <n v="8562"/>
    <n v="23851"/>
    <b v="1"/>
    <b v="1"/>
    <b v="1"/>
    <b v="1"/>
    <b v="1"/>
    <b v="1"/>
  </r>
  <r>
    <x v="1758"/>
    <n v="39200"/>
    <n v="20947"/>
    <n v="18253"/>
    <n v="5559980"/>
    <n v="29046494"/>
    <n v="34606474"/>
    <n v="14291"/>
    <n v="6333"/>
    <n v="20624"/>
    <b v="1"/>
    <b v="1"/>
    <b v="1"/>
    <b v="1"/>
    <b v="1"/>
    <b v="1"/>
  </r>
  <r>
    <x v="1759"/>
    <n v="21401"/>
    <n v="7885"/>
    <n v="13516"/>
    <n v="2706210"/>
    <n v="12424670"/>
    <n v="15130880"/>
    <n v="12403"/>
    <n v="2754"/>
    <n v="15157"/>
    <b v="1"/>
    <b v="1"/>
    <b v="1"/>
    <b v="1"/>
    <b v="1"/>
    <b v="1"/>
  </r>
  <r>
    <x v="1760"/>
    <n v="43071"/>
    <n v="19776"/>
    <n v="23295"/>
    <n v="3773560"/>
    <n v="18399261"/>
    <n v="22172821"/>
    <n v="17860"/>
    <n v="4865"/>
    <n v="22725"/>
    <b v="1"/>
    <b v="1"/>
    <b v="1"/>
    <b v="1"/>
    <b v="1"/>
    <b v="1"/>
  </r>
  <r>
    <x v="1761"/>
    <n v="48847"/>
    <n v="25112"/>
    <n v="23735"/>
    <n v="5376689"/>
    <n v="27738388"/>
    <n v="33115077"/>
    <n v="18775"/>
    <n v="7425"/>
    <n v="26200"/>
    <b v="1"/>
    <b v="1"/>
    <b v="1"/>
    <b v="1"/>
    <b v="1"/>
    <b v="1"/>
  </r>
  <r>
    <x v="1762"/>
    <n v="47874"/>
    <n v="25488"/>
    <n v="22386"/>
    <n v="8653955"/>
    <n v="40298689"/>
    <n v="48952644"/>
    <n v="18294"/>
    <n v="8286"/>
    <n v="26580"/>
    <b v="1"/>
    <b v="1"/>
    <b v="1"/>
    <b v="1"/>
    <b v="1"/>
    <b v="1"/>
  </r>
  <r>
    <x v="1763"/>
    <n v="50724"/>
    <n v="29678"/>
    <n v="21046"/>
    <n v="10874020"/>
    <n v="47757908"/>
    <n v="58631928"/>
    <n v="15524"/>
    <n v="7817"/>
    <n v="23341"/>
    <b v="1"/>
    <b v="1"/>
    <b v="1"/>
    <b v="1"/>
    <b v="1"/>
    <b v="1"/>
  </r>
  <r>
    <x v="1764"/>
    <n v="64005"/>
    <n v="38220"/>
    <n v="25785"/>
    <n v="14887686"/>
    <n v="57309757"/>
    <n v="72197443"/>
    <n v="18650"/>
    <n v="8806"/>
    <n v="27456"/>
    <b v="1"/>
    <b v="1"/>
    <b v="1"/>
    <b v="1"/>
    <b v="1"/>
    <b v="1"/>
  </r>
  <r>
    <x v="1765"/>
    <n v="65956"/>
    <n v="38843"/>
    <n v="27113"/>
    <n v="17934067"/>
    <n v="56045561"/>
    <n v="73979628"/>
    <n v="19945"/>
    <n v="9017"/>
    <n v="28962"/>
    <b v="1"/>
    <b v="1"/>
    <b v="1"/>
    <b v="1"/>
    <b v="1"/>
    <b v="1"/>
  </r>
  <r>
    <x v="1766"/>
    <n v="55726"/>
    <n v="32957"/>
    <n v="22769"/>
    <n v="11686665"/>
    <n v="42520550"/>
    <n v="54207215"/>
    <n v="15881"/>
    <n v="7692"/>
    <n v="23573"/>
    <b v="1"/>
    <b v="1"/>
    <b v="1"/>
    <b v="1"/>
    <b v="1"/>
    <b v="1"/>
  </r>
  <r>
    <x v="1767"/>
    <n v="64444"/>
    <n v="40202"/>
    <n v="24242"/>
    <n v="15790308"/>
    <n v="55190757"/>
    <n v="70981065"/>
    <n v="16606"/>
    <n v="9555"/>
    <n v="26161"/>
    <b v="1"/>
    <b v="1"/>
    <b v="1"/>
    <b v="1"/>
    <b v="1"/>
    <b v="1"/>
  </r>
  <r>
    <x v="1768"/>
    <n v="62089"/>
    <n v="39074"/>
    <n v="23015"/>
    <n v="16398906"/>
    <n v="63154025"/>
    <n v="79552931"/>
    <n v="15650"/>
    <n v="8613"/>
    <n v="24263"/>
    <b v="1"/>
    <b v="1"/>
    <b v="1"/>
    <b v="1"/>
    <b v="1"/>
    <b v="1"/>
  </r>
  <r>
    <x v="1769"/>
    <n v="71176"/>
    <n v="44037"/>
    <n v="27139"/>
    <n v="19383900"/>
    <n v="61818569"/>
    <n v="81202469"/>
    <n v="19497"/>
    <n v="11232"/>
    <n v="30729"/>
    <b v="1"/>
    <b v="1"/>
    <b v="1"/>
    <b v="1"/>
    <b v="1"/>
    <b v="1"/>
  </r>
  <r>
    <x v="1770"/>
    <n v="68947"/>
    <n v="41670"/>
    <n v="27277"/>
    <n v="19553428"/>
    <n v="58828888"/>
    <n v="78382316"/>
    <n v="19865"/>
    <n v="10056"/>
    <n v="29921"/>
    <b v="1"/>
    <b v="1"/>
    <b v="1"/>
    <b v="1"/>
    <b v="1"/>
    <b v="1"/>
  </r>
  <r>
    <x v="1771"/>
    <n v="62713"/>
    <n v="39346"/>
    <n v="23367"/>
    <n v="13953700"/>
    <n v="60192749"/>
    <n v="74146449"/>
    <n v="16623"/>
    <n v="10427"/>
    <n v="27050"/>
    <b v="1"/>
    <b v="1"/>
    <b v="1"/>
    <b v="1"/>
    <b v="1"/>
    <b v="1"/>
  </r>
  <r>
    <x v="1772"/>
    <n v="55980"/>
    <n v="27584"/>
    <n v="28396"/>
    <n v="8028195"/>
    <n v="46563676"/>
    <n v="54591871"/>
    <n v="24160"/>
    <n v="6762"/>
    <n v="30922"/>
    <b v="1"/>
    <b v="1"/>
    <b v="1"/>
    <b v="1"/>
    <b v="1"/>
    <b v="1"/>
  </r>
  <r>
    <x v="1773"/>
    <n v="60509"/>
    <n v="27577"/>
    <n v="32932"/>
    <n v="7475107"/>
    <n v="36589754"/>
    <n v="44064861"/>
    <n v="28120"/>
    <n v="7022"/>
    <n v="35142"/>
    <b v="1"/>
    <b v="1"/>
    <b v="1"/>
    <b v="1"/>
    <b v="1"/>
    <b v="1"/>
  </r>
  <r>
    <x v="1774"/>
    <n v="67393"/>
    <n v="35455"/>
    <n v="31938"/>
    <n v="13248506"/>
    <n v="59459752"/>
    <n v="72708258"/>
    <n v="25998"/>
    <n v="9220"/>
    <n v="35218"/>
    <b v="1"/>
    <b v="1"/>
    <b v="1"/>
    <b v="1"/>
    <b v="1"/>
    <b v="1"/>
  </r>
  <r>
    <x v="1775"/>
    <n v="69561"/>
    <n v="35364"/>
    <n v="34197"/>
    <n v="12116870"/>
    <n v="46650200"/>
    <n v="58767070"/>
    <n v="28004"/>
    <n v="8528"/>
    <n v="36532"/>
    <b v="1"/>
    <b v="1"/>
    <b v="1"/>
    <b v="1"/>
    <b v="1"/>
    <b v="1"/>
  </r>
  <r>
    <x v="1776"/>
    <n v="80566"/>
    <n v="42925"/>
    <n v="37641"/>
    <n v="20639280"/>
    <n v="61008115"/>
    <n v="81647395"/>
    <n v="30596"/>
    <n v="10950"/>
    <n v="41546"/>
    <b v="1"/>
    <b v="1"/>
    <b v="1"/>
    <b v="1"/>
    <b v="1"/>
    <b v="1"/>
  </r>
  <r>
    <x v="1777"/>
    <n v="73270"/>
    <n v="41462"/>
    <n v="31808"/>
    <n v="17087899"/>
    <n v="68884832"/>
    <n v="85972731"/>
    <n v="25323"/>
    <n v="10477"/>
    <n v="35800"/>
    <b v="1"/>
    <b v="1"/>
    <b v="1"/>
    <b v="1"/>
    <b v="1"/>
    <b v="1"/>
  </r>
  <r>
    <x v="1778"/>
    <n v="78828"/>
    <n v="43382"/>
    <n v="35446"/>
    <n v="19532160"/>
    <n v="66115717"/>
    <n v="85647877"/>
    <n v="28916"/>
    <n v="11437"/>
    <n v="40353"/>
    <b v="1"/>
    <b v="1"/>
    <b v="1"/>
    <b v="1"/>
    <b v="1"/>
    <b v="1"/>
  </r>
  <r>
    <x v="1779"/>
    <n v="78837"/>
    <n v="43370"/>
    <n v="35467"/>
    <n v="17738112"/>
    <n v="66695399"/>
    <n v="84433511"/>
    <n v="28128"/>
    <n v="11797"/>
    <n v="39925"/>
    <b v="1"/>
    <b v="1"/>
    <b v="1"/>
    <b v="1"/>
    <b v="1"/>
    <b v="1"/>
  </r>
  <r>
    <x v="1780"/>
    <n v="73218"/>
    <n v="37863"/>
    <n v="35355"/>
    <n v="12800480"/>
    <n v="46919063"/>
    <n v="59719543"/>
    <n v="28648"/>
    <n v="10494"/>
    <n v="39142"/>
    <b v="1"/>
    <b v="1"/>
    <b v="1"/>
    <b v="1"/>
    <b v="1"/>
    <b v="1"/>
  </r>
  <r>
    <x v="1781"/>
    <n v="81759"/>
    <n v="44124"/>
    <n v="37635"/>
    <n v="18826120"/>
    <n v="57327067"/>
    <n v="76153187"/>
    <n v="30292"/>
    <n v="11695"/>
    <n v="41987"/>
    <b v="1"/>
    <b v="1"/>
    <b v="1"/>
    <b v="1"/>
    <b v="1"/>
    <b v="1"/>
  </r>
  <r>
    <x v="1782"/>
    <n v="81659"/>
    <n v="45379"/>
    <n v="36280"/>
    <n v="18411931"/>
    <n v="66357231"/>
    <n v="84769162"/>
    <n v="28719"/>
    <n v="11616"/>
    <n v="40335"/>
    <b v="1"/>
    <b v="1"/>
    <b v="1"/>
    <b v="1"/>
    <b v="1"/>
    <b v="1"/>
  </r>
  <r>
    <x v="1783"/>
    <n v="82314"/>
    <n v="44334"/>
    <n v="37980"/>
    <n v="18299243"/>
    <n v="60628149"/>
    <n v="78927392"/>
    <n v="29828"/>
    <n v="11758"/>
    <n v="41586"/>
    <b v="1"/>
    <b v="1"/>
    <b v="1"/>
    <b v="1"/>
    <b v="1"/>
    <b v="1"/>
  </r>
  <r>
    <x v="1784"/>
    <n v="86041"/>
    <n v="45738"/>
    <n v="40303"/>
    <n v="20202785"/>
    <n v="57960523"/>
    <n v="78163308"/>
    <n v="32084"/>
    <n v="12153"/>
    <n v="44237"/>
    <b v="1"/>
    <b v="1"/>
    <b v="1"/>
    <b v="1"/>
    <b v="1"/>
    <b v="1"/>
  </r>
  <r>
    <x v="1785"/>
    <n v="82941"/>
    <n v="46638"/>
    <n v="36303"/>
    <n v="17659233"/>
    <n v="58185207"/>
    <n v="75844440"/>
    <n v="28107"/>
    <n v="13137"/>
    <n v="41244"/>
    <b v="1"/>
    <b v="1"/>
    <b v="1"/>
    <b v="1"/>
    <b v="1"/>
    <b v="1"/>
  </r>
  <r>
    <x v="1786"/>
    <n v="84609"/>
    <n v="46961"/>
    <n v="37648"/>
    <n v="18282165"/>
    <n v="55663647"/>
    <n v="73945812"/>
    <n v="29212"/>
    <n v="13220"/>
    <n v="42432"/>
    <b v="1"/>
    <b v="1"/>
    <b v="1"/>
    <b v="1"/>
    <b v="1"/>
    <b v="1"/>
  </r>
  <r>
    <x v="1787"/>
    <n v="76712"/>
    <n v="41690"/>
    <n v="35022"/>
    <n v="14653148"/>
    <n v="45487206"/>
    <n v="60140354"/>
    <n v="28569"/>
    <n v="12958"/>
    <n v="41527"/>
    <b v="1"/>
    <b v="1"/>
    <b v="1"/>
    <b v="1"/>
    <b v="1"/>
    <b v="1"/>
  </r>
  <r>
    <x v="1788"/>
    <n v="84728"/>
    <n v="49416"/>
    <n v="35312"/>
    <n v="20687932"/>
    <n v="57511369"/>
    <n v="78199301"/>
    <n v="27809"/>
    <n v="14001"/>
    <n v="41810"/>
    <b v="1"/>
    <b v="1"/>
    <b v="1"/>
    <b v="1"/>
    <b v="1"/>
    <b v="1"/>
  </r>
  <r>
    <x v="1789"/>
    <n v="94377"/>
    <n v="48408"/>
    <n v="45969"/>
    <n v="21187245"/>
    <n v="69294672"/>
    <n v="90481917"/>
    <n v="37982"/>
    <n v="13405"/>
    <n v="51387"/>
    <b v="1"/>
    <b v="1"/>
    <b v="1"/>
    <b v="1"/>
    <b v="1"/>
    <b v="1"/>
  </r>
  <r>
    <x v="1790"/>
    <n v="94593"/>
    <n v="47989"/>
    <n v="46604"/>
    <n v="19639448"/>
    <n v="62252851"/>
    <n v="81892299"/>
    <n v="38301"/>
    <n v="13104"/>
    <n v="51405"/>
    <b v="1"/>
    <b v="1"/>
    <b v="1"/>
    <b v="1"/>
    <b v="1"/>
    <b v="1"/>
  </r>
  <r>
    <x v="1791"/>
    <n v="95516"/>
    <n v="45118"/>
    <n v="50398"/>
    <n v="21128704"/>
    <n v="58233937"/>
    <n v="79362641"/>
    <n v="42158"/>
    <n v="12801"/>
    <n v="54959"/>
    <b v="1"/>
    <b v="1"/>
    <b v="1"/>
    <b v="1"/>
    <b v="1"/>
    <b v="1"/>
  </r>
  <r>
    <x v="1792"/>
    <n v="96888"/>
    <n v="46997"/>
    <n v="49891"/>
    <n v="18987241"/>
    <n v="60720409"/>
    <n v="79707650"/>
    <n v="42902"/>
    <n v="14194"/>
    <n v="57096"/>
    <b v="1"/>
    <b v="1"/>
    <b v="1"/>
    <b v="1"/>
    <b v="1"/>
    <b v="1"/>
  </r>
  <r>
    <x v="1793"/>
    <n v="88768"/>
    <n v="40005"/>
    <n v="48763"/>
    <n v="17622780"/>
    <n v="47774017"/>
    <n v="65396797"/>
    <n v="42942"/>
    <n v="11276"/>
    <n v="54218"/>
    <b v="1"/>
    <b v="1"/>
    <b v="1"/>
    <b v="1"/>
    <b v="1"/>
    <b v="1"/>
  </r>
  <r>
    <x v="1794"/>
    <n v="76940"/>
    <n v="30379"/>
    <n v="46561"/>
    <n v="8944264"/>
    <n v="39688376"/>
    <n v="48632640"/>
    <n v="41227"/>
    <n v="8109"/>
    <n v="49336"/>
    <b v="1"/>
    <b v="1"/>
    <b v="1"/>
    <b v="1"/>
    <b v="1"/>
    <b v="1"/>
  </r>
  <r>
    <x v="1795"/>
    <n v="92572"/>
    <n v="41696"/>
    <n v="50876"/>
    <n v="12937015"/>
    <n v="52190870"/>
    <n v="65127885"/>
    <n v="42982"/>
    <n v="10437"/>
    <n v="53419"/>
    <b v="1"/>
    <b v="1"/>
    <b v="1"/>
    <b v="1"/>
    <b v="1"/>
    <b v="1"/>
  </r>
  <r>
    <x v="1796"/>
    <n v="98351"/>
    <n v="43384"/>
    <n v="54967"/>
    <n v="17794086"/>
    <n v="57248949"/>
    <n v="75043035"/>
    <n v="46667"/>
    <n v="10885"/>
    <n v="57552"/>
    <b v="1"/>
    <b v="1"/>
    <b v="1"/>
    <b v="1"/>
    <b v="1"/>
    <b v="1"/>
  </r>
  <r>
    <x v="1797"/>
    <n v="95855"/>
    <n v="43120"/>
    <n v="52735"/>
    <n v="15817121"/>
    <n v="60407293"/>
    <n v="76224414"/>
    <n v="43872"/>
    <n v="10749"/>
    <n v="54621"/>
    <b v="1"/>
    <b v="1"/>
    <b v="1"/>
    <b v="1"/>
    <b v="1"/>
    <b v="1"/>
  </r>
  <r>
    <x v="1798"/>
    <n v="102041"/>
    <n v="42157"/>
    <n v="59884"/>
    <n v="14745864"/>
    <n v="58516011"/>
    <n v="73261875"/>
    <n v="52083"/>
    <n v="11086"/>
    <n v="63169"/>
    <b v="1"/>
    <b v="1"/>
    <b v="1"/>
    <b v="1"/>
    <b v="1"/>
    <b v="1"/>
  </r>
  <r>
    <x v="1799"/>
    <n v="106815"/>
    <n v="43008"/>
    <n v="63807"/>
    <n v="18811635"/>
    <n v="58867587"/>
    <n v="77679222"/>
    <n v="55606"/>
    <n v="10994"/>
    <n v="66600"/>
    <b v="1"/>
    <b v="1"/>
    <b v="1"/>
    <b v="1"/>
    <b v="1"/>
    <b v="1"/>
  </r>
  <r>
    <x v="1800"/>
    <n v="99036"/>
    <n v="41599"/>
    <n v="57437"/>
    <n v="15071165"/>
    <n v="54417884"/>
    <n v="69489049"/>
    <n v="49109"/>
    <n v="10368"/>
    <n v="59477"/>
    <b v="1"/>
    <b v="1"/>
    <b v="1"/>
    <b v="1"/>
    <b v="1"/>
    <b v="1"/>
  </r>
  <r>
    <x v="1801"/>
    <n v="88764"/>
    <n v="33523"/>
    <n v="55241"/>
    <n v="9863340"/>
    <n v="38542005"/>
    <n v="48405345"/>
    <n v="48932"/>
    <n v="8349"/>
    <n v="57281"/>
    <b v="1"/>
    <b v="1"/>
    <b v="1"/>
    <b v="1"/>
    <b v="1"/>
    <b v="1"/>
  </r>
  <r>
    <x v="1802"/>
    <n v="92374"/>
    <n v="40372"/>
    <n v="52002"/>
    <n v="15609184"/>
    <n v="51326034"/>
    <n v="66935218"/>
    <n v="44453"/>
    <n v="10172"/>
    <n v="54625"/>
    <b v="1"/>
    <b v="1"/>
    <b v="1"/>
    <b v="1"/>
    <b v="1"/>
    <b v="1"/>
  </r>
  <r>
    <x v="1803"/>
    <n v="95241"/>
    <n v="42020"/>
    <n v="53221"/>
    <n v="16870532"/>
    <n v="58755332"/>
    <n v="75625864"/>
    <n v="45232"/>
    <n v="10775"/>
    <n v="56007"/>
    <b v="1"/>
    <b v="1"/>
    <b v="1"/>
    <b v="1"/>
    <b v="1"/>
    <b v="1"/>
  </r>
  <r>
    <x v="1804"/>
    <n v="99930"/>
    <n v="43828"/>
    <n v="56102"/>
    <n v="18539352"/>
    <n v="57638324"/>
    <n v="76177676"/>
    <n v="47512"/>
    <n v="11368"/>
    <n v="58880"/>
    <b v="1"/>
    <b v="1"/>
    <b v="1"/>
    <b v="1"/>
    <b v="1"/>
    <b v="1"/>
  </r>
  <r>
    <x v="1805"/>
    <n v="99962"/>
    <n v="42015"/>
    <n v="57947"/>
    <n v="17717918"/>
    <n v="54340528"/>
    <n v="72058446"/>
    <n v="48523"/>
    <n v="10517"/>
    <n v="59040"/>
    <b v="1"/>
    <b v="1"/>
    <b v="1"/>
    <b v="1"/>
    <b v="1"/>
    <b v="1"/>
  </r>
  <r>
    <x v="1806"/>
    <n v="90039"/>
    <n v="38265"/>
    <n v="51774"/>
    <n v="13172121"/>
    <n v="48274723"/>
    <n v="61446844"/>
    <n v="43156"/>
    <n v="9241"/>
    <n v="52397"/>
    <b v="1"/>
    <b v="1"/>
    <b v="1"/>
    <b v="1"/>
    <b v="1"/>
    <b v="1"/>
  </r>
  <r>
    <x v="1807"/>
    <n v="100972"/>
    <n v="41343"/>
    <n v="59629"/>
    <n v="14095495"/>
    <n v="53897877"/>
    <n v="67993372"/>
    <n v="50911"/>
    <n v="9528"/>
    <n v="60439"/>
    <b v="1"/>
    <b v="1"/>
    <b v="1"/>
    <b v="1"/>
    <b v="1"/>
    <b v="1"/>
  </r>
  <r>
    <x v="1808"/>
    <n v="99763"/>
    <n v="37039"/>
    <n v="62724"/>
    <n v="14357516"/>
    <n v="39185434"/>
    <n v="53542950"/>
    <n v="52719"/>
    <n v="9090"/>
    <n v="61809"/>
    <b v="1"/>
    <b v="1"/>
    <b v="1"/>
    <b v="1"/>
    <b v="1"/>
    <b v="1"/>
  </r>
  <r>
    <x v="1809"/>
    <n v="100018"/>
    <n v="41421"/>
    <n v="58597"/>
    <n v="15425311"/>
    <n v="50786337"/>
    <n v="66211648"/>
    <n v="48631"/>
    <n v="10425"/>
    <n v="59056"/>
    <b v="1"/>
    <b v="1"/>
    <b v="1"/>
    <b v="1"/>
    <b v="1"/>
    <b v="1"/>
  </r>
  <r>
    <x v="1810"/>
    <n v="101881"/>
    <n v="43357"/>
    <n v="58524"/>
    <n v="14111243"/>
    <n v="53778673"/>
    <n v="67889916"/>
    <n v="47913"/>
    <n v="10050"/>
    <n v="57963"/>
    <b v="1"/>
    <b v="1"/>
    <b v="1"/>
    <b v="1"/>
    <b v="1"/>
    <b v="1"/>
  </r>
  <r>
    <x v="1811"/>
    <n v="102916"/>
    <n v="43646"/>
    <n v="59270"/>
    <n v="15988061"/>
    <n v="56910717"/>
    <n v="72898778"/>
    <n v="49207"/>
    <n v="10799"/>
    <n v="60006"/>
    <b v="1"/>
    <b v="1"/>
    <b v="1"/>
    <b v="1"/>
    <b v="1"/>
    <b v="1"/>
  </r>
  <r>
    <x v="1812"/>
    <n v="100275"/>
    <n v="42052"/>
    <n v="58223"/>
    <n v="17866120"/>
    <n v="54891260"/>
    <n v="72757380"/>
    <n v="47634"/>
    <n v="9572"/>
    <n v="57206"/>
    <b v="1"/>
    <b v="1"/>
    <b v="1"/>
    <b v="1"/>
    <b v="1"/>
    <b v="1"/>
  </r>
  <r>
    <x v="1813"/>
    <n v="91479"/>
    <n v="37935"/>
    <n v="53544"/>
    <n v="12914989"/>
    <n v="51829483"/>
    <n v="64744472"/>
    <n v="43524"/>
    <n v="8114"/>
    <n v="51638"/>
    <b v="1"/>
    <b v="1"/>
    <b v="1"/>
    <b v="1"/>
    <b v="1"/>
    <b v="1"/>
  </r>
  <r>
    <x v="1814"/>
    <n v="100939"/>
    <n v="39109"/>
    <n v="61830"/>
    <n v="12257122"/>
    <n v="46317061"/>
    <n v="58574183"/>
    <n v="50373"/>
    <n v="7837"/>
    <n v="58210"/>
    <b v="1"/>
    <b v="1"/>
    <b v="1"/>
    <b v="1"/>
    <b v="1"/>
    <b v="1"/>
  </r>
  <r>
    <x v="1815"/>
    <n v="95760"/>
    <n v="32788"/>
    <n v="62972"/>
    <n v="8884144"/>
    <n v="33060598"/>
    <n v="41944742"/>
    <n v="53251"/>
    <n v="7062"/>
    <n v="60313"/>
    <b v="1"/>
    <b v="1"/>
    <b v="1"/>
    <b v="1"/>
    <b v="1"/>
    <b v="1"/>
  </r>
  <r>
    <x v="1816"/>
    <n v="103875"/>
    <n v="41495"/>
    <n v="62380"/>
    <n v="14899985"/>
    <n v="50776661"/>
    <n v="65676646"/>
    <n v="51707"/>
    <n v="10029"/>
    <n v="61736"/>
    <b v="1"/>
    <b v="1"/>
    <b v="1"/>
    <b v="1"/>
    <b v="1"/>
    <b v="1"/>
  </r>
  <r>
    <x v="1817"/>
    <n v="106629"/>
    <n v="40478"/>
    <n v="66151"/>
    <n v="17036592"/>
    <n v="54393301"/>
    <n v="71429893"/>
    <n v="56320"/>
    <n v="9877"/>
    <n v="66197"/>
    <b v="1"/>
    <b v="1"/>
    <b v="1"/>
    <b v="1"/>
    <b v="1"/>
    <b v="1"/>
  </r>
  <r>
    <x v="1818"/>
    <n v="98905"/>
    <n v="34319"/>
    <n v="64586"/>
    <n v="13346277"/>
    <n v="44165969"/>
    <n v="57512246"/>
    <n v="57831"/>
    <n v="8306"/>
    <n v="66137"/>
    <b v="1"/>
    <b v="1"/>
    <b v="1"/>
    <b v="1"/>
    <b v="1"/>
    <b v="1"/>
  </r>
  <r>
    <x v="1819"/>
    <n v="91994"/>
    <n v="33962"/>
    <n v="58032"/>
    <n v="12957480"/>
    <n v="47522127"/>
    <n v="60479607"/>
    <n v="52008"/>
    <n v="8849"/>
    <n v="60857"/>
    <b v="1"/>
    <b v="1"/>
    <b v="1"/>
    <b v="1"/>
    <b v="1"/>
    <b v="1"/>
  </r>
  <r>
    <x v="1820"/>
    <n v="93563"/>
    <n v="32960"/>
    <n v="60603"/>
    <n v="12012516"/>
    <n v="49948867"/>
    <n v="61961383"/>
    <n v="54531"/>
    <n v="7675"/>
    <n v="62206"/>
    <b v="1"/>
    <b v="1"/>
    <b v="1"/>
    <b v="1"/>
    <b v="1"/>
    <b v="1"/>
  </r>
  <r>
    <x v="1821"/>
    <n v="94077"/>
    <n v="32875"/>
    <n v="61202"/>
    <n v="14375602"/>
    <n v="48630822"/>
    <n v="63006424"/>
    <n v="55080"/>
    <n v="7948"/>
    <n v="63028"/>
    <b v="1"/>
    <b v="1"/>
    <b v="1"/>
    <b v="1"/>
    <b v="1"/>
    <b v="1"/>
  </r>
  <r>
    <x v="1822"/>
    <n v="74871"/>
    <n v="27454"/>
    <n v="47417"/>
    <n v="8883435"/>
    <n v="31665024"/>
    <n v="40548459"/>
    <n v="42660"/>
    <n v="7946"/>
    <n v="50606"/>
    <b v="1"/>
    <b v="1"/>
    <b v="1"/>
    <b v="1"/>
    <b v="1"/>
    <b v="1"/>
  </r>
  <r>
    <x v="1823"/>
    <n v="73888"/>
    <n v="30800"/>
    <n v="43088"/>
    <n v="9564740"/>
    <n v="38576102"/>
    <n v="48140842"/>
    <n v="37926"/>
    <n v="7939"/>
    <n v="45865"/>
    <b v="1"/>
    <b v="1"/>
    <b v="1"/>
    <b v="1"/>
    <b v="1"/>
    <b v="1"/>
  </r>
  <r>
    <x v="1824"/>
    <n v="80884"/>
    <n v="30996"/>
    <n v="49888"/>
    <n v="11576705"/>
    <n v="38143259"/>
    <n v="49719964"/>
    <n v="44142"/>
    <n v="7939"/>
    <n v="52081"/>
    <b v="1"/>
    <b v="1"/>
    <b v="1"/>
    <b v="1"/>
    <b v="1"/>
    <b v="1"/>
  </r>
  <r>
    <x v="1825"/>
    <n v="62373"/>
    <n v="19772"/>
    <n v="42601"/>
    <n v="9311310"/>
    <n v="27250967"/>
    <n v="36562277"/>
    <n v="40277"/>
    <n v="7000"/>
    <n v="47277"/>
    <b v="1"/>
    <b v="1"/>
    <b v="1"/>
    <b v="1"/>
    <b v="1"/>
    <b v="1"/>
  </r>
  <r>
    <x v="1826"/>
    <n v="95174"/>
    <n v="39497"/>
    <n v="55677"/>
    <n v="15241332"/>
    <n v="40006391"/>
    <n v="55247723"/>
    <n v="48978"/>
    <n v="10464"/>
    <n v="59442"/>
    <b v="1"/>
    <b v="1"/>
    <b v="1"/>
    <b v="1"/>
    <b v="1"/>
    <b v="1"/>
  </r>
  <r>
    <x v="1827"/>
    <n v="106365"/>
    <n v="41590"/>
    <n v="64775"/>
    <n v="17199010"/>
    <n v="49333653"/>
    <n v="66532663"/>
    <n v="56986"/>
    <n v="10921"/>
    <n v="67907"/>
    <b v="1"/>
    <b v="1"/>
    <b v="1"/>
    <b v="1"/>
    <b v="1"/>
    <b v="1"/>
  </r>
  <r>
    <x v="1828"/>
    <n v="102706"/>
    <n v="44796"/>
    <n v="57910"/>
    <n v="17485004"/>
    <n v="49748601"/>
    <n v="67233605"/>
    <n v="47532"/>
    <n v="10252"/>
    <n v="57784"/>
    <b v="1"/>
    <b v="1"/>
    <b v="1"/>
    <b v="1"/>
    <b v="1"/>
    <b v="1"/>
  </r>
  <r>
    <x v="1829"/>
    <n v="101030"/>
    <n v="36907"/>
    <n v="64123"/>
    <n v="11687372"/>
    <n v="38821745"/>
    <n v="50509117"/>
    <n v="54732"/>
    <n v="9115"/>
    <n v="63847"/>
    <b v="1"/>
    <b v="1"/>
    <b v="1"/>
    <b v="1"/>
    <b v="1"/>
    <b v="1"/>
  </r>
  <r>
    <x v="1830"/>
    <n v="109716"/>
    <n v="41515"/>
    <n v="68201"/>
    <n v="14988394"/>
    <n v="46639476"/>
    <n v="61627870"/>
    <n v="58189"/>
    <n v="10490"/>
    <n v="68679"/>
    <b v="1"/>
    <b v="1"/>
    <b v="1"/>
    <b v="1"/>
    <b v="1"/>
    <b v="1"/>
  </r>
  <r>
    <x v="1831"/>
    <n v="121703"/>
    <n v="47717"/>
    <n v="73986"/>
    <n v="21193168"/>
    <n v="55109653"/>
    <n v="76302821"/>
    <n v="61015"/>
    <n v="11603"/>
    <n v="72618"/>
    <b v="1"/>
    <b v="1"/>
    <b v="1"/>
    <b v="1"/>
    <b v="1"/>
    <b v="1"/>
  </r>
  <r>
    <x v="1832"/>
    <n v="92969"/>
    <n v="37998"/>
    <n v="54971"/>
    <n v="15826648"/>
    <n v="47923682"/>
    <n v="63750330"/>
    <n v="44358"/>
    <n v="8844"/>
    <n v="53202"/>
    <b v="1"/>
    <b v="1"/>
    <b v="1"/>
    <b v="1"/>
    <b v="1"/>
    <b v="1"/>
  </r>
  <r>
    <x v="1833"/>
    <n v="107883"/>
    <n v="45808"/>
    <n v="62075"/>
    <n v="16832970"/>
    <n v="51630202"/>
    <n v="68463172"/>
    <n v="50820"/>
    <n v="11246"/>
    <n v="62066"/>
    <b v="1"/>
    <b v="1"/>
    <b v="1"/>
    <b v="1"/>
    <b v="1"/>
    <b v="1"/>
  </r>
  <r>
    <x v="1834"/>
    <n v="109136"/>
    <n v="42862"/>
    <n v="66274"/>
    <n v="15506005"/>
    <n v="51650140"/>
    <n v="67156145"/>
    <n v="56568"/>
    <n v="11109"/>
    <n v="67677"/>
    <b v="1"/>
    <b v="1"/>
    <b v="1"/>
    <b v="1"/>
    <b v="1"/>
    <b v="1"/>
  </r>
  <r>
    <x v="1835"/>
    <n v="97526"/>
    <n v="39559"/>
    <n v="57967"/>
    <n v="13259800"/>
    <n v="41448084"/>
    <n v="54707884"/>
    <n v="50571"/>
    <n v="10835"/>
    <n v="61406"/>
    <b v="1"/>
    <b v="1"/>
    <b v="1"/>
    <b v="1"/>
    <b v="1"/>
    <b v="1"/>
  </r>
  <r>
    <x v="1836"/>
    <n v="84909"/>
    <n v="35694"/>
    <n v="49215"/>
    <n v="12416490"/>
    <n v="39903045"/>
    <n v="52319535"/>
    <n v="40909"/>
    <n v="9198"/>
    <n v="50107"/>
    <b v="1"/>
    <b v="1"/>
    <b v="1"/>
    <b v="1"/>
    <b v="1"/>
    <b v="1"/>
  </r>
  <r>
    <x v="1837"/>
    <n v="98706"/>
    <n v="45678"/>
    <n v="53028"/>
    <n v="16090963"/>
    <n v="46871263"/>
    <n v="62962226"/>
    <n v="40394"/>
    <n v="11017"/>
    <n v="51411"/>
    <b v="1"/>
    <b v="1"/>
    <b v="1"/>
    <b v="1"/>
    <b v="1"/>
    <b v="1"/>
  </r>
  <r>
    <x v="1838"/>
    <n v="119145"/>
    <n v="46820"/>
    <n v="72325"/>
    <n v="16260960"/>
    <n v="53408189"/>
    <n v="69669149"/>
    <n v="59090"/>
    <n v="12262"/>
    <n v="71352"/>
    <b v="1"/>
    <b v="1"/>
    <b v="1"/>
    <b v="1"/>
    <b v="1"/>
    <b v="1"/>
  </r>
  <r>
    <x v="1839"/>
    <n v="108952"/>
    <n v="34116"/>
    <n v="74836"/>
    <n v="14245209"/>
    <n v="48191812"/>
    <n v="62437021"/>
    <n v="67734"/>
    <n v="11445"/>
    <n v="79179"/>
    <b v="1"/>
    <b v="1"/>
    <b v="1"/>
    <b v="1"/>
    <b v="1"/>
    <b v="1"/>
  </r>
  <r>
    <x v="1840"/>
    <n v="92249"/>
    <n v="34708"/>
    <n v="57541"/>
    <n v="13162725"/>
    <n v="45711734"/>
    <n v="58874459"/>
    <n v="49429"/>
    <n v="10308"/>
    <n v="59737"/>
    <b v="1"/>
    <b v="1"/>
    <b v="1"/>
    <b v="1"/>
    <b v="1"/>
    <b v="1"/>
  </r>
  <r>
    <x v="1841"/>
    <n v="92202"/>
    <n v="38461"/>
    <n v="53741"/>
    <n v="13876294"/>
    <n v="45664738"/>
    <n v="59541032"/>
    <n v="43659"/>
    <n v="10868"/>
    <n v="54527"/>
    <b v="1"/>
    <b v="1"/>
    <b v="1"/>
    <b v="1"/>
    <b v="1"/>
    <b v="1"/>
  </r>
  <r>
    <x v="1842"/>
    <n v="108209"/>
    <n v="44843"/>
    <n v="63366"/>
    <n v="18925491"/>
    <n v="50122460"/>
    <n v="69047951"/>
    <n v="51535"/>
    <n v="9965"/>
    <n v="61500"/>
    <b v="1"/>
    <b v="1"/>
    <b v="1"/>
    <b v="1"/>
    <b v="1"/>
    <b v="1"/>
  </r>
  <r>
    <x v="1843"/>
    <n v="97095"/>
    <n v="38647"/>
    <n v="58448"/>
    <n v="11906331"/>
    <n v="38466716"/>
    <n v="50373047"/>
    <n v="47546"/>
    <n v="9388"/>
    <n v="56934"/>
    <b v="1"/>
    <b v="1"/>
    <b v="1"/>
    <b v="1"/>
    <b v="1"/>
    <b v="1"/>
  </r>
  <r>
    <x v="1844"/>
    <n v="105669"/>
    <n v="44607"/>
    <n v="61062"/>
    <n v="16046092"/>
    <n v="49669293"/>
    <n v="65715385"/>
    <n v="49210"/>
    <n v="9052"/>
    <n v="58262"/>
    <b v="1"/>
    <b v="1"/>
    <b v="1"/>
    <b v="1"/>
    <b v="1"/>
    <b v="1"/>
  </r>
  <r>
    <x v="1845"/>
    <n v="96906"/>
    <n v="48489"/>
    <n v="48417"/>
    <n v="20522682"/>
    <n v="56670384"/>
    <n v="77193066"/>
    <n v="34445"/>
    <n v="10089"/>
    <n v="44534"/>
    <b v="1"/>
    <b v="1"/>
    <b v="1"/>
    <b v="1"/>
    <b v="1"/>
    <b v="1"/>
  </r>
  <r>
    <x v="1846"/>
    <n v="94759"/>
    <n v="51543"/>
    <n v="43216"/>
    <n v="19796617"/>
    <n v="58692021"/>
    <n v="78488638"/>
    <n v="26243"/>
    <n v="9433"/>
    <n v="35676"/>
    <b v="1"/>
    <b v="1"/>
    <b v="1"/>
    <b v="1"/>
    <b v="1"/>
    <b v="1"/>
  </r>
  <r>
    <x v="1847"/>
    <n v="87995"/>
    <n v="50975"/>
    <n v="37020"/>
    <n v="19076022"/>
    <n v="59264328"/>
    <n v="78340350"/>
    <n v="19426"/>
    <n v="8362"/>
    <n v="27788"/>
    <b v="1"/>
    <b v="1"/>
    <b v="1"/>
    <b v="1"/>
    <b v="1"/>
    <b v="1"/>
  </r>
  <r>
    <x v="1848"/>
    <n v="90257"/>
    <n v="51985"/>
    <n v="38272"/>
    <n v="21517524"/>
    <n v="60177090"/>
    <n v="81694614"/>
    <n v="21509"/>
    <n v="10682"/>
    <n v="32191"/>
    <b v="1"/>
    <b v="1"/>
    <b v="1"/>
    <b v="1"/>
    <b v="1"/>
    <b v="1"/>
  </r>
  <r>
    <x v="1849"/>
    <n v="89725"/>
    <n v="49876"/>
    <n v="39849"/>
    <n v="15849123"/>
    <n v="50948342"/>
    <n v="66797465"/>
    <n v="24267"/>
    <n v="10613"/>
    <n v="34880"/>
    <b v="1"/>
    <b v="1"/>
    <b v="1"/>
    <b v="1"/>
    <b v="1"/>
    <b v="1"/>
  </r>
  <r>
    <x v="1850"/>
    <n v="96617"/>
    <n v="30605"/>
    <n v="66012"/>
    <n v="8827777"/>
    <n v="23402213"/>
    <n v="32229990"/>
    <n v="50713"/>
    <n v="3319"/>
    <n v="54032"/>
    <b v="1"/>
    <b v="1"/>
    <b v="1"/>
    <b v="1"/>
    <b v="1"/>
    <b v="1"/>
  </r>
  <r>
    <x v="1851"/>
    <n v="116877"/>
    <n v="51515"/>
    <n v="65362"/>
    <n v="18100229"/>
    <n v="49547145"/>
    <n v="67647374"/>
    <n v="47803"/>
    <n v="11181"/>
    <n v="58984"/>
    <b v="1"/>
    <b v="1"/>
    <b v="1"/>
    <b v="1"/>
    <b v="1"/>
    <b v="1"/>
  </r>
  <r>
    <x v="1852"/>
    <n v="119409"/>
    <n v="53113"/>
    <n v="66296"/>
    <n v="21219204"/>
    <n v="55032382"/>
    <n v="76251586"/>
    <n v="47425"/>
    <n v="10354"/>
    <n v="57779"/>
    <b v="1"/>
    <b v="1"/>
    <b v="1"/>
    <b v="1"/>
    <b v="1"/>
    <b v="1"/>
  </r>
  <r>
    <x v="1853"/>
    <n v="132953"/>
    <n v="54157"/>
    <n v="78796"/>
    <n v="18877250"/>
    <n v="52780433"/>
    <n v="71657683"/>
    <n v="59405"/>
    <n v="10629"/>
    <n v="70034"/>
    <b v="1"/>
    <b v="1"/>
    <b v="1"/>
    <b v="1"/>
    <b v="1"/>
    <b v="1"/>
  </r>
  <r>
    <x v="1854"/>
    <n v="131829"/>
    <n v="49856"/>
    <n v="81973"/>
    <n v="19731924"/>
    <n v="48487112"/>
    <n v="68219036"/>
    <n v="66397"/>
    <n v="10696"/>
    <n v="77093"/>
    <b v="1"/>
    <b v="1"/>
    <b v="1"/>
    <b v="1"/>
    <b v="1"/>
    <b v="1"/>
  </r>
  <r>
    <x v="1855"/>
    <n v="122876"/>
    <n v="50994"/>
    <n v="71882"/>
    <n v="17558302"/>
    <n v="49819631"/>
    <n v="67377933"/>
    <n v="54636"/>
    <n v="10625"/>
    <n v="65261"/>
    <b v="1"/>
    <b v="1"/>
    <b v="1"/>
    <b v="1"/>
    <b v="1"/>
    <b v="1"/>
  </r>
  <r>
    <x v="1856"/>
    <n v="139364"/>
    <n v="53520"/>
    <n v="85844"/>
    <n v="15531301"/>
    <n v="57596369"/>
    <n v="73127670"/>
    <n v="69992"/>
    <n v="9836"/>
    <n v="79828"/>
    <b v="1"/>
    <b v="1"/>
    <b v="1"/>
    <b v="1"/>
    <b v="1"/>
    <b v="1"/>
  </r>
  <r>
    <x v="1857"/>
    <n v="137774"/>
    <n v="45525"/>
    <n v="92249"/>
    <n v="13094355"/>
    <n v="42600197"/>
    <n v="55694552"/>
    <n v="77489"/>
    <n v="8528"/>
    <n v="86017"/>
    <b v="1"/>
    <b v="1"/>
    <b v="1"/>
    <b v="1"/>
    <b v="1"/>
    <b v="1"/>
  </r>
  <r>
    <x v="1858"/>
    <n v="142692"/>
    <n v="54862"/>
    <n v="87830"/>
    <n v="17588065"/>
    <n v="57992900"/>
    <n v="75580965"/>
    <n v="70442"/>
    <n v="11050"/>
    <n v="81492"/>
    <b v="1"/>
    <b v="1"/>
    <b v="1"/>
    <b v="1"/>
    <b v="1"/>
    <b v="1"/>
  </r>
  <r>
    <x v="1859"/>
    <n v="138725"/>
    <n v="56374"/>
    <n v="82351"/>
    <n v="21105031"/>
    <n v="66906468"/>
    <n v="88011499"/>
    <n v="65122"/>
    <n v="11284"/>
    <n v="76406"/>
    <b v="1"/>
    <b v="1"/>
    <b v="1"/>
    <b v="1"/>
    <b v="1"/>
    <b v="1"/>
  </r>
  <r>
    <x v="1860"/>
    <n v="129256"/>
    <n v="49281"/>
    <n v="79975"/>
    <n v="18327370"/>
    <n v="54905960"/>
    <n v="73233330"/>
    <n v="7467"/>
    <n v="7954"/>
    <n v="15421"/>
    <b v="1"/>
    <b v="1"/>
    <b v="1"/>
    <b v="1"/>
    <b v="1"/>
    <b v="1"/>
  </r>
  <r>
    <x v="1861"/>
    <n v="132567"/>
    <n v="51471"/>
    <n v="81096"/>
    <n v="20296936"/>
    <n v="63940355"/>
    <n v="84237291"/>
    <n v="64543"/>
    <n v="7649"/>
    <n v="72192"/>
    <b v="1"/>
    <b v="1"/>
    <b v="1"/>
    <b v="1"/>
    <b v="1"/>
    <b v="1"/>
  </r>
  <r>
    <x v="1862"/>
    <n v="152391"/>
    <n v="56010"/>
    <n v="96381"/>
    <n v="22818452"/>
    <n v="61247111"/>
    <n v="84065563"/>
    <n v="75037"/>
    <n v="6846"/>
    <n v="81883"/>
    <b v="1"/>
    <b v="1"/>
    <b v="1"/>
    <b v="1"/>
    <b v="1"/>
    <b v="1"/>
  </r>
  <r>
    <x v="1863"/>
    <n v="149517"/>
    <n v="48067"/>
    <n v="101450"/>
    <n v="18329615"/>
    <n v="50918407"/>
    <n v="69248022"/>
    <n v="85669"/>
    <n v="6120"/>
    <n v="91789"/>
    <b v="1"/>
    <b v="1"/>
    <b v="1"/>
    <b v="1"/>
    <b v="1"/>
    <b v="1"/>
  </r>
  <r>
    <x v="1864"/>
    <n v="133030"/>
    <n v="41995"/>
    <n v="91035"/>
    <n v="12185780"/>
    <n v="37351911"/>
    <n v="49537691"/>
    <n v="75574"/>
    <n v="5971"/>
    <n v="81545"/>
    <b v="1"/>
    <b v="1"/>
    <b v="1"/>
    <b v="1"/>
    <b v="1"/>
    <b v="1"/>
  </r>
  <r>
    <x v="1865"/>
    <n v="154233"/>
    <n v="59679"/>
    <n v="94554"/>
    <n v="20434818"/>
    <n v="62177232"/>
    <n v="82612050"/>
    <n v="72927"/>
    <n v="11025"/>
    <n v="83952"/>
    <b v="1"/>
    <b v="1"/>
    <b v="1"/>
    <b v="1"/>
    <b v="1"/>
    <b v="1"/>
  </r>
  <r>
    <x v="1866"/>
    <n v="140389"/>
    <n v="59760"/>
    <n v="80629"/>
    <n v="21939095"/>
    <n v="68853546"/>
    <n v="90792641"/>
    <n v="59640"/>
    <n v="10113"/>
    <n v="69753"/>
    <b v="1"/>
    <b v="1"/>
    <b v="1"/>
    <b v="1"/>
    <b v="1"/>
    <b v="1"/>
  </r>
  <r>
    <x v="1867"/>
    <n v="140912"/>
    <n v="59407"/>
    <n v="81505"/>
    <n v="23507385"/>
    <n v="66534896"/>
    <n v="90042281"/>
    <n v="60753"/>
    <n v="11719"/>
    <n v="72472"/>
    <b v="1"/>
    <b v="1"/>
    <b v="1"/>
    <b v="1"/>
    <b v="1"/>
    <b v="1"/>
  </r>
  <r>
    <x v="1868"/>
    <n v="157679"/>
    <n v="68898"/>
    <n v="88781"/>
    <n v="29628704"/>
    <n v="67923327"/>
    <n v="97552031"/>
    <n v="65677"/>
    <n v="14960"/>
    <n v="80637"/>
    <b v="1"/>
    <b v="1"/>
    <b v="1"/>
    <b v="1"/>
    <b v="1"/>
    <b v="1"/>
  </r>
  <r>
    <x v="1869"/>
    <n v="154824"/>
    <n v="62208"/>
    <n v="92616"/>
    <n v="24085150"/>
    <n v="70533277"/>
    <n v="94618427"/>
    <n v="71297"/>
    <n v="13002"/>
    <n v="84299"/>
    <b v="1"/>
    <b v="1"/>
    <b v="1"/>
    <b v="1"/>
    <b v="1"/>
    <b v="1"/>
  </r>
  <r>
    <x v="1870"/>
    <n v="147275"/>
    <n v="56576"/>
    <n v="90699"/>
    <n v="20730617"/>
    <n v="60611623"/>
    <n v="81342240"/>
    <n v="71209"/>
    <n v="10943"/>
    <n v="82152"/>
    <b v="1"/>
    <b v="1"/>
    <b v="1"/>
    <b v="1"/>
    <b v="1"/>
    <b v="1"/>
  </r>
  <r>
    <x v="1871"/>
    <n v="137378"/>
    <n v="48806"/>
    <n v="88572"/>
    <n v="15812650"/>
    <n v="46342731"/>
    <n v="62155381"/>
    <n v="68481"/>
    <n v="8487"/>
    <n v="76968"/>
    <b v="1"/>
    <b v="1"/>
    <b v="1"/>
    <b v="1"/>
    <b v="1"/>
    <b v="1"/>
  </r>
  <r>
    <x v="1872"/>
    <n v="150879"/>
    <n v="61000"/>
    <n v="89879"/>
    <n v="23354464"/>
    <n v="59839115"/>
    <n v="83193579"/>
    <n v="67660"/>
    <n v="11718"/>
    <n v="79378"/>
    <b v="1"/>
    <b v="1"/>
    <b v="1"/>
    <b v="1"/>
    <b v="1"/>
    <b v="1"/>
  </r>
  <r>
    <x v="1873"/>
    <n v="139178"/>
    <n v="59967"/>
    <n v="79211"/>
    <n v="23538199"/>
    <n v="61236853"/>
    <n v="84775052"/>
    <n v="58158"/>
    <n v="11274"/>
    <n v="69432"/>
    <b v="1"/>
    <b v="1"/>
    <b v="1"/>
    <b v="1"/>
    <b v="1"/>
    <b v="1"/>
  </r>
  <r>
    <x v="1874"/>
    <n v="136592"/>
    <n v="57177"/>
    <n v="79415"/>
    <n v="23643967"/>
    <n v="65219999"/>
    <n v="88863966"/>
    <n v="62431"/>
    <n v="12404"/>
    <n v="74835"/>
    <b v="1"/>
    <b v="1"/>
    <b v="1"/>
    <b v="1"/>
    <b v="1"/>
    <b v="1"/>
  </r>
  <r>
    <x v="1875"/>
    <n v="130094"/>
    <n v="58096"/>
    <n v="71998"/>
    <n v="19297825"/>
    <n v="63606703"/>
    <n v="82904528"/>
    <n v="53219"/>
    <n v="11873"/>
    <n v="65092"/>
    <b v="1"/>
    <b v="1"/>
    <b v="1"/>
    <b v="1"/>
    <b v="1"/>
    <b v="1"/>
  </r>
  <r>
    <x v="1876"/>
    <n v="133987"/>
    <n v="45906"/>
    <n v="88081"/>
    <n v="13028381"/>
    <n v="40859665"/>
    <n v="53888046"/>
    <n v="73324"/>
    <n v="8853"/>
    <n v="82177"/>
    <b v="1"/>
    <b v="1"/>
    <b v="1"/>
    <b v="1"/>
    <b v="1"/>
    <b v="1"/>
  </r>
  <r>
    <x v="1877"/>
    <n v="145145"/>
    <n v="55188"/>
    <n v="89957"/>
    <n v="19763649"/>
    <n v="55913784"/>
    <n v="75677433"/>
    <n v="72123"/>
    <n v="10851"/>
    <n v="82974"/>
    <b v="1"/>
    <b v="1"/>
    <b v="1"/>
    <b v="1"/>
    <b v="1"/>
    <b v="1"/>
  </r>
  <r>
    <x v="1878"/>
    <n v="125672"/>
    <n v="45010"/>
    <n v="80662"/>
    <n v="15548060"/>
    <n v="45442454"/>
    <n v="60990514"/>
    <n v="66083"/>
    <n v="9078"/>
    <n v="75161"/>
    <b v="1"/>
    <b v="1"/>
    <b v="1"/>
    <b v="1"/>
    <b v="1"/>
    <b v="1"/>
  </r>
  <r>
    <x v="1879"/>
    <n v="142419"/>
    <n v="55637"/>
    <n v="86782"/>
    <n v="22247010"/>
    <n v="53910672"/>
    <n v="76157682"/>
    <n v="66562"/>
    <n v="10506"/>
    <n v="77068"/>
    <b v="1"/>
    <b v="1"/>
    <b v="1"/>
    <b v="1"/>
    <b v="1"/>
    <b v="1"/>
  </r>
  <r>
    <x v="1880"/>
    <n v="139027"/>
    <n v="55687"/>
    <n v="83340"/>
    <n v="23547344"/>
    <n v="58144280"/>
    <n v="81691624"/>
    <n v="65212"/>
    <n v="9494"/>
    <n v="74706"/>
    <b v="1"/>
    <b v="1"/>
    <b v="1"/>
    <b v="1"/>
    <b v="1"/>
    <b v="1"/>
  </r>
  <r>
    <x v="1881"/>
    <n v="144293"/>
    <n v="55074"/>
    <n v="89219"/>
    <n v="21585605"/>
    <n v="54968223"/>
    <n v="76553828"/>
    <n v="71065"/>
    <n v="10803"/>
    <n v="81868"/>
    <b v="1"/>
    <b v="1"/>
    <b v="1"/>
    <b v="1"/>
    <b v="1"/>
    <b v="1"/>
  </r>
  <r>
    <x v="1882"/>
    <n v="159366"/>
    <n v="59746"/>
    <n v="99620"/>
    <n v="23509940"/>
    <n v="61736492"/>
    <n v="85246432"/>
    <n v="79432"/>
    <n v="11535"/>
    <n v="90967"/>
    <b v="1"/>
    <b v="1"/>
    <b v="1"/>
    <b v="1"/>
    <b v="1"/>
    <b v="1"/>
  </r>
  <r>
    <x v="1883"/>
    <n v="143278"/>
    <n v="54381"/>
    <n v="88897"/>
    <n v="21581820"/>
    <n v="60449292"/>
    <n v="82031112"/>
    <n v="72992"/>
    <n v="11729"/>
    <n v="84721"/>
    <b v="1"/>
    <b v="1"/>
    <b v="1"/>
    <b v="1"/>
    <b v="1"/>
    <b v="1"/>
  </r>
  <r>
    <x v="1884"/>
    <n v="130668"/>
    <n v="49830"/>
    <n v="80838"/>
    <n v="17237660"/>
    <n v="51917074"/>
    <n v="69154734"/>
    <n v="64474"/>
    <n v="9888"/>
    <n v="74362"/>
    <b v="1"/>
    <b v="1"/>
    <b v="1"/>
    <b v="1"/>
    <b v="1"/>
    <b v="1"/>
  </r>
  <r>
    <x v="1885"/>
    <n v="133173"/>
    <n v="52943"/>
    <n v="80230"/>
    <n v="21128345"/>
    <n v="62104146"/>
    <n v="83232491"/>
    <n v="61594"/>
    <n v="10217"/>
    <n v="71811"/>
    <b v="1"/>
    <b v="1"/>
    <b v="1"/>
    <b v="1"/>
    <b v="1"/>
    <b v="1"/>
  </r>
  <r>
    <x v="1886"/>
    <n v="150994"/>
    <n v="63076"/>
    <n v="87918"/>
    <n v="25031352"/>
    <n v="76047949"/>
    <n v="101079301"/>
    <n v="67745"/>
    <n v="11808"/>
    <n v="79553"/>
    <b v="1"/>
    <b v="1"/>
    <b v="1"/>
    <b v="1"/>
    <b v="1"/>
    <b v="1"/>
  </r>
  <r>
    <x v="1887"/>
    <n v="164189"/>
    <n v="63203"/>
    <n v="100986"/>
    <n v="29181217"/>
    <n v="85924954"/>
    <n v="115106171"/>
    <n v="81247"/>
    <n v="11998"/>
    <n v="93245"/>
    <b v="1"/>
    <b v="1"/>
    <b v="1"/>
    <b v="1"/>
    <b v="1"/>
    <b v="1"/>
  </r>
  <r>
    <x v="1888"/>
    <n v="149204"/>
    <n v="63453"/>
    <n v="85751"/>
    <n v="27897812"/>
    <n v="92455789"/>
    <n v="120353601"/>
    <n v="67663"/>
    <n v="12539"/>
    <n v="80202"/>
    <b v="1"/>
    <b v="1"/>
    <b v="1"/>
    <b v="1"/>
    <b v="1"/>
    <b v="1"/>
  </r>
  <r>
    <x v="1889"/>
    <n v="127118"/>
    <n v="62519"/>
    <n v="64599"/>
    <n v="27264761"/>
    <n v="84676894"/>
    <n v="111941655"/>
    <n v="45299"/>
    <n v="12681"/>
    <n v="57980"/>
    <b v="1"/>
    <b v="1"/>
    <b v="1"/>
    <b v="1"/>
    <b v="1"/>
    <b v="1"/>
  </r>
  <r>
    <x v="1890"/>
    <n v="130909"/>
    <n v="54834"/>
    <n v="76075"/>
    <n v="24870359"/>
    <n v="72211935"/>
    <n v="97082294"/>
    <n v="58435"/>
    <n v="10243"/>
    <n v="68678"/>
    <b v="1"/>
    <b v="1"/>
    <b v="1"/>
    <b v="1"/>
    <b v="1"/>
    <b v="1"/>
  </r>
  <r>
    <x v="1891"/>
    <n v="152217"/>
    <n v="62123"/>
    <n v="90094"/>
    <n v="24066752"/>
    <n v="70865732"/>
    <n v="94932484"/>
    <n v="71018"/>
    <n v="12992"/>
    <n v="84010"/>
    <b v="1"/>
    <b v="1"/>
    <b v="1"/>
    <b v="1"/>
    <b v="1"/>
    <b v="1"/>
  </r>
  <r>
    <x v="1892"/>
    <n v="132866"/>
    <n v="51428"/>
    <n v="81438"/>
    <n v="17639105"/>
    <n v="54508482"/>
    <n v="72147587"/>
    <n v="65932"/>
    <n v="10441"/>
    <n v="76373"/>
    <b v="1"/>
    <b v="1"/>
    <b v="1"/>
    <b v="1"/>
    <b v="1"/>
    <b v="1"/>
  </r>
  <r>
    <x v="1893"/>
    <n v="117447"/>
    <n v="50859"/>
    <n v="66588"/>
    <n v="15370174"/>
    <n v="39187079"/>
    <n v="54557253"/>
    <n v="46663"/>
    <n v="8742"/>
    <n v="55405"/>
    <b v="1"/>
    <b v="1"/>
    <b v="1"/>
    <b v="1"/>
    <b v="1"/>
    <b v="1"/>
  </r>
  <r>
    <x v="1894"/>
    <n v="129411"/>
    <n v="39850"/>
    <n v="89561"/>
    <n v="10891090"/>
    <n v="23045022"/>
    <n v="33936112"/>
    <n v="69164"/>
    <n v="5793"/>
    <n v="74957"/>
    <b v="1"/>
    <b v="1"/>
    <b v="1"/>
    <b v="1"/>
    <b v="1"/>
    <b v="1"/>
  </r>
  <r>
    <x v="1895"/>
    <n v="150868"/>
    <n v="52968"/>
    <n v="97900"/>
    <n v="17762218"/>
    <n v="44456326"/>
    <n v="62218544"/>
    <n v="75186"/>
    <n v="8730"/>
    <n v="83916"/>
    <b v="1"/>
    <b v="1"/>
    <b v="1"/>
    <b v="1"/>
    <b v="1"/>
    <b v="1"/>
  </r>
  <r>
    <x v="1896"/>
    <n v="175687"/>
    <n v="61915"/>
    <n v="113772"/>
    <n v="27255979"/>
    <n v="61092378"/>
    <n v="88348357"/>
    <n v="91397"/>
    <n v="11704"/>
    <n v="103101"/>
    <b v="1"/>
    <b v="1"/>
    <b v="1"/>
    <b v="1"/>
    <b v="1"/>
    <b v="1"/>
  </r>
  <r>
    <x v="1897"/>
    <n v="174420"/>
    <n v="62758"/>
    <n v="111662"/>
    <n v="26080500"/>
    <n v="75754802"/>
    <n v="101835302"/>
    <n v="89628"/>
    <n v="11777"/>
    <n v="101405"/>
    <b v="1"/>
    <b v="1"/>
    <b v="1"/>
    <b v="1"/>
    <b v="1"/>
    <b v="1"/>
  </r>
  <r>
    <x v="1898"/>
    <n v="147700"/>
    <n v="71697"/>
    <n v="76003"/>
    <n v="104133773"/>
    <n v="82635788"/>
    <n v="186769561"/>
    <n v="17191"/>
    <n v="14413"/>
    <n v="31604"/>
    <b v="1"/>
    <b v="1"/>
    <b v="1"/>
    <b v="1"/>
    <b v="1"/>
    <b v="1"/>
  </r>
  <r>
    <x v="1899"/>
    <n v="158270"/>
    <n v="73249"/>
    <n v="85021"/>
    <n v="123623217"/>
    <n v="90799726"/>
    <n v="214422943"/>
    <n v="28748"/>
    <n v="15227"/>
    <n v="43975"/>
    <b v="1"/>
    <b v="1"/>
    <b v="1"/>
    <b v="1"/>
    <b v="1"/>
    <b v="1"/>
  </r>
  <r>
    <x v="1900"/>
    <n v="164419"/>
    <n v="78859"/>
    <n v="85560"/>
    <n v="127576829"/>
    <n v="97635918"/>
    <n v="225212747"/>
    <n v="26453"/>
    <n v="11382"/>
    <n v="37835"/>
    <b v="1"/>
    <b v="1"/>
    <b v="1"/>
    <b v="1"/>
    <b v="1"/>
    <b v="1"/>
  </r>
  <r>
    <x v="1901"/>
    <n v="159426"/>
    <n v="75985"/>
    <n v="83441"/>
    <n v="124823655"/>
    <n v="96174103"/>
    <n v="220997758"/>
    <n v="19931"/>
    <n v="10404"/>
    <n v="30335"/>
    <b v="1"/>
    <b v="1"/>
    <b v="1"/>
    <b v="1"/>
    <b v="1"/>
    <b v="1"/>
  </r>
  <r>
    <x v="1902"/>
    <n v="158170"/>
    <n v="74927"/>
    <n v="83243"/>
    <n v="126581232"/>
    <n v="96520587"/>
    <n v="223101819"/>
    <n v="19566"/>
    <n v="11368"/>
    <n v="30934"/>
    <b v="1"/>
    <b v="1"/>
    <b v="1"/>
    <b v="1"/>
    <b v="1"/>
    <b v="1"/>
  </r>
  <r>
    <x v="1903"/>
    <n v="164232"/>
    <n v="75209"/>
    <n v="89023"/>
    <n v="135037728"/>
    <n v="93969364"/>
    <n v="229007092"/>
    <n v="18843"/>
    <n v="11029"/>
    <n v="29872"/>
    <b v="1"/>
    <b v="1"/>
    <b v="1"/>
    <b v="1"/>
    <b v="1"/>
    <b v="1"/>
  </r>
  <r>
    <x v="1904"/>
    <n v="151376"/>
    <n v="63333"/>
    <n v="88043"/>
    <n v="131180169"/>
    <n v="82751353"/>
    <n v="213931522"/>
    <n v="17718"/>
    <n v="7128"/>
    <n v="24846"/>
    <b v="1"/>
    <b v="1"/>
    <b v="1"/>
    <b v="1"/>
    <b v="1"/>
    <b v="1"/>
  </r>
  <r>
    <x v="1905"/>
    <n v="142211"/>
    <n v="56672"/>
    <n v="85539"/>
    <n v="123955875"/>
    <n v="68105829"/>
    <n v="192061704"/>
    <n v="15409"/>
    <n v="7697"/>
    <n v="23106"/>
    <b v="1"/>
    <b v="1"/>
    <b v="1"/>
    <b v="1"/>
    <b v="1"/>
    <b v="1"/>
  </r>
  <r>
    <x v="1906"/>
    <n v="42874"/>
    <n v="15470"/>
    <n v="27404"/>
    <n v="42535720"/>
    <n v="21515481"/>
    <n v="64051201"/>
    <n v="6284"/>
    <n v="3031"/>
    <n v="9315"/>
    <b v="1"/>
    <b v="1"/>
    <b v="1"/>
    <b v="1"/>
    <b v="1"/>
    <b v="1"/>
  </r>
  <r>
    <x v="1907"/>
    <n v="97574"/>
    <n v="43672"/>
    <n v="53902"/>
    <n v="76042055"/>
    <n v="48232757"/>
    <n v="124274812"/>
    <n v="15176"/>
    <n v="8517"/>
    <n v="23693"/>
    <b v="1"/>
    <b v="1"/>
    <b v="1"/>
    <b v="1"/>
    <b v="1"/>
    <b v="1"/>
  </r>
  <r>
    <x v="1908"/>
    <n v="73047"/>
    <n v="35077"/>
    <n v="37970"/>
    <n v="60769515"/>
    <n v="40356457"/>
    <n v="101125972"/>
    <n v="18262"/>
    <n v="9347"/>
    <n v="27609"/>
    <b v="1"/>
    <b v="1"/>
    <b v="1"/>
    <b v="1"/>
    <b v="1"/>
    <b v="1"/>
  </r>
  <r>
    <x v="1909"/>
    <n v="53059"/>
    <n v="24636"/>
    <n v="28423"/>
    <n v="40767894"/>
    <n v="26295786"/>
    <n v="67063680"/>
    <n v="13161"/>
    <n v="6590"/>
    <n v="19751"/>
    <b v="1"/>
    <b v="1"/>
    <b v="1"/>
    <b v="1"/>
    <b v="1"/>
    <b v="1"/>
  </r>
  <r>
    <x v="1910"/>
    <n v="48015"/>
    <n v="20669"/>
    <n v="27346"/>
    <n v="35948581"/>
    <n v="21413801"/>
    <n v="57362382"/>
    <n v="10386"/>
    <n v="4822"/>
    <n v="15208"/>
    <b v="1"/>
    <b v="1"/>
    <b v="1"/>
    <b v="1"/>
    <b v="1"/>
    <b v="1"/>
  </r>
  <r>
    <x v="1911"/>
    <n v="42563"/>
    <n v="17705"/>
    <n v="24858"/>
    <n v="32185307"/>
    <n v="17698954"/>
    <n v="49884261"/>
    <n v="7159"/>
    <n v="3943"/>
    <n v="11102"/>
    <b v="1"/>
    <b v="1"/>
    <b v="1"/>
    <b v="1"/>
    <b v="1"/>
    <b v="1"/>
  </r>
  <r>
    <x v="1912"/>
    <n v="38587"/>
    <n v="16306"/>
    <n v="22281"/>
    <n v="28588690"/>
    <n v="16198240"/>
    <n v="44786930"/>
    <n v="6550"/>
    <n v="3588"/>
    <n v="10138"/>
    <b v="1"/>
    <b v="1"/>
    <b v="1"/>
    <b v="1"/>
    <b v="1"/>
    <b v="1"/>
  </r>
  <r>
    <x v="1913"/>
    <n v="35462"/>
    <n v="14310"/>
    <n v="21152"/>
    <n v="25517370"/>
    <n v="14568958"/>
    <n v="40086328"/>
    <n v="6505"/>
    <n v="3374"/>
    <n v="9879"/>
    <b v="1"/>
    <b v="1"/>
    <b v="1"/>
    <b v="1"/>
    <b v="1"/>
    <b v="1"/>
  </r>
  <r>
    <x v="1914"/>
    <n v="49416"/>
    <n v="20305"/>
    <n v="29111"/>
    <n v="36580495"/>
    <n v="20796095"/>
    <n v="57376590"/>
    <n v="9235"/>
    <n v="4819"/>
    <n v="14054"/>
    <b v="1"/>
    <b v="1"/>
    <b v="1"/>
    <b v="1"/>
    <b v="1"/>
    <b v="1"/>
  </r>
  <r>
    <x v="1915"/>
    <n v="54470"/>
    <n v="21702"/>
    <n v="32768"/>
    <n v="39402195"/>
    <n v="21470350"/>
    <n v="60872545"/>
    <n v="11396"/>
    <n v="4649"/>
    <n v="16045"/>
    <b v="1"/>
    <b v="1"/>
    <b v="1"/>
    <b v="1"/>
    <b v="1"/>
    <b v="1"/>
  </r>
  <r>
    <x v="1916"/>
    <n v="49376"/>
    <n v="21468"/>
    <n v="27908"/>
    <n v="32646450"/>
    <n v="20009195"/>
    <n v="52655645"/>
    <n v="10173"/>
    <n v="5357"/>
    <n v="15530"/>
    <b v="1"/>
    <b v="1"/>
    <b v="1"/>
    <b v="1"/>
    <b v="1"/>
    <b v="1"/>
  </r>
  <r>
    <x v="1917"/>
    <n v="45937"/>
    <n v="20351"/>
    <n v="25586"/>
    <n v="30416035"/>
    <n v="17299398"/>
    <n v="47715433"/>
    <n v="10697"/>
    <n v="5253"/>
    <n v="15950"/>
    <b v="1"/>
    <b v="1"/>
    <b v="1"/>
    <b v="1"/>
    <b v="1"/>
    <b v="1"/>
  </r>
  <r>
    <x v="1918"/>
    <n v="52882"/>
    <n v="23503"/>
    <n v="29379"/>
    <n v="38787560"/>
    <n v="21453055"/>
    <n v="60240615"/>
    <n v="10451"/>
    <n v="5919"/>
    <n v="16370"/>
    <b v="1"/>
    <b v="1"/>
    <b v="1"/>
    <b v="1"/>
    <b v="1"/>
    <b v="1"/>
  </r>
  <r>
    <x v="1919"/>
    <n v="54628"/>
    <n v="22506"/>
    <n v="32122"/>
    <n v="40300795"/>
    <n v="22142231"/>
    <n v="62443026"/>
    <n v="12973"/>
    <n v="4911"/>
    <n v="17884"/>
    <b v="1"/>
    <b v="1"/>
    <b v="1"/>
    <b v="1"/>
    <b v="1"/>
    <b v="1"/>
  </r>
  <r>
    <x v="1920"/>
    <n v="45483"/>
    <n v="18418"/>
    <n v="27065"/>
    <n v="31928061"/>
    <n v="17091385"/>
    <n v="49019446"/>
    <n v="12166"/>
    <n v="4225"/>
    <n v="16391"/>
    <b v="1"/>
    <b v="1"/>
    <b v="1"/>
    <b v="1"/>
    <b v="1"/>
    <b v="1"/>
  </r>
  <r>
    <x v="1921"/>
    <n v="54417"/>
    <n v="22852"/>
    <n v="31565"/>
    <n v="38193461"/>
    <n v="21922493"/>
    <n v="60115954"/>
    <n v="14818"/>
    <n v="4481"/>
    <n v="19299"/>
    <b v="1"/>
    <b v="1"/>
    <b v="1"/>
    <b v="1"/>
    <b v="1"/>
    <b v="1"/>
  </r>
  <r>
    <x v="1922"/>
    <n v="61269"/>
    <n v="26420"/>
    <n v="34849"/>
    <n v="44829120"/>
    <n v="25921071"/>
    <n v="70750191"/>
    <n v="14293"/>
    <n v="4715"/>
    <n v="19008"/>
    <b v="1"/>
    <b v="1"/>
    <b v="1"/>
    <b v="1"/>
    <b v="1"/>
    <b v="1"/>
  </r>
  <r>
    <x v="1923"/>
    <n v="67083"/>
    <n v="29164"/>
    <n v="37919"/>
    <n v="46223800"/>
    <n v="26083253"/>
    <n v="72307053"/>
    <n v="17450"/>
    <n v="6478"/>
    <n v="23928"/>
    <b v="1"/>
    <b v="1"/>
    <b v="1"/>
    <b v="1"/>
    <b v="1"/>
    <b v="1"/>
  </r>
  <r>
    <x v="1924"/>
    <n v="63886"/>
    <n v="27979"/>
    <n v="35907"/>
    <n v="43785700"/>
    <n v="24972876"/>
    <n v="68758576"/>
    <n v="14871"/>
    <n v="5456"/>
    <n v="20327"/>
    <b v="1"/>
    <b v="1"/>
    <b v="1"/>
    <b v="1"/>
    <b v="1"/>
    <b v="1"/>
  </r>
  <r>
    <x v="1925"/>
    <n v="57835"/>
    <n v="25710"/>
    <n v="32125"/>
    <n v="42882220"/>
    <n v="24018517"/>
    <n v="66900737"/>
    <n v="12089"/>
    <n v="4937"/>
    <n v="17026"/>
    <b v="1"/>
    <b v="1"/>
    <b v="1"/>
    <b v="1"/>
    <b v="1"/>
    <b v="1"/>
  </r>
  <r>
    <x v="1926"/>
    <n v="61024"/>
    <n v="26530"/>
    <n v="34494"/>
    <n v="46712980"/>
    <n v="25976712"/>
    <n v="72689692"/>
    <n v="14852"/>
    <n v="4572"/>
    <n v="19424"/>
    <b v="1"/>
    <b v="1"/>
    <b v="1"/>
    <b v="1"/>
    <b v="1"/>
    <b v="1"/>
  </r>
  <r>
    <x v="1927"/>
    <n v="53950"/>
    <n v="23064"/>
    <n v="30886"/>
    <n v="40837060"/>
    <n v="21437932"/>
    <n v="62274992"/>
    <n v="13190"/>
    <n v="4721"/>
    <n v="17911"/>
    <b v="1"/>
    <b v="1"/>
    <b v="1"/>
    <b v="1"/>
    <b v="1"/>
    <b v="1"/>
  </r>
  <r>
    <x v="1928"/>
    <n v="69587"/>
    <n v="31208"/>
    <n v="38379"/>
    <n v="51513610"/>
    <n v="31096422"/>
    <n v="82610032"/>
    <n v="16803"/>
    <n v="5428"/>
    <n v="22231"/>
    <b v="1"/>
    <b v="1"/>
    <b v="1"/>
    <b v="1"/>
    <b v="1"/>
    <b v="1"/>
  </r>
  <r>
    <x v="1929"/>
    <n v="64555"/>
    <n v="30414"/>
    <n v="34141"/>
    <n v="46422118"/>
    <n v="32061980"/>
    <n v="78484098"/>
    <n v="19943"/>
    <n v="5655"/>
    <n v="25598"/>
    <b v="1"/>
    <b v="1"/>
    <b v="1"/>
    <b v="1"/>
    <b v="1"/>
    <b v="1"/>
  </r>
  <r>
    <x v="1930"/>
    <n v="75208"/>
    <n v="35242"/>
    <n v="39966"/>
    <n v="54528290"/>
    <n v="35896171"/>
    <n v="90424461"/>
    <n v="22667"/>
    <n v="6471"/>
    <n v="29138"/>
    <b v="1"/>
    <b v="1"/>
    <b v="1"/>
    <b v="1"/>
    <b v="1"/>
    <b v="1"/>
  </r>
  <r>
    <x v="1931"/>
    <n v="78671"/>
    <n v="36259"/>
    <n v="42412"/>
    <n v="54937600"/>
    <n v="33761344"/>
    <n v="88698944"/>
    <n v="20047"/>
    <n v="6733"/>
    <n v="26780"/>
    <b v="1"/>
    <b v="1"/>
    <b v="1"/>
    <b v="1"/>
    <b v="1"/>
    <b v="1"/>
  </r>
  <r>
    <x v="1932"/>
    <n v="86057"/>
    <n v="40449"/>
    <n v="45608"/>
    <n v="53403095"/>
    <n v="36051574"/>
    <n v="89454669"/>
    <n v="22631"/>
    <n v="5801"/>
    <n v="28432"/>
    <b v="1"/>
    <b v="1"/>
    <b v="1"/>
    <b v="1"/>
    <b v="1"/>
    <b v="1"/>
  </r>
  <r>
    <x v="1933"/>
    <n v="89430"/>
    <n v="42436"/>
    <n v="46994"/>
    <n v="47476010"/>
    <n v="36802084"/>
    <n v="84278094"/>
    <n v="25981"/>
    <n v="9170"/>
    <n v="35151"/>
    <b v="1"/>
    <b v="1"/>
    <b v="1"/>
    <b v="1"/>
    <b v="1"/>
    <b v="1"/>
  </r>
  <r>
    <x v="1934"/>
    <n v="80760"/>
    <n v="38087"/>
    <n v="42673"/>
    <n v="39930110"/>
    <n v="27891543"/>
    <n v="67821653"/>
    <n v="23082"/>
    <n v="10112"/>
    <n v="33194"/>
    <b v="1"/>
    <b v="1"/>
    <b v="1"/>
    <b v="1"/>
    <b v="1"/>
    <b v="1"/>
  </r>
  <r>
    <x v="1935"/>
    <n v="107714"/>
    <n v="52010"/>
    <n v="55704"/>
    <n v="58049925"/>
    <n v="43822132"/>
    <n v="101872057"/>
    <n v="31172"/>
    <n v="12470"/>
    <n v="43642"/>
    <b v="1"/>
    <b v="1"/>
    <b v="1"/>
    <b v="1"/>
    <b v="1"/>
    <b v="1"/>
  </r>
  <r>
    <x v="1936"/>
    <n v="106109"/>
    <n v="52044"/>
    <n v="54065"/>
    <n v="57267520"/>
    <n v="44699297"/>
    <n v="101966817"/>
    <n v="30125"/>
    <n v="8531"/>
    <n v="38656"/>
    <b v="1"/>
    <b v="1"/>
    <b v="1"/>
    <b v="1"/>
    <b v="1"/>
    <b v="1"/>
  </r>
  <r>
    <x v="1937"/>
    <n v="106959"/>
    <n v="51402"/>
    <n v="55557"/>
    <n v="58595830"/>
    <n v="43454292"/>
    <n v="102050122"/>
    <n v="15968"/>
    <n v="10820"/>
    <n v="26788"/>
    <b v="1"/>
    <b v="1"/>
    <b v="1"/>
    <b v="1"/>
    <b v="1"/>
    <b v="1"/>
  </r>
  <r>
    <x v="1938"/>
    <n v="102730"/>
    <n v="48429"/>
    <n v="54301"/>
    <n v="60651630"/>
    <n v="41694036"/>
    <n v="102345666"/>
    <n v="13861"/>
    <n v="7017"/>
    <n v="20878"/>
    <b v="1"/>
    <b v="1"/>
    <b v="1"/>
    <b v="1"/>
    <b v="1"/>
    <b v="1"/>
  </r>
  <r>
    <x v="1939"/>
    <n v="97504"/>
    <n v="46099"/>
    <n v="51405"/>
    <n v="56675249"/>
    <n v="39936189"/>
    <n v="96611438"/>
    <n v="27845"/>
    <n v="6000"/>
    <n v="33845"/>
    <b v="1"/>
    <b v="1"/>
    <b v="1"/>
    <b v="1"/>
    <b v="1"/>
    <b v="1"/>
  </r>
  <r>
    <x v="1940"/>
    <n v="88020"/>
    <n v="40487"/>
    <n v="47533"/>
    <n v="54074079"/>
    <n v="33595554"/>
    <n v="87669633"/>
    <n v="17906"/>
    <n v="7453"/>
    <n v="25359"/>
    <b v="1"/>
    <b v="1"/>
    <b v="1"/>
    <b v="1"/>
    <b v="1"/>
    <b v="1"/>
  </r>
  <r>
    <x v="1941"/>
    <n v="67450"/>
    <n v="30882"/>
    <n v="36568"/>
    <n v="41222810"/>
    <n v="25654996"/>
    <n v="66877806"/>
    <n v="15216"/>
    <n v="6793"/>
    <n v="22009"/>
    <b v="1"/>
    <b v="1"/>
    <b v="1"/>
    <b v="1"/>
    <b v="1"/>
    <b v="1"/>
  </r>
  <r>
    <x v="1942"/>
    <n v="86028"/>
    <n v="39162"/>
    <n v="46866"/>
    <n v="54161610"/>
    <n v="31763590"/>
    <n v="85925200"/>
    <n v="17848"/>
    <n v="7891"/>
    <n v="25739"/>
    <b v="1"/>
    <b v="1"/>
    <b v="1"/>
    <b v="1"/>
    <b v="1"/>
    <b v="1"/>
  </r>
  <r>
    <x v="1943"/>
    <n v="79861"/>
    <n v="36702"/>
    <n v="43159"/>
    <n v="49415760"/>
    <n v="29248260"/>
    <n v="78664020"/>
    <n v="15798"/>
    <n v="7159"/>
    <n v="22957"/>
    <b v="1"/>
    <b v="1"/>
    <b v="1"/>
    <b v="1"/>
    <b v="1"/>
    <b v="1"/>
  </r>
  <r>
    <x v="1944"/>
    <n v="75650"/>
    <n v="35504"/>
    <n v="40146"/>
    <n v="44658655"/>
    <n v="27362194"/>
    <n v="72020849"/>
    <n v="14745"/>
    <n v="6485"/>
    <n v="21230"/>
    <b v="1"/>
    <b v="1"/>
    <b v="1"/>
    <b v="1"/>
    <b v="1"/>
    <b v="1"/>
  </r>
  <r>
    <x v="1945"/>
    <n v="74435"/>
    <n v="34525"/>
    <n v="39910"/>
    <n v="42020545"/>
    <n v="26223890"/>
    <n v="68244435"/>
    <n v="9467"/>
    <n v="5920"/>
    <n v="15387"/>
    <b v="1"/>
    <b v="1"/>
    <b v="1"/>
    <b v="1"/>
    <b v="1"/>
    <b v="1"/>
  </r>
  <r>
    <x v="1946"/>
    <n v="69584"/>
    <n v="33234"/>
    <n v="36350"/>
    <n v="40284809"/>
    <n v="24550723"/>
    <n v="64835532"/>
    <n v="11663"/>
    <n v="4419"/>
    <n v="16082"/>
    <b v="1"/>
    <b v="1"/>
    <b v="1"/>
    <b v="1"/>
    <b v="1"/>
    <b v="1"/>
  </r>
  <r>
    <x v="1947"/>
    <n v="71796"/>
    <n v="33674"/>
    <n v="38122"/>
    <n v="39346650"/>
    <n v="24371595"/>
    <n v="63718245"/>
    <n v="12032"/>
    <n v="5355"/>
    <n v="17387"/>
    <b v="1"/>
    <b v="1"/>
    <b v="1"/>
    <b v="1"/>
    <b v="1"/>
    <b v="1"/>
  </r>
  <r>
    <x v="1948"/>
    <n v="58063"/>
    <n v="27014"/>
    <n v="31049"/>
    <n v="30365551"/>
    <n v="19276364"/>
    <n v="49641915"/>
    <n v="10438"/>
    <n v="4904"/>
    <n v="15342"/>
    <b v="1"/>
    <b v="1"/>
    <b v="1"/>
    <b v="1"/>
    <b v="1"/>
    <b v="1"/>
  </r>
  <r>
    <x v="1949"/>
    <n v="83308"/>
    <n v="38212"/>
    <n v="45096"/>
    <n v="46450806"/>
    <n v="28832007"/>
    <n v="75282813"/>
    <n v="16517"/>
    <n v="7960"/>
    <n v="24477"/>
    <b v="1"/>
    <b v="1"/>
    <b v="1"/>
    <b v="1"/>
    <b v="1"/>
    <b v="1"/>
  </r>
  <r>
    <x v="1950"/>
    <n v="87926"/>
    <n v="39960"/>
    <n v="47966"/>
    <n v="48942928"/>
    <n v="28777697"/>
    <n v="77720625"/>
    <n v="16944"/>
    <n v="6539"/>
    <n v="23483"/>
    <b v="1"/>
    <b v="1"/>
    <b v="1"/>
    <b v="1"/>
    <b v="1"/>
    <b v="1"/>
  </r>
  <r>
    <x v="1951"/>
    <n v="87311"/>
    <n v="39769"/>
    <n v="47542"/>
    <n v="52231260"/>
    <n v="31872477"/>
    <n v="84103737"/>
    <n v="17496"/>
    <n v="8471"/>
    <n v="25967"/>
    <b v="1"/>
    <b v="1"/>
    <b v="1"/>
    <b v="1"/>
    <b v="1"/>
    <b v="1"/>
  </r>
  <r>
    <x v="1952"/>
    <n v="74929"/>
    <n v="35977"/>
    <n v="38952"/>
    <n v="43099667"/>
    <n v="27522052"/>
    <n v="70621719"/>
    <n v="15631"/>
    <n v="8063"/>
    <n v="23694"/>
    <b v="1"/>
    <b v="1"/>
    <b v="1"/>
    <b v="1"/>
    <b v="1"/>
    <b v="1"/>
  </r>
  <r>
    <x v="1953"/>
    <n v="78608"/>
    <n v="35821"/>
    <n v="42787"/>
    <n v="48981395"/>
    <n v="33030589"/>
    <n v="82011984"/>
    <n v="16218"/>
    <n v="5879"/>
    <n v="22097"/>
    <b v="1"/>
    <b v="1"/>
    <b v="1"/>
    <b v="1"/>
    <b v="1"/>
    <b v="1"/>
  </r>
  <r>
    <x v="1954"/>
    <n v="81648"/>
    <n v="36944"/>
    <n v="44704"/>
    <n v="47738510"/>
    <n v="29447833"/>
    <n v="77186343"/>
    <n v="16288"/>
    <n v="6489"/>
    <n v="22777"/>
    <b v="1"/>
    <b v="1"/>
    <b v="1"/>
    <b v="1"/>
    <b v="1"/>
    <b v="1"/>
  </r>
  <r>
    <x v="1955"/>
    <n v="71075"/>
    <n v="30983"/>
    <n v="40092"/>
    <n v="40980085"/>
    <n v="23974234"/>
    <n v="64954319"/>
    <n v="13914"/>
    <n v="6126"/>
    <n v="20040"/>
    <b v="1"/>
    <b v="1"/>
    <b v="1"/>
    <b v="1"/>
    <b v="1"/>
    <b v="1"/>
  </r>
  <r>
    <x v="1956"/>
    <n v="95434"/>
    <n v="43079"/>
    <n v="52355"/>
    <n v="53915300"/>
    <n v="33334335"/>
    <n v="87249635"/>
    <n v="17485"/>
    <n v="6614"/>
    <n v="24099"/>
    <b v="1"/>
    <b v="1"/>
    <b v="1"/>
    <b v="1"/>
    <b v="1"/>
    <b v="1"/>
  </r>
  <r>
    <x v="1957"/>
    <n v="97802"/>
    <n v="43761"/>
    <n v="54041"/>
    <n v="56940220"/>
    <n v="34125480"/>
    <n v="91065700"/>
    <n v="18564"/>
    <n v="7786"/>
    <n v="26350"/>
    <b v="1"/>
    <b v="1"/>
    <b v="1"/>
    <b v="1"/>
    <b v="1"/>
    <b v="1"/>
  </r>
  <r>
    <x v="1958"/>
    <n v="102793"/>
    <n v="45058"/>
    <n v="57735"/>
    <n v="63230420"/>
    <n v="34610376"/>
    <n v="97840796"/>
    <n v="18452"/>
    <n v="8153"/>
    <n v="26605"/>
    <b v="1"/>
    <b v="1"/>
    <b v="1"/>
    <b v="1"/>
    <b v="1"/>
    <b v="1"/>
  </r>
  <r>
    <x v="1959"/>
    <n v="97431"/>
    <n v="43041"/>
    <n v="54390"/>
    <n v="57568500"/>
    <n v="35599702"/>
    <n v="93168202"/>
    <n v="16212"/>
    <n v="7620"/>
    <n v="23832"/>
    <b v="1"/>
    <b v="1"/>
    <b v="1"/>
    <b v="1"/>
    <b v="1"/>
    <b v="1"/>
  </r>
  <r>
    <x v="1960"/>
    <n v="95497"/>
    <n v="42323"/>
    <n v="53174"/>
    <n v="59635240"/>
    <n v="34837126"/>
    <n v="94472366"/>
    <n v="14489"/>
    <n v="6598"/>
    <n v="21087"/>
    <b v="1"/>
    <b v="1"/>
    <b v="1"/>
    <b v="1"/>
    <b v="1"/>
    <b v="1"/>
  </r>
  <r>
    <x v="1961"/>
    <n v="89045"/>
    <n v="39416"/>
    <n v="49629"/>
    <n v="59879960"/>
    <n v="35397833"/>
    <n v="95277793"/>
    <n v="14484"/>
    <n v="7659"/>
    <n v="22143"/>
    <b v="1"/>
    <b v="1"/>
    <b v="1"/>
    <b v="1"/>
    <b v="1"/>
    <b v="1"/>
  </r>
  <r>
    <x v="1962"/>
    <n v="78301"/>
    <n v="33228"/>
    <n v="45073"/>
    <n v="52751990"/>
    <n v="29097281"/>
    <n v="81849271"/>
    <n v="13252"/>
    <n v="6369"/>
    <n v="19621"/>
    <b v="1"/>
    <b v="1"/>
    <b v="1"/>
    <b v="1"/>
    <b v="1"/>
    <b v="1"/>
  </r>
  <r>
    <x v="1963"/>
    <n v="89762"/>
    <n v="39345"/>
    <n v="50417"/>
    <n v="58710680"/>
    <n v="35031593"/>
    <n v="93742273"/>
    <n v="15323"/>
    <n v="7596"/>
    <n v="22919"/>
    <b v="1"/>
    <b v="1"/>
    <b v="1"/>
    <b v="1"/>
    <b v="1"/>
    <b v="1"/>
  </r>
  <r>
    <x v="1964"/>
    <n v="97947"/>
    <n v="41591"/>
    <n v="56356"/>
    <n v="64329369"/>
    <n v="37860968"/>
    <n v="102190337"/>
    <n v="16227"/>
    <n v="6389"/>
    <n v="22616"/>
    <b v="1"/>
    <b v="1"/>
    <b v="1"/>
    <b v="1"/>
    <b v="1"/>
    <b v="1"/>
  </r>
  <r>
    <x v="1965"/>
    <n v="99574"/>
    <n v="44034"/>
    <n v="55540"/>
    <n v="64586350"/>
    <n v="38225573"/>
    <n v="102811923"/>
    <n v="15656"/>
    <n v="8846"/>
    <n v="24502"/>
    <b v="1"/>
    <b v="1"/>
    <b v="1"/>
    <b v="1"/>
    <b v="1"/>
    <b v="1"/>
  </r>
  <r>
    <x v="1966"/>
    <n v="102215"/>
    <n v="43953"/>
    <n v="58262"/>
    <n v="66925280"/>
    <n v="39325549"/>
    <n v="106250829"/>
    <n v="16849"/>
    <n v="6930"/>
    <n v="23779"/>
    <b v="1"/>
    <b v="1"/>
    <b v="1"/>
    <b v="1"/>
    <b v="1"/>
    <b v="1"/>
  </r>
  <r>
    <x v="1967"/>
    <n v="105012"/>
    <n v="44791"/>
    <n v="60221"/>
    <n v="72583420"/>
    <n v="40506309"/>
    <n v="113089729"/>
    <n v="15766"/>
    <n v="7569"/>
    <n v="23335"/>
    <b v="1"/>
    <b v="1"/>
    <b v="1"/>
    <b v="1"/>
    <b v="1"/>
    <b v="1"/>
  </r>
  <r>
    <x v="1968"/>
    <n v="107193"/>
    <n v="45829"/>
    <n v="61364"/>
    <n v="71460495"/>
    <n v="41649439"/>
    <n v="113109934"/>
    <n v="17037"/>
    <n v="8481"/>
    <n v="25518"/>
    <b v="1"/>
    <b v="1"/>
    <b v="1"/>
    <b v="1"/>
    <b v="1"/>
    <b v="1"/>
  </r>
  <r>
    <x v="1969"/>
    <n v="80606"/>
    <n v="34571"/>
    <n v="46035"/>
    <n v="43837295"/>
    <n v="28678108"/>
    <n v="72515403"/>
    <n v="14464"/>
    <n v="6303"/>
    <n v="20767"/>
    <b v="1"/>
    <b v="1"/>
    <b v="1"/>
    <b v="1"/>
    <b v="1"/>
    <b v="1"/>
  </r>
  <r>
    <x v="1970"/>
    <n v="95598"/>
    <n v="39249"/>
    <n v="56349"/>
    <n v="65666393"/>
    <n v="33386417"/>
    <n v="99052810"/>
    <n v="13048"/>
    <n v="6690"/>
    <n v="19738"/>
    <b v="1"/>
    <b v="1"/>
    <b v="1"/>
    <b v="1"/>
    <b v="1"/>
    <b v="1"/>
  </r>
  <r>
    <x v="1971"/>
    <n v="109705"/>
    <n v="46624"/>
    <n v="63081"/>
    <n v="74076330"/>
    <n v="39979686"/>
    <n v="114056016"/>
    <n v="16984"/>
    <n v="7579"/>
    <n v="24563"/>
    <b v="1"/>
    <b v="1"/>
    <b v="1"/>
    <b v="1"/>
    <b v="1"/>
    <b v="1"/>
  </r>
  <r>
    <x v="1972"/>
    <n v="110255"/>
    <n v="47986"/>
    <n v="62269"/>
    <n v="73762731"/>
    <n v="42619074"/>
    <n v="116381805"/>
    <n v="15750"/>
    <n v="7542"/>
    <n v="23292"/>
    <b v="1"/>
    <b v="1"/>
    <b v="1"/>
    <b v="1"/>
    <b v="1"/>
    <b v="1"/>
  </r>
  <r>
    <x v="1973"/>
    <n v="109330"/>
    <n v="47012"/>
    <n v="62318"/>
    <n v="73027440"/>
    <n v="45520644"/>
    <n v="118548084"/>
    <n v="14522"/>
    <n v="8288"/>
    <n v="22810"/>
    <b v="1"/>
    <b v="1"/>
    <b v="1"/>
    <b v="1"/>
    <b v="1"/>
    <b v="1"/>
  </r>
  <r>
    <x v="1974"/>
    <n v="118005"/>
    <n v="51157"/>
    <n v="66848"/>
    <n v="72806940"/>
    <n v="45308054"/>
    <n v="118114994"/>
    <n v="16956"/>
    <n v="8965"/>
    <n v="25921"/>
    <b v="1"/>
    <b v="1"/>
    <b v="1"/>
    <b v="1"/>
    <b v="1"/>
    <b v="1"/>
  </r>
  <r>
    <x v="1975"/>
    <n v="117818"/>
    <n v="52192"/>
    <n v="65626"/>
    <n v="70912480"/>
    <n v="44064190"/>
    <n v="114976670"/>
    <n v="15315"/>
    <n v="9110"/>
    <n v="24425"/>
    <b v="1"/>
    <b v="1"/>
    <b v="1"/>
    <b v="1"/>
    <b v="1"/>
    <b v="1"/>
  </r>
  <r>
    <x v="1976"/>
    <n v="101466"/>
    <n v="42445"/>
    <n v="59021"/>
    <n v="61750659"/>
    <n v="35216422"/>
    <n v="96967081"/>
    <n v="12762"/>
    <n v="7609"/>
    <n v="20371"/>
    <b v="1"/>
    <b v="1"/>
    <b v="1"/>
    <b v="1"/>
    <b v="1"/>
    <b v="1"/>
  </r>
  <r>
    <x v="1977"/>
    <n v="118616"/>
    <n v="50817"/>
    <n v="67799"/>
    <n v="76492259"/>
    <n v="48033758"/>
    <n v="124526017"/>
    <n v="17459"/>
    <n v="9047"/>
    <n v="26506"/>
    <b v="1"/>
    <b v="1"/>
    <b v="1"/>
    <b v="1"/>
    <b v="1"/>
    <b v="1"/>
  </r>
  <r>
    <x v="1978"/>
    <n v="121273"/>
    <n v="50474"/>
    <n v="70799"/>
    <n v="78565336"/>
    <n v="53557598"/>
    <n v="132122934"/>
    <n v="17574"/>
    <n v="9071"/>
    <n v="26645"/>
    <b v="1"/>
    <b v="1"/>
    <b v="1"/>
    <b v="1"/>
    <b v="1"/>
    <b v="1"/>
  </r>
  <r>
    <x v="1979"/>
    <n v="125624"/>
    <n v="52725"/>
    <n v="72899"/>
    <n v="83605210"/>
    <n v="53410597"/>
    <n v="137015807"/>
    <n v="16956"/>
    <n v="9090"/>
    <n v="26046"/>
    <b v="1"/>
    <b v="1"/>
    <b v="1"/>
    <b v="1"/>
    <b v="1"/>
    <b v="1"/>
  </r>
  <r>
    <x v="1980"/>
    <n v="124772"/>
    <n v="53172"/>
    <n v="71600"/>
    <n v="82516637"/>
    <n v="56845982"/>
    <n v="139362619"/>
    <n v="15656"/>
    <n v="8481"/>
    <n v="24137"/>
    <b v="1"/>
    <b v="1"/>
    <b v="1"/>
    <b v="1"/>
    <b v="1"/>
    <b v="1"/>
  </r>
  <r>
    <x v="1981"/>
    <n v="121733"/>
    <n v="51648"/>
    <n v="70085"/>
    <n v="82443155"/>
    <n v="53721299"/>
    <n v="136164454"/>
    <n v="13992"/>
    <n v="7930"/>
    <n v="21922"/>
    <b v="1"/>
    <b v="1"/>
    <b v="1"/>
    <b v="1"/>
    <b v="1"/>
    <b v="1"/>
  </r>
  <r>
    <x v="1982"/>
    <n v="126482"/>
    <n v="54730"/>
    <n v="71752"/>
    <n v="87238072"/>
    <n v="57081556"/>
    <n v="144319628"/>
    <n v="16175"/>
    <n v="8865"/>
    <n v="25040"/>
    <b v="1"/>
    <b v="1"/>
    <b v="1"/>
    <b v="1"/>
    <b v="1"/>
    <b v="1"/>
  </r>
  <r>
    <x v="1983"/>
    <n v="115257"/>
    <n v="47641"/>
    <n v="67616"/>
    <n v="78652380"/>
    <n v="48040348"/>
    <n v="126692728"/>
    <n v="13198"/>
    <n v="6548"/>
    <n v="19746"/>
    <b v="1"/>
    <b v="1"/>
    <b v="1"/>
    <b v="1"/>
    <b v="1"/>
    <b v="1"/>
  </r>
  <r>
    <x v="1984"/>
    <n v="120656"/>
    <n v="51377"/>
    <n v="69279"/>
    <n v="81273986"/>
    <n v="53229000"/>
    <n v="134502986"/>
    <n v="15408"/>
    <n v="8704"/>
    <n v="24112"/>
    <b v="1"/>
    <b v="1"/>
    <b v="1"/>
    <b v="1"/>
    <b v="1"/>
    <b v="1"/>
  </r>
  <r>
    <x v="1985"/>
    <n v="122835"/>
    <n v="52510"/>
    <n v="70325"/>
    <n v="84361660"/>
    <n v="60638780"/>
    <n v="145000440"/>
    <n v="16663"/>
    <n v="8713"/>
    <n v="25376"/>
    <b v="1"/>
    <b v="1"/>
    <b v="1"/>
    <b v="1"/>
    <b v="1"/>
    <b v="1"/>
  </r>
  <r>
    <x v="1986"/>
    <n v="122484"/>
    <n v="53173"/>
    <n v="69311"/>
    <n v="80482155"/>
    <n v="55950277"/>
    <n v="136432432"/>
    <n v="16027"/>
    <n v="7992"/>
    <n v="24019"/>
    <b v="1"/>
    <b v="1"/>
    <b v="1"/>
    <b v="1"/>
    <b v="1"/>
    <b v="1"/>
  </r>
  <r>
    <x v="1987"/>
    <n v="123716"/>
    <n v="53530"/>
    <n v="70186"/>
    <n v="75729543"/>
    <n v="55841188"/>
    <n v="131570731"/>
    <n v="16096"/>
    <n v="7950"/>
    <n v="24046"/>
    <b v="1"/>
    <b v="1"/>
    <b v="1"/>
    <b v="1"/>
    <b v="1"/>
    <b v="1"/>
  </r>
  <r>
    <x v="1988"/>
    <n v="123962"/>
    <n v="52260"/>
    <n v="71702"/>
    <n v="79295495"/>
    <n v="56996490"/>
    <n v="136291985"/>
    <n v="15889"/>
    <n v="7671"/>
    <n v="23560"/>
    <b v="1"/>
    <b v="1"/>
    <b v="1"/>
    <b v="1"/>
    <b v="1"/>
    <b v="1"/>
  </r>
  <r>
    <x v="1989"/>
    <n v="125255"/>
    <n v="53938"/>
    <n v="71317"/>
    <n v="75941066"/>
    <n v="52459897"/>
    <n v="128400963"/>
    <n v="15740"/>
    <n v="7484"/>
    <n v="23224"/>
    <b v="1"/>
    <b v="1"/>
    <b v="1"/>
    <b v="1"/>
    <b v="1"/>
    <b v="1"/>
  </r>
  <r>
    <x v="1990"/>
    <n v="116282"/>
    <n v="46965"/>
    <n v="69317"/>
    <n v="79446070"/>
    <n v="45571676"/>
    <n v="125017746"/>
    <n v="12299"/>
    <n v="6248"/>
    <n v="18547"/>
    <b v="1"/>
    <b v="1"/>
    <b v="1"/>
    <b v="1"/>
    <b v="1"/>
    <b v="1"/>
  </r>
  <r>
    <x v="1991"/>
    <n v="125271"/>
    <n v="54085"/>
    <n v="71186"/>
    <n v="77918290"/>
    <n v="48298364"/>
    <n v="126216654"/>
    <n v="16009"/>
    <n v="8007"/>
    <n v="24016"/>
    <b v="1"/>
    <b v="1"/>
    <b v="1"/>
    <b v="1"/>
    <b v="1"/>
    <b v="1"/>
  </r>
  <r>
    <x v="1992"/>
    <n v="125005"/>
    <n v="53682"/>
    <n v="71323"/>
    <n v="77090843"/>
    <n v="53702245"/>
    <n v="130793088"/>
    <n v="16709"/>
    <n v="7949"/>
    <n v="24658"/>
    <b v="1"/>
    <b v="1"/>
    <b v="1"/>
    <b v="1"/>
    <b v="1"/>
    <b v="1"/>
  </r>
  <r>
    <x v="1993"/>
    <n v="130187"/>
    <n v="56446"/>
    <n v="73741"/>
    <n v="78562225"/>
    <n v="58368087"/>
    <n v="136930312"/>
    <n v="20972"/>
    <n v="8512"/>
    <n v="29484"/>
    <b v="1"/>
    <b v="1"/>
    <b v="1"/>
    <b v="1"/>
    <b v="1"/>
    <b v="1"/>
  </r>
  <r>
    <x v="1994"/>
    <n v="127829"/>
    <n v="56357"/>
    <n v="71472"/>
    <n v="75266254"/>
    <n v="57955459"/>
    <n v="133221713"/>
    <n v="21894"/>
    <n v="9390"/>
    <n v="31284"/>
    <b v="1"/>
    <b v="1"/>
    <b v="1"/>
    <b v="1"/>
    <b v="1"/>
    <b v="1"/>
  </r>
  <r>
    <x v="1995"/>
    <n v="129811"/>
    <n v="58825"/>
    <n v="70986"/>
    <n v="75448681"/>
    <n v="61248664"/>
    <n v="136697345"/>
    <n v="22846"/>
    <n v="10137"/>
    <n v="32983"/>
    <b v="1"/>
    <b v="1"/>
    <b v="1"/>
    <b v="1"/>
    <b v="1"/>
    <b v="1"/>
  </r>
  <r>
    <x v="1996"/>
    <n v="123359"/>
    <n v="56996"/>
    <n v="66363"/>
    <n v="66683540"/>
    <n v="53580706"/>
    <n v="120264246"/>
    <n v="20522"/>
    <n v="9259"/>
    <n v="29781"/>
    <b v="1"/>
    <b v="1"/>
    <b v="1"/>
    <b v="1"/>
    <b v="1"/>
    <b v="1"/>
  </r>
  <r>
    <x v="1997"/>
    <n v="107835"/>
    <n v="45787"/>
    <n v="62048"/>
    <n v="63704710"/>
    <n v="42279954"/>
    <n v="105984664"/>
    <n v="17209"/>
    <n v="7915"/>
    <n v="25124"/>
    <b v="1"/>
    <b v="1"/>
    <b v="1"/>
    <b v="1"/>
    <b v="1"/>
    <b v="1"/>
  </r>
  <r>
    <x v="1998"/>
    <n v="119471"/>
    <n v="55042"/>
    <n v="64429"/>
    <n v="60147165"/>
    <n v="49588163"/>
    <n v="109735328"/>
    <n v="20443"/>
    <n v="8831"/>
    <n v="29274"/>
    <b v="1"/>
    <b v="1"/>
    <b v="1"/>
    <b v="1"/>
    <b v="1"/>
    <b v="1"/>
  </r>
  <r>
    <x v="1999"/>
    <n v="125525"/>
    <n v="56692"/>
    <n v="68833"/>
    <n v="67570269"/>
    <n v="56912101"/>
    <n v="124482370"/>
    <n v="21934"/>
    <n v="9685"/>
    <n v="31619"/>
    <b v="1"/>
    <b v="1"/>
    <b v="1"/>
    <b v="1"/>
    <b v="1"/>
    <b v="1"/>
  </r>
  <r>
    <x v="2000"/>
    <n v="119745"/>
    <n v="54706"/>
    <n v="65039"/>
    <n v="66508119"/>
    <n v="54064436"/>
    <n v="120572555"/>
    <n v="20512"/>
    <n v="9658"/>
    <n v="30170"/>
    <b v="1"/>
    <b v="1"/>
    <b v="1"/>
    <b v="1"/>
    <b v="1"/>
    <b v="1"/>
  </r>
  <r>
    <x v="2001"/>
    <n v="119212"/>
    <n v="54001"/>
    <n v="65211"/>
    <n v="68509095"/>
    <n v="54696642"/>
    <n v="123205737"/>
    <n v="19173"/>
    <n v="9271"/>
    <n v="28444"/>
    <b v="1"/>
    <b v="1"/>
    <b v="1"/>
    <b v="1"/>
    <b v="1"/>
    <b v="1"/>
  </r>
  <r>
    <x v="2002"/>
    <n v="125137"/>
    <n v="55895"/>
    <n v="69242"/>
    <n v="69271685"/>
    <n v="57874467"/>
    <n v="127146152"/>
    <n v="21007"/>
    <n v="8853"/>
    <n v="29860"/>
    <b v="1"/>
    <b v="1"/>
    <b v="1"/>
    <b v="1"/>
    <b v="1"/>
    <b v="1"/>
  </r>
  <r>
    <x v="2003"/>
    <n v="129269"/>
    <n v="56582"/>
    <n v="72687"/>
    <n v="78269950"/>
    <n v="61488085"/>
    <n v="139758035"/>
    <n v="20815"/>
    <n v="8183"/>
    <n v="28998"/>
    <b v="1"/>
    <b v="1"/>
    <b v="1"/>
    <b v="1"/>
    <b v="1"/>
    <b v="1"/>
  </r>
  <r>
    <x v="2004"/>
    <n v="116218"/>
    <n v="48653"/>
    <n v="67565"/>
    <n v="76923995"/>
    <n v="51671409"/>
    <n v="128595404"/>
    <n v="17682"/>
    <n v="7263"/>
    <n v="24945"/>
    <b v="1"/>
    <b v="1"/>
    <b v="1"/>
    <b v="1"/>
    <b v="1"/>
    <b v="1"/>
  </r>
  <r>
    <x v="2005"/>
    <n v="124327"/>
    <n v="54590"/>
    <n v="69737"/>
    <n v="70896862"/>
    <n v="52193873"/>
    <n v="123090735"/>
    <n v="20399"/>
    <n v="8386"/>
    <n v="28785"/>
    <b v="1"/>
    <b v="1"/>
    <b v="1"/>
    <b v="1"/>
    <b v="1"/>
    <b v="1"/>
  </r>
  <r>
    <x v="2006"/>
    <n v="127874"/>
    <n v="55574"/>
    <n v="72300"/>
    <n v="76476788"/>
    <n v="59460322"/>
    <n v="135937110"/>
    <n v="22625"/>
    <n v="8981"/>
    <n v="31606"/>
    <b v="1"/>
    <b v="1"/>
    <b v="1"/>
    <b v="1"/>
    <b v="1"/>
    <b v="1"/>
  </r>
  <r>
    <x v="2007"/>
    <n v="130387"/>
    <n v="56293"/>
    <n v="74094"/>
    <n v="77437920"/>
    <n v="61032550"/>
    <n v="138470470"/>
    <n v="23845"/>
    <n v="8907"/>
    <n v="32752"/>
    <b v="1"/>
    <b v="1"/>
    <b v="1"/>
    <b v="1"/>
    <b v="1"/>
    <b v="1"/>
  </r>
  <r>
    <x v="2008"/>
    <n v="124280"/>
    <n v="52747"/>
    <n v="71533"/>
    <n v="75488710"/>
    <n v="58552891"/>
    <n v="134041601"/>
    <n v="21822"/>
    <n v="7901"/>
    <n v="29723"/>
    <b v="1"/>
    <b v="1"/>
    <b v="1"/>
    <b v="1"/>
    <b v="1"/>
    <b v="1"/>
  </r>
  <r>
    <x v="2009"/>
    <n v="113885"/>
    <n v="48038"/>
    <n v="65847"/>
    <n v="72391609"/>
    <n v="56110913"/>
    <n v="128502522"/>
    <n v="21771"/>
    <n v="7542"/>
    <n v="29313"/>
    <b v="1"/>
    <b v="1"/>
    <b v="1"/>
    <b v="1"/>
    <b v="1"/>
    <b v="1"/>
  </r>
  <r>
    <x v="2010"/>
    <n v="123363"/>
    <n v="52797"/>
    <n v="70566"/>
    <n v="75791240"/>
    <n v="59520774"/>
    <n v="135312014"/>
    <n v="20608"/>
    <n v="7553"/>
    <n v="28161"/>
    <b v="1"/>
    <b v="1"/>
    <b v="1"/>
    <b v="1"/>
    <b v="1"/>
    <b v="1"/>
  </r>
  <r>
    <x v="2011"/>
    <n v="94156"/>
    <n v="38000"/>
    <n v="56156"/>
    <n v="67012830"/>
    <n v="48851396"/>
    <n v="115864226"/>
    <n v="17867"/>
    <n v="5837"/>
    <n v="23704"/>
    <b v="1"/>
    <b v="1"/>
    <b v="1"/>
    <b v="1"/>
    <b v="1"/>
    <b v="1"/>
  </r>
  <r>
    <x v="2012"/>
    <n v="116907"/>
    <n v="49759"/>
    <n v="67148"/>
    <n v="72946474"/>
    <n v="55281090"/>
    <n v="128227564"/>
    <n v="20063"/>
    <n v="5818"/>
    <n v="25881"/>
    <b v="1"/>
    <b v="1"/>
    <b v="1"/>
    <b v="1"/>
    <b v="1"/>
    <b v="1"/>
  </r>
  <r>
    <x v="2013"/>
    <n v="120381"/>
    <n v="50434"/>
    <n v="69947"/>
    <n v="73324671"/>
    <n v="59069732"/>
    <n v="132394403"/>
    <n v="20747"/>
    <n v="6653"/>
    <n v="27400"/>
    <b v="1"/>
    <b v="1"/>
    <b v="1"/>
    <b v="1"/>
    <b v="1"/>
    <b v="1"/>
  </r>
  <r>
    <x v="2014"/>
    <n v="129728"/>
    <n v="55344"/>
    <n v="74384"/>
    <n v="75930750"/>
    <n v="63153611"/>
    <n v="139084361"/>
    <n v="24972"/>
    <n v="8374"/>
    <n v="33346"/>
    <b v="1"/>
    <b v="1"/>
    <b v="1"/>
    <b v="1"/>
    <b v="1"/>
    <b v="1"/>
  </r>
  <r>
    <x v="2015"/>
    <n v="130870"/>
    <n v="55105"/>
    <n v="75765"/>
    <n v="75829235"/>
    <n v="58694609"/>
    <n v="134523844"/>
    <n v="23558"/>
    <n v="7790"/>
    <n v="31348"/>
    <b v="1"/>
    <b v="1"/>
    <b v="1"/>
    <b v="1"/>
    <b v="1"/>
    <b v="1"/>
  </r>
  <r>
    <x v="2016"/>
    <n v="127480"/>
    <n v="54530"/>
    <n v="72950"/>
    <n v="72963253"/>
    <n v="58048436"/>
    <n v="131011689"/>
    <n v="21926"/>
    <n v="7537"/>
    <n v="29463"/>
    <b v="1"/>
    <b v="1"/>
    <b v="1"/>
    <b v="1"/>
    <b v="1"/>
    <b v="1"/>
  </r>
  <r>
    <x v="2017"/>
    <n v="126246"/>
    <n v="54358"/>
    <n v="71888"/>
    <n v="73365980"/>
    <n v="54551703"/>
    <n v="127917683"/>
    <n v="24029"/>
    <n v="8363"/>
    <n v="32392"/>
    <b v="1"/>
    <b v="1"/>
    <b v="1"/>
    <b v="1"/>
    <b v="1"/>
    <b v="1"/>
  </r>
  <r>
    <x v="2018"/>
    <n v="99517"/>
    <n v="40646"/>
    <n v="58871"/>
    <n v="63266089"/>
    <n v="43691168"/>
    <n v="106957257"/>
    <n v="25011"/>
    <n v="8129"/>
    <n v="33140"/>
    <b v="1"/>
    <b v="1"/>
    <b v="1"/>
    <b v="1"/>
    <b v="1"/>
    <b v="1"/>
  </r>
  <r>
    <x v="2019"/>
    <n v="126242"/>
    <n v="55787"/>
    <n v="70455"/>
    <n v="65783932"/>
    <n v="51939321"/>
    <n v="117723253"/>
    <n v="38022"/>
    <n v="12795"/>
    <n v="50817"/>
    <b v="1"/>
    <b v="1"/>
    <b v="1"/>
    <b v="1"/>
    <b v="1"/>
    <b v="1"/>
  </r>
  <r>
    <x v="2020"/>
    <n v="125997"/>
    <n v="54835"/>
    <n v="71162"/>
    <n v="69128582"/>
    <n v="54500501"/>
    <n v="123629083"/>
    <n v="40468"/>
    <n v="7685"/>
    <n v="48153"/>
    <b v="1"/>
    <b v="1"/>
    <b v="1"/>
    <b v="1"/>
    <b v="1"/>
    <b v="1"/>
  </r>
  <r>
    <x v="2021"/>
    <n v="123162"/>
    <n v="54252"/>
    <n v="68910"/>
    <n v="67918185"/>
    <n v="59239268"/>
    <n v="127157453"/>
    <n v="40122"/>
    <n v="8066"/>
    <n v="48188"/>
    <b v="1"/>
    <b v="1"/>
    <b v="1"/>
    <b v="1"/>
    <b v="1"/>
    <b v="1"/>
  </r>
  <r>
    <x v="2022"/>
    <n v="126868"/>
    <n v="56006"/>
    <n v="70862"/>
    <n v="68921972"/>
    <n v="59897141"/>
    <n v="128819113"/>
    <n v="40457"/>
    <n v="7757"/>
    <n v="48214"/>
    <b v="1"/>
    <b v="1"/>
    <b v="1"/>
    <b v="1"/>
    <b v="1"/>
    <b v="1"/>
  </r>
  <r>
    <x v="2023"/>
    <n v="125137"/>
    <n v="56369"/>
    <n v="68768"/>
    <n v="67207054"/>
    <n v="60956777"/>
    <n v="128163831"/>
    <n v="38539"/>
    <n v="12393"/>
    <n v="50932"/>
    <b v="1"/>
    <b v="1"/>
    <b v="1"/>
    <b v="1"/>
    <b v="1"/>
    <b v="1"/>
  </r>
  <r>
    <x v="2024"/>
    <n v="129717"/>
    <n v="59116"/>
    <n v="70601"/>
    <n v="70351190"/>
    <n v="60178465"/>
    <n v="130529655"/>
    <n v="39830"/>
    <n v="9130"/>
    <n v="48960"/>
    <b v="1"/>
    <b v="1"/>
    <b v="1"/>
    <b v="1"/>
    <b v="1"/>
    <b v="1"/>
  </r>
  <r>
    <x v="2025"/>
    <n v="89412"/>
    <n v="39769"/>
    <n v="49643"/>
    <n v="49159800"/>
    <n v="39741894"/>
    <n v="88901694"/>
    <n v="32356"/>
    <n v="6975"/>
    <n v="39331"/>
    <b v="1"/>
    <b v="1"/>
    <b v="1"/>
    <b v="1"/>
    <b v="1"/>
    <b v="1"/>
  </r>
  <r>
    <x v="2026"/>
    <n v="128530"/>
    <n v="58802"/>
    <n v="69728"/>
    <n v="67134103"/>
    <n v="54825438"/>
    <n v="121959541"/>
    <n v="41237"/>
    <n v="9381"/>
    <n v="50618"/>
    <b v="1"/>
    <b v="1"/>
    <b v="1"/>
    <b v="1"/>
    <b v="1"/>
    <b v="1"/>
  </r>
  <r>
    <x v="2027"/>
    <n v="120055"/>
    <n v="55488"/>
    <n v="64567"/>
    <n v="60123974"/>
    <n v="57618216"/>
    <n v="117742190"/>
    <n v="35266"/>
    <n v="11527"/>
    <n v="46793"/>
    <b v="1"/>
    <b v="1"/>
    <b v="1"/>
    <b v="1"/>
    <b v="1"/>
    <b v="1"/>
  </r>
  <r>
    <x v="2028"/>
    <n v="123611"/>
    <n v="56635"/>
    <n v="66976"/>
    <n v="62102243"/>
    <n v="56490714"/>
    <n v="118592957"/>
    <n v="37126"/>
    <n v="8109"/>
    <n v="45235"/>
    <b v="1"/>
    <b v="1"/>
    <b v="1"/>
    <b v="1"/>
    <b v="1"/>
    <b v="1"/>
  </r>
  <r>
    <x v="2029"/>
    <n v="124499"/>
    <n v="56717"/>
    <n v="67782"/>
    <n v="65577280"/>
    <n v="60786864"/>
    <n v="126364144"/>
    <n v="37728"/>
    <n v="7720"/>
    <n v="45448"/>
    <b v="1"/>
    <b v="1"/>
    <b v="1"/>
    <b v="1"/>
    <b v="1"/>
    <b v="1"/>
  </r>
  <r>
    <x v="2030"/>
    <n v="121482"/>
    <n v="55354"/>
    <n v="66128"/>
    <n v="67028060"/>
    <n v="58027928"/>
    <n v="125055988"/>
    <n v="37195"/>
    <n v="7381"/>
    <n v="44576"/>
    <b v="1"/>
    <b v="1"/>
    <b v="1"/>
    <b v="1"/>
    <b v="1"/>
    <b v="1"/>
  </r>
  <r>
    <x v="2031"/>
    <n v="116514"/>
    <n v="53290"/>
    <n v="63224"/>
    <n v="68960396"/>
    <n v="53484329"/>
    <n v="122444725"/>
    <n v="35273"/>
    <n v="11587"/>
    <n v="46860"/>
    <b v="1"/>
    <b v="1"/>
    <b v="1"/>
    <b v="1"/>
    <b v="1"/>
    <b v="1"/>
  </r>
  <r>
    <x v="2032"/>
    <n v="96362"/>
    <n v="40812"/>
    <n v="55550"/>
    <n v="64694460"/>
    <n v="48238582"/>
    <n v="112933042"/>
    <n v="15146"/>
    <n v="5440"/>
    <n v="20586"/>
    <b v="1"/>
    <b v="1"/>
    <b v="1"/>
    <b v="1"/>
    <b v="1"/>
    <b v="1"/>
  </r>
  <r>
    <x v="2033"/>
    <n v="122770"/>
    <n v="56741"/>
    <n v="66029"/>
    <n v="69019790"/>
    <n v="54405572"/>
    <n v="123425362"/>
    <n v="35208"/>
    <n v="7891"/>
    <n v="43099"/>
    <b v="1"/>
    <b v="1"/>
    <b v="1"/>
    <b v="1"/>
    <b v="1"/>
    <b v="1"/>
  </r>
  <r>
    <x v="2034"/>
    <n v="124510"/>
    <n v="57435"/>
    <n v="67075"/>
    <n v="75608793"/>
    <n v="58201487"/>
    <n v="133810280"/>
    <n v="19076"/>
    <n v="8107"/>
    <n v="27183"/>
    <b v="1"/>
    <b v="1"/>
    <b v="1"/>
    <b v="1"/>
    <b v="1"/>
    <b v="1"/>
  </r>
  <r>
    <x v="2035"/>
    <n v="115284"/>
    <n v="53881"/>
    <n v="61403"/>
    <n v="67696019"/>
    <n v="53950346"/>
    <n v="121646365"/>
    <n v="32746"/>
    <n v="7686"/>
    <n v="40432"/>
    <b v="1"/>
    <b v="1"/>
    <b v="1"/>
    <b v="1"/>
    <b v="1"/>
    <b v="1"/>
  </r>
  <r>
    <x v="2036"/>
    <n v="124072"/>
    <n v="57431"/>
    <n v="66641"/>
    <n v="74024805"/>
    <n v="56068102"/>
    <n v="130092907"/>
    <n v="36032"/>
    <n v="8589"/>
    <n v="44621"/>
    <b v="1"/>
    <b v="1"/>
    <b v="1"/>
    <b v="1"/>
    <b v="1"/>
    <b v="1"/>
  </r>
  <r>
    <x v="2037"/>
    <n v="119856"/>
    <n v="55371"/>
    <n v="64485"/>
    <n v="72800325"/>
    <n v="48244273"/>
    <n v="121044598"/>
    <n v="17721"/>
    <n v="8244"/>
    <n v="25965"/>
    <b v="1"/>
    <b v="1"/>
    <b v="1"/>
    <b v="1"/>
    <b v="1"/>
    <b v="1"/>
  </r>
  <r>
    <x v="2038"/>
    <n v="98750"/>
    <n v="46061"/>
    <n v="52689"/>
    <n v="57495257"/>
    <n v="42268811"/>
    <n v="99764068"/>
    <n v="11549"/>
    <n v="5201"/>
    <n v="16750"/>
    <b v="1"/>
    <b v="1"/>
    <b v="1"/>
    <b v="1"/>
    <b v="1"/>
    <b v="1"/>
  </r>
  <r>
    <x v="2039"/>
    <n v="90411"/>
    <n v="40025"/>
    <n v="50386"/>
    <n v="60068915"/>
    <n v="42077400"/>
    <n v="102146315"/>
    <n v="30728"/>
    <n v="10542"/>
    <n v="41270"/>
    <b v="1"/>
    <b v="1"/>
    <b v="1"/>
    <b v="1"/>
    <b v="1"/>
    <b v="1"/>
  </r>
  <r>
    <x v="2040"/>
    <n v="108549"/>
    <n v="48274"/>
    <n v="60275"/>
    <n v="65872690"/>
    <n v="40402831"/>
    <n v="106275521"/>
    <n v="32415"/>
    <n v="11015"/>
    <n v="43430"/>
    <b v="1"/>
    <b v="1"/>
    <b v="1"/>
    <b v="1"/>
    <b v="1"/>
    <b v="1"/>
  </r>
  <r>
    <x v="2041"/>
    <n v="118359"/>
    <n v="55105"/>
    <n v="63254"/>
    <n v="66236931"/>
    <n v="48982600"/>
    <n v="115219531"/>
    <n v="20155"/>
    <n v="8224"/>
    <n v="28379"/>
    <b v="1"/>
    <b v="1"/>
    <b v="1"/>
    <b v="1"/>
    <b v="1"/>
    <b v="1"/>
  </r>
  <r>
    <x v="2042"/>
    <n v="113568"/>
    <n v="53721"/>
    <n v="59847"/>
    <n v="69857710"/>
    <n v="57641227"/>
    <n v="127498937"/>
    <n v="34717"/>
    <n v="8147"/>
    <n v="42864"/>
    <b v="1"/>
    <b v="1"/>
    <b v="1"/>
    <b v="1"/>
    <b v="1"/>
    <b v="1"/>
  </r>
  <r>
    <x v="2043"/>
    <n v="115710"/>
    <n v="54397"/>
    <n v="61313"/>
    <n v="70863921"/>
    <n v="63282410"/>
    <n v="134146331"/>
    <n v="35202"/>
    <n v="7708"/>
    <n v="42910"/>
    <b v="1"/>
    <b v="1"/>
    <b v="1"/>
    <b v="1"/>
    <b v="1"/>
    <b v="1"/>
  </r>
  <r>
    <x v="2044"/>
    <n v="119276"/>
    <n v="55845"/>
    <n v="63431"/>
    <n v="74734601"/>
    <n v="62602803"/>
    <n v="137337404"/>
    <n v="37034"/>
    <n v="8279"/>
    <n v="45313"/>
    <b v="1"/>
    <b v="1"/>
    <b v="1"/>
    <b v="1"/>
    <b v="1"/>
    <b v="1"/>
  </r>
  <r>
    <x v="2045"/>
    <n v="114158"/>
    <n v="53601"/>
    <n v="60557"/>
    <n v="71377748"/>
    <n v="59643481"/>
    <n v="131021229"/>
    <n v="32184"/>
    <n v="6681"/>
    <n v="38865"/>
    <b v="1"/>
    <b v="1"/>
    <b v="1"/>
    <b v="1"/>
    <b v="1"/>
    <b v="1"/>
  </r>
  <r>
    <x v="2046"/>
    <n v="89673"/>
    <n v="39869"/>
    <n v="49804"/>
    <n v="57652199"/>
    <n v="48574441"/>
    <n v="106226640"/>
    <n v="28157"/>
    <n v="5416"/>
    <n v="33573"/>
    <b v="1"/>
    <b v="1"/>
    <b v="1"/>
    <b v="1"/>
    <b v="1"/>
    <b v="1"/>
  </r>
  <r>
    <x v="2047"/>
    <n v="114879"/>
    <n v="55062"/>
    <n v="59817"/>
    <n v="65085786"/>
    <n v="58516881"/>
    <n v="123602667"/>
    <n v="32178"/>
    <n v="11450"/>
    <n v="43628"/>
    <b v="1"/>
    <b v="1"/>
    <b v="1"/>
    <b v="1"/>
    <b v="1"/>
    <b v="1"/>
  </r>
  <r>
    <x v="2048"/>
    <n v="101948"/>
    <n v="51975"/>
    <n v="49973"/>
    <n v="45858227"/>
    <n v="57081176"/>
    <n v="102939403"/>
    <n v="22942"/>
    <n v="8877"/>
    <n v="31819"/>
    <b v="1"/>
    <b v="1"/>
    <b v="1"/>
    <b v="1"/>
    <b v="1"/>
    <b v="1"/>
  </r>
  <r>
    <x v="2049"/>
    <n v="111453"/>
    <n v="53253"/>
    <n v="58200"/>
    <n v="62892600"/>
    <n v="53608269"/>
    <n v="116500869"/>
    <n v="29898"/>
    <n v="6590"/>
    <n v="36488"/>
    <b v="1"/>
    <b v="1"/>
    <b v="1"/>
    <b v="1"/>
    <b v="1"/>
    <b v="1"/>
  </r>
  <r>
    <x v="2050"/>
    <n v="103821"/>
    <n v="49719"/>
    <n v="54102"/>
    <n v="51480419"/>
    <n v="51492894"/>
    <n v="102973313"/>
    <n v="27089"/>
    <n v="6739"/>
    <n v="33828"/>
    <b v="1"/>
    <b v="1"/>
    <b v="1"/>
    <b v="1"/>
    <b v="1"/>
    <b v="1"/>
  </r>
  <r>
    <x v="2051"/>
    <n v="122465"/>
    <n v="58114"/>
    <n v="64351"/>
    <n v="74929346"/>
    <n v="64157105"/>
    <n v="139086451"/>
    <n v="35022"/>
    <n v="12986"/>
    <n v="48008"/>
    <b v="1"/>
    <b v="1"/>
    <b v="1"/>
    <b v="1"/>
    <b v="1"/>
    <b v="1"/>
  </r>
  <r>
    <x v="2052"/>
    <n v="90182"/>
    <n v="39785"/>
    <n v="50397"/>
    <n v="53925663"/>
    <n v="41403937"/>
    <n v="95329600"/>
    <n v="22710"/>
    <n v="7859"/>
    <n v="30569"/>
    <b v="1"/>
    <b v="1"/>
    <b v="1"/>
    <b v="1"/>
    <b v="1"/>
    <b v="1"/>
  </r>
  <r>
    <x v="2053"/>
    <n v="98720"/>
    <n v="43847"/>
    <n v="54873"/>
    <n v="65423455"/>
    <n v="45977925"/>
    <n v="111401380"/>
    <n v="29302"/>
    <n v="6152"/>
    <n v="35454"/>
    <b v="1"/>
    <b v="1"/>
    <b v="1"/>
    <b v="1"/>
    <b v="1"/>
    <b v="1"/>
  </r>
  <r>
    <x v="2054"/>
    <n v="124756"/>
    <n v="60461"/>
    <n v="64295"/>
    <n v="75365990"/>
    <n v="58892329"/>
    <n v="134258319"/>
    <n v="34417"/>
    <n v="12505"/>
    <n v="46922"/>
    <b v="1"/>
    <b v="1"/>
    <b v="1"/>
    <b v="1"/>
    <b v="1"/>
    <b v="1"/>
  </r>
  <r>
    <x v="2055"/>
    <n v="123192"/>
    <n v="59030"/>
    <n v="64162"/>
    <n v="74891487"/>
    <n v="66929197"/>
    <n v="141820684"/>
    <n v="34575"/>
    <n v="12008"/>
    <n v="46583"/>
    <b v="1"/>
    <b v="1"/>
    <b v="1"/>
    <b v="1"/>
    <b v="1"/>
    <b v="1"/>
  </r>
  <r>
    <x v="2056"/>
    <n v="110268"/>
    <n v="53200"/>
    <n v="57068"/>
    <n v="63151500"/>
    <n v="57842044"/>
    <n v="120993544"/>
    <n v="31050"/>
    <n v="7482"/>
    <n v="38532"/>
    <b v="1"/>
    <b v="1"/>
    <b v="1"/>
    <b v="1"/>
    <b v="1"/>
    <b v="1"/>
  </r>
  <r>
    <x v="2057"/>
    <n v="111932"/>
    <n v="54565"/>
    <n v="57367"/>
    <n v="65033553"/>
    <n v="61487079"/>
    <n v="126520632"/>
    <n v="30806"/>
    <n v="7874"/>
    <n v="38680"/>
    <b v="1"/>
    <b v="1"/>
    <b v="1"/>
    <b v="1"/>
    <b v="1"/>
    <b v="1"/>
  </r>
  <r>
    <x v="2058"/>
    <n v="113622"/>
    <n v="55458"/>
    <n v="58164"/>
    <n v="71070179"/>
    <n v="66748895"/>
    <n v="137819074"/>
    <n v="34108"/>
    <n v="12588"/>
    <n v="46696"/>
    <b v="1"/>
    <b v="1"/>
    <b v="1"/>
    <b v="1"/>
    <b v="1"/>
    <b v="1"/>
  </r>
  <r>
    <x v="2059"/>
    <n v="98016"/>
    <n v="46665"/>
    <n v="51351"/>
    <n v="66121801"/>
    <n v="53240218"/>
    <n v="119362019"/>
    <n v="31598"/>
    <n v="7248"/>
    <n v="38846"/>
    <b v="1"/>
    <b v="1"/>
    <b v="1"/>
    <b v="1"/>
    <b v="1"/>
    <b v="1"/>
  </r>
  <r>
    <x v="2060"/>
    <n v="92637"/>
    <n v="40533"/>
    <n v="52104"/>
    <n v="64440454"/>
    <n v="49248132"/>
    <n v="113688586"/>
    <n v="13353"/>
    <n v="9521"/>
    <n v="22874"/>
    <b v="1"/>
    <b v="1"/>
    <b v="1"/>
    <b v="1"/>
    <b v="1"/>
    <b v="1"/>
  </r>
  <r>
    <x v="2061"/>
    <n v="134737"/>
    <n v="63291"/>
    <n v="71446"/>
    <n v="75582722"/>
    <n v="62054753"/>
    <n v="137637475"/>
    <n v="36111"/>
    <n v="8517"/>
    <n v="44628"/>
    <b v="1"/>
    <b v="1"/>
    <b v="1"/>
    <b v="1"/>
    <b v="1"/>
    <b v="1"/>
  </r>
  <r>
    <x v="2062"/>
    <n v="137954"/>
    <n v="65721"/>
    <n v="72233"/>
    <n v="77571619"/>
    <n v="68021100"/>
    <n v="145592719"/>
    <n v="35154"/>
    <n v="12140"/>
    <n v="47294"/>
    <b v="1"/>
    <b v="1"/>
    <b v="1"/>
    <b v="1"/>
    <b v="1"/>
    <b v="1"/>
  </r>
  <r>
    <x v="2063"/>
    <n v="123992"/>
    <n v="60720"/>
    <n v="63272"/>
    <n v="76005598"/>
    <n v="67954849"/>
    <n v="143960447"/>
    <n v="33805"/>
    <n v="8737"/>
    <n v="42542"/>
    <b v="1"/>
    <b v="1"/>
    <b v="1"/>
    <b v="1"/>
    <b v="1"/>
    <b v="1"/>
  </r>
  <r>
    <x v="2064"/>
    <n v="120736"/>
    <n v="60535"/>
    <n v="60201"/>
    <n v="74059892"/>
    <n v="65238657"/>
    <n v="139298549"/>
    <n v="32632"/>
    <n v="8825"/>
    <n v="41457"/>
    <b v="1"/>
    <b v="1"/>
    <b v="1"/>
    <b v="1"/>
    <b v="1"/>
    <b v="1"/>
  </r>
  <r>
    <x v="2065"/>
    <n v="116253"/>
    <n v="58999"/>
    <n v="57254"/>
    <n v="68668641"/>
    <n v="67558757"/>
    <n v="136227398"/>
    <n v="32023"/>
    <n v="11989"/>
    <n v="44012"/>
    <b v="1"/>
    <b v="1"/>
    <b v="1"/>
    <b v="1"/>
    <b v="1"/>
    <b v="1"/>
  </r>
  <r>
    <x v="2066"/>
    <n v="122622"/>
    <n v="60482"/>
    <n v="62140"/>
    <n v="70254542"/>
    <n v="68057947"/>
    <n v="138312489"/>
    <n v="31431"/>
    <n v="11170"/>
    <n v="42601"/>
    <b v="1"/>
    <b v="1"/>
    <b v="1"/>
    <b v="1"/>
    <b v="1"/>
    <b v="1"/>
  </r>
  <r>
    <x v="2067"/>
    <n v="96803"/>
    <n v="45012"/>
    <n v="51791"/>
    <n v="60933157"/>
    <n v="51985880"/>
    <n v="112919037"/>
    <n v="28150"/>
    <n v="9000"/>
    <n v="37150"/>
    <b v="1"/>
    <b v="1"/>
    <b v="1"/>
    <b v="1"/>
    <b v="1"/>
    <b v="1"/>
  </r>
  <r>
    <x v="2068"/>
    <n v="119512"/>
    <n v="58850"/>
    <n v="60662"/>
    <n v="69846381"/>
    <n v="55735653"/>
    <n v="125582034"/>
    <n v="32890"/>
    <n v="11757"/>
    <n v="44647"/>
    <b v="1"/>
    <b v="1"/>
    <b v="1"/>
    <b v="1"/>
    <b v="1"/>
    <b v="1"/>
  </r>
  <r>
    <x v="2069"/>
    <n v="116849"/>
    <n v="55998"/>
    <n v="60851"/>
    <n v="71633590"/>
    <n v="60223317"/>
    <n v="131856907"/>
    <n v="32167"/>
    <n v="10261"/>
    <n v="42428"/>
    <b v="1"/>
    <b v="1"/>
    <b v="1"/>
    <b v="1"/>
    <b v="1"/>
    <b v="1"/>
  </r>
  <r>
    <x v="2070"/>
    <n v="123607"/>
    <n v="59345"/>
    <n v="64262"/>
    <n v="76192013"/>
    <n v="64417901"/>
    <n v="140609914"/>
    <n v="34018"/>
    <n v="10489"/>
    <n v="44507"/>
    <b v="1"/>
    <b v="1"/>
    <b v="1"/>
    <b v="1"/>
    <b v="1"/>
    <b v="1"/>
  </r>
  <r>
    <x v="2071"/>
    <n v="128722"/>
    <n v="63037"/>
    <n v="65685"/>
    <n v="83302517"/>
    <n v="75155480"/>
    <n v="158457997"/>
    <n v="33225"/>
    <n v="8189"/>
    <n v="41414"/>
    <b v="1"/>
    <b v="1"/>
    <b v="1"/>
    <b v="1"/>
    <b v="1"/>
    <b v="1"/>
  </r>
  <r>
    <x v="2072"/>
    <n v="128813"/>
    <n v="63613"/>
    <n v="65200"/>
    <n v="81055184"/>
    <n v="74763515"/>
    <n v="155818699"/>
    <n v="34299"/>
    <n v="10686"/>
    <n v="44985"/>
    <b v="1"/>
    <b v="1"/>
    <b v="1"/>
    <b v="1"/>
    <b v="1"/>
    <b v="1"/>
  </r>
  <r>
    <x v="2073"/>
    <n v="121314"/>
    <n v="60145"/>
    <n v="61169"/>
    <n v="70616480"/>
    <n v="67451981"/>
    <n v="138068461"/>
    <n v="15923"/>
    <n v="6855"/>
    <n v="22778"/>
    <b v="1"/>
    <b v="1"/>
    <b v="1"/>
    <b v="1"/>
    <b v="1"/>
    <b v="1"/>
  </r>
  <r>
    <x v="2074"/>
    <n v="113927"/>
    <n v="52328"/>
    <n v="61599"/>
    <n v="69694612"/>
    <n v="86039798"/>
    <n v="155734410"/>
    <n v="28963"/>
    <n v="8177"/>
    <n v="37140"/>
    <b v="1"/>
    <b v="1"/>
    <b v="1"/>
    <b v="1"/>
    <b v="1"/>
    <b v="1"/>
  </r>
  <r>
    <x v="2075"/>
    <n v="123691"/>
    <n v="60131"/>
    <n v="63560"/>
    <n v="77079748"/>
    <n v="77175984"/>
    <n v="154255732"/>
    <n v="31934"/>
    <n v="10400"/>
    <n v="42334"/>
    <b v="1"/>
    <b v="1"/>
    <b v="1"/>
    <b v="1"/>
    <b v="1"/>
    <b v="1"/>
  </r>
  <r>
    <x v="2076"/>
    <n v="129651"/>
    <n v="63130"/>
    <n v="66521"/>
    <n v="84934247"/>
    <n v="77157410"/>
    <n v="162091657"/>
    <n v="35489"/>
    <n v="8091"/>
    <n v="43580"/>
    <b v="1"/>
    <b v="1"/>
    <b v="1"/>
    <b v="1"/>
    <b v="1"/>
    <b v="1"/>
  </r>
  <r>
    <x v="2077"/>
    <n v="118826"/>
    <n v="58168"/>
    <n v="60658"/>
    <n v="79792698"/>
    <n v="71743841"/>
    <n v="151536539"/>
    <n v="33527"/>
    <n v="7488"/>
    <n v="41015"/>
    <b v="1"/>
    <b v="1"/>
    <b v="1"/>
    <b v="1"/>
    <b v="1"/>
    <b v="1"/>
  </r>
  <r>
    <x v="2078"/>
    <n v="126883"/>
    <n v="61367"/>
    <n v="65516"/>
    <n v="77233807"/>
    <n v="70878451"/>
    <n v="148112258"/>
    <n v="34326"/>
    <n v="10781"/>
    <n v="45107"/>
    <b v="1"/>
    <b v="1"/>
    <b v="1"/>
    <b v="1"/>
    <b v="1"/>
    <b v="1"/>
  </r>
  <r>
    <x v="2079"/>
    <n v="120101"/>
    <n v="57820"/>
    <n v="62281"/>
    <n v="75952422"/>
    <n v="69243813"/>
    <n v="145196235"/>
    <n v="32270"/>
    <n v="10115"/>
    <n v="42385"/>
    <b v="1"/>
    <b v="1"/>
    <b v="1"/>
    <b v="1"/>
    <b v="1"/>
    <b v="1"/>
  </r>
  <r>
    <x v="2080"/>
    <n v="131838"/>
    <n v="62239"/>
    <n v="69599"/>
    <n v="77167743"/>
    <n v="61210583"/>
    <n v="138378326"/>
    <n v="35951"/>
    <n v="10825"/>
    <n v="46776"/>
    <b v="1"/>
    <b v="1"/>
    <b v="1"/>
    <b v="1"/>
    <b v="1"/>
    <b v="1"/>
  </r>
  <r>
    <x v="2081"/>
    <n v="112333"/>
    <n v="50039"/>
    <n v="62294"/>
    <n v="70599413"/>
    <n v="49762589"/>
    <n v="120362002"/>
    <n v="31415"/>
    <n v="8668"/>
    <n v="40083"/>
    <b v="1"/>
    <b v="1"/>
    <b v="1"/>
    <b v="1"/>
    <b v="1"/>
    <b v="1"/>
  </r>
  <r>
    <x v="2082"/>
    <n v="135908"/>
    <n v="63778"/>
    <n v="72130"/>
    <n v="78598302"/>
    <n v="61975184"/>
    <n v="140573486"/>
    <n v="19905"/>
    <n v="8778"/>
    <n v="28683"/>
    <b v="1"/>
    <b v="1"/>
    <b v="1"/>
    <b v="1"/>
    <b v="1"/>
    <b v="1"/>
  </r>
  <r>
    <x v="2083"/>
    <n v="131119"/>
    <n v="62327"/>
    <n v="68792"/>
    <n v="75117006"/>
    <n v="68882003"/>
    <n v="143999009"/>
    <n v="32297"/>
    <n v="10390"/>
    <n v="42687"/>
    <b v="1"/>
    <b v="1"/>
    <b v="1"/>
    <b v="1"/>
    <b v="1"/>
    <b v="1"/>
  </r>
  <r>
    <x v="2084"/>
    <n v="131238"/>
    <n v="63142"/>
    <n v="68096"/>
    <n v="79201345"/>
    <n v="70889418"/>
    <n v="150090763"/>
    <n v="34465"/>
    <n v="8852"/>
    <n v="43317"/>
    <b v="1"/>
    <b v="1"/>
    <b v="1"/>
    <b v="1"/>
    <b v="1"/>
    <b v="1"/>
  </r>
  <r>
    <x v="2085"/>
    <n v="127894"/>
    <n v="61467"/>
    <n v="66427"/>
    <n v="75383107"/>
    <n v="69743543"/>
    <n v="145126650"/>
    <n v="32690"/>
    <n v="11112"/>
    <n v="43802"/>
    <b v="1"/>
    <b v="1"/>
    <b v="1"/>
    <b v="1"/>
    <b v="1"/>
    <b v="1"/>
  </r>
  <r>
    <x v="2086"/>
    <n v="141600"/>
    <n v="67859"/>
    <n v="73741"/>
    <n v="80962779"/>
    <n v="67466077"/>
    <n v="148428856"/>
    <n v="35920"/>
    <n v="12439"/>
    <n v="48359"/>
    <b v="1"/>
    <b v="1"/>
    <b v="1"/>
    <b v="1"/>
    <b v="1"/>
    <b v="1"/>
  </r>
  <r>
    <x v="2087"/>
    <n v="139672"/>
    <n v="65793"/>
    <n v="73879"/>
    <n v="85173326"/>
    <n v="73927075"/>
    <n v="159100401"/>
    <n v="31589"/>
    <n v="11607"/>
    <n v="43196"/>
    <b v="1"/>
    <b v="1"/>
    <b v="1"/>
    <b v="1"/>
    <b v="1"/>
    <b v="1"/>
  </r>
  <r>
    <x v="2088"/>
    <n v="127872"/>
    <n v="55683"/>
    <n v="72189"/>
    <n v="77762584"/>
    <n v="58098157"/>
    <n v="135860741"/>
    <n v="22713"/>
    <n v="8819"/>
    <n v="31532"/>
    <b v="1"/>
    <b v="1"/>
    <b v="1"/>
    <b v="1"/>
    <b v="1"/>
    <b v="1"/>
  </r>
  <r>
    <x v="2089"/>
    <n v="127919"/>
    <n v="59994"/>
    <n v="67925"/>
    <n v="74881391"/>
    <n v="64031256"/>
    <n v="138912647"/>
    <n v="23776"/>
    <n v="9496"/>
    <n v="33272"/>
    <b v="1"/>
    <b v="1"/>
    <b v="1"/>
    <b v="1"/>
    <b v="1"/>
    <b v="1"/>
  </r>
  <r>
    <x v="2090"/>
    <n v="131332"/>
    <n v="63301"/>
    <n v="68031"/>
    <n v="77970174"/>
    <n v="71384585"/>
    <n v="149354759"/>
    <n v="24861"/>
    <n v="10134"/>
    <n v="34995"/>
    <b v="1"/>
    <b v="1"/>
    <b v="1"/>
    <b v="1"/>
    <b v="1"/>
    <b v="1"/>
  </r>
  <r>
    <x v="2091"/>
    <n v="133077"/>
    <n v="64131"/>
    <n v="68946"/>
    <n v="76763089"/>
    <n v="65326960"/>
    <n v="142090049"/>
    <n v="21512"/>
    <n v="9718"/>
    <n v="31230"/>
    <b v="1"/>
    <b v="1"/>
    <b v="1"/>
    <b v="1"/>
    <b v="1"/>
    <b v="1"/>
  </r>
  <r>
    <x v="2092"/>
    <n v="136556"/>
    <n v="64875"/>
    <n v="71681"/>
    <n v="74421095"/>
    <n v="69811413"/>
    <n v="144232508"/>
    <n v="21617"/>
    <n v="9436"/>
    <n v="31053"/>
    <b v="1"/>
    <b v="1"/>
    <b v="1"/>
    <b v="1"/>
    <b v="1"/>
    <b v="1"/>
  </r>
  <r>
    <x v="2093"/>
    <n v="112252"/>
    <n v="54896"/>
    <n v="57356"/>
    <n v="64914210"/>
    <n v="60979302"/>
    <n v="125893512"/>
    <n v="23278"/>
    <n v="9285"/>
    <n v="32563"/>
    <b v="1"/>
    <b v="1"/>
    <b v="1"/>
    <b v="1"/>
    <b v="1"/>
    <b v="1"/>
  </r>
  <r>
    <x v="2094"/>
    <n v="132421"/>
    <n v="66782"/>
    <n v="65639"/>
    <n v="69988223"/>
    <n v="66981765"/>
    <n v="136969988"/>
    <n v="31486"/>
    <n v="9209"/>
    <n v="40695"/>
    <b v="1"/>
    <b v="1"/>
    <b v="1"/>
    <b v="1"/>
    <b v="1"/>
    <b v="1"/>
  </r>
  <r>
    <x v="2095"/>
    <n v="122175"/>
    <n v="58767"/>
    <n v="63408"/>
    <n v="65562921"/>
    <n v="54625250"/>
    <n v="120188171"/>
    <n v="28940"/>
    <n v="8263"/>
    <n v="37203"/>
    <b v="1"/>
    <b v="1"/>
    <b v="1"/>
    <b v="1"/>
    <b v="1"/>
    <b v="1"/>
  </r>
  <r>
    <x v="2096"/>
    <n v="128328"/>
    <n v="64692"/>
    <n v="63636"/>
    <n v="67160144"/>
    <n v="64037321"/>
    <n v="131197465"/>
    <n v="20010"/>
    <n v="9532"/>
    <n v="29542"/>
    <b v="1"/>
    <b v="1"/>
    <b v="1"/>
    <b v="1"/>
    <b v="1"/>
    <b v="1"/>
  </r>
  <r>
    <x v="2097"/>
    <n v="127425"/>
    <n v="64245"/>
    <n v="63180"/>
    <n v="69314693"/>
    <n v="67125728"/>
    <n v="136440421"/>
    <n v="30150"/>
    <n v="11235"/>
    <n v="41385"/>
    <b v="1"/>
    <b v="1"/>
    <b v="1"/>
    <b v="1"/>
    <b v="1"/>
    <b v="1"/>
  </r>
  <r>
    <x v="2098"/>
    <n v="125335"/>
    <n v="62922"/>
    <n v="62413"/>
    <n v="69037141"/>
    <n v="87143348"/>
    <n v="156180489"/>
    <n v="30150"/>
    <n v="11257"/>
    <n v="41407"/>
    <b v="1"/>
    <b v="1"/>
    <b v="1"/>
    <b v="1"/>
    <b v="1"/>
    <b v="1"/>
  </r>
  <r>
    <x v="2099"/>
    <n v="122916"/>
    <n v="62406"/>
    <n v="60510"/>
    <n v="66093909"/>
    <n v="65740048"/>
    <n v="131833957"/>
    <n v="29056"/>
    <n v="11263"/>
    <n v="40319"/>
    <b v="1"/>
    <b v="1"/>
    <b v="1"/>
    <b v="1"/>
    <b v="1"/>
    <b v="1"/>
  </r>
  <r>
    <x v="2100"/>
    <n v="118775"/>
    <n v="58848"/>
    <n v="59927"/>
    <n v="61117765"/>
    <n v="55890601"/>
    <n v="117008366"/>
    <n v="27259"/>
    <n v="9973"/>
    <n v="37232"/>
    <b v="1"/>
    <b v="1"/>
    <b v="1"/>
    <b v="1"/>
    <b v="1"/>
    <b v="1"/>
  </r>
  <r>
    <x v="2101"/>
    <n v="123355"/>
    <n v="61497"/>
    <n v="61858"/>
    <n v="64638290"/>
    <n v="61639601"/>
    <n v="126277891"/>
    <n v="29780"/>
    <n v="8784"/>
    <n v="38564"/>
    <b v="1"/>
    <b v="1"/>
    <b v="1"/>
    <b v="1"/>
    <b v="1"/>
    <b v="1"/>
  </r>
  <r>
    <x v="2102"/>
    <n v="109302"/>
    <n v="50162"/>
    <n v="59140"/>
    <n v="59024078"/>
    <n v="48744176"/>
    <n v="107768254"/>
    <n v="27108"/>
    <n v="8828"/>
    <n v="35936"/>
    <b v="1"/>
    <b v="1"/>
    <b v="1"/>
    <b v="1"/>
    <b v="1"/>
    <b v="1"/>
  </r>
  <r>
    <x v="2103"/>
    <n v="120070"/>
    <n v="60434"/>
    <n v="59636"/>
    <n v="61271713"/>
    <n v="62321438"/>
    <n v="123593151"/>
    <n v="27765"/>
    <n v="8857"/>
    <n v="36622"/>
    <b v="1"/>
    <b v="1"/>
    <b v="1"/>
    <b v="1"/>
    <b v="1"/>
    <b v="1"/>
  </r>
  <r>
    <x v="2104"/>
    <n v="119231"/>
    <n v="59372"/>
    <n v="59859"/>
    <n v="64781462"/>
    <n v="65150031"/>
    <n v="129931493"/>
    <n v="29817"/>
    <n v="10984"/>
    <n v="40801"/>
    <b v="1"/>
    <b v="1"/>
    <b v="1"/>
    <b v="1"/>
    <b v="1"/>
    <b v="1"/>
  </r>
  <r>
    <x v="2105"/>
    <n v="125770"/>
    <n v="63169"/>
    <n v="62601"/>
    <n v="70154598"/>
    <n v="68689090"/>
    <n v="138843688"/>
    <n v="29796"/>
    <n v="11405"/>
    <n v="41201"/>
    <b v="1"/>
    <b v="1"/>
    <b v="1"/>
    <b v="1"/>
    <b v="1"/>
    <b v="1"/>
  </r>
  <r>
    <x v="2106"/>
    <n v="125874"/>
    <n v="62526"/>
    <n v="63348"/>
    <n v="71321935"/>
    <n v="75197983"/>
    <n v="146519918"/>
    <n v="20174"/>
    <n v="8842"/>
    <n v="29016"/>
    <b v="1"/>
    <b v="1"/>
    <b v="1"/>
    <b v="1"/>
    <b v="1"/>
    <b v="1"/>
  </r>
  <r>
    <x v="2107"/>
    <n v="118701"/>
    <n v="60240"/>
    <n v="58461"/>
    <n v="65106397"/>
    <n v="70002465"/>
    <n v="135108862"/>
    <n v="30280"/>
    <n v="11281"/>
    <n v="41561"/>
    <b v="1"/>
    <b v="1"/>
    <b v="1"/>
    <b v="1"/>
    <b v="1"/>
    <b v="1"/>
  </r>
  <r>
    <x v="2108"/>
    <n v="123156"/>
    <n v="61741"/>
    <n v="61415"/>
    <n v="64291343"/>
    <n v="66155734"/>
    <n v="130447077"/>
    <n v="30263"/>
    <n v="10711"/>
    <n v="40974"/>
    <b v="1"/>
    <b v="1"/>
    <b v="1"/>
    <b v="1"/>
    <b v="1"/>
    <b v="1"/>
  </r>
  <r>
    <x v="2109"/>
    <n v="116814"/>
    <n v="55502"/>
    <n v="61312"/>
    <n v="66577103"/>
    <n v="58190580"/>
    <n v="124767683"/>
    <n v="28380"/>
    <n v="9903"/>
    <n v="38283"/>
    <b v="1"/>
    <b v="1"/>
    <b v="1"/>
    <b v="1"/>
    <b v="1"/>
    <b v="1"/>
  </r>
  <r>
    <x v="2110"/>
    <n v="119550"/>
    <n v="59414"/>
    <n v="60136"/>
    <n v="67890550"/>
    <n v="69767955"/>
    <n v="137658505"/>
    <n v="30190"/>
    <n v="8471"/>
    <n v="38661"/>
    <b v="1"/>
    <b v="1"/>
    <b v="1"/>
    <b v="1"/>
    <b v="1"/>
    <b v="1"/>
  </r>
  <r>
    <x v="2111"/>
    <n v="121306"/>
    <n v="61425"/>
    <n v="59881"/>
    <n v="70572955"/>
    <n v="78572956"/>
    <n v="149145911"/>
    <n v="29966"/>
    <n v="10362"/>
    <n v="40328"/>
    <b v="1"/>
    <b v="1"/>
    <b v="1"/>
    <b v="1"/>
    <b v="1"/>
    <b v="1"/>
  </r>
  <r>
    <x v="2112"/>
    <n v="123355"/>
    <n v="62002"/>
    <n v="61353"/>
    <n v="70160343"/>
    <n v="78292106"/>
    <n v="148452449"/>
    <n v="28862"/>
    <n v="8132"/>
    <n v="36994"/>
    <b v="1"/>
    <b v="1"/>
    <b v="1"/>
    <b v="1"/>
    <b v="1"/>
    <b v="1"/>
  </r>
  <r>
    <x v="2113"/>
    <n v="135583"/>
    <n v="64445"/>
    <n v="71138"/>
    <n v="73410238"/>
    <n v="71708764"/>
    <n v="145119002"/>
    <n v="25289"/>
    <n v="9488"/>
    <n v="34777"/>
    <b v="1"/>
    <b v="1"/>
    <b v="1"/>
    <b v="1"/>
    <b v="1"/>
    <b v="1"/>
  </r>
  <r>
    <x v="2114"/>
    <n v="124047"/>
    <n v="61489"/>
    <n v="62558"/>
    <n v="67683972"/>
    <n v="74860877"/>
    <n v="142544849"/>
    <n v="30391"/>
    <n v="10184"/>
    <n v="40575"/>
    <b v="1"/>
    <b v="1"/>
    <b v="1"/>
    <b v="1"/>
    <b v="1"/>
    <b v="1"/>
  </r>
  <r>
    <x v="2115"/>
    <n v="118427"/>
    <n v="58869"/>
    <n v="59558"/>
    <n v="65586968"/>
    <n v="65378302"/>
    <n v="130965270"/>
    <n v="28375"/>
    <n v="9555"/>
    <n v="37930"/>
    <b v="1"/>
    <b v="1"/>
    <b v="1"/>
    <b v="1"/>
    <b v="1"/>
    <b v="1"/>
  </r>
  <r>
    <x v="2116"/>
    <n v="99600"/>
    <n v="46939"/>
    <n v="52661"/>
    <n v="55462049"/>
    <n v="50796232"/>
    <n v="106258281"/>
    <n v="24402"/>
    <n v="6138"/>
    <n v="30540"/>
    <b v="1"/>
    <b v="1"/>
    <b v="1"/>
    <b v="1"/>
    <b v="1"/>
    <b v="1"/>
  </r>
  <r>
    <x v="2117"/>
    <n v="116524"/>
    <n v="58545"/>
    <n v="57979"/>
    <n v="61402702"/>
    <n v="60870226"/>
    <n v="122272928"/>
    <n v="27705"/>
    <n v="9763"/>
    <n v="37468"/>
    <b v="1"/>
    <b v="1"/>
    <b v="1"/>
    <b v="1"/>
    <b v="1"/>
    <b v="1"/>
  </r>
  <r>
    <x v="2118"/>
    <n v="116546"/>
    <n v="57700"/>
    <n v="58846"/>
    <n v="64519418"/>
    <n v="65839269"/>
    <n v="130358687"/>
    <n v="27917"/>
    <n v="9782"/>
    <n v="37699"/>
    <b v="1"/>
    <b v="1"/>
    <b v="1"/>
    <b v="1"/>
    <b v="1"/>
    <b v="1"/>
  </r>
  <r>
    <x v="2119"/>
    <n v="113646"/>
    <n v="57612"/>
    <n v="56034"/>
    <n v="65121665"/>
    <n v="65762477"/>
    <n v="130884142"/>
    <n v="26368"/>
    <n v="9321"/>
    <n v="35689"/>
    <b v="1"/>
    <b v="1"/>
    <b v="1"/>
    <b v="1"/>
    <b v="1"/>
    <b v="1"/>
  </r>
  <r>
    <x v="2120"/>
    <n v="114959"/>
    <n v="57625"/>
    <n v="57334"/>
    <n v="64265241"/>
    <n v="58293033"/>
    <n v="122558274"/>
    <n v="26675"/>
    <n v="9267"/>
    <n v="35942"/>
    <b v="1"/>
    <b v="1"/>
    <b v="1"/>
    <b v="1"/>
    <b v="1"/>
    <b v="1"/>
  </r>
  <r>
    <x v="2121"/>
    <n v="111235"/>
    <n v="56295"/>
    <n v="54940"/>
    <n v="62206870"/>
    <n v="58358686"/>
    <n v="120565556"/>
    <n v="24063"/>
    <n v="8777"/>
    <n v="32840"/>
    <b v="1"/>
    <b v="1"/>
    <b v="1"/>
    <b v="1"/>
    <b v="1"/>
    <b v="1"/>
  </r>
  <r>
    <x v="2122"/>
    <n v="111086"/>
    <n v="55081"/>
    <n v="56005"/>
    <n v="64389153"/>
    <n v="50412480"/>
    <n v="114801633"/>
    <n v="28533"/>
    <n v="9919"/>
    <n v="38452"/>
    <b v="1"/>
    <b v="1"/>
    <b v="1"/>
    <b v="1"/>
    <b v="1"/>
    <b v="1"/>
  </r>
  <r>
    <x v="2123"/>
    <n v="100295"/>
    <n v="45816"/>
    <n v="54479"/>
    <n v="61743236"/>
    <n v="39113339"/>
    <n v="100856575"/>
    <n v="26465"/>
    <n v="8652"/>
    <n v="35117"/>
    <b v="1"/>
    <b v="1"/>
    <b v="1"/>
    <b v="1"/>
    <b v="1"/>
    <b v="1"/>
  </r>
  <r>
    <x v="2124"/>
    <n v="112405"/>
    <n v="55542"/>
    <n v="56863"/>
    <n v="65501969"/>
    <n v="50298001"/>
    <n v="115799970"/>
    <n v="28403"/>
    <n v="7255"/>
    <n v="35658"/>
    <b v="1"/>
    <b v="1"/>
    <b v="1"/>
    <b v="1"/>
    <b v="1"/>
    <b v="1"/>
  </r>
  <r>
    <x v="2125"/>
    <n v="108336"/>
    <n v="55059"/>
    <n v="53277"/>
    <n v="66407566"/>
    <n v="58909960"/>
    <n v="125317526"/>
    <n v="25806"/>
    <n v="9794"/>
    <n v="35600"/>
    <b v="1"/>
    <b v="1"/>
    <b v="1"/>
    <b v="1"/>
    <b v="1"/>
    <b v="1"/>
  </r>
  <r>
    <x v="2126"/>
    <n v="114961"/>
    <n v="57769"/>
    <n v="57192"/>
    <n v="71290574"/>
    <n v="61212642"/>
    <n v="132503216"/>
    <n v="30120"/>
    <n v="10315"/>
    <n v="40435"/>
    <b v="1"/>
    <b v="1"/>
    <b v="1"/>
    <b v="1"/>
    <b v="1"/>
    <b v="1"/>
  </r>
  <r>
    <x v="2127"/>
    <n v="102729"/>
    <n v="50993"/>
    <n v="51736"/>
    <n v="66162945"/>
    <n v="59117187"/>
    <n v="125280132"/>
    <n v="27773"/>
    <n v="7303"/>
    <n v="35076"/>
    <b v="1"/>
    <b v="1"/>
    <b v="1"/>
    <b v="1"/>
    <b v="1"/>
    <b v="1"/>
  </r>
  <r>
    <x v="2128"/>
    <n v="106478"/>
    <n v="54035"/>
    <n v="52443"/>
    <n v="71720834"/>
    <n v="59746773"/>
    <n v="131467607"/>
    <n v="28920"/>
    <n v="9695"/>
    <n v="38615"/>
    <b v="1"/>
    <b v="1"/>
    <b v="1"/>
    <b v="1"/>
    <b v="1"/>
    <b v="1"/>
  </r>
  <r>
    <x v="2129"/>
    <n v="109003"/>
    <n v="55066"/>
    <n v="53937"/>
    <n v="67561246"/>
    <n v="59603767"/>
    <n v="127165013"/>
    <n v="25478"/>
    <n v="8897"/>
    <n v="34375"/>
    <b v="1"/>
    <b v="1"/>
    <b v="1"/>
    <b v="1"/>
    <b v="1"/>
    <b v="1"/>
  </r>
  <r>
    <x v="2130"/>
    <n v="109331"/>
    <n v="52008"/>
    <n v="57323"/>
    <n v="60618130"/>
    <n v="48116242"/>
    <n v="108734372"/>
    <n v="23180"/>
    <n v="7479"/>
    <n v="30659"/>
    <b v="1"/>
    <b v="1"/>
    <b v="1"/>
    <b v="1"/>
    <b v="1"/>
    <b v="1"/>
  </r>
  <r>
    <x v="2131"/>
    <n v="130710"/>
    <n v="63977"/>
    <n v="66733"/>
    <n v="75626836"/>
    <n v="64569217"/>
    <n v="140196053"/>
    <n v="26981"/>
    <n v="12144"/>
    <n v="39125"/>
    <b v="1"/>
    <b v="1"/>
    <b v="1"/>
    <b v="1"/>
    <b v="1"/>
    <b v="1"/>
  </r>
  <r>
    <x v="2132"/>
    <n v="132588"/>
    <n v="65314"/>
    <n v="67274"/>
    <n v="75205421"/>
    <n v="67399456"/>
    <n v="142604877"/>
    <n v="26498"/>
    <n v="11816"/>
    <n v="38314"/>
    <b v="1"/>
    <b v="1"/>
    <b v="1"/>
    <b v="1"/>
    <b v="1"/>
    <b v="1"/>
  </r>
  <r>
    <x v="2133"/>
    <n v="123886"/>
    <n v="63007"/>
    <n v="60879"/>
    <n v="71520607"/>
    <n v="72893993"/>
    <n v="144414600"/>
    <n v="29275"/>
    <n v="12100"/>
    <n v="41375"/>
    <b v="1"/>
    <b v="1"/>
    <b v="1"/>
    <b v="1"/>
    <b v="1"/>
    <b v="1"/>
  </r>
  <r>
    <x v="2134"/>
    <n v="124225"/>
    <n v="64054"/>
    <n v="60171"/>
    <n v="68491617"/>
    <n v="92000010"/>
    <n v="160491627"/>
    <n v="32400"/>
    <n v="13342"/>
    <n v="45742"/>
    <b v="1"/>
    <b v="1"/>
    <b v="1"/>
    <b v="1"/>
    <b v="1"/>
    <b v="1"/>
  </r>
  <r>
    <x v="2135"/>
    <n v="122206"/>
    <n v="64031"/>
    <n v="58175"/>
    <n v="73952865"/>
    <n v="74335866"/>
    <n v="148288731"/>
    <n v="30942"/>
    <n v="12638"/>
    <n v="43580"/>
    <b v="1"/>
    <b v="1"/>
    <b v="1"/>
    <b v="1"/>
    <b v="1"/>
    <b v="1"/>
  </r>
  <r>
    <x v="2136"/>
    <n v="138539"/>
    <n v="68266"/>
    <n v="70273"/>
    <n v="81012030"/>
    <n v="75489264"/>
    <n v="156501294"/>
    <n v="32849"/>
    <n v="13471"/>
    <n v="46320"/>
    <b v="1"/>
    <b v="1"/>
    <b v="1"/>
    <b v="1"/>
    <b v="1"/>
    <b v="1"/>
  </r>
  <r>
    <x v="2137"/>
    <n v="128224"/>
    <n v="61198"/>
    <n v="67026"/>
    <n v="78276135"/>
    <n v="61269322"/>
    <n v="139545457"/>
    <n v="33285"/>
    <n v="12873"/>
    <n v="46158"/>
    <b v="1"/>
    <b v="1"/>
    <b v="1"/>
    <b v="1"/>
    <b v="1"/>
    <b v="1"/>
  </r>
  <r>
    <x v="2138"/>
    <n v="137320"/>
    <n v="68192"/>
    <n v="69128"/>
    <n v="88240549"/>
    <n v="75358938"/>
    <n v="163599487"/>
    <n v="38051"/>
    <n v="14370"/>
    <n v="52421"/>
    <b v="1"/>
    <b v="1"/>
    <b v="1"/>
    <b v="1"/>
    <b v="1"/>
    <b v="1"/>
  </r>
  <r>
    <x v="2139"/>
    <n v="139932"/>
    <n v="68261"/>
    <n v="71671"/>
    <n v="92726912"/>
    <n v="78717883"/>
    <n v="171444795"/>
    <n v="34784"/>
    <n v="13121"/>
    <n v="47905"/>
    <b v="1"/>
    <b v="1"/>
    <b v="1"/>
    <b v="1"/>
    <b v="1"/>
    <b v="1"/>
  </r>
  <r>
    <x v="2140"/>
    <n v="135810"/>
    <n v="65273"/>
    <n v="70537"/>
    <n v="89471902"/>
    <n v="82030147"/>
    <n v="171502049"/>
    <n v="32093"/>
    <n v="12511"/>
    <n v="44604"/>
    <b v="1"/>
    <b v="1"/>
    <b v="1"/>
    <b v="1"/>
    <b v="1"/>
    <b v="1"/>
  </r>
  <r>
    <x v="2141"/>
    <n v="130525"/>
    <n v="61074"/>
    <n v="69451"/>
    <n v="82295644"/>
    <n v="74940328"/>
    <n v="157235972"/>
    <n v="24829"/>
    <n v="10408"/>
    <n v="35237"/>
    <b v="1"/>
    <b v="1"/>
    <b v="1"/>
    <b v="1"/>
    <b v="1"/>
    <b v="1"/>
  </r>
  <r>
    <x v="2142"/>
    <n v="106601"/>
    <n v="48618"/>
    <n v="57983"/>
    <n v="71763194"/>
    <n v="52469413"/>
    <n v="124232607"/>
    <n v="20974"/>
    <n v="9378"/>
    <n v="30352"/>
    <b v="1"/>
    <b v="1"/>
    <b v="1"/>
    <b v="1"/>
    <b v="1"/>
    <b v="1"/>
  </r>
  <r>
    <x v="2143"/>
    <n v="66273"/>
    <n v="24456"/>
    <n v="41817"/>
    <n v="49412246"/>
    <n v="24333772"/>
    <n v="73746018"/>
    <n v="10069"/>
    <n v="4100"/>
    <n v="14169"/>
    <b v="1"/>
    <b v="1"/>
    <b v="1"/>
    <b v="1"/>
    <b v="1"/>
    <b v="1"/>
  </r>
  <r>
    <x v="2144"/>
    <n v="86365"/>
    <n v="36885"/>
    <n v="49480"/>
    <n v="50280198"/>
    <n v="26704456"/>
    <n v="76984654"/>
    <n v="11949"/>
    <n v="4729"/>
    <n v="16678"/>
    <b v="1"/>
    <b v="1"/>
    <b v="1"/>
    <b v="1"/>
    <b v="1"/>
    <b v="1"/>
  </r>
  <r>
    <x v="2145"/>
    <n v="100429"/>
    <n v="45920"/>
    <n v="54509"/>
    <n v="63787892"/>
    <n v="38794066"/>
    <n v="102581958"/>
    <n v="19024"/>
    <n v="7675"/>
    <n v="26699"/>
    <b v="1"/>
    <b v="1"/>
    <b v="1"/>
    <b v="1"/>
    <b v="1"/>
    <b v="1"/>
  </r>
  <r>
    <x v="2146"/>
    <n v="123214"/>
    <n v="58991"/>
    <n v="64223"/>
    <n v="76574520"/>
    <n v="52736525"/>
    <n v="129311045"/>
    <n v="29573"/>
    <n v="11124"/>
    <n v="40697"/>
    <b v="1"/>
    <b v="1"/>
    <b v="1"/>
    <b v="1"/>
    <b v="1"/>
    <b v="1"/>
  </r>
  <r>
    <x v="2147"/>
    <n v="129113"/>
    <n v="63164"/>
    <n v="65949"/>
    <n v="80794394"/>
    <n v="71515458"/>
    <n v="152309852"/>
    <n v="35349"/>
    <n v="12303"/>
    <n v="47652"/>
    <b v="1"/>
    <b v="1"/>
    <b v="1"/>
    <b v="1"/>
    <b v="1"/>
    <b v="1"/>
  </r>
  <r>
    <x v="2148"/>
    <n v="134338"/>
    <n v="66494"/>
    <n v="67844"/>
    <n v="85626638"/>
    <n v="76088783"/>
    <n v="161715421"/>
    <n v="32199"/>
    <n v="12117"/>
    <n v="44316"/>
    <b v="1"/>
    <b v="1"/>
    <b v="1"/>
    <b v="1"/>
    <b v="1"/>
    <b v="1"/>
  </r>
  <r>
    <x v="2149"/>
    <n v="121988"/>
    <n v="61459"/>
    <n v="60529"/>
    <n v="82174340"/>
    <n v="70953341"/>
    <n v="153127681"/>
    <n v="36865"/>
    <n v="12409"/>
    <n v="49274"/>
    <b v="1"/>
    <b v="1"/>
    <b v="1"/>
    <b v="1"/>
    <b v="1"/>
    <b v="1"/>
  </r>
  <r>
    <x v="2150"/>
    <n v="132669"/>
    <n v="66673"/>
    <n v="65996"/>
    <n v="77652201"/>
    <n v="66770470"/>
    <n v="144422671"/>
    <n v="37383"/>
    <n v="12423"/>
    <n v="49806"/>
    <b v="1"/>
    <b v="1"/>
    <b v="1"/>
    <b v="1"/>
    <b v="1"/>
    <b v="1"/>
  </r>
  <r>
    <x v="2151"/>
    <n v="124249"/>
    <n v="60231"/>
    <n v="64018"/>
    <n v="75097911"/>
    <n v="60474444"/>
    <n v="135572355"/>
    <n v="30709"/>
    <n v="10687"/>
    <n v="41396"/>
    <b v="1"/>
    <b v="1"/>
    <b v="1"/>
    <b v="1"/>
    <b v="1"/>
    <b v="1"/>
  </r>
  <r>
    <x v="2152"/>
    <n v="138247"/>
    <n v="68789"/>
    <n v="69458"/>
    <n v="80002132"/>
    <n v="69534719"/>
    <n v="149536851"/>
    <n v="39496"/>
    <n v="12384"/>
    <n v="51880"/>
    <b v="1"/>
    <b v="1"/>
    <b v="1"/>
    <b v="1"/>
    <b v="1"/>
    <b v="1"/>
  </r>
  <r>
    <x v="2153"/>
    <n v="120891"/>
    <n v="59761"/>
    <n v="61130"/>
    <n v="89004324"/>
    <n v="77268781"/>
    <n v="166273105"/>
    <n v="36613"/>
    <n v="11686"/>
    <n v="48299"/>
    <b v="1"/>
    <b v="1"/>
    <b v="1"/>
    <b v="1"/>
    <b v="1"/>
    <b v="1"/>
  </r>
  <r>
    <x v="2154"/>
    <n v="113843"/>
    <n v="54287"/>
    <n v="59556"/>
    <n v="79876992"/>
    <n v="74123977"/>
    <n v="154000969"/>
    <n v="37893"/>
    <n v="11226"/>
    <n v="49119"/>
    <b v="1"/>
    <b v="1"/>
    <b v="1"/>
    <b v="1"/>
    <b v="1"/>
    <b v="1"/>
  </r>
  <r>
    <x v="2155"/>
    <n v="98698"/>
    <n v="45602"/>
    <n v="53096"/>
    <n v="71345211"/>
    <n v="63251908"/>
    <n v="134597119"/>
    <n v="32716"/>
    <n v="9426"/>
    <n v="42142"/>
    <b v="1"/>
    <b v="1"/>
    <b v="1"/>
    <b v="1"/>
    <b v="1"/>
    <b v="1"/>
  </r>
  <r>
    <x v="2156"/>
    <n v="118436"/>
    <n v="58727"/>
    <n v="59709"/>
    <n v="73996579"/>
    <n v="70026293"/>
    <n v="144022872"/>
    <n v="33113"/>
    <n v="9569"/>
    <n v="42682"/>
    <b v="1"/>
    <b v="1"/>
    <b v="1"/>
    <b v="1"/>
    <b v="1"/>
    <b v="1"/>
  </r>
  <r>
    <x v="2157"/>
    <n v="123441"/>
    <n v="62946"/>
    <n v="60495"/>
    <n v="74353996"/>
    <n v="70010101"/>
    <n v="144364097"/>
    <n v="32689"/>
    <n v="9645"/>
    <n v="42334"/>
    <b v="1"/>
    <b v="1"/>
    <b v="1"/>
    <b v="1"/>
    <b v="1"/>
    <b v="1"/>
  </r>
  <r>
    <x v="2158"/>
    <n v="114761"/>
    <n v="56025"/>
    <n v="58736"/>
    <n v="68843414"/>
    <n v="55811775"/>
    <n v="124655189"/>
    <n v="32180"/>
    <n v="8997"/>
    <n v="41177"/>
    <b v="1"/>
    <b v="1"/>
    <b v="1"/>
    <b v="1"/>
    <b v="1"/>
    <b v="1"/>
  </r>
  <r>
    <x v="2159"/>
    <n v="107681"/>
    <n v="55235"/>
    <n v="52446"/>
    <n v="60821472"/>
    <n v="56356822"/>
    <n v="117178294"/>
    <n v="27688"/>
    <n v="7452"/>
    <n v="35140"/>
    <b v="1"/>
    <b v="1"/>
    <b v="1"/>
    <b v="1"/>
    <b v="1"/>
    <b v="1"/>
  </r>
  <r>
    <x v="2160"/>
    <n v="105159"/>
    <n v="55808"/>
    <n v="49351"/>
    <n v="57800316"/>
    <n v="67719317"/>
    <n v="125519633"/>
    <n v="23109"/>
    <n v="7599"/>
    <n v="30708"/>
    <b v="1"/>
    <b v="1"/>
    <b v="1"/>
    <b v="1"/>
    <b v="1"/>
    <b v="1"/>
  </r>
  <r>
    <x v="2161"/>
    <n v="106017"/>
    <n v="57180"/>
    <n v="48837"/>
    <n v="64678242"/>
    <n v="76934016"/>
    <n v="141612258"/>
    <n v="24206"/>
    <n v="8459"/>
    <n v="32665"/>
    <b v="1"/>
    <b v="1"/>
    <b v="1"/>
    <b v="1"/>
    <b v="1"/>
    <b v="1"/>
  </r>
  <r>
    <x v="2162"/>
    <n v="99578"/>
    <n v="51915"/>
    <n v="47663"/>
    <n v="64356630"/>
    <n v="78025214"/>
    <n v="142381844"/>
    <n v="26737"/>
    <n v="8961"/>
    <n v="35698"/>
    <b v="1"/>
    <b v="1"/>
    <b v="1"/>
    <b v="1"/>
    <b v="1"/>
    <b v="1"/>
  </r>
  <r>
    <x v="2163"/>
    <n v="95239"/>
    <n v="49737"/>
    <n v="45502"/>
    <n v="63660165"/>
    <n v="75553834"/>
    <n v="139213999"/>
    <n v="25116"/>
    <n v="8820"/>
    <n v="33936"/>
    <b v="1"/>
    <b v="1"/>
    <b v="1"/>
    <b v="1"/>
    <b v="1"/>
    <b v="1"/>
  </r>
  <r>
    <x v="2164"/>
    <n v="106705"/>
    <n v="56543"/>
    <n v="50162"/>
    <n v="65980418"/>
    <n v="74956336"/>
    <n v="140936754"/>
    <n v="25075"/>
    <n v="8418"/>
    <n v="33493"/>
    <b v="1"/>
    <b v="1"/>
    <b v="1"/>
    <b v="1"/>
    <b v="1"/>
    <b v="1"/>
  </r>
  <r>
    <x v="2165"/>
    <n v="98600"/>
    <n v="49621"/>
    <n v="48979"/>
    <n v="59333409"/>
    <n v="54609605"/>
    <n v="113943014"/>
    <n v="21510"/>
    <n v="7227"/>
    <n v="28737"/>
    <b v="1"/>
    <b v="1"/>
    <b v="1"/>
    <b v="1"/>
    <b v="1"/>
    <b v="1"/>
  </r>
  <r>
    <x v="2166"/>
    <n v="103122"/>
    <n v="53930"/>
    <n v="49192"/>
    <n v="60342753"/>
    <n v="58869074"/>
    <n v="119211827"/>
    <n v="23809"/>
    <n v="8140"/>
    <n v="31949"/>
    <b v="1"/>
    <b v="1"/>
    <b v="1"/>
    <b v="1"/>
    <b v="1"/>
    <b v="1"/>
  </r>
  <r>
    <x v="2167"/>
    <n v="83861"/>
    <n v="42071"/>
    <n v="41790"/>
    <n v="55192001"/>
    <n v="50337651"/>
    <n v="105529652"/>
    <n v="19883"/>
    <n v="6241"/>
    <n v="26124"/>
    <b v="1"/>
    <b v="1"/>
    <b v="1"/>
    <b v="1"/>
    <b v="1"/>
    <b v="1"/>
  </r>
  <r>
    <x v="2168"/>
    <n v="105828"/>
    <n v="53467"/>
    <n v="52361"/>
    <n v="62509589"/>
    <n v="66089028"/>
    <n v="128598617"/>
    <n v="24165"/>
    <n v="7959"/>
    <n v="32124"/>
    <b v="1"/>
    <b v="1"/>
    <b v="1"/>
    <b v="1"/>
    <b v="1"/>
    <b v="1"/>
  </r>
  <r>
    <x v="2169"/>
    <n v="109781"/>
    <n v="55258"/>
    <n v="54523"/>
    <n v="70460410"/>
    <n v="73544546"/>
    <n v="144004956"/>
    <n v="25427"/>
    <n v="8563"/>
    <n v="33990"/>
    <b v="1"/>
    <b v="1"/>
    <b v="1"/>
    <b v="1"/>
    <b v="1"/>
    <b v="1"/>
  </r>
  <r>
    <x v="2170"/>
    <n v="103282"/>
    <n v="52230"/>
    <n v="51052"/>
    <n v="67155271"/>
    <n v="70115828"/>
    <n v="137271099"/>
    <n v="25186"/>
    <n v="8374"/>
    <n v="33560"/>
    <b v="1"/>
    <b v="1"/>
    <b v="1"/>
    <b v="1"/>
    <b v="1"/>
    <b v="1"/>
  </r>
  <r>
    <x v="2171"/>
    <n v="75497"/>
    <n v="39795"/>
    <n v="35702"/>
    <n v="54865113"/>
    <n v="72769215"/>
    <n v="127634328"/>
    <n v="22198"/>
    <n v="7581"/>
    <n v="29779"/>
    <b v="1"/>
    <b v="1"/>
    <b v="1"/>
    <b v="1"/>
    <b v="1"/>
    <b v="1"/>
  </r>
  <r>
    <x v="2172"/>
    <n v="70696"/>
    <n v="36046"/>
    <n v="34650"/>
    <n v="51475882"/>
    <n v="47383196"/>
    <n v="98859078"/>
    <n v="23450"/>
    <n v="7698"/>
    <n v="31148"/>
    <b v="1"/>
    <b v="1"/>
    <b v="1"/>
    <b v="1"/>
    <b v="1"/>
    <b v="1"/>
  </r>
  <r>
    <x v="2173"/>
    <n v="104989"/>
    <n v="53237"/>
    <n v="51752"/>
    <n v="63777765"/>
    <n v="63694297"/>
    <n v="127472062"/>
    <n v="26148"/>
    <n v="8315"/>
    <n v="34463"/>
    <b v="1"/>
    <b v="1"/>
    <b v="1"/>
    <b v="1"/>
    <b v="1"/>
    <b v="1"/>
  </r>
  <r>
    <x v="2174"/>
    <n v="108586"/>
    <n v="57253"/>
    <n v="51333"/>
    <n v="63969794"/>
    <n v="71702750"/>
    <n v="135672544"/>
    <n v="22827"/>
    <n v="7913"/>
    <n v="30740"/>
    <b v="1"/>
    <b v="1"/>
    <b v="1"/>
    <b v="1"/>
    <b v="1"/>
    <b v="1"/>
  </r>
  <r>
    <x v="2175"/>
    <n v="107096"/>
    <n v="55409"/>
    <n v="51687"/>
    <n v="68877712"/>
    <n v="72801697"/>
    <n v="141679409"/>
    <n v="26495"/>
    <n v="8516"/>
    <n v="35011"/>
    <b v="1"/>
    <b v="1"/>
    <b v="1"/>
    <b v="1"/>
    <b v="1"/>
    <b v="1"/>
  </r>
  <r>
    <x v="2176"/>
    <n v="106763"/>
    <n v="55791"/>
    <n v="50972"/>
    <n v="67560706"/>
    <n v="75209276"/>
    <n v="142769982"/>
    <n v="24211"/>
    <n v="8088"/>
    <n v="32299"/>
    <b v="1"/>
    <b v="1"/>
    <b v="1"/>
    <b v="1"/>
    <b v="1"/>
    <b v="1"/>
  </r>
  <r>
    <x v="2177"/>
    <n v="112334"/>
    <n v="57499"/>
    <n v="54835"/>
    <n v="74705365"/>
    <n v="77563431"/>
    <n v="152268796"/>
    <n v="26710"/>
    <n v="8805"/>
    <n v="35515"/>
    <b v="1"/>
    <b v="1"/>
    <b v="1"/>
    <b v="1"/>
    <b v="1"/>
    <b v="1"/>
  </r>
  <r>
    <x v="2178"/>
    <n v="116092"/>
    <n v="59654"/>
    <n v="56438"/>
    <n v="69896245"/>
    <n v="79677168"/>
    <n v="149573413"/>
    <n v="26919"/>
    <n v="8989"/>
    <n v="35908"/>
    <b v="1"/>
    <b v="1"/>
    <b v="1"/>
    <b v="1"/>
    <b v="1"/>
    <b v="1"/>
  </r>
  <r>
    <x v="2179"/>
    <n v="106099"/>
    <n v="52659"/>
    <n v="53440"/>
    <n v="61009187"/>
    <n v="63871401"/>
    <n v="124880588"/>
    <n v="24669"/>
    <n v="7588"/>
    <n v="32257"/>
    <b v="1"/>
    <b v="1"/>
    <b v="1"/>
    <b v="1"/>
    <b v="1"/>
    <b v="1"/>
  </r>
  <r>
    <x v="2180"/>
    <n v="111447"/>
    <n v="59228"/>
    <n v="52219"/>
    <n v="74243809"/>
    <n v="74731244"/>
    <n v="148975053"/>
    <n v="26412"/>
    <n v="8578"/>
    <n v="34990"/>
    <b v="1"/>
    <b v="1"/>
    <b v="1"/>
    <b v="1"/>
    <b v="1"/>
    <b v="1"/>
  </r>
  <r>
    <x v="2181"/>
    <n v="117894"/>
    <n v="62092"/>
    <n v="55802"/>
    <n v="79846768"/>
    <n v="85555130"/>
    <n v="165401898"/>
    <n v="25655"/>
    <n v="9000"/>
    <n v="34655"/>
    <b v="1"/>
    <b v="1"/>
    <b v="1"/>
    <b v="1"/>
    <b v="1"/>
    <b v="1"/>
  </r>
  <r>
    <x v="2182"/>
    <n v="115322"/>
    <n v="60511"/>
    <n v="54811"/>
    <n v="73927457"/>
    <n v="86747653"/>
    <n v="160675110"/>
    <n v="21120"/>
    <n v="8505"/>
    <n v="29625"/>
    <b v="1"/>
    <b v="1"/>
    <b v="1"/>
    <b v="1"/>
    <b v="1"/>
    <b v="1"/>
  </r>
  <r>
    <x v="2183"/>
    <n v="117871"/>
    <n v="61232"/>
    <n v="56639"/>
    <n v="74774981"/>
    <n v="77287086"/>
    <n v="152062067"/>
    <n v="15579"/>
    <n v="8788"/>
    <n v="24367"/>
    <b v="1"/>
    <b v="1"/>
    <b v="1"/>
    <b v="1"/>
    <b v="1"/>
    <b v="1"/>
  </r>
  <r>
    <x v="2184"/>
    <n v="106254"/>
    <n v="54763"/>
    <n v="51491"/>
    <n v="63562231"/>
    <n v="63720109"/>
    <n v="127282340"/>
    <n v="23823"/>
    <n v="8034"/>
    <n v="31857"/>
    <b v="1"/>
    <b v="1"/>
    <b v="1"/>
    <b v="1"/>
    <b v="1"/>
    <b v="1"/>
  </r>
  <r>
    <x v="2185"/>
    <n v="117988"/>
    <n v="62472"/>
    <n v="55516"/>
    <n v="63505503"/>
    <n v="69480792"/>
    <n v="132986295"/>
    <n v="26880"/>
    <n v="8962"/>
    <n v="35842"/>
    <b v="1"/>
    <b v="1"/>
    <b v="1"/>
    <b v="1"/>
    <b v="1"/>
    <b v="1"/>
  </r>
  <r>
    <x v="2186"/>
    <n v="103830"/>
    <n v="51965"/>
    <n v="51865"/>
    <n v="62553421"/>
    <n v="52115933"/>
    <n v="114669354"/>
    <n v="25487"/>
    <n v="7337"/>
    <n v="32824"/>
    <b v="1"/>
    <b v="1"/>
    <b v="1"/>
    <b v="1"/>
    <b v="1"/>
    <b v="1"/>
  </r>
  <r>
    <x v="2187"/>
    <n v="107341"/>
    <n v="56350"/>
    <n v="50991"/>
    <n v="65276688"/>
    <n v="69075368"/>
    <n v="134352056"/>
    <n v="25633"/>
    <n v="8568"/>
    <n v="34201"/>
    <b v="1"/>
    <b v="1"/>
    <b v="1"/>
    <b v="1"/>
    <b v="1"/>
    <b v="1"/>
  </r>
  <r>
    <x v="2188"/>
    <n v="113621"/>
    <n v="58996"/>
    <n v="54625"/>
    <n v="72102262"/>
    <n v="75008763"/>
    <n v="147111025"/>
    <n v="27575"/>
    <n v="8889"/>
    <n v="36464"/>
    <b v="1"/>
    <b v="1"/>
    <b v="1"/>
    <b v="1"/>
    <b v="1"/>
    <b v="1"/>
  </r>
  <r>
    <x v="2189"/>
    <n v="113563"/>
    <n v="58336"/>
    <n v="55227"/>
    <n v="73726300"/>
    <n v="66705357"/>
    <n v="140431657"/>
    <n v="27937"/>
    <n v="8853"/>
    <n v="36790"/>
    <b v="1"/>
    <b v="1"/>
    <b v="1"/>
    <b v="1"/>
    <b v="1"/>
    <b v="1"/>
  </r>
  <r>
    <x v="2190"/>
    <n v="106056"/>
    <n v="53637"/>
    <n v="52419"/>
    <n v="69900465"/>
    <n v="62335377"/>
    <n v="132235842"/>
    <n v="26810"/>
    <n v="8610"/>
    <n v="35420"/>
    <b v="1"/>
    <b v="1"/>
    <b v="1"/>
    <b v="1"/>
    <b v="1"/>
    <b v="1"/>
  </r>
  <r>
    <x v="2191"/>
    <n v="78633"/>
    <n v="39445"/>
    <n v="39188"/>
    <n v="46483380"/>
    <n v="44075346"/>
    <n v="90558726"/>
    <n v="22604"/>
    <n v="7868"/>
    <n v="30472"/>
    <b v="1"/>
    <b v="1"/>
    <b v="1"/>
    <b v="1"/>
    <b v="1"/>
    <b v="1"/>
  </r>
  <r>
    <x v="2192"/>
    <n v="112216"/>
    <n v="61166"/>
    <n v="51050"/>
    <n v="60235429"/>
    <n v="63031674"/>
    <n v="123267103"/>
    <n v="26076"/>
    <n v="10216"/>
    <n v="36292"/>
    <b v="1"/>
    <b v="1"/>
    <b v="1"/>
    <b v="1"/>
    <b v="1"/>
    <b v="1"/>
  </r>
  <r>
    <x v="2193"/>
    <n v="90811"/>
    <n v="48750"/>
    <n v="42061"/>
    <n v="43540839"/>
    <n v="46328770"/>
    <n v="89869609"/>
    <n v="18686"/>
    <n v="7229"/>
    <n v="25915"/>
    <b v="1"/>
    <b v="1"/>
    <b v="1"/>
    <b v="1"/>
    <b v="1"/>
    <b v="1"/>
  </r>
  <r>
    <x v="2194"/>
    <n v="106092"/>
    <n v="59440"/>
    <n v="46652"/>
    <n v="57581087"/>
    <n v="68273571"/>
    <n v="125854658"/>
    <n v="22684"/>
    <n v="9242"/>
    <n v="31926"/>
    <b v="1"/>
    <b v="1"/>
    <b v="1"/>
    <b v="1"/>
    <b v="1"/>
    <b v="1"/>
  </r>
  <r>
    <x v="2195"/>
    <n v="105653"/>
    <n v="55620"/>
    <n v="50033"/>
    <n v="61921782"/>
    <n v="80345813"/>
    <n v="142267595"/>
    <n v="24115"/>
    <n v="9274"/>
    <n v="33389"/>
    <b v="1"/>
    <b v="1"/>
    <b v="1"/>
    <b v="1"/>
    <b v="1"/>
    <b v="1"/>
  </r>
  <r>
    <x v="2196"/>
    <n v="108392"/>
    <n v="60140"/>
    <n v="48252"/>
    <n v="64550447"/>
    <n v="83660141"/>
    <n v="148210588"/>
    <n v="23966"/>
    <n v="7951"/>
    <n v="31917"/>
    <b v="1"/>
    <b v="1"/>
    <b v="1"/>
    <b v="1"/>
    <b v="1"/>
    <b v="1"/>
  </r>
  <r>
    <x v="2197"/>
    <n v="115399"/>
    <n v="63964"/>
    <n v="51435"/>
    <n v="65771272"/>
    <n v="82767638"/>
    <n v="148538910"/>
    <n v="23760"/>
    <n v="9901"/>
    <n v="33661"/>
    <b v="1"/>
    <b v="1"/>
    <b v="1"/>
    <b v="1"/>
    <b v="1"/>
    <b v="1"/>
  </r>
  <r>
    <x v="2198"/>
    <n v="115614"/>
    <n v="64062"/>
    <n v="51552"/>
    <n v="61312534"/>
    <n v="80516104"/>
    <n v="141828638"/>
    <n v="23123"/>
    <n v="10299"/>
    <n v="33422"/>
    <b v="1"/>
    <b v="1"/>
    <b v="1"/>
    <b v="1"/>
    <b v="1"/>
    <b v="1"/>
  </r>
  <r>
    <x v="2199"/>
    <n v="116432"/>
    <n v="63687"/>
    <n v="52745"/>
    <n v="60350812"/>
    <n v="77790872"/>
    <n v="138141684"/>
    <n v="23606"/>
    <n v="10301"/>
    <n v="33907"/>
    <b v="1"/>
    <b v="1"/>
    <b v="1"/>
    <b v="1"/>
    <b v="1"/>
    <b v="1"/>
  </r>
  <r>
    <x v="2200"/>
    <n v="105811"/>
    <n v="56133"/>
    <n v="49678"/>
    <n v="55849421"/>
    <n v="60177868"/>
    <n v="116027289"/>
    <n v="22658"/>
    <n v="9033"/>
    <n v="31691"/>
    <b v="1"/>
    <b v="1"/>
    <b v="1"/>
    <b v="1"/>
    <b v="1"/>
    <b v="1"/>
  </r>
  <r>
    <x v="2201"/>
    <n v="115165"/>
    <n v="64012"/>
    <n v="51153"/>
    <n v="61429246"/>
    <n v="79265360"/>
    <n v="140694606"/>
    <n v="22361"/>
    <n v="10563"/>
    <n v="32924"/>
    <b v="1"/>
    <b v="1"/>
    <b v="1"/>
    <b v="1"/>
    <b v="1"/>
    <b v="1"/>
  </r>
  <r>
    <x v="2202"/>
    <n v="111458"/>
    <n v="61964"/>
    <n v="49494"/>
    <n v="70459713"/>
    <n v="86118776"/>
    <n v="156578489"/>
    <n v="24759"/>
    <n v="10569"/>
    <n v="35328"/>
    <b v="1"/>
    <b v="1"/>
    <b v="1"/>
    <b v="1"/>
    <b v="1"/>
    <b v="1"/>
  </r>
  <r>
    <x v="2203"/>
    <n v="106066"/>
    <n v="59100"/>
    <n v="46966"/>
    <n v="67694191"/>
    <n v="81603579"/>
    <n v="149297770"/>
    <n v="24951"/>
    <n v="10673"/>
    <n v="35624"/>
    <b v="1"/>
    <b v="1"/>
    <b v="1"/>
    <b v="1"/>
    <b v="1"/>
    <b v="1"/>
  </r>
  <r>
    <x v="2204"/>
    <n v="87857"/>
    <n v="45575"/>
    <n v="42282"/>
    <n v="58779010"/>
    <n v="68875042"/>
    <n v="127654052"/>
    <n v="23244"/>
    <n v="9036"/>
    <n v="32280"/>
    <b v="1"/>
    <b v="1"/>
    <b v="1"/>
    <b v="1"/>
    <b v="1"/>
    <b v="1"/>
  </r>
  <r>
    <x v="2205"/>
    <n v="97804"/>
    <n v="50042"/>
    <n v="47762"/>
    <n v="62659234"/>
    <n v="67699744"/>
    <n v="130358978"/>
    <n v="25364"/>
    <n v="10009"/>
    <n v="35373"/>
    <b v="1"/>
    <b v="1"/>
    <b v="1"/>
    <b v="1"/>
    <b v="1"/>
    <b v="1"/>
  </r>
  <r>
    <x v="2206"/>
    <n v="100445"/>
    <n v="54850"/>
    <n v="45595"/>
    <n v="54947000"/>
    <n v="66368560"/>
    <n v="121315560"/>
    <n v="20297"/>
    <n v="7057"/>
    <n v="27354"/>
    <b v="1"/>
    <b v="1"/>
    <b v="1"/>
    <b v="1"/>
    <b v="1"/>
    <b v="1"/>
  </r>
  <r>
    <x v="2207"/>
    <n v="96828"/>
    <n v="51616"/>
    <n v="45212"/>
    <n v="49927577"/>
    <n v="55146833"/>
    <n v="105074410"/>
    <n v="20549"/>
    <n v="8085"/>
    <n v="28634"/>
    <b v="1"/>
    <b v="1"/>
    <b v="1"/>
    <b v="1"/>
    <b v="1"/>
    <b v="1"/>
  </r>
  <r>
    <x v="2208"/>
    <n v="109559"/>
    <n v="60330"/>
    <n v="49229"/>
    <n v="53978307"/>
    <n v="64683452"/>
    <n v="118661759"/>
    <n v="23337"/>
    <n v="9538"/>
    <n v="32875"/>
    <b v="1"/>
    <b v="1"/>
    <b v="1"/>
    <b v="1"/>
    <b v="1"/>
    <b v="1"/>
  </r>
  <r>
    <x v="2209"/>
    <n v="113771"/>
    <n v="63122"/>
    <n v="50649"/>
    <n v="62148022"/>
    <n v="77528659"/>
    <n v="139676681"/>
    <n v="24349"/>
    <n v="9662"/>
    <n v="34011"/>
    <b v="1"/>
    <b v="1"/>
    <b v="1"/>
    <b v="1"/>
    <b v="1"/>
    <b v="1"/>
  </r>
  <r>
    <x v="2210"/>
    <n v="110284"/>
    <n v="60970"/>
    <n v="49314"/>
    <n v="54736033"/>
    <n v="74540248"/>
    <n v="129276281"/>
    <n v="24478"/>
    <n v="8767"/>
    <n v="33245"/>
    <b v="1"/>
    <b v="1"/>
    <b v="1"/>
    <b v="1"/>
    <b v="1"/>
    <b v="1"/>
  </r>
  <r>
    <x v="2211"/>
    <n v="110628"/>
    <n v="61530"/>
    <n v="49098"/>
    <n v="57598067"/>
    <n v="75272573"/>
    <n v="132870640"/>
    <n v="22222"/>
    <n v="8610"/>
    <n v="30832"/>
    <b v="1"/>
    <b v="1"/>
    <b v="1"/>
    <b v="1"/>
    <b v="1"/>
    <b v="1"/>
  </r>
  <r>
    <x v="2212"/>
    <n v="110375"/>
    <n v="60545"/>
    <n v="49830"/>
    <n v="59682833"/>
    <n v="76741166"/>
    <n v="136423999"/>
    <n v="23016"/>
    <n v="9734"/>
    <n v="32750"/>
    <b v="1"/>
    <b v="1"/>
    <b v="1"/>
    <b v="1"/>
    <b v="1"/>
    <b v="1"/>
  </r>
  <r>
    <x v="2213"/>
    <n v="106238"/>
    <n v="59450"/>
    <n v="46788"/>
    <n v="56888622"/>
    <n v="71134663"/>
    <n v="128023285"/>
    <n v="22459"/>
    <n v="9417"/>
    <n v="31876"/>
    <b v="1"/>
    <b v="1"/>
    <b v="1"/>
    <b v="1"/>
    <b v="1"/>
    <b v="1"/>
  </r>
  <r>
    <x v="2214"/>
    <n v="97096"/>
    <n v="51701"/>
    <n v="45395"/>
    <n v="54532866"/>
    <n v="57184638"/>
    <n v="111717504"/>
    <n v="21881"/>
    <n v="8236"/>
    <n v="30117"/>
    <b v="1"/>
    <b v="1"/>
    <b v="1"/>
    <b v="1"/>
    <b v="1"/>
    <b v="1"/>
  </r>
  <r>
    <x v="2215"/>
    <n v="97296"/>
    <n v="54204"/>
    <n v="43092"/>
    <n v="58023051"/>
    <n v="63731381"/>
    <n v="121754432"/>
    <n v="24170"/>
    <n v="9341"/>
    <n v="33511"/>
    <b v="1"/>
    <b v="1"/>
    <b v="1"/>
    <b v="1"/>
    <b v="1"/>
    <b v="1"/>
  </r>
  <r>
    <x v="2216"/>
    <n v="74433"/>
    <n v="39323"/>
    <n v="35110"/>
    <n v="32772776"/>
    <n v="35676412"/>
    <n v="68449188"/>
    <n v="15305"/>
    <n v="4367"/>
    <n v="19672"/>
    <b v="1"/>
    <b v="1"/>
    <b v="1"/>
    <b v="1"/>
    <b v="1"/>
    <b v="1"/>
  </r>
  <r>
    <x v="2217"/>
    <n v="104376"/>
    <n v="56340"/>
    <n v="48036"/>
    <n v="62848448"/>
    <n v="68836028"/>
    <n v="131684476"/>
    <n v="26278"/>
    <n v="9496"/>
    <n v="35774"/>
    <b v="1"/>
    <b v="1"/>
    <b v="1"/>
    <b v="1"/>
    <b v="1"/>
    <b v="1"/>
  </r>
  <r>
    <x v="2218"/>
    <n v="109304"/>
    <n v="60043"/>
    <n v="49261"/>
    <n v="71289368"/>
    <n v="84213601"/>
    <n v="155502969"/>
    <n v="24507"/>
    <n v="9300"/>
    <n v="33807"/>
    <b v="1"/>
    <b v="1"/>
    <b v="1"/>
    <b v="1"/>
    <b v="1"/>
    <b v="1"/>
  </r>
  <r>
    <x v="2219"/>
    <n v="105376"/>
    <n v="58445"/>
    <n v="46931"/>
    <n v="58644599"/>
    <n v="69710437"/>
    <n v="128355036"/>
    <n v="23047"/>
    <n v="9357"/>
    <n v="32404"/>
    <b v="1"/>
    <b v="1"/>
    <b v="1"/>
    <b v="1"/>
    <b v="1"/>
    <b v="1"/>
  </r>
  <r>
    <x v="2220"/>
    <n v="114774"/>
    <n v="62237"/>
    <n v="52537"/>
    <n v="60796778"/>
    <n v="68290013"/>
    <n v="129086791"/>
    <n v="26381"/>
    <n v="10036"/>
    <n v="36417"/>
    <b v="1"/>
    <b v="1"/>
    <b v="1"/>
    <b v="1"/>
    <b v="1"/>
    <b v="1"/>
  </r>
  <r>
    <x v="2221"/>
    <n v="96810"/>
    <n v="50076"/>
    <n v="46734"/>
    <n v="52456572"/>
    <n v="48220250"/>
    <n v="100676822"/>
    <n v="22522"/>
    <n v="8246"/>
    <n v="30768"/>
    <b v="1"/>
    <b v="1"/>
    <b v="1"/>
    <b v="1"/>
    <b v="1"/>
    <b v="1"/>
  </r>
  <r>
    <x v="2222"/>
    <n v="116078"/>
    <n v="61666"/>
    <n v="54412"/>
    <n v="63686238"/>
    <n v="69081254"/>
    <n v="132767492"/>
    <n v="27527"/>
    <n v="10236"/>
    <n v="37763"/>
    <b v="1"/>
    <b v="1"/>
    <b v="1"/>
    <b v="1"/>
    <b v="1"/>
    <b v="1"/>
  </r>
  <r>
    <x v="2223"/>
    <n v="118770"/>
    <n v="65037"/>
    <n v="53733"/>
    <n v="69123715"/>
    <n v="80492145"/>
    <n v="149615860"/>
    <n v="27443"/>
    <n v="10650"/>
    <n v="38093"/>
    <b v="1"/>
    <b v="1"/>
    <b v="1"/>
    <b v="1"/>
    <b v="1"/>
    <b v="1"/>
  </r>
  <r>
    <x v="2224"/>
    <n v="118715"/>
    <n v="64462"/>
    <n v="54253"/>
    <n v="71174483"/>
    <n v="86471226"/>
    <n v="157645709"/>
    <n v="27808"/>
    <n v="10133"/>
    <n v="37941"/>
    <b v="1"/>
    <b v="1"/>
    <b v="1"/>
    <b v="1"/>
    <b v="1"/>
    <b v="1"/>
  </r>
  <r>
    <x v="2225"/>
    <n v="114989"/>
    <n v="62867"/>
    <n v="52122"/>
    <n v="64635949"/>
    <n v="85893353"/>
    <n v="150529302"/>
    <n v="23879"/>
    <n v="7767"/>
    <n v="31646"/>
    <b v="1"/>
    <b v="1"/>
    <b v="1"/>
    <b v="1"/>
    <b v="1"/>
    <b v="1"/>
  </r>
  <r>
    <x v="2226"/>
    <n v="122142"/>
    <n v="66160"/>
    <n v="55982"/>
    <n v="69219575"/>
    <n v="88804406"/>
    <n v="158023981"/>
    <n v="26199"/>
    <n v="10309"/>
    <n v="36508"/>
    <b v="1"/>
    <b v="1"/>
    <b v="1"/>
    <b v="1"/>
    <b v="1"/>
    <b v="1"/>
  </r>
  <r>
    <x v="2227"/>
    <n v="115621"/>
    <n v="62569"/>
    <n v="53052"/>
    <n v="59790451"/>
    <n v="80440032"/>
    <n v="140230483"/>
    <n v="24622"/>
    <n v="9646"/>
    <n v="34268"/>
    <b v="1"/>
    <b v="1"/>
    <b v="1"/>
    <b v="1"/>
    <b v="1"/>
    <b v="1"/>
  </r>
  <r>
    <x v="2228"/>
    <n v="100436"/>
    <n v="52222"/>
    <n v="48214"/>
    <n v="54739687"/>
    <n v="55857148"/>
    <n v="110596835"/>
    <n v="22820"/>
    <n v="8463"/>
    <n v="31283"/>
    <b v="1"/>
    <b v="1"/>
    <b v="1"/>
    <b v="1"/>
    <b v="1"/>
    <b v="1"/>
  </r>
  <r>
    <x v="2229"/>
    <n v="109963"/>
    <n v="60349"/>
    <n v="49614"/>
    <n v="65445466"/>
    <n v="79053131"/>
    <n v="144498597"/>
    <n v="26350"/>
    <n v="9938"/>
    <n v="36288"/>
    <b v="1"/>
    <b v="1"/>
    <b v="1"/>
    <b v="1"/>
    <b v="1"/>
    <b v="1"/>
  </r>
  <r>
    <x v="2230"/>
    <n v="112499"/>
    <n v="62981"/>
    <n v="49518"/>
    <n v="69558673"/>
    <n v="84959118"/>
    <n v="154517791"/>
    <n v="25499"/>
    <n v="10325"/>
    <n v="35824"/>
    <b v="1"/>
    <b v="1"/>
    <b v="1"/>
    <b v="1"/>
    <b v="1"/>
    <b v="1"/>
  </r>
  <r>
    <x v="2231"/>
    <n v="114897"/>
    <n v="64196"/>
    <n v="50701"/>
    <n v="64251874"/>
    <n v="83503188"/>
    <n v="147755062"/>
    <n v="25917"/>
    <n v="10696"/>
    <n v="36613"/>
    <b v="1"/>
    <b v="1"/>
    <b v="1"/>
    <b v="1"/>
    <b v="1"/>
    <b v="1"/>
  </r>
  <r>
    <x v="2232"/>
    <n v="118645"/>
    <n v="65345"/>
    <n v="53300"/>
    <n v="65441167"/>
    <n v="87073342"/>
    <n v="152514509"/>
    <n v="26172"/>
    <n v="9960"/>
    <n v="36132"/>
    <b v="1"/>
    <b v="1"/>
    <b v="1"/>
    <b v="1"/>
    <b v="1"/>
    <b v="1"/>
  </r>
  <r>
    <x v="2233"/>
    <n v="116353"/>
    <n v="63735"/>
    <n v="52618"/>
    <n v="62599829"/>
    <n v="84706706"/>
    <n v="147306535"/>
    <n v="26283"/>
    <n v="10111"/>
    <n v="36394"/>
    <b v="1"/>
    <b v="1"/>
    <b v="1"/>
    <b v="1"/>
    <b v="1"/>
    <b v="1"/>
  </r>
  <r>
    <x v="2234"/>
    <n v="114611"/>
    <n v="63272"/>
    <n v="51339"/>
    <n v="56999546"/>
    <n v="78582366"/>
    <n v="135581912"/>
    <n v="23942"/>
    <n v="10106"/>
    <n v="34048"/>
    <b v="1"/>
    <b v="1"/>
    <b v="1"/>
    <b v="1"/>
    <b v="1"/>
    <b v="1"/>
  </r>
  <r>
    <x v="2235"/>
    <n v="99911"/>
    <n v="51622"/>
    <n v="48289"/>
    <n v="50079050"/>
    <n v="60422295"/>
    <n v="110501345"/>
    <n v="21944"/>
    <n v="8690"/>
    <n v="30634"/>
    <b v="1"/>
    <b v="1"/>
    <b v="1"/>
    <b v="1"/>
    <b v="1"/>
    <b v="1"/>
  </r>
  <r>
    <x v="2236"/>
    <n v="110102"/>
    <n v="59738"/>
    <n v="50364"/>
    <n v="53966817"/>
    <n v="63935403"/>
    <n v="117902220"/>
    <n v="25396"/>
    <n v="9378"/>
    <n v="34774"/>
    <b v="1"/>
    <b v="1"/>
    <b v="1"/>
    <b v="1"/>
    <b v="1"/>
    <b v="1"/>
  </r>
  <r>
    <x v="2237"/>
    <n v="112327"/>
    <n v="61095"/>
    <n v="51232"/>
    <n v="58166840"/>
    <n v="76953900"/>
    <n v="135120740"/>
    <n v="24955"/>
    <n v="9260"/>
    <n v="34215"/>
    <b v="1"/>
    <b v="1"/>
    <b v="1"/>
    <b v="1"/>
    <b v="1"/>
    <b v="1"/>
  </r>
  <r>
    <x v="2238"/>
    <n v="115784"/>
    <n v="63667"/>
    <n v="52117"/>
    <n v="67381698"/>
    <n v="80283483"/>
    <n v="147665181"/>
    <n v="27038"/>
    <n v="9910"/>
    <n v="36948"/>
    <b v="1"/>
    <b v="1"/>
    <b v="1"/>
    <b v="1"/>
    <b v="1"/>
    <b v="1"/>
  </r>
  <r>
    <x v="2239"/>
    <n v="117933"/>
    <n v="65147"/>
    <n v="52786"/>
    <n v="62837574"/>
    <n v="84676433"/>
    <n v="147514007"/>
    <n v="25160"/>
    <n v="9959"/>
    <n v="35119"/>
    <b v="1"/>
    <b v="1"/>
    <b v="1"/>
    <b v="1"/>
    <b v="1"/>
    <b v="1"/>
  </r>
  <r>
    <x v="2240"/>
    <n v="119787"/>
    <n v="65415"/>
    <n v="54372"/>
    <n v="66278324"/>
    <n v="87122606"/>
    <n v="153400930"/>
    <n v="25780"/>
    <n v="10328"/>
    <n v="36108"/>
    <b v="1"/>
    <b v="1"/>
    <b v="1"/>
    <b v="1"/>
    <b v="1"/>
    <b v="1"/>
  </r>
  <r>
    <x v="2241"/>
    <n v="118470"/>
    <n v="65229"/>
    <n v="53241"/>
    <n v="62385263"/>
    <n v="79014675"/>
    <n v="141399938"/>
    <n v="26565"/>
    <n v="10172"/>
    <n v="36737"/>
    <b v="1"/>
    <b v="1"/>
    <b v="1"/>
    <b v="1"/>
    <b v="1"/>
    <b v="1"/>
  </r>
  <r>
    <x v="2242"/>
    <n v="101495"/>
    <n v="53338"/>
    <n v="48157"/>
    <n v="55349078"/>
    <n v="62600970"/>
    <n v="117950048"/>
    <n v="24547"/>
    <n v="8767"/>
    <n v="33314"/>
    <b v="1"/>
    <b v="1"/>
    <b v="1"/>
    <b v="1"/>
    <b v="1"/>
    <b v="1"/>
  </r>
  <r>
    <x v="2243"/>
    <n v="112743"/>
    <n v="61249"/>
    <n v="51494"/>
    <n v="65617772"/>
    <n v="82234135"/>
    <n v="147851907"/>
    <n v="26849"/>
    <n v="9896"/>
    <n v="36745"/>
    <b v="1"/>
    <b v="1"/>
    <b v="1"/>
    <b v="1"/>
    <b v="1"/>
    <b v="1"/>
  </r>
  <r>
    <x v="2244"/>
    <n v="117910"/>
    <n v="64320"/>
    <n v="53590"/>
    <n v="71600410"/>
    <n v="93520341"/>
    <n v="165120751"/>
    <n v="27790"/>
    <n v="10271"/>
    <n v="38061"/>
    <b v="1"/>
    <b v="1"/>
    <b v="1"/>
    <b v="1"/>
    <b v="1"/>
    <b v="1"/>
  </r>
  <r>
    <x v="2245"/>
    <n v="113540"/>
    <n v="62292"/>
    <n v="51248"/>
    <n v="68207984"/>
    <n v="91360882"/>
    <n v="159568866"/>
    <n v="27336"/>
    <n v="10305"/>
    <n v="37641"/>
    <b v="1"/>
    <b v="1"/>
    <b v="1"/>
    <b v="1"/>
    <b v="1"/>
    <b v="1"/>
  </r>
  <r>
    <x v="2246"/>
    <n v="113152"/>
    <n v="62018"/>
    <n v="51134"/>
    <n v="66910871"/>
    <n v="90246353"/>
    <n v="157157224"/>
    <n v="27150"/>
    <n v="10305"/>
    <n v="37455"/>
    <b v="1"/>
    <b v="1"/>
    <b v="1"/>
    <b v="1"/>
    <b v="1"/>
    <b v="1"/>
  </r>
  <r>
    <x v="2247"/>
    <n v="109067"/>
    <n v="59356"/>
    <n v="49711"/>
    <n v="60529276"/>
    <n v="70592523"/>
    <n v="131121799"/>
    <n v="25862"/>
    <n v="10037"/>
    <n v="35899"/>
    <b v="1"/>
    <b v="1"/>
    <b v="1"/>
    <b v="1"/>
    <b v="1"/>
    <b v="1"/>
  </r>
  <r>
    <x v="2248"/>
    <n v="108024"/>
    <n v="59111"/>
    <n v="48913"/>
    <n v="62593256"/>
    <n v="71140058"/>
    <n v="133733314"/>
    <n v="26540"/>
    <n v="9905"/>
    <n v="36445"/>
    <b v="1"/>
    <b v="1"/>
    <b v="1"/>
    <b v="1"/>
    <b v="1"/>
    <b v="1"/>
  </r>
  <r>
    <x v="2249"/>
    <n v="96880"/>
    <n v="51575"/>
    <n v="45305"/>
    <n v="55095714"/>
    <n v="59172982"/>
    <n v="114268696"/>
    <n v="24258"/>
    <n v="8989"/>
    <n v="33247"/>
    <b v="1"/>
    <b v="1"/>
    <b v="1"/>
    <b v="1"/>
    <b v="1"/>
    <b v="1"/>
  </r>
  <r>
    <x v="2250"/>
    <n v="113508"/>
    <n v="63997"/>
    <n v="49511"/>
    <n v="59569760"/>
    <n v="94792301"/>
    <n v="154362061"/>
    <n v="26019"/>
    <n v="9425"/>
    <n v="35444"/>
    <b v="1"/>
    <b v="1"/>
    <b v="1"/>
    <b v="1"/>
    <b v="1"/>
    <b v="1"/>
  </r>
  <r>
    <x v="2251"/>
    <n v="113174"/>
    <n v="63736"/>
    <n v="49438"/>
    <n v="62289329"/>
    <n v="105044611"/>
    <n v="167333940"/>
    <n v="24785"/>
    <n v="9472"/>
    <n v="34257"/>
    <b v="1"/>
    <b v="1"/>
    <b v="1"/>
    <b v="1"/>
    <b v="1"/>
    <b v="1"/>
  </r>
  <r>
    <x v="2252"/>
    <n v="118655"/>
    <n v="68257"/>
    <n v="50398"/>
    <n v="64433878"/>
    <n v="113857100"/>
    <n v="178290978"/>
    <n v="27290"/>
    <n v="10561"/>
    <n v="37851"/>
    <b v="1"/>
    <b v="1"/>
    <b v="1"/>
    <b v="1"/>
    <b v="1"/>
    <b v="1"/>
  </r>
  <r>
    <x v="2253"/>
    <n v="120980"/>
    <n v="68495"/>
    <n v="52485"/>
    <n v="65262150"/>
    <n v="116041622"/>
    <n v="181303772"/>
    <n v="25788"/>
    <n v="10203"/>
    <n v="35991"/>
    <b v="1"/>
    <b v="1"/>
    <b v="1"/>
    <b v="1"/>
    <b v="1"/>
    <b v="1"/>
  </r>
  <r>
    <x v="2254"/>
    <n v="118620"/>
    <n v="66920"/>
    <n v="51700"/>
    <n v="64640761"/>
    <n v="106898617"/>
    <n v="171539378"/>
    <n v="25685"/>
    <n v="9805"/>
    <n v="35490"/>
    <b v="1"/>
    <b v="1"/>
    <b v="1"/>
    <b v="1"/>
    <b v="1"/>
    <b v="1"/>
  </r>
  <r>
    <x v="2255"/>
    <n v="120326"/>
    <n v="68512"/>
    <n v="51814"/>
    <n v="65637331"/>
    <n v="106492991"/>
    <n v="172130322"/>
    <n v="26426"/>
    <n v="10659"/>
    <n v="37085"/>
    <b v="1"/>
    <b v="1"/>
    <b v="1"/>
    <b v="1"/>
    <b v="1"/>
    <b v="1"/>
  </r>
  <r>
    <x v="2256"/>
    <n v="105408"/>
    <n v="57201"/>
    <n v="48207"/>
    <n v="54223948"/>
    <n v="77119317"/>
    <n v="131343265"/>
    <n v="22936"/>
    <n v="9426"/>
    <n v="32362"/>
    <b v="1"/>
    <b v="1"/>
    <b v="1"/>
    <b v="1"/>
    <b v="1"/>
    <b v="1"/>
  </r>
  <r>
    <x v="2257"/>
    <n v="113649"/>
    <n v="64161"/>
    <n v="49488"/>
    <n v="61473852"/>
    <n v="89596176"/>
    <n v="151070028"/>
    <n v="25888"/>
    <n v="10652"/>
    <n v="36540"/>
    <b v="1"/>
    <b v="1"/>
    <b v="1"/>
    <b v="1"/>
    <b v="1"/>
    <b v="1"/>
  </r>
  <r>
    <x v="2258"/>
    <n v="119455"/>
    <n v="66383"/>
    <n v="53072"/>
    <n v="68816107"/>
    <n v="99877430"/>
    <n v="168693537"/>
    <n v="27426"/>
    <n v="10322"/>
    <n v="37748"/>
    <b v="1"/>
    <b v="1"/>
    <b v="1"/>
    <b v="1"/>
    <b v="1"/>
    <b v="1"/>
  </r>
  <r>
    <x v="2259"/>
    <n v="123743"/>
    <n v="67898"/>
    <n v="55845"/>
    <n v="67396099"/>
    <n v="96855506"/>
    <n v="164251605"/>
    <n v="27426"/>
    <n v="10523"/>
    <n v="37949"/>
    <b v="1"/>
    <b v="1"/>
    <b v="1"/>
    <b v="1"/>
    <b v="1"/>
    <b v="1"/>
  </r>
  <r>
    <x v="2260"/>
    <n v="108760"/>
    <n v="59449"/>
    <n v="49311"/>
    <n v="56841364"/>
    <n v="80562670"/>
    <n v="137404034"/>
    <n v="22460"/>
    <n v="8345"/>
    <n v="30805"/>
    <b v="1"/>
    <b v="1"/>
    <b v="1"/>
    <b v="1"/>
    <b v="1"/>
    <b v="1"/>
  </r>
  <r>
    <x v="2261"/>
    <n v="120241"/>
    <n v="64035"/>
    <n v="56206"/>
    <n v="68818585"/>
    <n v="90386445"/>
    <n v="159205030"/>
    <n v="27634"/>
    <n v="10276"/>
    <n v="37910"/>
    <b v="1"/>
    <b v="1"/>
    <b v="1"/>
    <b v="1"/>
    <b v="1"/>
    <b v="1"/>
  </r>
  <r>
    <x v="2262"/>
    <n v="127968"/>
    <n v="69171"/>
    <n v="58797"/>
    <n v="70711438"/>
    <n v="92989258"/>
    <n v="163700696"/>
    <n v="27346"/>
    <n v="10327"/>
    <n v="37673"/>
    <b v="1"/>
    <b v="1"/>
    <b v="1"/>
    <b v="1"/>
    <b v="1"/>
    <b v="1"/>
  </r>
  <r>
    <x v="2263"/>
    <n v="118738"/>
    <n v="60626"/>
    <n v="58112"/>
    <n v="65758857"/>
    <n v="74464068"/>
    <n v="140222925"/>
    <n v="26046"/>
    <n v="9324"/>
    <n v="35370"/>
    <b v="1"/>
    <b v="1"/>
    <b v="1"/>
    <b v="1"/>
    <b v="1"/>
    <b v="1"/>
  </r>
  <r>
    <x v="2264"/>
    <n v="120228"/>
    <n v="63273"/>
    <n v="56955"/>
    <n v="74358762"/>
    <n v="87094132"/>
    <n v="161452894"/>
    <n v="28672"/>
    <n v="10258"/>
    <n v="38930"/>
    <b v="1"/>
    <b v="1"/>
    <b v="1"/>
    <b v="1"/>
    <b v="1"/>
    <b v="1"/>
  </r>
  <r>
    <x v="2265"/>
    <n v="132054"/>
    <n v="68218"/>
    <n v="63836"/>
    <n v="86662329"/>
    <n v="92456088"/>
    <n v="179118417"/>
    <n v="25221"/>
    <n v="10068"/>
    <n v="35289"/>
    <b v="1"/>
    <b v="1"/>
    <b v="1"/>
    <b v="1"/>
    <b v="1"/>
    <b v="1"/>
  </r>
  <r>
    <x v="2266"/>
    <n v="126550"/>
    <n v="67967"/>
    <n v="58583"/>
    <n v="76425778"/>
    <n v="96170250"/>
    <n v="172596028"/>
    <n v="23845"/>
    <n v="9573"/>
    <n v="33418"/>
    <b v="1"/>
    <b v="1"/>
    <b v="1"/>
    <b v="1"/>
    <b v="1"/>
    <b v="1"/>
  </r>
  <r>
    <x v="2267"/>
    <n v="125787"/>
    <n v="67800"/>
    <n v="57987"/>
    <n v="74524173"/>
    <n v="97392713"/>
    <n v="171916886"/>
    <n v="22814"/>
    <n v="9481"/>
    <n v="32295"/>
    <b v="1"/>
    <b v="1"/>
    <b v="1"/>
    <b v="1"/>
    <b v="1"/>
    <b v="1"/>
  </r>
  <r>
    <x v="2268"/>
    <n v="118558"/>
    <n v="65744"/>
    <n v="52814"/>
    <n v="56937287"/>
    <n v="92544357"/>
    <n v="149481644"/>
    <n v="21735"/>
    <n v="9218"/>
    <n v="30953"/>
    <b v="1"/>
    <b v="1"/>
    <b v="1"/>
    <b v="1"/>
    <b v="1"/>
    <b v="1"/>
  </r>
  <r>
    <x v="2269"/>
    <n v="117246"/>
    <n v="66689"/>
    <n v="50557"/>
    <n v="57695071"/>
    <n v="86375062"/>
    <n v="144070133"/>
    <n v="18608"/>
    <n v="8536"/>
    <n v="27144"/>
    <b v="1"/>
    <b v="1"/>
    <b v="1"/>
    <b v="1"/>
    <b v="1"/>
    <b v="1"/>
  </r>
  <r>
    <x v="2270"/>
    <n v="115092"/>
    <n v="57905"/>
    <n v="57187"/>
    <n v="52425510"/>
    <n v="67318246"/>
    <n v="119743756"/>
    <n v="15574"/>
    <n v="7565"/>
    <n v="23139"/>
    <b v="1"/>
    <b v="1"/>
    <b v="1"/>
    <b v="1"/>
    <b v="1"/>
    <b v="1"/>
  </r>
  <r>
    <x v="2271"/>
    <n v="138077"/>
    <n v="69218"/>
    <n v="68859"/>
    <n v="75420913"/>
    <n v="79973579"/>
    <n v="155394492"/>
    <n v="21484"/>
    <n v="9939"/>
    <n v="31423"/>
    <b v="1"/>
    <b v="1"/>
    <b v="1"/>
    <b v="1"/>
    <b v="1"/>
    <b v="1"/>
  </r>
  <r>
    <x v="2272"/>
    <n v="124629"/>
    <n v="64057"/>
    <n v="60572"/>
    <n v="69449648"/>
    <n v="84498641"/>
    <n v="153948289"/>
    <n v="26306"/>
    <n v="10207"/>
    <n v="36513"/>
    <b v="1"/>
    <b v="1"/>
    <b v="1"/>
    <b v="1"/>
    <b v="1"/>
    <b v="1"/>
  </r>
  <r>
    <x v="2273"/>
    <n v="134742"/>
    <n v="69516"/>
    <n v="65226"/>
    <n v="69942513"/>
    <n v="86999645"/>
    <n v="156942158"/>
    <n v="28203"/>
    <n v="10902"/>
    <n v="39105"/>
    <b v="1"/>
    <b v="1"/>
    <b v="1"/>
    <b v="1"/>
    <b v="1"/>
    <b v="1"/>
  </r>
  <r>
    <x v="2274"/>
    <n v="130642"/>
    <n v="68291"/>
    <n v="62351"/>
    <n v="74472206"/>
    <n v="86245975"/>
    <n v="160718181"/>
    <n v="25333"/>
    <n v="11089"/>
    <n v="36422"/>
    <b v="1"/>
    <b v="1"/>
    <b v="1"/>
    <b v="1"/>
    <b v="1"/>
    <b v="1"/>
  </r>
  <r>
    <x v="2275"/>
    <n v="131191"/>
    <n v="64247"/>
    <n v="66944"/>
    <n v="76937096"/>
    <n v="74026897"/>
    <n v="150963993"/>
    <n v="28444"/>
    <n v="11000"/>
    <n v="39444"/>
    <b v="1"/>
    <b v="1"/>
    <b v="1"/>
    <b v="1"/>
    <b v="1"/>
    <b v="1"/>
  </r>
  <r>
    <x v="2276"/>
    <n v="134235"/>
    <n v="67133"/>
    <n v="67102"/>
    <n v="72886501"/>
    <n v="71339943"/>
    <n v="144226444"/>
    <n v="29716"/>
    <n v="9123"/>
    <n v="38839"/>
    <b v="1"/>
    <b v="1"/>
    <b v="1"/>
    <b v="1"/>
    <b v="1"/>
    <b v="1"/>
  </r>
  <r>
    <x v="2277"/>
    <n v="102682"/>
    <n v="44617"/>
    <n v="58065"/>
    <n v="63875990"/>
    <n v="39821444"/>
    <n v="103697434"/>
    <n v="20305"/>
    <n v="7301"/>
    <n v="27606"/>
    <b v="1"/>
    <b v="1"/>
    <b v="1"/>
    <b v="1"/>
    <b v="1"/>
    <b v="1"/>
  </r>
  <r>
    <x v="2278"/>
    <n v="93696"/>
    <n v="38794"/>
    <n v="54902"/>
    <n v="52147905"/>
    <n v="27351025"/>
    <n v="79498930"/>
    <n v="18299"/>
    <n v="5366"/>
    <n v="23665"/>
    <b v="1"/>
    <b v="1"/>
    <b v="1"/>
    <b v="1"/>
    <b v="1"/>
    <b v="1"/>
  </r>
  <r>
    <x v="2279"/>
    <n v="86904"/>
    <n v="46083"/>
    <n v="40821"/>
    <n v="33673119"/>
    <n v="38117130"/>
    <n v="71790249"/>
    <n v="13633"/>
    <n v="5819"/>
    <n v="19452"/>
    <b v="1"/>
    <b v="1"/>
    <b v="1"/>
    <b v="1"/>
    <b v="1"/>
    <b v="1"/>
  </r>
  <r>
    <x v="2280"/>
    <n v="97380"/>
    <n v="52702"/>
    <n v="44678"/>
    <n v="49602941"/>
    <n v="51190518"/>
    <n v="100793459"/>
    <n v="21511"/>
    <n v="9501"/>
    <n v="31012"/>
    <b v="1"/>
    <b v="1"/>
    <b v="1"/>
    <b v="1"/>
    <b v="1"/>
    <b v="1"/>
  </r>
  <r>
    <x v="2281"/>
    <n v="108334"/>
    <n v="56768"/>
    <n v="51566"/>
    <n v="73483542"/>
    <n v="65238819"/>
    <n v="138722361"/>
    <n v="26417"/>
    <n v="11424"/>
    <n v="37841"/>
    <b v="1"/>
    <b v="1"/>
    <b v="1"/>
    <b v="1"/>
    <b v="1"/>
    <b v="1"/>
  </r>
  <r>
    <x v="2282"/>
    <n v="114683"/>
    <n v="56648"/>
    <n v="58035"/>
    <n v="83062698"/>
    <n v="70070141"/>
    <n v="153132839"/>
    <n v="24469"/>
    <n v="11086"/>
    <n v="35555"/>
    <b v="1"/>
    <b v="1"/>
    <b v="1"/>
    <b v="1"/>
    <b v="1"/>
    <b v="1"/>
  </r>
  <r>
    <x v="2283"/>
    <n v="108608"/>
    <n v="54606"/>
    <n v="54002"/>
    <n v="70721460"/>
    <n v="72607482"/>
    <n v="143328942"/>
    <n v="28307"/>
    <n v="11543"/>
    <n v="39850"/>
    <b v="1"/>
    <b v="1"/>
    <b v="1"/>
    <b v="1"/>
    <b v="1"/>
    <b v="1"/>
  </r>
  <r>
    <x v="2284"/>
    <n v="88254"/>
    <n v="41498"/>
    <n v="46756"/>
    <n v="71229546"/>
    <n v="58458649"/>
    <n v="129688195"/>
    <n v="27226"/>
    <n v="10929"/>
    <n v="38155"/>
    <b v="1"/>
    <b v="1"/>
    <b v="1"/>
    <b v="1"/>
    <b v="1"/>
    <b v="1"/>
  </r>
  <r>
    <x v="2285"/>
    <n v="78118"/>
    <n v="40959"/>
    <n v="37159"/>
    <n v="62922970"/>
    <n v="64517604"/>
    <n v="127440574"/>
    <n v="29551"/>
    <n v="12022"/>
    <n v="41573"/>
    <b v="1"/>
    <b v="1"/>
    <b v="1"/>
    <b v="1"/>
    <b v="1"/>
    <b v="1"/>
  </r>
  <r>
    <x v="2286"/>
    <n v="77376"/>
    <n v="40175"/>
    <n v="37201"/>
    <n v="68915363"/>
    <n v="69787316"/>
    <n v="138702679"/>
    <n v="30361"/>
    <n v="12008"/>
    <n v="42369"/>
    <b v="1"/>
    <b v="1"/>
    <b v="1"/>
    <b v="1"/>
    <b v="1"/>
    <b v="1"/>
  </r>
  <r>
    <x v="2287"/>
    <n v="95187"/>
    <n v="48113"/>
    <n v="47074"/>
    <n v="81528393"/>
    <n v="78942787"/>
    <n v="160471180"/>
    <n v="35174"/>
    <n v="12816"/>
    <n v="47990"/>
    <b v="1"/>
    <b v="1"/>
    <b v="1"/>
    <b v="1"/>
    <b v="1"/>
    <b v="1"/>
  </r>
  <r>
    <x v="2288"/>
    <n v="137680"/>
    <n v="67199"/>
    <n v="70481"/>
    <n v="89493907"/>
    <n v="85705465"/>
    <n v="175199372"/>
    <n v="33699"/>
    <n v="13260"/>
    <n v="46959"/>
    <b v="1"/>
    <b v="1"/>
    <b v="1"/>
    <b v="1"/>
    <b v="1"/>
    <b v="1"/>
  </r>
  <r>
    <x v="2289"/>
    <n v="169868"/>
    <n v="78835"/>
    <n v="91033"/>
    <n v="92025423"/>
    <n v="81999784"/>
    <n v="174025207"/>
    <n v="36228"/>
    <n v="13852"/>
    <n v="50080"/>
    <b v="1"/>
    <b v="1"/>
    <b v="1"/>
    <b v="1"/>
    <b v="1"/>
    <b v="1"/>
  </r>
  <r>
    <x v="2290"/>
    <n v="170959"/>
    <n v="78541"/>
    <n v="92418"/>
    <n v="88644043"/>
    <n v="76587115"/>
    <n v="165231158"/>
    <n v="31932"/>
    <n v="13894"/>
    <n v="45826"/>
    <b v="1"/>
    <b v="1"/>
    <b v="1"/>
    <b v="1"/>
    <b v="1"/>
    <b v="1"/>
  </r>
  <r>
    <x v="2291"/>
    <n v="159586"/>
    <n v="66752"/>
    <n v="92834"/>
    <n v="85381901"/>
    <n v="54644190"/>
    <n v="140026091"/>
    <n v="30638"/>
    <n v="12302"/>
    <n v="42940"/>
    <b v="1"/>
    <b v="1"/>
    <b v="1"/>
    <b v="1"/>
    <b v="1"/>
    <b v="1"/>
  </r>
  <r>
    <x v="2292"/>
    <n v="162793"/>
    <n v="73548"/>
    <n v="89245"/>
    <n v="80966704"/>
    <n v="69758528"/>
    <n v="150725232"/>
    <n v="30636"/>
    <n v="12582"/>
    <n v="43218"/>
    <b v="1"/>
    <b v="1"/>
    <b v="1"/>
    <b v="1"/>
    <b v="1"/>
    <b v="1"/>
  </r>
  <r>
    <x v="2293"/>
    <n v="154115"/>
    <n v="69516"/>
    <n v="84599"/>
    <n v="78830646"/>
    <n v="67685644"/>
    <n v="146516290"/>
    <n v="29734"/>
    <n v="10994"/>
    <n v="40728"/>
    <b v="1"/>
    <b v="1"/>
    <b v="1"/>
    <b v="1"/>
    <b v="1"/>
    <b v="1"/>
  </r>
  <r>
    <x v="2294"/>
    <n v="139374"/>
    <n v="60931"/>
    <n v="78443"/>
    <n v="74253629"/>
    <n v="59980200"/>
    <n v="134233829"/>
    <n v="28058"/>
    <n v="10337"/>
    <n v="38395"/>
    <b v="1"/>
    <b v="1"/>
    <b v="1"/>
    <b v="1"/>
    <b v="1"/>
    <b v="1"/>
  </r>
  <r>
    <x v="2295"/>
    <n v="142617"/>
    <n v="64398"/>
    <n v="78219"/>
    <n v="77097939"/>
    <n v="69081031"/>
    <n v="146178970"/>
    <n v="22870"/>
    <n v="9284"/>
    <n v="32154"/>
    <b v="1"/>
    <b v="1"/>
    <b v="1"/>
    <b v="1"/>
    <b v="1"/>
    <b v="1"/>
  </r>
  <r>
    <x v="2296"/>
    <n v="135308"/>
    <n v="61155"/>
    <n v="74153"/>
    <n v="70413517"/>
    <n v="67868634"/>
    <n v="138282151"/>
    <n v="21397"/>
    <n v="8498"/>
    <n v="29895"/>
    <b v="1"/>
    <b v="1"/>
    <b v="1"/>
    <b v="1"/>
    <b v="1"/>
    <b v="1"/>
  </r>
  <r>
    <x v="2297"/>
    <n v="133407"/>
    <n v="59511"/>
    <n v="73896"/>
    <n v="66207625"/>
    <n v="64987445"/>
    <n v="131195070"/>
    <n v="20361"/>
    <n v="8029"/>
    <n v="28390"/>
    <b v="1"/>
    <b v="1"/>
    <b v="1"/>
    <b v="1"/>
    <b v="1"/>
    <b v="1"/>
  </r>
  <r>
    <x v="2298"/>
    <n v="111606"/>
    <n v="46983"/>
    <n v="64623"/>
    <n v="48050336"/>
    <n v="44330955"/>
    <n v="92381291"/>
    <n v="17882"/>
    <n v="5440"/>
    <n v="23322"/>
    <b v="1"/>
    <b v="1"/>
    <b v="1"/>
    <b v="1"/>
    <b v="1"/>
    <b v="1"/>
  </r>
  <r>
    <x v="2299"/>
    <n v="127569"/>
    <n v="57355"/>
    <n v="70214"/>
    <n v="59851911"/>
    <n v="58087389"/>
    <n v="117939300"/>
    <n v="9967"/>
    <n v="7796"/>
    <n v="17763"/>
    <b v="1"/>
    <b v="1"/>
    <b v="1"/>
    <b v="1"/>
    <b v="1"/>
    <b v="1"/>
  </r>
  <r>
    <x v="2300"/>
    <n v="128124"/>
    <n v="56486"/>
    <n v="71638"/>
    <n v="70737695"/>
    <n v="59313194"/>
    <n v="130050889"/>
    <n v="28794"/>
    <n v="8590"/>
    <n v="37384"/>
    <b v="1"/>
    <b v="1"/>
    <b v="1"/>
    <b v="1"/>
    <b v="1"/>
    <b v="1"/>
  </r>
  <r>
    <x v="2301"/>
    <n v="128201"/>
    <n v="57220"/>
    <n v="70981"/>
    <n v="67703268"/>
    <n v="56691403"/>
    <n v="124394671"/>
    <n v="29058"/>
    <n v="9424"/>
    <n v="38482"/>
    <b v="1"/>
    <b v="1"/>
    <b v="1"/>
    <b v="1"/>
    <b v="1"/>
    <b v="1"/>
  </r>
  <r>
    <x v="2302"/>
    <n v="126404"/>
    <n v="56413"/>
    <n v="69991"/>
    <n v="67672307"/>
    <n v="59427428"/>
    <n v="127099735"/>
    <n v="27960"/>
    <n v="9434"/>
    <n v="37394"/>
    <b v="1"/>
    <b v="1"/>
    <b v="1"/>
    <b v="1"/>
    <b v="1"/>
    <b v="1"/>
  </r>
  <r>
    <x v="2303"/>
    <n v="121181"/>
    <n v="53033"/>
    <n v="68148"/>
    <n v="66164967"/>
    <n v="52281410"/>
    <n v="118446377"/>
    <n v="27223"/>
    <n v="8811"/>
    <n v="36034"/>
    <b v="1"/>
    <b v="1"/>
    <b v="1"/>
    <b v="1"/>
    <b v="1"/>
    <b v="1"/>
  </r>
  <r>
    <x v="2304"/>
    <n v="109850"/>
    <n v="45706"/>
    <n v="64144"/>
    <n v="57345219"/>
    <n v="44044737"/>
    <n v="101389956"/>
    <n v="23402"/>
    <n v="6568"/>
    <n v="29970"/>
    <b v="1"/>
    <b v="1"/>
    <b v="1"/>
    <b v="1"/>
    <b v="1"/>
    <b v="1"/>
  </r>
  <r>
    <x v="2305"/>
    <n v="65895"/>
    <n v="25460"/>
    <n v="40435"/>
    <n v="49445236"/>
    <n v="31931457"/>
    <n v="81376693"/>
    <n v="23324"/>
    <n v="6477"/>
    <n v="29801"/>
    <b v="1"/>
    <b v="1"/>
    <b v="1"/>
    <b v="1"/>
    <b v="1"/>
    <b v="1"/>
  </r>
  <r>
    <x v="2306"/>
    <n v="110029"/>
    <n v="45788"/>
    <n v="64241"/>
    <n v="60675740"/>
    <n v="44390855"/>
    <n v="105066595"/>
    <n v="24704"/>
    <n v="7498"/>
    <n v="32202"/>
    <b v="1"/>
    <b v="1"/>
    <b v="1"/>
    <b v="1"/>
    <b v="1"/>
    <b v="1"/>
  </r>
  <r>
    <x v="2307"/>
    <n v="103327"/>
    <n v="43254"/>
    <n v="60073"/>
    <n v="58189250"/>
    <n v="45946569"/>
    <n v="104135819"/>
    <n v="22209"/>
    <n v="7073"/>
    <n v="29282"/>
    <b v="1"/>
    <b v="1"/>
    <b v="1"/>
    <b v="1"/>
    <b v="1"/>
    <b v="1"/>
  </r>
  <r>
    <x v="2308"/>
    <n v="104966"/>
    <n v="44069"/>
    <n v="60897"/>
    <n v="58120040"/>
    <n v="43895399"/>
    <n v="102015439"/>
    <n v="24388"/>
    <n v="7173"/>
    <n v="31561"/>
    <b v="1"/>
    <b v="1"/>
    <b v="1"/>
    <b v="1"/>
    <b v="1"/>
    <b v="1"/>
  </r>
  <r>
    <x v="2309"/>
    <n v="101920"/>
    <n v="42286"/>
    <n v="59634"/>
    <n v="57410128"/>
    <n v="39715787"/>
    <n v="97125915"/>
    <n v="21017"/>
    <n v="6682"/>
    <n v="27699"/>
    <b v="1"/>
    <b v="1"/>
    <b v="1"/>
    <b v="1"/>
    <b v="1"/>
    <b v="1"/>
  </r>
  <r>
    <x v="2310"/>
    <n v="100472"/>
    <n v="40808"/>
    <n v="59664"/>
    <n v="55419609"/>
    <n v="37031454"/>
    <n v="92451063"/>
    <n v="21777"/>
    <n v="7285"/>
    <n v="29062"/>
    <b v="1"/>
    <b v="1"/>
    <b v="1"/>
    <b v="1"/>
    <b v="1"/>
    <b v="1"/>
  </r>
  <r>
    <x v="2311"/>
    <n v="79938"/>
    <n v="31473"/>
    <n v="48465"/>
    <n v="53752420"/>
    <n v="34770988"/>
    <n v="88523408"/>
    <n v="23508"/>
    <n v="6598"/>
    <n v="30106"/>
    <b v="1"/>
    <b v="1"/>
    <b v="1"/>
    <b v="1"/>
    <b v="1"/>
    <b v="1"/>
  </r>
  <r>
    <x v="2312"/>
    <n v="50227"/>
    <n v="19714"/>
    <n v="30513"/>
    <n v="46220430"/>
    <n v="31468176"/>
    <n v="77688606"/>
    <n v="20137"/>
    <n v="6226"/>
    <n v="26363"/>
    <b v="1"/>
    <b v="1"/>
    <b v="1"/>
    <b v="1"/>
    <b v="1"/>
    <b v="1"/>
  </r>
  <r>
    <x v="2313"/>
    <n v="91412"/>
    <n v="37449"/>
    <n v="53963"/>
    <n v="50058004"/>
    <n v="38981187"/>
    <n v="89039191"/>
    <n v="19788"/>
    <n v="6363"/>
    <n v="26151"/>
    <b v="1"/>
    <b v="1"/>
    <b v="1"/>
    <b v="1"/>
    <b v="1"/>
    <b v="1"/>
  </r>
  <r>
    <x v="2314"/>
    <n v="108685"/>
    <n v="42870"/>
    <n v="65815"/>
    <n v="56879919"/>
    <n v="40232104"/>
    <n v="97112023"/>
    <n v="23338"/>
    <n v="7273"/>
    <n v="30611"/>
    <b v="1"/>
    <b v="1"/>
    <b v="1"/>
    <b v="1"/>
    <b v="1"/>
    <b v="1"/>
  </r>
  <r>
    <x v="2315"/>
    <n v="112851"/>
    <n v="45099"/>
    <n v="67752"/>
    <n v="63322293"/>
    <n v="48354101"/>
    <n v="111676394"/>
    <n v="25836"/>
    <n v="7909"/>
    <n v="33745"/>
    <b v="1"/>
    <b v="1"/>
    <b v="1"/>
    <b v="1"/>
    <b v="1"/>
    <b v="1"/>
  </r>
  <r>
    <x v="2316"/>
    <n v="99917"/>
    <n v="40422"/>
    <n v="59495"/>
    <n v="56997338"/>
    <n v="46971442"/>
    <n v="103968780"/>
    <n v="23935"/>
    <n v="8294"/>
    <n v="32229"/>
    <b v="1"/>
    <b v="1"/>
    <b v="1"/>
    <b v="1"/>
    <b v="1"/>
    <b v="1"/>
  </r>
  <r>
    <x v="2317"/>
    <n v="102892"/>
    <n v="39886"/>
    <n v="63006"/>
    <n v="59894142"/>
    <n v="40524316"/>
    <n v="100418458"/>
    <n v="23936"/>
    <n v="7955"/>
    <n v="31891"/>
    <b v="1"/>
    <b v="1"/>
    <b v="1"/>
    <b v="1"/>
    <b v="1"/>
    <b v="1"/>
  </r>
  <r>
    <x v="2318"/>
    <n v="100672"/>
    <n v="39747"/>
    <n v="60925"/>
    <n v="58626041"/>
    <n v="41013856"/>
    <n v="99639897"/>
    <n v="25069"/>
    <n v="8210"/>
    <n v="33279"/>
    <b v="1"/>
    <b v="1"/>
    <b v="1"/>
    <b v="1"/>
    <b v="1"/>
    <b v="1"/>
  </r>
  <r>
    <x v="2319"/>
    <n v="93628"/>
    <n v="36642"/>
    <n v="56986"/>
    <n v="54663367"/>
    <n v="31645355"/>
    <n v="86308722"/>
    <n v="23566"/>
    <n v="8319"/>
    <n v="31885"/>
    <b v="1"/>
    <b v="1"/>
    <b v="1"/>
    <b v="1"/>
    <b v="1"/>
    <b v="1"/>
  </r>
  <r>
    <x v="2320"/>
    <n v="71914"/>
    <n v="29629"/>
    <n v="42285"/>
    <n v="51189748"/>
    <n v="36840414"/>
    <n v="88030162"/>
    <n v="21199"/>
    <n v="7859"/>
    <n v="29058"/>
    <b v="1"/>
    <b v="1"/>
    <b v="1"/>
    <b v="1"/>
    <b v="1"/>
    <b v="1"/>
  </r>
  <r>
    <x v="2321"/>
    <n v="74138"/>
    <n v="30583"/>
    <n v="43555"/>
    <n v="44702541"/>
    <n v="41301431"/>
    <n v="86003972"/>
    <n v="20594"/>
    <n v="7940"/>
    <n v="28534"/>
    <b v="1"/>
    <b v="1"/>
    <b v="1"/>
    <b v="1"/>
    <b v="1"/>
    <b v="1"/>
  </r>
  <r>
    <x v="2322"/>
    <n v="75250"/>
    <n v="30882"/>
    <n v="44368"/>
    <n v="45022381"/>
    <n v="40861354"/>
    <n v="85883735"/>
    <n v="21276"/>
    <n v="7598"/>
    <n v="28874"/>
    <b v="1"/>
    <b v="1"/>
    <b v="1"/>
    <b v="1"/>
    <b v="1"/>
    <b v="1"/>
  </r>
  <r>
    <x v="2323"/>
    <n v="75176"/>
    <n v="31564"/>
    <n v="43612"/>
    <n v="43475068"/>
    <n v="47213773"/>
    <n v="90688841"/>
    <n v="20347"/>
    <n v="7645"/>
    <n v="27992"/>
    <b v="1"/>
    <b v="1"/>
    <b v="1"/>
    <b v="1"/>
    <b v="1"/>
    <b v="1"/>
  </r>
  <r>
    <x v="2324"/>
    <n v="88618"/>
    <n v="35301"/>
    <n v="53317"/>
    <n v="48208065"/>
    <n v="36002461"/>
    <n v="84210526"/>
    <n v="19964"/>
    <n v="7112"/>
    <n v="27076"/>
    <b v="1"/>
    <b v="1"/>
    <b v="1"/>
    <b v="1"/>
    <b v="1"/>
    <b v="1"/>
  </r>
  <r>
    <x v="2325"/>
    <n v="89778"/>
    <n v="36327"/>
    <n v="53451"/>
    <n v="51470775"/>
    <n v="37066557"/>
    <n v="88537332"/>
    <n v="23857"/>
    <n v="8522"/>
    <n v="32379"/>
    <b v="1"/>
    <b v="1"/>
    <b v="1"/>
    <b v="1"/>
    <b v="1"/>
    <b v="1"/>
  </r>
  <r>
    <x v="2326"/>
    <n v="77260"/>
    <n v="29246"/>
    <n v="48014"/>
    <n v="49769140"/>
    <n v="39849519"/>
    <n v="89618659"/>
    <n v="21870"/>
    <n v="7686"/>
    <n v="29556"/>
    <b v="1"/>
    <b v="1"/>
    <b v="1"/>
    <b v="1"/>
    <b v="1"/>
    <b v="1"/>
  </r>
  <r>
    <x v="2327"/>
    <n v="90398"/>
    <n v="36838"/>
    <n v="53560"/>
    <n v="56546970"/>
    <n v="44679738"/>
    <n v="101226708"/>
    <n v="24442"/>
    <n v="9378"/>
    <n v="33820"/>
    <b v="1"/>
    <b v="1"/>
    <b v="1"/>
    <b v="1"/>
    <b v="1"/>
    <b v="1"/>
  </r>
  <r>
    <x v="2328"/>
    <n v="91361"/>
    <n v="36616"/>
    <n v="54745"/>
    <n v="53245760"/>
    <n v="45595625"/>
    <n v="98841385"/>
    <n v="23132"/>
    <n v="8226"/>
    <n v="31358"/>
    <b v="1"/>
    <b v="1"/>
    <b v="1"/>
    <b v="1"/>
    <b v="1"/>
    <b v="1"/>
  </r>
  <r>
    <x v="2329"/>
    <n v="76594"/>
    <n v="32599"/>
    <n v="43995"/>
    <n v="38276671"/>
    <n v="46053161"/>
    <n v="84329832"/>
    <n v="15237"/>
    <n v="6037"/>
    <n v="21274"/>
    <b v="1"/>
    <b v="1"/>
    <b v="1"/>
    <b v="1"/>
    <b v="1"/>
    <b v="1"/>
  </r>
  <r>
    <x v="2330"/>
    <n v="82852"/>
    <n v="35929"/>
    <n v="46923"/>
    <n v="45464415"/>
    <n v="47671391"/>
    <n v="93135806"/>
    <n v="19450"/>
    <n v="7516"/>
    <n v="26966"/>
    <b v="1"/>
    <b v="1"/>
    <b v="1"/>
    <b v="1"/>
    <b v="1"/>
    <b v="1"/>
  </r>
  <r>
    <x v="2331"/>
    <n v="90662"/>
    <n v="38375"/>
    <n v="52287"/>
    <n v="48976655"/>
    <n v="49485766"/>
    <n v="98462421"/>
    <n v="21600"/>
    <n v="7845"/>
    <n v="29445"/>
    <b v="1"/>
    <b v="1"/>
    <b v="1"/>
    <b v="1"/>
    <b v="1"/>
    <b v="1"/>
  </r>
  <r>
    <x v="2332"/>
    <n v="87235"/>
    <n v="36096"/>
    <n v="51139"/>
    <n v="48717425"/>
    <n v="56130300"/>
    <n v="104847725"/>
    <n v="21343"/>
    <n v="6654"/>
    <n v="27997"/>
    <b v="1"/>
    <b v="1"/>
    <b v="1"/>
    <b v="1"/>
    <b v="1"/>
    <b v="1"/>
  </r>
  <r>
    <x v="2333"/>
    <n v="76138"/>
    <n v="31717"/>
    <n v="44421"/>
    <n v="48823160"/>
    <n v="39376748"/>
    <n v="88199908"/>
    <n v="23204"/>
    <n v="7754"/>
    <n v="30958"/>
    <b v="1"/>
    <b v="1"/>
    <b v="1"/>
    <b v="1"/>
    <b v="1"/>
    <b v="1"/>
  </r>
  <r>
    <x v="2334"/>
    <n v="71609"/>
    <n v="33021"/>
    <n v="38588"/>
    <n v="45408207"/>
    <n v="47639909"/>
    <n v="93048116"/>
    <n v="21741"/>
    <n v="7834"/>
    <n v="29575"/>
    <b v="1"/>
    <b v="1"/>
    <b v="1"/>
    <b v="1"/>
    <b v="1"/>
    <b v="1"/>
  </r>
  <r>
    <x v="2335"/>
    <n v="72102"/>
    <n v="33229"/>
    <n v="38873"/>
    <n v="46691391"/>
    <n v="48145736"/>
    <n v="94837127"/>
    <n v="21649"/>
    <n v="7709"/>
    <n v="29358"/>
    <b v="1"/>
    <b v="1"/>
    <b v="1"/>
    <b v="1"/>
    <b v="1"/>
    <b v="1"/>
  </r>
  <r>
    <x v="2336"/>
    <n v="74320"/>
    <n v="33963"/>
    <n v="40357"/>
    <n v="47484041"/>
    <n v="47442609"/>
    <n v="94926650"/>
    <n v="22846"/>
    <n v="8348"/>
    <n v="31194"/>
    <b v="1"/>
    <b v="1"/>
    <b v="1"/>
    <b v="1"/>
    <b v="1"/>
    <b v="1"/>
  </r>
  <r>
    <x v="2337"/>
    <n v="75982"/>
    <n v="34149"/>
    <n v="41833"/>
    <n v="47996402"/>
    <n v="52671925"/>
    <n v="100668327"/>
    <n v="20353"/>
    <n v="7429"/>
    <n v="27782"/>
    <b v="1"/>
    <b v="1"/>
    <b v="1"/>
    <b v="1"/>
    <b v="1"/>
    <b v="1"/>
  </r>
  <r>
    <x v="2338"/>
    <n v="77086"/>
    <n v="35781"/>
    <n v="41305"/>
    <n v="45540175"/>
    <n v="47582114"/>
    <n v="93122289"/>
    <n v="19522"/>
    <n v="8004"/>
    <n v="27526"/>
    <b v="1"/>
    <b v="1"/>
    <b v="1"/>
    <b v="1"/>
    <b v="1"/>
    <b v="1"/>
  </r>
  <r>
    <x v="2339"/>
    <n v="82793"/>
    <n v="36297"/>
    <n v="46496"/>
    <n v="51229365"/>
    <n v="52580754"/>
    <n v="103810119"/>
    <n v="24174"/>
    <n v="8910"/>
    <n v="33084"/>
    <b v="1"/>
    <b v="1"/>
    <b v="1"/>
    <b v="1"/>
    <b v="1"/>
    <b v="1"/>
  </r>
  <r>
    <x v="2340"/>
    <n v="76527"/>
    <n v="32266"/>
    <n v="44261"/>
    <n v="48246505"/>
    <n v="46163707"/>
    <n v="94410212"/>
    <n v="24502"/>
    <n v="8536"/>
    <n v="33038"/>
    <b v="1"/>
    <b v="1"/>
    <b v="1"/>
    <b v="1"/>
    <b v="1"/>
    <b v="1"/>
  </r>
  <r>
    <x v="2341"/>
    <n v="88131"/>
    <n v="37982"/>
    <n v="50149"/>
    <n v="54773136"/>
    <n v="47444512"/>
    <n v="102217648"/>
    <n v="26676"/>
    <n v="9057"/>
    <n v="35733"/>
    <b v="1"/>
    <b v="1"/>
    <b v="1"/>
    <b v="1"/>
    <b v="1"/>
    <b v="1"/>
  </r>
  <r>
    <x v="2342"/>
    <n v="90279"/>
    <n v="40181"/>
    <n v="50098"/>
    <n v="53000676"/>
    <n v="55396625"/>
    <n v="108397301"/>
    <n v="26462"/>
    <n v="9642"/>
    <n v="36104"/>
    <b v="1"/>
    <b v="1"/>
    <b v="1"/>
    <b v="1"/>
    <b v="1"/>
    <b v="1"/>
  </r>
  <r>
    <x v="2343"/>
    <n v="95396"/>
    <n v="42297"/>
    <n v="53099"/>
    <n v="60653582"/>
    <n v="69280726"/>
    <n v="129934308"/>
    <n v="29067"/>
    <n v="10441"/>
    <n v="39508"/>
    <b v="1"/>
    <b v="1"/>
    <b v="1"/>
    <b v="1"/>
    <b v="1"/>
    <b v="1"/>
  </r>
  <r>
    <x v="2344"/>
    <n v="97124"/>
    <n v="42721"/>
    <n v="54403"/>
    <n v="59052269"/>
    <n v="65243810"/>
    <n v="124296079"/>
    <n v="28484"/>
    <n v="10103"/>
    <n v="38587"/>
    <b v="1"/>
    <b v="1"/>
    <b v="1"/>
    <b v="1"/>
    <b v="1"/>
    <b v="1"/>
  </r>
  <r>
    <x v="2345"/>
    <n v="94741"/>
    <n v="42170"/>
    <n v="52571"/>
    <n v="54892447"/>
    <n v="63150513"/>
    <n v="118042960"/>
    <n v="27131"/>
    <n v="10252"/>
    <n v="37383"/>
    <b v="1"/>
    <b v="1"/>
    <b v="1"/>
    <b v="1"/>
    <b v="1"/>
    <b v="1"/>
  </r>
  <r>
    <x v="2346"/>
    <n v="89741"/>
    <n v="40128"/>
    <n v="49613"/>
    <n v="52310412"/>
    <n v="61048268"/>
    <n v="113358680"/>
    <n v="25843"/>
    <n v="9936"/>
    <n v="35779"/>
    <b v="1"/>
    <b v="1"/>
    <b v="1"/>
    <b v="1"/>
    <b v="1"/>
    <b v="1"/>
  </r>
  <r>
    <x v="2347"/>
    <n v="81603"/>
    <n v="35194"/>
    <n v="46409"/>
    <n v="47631431"/>
    <n v="45185314"/>
    <n v="92816745"/>
    <n v="24380"/>
    <n v="9030"/>
    <n v="33410"/>
    <b v="1"/>
    <b v="1"/>
    <b v="1"/>
    <b v="1"/>
    <b v="1"/>
    <b v="1"/>
  </r>
  <r>
    <x v="2348"/>
    <n v="104086"/>
    <n v="46241"/>
    <n v="57845"/>
    <n v="57493241"/>
    <n v="61437211"/>
    <n v="118930452"/>
    <n v="28046"/>
    <n v="11122"/>
    <n v="39168"/>
    <b v="1"/>
    <b v="1"/>
    <b v="1"/>
    <b v="1"/>
    <b v="1"/>
    <b v="1"/>
  </r>
  <r>
    <x v="2349"/>
    <n v="104525"/>
    <n v="46892"/>
    <n v="57633"/>
    <n v="61626332"/>
    <n v="69952492"/>
    <n v="131578824"/>
    <n v="27642"/>
    <n v="11274"/>
    <n v="38916"/>
    <b v="1"/>
    <b v="1"/>
    <b v="1"/>
    <b v="1"/>
    <b v="1"/>
    <b v="1"/>
  </r>
  <r>
    <x v="2350"/>
    <n v="106639"/>
    <n v="48626"/>
    <n v="58013"/>
    <n v="59936671"/>
    <n v="72140018"/>
    <n v="132076689"/>
    <n v="26725"/>
    <n v="11730"/>
    <n v="38455"/>
    <b v="1"/>
    <b v="1"/>
    <b v="1"/>
    <b v="1"/>
    <b v="1"/>
    <b v="1"/>
  </r>
  <r>
    <x v="2351"/>
    <n v="105945"/>
    <n v="47844"/>
    <n v="58101"/>
    <n v="56385355"/>
    <n v="61998550"/>
    <n v="118383905"/>
    <n v="26727"/>
    <n v="11731"/>
    <n v="38458"/>
    <b v="1"/>
    <b v="1"/>
    <b v="1"/>
    <b v="1"/>
    <b v="1"/>
    <b v="1"/>
  </r>
  <r>
    <x v="2352"/>
    <n v="103786"/>
    <n v="48992"/>
    <n v="54794"/>
    <n v="54173419"/>
    <n v="63717034"/>
    <n v="117890453"/>
    <n v="24962"/>
    <n v="11995"/>
    <n v="36957"/>
    <b v="1"/>
    <b v="1"/>
    <b v="1"/>
    <b v="1"/>
    <b v="1"/>
    <b v="1"/>
  </r>
  <r>
    <x v="2353"/>
    <n v="101745"/>
    <n v="46188"/>
    <n v="55557"/>
    <n v="53417475"/>
    <n v="64178056"/>
    <n v="117595531"/>
    <n v="25068"/>
    <n v="11547"/>
    <n v="36615"/>
    <b v="1"/>
    <b v="1"/>
    <b v="1"/>
    <b v="1"/>
    <b v="1"/>
    <b v="1"/>
  </r>
  <r>
    <x v="2354"/>
    <n v="97502"/>
    <n v="42736"/>
    <n v="54766"/>
    <n v="53516949"/>
    <n v="47478860"/>
    <n v="100995809"/>
    <n v="25485"/>
    <n v="11505"/>
    <n v="36990"/>
    <b v="1"/>
    <b v="1"/>
    <b v="1"/>
    <b v="1"/>
    <b v="1"/>
    <b v="1"/>
  </r>
  <r>
    <x v="2355"/>
    <n v="104365"/>
    <n v="49348"/>
    <n v="55017"/>
    <n v="57653999"/>
    <n v="63035569"/>
    <n v="120689568"/>
    <n v="28378"/>
    <n v="13384"/>
    <n v="41762"/>
    <b v="1"/>
    <b v="1"/>
    <b v="1"/>
    <b v="1"/>
    <b v="1"/>
    <b v="1"/>
  </r>
  <r>
    <x v="2356"/>
    <n v="108479"/>
    <n v="51219"/>
    <n v="57260"/>
    <n v="62662925"/>
    <n v="72243605"/>
    <n v="134906530"/>
    <n v="28607"/>
    <n v="13740"/>
    <n v="42347"/>
    <b v="1"/>
    <b v="1"/>
    <b v="1"/>
    <b v="1"/>
    <b v="1"/>
    <b v="1"/>
  </r>
  <r>
    <x v="2357"/>
    <n v="111783"/>
    <n v="51932"/>
    <n v="59851"/>
    <n v="63326306"/>
    <n v="72618560"/>
    <n v="135944866"/>
    <n v="30056"/>
    <n v="13873"/>
    <n v="43929"/>
    <b v="1"/>
    <b v="1"/>
    <b v="1"/>
    <b v="1"/>
    <b v="1"/>
    <b v="1"/>
  </r>
  <r>
    <x v="2358"/>
    <n v="116921"/>
    <n v="54926"/>
    <n v="61995"/>
    <n v="62874950"/>
    <n v="67357706"/>
    <n v="130232656"/>
    <n v="29835"/>
    <n v="13373"/>
    <n v="43208"/>
    <b v="1"/>
    <b v="1"/>
    <b v="1"/>
    <b v="1"/>
    <b v="1"/>
    <b v="1"/>
  </r>
  <r>
    <x v="2359"/>
    <n v="140453"/>
    <n v="61926"/>
    <n v="78527"/>
    <n v="67008453"/>
    <n v="71014105"/>
    <n v="138022558"/>
    <n v="29813"/>
    <n v="12724"/>
    <n v="42537"/>
    <b v="1"/>
    <b v="1"/>
    <b v="1"/>
    <b v="1"/>
    <b v="1"/>
    <b v="1"/>
  </r>
  <r>
    <x v="2360"/>
    <n v="145290"/>
    <n v="63072"/>
    <n v="82218"/>
    <n v="65958961"/>
    <n v="67395269"/>
    <n v="133354230"/>
    <n v="28624"/>
    <n v="12952"/>
    <n v="41576"/>
    <b v="1"/>
    <b v="1"/>
    <b v="1"/>
    <b v="1"/>
    <b v="1"/>
    <b v="1"/>
  </r>
  <r>
    <x v="2361"/>
    <n v="142855"/>
    <n v="57688"/>
    <n v="85167"/>
    <n v="66852182"/>
    <n v="154857962"/>
    <n v="221710144"/>
    <n v="30664"/>
    <n v="13279"/>
    <n v="43943"/>
    <b v="1"/>
    <b v="1"/>
    <b v="1"/>
    <b v="1"/>
    <b v="1"/>
    <b v="1"/>
  </r>
  <r>
    <x v="2362"/>
    <n v="144783"/>
    <n v="63362"/>
    <n v="81421"/>
    <n v="76820279"/>
    <n v="69145474"/>
    <n v="145965753"/>
    <n v="36175"/>
    <n v="14608"/>
    <n v="50783"/>
    <b v="1"/>
    <b v="1"/>
    <b v="1"/>
    <b v="1"/>
    <b v="1"/>
    <b v="1"/>
  </r>
  <r>
    <x v="2363"/>
    <n v="144173"/>
    <n v="64825"/>
    <n v="79348"/>
    <n v="76569243"/>
    <n v="73427760"/>
    <n v="149997003"/>
    <n v="34628"/>
    <n v="14396"/>
    <n v="49024"/>
    <b v="1"/>
    <b v="1"/>
    <b v="1"/>
    <b v="1"/>
    <b v="1"/>
    <b v="1"/>
  </r>
  <r>
    <x v="2364"/>
    <n v="141048"/>
    <n v="64682"/>
    <n v="76366"/>
    <n v="74446413"/>
    <n v="77072435"/>
    <n v="151518848"/>
    <n v="32845"/>
    <n v="14032"/>
    <n v="46877"/>
    <b v="1"/>
    <b v="1"/>
    <b v="1"/>
    <b v="1"/>
    <b v="1"/>
    <b v="1"/>
  </r>
  <r>
    <x v="2365"/>
    <n v="142984"/>
    <n v="65662"/>
    <n v="77322"/>
    <n v="72403742"/>
    <n v="74344945"/>
    <n v="146748687"/>
    <n v="32092"/>
    <n v="13877"/>
    <n v="45969"/>
    <b v="1"/>
    <b v="1"/>
    <b v="1"/>
    <b v="1"/>
    <b v="1"/>
    <b v="1"/>
  </r>
  <r>
    <x v="2366"/>
    <n v="141548"/>
    <n v="65062"/>
    <n v="76486"/>
    <n v="70259685"/>
    <n v="77215605"/>
    <n v="147475290"/>
    <n v="30378"/>
    <n v="13106"/>
    <n v="43484"/>
    <b v="1"/>
    <b v="1"/>
    <b v="1"/>
    <b v="1"/>
    <b v="1"/>
    <b v="1"/>
  </r>
  <r>
    <x v="2367"/>
    <n v="133524"/>
    <n v="60850"/>
    <n v="72674"/>
    <n v="64580430"/>
    <n v="70163572"/>
    <n v="134744002"/>
    <n v="29706"/>
    <n v="12306"/>
    <n v="42012"/>
    <b v="1"/>
    <b v="1"/>
    <b v="1"/>
    <b v="1"/>
    <b v="1"/>
    <b v="1"/>
  </r>
  <r>
    <x v="2368"/>
    <n v="125887"/>
    <n v="53754"/>
    <n v="72133"/>
    <n v="64595015"/>
    <n v="54249040"/>
    <n v="118844055"/>
    <n v="29480"/>
    <n v="12252"/>
    <n v="41732"/>
    <b v="1"/>
    <b v="1"/>
    <b v="1"/>
    <b v="1"/>
    <b v="1"/>
    <b v="1"/>
  </r>
  <r>
    <x v="2369"/>
    <n v="145237"/>
    <n v="66350"/>
    <n v="78887"/>
    <n v="71872701"/>
    <n v="65847667"/>
    <n v="137720368"/>
    <n v="34715"/>
    <n v="14395"/>
    <n v="49110"/>
    <b v="1"/>
    <b v="1"/>
    <b v="1"/>
    <b v="1"/>
    <b v="1"/>
    <b v="1"/>
  </r>
  <r>
    <x v="2370"/>
    <n v="141911"/>
    <n v="66623"/>
    <n v="75288"/>
    <n v="72285567"/>
    <n v="68587355"/>
    <n v="140872922"/>
    <n v="31880"/>
    <n v="13838"/>
    <n v="45718"/>
    <b v="1"/>
    <b v="1"/>
    <b v="1"/>
    <b v="1"/>
    <b v="1"/>
    <b v="1"/>
  </r>
  <r>
    <x v="2371"/>
    <n v="135669"/>
    <n v="63898"/>
    <n v="71771"/>
    <n v="71682221"/>
    <n v="69347851"/>
    <n v="141030072"/>
    <n v="31504"/>
    <n v="13775"/>
    <n v="45279"/>
    <b v="1"/>
    <b v="1"/>
    <b v="1"/>
    <b v="1"/>
    <b v="1"/>
    <b v="1"/>
  </r>
  <r>
    <x v="2372"/>
    <n v="139752"/>
    <n v="66447"/>
    <n v="73305"/>
    <n v="71096417"/>
    <n v="75225530"/>
    <n v="146321947"/>
    <n v="31117"/>
    <n v="14144"/>
    <n v="45261"/>
    <b v="1"/>
    <b v="1"/>
    <b v="1"/>
    <b v="1"/>
    <b v="1"/>
    <b v="1"/>
  </r>
  <r>
    <x v="2373"/>
    <n v="141184"/>
    <n v="68030"/>
    <n v="73154"/>
    <n v="64676341"/>
    <n v="74256222"/>
    <n v="138932563"/>
    <n v="27109"/>
    <n v="13177"/>
    <n v="40286"/>
    <b v="1"/>
    <b v="1"/>
    <b v="1"/>
    <b v="1"/>
    <b v="1"/>
    <b v="1"/>
  </r>
  <r>
    <x v="2374"/>
    <n v="142143"/>
    <n v="68630"/>
    <n v="73513"/>
    <n v="61733999"/>
    <n v="71906955"/>
    <n v="133640954"/>
    <n v="27752"/>
    <n v="14060"/>
    <n v="41812"/>
    <b v="1"/>
    <b v="1"/>
    <b v="1"/>
    <b v="1"/>
    <b v="1"/>
    <b v="1"/>
  </r>
  <r>
    <x v="2375"/>
    <n v="132989"/>
    <n v="58896"/>
    <n v="74093"/>
    <n v="62354102"/>
    <n v="58143758"/>
    <n v="120497860"/>
    <n v="28104"/>
    <n v="13080"/>
    <n v="41184"/>
    <b v="1"/>
    <b v="1"/>
    <b v="1"/>
    <b v="1"/>
    <b v="1"/>
    <b v="1"/>
  </r>
  <r>
    <x v="2376"/>
    <n v="141111"/>
    <n v="67705"/>
    <n v="73406"/>
    <n v="72372874"/>
    <n v="69699211"/>
    <n v="142072085"/>
    <n v="33193"/>
    <n v="14542"/>
    <n v="47735"/>
    <b v="1"/>
    <b v="1"/>
    <b v="1"/>
    <b v="1"/>
    <b v="1"/>
    <b v="1"/>
  </r>
  <r>
    <x v="2377"/>
    <n v="138236"/>
    <n v="68252"/>
    <n v="69984"/>
    <n v="71460118"/>
    <n v="101407688"/>
    <n v="172867806"/>
    <n v="33207"/>
    <n v="14651"/>
    <n v="47858"/>
    <b v="1"/>
    <b v="1"/>
    <b v="1"/>
    <b v="1"/>
    <b v="1"/>
    <b v="1"/>
  </r>
  <r>
    <x v="2378"/>
    <n v="137263"/>
    <n v="69063"/>
    <n v="68200"/>
    <n v="75275160"/>
    <n v="78209366"/>
    <n v="153484526"/>
    <n v="33412"/>
    <n v="15009"/>
    <n v="48421"/>
    <b v="1"/>
    <b v="1"/>
    <b v="1"/>
    <b v="1"/>
    <b v="1"/>
    <b v="1"/>
  </r>
  <r>
    <x v="2379"/>
    <n v="136323"/>
    <n v="66304"/>
    <n v="70019"/>
    <n v="69041317"/>
    <n v="78200198"/>
    <n v="147241515"/>
    <n v="29249"/>
    <n v="12996"/>
    <n v="42245"/>
    <b v="1"/>
    <b v="1"/>
    <b v="1"/>
    <b v="1"/>
    <b v="1"/>
    <b v="1"/>
  </r>
  <r>
    <x v="2380"/>
    <n v="148716"/>
    <n v="72301"/>
    <n v="76415"/>
    <n v="73959758"/>
    <n v="78644538"/>
    <n v="152604296"/>
    <n v="31740"/>
    <n v="14618"/>
    <n v="46358"/>
    <b v="1"/>
    <b v="1"/>
    <b v="1"/>
    <b v="1"/>
    <b v="1"/>
    <b v="1"/>
  </r>
  <r>
    <x v="2381"/>
    <n v="141609"/>
    <n v="69484"/>
    <n v="72125"/>
    <n v="66209373"/>
    <n v="72185009"/>
    <n v="138394382"/>
    <n v="27931"/>
    <n v="13369"/>
    <n v="41300"/>
    <b v="1"/>
    <b v="1"/>
    <b v="1"/>
    <b v="1"/>
    <b v="1"/>
    <b v="1"/>
  </r>
  <r>
    <x v="2382"/>
    <n v="130879"/>
    <n v="60080"/>
    <n v="70799"/>
    <n v="62328701"/>
    <n v="57283902"/>
    <n v="119612603"/>
    <n v="28755"/>
    <n v="13093"/>
    <n v="41848"/>
    <b v="1"/>
    <b v="1"/>
    <b v="1"/>
    <b v="1"/>
    <b v="1"/>
    <b v="1"/>
  </r>
  <r>
    <x v="2383"/>
    <n v="144533"/>
    <n v="69449"/>
    <n v="75084"/>
    <n v="70162218"/>
    <n v="68656930"/>
    <n v="138819148"/>
    <n v="32519"/>
    <n v="15711"/>
    <n v="48230"/>
    <b v="1"/>
    <b v="1"/>
    <b v="1"/>
    <b v="1"/>
    <b v="1"/>
    <b v="1"/>
  </r>
  <r>
    <x v="2384"/>
    <n v="142102"/>
    <n v="67760"/>
    <n v="74342"/>
    <n v="67397280"/>
    <n v="113769361"/>
    <n v="181166641"/>
    <n v="30608"/>
    <n v="13191"/>
    <n v="43799"/>
    <b v="1"/>
    <b v="1"/>
    <b v="1"/>
    <b v="1"/>
    <b v="1"/>
    <b v="1"/>
  </r>
  <r>
    <x v="2385"/>
    <n v="134291"/>
    <n v="66834"/>
    <n v="67457"/>
    <n v="59424683"/>
    <n v="77018754"/>
    <n v="136443437"/>
    <n v="25726"/>
    <n v="11255"/>
    <n v="36981"/>
    <b v="1"/>
    <b v="1"/>
    <b v="1"/>
    <b v="1"/>
    <b v="1"/>
    <b v="1"/>
  </r>
  <r>
    <x v="2386"/>
    <n v="134029"/>
    <n v="67077"/>
    <n v="66952"/>
    <n v="62775072"/>
    <n v="74697408"/>
    <n v="137472480"/>
    <n v="27452"/>
    <n v="12523"/>
    <n v="39975"/>
    <b v="1"/>
    <b v="1"/>
    <b v="1"/>
    <b v="1"/>
    <b v="1"/>
    <b v="1"/>
  </r>
  <r>
    <x v="2387"/>
    <n v="139022"/>
    <n v="69202"/>
    <n v="69820"/>
    <n v="65080143"/>
    <n v="69356289"/>
    <n v="134436432"/>
    <n v="29590"/>
    <n v="13733"/>
    <n v="43323"/>
    <b v="1"/>
    <b v="1"/>
    <b v="1"/>
    <b v="1"/>
    <b v="1"/>
    <b v="1"/>
  </r>
  <r>
    <x v="2388"/>
    <n v="138367"/>
    <n v="68483"/>
    <n v="69884"/>
    <n v="64611042"/>
    <n v="71973302"/>
    <n v="136584344"/>
    <n v="28562"/>
    <n v="13018"/>
    <n v="41580"/>
    <b v="1"/>
    <b v="1"/>
    <b v="1"/>
    <b v="1"/>
    <b v="1"/>
    <b v="1"/>
  </r>
  <r>
    <x v="2389"/>
    <n v="128428"/>
    <n v="59461"/>
    <n v="68967"/>
    <n v="55254326"/>
    <n v="52928324"/>
    <n v="108182650"/>
    <n v="25511"/>
    <n v="11777"/>
    <n v="37288"/>
    <b v="1"/>
    <b v="1"/>
    <b v="1"/>
    <b v="1"/>
    <b v="1"/>
    <b v="1"/>
  </r>
  <r>
    <x v="2390"/>
    <n v="133589"/>
    <n v="65024"/>
    <n v="68565"/>
    <n v="50104065"/>
    <n v="59555850"/>
    <n v="109659915"/>
    <n v="24310"/>
    <n v="11048"/>
    <n v="35358"/>
    <b v="1"/>
    <b v="1"/>
    <b v="1"/>
    <b v="1"/>
    <b v="1"/>
    <b v="1"/>
  </r>
  <r>
    <x v="2391"/>
    <n v="135870"/>
    <n v="67320"/>
    <n v="68550"/>
    <n v="58505299"/>
    <n v="66574635"/>
    <n v="125079934"/>
    <n v="25676"/>
    <n v="11763"/>
    <n v="37439"/>
    <b v="1"/>
    <b v="1"/>
    <b v="1"/>
    <b v="1"/>
    <b v="1"/>
    <b v="1"/>
  </r>
  <r>
    <x v="2392"/>
    <n v="129693"/>
    <n v="63405"/>
    <n v="66288"/>
    <n v="57653031"/>
    <n v="57955206"/>
    <n v="115608237"/>
    <n v="26058"/>
    <n v="12048"/>
    <n v="38106"/>
    <b v="1"/>
    <b v="1"/>
    <b v="1"/>
    <b v="1"/>
    <b v="1"/>
    <b v="1"/>
  </r>
  <r>
    <x v="2393"/>
    <n v="138703"/>
    <n v="68712"/>
    <n v="69991"/>
    <n v="65328216"/>
    <n v="70497851"/>
    <n v="135826067"/>
    <n v="28911"/>
    <n v="13608"/>
    <n v="42519"/>
    <b v="1"/>
    <b v="1"/>
    <b v="1"/>
    <b v="1"/>
    <b v="1"/>
    <b v="1"/>
  </r>
  <r>
    <x v="2394"/>
    <n v="145771"/>
    <n v="71014"/>
    <n v="74757"/>
    <n v="68211788"/>
    <n v="69389752"/>
    <n v="137601540"/>
    <n v="30768"/>
    <n v="14130"/>
    <n v="44898"/>
    <b v="1"/>
    <b v="1"/>
    <b v="1"/>
    <b v="1"/>
    <b v="1"/>
    <b v="1"/>
  </r>
  <r>
    <x v="2395"/>
    <n v="141796"/>
    <n v="68986"/>
    <n v="72810"/>
    <n v="70015269"/>
    <n v="68961435"/>
    <n v="138976704"/>
    <n v="30166"/>
    <n v="13878"/>
    <n v="44044"/>
    <b v="1"/>
    <b v="1"/>
    <b v="1"/>
    <b v="1"/>
    <b v="1"/>
    <b v="1"/>
  </r>
  <r>
    <x v="2396"/>
    <n v="135399"/>
    <n v="61939"/>
    <n v="73460"/>
    <n v="67146396"/>
    <n v="57288607"/>
    <n v="124435003"/>
    <n v="31197"/>
    <n v="13910"/>
    <n v="45107"/>
    <b v="1"/>
    <b v="1"/>
    <b v="1"/>
    <b v="1"/>
    <b v="1"/>
    <b v="1"/>
  </r>
  <r>
    <x v="2397"/>
    <n v="142439"/>
    <n v="68358"/>
    <n v="74081"/>
    <n v="69830776"/>
    <n v="67775301"/>
    <n v="137606077"/>
    <n v="29670"/>
    <n v="13503"/>
    <n v="43173"/>
    <b v="1"/>
    <b v="1"/>
    <b v="1"/>
    <b v="1"/>
    <b v="1"/>
    <b v="1"/>
  </r>
  <r>
    <x v="2398"/>
    <n v="140113"/>
    <n v="68191"/>
    <n v="71922"/>
    <n v="62216347"/>
    <n v="67719257"/>
    <n v="129935604"/>
    <n v="28069"/>
    <n v="12595"/>
    <n v="40664"/>
    <b v="1"/>
    <b v="1"/>
    <b v="1"/>
    <b v="1"/>
    <b v="1"/>
    <b v="1"/>
  </r>
  <r>
    <x v="2399"/>
    <n v="128744"/>
    <n v="62676"/>
    <n v="66068"/>
    <n v="54688836"/>
    <n v="67518869"/>
    <n v="122207705"/>
    <n v="23074"/>
    <n v="9741"/>
    <n v="32815"/>
    <b v="1"/>
    <b v="1"/>
    <b v="1"/>
    <b v="1"/>
    <b v="1"/>
    <b v="1"/>
  </r>
  <r>
    <x v="2400"/>
    <n v="137000"/>
    <n v="68006"/>
    <n v="68994"/>
    <n v="61334030"/>
    <n v="67276752"/>
    <n v="128610782"/>
    <n v="25866"/>
    <n v="12168"/>
    <n v="38034"/>
    <b v="1"/>
    <b v="1"/>
    <b v="1"/>
    <b v="1"/>
    <b v="1"/>
    <b v="1"/>
  </r>
  <r>
    <x v="2401"/>
    <n v="127752"/>
    <n v="64669"/>
    <n v="63083"/>
    <n v="62888929"/>
    <n v="67479916"/>
    <n v="130368845"/>
    <n v="26904"/>
    <n v="12729"/>
    <n v="39633"/>
    <b v="1"/>
    <b v="1"/>
    <b v="1"/>
    <b v="1"/>
    <b v="1"/>
    <b v="1"/>
  </r>
  <r>
    <x v="2402"/>
    <n v="128358"/>
    <n v="64548"/>
    <n v="63810"/>
    <n v="63489670"/>
    <n v="65791153"/>
    <n v="129280823"/>
    <n v="26510"/>
    <n v="13250"/>
    <n v="39760"/>
    <b v="1"/>
    <b v="1"/>
    <b v="1"/>
    <b v="1"/>
    <b v="1"/>
    <b v="1"/>
  </r>
  <r>
    <x v="2403"/>
    <n v="112785"/>
    <n v="54369"/>
    <n v="58416"/>
    <n v="51198631"/>
    <n v="55083031"/>
    <n v="106281662"/>
    <n v="23250"/>
    <n v="11049"/>
    <n v="34299"/>
    <b v="1"/>
    <b v="1"/>
    <b v="1"/>
    <b v="1"/>
    <b v="1"/>
    <b v="1"/>
  </r>
  <r>
    <x v="2404"/>
    <n v="128388"/>
    <n v="64691"/>
    <n v="63697"/>
    <n v="63390458"/>
    <n v="67982309"/>
    <n v="131372767"/>
    <n v="29460"/>
    <n v="13832"/>
    <n v="43292"/>
    <b v="1"/>
    <b v="1"/>
    <b v="1"/>
    <b v="1"/>
    <b v="1"/>
    <b v="1"/>
  </r>
  <r>
    <x v="2405"/>
    <n v="133165"/>
    <n v="68215"/>
    <n v="64950"/>
    <n v="72008797"/>
    <n v="83010377"/>
    <n v="155019174"/>
    <n v="30519"/>
    <n v="14226"/>
    <n v="44745"/>
    <b v="1"/>
    <b v="1"/>
    <b v="1"/>
    <b v="1"/>
    <b v="1"/>
    <b v="1"/>
  </r>
  <r>
    <x v="2406"/>
    <n v="137367"/>
    <n v="70159"/>
    <n v="67208"/>
    <n v="74020504"/>
    <n v="86016513"/>
    <n v="160037017"/>
    <n v="31588"/>
    <n v="14176"/>
    <n v="45764"/>
    <b v="1"/>
    <b v="1"/>
    <b v="1"/>
    <b v="1"/>
    <b v="1"/>
    <b v="1"/>
  </r>
  <r>
    <x v="2407"/>
    <n v="132420"/>
    <n v="67830"/>
    <n v="64590"/>
    <n v="73361468"/>
    <n v="86872244"/>
    <n v="160233712"/>
    <n v="30585"/>
    <n v="13996"/>
    <n v="44581"/>
    <b v="1"/>
    <b v="1"/>
    <b v="1"/>
    <b v="1"/>
    <b v="1"/>
    <b v="1"/>
  </r>
  <r>
    <x v="2408"/>
    <n v="127128"/>
    <n v="65204"/>
    <n v="61924"/>
    <n v="67234766"/>
    <n v="80122671"/>
    <n v="147357437"/>
    <n v="28796"/>
    <n v="13381"/>
    <n v="42177"/>
    <b v="1"/>
    <b v="1"/>
    <b v="1"/>
    <b v="1"/>
    <b v="1"/>
    <b v="1"/>
  </r>
  <r>
    <x v="2409"/>
    <n v="129728"/>
    <n v="66414"/>
    <n v="63314"/>
    <n v="63596434"/>
    <n v="80995752"/>
    <n v="144592186"/>
    <n v="27222"/>
    <n v="13398"/>
    <n v="40620"/>
    <b v="1"/>
    <b v="1"/>
    <b v="1"/>
    <b v="1"/>
    <b v="1"/>
    <b v="1"/>
  </r>
  <r>
    <x v="2410"/>
    <n v="116573"/>
    <n v="55941"/>
    <n v="60632"/>
    <n v="56048534"/>
    <n v="58033513"/>
    <n v="114082047"/>
    <n v="24557"/>
    <n v="11352"/>
    <n v="35909"/>
    <b v="1"/>
    <b v="1"/>
    <b v="1"/>
    <b v="1"/>
    <b v="1"/>
    <b v="1"/>
  </r>
  <r>
    <x v="2411"/>
    <n v="131207"/>
    <n v="65564"/>
    <n v="65643"/>
    <n v="64886847"/>
    <n v="72580674"/>
    <n v="137467521"/>
    <n v="29530"/>
    <n v="12726"/>
    <n v="42256"/>
    <b v="1"/>
    <b v="1"/>
    <b v="1"/>
    <b v="1"/>
    <b v="1"/>
    <b v="1"/>
  </r>
  <r>
    <x v="2412"/>
    <n v="141347"/>
    <n v="70051"/>
    <n v="71296"/>
    <n v="70220265"/>
    <n v="78150661"/>
    <n v="148370926"/>
    <n v="29626"/>
    <n v="13377"/>
    <n v="43003"/>
    <b v="1"/>
    <b v="1"/>
    <b v="1"/>
    <b v="1"/>
    <b v="1"/>
    <b v="1"/>
  </r>
  <r>
    <x v="2413"/>
    <n v="130214"/>
    <n v="65771"/>
    <n v="64443"/>
    <n v="65585947"/>
    <n v="79401566"/>
    <n v="144987513"/>
    <n v="27682"/>
    <n v="11942"/>
    <n v="39624"/>
    <b v="1"/>
    <b v="1"/>
    <b v="1"/>
    <b v="1"/>
    <b v="1"/>
    <b v="1"/>
  </r>
  <r>
    <x v="2414"/>
    <n v="136802"/>
    <n v="68484"/>
    <n v="68318"/>
    <n v="92759964"/>
    <n v="80688423"/>
    <n v="173448387"/>
    <n v="29708"/>
    <n v="13677"/>
    <n v="43385"/>
    <b v="1"/>
    <b v="1"/>
    <b v="1"/>
    <b v="1"/>
    <b v="1"/>
    <b v="1"/>
  </r>
  <r>
    <x v="2415"/>
    <n v="125877"/>
    <n v="62874"/>
    <n v="63003"/>
    <n v="63089759"/>
    <n v="71545535"/>
    <n v="134635294"/>
    <n v="26442"/>
    <n v="11840"/>
    <n v="38282"/>
    <b v="1"/>
    <b v="1"/>
    <b v="1"/>
    <b v="1"/>
    <b v="1"/>
    <b v="1"/>
  </r>
  <r>
    <x v="2416"/>
    <n v="130849"/>
    <n v="64393"/>
    <n v="66456"/>
    <n v="65493746"/>
    <n v="70788589"/>
    <n v="136282335"/>
    <n v="29810"/>
    <n v="13779"/>
    <n v="43589"/>
    <b v="1"/>
    <b v="1"/>
    <b v="1"/>
    <b v="1"/>
    <b v="1"/>
    <b v="1"/>
  </r>
  <r>
    <x v="2417"/>
    <n v="89426"/>
    <n v="36703"/>
    <n v="52723"/>
    <n v="41228385"/>
    <n v="33503833"/>
    <n v="74732218"/>
    <n v="19055"/>
    <n v="6137"/>
    <n v="25192"/>
    <b v="1"/>
    <b v="1"/>
    <b v="1"/>
    <b v="1"/>
    <b v="1"/>
    <b v="1"/>
  </r>
  <r>
    <x v="2418"/>
    <n v="140131"/>
    <n v="65567"/>
    <n v="74564"/>
    <n v="71083451"/>
    <n v="71007672"/>
    <n v="142091123"/>
    <n v="31414"/>
    <n v="10750"/>
    <n v="42164"/>
    <b v="1"/>
    <b v="1"/>
    <b v="1"/>
    <b v="1"/>
    <b v="1"/>
    <b v="1"/>
  </r>
  <r>
    <x v="2419"/>
    <n v="135231"/>
    <n v="64080"/>
    <n v="71151"/>
    <n v="74116358"/>
    <n v="76430184"/>
    <n v="150546542"/>
    <n v="32702"/>
    <n v="10905"/>
    <n v="43607"/>
    <b v="1"/>
    <b v="1"/>
    <b v="1"/>
    <b v="1"/>
    <b v="1"/>
    <b v="1"/>
  </r>
  <r>
    <x v="2420"/>
    <n v="138978"/>
    <n v="65662"/>
    <n v="73316"/>
    <n v="71486932"/>
    <n v="76429032"/>
    <n v="147915964"/>
    <n v="31912"/>
    <n v="11253"/>
    <n v="43165"/>
    <b v="1"/>
    <b v="1"/>
    <b v="1"/>
    <b v="1"/>
    <b v="1"/>
    <b v="1"/>
  </r>
  <r>
    <x v="2421"/>
    <n v="130892"/>
    <n v="61799"/>
    <n v="69093"/>
    <n v="71515569"/>
    <n v="72794175"/>
    <n v="144309744"/>
    <n v="31460"/>
    <n v="10866"/>
    <n v="42326"/>
    <b v="1"/>
    <b v="1"/>
    <b v="1"/>
    <b v="1"/>
    <b v="1"/>
    <b v="1"/>
  </r>
  <r>
    <x v="2422"/>
    <n v="117209"/>
    <n v="56001"/>
    <n v="61208"/>
    <n v="60136667"/>
    <n v="63014232"/>
    <n v="123150899"/>
    <n v="26921"/>
    <n v="9279"/>
    <n v="36200"/>
    <b v="1"/>
    <b v="1"/>
    <b v="1"/>
    <b v="1"/>
    <b v="1"/>
    <b v="1"/>
  </r>
  <r>
    <x v="2423"/>
    <n v="114655"/>
    <n v="52395"/>
    <n v="62260"/>
    <n v="55760212"/>
    <n v="59008091"/>
    <n v="114768303"/>
    <n v="27013"/>
    <n v="9414"/>
    <n v="36427"/>
    <b v="1"/>
    <b v="1"/>
    <b v="1"/>
    <b v="1"/>
    <b v="1"/>
    <b v="1"/>
  </r>
  <r>
    <x v="2424"/>
    <n v="106507"/>
    <n v="43422"/>
    <n v="63085"/>
    <n v="46549609"/>
    <n v="34768973"/>
    <n v="81318582"/>
    <n v="24373"/>
    <n v="8203"/>
    <n v="32576"/>
    <b v="1"/>
    <b v="1"/>
    <b v="1"/>
    <b v="1"/>
    <b v="1"/>
    <b v="1"/>
  </r>
  <r>
    <x v="2425"/>
    <n v="123736"/>
    <n v="57188"/>
    <n v="66548"/>
    <n v="62372564"/>
    <n v="52074493"/>
    <n v="114447057"/>
    <n v="24399"/>
    <n v="8370"/>
    <n v="32769"/>
    <b v="1"/>
    <b v="1"/>
    <b v="1"/>
    <b v="1"/>
    <b v="1"/>
    <b v="1"/>
  </r>
  <r>
    <x v="2426"/>
    <n v="116264"/>
    <n v="57209"/>
    <n v="59055"/>
    <n v="63352866"/>
    <n v="69347889"/>
    <n v="132700755"/>
    <n v="29253"/>
    <n v="9971"/>
    <n v="39224"/>
    <b v="1"/>
    <b v="1"/>
    <b v="1"/>
    <b v="1"/>
    <b v="1"/>
    <b v="1"/>
  </r>
  <r>
    <x v="2427"/>
    <n v="118942"/>
    <n v="59497"/>
    <n v="59445"/>
    <n v="69869370"/>
    <n v="77662433"/>
    <n v="147531803"/>
    <n v="28977"/>
    <n v="9851"/>
    <n v="38828"/>
    <b v="1"/>
    <b v="1"/>
    <b v="1"/>
    <b v="1"/>
    <b v="1"/>
    <b v="1"/>
  </r>
  <r>
    <x v="2428"/>
    <n v="123674"/>
    <n v="60363"/>
    <n v="63311"/>
    <n v="71879905"/>
    <n v="75537979"/>
    <n v="147417884"/>
    <n v="31237"/>
    <n v="10691"/>
    <n v="41928"/>
    <b v="1"/>
    <b v="1"/>
    <b v="1"/>
    <b v="1"/>
    <b v="1"/>
    <b v="1"/>
  </r>
  <r>
    <x v="2429"/>
    <n v="123195"/>
    <n v="59020"/>
    <n v="64175"/>
    <n v="66754081"/>
    <n v="72654607"/>
    <n v="139408688"/>
    <n v="31390"/>
    <n v="10433"/>
    <n v="41823"/>
    <b v="1"/>
    <b v="1"/>
    <b v="1"/>
    <b v="1"/>
    <b v="1"/>
    <b v="1"/>
  </r>
  <r>
    <x v="2430"/>
    <n v="127901"/>
    <n v="61038"/>
    <n v="66863"/>
    <n v="67086550"/>
    <n v="70096985"/>
    <n v="137183535"/>
    <n v="29837"/>
    <n v="10345"/>
    <n v="40182"/>
    <b v="1"/>
    <b v="1"/>
    <b v="1"/>
    <b v="1"/>
    <b v="1"/>
    <b v="1"/>
  </r>
  <r>
    <x v="2431"/>
    <n v="119501"/>
    <n v="51919"/>
    <n v="67582"/>
    <n v="62903305"/>
    <n v="52320153"/>
    <n v="115223458"/>
    <n v="29310"/>
    <n v="9639"/>
    <n v="38949"/>
    <b v="1"/>
    <b v="1"/>
    <b v="1"/>
    <b v="1"/>
    <b v="1"/>
    <b v="1"/>
  </r>
  <r>
    <x v="2432"/>
    <n v="129560"/>
    <n v="60223"/>
    <n v="69337"/>
    <n v="57854956"/>
    <n v="50439765"/>
    <n v="108294721"/>
    <n v="27607"/>
    <n v="9113"/>
    <n v="36720"/>
    <b v="1"/>
    <b v="1"/>
    <b v="1"/>
    <b v="1"/>
    <b v="1"/>
    <b v="1"/>
  </r>
  <r>
    <x v="2433"/>
    <n v="126371"/>
    <n v="60080"/>
    <n v="66291"/>
    <n v="57166926"/>
    <n v="54968535"/>
    <n v="112135461"/>
    <n v="28056"/>
    <n v="8915"/>
    <n v="36971"/>
    <b v="1"/>
    <b v="1"/>
    <b v="1"/>
    <b v="1"/>
    <b v="1"/>
    <b v="1"/>
  </r>
  <r>
    <x v="2434"/>
    <n v="118888"/>
    <n v="59055"/>
    <n v="59833"/>
    <n v="60589527"/>
    <n v="69478642"/>
    <n v="130068169"/>
    <n v="27528"/>
    <n v="9103"/>
    <n v="36631"/>
    <b v="1"/>
    <b v="1"/>
    <b v="1"/>
    <b v="1"/>
    <b v="1"/>
    <b v="1"/>
  </r>
  <r>
    <x v="2435"/>
    <n v="123850"/>
    <n v="61494"/>
    <n v="62356"/>
    <n v="67586469"/>
    <n v="74492963"/>
    <n v="142079432"/>
    <n v="30347"/>
    <n v="10735"/>
    <n v="41082"/>
    <b v="1"/>
    <b v="1"/>
    <b v="1"/>
    <b v="1"/>
    <b v="1"/>
    <b v="1"/>
  </r>
  <r>
    <x v="2436"/>
    <n v="127531"/>
    <n v="62037"/>
    <n v="65494"/>
    <n v="69330945"/>
    <n v="73233021"/>
    <n v="142563966"/>
    <n v="29921"/>
    <n v="10609"/>
    <n v="40530"/>
    <b v="1"/>
    <b v="1"/>
    <b v="1"/>
    <b v="1"/>
    <b v="1"/>
    <b v="1"/>
  </r>
  <r>
    <x v="2437"/>
    <n v="127428"/>
    <n v="61918"/>
    <n v="65510"/>
    <n v="70091156"/>
    <n v="76354556"/>
    <n v="146445712"/>
    <n v="31198"/>
    <n v="10991"/>
    <n v="42189"/>
    <b v="1"/>
    <b v="1"/>
    <b v="1"/>
    <b v="1"/>
    <b v="1"/>
    <b v="1"/>
  </r>
  <r>
    <x v="2438"/>
    <n v="112924"/>
    <n v="51040"/>
    <n v="61884"/>
    <n v="62583877"/>
    <n v="57748206"/>
    <n v="120332083"/>
    <n v="29258"/>
    <n v="10057"/>
    <n v="39315"/>
    <b v="1"/>
    <b v="1"/>
    <b v="1"/>
    <b v="1"/>
    <b v="1"/>
    <b v="1"/>
  </r>
  <r>
    <x v="2439"/>
    <n v="126568"/>
    <n v="60637"/>
    <n v="65931"/>
    <n v="71132460"/>
    <n v="73502244"/>
    <n v="144634704"/>
    <n v="33030"/>
    <n v="11597"/>
    <n v="44627"/>
    <b v="1"/>
    <b v="1"/>
    <b v="1"/>
    <b v="1"/>
    <b v="1"/>
    <b v="1"/>
  </r>
  <r>
    <x v="2440"/>
    <n v="121200"/>
    <n v="58076"/>
    <n v="63124"/>
    <n v="68655546"/>
    <n v="71800128"/>
    <n v="140455674"/>
    <n v="29698"/>
    <n v="10546"/>
    <n v="40244"/>
    <b v="1"/>
    <b v="1"/>
    <b v="1"/>
    <b v="1"/>
    <b v="1"/>
    <b v="1"/>
  </r>
  <r>
    <x v="2441"/>
    <n v="125936"/>
    <n v="61503"/>
    <n v="64433"/>
    <n v="74103850"/>
    <n v="79480955"/>
    <n v="153584805"/>
    <n v="32723"/>
    <n v="11334"/>
    <n v="44057"/>
    <b v="1"/>
    <b v="1"/>
    <b v="1"/>
    <b v="1"/>
    <b v="1"/>
    <b v="1"/>
  </r>
  <r>
    <x v="2442"/>
    <n v="114436"/>
    <n v="56799"/>
    <n v="57637"/>
    <n v="70404426"/>
    <n v="75460336"/>
    <n v="145864762"/>
    <n v="30282"/>
    <n v="10056"/>
    <n v="40338"/>
    <b v="1"/>
    <b v="1"/>
    <b v="1"/>
    <b v="1"/>
    <b v="1"/>
    <b v="1"/>
  </r>
  <r>
    <x v="2443"/>
    <n v="100303"/>
    <n v="49900"/>
    <n v="50403"/>
    <n v="62800292"/>
    <n v="64859540"/>
    <n v="127659832"/>
    <n v="30948"/>
    <n v="10663"/>
    <n v="41611"/>
    <b v="1"/>
    <b v="1"/>
    <b v="1"/>
    <b v="1"/>
    <b v="1"/>
    <b v="1"/>
  </r>
  <r>
    <x v="2444"/>
    <n v="93124"/>
    <n v="47302"/>
    <n v="45822"/>
    <n v="41829604"/>
    <n v="55422011"/>
    <n v="97251615"/>
    <n v="21570"/>
    <n v="7102"/>
    <n v="28672"/>
    <b v="1"/>
    <b v="1"/>
    <b v="1"/>
    <b v="1"/>
    <b v="1"/>
    <b v="1"/>
  </r>
  <r>
    <x v="2445"/>
    <n v="85858"/>
    <n v="40493"/>
    <n v="45365"/>
    <n v="48459829"/>
    <n v="47039728"/>
    <n v="95499557"/>
    <n v="23205"/>
    <n v="7712"/>
    <n v="30917"/>
    <b v="1"/>
    <b v="1"/>
    <b v="1"/>
    <b v="1"/>
    <b v="1"/>
    <b v="1"/>
  </r>
  <r>
    <x v="2446"/>
    <n v="114015"/>
    <n v="54220"/>
    <n v="59795"/>
    <n v="60208941"/>
    <n v="62269573"/>
    <n v="122478514"/>
    <n v="29248"/>
    <n v="9486"/>
    <n v="38734"/>
    <b v="1"/>
    <b v="1"/>
    <b v="1"/>
    <b v="1"/>
    <b v="1"/>
    <b v="1"/>
  </r>
  <r>
    <x v="2447"/>
    <n v="114847"/>
    <n v="56021"/>
    <n v="58826"/>
    <n v="63135374"/>
    <n v="66054384"/>
    <n v="129189758"/>
    <n v="28969"/>
    <n v="9676"/>
    <n v="38645"/>
    <b v="1"/>
    <b v="1"/>
    <b v="1"/>
    <b v="1"/>
    <b v="1"/>
    <b v="1"/>
  </r>
  <r>
    <x v="2448"/>
    <n v="113898"/>
    <n v="56533"/>
    <n v="57365"/>
    <n v="63668161"/>
    <n v="73867797"/>
    <n v="137535958"/>
    <n v="28557"/>
    <n v="9329"/>
    <n v="37886"/>
    <b v="1"/>
    <b v="1"/>
    <b v="1"/>
    <b v="1"/>
    <b v="1"/>
    <b v="1"/>
  </r>
  <r>
    <x v="2449"/>
    <n v="98155"/>
    <n v="49579"/>
    <n v="48576"/>
    <n v="54187147"/>
    <n v="64047741"/>
    <n v="118234888"/>
    <n v="22820"/>
    <n v="7499"/>
    <n v="30319"/>
    <b v="1"/>
    <b v="1"/>
    <b v="1"/>
    <b v="1"/>
    <b v="1"/>
    <b v="1"/>
  </r>
  <r>
    <x v="2450"/>
    <n v="113806"/>
    <n v="56231"/>
    <n v="57575"/>
    <n v="62036881"/>
    <n v="61893993"/>
    <n v="123930874"/>
    <n v="28944"/>
    <n v="10021"/>
    <n v="38965"/>
    <b v="1"/>
    <b v="1"/>
    <b v="1"/>
    <b v="1"/>
    <b v="1"/>
    <b v="1"/>
  </r>
  <r>
    <x v="2451"/>
    <n v="127370"/>
    <n v="62762"/>
    <n v="64608"/>
    <n v="71940406"/>
    <n v="72639498"/>
    <n v="144579904"/>
    <n v="31098"/>
    <n v="10846"/>
    <n v="41944"/>
    <b v="1"/>
    <b v="1"/>
    <b v="1"/>
    <b v="1"/>
    <b v="1"/>
    <b v="1"/>
  </r>
  <r>
    <x v="2452"/>
    <n v="110671"/>
    <n v="50955"/>
    <n v="59716"/>
    <n v="60805456"/>
    <n v="54867449"/>
    <n v="115672905"/>
    <n v="27042"/>
    <n v="9316"/>
    <n v="36358"/>
    <b v="1"/>
    <b v="1"/>
    <b v="1"/>
    <b v="1"/>
    <b v="1"/>
    <b v="1"/>
  </r>
  <r>
    <x v="2453"/>
    <n v="124001"/>
    <n v="58950"/>
    <n v="65051"/>
    <n v="76963296"/>
    <n v="70652526"/>
    <n v="147615822"/>
    <n v="31899"/>
    <n v="9877"/>
    <n v="41776"/>
    <b v="1"/>
    <b v="1"/>
    <b v="1"/>
    <b v="1"/>
    <b v="1"/>
    <b v="1"/>
  </r>
  <r>
    <x v="2454"/>
    <n v="120851"/>
    <n v="58997"/>
    <n v="61854"/>
    <n v="69411559"/>
    <n v="72793949"/>
    <n v="142205508"/>
    <n v="28022"/>
    <n v="8776"/>
    <n v="36798"/>
    <b v="1"/>
    <b v="1"/>
    <b v="1"/>
    <b v="1"/>
    <b v="1"/>
    <b v="1"/>
  </r>
  <r>
    <x v="2455"/>
    <n v="120948"/>
    <n v="59074"/>
    <n v="61874"/>
    <n v="70096352"/>
    <n v="76026546"/>
    <n v="146122898"/>
    <n v="28408"/>
    <n v="9476"/>
    <n v="37884"/>
    <b v="1"/>
    <b v="1"/>
    <b v="1"/>
    <b v="1"/>
    <b v="1"/>
    <b v="1"/>
  </r>
  <r>
    <x v="2456"/>
    <n v="131173"/>
    <n v="62458"/>
    <n v="68715"/>
    <n v="73976259"/>
    <n v="74432303"/>
    <n v="148408562"/>
    <n v="31662"/>
    <n v="10035"/>
    <n v="41697"/>
    <b v="1"/>
    <b v="1"/>
    <b v="1"/>
    <b v="1"/>
    <b v="1"/>
    <b v="1"/>
  </r>
  <r>
    <x v="2457"/>
    <n v="128794"/>
    <n v="63402"/>
    <n v="65392"/>
    <n v="68170920"/>
    <n v="68061694"/>
    <n v="136232614"/>
    <n v="29564"/>
    <n v="10073"/>
    <n v="39637"/>
    <b v="1"/>
    <b v="1"/>
    <b v="1"/>
    <b v="1"/>
    <b v="1"/>
    <b v="1"/>
  </r>
  <r>
    <x v="2458"/>
    <n v="132823"/>
    <n v="64047"/>
    <n v="68776"/>
    <n v="74554314"/>
    <n v="69684411"/>
    <n v="144238725"/>
    <n v="30916"/>
    <n v="11169"/>
    <n v="42085"/>
    <b v="1"/>
    <b v="1"/>
    <b v="1"/>
    <b v="1"/>
    <b v="1"/>
    <b v="1"/>
  </r>
  <r>
    <x v="2459"/>
    <n v="120965"/>
    <n v="52987"/>
    <n v="67978"/>
    <n v="68826744"/>
    <n v="57405228"/>
    <n v="126231972"/>
    <n v="30970"/>
    <n v="10773"/>
    <n v="41743"/>
    <b v="1"/>
    <b v="1"/>
    <b v="1"/>
    <b v="1"/>
    <b v="1"/>
    <b v="1"/>
  </r>
  <r>
    <x v="2460"/>
    <n v="115276"/>
    <n v="50614"/>
    <n v="64662"/>
    <n v="70403495"/>
    <n v="1010541332"/>
    <n v="1080944827"/>
    <n v="31031"/>
    <n v="10341"/>
    <n v="41372"/>
    <b v="1"/>
    <b v="1"/>
    <b v="1"/>
    <b v="1"/>
    <b v="1"/>
    <b v="1"/>
  </r>
  <r>
    <x v="2461"/>
    <n v="131177"/>
    <n v="62130"/>
    <n v="69047"/>
    <n v="73334097"/>
    <n v="67543528"/>
    <n v="140877625"/>
    <n v="30695"/>
    <n v="10576"/>
    <n v="41271"/>
    <b v="1"/>
    <b v="1"/>
    <b v="1"/>
    <b v="1"/>
    <b v="1"/>
    <b v="1"/>
  </r>
  <r>
    <x v="2462"/>
    <n v="132316"/>
    <n v="63833"/>
    <n v="68483"/>
    <n v="74791241"/>
    <n v="66637700"/>
    <n v="141428941"/>
    <n v="31765"/>
    <n v="10870"/>
    <n v="42635"/>
    <b v="1"/>
    <b v="1"/>
    <b v="1"/>
    <b v="1"/>
    <b v="1"/>
    <b v="1"/>
  </r>
  <r>
    <x v="2463"/>
    <n v="128369"/>
    <n v="61471"/>
    <n v="66898"/>
    <n v="75450323"/>
    <n v="67931396"/>
    <n v="143381719"/>
    <n v="30965"/>
    <n v="10907"/>
    <n v="41872"/>
    <b v="1"/>
    <b v="1"/>
    <b v="1"/>
    <b v="1"/>
    <b v="1"/>
    <b v="1"/>
  </r>
  <r>
    <x v="2464"/>
    <n v="107991"/>
    <n v="53157"/>
    <n v="54834"/>
    <n v="61752841"/>
    <n v="65494158"/>
    <n v="127246999"/>
    <n v="26851"/>
    <n v="9414"/>
    <n v="36265"/>
    <b v="1"/>
    <b v="1"/>
    <b v="1"/>
    <b v="1"/>
    <b v="1"/>
    <b v="1"/>
  </r>
  <r>
    <x v="2465"/>
    <n v="117016"/>
    <n v="57895"/>
    <n v="59121"/>
    <n v="60319189"/>
    <n v="63783087"/>
    <n v="124102276"/>
    <n v="27999"/>
    <n v="10244"/>
    <n v="38243"/>
    <b v="1"/>
    <b v="1"/>
    <b v="1"/>
    <b v="1"/>
    <b v="1"/>
    <b v="1"/>
  </r>
  <r>
    <x v="2466"/>
    <n v="115797"/>
    <n v="54418"/>
    <n v="61379"/>
    <n v="59644648"/>
    <n v="58799526"/>
    <n v="118444174"/>
    <n v="27339"/>
    <n v="9878"/>
    <n v="37217"/>
    <b v="1"/>
    <b v="1"/>
    <b v="1"/>
    <b v="1"/>
    <b v="1"/>
    <b v="1"/>
  </r>
  <r>
    <x v="2467"/>
    <n v="121841"/>
    <n v="59779"/>
    <n v="62062"/>
    <n v="66958815"/>
    <n v="68702929"/>
    <n v="135661744"/>
    <n v="29347"/>
    <n v="10123"/>
    <n v="39470"/>
    <b v="1"/>
    <b v="1"/>
    <b v="1"/>
    <b v="1"/>
    <b v="1"/>
    <b v="1"/>
  </r>
  <r>
    <x v="2468"/>
    <n v="113989"/>
    <n v="55862"/>
    <n v="58127"/>
    <n v="68587648"/>
    <n v="76055924"/>
    <n v="144643572"/>
    <n v="28741"/>
    <n v="9940"/>
    <n v="38681"/>
    <b v="1"/>
    <b v="1"/>
    <b v="1"/>
    <b v="1"/>
    <b v="1"/>
    <b v="1"/>
  </r>
  <r>
    <x v="2469"/>
    <n v="120642"/>
    <n v="60543"/>
    <n v="60099"/>
    <n v="68701235"/>
    <n v="79880975"/>
    <n v="148582210"/>
    <n v="28031"/>
    <n v="9859"/>
    <n v="37890"/>
    <b v="1"/>
    <b v="1"/>
    <b v="1"/>
    <b v="1"/>
    <b v="1"/>
    <b v="1"/>
  </r>
  <r>
    <x v="2470"/>
    <n v="116374"/>
    <n v="59129"/>
    <n v="57245"/>
    <n v="70542742"/>
    <n v="77944234"/>
    <n v="148486976"/>
    <n v="28109"/>
    <n v="9825"/>
    <n v="37934"/>
    <b v="1"/>
    <b v="1"/>
    <b v="1"/>
    <b v="1"/>
    <b v="1"/>
    <b v="1"/>
  </r>
  <r>
    <x v="2471"/>
    <n v="81256"/>
    <n v="40321"/>
    <n v="40935"/>
    <n v="51176283"/>
    <n v="60714874"/>
    <n v="111891157"/>
    <n v="22575"/>
    <n v="7757"/>
    <n v="30332"/>
    <b v="1"/>
    <b v="1"/>
    <b v="1"/>
    <b v="1"/>
    <b v="1"/>
    <b v="1"/>
  </r>
  <r>
    <x v="2472"/>
    <n v="113543"/>
    <n v="58042"/>
    <n v="55501"/>
    <n v="69309663"/>
    <n v="77387388"/>
    <n v="146697051"/>
    <n v="29112"/>
    <n v="10072"/>
    <n v="39184"/>
    <b v="1"/>
    <b v="1"/>
    <b v="1"/>
    <b v="1"/>
    <b v="1"/>
    <b v="1"/>
  </r>
  <r>
    <x v="2473"/>
    <n v="102398"/>
    <n v="49482"/>
    <n v="52916"/>
    <n v="54777513"/>
    <n v="56246844"/>
    <n v="111024357"/>
    <n v="25197"/>
    <n v="8385"/>
    <n v="33582"/>
    <b v="1"/>
    <b v="1"/>
    <b v="1"/>
    <b v="1"/>
    <b v="1"/>
    <b v="1"/>
  </r>
  <r>
    <x v="2474"/>
    <n v="114325"/>
    <n v="56088"/>
    <n v="58237"/>
    <n v="72406315"/>
    <n v="66191752"/>
    <n v="138598067"/>
    <n v="29667"/>
    <n v="10426"/>
    <n v="40093"/>
    <b v="1"/>
    <b v="1"/>
    <b v="1"/>
    <b v="1"/>
    <b v="1"/>
    <b v="1"/>
  </r>
  <r>
    <x v="2475"/>
    <n v="100366"/>
    <n v="51293"/>
    <n v="49073"/>
    <n v="66308123"/>
    <n v="70345154"/>
    <n v="136653277"/>
    <n v="28853"/>
    <n v="9757"/>
    <n v="38610"/>
    <b v="1"/>
    <b v="1"/>
    <b v="1"/>
    <b v="1"/>
    <b v="1"/>
    <b v="1"/>
  </r>
  <r>
    <x v="2476"/>
    <n v="112817"/>
    <n v="57579"/>
    <n v="55238"/>
    <n v="71137364"/>
    <n v="71137293"/>
    <n v="142274657"/>
    <n v="28786"/>
    <n v="9870"/>
    <n v="38656"/>
    <b v="1"/>
    <b v="1"/>
    <b v="1"/>
    <b v="1"/>
    <b v="1"/>
    <b v="1"/>
  </r>
  <r>
    <x v="2477"/>
    <n v="102559"/>
    <n v="50662"/>
    <n v="51897"/>
    <n v="63515405"/>
    <n v="59543167"/>
    <n v="123058572"/>
    <n v="26134"/>
    <n v="9240"/>
    <n v="35374"/>
    <b v="1"/>
    <b v="1"/>
    <b v="1"/>
    <b v="1"/>
    <b v="1"/>
    <b v="1"/>
  </r>
  <r>
    <x v="2478"/>
    <n v="103629"/>
    <n v="49502"/>
    <n v="54127"/>
    <n v="58565645"/>
    <n v="47914029"/>
    <n v="106479674"/>
    <n v="24452"/>
    <n v="8875"/>
    <n v="33327"/>
    <b v="1"/>
    <b v="1"/>
    <b v="1"/>
    <b v="1"/>
    <b v="1"/>
    <b v="1"/>
  </r>
  <r>
    <x v="2479"/>
    <n v="106404"/>
    <n v="52218"/>
    <n v="54186"/>
    <n v="62856230"/>
    <n v="53269042"/>
    <n v="116125272"/>
    <n v="25729"/>
    <n v="9354"/>
    <n v="35083"/>
    <b v="1"/>
    <b v="1"/>
    <b v="1"/>
    <b v="1"/>
    <b v="1"/>
    <b v="1"/>
  </r>
  <r>
    <x v="2480"/>
    <n v="102164"/>
    <n v="47524"/>
    <n v="54640"/>
    <n v="50497481"/>
    <n v="51534580"/>
    <n v="102032061"/>
    <n v="23030"/>
    <n v="7707"/>
    <n v="30737"/>
    <b v="1"/>
    <b v="1"/>
    <b v="1"/>
    <b v="1"/>
    <b v="1"/>
    <b v="1"/>
  </r>
  <r>
    <x v="2481"/>
    <n v="109370"/>
    <n v="54768"/>
    <n v="54602"/>
    <n v="60423765"/>
    <n v="61148954"/>
    <n v="121572719"/>
    <n v="24002"/>
    <n v="8539"/>
    <n v="32541"/>
    <b v="1"/>
    <b v="1"/>
    <b v="1"/>
    <b v="1"/>
    <b v="1"/>
    <b v="1"/>
  </r>
  <r>
    <x v="2482"/>
    <n v="115771"/>
    <n v="57813"/>
    <n v="57958"/>
    <n v="64295692"/>
    <n v="64807064"/>
    <n v="129102756"/>
    <n v="17229"/>
    <n v="9135"/>
    <n v="26364"/>
    <b v="1"/>
    <b v="1"/>
    <b v="1"/>
    <b v="1"/>
    <b v="1"/>
    <b v="1"/>
  </r>
  <r>
    <x v="2483"/>
    <n v="114528"/>
    <n v="57702"/>
    <n v="56826"/>
    <n v="71356667"/>
    <n v="69276132"/>
    <n v="140632799"/>
    <n v="27187"/>
    <n v="9253"/>
    <n v="36440"/>
    <b v="1"/>
    <b v="1"/>
    <b v="1"/>
    <b v="1"/>
    <b v="1"/>
    <b v="1"/>
  </r>
  <r>
    <x v="2484"/>
    <n v="119047"/>
    <n v="58572"/>
    <n v="60475"/>
    <n v="74962594"/>
    <n v="72341421"/>
    <n v="147304015"/>
    <n v="29597"/>
    <n v="9591"/>
    <n v="39188"/>
    <b v="1"/>
    <b v="1"/>
    <b v="1"/>
    <b v="1"/>
    <b v="1"/>
    <b v="1"/>
  </r>
  <r>
    <x v="2485"/>
    <n v="115657"/>
    <n v="58535"/>
    <n v="57122"/>
    <n v="78458991"/>
    <n v="75152599"/>
    <n v="153611590"/>
    <n v="27866"/>
    <n v="9287"/>
    <n v="37153"/>
    <b v="1"/>
    <b v="1"/>
    <b v="1"/>
    <b v="1"/>
    <b v="1"/>
    <b v="1"/>
  </r>
  <r>
    <x v="2486"/>
    <n v="117272"/>
    <n v="58272"/>
    <n v="59000"/>
    <n v="79152489"/>
    <n v="72436582"/>
    <n v="151589071"/>
    <n v="27967"/>
    <n v="9644"/>
    <n v="37611"/>
    <b v="1"/>
    <b v="1"/>
    <b v="1"/>
    <b v="1"/>
    <b v="1"/>
    <b v="1"/>
  </r>
  <r>
    <x v="2487"/>
    <n v="95024"/>
    <n v="44580"/>
    <n v="50444"/>
    <n v="52180770"/>
    <n v="46965014"/>
    <n v="99145784"/>
    <n v="20614"/>
    <n v="7015"/>
    <n v="27629"/>
    <b v="1"/>
    <b v="1"/>
    <b v="1"/>
    <b v="1"/>
    <b v="1"/>
    <b v="1"/>
  </r>
  <r>
    <x v="2488"/>
    <n v="113387"/>
    <n v="56116"/>
    <n v="57271"/>
    <n v="68079322"/>
    <n v="59922156"/>
    <n v="128001478"/>
    <n v="24332"/>
    <n v="8353"/>
    <n v="32685"/>
    <b v="1"/>
    <b v="1"/>
    <b v="1"/>
    <b v="1"/>
    <b v="1"/>
    <b v="1"/>
  </r>
  <r>
    <x v="2489"/>
    <n v="113807"/>
    <n v="58986"/>
    <n v="54821"/>
    <n v="73787247"/>
    <n v="74161956"/>
    <n v="147949203"/>
    <n v="26257"/>
    <n v="9145"/>
    <n v="35402"/>
    <b v="1"/>
    <b v="1"/>
    <b v="1"/>
    <b v="1"/>
    <b v="1"/>
    <b v="1"/>
  </r>
  <r>
    <x v="2490"/>
    <n v="108578"/>
    <n v="55540"/>
    <n v="53038"/>
    <n v="72758227"/>
    <n v="71548896"/>
    <n v="144307123"/>
    <n v="27346"/>
    <n v="9621"/>
    <n v="36967"/>
    <b v="1"/>
    <b v="1"/>
    <b v="1"/>
    <b v="1"/>
    <b v="1"/>
    <b v="1"/>
  </r>
  <r>
    <x v="2491"/>
    <n v="106796"/>
    <n v="54199"/>
    <n v="52597"/>
    <n v="75665546"/>
    <n v="69721069"/>
    <n v="145386615"/>
    <n v="26471"/>
    <n v="8926"/>
    <n v="35397"/>
    <b v="1"/>
    <b v="1"/>
    <b v="1"/>
    <b v="1"/>
    <b v="1"/>
    <b v="1"/>
  </r>
  <r>
    <x v="2492"/>
    <n v="111053"/>
    <n v="56368"/>
    <n v="54685"/>
    <n v="73096195"/>
    <n v="74371373"/>
    <n v="147467568"/>
    <n v="28357"/>
    <n v="9772"/>
    <n v="38129"/>
    <b v="1"/>
    <b v="1"/>
    <b v="1"/>
    <b v="1"/>
    <b v="1"/>
    <b v="1"/>
  </r>
  <r>
    <x v="2493"/>
    <n v="115659"/>
    <n v="57951"/>
    <n v="57708"/>
    <n v="75668001"/>
    <n v="74523662"/>
    <n v="150191663"/>
    <n v="30604"/>
    <n v="10684"/>
    <n v="41288"/>
    <b v="1"/>
    <b v="1"/>
    <b v="1"/>
    <b v="1"/>
    <b v="1"/>
    <b v="1"/>
  </r>
  <r>
    <x v="2494"/>
    <n v="103071"/>
    <n v="49806"/>
    <n v="53265"/>
    <n v="61038408"/>
    <n v="52748887"/>
    <n v="113787295"/>
    <n v="27181"/>
    <n v="9463"/>
    <n v="36644"/>
    <b v="1"/>
    <b v="1"/>
    <b v="1"/>
    <b v="1"/>
    <b v="1"/>
    <b v="1"/>
  </r>
  <r>
    <x v="2495"/>
    <n v="110529"/>
    <n v="53784"/>
    <n v="56745"/>
    <n v="69899831"/>
    <n v="67994426"/>
    <n v="137894257"/>
    <n v="30212"/>
    <n v="10437"/>
    <n v="40649"/>
    <b v="1"/>
    <b v="1"/>
    <b v="1"/>
    <b v="1"/>
    <b v="1"/>
    <b v="1"/>
  </r>
  <r>
    <x v="2496"/>
    <n v="117953"/>
    <n v="55661"/>
    <n v="62292"/>
    <n v="76212801"/>
    <n v="69814601"/>
    <n v="146027402"/>
    <n v="33125"/>
    <n v="11366"/>
    <n v="44491"/>
    <b v="1"/>
    <b v="1"/>
    <b v="1"/>
    <b v="1"/>
    <b v="1"/>
    <b v="1"/>
  </r>
  <r>
    <x v="2497"/>
    <n v="101670"/>
    <n v="46986"/>
    <n v="54684"/>
    <n v="65731733"/>
    <n v="49464448"/>
    <n v="115196181"/>
    <n v="29046"/>
    <n v="9806"/>
    <n v="38852"/>
    <b v="1"/>
    <b v="1"/>
    <b v="1"/>
    <b v="1"/>
    <b v="1"/>
    <b v="1"/>
  </r>
  <r>
    <x v="2498"/>
    <n v="67907"/>
    <n v="28766"/>
    <n v="39141"/>
    <n v="44240538"/>
    <n v="26657101"/>
    <n v="70897639"/>
    <n v="22105"/>
    <n v="6632"/>
    <n v="28737"/>
    <b v="1"/>
    <b v="1"/>
    <b v="1"/>
    <b v="1"/>
    <b v="1"/>
    <b v="1"/>
  </r>
  <r>
    <x v="2499"/>
    <n v="105421"/>
    <n v="46507"/>
    <n v="58914"/>
    <n v="53408275"/>
    <n v="41240041"/>
    <n v="94648316"/>
    <n v="23806"/>
    <n v="8076"/>
    <n v="31882"/>
    <b v="1"/>
    <b v="1"/>
    <b v="1"/>
    <b v="1"/>
    <b v="1"/>
    <b v="1"/>
  </r>
  <r>
    <x v="2500"/>
    <n v="121978"/>
    <n v="56804"/>
    <n v="65174"/>
    <n v="65562125"/>
    <n v="46412854"/>
    <n v="111974979"/>
    <n v="30327"/>
    <n v="10732"/>
    <n v="41059"/>
    <b v="1"/>
    <b v="1"/>
    <b v="1"/>
    <b v="1"/>
    <b v="1"/>
    <b v="1"/>
  </r>
  <r>
    <x v="2501"/>
    <n v="110846"/>
    <n v="49778"/>
    <n v="61068"/>
    <n v="69129641"/>
    <n v="45839226"/>
    <n v="114968867"/>
    <n v="32877"/>
    <n v="10751"/>
    <n v="43628"/>
    <b v="1"/>
    <b v="1"/>
    <b v="1"/>
    <b v="1"/>
    <b v="1"/>
    <b v="1"/>
  </r>
  <r>
    <x v="2502"/>
    <n v="113259"/>
    <n v="53088"/>
    <n v="60171"/>
    <n v="83055678"/>
    <n v="66323757"/>
    <n v="149379435"/>
    <n v="37496"/>
    <n v="12248"/>
    <n v="49744"/>
    <b v="1"/>
    <b v="1"/>
    <b v="1"/>
    <b v="1"/>
    <b v="1"/>
    <b v="1"/>
  </r>
  <r>
    <x v="2503"/>
    <n v="116683"/>
    <n v="55506"/>
    <n v="61177"/>
    <n v="84192388"/>
    <n v="74395662"/>
    <n v="158588050"/>
    <n v="37516"/>
    <n v="11834"/>
    <n v="49350"/>
    <b v="1"/>
    <b v="1"/>
    <b v="1"/>
    <b v="1"/>
    <b v="1"/>
    <b v="1"/>
  </r>
  <r>
    <x v="2504"/>
    <n v="112401"/>
    <n v="54355"/>
    <n v="58046"/>
    <n v="78049044"/>
    <n v="79372428"/>
    <n v="157421472"/>
    <n v="34365"/>
    <n v="10904"/>
    <n v="45269"/>
    <b v="1"/>
    <b v="1"/>
    <b v="1"/>
    <b v="1"/>
    <b v="1"/>
    <b v="1"/>
  </r>
  <r>
    <x v="2505"/>
    <n v="111057"/>
    <n v="53282"/>
    <n v="57775"/>
    <n v="79460146"/>
    <n v="77594762"/>
    <n v="157054908"/>
    <n v="35469"/>
    <n v="10900"/>
    <n v="46369"/>
    <b v="1"/>
    <b v="1"/>
    <b v="1"/>
    <b v="1"/>
    <b v="1"/>
    <b v="1"/>
  </r>
  <r>
    <x v="2506"/>
    <n v="118475"/>
    <n v="57520"/>
    <n v="60955"/>
    <n v="80112135"/>
    <n v="89360657"/>
    <n v="169472792"/>
    <n v="36365"/>
    <n v="11082"/>
    <n v="47447"/>
    <b v="1"/>
    <b v="1"/>
    <b v="1"/>
    <b v="1"/>
    <b v="1"/>
    <b v="1"/>
  </r>
  <r>
    <x v="2507"/>
    <n v="122277"/>
    <n v="61024"/>
    <n v="61253"/>
    <n v="81819297"/>
    <n v="81691483"/>
    <n v="163510780"/>
    <n v="35796"/>
    <n v="11714"/>
    <n v="47510"/>
    <b v="1"/>
    <b v="1"/>
    <b v="1"/>
    <b v="1"/>
    <b v="1"/>
    <b v="1"/>
  </r>
  <r>
    <x v="2508"/>
    <n v="116390"/>
    <n v="53655"/>
    <n v="62735"/>
    <n v="73838805"/>
    <n v="64908782"/>
    <n v="138747587"/>
    <n v="34886"/>
    <n v="11038"/>
    <n v="45924"/>
    <b v="1"/>
    <b v="1"/>
    <b v="1"/>
    <b v="1"/>
    <b v="1"/>
    <b v="1"/>
  </r>
  <r>
    <x v="2509"/>
    <n v="125286"/>
    <n v="58652"/>
    <n v="66634"/>
    <n v="89836946"/>
    <n v="76045575"/>
    <n v="165882521"/>
    <n v="37538"/>
    <n v="11536"/>
    <n v="49074"/>
    <b v="1"/>
    <b v="1"/>
    <b v="1"/>
    <b v="1"/>
    <b v="1"/>
    <b v="1"/>
  </r>
  <r>
    <x v="2510"/>
    <n v="127546"/>
    <n v="61347"/>
    <n v="66199"/>
    <n v="89969698"/>
    <n v="87136029"/>
    <n v="177105727"/>
    <n v="35957"/>
    <n v="11463"/>
    <n v="47420"/>
    <b v="1"/>
    <b v="1"/>
    <b v="1"/>
    <b v="1"/>
    <b v="1"/>
    <b v="1"/>
  </r>
  <r>
    <x v="2511"/>
    <n v="125039"/>
    <n v="61948"/>
    <n v="63091"/>
    <n v="94841382"/>
    <n v="90074220"/>
    <n v="184915602"/>
    <n v="33963"/>
    <n v="11115"/>
    <n v="45078"/>
    <b v="1"/>
    <b v="1"/>
    <b v="1"/>
    <b v="1"/>
    <b v="1"/>
    <b v="1"/>
  </r>
  <r>
    <x v="2512"/>
    <n v="117539"/>
    <n v="56539"/>
    <n v="61000"/>
    <n v="103879183"/>
    <n v="87502761"/>
    <n v="191381944"/>
    <n v="36130"/>
    <n v="11431"/>
    <n v="47561"/>
    <b v="1"/>
    <b v="1"/>
    <b v="1"/>
    <b v="1"/>
    <b v="1"/>
    <b v="1"/>
  </r>
  <r>
    <x v="2513"/>
    <n v="118476"/>
    <n v="56253"/>
    <n v="62223"/>
    <n v="89405388"/>
    <n v="77190141"/>
    <n v="166595529"/>
    <n v="33427"/>
    <n v="9987"/>
    <n v="43414"/>
    <b v="1"/>
    <b v="1"/>
    <b v="1"/>
    <b v="1"/>
    <b v="1"/>
    <b v="1"/>
  </r>
  <r>
    <x v="2514"/>
    <n v="134746"/>
    <n v="63711"/>
    <n v="71035"/>
    <n v="100925267"/>
    <n v="80343979"/>
    <n v="181269246"/>
    <n v="36617"/>
    <n v="11264"/>
    <n v="47881"/>
    <b v="1"/>
    <b v="1"/>
    <b v="1"/>
    <b v="1"/>
    <b v="1"/>
    <b v="1"/>
  </r>
  <r>
    <x v="2515"/>
    <n v="122060"/>
    <n v="55419"/>
    <n v="66641"/>
    <n v="88950649"/>
    <n v="65396018"/>
    <n v="154346667"/>
    <n v="34761"/>
    <n v="10846"/>
    <n v="45607"/>
    <b v="1"/>
    <b v="1"/>
    <b v="1"/>
    <b v="1"/>
    <b v="1"/>
    <b v="1"/>
  </r>
  <r>
    <x v="2516"/>
    <n v="124568"/>
    <n v="58607"/>
    <n v="65961"/>
    <n v="99735411"/>
    <n v="74971850"/>
    <n v="174707261"/>
    <n v="29907"/>
    <n v="9704"/>
    <n v="39611"/>
    <b v="1"/>
    <b v="1"/>
    <b v="1"/>
    <b v="1"/>
    <b v="1"/>
    <b v="1"/>
  </r>
  <r>
    <x v="2517"/>
    <n v="133096"/>
    <n v="62254"/>
    <n v="70842"/>
    <n v="103807932"/>
    <n v="85256898"/>
    <n v="189064830"/>
    <n v="29053"/>
    <n v="9352"/>
    <n v="38405"/>
    <b v="1"/>
    <b v="1"/>
    <b v="1"/>
    <b v="1"/>
    <b v="1"/>
    <b v="1"/>
  </r>
  <r>
    <x v="2518"/>
    <n v="128904"/>
    <n v="62579"/>
    <n v="66325"/>
    <n v="93543171"/>
    <n v="85806312"/>
    <n v="179349483"/>
    <n v="26736"/>
    <n v="9079"/>
    <n v="35815"/>
    <b v="1"/>
    <b v="1"/>
    <b v="1"/>
    <b v="1"/>
    <b v="1"/>
    <b v="1"/>
  </r>
  <r>
    <x v="2519"/>
    <n v="120000"/>
    <n v="59222"/>
    <n v="60778"/>
    <n v="81726858"/>
    <n v="77510748"/>
    <n v="159237606"/>
    <n v="24734"/>
    <n v="8885"/>
    <n v="33619"/>
    <b v="1"/>
    <b v="1"/>
    <b v="1"/>
    <b v="1"/>
    <b v="1"/>
    <b v="1"/>
  </r>
  <r>
    <x v="2520"/>
    <n v="116347"/>
    <n v="57169"/>
    <n v="59178"/>
    <n v="76009052"/>
    <n v="76029797"/>
    <n v="152038849"/>
    <n v="24811"/>
    <n v="8392"/>
    <n v="33203"/>
    <b v="1"/>
    <b v="1"/>
    <b v="1"/>
    <b v="1"/>
    <b v="1"/>
    <b v="1"/>
  </r>
  <r>
    <x v="2521"/>
    <n v="135568"/>
    <n v="60716"/>
    <n v="74852"/>
    <n v="99177048"/>
    <n v="148966236"/>
    <n v="248143284"/>
    <n v="26504"/>
    <n v="8834"/>
    <n v="35338"/>
    <b v="1"/>
    <b v="1"/>
    <b v="1"/>
    <b v="1"/>
    <b v="1"/>
    <b v="1"/>
  </r>
  <r>
    <x v="2522"/>
    <n v="122567"/>
    <n v="52376"/>
    <n v="70191"/>
    <n v="86074420"/>
    <n v="55778196"/>
    <n v="141852616"/>
    <n v="24230"/>
    <n v="7722"/>
    <n v="31952"/>
    <b v="1"/>
    <b v="1"/>
    <b v="1"/>
    <b v="1"/>
    <b v="1"/>
    <b v="1"/>
  </r>
  <r>
    <x v="2523"/>
    <n v="132952"/>
    <n v="58454"/>
    <n v="74498"/>
    <n v="90945451"/>
    <n v="62269969"/>
    <n v="153215420"/>
    <n v="26547"/>
    <n v="8598"/>
    <n v="35145"/>
    <b v="1"/>
    <b v="1"/>
    <b v="1"/>
    <b v="1"/>
    <b v="1"/>
    <b v="1"/>
  </r>
  <r>
    <x v="2524"/>
    <n v="133537"/>
    <n v="60153"/>
    <n v="73384"/>
    <n v="90210804"/>
    <n v="64028858"/>
    <n v="154239662"/>
    <n v="24743"/>
    <n v="8184"/>
    <n v="32927"/>
    <b v="1"/>
    <b v="1"/>
    <b v="1"/>
    <b v="1"/>
    <b v="1"/>
    <b v="1"/>
  </r>
  <r>
    <x v="2525"/>
    <n v="131056"/>
    <n v="63226"/>
    <n v="67830"/>
    <n v="85814209"/>
    <n v="78513840"/>
    <n v="164328049"/>
    <n v="20810"/>
    <n v="7544"/>
    <n v="28354"/>
    <b v="1"/>
    <b v="1"/>
    <b v="1"/>
    <b v="1"/>
    <b v="1"/>
    <b v="1"/>
  </r>
  <r>
    <x v="2526"/>
    <n v="125969"/>
    <n v="59806"/>
    <n v="66163"/>
    <n v="85297586"/>
    <n v="80922081"/>
    <n v="166219667"/>
    <n v="19700"/>
    <n v="6900"/>
    <n v="26600"/>
    <b v="1"/>
    <b v="1"/>
    <b v="1"/>
    <b v="1"/>
    <b v="1"/>
    <b v="1"/>
  </r>
  <r>
    <x v="2527"/>
    <n v="130466"/>
    <n v="61719"/>
    <n v="68747"/>
    <n v="87677373"/>
    <n v="82171585"/>
    <n v="169848958"/>
    <n v="20521"/>
    <n v="7255"/>
    <n v="27776"/>
    <b v="1"/>
    <b v="1"/>
    <b v="1"/>
    <b v="1"/>
    <b v="1"/>
    <b v="1"/>
  </r>
  <r>
    <x v="2528"/>
    <n v="128411"/>
    <n v="61088"/>
    <n v="67323"/>
    <n v="87248657"/>
    <n v="85418458"/>
    <n v="172667115"/>
    <n v="17465"/>
    <n v="6847"/>
    <n v="24312"/>
    <b v="1"/>
    <b v="1"/>
    <b v="1"/>
    <b v="1"/>
    <b v="1"/>
    <b v="1"/>
  </r>
  <r>
    <x v="2529"/>
    <n v="117851"/>
    <n v="53269"/>
    <n v="64582"/>
    <n v="76975884"/>
    <n v="60218114"/>
    <n v="137193998"/>
    <n v="15840"/>
    <n v="6422"/>
    <n v="22262"/>
    <b v="1"/>
    <b v="1"/>
    <b v="1"/>
    <b v="1"/>
    <b v="1"/>
    <b v="1"/>
  </r>
  <r>
    <x v="2530"/>
    <n v="124082"/>
    <n v="59675"/>
    <n v="64407"/>
    <n v="88439447"/>
    <n v="71846411"/>
    <n v="160285858"/>
    <n v="20108"/>
    <n v="7476"/>
    <n v="27584"/>
    <b v="1"/>
    <b v="1"/>
    <b v="1"/>
    <b v="1"/>
    <b v="1"/>
    <b v="1"/>
  </r>
  <r>
    <x v="2531"/>
    <n v="125779"/>
    <n v="60719"/>
    <n v="65060"/>
    <n v="90151385"/>
    <n v="82097005"/>
    <n v="172248390"/>
    <n v="21273"/>
    <n v="7600"/>
    <n v="28873"/>
    <b v="1"/>
    <b v="1"/>
    <b v="1"/>
    <b v="1"/>
    <b v="1"/>
    <b v="1"/>
  </r>
  <r>
    <x v="2532"/>
    <n v="125986"/>
    <n v="62247"/>
    <n v="63739"/>
    <n v="92410406"/>
    <n v="87836585"/>
    <n v="180246991"/>
    <n v="22889"/>
    <n v="8353"/>
    <n v="31242"/>
    <b v="1"/>
    <b v="1"/>
    <b v="1"/>
    <b v="1"/>
    <b v="1"/>
    <b v="1"/>
  </r>
  <r>
    <x v="2533"/>
    <n v="125931"/>
    <n v="60040"/>
    <n v="65891"/>
    <n v="93914894"/>
    <n v="82511769"/>
    <n v="176426663"/>
    <n v="21036"/>
    <n v="7655"/>
    <n v="28691"/>
    <b v="1"/>
    <b v="1"/>
    <b v="1"/>
    <b v="1"/>
    <b v="1"/>
    <b v="1"/>
  </r>
  <r>
    <x v="2534"/>
    <n v="121596"/>
    <n v="57855"/>
    <n v="63741"/>
    <n v="89785767"/>
    <n v="75753433"/>
    <n v="165539200"/>
    <n v="22411"/>
    <n v="7539"/>
    <n v="29950"/>
    <b v="1"/>
    <b v="1"/>
    <b v="1"/>
    <b v="1"/>
    <b v="1"/>
    <b v="1"/>
  </r>
  <r>
    <x v="2535"/>
    <n v="119278"/>
    <n v="59352"/>
    <n v="59926"/>
    <n v="75027145"/>
    <n v="74557464"/>
    <n v="149584609"/>
    <n v="16630"/>
    <n v="6272"/>
    <n v="22902"/>
    <b v="1"/>
    <b v="1"/>
    <b v="1"/>
    <b v="1"/>
    <b v="1"/>
    <b v="1"/>
  </r>
  <r>
    <x v="2536"/>
    <n v="116094"/>
    <n v="51084"/>
    <n v="65010"/>
    <n v="78118495"/>
    <n v="56049971"/>
    <n v="134168466"/>
    <n v="16585"/>
    <n v="6449"/>
    <n v="23034"/>
    <b v="1"/>
    <b v="1"/>
    <b v="1"/>
    <b v="1"/>
    <b v="1"/>
    <b v="1"/>
  </r>
  <r>
    <x v="2537"/>
    <n v="121697"/>
    <n v="58319"/>
    <n v="63378"/>
    <n v="88429704"/>
    <n v="70205313"/>
    <n v="158635017"/>
    <n v="20364"/>
    <n v="7246"/>
    <n v="27610"/>
    <b v="1"/>
    <b v="1"/>
    <b v="1"/>
    <b v="1"/>
    <b v="1"/>
    <b v="1"/>
  </r>
  <r>
    <x v="2538"/>
    <n v="125529"/>
    <n v="59157"/>
    <n v="66372"/>
    <n v="94953358"/>
    <n v="77747870"/>
    <n v="172701228"/>
    <n v="20386"/>
    <n v="7437"/>
    <n v="27823"/>
    <b v="1"/>
    <b v="1"/>
    <b v="1"/>
    <b v="1"/>
    <b v="1"/>
    <b v="1"/>
  </r>
  <r>
    <x v="2539"/>
    <n v="134256"/>
    <n v="64158"/>
    <n v="70098"/>
    <n v="102992034"/>
    <n v="86348933"/>
    <n v="189340967"/>
    <n v="21727"/>
    <n v="7706"/>
    <n v="29433"/>
    <b v="1"/>
    <b v="1"/>
    <b v="1"/>
    <b v="1"/>
    <b v="1"/>
    <b v="1"/>
  </r>
  <r>
    <x v="2540"/>
    <n v="134670"/>
    <n v="62521"/>
    <n v="72149"/>
    <n v="103490949"/>
    <n v="82553625"/>
    <n v="186044574"/>
    <n v="21016"/>
    <n v="7211"/>
    <n v="28227"/>
    <b v="1"/>
    <b v="1"/>
    <b v="1"/>
    <b v="1"/>
    <b v="1"/>
    <b v="1"/>
  </r>
  <r>
    <x v="2541"/>
    <n v="128851"/>
    <n v="61330"/>
    <n v="67521"/>
    <n v="93156236"/>
    <n v="82157195"/>
    <n v="175313431"/>
    <n v="21209"/>
    <n v="7549"/>
    <n v="28758"/>
    <b v="1"/>
    <b v="1"/>
    <b v="1"/>
    <b v="1"/>
    <b v="1"/>
    <b v="1"/>
  </r>
  <r>
    <x v="2542"/>
    <n v="132252"/>
    <n v="60593"/>
    <n v="71659"/>
    <n v="97638983"/>
    <n v="80354531"/>
    <n v="177993514"/>
    <n v="19959"/>
    <n v="7195"/>
    <n v="27154"/>
    <b v="1"/>
    <b v="1"/>
    <b v="1"/>
    <b v="1"/>
    <b v="1"/>
    <b v="1"/>
  </r>
  <r>
    <x v="2543"/>
    <n v="124333"/>
    <n v="52185"/>
    <n v="72148"/>
    <n v="82745914"/>
    <n v="56922872"/>
    <n v="139668786"/>
    <n v="18135"/>
    <n v="6192"/>
    <n v="24327"/>
    <b v="1"/>
    <b v="1"/>
    <b v="1"/>
    <b v="1"/>
    <b v="1"/>
    <b v="1"/>
  </r>
  <r>
    <x v="2544"/>
    <n v="133481"/>
    <n v="61833"/>
    <n v="71648"/>
    <n v="89765733"/>
    <n v="71346693"/>
    <n v="161112426"/>
    <n v="21425"/>
    <n v="7561"/>
    <n v="28986"/>
    <b v="1"/>
    <b v="1"/>
    <b v="1"/>
    <b v="1"/>
    <b v="1"/>
    <b v="1"/>
  </r>
  <r>
    <x v="2545"/>
    <n v="129645"/>
    <n v="61375"/>
    <n v="68270"/>
    <n v="89323089"/>
    <n v="75218714"/>
    <n v="164541803"/>
    <n v="20594"/>
    <n v="7640"/>
    <n v="28234"/>
    <b v="1"/>
    <b v="1"/>
    <b v="1"/>
    <b v="1"/>
    <b v="1"/>
    <b v="1"/>
  </r>
  <r>
    <x v="2546"/>
    <n v="127779"/>
    <n v="60513"/>
    <n v="67266"/>
    <n v="92975605"/>
    <n v="90344502"/>
    <n v="183320107"/>
    <n v="21203"/>
    <n v="7672"/>
    <n v="28875"/>
    <b v="1"/>
    <b v="1"/>
    <b v="1"/>
    <b v="1"/>
    <b v="1"/>
    <b v="1"/>
  </r>
  <r>
    <x v="2547"/>
    <n v="131709"/>
    <n v="61240"/>
    <n v="70469"/>
    <n v="93833135"/>
    <n v="81554123"/>
    <n v="175387258"/>
    <n v="20145"/>
    <n v="7439"/>
    <n v="27584"/>
    <b v="1"/>
    <b v="1"/>
    <b v="1"/>
    <b v="1"/>
    <b v="1"/>
    <b v="1"/>
  </r>
  <r>
    <x v="2548"/>
    <n v="133105"/>
    <n v="62999"/>
    <n v="70106"/>
    <n v="93304659"/>
    <n v="79591629"/>
    <n v="172896288"/>
    <n v="22937"/>
    <n v="8184"/>
    <n v="31121"/>
    <b v="1"/>
    <b v="1"/>
    <b v="1"/>
    <b v="1"/>
    <b v="1"/>
    <b v="1"/>
  </r>
  <r>
    <x v="2549"/>
    <n v="126300"/>
    <n v="57061"/>
    <n v="69239"/>
    <n v="85906401"/>
    <n v="63580355"/>
    <n v="149486756"/>
    <n v="19473"/>
    <n v="7204"/>
    <n v="26677"/>
    <b v="1"/>
    <b v="1"/>
    <b v="1"/>
    <b v="1"/>
    <b v="1"/>
    <b v="1"/>
  </r>
  <r>
    <x v="2550"/>
    <n v="120251"/>
    <n v="52749"/>
    <n v="67502"/>
    <n v="75881030"/>
    <n v="56071954"/>
    <n v="131952984"/>
    <n v="17807"/>
    <n v="6414"/>
    <n v="24221"/>
    <b v="1"/>
    <b v="1"/>
    <b v="1"/>
    <b v="1"/>
    <b v="1"/>
    <b v="1"/>
  </r>
  <r>
    <x v="2551"/>
    <n v="119651"/>
    <n v="55779"/>
    <n v="63872"/>
    <n v="88096544"/>
    <n v="62840205"/>
    <n v="150936749"/>
    <n v="20822"/>
    <n v="7384"/>
    <n v="28206"/>
    <b v="1"/>
    <b v="1"/>
    <b v="1"/>
    <b v="1"/>
    <b v="1"/>
    <b v="1"/>
  </r>
  <r>
    <x v="2552"/>
    <n v="115574"/>
    <n v="55750"/>
    <n v="59824"/>
    <n v="77378446"/>
    <n v="69152582"/>
    <n v="146531028"/>
    <n v="18349"/>
    <n v="6391"/>
    <n v="24740"/>
    <b v="1"/>
    <b v="1"/>
    <b v="1"/>
    <b v="1"/>
    <b v="1"/>
    <b v="1"/>
  </r>
  <r>
    <x v="2553"/>
    <n v="120008"/>
    <n v="58193"/>
    <n v="61815"/>
    <n v="84276305"/>
    <n v="69654605"/>
    <n v="153930910"/>
    <n v="18511"/>
    <n v="7012"/>
    <n v="25523"/>
    <b v="1"/>
    <b v="1"/>
    <b v="1"/>
    <b v="1"/>
    <b v="1"/>
    <b v="1"/>
  </r>
  <r>
    <x v="2554"/>
    <n v="118491"/>
    <n v="57503"/>
    <n v="60988"/>
    <n v="82355798"/>
    <n v="68433077"/>
    <n v="150788875"/>
    <n v="19942"/>
    <n v="7287"/>
    <n v="27229"/>
    <b v="1"/>
    <b v="1"/>
    <b v="1"/>
    <b v="1"/>
    <b v="1"/>
    <b v="1"/>
  </r>
  <r>
    <x v="2555"/>
    <n v="117617"/>
    <n v="56454"/>
    <n v="61163"/>
    <n v="83493116"/>
    <n v="62750672"/>
    <n v="146243788"/>
    <n v="20270"/>
    <n v="7933"/>
    <n v="28203"/>
    <b v="1"/>
    <b v="1"/>
    <b v="1"/>
    <b v="1"/>
    <b v="1"/>
    <b v="1"/>
  </r>
  <r>
    <x v="2556"/>
    <n v="96103"/>
    <n v="44167"/>
    <n v="51936"/>
    <n v="63635652"/>
    <n v="53704179"/>
    <n v="117339831"/>
    <n v="17453"/>
    <n v="6375"/>
    <n v="23828"/>
    <b v="1"/>
    <b v="1"/>
    <b v="1"/>
    <b v="1"/>
    <b v="1"/>
    <b v="1"/>
  </r>
  <r>
    <x v="2557"/>
    <n v="125671"/>
    <n v="56252"/>
    <n v="69419"/>
    <n v="75665392"/>
    <n v="57770176"/>
    <n v="133435568"/>
    <n v="16923"/>
    <n v="5843"/>
    <n v="22766"/>
    <b v="1"/>
    <b v="1"/>
    <b v="1"/>
    <b v="1"/>
    <b v="1"/>
    <b v="1"/>
  </r>
  <r>
    <x v="2558"/>
    <n v="134612"/>
    <n v="64201"/>
    <n v="70411"/>
    <n v="85822747"/>
    <n v="79755645"/>
    <n v="165578392"/>
    <n v="24093"/>
    <n v="7872"/>
    <n v="31965"/>
    <b v="1"/>
    <b v="1"/>
    <b v="1"/>
    <b v="1"/>
    <b v="1"/>
    <b v="1"/>
  </r>
  <r>
    <x v="2559"/>
    <n v="137444"/>
    <n v="66740"/>
    <n v="70704"/>
    <n v="88853605"/>
    <n v="90348910"/>
    <n v="179202515"/>
    <n v="24777"/>
    <n v="7912"/>
    <n v="32689"/>
    <b v="1"/>
    <b v="1"/>
    <b v="1"/>
    <b v="1"/>
    <b v="1"/>
    <b v="1"/>
  </r>
  <r>
    <x v="2560"/>
    <n v="117571"/>
    <n v="57364"/>
    <n v="60207"/>
    <n v="61336911"/>
    <n v="83667102"/>
    <n v="145004013"/>
    <n v="16203"/>
    <n v="4808"/>
    <n v="21011"/>
    <b v="1"/>
    <b v="1"/>
    <b v="1"/>
    <b v="1"/>
    <b v="1"/>
    <b v="1"/>
  </r>
  <r>
    <x v="2561"/>
    <n v="130644"/>
    <n v="65213"/>
    <n v="65431"/>
    <n v="81642945"/>
    <n v="85949208"/>
    <n v="167592153"/>
    <n v="18918"/>
    <n v="7399"/>
    <n v="26317"/>
    <b v="1"/>
    <b v="1"/>
    <b v="1"/>
    <b v="1"/>
    <b v="1"/>
    <b v="1"/>
  </r>
  <r>
    <x v="2562"/>
    <n v="130310"/>
    <n v="65487"/>
    <n v="64823"/>
    <n v="80211238"/>
    <n v="89226847"/>
    <n v="169438085"/>
    <n v="21022"/>
    <n v="7556"/>
    <n v="28578"/>
    <b v="1"/>
    <b v="1"/>
    <b v="1"/>
    <b v="1"/>
    <b v="1"/>
    <b v="1"/>
  </r>
  <r>
    <x v="2563"/>
    <n v="111510"/>
    <n v="58502"/>
    <n v="53008"/>
    <n v="48823565"/>
    <n v="69306470"/>
    <n v="118130035"/>
    <n v="15189"/>
    <n v="4676"/>
    <n v="19865"/>
    <b v="1"/>
    <b v="1"/>
    <b v="1"/>
    <b v="1"/>
    <b v="1"/>
    <b v="1"/>
  </r>
  <r>
    <x v="2564"/>
    <n v="80839"/>
    <n v="39601"/>
    <n v="41238"/>
    <n v="49475864"/>
    <n v="53946232"/>
    <n v="103422096"/>
    <n v="15065"/>
    <n v="4153"/>
    <n v="19218"/>
    <b v="1"/>
    <b v="1"/>
    <b v="1"/>
    <b v="1"/>
    <b v="1"/>
    <b v="1"/>
  </r>
  <r>
    <x v="2565"/>
    <n v="127390"/>
    <n v="63887"/>
    <n v="63503"/>
    <n v="75230430"/>
    <n v="76853971"/>
    <n v="152084401"/>
    <n v="26979"/>
    <n v="8414"/>
    <n v="35393"/>
    <b v="1"/>
    <b v="1"/>
    <b v="1"/>
    <b v="1"/>
    <b v="1"/>
    <b v="1"/>
  </r>
  <r>
    <x v="2566"/>
    <n v="128821"/>
    <n v="64955"/>
    <n v="63866"/>
    <n v="80479286"/>
    <n v="83508235"/>
    <n v="163987521"/>
    <n v="31245"/>
    <n v="9043"/>
    <n v="40288"/>
    <b v="1"/>
    <b v="1"/>
    <b v="1"/>
    <b v="1"/>
    <b v="1"/>
    <b v="1"/>
  </r>
  <r>
    <x v="2567"/>
    <n v="128514"/>
    <n v="65312"/>
    <n v="63202"/>
    <n v="81650555"/>
    <n v="88015570"/>
    <n v="169666125"/>
    <n v="32390"/>
    <n v="9599"/>
    <n v="41989"/>
    <b v="1"/>
    <b v="1"/>
    <b v="1"/>
    <b v="1"/>
    <b v="1"/>
    <b v="1"/>
  </r>
  <r>
    <x v="2568"/>
    <n v="123292"/>
    <n v="61451"/>
    <n v="61841"/>
    <n v="83302067"/>
    <n v="81212211"/>
    <n v="164514278"/>
    <n v="32414"/>
    <n v="9267"/>
    <n v="41681"/>
    <b v="1"/>
    <b v="1"/>
    <b v="1"/>
    <b v="1"/>
    <b v="1"/>
    <b v="1"/>
  </r>
  <r>
    <x v="2569"/>
    <n v="102146"/>
    <n v="49588"/>
    <n v="52558"/>
    <n v="72531257"/>
    <n v="72331634"/>
    <n v="144862891"/>
    <n v="29726"/>
    <n v="8497"/>
    <n v="38223"/>
    <b v="1"/>
    <b v="1"/>
    <b v="1"/>
    <b v="1"/>
    <b v="1"/>
    <b v="1"/>
  </r>
  <r>
    <x v="2570"/>
    <n v="110001"/>
    <n v="53667"/>
    <n v="56334"/>
    <n v="66480134"/>
    <n v="68095828"/>
    <n v="134575962"/>
    <n v="29196"/>
    <n v="7432"/>
    <n v="36628"/>
    <b v="1"/>
    <b v="1"/>
    <b v="1"/>
    <b v="1"/>
    <b v="1"/>
    <b v="1"/>
  </r>
  <r>
    <x v="2571"/>
    <n v="89717"/>
    <n v="41618"/>
    <n v="48099"/>
    <n v="60005773"/>
    <n v="54794884"/>
    <n v="114800657"/>
    <n v="29181"/>
    <n v="6929"/>
    <n v="36110"/>
    <b v="1"/>
    <b v="1"/>
    <b v="1"/>
    <b v="1"/>
    <b v="1"/>
    <b v="1"/>
  </r>
  <r>
    <x v="2572"/>
    <n v="118952"/>
    <n v="58865"/>
    <n v="60087"/>
    <n v="75672798"/>
    <n v="72520765"/>
    <n v="148193563"/>
    <n v="32525"/>
    <n v="9170"/>
    <n v="41695"/>
    <b v="1"/>
    <b v="1"/>
    <b v="1"/>
    <b v="1"/>
    <b v="1"/>
    <b v="1"/>
  </r>
  <r>
    <x v="2573"/>
    <n v="124786"/>
    <n v="63228"/>
    <n v="61558"/>
    <n v="74845738"/>
    <n v="81234546"/>
    <n v="156080284"/>
    <n v="30871"/>
    <n v="8809"/>
    <n v="39680"/>
    <b v="1"/>
    <b v="1"/>
    <b v="1"/>
    <b v="1"/>
    <b v="1"/>
    <b v="1"/>
  </r>
  <r>
    <x v="2574"/>
    <n v="128237"/>
    <n v="65287"/>
    <n v="62950"/>
    <n v="82743995"/>
    <n v="164706353"/>
    <n v="247450348"/>
    <n v="31510"/>
    <n v="9526"/>
    <n v="41036"/>
    <b v="1"/>
    <b v="1"/>
    <b v="1"/>
    <b v="1"/>
    <b v="1"/>
    <b v="1"/>
  </r>
  <r>
    <x v="2575"/>
    <n v="123826"/>
    <n v="63198"/>
    <n v="60628"/>
    <n v="73000647"/>
    <n v="75014465"/>
    <n v="148015112"/>
    <n v="30216"/>
    <n v="8447"/>
    <n v="38663"/>
    <b v="1"/>
    <b v="1"/>
    <b v="1"/>
    <b v="1"/>
    <b v="1"/>
    <b v="1"/>
  </r>
  <r>
    <x v="2576"/>
    <n v="123257"/>
    <n v="61859"/>
    <n v="61398"/>
    <n v="74058376"/>
    <n v="82266617"/>
    <n v="156324993"/>
    <n v="30135"/>
    <n v="8380"/>
    <n v="38515"/>
    <b v="1"/>
    <b v="1"/>
    <b v="1"/>
    <b v="1"/>
    <b v="1"/>
    <b v="1"/>
  </r>
  <r>
    <x v="2577"/>
    <n v="115542"/>
    <n v="59091"/>
    <n v="56451"/>
    <n v="54924810"/>
    <n v="71143369"/>
    <n v="126068179"/>
    <n v="24023"/>
    <n v="6049"/>
    <n v="30072"/>
    <b v="1"/>
    <b v="1"/>
    <b v="1"/>
    <b v="1"/>
    <b v="1"/>
    <b v="1"/>
  </r>
  <r>
    <x v="2578"/>
    <n v="81589"/>
    <n v="35880"/>
    <n v="45709"/>
    <n v="51967750"/>
    <n v="52037159"/>
    <n v="104004909"/>
    <n v="25363"/>
    <n v="5905"/>
    <n v="31268"/>
    <b v="1"/>
    <b v="1"/>
    <b v="1"/>
    <b v="1"/>
    <b v="1"/>
    <b v="1"/>
  </r>
  <r>
    <x v="2579"/>
    <n v="131391"/>
    <n v="64150"/>
    <n v="67241"/>
    <n v="77036370"/>
    <n v="74780979"/>
    <n v="151817349"/>
    <n v="31801"/>
    <n v="9108"/>
    <n v="40909"/>
    <b v="1"/>
    <b v="1"/>
    <b v="1"/>
    <b v="1"/>
    <b v="1"/>
    <b v="1"/>
  </r>
  <r>
    <x v="2580"/>
    <n v="125049"/>
    <n v="63056"/>
    <n v="61993"/>
    <n v="82934038"/>
    <n v="83907252"/>
    <n v="166841290"/>
    <n v="32136"/>
    <n v="8928"/>
    <n v="41064"/>
    <b v="1"/>
    <b v="1"/>
    <b v="1"/>
    <b v="1"/>
    <b v="1"/>
    <b v="1"/>
  </r>
  <r>
    <x v="2581"/>
    <n v="97617"/>
    <n v="48924"/>
    <n v="48693"/>
    <n v="46181369"/>
    <n v="47296432"/>
    <n v="93477801"/>
    <n v="22646"/>
    <n v="6378"/>
    <n v="29024"/>
    <b v="1"/>
    <b v="1"/>
    <b v="1"/>
    <b v="1"/>
    <b v="1"/>
    <b v="1"/>
  </r>
  <r>
    <x v="2582"/>
    <n v="125547"/>
    <n v="65227"/>
    <n v="60320"/>
    <n v="81815714"/>
    <n v="79130468"/>
    <n v="160946182"/>
    <n v="31773"/>
    <n v="9564"/>
    <n v="41337"/>
    <b v="1"/>
    <b v="1"/>
    <b v="1"/>
    <b v="1"/>
    <b v="1"/>
    <b v="1"/>
  </r>
  <r>
    <x v="2583"/>
    <n v="123377"/>
    <n v="63621"/>
    <n v="59756"/>
    <n v="82011885"/>
    <n v="81129445"/>
    <n v="163141330"/>
    <n v="31548"/>
    <n v="9241"/>
    <n v="40789"/>
    <b v="1"/>
    <b v="1"/>
    <b v="1"/>
    <b v="1"/>
    <b v="1"/>
    <b v="1"/>
  </r>
  <r>
    <x v="2584"/>
    <n v="121530"/>
    <n v="63385"/>
    <n v="58145"/>
    <n v="78336509"/>
    <n v="81163634"/>
    <n v="159500143"/>
    <n v="30860"/>
    <n v="8792"/>
    <n v="39652"/>
    <b v="1"/>
    <b v="1"/>
    <b v="1"/>
    <b v="1"/>
    <b v="1"/>
    <b v="1"/>
  </r>
  <r>
    <x v="2585"/>
    <n v="109250"/>
    <n v="51163"/>
    <n v="58087"/>
    <n v="70131276"/>
    <n v="61601202"/>
    <n v="131732478"/>
    <n v="30096"/>
    <n v="9022"/>
    <n v="39118"/>
    <b v="1"/>
    <b v="1"/>
    <b v="1"/>
    <b v="1"/>
    <b v="1"/>
    <b v="1"/>
  </r>
  <r>
    <x v="2586"/>
    <n v="118115"/>
    <n v="62607"/>
    <n v="55508"/>
    <n v="78811195"/>
    <n v="76028352"/>
    <n v="154839547"/>
    <n v="31752"/>
    <n v="9704"/>
    <n v="41456"/>
    <b v="1"/>
    <b v="1"/>
    <b v="1"/>
    <b v="1"/>
    <b v="1"/>
    <b v="1"/>
  </r>
  <r>
    <x v="2587"/>
    <n v="125568"/>
    <n v="68544"/>
    <n v="57024"/>
    <n v="76824809"/>
    <n v="93373842"/>
    <n v="170198651"/>
    <n v="31292"/>
    <n v="9338"/>
    <n v="40630"/>
    <b v="1"/>
    <b v="1"/>
    <b v="1"/>
    <b v="1"/>
    <b v="1"/>
    <b v="1"/>
  </r>
  <r>
    <x v="2588"/>
    <n v="131407"/>
    <n v="71368"/>
    <n v="60039"/>
    <n v="85438508"/>
    <n v="104531942"/>
    <n v="189970450"/>
    <n v="34199"/>
    <n v="10068"/>
    <n v="44267"/>
    <b v="1"/>
    <b v="1"/>
    <b v="1"/>
    <b v="1"/>
    <b v="1"/>
    <b v="1"/>
  </r>
  <r>
    <x v="2589"/>
    <n v="118186"/>
    <n v="64356"/>
    <n v="53830"/>
    <n v="75299889"/>
    <n v="99167529"/>
    <n v="174467418"/>
    <n v="28281"/>
    <n v="8278"/>
    <n v="36559"/>
    <b v="1"/>
    <b v="1"/>
    <b v="1"/>
    <b v="1"/>
    <b v="1"/>
    <b v="1"/>
  </r>
  <r>
    <x v="2590"/>
    <n v="122344"/>
    <n v="66336"/>
    <n v="56008"/>
    <n v="79007291"/>
    <n v="93980496"/>
    <n v="172987787"/>
    <n v="30470"/>
    <n v="9485"/>
    <n v="39955"/>
    <b v="1"/>
    <b v="1"/>
    <b v="1"/>
    <b v="1"/>
    <b v="1"/>
    <b v="1"/>
  </r>
  <r>
    <x v="2591"/>
    <n v="122630"/>
    <n v="66742"/>
    <n v="55888"/>
    <n v="73172606"/>
    <n v="84676586"/>
    <n v="157849192"/>
    <n v="29952"/>
    <n v="9286"/>
    <n v="39238"/>
    <b v="1"/>
    <b v="1"/>
    <b v="1"/>
    <b v="1"/>
    <b v="1"/>
    <b v="1"/>
  </r>
  <r>
    <x v="2592"/>
    <n v="104381"/>
    <n v="51867"/>
    <n v="52514"/>
    <n v="64204271"/>
    <n v="67169866"/>
    <n v="131374137"/>
    <n v="27582"/>
    <n v="8161"/>
    <n v="35743"/>
    <b v="1"/>
    <b v="1"/>
    <b v="1"/>
    <b v="1"/>
    <b v="1"/>
    <b v="1"/>
  </r>
  <r>
    <x v="2593"/>
    <n v="119713"/>
    <n v="64702"/>
    <n v="55011"/>
    <n v="78148213"/>
    <n v="86569747"/>
    <n v="164717960"/>
    <n v="30266"/>
    <n v="9916"/>
    <n v="40182"/>
    <b v="1"/>
    <b v="1"/>
    <b v="1"/>
    <b v="1"/>
    <b v="1"/>
    <b v="1"/>
  </r>
  <r>
    <x v="2594"/>
    <n v="126429"/>
    <n v="67232"/>
    <n v="59197"/>
    <n v="81345663"/>
    <n v="97077487"/>
    <n v="178423150"/>
    <n v="29945"/>
    <n v="9213"/>
    <n v="39158"/>
    <b v="1"/>
    <b v="1"/>
    <b v="1"/>
    <b v="1"/>
    <b v="1"/>
    <b v="1"/>
  </r>
  <r>
    <x v="2595"/>
    <n v="120912"/>
    <n v="65926"/>
    <n v="54986"/>
    <n v="75451931"/>
    <n v="96935403"/>
    <n v="172387334"/>
    <n v="26016"/>
    <n v="8112"/>
    <n v="34128"/>
    <b v="1"/>
    <b v="1"/>
    <b v="1"/>
    <b v="1"/>
    <b v="1"/>
    <b v="1"/>
  </r>
  <r>
    <x v="2596"/>
    <n v="117000"/>
    <n v="62930"/>
    <n v="54070"/>
    <n v="71265298"/>
    <n v="90390348"/>
    <n v="161655646"/>
    <n v="25725"/>
    <n v="8369"/>
    <n v="34094"/>
    <b v="1"/>
    <b v="1"/>
    <b v="1"/>
    <b v="1"/>
    <b v="1"/>
    <b v="1"/>
  </r>
  <r>
    <x v="2597"/>
    <n v="117237"/>
    <n v="64613"/>
    <n v="52624"/>
    <n v="71593274"/>
    <n v="82007808"/>
    <n v="153601082"/>
    <n v="27756"/>
    <n v="8552"/>
    <n v="36308"/>
    <b v="1"/>
    <b v="1"/>
    <b v="1"/>
    <b v="1"/>
    <b v="1"/>
    <b v="1"/>
  </r>
  <r>
    <x v="2598"/>
    <n v="116222"/>
    <n v="63159"/>
    <n v="53063"/>
    <n v="66199613"/>
    <n v="85091799"/>
    <n v="151291412"/>
    <n v="26450"/>
    <n v="8419"/>
    <n v="34869"/>
    <b v="1"/>
    <b v="1"/>
    <b v="1"/>
    <b v="1"/>
    <b v="1"/>
    <b v="1"/>
  </r>
  <r>
    <x v="2599"/>
    <n v="108960"/>
    <n v="54873"/>
    <n v="54087"/>
    <n v="59979344"/>
    <n v="67450435"/>
    <n v="127429779"/>
    <n v="26533"/>
    <n v="7804"/>
    <n v="34337"/>
    <b v="1"/>
    <b v="1"/>
    <b v="1"/>
    <b v="1"/>
    <b v="1"/>
    <b v="1"/>
  </r>
  <r>
    <x v="2600"/>
    <n v="115093"/>
    <n v="60500"/>
    <n v="54593"/>
    <n v="68218239"/>
    <n v="78650709"/>
    <n v="146868948"/>
    <n v="29107"/>
    <n v="8878"/>
    <n v="37985"/>
    <b v="1"/>
    <b v="1"/>
    <b v="1"/>
    <b v="1"/>
    <b v="1"/>
    <b v="1"/>
  </r>
  <r>
    <x v="2601"/>
    <n v="117788"/>
    <n v="63141"/>
    <n v="54647"/>
    <n v="69753525"/>
    <n v="88568032"/>
    <n v="158321557"/>
    <n v="27482"/>
    <n v="8659"/>
    <n v="36141"/>
    <b v="1"/>
    <b v="1"/>
    <b v="1"/>
    <b v="1"/>
    <b v="1"/>
    <b v="1"/>
  </r>
  <r>
    <x v="2602"/>
    <n v="117114"/>
    <n v="64806"/>
    <n v="52308"/>
    <n v="67950692"/>
    <n v="87551465"/>
    <n v="155502157"/>
    <n v="27560"/>
    <n v="8347"/>
    <n v="35907"/>
    <b v="1"/>
    <b v="1"/>
    <b v="1"/>
    <b v="1"/>
    <b v="1"/>
    <b v="1"/>
  </r>
  <r>
    <x v="2603"/>
    <n v="109063"/>
    <n v="61019"/>
    <n v="48044"/>
    <n v="71201743"/>
    <n v="90480727"/>
    <n v="161682470"/>
    <n v="27694"/>
    <n v="8799"/>
    <n v="36493"/>
    <b v="1"/>
    <b v="1"/>
    <b v="1"/>
    <b v="1"/>
    <b v="1"/>
    <b v="1"/>
  </r>
  <r>
    <x v="2604"/>
    <n v="88107"/>
    <n v="51763"/>
    <n v="36344"/>
    <n v="63364955"/>
    <n v="86621401"/>
    <n v="149986356"/>
    <n v="26538"/>
    <n v="8342"/>
    <n v="34880"/>
    <b v="1"/>
    <b v="1"/>
    <b v="1"/>
    <b v="1"/>
    <b v="1"/>
    <b v="1"/>
  </r>
  <r>
    <x v="2605"/>
    <n v="89528"/>
    <n v="51466"/>
    <n v="38062"/>
    <n v="69986376"/>
    <n v="85069777"/>
    <n v="155056153"/>
    <n v="28631"/>
    <n v="9295"/>
    <n v="37926"/>
    <b v="1"/>
    <b v="1"/>
    <b v="1"/>
    <b v="1"/>
    <b v="1"/>
    <b v="1"/>
  </r>
  <r>
    <x v="2606"/>
    <n v="99206"/>
    <n v="51463"/>
    <n v="47743"/>
    <n v="62231418"/>
    <n v="70613979"/>
    <n v="132845397"/>
    <n v="21633"/>
    <n v="7172"/>
    <n v="28805"/>
    <b v="1"/>
    <b v="1"/>
    <b v="1"/>
    <b v="1"/>
    <b v="1"/>
    <b v="1"/>
  </r>
  <r>
    <x v="2607"/>
    <n v="118560"/>
    <n v="63753"/>
    <n v="54807"/>
    <n v="77029870"/>
    <n v="86869302"/>
    <n v="163899172"/>
    <n v="29595"/>
    <n v="9114"/>
    <n v="38709"/>
    <b v="1"/>
    <b v="1"/>
    <b v="1"/>
    <b v="1"/>
    <b v="1"/>
    <b v="1"/>
  </r>
  <r>
    <x v="2608"/>
    <n v="109650"/>
    <n v="59372"/>
    <n v="50278"/>
    <n v="79963179"/>
    <n v="90280410"/>
    <n v="170243589"/>
    <n v="28634"/>
    <n v="8663"/>
    <n v="37297"/>
    <b v="1"/>
    <b v="1"/>
    <b v="1"/>
    <b v="1"/>
    <b v="1"/>
    <b v="1"/>
  </r>
  <r>
    <x v="2609"/>
    <n v="133826"/>
    <n v="69282"/>
    <n v="64544"/>
    <n v="88704509"/>
    <n v="96464447"/>
    <n v="185168956"/>
    <n v="30324"/>
    <n v="8399"/>
    <n v="38723"/>
    <b v="1"/>
    <b v="1"/>
    <b v="1"/>
    <b v="1"/>
    <b v="1"/>
    <b v="1"/>
  </r>
  <r>
    <x v="2610"/>
    <n v="133089"/>
    <n v="68638"/>
    <n v="64451"/>
    <n v="86862118"/>
    <n v="89540960"/>
    <n v="176403078"/>
    <n v="30272"/>
    <n v="9272"/>
    <n v="39544"/>
    <b v="1"/>
    <b v="1"/>
    <b v="1"/>
    <b v="1"/>
    <b v="1"/>
    <b v="1"/>
  </r>
  <r>
    <x v="2611"/>
    <n v="134224"/>
    <n v="69216"/>
    <n v="65008"/>
    <n v="89052060"/>
    <n v="94534647"/>
    <n v="183586707"/>
    <n v="30342"/>
    <n v="9315"/>
    <n v="39657"/>
    <b v="1"/>
    <b v="1"/>
    <b v="1"/>
    <b v="1"/>
    <b v="1"/>
    <b v="1"/>
  </r>
  <r>
    <x v="2612"/>
    <n v="132384"/>
    <n v="68998"/>
    <n v="63386"/>
    <n v="79691922"/>
    <n v="82922322"/>
    <n v="162614244"/>
    <n v="28789"/>
    <n v="9001"/>
    <n v="37790"/>
    <b v="1"/>
    <b v="1"/>
    <b v="1"/>
    <b v="1"/>
    <b v="1"/>
    <b v="1"/>
  </r>
  <r>
    <x v="2613"/>
    <n v="110895"/>
    <n v="55408"/>
    <n v="55487"/>
    <n v="58803320"/>
    <n v="60414445"/>
    <n v="119217765"/>
    <n v="22866"/>
    <n v="7204"/>
    <n v="30070"/>
    <b v="1"/>
    <b v="1"/>
    <b v="1"/>
    <b v="1"/>
    <b v="1"/>
    <b v="1"/>
  </r>
  <r>
    <x v="2614"/>
    <n v="127208"/>
    <n v="65899"/>
    <n v="61309"/>
    <n v="74818218"/>
    <n v="79310384"/>
    <n v="154128602"/>
    <n v="28595"/>
    <n v="8990"/>
    <n v="37585"/>
    <b v="1"/>
    <b v="1"/>
    <b v="1"/>
    <b v="1"/>
    <b v="1"/>
    <b v="1"/>
  </r>
  <r>
    <x v="2615"/>
    <n v="120768"/>
    <n v="67590"/>
    <n v="53178"/>
    <n v="68643683"/>
    <n v="98390274"/>
    <n v="167033957"/>
    <n v="25794"/>
    <n v="7924"/>
    <n v="33718"/>
    <b v="1"/>
    <b v="1"/>
    <b v="1"/>
    <b v="1"/>
    <b v="1"/>
    <b v="1"/>
  </r>
  <r>
    <x v="2616"/>
    <n v="135040"/>
    <n v="75422"/>
    <n v="59618"/>
    <n v="85547202"/>
    <n v="121432338"/>
    <n v="206979540"/>
    <n v="31382"/>
    <n v="9658"/>
    <n v="41040"/>
    <b v="1"/>
    <b v="1"/>
    <b v="1"/>
    <b v="1"/>
    <b v="1"/>
    <b v="1"/>
  </r>
  <r>
    <x v="2617"/>
    <n v="146702"/>
    <n v="79707"/>
    <n v="66995"/>
    <n v="88768660"/>
    <n v="131542653"/>
    <n v="220311313"/>
    <n v="30273"/>
    <n v="9621"/>
    <n v="39894"/>
    <b v="1"/>
    <b v="1"/>
    <b v="1"/>
    <b v="1"/>
    <b v="1"/>
    <b v="1"/>
  </r>
  <r>
    <x v="2618"/>
    <n v="133157"/>
    <n v="73925"/>
    <n v="59232"/>
    <n v="80540780"/>
    <n v="123075529"/>
    <n v="203616309"/>
    <n v="28797"/>
    <n v="9314"/>
    <n v="38111"/>
    <b v="1"/>
    <b v="1"/>
    <b v="1"/>
    <b v="1"/>
    <b v="1"/>
    <b v="1"/>
  </r>
  <r>
    <x v="2619"/>
    <n v="145669"/>
    <n v="80325"/>
    <n v="65344"/>
    <n v="79924799"/>
    <n v="122202193"/>
    <n v="202126992"/>
    <n v="31121"/>
    <n v="9984"/>
    <n v="41105"/>
    <b v="1"/>
    <b v="1"/>
    <b v="1"/>
    <b v="1"/>
    <b v="1"/>
    <b v="1"/>
  </r>
  <r>
    <x v="2620"/>
    <n v="124241"/>
    <n v="65579"/>
    <n v="58662"/>
    <n v="70335234"/>
    <n v="94482235"/>
    <n v="164817469"/>
    <n v="29307"/>
    <n v="8490"/>
    <n v="37797"/>
    <b v="1"/>
    <b v="1"/>
    <b v="1"/>
    <b v="1"/>
    <b v="1"/>
    <b v="1"/>
  </r>
  <r>
    <x v="2621"/>
    <n v="136830"/>
    <n v="73319"/>
    <n v="63511"/>
    <n v="87003622"/>
    <n v="115221623"/>
    <n v="202225245"/>
    <n v="32725"/>
    <n v="9840"/>
    <n v="42565"/>
    <b v="1"/>
    <b v="1"/>
    <b v="1"/>
    <b v="1"/>
    <b v="1"/>
    <b v="1"/>
  </r>
  <r>
    <x v="2622"/>
    <n v="134095"/>
    <n v="73221"/>
    <n v="60874"/>
    <n v="90556111"/>
    <n v="127874275"/>
    <n v="218430386"/>
    <n v="31823"/>
    <n v="9689"/>
    <n v="41512"/>
    <b v="1"/>
    <b v="1"/>
    <b v="1"/>
    <b v="1"/>
    <b v="1"/>
    <b v="1"/>
  </r>
  <r>
    <x v="2623"/>
    <n v="140922"/>
    <n v="76505"/>
    <n v="64417"/>
    <n v="88882837"/>
    <n v="124377006"/>
    <n v="213259843"/>
    <n v="30069"/>
    <n v="9779"/>
    <n v="39848"/>
    <b v="1"/>
    <b v="1"/>
    <b v="1"/>
    <b v="1"/>
    <b v="1"/>
    <b v="1"/>
  </r>
  <r>
    <x v="2624"/>
    <n v="128851"/>
    <n v="70254"/>
    <n v="58597"/>
    <n v="78352964"/>
    <n v="108761916"/>
    <n v="187114880"/>
    <n v="26456"/>
    <n v="8240"/>
    <n v="34696"/>
    <b v="1"/>
    <b v="1"/>
    <b v="1"/>
    <b v="1"/>
    <b v="1"/>
    <b v="1"/>
  </r>
  <r>
    <x v="2625"/>
    <n v="143982"/>
    <n v="78056"/>
    <n v="65926"/>
    <n v="88215316"/>
    <n v="116102043"/>
    <n v="204317359"/>
    <n v="33068"/>
    <n v="10004"/>
    <n v="43072"/>
    <b v="1"/>
    <b v="1"/>
    <b v="1"/>
    <b v="1"/>
    <b v="1"/>
    <b v="1"/>
  </r>
  <r>
    <x v="2626"/>
    <n v="138411"/>
    <n v="74827"/>
    <n v="63584"/>
    <n v="80018675"/>
    <n v="107515166"/>
    <n v="187533841"/>
    <n v="30826"/>
    <n v="9452"/>
    <n v="40278"/>
    <b v="1"/>
    <b v="1"/>
    <b v="1"/>
    <b v="1"/>
    <b v="1"/>
    <b v="1"/>
  </r>
  <r>
    <x v="2627"/>
    <n v="127896"/>
    <n v="64809"/>
    <n v="63087"/>
    <n v="84251612"/>
    <n v="91237529"/>
    <n v="175489141"/>
    <n v="32357"/>
    <n v="9351"/>
    <n v="41708"/>
    <b v="1"/>
    <b v="1"/>
    <b v="1"/>
    <b v="1"/>
    <b v="1"/>
    <b v="1"/>
  </r>
  <r>
    <x v="2628"/>
    <n v="142052"/>
    <n v="74561"/>
    <n v="67491"/>
    <n v="100034642"/>
    <n v="111949421"/>
    <n v="211984063"/>
    <n v="30810"/>
    <n v="9925"/>
    <n v="40735"/>
    <b v="1"/>
    <b v="1"/>
    <b v="1"/>
    <b v="1"/>
    <b v="1"/>
    <b v="1"/>
  </r>
  <r>
    <x v="2629"/>
    <n v="149286"/>
    <n v="76178"/>
    <n v="73108"/>
    <n v="96017355"/>
    <n v="115454186"/>
    <n v="211471541"/>
    <n v="35993"/>
    <n v="11159"/>
    <n v="47152"/>
    <b v="1"/>
    <b v="1"/>
    <b v="1"/>
    <b v="1"/>
    <b v="1"/>
    <b v="1"/>
  </r>
  <r>
    <x v="2630"/>
    <n v="141828"/>
    <n v="74642"/>
    <n v="67186"/>
    <n v="88369729"/>
    <n v="109323260"/>
    <n v="197692989"/>
    <n v="33735"/>
    <n v="9942"/>
    <n v="43677"/>
    <b v="1"/>
    <b v="1"/>
    <b v="1"/>
    <b v="1"/>
    <b v="1"/>
    <b v="1"/>
  </r>
  <r>
    <x v="2631"/>
    <n v="124957"/>
    <n v="64159"/>
    <n v="60798"/>
    <n v="70260004"/>
    <n v="70537023"/>
    <n v="140797027"/>
    <n v="28880"/>
    <n v="8345"/>
    <n v="37225"/>
    <b v="1"/>
    <b v="1"/>
    <b v="1"/>
    <b v="1"/>
    <b v="1"/>
    <b v="1"/>
  </r>
  <r>
    <x v="2632"/>
    <n v="106619"/>
    <n v="51597"/>
    <n v="55022"/>
    <n v="59971240"/>
    <n v="45179977"/>
    <n v="105151217"/>
    <n v="26363"/>
    <n v="6481"/>
    <n v="32844"/>
    <b v="1"/>
    <b v="1"/>
    <b v="1"/>
    <b v="1"/>
    <b v="1"/>
    <b v="1"/>
  </r>
  <r>
    <x v="2633"/>
    <n v="105533"/>
    <n v="57680"/>
    <n v="47853"/>
    <n v="46754567"/>
    <n v="49298868"/>
    <n v="96053435"/>
    <n v="15730"/>
    <n v="5102"/>
    <n v="20832"/>
    <b v="1"/>
    <b v="1"/>
    <b v="1"/>
    <b v="1"/>
    <b v="1"/>
    <b v="1"/>
  </r>
  <r>
    <x v="2634"/>
    <n v="87064"/>
    <n v="41789"/>
    <n v="45275"/>
    <n v="47770772"/>
    <n v="46543467"/>
    <n v="94314239"/>
    <n v="21370"/>
    <n v="6565"/>
    <n v="27935"/>
    <b v="1"/>
    <b v="1"/>
    <b v="1"/>
    <b v="1"/>
    <b v="1"/>
    <b v="1"/>
  </r>
  <r>
    <x v="2635"/>
    <n v="141616"/>
    <n v="71337"/>
    <n v="70279"/>
    <n v="94672039"/>
    <n v="89524891"/>
    <n v="184196930"/>
    <n v="36879"/>
    <n v="10497"/>
    <n v="47376"/>
    <b v="1"/>
    <b v="1"/>
    <b v="1"/>
    <b v="1"/>
    <b v="1"/>
    <b v="1"/>
  </r>
  <r>
    <x v="2636"/>
    <n v="144049"/>
    <n v="74528"/>
    <n v="69521"/>
    <n v="94732091"/>
    <n v="97489742"/>
    <n v="192221833"/>
    <n v="34777"/>
    <n v="10355"/>
    <n v="45132"/>
    <b v="1"/>
    <b v="1"/>
    <b v="1"/>
    <b v="1"/>
    <b v="1"/>
    <b v="1"/>
  </r>
  <r>
    <x v="2637"/>
    <n v="140444"/>
    <n v="73494"/>
    <n v="66950"/>
    <n v="90926641"/>
    <n v="110048595"/>
    <n v="200975236"/>
    <n v="33283"/>
    <n v="9303"/>
    <n v="42586"/>
    <b v="1"/>
    <b v="1"/>
    <b v="1"/>
    <b v="1"/>
    <b v="1"/>
    <b v="1"/>
  </r>
  <r>
    <x v="2638"/>
    <n v="144970"/>
    <n v="76262"/>
    <n v="68708"/>
    <n v="100843175"/>
    <n v="106962057"/>
    <n v="207805232"/>
    <n v="32275"/>
    <n v="9608"/>
    <n v="41883"/>
    <b v="1"/>
    <b v="1"/>
    <b v="1"/>
    <b v="1"/>
    <b v="1"/>
    <b v="1"/>
  </r>
  <r>
    <x v="2639"/>
    <n v="138193"/>
    <n v="72917"/>
    <n v="65276"/>
    <n v="96156318"/>
    <n v="104946016"/>
    <n v="201102334"/>
    <n v="32170"/>
    <n v="9362"/>
    <n v="41532"/>
    <b v="1"/>
    <b v="1"/>
    <b v="1"/>
    <b v="1"/>
    <b v="1"/>
    <b v="1"/>
  </r>
  <r>
    <x v="2640"/>
    <n v="135307"/>
    <n v="73118"/>
    <n v="62189"/>
    <n v="90658027"/>
    <n v="103451215"/>
    <n v="194109242"/>
    <n v="32299"/>
    <n v="9430"/>
    <n v="41729"/>
    <b v="1"/>
    <b v="1"/>
    <b v="1"/>
    <b v="1"/>
    <b v="1"/>
    <b v="1"/>
  </r>
  <r>
    <x v="2641"/>
    <n v="122369"/>
    <n v="60822"/>
    <n v="61547"/>
    <n v="76817949"/>
    <n v="83516157"/>
    <n v="160334106"/>
    <n v="28876"/>
    <n v="8283"/>
    <n v="37159"/>
    <b v="1"/>
    <b v="1"/>
    <b v="1"/>
    <b v="1"/>
    <b v="1"/>
    <b v="1"/>
  </r>
  <r>
    <x v="2642"/>
    <n v="116944"/>
    <n v="55368"/>
    <n v="61576"/>
    <n v="91746751"/>
    <n v="86259385"/>
    <n v="178006136"/>
    <n v="30242"/>
    <n v="9257"/>
    <n v="39499"/>
    <b v="1"/>
    <b v="1"/>
    <b v="1"/>
    <b v="1"/>
    <b v="1"/>
    <b v="1"/>
  </r>
  <r>
    <x v="2643"/>
    <n v="125651"/>
    <n v="60277"/>
    <n v="65374"/>
    <n v="93060865"/>
    <n v="95454129"/>
    <n v="188514994"/>
    <n v="29709"/>
    <n v="9479"/>
    <n v="39188"/>
    <b v="1"/>
    <b v="1"/>
    <b v="1"/>
    <b v="1"/>
    <b v="1"/>
    <b v="1"/>
  </r>
  <r>
    <x v="2644"/>
    <n v="131904"/>
    <n v="68831"/>
    <n v="63073"/>
    <n v="97435568"/>
    <n v="93890056"/>
    <n v="191325624"/>
    <n v="30262"/>
    <n v="9356"/>
    <n v="39618"/>
    <b v="1"/>
    <b v="1"/>
    <b v="1"/>
    <b v="1"/>
    <b v="1"/>
    <b v="1"/>
  </r>
  <r>
    <x v="2645"/>
    <n v="130130"/>
    <n v="67595"/>
    <n v="62535"/>
    <n v="96146311"/>
    <n v="90246407"/>
    <n v="186392718"/>
    <n v="32156"/>
    <n v="9970"/>
    <n v="42126"/>
    <b v="1"/>
    <b v="1"/>
    <b v="1"/>
    <b v="1"/>
    <b v="1"/>
    <b v="1"/>
  </r>
  <r>
    <x v="2646"/>
    <n v="132413"/>
    <n v="68714"/>
    <n v="63699"/>
    <n v="80580660"/>
    <n v="101038280"/>
    <n v="181618940"/>
    <n v="33728"/>
    <n v="10183"/>
    <n v="43911"/>
    <b v="1"/>
    <b v="1"/>
    <b v="1"/>
    <b v="1"/>
    <b v="1"/>
    <b v="1"/>
  </r>
  <r>
    <x v="2647"/>
    <n v="130721"/>
    <n v="68334"/>
    <n v="62387"/>
    <n v="81985305"/>
    <n v="93562191"/>
    <n v="175547496"/>
    <n v="31718"/>
    <n v="9808"/>
    <n v="41526"/>
    <b v="1"/>
    <b v="1"/>
    <b v="1"/>
    <b v="1"/>
    <b v="1"/>
    <b v="1"/>
  </r>
  <r>
    <x v="2648"/>
    <n v="109656"/>
    <n v="56101"/>
    <n v="53555"/>
    <n v="62091990"/>
    <n v="76006610"/>
    <n v="138098600"/>
    <n v="25129"/>
    <n v="7849"/>
    <n v="32978"/>
    <b v="1"/>
    <b v="1"/>
    <b v="1"/>
    <b v="1"/>
    <b v="1"/>
    <b v="1"/>
  </r>
  <r>
    <x v="2649"/>
    <n v="124388"/>
    <n v="65552"/>
    <n v="58836"/>
    <n v="84219983"/>
    <n v="94459764"/>
    <n v="178679747"/>
    <n v="30100"/>
    <n v="9744"/>
    <n v="39844"/>
    <b v="1"/>
    <b v="1"/>
    <b v="1"/>
    <b v="1"/>
    <b v="1"/>
    <b v="1"/>
  </r>
  <r>
    <x v="2650"/>
    <n v="133536"/>
    <n v="69534"/>
    <n v="64002"/>
    <n v="100851284"/>
    <n v="107994421"/>
    <n v="208845705"/>
    <n v="35610"/>
    <n v="10575"/>
    <n v="46185"/>
    <b v="1"/>
    <b v="1"/>
    <b v="1"/>
    <b v="1"/>
    <b v="1"/>
    <b v="1"/>
  </r>
  <r>
    <x v="2651"/>
    <n v="132793"/>
    <n v="68234"/>
    <n v="64559"/>
    <n v="97443742"/>
    <n v="109021099"/>
    <n v="206464841"/>
    <n v="35811"/>
    <n v="10605"/>
    <n v="46416"/>
    <b v="1"/>
    <b v="1"/>
    <b v="1"/>
    <b v="1"/>
    <b v="1"/>
    <b v="1"/>
  </r>
  <r>
    <x v="2652"/>
    <n v="132361"/>
    <n v="68821"/>
    <n v="63540"/>
    <n v="98140097"/>
    <n v="110283737"/>
    <n v="208423834"/>
    <n v="33719"/>
    <n v="10202"/>
    <n v="43921"/>
    <b v="1"/>
    <b v="1"/>
    <b v="1"/>
    <b v="1"/>
    <b v="1"/>
    <b v="1"/>
  </r>
  <r>
    <x v="2653"/>
    <n v="128740"/>
    <n v="64728"/>
    <n v="64012"/>
    <n v="88586634"/>
    <n v="96663597"/>
    <n v="185250231"/>
    <n v="34490"/>
    <n v="10364"/>
    <n v="44854"/>
    <b v="1"/>
    <b v="1"/>
    <b v="1"/>
    <b v="1"/>
    <b v="1"/>
    <b v="1"/>
  </r>
  <r>
    <x v="2654"/>
    <n v="126845"/>
    <n v="65715"/>
    <n v="61130"/>
    <n v="79475900"/>
    <n v="83660928"/>
    <n v="163136828"/>
    <n v="31998"/>
    <n v="10196"/>
    <n v="42194"/>
    <b v="1"/>
    <b v="1"/>
    <b v="1"/>
    <b v="1"/>
    <b v="1"/>
    <b v="1"/>
  </r>
  <r>
    <x v="2655"/>
    <n v="104931"/>
    <n v="52925"/>
    <n v="52006"/>
    <n v="62688790"/>
    <n v="64800714"/>
    <n v="127489504"/>
    <n v="25187"/>
    <n v="8169"/>
    <n v="33356"/>
    <b v="1"/>
    <b v="1"/>
    <b v="1"/>
    <b v="1"/>
    <b v="1"/>
    <b v="1"/>
  </r>
  <r>
    <x v="2656"/>
    <n v="134624"/>
    <n v="65922"/>
    <n v="68702"/>
    <n v="91606108"/>
    <n v="88775301"/>
    <n v="180381409"/>
    <n v="37604"/>
    <n v="11185"/>
    <n v="48789"/>
    <b v="1"/>
    <b v="1"/>
    <b v="1"/>
    <b v="1"/>
    <b v="1"/>
    <b v="1"/>
  </r>
  <r>
    <x v="2657"/>
    <n v="132531"/>
    <n v="66955"/>
    <n v="65576"/>
    <n v="94686866"/>
    <n v="102255695"/>
    <n v="196942561"/>
    <n v="34778"/>
    <n v="10647"/>
    <n v="45425"/>
    <b v="1"/>
    <b v="1"/>
    <b v="1"/>
    <b v="1"/>
    <b v="1"/>
    <b v="1"/>
  </r>
  <r>
    <x v="2658"/>
    <n v="131961"/>
    <n v="65366"/>
    <n v="66595"/>
    <n v="89895636"/>
    <n v="96842110"/>
    <n v="186737746"/>
    <n v="37200"/>
    <n v="11129"/>
    <n v="48329"/>
    <b v="1"/>
    <b v="1"/>
    <b v="1"/>
    <b v="1"/>
    <b v="1"/>
    <b v="1"/>
  </r>
  <r>
    <x v="2659"/>
    <n v="114374"/>
    <n v="56295"/>
    <n v="58079"/>
    <n v="76065433"/>
    <n v="69819444"/>
    <n v="145884877"/>
    <n v="32184"/>
    <n v="9946"/>
    <n v="42130"/>
    <b v="1"/>
    <b v="1"/>
    <b v="1"/>
    <b v="1"/>
    <b v="1"/>
    <b v="1"/>
  </r>
  <r>
    <x v="2660"/>
    <n v="114232"/>
    <n v="54037"/>
    <n v="60195"/>
    <n v="79790143"/>
    <n v="68022968"/>
    <n v="147813111"/>
    <n v="33282"/>
    <n v="10238"/>
    <n v="43520"/>
    <b v="1"/>
    <b v="1"/>
    <b v="1"/>
    <b v="1"/>
    <b v="1"/>
    <b v="1"/>
  </r>
  <r>
    <x v="2661"/>
    <n v="125526"/>
    <n v="62795"/>
    <n v="62731"/>
    <n v="83459762"/>
    <n v="78264783"/>
    <n v="161724545"/>
    <n v="35579"/>
    <n v="10712"/>
    <n v="46291"/>
    <b v="1"/>
    <b v="1"/>
    <b v="1"/>
    <b v="1"/>
    <b v="1"/>
    <b v="1"/>
  </r>
  <r>
    <x v="2662"/>
    <n v="110178"/>
    <n v="52111"/>
    <n v="58067"/>
    <n v="67322075"/>
    <n v="58415651"/>
    <n v="125737726"/>
    <n v="32277"/>
    <n v="9627"/>
    <n v="41904"/>
    <b v="1"/>
    <b v="1"/>
    <b v="1"/>
    <b v="1"/>
    <b v="1"/>
    <b v="1"/>
  </r>
  <r>
    <x v="2663"/>
    <n v="131730"/>
    <n v="63886"/>
    <n v="67844"/>
    <n v="85827819"/>
    <n v="78268696"/>
    <n v="164096515"/>
    <n v="38683"/>
    <n v="11177"/>
    <n v="49860"/>
    <b v="1"/>
    <b v="1"/>
    <b v="1"/>
    <b v="1"/>
    <b v="1"/>
    <b v="1"/>
  </r>
  <r>
    <x v="2664"/>
    <n v="128474"/>
    <n v="63993"/>
    <n v="64481"/>
    <n v="87987053"/>
    <n v="89700577"/>
    <n v="177687630"/>
    <n v="36766"/>
    <n v="10586"/>
    <n v="47352"/>
    <b v="1"/>
    <b v="1"/>
    <b v="1"/>
    <b v="1"/>
    <b v="1"/>
    <b v="1"/>
  </r>
  <r>
    <x v="2665"/>
    <n v="137930"/>
    <n v="68211"/>
    <n v="69719"/>
    <n v="94810352"/>
    <n v="93481826"/>
    <n v="188292178"/>
    <n v="39038"/>
    <n v="11058"/>
    <n v="50096"/>
    <b v="1"/>
    <b v="1"/>
    <b v="1"/>
    <b v="1"/>
    <b v="1"/>
    <b v="1"/>
  </r>
  <r>
    <x v="2666"/>
    <n v="140039"/>
    <n v="68547"/>
    <n v="71492"/>
    <n v="95412637"/>
    <n v="94641978"/>
    <n v="190054615"/>
    <n v="38394"/>
    <n v="10893"/>
    <n v="49287"/>
    <b v="1"/>
    <b v="1"/>
    <b v="1"/>
    <b v="1"/>
    <b v="1"/>
    <b v="1"/>
  </r>
  <r>
    <x v="2667"/>
    <n v="135075"/>
    <n v="67489"/>
    <n v="67586"/>
    <n v="94793802"/>
    <n v="89929404"/>
    <n v="184723206"/>
    <n v="36289"/>
    <n v="10565"/>
    <n v="46854"/>
    <b v="1"/>
    <b v="1"/>
    <b v="1"/>
    <b v="1"/>
    <b v="1"/>
    <b v="1"/>
  </r>
  <r>
    <x v="2668"/>
    <n v="134835"/>
    <n v="66906"/>
    <n v="67929"/>
    <n v="97288445"/>
    <n v="80608740"/>
    <n v="177897185"/>
    <n v="37850"/>
    <n v="11073"/>
    <n v="48923"/>
    <b v="1"/>
    <b v="1"/>
    <b v="1"/>
    <b v="1"/>
    <b v="1"/>
    <b v="1"/>
  </r>
  <r>
    <x v="2669"/>
    <n v="123729"/>
    <n v="58296"/>
    <n v="65433"/>
    <n v="77039617"/>
    <n v="67133927"/>
    <n v="144173544"/>
    <n v="37330"/>
    <n v="10891"/>
    <n v="48221"/>
    <b v="1"/>
    <b v="1"/>
    <b v="1"/>
    <b v="1"/>
    <b v="1"/>
    <b v="1"/>
  </r>
  <r>
    <x v="2670"/>
    <n v="140008"/>
    <n v="69087"/>
    <n v="70921"/>
    <n v="93556705"/>
    <n v="83185372"/>
    <n v="176742077"/>
    <n v="39680"/>
    <n v="11813"/>
    <n v="51493"/>
    <b v="1"/>
    <b v="1"/>
    <b v="1"/>
    <b v="1"/>
    <b v="1"/>
    <b v="1"/>
  </r>
  <r>
    <x v="2671"/>
    <n v="134144"/>
    <n v="67951"/>
    <n v="66193"/>
    <n v="93493255"/>
    <n v="91616832"/>
    <n v="185110087"/>
    <n v="37207"/>
    <n v="11120"/>
    <n v="48327"/>
    <b v="1"/>
    <b v="1"/>
    <b v="1"/>
    <b v="1"/>
    <b v="1"/>
    <b v="1"/>
  </r>
  <r>
    <x v="2672"/>
    <n v="134355"/>
    <n v="68744"/>
    <n v="65611"/>
    <n v="95029886"/>
    <n v="94320620"/>
    <n v="189350506"/>
    <n v="38843"/>
    <n v="11720"/>
    <n v="50563"/>
    <b v="1"/>
    <b v="1"/>
    <b v="1"/>
    <b v="1"/>
    <b v="1"/>
    <b v="1"/>
  </r>
  <r>
    <x v="2673"/>
    <n v="127350"/>
    <n v="66804"/>
    <n v="60546"/>
    <n v="81591381"/>
    <n v="92971525"/>
    <n v="174562906"/>
    <n v="31439"/>
    <n v="9989"/>
    <n v="41428"/>
    <b v="1"/>
    <b v="1"/>
    <b v="1"/>
    <b v="1"/>
    <b v="1"/>
    <b v="1"/>
  </r>
  <r>
    <x v="2674"/>
    <n v="128746"/>
    <n v="64847"/>
    <n v="63899"/>
    <n v="89426384"/>
    <n v="88040513"/>
    <n v="177466897"/>
    <n v="36131"/>
    <n v="10819"/>
    <n v="46950"/>
    <b v="1"/>
    <b v="1"/>
    <b v="1"/>
    <b v="1"/>
    <b v="1"/>
    <b v="1"/>
  </r>
  <r>
    <x v="2675"/>
    <n v="130372"/>
    <n v="65545"/>
    <n v="64827"/>
    <n v="85001512"/>
    <n v="81445332"/>
    <n v="166446844"/>
    <n v="38240"/>
    <n v="11047"/>
    <n v="49287"/>
    <b v="1"/>
    <b v="1"/>
    <b v="1"/>
    <b v="1"/>
    <b v="1"/>
    <b v="1"/>
  </r>
  <r>
    <x v="2676"/>
    <n v="121263"/>
    <n v="59103"/>
    <n v="62160"/>
    <n v="71682742"/>
    <n v="75708468"/>
    <n v="147391210"/>
    <n v="34271"/>
    <n v="9566"/>
    <n v="43837"/>
    <b v="1"/>
    <b v="1"/>
    <b v="1"/>
    <b v="1"/>
    <b v="1"/>
    <b v="1"/>
  </r>
  <r>
    <x v="2677"/>
    <n v="134686"/>
    <n v="67152"/>
    <n v="67534"/>
    <n v="83748292"/>
    <n v="90836511"/>
    <n v="174584803"/>
    <n v="36836"/>
    <n v="10926"/>
    <n v="47762"/>
    <b v="1"/>
    <b v="1"/>
    <b v="1"/>
    <b v="1"/>
    <b v="1"/>
    <b v="1"/>
  </r>
  <r>
    <x v="2678"/>
    <n v="116930"/>
    <n v="55881"/>
    <n v="61049"/>
    <n v="70762221"/>
    <n v="65683732"/>
    <n v="136445953"/>
    <n v="31906"/>
    <n v="8721"/>
    <n v="40627"/>
    <b v="1"/>
    <b v="1"/>
    <b v="1"/>
    <b v="1"/>
    <b v="1"/>
    <b v="1"/>
  </r>
  <r>
    <x v="2679"/>
    <n v="131905"/>
    <n v="66446"/>
    <n v="65459"/>
    <n v="87872566"/>
    <n v="92655029"/>
    <n v="180527595"/>
    <n v="34619"/>
    <n v="9895"/>
    <n v="44514"/>
    <b v="1"/>
    <b v="1"/>
    <b v="1"/>
    <b v="1"/>
    <b v="1"/>
    <b v="1"/>
  </r>
  <r>
    <x v="2680"/>
    <n v="136627"/>
    <n v="70598"/>
    <n v="66029"/>
    <n v="95309400"/>
    <n v="112875022"/>
    <n v="208184422"/>
    <n v="37606"/>
    <n v="10704"/>
    <n v="48310"/>
    <b v="1"/>
    <b v="1"/>
    <b v="1"/>
    <b v="1"/>
    <b v="1"/>
    <b v="1"/>
  </r>
  <r>
    <x v="2681"/>
    <n v="136165"/>
    <n v="71422"/>
    <n v="64743"/>
    <n v="91130021"/>
    <n v="113938899"/>
    <n v="205068920"/>
    <n v="36531"/>
    <n v="10444"/>
    <n v="46975"/>
    <b v="1"/>
    <b v="1"/>
    <b v="1"/>
    <b v="1"/>
    <b v="1"/>
    <b v="1"/>
  </r>
  <r>
    <x v="2682"/>
    <n v="135145"/>
    <n v="70754"/>
    <n v="64391"/>
    <n v="89154554"/>
    <n v="106297671"/>
    <n v="195452225"/>
    <n v="38384"/>
    <n v="10768"/>
    <n v="49152"/>
    <b v="1"/>
    <b v="1"/>
    <b v="1"/>
    <b v="1"/>
    <b v="1"/>
    <b v="1"/>
  </r>
  <r>
    <x v="2683"/>
    <n v="116888"/>
    <n v="57068"/>
    <n v="59820"/>
    <n v="73731659"/>
    <n v="73975557"/>
    <n v="147707216"/>
    <n v="36032"/>
    <n v="9605"/>
    <n v="45637"/>
    <b v="1"/>
    <b v="1"/>
    <b v="1"/>
    <b v="1"/>
    <b v="1"/>
    <b v="1"/>
  </r>
  <r>
    <x v="2684"/>
    <n v="129247"/>
    <n v="66070"/>
    <n v="63177"/>
    <n v="91498699"/>
    <n v="93957569"/>
    <n v="185456268"/>
    <n v="39063"/>
    <n v="10785"/>
    <n v="49848"/>
    <b v="1"/>
    <b v="1"/>
    <b v="1"/>
    <b v="1"/>
    <b v="1"/>
    <b v="1"/>
  </r>
  <r>
    <x v="2685"/>
    <n v="126376"/>
    <n v="64589"/>
    <n v="61787"/>
    <n v="94456626"/>
    <n v="103103663"/>
    <n v="197560289"/>
    <n v="36578"/>
    <n v="10176"/>
    <n v="46754"/>
    <b v="1"/>
    <b v="1"/>
    <b v="1"/>
    <b v="1"/>
    <b v="1"/>
    <b v="1"/>
  </r>
  <r>
    <x v="2686"/>
    <n v="130034"/>
    <n v="67636"/>
    <n v="62398"/>
    <n v="92357895"/>
    <n v="107773795"/>
    <n v="200131690"/>
    <n v="37379"/>
    <n v="10423"/>
    <n v="47802"/>
    <b v="1"/>
    <b v="1"/>
    <b v="1"/>
    <b v="1"/>
    <b v="1"/>
    <b v="1"/>
  </r>
  <r>
    <x v="2687"/>
    <n v="126432"/>
    <n v="63913"/>
    <n v="62519"/>
    <n v="97381779"/>
    <n v="98413030"/>
    <n v="195794809"/>
    <n v="37660"/>
    <n v="10556"/>
    <n v="48216"/>
    <b v="1"/>
    <b v="1"/>
    <b v="1"/>
    <b v="1"/>
    <b v="1"/>
    <b v="1"/>
  </r>
  <r>
    <x v="2688"/>
    <n v="127802"/>
    <n v="66178"/>
    <n v="61624"/>
    <n v="88996684"/>
    <n v="99740340"/>
    <n v="188737024"/>
    <n v="37831"/>
    <n v="10579"/>
    <n v="48410"/>
    <b v="1"/>
    <b v="1"/>
    <b v="1"/>
    <b v="1"/>
    <b v="1"/>
    <b v="1"/>
  </r>
  <r>
    <x v="2689"/>
    <n v="121584"/>
    <n v="63132"/>
    <n v="58452"/>
    <n v="79303635"/>
    <n v="92618784"/>
    <n v="171922419"/>
    <n v="34065"/>
    <n v="9703"/>
    <n v="43768"/>
    <b v="1"/>
    <b v="1"/>
    <b v="1"/>
    <b v="1"/>
    <b v="1"/>
    <b v="1"/>
  </r>
  <r>
    <x v="2690"/>
    <n v="112786"/>
    <n v="54064"/>
    <n v="58722"/>
    <n v="86910173"/>
    <n v="75210469"/>
    <n v="162120642"/>
    <n v="31689"/>
    <n v="8843"/>
    <n v="40532"/>
    <b v="1"/>
    <b v="1"/>
    <b v="1"/>
    <b v="1"/>
    <b v="1"/>
    <b v="1"/>
  </r>
  <r>
    <x v="2691"/>
    <n v="121533"/>
    <n v="61154"/>
    <n v="60379"/>
    <n v="86662220"/>
    <n v="79469721"/>
    <n v="166131941"/>
    <n v="31986"/>
    <n v="9003"/>
    <n v="40989"/>
    <b v="1"/>
    <b v="1"/>
    <b v="1"/>
    <b v="1"/>
    <b v="1"/>
    <b v="1"/>
  </r>
  <r>
    <x v="2692"/>
    <n v="132132"/>
    <n v="64629"/>
    <n v="67503"/>
    <n v="91950484"/>
    <n v="102830978"/>
    <n v="194781462"/>
    <n v="34639"/>
    <n v="9710"/>
    <n v="44349"/>
    <b v="1"/>
    <b v="1"/>
    <b v="1"/>
    <b v="1"/>
    <b v="1"/>
    <b v="1"/>
  </r>
  <r>
    <x v="2693"/>
    <n v="130510"/>
    <n v="65303"/>
    <n v="65207"/>
    <n v="96274534"/>
    <n v="106525512"/>
    <n v="202800046"/>
    <n v="37460"/>
    <n v="10399"/>
    <n v="47859"/>
    <b v="1"/>
    <b v="1"/>
    <b v="1"/>
    <b v="1"/>
    <b v="1"/>
    <b v="1"/>
  </r>
  <r>
    <x v="2694"/>
    <n v="135193"/>
    <n v="67019"/>
    <n v="68174"/>
    <n v="111412911"/>
    <n v="107857444"/>
    <n v="219270355"/>
    <n v="43800"/>
    <n v="12169"/>
    <n v="55969"/>
    <b v="1"/>
    <b v="1"/>
    <b v="1"/>
    <b v="1"/>
    <b v="1"/>
    <b v="1"/>
  </r>
  <r>
    <x v="2695"/>
    <n v="139120"/>
    <n v="69187"/>
    <n v="69933"/>
    <n v="101860965"/>
    <n v="116532715"/>
    <n v="218393680"/>
    <n v="43939"/>
    <n v="12522"/>
    <n v="56461"/>
    <b v="1"/>
    <b v="1"/>
    <b v="1"/>
    <b v="1"/>
    <b v="1"/>
    <b v="1"/>
  </r>
  <r>
    <x v="2696"/>
    <n v="135056"/>
    <n v="69584"/>
    <n v="65472"/>
    <n v="98704415"/>
    <n v="99081341"/>
    <n v="197785756"/>
    <n v="42872"/>
    <n v="12132"/>
    <n v="55004"/>
    <b v="1"/>
    <b v="1"/>
    <b v="1"/>
    <b v="1"/>
    <b v="1"/>
    <b v="1"/>
  </r>
  <r>
    <x v="2697"/>
    <n v="118719"/>
    <n v="59818"/>
    <n v="58901"/>
    <n v="90398721"/>
    <n v="76760628"/>
    <n v="167159349"/>
    <n v="41284"/>
    <n v="11187"/>
    <n v="52471"/>
    <b v="1"/>
    <b v="1"/>
    <b v="1"/>
    <b v="1"/>
    <b v="1"/>
    <b v="1"/>
  </r>
  <r>
    <x v="2698"/>
    <n v="127920"/>
    <n v="67541"/>
    <n v="60379"/>
    <n v="96822643"/>
    <n v="89337094"/>
    <n v="186159737"/>
    <n v="39905"/>
    <n v="11633"/>
    <n v="51538"/>
    <b v="1"/>
    <b v="1"/>
    <b v="1"/>
    <b v="1"/>
    <b v="1"/>
    <b v="1"/>
  </r>
  <r>
    <x v="2699"/>
    <n v="129816"/>
    <n v="68344"/>
    <n v="61472"/>
    <n v="108467770"/>
    <n v="102472774"/>
    <n v="210940544"/>
    <n v="42671"/>
    <n v="12265"/>
    <n v="54936"/>
    <b v="1"/>
    <b v="1"/>
    <b v="1"/>
    <b v="1"/>
    <b v="1"/>
    <b v="1"/>
  </r>
  <r>
    <x v="2700"/>
    <n v="137182"/>
    <n v="71085"/>
    <n v="66097"/>
    <n v="113637812"/>
    <n v="105386884"/>
    <n v="219024696"/>
    <n v="47604"/>
    <n v="13332"/>
    <n v="60936"/>
    <b v="1"/>
    <b v="1"/>
    <b v="1"/>
    <b v="1"/>
    <b v="1"/>
    <b v="1"/>
  </r>
  <r>
    <x v="2701"/>
    <n v="138179"/>
    <n v="69830"/>
    <n v="68349"/>
    <n v="108578915"/>
    <n v="99147334"/>
    <n v="207726249"/>
    <n v="47137"/>
    <n v="12863"/>
    <n v="60000"/>
    <b v="1"/>
    <b v="1"/>
    <b v="1"/>
    <b v="1"/>
    <b v="1"/>
    <b v="1"/>
  </r>
  <r>
    <x v="2702"/>
    <n v="136208"/>
    <n v="70312"/>
    <n v="65896"/>
    <n v="108709553"/>
    <n v="102157068"/>
    <n v="210866621"/>
    <n v="44689"/>
    <n v="12284"/>
    <n v="56973"/>
    <b v="1"/>
    <b v="1"/>
    <b v="1"/>
    <b v="1"/>
    <b v="1"/>
    <b v="1"/>
  </r>
  <r>
    <x v="2703"/>
    <n v="137791"/>
    <n v="70154"/>
    <n v="67637"/>
    <n v="105985635"/>
    <n v="92441700"/>
    <n v="198427335"/>
    <n v="45874"/>
    <n v="12641"/>
    <n v="58515"/>
    <b v="1"/>
    <b v="1"/>
    <b v="1"/>
    <b v="1"/>
    <b v="1"/>
    <b v="1"/>
  </r>
  <r>
    <x v="2704"/>
    <n v="127038"/>
    <n v="61105"/>
    <n v="65933"/>
    <n v="96364760"/>
    <n v="70783520"/>
    <n v="167148280"/>
    <n v="43936"/>
    <n v="11290"/>
    <n v="55226"/>
    <b v="1"/>
    <b v="1"/>
    <b v="1"/>
    <b v="1"/>
    <b v="1"/>
    <b v="1"/>
  </r>
  <r>
    <x v="2705"/>
    <n v="131452"/>
    <n v="67714"/>
    <n v="63738"/>
    <n v="104073101"/>
    <n v="83849276"/>
    <n v="187922377"/>
    <n v="44047"/>
    <n v="11091"/>
    <n v="55138"/>
    <b v="1"/>
    <b v="1"/>
    <b v="1"/>
    <b v="1"/>
    <b v="1"/>
    <b v="1"/>
  </r>
  <r>
    <x v="2706"/>
    <n v="128934"/>
    <n v="65337"/>
    <n v="63597"/>
    <n v="104002051"/>
    <n v="85467287"/>
    <n v="189469338"/>
    <n v="42145"/>
    <n v="11066"/>
    <n v="53211"/>
    <b v="1"/>
    <b v="1"/>
    <b v="1"/>
    <b v="1"/>
    <b v="1"/>
    <b v="1"/>
  </r>
  <r>
    <x v="2707"/>
    <n v="136494"/>
    <n v="73787"/>
    <n v="62707"/>
    <n v="102635036"/>
    <n v="115737131"/>
    <n v="218372167"/>
    <n v="42745"/>
    <n v="11653"/>
    <n v="54398"/>
    <b v="1"/>
    <b v="1"/>
    <b v="1"/>
    <b v="1"/>
    <b v="1"/>
    <b v="1"/>
  </r>
  <r>
    <x v="2708"/>
    <n v="139532"/>
    <n v="75803"/>
    <n v="63729"/>
    <n v="108380250"/>
    <n v="117003332"/>
    <n v="225383582"/>
    <n v="42664"/>
    <n v="11332"/>
    <n v="53996"/>
    <b v="1"/>
    <b v="1"/>
    <b v="1"/>
    <b v="1"/>
    <b v="1"/>
    <b v="1"/>
  </r>
  <r>
    <x v="2709"/>
    <n v="137413"/>
    <n v="73809"/>
    <n v="63604"/>
    <n v="100261952"/>
    <n v="114728021"/>
    <n v="214989973"/>
    <n v="42079"/>
    <n v="10908"/>
    <n v="52987"/>
    <b v="1"/>
    <b v="1"/>
    <b v="1"/>
    <b v="1"/>
    <b v="1"/>
    <b v="1"/>
  </r>
  <r>
    <x v="2710"/>
    <n v="142554"/>
    <n v="75871"/>
    <n v="66683"/>
    <n v="108765285"/>
    <n v="111134237"/>
    <n v="219899522"/>
    <n v="41560"/>
    <n v="11089"/>
    <n v="52649"/>
    <b v="1"/>
    <b v="1"/>
    <b v="1"/>
    <b v="1"/>
    <b v="1"/>
    <b v="1"/>
  </r>
  <r>
    <x v="2711"/>
    <n v="122242"/>
    <n v="62791"/>
    <n v="59451"/>
    <n v="84365261"/>
    <n v="81681677"/>
    <n v="166046938"/>
    <n v="38651"/>
    <n v="9913"/>
    <n v="48564"/>
    <b v="1"/>
    <b v="1"/>
    <b v="1"/>
    <b v="1"/>
    <b v="1"/>
    <b v="1"/>
  </r>
  <r>
    <x v="2712"/>
    <n v="134186"/>
    <n v="71177"/>
    <n v="63009"/>
    <n v="97966273"/>
    <n v="100011960"/>
    <n v="197978233"/>
    <n v="41084"/>
    <n v="11161"/>
    <n v="52245"/>
    <b v="1"/>
    <b v="1"/>
    <b v="1"/>
    <b v="1"/>
    <b v="1"/>
    <b v="1"/>
  </r>
  <r>
    <x v="2713"/>
    <n v="139249"/>
    <n v="74079"/>
    <n v="65170"/>
    <n v="107103634"/>
    <n v="112410413"/>
    <n v="219514047"/>
    <n v="44964"/>
    <n v="11732"/>
    <n v="56696"/>
    <b v="1"/>
    <b v="1"/>
    <b v="1"/>
    <b v="1"/>
    <b v="1"/>
    <b v="1"/>
  </r>
  <r>
    <x v="2714"/>
    <n v="141475"/>
    <n v="75420"/>
    <n v="66055"/>
    <n v="109606616"/>
    <n v="108414635"/>
    <n v="218021251"/>
    <n v="46499"/>
    <n v="12708"/>
    <n v="59207"/>
    <b v="1"/>
    <b v="1"/>
    <b v="1"/>
    <b v="1"/>
    <b v="1"/>
    <b v="1"/>
  </r>
  <r>
    <x v="2715"/>
    <n v="139607"/>
    <n v="73369"/>
    <n v="66238"/>
    <n v="107237694"/>
    <n v="109221550"/>
    <n v="216459244"/>
    <n v="45992"/>
    <n v="12481"/>
    <n v="58473"/>
    <b v="1"/>
    <b v="1"/>
    <b v="1"/>
    <b v="1"/>
    <b v="1"/>
    <b v="1"/>
  </r>
  <r>
    <x v="2716"/>
    <n v="129800"/>
    <n v="69927"/>
    <n v="59873"/>
    <n v="96359853"/>
    <n v="98829723"/>
    <n v="195189576"/>
    <n v="41786"/>
    <n v="11494"/>
    <n v="53280"/>
    <b v="1"/>
    <b v="1"/>
    <b v="1"/>
    <b v="1"/>
    <b v="1"/>
    <b v="1"/>
  </r>
  <r>
    <x v="2717"/>
    <n v="129073"/>
    <n v="68296"/>
    <n v="60777"/>
    <n v="95888682"/>
    <n v="87103385"/>
    <n v="182992067"/>
    <n v="42557"/>
    <n v="12006"/>
    <n v="54563"/>
    <b v="1"/>
    <b v="1"/>
    <b v="1"/>
    <b v="1"/>
    <b v="1"/>
    <b v="1"/>
  </r>
  <r>
    <x v="2718"/>
    <n v="121249"/>
    <n v="60143"/>
    <n v="61106"/>
    <n v="86607459"/>
    <n v="70306531"/>
    <n v="156913990"/>
    <n v="42043"/>
    <n v="10923"/>
    <n v="52966"/>
    <b v="1"/>
    <b v="1"/>
    <b v="1"/>
    <b v="1"/>
    <b v="1"/>
    <b v="1"/>
  </r>
  <r>
    <x v="2719"/>
    <n v="136697"/>
    <n v="70358"/>
    <n v="66339"/>
    <n v="102718737"/>
    <n v="94816076"/>
    <n v="197534813"/>
    <n v="47076"/>
    <n v="12614"/>
    <n v="59690"/>
    <b v="1"/>
    <b v="1"/>
    <b v="1"/>
    <b v="1"/>
    <b v="1"/>
    <b v="1"/>
  </r>
  <r>
    <x v="2720"/>
    <n v="141142"/>
    <n v="70781"/>
    <n v="70361"/>
    <n v="105992882"/>
    <n v="95868386"/>
    <n v="201861268"/>
    <n v="51603"/>
    <n v="13769"/>
    <n v="65372"/>
    <b v="1"/>
    <b v="1"/>
    <b v="1"/>
    <b v="1"/>
    <b v="1"/>
    <b v="1"/>
  </r>
  <r>
    <x v="2721"/>
    <n v="141030"/>
    <n v="71846"/>
    <n v="69184"/>
    <n v="99244788"/>
    <n v="100177203"/>
    <n v="199421991"/>
    <n v="49074"/>
    <n v="13531"/>
    <n v="62605"/>
    <b v="1"/>
    <b v="1"/>
    <b v="1"/>
    <b v="1"/>
    <b v="1"/>
    <b v="1"/>
  </r>
  <r>
    <x v="2722"/>
    <n v="133532"/>
    <n v="68146"/>
    <n v="65386"/>
    <n v="102961529"/>
    <n v="98313598"/>
    <n v="201275127"/>
    <n v="45707"/>
    <n v="12010"/>
    <n v="57717"/>
    <b v="1"/>
    <b v="1"/>
    <b v="1"/>
    <b v="1"/>
    <b v="1"/>
    <b v="1"/>
  </r>
  <r>
    <x v="2723"/>
    <n v="117854"/>
    <n v="60380"/>
    <n v="57474"/>
    <n v="85267879"/>
    <n v="85433940"/>
    <n v="170701819"/>
    <n v="40813"/>
    <n v="11000"/>
    <n v="51813"/>
    <b v="1"/>
    <b v="1"/>
    <b v="1"/>
    <b v="1"/>
    <b v="1"/>
    <b v="1"/>
  </r>
  <r>
    <x v="2724"/>
    <n v="119565"/>
    <n v="61264"/>
    <n v="58301"/>
    <n v="87327294"/>
    <n v="76367546"/>
    <n v="163694840"/>
    <n v="39801"/>
    <n v="11103"/>
    <n v="50904"/>
    <b v="1"/>
    <b v="1"/>
    <b v="1"/>
    <b v="1"/>
    <b v="1"/>
    <b v="1"/>
  </r>
  <r>
    <x v="2725"/>
    <n v="104258"/>
    <n v="50956"/>
    <n v="53302"/>
    <n v="69907384"/>
    <n v="59784662"/>
    <n v="129692046"/>
    <n v="36161"/>
    <n v="9568"/>
    <n v="45729"/>
    <b v="1"/>
    <b v="1"/>
    <b v="1"/>
    <b v="1"/>
    <b v="1"/>
    <b v="1"/>
  </r>
  <r>
    <x v="2726"/>
    <n v="91802"/>
    <n v="45166"/>
    <n v="46636"/>
    <n v="72814152"/>
    <n v="59462756"/>
    <n v="132276908"/>
    <n v="33595"/>
    <n v="8848"/>
    <n v="42443"/>
    <b v="1"/>
    <b v="1"/>
    <b v="1"/>
    <b v="1"/>
    <b v="1"/>
    <b v="1"/>
  </r>
  <r>
    <x v="2727"/>
    <n v="88766"/>
    <n v="43800"/>
    <n v="44966"/>
    <n v="75905401"/>
    <n v="2071115652"/>
    <n v="2147021053"/>
    <n v="31889"/>
    <n v="8172"/>
    <n v="40061"/>
    <b v="1"/>
    <b v="1"/>
    <b v="1"/>
    <b v="1"/>
    <b v="1"/>
    <b v="1"/>
  </r>
  <r>
    <x v="2728"/>
    <n v="93402"/>
    <n v="46218"/>
    <n v="47184"/>
    <n v="80615621"/>
    <n v="76177011"/>
    <n v="156792632"/>
    <n v="34289"/>
    <n v="9299"/>
    <n v="43588"/>
    <b v="1"/>
    <b v="1"/>
    <b v="1"/>
    <b v="1"/>
    <b v="1"/>
    <b v="1"/>
  </r>
  <r>
    <x v="2729"/>
    <n v="102318"/>
    <n v="51290"/>
    <n v="51028"/>
    <n v="85396015"/>
    <n v="78404591"/>
    <n v="163800606"/>
    <n v="36787"/>
    <n v="9687"/>
    <n v="46474"/>
    <b v="1"/>
    <b v="1"/>
    <b v="1"/>
    <b v="1"/>
    <b v="1"/>
    <b v="1"/>
  </r>
  <r>
    <x v="2730"/>
    <n v="120097"/>
    <n v="60259"/>
    <n v="59838"/>
    <n v="101105187"/>
    <n v="93716237"/>
    <n v="194821424"/>
    <n v="44425"/>
    <n v="11890"/>
    <n v="56315"/>
    <b v="1"/>
    <b v="1"/>
    <b v="1"/>
    <b v="1"/>
    <b v="1"/>
    <b v="1"/>
  </r>
  <r>
    <x v="2731"/>
    <n v="117909"/>
    <n v="60783"/>
    <n v="57126"/>
    <n v="101611760"/>
    <n v="93908705"/>
    <n v="195520465"/>
    <n v="43747"/>
    <n v="11946"/>
    <n v="55693"/>
    <b v="1"/>
    <b v="1"/>
    <b v="1"/>
    <b v="1"/>
    <b v="1"/>
    <b v="1"/>
  </r>
  <r>
    <x v="2732"/>
    <n v="112523"/>
    <n v="54995"/>
    <n v="57528"/>
    <n v="80505985"/>
    <n v="77467911"/>
    <n v="157973896"/>
    <n v="39546"/>
    <n v="10316"/>
    <n v="49862"/>
    <b v="1"/>
    <b v="1"/>
    <b v="1"/>
    <b v="1"/>
    <b v="1"/>
    <b v="1"/>
  </r>
  <r>
    <x v="2733"/>
    <n v="133365"/>
    <n v="66518"/>
    <n v="66847"/>
    <n v="104202439"/>
    <n v="82500586"/>
    <n v="186703025"/>
    <n v="45533"/>
    <n v="11467"/>
    <n v="57000"/>
    <b v="1"/>
    <b v="1"/>
    <b v="1"/>
    <b v="1"/>
    <b v="1"/>
    <b v="1"/>
  </r>
  <r>
    <x v="2734"/>
    <n v="128957"/>
    <n v="65185"/>
    <n v="63772"/>
    <n v="99398293"/>
    <n v="84085896"/>
    <n v="183484189"/>
    <n v="43460"/>
    <n v="11221"/>
    <n v="54681"/>
    <b v="1"/>
    <b v="1"/>
    <b v="1"/>
    <b v="1"/>
    <b v="1"/>
    <b v="1"/>
  </r>
  <r>
    <x v="2735"/>
    <n v="122150"/>
    <n v="59680"/>
    <n v="62470"/>
    <n v="93747032"/>
    <n v="80559072"/>
    <n v="174306104"/>
    <n v="43232"/>
    <n v="11199"/>
    <n v="54431"/>
    <b v="1"/>
    <b v="1"/>
    <b v="1"/>
    <b v="1"/>
    <b v="1"/>
    <b v="1"/>
  </r>
  <r>
    <x v="2736"/>
    <n v="103275"/>
    <n v="50420"/>
    <n v="52855"/>
    <n v="74451378"/>
    <n v="64508886"/>
    <n v="138960264"/>
    <n v="35152"/>
    <n v="8807"/>
    <n v="43959"/>
    <b v="1"/>
    <b v="1"/>
    <b v="1"/>
    <b v="1"/>
    <b v="1"/>
    <b v="1"/>
  </r>
  <r>
    <x v="2737"/>
    <n v="120503"/>
    <n v="62778"/>
    <n v="57725"/>
    <n v="82032190"/>
    <n v="81741326"/>
    <n v="163773516"/>
    <n v="40155"/>
    <n v="11217"/>
    <n v="51372"/>
    <b v="1"/>
    <b v="1"/>
    <b v="1"/>
    <b v="1"/>
    <b v="1"/>
    <b v="1"/>
  </r>
  <r>
    <x v="2738"/>
    <n v="130690"/>
    <n v="68455"/>
    <n v="62235"/>
    <n v="88273080"/>
    <n v="87345836"/>
    <n v="175618916"/>
    <n v="42718"/>
    <n v="11807"/>
    <n v="54525"/>
    <b v="1"/>
    <b v="1"/>
    <b v="1"/>
    <b v="1"/>
    <b v="1"/>
    <b v="1"/>
  </r>
  <r>
    <x v="2739"/>
    <n v="114093"/>
    <n v="57721"/>
    <n v="56372"/>
    <n v="78531757"/>
    <n v="65625337"/>
    <n v="144157094"/>
    <n v="37521"/>
    <n v="10308"/>
    <n v="47829"/>
    <b v="1"/>
    <b v="1"/>
    <b v="1"/>
    <b v="1"/>
    <b v="1"/>
    <b v="1"/>
  </r>
  <r>
    <x v="2740"/>
    <n v="132497"/>
    <n v="67770"/>
    <n v="64727"/>
    <n v="87893807"/>
    <n v="86633610"/>
    <n v="174527417"/>
    <n v="36336"/>
    <n v="10997"/>
    <n v="47333"/>
    <b v="1"/>
    <b v="1"/>
    <b v="1"/>
    <b v="1"/>
    <b v="1"/>
    <b v="1"/>
  </r>
  <r>
    <x v="2741"/>
    <n v="113705"/>
    <n v="62094"/>
    <n v="51611"/>
    <n v="84120343"/>
    <n v="93057524"/>
    <n v="177177867"/>
    <n v="31999"/>
    <n v="9636"/>
    <n v="41635"/>
    <b v="1"/>
    <b v="1"/>
    <b v="1"/>
    <b v="1"/>
    <b v="1"/>
    <b v="1"/>
  </r>
  <r>
    <x v="2742"/>
    <n v="118701"/>
    <n v="63478"/>
    <n v="55223"/>
    <n v="93916341"/>
    <n v="99033407"/>
    <n v="192949748"/>
    <n v="33579"/>
    <n v="9818"/>
    <n v="43397"/>
    <b v="1"/>
    <b v="1"/>
    <b v="1"/>
    <b v="1"/>
    <b v="1"/>
    <b v="1"/>
  </r>
  <r>
    <x v="2743"/>
    <n v="125362"/>
    <n v="64032"/>
    <n v="61330"/>
    <n v="97649257"/>
    <n v="95896732"/>
    <n v="193545989"/>
    <n v="31921"/>
    <n v="9950"/>
    <n v="41871"/>
    <b v="1"/>
    <b v="1"/>
    <b v="1"/>
    <b v="1"/>
    <b v="1"/>
    <b v="1"/>
  </r>
  <r>
    <x v="2744"/>
    <n v="131042"/>
    <n v="67421"/>
    <n v="63621"/>
    <n v="99340296"/>
    <n v="93244749"/>
    <n v="192585045"/>
    <n v="34086"/>
    <n v="10560"/>
    <n v="44646"/>
    <b v="1"/>
    <b v="1"/>
    <b v="1"/>
    <b v="1"/>
    <b v="1"/>
    <b v="1"/>
  </r>
  <r>
    <x v="2745"/>
    <n v="126558"/>
    <n v="62988"/>
    <n v="63570"/>
    <n v="95973885"/>
    <n v="80291393"/>
    <n v="176265278"/>
    <n v="32639"/>
    <n v="10100"/>
    <n v="42739"/>
    <b v="1"/>
    <b v="1"/>
    <b v="1"/>
    <b v="1"/>
    <b v="1"/>
    <b v="1"/>
  </r>
  <r>
    <x v="2746"/>
    <n v="102830"/>
    <n v="47367"/>
    <n v="55463"/>
    <n v="87069422"/>
    <n v="55071247"/>
    <n v="142140669"/>
    <n v="23791"/>
    <n v="7694"/>
    <n v="31485"/>
    <b v="1"/>
    <b v="1"/>
    <b v="1"/>
    <b v="1"/>
    <b v="1"/>
    <b v="1"/>
  </r>
  <r>
    <x v="2747"/>
    <n v="127538"/>
    <n v="62581"/>
    <n v="64957"/>
    <n v="106318455"/>
    <n v="84602278"/>
    <n v="190920733"/>
    <n v="35335"/>
    <n v="9805"/>
    <n v="45140"/>
    <b v="1"/>
    <b v="1"/>
    <b v="1"/>
    <b v="1"/>
    <b v="1"/>
    <b v="1"/>
  </r>
  <r>
    <x v="2748"/>
    <n v="133530"/>
    <n v="68082"/>
    <n v="65448"/>
    <n v="106883302"/>
    <n v="95550739"/>
    <n v="202434041"/>
    <n v="37321"/>
    <n v="10470"/>
    <n v="47791"/>
    <b v="1"/>
    <b v="1"/>
    <b v="1"/>
    <b v="1"/>
    <b v="1"/>
    <b v="1"/>
  </r>
  <r>
    <x v="2749"/>
    <n v="133448"/>
    <n v="68500"/>
    <n v="64948"/>
    <n v="105154044"/>
    <n v="100458130"/>
    <n v="205612174"/>
    <n v="38703"/>
    <n v="10774"/>
    <n v="49477"/>
    <b v="1"/>
    <b v="1"/>
    <b v="1"/>
    <b v="1"/>
    <b v="1"/>
    <b v="1"/>
  </r>
  <r>
    <x v="2750"/>
    <n v="131440"/>
    <n v="68444"/>
    <n v="62996"/>
    <n v="98570172"/>
    <n v="101327088"/>
    <n v="199897260"/>
    <n v="35364"/>
    <n v="10109"/>
    <n v="45473"/>
    <b v="1"/>
    <b v="1"/>
    <b v="1"/>
    <b v="1"/>
    <b v="1"/>
    <b v="1"/>
  </r>
  <r>
    <x v="2751"/>
    <n v="130185"/>
    <n v="68619"/>
    <n v="61566"/>
    <n v="144417033"/>
    <n v="94165316"/>
    <n v="238582349"/>
    <n v="37082"/>
    <n v="10571"/>
    <n v="47653"/>
    <b v="1"/>
    <b v="1"/>
    <b v="1"/>
    <b v="1"/>
    <b v="1"/>
    <b v="1"/>
  </r>
  <r>
    <x v="2752"/>
    <n v="127244"/>
    <n v="66428"/>
    <n v="60816"/>
    <n v="93655651"/>
    <n v="95091320"/>
    <n v="188746971"/>
    <n v="33769"/>
    <n v="9747"/>
    <n v="43516"/>
    <b v="1"/>
    <b v="1"/>
    <b v="1"/>
    <b v="1"/>
    <b v="1"/>
    <b v="1"/>
  </r>
  <r>
    <x v="2753"/>
    <n v="109628"/>
    <n v="53998"/>
    <n v="55630"/>
    <n v="84476176"/>
    <n v="62623376"/>
    <n v="147099552"/>
    <n v="32861"/>
    <n v="8781"/>
    <n v="41642"/>
    <b v="1"/>
    <b v="1"/>
    <b v="1"/>
    <b v="1"/>
    <b v="1"/>
    <b v="1"/>
  </r>
  <r>
    <x v="2754"/>
    <n v="126396"/>
    <n v="64283"/>
    <n v="62113"/>
    <n v="104301019"/>
    <n v="89720522"/>
    <n v="194021541"/>
    <n v="37315"/>
    <n v="10263"/>
    <n v="47578"/>
    <b v="1"/>
    <b v="1"/>
    <b v="1"/>
    <b v="1"/>
    <b v="1"/>
    <b v="1"/>
  </r>
  <r>
    <x v="2755"/>
    <n v="134587"/>
    <n v="69683"/>
    <n v="64904"/>
    <n v="109839718"/>
    <n v="106353558"/>
    <n v="216193276"/>
    <n v="38702"/>
    <n v="10709"/>
    <n v="49411"/>
    <b v="1"/>
    <b v="1"/>
    <b v="1"/>
    <b v="1"/>
    <b v="1"/>
    <b v="1"/>
  </r>
  <r>
    <x v="2756"/>
    <n v="133743"/>
    <n v="68126"/>
    <n v="65617"/>
    <n v="102932932"/>
    <n v="99848272"/>
    <n v="202781204"/>
    <n v="38307"/>
    <n v="10393"/>
    <n v="48700"/>
    <b v="1"/>
    <b v="1"/>
    <b v="1"/>
    <b v="1"/>
    <b v="1"/>
    <b v="1"/>
  </r>
  <r>
    <x v="2757"/>
    <n v="134230"/>
    <n v="68842"/>
    <n v="65388"/>
    <n v="121019603"/>
    <n v="97004590"/>
    <n v="218024193"/>
    <n v="41218"/>
    <n v="11506"/>
    <n v="52724"/>
    <b v="1"/>
    <b v="1"/>
    <b v="1"/>
    <b v="1"/>
    <b v="1"/>
    <b v="1"/>
  </r>
  <r>
    <x v="2758"/>
    <n v="127987"/>
    <n v="66768"/>
    <n v="61219"/>
    <n v="105198203"/>
    <n v="91560397"/>
    <n v="196758600"/>
    <n v="37258"/>
    <n v="9875"/>
    <n v="47133"/>
    <b v="1"/>
    <b v="1"/>
    <b v="1"/>
    <b v="1"/>
    <b v="1"/>
    <b v="1"/>
  </r>
  <r>
    <x v="2759"/>
    <n v="127217"/>
    <n v="64026"/>
    <n v="63191"/>
    <n v="85164980"/>
    <n v="76441677"/>
    <n v="161606657"/>
    <n v="39185"/>
    <n v="10597"/>
    <n v="49782"/>
    <b v="1"/>
    <b v="1"/>
    <b v="1"/>
    <b v="1"/>
    <b v="1"/>
    <b v="1"/>
  </r>
  <r>
    <x v="2760"/>
    <n v="116176"/>
    <n v="54889"/>
    <n v="61287"/>
    <n v="77601268"/>
    <n v="59424146"/>
    <n v="137025414"/>
    <n v="35544"/>
    <n v="9452"/>
    <n v="44996"/>
    <b v="1"/>
    <b v="1"/>
    <b v="1"/>
    <b v="1"/>
    <b v="1"/>
    <b v="1"/>
  </r>
  <r>
    <x v="2761"/>
    <n v="116966"/>
    <n v="60746"/>
    <n v="56220"/>
    <n v="87575006"/>
    <n v="88954014"/>
    <n v="176529020"/>
    <n v="34671"/>
    <n v="9185"/>
    <n v="43856"/>
    <b v="1"/>
    <b v="1"/>
    <b v="1"/>
    <b v="1"/>
    <b v="1"/>
    <b v="1"/>
  </r>
  <r>
    <x v="2762"/>
    <n v="124591"/>
    <n v="63922"/>
    <n v="60669"/>
    <n v="97894654"/>
    <n v="88341574"/>
    <n v="186236228"/>
    <n v="39477"/>
    <n v="10463"/>
    <n v="49940"/>
    <b v="1"/>
    <b v="1"/>
    <b v="1"/>
    <b v="1"/>
    <b v="1"/>
    <b v="1"/>
  </r>
  <r>
    <x v="2763"/>
    <n v="130571"/>
    <n v="64938"/>
    <n v="65633"/>
    <n v="115547485"/>
    <n v="97891087"/>
    <n v="213438572"/>
    <n v="41580"/>
    <n v="10884"/>
    <n v="52464"/>
    <b v="1"/>
    <b v="1"/>
    <b v="1"/>
    <b v="1"/>
    <b v="1"/>
    <b v="1"/>
  </r>
  <r>
    <x v="2764"/>
    <n v="126827"/>
    <n v="63005"/>
    <n v="63822"/>
    <n v="110767999"/>
    <n v="93471505"/>
    <n v="204239504"/>
    <n v="41124"/>
    <n v="10843"/>
    <n v="51967"/>
    <b v="1"/>
    <b v="1"/>
    <b v="1"/>
    <b v="1"/>
    <b v="1"/>
    <b v="1"/>
  </r>
  <r>
    <x v="2765"/>
    <n v="130118"/>
    <n v="65736"/>
    <n v="64382"/>
    <n v="99085964"/>
    <n v="89345510"/>
    <n v="188431474"/>
    <n v="39065"/>
    <n v="10215"/>
    <n v="49280"/>
    <b v="1"/>
    <b v="1"/>
    <b v="1"/>
    <b v="1"/>
    <b v="1"/>
    <b v="1"/>
  </r>
  <r>
    <x v="2766"/>
    <n v="135826"/>
    <n v="67896"/>
    <n v="67930"/>
    <n v="100982500"/>
    <n v="79903053"/>
    <n v="180885553"/>
    <n v="40631"/>
    <n v="10988"/>
    <n v="51619"/>
    <b v="1"/>
    <b v="1"/>
    <b v="1"/>
    <b v="1"/>
    <b v="1"/>
    <b v="1"/>
  </r>
  <r>
    <x v="2767"/>
    <n v="108818"/>
    <n v="53459"/>
    <n v="55359"/>
    <n v="81043901"/>
    <n v="67439431"/>
    <n v="148483332"/>
    <n v="32154"/>
    <n v="8229"/>
    <n v="40383"/>
    <b v="1"/>
    <b v="1"/>
    <b v="1"/>
    <b v="1"/>
    <b v="1"/>
    <b v="1"/>
  </r>
  <r>
    <x v="2768"/>
    <n v="132501"/>
    <n v="69016"/>
    <n v="63485"/>
    <n v="94598735"/>
    <n v="89983977"/>
    <n v="184582712"/>
    <n v="38149"/>
    <n v="10425"/>
    <n v="48574"/>
    <b v="1"/>
    <b v="1"/>
    <b v="1"/>
    <b v="1"/>
    <b v="1"/>
    <b v="1"/>
  </r>
  <r>
    <x v="2769"/>
    <n v="136633"/>
    <n v="71616"/>
    <n v="65017"/>
    <n v="105963736"/>
    <n v="110185059"/>
    <n v="216148795"/>
    <n v="39484"/>
    <n v="10692"/>
    <n v="50176"/>
    <b v="1"/>
    <b v="1"/>
    <b v="1"/>
    <b v="1"/>
    <b v="1"/>
    <b v="1"/>
  </r>
  <r>
    <x v="2770"/>
    <n v="135785"/>
    <n v="70966"/>
    <n v="64819"/>
    <n v="110127160"/>
    <n v="117364489"/>
    <n v="227491649"/>
    <n v="41321"/>
    <n v="11361"/>
    <n v="52682"/>
    <b v="1"/>
    <b v="1"/>
    <b v="1"/>
    <b v="1"/>
    <b v="1"/>
    <b v="1"/>
  </r>
  <r>
    <x v="2771"/>
    <n v="137251"/>
    <n v="70079"/>
    <n v="67172"/>
    <n v="111146192"/>
    <n v="112688134"/>
    <n v="223834326"/>
    <n v="42920"/>
    <n v="12048"/>
    <n v="54968"/>
    <b v="1"/>
    <b v="1"/>
    <b v="1"/>
    <b v="1"/>
    <b v="1"/>
    <b v="1"/>
  </r>
  <r>
    <x v="2772"/>
    <n v="138204"/>
    <n v="70755"/>
    <n v="67449"/>
    <n v="107786409"/>
    <n v="104711859"/>
    <n v="212498268"/>
    <n v="41877"/>
    <n v="11407"/>
    <n v="53284"/>
    <b v="1"/>
    <b v="1"/>
    <b v="1"/>
    <b v="1"/>
    <b v="1"/>
    <b v="1"/>
  </r>
  <r>
    <x v="2773"/>
    <n v="139199"/>
    <n v="73398"/>
    <n v="65801"/>
    <n v="106533998"/>
    <n v="102231742"/>
    <n v="208765740"/>
    <n v="38790"/>
    <n v="11250"/>
    <n v="50040"/>
    <b v="1"/>
    <b v="1"/>
    <b v="1"/>
    <b v="1"/>
    <b v="1"/>
    <b v="1"/>
  </r>
  <r>
    <x v="2774"/>
    <n v="119088"/>
    <n v="60552"/>
    <n v="58536"/>
    <n v="87425263"/>
    <n v="71551057"/>
    <n v="158976320"/>
    <n v="30133"/>
    <n v="8368"/>
    <n v="38501"/>
    <b v="1"/>
    <b v="1"/>
    <b v="1"/>
    <b v="1"/>
    <b v="1"/>
    <b v="1"/>
  </r>
  <r>
    <x v="2775"/>
    <n v="132296"/>
    <n v="67550"/>
    <n v="64746"/>
    <n v="95251528"/>
    <n v="89234758"/>
    <n v="184486286"/>
    <n v="35271"/>
    <n v="10082"/>
    <n v="45353"/>
    <b v="1"/>
    <b v="1"/>
    <b v="1"/>
    <b v="1"/>
    <b v="1"/>
    <b v="1"/>
  </r>
  <r>
    <x v="2776"/>
    <n v="118315"/>
    <n v="60884"/>
    <n v="57431"/>
    <n v="86592095"/>
    <n v="80546878"/>
    <n v="167138973"/>
    <n v="32248"/>
    <n v="8861"/>
    <n v="41109"/>
    <b v="1"/>
    <b v="1"/>
    <b v="1"/>
    <b v="1"/>
    <b v="1"/>
    <b v="1"/>
  </r>
  <r>
    <x v="2777"/>
    <n v="115838"/>
    <n v="61256"/>
    <n v="54582"/>
    <n v="83150442"/>
    <n v="85844871"/>
    <n v="168995313"/>
    <n v="34418"/>
    <n v="9743"/>
    <n v="44161"/>
    <b v="1"/>
    <b v="1"/>
    <b v="1"/>
    <b v="1"/>
    <b v="1"/>
    <b v="1"/>
  </r>
  <r>
    <x v="2778"/>
    <n v="114576"/>
    <n v="57963"/>
    <n v="56613"/>
    <n v="77645253"/>
    <n v="67075126"/>
    <n v="144720379"/>
    <n v="34064"/>
    <n v="9436"/>
    <n v="43500"/>
    <b v="1"/>
    <b v="1"/>
    <b v="1"/>
    <b v="1"/>
    <b v="1"/>
    <b v="1"/>
  </r>
  <r>
    <x v="2779"/>
    <n v="115902"/>
    <n v="62874"/>
    <n v="53028"/>
    <n v="88135906"/>
    <n v="75072208"/>
    <n v="163208114"/>
    <n v="31764"/>
    <n v="9024"/>
    <n v="40788"/>
    <b v="1"/>
    <b v="1"/>
    <b v="1"/>
    <b v="1"/>
    <b v="1"/>
    <b v="1"/>
  </r>
  <r>
    <x v="2780"/>
    <n v="119142"/>
    <n v="62684"/>
    <n v="56458"/>
    <n v="79511390"/>
    <n v="76006424"/>
    <n v="155517814"/>
    <n v="31482"/>
    <n v="8698"/>
    <n v="40180"/>
    <b v="1"/>
    <b v="1"/>
    <b v="1"/>
    <b v="1"/>
    <b v="1"/>
    <b v="1"/>
  </r>
  <r>
    <x v="2781"/>
    <n v="110586"/>
    <n v="54088"/>
    <n v="56498"/>
    <n v="76717316"/>
    <n v="61718885"/>
    <n v="138436201"/>
    <n v="29739"/>
    <n v="8289"/>
    <n v="38028"/>
    <b v="1"/>
    <b v="1"/>
    <b v="1"/>
    <b v="1"/>
    <b v="1"/>
    <b v="1"/>
  </r>
  <r>
    <x v="2782"/>
    <n v="79523"/>
    <n v="35541"/>
    <n v="43982"/>
    <n v="50886300"/>
    <n v="36080379"/>
    <n v="86966679"/>
    <n v="16602"/>
    <n v="4651"/>
    <n v="21253"/>
    <b v="1"/>
    <b v="1"/>
    <b v="1"/>
    <b v="1"/>
    <b v="1"/>
    <b v="1"/>
  </r>
  <r>
    <x v="2783"/>
    <n v="142061"/>
    <n v="69341"/>
    <n v="72720"/>
    <n v="115895568"/>
    <n v="90988977"/>
    <n v="206884545"/>
    <n v="39614"/>
    <n v="10840"/>
    <n v="50454"/>
    <b v="1"/>
    <b v="1"/>
    <b v="1"/>
    <b v="1"/>
    <b v="1"/>
    <b v="1"/>
  </r>
  <r>
    <x v="2784"/>
    <n v="144533"/>
    <n v="72970"/>
    <n v="71563"/>
    <n v="114627518"/>
    <n v="106238543"/>
    <n v="220866061"/>
    <n v="38377"/>
    <n v="10743"/>
    <n v="49120"/>
    <b v="1"/>
    <b v="1"/>
    <b v="1"/>
    <b v="1"/>
    <b v="1"/>
    <b v="1"/>
  </r>
  <r>
    <x v="2785"/>
    <n v="140575"/>
    <n v="71472"/>
    <n v="69103"/>
    <n v="109308615"/>
    <n v="114126766"/>
    <n v="223435381"/>
    <n v="38608"/>
    <n v="11547"/>
    <n v="50155"/>
    <b v="1"/>
    <b v="1"/>
    <b v="1"/>
    <b v="1"/>
    <b v="1"/>
    <b v="1"/>
  </r>
  <r>
    <x v="2786"/>
    <n v="132190"/>
    <n v="68448"/>
    <n v="63742"/>
    <n v="97630264"/>
    <n v="83804928"/>
    <n v="181435192"/>
    <n v="34429"/>
    <n v="9261"/>
    <n v="43690"/>
    <b v="1"/>
    <b v="1"/>
    <b v="1"/>
    <b v="1"/>
    <b v="1"/>
    <b v="1"/>
  </r>
  <r>
    <x v="2787"/>
    <n v="140550"/>
    <n v="71187"/>
    <n v="69363"/>
    <n v="108999172"/>
    <n v="90914829"/>
    <n v="199914001"/>
    <n v="37018"/>
    <n v="10452"/>
    <n v="47470"/>
    <b v="1"/>
    <b v="1"/>
    <b v="1"/>
    <b v="1"/>
    <b v="1"/>
    <b v="1"/>
  </r>
  <r>
    <x v="2788"/>
    <n v="127948"/>
    <n v="61897"/>
    <n v="66051"/>
    <n v="103201718"/>
    <n v="76361326"/>
    <n v="179563044"/>
    <n v="36144"/>
    <n v="9237"/>
    <n v="45381"/>
    <b v="1"/>
    <b v="1"/>
    <b v="1"/>
    <b v="1"/>
    <b v="1"/>
    <b v="1"/>
  </r>
  <r>
    <x v="2789"/>
    <n v="143163"/>
    <n v="68733"/>
    <n v="74430"/>
    <n v="129466938"/>
    <n v="100742392"/>
    <n v="230209330"/>
    <n v="44081"/>
    <n v="11859"/>
    <n v="55940"/>
    <b v="1"/>
    <b v="1"/>
    <b v="1"/>
    <b v="1"/>
    <b v="1"/>
    <b v="1"/>
  </r>
  <r>
    <x v="2790"/>
    <n v="139217"/>
    <n v="69810"/>
    <n v="69407"/>
    <n v="121103412"/>
    <n v="107484055"/>
    <n v="228587467"/>
    <n v="40175"/>
    <n v="10706"/>
    <n v="50881"/>
    <b v="1"/>
    <b v="1"/>
    <b v="1"/>
    <b v="1"/>
    <b v="1"/>
    <b v="1"/>
  </r>
  <r>
    <x v="2791"/>
    <n v="145129"/>
    <n v="73907"/>
    <n v="71222"/>
    <n v="221840788"/>
    <n v="116827004"/>
    <n v="338667792"/>
    <n v="40190"/>
    <n v="11096"/>
    <n v="51286"/>
    <b v="1"/>
    <b v="1"/>
    <b v="1"/>
    <b v="1"/>
    <b v="1"/>
    <b v="1"/>
  </r>
  <r>
    <x v="2792"/>
    <n v="152457"/>
    <n v="77868"/>
    <n v="74589"/>
    <n v="124529315"/>
    <n v="111447448"/>
    <n v="235976763"/>
    <n v="45305"/>
    <n v="12017"/>
    <n v="57322"/>
    <b v="1"/>
    <b v="1"/>
    <b v="1"/>
    <b v="1"/>
    <b v="1"/>
    <b v="1"/>
  </r>
  <r>
    <x v="2793"/>
    <n v="149233"/>
    <n v="75366"/>
    <n v="73867"/>
    <n v="116234871"/>
    <n v="101200103"/>
    <n v="217434974"/>
    <n v="43245"/>
    <n v="11507"/>
    <n v="54752"/>
    <b v="1"/>
    <b v="1"/>
    <b v="1"/>
    <b v="1"/>
    <b v="1"/>
    <b v="1"/>
  </r>
  <r>
    <x v="2794"/>
    <n v="149824"/>
    <n v="74060"/>
    <n v="75764"/>
    <n v="119048763"/>
    <n v="94642624"/>
    <n v="213691387"/>
    <n v="42736"/>
    <n v="11202"/>
    <n v="53938"/>
    <b v="1"/>
    <b v="1"/>
    <b v="1"/>
    <b v="1"/>
    <b v="1"/>
    <b v="1"/>
  </r>
  <r>
    <x v="2795"/>
    <n v="130094"/>
    <n v="63181"/>
    <n v="66913"/>
    <n v="102652672"/>
    <n v="70105180"/>
    <n v="172757852"/>
    <n v="39641"/>
    <n v="9969"/>
    <n v="49610"/>
    <b v="1"/>
    <b v="1"/>
    <b v="1"/>
    <b v="1"/>
    <b v="1"/>
    <b v="1"/>
  </r>
  <r>
    <x v="2796"/>
    <n v="142999"/>
    <n v="70522"/>
    <n v="72477"/>
    <n v="107412180"/>
    <n v="89016202"/>
    <n v="196428382"/>
    <n v="43818"/>
    <n v="11342"/>
    <n v="55160"/>
    <b v="1"/>
    <b v="1"/>
    <b v="1"/>
    <b v="1"/>
    <b v="1"/>
    <b v="1"/>
  </r>
  <r>
    <x v="2797"/>
    <n v="142681"/>
    <n v="70868"/>
    <n v="71813"/>
    <n v="108883620"/>
    <n v="90153306"/>
    <n v="199036926"/>
    <n v="41106"/>
    <n v="10932"/>
    <n v="52038"/>
    <b v="1"/>
    <b v="1"/>
    <b v="1"/>
    <b v="1"/>
    <b v="1"/>
    <b v="1"/>
  </r>
  <r>
    <x v="2798"/>
    <n v="120464"/>
    <n v="59086"/>
    <n v="61378"/>
    <n v="94319296"/>
    <n v="79166253"/>
    <n v="173485549"/>
    <n v="36963"/>
    <n v="9981"/>
    <n v="46944"/>
    <b v="1"/>
    <b v="1"/>
    <b v="1"/>
    <b v="1"/>
    <b v="1"/>
    <b v="1"/>
  </r>
  <r>
    <x v="2799"/>
    <n v="124177"/>
    <n v="64382"/>
    <n v="59795"/>
    <n v="93376821"/>
    <n v="100861906"/>
    <n v="194238727"/>
    <n v="33151"/>
    <n v="9329"/>
    <n v="42480"/>
    <b v="1"/>
    <b v="1"/>
    <b v="1"/>
    <b v="1"/>
    <b v="1"/>
    <b v="1"/>
  </r>
  <r>
    <x v="2800"/>
    <n v="118737"/>
    <n v="65602"/>
    <n v="53135"/>
    <n v="97685587"/>
    <n v="110954980"/>
    <n v="208640567"/>
    <n v="31387"/>
    <n v="8679"/>
    <n v="40066"/>
    <b v="1"/>
    <b v="1"/>
    <b v="1"/>
    <b v="1"/>
    <b v="1"/>
    <b v="1"/>
  </r>
  <r>
    <x v="2801"/>
    <n v="135580"/>
    <n v="73653"/>
    <n v="61927"/>
    <n v="103466655"/>
    <n v="109365233"/>
    <n v="212831888"/>
    <n v="39663"/>
    <n v="10844"/>
    <n v="50507"/>
    <b v="1"/>
    <b v="1"/>
    <b v="1"/>
    <b v="1"/>
    <b v="1"/>
    <b v="1"/>
  </r>
  <r>
    <x v="2802"/>
    <n v="117906"/>
    <n v="59732"/>
    <n v="58174"/>
    <n v="88824890"/>
    <n v="77014195"/>
    <n v="165839085"/>
    <n v="37387"/>
    <n v="9223"/>
    <n v="46610"/>
    <b v="1"/>
    <b v="1"/>
    <b v="1"/>
    <b v="1"/>
    <b v="1"/>
    <b v="1"/>
  </r>
  <r>
    <x v="2803"/>
    <n v="143066"/>
    <n v="73296"/>
    <n v="69770"/>
    <n v="111149576"/>
    <n v="105399693"/>
    <n v="216549269"/>
    <n v="44041"/>
    <n v="11137"/>
    <n v="55178"/>
    <b v="1"/>
    <b v="1"/>
    <b v="1"/>
    <b v="1"/>
    <b v="1"/>
    <b v="1"/>
  </r>
  <r>
    <x v="2804"/>
    <n v="139864"/>
    <n v="71213"/>
    <n v="68651"/>
    <n v="120337796"/>
    <n v="108619507"/>
    <n v="228957303"/>
    <n v="44819"/>
    <n v="11281"/>
    <n v="56100"/>
    <b v="1"/>
    <b v="1"/>
    <b v="1"/>
    <b v="1"/>
    <b v="1"/>
    <b v="1"/>
  </r>
  <r>
    <x v="2805"/>
    <n v="131837"/>
    <n v="68099"/>
    <n v="63738"/>
    <n v="115846905"/>
    <n v="113590855"/>
    <n v="229437760"/>
    <n v="41270"/>
    <n v="10304"/>
    <n v="51574"/>
    <b v="1"/>
    <b v="1"/>
    <b v="1"/>
    <b v="1"/>
    <b v="1"/>
    <b v="1"/>
  </r>
  <r>
    <x v="2806"/>
    <n v="127028"/>
    <n v="62815"/>
    <n v="64213"/>
    <n v="112460660"/>
    <n v="105464761"/>
    <n v="217925421"/>
    <n v="41147"/>
    <n v="10767"/>
    <n v="51914"/>
    <b v="1"/>
    <b v="1"/>
    <b v="1"/>
    <b v="1"/>
    <b v="1"/>
    <b v="1"/>
  </r>
  <r>
    <x v="2807"/>
    <n v="127770"/>
    <n v="61646"/>
    <n v="66124"/>
    <n v="105137247"/>
    <n v="99956190"/>
    <n v="205093437"/>
    <n v="40087"/>
    <n v="10398"/>
    <n v="50485"/>
    <b v="1"/>
    <b v="1"/>
    <b v="1"/>
    <b v="1"/>
    <b v="1"/>
    <b v="1"/>
  </r>
  <r>
    <x v="2808"/>
    <n v="130720"/>
    <n v="65724"/>
    <n v="64996"/>
    <n v="108269138"/>
    <n v="90571735"/>
    <n v="198840873"/>
    <n v="39266"/>
    <n v="10685"/>
    <n v="49951"/>
    <b v="1"/>
    <b v="1"/>
    <b v="1"/>
    <b v="1"/>
    <b v="1"/>
    <b v="1"/>
  </r>
  <r>
    <x v="2809"/>
    <n v="116924"/>
    <n v="58127"/>
    <n v="58797"/>
    <n v="114468075"/>
    <n v="75505888"/>
    <n v="189973963"/>
    <n v="35376"/>
    <n v="8986"/>
    <n v="44362"/>
    <b v="1"/>
    <b v="1"/>
    <b v="1"/>
    <b v="1"/>
    <b v="1"/>
    <b v="1"/>
  </r>
  <r>
    <x v="2810"/>
    <n v="137388"/>
    <n v="69360"/>
    <n v="68028"/>
    <n v="108675563"/>
    <n v="95689282"/>
    <n v="204364845"/>
    <n v="40755"/>
    <n v="10249"/>
    <n v="51004"/>
    <b v="1"/>
    <b v="1"/>
    <b v="1"/>
    <b v="1"/>
    <b v="1"/>
    <b v="1"/>
  </r>
  <r>
    <x v="2811"/>
    <n v="148305"/>
    <n v="75469"/>
    <n v="72836"/>
    <n v="257142576"/>
    <n v="105850294"/>
    <n v="362992870"/>
    <n v="42600"/>
    <n v="11032"/>
    <n v="53632"/>
    <b v="1"/>
    <b v="1"/>
    <b v="1"/>
    <b v="1"/>
    <b v="1"/>
    <b v="1"/>
  </r>
  <r>
    <x v="2812"/>
    <n v="143871"/>
    <n v="74226"/>
    <n v="69645"/>
    <n v="113659754"/>
    <n v="110519016"/>
    <n v="224178770"/>
    <n v="41348"/>
    <n v="10773"/>
    <n v="52121"/>
    <b v="1"/>
    <b v="1"/>
    <b v="1"/>
    <b v="1"/>
    <b v="1"/>
    <b v="1"/>
  </r>
  <r>
    <x v="2813"/>
    <n v="139237"/>
    <n v="71582"/>
    <n v="67655"/>
    <n v="116476879"/>
    <n v="109455770"/>
    <n v="225932649"/>
    <n v="38701"/>
    <n v="10332"/>
    <n v="49033"/>
    <b v="1"/>
    <b v="1"/>
    <b v="1"/>
    <b v="1"/>
    <b v="1"/>
    <b v="1"/>
  </r>
  <r>
    <x v="2814"/>
    <n v="143542"/>
    <n v="75135"/>
    <n v="68407"/>
    <n v="107287121"/>
    <n v="101705956"/>
    <n v="208993077"/>
    <n v="37982"/>
    <n v="10448"/>
    <n v="48430"/>
    <b v="1"/>
    <b v="1"/>
    <b v="1"/>
    <b v="1"/>
    <b v="1"/>
    <b v="1"/>
  </r>
  <r>
    <x v="2815"/>
    <n v="139143"/>
    <n v="71566"/>
    <n v="67577"/>
    <n v="104896632"/>
    <n v="82960468"/>
    <n v="187857100"/>
    <n v="39543"/>
    <n v="11084"/>
    <n v="50627"/>
    <b v="1"/>
    <b v="1"/>
    <b v="1"/>
    <b v="1"/>
    <b v="1"/>
    <b v="1"/>
  </r>
  <r>
    <x v="2816"/>
    <n v="137088"/>
    <n v="65054"/>
    <n v="72034"/>
    <n v="87819106"/>
    <n v="67509522"/>
    <n v="155328628"/>
    <n v="38946"/>
    <n v="9823"/>
    <n v="48769"/>
    <b v="1"/>
    <b v="1"/>
    <b v="1"/>
    <b v="1"/>
    <b v="1"/>
    <b v="1"/>
  </r>
  <r>
    <x v="2817"/>
    <n v="154703"/>
    <n v="76747"/>
    <n v="77956"/>
    <n v="118723353"/>
    <n v="97897534"/>
    <n v="216620887"/>
    <n v="43575"/>
    <n v="11344"/>
    <n v="54919"/>
    <b v="1"/>
    <b v="1"/>
    <b v="1"/>
    <b v="1"/>
    <b v="1"/>
    <b v="1"/>
  </r>
  <r>
    <x v="2818"/>
    <n v="154714"/>
    <n v="78896"/>
    <n v="75818"/>
    <n v="112643937"/>
    <n v="111398181"/>
    <n v="224042118"/>
    <n v="39981"/>
    <n v="10909"/>
    <n v="50890"/>
    <b v="1"/>
    <b v="1"/>
    <b v="1"/>
    <b v="1"/>
    <b v="1"/>
    <b v="1"/>
  </r>
  <r>
    <x v="2819"/>
    <n v="143152"/>
    <n v="74153"/>
    <n v="68999"/>
    <n v="104842299"/>
    <n v="106805469"/>
    <n v="211647768"/>
    <n v="38828"/>
    <n v="10036"/>
    <n v="48864"/>
    <b v="1"/>
    <b v="1"/>
    <b v="1"/>
    <b v="1"/>
    <b v="1"/>
    <b v="1"/>
  </r>
  <r>
    <x v="2820"/>
    <n v="141763"/>
    <n v="74145"/>
    <n v="67618"/>
    <n v="107290609"/>
    <n v="101815499"/>
    <n v="209106108"/>
    <n v="37186"/>
    <n v="9823"/>
    <n v="47009"/>
    <b v="1"/>
    <b v="1"/>
    <b v="1"/>
    <b v="1"/>
    <b v="1"/>
    <b v="1"/>
  </r>
  <r>
    <x v="2821"/>
    <n v="127110"/>
    <n v="61084"/>
    <n v="66026"/>
    <n v="91573502"/>
    <n v="93067235"/>
    <n v="184640737"/>
    <n v="33632"/>
    <n v="8747"/>
    <n v="42379"/>
    <b v="1"/>
    <b v="1"/>
    <b v="1"/>
    <b v="1"/>
    <b v="1"/>
    <b v="1"/>
  </r>
  <r>
    <x v="2822"/>
    <n v="142031"/>
    <n v="73001"/>
    <n v="69030"/>
    <n v="86937441"/>
    <n v="84890922"/>
    <n v="171828363"/>
    <n v="34500"/>
    <n v="9241"/>
    <n v="43741"/>
    <b v="1"/>
    <b v="1"/>
    <b v="1"/>
    <b v="1"/>
    <b v="1"/>
    <b v="1"/>
  </r>
  <r>
    <x v="2823"/>
    <n v="126662"/>
    <n v="60543"/>
    <n v="66119"/>
    <n v="92633271"/>
    <n v="63420163"/>
    <n v="156053434"/>
    <n v="34079"/>
    <n v="9005"/>
    <n v="43084"/>
    <b v="1"/>
    <b v="1"/>
    <b v="1"/>
    <b v="1"/>
    <b v="1"/>
    <b v="1"/>
  </r>
  <r>
    <x v="2824"/>
    <n v="145347"/>
    <n v="71766"/>
    <n v="73581"/>
    <n v="108822478"/>
    <n v="82740899"/>
    <n v="191563377"/>
    <n v="39471"/>
    <n v="10812"/>
    <n v="50283"/>
    <b v="1"/>
    <b v="1"/>
    <b v="1"/>
    <b v="1"/>
    <b v="1"/>
    <b v="1"/>
  </r>
  <r>
    <x v="2825"/>
    <n v="148904"/>
    <n v="73743"/>
    <n v="75161"/>
    <n v="114242221"/>
    <n v="99049980"/>
    <n v="213292201"/>
    <n v="41019"/>
    <n v="10618"/>
    <n v="51637"/>
    <b v="1"/>
    <b v="1"/>
    <b v="1"/>
    <b v="1"/>
    <b v="1"/>
    <b v="1"/>
  </r>
  <r>
    <x v="2826"/>
    <n v="151233"/>
    <n v="74865"/>
    <n v="76368"/>
    <n v="115221275"/>
    <n v="102175069"/>
    <n v="217396344"/>
    <n v="42650"/>
    <n v="10793"/>
    <n v="53443"/>
    <b v="1"/>
    <b v="1"/>
    <b v="1"/>
    <b v="1"/>
    <b v="1"/>
    <b v="1"/>
  </r>
  <r>
    <x v="2827"/>
    <n v="153425"/>
    <n v="75960"/>
    <n v="77465"/>
    <n v="110445958"/>
    <n v="92974831"/>
    <n v="203420789"/>
    <n v="43024"/>
    <n v="11091"/>
    <n v="54115"/>
    <b v="1"/>
    <b v="1"/>
    <b v="1"/>
    <b v="1"/>
    <b v="1"/>
    <b v="1"/>
  </r>
  <r>
    <x v="2828"/>
    <n v="146840"/>
    <n v="72298"/>
    <n v="74542"/>
    <n v="110272060"/>
    <n v="82802032"/>
    <n v="193074092"/>
    <n v="42671"/>
    <n v="10983"/>
    <n v="53654"/>
    <b v="1"/>
    <b v="1"/>
    <b v="1"/>
    <b v="1"/>
    <b v="1"/>
    <b v="1"/>
  </r>
  <r>
    <x v="2829"/>
    <n v="149022"/>
    <n v="78376"/>
    <n v="70646"/>
    <n v="101669332"/>
    <n v="104598815"/>
    <n v="206268147"/>
    <n v="39290"/>
    <n v="10408"/>
    <n v="49698"/>
    <b v="1"/>
    <b v="1"/>
    <b v="1"/>
    <b v="1"/>
    <b v="1"/>
    <b v="1"/>
  </r>
  <r>
    <x v="2830"/>
    <n v="138587"/>
    <n v="67639"/>
    <n v="70948"/>
    <n v="94833283"/>
    <n v="80473605"/>
    <n v="175306888"/>
    <n v="42488"/>
    <n v="10823"/>
    <n v="53311"/>
    <b v="1"/>
    <b v="1"/>
    <b v="1"/>
    <b v="1"/>
    <b v="1"/>
    <b v="1"/>
  </r>
  <r>
    <x v="2831"/>
    <n v="144515"/>
    <n v="73691"/>
    <n v="70824"/>
    <n v="104925429"/>
    <n v="95072862"/>
    <n v="199998291"/>
    <n v="43648"/>
    <n v="11621"/>
    <n v="55269"/>
    <b v="1"/>
    <b v="1"/>
    <b v="1"/>
    <b v="1"/>
    <b v="1"/>
    <b v="1"/>
  </r>
  <r>
    <x v="2832"/>
    <n v="130117"/>
    <n v="64515"/>
    <n v="65602"/>
    <n v="95307698"/>
    <n v="82340273"/>
    <n v="177647971"/>
    <n v="40802"/>
    <n v="10539"/>
    <n v="51341"/>
    <b v="1"/>
    <b v="1"/>
    <b v="1"/>
    <b v="1"/>
    <b v="1"/>
    <b v="1"/>
  </r>
  <r>
    <x v="2833"/>
    <n v="115666"/>
    <n v="55795"/>
    <n v="59871"/>
    <n v="81424380"/>
    <n v="60315664"/>
    <n v="141740044"/>
    <n v="32782"/>
    <n v="8982"/>
    <n v="41764"/>
    <b v="1"/>
    <b v="1"/>
    <b v="1"/>
    <b v="1"/>
    <b v="1"/>
    <b v="1"/>
  </r>
  <r>
    <x v="2834"/>
    <n v="140617"/>
    <n v="71570"/>
    <n v="69047"/>
    <n v="102947149"/>
    <n v="91374476"/>
    <n v="194321625"/>
    <n v="38066"/>
    <n v="10334"/>
    <n v="48400"/>
    <b v="1"/>
    <b v="1"/>
    <b v="1"/>
    <b v="1"/>
    <b v="1"/>
    <b v="1"/>
  </r>
  <r>
    <x v="2835"/>
    <n v="145954"/>
    <n v="73778"/>
    <n v="72176"/>
    <n v="101378765"/>
    <n v="96910649"/>
    <n v="198289414"/>
    <n v="40841"/>
    <n v="10276"/>
    <n v="51117"/>
    <b v="1"/>
    <b v="1"/>
    <b v="1"/>
    <b v="1"/>
    <b v="1"/>
    <b v="1"/>
  </r>
  <r>
    <x v="2836"/>
    <n v="131745"/>
    <n v="71195"/>
    <n v="60550"/>
    <n v="79972112"/>
    <n v="91880400"/>
    <n v="171852512"/>
    <n v="31134"/>
    <n v="8255"/>
    <n v="39389"/>
    <b v="1"/>
    <b v="1"/>
    <b v="1"/>
    <b v="1"/>
    <b v="1"/>
    <b v="1"/>
  </r>
  <r>
    <x v="2837"/>
    <n v="110004"/>
    <n v="56544"/>
    <n v="53460"/>
    <n v="58062926"/>
    <n v="62835280"/>
    <n v="120898206"/>
    <n v="25058"/>
    <n v="6832"/>
    <n v="31890"/>
    <b v="1"/>
    <b v="1"/>
    <b v="1"/>
    <b v="1"/>
    <b v="1"/>
    <b v="1"/>
  </r>
  <r>
    <x v="2838"/>
    <n v="136147"/>
    <n v="70946"/>
    <n v="65201"/>
    <n v="92084720"/>
    <n v="86395119"/>
    <n v="178479839"/>
    <n v="35368"/>
    <n v="9344"/>
    <n v="44712"/>
    <b v="1"/>
    <b v="1"/>
    <b v="1"/>
    <b v="1"/>
    <b v="1"/>
    <b v="1"/>
  </r>
  <r>
    <x v="2839"/>
    <n v="143195"/>
    <n v="74444"/>
    <n v="68751"/>
    <n v="105171880"/>
    <n v="103897326"/>
    <n v="209069206"/>
    <n v="40207"/>
    <n v="10465"/>
    <n v="50672"/>
    <b v="1"/>
    <b v="1"/>
    <b v="1"/>
    <b v="1"/>
    <b v="1"/>
    <b v="1"/>
  </r>
  <r>
    <x v="2840"/>
    <n v="150269"/>
    <n v="77025"/>
    <n v="73244"/>
    <n v="113064380"/>
    <n v="110286095"/>
    <n v="223350475"/>
    <n v="41394"/>
    <n v="11242"/>
    <n v="52636"/>
    <b v="1"/>
    <b v="1"/>
    <b v="1"/>
    <b v="1"/>
    <b v="1"/>
    <b v="1"/>
  </r>
  <r>
    <x v="2841"/>
    <n v="146744"/>
    <n v="75408"/>
    <n v="71336"/>
    <n v="107585912"/>
    <n v="106249532"/>
    <n v="213835444"/>
    <n v="38849"/>
    <n v="9533"/>
    <n v="48382"/>
    <b v="1"/>
    <b v="1"/>
    <b v="1"/>
    <b v="1"/>
    <b v="1"/>
    <b v="1"/>
  </r>
  <r>
    <x v="2842"/>
    <n v="137931"/>
    <n v="70643"/>
    <n v="67288"/>
    <n v="97543588"/>
    <n v="95585833"/>
    <n v="193129421"/>
    <n v="35162"/>
    <n v="8364"/>
    <n v="43526"/>
    <b v="1"/>
    <b v="1"/>
    <b v="1"/>
    <b v="1"/>
    <b v="1"/>
    <b v="1"/>
  </r>
  <r>
    <x v="2843"/>
    <n v="155301"/>
    <n v="82045"/>
    <n v="73256"/>
    <n v="109850279"/>
    <n v="114097595"/>
    <n v="223947874"/>
    <n v="38184"/>
    <n v="10152"/>
    <n v="48336"/>
    <b v="1"/>
    <b v="1"/>
    <b v="1"/>
    <b v="1"/>
    <b v="1"/>
    <b v="1"/>
  </r>
  <r>
    <x v="2844"/>
    <n v="138088"/>
    <n v="69303"/>
    <n v="68785"/>
    <n v="83001100"/>
    <n v="81995659"/>
    <n v="164996759"/>
    <n v="34623"/>
    <n v="8847"/>
    <n v="43470"/>
    <b v="1"/>
    <b v="1"/>
    <b v="1"/>
    <b v="1"/>
    <b v="1"/>
    <b v="1"/>
  </r>
  <r>
    <x v="2845"/>
    <n v="151872"/>
    <n v="76696"/>
    <n v="75176"/>
    <n v="115093627"/>
    <n v="104783740"/>
    <n v="219877367"/>
    <n v="40193"/>
    <n v="9936"/>
    <n v="50129"/>
    <b v="1"/>
    <b v="1"/>
    <b v="1"/>
    <b v="1"/>
    <b v="1"/>
    <b v="1"/>
  </r>
  <r>
    <x v="2846"/>
    <n v="154785"/>
    <n v="79075"/>
    <n v="75710"/>
    <n v="114928031"/>
    <n v="109521486"/>
    <n v="224449517"/>
    <n v="39601"/>
    <n v="10126"/>
    <n v="49727"/>
    <b v="1"/>
    <b v="1"/>
    <b v="1"/>
    <b v="1"/>
    <b v="1"/>
    <b v="1"/>
  </r>
  <r>
    <x v="2847"/>
    <n v="152248"/>
    <n v="77175"/>
    <n v="75073"/>
    <n v="121838075"/>
    <n v="117170816"/>
    <n v="239008891"/>
    <n v="43237"/>
    <n v="10738"/>
    <n v="53975"/>
    <b v="1"/>
    <b v="1"/>
    <b v="1"/>
    <b v="1"/>
    <b v="1"/>
    <b v="1"/>
  </r>
  <r>
    <x v="2848"/>
    <n v="158668"/>
    <n v="79636"/>
    <n v="79032"/>
    <n v="123146114"/>
    <n v="113174922"/>
    <n v="236321036"/>
    <n v="44838"/>
    <n v="10859"/>
    <n v="55697"/>
    <b v="1"/>
    <b v="1"/>
    <b v="1"/>
    <b v="1"/>
    <b v="1"/>
    <b v="1"/>
  </r>
  <r>
    <x v="2849"/>
    <n v="144541"/>
    <n v="70177"/>
    <n v="74364"/>
    <n v="111108850"/>
    <n v="97725826"/>
    <n v="208834676"/>
    <n v="41036"/>
    <n v="9963"/>
    <n v="50999"/>
    <b v="1"/>
    <b v="1"/>
    <b v="1"/>
    <b v="1"/>
    <b v="1"/>
    <b v="1"/>
  </r>
  <r>
    <x v="2850"/>
    <n v="125585"/>
    <n v="61537"/>
    <n v="64048"/>
    <n v="96699053"/>
    <n v="78638904"/>
    <n v="175337957"/>
    <n v="37178"/>
    <n v="9489"/>
    <n v="46667"/>
    <b v="1"/>
    <b v="1"/>
    <b v="1"/>
    <b v="1"/>
    <b v="1"/>
    <b v="1"/>
  </r>
  <r>
    <x v="2851"/>
    <n v="100693"/>
    <n v="44664"/>
    <n v="56029"/>
    <n v="70665126"/>
    <n v="45535396"/>
    <n v="116200522"/>
    <n v="31533"/>
    <n v="7044"/>
    <n v="38577"/>
    <b v="1"/>
    <b v="1"/>
    <b v="1"/>
    <b v="1"/>
    <b v="1"/>
    <b v="1"/>
  </r>
  <r>
    <x v="2852"/>
    <n v="73513"/>
    <n v="31923"/>
    <n v="41590"/>
    <n v="59069602"/>
    <n v="30221666"/>
    <n v="89291268"/>
    <n v="28581"/>
    <n v="5764"/>
    <n v="34345"/>
    <b v="1"/>
    <b v="1"/>
    <b v="1"/>
    <b v="1"/>
    <b v="1"/>
    <b v="1"/>
  </r>
  <r>
    <x v="2853"/>
    <n v="98190"/>
    <n v="44637"/>
    <n v="53553"/>
    <n v="73266060"/>
    <n v="41958284"/>
    <n v="115224344"/>
    <n v="31528"/>
    <n v="7246"/>
    <n v="38774"/>
    <b v="1"/>
    <b v="1"/>
    <b v="1"/>
    <b v="1"/>
    <b v="1"/>
    <b v="1"/>
  </r>
  <r>
    <x v="2854"/>
    <n v="113404"/>
    <n v="54242"/>
    <n v="59162"/>
    <n v="97577783"/>
    <n v="59413608"/>
    <n v="156991391"/>
    <n v="38512"/>
    <n v="8927"/>
    <n v="47439"/>
    <b v="1"/>
    <b v="1"/>
    <b v="1"/>
    <b v="1"/>
    <b v="1"/>
    <b v="1"/>
  </r>
  <r>
    <x v="2855"/>
    <n v="121374"/>
    <n v="58109"/>
    <n v="63265"/>
    <n v="106016744"/>
    <n v="69484194"/>
    <n v="175500938"/>
    <n v="39704"/>
    <n v="9703"/>
    <n v="49407"/>
    <b v="1"/>
    <b v="1"/>
    <b v="1"/>
    <b v="1"/>
    <b v="1"/>
    <b v="1"/>
  </r>
  <r>
    <x v="2856"/>
    <n v="131363"/>
    <n v="63832"/>
    <n v="67531"/>
    <n v="117384678"/>
    <n v="83680813"/>
    <n v="201065491"/>
    <n v="43198"/>
    <n v="10710"/>
    <n v="53908"/>
    <b v="1"/>
    <b v="1"/>
    <b v="1"/>
    <b v="1"/>
    <b v="1"/>
    <b v="1"/>
  </r>
  <r>
    <x v="2857"/>
    <n v="125849"/>
    <n v="61873"/>
    <n v="63976"/>
    <n v="114306260"/>
    <n v="84891457"/>
    <n v="199197717"/>
    <n v="41274"/>
    <n v="10345"/>
    <n v="51619"/>
    <b v="1"/>
    <b v="1"/>
    <b v="1"/>
    <b v="1"/>
    <b v="1"/>
    <b v="1"/>
  </r>
  <r>
    <x v="2858"/>
    <n v="102221"/>
    <n v="48790"/>
    <n v="53431"/>
    <n v="86717464"/>
    <n v="64078309"/>
    <n v="150795773"/>
    <n v="35015"/>
    <n v="8238"/>
    <n v="43253"/>
    <b v="1"/>
    <b v="1"/>
    <b v="1"/>
    <b v="1"/>
    <b v="1"/>
    <b v="1"/>
  </r>
  <r>
    <x v="2859"/>
    <n v="118183"/>
    <n v="57207"/>
    <n v="60976"/>
    <n v="113062399"/>
    <n v="73767417"/>
    <n v="186829816"/>
    <n v="36671"/>
    <n v="8842"/>
    <n v="45513"/>
    <b v="1"/>
    <b v="1"/>
    <b v="1"/>
    <b v="1"/>
    <b v="1"/>
    <b v="1"/>
  </r>
  <r>
    <x v="2860"/>
    <n v="132407"/>
    <n v="66780"/>
    <n v="65627"/>
    <n v="118816759"/>
    <n v="105919677"/>
    <n v="224736436"/>
    <n v="44035"/>
    <n v="10201"/>
    <n v="54236"/>
    <b v="1"/>
    <b v="1"/>
    <b v="1"/>
    <b v="1"/>
    <b v="1"/>
    <b v="1"/>
  </r>
  <r>
    <x v="2861"/>
    <n v="149677"/>
    <n v="73432"/>
    <n v="76245"/>
    <n v="133274824"/>
    <n v="122361812"/>
    <n v="255636636"/>
    <n v="46687"/>
    <n v="11229"/>
    <n v="57916"/>
    <b v="1"/>
    <b v="1"/>
    <b v="1"/>
    <b v="1"/>
    <b v="1"/>
    <b v="1"/>
  </r>
  <r>
    <x v="2862"/>
    <n v="155167"/>
    <n v="74451"/>
    <n v="80716"/>
    <n v="150434732"/>
    <n v="125584254"/>
    <n v="276018986"/>
    <n v="53179"/>
    <n v="11870"/>
    <n v="65049"/>
    <b v="1"/>
    <b v="1"/>
    <b v="1"/>
    <b v="1"/>
    <b v="1"/>
    <b v="1"/>
  </r>
  <r>
    <x v="2863"/>
    <n v="147741"/>
    <n v="71256"/>
    <n v="76485"/>
    <n v="142541004"/>
    <n v="119058635"/>
    <n v="261599639"/>
    <n v="45199"/>
    <n v="11134"/>
    <n v="56333"/>
    <b v="1"/>
    <b v="1"/>
    <b v="1"/>
    <b v="1"/>
    <b v="1"/>
    <b v="1"/>
  </r>
  <r>
    <x v="2864"/>
    <n v="151497"/>
    <n v="73152"/>
    <n v="78345"/>
    <n v="142854940"/>
    <n v="115169653"/>
    <n v="258024593"/>
    <n v="50950"/>
    <n v="12014"/>
    <n v="62964"/>
    <b v="1"/>
    <b v="1"/>
    <b v="1"/>
    <b v="1"/>
    <b v="1"/>
    <b v="1"/>
  </r>
  <r>
    <x v="2865"/>
    <n v="131562"/>
    <n v="61770"/>
    <n v="69792"/>
    <n v="121561239"/>
    <n v="83518713"/>
    <n v="205079952"/>
    <n v="47212"/>
    <n v="10565"/>
    <n v="57777"/>
    <b v="1"/>
    <b v="1"/>
    <b v="1"/>
    <b v="1"/>
    <b v="1"/>
    <b v="1"/>
  </r>
  <r>
    <x v="2866"/>
    <n v="144549"/>
    <n v="68875"/>
    <n v="75674"/>
    <n v="139902873"/>
    <n v="107124306"/>
    <n v="247027179"/>
    <n v="49466"/>
    <n v="11146"/>
    <n v="60612"/>
    <b v="1"/>
    <b v="1"/>
    <b v="1"/>
    <b v="1"/>
    <b v="1"/>
    <b v="1"/>
  </r>
  <r>
    <x v="2867"/>
    <n v="138019"/>
    <n v="66921"/>
    <n v="71098"/>
    <n v="127099684"/>
    <n v="107018919"/>
    <n v="234118603"/>
    <n v="46480"/>
    <n v="11066"/>
    <n v="57546"/>
    <b v="1"/>
    <b v="1"/>
    <b v="1"/>
    <b v="1"/>
    <b v="1"/>
    <b v="1"/>
  </r>
  <r>
    <x v="2868"/>
    <n v="139201"/>
    <n v="68572"/>
    <n v="70629"/>
    <n v="131169060"/>
    <n v="112566443"/>
    <n v="243735503"/>
    <n v="46574"/>
    <n v="11073"/>
    <n v="57647"/>
    <b v="1"/>
    <b v="1"/>
    <b v="1"/>
    <b v="1"/>
    <b v="1"/>
    <b v="1"/>
  </r>
  <r>
    <x v="2869"/>
    <n v="146205"/>
    <n v="70070"/>
    <n v="76135"/>
    <n v="141084756"/>
    <n v="120356049"/>
    <n v="261440805"/>
    <n v="53579"/>
    <n v="12601"/>
    <n v="66180"/>
    <b v="1"/>
    <b v="1"/>
    <b v="1"/>
    <b v="1"/>
    <b v="1"/>
    <b v="1"/>
  </r>
  <r>
    <x v="2870"/>
    <n v="138937"/>
    <n v="67527"/>
    <n v="71410"/>
    <n v="136106002"/>
    <n v="114167236"/>
    <n v="250273238"/>
    <n v="55433"/>
    <n v="12961"/>
    <n v="68394"/>
    <b v="1"/>
    <b v="1"/>
    <b v="1"/>
    <b v="1"/>
    <b v="1"/>
    <b v="1"/>
  </r>
  <r>
    <x v="2871"/>
    <n v="141428"/>
    <n v="65531"/>
    <n v="75897"/>
    <n v="129388305"/>
    <n v="93290140"/>
    <n v="222678445"/>
    <n v="50962"/>
    <n v="12611"/>
    <n v="63573"/>
    <b v="1"/>
    <b v="1"/>
    <b v="1"/>
    <b v="1"/>
    <b v="1"/>
    <b v="1"/>
  </r>
  <r>
    <x v="2872"/>
    <n v="140421"/>
    <n v="61747"/>
    <n v="78674"/>
    <n v="123583549"/>
    <n v="80226254"/>
    <n v="203809803"/>
    <n v="47636"/>
    <n v="11699"/>
    <n v="59335"/>
    <b v="1"/>
    <b v="1"/>
    <b v="1"/>
    <b v="1"/>
    <b v="1"/>
    <b v="1"/>
  </r>
  <r>
    <x v="2873"/>
    <n v="152900"/>
    <n v="68947"/>
    <n v="83953"/>
    <n v="146824113"/>
    <n v="103210229"/>
    <n v="250034342"/>
    <n v="54761"/>
    <n v="12087"/>
    <n v="66848"/>
    <b v="1"/>
    <b v="1"/>
    <b v="1"/>
    <b v="1"/>
    <b v="1"/>
    <b v="1"/>
  </r>
  <r>
    <x v="2874"/>
    <n v="159278"/>
    <n v="72239"/>
    <n v="87039"/>
    <n v="153753966"/>
    <n v="116747265"/>
    <n v="270501231"/>
    <n v="52390"/>
    <n v="12736"/>
    <n v="65126"/>
    <b v="1"/>
    <b v="1"/>
    <b v="1"/>
    <b v="1"/>
    <b v="1"/>
    <b v="1"/>
  </r>
  <r>
    <x v="2875"/>
    <n v="149355"/>
    <n v="69975"/>
    <n v="79380"/>
    <n v="144588414"/>
    <n v="120301487"/>
    <n v="264889901"/>
    <n v="53043"/>
    <n v="11969"/>
    <n v="65012"/>
    <b v="1"/>
    <b v="1"/>
    <b v="1"/>
    <b v="1"/>
    <b v="1"/>
    <b v="1"/>
  </r>
  <r>
    <x v="2876"/>
    <n v="138523"/>
    <n v="66692"/>
    <n v="71831"/>
    <n v="132626043"/>
    <n v="115840041"/>
    <n v="248466084"/>
    <n v="46599"/>
    <n v="11074"/>
    <n v="57673"/>
    <b v="1"/>
    <b v="1"/>
    <b v="1"/>
    <b v="1"/>
    <b v="1"/>
    <b v="1"/>
  </r>
  <r>
    <x v="2877"/>
    <n v="162973"/>
    <n v="74861"/>
    <n v="88112"/>
    <n v="159352211"/>
    <n v="125431007"/>
    <n v="284783218"/>
    <n v="56569"/>
    <n v="13333"/>
    <n v="69902"/>
    <b v="1"/>
    <b v="1"/>
    <b v="1"/>
    <b v="1"/>
    <b v="1"/>
    <b v="1"/>
  </r>
  <r>
    <x v="2878"/>
    <n v="163030"/>
    <n v="76070"/>
    <n v="86960"/>
    <n v="154216619"/>
    <n v="114952123"/>
    <n v="269168742"/>
    <n v="56767"/>
    <n v="13512"/>
    <n v="70279"/>
    <b v="1"/>
    <b v="1"/>
    <b v="1"/>
    <b v="1"/>
    <b v="1"/>
    <b v="1"/>
  </r>
  <r>
    <x v="2879"/>
    <n v="148771"/>
    <n v="64481"/>
    <n v="84290"/>
    <n v="127997882"/>
    <n v="81449259"/>
    <n v="209447141"/>
    <n v="52333"/>
    <n v="11791"/>
    <n v="64124"/>
    <b v="1"/>
    <b v="1"/>
    <b v="1"/>
    <b v="1"/>
    <b v="1"/>
    <b v="1"/>
  </r>
  <r>
    <x v="2880"/>
    <n v="166216"/>
    <n v="74052"/>
    <n v="92164"/>
    <n v="153520025"/>
    <n v="104050338"/>
    <n v="257570363"/>
    <n v="58392"/>
    <n v="13661"/>
    <n v="72053"/>
    <b v="1"/>
    <b v="1"/>
    <b v="1"/>
    <b v="1"/>
    <b v="1"/>
    <b v="1"/>
  </r>
  <r>
    <x v="2881"/>
    <n v="167425"/>
    <n v="75960"/>
    <n v="91465"/>
    <n v="155104130"/>
    <n v="121817251"/>
    <n v="276921381"/>
    <n v="63246"/>
    <n v="14129"/>
    <n v="77375"/>
    <b v="1"/>
    <b v="1"/>
    <b v="1"/>
    <b v="1"/>
    <b v="1"/>
    <b v="1"/>
  </r>
  <r>
    <x v="2882"/>
    <n v="168319"/>
    <n v="76608"/>
    <n v="91711"/>
    <n v="159524661"/>
    <n v="115484511"/>
    <n v="275009172"/>
    <n v="63694"/>
    <n v="14212"/>
    <n v="77906"/>
    <b v="1"/>
    <b v="1"/>
    <b v="1"/>
    <b v="1"/>
    <b v="1"/>
    <b v="1"/>
  </r>
  <r>
    <x v="2883"/>
    <n v="168279"/>
    <n v="76457"/>
    <n v="91822"/>
    <n v="153418497"/>
    <n v="1159784380"/>
    <n v="1313202877"/>
    <n v="61729"/>
    <n v="14436"/>
    <n v="76165"/>
    <b v="1"/>
    <b v="1"/>
    <b v="1"/>
    <b v="1"/>
    <b v="1"/>
    <b v="1"/>
  </r>
  <r>
    <x v="2884"/>
    <n v="144160"/>
    <n v="65948"/>
    <n v="78212"/>
    <n v="126885340"/>
    <n v="98339726"/>
    <n v="225225066"/>
    <n v="48309"/>
    <n v="11425"/>
    <n v="59734"/>
    <b v="1"/>
    <b v="1"/>
    <b v="1"/>
    <b v="1"/>
    <b v="1"/>
    <b v="1"/>
  </r>
  <r>
    <x v="2885"/>
    <n v="151115"/>
    <n v="70628"/>
    <n v="80487"/>
    <n v="132974068"/>
    <n v="98838412"/>
    <n v="231812480"/>
    <n v="55627"/>
    <n v="13577"/>
    <n v="69204"/>
    <b v="1"/>
    <b v="1"/>
    <b v="1"/>
    <b v="1"/>
    <b v="1"/>
    <b v="1"/>
  </r>
  <r>
    <x v="2886"/>
    <n v="137396"/>
    <n v="60351"/>
    <n v="77045"/>
    <n v="117299529"/>
    <n v="73599310"/>
    <n v="190898839"/>
    <n v="54450"/>
    <n v="12077"/>
    <n v="66527"/>
    <b v="1"/>
    <b v="1"/>
    <b v="1"/>
    <b v="1"/>
    <b v="1"/>
    <b v="1"/>
  </r>
  <r>
    <x v="2887"/>
    <n v="165988"/>
    <n v="74149"/>
    <n v="91839"/>
    <n v="148068100"/>
    <n v="91604149"/>
    <n v="239672249"/>
    <n v="64223"/>
    <n v="14668"/>
    <n v="78891"/>
    <b v="1"/>
    <b v="1"/>
    <b v="1"/>
    <b v="1"/>
    <b v="1"/>
    <b v="1"/>
  </r>
  <r>
    <x v="2888"/>
    <n v="169612"/>
    <n v="75132"/>
    <n v="94480"/>
    <n v="157975671"/>
    <n v="106360525"/>
    <n v="264336196"/>
    <n v="60287"/>
    <n v="14234"/>
    <n v="74521"/>
    <b v="1"/>
    <b v="1"/>
    <b v="1"/>
    <b v="1"/>
    <b v="1"/>
    <b v="1"/>
  </r>
  <r>
    <x v="2889"/>
    <n v="171326"/>
    <n v="76589"/>
    <n v="94737"/>
    <n v="153128145"/>
    <n v="101543126"/>
    <n v="254671271"/>
    <n v="58892"/>
    <n v="14349"/>
    <n v="73241"/>
    <b v="1"/>
    <b v="1"/>
    <b v="1"/>
    <b v="1"/>
    <b v="1"/>
    <b v="1"/>
  </r>
  <r>
    <x v="2890"/>
    <n v="148387"/>
    <n v="73916"/>
    <n v="74471"/>
    <n v="126262391"/>
    <n v="114275509"/>
    <n v="240537900"/>
    <n v="43792"/>
    <n v="11036"/>
    <n v="54828"/>
    <b v="1"/>
    <b v="1"/>
    <b v="1"/>
    <b v="1"/>
    <b v="1"/>
    <b v="1"/>
  </r>
  <r>
    <x v="2891"/>
    <n v="140239"/>
    <n v="71122"/>
    <n v="69117"/>
    <n v="117191951"/>
    <n v="112313077"/>
    <n v="229505028"/>
    <n v="40157"/>
    <n v="10051"/>
    <n v="50208"/>
    <b v="1"/>
    <b v="1"/>
    <b v="1"/>
    <b v="1"/>
    <b v="1"/>
    <b v="1"/>
  </r>
  <r>
    <x v="2892"/>
    <n v="138246"/>
    <n v="69317"/>
    <n v="68929"/>
    <n v="116081794"/>
    <n v="105257528"/>
    <n v="221339322"/>
    <n v="42097"/>
    <n v="11024"/>
    <n v="53121"/>
    <b v="1"/>
    <b v="1"/>
    <b v="1"/>
    <b v="1"/>
    <b v="1"/>
    <b v="1"/>
  </r>
  <r>
    <x v="2893"/>
    <n v="119386"/>
    <n v="58345"/>
    <n v="61041"/>
    <n v="91931609"/>
    <n v="77309275"/>
    <n v="169240884"/>
    <n v="34611"/>
    <n v="8852"/>
    <n v="43463"/>
    <b v="1"/>
    <b v="1"/>
    <b v="1"/>
    <b v="1"/>
    <b v="1"/>
    <b v="1"/>
  </r>
  <r>
    <x v="2894"/>
    <n v="143585"/>
    <n v="69774"/>
    <n v="73811"/>
    <n v="132762491"/>
    <n v="108254112"/>
    <n v="241016603"/>
    <n v="44757"/>
    <n v="11370"/>
    <n v="56127"/>
    <b v="1"/>
    <b v="1"/>
    <b v="1"/>
    <b v="1"/>
    <b v="1"/>
    <b v="1"/>
  </r>
  <r>
    <x v="2895"/>
    <n v="141936"/>
    <n v="70455"/>
    <n v="71481"/>
    <n v="134964333"/>
    <n v="119181531"/>
    <n v="254145864"/>
    <n v="44681"/>
    <n v="11749"/>
    <n v="56430"/>
    <b v="1"/>
    <b v="1"/>
    <b v="1"/>
    <b v="1"/>
    <b v="1"/>
    <b v="1"/>
  </r>
  <r>
    <x v="2896"/>
    <n v="142420"/>
    <n v="71151"/>
    <n v="71269"/>
    <n v="139707879"/>
    <n v="120208931"/>
    <n v="259916810"/>
    <n v="46106"/>
    <n v="12226"/>
    <n v="58332"/>
    <b v="1"/>
    <b v="1"/>
    <b v="1"/>
    <b v="1"/>
    <b v="1"/>
    <b v="1"/>
  </r>
  <r>
    <x v="2897"/>
    <n v="136061"/>
    <n v="67761"/>
    <n v="68300"/>
    <n v="139193086"/>
    <n v="116235977"/>
    <n v="255429063"/>
    <n v="46019"/>
    <n v="11187"/>
    <n v="57206"/>
    <b v="1"/>
    <b v="1"/>
    <b v="1"/>
    <b v="1"/>
    <b v="1"/>
    <b v="1"/>
  </r>
  <r>
    <x v="2898"/>
    <n v="138420"/>
    <n v="68707"/>
    <n v="69713"/>
    <n v="126096255"/>
    <n v="114084613"/>
    <n v="240180868"/>
    <n v="44584"/>
    <n v="11804"/>
    <n v="56388"/>
    <b v="1"/>
    <b v="1"/>
    <b v="1"/>
    <b v="1"/>
    <b v="1"/>
    <b v="1"/>
  </r>
  <r>
    <x v="2899"/>
    <n v="140662"/>
    <n v="66935"/>
    <n v="73727"/>
    <n v="131825354"/>
    <n v="103407469"/>
    <n v="235232823"/>
    <n v="42284"/>
    <n v="11740"/>
    <n v="54024"/>
    <b v="1"/>
    <b v="1"/>
    <b v="1"/>
    <b v="1"/>
    <b v="1"/>
    <b v="1"/>
  </r>
  <r>
    <x v="2900"/>
    <n v="126045"/>
    <n v="55436"/>
    <n v="70609"/>
    <n v="115364109"/>
    <n v="78194393"/>
    <n v="193558502"/>
    <n v="38047"/>
    <n v="9743"/>
    <n v="47790"/>
    <b v="1"/>
    <b v="1"/>
    <b v="1"/>
    <b v="1"/>
    <b v="1"/>
    <b v="1"/>
  </r>
  <r>
    <x v="2901"/>
    <n v="149585"/>
    <n v="69344"/>
    <n v="80241"/>
    <n v="148197197"/>
    <n v="108992219"/>
    <n v="257189416"/>
    <n v="43035"/>
    <n v="11628"/>
    <n v="54663"/>
    <b v="1"/>
    <b v="1"/>
    <b v="1"/>
    <b v="1"/>
    <b v="1"/>
    <b v="1"/>
  </r>
  <r>
    <x v="2902"/>
    <n v="149785"/>
    <n v="73573"/>
    <n v="76212"/>
    <n v="147568303"/>
    <n v="123874096"/>
    <n v="271442399"/>
    <n v="45278"/>
    <n v="11367"/>
    <n v="56645"/>
    <b v="1"/>
    <b v="1"/>
    <b v="1"/>
    <b v="1"/>
    <b v="1"/>
    <b v="1"/>
  </r>
  <r>
    <x v="2903"/>
    <n v="153912"/>
    <n v="75491"/>
    <n v="78421"/>
    <n v="151659558"/>
    <n v="125544897"/>
    <n v="277204455"/>
    <n v="47073"/>
    <n v="11839"/>
    <n v="58912"/>
    <b v="1"/>
    <b v="1"/>
    <b v="1"/>
    <b v="1"/>
    <b v="1"/>
    <b v="1"/>
  </r>
  <r>
    <x v="2904"/>
    <n v="150753"/>
    <n v="75611"/>
    <n v="75142"/>
    <n v="143757346"/>
    <n v="123715395"/>
    <n v="267472741"/>
    <n v="45581"/>
    <n v="11455"/>
    <n v="57036"/>
    <b v="1"/>
    <b v="1"/>
    <b v="1"/>
    <b v="1"/>
    <b v="1"/>
    <b v="1"/>
  </r>
  <r>
    <x v="2905"/>
    <n v="143718"/>
    <n v="69950"/>
    <n v="73768"/>
    <n v="129096052"/>
    <n v="114291735"/>
    <n v="243387787"/>
    <n v="41560"/>
    <n v="10950"/>
    <n v="52510"/>
    <b v="1"/>
    <b v="1"/>
    <b v="1"/>
    <b v="1"/>
    <b v="1"/>
    <b v="1"/>
  </r>
  <r>
    <x v="2906"/>
    <n v="137346"/>
    <n v="70251"/>
    <n v="67095"/>
    <n v="124452942"/>
    <n v="110606004"/>
    <n v="235058946"/>
    <n v="36900"/>
    <n v="10540"/>
    <n v="47440"/>
    <b v="1"/>
    <b v="1"/>
    <b v="1"/>
    <b v="1"/>
    <b v="1"/>
    <b v="1"/>
  </r>
  <r>
    <x v="2907"/>
    <n v="126436"/>
    <n v="59617"/>
    <n v="66819"/>
    <n v="111140413"/>
    <n v="78833999"/>
    <n v="189974412"/>
    <n v="33116"/>
    <n v="8765"/>
    <n v="41881"/>
    <b v="1"/>
    <b v="1"/>
    <b v="1"/>
    <b v="1"/>
    <b v="1"/>
    <b v="1"/>
  </r>
  <r>
    <x v="2908"/>
    <n v="132845"/>
    <n v="67751"/>
    <n v="65094"/>
    <n v="116404997"/>
    <n v="98023246"/>
    <n v="214428243"/>
    <n v="37403"/>
    <n v="10319"/>
    <n v="47722"/>
    <b v="1"/>
    <b v="1"/>
    <b v="1"/>
    <b v="1"/>
    <b v="1"/>
    <b v="1"/>
  </r>
  <r>
    <x v="2909"/>
    <n v="141567"/>
    <n v="71917"/>
    <n v="69650"/>
    <n v="137816362"/>
    <n v="116390304"/>
    <n v="254206666"/>
    <n v="39958"/>
    <n v="10965"/>
    <n v="50923"/>
    <b v="1"/>
    <b v="1"/>
    <b v="1"/>
    <b v="1"/>
    <b v="1"/>
    <b v="1"/>
  </r>
  <r>
    <x v="2910"/>
    <n v="140911"/>
    <n v="71250"/>
    <n v="69661"/>
    <n v="127295930"/>
    <n v="108625349"/>
    <n v="235921279"/>
    <n v="39693"/>
    <n v="10699"/>
    <n v="50392"/>
    <b v="1"/>
    <b v="1"/>
    <b v="1"/>
    <b v="1"/>
    <b v="1"/>
    <b v="1"/>
  </r>
  <r>
    <x v="2911"/>
    <n v="136823"/>
    <n v="69939"/>
    <n v="66884"/>
    <n v="128825042"/>
    <n v="115017403"/>
    <n v="243842445"/>
    <n v="37826"/>
    <n v="10422"/>
    <n v="48248"/>
    <b v="1"/>
    <b v="1"/>
    <b v="1"/>
    <b v="1"/>
    <b v="1"/>
    <b v="1"/>
  </r>
  <r>
    <x v="2912"/>
    <n v="137315"/>
    <n v="68303"/>
    <n v="69012"/>
    <n v="121340518"/>
    <n v="111964511"/>
    <n v="233305029"/>
    <n v="37811"/>
    <n v="10308"/>
    <n v="48119"/>
    <b v="1"/>
    <b v="1"/>
    <b v="1"/>
    <b v="1"/>
    <b v="1"/>
    <b v="1"/>
  </r>
  <r>
    <x v="2913"/>
    <n v="131684"/>
    <n v="66772"/>
    <n v="64912"/>
    <n v="109919692"/>
    <n v="93642179"/>
    <n v="203561871"/>
    <n v="36502"/>
    <n v="10412"/>
    <n v="46914"/>
    <b v="1"/>
    <b v="1"/>
    <b v="1"/>
    <b v="1"/>
    <b v="1"/>
    <b v="1"/>
  </r>
  <r>
    <x v="2914"/>
    <n v="109611"/>
    <n v="52369"/>
    <n v="57242"/>
    <n v="85977555"/>
    <n v="70655118"/>
    <n v="156632673"/>
    <n v="33638"/>
    <n v="9345"/>
    <n v="42983"/>
    <b v="1"/>
    <b v="1"/>
    <b v="1"/>
    <b v="1"/>
    <b v="1"/>
    <b v="1"/>
  </r>
  <r>
    <x v="2915"/>
    <n v="135499"/>
    <n v="67263"/>
    <n v="68236"/>
    <n v="111949057"/>
    <n v="93430128"/>
    <n v="205379185"/>
    <n v="38120"/>
    <n v="10314"/>
    <n v="48434"/>
    <b v="1"/>
    <b v="1"/>
    <b v="1"/>
    <b v="1"/>
    <b v="1"/>
    <b v="1"/>
  </r>
  <r>
    <x v="2916"/>
    <n v="142670"/>
    <n v="69889"/>
    <n v="72781"/>
    <n v="118014844"/>
    <n v="99739585"/>
    <n v="217754429"/>
    <n v="42174"/>
    <n v="11041"/>
    <n v="53215"/>
    <b v="1"/>
    <b v="1"/>
    <b v="1"/>
    <b v="1"/>
    <b v="1"/>
    <b v="1"/>
  </r>
  <r>
    <x v="2917"/>
    <n v="140503"/>
    <n v="70591"/>
    <n v="69912"/>
    <n v="122770102"/>
    <n v="104698525"/>
    <n v="227468627"/>
    <n v="42511"/>
    <n v="11421"/>
    <n v="53932"/>
    <b v="1"/>
    <b v="1"/>
    <b v="1"/>
    <b v="1"/>
    <b v="1"/>
    <b v="1"/>
  </r>
  <r>
    <x v="2918"/>
    <n v="141259"/>
    <n v="67351"/>
    <n v="73908"/>
    <n v="128049882"/>
    <n v="94938791"/>
    <n v="222988673"/>
    <n v="42282"/>
    <n v="11047"/>
    <n v="53329"/>
    <b v="1"/>
    <b v="1"/>
    <b v="1"/>
    <b v="1"/>
    <b v="1"/>
    <b v="1"/>
  </r>
  <r>
    <x v="2919"/>
    <n v="155753"/>
    <n v="70796"/>
    <n v="84957"/>
    <n v="147799534"/>
    <n v="101663535"/>
    <n v="249463069"/>
    <n v="46514"/>
    <n v="12124"/>
    <n v="58638"/>
    <b v="1"/>
    <b v="1"/>
    <b v="1"/>
    <b v="1"/>
    <b v="1"/>
    <b v="1"/>
  </r>
  <r>
    <x v="2920"/>
    <n v="145828"/>
    <n v="67331"/>
    <n v="78497"/>
    <n v="133978064"/>
    <n v="84149192"/>
    <n v="218127256"/>
    <n v="42128"/>
    <n v="11577"/>
    <n v="53705"/>
    <b v="1"/>
    <b v="1"/>
    <b v="1"/>
    <b v="1"/>
    <b v="1"/>
    <b v="1"/>
  </r>
  <r>
    <x v="2921"/>
    <n v="102882"/>
    <n v="47325"/>
    <n v="55557"/>
    <n v="85848045"/>
    <n v="72582447"/>
    <n v="158430492"/>
    <n v="29750"/>
    <n v="8519"/>
    <n v="38269"/>
    <b v="1"/>
    <b v="1"/>
    <b v="1"/>
    <b v="1"/>
    <b v="1"/>
    <b v="1"/>
  </r>
  <r>
    <x v="2922"/>
    <n v="150649"/>
    <n v="73252"/>
    <n v="77397"/>
    <n v="127681086"/>
    <n v="103247321"/>
    <n v="230928407"/>
    <n v="47381"/>
    <n v="11912"/>
    <n v="59293"/>
    <b v="1"/>
    <b v="1"/>
    <b v="1"/>
    <b v="1"/>
    <b v="1"/>
    <b v="1"/>
  </r>
  <r>
    <x v="2923"/>
    <n v="154630"/>
    <n v="75514"/>
    <n v="79116"/>
    <n v="131489717"/>
    <n v="115380318"/>
    <n v="246870035"/>
    <n v="50683"/>
    <n v="12120"/>
    <n v="62803"/>
    <b v="1"/>
    <b v="1"/>
    <b v="1"/>
    <b v="1"/>
    <b v="1"/>
    <b v="1"/>
  </r>
  <r>
    <x v="2924"/>
    <n v="163993"/>
    <n v="79275"/>
    <n v="84718"/>
    <n v="148442477"/>
    <n v="132742662"/>
    <n v="281185139"/>
    <n v="51129"/>
    <n v="12617"/>
    <n v="63746"/>
    <b v="1"/>
    <b v="1"/>
    <b v="1"/>
    <b v="1"/>
    <b v="1"/>
    <b v="1"/>
  </r>
  <r>
    <x v="2925"/>
    <n v="163160"/>
    <n v="79193"/>
    <n v="83967"/>
    <n v="144136280"/>
    <n v="126490011"/>
    <n v="270626291"/>
    <n v="50425"/>
    <n v="12412"/>
    <n v="62837"/>
    <b v="1"/>
    <b v="1"/>
    <b v="1"/>
    <b v="1"/>
    <b v="1"/>
    <b v="1"/>
  </r>
  <r>
    <x v="2926"/>
    <n v="163859"/>
    <n v="78086"/>
    <n v="85773"/>
    <n v="146321743"/>
    <n v="122252728"/>
    <n v="268574471"/>
    <n v="54100"/>
    <n v="12552"/>
    <n v="66652"/>
    <b v="1"/>
    <b v="1"/>
    <b v="1"/>
    <b v="1"/>
    <b v="1"/>
    <b v="1"/>
  </r>
  <r>
    <x v="2927"/>
    <n v="159591"/>
    <n v="77068"/>
    <n v="82523"/>
    <n v="144265921"/>
    <n v="112114401"/>
    <n v="256380322"/>
    <n v="49716"/>
    <n v="12750"/>
    <n v="62466"/>
    <b v="1"/>
    <b v="1"/>
    <b v="1"/>
    <b v="1"/>
    <b v="1"/>
    <b v="1"/>
  </r>
  <r>
    <x v="2928"/>
    <n v="140222"/>
    <n v="65956"/>
    <n v="74266"/>
    <n v="122732300"/>
    <n v="84969097"/>
    <n v="207701397"/>
    <n v="46260"/>
    <n v="11044"/>
    <n v="57304"/>
    <b v="1"/>
    <b v="1"/>
    <b v="1"/>
    <b v="1"/>
    <b v="1"/>
    <b v="1"/>
  </r>
  <r>
    <x v="2929"/>
    <n v="159560"/>
    <n v="75536"/>
    <n v="84024"/>
    <n v="151165108"/>
    <n v="116150465"/>
    <n v="267315573"/>
    <n v="51127"/>
    <n v="12546"/>
    <n v="63673"/>
    <b v="1"/>
    <b v="1"/>
    <b v="1"/>
    <b v="1"/>
    <b v="1"/>
    <b v="1"/>
  </r>
  <r>
    <x v="2930"/>
    <n v="151987"/>
    <n v="73551"/>
    <n v="78436"/>
    <n v="148114377"/>
    <n v="119285061"/>
    <n v="267399438"/>
    <n v="49446"/>
    <n v="11837"/>
    <n v="61283"/>
    <b v="1"/>
    <b v="1"/>
    <b v="1"/>
    <b v="1"/>
    <b v="1"/>
    <b v="1"/>
  </r>
  <r>
    <x v="2931"/>
    <n v="163319"/>
    <n v="78226"/>
    <n v="85093"/>
    <n v="162147799"/>
    <n v="119649128"/>
    <n v="281796927"/>
    <n v="53290"/>
    <n v="13161"/>
    <n v="66451"/>
    <b v="1"/>
    <b v="1"/>
    <b v="1"/>
    <b v="1"/>
    <b v="1"/>
    <b v="1"/>
  </r>
  <r>
    <x v="2932"/>
    <n v="168300"/>
    <n v="82536"/>
    <n v="85764"/>
    <n v="164026236"/>
    <n v="122038095"/>
    <n v="286064331"/>
    <n v="52748"/>
    <n v="12725"/>
    <n v="65473"/>
    <b v="1"/>
    <b v="1"/>
    <b v="1"/>
    <b v="1"/>
    <b v="1"/>
    <b v="1"/>
  </r>
  <r>
    <x v="2933"/>
    <n v="160263"/>
    <n v="76224"/>
    <n v="84039"/>
    <n v="148002185"/>
    <n v="120962878"/>
    <n v="268965063"/>
    <n v="50367"/>
    <n v="11527"/>
    <n v="61894"/>
    <b v="1"/>
    <b v="1"/>
    <b v="1"/>
    <b v="1"/>
    <b v="1"/>
    <b v="1"/>
  </r>
  <r>
    <x v="2934"/>
    <n v="146081"/>
    <n v="71146"/>
    <n v="74935"/>
    <n v="122473900"/>
    <n v="91624712"/>
    <n v="214098612"/>
    <n v="45231"/>
    <n v="11467"/>
    <n v="56698"/>
    <b v="1"/>
    <b v="1"/>
    <b v="1"/>
    <b v="1"/>
    <b v="1"/>
    <b v="1"/>
  </r>
  <r>
    <x v="2935"/>
    <n v="119974"/>
    <n v="56502"/>
    <n v="63472"/>
    <n v="105086148"/>
    <n v="67380936"/>
    <n v="172467084"/>
    <n v="41101"/>
    <n v="10016"/>
    <n v="51117"/>
    <b v="1"/>
    <b v="1"/>
    <b v="1"/>
    <b v="1"/>
    <b v="1"/>
    <b v="1"/>
  </r>
  <r>
    <x v="2936"/>
    <n v="148908"/>
    <n v="70054"/>
    <n v="78854"/>
    <n v="141103328"/>
    <n v="94943089"/>
    <n v="236046417"/>
    <n v="51279"/>
    <n v="12546"/>
    <n v="63825"/>
    <b v="1"/>
    <b v="1"/>
    <b v="1"/>
    <b v="1"/>
    <b v="1"/>
    <b v="1"/>
  </r>
  <r>
    <x v="2937"/>
    <n v="149808"/>
    <n v="71196"/>
    <n v="78612"/>
    <n v="136151594"/>
    <n v="105865825"/>
    <n v="242017419"/>
    <n v="49641"/>
    <n v="12344"/>
    <n v="61985"/>
    <b v="1"/>
    <b v="1"/>
    <b v="1"/>
    <b v="1"/>
    <b v="1"/>
    <b v="1"/>
  </r>
  <r>
    <x v="2938"/>
    <n v="156077"/>
    <n v="74033"/>
    <n v="82044"/>
    <n v="145546248"/>
    <n v="123411768"/>
    <n v="268958016"/>
    <n v="50091"/>
    <n v="12615"/>
    <n v="62706"/>
    <b v="1"/>
    <b v="1"/>
    <b v="1"/>
    <b v="1"/>
    <b v="1"/>
    <b v="1"/>
  </r>
  <r>
    <x v="2939"/>
    <n v="153835"/>
    <n v="73849"/>
    <n v="79986"/>
    <n v="141907121"/>
    <n v="118927120"/>
    <n v="260834241"/>
    <n v="51851"/>
    <n v="13026"/>
    <n v="64877"/>
    <b v="1"/>
    <b v="1"/>
    <b v="1"/>
    <b v="1"/>
    <b v="1"/>
    <b v="1"/>
  </r>
  <r>
    <x v="2940"/>
    <n v="157237"/>
    <n v="72611"/>
    <n v="84626"/>
    <n v="151944344"/>
    <n v="116196731"/>
    <n v="268141075"/>
    <n v="54138"/>
    <n v="13398"/>
    <n v="67536"/>
    <b v="1"/>
    <b v="1"/>
    <b v="1"/>
    <b v="1"/>
    <b v="1"/>
    <b v="1"/>
  </r>
  <r>
    <x v="2941"/>
    <n v="158979"/>
    <n v="78418"/>
    <n v="80561"/>
    <n v="139312276"/>
    <n v="113787027"/>
    <n v="253099303"/>
    <n v="49843"/>
    <n v="12849"/>
    <n v="62692"/>
    <b v="1"/>
    <b v="1"/>
    <b v="1"/>
    <b v="1"/>
    <b v="1"/>
    <b v="1"/>
  </r>
  <r>
    <x v="2942"/>
    <n v="134109"/>
    <n v="63188"/>
    <n v="70921"/>
    <n v="110062823"/>
    <n v="84857051"/>
    <n v="194919874"/>
    <n v="41498"/>
    <n v="10627"/>
    <n v="52125"/>
    <b v="1"/>
    <b v="1"/>
    <b v="1"/>
    <b v="1"/>
    <b v="1"/>
    <b v="1"/>
  </r>
  <r>
    <x v="2943"/>
    <n v="153438"/>
    <n v="71113"/>
    <n v="82325"/>
    <n v="135436668"/>
    <n v="102126905"/>
    <n v="237563573"/>
    <n v="50651"/>
    <n v="12206"/>
    <n v="62857"/>
    <b v="1"/>
    <b v="1"/>
    <b v="1"/>
    <b v="1"/>
    <b v="1"/>
    <b v="1"/>
  </r>
  <r>
    <x v="2944"/>
    <n v="148993"/>
    <n v="68380"/>
    <n v="80613"/>
    <n v="142912630"/>
    <n v="113277208"/>
    <n v="256189838"/>
    <n v="51290"/>
    <n v="12149"/>
    <n v="63439"/>
    <b v="1"/>
    <b v="1"/>
    <b v="1"/>
    <b v="1"/>
    <b v="1"/>
    <b v="1"/>
  </r>
  <r>
    <x v="2945"/>
    <n v="139872"/>
    <n v="68102"/>
    <n v="71770"/>
    <n v="125565039"/>
    <n v="108158351"/>
    <n v="233723390"/>
    <n v="44621"/>
    <n v="11176"/>
    <n v="55797"/>
    <b v="1"/>
    <b v="1"/>
    <b v="1"/>
    <b v="1"/>
    <b v="1"/>
    <b v="1"/>
  </r>
  <r>
    <x v="2946"/>
    <n v="90378"/>
    <n v="42585"/>
    <n v="47793"/>
    <n v="64794675"/>
    <n v="51514042"/>
    <n v="116308717"/>
    <n v="25154"/>
    <n v="6223"/>
    <n v="31377"/>
    <b v="1"/>
    <b v="1"/>
    <b v="1"/>
    <b v="1"/>
    <b v="1"/>
    <b v="1"/>
  </r>
  <r>
    <x v="2947"/>
    <n v="151453"/>
    <n v="70629"/>
    <n v="80824"/>
    <n v="136171151"/>
    <n v="98200403"/>
    <n v="234371554"/>
    <n v="49290"/>
    <n v="12060"/>
    <n v="61350"/>
    <b v="1"/>
    <b v="1"/>
    <b v="1"/>
    <b v="1"/>
    <b v="1"/>
    <b v="1"/>
  </r>
  <r>
    <x v="2948"/>
    <n v="157262"/>
    <n v="73902"/>
    <n v="83360"/>
    <n v="133841597"/>
    <n v="103884967"/>
    <n v="237726564"/>
    <n v="48741"/>
    <n v="12690"/>
    <n v="61431"/>
    <b v="1"/>
    <b v="1"/>
    <b v="1"/>
    <b v="1"/>
    <b v="1"/>
    <b v="1"/>
  </r>
  <r>
    <x v="2949"/>
    <n v="131612"/>
    <n v="57919"/>
    <n v="73693"/>
    <n v="114369428"/>
    <n v="75910819"/>
    <n v="190280247"/>
    <n v="39721"/>
    <n v="9658"/>
    <n v="49379"/>
    <b v="1"/>
    <b v="1"/>
    <b v="1"/>
    <b v="1"/>
    <b v="1"/>
    <b v="1"/>
  </r>
  <r>
    <x v="2950"/>
    <n v="151559"/>
    <n v="67843"/>
    <n v="83716"/>
    <n v="138814352"/>
    <n v="97078847"/>
    <n v="235893199"/>
    <n v="47340"/>
    <n v="11626"/>
    <n v="58966"/>
    <b v="1"/>
    <b v="1"/>
    <b v="1"/>
    <b v="1"/>
    <b v="1"/>
    <b v="1"/>
  </r>
  <r>
    <x v="2951"/>
    <n v="166296"/>
    <n v="72924"/>
    <n v="93372"/>
    <n v="154784159"/>
    <n v="107184435"/>
    <n v="261968594"/>
    <n v="61198"/>
    <n v="14107"/>
    <n v="75305"/>
    <b v="1"/>
    <b v="1"/>
    <b v="1"/>
    <b v="1"/>
    <b v="1"/>
    <b v="1"/>
  </r>
  <r>
    <x v="2952"/>
    <n v="163027"/>
    <n v="78301"/>
    <n v="84726"/>
    <n v="152610185"/>
    <n v="135529267"/>
    <n v="288139452"/>
    <n v="56409"/>
    <n v="14034"/>
    <n v="70443"/>
    <b v="1"/>
    <b v="1"/>
    <b v="1"/>
    <b v="1"/>
    <b v="1"/>
    <b v="1"/>
  </r>
  <r>
    <x v="2953"/>
    <n v="165127"/>
    <n v="80573"/>
    <n v="84554"/>
    <n v="157808025"/>
    <n v="147370250"/>
    <n v="305178275"/>
    <n v="57678"/>
    <n v="14318"/>
    <n v="71996"/>
    <b v="1"/>
    <b v="1"/>
    <b v="1"/>
    <b v="1"/>
    <b v="1"/>
    <b v="1"/>
  </r>
  <r>
    <x v="2954"/>
    <n v="167240"/>
    <n v="79013"/>
    <n v="88227"/>
    <n v="161735836"/>
    <n v="140461470"/>
    <n v="302197306"/>
    <n v="59414"/>
    <n v="14499"/>
    <n v="73913"/>
    <b v="1"/>
    <b v="1"/>
    <b v="1"/>
    <b v="1"/>
    <b v="1"/>
    <b v="1"/>
  </r>
  <r>
    <x v="2955"/>
    <n v="163901"/>
    <n v="80804"/>
    <n v="83097"/>
    <n v="150245802"/>
    <n v="129791285"/>
    <n v="280037087"/>
    <n v="52226"/>
    <n v="13522"/>
    <n v="65748"/>
    <b v="1"/>
    <b v="1"/>
    <b v="1"/>
    <b v="1"/>
    <b v="1"/>
    <b v="1"/>
  </r>
  <r>
    <x v="2956"/>
    <n v="143448"/>
    <n v="66234"/>
    <n v="77214"/>
    <n v="136219688"/>
    <n v="90720503"/>
    <n v="226940191"/>
    <n v="52864"/>
    <n v="12799"/>
    <n v="65663"/>
    <b v="1"/>
    <b v="1"/>
    <b v="1"/>
    <b v="1"/>
    <b v="1"/>
    <b v="1"/>
  </r>
  <r>
    <x v="2957"/>
    <n v="164430"/>
    <n v="75863"/>
    <n v="88567"/>
    <n v="156666342"/>
    <n v="122422354"/>
    <n v="279088696"/>
    <n v="58982"/>
    <n v="13824"/>
    <n v="72806"/>
    <b v="1"/>
    <b v="1"/>
    <b v="1"/>
    <b v="1"/>
    <b v="1"/>
    <b v="1"/>
  </r>
  <r>
    <x v="2958"/>
    <n v="169092"/>
    <n v="78619"/>
    <n v="90473"/>
    <n v="171061655"/>
    <n v="134490163"/>
    <n v="305551818"/>
    <n v="58400"/>
    <n v="14340"/>
    <n v="72740"/>
    <b v="1"/>
    <b v="1"/>
    <b v="1"/>
    <b v="1"/>
    <b v="1"/>
    <b v="1"/>
  </r>
  <r>
    <x v="2959"/>
    <n v="145740"/>
    <n v="66540"/>
    <n v="79200"/>
    <n v="140234663"/>
    <n v="120052769"/>
    <n v="260287432"/>
    <n v="49080"/>
    <n v="11752"/>
    <n v="60832"/>
    <b v="1"/>
    <b v="1"/>
    <b v="1"/>
    <b v="1"/>
    <b v="1"/>
    <b v="1"/>
  </r>
  <r>
    <x v="2960"/>
    <n v="167198"/>
    <n v="76164"/>
    <n v="91034"/>
    <n v="167144641"/>
    <n v="135534237"/>
    <n v="302678878"/>
    <n v="57310"/>
    <n v="13715"/>
    <n v="71025"/>
    <b v="1"/>
    <b v="1"/>
    <b v="1"/>
    <b v="1"/>
    <b v="1"/>
    <b v="1"/>
  </r>
  <r>
    <x v="2961"/>
    <n v="154618"/>
    <n v="71801"/>
    <n v="82817"/>
    <n v="148700790"/>
    <n v="122949591"/>
    <n v="271650381"/>
    <n v="52071"/>
    <n v="12597"/>
    <n v="64668"/>
    <b v="1"/>
    <b v="1"/>
    <b v="1"/>
    <b v="1"/>
    <b v="1"/>
    <b v="1"/>
  </r>
  <r>
    <x v="2962"/>
    <n v="159587"/>
    <n v="73859"/>
    <n v="85728"/>
    <n v="140700772"/>
    <n v="110205067"/>
    <n v="250905839"/>
    <n v="51387"/>
    <n v="12805"/>
    <n v="64192"/>
    <b v="1"/>
    <b v="1"/>
    <b v="1"/>
    <b v="1"/>
    <b v="1"/>
    <b v="1"/>
  </r>
  <r>
    <x v="2963"/>
    <n v="149645"/>
    <n v="65667"/>
    <n v="83978"/>
    <n v="129447863"/>
    <n v="85846729"/>
    <n v="215294592"/>
    <n v="49498"/>
    <n v="11649"/>
    <n v="61147"/>
    <b v="1"/>
    <b v="1"/>
    <b v="1"/>
    <b v="1"/>
    <b v="1"/>
    <b v="1"/>
  </r>
  <r>
    <x v="2964"/>
    <n v="168145"/>
    <n v="77205"/>
    <n v="90940"/>
    <n v="162006604"/>
    <n v="122325340"/>
    <n v="284331944"/>
    <n v="54637"/>
    <n v="13238"/>
    <n v="67875"/>
    <b v="1"/>
    <b v="1"/>
    <b v="1"/>
    <b v="1"/>
    <b v="1"/>
    <b v="1"/>
  </r>
  <r>
    <x v="2965"/>
    <n v="175755"/>
    <n v="78417"/>
    <n v="97338"/>
    <n v="181050718"/>
    <n v="131760277"/>
    <n v="312810995"/>
    <n v="59922"/>
    <n v="14032"/>
    <n v="73954"/>
    <b v="1"/>
    <b v="1"/>
    <b v="1"/>
    <b v="1"/>
    <b v="1"/>
    <b v="1"/>
  </r>
  <r>
    <x v="2966"/>
    <n v="168640"/>
    <n v="77474"/>
    <n v="91166"/>
    <n v="169467675"/>
    <n v="132538368"/>
    <n v="302006043"/>
    <n v="56613"/>
    <n v="13328"/>
    <n v="69941"/>
    <b v="1"/>
    <b v="1"/>
    <b v="1"/>
    <b v="1"/>
    <b v="1"/>
    <b v="1"/>
  </r>
  <r>
    <x v="2967"/>
    <n v="166243"/>
    <n v="76701"/>
    <n v="89542"/>
    <n v="171111908"/>
    <n v="130804307"/>
    <n v="301916215"/>
    <n v="55375"/>
    <n v="12953"/>
    <n v="68328"/>
    <b v="1"/>
    <b v="1"/>
    <b v="1"/>
    <b v="1"/>
    <b v="1"/>
    <b v="1"/>
  </r>
  <r>
    <x v="2968"/>
    <n v="168678"/>
    <n v="76454"/>
    <n v="92224"/>
    <n v="175558669"/>
    <n v="129918352"/>
    <n v="305477021"/>
    <n v="57994"/>
    <n v="13490"/>
    <n v="71484"/>
    <b v="1"/>
    <b v="1"/>
    <b v="1"/>
    <b v="1"/>
    <b v="1"/>
    <b v="1"/>
  </r>
  <r>
    <x v="2969"/>
    <n v="138615"/>
    <n v="61261"/>
    <n v="77354"/>
    <n v="136263429"/>
    <n v="90395994"/>
    <n v="226659423"/>
    <n v="49525"/>
    <n v="11376"/>
    <n v="60901"/>
    <b v="1"/>
    <b v="1"/>
    <b v="1"/>
    <b v="1"/>
    <b v="1"/>
    <b v="1"/>
  </r>
  <r>
    <x v="2970"/>
    <n v="131665"/>
    <n v="59117"/>
    <n v="72548"/>
    <n v="121234073"/>
    <n v="82594411"/>
    <n v="203828484"/>
    <n v="45045"/>
    <n v="10771"/>
    <n v="55816"/>
    <b v="1"/>
    <b v="1"/>
    <b v="1"/>
    <b v="1"/>
    <b v="1"/>
    <b v="1"/>
  </r>
  <r>
    <x v="2971"/>
    <n v="171175"/>
    <n v="78212"/>
    <n v="92963"/>
    <n v="171024817"/>
    <n v="124234972"/>
    <n v="295259789"/>
    <n v="57415"/>
    <n v="13827"/>
    <n v="71242"/>
    <b v="1"/>
    <b v="1"/>
    <b v="1"/>
    <b v="1"/>
    <b v="1"/>
    <b v="1"/>
  </r>
  <r>
    <x v="2972"/>
    <n v="174271"/>
    <n v="80981"/>
    <n v="93290"/>
    <n v="185005107"/>
    <n v="138251890"/>
    <n v="323256997"/>
    <n v="56779"/>
    <n v="13756"/>
    <n v="70535"/>
    <b v="1"/>
    <b v="1"/>
    <b v="1"/>
    <b v="1"/>
    <b v="1"/>
    <b v="1"/>
  </r>
  <r>
    <x v="2973"/>
    <n v="172988"/>
    <n v="81615"/>
    <n v="91373"/>
    <n v="176477474"/>
    <n v="1026631542"/>
    <n v="1203109016"/>
    <n v="57832"/>
    <n v="13883"/>
    <n v="71715"/>
    <b v="1"/>
    <b v="1"/>
    <b v="1"/>
    <b v="1"/>
    <b v="1"/>
    <b v="1"/>
  </r>
  <r>
    <x v="2974"/>
    <n v="172413"/>
    <n v="80526"/>
    <n v="91887"/>
    <n v="178319229"/>
    <n v="135957605"/>
    <n v="314276834"/>
    <n v="57152"/>
    <n v="14128"/>
    <n v="71280"/>
    <b v="1"/>
    <b v="1"/>
    <b v="1"/>
    <b v="1"/>
    <b v="1"/>
    <b v="1"/>
  </r>
  <r>
    <x v="2975"/>
    <n v="174160"/>
    <n v="79357"/>
    <n v="94803"/>
    <n v="165970355"/>
    <n v="126051531"/>
    <n v="292021886"/>
    <n v="59831"/>
    <n v="14444"/>
    <n v="74275"/>
    <b v="1"/>
    <b v="1"/>
    <b v="1"/>
    <b v="1"/>
    <b v="1"/>
    <b v="1"/>
  </r>
  <r>
    <x v="2976"/>
    <n v="166787"/>
    <n v="78360"/>
    <n v="88427"/>
    <n v="159426048"/>
    <n v="120036917"/>
    <n v="279462965"/>
    <n v="53282"/>
    <n v="13111"/>
    <n v="66393"/>
    <b v="1"/>
    <b v="1"/>
    <b v="1"/>
    <b v="1"/>
    <b v="1"/>
    <b v="1"/>
  </r>
  <r>
    <x v="2977"/>
    <n v="154108"/>
    <n v="66056"/>
    <n v="88052"/>
    <n v="148072812"/>
    <n v="86530558"/>
    <n v="234603370"/>
    <n v="54815"/>
    <n v="12968"/>
    <n v="67783"/>
    <b v="1"/>
    <b v="1"/>
    <b v="1"/>
    <b v="1"/>
    <b v="1"/>
    <b v="1"/>
  </r>
  <r>
    <x v="2978"/>
    <n v="179917"/>
    <n v="79764"/>
    <n v="100153"/>
    <n v="178071545"/>
    <n v="121522160"/>
    <n v="299593705"/>
    <n v="63683"/>
    <n v="14330"/>
    <n v="78013"/>
    <b v="1"/>
    <b v="1"/>
    <b v="1"/>
    <b v="1"/>
    <b v="1"/>
    <b v="1"/>
  </r>
  <r>
    <x v="2979"/>
    <n v="174309"/>
    <n v="77966"/>
    <n v="96343"/>
    <n v="173043353"/>
    <n v="122506833"/>
    <n v="295550186"/>
    <n v="62092"/>
    <n v="14098"/>
    <n v="76190"/>
    <b v="1"/>
    <b v="1"/>
    <b v="1"/>
    <b v="1"/>
    <b v="1"/>
    <b v="1"/>
  </r>
  <r>
    <x v="2980"/>
    <n v="189495"/>
    <n v="87505"/>
    <n v="101990"/>
    <n v="171134177"/>
    <n v="168336200"/>
    <n v="339470377"/>
    <n v="63575"/>
    <n v="14399"/>
    <n v="77974"/>
    <b v="1"/>
    <b v="1"/>
    <b v="1"/>
    <b v="1"/>
    <b v="1"/>
    <b v="1"/>
  </r>
  <r>
    <x v="2981"/>
    <n v="195411"/>
    <n v="90441"/>
    <n v="104970"/>
    <n v="184434317"/>
    <n v="176620801"/>
    <n v="361055118"/>
    <n v="65112"/>
    <n v="14342"/>
    <n v="79454"/>
    <b v="1"/>
    <b v="1"/>
    <b v="1"/>
    <b v="1"/>
    <b v="1"/>
    <b v="1"/>
  </r>
  <r>
    <x v="2982"/>
    <n v="184765"/>
    <n v="89029"/>
    <n v="95736"/>
    <n v="182623305"/>
    <n v="176382236"/>
    <n v="359005541"/>
    <n v="59545"/>
    <n v="14321"/>
    <n v="73866"/>
    <b v="1"/>
    <b v="1"/>
    <b v="1"/>
    <b v="1"/>
    <b v="1"/>
    <b v="1"/>
  </r>
  <r>
    <x v="2983"/>
    <n v="187838"/>
    <n v="87543"/>
    <n v="100295"/>
    <n v="178934108"/>
    <n v="160605591"/>
    <n v="339539699"/>
    <n v="62460"/>
    <n v="14621"/>
    <n v="77081"/>
    <b v="1"/>
    <b v="1"/>
    <b v="1"/>
    <b v="1"/>
    <b v="1"/>
    <b v="1"/>
  </r>
  <r>
    <x v="2984"/>
    <n v="165456"/>
    <n v="75392"/>
    <n v="90064"/>
    <n v="139082547"/>
    <n v="114799844"/>
    <n v="253882391"/>
    <n v="58596"/>
    <n v="13838"/>
    <n v="72434"/>
    <b v="1"/>
    <b v="1"/>
    <b v="1"/>
    <b v="1"/>
    <b v="1"/>
    <b v="1"/>
  </r>
  <r>
    <x v="2985"/>
    <n v="180499"/>
    <n v="82536"/>
    <n v="97963"/>
    <n v="164379035"/>
    <n v="123600944"/>
    <n v="287979979"/>
    <n v="62092"/>
    <n v="15025"/>
    <n v="77117"/>
    <b v="1"/>
    <b v="1"/>
    <b v="1"/>
    <b v="1"/>
    <b v="1"/>
    <b v="1"/>
  </r>
  <r>
    <x v="2986"/>
    <n v="142386"/>
    <n v="62504"/>
    <n v="79882"/>
    <n v="123508874"/>
    <n v="74614994"/>
    <n v="198123868"/>
    <n v="47745"/>
    <n v="10954"/>
    <n v="58699"/>
    <b v="1"/>
    <b v="1"/>
    <b v="1"/>
    <b v="1"/>
    <b v="1"/>
    <b v="1"/>
  </r>
  <r>
    <x v="2987"/>
    <n v="139018"/>
    <n v="59058"/>
    <n v="79960"/>
    <n v="130414860"/>
    <n v="80729315"/>
    <n v="211144175"/>
    <n v="42582"/>
    <n v="9695"/>
    <n v="52277"/>
    <b v="1"/>
    <b v="1"/>
    <b v="1"/>
    <b v="1"/>
    <b v="1"/>
    <b v="1"/>
  </r>
  <r>
    <x v="2988"/>
    <n v="155110"/>
    <n v="74156"/>
    <n v="80954"/>
    <n v="131908950"/>
    <n v="107593528"/>
    <n v="239502478"/>
    <n v="43152"/>
    <n v="10223"/>
    <n v="53375"/>
    <b v="1"/>
    <b v="1"/>
    <b v="1"/>
    <b v="1"/>
    <b v="1"/>
    <b v="1"/>
  </r>
  <r>
    <x v="2989"/>
    <n v="184784"/>
    <n v="82598"/>
    <n v="102186"/>
    <n v="173978125"/>
    <n v="131163680"/>
    <n v="305141805"/>
    <n v="66016"/>
    <n v="14152"/>
    <n v="80168"/>
    <b v="1"/>
    <b v="1"/>
    <b v="1"/>
    <b v="1"/>
    <b v="1"/>
    <b v="1"/>
  </r>
  <r>
    <x v="2990"/>
    <n v="176538"/>
    <n v="81973"/>
    <n v="94565"/>
    <n v="165968771"/>
    <n v="134205345"/>
    <n v="300174116"/>
    <n v="62324"/>
    <n v="14533"/>
    <n v="76857"/>
    <b v="1"/>
    <b v="1"/>
    <b v="1"/>
    <b v="1"/>
    <b v="1"/>
    <b v="1"/>
  </r>
  <r>
    <x v="2991"/>
    <n v="165132"/>
    <n v="72050"/>
    <n v="93082"/>
    <n v="151779050"/>
    <n v="108319201"/>
    <n v="260098251"/>
    <n v="60307"/>
    <n v="13553"/>
    <n v="73860"/>
    <b v="1"/>
    <b v="1"/>
    <b v="1"/>
    <b v="1"/>
    <b v="1"/>
    <b v="1"/>
  </r>
  <r>
    <x v="2992"/>
    <n v="193760"/>
    <n v="88068"/>
    <n v="105692"/>
    <n v="188611254"/>
    <n v="141356794"/>
    <n v="329968048"/>
    <n v="67036"/>
    <n v="14998"/>
    <n v="82034"/>
    <b v="1"/>
    <b v="1"/>
    <b v="1"/>
    <b v="1"/>
    <b v="1"/>
    <b v="1"/>
  </r>
  <r>
    <x v="2993"/>
    <n v="190085"/>
    <n v="85740"/>
    <n v="104345"/>
    <n v="188363510"/>
    <n v="153926026"/>
    <n v="342289536"/>
    <n v="63543"/>
    <n v="13899"/>
    <n v="77442"/>
    <b v="1"/>
    <b v="1"/>
    <b v="1"/>
    <b v="1"/>
    <b v="1"/>
    <b v="1"/>
  </r>
  <r>
    <x v="2994"/>
    <n v="182511"/>
    <n v="82915"/>
    <n v="99596"/>
    <n v="173118062"/>
    <n v="148908345"/>
    <n v="322026407"/>
    <n v="62859"/>
    <n v="13984"/>
    <n v="76843"/>
    <b v="1"/>
    <b v="1"/>
    <b v="1"/>
    <b v="1"/>
    <b v="1"/>
    <b v="1"/>
  </r>
  <r>
    <x v="2995"/>
    <n v="187010"/>
    <n v="85141"/>
    <n v="101869"/>
    <n v="195272607"/>
    <n v="151382472"/>
    <n v="346655079"/>
    <n v="61724"/>
    <n v="13898"/>
    <n v="75622"/>
    <b v="1"/>
    <b v="1"/>
    <b v="1"/>
    <b v="1"/>
    <b v="1"/>
    <b v="1"/>
  </r>
  <r>
    <x v="2996"/>
    <n v="185714"/>
    <n v="83967"/>
    <n v="101747"/>
    <n v="182438167"/>
    <n v="155658631"/>
    <n v="338096798"/>
    <n v="62907"/>
    <n v="14354"/>
    <n v="77261"/>
    <b v="1"/>
    <b v="1"/>
    <b v="1"/>
    <b v="1"/>
    <b v="1"/>
    <b v="1"/>
  </r>
  <r>
    <x v="2997"/>
    <n v="177369"/>
    <n v="81678"/>
    <n v="95691"/>
    <n v="180393516"/>
    <n v="142783631"/>
    <n v="323177147"/>
    <n v="54914"/>
    <n v="13082"/>
    <n v="67996"/>
    <b v="1"/>
    <b v="1"/>
    <b v="1"/>
    <b v="1"/>
    <b v="1"/>
    <b v="1"/>
  </r>
  <r>
    <x v="2998"/>
    <n v="168398"/>
    <n v="72081"/>
    <n v="96317"/>
    <n v="162998416"/>
    <n v="108152526"/>
    <n v="271150942"/>
    <n v="53683"/>
    <n v="12415"/>
    <n v="66098"/>
    <b v="1"/>
    <b v="1"/>
    <b v="1"/>
    <b v="1"/>
    <b v="1"/>
    <b v="1"/>
  </r>
  <r>
    <x v="2999"/>
    <n v="179885"/>
    <n v="79618"/>
    <n v="100267"/>
    <n v="176464209"/>
    <n v="229907362"/>
    <n v="406371571"/>
    <n v="59615"/>
    <n v="12733"/>
    <n v="72348"/>
    <b v="1"/>
    <b v="1"/>
    <b v="1"/>
    <b v="1"/>
    <b v="1"/>
    <b v="1"/>
  </r>
  <r>
    <x v="3000"/>
    <n v="189498"/>
    <n v="84507"/>
    <n v="104991"/>
    <n v="187284084"/>
    <n v="143195832"/>
    <n v="330479916"/>
    <n v="61587"/>
    <n v="13742"/>
    <n v="75329"/>
    <b v="1"/>
    <b v="1"/>
    <b v="1"/>
    <b v="1"/>
    <b v="1"/>
    <b v="1"/>
  </r>
  <r>
    <x v="3001"/>
    <n v="192988"/>
    <n v="85168"/>
    <n v="107820"/>
    <n v="189492881"/>
    <n v="138131344"/>
    <n v="327624225"/>
    <n v="62015"/>
    <n v="13835"/>
    <n v="75850"/>
    <b v="1"/>
    <b v="1"/>
    <b v="1"/>
    <b v="1"/>
    <b v="1"/>
    <b v="1"/>
  </r>
  <r>
    <x v="3002"/>
    <n v="193242"/>
    <n v="85422"/>
    <n v="107820"/>
    <n v="202652541"/>
    <n v="153722005"/>
    <n v="356374546"/>
    <n v="62845"/>
    <n v="14391"/>
    <n v="77236"/>
    <b v="1"/>
    <b v="1"/>
    <b v="1"/>
    <b v="1"/>
    <b v="1"/>
    <b v="1"/>
  </r>
  <r>
    <x v="3003"/>
    <n v="182741"/>
    <n v="81339"/>
    <n v="101402"/>
    <n v="186561585"/>
    <n v="141178148"/>
    <n v="327739733"/>
    <n v="60263"/>
    <n v="13275"/>
    <n v="73538"/>
    <b v="1"/>
    <b v="1"/>
    <b v="1"/>
    <b v="1"/>
    <b v="1"/>
    <b v="1"/>
  </r>
  <r>
    <x v="3004"/>
    <n v="185359"/>
    <n v="82477"/>
    <n v="102882"/>
    <n v="183657052"/>
    <n v="133779863"/>
    <n v="317436915"/>
    <n v="59651"/>
    <n v="14023"/>
    <n v="73674"/>
    <b v="1"/>
    <b v="1"/>
    <b v="1"/>
    <b v="1"/>
    <b v="1"/>
    <b v="1"/>
  </r>
  <r>
    <x v="3005"/>
    <n v="161433"/>
    <n v="69222"/>
    <n v="92211"/>
    <n v="157472880"/>
    <n v="98954992"/>
    <n v="256427872"/>
    <n v="52509"/>
    <n v="12566"/>
    <n v="65075"/>
    <b v="1"/>
    <b v="1"/>
    <b v="1"/>
    <b v="1"/>
    <b v="1"/>
    <b v="1"/>
  </r>
  <r>
    <x v="3006"/>
    <n v="175900"/>
    <n v="77264"/>
    <n v="98636"/>
    <n v="163176062"/>
    <n v="126178429"/>
    <n v="289354491"/>
    <n v="59347"/>
    <n v="13312"/>
    <n v="72659"/>
    <b v="1"/>
    <b v="1"/>
    <b v="1"/>
    <b v="1"/>
    <b v="1"/>
    <b v="1"/>
  </r>
  <r>
    <x v="3007"/>
    <n v="186151"/>
    <n v="80133"/>
    <n v="106018"/>
    <n v="186454014"/>
    <n v="137047257"/>
    <n v="323501271"/>
    <n v="61931"/>
    <n v="13870"/>
    <n v="75801"/>
    <b v="1"/>
    <b v="1"/>
    <b v="1"/>
    <b v="1"/>
    <b v="1"/>
    <b v="1"/>
  </r>
  <r>
    <x v="3008"/>
    <n v="184585"/>
    <n v="79804"/>
    <n v="104781"/>
    <n v="178051726"/>
    <n v="130399391"/>
    <n v="308451117"/>
    <n v="60940"/>
    <n v="13686"/>
    <n v="74626"/>
    <b v="1"/>
    <b v="1"/>
    <b v="1"/>
    <b v="1"/>
    <b v="1"/>
    <b v="1"/>
  </r>
  <r>
    <x v="3009"/>
    <n v="156649"/>
    <n v="67691"/>
    <n v="88958"/>
    <n v="144638767"/>
    <n v="102753138"/>
    <n v="247391905"/>
    <n v="49949"/>
    <n v="11251"/>
    <n v="61200"/>
    <b v="1"/>
    <b v="1"/>
    <b v="1"/>
    <b v="1"/>
    <b v="1"/>
    <b v="1"/>
  </r>
  <r>
    <x v="3010"/>
    <n v="160973"/>
    <n v="69267"/>
    <n v="91706"/>
    <n v="158045321"/>
    <n v="103936293"/>
    <n v="261981614"/>
    <n v="54302"/>
    <n v="12068"/>
    <n v="66370"/>
    <b v="1"/>
    <b v="1"/>
    <b v="1"/>
    <b v="1"/>
    <b v="1"/>
    <b v="1"/>
  </r>
  <r>
    <x v="3011"/>
    <n v="178020"/>
    <n v="80181"/>
    <n v="97839"/>
    <n v="173139036"/>
    <n v="118451998"/>
    <n v="291591034"/>
    <n v="56476"/>
    <n v="13552"/>
    <n v="70028"/>
    <b v="1"/>
    <b v="1"/>
    <b v="1"/>
    <b v="1"/>
    <b v="1"/>
    <b v="1"/>
  </r>
  <r>
    <x v="3012"/>
    <n v="174539"/>
    <n v="74824"/>
    <n v="99715"/>
    <n v="170030157"/>
    <n v="98238034"/>
    <n v="268268191"/>
    <n v="57043"/>
    <n v="13264"/>
    <n v="70307"/>
    <b v="1"/>
    <b v="1"/>
    <b v="1"/>
    <b v="1"/>
    <b v="1"/>
    <b v="1"/>
  </r>
  <r>
    <x v="3013"/>
    <n v="190240"/>
    <n v="81646"/>
    <n v="108594"/>
    <n v="184907652"/>
    <n v="120681367"/>
    <n v="305589019"/>
    <n v="65795"/>
    <n v="15147"/>
    <n v="80942"/>
    <b v="1"/>
    <b v="1"/>
    <b v="1"/>
    <b v="1"/>
    <b v="1"/>
    <b v="1"/>
  </r>
  <r>
    <x v="3014"/>
    <n v="186224"/>
    <n v="81480"/>
    <n v="104744"/>
    <n v="177722251"/>
    <n v="120580269"/>
    <n v="298302520"/>
    <n v="65071"/>
    <n v="15281"/>
    <n v="80352"/>
    <b v="1"/>
    <b v="1"/>
    <b v="1"/>
    <b v="1"/>
    <b v="1"/>
    <b v="1"/>
  </r>
  <r>
    <x v="3015"/>
    <n v="188592"/>
    <n v="83120"/>
    <n v="105472"/>
    <n v="186388081"/>
    <n v="134814824"/>
    <n v="321202905"/>
    <n v="67042"/>
    <n v="15357"/>
    <n v="82399"/>
    <b v="1"/>
    <b v="1"/>
    <b v="1"/>
    <b v="1"/>
    <b v="1"/>
    <b v="1"/>
  </r>
  <r>
    <x v="3016"/>
    <n v="180912"/>
    <n v="78932"/>
    <n v="101980"/>
    <n v="181857229"/>
    <n v="128235246"/>
    <n v="310092475"/>
    <n v="62653"/>
    <n v="14414"/>
    <n v="77067"/>
    <b v="1"/>
    <b v="1"/>
    <b v="1"/>
    <b v="1"/>
    <b v="1"/>
    <b v="1"/>
  </r>
  <r>
    <x v="3017"/>
    <n v="186410"/>
    <n v="81548"/>
    <n v="104862"/>
    <n v="178062432"/>
    <n v="113499907"/>
    <n v="291562339"/>
    <n v="62882"/>
    <n v="14102"/>
    <n v="76984"/>
    <b v="1"/>
    <b v="1"/>
    <b v="1"/>
    <b v="1"/>
    <b v="1"/>
    <b v="1"/>
  </r>
  <r>
    <x v="3018"/>
    <n v="176820"/>
    <n v="80220"/>
    <n v="96600"/>
    <n v="165162191"/>
    <n v="106625004"/>
    <n v="271787195"/>
    <n v="58160"/>
    <n v="14219"/>
    <n v="72379"/>
    <b v="1"/>
    <b v="1"/>
    <b v="1"/>
    <b v="1"/>
    <b v="1"/>
    <b v="1"/>
  </r>
  <r>
    <x v="3019"/>
    <n v="155174"/>
    <n v="67114"/>
    <n v="88060"/>
    <n v="143053922"/>
    <n v="82866094"/>
    <n v="225920016"/>
    <n v="53098"/>
    <n v="12152"/>
    <n v="65250"/>
    <b v="1"/>
    <b v="1"/>
    <b v="1"/>
    <b v="1"/>
    <b v="1"/>
    <b v="1"/>
  </r>
  <r>
    <x v="3020"/>
    <n v="190607"/>
    <n v="82764"/>
    <n v="107843"/>
    <n v="175974204"/>
    <n v="116094239"/>
    <n v="292068443"/>
    <n v="67535"/>
    <n v="14724"/>
    <n v="82259"/>
    <b v="1"/>
    <b v="1"/>
    <b v="1"/>
    <b v="1"/>
    <b v="1"/>
    <b v="1"/>
  </r>
  <r>
    <x v="3021"/>
    <n v="192335"/>
    <n v="83170"/>
    <n v="109165"/>
    <n v="177445651"/>
    <n v="128026314"/>
    <n v="305471965"/>
    <n v="66213"/>
    <n v="14407"/>
    <n v="80620"/>
    <b v="1"/>
    <b v="1"/>
    <b v="1"/>
    <b v="1"/>
    <b v="1"/>
    <b v="1"/>
  </r>
  <r>
    <x v="3022"/>
    <n v="196838"/>
    <n v="86341"/>
    <n v="110497"/>
    <n v="178433114"/>
    <n v="131327311"/>
    <n v="309760425"/>
    <n v="66722"/>
    <n v="14749"/>
    <n v="81471"/>
    <b v="1"/>
    <b v="1"/>
    <b v="1"/>
    <b v="1"/>
    <b v="1"/>
    <b v="1"/>
  </r>
  <r>
    <x v="3023"/>
    <n v="189692"/>
    <n v="82184"/>
    <n v="107508"/>
    <n v="174942049"/>
    <n v="124469678"/>
    <n v="299411727"/>
    <n v="64890"/>
    <n v="14337"/>
    <n v="79227"/>
    <b v="1"/>
    <b v="1"/>
    <b v="1"/>
    <b v="1"/>
    <b v="1"/>
    <b v="1"/>
  </r>
  <r>
    <x v="3024"/>
    <n v="160959"/>
    <n v="69538"/>
    <n v="91421"/>
    <n v="143048208"/>
    <n v="95243798"/>
    <n v="238292006"/>
    <n v="56810"/>
    <n v="12792"/>
    <n v="69602"/>
    <b v="1"/>
    <b v="1"/>
    <b v="1"/>
    <b v="1"/>
    <b v="1"/>
    <b v="1"/>
  </r>
  <r>
    <x v="3025"/>
    <n v="172995"/>
    <n v="72200"/>
    <n v="100795"/>
    <n v="168859751"/>
    <n v="103989909"/>
    <n v="272849660"/>
    <n v="59451"/>
    <n v="13682"/>
    <n v="73133"/>
    <b v="1"/>
    <b v="1"/>
    <b v="1"/>
    <b v="1"/>
    <b v="1"/>
    <b v="1"/>
  </r>
  <r>
    <x v="3026"/>
    <n v="141787"/>
    <n v="61618"/>
    <n v="80169"/>
    <n v="125180246"/>
    <n v="77603150"/>
    <n v="202783396"/>
    <n v="49363"/>
    <n v="11027"/>
    <n v="60390"/>
    <b v="1"/>
    <b v="1"/>
    <b v="1"/>
    <b v="1"/>
    <b v="1"/>
    <b v="1"/>
  </r>
  <r>
    <x v="3027"/>
    <n v="178510"/>
    <n v="76446"/>
    <n v="102064"/>
    <n v="173243208"/>
    <n v="111716770"/>
    <n v="284959978"/>
    <n v="60651"/>
    <n v="13040"/>
    <n v="73691"/>
    <b v="1"/>
    <b v="1"/>
    <b v="1"/>
    <b v="1"/>
    <b v="1"/>
    <b v="1"/>
  </r>
  <r>
    <x v="3028"/>
    <n v="182154"/>
    <n v="76913"/>
    <n v="105241"/>
    <n v="177613132"/>
    <n v="123071280"/>
    <n v="300684412"/>
    <n v="63400"/>
    <n v="13396"/>
    <n v="76796"/>
    <b v="1"/>
    <b v="1"/>
    <b v="1"/>
    <b v="1"/>
    <b v="1"/>
    <b v="1"/>
  </r>
  <r>
    <x v="3029"/>
    <n v="184992"/>
    <n v="79011"/>
    <n v="105981"/>
    <n v="178786053"/>
    <n v="125388455"/>
    <n v="304174508"/>
    <n v="65593"/>
    <n v="14221"/>
    <n v="79814"/>
    <b v="1"/>
    <b v="1"/>
    <b v="1"/>
    <b v="1"/>
    <b v="1"/>
    <b v="1"/>
  </r>
  <r>
    <x v="3030"/>
    <n v="181255"/>
    <n v="76090"/>
    <n v="105165"/>
    <n v="176393966"/>
    <n v="117046004"/>
    <n v="293439970"/>
    <n v="63298"/>
    <n v="13691"/>
    <n v="76989"/>
    <b v="1"/>
    <b v="1"/>
    <b v="1"/>
    <b v="1"/>
    <b v="1"/>
    <b v="1"/>
  </r>
  <r>
    <x v="3031"/>
    <n v="173154"/>
    <n v="72510"/>
    <n v="100644"/>
    <n v="166270963"/>
    <n v="102807576"/>
    <n v="269078539"/>
    <n v="60263"/>
    <n v="12870"/>
    <n v="73133"/>
    <b v="1"/>
    <b v="1"/>
    <b v="1"/>
    <b v="1"/>
    <b v="1"/>
    <b v="1"/>
  </r>
  <r>
    <x v="3032"/>
    <n v="146703"/>
    <n v="59073"/>
    <n v="87630"/>
    <n v="142474987"/>
    <n v="75043090"/>
    <n v="217518077"/>
    <n v="51857"/>
    <n v="10848"/>
    <n v="62705"/>
    <b v="1"/>
    <b v="1"/>
    <b v="1"/>
    <b v="1"/>
    <b v="1"/>
    <b v="1"/>
  </r>
  <r>
    <x v="3033"/>
    <n v="151040"/>
    <n v="62140"/>
    <n v="88900"/>
    <n v="144331927"/>
    <n v="73124155"/>
    <n v="217456082"/>
    <n v="54212"/>
    <n v="11161"/>
    <n v="65373"/>
    <b v="1"/>
    <b v="1"/>
    <b v="1"/>
    <b v="1"/>
    <b v="1"/>
    <b v="1"/>
  </r>
  <r>
    <x v="3034"/>
    <n v="179095"/>
    <n v="74933"/>
    <n v="104162"/>
    <n v="172657559"/>
    <n v="109512299"/>
    <n v="282169858"/>
    <n v="65332"/>
    <n v="13546"/>
    <n v="78878"/>
    <b v="1"/>
    <b v="1"/>
    <b v="1"/>
    <b v="1"/>
    <b v="1"/>
    <b v="1"/>
  </r>
  <r>
    <x v="3035"/>
    <n v="183206"/>
    <n v="77271"/>
    <n v="105935"/>
    <n v="187070736"/>
    <n v="128383040"/>
    <n v="315453776"/>
    <n v="66361"/>
    <n v="13287"/>
    <n v="79648"/>
    <b v="1"/>
    <b v="1"/>
    <b v="1"/>
    <b v="1"/>
    <b v="1"/>
    <b v="1"/>
  </r>
  <r>
    <x v="3036"/>
    <n v="177823"/>
    <n v="78027"/>
    <n v="99796"/>
    <n v="169848798"/>
    <n v="124318920"/>
    <n v="294167718"/>
    <n v="61868"/>
    <n v="12825"/>
    <n v="74693"/>
    <b v="1"/>
    <b v="1"/>
    <b v="1"/>
    <b v="1"/>
    <b v="1"/>
    <b v="1"/>
  </r>
  <r>
    <x v="3037"/>
    <n v="170136"/>
    <n v="73100"/>
    <n v="97036"/>
    <n v="171672867"/>
    <n v="117414564"/>
    <n v="289087431"/>
    <n v="60947"/>
    <n v="12398"/>
    <n v="73345"/>
    <b v="1"/>
    <b v="1"/>
    <b v="1"/>
    <b v="1"/>
    <b v="1"/>
    <b v="1"/>
  </r>
  <r>
    <x v="3038"/>
    <n v="164908"/>
    <n v="69797"/>
    <n v="95111"/>
    <n v="166163385"/>
    <n v="105407393"/>
    <n v="271570778"/>
    <n v="61455"/>
    <n v="12766"/>
    <n v="74221"/>
    <b v="1"/>
    <b v="1"/>
    <b v="1"/>
    <b v="1"/>
    <b v="1"/>
    <b v="1"/>
  </r>
  <r>
    <x v="3039"/>
    <n v="165254"/>
    <n v="71714"/>
    <n v="93540"/>
    <n v="163534998"/>
    <n v="99373635"/>
    <n v="262908633"/>
    <n v="59049"/>
    <n v="12644"/>
    <n v="71693"/>
    <b v="1"/>
    <b v="1"/>
    <b v="1"/>
    <b v="1"/>
    <b v="1"/>
    <b v="1"/>
  </r>
  <r>
    <x v="3040"/>
    <n v="138743"/>
    <n v="58674"/>
    <n v="80069"/>
    <n v="141142177"/>
    <n v="75136139"/>
    <n v="216278316"/>
    <n v="51996"/>
    <n v="11112"/>
    <n v="63108"/>
    <b v="1"/>
    <b v="1"/>
    <b v="1"/>
    <b v="1"/>
    <b v="1"/>
    <b v="1"/>
  </r>
  <r>
    <x v="3041"/>
    <n v="153168"/>
    <n v="70947"/>
    <n v="82221"/>
    <n v="139565465"/>
    <n v="91518730"/>
    <n v="231084195"/>
    <n v="54440"/>
    <n v="11243"/>
    <n v="65683"/>
    <b v="1"/>
    <b v="1"/>
    <b v="1"/>
    <b v="1"/>
    <b v="1"/>
    <b v="1"/>
  </r>
  <r>
    <x v="3042"/>
    <n v="167294"/>
    <n v="75129"/>
    <n v="92165"/>
    <n v="167694375"/>
    <n v="120837293"/>
    <n v="288531668"/>
    <n v="58769"/>
    <n v="11931"/>
    <n v="70700"/>
    <b v="1"/>
    <b v="1"/>
    <b v="1"/>
    <b v="1"/>
    <b v="1"/>
    <b v="1"/>
  </r>
  <r>
    <x v="3043"/>
    <n v="151353"/>
    <n v="71389"/>
    <n v="79964"/>
    <n v="138822928"/>
    <n v="117884467"/>
    <n v="256707395"/>
    <n v="49328"/>
    <n v="10209"/>
    <n v="59537"/>
    <b v="1"/>
    <b v="1"/>
    <b v="1"/>
    <b v="1"/>
    <b v="1"/>
    <b v="1"/>
  </r>
  <r>
    <x v="3044"/>
    <n v="160271"/>
    <n v="73926"/>
    <n v="86345"/>
    <n v="156492737"/>
    <n v="123850726"/>
    <n v="280343463"/>
    <n v="55325"/>
    <n v="11431"/>
    <n v="66756"/>
    <b v="1"/>
    <b v="1"/>
    <b v="1"/>
    <b v="1"/>
    <b v="1"/>
    <b v="1"/>
  </r>
  <r>
    <x v="3045"/>
    <n v="164390"/>
    <n v="73828"/>
    <n v="90562"/>
    <n v="158433461"/>
    <n v="118592422"/>
    <n v="277025883"/>
    <n v="60785"/>
    <n v="12285"/>
    <n v="73070"/>
    <b v="1"/>
    <b v="1"/>
    <b v="1"/>
    <b v="1"/>
    <b v="1"/>
    <b v="1"/>
  </r>
  <r>
    <x v="3046"/>
    <n v="172256"/>
    <n v="77431"/>
    <n v="94825"/>
    <n v="165878617"/>
    <n v="122075457"/>
    <n v="287954074"/>
    <n v="61824"/>
    <n v="13324"/>
    <n v="75148"/>
    <b v="1"/>
    <b v="1"/>
    <b v="1"/>
    <b v="1"/>
    <b v="1"/>
    <b v="1"/>
  </r>
  <r>
    <x v="3047"/>
    <n v="129243"/>
    <n v="56355"/>
    <n v="72888"/>
    <n v="121539629"/>
    <n v="77170384"/>
    <n v="198710013"/>
    <n v="47920"/>
    <n v="10375"/>
    <n v="58295"/>
    <b v="1"/>
    <b v="1"/>
    <b v="1"/>
    <b v="1"/>
    <b v="1"/>
    <b v="1"/>
  </r>
  <r>
    <x v="3048"/>
    <n v="176968"/>
    <n v="76133"/>
    <n v="100835"/>
    <n v="170543351"/>
    <n v="117694951"/>
    <n v="288238302"/>
    <n v="63527"/>
    <n v="12709"/>
    <n v="76236"/>
    <b v="1"/>
    <b v="1"/>
    <b v="1"/>
    <b v="1"/>
    <b v="1"/>
    <b v="1"/>
  </r>
  <r>
    <x v="3049"/>
    <n v="170073"/>
    <n v="75588"/>
    <n v="94485"/>
    <n v="165416978"/>
    <n v="118496279"/>
    <n v="283913257"/>
    <n v="58782"/>
    <n v="12098"/>
    <n v="70880"/>
    <b v="1"/>
    <b v="1"/>
    <b v="1"/>
    <b v="1"/>
    <b v="1"/>
    <b v="1"/>
  </r>
  <r>
    <x v="3050"/>
    <n v="169987"/>
    <n v="76079"/>
    <n v="93908"/>
    <n v="161293534"/>
    <n v="120608761"/>
    <n v="281902295"/>
    <n v="56132"/>
    <n v="12141"/>
    <n v="68273"/>
    <b v="1"/>
    <b v="1"/>
    <b v="1"/>
    <b v="1"/>
    <b v="1"/>
    <b v="1"/>
  </r>
  <r>
    <x v="3051"/>
    <n v="164582"/>
    <n v="72525"/>
    <n v="92057"/>
    <n v="151103205"/>
    <n v="111627165"/>
    <n v="262730370"/>
    <n v="55108"/>
    <n v="11253"/>
    <n v="66361"/>
    <b v="1"/>
    <b v="1"/>
    <b v="1"/>
    <b v="1"/>
    <b v="1"/>
    <b v="1"/>
  </r>
  <r>
    <x v="3052"/>
    <n v="178770"/>
    <n v="76548"/>
    <n v="102222"/>
    <n v="170229368"/>
    <n v="120904206"/>
    <n v="291133574"/>
    <n v="62400"/>
    <n v="12877"/>
    <n v="75277"/>
    <b v="1"/>
    <b v="1"/>
    <b v="1"/>
    <b v="1"/>
    <b v="1"/>
    <b v="1"/>
  </r>
  <r>
    <x v="3053"/>
    <n v="162041"/>
    <n v="75869"/>
    <n v="86172"/>
    <n v="149382199"/>
    <n v="115379530"/>
    <n v="264761729"/>
    <n v="47674"/>
    <n v="11535"/>
    <n v="59209"/>
    <b v="1"/>
    <b v="1"/>
    <b v="1"/>
    <b v="1"/>
    <b v="1"/>
    <b v="1"/>
  </r>
  <r>
    <x v="3054"/>
    <n v="152371"/>
    <n v="63445"/>
    <n v="88926"/>
    <n v="142106773"/>
    <n v="87118814"/>
    <n v="229225587"/>
    <n v="54229"/>
    <n v="11551"/>
    <n v="65780"/>
    <b v="1"/>
    <b v="1"/>
    <b v="1"/>
    <b v="1"/>
    <b v="1"/>
    <b v="1"/>
  </r>
  <r>
    <x v="3055"/>
    <n v="178158"/>
    <n v="75795"/>
    <n v="102363"/>
    <n v="175724315"/>
    <n v="111492830"/>
    <n v="287217145"/>
    <n v="64568"/>
    <n v="13779"/>
    <n v="78347"/>
    <b v="1"/>
    <b v="1"/>
    <b v="1"/>
    <b v="1"/>
    <b v="1"/>
    <b v="1"/>
  </r>
  <r>
    <x v="3056"/>
    <n v="182786"/>
    <n v="77428"/>
    <n v="105358"/>
    <n v="174445622"/>
    <n v="123325497"/>
    <n v="297771119"/>
    <n v="64098"/>
    <n v="12860"/>
    <n v="76958"/>
    <b v="1"/>
    <b v="1"/>
    <b v="1"/>
    <b v="1"/>
    <b v="1"/>
    <b v="1"/>
  </r>
  <r>
    <x v="3057"/>
    <n v="187855"/>
    <n v="80245"/>
    <n v="107610"/>
    <n v="181134106"/>
    <n v="134614587"/>
    <n v="315748693"/>
    <n v="65050"/>
    <n v="14004"/>
    <n v="79054"/>
    <b v="1"/>
    <b v="1"/>
    <b v="1"/>
    <b v="1"/>
    <b v="1"/>
    <b v="1"/>
  </r>
  <r>
    <x v="3058"/>
    <n v="198645"/>
    <n v="82764"/>
    <n v="115881"/>
    <n v="192025165"/>
    <n v="133539273"/>
    <n v="325564438"/>
    <n v="70732"/>
    <n v="15250"/>
    <n v="85982"/>
    <b v="1"/>
    <b v="1"/>
    <b v="1"/>
    <b v="1"/>
    <b v="1"/>
    <b v="1"/>
  </r>
  <r>
    <x v="3059"/>
    <n v="194146"/>
    <n v="80360"/>
    <n v="113786"/>
    <n v="194934351"/>
    <n v="129321559"/>
    <n v="324255910"/>
    <n v="71202"/>
    <n v="14360"/>
    <n v="85562"/>
    <b v="1"/>
    <b v="1"/>
    <b v="1"/>
    <b v="1"/>
    <b v="1"/>
    <b v="1"/>
  </r>
  <r>
    <x v="3060"/>
    <n v="188824"/>
    <n v="80150"/>
    <n v="108674"/>
    <n v="178791563"/>
    <n v="116464372"/>
    <n v="295255935"/>
    <n v="68639"/>
    <n v="14569"/>
    <n v="83208"/>
    <b v="1"/>
    <b v="1"/>
    <b v="1"/>
    <b v="1"/>
    <b v="1"/>
    <b v="1"/>
  </r>
  <r>
    <x v="3061"/>
    <n v="168373"/>
    <n v="67151"/>
    <n v="101222"/>
    <n v="165123883"/>
    <n v="88176641"/>
    <n v="253300524"/>
    <n v="64707"/>
    <n v="13555"/>
    <n v="78262"/>
    <b v="1"/>
    <b v="1"/>
    <b v="1"/>
    <b v="1"/>
    <b v="1"/>
    <b v="1"/>
  </r>
  <r>
    <x v="3062"/>
    <n v="194499"/>
    <n v="78435"/>
    <n v="116064"/>
    <n v="184665279"/>
    <n v="107922665"/>
    <n v="292587944"/>
    <n v="74331"/>
    <n v="14711"/>
    <n v="89042"/>
    <b v="1"/>
    <b v="1"/>
    <b v="1"/>
    <b v="1"/>
    <b v="1"/>
    <b v="1"/>
  </r>
  <r>
    <x v="3063"/>
    <n v="191263"/>
    <n v="78550"/>
    <n v="112713"/>
    <n v="197996506"/>
    <n v="125872258"/>
    <n v="323868764"/>
    <n v="73801"/>
    <n v="14526"/>
    <n v="88327"/>
    <b v="1"/>
    <b v="1"/>
    <b v="1"/>
    <b v="1"/>
    <b v="1"/>
    <b v="1"/>
  </r>
  <r>
    <x v="3064"/>
    <n v="201687"/>
    <n v="83182"/>
    <n v="118505"/>
    <n v="202653715"/>
    <n v="136022240"/>
    <n v="338675955"/>
    <n v="77696"/>
    <n v="15427"/>
    <n v="93123"/>
    <b v="1"/>
    <b v="1"/>
    <b v="1"/>
    <b v="1"/>
    <b v="1"/>
    <b v="1"/>
  </r>
  <r>
    <x v="3065"/>
    <n v="196641"/>
    <n v="81383"/>
    <n v="115258"/>
    <n v="199917710"/>
    <n v="125463876"/>
    <n v="325381586"/>
    <n v="75367"/>
    <n v="15138"/>
    <n v="90505"/>
    <b v="1"/>
    <b v="1"/>
    <b v="1"/>
    <b v="1"/>
    <b v="1"/>
    <b v="1"/>
  </r>
  <r>
    <x v="3066"/>
    <n v="198245"/>
    <n v="83054"/>
    <n v="115191"/>
    <n v="202901153"/>
    <n v="125478062"/>
    <n v="328379215"/>
    <n v="75818"/>
    <n v="15750"/>
    <n v="91568"/>
    <b v="1"/>
    <b v="1"/>
    <b v="1"/>
    <b v="1"/>
    <b v="1"/>
    <b v="1"/>
  </r>
  <r>
    <x v="3067"/>
    <n v="187116"/>
    <n v="79737"/>
    <n v="107379"/>
    <n v="179788279"/>
    <n v="118305880"/>
    <n v="298094159"/>
    <n v="66629"/>
    <n v="14729"/>
    <n v="81358"/>
    <b v="1"/>
    <b v="1"/>
    <b v="1"/>
    <b v="1"/>
    <b v="1"/>
    <b v="1"/>
  </r>
  <r>
    <x v="3068"/>
    <n v="168768"/>
    <n v="67492"/>
    <n v="101276"/>
    <n v="165368609"/>
    <n v="82501336"/>
    <n v="247869945"/>
    <n v="63111"/>
    <n v="12988"/>
    <n v="76099"/>
    <b v="1"/>
    <b v="1"/>
    <b v="1"/>
    <b v="1"/>
    <b v="1"/>
    <b v="1"/>
  </r>
  <r>
    <x v="3069"/>
    <n v="191428"/>
    <n v="78245"/>
    <n v="113183"/>
    <n v="189903044"/>
    <n v="109393081"/>
    <n v="299296125"/>
    <n v="71480"/>
    <n v="14498"/>
    <n v="85978"/>
    <b v="1"/>
    <b v="1"/>
    <b v="1"/>
    <b v="1"/>
    <b v="1"/>
    <b v="1"/>
  </r>
  <r>
    <x v="3070"/>
    <n v="189145"/>
    <n v="77102"/>
    <n v="112043"/>
    <n v="190906781"/>
    <n v="113125971"/>
    <n v="304032752"/>
    <n v="68908"/>
    <n v="14021"/>
    <n v="82929"/>
    <b v="1"/>
    <b v="1"/>
    <b v="1"/>
    <b v="1"/>
    <b v="1"/>
    <b v="1"/>
  </r>
  <r>
    <x v="3071"/>
    <n v="174482"/>
    <n v="71701"/>
    <n v="102781"/>
    <n v="176732919"/>
    <n v="156402926"/>
    <n v="333135845"/>
    <n v="65646"/>
    <n v="13096"/>
    <n v="78742"/>
    <b v="1"/>
    <b v="1"/>
    <b v="1"/>
    <b v="1"/>
    <b v="1"/>
    <b v="1"/>
  </r>
  <r>
    <x v="3072"/>
    <n v="190425"/>
    <n v="82405"/>
    <n v="108020"/>
    <n v="175415388"/>
    <n v="130745873"/>
    <n v="306161261"/>
    <n v="69676"/>
    <n v="14076"/>
    <n v="83752"/>
    <b v="1"/>
    <b v="1"/>
    <b v="1"/>
    <b v="1"/>
    <b v="1"/>
    <b v="1"/>
  </r>
  <r>
    <x v="3073"/>
    <n v="196321"/>
    <n v="84610"/>
    <n v="111711"/>
    <n v="184467651"/>
    <n v="133589502"/>
    <n v="318057153"/>
    <n v="71784"/>
    <n v="14994"/>
    <n v="86778"/>
    <b v="1"/>
    <b v="1"/>
    <b v="1"/>
    <b v="1"/>
    <b v="1"/>
    <b v="1"/>
  </r>
  <r>
    <x v="3074"/>
    <n v="194375"/>
    <n v="85826"/>
    <n v="108549"/>
    <n v="187983986"/>
    <n v="129416077"/>
    <n v="317400063"/>
    <n v="68810"/>
    <n v="15556"/>
    <n v="84366"/>
    <b v="1"/>
    <b v="1"/>
    <b v="1"/>
    <b v="1"/>
    <b v="1"/>
    <b v="1"/>
  </r>
  <r>
    <x v="3075"/>
    <n v="158430"/>
    <n v="64382"/>
    <n v="94048"/>
    <n v="149164022"/>
    <n v="89336369"/>
    <n v="238500391"/>
    <n v="60355"/>
    <n v="13093"/>
    <n v="73448"/>
    <b v="1"/>
    <b v="1"/>
    <b v="1"/>
    <b v="1"/>
    <b v="1"/>
    <b v="1"/>
  </r>
  <r>
    <x v="3076"/>
    <n v="203998"/>
    <n v="86887"/>
    <n v="117111"/>
    <n v="192226864"/>
    <n v="124401840"/>
    <n v="316628704"/>
    <n v="73349"/>
    <n v="14901"/>
    <n v="88250"/>
    <b v="1"/>
    <b v="1"/>
    <b v="1"/>
    <b v="1"/>
    <b v="1"/>
    <b v="1"/>
  </r>
  <r>
    <x v="3077"/>
    <n v="220802"/>
    <n v="96404"/>
    <n v="124398"/>
    <n v="203211323"/>
    <n v="144311213"/>
    <n v="347522536"/>
    <n v="73762"/>
    <n v="14915"/>
    <n v="88677"/>
    <b v="1"/>
    <b v="1"/>
    <b v="1"/>
    <b v="1"/>
    <b v="1"/>
    <b v="1"/>
  </r>
  <r>
    <x v="3078"/>
    <n v="209708"/>
    <n v="90686"/>
    <n v="119022"/>
    <n v="197912514"/>
    <n v="137267112"/>
    <n v="335179626"/>
    <n v="72058"/>
    <n v="14897"/>
    <n v="86955"/>
    <b v="1"/>
    <b v="1"/>
    <b v="1"/>
    <b v="1"/>
    <b v="1"/>
    <b v="1"/>
  </r>
  <r>
    <x v="3079"/>
    <n v="208818"/>
    <n v="92004"/>
    <n v="116814"/>
    <n v="188914615"/>
    <n v="137433429"/>
    <n v="326348044"/>
    <n v="67558"/>
    <n v="14546"/>
    <n v="82104"/>
    <b v="1"/>
    <b v="1"/>
    <b v="1"/>
    <b v="1"/>
    <b v="1"/>
    <b v="1"/>
  </r>
  <r>
    <x v="3080"/>
    <n v="203190"/>
    <n v="88817"/>
    <n v="114373"/>
    <n v="193195804"/>
    <n v="139619909"/>
    <n v="332815713"/>
    <n v="66981"/>
    <n v="14177"/>
    <n v="81158"/>
    <b v="1"/>
    <b v="1"/>
    <b v="1"/>
    <b v="1"/>
    <b v="1"/>
    <b v="1"/>
  </r>
  <r>
    <x v="3081"/>
    <n v="198645"/>
    <n v="86056"/>
    <n v="112589"/>
    <n v="174291320"/>
    <n v="122865600"/>
    <n v="297156920"/>
    <n v="63946"/>
    <n v="13864"/>
    <n v="77810"/>
    <b v="1"/>
    <b v="1"/>
    <b v="1"/>
    <b v="1"/>
    <b v="1"/>
    <b v="1"/>
  </r>
  <r>
    <x v="3082"/>
    <n v="184869"/>
    <n v="76604"/>
    <n v="108265"/>
    <n v="160966726"/>
    <n v="90700764"/>
    <n v="251667490"/>
    <n v="58480"/>
    <n v="12118"/>
    <n v="70598"/>
    <b v="1"/>
    <b v="1"/>
    <b v="1"/>
    <b v="1"/>
    <b v="1"/>
    <b v="1"/>
  </r>
  <r>
    <x v="3083"/>
    <n v="201501"/>
    <n v="85164"/>
    <n v="116337"/>
    <n v="186514576"/>
    <n v="116777431"/>
    <n v="303292007"/>
    <n v="66002"/>
    <n v="13684"/>
    <n v="79686"/>
    <b v="1"/>
    <b v="1"/>
    <b v="1"/>
    <b v="1"/>
    <b v="1"/>
    <b v="1"/>
  </r>
  <r>
    <x v="3084"/>
    <n v="208527"/>
    <n v="87320"/>
    <n v="121207"/>
    <n v="192171978"/>
    <n v="131748372"/>
    <n v="323920350"/>
    <n v="66711"/>
    <n v="13499"/>
    <n v="80210"/>
    <b v="1"/>
    <b v="1"/>
    <b v="1"/>
    <b v="1"/>
    <b v="1"/>
    <b v="1"/>
  </r>
  <r>
    <x v="3085"/>
    <n v="216744"/>
    <n v="90548"/>
    <n v="126196"/>
    <n v="208808491"/>
    <n v="138204847"/>
    <n v="347013338"/>
    <n v="72425"/>
    <n v="14266"/>
    <n v="86691"/>
    <b v="1"/>
    <b v="1"/>
    <b v="1"/>
    <b v="1"/>
    <b v="1"/>
    <b v="1"/>
  </r>
  <r>
    <x v="3086"/>
    <n v="225412"/>
    <n v="94244"/>
    <n v="131168"/>
    <n v="208877005"/>
    <n v="134284572"/>
    <n v="343161577"/>
    <n v="74310"/>
    <n v="15264"/>
    <n v="89574"/>
    <b v="1"/>
    <b v="1"/>
    <b v="1"/>
    <b v="1"/>
    <b v="1"/>
    <b v="1"/>
  </r>
  <r>
    <x v="3087"/>
    <n v="227177"/>
    <n v="93361"/>
    <n v="133816"/>
    <n v="217046007"/>
    <n v="133078110"/>
    <n v="350124117"/>
    <n v="74778"/>
    <n v="15127"/>
    <n v="89905"/>
    <b v="1"/>
    <b v="1"/>
    <b v="1"/>
    <b v="1"/>
    <b v="1"/>
    <b v="1"/>
  </r>
  <r>
    <x v="3088"/>
    <n v="229877"/>
    <n v="96645"/>
    <n v="133232"/>
    <n v="212634473"/>
    <n v="128075086"/>
    <n v="340709559"/>
    <n v="74662"/>
    <n v="15859"/>
    <n v="90521"/>
    <b v="1"/>
    <b v="1"/>
    <b v="1"/>
    <b v="1"/>
    <b v="1"/>
    <b v="1"/>
  </r>
  <r>
    <x v="3089"/>
    <n v="201864"/>
    <n v="80915"/>
    <n v="120949"/>
    <n v="187199260"/>
    <n v="91013986"/>
    <n v="278213246"/>
    <n v="68735"/>
    <n v="13887"/>
    <n v="82622"/>
    <b v="1"/>
    <b v="1"/>
    <b v="1"/>
    <b v="1"/>
    <b v="1"/>
    <b v="1"/>
  </r>
  <r>
    <x v="3090"/>
    <n v="214759"/>
    <n v="87727"/>
    <n v="127032"/>
    <n v="204505471"/>
    <n v="111369821"/>
    <n v="315875292"/>
    <n v="76970"/>
    <n v="15263"/>
    <n v="92233"/>
    <b v="1"/>
    <b v="1"/>
    <b v="1"/>
    <b v="1"/>
    <b v="1"/>
    <b v="1"/>
  </r>
  <r>
    <x v="3091"/>
    <n v="210870"/>
    <n v="86323"/>
    <n v="124547"/>
    <n v="200001892"/>
    <n v="114960314"/>
    <n v="314962206"/>
    <n v="70489"/>
    <n v="14518"/>
    <n v="85007"/>
    <b v="1"/>
    <b v="1"/>
    <b v="1"/>
    <b v="1"/>
    <b v="1"/>
    <b v="1"/>
  </r>
  <r>
    <x v="3092"/>
    <n v="228997"/>
    <n v="93927"/>
    <n v="135070"/>
    <n v="219752767"/>
    <n v="122643545"/>
    <n v="342396312"/>
    <n v="78433"/>
    <n v="15910"/>
    <n v="94343"/>
    <b v="1"/>
    <b v="1"/>
    <b v="1"/>
    <b v="1"/>
    <b v="1"/>
    <b v="1"/>
  </r>
  <r>
    <x v="3093"/>
    <n v="230114"/>
    <n v="93964"/>
    <n v="136150"/>
    <n v="231595924"/>
    <n v="123987795"/>
    <n v="355583719"/>
    <n v="77511"/>
    <n v="15207"/>
    <n v="92718"/>
    <b v="1"/>
    <b v="1"/>
    <b v="1"/>
    <b v="1"/>
    <b v="1"/>
    <b v="1"/>
  </r>
  <r>
    <x v="3094"/>
    <n v="218061"/>
    <n v="89872"/>
    <n v="128189"/>
    <n v="214252430"/>
    <n v="121447002"/>
    <n v="335699432"/>
    <n v="71847"/>
    <n v="14609"/>
    <n v="86456"/>
    <b v="1"/>
    <b v="1"/>
    <b v="1"/>
    <b v="1"/>
    <b v="1"/>
    <b v="1"/>
  </r>
  <r>
    <x v="3095"/>
    <n v="233889"/>
    <n v="96010"/>
    <n v="137879"/>
    <n v="224719156"/>
    <n v="119213306"/>
    <n v="343932462"/>
    <n v="76453"/>
    <n v="15678"/>
    <n v="92131"/>
    <b v="1"/>
    <b v="1"/>
    <b v="1"/>
    <b v="1"/>
    <b v="1"/>
    <b v="1"/>
  </r>
  <r>
    <x v="3096"/>
    <n v="188909"/>
    <n v="76283"/>
    <n v="112626"/>
    <n v="164537674"/>
    <n v="81469633"/>
    <n v="246007307"/>
    <n v="56440"/>
    <n v="11426"/>
    <n v="67866"/>
    <b v="1"/>
    <b v="1"/>
    <b v="1"/>
    <b v="1"/>
    <b v="1"/>
    <b v="1"/>
  </r>
  <r>
    <x v="3097"/>
    <n v="215137"/>
    <n v="88013"/>
    <n v="127124"/>
    <n v="195601714"/>
    <n v="106277850"/>
    <n v="301879564"/>
    <n v="71245"/>
    <n v="14335"/>
    <n v="85580"/>
    <b v="1"/>
    <b v="1"/>
    <b v="1"/>
    <b v="1"/>
    <b v="1"/>
    <b v="1"/>
  </r>
  <r>
    <x v="3098"/>
    <n v="212205"/>
    <n v="85385"/>
    <n v="126820"/>
    <n v="201874144"/>
    <n v="114158536"/>
    <n v="316032680"/>
    <n v="69801"/>
    <n v="14340"/>
    <n v="84141"/>
    <b v="1"/>
    <b v="1"/>
    <b v="1"/>
    <b v="1"/>
    <b v="1"/>
    <b v="1"/>
  </r>
  <r>
    <x v="3099"/>
    <n v="221638"/>
    <n v="88498"/>
    <n v="133140"/>
    <n v="213380463"/>
    <n v="108740425"/>
    <n v="322120888"/>
    <n v="73131"/>
    <n v="14935"/>
    <n v="88066"/>
    <b v="1"/>
    <b v="1"/>
    <b v="1"/>
    <b v="1"/>
    <b v="1"/>
    <b v="1"/>
  </r>
  <r>
    <x v="3100"/>
    <n v="197541"/>
    <n v="75854"/>
    <n v="121687"/>
    <n v="180788550"/>
    <n v="82949528"/>
    <n v="263738078"/>
    <n v="60591"/>
    <n v="11605"/>
    <n v="72196"/>
    <b v="1"/>
    <b v="1"/>
    <b v="1"/>
    <b v="1"/>
    <b v="1"/>
    <b v="1"/>
  </r>
  <r>
    <x v="3101"/>
    <n v="217958"/>
    <n v="84316"/>
    <n v="133642"/>
    <n v="205834536"/>
    <n v="91050354"/>
    <n v="296884890"/>
    <n v="71983"/>
    <n v="13816"/>
    <n v="85799"/>
    <b v="1"/>
    <b v="1"/>
    <b v="1"/>
    <b v="1"/>
    <b v="1"/>
    <b v="1"/>
  </r>
  <r>
    <x v="3102"/>
    <n v="226065"/>
    <n v="93511"/>
    <n v="132554"/>
    <n v="194145142"/>
    <n v="111296127"/>
    <n v="305441269"/>
    <n v="68438"/>
    <n v="14062"/>
    <n v="82500"/>
    <b v="1"/>
    <b v="1"/>
    <b v="1"/>
    <b v="1"/>
    <b v="1"/>
    <b v="1"/>
  </r>
  <r>
    <x v="3103"/>
    <n v="214099"/>
    <n v="86756"/>
    <n v="127343"/>
    <n v="181282013"/>
    <n v="98724767"/>
    <n v="280006780"/>
    <n v="65097"/>
    <n v="12974"/>
    <n v="78071"/>
    <b v="1"/>
    <b v="1"/>
    <b v="1"/>
    <b v="1"/>
    <b v="1"/>
    <b v="1"/>
  </r>
  <r>
    <x v="3104"/>
    <n v="212541"/>
    <n v="86624"/>
    <n v="125917"/>
    <n v="197526777"/>
    <n v="117042580"/>
    <n v="314569357"/>
    <n v="68007"/>
    <n v="13558"/>
    <n v="81565"/>
    <b v="1"/>
    <b v="1"/>
    <b v="1"/>
    <b v="1"/>
    <b v="1"/>
    <b v="1"/>
  </r>
  <r>
    <x v="3105"/>
    <n v="200159"/>
    <n v="79854"/>
    <n v="120305"/>
    <n v="199721452"/>
    <n v="126350917"/>
    <n v="326072369"/>
    <n v="65457"/>
    <n v="13319"/>
    <n v="78776"/>
    <b v="1"/>
    <b v="1"/>
    <b v="1"/>
    <b v="1"/>
    <b v="1"/>
    <b v="1"/>
  </r>
  <r>
    <x v="3106"/>
    <n v="198487"/>
    <n v="78999"/>
    <n v="119488"/>
    <n v="203501253"/>
    <n v="127406482"/>
    <n v="330907735"/>
    <n v="66994"/>
    <n v="13359"/>
    <n v="80353"/>
    <b v="1"/>
    <b v="1"/>
    <b v="1"/>
    <b v="1"/>
    <b v="1"/>
    <b v="1"/>
  </r>
  <r>
    <x v="3107"/>
    <n v="203636"/>
    <n v="82388"/>
    <n v="121248"/>
    <n v="193361728"/>
    <n v="124099603"/>
    <n v="317461331"/>
    <n v="64581"/>
    <n v="12806"/>
    <n v="77387"/>
    <b v="1"/>
    <b v="1"/>
    <b v="1"/>
    <b v="1"/>
    <b v="1"/>
    <b v="1"/>
  </r>
  <r>
    <x v="3108"/>
    <n v="204212"/>
    <n v="82995"/>
    <n v="121217"/>
    <n v="191038553"/>
    <n v="122332048"/>
    <n v="313370601"/>
    <n v="65687"/>
    <n v="13146"/>
    <n v="78833"/>
    <b v="1"/>
    <b v="1"/>
    <b v="1"/>
    <b v="1"/>
    <b v="1"/>
    <b v="1"/>
  </r>
  <r>
    <x v="3109"/>
    <n v="177058"/>
    <n v="75665"/>
    <n v="101393"/>
    <n v="145936606"/>
    <n v="98250662"/>
    <n v="244187268"/>
    <n v="45131"/>
    <n v="9477"/>
    <n v="54608"/>
    <b v="1"/>
    <b v="1"/>
    <b v="1"/>
    <b v="1"/>
    <b v="1"/>
    <b v="1"/>
  </r>
  <r>
    <x v="3110"/>
    <n v="163389"/>
    <n v="69208"/>
    <n v="94181"/>
    <n v="121529076"/>
    <n v="75852985"/>
    <n v="197382061"/>
    <n v="41396"/>
    <n v="8340"/>
    <n v="49736"/>
    <b v="1"/>
    <b v="1"/>
    <b v="1"/>
    <b v="1"/>
    <b v="1"/>
    <b v="1"/>
  </r>
  <r>
    <x v="3111"/>
    <n v="197351"/>
    <n v="80490"/>
    <n v="116861"/>
    <n v="177777010"/>
    <n v="107630902"/>
    <n v="285407912"/>
    <n v="57302"/>
    <n v="10884"/>
    <n v="68186"/>
    <b v="1"/>
    <b v="1"/>
    <b v="1"/>
    <b v="1"/>
    <b v="1"/>
    <b v="1"/>
  </r>
  <r>
    <x v="3112"/>
    <n v="198858"/>
    <n v="80222"/>
    <n v="118636"/>
    <n v="190341778"/>
    <n v="119847275"/>
    <n v="310189053"/>
    <n v="58693"/>
    <n v="11055"/>
    <n v="69748"/>
    <b v="1"/>
    <b v="1"/>
    <b v="1"/>
    <b v="1"/>
    <b v="1"/>
    <b v="1"/>
  </r>
  <r>
    <x v="3113"/>
    <n v="206372"/>
    <n v="84918"/>
    <n v="121454"/>
    <n v="189224413"/>
    <n v="125670292"/>
    <n v="314894705"/>
    <n v="61208"/>
    <n v="11677"/>
    <n v="72885"/>
    <b v="1"/>
    <b v="1"/>
    <b v="1"/>
    <b v="1"/>
    <b v="1"/>
    <b v="1"/>
  </r>
  <r>
    <x v="3114"/>
    <n v="206148"/>
    <n v="84972"/>
    <n v="121176"/>
    <n v="177536870"/>
    <n v="123151429"/>
    <n v="300688299"/>
    <n v="57736"/>
    <n v="10964"/>
    <n v="68700"/>
    <b v="1"/>
    <b v="1"/>
    <b v="1"/>
    <b v="1"/>
    <b v="1"/>
    <b v="1"/>
  </r>
  <r>
    <x v="3115"/>
    <n v="201191"/>
    <n v="83853"/>
    <n v="117338"/>
    <n v="171351527"/>
    <n v="115279697"/>
    <n v="286631224"/>
    <n v="58127"/>
    <n v="11358"/>
    <n v="69485"/>
    <b v="1"/>
    <b v="1"/>
    <b v="1"/>
    <b v="1"/>
    <b v="1"/>
    <b v="1"/>
  </r>
  <r>
    <x v="3116"/>
    <n v="191755"/>
    <n v="81748"/>
    <n v="110007"/>
    <n v="162454162"/>
    <n v="106601283"/>
    <n v="269055445"/>
    <n v="52455"/>
    <n v="10605"/>
    <n v="63060"/>
    <b v="1"/>
    <b v="1"/>
    <b v="1"/>
    <b v="1"/>
    <b v="1"/>
    <b v="1"/>
  </r>
  <r>
    <x v="3117"/>
    <n v="184222"/>
    <n v="75843"/>
    <n v="108379"/>
    <n v="148786176"/>
    <n v="84637321"/>
    <n v="233423497"/>
    <n v="52041"/>
    <n v="10412"/>
    <n v="62453"/>
    <b v="1"/>
    <b v="1"/>
    <b v="1"/>
    <b v="1"/>
    <b v="1"/>
    <b v="1"/>
  </r>
  <r>
    <x v="3118"/>
    <n v="205244"/>
    <n v="83037"/>
    <n v="122207"/>
    <n v="184329066"/>
    <n v="106250552"/>
    <n v="290579618"/>
    <n v="63682"/>
    <n v="12495"/>
    <n v="76177"/>
    <b v="1"/>
    <b v="1"/>
    <b v="1"/>
    <b v="1"/>
    <b v="1"/>
    <b v="1"/>
  </r>
  <r>
    <x v="3119"/>
    <n v="199442"/>
    <n v="79633"/>
    <n v="119809"/>
    <n v="187510565"/>
    <n v="115745525"/>
    <n v="303256090"/>
    <n v="64966"/>
    <n v="12444"/>
    <n v="77410"/>
    <b v="1"/>
    <b v="1"/>
    <b v="1"/>
    <b v="1"/>
    <b v="1"/>
    <b v="1"/>
  </r>
  <r>
    <x v="3120"/>
    <n v="224761"/>
    <n v="87206"/>
    <n v="137555"/>
    <n v="220326602"/>
    <n v="127977050"/>
    <n v="348303652"/>
    <n v="77136"/>
    <n v="14618"/>
    <n v="91754"/>
    <b v="1"/>
    <b v="1"/>
    <b v="1"/>
    <b v="1"/>
    <b v="1"/>
    <b v="1"/>
  </r>
  <r>
    <x v="3121"/>
    <n v="227717"/>
    <n v="88920"/>
    <n v="138797"/>
    <n v="215131666"/>
    <n v="137588319"/>
    <n v="352719985"/>
    <n v="74596"/>
    <n v="14268"/>
    <n v="88864"/>
    <b v="1"/>
    <b v="1"/>
    <b v="1"/>
    <b v="1"/>
    <b v="1"/>
    <b v="1"/>
  </r>
  <r>
    <x v="3122"/>
    <n v="219343"/>
    <n v="86649"/>
    <n v="132694"/>
    <n v="208547912"/>
    <n v="131500438"/>
    <n v="340048350"/>
    <n v="74362"/>
    <n v="14234"/>
    <n v="88596"/>
    <b v="1"/>
    <b v="1"/>
    <b v="1"/>
    <b v="1"/>
    <b v="1"/>
    <b v="1"/>
  </r>
  <r>
    <x v="3123"/>
    <n v="217462"/>
    <n v="85105"/>
    <n v="132357"/>
    <n v="202246016"/>
    <n v="110045497"/>
    <n v="312291513"/>
    <n v="73178"/>
    <n v="14466"/>
    <n v="87644"/>
    <b v="1"/>
    <b v="1"/>
    <b v="1"/>
    <b v="1"/>
    <b v="1"/>
    <b v="1"/>
  </r>
  <r>
    <x v="3124"/>
    <n v="188643"/>
    <n v="72179"/>
    <n v="116464"/>
    <n v="175365147"/>
    <n v="86860836"/>
    <n v="262225983"/>
    <n v="65699"/>
    <n v="13013"/>
    <n v="78712"/>
    <b v="1"/>
    <b v="1"/>
    <b v="1"/>
    <b v="1"/>
    <b v="1"/>
    <b v="1"/>
  </r>
  <r>
    <x v="3125"/>
    <n v="200582"/>
    <n v="77775"/>
    <n v="122807"/>
    <n v="197651563"/>
    <n v="108361613"/>
    <n v="306013176"/>
    <n v="70908"/>
    <n v="14052"/>
    <n v="84960"/>
    <b v="1"/>
    <b v="1"/>
    <b v="1"/>
    <b v="1"/>
    <b v="1"/>
    <b v="1"/>
  </r>
  <r>
    <x v="3126"/>
    <n v="199535"/>
    <n v="77926"/>
    <n v="121609"/>
    <n v="202357879"/>
    <n v="124750549"/>
    <n v="327108428"/>
    <n v="71342"/>
    <n v="13923"/>
    <n v="85265"/>
    <b v="1"/>
    <b v="1"/>
    <b v="1"/>
    <b v="1"/>
    <b v="1"/>
    <b v="1"/>
  </r>
  <r>
    <x v="3127"/>
    <n v="196459"/>
    <n v="80439"/>
    <n v="116020"/>
    <n v="189820948"/>
    <n v="121131457"/>
    <n v="310952405"/>
    <n v="63320"/>
    <n v="12966"/>
    <n v="76286"/>
    <b v="1"/>
    <b v="1"/>
    <b v="1"/>
    <b v="1"/>
    <b v="1"/>
    <b v="1"/>
  </r>
  <r>
    <x v="3128"/>
    <n v="203421"/>
    <n v="82264"/>
    <n v="121157"/>
    <n v="197919769"/>
    <n v="120423754"/>
    <n v="318343523"/>
    <n v="68551"/>
    <n v="13248"/>
    <n v="81799"/>
    <b v="1"/>
    <b v="1"/>
    <b v="1"/>
    <b v="1"/>
    <b v="1"/>
    <b v="1"/>
  </r>
  <r>
    <x v="3129"/>
    <n v="195338"/>
    <n v="77283"/>
    <n v="118055"/>
    <n v="175641117"/>
    <n v="107158059"/>
    <n v="282799176"/>
    <n v="64951"/>
    <n v="12523"/>
    <n v="77474"/>
    <b v="1"/>
    <b v="1"/>
    <b v="1"/>
    <b v="1"/>
    <b v="1"/>
    <b v="1"/>
  </r>
  <r>
    <x v="3130"/>
    <n v="190051"/>
    <n v="76299"/>
    <n v="113752"/>
    <n v="164633516"/>
    <n v="91637412"/>
    <n v="256270928"/>
    <n v="60161"/>
    <n v="12090"/>
    <n v="72251"/>
    <b v="1"/>
    <b v="1"/>
    <b v="1"/>
    <b v="1"/>
    <b v="1"/>
    <b v="1"/>
  </r>
  <r>
    <x v="3131"/>
    <n v="189896"/>
    <n v="73544"/>
    <n v="116352"/>
    <n v="162136730"/>
    <n v="81211265"/>
    <n v="243347995"/>
    <n v="62048"/>
    <n v="11827"/>
    <n v="73875"/>
    <b v="1"/>
    <b v="1"/>
    <b v="1"/>
    <b v="1"/>
    <b v="1"/>
    <b v="1"/>
  </r>
  <r>
    <x v="3132"/>
    <n v="210622"/>
    <n v="80740"/>
    <n v="129882"/>
    <n v="186616519"/>
    <n v="95852766"/>
    <n v="282469285"/>
    <n v="71394"/>
    <n v="13820"/>
    <n v="85214"/>
    <b v="1"/>
    <b v="1"/>
    <b v="1"/>
    <b v="1"/>
    <b v="1"/>
    <b v="1"/>
  </r>
  <r>
    <x v="3133"/>
    <n v="215150"/>
    <n v="87902"/>
    <n v="127248"/>
    <n v="193510981"/>
    <n v="132143026"/>
    <n v="325654007"/>
    <n v="71025"/>
    <n v="13954"/>
    <n v="84979"/>
    <b v="1"/>
    <b v="1"/>
    <b v="1"/>
    <b v="1"/>
    <b v="1"/>
    <b v="1"/>
  </r>
  <r>
    <x v="3134"/>
    <n v="205182"/>
    <n v="84382"/>
    <n v="120800"/>
    <n v="180265507"/>
    <n v="128977143"/>
    <n v="309242650"/>
    <n v="61264"/>
    <n v="12515"/>
    <n v="73779"/>
    <b v="1"/>
    <b v="1"/>
    <b v="1"/>
    <b v="1"/>
    <b v="1"/>
    <b v="1"/>
  </r>
  <r>
    <x v="3135"/>
    <n v="213583"/>
    <n v="86879"/>
    <n v="126704"/>
    <n v="196902190"/>
    <n v="249797966"/>
    <n v="446700156"/>
    <n v="67453"/>
    <n v="13366"/>
    <n v="80819"/>
    <b v="1"/>
    <b v="1"/>
    <b v="1"/>
    <b v="1"/>
    <b v="1"/>
    <b v="1"/>
  </r>
  <r>
    <x v="3136"/>
    <n v="218959"/>
    <n v="87931"/>
    <n v="131028"/>
    <n v="200739400"/>
    <n v="136962824"/>
    <n v="337702224"/>
    <n v="69940"/>
    <n v="13863"/>
    <n v="83803"/>
    <b v="1"/>
    <b v="1"/>
    <b v="1"/>
    <b v="1"/>
    <b v="1"/>
    <b v="1"/>
  </r>
  <r>
    <x v="3137"/>
    <n v="213342"/>
    <n v="89049"/>
    <n v="124293"/>
    <n v="187210712"/>
    <n v="125340092"/>
    <n v="312550804"/>
    <n v="65085"/>
    <n v="14058"/>
    <n v="79143"/>
    <b v="1"/>
    <b v="1"/>
    <b v="1"/>
    <b v="1"/>
    <b v="1"/>
    <b v="1"/>
  </r>
  <r>
    <x v="3138"/>
    <n v="176698"/>
    <n v="73335"/>
    <n v="103363"/>
    <n v="145927865"/>
    <n v="93745319"/>
    <n v="239673184"/>
    <n v="51087"/>
    <n v="10639"/>
    <n v="61726"/>
    <b v="1"/>
    <b v="1"/>
    <b v="1"/>
    <b v="1"/>
    <b v="1"/>
    <b v="1"/>
  </r>
  <r>
    <x v="3139"/>
    <n v="200061"/>
    <n v="81964"/>
    <n v="118097"/>
    <n v="177999774"/>
    <n v="114572752"/>
    <n v="292572526"/>
    <n v="62997"/>
    <n v="12487"/>
    <n v="75484"/>
    <b v="1"/>
    <b v="1"/>
    <b v="1"/>
    <b v="1"/>
    <b v="1"/>
    <b v="1"/>
  </r>
  <r>
    <x v="3140"/>
    <n v="209228"/>
    <n v="84789"/>
    <n v="124439"/>
    <n v="201151919"/>
    <n v="133220524"/>
    <n v="334372443"/>
    <n v="68856"/>
    <n v="13455"/>
    <n v="82311"/>
    <b v="1"/>
    <b v="1"/>
    <b v="1"/>
    <b v="1"/>
    <b v="1"/>
    <b v="1"/>
  </r>
  <r>
    <x v="3141"/>
    <n v="203319"/>
    <n v="83272"/>
    <n v="120047"/>
    <n v="191251477"/>
    <n v="136548705"/>
    <n v="327800182"/>
    <n v="66517"/>
    <n v="13476"/>
    <n v="79993"/>
    <b v="1"/>
    <b v="1"/>
    <b v="1"/>
    <b v="1"/>
    <b v="1"/>
    <b v="1"/>
  </r>
  <r>
    <x v="3142"/>
    <n v="203793"/>
    <n v="82479"/>
    <n v="121314"/>
    <n v="190714376"/>
    <n v="132012503"/>
    <n v="322726879"/>
    <n v="66923"/>
    <n v="13373"/>
    <n v="80296"/>
    <b v="1"/>
    <b v="1"/>
    <b v="1"/>
    <b v="1"/>
    <b v="1"/>
    <b v="1"/>
  </r>
  <r>
    <x v="3143"/>
    <n v="200888"/>
    <n v="84424"/>
    <n v="116464"/>
    <n v="184905441"/>
    <n v="131372638"/>
    <n v="316278079"/>
    <n v="64184"/>
    <n v="13157"/>
    <n v="77341"/>
    <b v="1"/>
    <b v="1"/>
    <b v="1"/>
    <b v="1"/>
    <b v="1"/>
    <b v="1"/>
  </r>
  <r>
    <x v="3144"/>
    <n v="201564"/>
    <n v="82088"/>
    <n v="119476"/>
    <n v="186483980"/>
    <n v="114908457"/>
    <n v="301392437"/>
    <n v="64395"/>
    <n v="14095"/>
    <n v="78490"/>
    <b v="1"/>
    <b v="1"/>
    <b v="1"/>
    <b v="1"/>
    <b v="1"/>
    <b v="1"/>
  </r>
  <r>
    <x v="3145"/>
    <n v="164301"/>
    <n v="65753"/>
    <n v="98548"/>
    <n v="137993828"/>
    <n v="86001105"/>
    <n v="223994933"/>
    <n v="50145"/>
    <n v="10361"/>
    <n v="60506"/>
    <b v="1"/>
    <b v="1"/>
    <b v="1"/>
    <b v="1"/>
    <b v="1"/>
    <b v="1"/>
  </r>
  <r>
    <x v="3146"/>
    <n v="199877"/>
    <n v="78102"/>
    <n v="121775"/>
    <n v="187911206"/>
    <n v="109493874"/>
    <n v="297405080"/>
    <n v="63983"/>
    <n v="12812"/>
    <n v="76795"/>
    <b v="1"/>
    <b v="1"/>
    <b v="1"/>
    <b v="1"/>
    <b v="1"/>
    <b v="1"/>
  </r>
  <r>
    <x v="3147"/>
    <n v="135055"/>
    <n v="51465"/>
    <n v="83590"/>
    <n v="105380669"/>
    <n v="55014844"/>
    <n v="160395513"/>
    <n v="40723"/>
    <n v="7578"/>
    <n v="48301"/>
    <b v="1"/>
    <b v="1"/>
    <b v="1"/>
    <b v="1"/>
    <b v="1"/>
    <b v="1"/>
  </r>
  <r>
    <x v="3148"/>
    <n v="202521"/>
    <n v="81963"/>
    <n v="120558"/>
    <n v="192187848"/>
    <n v="112447121"/>
    <n v="304634969"/>
    <n v="65853"/>
    <n v="12789"/>
    <n v="78642"/>
    <b v="1"/>
    <b v="1"/>
    <b v="1"/>
    <b v="1"/>
    <b v="1"/>
    <b v="1"/>
  </r>
  <r>
    <x v="3149"/>
    <n v="198447"/>
    <n v="79834"/>
    <n v="118613"/>
    <n v="183452593"/>
    <n v="123176008"/>
    <n v="306628601"/>
    <n v="62554"/>
    <n v="12370"/>
    <n v="74924"/>
    <b v="1"/>
    <b v="1"/>
    <b v="1"/>
    <b v="1"/>
    <b v="1"/>
    <b v="1"/>
  </r>
  <r>
    <x v="3150"/>
    <n v="202200"/>
    <n v="80642"/>
    <n v="121558"/>
    <n v="189803256"/>
    <n v="123191984"/>
    <n v="312995240"/>
    <n v="63648"/>
    <n v="12810"/>
    <n v="76458"/>
    <b v="1"/>
    <b v="1"/>
    <b v="1"/>
    <b v="1"/>
    <b v="1"/>
    <b v="1"/>
  </r>
  <r>
    <x v="3151"/>
    <n v="198611"/>
    <n v="80549"/>
    <n v="118062"/>
    <n v="177112020"/>
    <n v="112849788"/>
    <n v="289961808"/>
    <n v="60908"/>
    <n v="12603"/>
    <n v="73511"/>
    <b v="1"/>
    <b v="1"/>
    <b v="1"/>
    <b v="1"/>
    <b v="1"/>
    <b v="1"/>
  </r>
  <r>
    <x v="3152"/>
    <n v="165239"/>
    <n v="66352"/>
    <n v="98887"/>
    <n v="133720046"/>
    <n v="78117890"/>
    <n v="211837936"/>
    <n v="51090"/>
    <n v="10035"/>
    <n v="61125"/>
    <b v="1"/>
    <b v="1"/>
    <b v="1"/>
    <b v="1"/>
    <b v="1"/>
    <b v="1"/>
  </r>
  <r>
    <x v="3153"/>
    <n v="193015"/>
    <n v="77246"/>
    <n v="115769"/>
    <n v="177879912"/>
    <n v="105663116"/>
    <n v="283543028"/>
    <n v="58731"/>
    <n v="12295"/>
    <n v="71026"/>
    <b v="1"/>
    <b v="1"/>
    <b v="1"/>
    <b v="1"/>
    <b v="1"/>
    <b v="1"/>
  </r>
  <r>
    <x v="3154"/>
    <n v="202397"/>
    <n v="79041"/>
    <n v="123356"/>
    <n v="206622183"/>
    <n v="122726133"/>
    <n v="329348316"/>
    <n v="60974"/>
    <n v="11674"/>
    <n v="72648"/>
    <b v="1"/>
    <b v="1"/>
    <b v="1"/>
    <b v="1"/>
    <b v="1"/>
    <b v="1"/>
  </r>
  <r>
    <x v="3155"/>
    <n v="185758"/>
    <n v="76597"/>
    <n v="109161"/>
    <n v="177509689"/>
    <n v="115776019"/>
    <n v="293285708"/>
    <n v="51547"/>
    <n v="10996"/>
    <n v="62543"/>
    <b v="1"/>
    <b v="1"/>
    <b v="1"/>
    <b v="1"/>
    <b v="1"/>
    <b v="1"/>
  </r>
  <r>
    <x v="3156"/>
    <n v="211119"/>
    <n v="83301"/>
    <n v="127818"/>
    <n v="207301200"/>
    <n v="123192463"/>
    <n v="330493663"/>
    <n v="70940"/>
    <n v="14151"/>
    <n v="85091"/>
    <b v="1"/>
    <b v="1"/>
    <b v="1"/>
    <b v="1"/>
    <b v="1"/>
    <b v="1"/>
  </r>
  <r>
    <x v="3157"/>
    <n v="199293"/>
    <n v="81534"/>
    <n v="117759"/>
    <n v="191478495"/>
    <n v="118491524"/>
    <n v="309970019"/>
    <n v="65566"/>
    <n v="13692"/>
    <n v="79258"/>
    <b v="1"/>
    <b v="1"/>
    <b v="1"/>
    <b v="1"/>
    <b v="1"/>
    <b v="1"/>
  </r>
  <r>
    <x v="3158"/>
    <n v="189378"/>
    <n v="79514"/>
    <n v="109864"/>
    <n v="171902640"/>
    <n v="104001143"/>
    <n v="275903783"/>
    <n v="59888"/>
    <n v="12575"/>
    <n v="72463"/>
    <b v="1"/>
    <b v="1"/>
    <b v="1"/>
    <b v="1"/>
    <b v="1"/>
    <b v="1"/>
  </r>
  <r>
    <x v="3159"/>
    <n v="181892"/>
    <n v="71899"/>
    <n v="109993"/>
    <n v="151055091"/>
    <n v="83493736"/>
    <n v="234548827"/>
    <n v="52395"/>
    <n v="11037"/>
    <n v="63432"/>
    <b v="1"/>
    <b v="1"/>
    <b v="1"/>
    <b v="1"/>
    <b v="1"/>
    <b v="1"/>
  </r>
  <r>
    <x v="3160"/>
    <n v="203294"/>
    <n v="77435"/>
    <n v="125859"/>
    <n v="186121451"/>
    <n v="100351122"/>
    <n v="286472573"/>
    <n v="59104"/>
    <n v="11816"/>
    <n v="70920"/>
    <b v="1"/>
    <b v="1"/>
    <b v="1"/>
    <b v="1"/>
    <b v="1"/>
    <b v="1"/>
  </r>
  <r>
    <x v="3161"/>
    <n v="202234"/>
    <n v="76123"/>
    <n v="126111"/>
    <n v="199871585"/>
    <n v="106326510"/>
    <n v="306198095"/>
    <n v="63511"/>
    <n v="12782"/>
    <n v="76293"/>
    <b v="1"/>
    <b v="1"/>
    <b v="1"/>
    <b v="1"/>
    <b v="1"/>
    <b v="1"/>
  </r>
  <r>
    <x v="3162"/>
    <n v="182331"/>
    <n v="69416"/>
    <n v="112915"/>
    <n v="170586965"/>
    <n v="81540530"/>
    <n v="252127495"/>
    <n v="55766"/>
    <n v="11676"/>
    <n v="67442"/>
    <b v="1"/>
    <b v="1"/>
    <b v="1"/>
    <b v="1"/>
    <b v="1"/>
    <b v="1"/>
  </r>
  <r>
    <x v="3163"/>
    <n v="169061"/>
    <n v="66673"/>
    <n v="102388"/>
    <n v="141200210"/>
    <n v="78758996"/>
    <n v="219959206"/>
    <n v="46245"/>
    <n v="9380"/>
    <n v="55625"/>
    <b v="1"/>
    <b v="1"/>
    <b v="1"/>
    <b v="1"/>
    <b v="1"/>
    <b v="1"/>
  </r>
  <r>
    <x v="3164"/>
    <n v="189140"/>
    <n v="77882"/>
    <n v="111258"/>
    <n v="162901812"/>
    <n v="109194172"/>
    <n v="272095984"/>
    <n v="55189"/>
    <n v="10518"/>
    <n v="65707"/>
    <b v="1"/>
    <b v="1"/>
    <b v="1"/>
    <b v="1"/>
    <b v="1"/>
    <b v="1"/>
  </r>
  <r>
    <x v="3165"/>
    <n v="187008"/>
    <n v="78579"/>
    <n v="108429"/>
    <n v="160788573"/>
    <n v="109522218"/>
    <n v="270310791"/>
    <n v="53281"/>
    <n v="10875"/>
    <n v="64156"/>
    <b v="1"/>
    <b v="1"/>
    <b v="1"/>
    <b v="1"/>
    <b v="1"/>
    <b v="1"/>
  </r>
  <r>
    <x v="3166"/>
    <n v="178980"/>
    <n v="72075"/>
    <n v="106905"/>
    <n v="141312663"/>
    <n v="89423090"/>
    <n v="230735753"/>
    <n v="52236"/>
    <n v="9983"/>
    <n v="62219"/>
    <b v="1"/>
    <b v="1"/>
    <b v="1"/>
    <b v="1"/>
    <b v="1"/>
    <b v="1"/>
  </r>
  <r>
    <x v="3167"/>
    <n v="193690"/>
    <n v="78863"/>
    <n v="114827"/>
    <n v="177144128"/>
    <n v="112977777"/>
    <n v="290121905"/>
    <n v="60121"/>
    <n v="11324"/>
    <n v="71445"/>
    <b v="1"/>
    <b v="1"/>
    <b v="1"/>
    <b v="1"/>
    <b v="1"/>
    <b v="1"/>
  </r>
  <r>
    <x v="3168"/>
    <n v="194783"/>
    <n v="78125"/>
    <n v="116658"/>
    <n v="175966977"/>
    <n v="131185493"/>
    <n v="307152470"/>
    <n v="59752"/>
    <n v="11338"/>
    <n v="71090"/>
    <b v="1"/>
    <b v="1"/>
    <b v="1"/>
    <b v="1"/>
    <b v="1"/>
    <b v="1"/>
  </r>
  <r>
    <x v="3169"/>
    <n v="187872"/>
    <n v="73265"/>
    <n v="114607"/>
    <n v="173906951"/>
    <n v="118070407"/>
    <n v="291977358"/>
    <n v="57982"/>
    <n v="11028"/>
    <n v="69010"/>
    <b v="1"/>
    <b v="1"/>
    <b v="1"/>
    <b v="1"/>
    <b v="1"/>
    <b v="1"/>
  </r>
  <r>
    <x v="3170"/>
    <n v="169208"/>
    <n v="66413"/>
    <n v="102795"/>
    <n v="149365155"/>
    <n v="95391441"/>
    <n v="244756596"/>
    <n v="48704"/>
    <n v="8666"/>
    <n v="57370"/>
    <b v="1"/>
    <b v="1"/>
    <b v="1"/>
    <b v="1"/>
    <b v="1"/>
    <b v="1"/>
  </r>
  <r>
    <x v="3171"/>
    <n v="180699"/>
    <n v="71984"/>
    <n v="108715"/>
    <n v="160767686"/>
    <n v="109318650"/>
    <n v="270086336"/>
    <n v="54757"/>
    <n v="10103"/>
    <n v="64860"/>
    <b v="1"/>
    <b v="1"/>
    <b v="1"/>
    <b v="1"/>
    <b v="1"/>
    <b v="1"/>
  </r>
  <r>
    <x v="3172"/>
    <n v="165847"/>
    <n v="70057"/>
    <n v="95790"/>
    <n v="126548496"/>
    <n v="96326600"/>
    <n v="222875096"/>
    <n v="42167"/>
    <n v="8694"/>
    <n v="50861"/>
    <b v="1"/>
    <b v="1"/>
    <b v="1"/>
    <b v="1"/>
    <b v="1"/>
    <b v="1"/>
  </r>
  <r>
    <x v="3173"/>
    <n v="147529"/>
    <n v="61218"/>
    <n v="86311"/>
    <n v="106299321"/>
    <n v="71322559"/>
    <n v="177621880"/>
    <n v="37896"/>
    <n v="7252"/>
    <n v="45148"/>
    <b v="1"/>
    <b v="1"/>
    <b v="1"/>
    <b v="1"/>
    <b v="1"/>
    <b v="1"/>
  </r>
  <r>
    <x v="3174"/>
    <n v="179529"/>
    <n v="73293"/>
    <n v="106236"/>
    <n v="159643450"/>
    <n v="106683196"/>
    <n v="266326646"/>
    <n v="58124"/>
    <n v="11050"/>
    <n v="69174"/>
    <b v="1"/>
    <b v="1"/>
    <b v="1"/>
    <b v="1"/>
    <b v="1"/>
    <b v="1"/>
  </r>
  <r>
    <x v="3175"/>
    <n v="202841"/>
    <n v="78953"/>
    <n v="123888"/>
    <n v="192900903"/>
    <n v="127676774"/>
    <n v="320577677"/>
    <n v="65700"/>
    <n v="12158"/>
    <n v="77858"/>
    <b v="1"/>
    <b v="1"/>
    <b v="1"/>
    <b v="1"/>
    <b v="1"/>
    <b v="1"/>
  </r>
  <r>
    <x v="3176"/>
    <n v="202367"/>
    <n v="78403"/>
    <n v="123964"/>
    <n v="200700691"/>
    <n v="128095758"/>
    <n v="328796449"/>
    <n v="65820"/>
    <n v="12421"/>
    <n v="78241"/>
    <b v="1"/>
    <b v="1"/>
    <b v="1"/>
    <b v="1"/>
    <b v="1"/>
    <b v="1"/>
  </r>
  <r>
    <x v="3177"/>
    <n v="197739"/>
    <n v="76157"/>
    <n v="121582"/>
    <n v="197581618"/>
    <n v="126197259"/>
    <n v="323778877"/>
    <n v="70812"/>
    <n v="12740"/>
    <n v="83552"/>
    <b v="1"/>
    <b v="1"/>
    <b v="1"/>
    <b v="1"/>
    <b v="1"/>
    <b v="1"/>
  </r>
  <r>
    <x v="3178"/>
    <n v="199603"/>
    <n v="77100"/>
    <n v="122503"/>
    <n v="199229778"/>
    <n v="124888223"/>
    <n v="324118001"/>
    <n v="70200"/>
    <n v="12779"/>
    <n v="82979"/>
    <b v="1"/>
    <b v="1"/>
    <b v="1"/>
    <b v="1"/>
    <b v="1"/>
    <b v="1"/>
  </r>
  <r>
    <x v="3179"/>
    <n v="187713"/>
    <n v="74238"/>
    <n v="113475"/>
    <n v="171663718"/>
    <n v="105109488"/>
    <n v="276773206"/>
    <n v="63848"/>
    <n v="12022"/>
    <n v="75870"/>
    <b v="1"/>
    <b v="1"/>
    <b v="1"/>
    <b v="1"/>
    <b v="1"/>
    <b v="1"/>
  </r>
  <r>
    <x v="3180"/>
    <n v="172157"/>
    <n v="62852"/>
    <n v="109305"/>
    <n v="148847546"/>
    <n v="75389038"/>
    <n v="224236584"/>
    <n v="63184"/>
    <n v="10791"/>
    <n v="73975"/>
    <b v="1"/>
    <b v="1"/>
    <b v="1"/>
    <b v="1"/>
    <b v="1"/>
    <b v="1"/>
  </r>
  <r>
    <x v="3181"/>
    <n v="177911"/>
    <n v="67499"/>
    <n v="110412"/>
    <n v="172810864"/>
    <n v="92257479"/>
    <n v="265068343"/>
    <n v="70614"/>
    <n v="12730"/>
    <n v="83344"/>
    <b v="1"/>
    <b v="1"/>
    <b v="1"/>
    <b v="1"/>
    <b v="1"/>
    <b v="1"/>
  </r>
  <r>
    <x v="3182"/>
    <n v="186299"/>
    <n v="71647"/>
    <n v="114652"/>
    <n v="176010202"/>
    <n v="101432904"/>
    <n v="277443106"/>
    <n v="66851"/>
    <n v="12034"/>
    <n v="78885"/>
    <b v="1"/>
    <b v="1"/>
    <b v="1"/>
    <b v="1"/>
    <b v="1"/>
    <b v="1"/>
  </r>
  <r>
    <x v="3183"/>
    <n v="182986"/>
    <n v="73011"/>
    <n v="109975"/>
    <n v="181876987"/>
    <n v="111190770"/>
    <n v="293067757"/>
    <n v="64662"/>
    <n v="11596"/>
    <n v="76258"/>
    <b v="1"/>
    <b v="1"/>
    <b v="1"/>
    <b v="1"/>
    <b v="1"/>
    <b v="1"/>
  </r>
  <r>
    <x v="3184"/>
    <n v="190498"/>
    <n v="73574"/>
    <n v="116924"/>
    <n v="183979100"/>
    <n v="112277245"/>
    <n v="296256345"/>
    <n v="63642"/>
    <n v="10890"/>
    <n v="74532"/>
    <b v="1"/>
    <b v="1"/>
    <b v="1"/>
    <b v="1"/>
    <b v="1"/>
    <b v="1"/>
  </r>
  <r>
    <x v="3185"/>
    <n v="182880"/>
    <n v="72924"/>
    <n v="109956"/>
    <n v="178575594"/>
    <n v="109953178"/>
    <n v="288528772"/>
    <n v="58445"/>
    <n v="11430"/>
    <n v="69875"/>
    <b v="1"/>
    <b v="1"/>
    <b v="1"/>
    <b v="1"/>
    <b v="1"/>
    <b v="1"/>
  </r>
  <r>
    <x v="3186"/>
    <n v="179456"/>
    <n v="73656"/>
    <n v="105800"/>
    <n v="173045564"/>
    <n v="105849591"/>
    <n v="278895155"/>
    <n v="51897"/>
    <n v="10564"/>
    <n v="62461"/>
    <b v="1"/>
    <b v="1"/>
    <b v="1"/>
    <b v="1"/>
    <b v="1"/>
    <b v="1"/>
  </r>
  <r>
    <x v="3187"/>
    <n v="165678"/>
    <n v="64124"/>
    <n v="101554"/>
    <n v="152515397"/>
    <n v="81070888"/>
    <n v="233586285"/>
    <n v="56261"/>
    <n v="10154"/>
    <n v="66415"/>
    <b v="1"/>
    <b v="1"/>
    <b v="1"/>
    <b v="1"/>
    <b v="1"/>
    <b v="1"/>
  </r>
  <r>
    <x v="3188"/>
    <n v="197722"/>
    <n v="76454"/>
    <n v="121268"/>
    <n v="180930641"/>
    <n v="102961948"/>
    <n v="283892589"/>
    <n v="65686"/>
    <n v="12167"/>
    <n v="77853"/>
    <b v="1"/>
    <b v="1"/>
    <b v="1"/>
    <b v="1"/>
    <b v="1"/>
    <b v="1"/>
  </r>
  <r>
    <x v="3189"/>
    <n v="206248"/>
    <n v="79514"/>
    <n v="126734"/>
    <n v="209171035"/>
    <n v="119483582"/>
    <n v="328654617"/>
    <n v="69513"/>
    <n v="12443"/>
    <n v="81956"/>
    <b v="1"/>
    <b v="1"/>
    <b v="1"/>
    <b v="1"/>
    <b v="1"/>
    <b v="1"/>
  </r>
  <r>
    <x v="3190"/>
    <n v="195173"/>
    <n v="77188"/>
    <n v="117985"/>
    <n v="195666722"/>
    <n v="115616830"/>
    <n v="311283552"/>
    <n v="64729"/>
    <n v="11995"/>
    <n v="76724"/>
    <b v="1"/>
    <b v="1"/>
    <b v="1"/>
    <b v="1"/>
    <b v="1"/>
    <b v="1"/>
  </r>
  <r>
    <x v="3191"/>
    <n v="173136"/>
    <n v="65040"/>
    <n v="108096"/>
    <n v="166334575"/>
    <n v="90268139"/>
    <n v="256602714"/>
    <n v="56666"/>
    <n v="10682"/>
    <n v="67348"/>
    <b v="1"/>
    <b v="1"/>
    <b v="1"/>
    <b v="1"/>
    <b v="1"/>
    <b v="1"/>
  </r>
  <r>
    <x v="3192"/>
    <n v="171741"/>
    <n v="67962"/>
    <n v="103779"/>
    <n v="176982056"/>
    <n v="101165995"/>
    <n v="278148051"/>
    <n v="55279"/>
    <n v="11306"/>
    <n v="66585"/>
    <b v="1"/>
    <b v="1"/>
    <b v="1"/>
    <b v="1"/>
    <b v="1"/>
    <b v="1"/>
  </r>
  <r>
    <x v="3193"/>
    <n v="182414"/>
    <n v="69503"/>
    <n v="112911"/>
    <n v="178645088"/>
    <n v="94279696"/>
    <n v="272924784"/>
    <n v="64033"/>
    <n v="12239"/>
    <n v="76272"/>
    <b v="1"/>
    <b v="1"/>
    <b v="1"/>
    <b v="1"/>
    <b v="1"/>
    <b v="1"/>
  </r>
  <r>
    <x v="3194"/>
    <n v="173232"/>
    <n v="67305"/>
    <n v="105927"/>
    <n v="150224413"/>
    <n v="85368526"/>
    <n v="235592939"/>
    <n v="55443"/>
    <n v="10499"/>
    <n v="65942"/>
    <b v="1"/>
    <b v="1"/>
    <b v="1"/>
    <b v="1"/>
    <b v="1"/>
    <b v="1"/>
  </r>
  <r>
    <x v="3195"/>
    <n v="187464"/>
    <n v="77255"/>
    <n v="110209"/>
    <n v="154776240"/>
    <n v="90872334"/>
    <n v="245648574"/>
    <n v="56877"/>
    <n v="11112"/>
    <n v="67989"/>
    <b v="1"/>
    <b v="1"/>
    <b v="1"/>
    <b v="1"/>
    <b v="1"/>
    <b v="1"/>
  </r>
  <r>
    <x v="3196"/>
    <n v="198354"/>
    <n v="78126"/>
    <n v="120228"/>
    <n v="183528455"/>
    <n v="114621975"/>
    <n v="298150430"/>
    <n v="63107"/>
    <n v="12088"/>
    <n v="75195"/>
    <b v="1"/>
    <b v="1"/>
    <b v="1"/>
    <b v="1"/>
    <b v="1"/>
    <b v="1"/>
  </r>
  <r>
    <x v="3197"/>
    <n v="203901"/>
    <n v="80489"/>
    <n v="123412"/>
    <n v="202492380"/>
    <n v="130483107"/>
    <n v="332975487"/>
    <n v="63040"/>
    <n v="12061"/>
    <n v="75101"/>
    <b v="1"/>
    <b v="1"/>
    <b v="1"/>
    <b v="1"/>
    <b v="1"/>
    <b v="1"/>
  </r>
  <r>
    <x v="3198"/>
    <n v="205013"/>
    <n v="80437"/>
    <n v="124576"/>
    <n v="207463979"/>
    <n v="133962413"/>
    <n v="341426392"/>
    <n v="61914"/>
    <n v="11959"/>
    <n v="73873"/>
    <b v="1"/>
    <b v="1"/>
    <b v="1"/>
    <b v="1"/>
    <b v="1"/>
    <b v="1"/>
  </r>
  <r>
    <x v="3199"/>
    <n v="207522"/>
    <n v="81420"/>
    <n v="126102"/>
    <n v="198637925"/>
    <n v="133936059"/>
    <n v="332573984"/>
    <n v="64086"/>
    <n v="12346"/>
    <n v="76432"/>
    <b v="1"/>
    <b v="1"/>
    <b v="1"/>
    <b v="1"/>
    <b v="1"/>
    <b v="1"/>
  </r>
  <r>
    <x v="3200"/>
    <n v="206644"/>
    <n v="82310"/>
    <n v="124334"/>
    <n v="192273697"/>
    <n v="127176583"/>
    <n v="319450280"/>
    <n v="60628"/>
    <n v="12312"/>
    <n v="72940"/>
    <b v="1"/>
    <b v="1"/>
    <b v="1"/>
    <b v="1"/>
    <b v="1"/>
    <b v="1"/>
  </r>
  <r>
    <x v="3201"/>
    <n v="191057"/>
    <n v="73001"/>
    <n v="118056"/>
    <n v="165097090"/>
    <n v="93687008"/>
    <n v="258784098"/>
    <n v="52452"/>
    <n v="10129"/>
    <n v="62581"/>
    <b v="1"/>
    <b v="1"/>
    <b v="1"/>
    <b v="1"/>
    <b v="1"/>
    <b v="1"/>
  </r>
  <r>
    <x v="3202"/>
    <n v="209239"/>
    <n v="81962"/>
    <n v="127277"/>
    <n v="199650080"/>
    <n v="122475228"/>
    <n v="322125308"/>
    <n v="59927"/>
    <n v="11666"/>
    <n v="71593"/>
    <b v="1"/>
    <b v="1"/>
    <b v="1"/>
    <b v="1"/>
    <b v="1"/>
    <b v="1"/>
  </r>
  <r>
    <x v="3203"/>
    <n v="205571"/>
    <n v="81952"/>
    <n v="123619"/>
    <n v="206427248"/>
    <n v="134217902"/>
    <n v="340645150"/>
    <n v="57080"/>
    <n v="11177"/>
    <n v="68257"/>
    <b v="1"/>
    <b v="1"/>
    <b v="1"/>
    <b v="1"/>
    <b v="1"/>
    <b v="1"/>
  </r>
  <r>
    <x v="3204"/>
    <n v="204427"/>
    <n v="81735"/>
    <n v="122692"/>
    <n v="198791973"/>
    <n v="133491275"/>
    <n v="332283248"/>
    <n v="56205"/>
    <n v="10988"/>
    <n v="67193"/>
    <b v="1"/>
    <b v="1"/>
    <b v="1"/>
    <b v="1"/>
    <b v="1"/>
    <b v="1"/>
  </r>
  <r>
    <x v="3205"/>
    <n v="203554"/>
    <n v="80350"/>
    <n v="123204"/>
    <n v="192275524"/>
    <n v="129306076"/>
    <n v="321581600"/>
    <n v="55339"/>
    <n v="10971"/>
    <n v="66310"/>
    <b v="1"/>
    <b v="1"/>
    <b v="1"/>
    <b v="1"/>
    <b v="1"/>
    <b v="1"/>
  </r>
  <r>
    <x v="3206"/>
    <n v="200508"/>
    <n v="79348"/>
    <n v="121160"/>
    <n v="197252168"/>
    <n v="126265949"/>
    <n v="323518117"/>
    <n v="54771"/>
    <n v="10833"/>
    <n v="65604"/>
    <b v="1"/>
    <b v="1"/>
    <b v="1"/>
    <b v="1"/>
    <b v="1"/>
    <b v="1"/>
  </r>
  <r>
    <x v="3207"/>
    <n v="187467"/>
    <n v="73883"/>
    <n v="113584"/>
    <n v="174928363"/>
    <n v="101822955"/>
    <n v="276751318"/>
    <n v="52554"/>
    <n v="10556"/>
    <n v="63110"/>
    <b v="1"/>
    <b v="1"/>
    <b v="1"/>
    <b v="1"/>
    <b v="1"/>
    <b v="1"/>
  </r>
  <r>
    <x v="3208"/>
    <n v="185823"/>
    <n v="69770"/>
    <n v="116053"/>
    <n v="155661722"/>
    <n v="84602483"/>
    <n v="240264205"/>
    <n v="51713"/>
    <n v="10022"/>
    <n v="61735"/>
    <b v="1"/>
    <b v="1"/>
    <b v="1"/>
    <b v="1"/>
    <b v="1"/>
    <b v="1"/>
  </r>
  <r>
    <x v="3209"/>
    <n v="197199"/>
    <n v="74114"/>
    <n v="123085"/>
    <n v="191933019"/>
    <n v="104346314"/>
    <n v="296279333"/>
    <n v="57306"/>
    <n v="10116"/>
    <n v="67422"/>
    <b v="1"/>
    <b v="1"/>
    <b v="1"/>
    <b v="1"/>
    <b v="1"/>
    <b v="1"/>
  </r>
  <r>
    <x v="3210"/>
    <n v="197939"/>
    <n v="76547"/>
    <n v="121392"/>
    <n v="196711511"/>
    <n v="116660353"/>
    <n v="313371864"/>
    <n v="56644"/>
    <n v="10700"/>
    <n v="67344"/>
    <b v="1"/>
    <b v="1"/>
    <b v="1"/>
    <b v="1"/>
    <b v="1"/>
    <b v="1"/>
  </r>
  <r>
    <x v="3211"/>
    <n v="205208"/>
    <n v="78936"/>
    <n v="126272"/>
    <n v="203974700"/>
    <n v="120383009"/>
    <n v="324357709"/>
    <n v="58536"/>
    <n v="11230"/>
    <n v="69766"/>
    <b v="1"/>
    <b v="1"/>
    <b v="1"/>
    <b v="1"/>
    <b v="1"/>
    <b v="1"/>
  </r>
  <r>
    <x v="3212"/>
    <n v="204471"/>
    <n v="78426"/>
    <n v="126045"/>
    <n v="200421173"/>
    <n v="113979073"/>
    <n v="314400246"/>
    <n v="57756"/>
    <n v="10881"/>
    <n v="68637"/>
    <b v="1"/>
    <b v="1"/>
    <b v="1"/>
    <b v="1"/>
    <b v="1"/>
    <b v="1"/>
  </r>
  <r>
    <x v="3213"/>
    <n v="191769"/>
    <n v="75002"/>
    <n v="116767"/>
    <n v="182757530"/>
    <n v="107353304"/>
    <n v="290110834"/>
    <n v="52758"/>
    <n v="9990"/>
    <n v="62748"/>
    <b v="1"/>
    <b v="1"/>
    <b v="1"/>
    <b v="1"/>
    <b v="1"/>
    <b v="1"/>
  </r>
  <r>
    <x v="3214"/>
    <n v="198413"/>
    <n v="77725"/>
    <n v="120688"/>
    <n v="182020954"/>
    <n v="97246692"/>
    <n v="279267646"/>
    <n v="59431"/>
    <n v="11375"/>
    <n v="70806"/>
    <b v="1"/>
    <b v="1"/>
    <b v="1"/>
    <b v="1"/>
    <b v="1"/>
    <b v="1"/>
  </r>
  <r>
    <x v="3215"/>
    <n v="181876"/>
    <n v="68229"/>
    <n v="113647"/>
    <n v="157340630"/>
    <n v="76979653"/>
    <n v="234320283"/>
    <n v="52106"/>
    <n v="9944"/>
    <n v="62050"/>
    <b v="1"/>
    <b v="1"/>
    <b v="1"/>
    <b v="1"/>
    <b v="1"/>
    <b v="1"/>
  </r>
  <r>
    <x v="3216"/>
    <n v="173744"/>
    <n v="65381"/>
    <n v="108363"/>
    <n v="160556424"/>
    <n v="74384337"/>
    <n v="234940761"/>
    <n v="54529"/>
    <n v="10455"/>
    <n v="64984"/>
    <b v="1"/>
    <b v="1"/>
    <b v="1"/>
    <b v="1"/>
    <b v="1"/>
    <b v="1"/>
  </r>
  <r>
    <x v="3217"/>
    <n v="159986"/>
    <n v="58909"/>
    <n v="101077"/>
    <n v="137689270"/>
    <n v="60776279"/>
    <n v="198465549"/>
    <n v="47033"/>
    <n v="9038"/>
    <n v="56071"/>
    <b v="1"/>
    <b v="1"/>
    <b v="1"/>
    <b v="1"/>
    <b v="1"/>
    <b v="1"/>
  </r>
  <r>
    <x v="3218"/>
    <n v="187300"/>
    <n v="69580"/>
    <n v="117720"/>
    <n v="180797605"/>
    <n v="90124521"/>
    <n v="270922126"/>
    <n v="57562"/>
    <n v="10383"/>
    <n v="67945"/>
    <b v="1"/>
    <b v="1"/>
    <b v="1"/>
    <b v="1"/>
    <b v="1"/>
    <b v="1"/>
  </r>
  <r>
    <x v="3219"/>
    <n v="190434"/>
    <n v="73329"/>
    <n v="117105"/>
    <n v="192038431"/>
    <n v="110953713"/>
    <n v="302992144"/>
    <n v="58571"/>
    <n v="10803"/>
    <n v="69374"/>
    <b v="1"/>
    <b v="1"/>
    <b v="1"/>
    <b v="1"/>
    <b v="1"/>
    <b v="1"/>
  </r>
  <r>
    <x v="3220"/>
    <n v="193713"/>
    <n v="74038"/>
    <n v="119675"/>
    <n v="201719818"/>
    <n v="169348964"/>
    <n v="371068782"/>
    <n v="62645"/>
    <n v="11618"/>
    <n v="74263"/>
    <b v="1"/>
    <b v="1"/>
    <b v="1"/>
    <b v="1"/>
    <b v="1"/>
    <b v="1"/>
  </r>
  <r>
    <x v="3221"/>
    <n v="182495"/>
    <n v="73355"/>
    <n v="109140"/>
    <n v="185479828"/>
    <n v="105976191"/>
    <n v="291456019"/>
    <n v="56045"/>
    <n v="11265"/>
    <n v="67310"/>
    <b v="1"/>
    <b v="1"/>
    <b v="1"/>
    <b v="1"/>
    <b v="1"/>
    <b v="1"/>
  </r>
  <r>
    <x v="3222"/>
    <n v="171833"/>
    <n v="66143"/>
    <n v="105690"/>
    <n v="153196320"/>
    <n v="85700896"/>
    <n v="238897216"/>
    <n v="55174"/>
    <n v="10273"/>
    <n v="65447"/>
    <b v="1"/>
    <b v="1"/>
    <b v="1"/>
    <b v="1"/>
    <b v="1"/>
    <b v="1"/>
  </r>
  <r>
    <x v="3223"/>
    <n v="188268"/>
    <n v="71775"/>
    <n v="116493"/>
    <n v="190731233"/>
    <n v="101766856"/>
    <n v="292498089"/>
    <n v="61475"/>
    <n v="11075"/>
    <n v="72550"/>
    <b v="1"/>
    <b v="1"/>
    <b v="1"/>
    <b v="1"/>
    <b v="1"/>
    <b v="1"/>
  </r>
  <r>
    <x v="3224"/>
    <n v="194911"/>
    <n v="75565"/>
    <n v="119346"/>
    <n v="191114289"/>
    <n v="103131265"/>
    <n v="294245554"/>
    <n v="57298"/>
    <n v="10639"/>
    <n v="67937"/>
    <b v="1"/>
    <b v="1"/>
    <b v="1"/>
    <b v="1"/>
    <b v="1"/>
    <b v="1"/>
  </r>
  <r>
    <x v="3225"/>
    <n v="198241"/>
    <n v="77678"/>
    <n v="120563"/>
    <n v="187786763"/>
    <n v="114344543"/>
    <n v="302131306"/>
    <n v="59803"/>
    <n v="10836"/>
    <n v="70639"/>
    <b v="1"/>
    <b v="1"/>
    <b v="1"/>
    <b v="1"/>
    <b v="1"/>
    <b v="1"/>
  </r>
  <r>
    <x v="3226"/>
    <n v="217999"/>
    <n v="82686"/>
    <n v="135313"/>
    <n v="216855617"/>
    <n v="128951817"/>
    <n v="345807434"/>
    <n v="71248"/>
    <n v="12160"/>
    <n v="83408"/>
    <b v="1"/>
    <b v="1"/>
    <b v="1"/>
    <b v="1"/>
    <b v="1"/>
    <b v="1"/>
  </r>
  <r>
    <x v="3227"/>
    <n v="218048"/>
    <n v="79984"/>
    <n v="138064"/>
    <n v="236381578"/>
    <n v="134899675"/>
    <n v="371281253"/>
    <n v="74803"/>
    <n v="13263"/>
    <n v="88066"/>
    <b v="1"/>
    <b v="1"/>
    <b v="1"/>
    <b v="1"/>
    <b v="1"/>
    <b v="1"/>
  </r>
  <r>
    <x v="3228"/>
    <n v="223163"/>
    <n v="83213"/>
    <n v="139950"/>
    <n v="247407756"/>
    <n v="134705552"/>
    <n v="382113308"/>
    <n v="82760"/>
    <n v="14677"/>
    <n v="97437"/>
    <b v="1"/>
    <b v="1"/>
    <b v="1"/>
    <b v="1"/>
    <b v="1"/>
    <b v="1"/>
  </r>
  <r>
    <x v="3229"/>
    <n v="215521"/>
    <n v="76278"/>
    <n v="139243"/>
    <n v="223384919"/>
    <n v="102465323"/>
    <n v="325850242"/>
    <n v="76271"/>
    <n v="12621"/>
    <n v="88892"/>
    <b v="1"/>
    <b v="1"/>
    <b v="1"/>
    <b v="1"/>
    <b v="1"/>
    <b v="1"/>
  </r>
  <r>
    <x v="3230"/>
    <n v="232098"/>
    <n v="82463"/>
    <n v="149635"/>
    <n v="254794565"/>
    <n v="122208141"/>
    <n v="377002706"/>
    <n v="87258"/>
    <n v="14902"/>
    <n v="102160"/>
    <b v="1"/>
    <b v="1"/>
    <b v="1"/>
    <b v="1"/>
    <b v="1"/>
    <b v="1"/>
  </r>
  <r>
    <x v="3231"/>
    <n v="233248"/>
    <n v="80814"/>
    <n v="152434"/>
    <n v="268609874"/>
    <n v="135062351"/>
    <n v="403672225"/>
    <n v="89256"/>
    <n v="14383"/>
    <n v="103639"/>
    <b v="1"/>
    <b v="1"/>
    <b v="1"/>
    <b v="1"/>
    <b v="1"/>
    <b v="1"/>
  </r>
  <r>
    <x v="3232"/>
    <n v="219218"/>
    <n v="78271"/>
    <n v="140947"/>
    <n v="257104323"/>
    <n v="134721619"/>
    <n v="391825942"/>
    <n v="84539"/>
    <n v="14056"/>
    <n v="98595"/>
    <b v="1"/>
    <b v="1"/>
    <b v="1"/>
    <b v="1"/>
    <b v="1"/>
    <b v="1"/>
  </r>
  <r>
    <x v="3233"/>
    <n v="232686"/>
    <n v="79276"/>
    <n v="153410"/>
    <n v="276085652"/>
    <n v="129852753"/>
    <n v="405938405"/>
    <n v="91463"/>
    <n v="14835"/>
    <n v="106298"/>
    <b v="1"/>
    <b v="1"/>
    <b v="1"/>
    <b v="1"/>
    <b v="1"/>
    <b v="1"/>
  </r>
  <r>
    <x v="3234"/>
    <n v="198759"/>
    <n v="69038"/>
    <n v="129721"/>
    <n v="219507546"/>
    <n v="103234648"/>
    <n v="322742194"/>
    <n v="69089"/>
    <n v="12048"/>
    <n v="81137"/>
    <b v="1"/>
    <b v="1"/>
    <b v="1"/>
    <b v="1"/>
    <b v="1"/>
    <b v="1"/>
  </r>
  <r>
    <x v="3235"/>
    <n v="182439"/>
    <n v="64940"/>
    <n v="117499"/>
    <n v="189183547"/>
    <n v="75418905"/>
    <n v="264602452"/>
    <n v="63482"/>
    <n v="11572"/>
    <n v="75054"/>
    <b v="1"/>
    <b v="1"/>
    <b v="1"/>
    <b v="1"/>
    <b v="1"/>
    <b v="1"/>
  </r>
  <r>
    <x v="3236"/>
    <n v="129371"/>
    <n v="42328"/>
    <n v="87043"/>
    <n v="123675096"/>
    <n v="42579351"/>
    <n v="166254447"/>
    <n v="45841"/>
    <n v="6934"/>
    <n v="52775"/>
    <b v="1"/>
    <b v="1"/>
    <b v="1"/>
    <b v="1"/>
    <b v="1"/>
    <b v="1"/>
  </r>
  <r>
    <x v="3237"/>
    <n v="170223"/>
    <n v="58427"/>
    <n v="111796"/>
    <n v="172374621"/>
    <n v="63846710"/>
    <n v="236221331"/>
    <n v="56246"/>
    <n v="9402"/>
    <n v="65648"/>
    <b v="1"/>
    <b v="1"/>
    <b v="1"/>
    <b v="1"/>
    <b v="1"/>
    <b v="1"/>
  </r>
  <r>
    <x v="3238"/>
    <n v="201379"/>
    <n v="65144"/>
    <n v="136235"/>
    <n v="223219817"/>
    <n v="80631166"/>
    <n v="303850983"/>
    <n v="75890"/>
    <n v="11680"/>
    <n v="87570"/>
    <b v="1"/>
    <b v="1"/>
    <b v="1"/>
    <b v="1"/>
    <b v="1"/>
    <b v="1"/>
  </r>
  <r>
    <x v="3239"/>
    <n v="196719"/>
    <n v="65951"/>
    <n v="130768"/>
    <n v="206203345"/>
    <n v="80230542"/>
    <n v="286433887"/>
    <n v="71916"/>
    <n v="11587"/>
    <n v="83503"/>
    <b v="1"/>
    <b v="1"/>
    <b v="1"/>
    <b v="1"/>
    <b v="1"/>
    <b v="1"/>
  </r>
  <r>
    <x v="3240"/>
    <n v="213060"/>
    <n v="72555"/>
    <n v="140505"/>
    <n v="238813349"/>
    <n v="103384340"/>
    <n v="342197689"/>
    <n v="80781"/>
    <n v="12741"/>
    <n v="93522"/>
    <b v="1"/>
    <b v="1"/>
    <b v="1"/>
    <b v="1"/>
    <b v="1"/>
    <b v="1"/>
  </r>
  <r>
    <x v="3241"/>
    <n v="219172"/>
    <n v="74233"/>
    <n v="144939"/>
    <n v="240544528"/>
    <n v="113182228"/>
    <n v="353726756"/>
    <n v="82781"/>
    <n v="13314"/>
    <n v="96095"/>
    <b v="1"/>
    <b v="1"/>
    <b v="1"/>
    <b v="1"/>
    <b v="1"/>
    <b v="1"/>
  </r>
  <r>
    <x v="3242"/>
    <n v="228302"/>
    <n v="77333"/>
    <n v="150969"/>
    <n v="242274869"/>
    <n v="111110654"/>
    <n v="353385523"/>
    <n v="81582"/>
    <n v="13873"/>
    <n v="95455"/>
    <b v="1"/>
    <b v="1"/>
    <b v="1"/>
    <b v="1"/>
    <b v="1"/>
    <b v="1"/>
  </r>
  <r>
    <x v="3243"/>
    <n v="167698"/>
    <n v="56718"/>
    <n v="110980"/>
    <n v="169880296"/>
    <n v="75551131"/>
    <n v="245431427"/>
    <n v="63006"/>
    <n v="10266"/>
    <n v="73272"/>
    <b v="1"/>
    <b v="1"/>
    <b v="1"/>
    <b v="1"/>
    <b v="1"/>
    <b v="1"/>
  </r>
  <r>
    <x v="3244"/>
    <n v="200455"/>
    <n v="67484"/>
    <n v="132971"/>
    <n v="200301209"/>
    <n v="93559627"/>
    <n v="293860836"/>
    <n v="73046"/>
    <n v="11902"/>
    <n v="84948"/>
    <b v="1"/>
    <b v="1"/>
    <b v="1"/>
    <b v="1"/>
    <b v="1"/>
    <b v="1"/>
  </r>
  <r>
    <x v="3245"/>
    <n v="228015"/>
    <n v="77823"/>
    <n v="150192"/>
    <n v="247713267"/>
    <n v="124616123"/>
    <n v="372329390"/>
    <n v="81259"/>
    <n v="13047"/>
    <n v="94306"/>
    <b v="1"/>
    <b v="1"/>
    <b v="1"/>
    <b v="1"/>
    <b v="1"/>
    <b v="1"/>
  </r>
  <r>
    <x v="3246"/>
    <n v="222540"/>
    <n v="76517"/>
    <n v="146023"/>
    <n v="235039573"/>
    <n v="125137449"/>
    <n v="360177022"/>
    <n v="78997"/>
    <n v="12778"/>
    <n v="91775"/>
    <b v="1"/>
    <b v="1"/>
    <b v="1"/>
    <b v="1"/>
    <b v="1"/>
    <b v="1"/>
  </r>
  <r>
    <x v="3247"/>
    <n v="213635"/>
    <n v="76148"/>
    <n v="137487"/>
    <n v="229562399"/>
    <n v="118110964"/>
    <n v="347673363"/>
    <n v="75942"/>
    <n v="12317"/>
    <n v="88259"/>
    <b v="1"/>
    <b v="1"/>
    <b v="1"/>
    <b v="1"/>
    <b v="1"/>
    <b v="1"/>
  </r>
  <r>
    <x v="3248"/>
    <n v="208810"/>
    <n v="75204"/>
    <n v="133606"/>
    <n v="223746542"/>
    <n v="115445217"/>
    <n v="339191759"/>
    <n v="74227"/>
    <n v="12309"/>
    <n v="86536"/>
    <b v="1"/>
    <b v="1"/>
    <b v="1"/>
    <b v="1"/>
    <b v="1"/>
    <b v="1"/>
  </r>
  <r>
    <x v="3249"/>
    <n v="204991"/>
    <n v="74716"/>
    <n v="130275"/>
    <n v="215816652"/>
    <n v="111371956"/>
    <n v="327188608"/>
    <n v="72400"/>
    <n v="11813"/>
    <n v="84213"/>
    <b v="1"/>
    <b v="1"/>
    <b v="1"/>
    <b v="1"/>
    <b v="1"/>
    <b v="1"/>
  </r>
  <r>
    <x v="3250"/>
    <n v="192622"/>
    <n v="65685"/>
    <n v="126937"/>
    <n v="198537567"/>
    <n v="141591859"/>
    <n v="340129426"/>
    <n v="68118"/>
    <n v="10745"/>
    <n v="78863"/>
    <b v="1"/>
    <b v="1"/>
    <b v="1"/>
    <b v="1"/>
    <b v="1"/>
    <b v="1"/>
  </r>
  <r>
    <x v="3251"/>
    <n v="193367"/>
    <n v="68123"/>
    <n v="125244"/>
    <n v="190567764"/>
    <n v="85681625"/>
    <n v="276249389"/>
    <n v="64344"/>
    <n v="10915"/>
    <n v="75259"/>
    <b v="1"/>
    <b v="1"/>
    <b v="1"/>
    <b v="1"/>
    <b v="1"/>
    <b v="1"/>
  </r>
  <r>
    <x v="3252"/>
    <n v="218894"/>
    <n v="75586"/>
    <n v="143308"/>
    <n v="228210211"/>
    <n v="103931668"/>
    <n v="332141879"/>
    <n v="74966"/>
    <n v="11706"/>
    <n v="86672"/>
    <b v="1"/>
    <b v="1"/>
    <b v="1"/>
    <b v="1"/>
    <b v="1"/>
    <b v="1"/>
  </r>
  <r>
    <x v="3253"/>
    <n v="221442"/>
    <n v="76184"/>
    <n v="145258"/>
    <n v="227535509"/>
    <n v="112526217"/>
    <n v="340061726"/>
    <n v="77275"/>
    <n v="11964"/>
    <n v="89239"/>
    <b v="1"/>
    <b v="1"/>
    <b v="1"/>
    <b v="1"/>
    <b v="1"/>
    <b v="1"/>
  </r>
  <r>
    <x v="3254"/>
    <n v="210124"/>
    <n v="72426"/>
    <n v="137698"/>
    <n v="216839771"/>
    <n v="104429755"/>
    <n v="321269526"/>
    <n v="72106"/>
    <n v="11030"/>
    <n v="83136"/>
    <b v="1"/>
    <b v="1"/>
    <b v="1"/>
    <b v="1"/>
    <b v="1"/>
    <b v="1"/>
  </r>
  <r>
    <x v="3255"/>
    <n v="218379"/>
    <n v="81073"/>
    <n v="137306"/>
    <n v="221004434"/>
    <n v="124875906"/>
    <n v="345880340"/>
    <n v="63827"/>
    <n v="11524"/>
    <n v="75351"/>
    <b v="1"/>
    <b v="1"/>
    <b v="1"/>
    <b v="1"/>
    <b v="1"/>
    <b v="1"/>
  </r>
  <r>
    <x v="3256"/>
    <n v="220726"/>
    <n v="81180"/>
    <n v="139546"/>
    <n v="224916384"/>
    <n v="120098819"/>
    <n v="345015203"/>
    <n v="63689"/>
    <n v="11654"/>
    <n v="75343"/>
    <b v="1"/>
    <b v="1"/>
    <b v="1"/>
    <b v="1"/>
    <b v="1"/>
    <b v="1"/>
  </r>
  <r>
    <x v="3257"/>
    <n v="178350"/>
    <n v="64846"/>
    <n v="113504"/>
    <n v="183308037"/>
    <n v="91134693"/>
    <n v="274442730"/>
    <n v="53181"/>
    <n v="9314"/>
    <n v="62495"/>
    <b v="1"/>
    <b v="1"/>
    <b v="1"/>
    <b v="1"/>
    <b v="1"/>
    <b v="1"/>
  </r>
  <r>
    <x v="3258"/>
    <n v="197838"/>
    <n v="73557"/>
    <n v="124281"/>
    <n v="209032682"/>
    <n v="111966244"/>
    <n v="320998926"/>
    <n v="60865"/>
    <n v="10491"/>
    <n v="71356"/>
    <b v="1"/>
    <b v="1"/>
    <b v="1"/>
    <b v="1"/>
    <b v="1"/>
    <b v="1"/>
  </r>
  <r>
    <x v="3259"/>
    <n v="186780"/>
    <n v="71010"/>
    <n v="115770"/>
    <n v="198860527"/>
    <n v="114651502"/>
    <n v="313512029"/>
    <n v="59622"/>
    <n v="10160"/>
    <n v="69782"/>
    <b v="1"/>
    <b v="1"/>
    <b v="1"/>
    <b v="1"/>
    <b v="1"/>
    <b v="1"/>
  </r>
  <r>
    <x v="3260"/>
    <n v="182755"/>
    <n v="66731"/>
    <n v="116024"/>
    <n v="189459073"/>
    <n v="115563127"/>
    <n v="305022200"/>
    <n v="58821"/>
    <n v="10293"/>
    <n v="69114"/>
    <b v="1"/>
    <b v="1"/>
    <b v="1"/>
    <b v="1"/>
    <b v="1"/>
    <b v="1"/>
  </r>
  <r>
    <x v="3261"/>
    <n v="172087"/>
    <n v="63607"/>
    <n v="108480"/>
    <n v="181439008"/>
    <n v="105752761"/>
    <n v="287191769"/>
    <n v="53949"/>
    <n v="9693"/>
    <n v="63642"/>
    <b v="1"/>
    <b v="1"/>
    <b v="1"/>
    <b v="1"/>
    <b v="1"/>
    <b v="1"/>
  </r>
  <r>
    <x v="3262"/>
    <n v="199200"/>
    <n v="73583"/>
    <n v="125617"/>
    <n v="200576503"/>
    <n v="111255858"/>
    <n v="311832361"/>
    <n v="59273"/>
    <n v="11002"/>
    <n v="70275"/>
    <b v="1"/>
    <b v="1"/>
    <b v="1"/>
    <b v="1"/>
    <b v="1"/>
    <b v="1"/>
  </r>
  <r>
    <x v="3263"/>
    <n v="185516"/>
    <n v="72753"/>
    <n v="112763"/>
    <n v="175706515"/>
    <n v="99803397"/>
    <n v="275509912"/>
    <n v="60380"/>
    <n v="11097"/>
    <n v="71477"/>
    <b v="1"/>
    <b v="1"/>
    <b v="1"/>
    <b v="1"/>
    <b v="1"/>
    <b v="1"/>
  </r>
  <r>
    <x v="3264"/>
    <n v="174076"/>
    <n v="66265"/>
    <n v="107811"/>
    <n v="157492640"/>
    <n v="80328378"/>
    <n v="237821018"/>
    <n v="56847"/>
    <n v="9604"/>
    <n v="66451"/>
    <b v="1"/>
    <b v="1"/>
    <b v="1"/>
    <b v="1"/>
    <b v="1"/>
    <b v="1"/>
  </r>
  <r>
    <x v="3265"/>
    <n v="202760"/>
    <n v="73897"/>
    <n v="128863"/>
    <n v="199374456"/>
    <n v="106231257"/>
    <n v="305605713"/>
    <n v="63622"/>
    <n v="10897"/>
    <n v="74519"/>
    <b v="1"/>
    <b v="1"/>
    <b v="1"/>
    <b v="1"/>
    <b v="1"/>
    <b v="1"/>
  </r>
  <r>
    <x v="3266"/>
    <n v="204348"/>
    <n v="73632"/>
    <n v="130716"/>
    <n v="208422051"/>
    <n v="119789747"/>
    <n v="328211798"/>
    <n v="65667"/>
    <n v="11165"/>
    <n v="76832"/>
    <b v="1"/>
    <b v="1"/>
    <b v="1"/>
    <b v="1"/>
    <b v="1"/>
    <b v="1"/>
  </r>
  <r>
    <x v="3267"/>
    <n v="205093"/>
    <n v="75837"/>
    <n v="129256"/>
    <n v="210335918"/>
    <n v="124249550"/>
    <n v="334585468"/>
    <n v="64541"/>
    <n v="11127"/>
    <n v="75668"/>
    <b v="1"/>
    <b v="1"/>
    <b v="1"/>
    <b v="1"/>
    <b v="1"/>
    <b v="1"/>
  </r>
  <r>
    <x v="3268"/>
    <n v="205937"/>
    <n v="75617"/>
    <n v="130320"/>
    <n v="211695364"/>
    <n v="123190220"/>
    <n v="334885584"/>
    <n v="66530"/>
    <n v="11398"/>
    <n v="77928"/>
    <b v="1"/>
    <b v="1"/>
    <b v="1"/>
    <b v="1"/>
    <b v="1"/>
    <b v="1"/>
  </r>
  <r>
    <x v="3269"/>
    <n v="204362"/>
    <n v="73682"/>
    <n v="130680"/>
    <n v="207098684"/>
    <n v="109692871"/>
    <n v="316791555"/>
    <n v="64447"/>
    <n v="10871"/>
    <n v="75318"/>
    <b v="1"/>
    <b v="1"/>
    <b v="1"/>
    <b v="1"/>
    <b v="1"/>
    <b v="1"/>
  </r>
  <r>
    <x v="3270"/>
    <n v="196302"/>
    <n v="72918"/>
    <n v="123384"/>
    <n v="190313703"/>
    <n v="106755133"/>
    <n v="297068836"/>
    <n v="60193"/>
    <n v="10726"/>
    <n v="70919"/>
    <b v="1"/>
    <b v="1"/>
    <b v="1"/>
    <b v="1"/>
    <b v="1"/>
    <b v="1"/>
  </r>
  <r>
    <x v="3271"/>
    <n v="160138"/>
    <n v="58084"/>
    <n v="102054"/>
    <n v="162920822"/>
    <n v="78566887"/>
    <n v="241487709"/>
    <n v="54551"/>
    <n v="9054"/>
    <n v="63605"/>
    <b v="1"/>
    <b v="1"/>
    <b v="1"/>
    <b v="1"/>
    <b v="1"/>
    <b v="1"/>
  </r>
  <r>
    <x v="3272"/>
    <n v="184467"/>
    <n v="70187"/>
    <n v="114280"/>
    <n v="195835800"/>
    <n v="108299665"/>
    <n v="304135465"/>
    <n v="61332"/>
    <n v="10345"/>
    <n v="71677"/>
    <b v="1"/>
    <b v="1"/>
    <b v="1"/>
    <b v="1"/>
    <b v="1"/>
    <b v="1"/>
  </r>
  <r>
    <x v="3273"/>
    <n v="209892"/>
    <n v="75168"/>
    <n v="134724"/>
    <n v="217438414"/>
    <n v="122080209"/>
    <n v="339518623"/>
    <n v="66720"/>
    <n v="11297"/>
    <n v="78017"/>
    <b v="1"/>
    <b v="1"/>
    <b v="1"/>
    <b v="1"/>
    <b v="1"/>
    <b v="1"/>
  </r>
  <r>
    <x v="3274"/>
    <n v="219986"/>
    <n v="77644"/>
    <n v="142342"/>
    <n v="228684563"/>
    <n v="125807291"/>
    <n v="354491854"/>
    <n v="69101"/>
    <n v="11522"/>
    <n v="80623"/>
    <b v="1"/>
    <b v="1"/>
    <b v="1"/>
    <b v="1"/>
    <b v="1"/>
    <b v="1"/>
  </r>
  <r>
    <x v="3275"/>
    <n v="210676"/>
    <n v="76697"/>
    <n v="133979"/>
    <n v="222474596"/>
    <n v="127087419"/>
    <n v="349562015"/>
    <n v="64900"/>
    <n v="11094"/>
    <n v="75994"/>
    <b v="1"/>
    <b v="1"/>
    <b v="1"/>
    <b v="1"/>
    <b v="1"/>
    <b v="1"/>
  </r>
  <r>
    <x v="3276"/>
    <n v="210777"/>
    <n v="74759"/>
    <n v="136018"/>
    <n v="221314320"/>
    <n v="115144897"/>
    <n v="336459217"/>
    <n v="62625"/>
    <n v="11356"/>
    <n v="73981"/>
    <b v="1"/>
    <b v="1"/>
    <b v="1"/>
    <b v="1"/>
    <b v="1"/>
    <b v="1"/>
  </r>
  <r>
    <x v="3277"/>
    <n v="221429"/>
    <n v="77601"/>
    <n v="143828"/>
    <n v="225534921"/>
    <n v="261957018"/>
    <n v="487491939"/>
    <n v="64348"/>
    <n v="11859"/>
    <n v="76207"/>
    <b v="1"/>
    <b v="1"/>
    <b v="1"/>
    <b v="1"/>
    <b v="1"/>
    <b v="1"/>
  </r>
  <r>
    <x v="3278"/>
    <n v="200019"/>
    <n v="70106"/>
    <n v="129913"/>
    <n v="200489507"/>
    <n v="92759314"/>
    <n v="293248821"/>
    <n v="63860"/>
    <n v="11208"/>
    <n v="75068"/>
    <b v="1"/>
    <b v="1"/>
    <b v="1"/>
    <b v="1"/>
    <b v="1"/>
    <b v="1"/>
  </r>
  <r>
    <x v="3279"/>
    <n v="211226"/>
    <n v="70657"/>
    <n v="140569"/>
    <n v="214815248"/>
    <n v="92540927"/>
    <n v="307356175"/>
    <n v="64173"/>
    <n v="11639"/>
    <n v="75812"/>
    <b v="1"/>
    <b v="1"/>
    <b v="1"/>
    <b v="1"/>
    <b v="1"/>
    <b v="1"/>
  </r>
  <r>
    <x v="3280"/>
    <n v="217009"/>
    <n v="75653"/>
    <n v="141356"/>
    <n v="231741919"/>
    <n v="108317009"/>
    <n v="340058928"/>
    <n v="70373"/>
    <n v="12019"/>
    <n v="82392"/>
    <b v="1"/>
    <b v="1"/>
    <b v="1"/>
    <b v="1"/>
    <b v="1"/>
    <b v="1"/>
  </r>
  <r>
    <x v="3281"/>
    <n v="207273"/>
    <n v="74450"/>
    <n v="132823"/>
    <n v="215091525"/>
    <n v="114819343"/>
    <n v="329910868"/>
    <n v="63018"/>
    <n v="11242"/>
    <n v="74260"/>
    <b v="1"/>
    <b v="1"/>
    <b v="1"/>
    <b v="1"/>
    <b v="1"/>
    <b v="1"/>
  </r>
  <r>
    <x v="3282"/>
    <n v="208530"/>
    <n v="74666"/>
    <n v="133864"/>
    <n v="216304380"/>
    <n v="109140235"/>
    <n v="325444615"/>
    <n v="60707"/>
    <n v="11199"/>
    <n v="71906"/>
    <b v="1"/>
    <b v="1"/>
    <b v="1"/>
    <b v="1"/>
    <b v="1"/>
    <b v="1"/>
  </r>
  <r>
    <x v="3283"/>
    <n v="209632"/>
    <n v="74757"/>
    <n v="134875"/>
    <n v="219926608"/>
    <n v="107928105"/>
    <n v="327854713"/>
    <n v="63466"/>
    <n v="11375"/>
    <n v="74841"/>
    <b v="1"/>
    <b v="1"/>
    <b v="1"/>
    <b v="1"/>
    <b v="1"/>
    <b v="1"/>
  </r>
  <r>
    <x v="3284"/>
    <n v="219760"/>
    <n v="77459"/>
    <n v="142301"/>
    <n v="230731505"/>
    <n v="101986516"/>
    <n v="332718021"/>
    <n v="62153"/>
    <n v="12059"/>
    <n v="74212"/>
    <b v="1"/>
    <b v="1"/>
    <b v="1"/>
    <b v="1"/>
    <b v="1"/>
    <b v="1"/>
  </r>
  <r>
    <x v="3285"/>
    <n v="189468"/>
    <n v="64194"/>
    <n v="125274"/>
    <n v="185501666"/>
    <n v="77535654"/>
    <n v="263037320"/>
    <n v="57745"/>
    <n v="10258"/>
    <n v="68003"/>
    <b v="1"/>
    <b v="1"/>
    <b v="1"/>
    <b v="1"/>
    <b v="1"/>
    <b v="1"/>
  </r>
  <r>
    <x v="3286"/>
    <n v="170506"/>
    <n v="57655"/>
    <n v="112851"/>
    <n v="166736271"/>
    <n v="75917593"/>
    <n v="242653864"/>
    <n v="58746"/>
    <n v="9807"/>
    <n v="68553"/>
    <b v="1"/>
    <b v="1"/>
    <b v="1"/>
    <b v="1"/>
    <b v="1"/>
    <b v="1"/>
  </r>
  <r>
    <x v="3287"/>
    <n v="212200"/>
    <n v="72081"/>
    <n v="140119"/>
    <n v="201062727"/>
    <n v="91778324"/>
    <n v="292841051"/>
    <n v="69316"/>
    <n v="11212"/>
    <n v="80528"/>
    <b v="1"/>
    <b v="1"/>
    <b v="1"/>
    <b v="1"/>
    <b v="1"/>
    <b v="1"/>
  </r>
  <r>
    <x v="3288"/>
    <n v="212515"/>
    <n v="73635"/>
    <n v="138880"/>
    <n v="212006622"/>
    <n v="104679934"/>
    <n v="316686556"/>
    <n v="66499"/>
    <n v="11570"/>
    <n v="78069"/>
    <b v="1"/>
    <b v="1"/>
    <b v="1"/>
    <b v="1"/>
    <b v="1"/>
    <b v="1"/>
  </r>
  <r>
    <x v="3289"/>
    <n v="218980"/>
    <n v="76736"/>
    <n v="142244"/>
    <n v="218797197"/>
    <n v="118873830"/>
    <n v="337671027"/>
    <n v="70560"/>
    <n v="12056"/>
    <n v="82616"/>
    <b v="1"/>
    <b v="1"/>
    <b v="1"/>
    <b v="1"/>
    <b v="1"/>
    <b v="1"/>
  </r>
  <r>
    <x v="3290"/>
    <n v="216789"/>
    <n v="77555"/>
    <n v="139234"/>
    <n v="213972894"/>
    <n v="122922259"/>
    <n v="336895153"/>
    <n v="65331"/>
    <n v="11134"/>
    <n v="76465"/>
    <b v="1"/>
    <b v="1"/>
    <b v="1"/>
    <b v="1"/>
    <b v="1"/>
    <b v="1"/>
  </r>
  <r>
    <x v="3291"/>
    <n v="219897"/>
    <n v="78864"/>
    <n v="141033"/>
    <n v="217728525"/>
    <n v="121476580"/>
    <n v="339205105"/>
    <n v="69519"/>
    <n v="11900"/>
    <n v="81419"/>
    <b v="1"/>
    <b v="1"/>
    <b v="1"/>
    <b v="1"/>
    <b v="1"/>
    <b v="1"/>
  </r>
  <r>
    <x v="3292"/>
    <n v="190629"/>
    <n v="68138"/>
    <n v="122491"/>
    <n v="191695249"/>
    <n v="90489139"/>
    <n v="282184388"/>
    <n v="66695"/>
    <n v="10877"/>
    <n v="77572"/>
    <b v="1"/>
    <b v="1"/>
    <b v="1"/>
    <b v="1"/>
    <b v="1"/>
    <b v="1"/>
  </r>
  <r>
    <x v="3293"/>
    <n v="214292"/>
    <n v="74610"/>
    <n v="139682"/>
    <n v="211240091"/>
    <n v="114609378"/>
    <n v="325849469"/>
    <n v="71281"/>
    <n v="11980"/>
    <n v="83261"/>
    <b v="1"/>
    <b v="1"/>
    <b v="1"/>
    <b v="1"/>
    <b v="1"/>
    <b v="1"/>
  </r>
  <r>
    <x v="3294"/>
    <n v="203733"/>
    <n v="71489"/>
    <n v="132244"/>
    <n v="203916385"/>
    <n v="119239998"/>
    <n v="323156383"/>
    <n v="64380"/>
    <n v="10811"/>
    <n v="75191"/>
    <b v="1"/>
    <b v="1"/>
    <b v="1"/>
    <b v="1"/>
    <b v="1"/>
    <b v="1"/>
  </r>
  <r>
    <x v="3295"/>
    <n v="211557"/>
    <n v="75230"/>
    <n v="136327"/>
    <n v="212691314"/>
    <n v="129888541"/>
    <n v="342579855"/>
    <n v="67157"/>
    <n v="11124"/>
    <n v="78281"/>
    <b v="1"/>
    <b v="1"/>
    <b v="1"/>
    <b v="1"/>
    <b v="1"/>
    <b v="1"/>
  </r>
  <r>
    <x v="3296"/>
    <n v="211112"/>
    <n v="75618"/>
    <n v="135494"/>
    <n v="206938107"/>
    <n v="124252598"/>
    <n v="331190705"/>
    <n v="66945"/>
    <n v="10935"/>
    <n v="77880"/>
    <b v="1"/>
    <b v="1"/>
    <b v="1"/>
    <b v="1"/>
    <b v="1"/>
    <b v="1"/>
  </r>
  <r>
    <x v="3297"/>
    <n v="203036"/>
    <n v="72894"/>
    <n v="130142"/>
    <n v="201739556"/>
    <n v="114185253"/>
    <n v="315924809"/>
    <n v="61485"/>
    <n v="10220"/>
    <n v="71705"/>
    <b v="1"/>
    <b v="1"/>
    <b v="1"/>
    <b v="1"/>
    <b v="1"/>
    <b v="1"/>
  </r>
  <r>
    <x v="3298"/>
    <n v="203338"/>
    <n v="73026"/>
    <n v="130312"/>
    <n v="195136270"/>
    <n v="101608289"/>
    <n v="296744559"/>
    <n v="57462"/>
    <n v="9715"/>
    <n v="67177"/>
    <b v="1"/>
    <b v="1"/>
    <b v="1"/>
    <b v="1"/>
    <b v="1"/>
    <b v="1"/>
  </r>
  <r>
    <x v="3299"/>
    <n v="179468"/>
    <n v="62906"/>
    <n v="116562"/>
    <n v="159641166"/>
    <n v="76434983"/>
    <n v="236076149"/>
    <n v="50172"/>
    <n v="8389"/>
    <n v="58561"/>
    <b v="1"/>
    <b v="1"/>
    <b v="1"/>
    <b v="1"/>
    <b v="1"/>
    <b v="1"/>
  </r>
  <r>
    <x v="3300"/>
    <n v="169941"/>
    <n v="60379"/>
    <n v="109562"/>
    <n v="170019216"/>
    <n v="86664795"/>
    <n v="256684011"/>
    <n v="58560"/>
    <n v="9594"/>
    <n v="68154"/>
    <b v="1"/>
    <b v="1"/>
    <b v="1"/>
    <b v="1"/>
    <b v="1"/>
    <b v="1"/>
  </r>
  <r>
    <x v="3301"/>
    <n v="187693"/>
    <n v="65603"/>
    <n v="122090"/>
    <n v="189769239"/>
    <n v="106113502"/>
    <n v="295882741"/>
    <n v="59370"/>
    <n v="9728"/>
    <n v="69098"/>
    <b v="1"/>
    <b v="1"/>
    <b v="1"/>
    <b v="1"/>
    <b v="1"/>
    <b v="1"/>
  </r>
  <r>
    <x v="3302"/>
    <n v="185076"/>
    <n v="66094"/>
    <n v="118982"/>
    <n v="182459006"/>
    <n v="105164347"/>
    <n v="287623353"/>
    <n v="56337"/>
    <n v="9509"/>
    <n v="65846"/>
    <b v="1"/>
    <b v="1"/>
    <b v="1"/>
    <b v="1"/>
    <b v="1"/>
    <b v="1"/>
  </r>
  <r>
    <x v="3303"/>
    <n v="188636"/>
    <n v="67943"/>
    <n v="120693"/>
    <n v="181049716"/>
    <n v="107634809"/>
    <n v="288684525"/>
    <n v="57010"/>
    <n v="9725"/>
    <n v="66735"/>
    <b v="1"/>
    <b v="1"/>
    <b v="1"/>
    <b v="1"/>
    <b v="1"/>
    <b v="1"/>
  </r>
  <r>
    <x v="3304"/>
    <n v="188109"/>
    <n v="69282"/>
    <n v="118827"/>
    <n v="186580728"/>
    <n v="113290678"/>
    <n v="299871406"/>
    <n v="58009"/>
    <n v="9916"/>
    <n v="67925"/>
    <b v="1"/>
    <b v="1"/>
    <b v="1"/>
    <b v="1"/>
    <b v="1"/>
    <b v="1"/>
  </r>
  <r>
    <x v="3305"/>
    <n v="187632"/>
    <n v="68213"/>
    <n v="119419"/>
    <n v="176129717"/>
    <n v="104689887"/>
    <n v="280819604"/>
    <n v="54689"/>
    <n v="8798"/>
    <n v="63487"/>
    <b v="1"/>
    <b v="1"/>
    <b v="1"/>
    <b v="1"/>
    <b v="1"/>
    <b v="1"/>
  </r>
  <r>
    <x v="3306"/>
    <n v="165433"/>
    <n v="59655"/>
    <n v="105778"/>
    <n v="151006044"/>
    <n v="79862747"/>
    <n v="230868791"/>
    <n v="48215"/>
    <n v="8161"/>
    <n v="56376"/>
    <b v="1"/>
    <b v="1"/>
    <b v="1"/>
    <b v="1"/>
    <b v="1"/>
    <b v="1"/>
  </r>
  <r>
    <x v="3307"/>
    <n v="160398"/>
    <n v="52694"/>
    <n v="107704"/>
    <n v="142800750"/>
    <n v="74164205"/>
    <n v="216964955"/>
    <n v="44050"/>
    <n v="7142"/>
    <n v="51192"/>
    <b v="1"/>
    <b v="1"/>
    <b v="1"/>
    <b v="1"/>
    <b v="1"/>
    <b v="1"/>
  </r>
  <r>
    <x v="3308"/>
    <n v="186519"/>
    <n v="66676"/>
    <n v="119843"/>
    <n v="169223338"/>
    <n v="157174755"/>
    <n v="326398093"/>
    <n v="53528"/>
    <n v="8779"/>
    <n v="62307"/>
    <b v="1"/>
    <b v="1"/>
    <b v="1"/>
    <b v="1"/>
    <b v="1"/>
    <b v="1"/>
  </r>
  <r>
    <x v="3309"/>
    <n v="189118"/>
    <n v="66678"/>
    <n v="122440"/>
    <n v="191229334"/>
    <n v="110220822"/>
    <n v="301450156"/>
    <n v="55529"/>
    <n v="9267"/>
    <n v="64796"/>
    <b v="1"/>
    <b v="1"/>
    <b v="1"/>
    <b v="1"/>
    <b v="1"/>
    <b v="1"/>
  </r>
  <r>
    <x v="3310"/>
    <n v="192630"/>
    <n v="71440"/>
    <n v="121190"/>
    <n v="184421576"/>
    <n v="106225721"/>
    <n v="290647297"/>
    <n v="58400"/>
    <n v="9501"/>
    <n v="67901"/>
    <b v="1"/>
    <b v="1"/>
    <b v="1"/>
    <b v="1"/>
    <b v="1"/>
    <b v="1"/>
  </r>
  <r>
    <x v="3311"/>
    <n v="143823"/>
    <n v="48124"/>
    <n v="95699"/>
    <n v="113871438"/>
    <n v="56679608"/>
    <n v="170551046"/>
    <n v="42132"/>
    <n v="6501"/>
    <n v="48633"/>
    <b v="1"/>
    <b v="1"/>
    <b v="1"/>
    <b v="1"/>
    <b v="1"/>
    <b v="1"/>
  </r>
  <r>
    <x v="3312"/>
    <n v="195882"/>
    <n v="72046"/>
    <n v="123836"/>
    <n v="183590598"/>
    <n v="99218456"/>
    <n v="282809054"/>
    <n v="58121"/>
    <n v="9994"/>
    <n v="68115"/>
    <b v="1"/>
    <b v="1"/>
    <b v="1"/>
    <b v="1"/>
    <b v="1"/>
    <b v="1"/>
  </r>
  <r>
    <x v="3313"/>
    <n v="189761"/>
    <n v="65324"/>
    <n v="124437"/>
    <n v="177640784"/>
    <n v="83512189"/>
    <n v="261152973"/>
    <n v="58317"/>
    <n v="9488"/>
    <n v="67805"/>
    <b v="1"/>
    <b v="1"/>
    <b v="1"/>
    <b v="1"/>
    <b v="1"/>
    <b v="1"/>
  </r>
  <r>
    <x v="3314"/>
    <n v="208332"/>
    <n v="73002"/>
    <n v="135330"/>
    <n v="202276144"/>
    <n v="102987758"/>
    <n v="305263902"/>
    <n v="60522"/>
    <n v="10451"/>
    <n v="70973"/>
    <b v="1"/>
    <b v="1"/>
    <b v="1"/>
    <b v="1"/>
    <b v="1"/>
    <b v="1"/>
  </r>
  <r>
    <x v="3315"/>
    <n v="200692"/>
    <n v="71438"/>
    <n v="129254"/>
    <n v="200038086"/>
    <n v="106882864"/>
    <n v="306920950"/>
    <n v="60937"/>
    <n v="10024"/>
    <n v="70961"/>
    <b v="1"/>
    <b v="1"/>
    <b v="1"/>
    <b v="1"/>
    <b v="1"/>
    <b v="1"/>
  </r>
  <r>
    <x v="3316"/>
    <n v="188216"/>
    <n v="67498"/>
    <n v="120718"/>
    <n v="184291064"/>
    <n v="94871160"/>
    <n v="279162224"/>
    <n v="52882"/>
    <n v="8432"/>
    <n v="61314"/>
    <b v="1"/>
    <b v="1"/>
    <b v="1"/>
    <b v="1"/>
    <b v="1"/>
    <b v="1"/>
  </r>
  <r>
    <x v="3317"/>
    <n v="195761"/>
    <n v="72840"/>
    <n v="122921"/>
    <n v="178464670"/>
    <n v="115626650"/>
    <n v="294091320"/>
    <n v="53549"/>
    <n v="8934"/>
    <n v="62483"/>
    <b v="1"/>
    <b v="1"/>
    <b v="1"/>
    <b v="1"/>
    <b v="1"/>
    <b v="1"/>
  </r>
  <r>
    <x v="3318"/>
    <n v="200691"/>
    <n v="73780"/>
    <n v="126911"/>
    <n v="184315616"/>
    <n v="119271463"/>
    <n v="303587079"/>
    <n v="57697"/>
    <n v="9316"/>
    <n v="67013"/>
    <b v="1"/>
    <b v="1"/>
    <b v="1"/>
    <b v="1"/>
    <b v="1"/>
    <b v="1"/>
  </r>
  <r>
    <x v="3319"/>
    <n v="204579"/>
    <n v="75307"/>
    <n v="129272"/>
    <n v="187082105"/>
    <n v="114573536"/>
    <n v="301655641"/>
    <n v="57699"/>
    <n v="9661"/>
    <n v="67360"/>
    <b v="1"/>
    <b v="1"/>
    <b v="1"/>
    <b v="1"/>
    <b v="1"/>
    <b v="1"/>
  </r>
  <r>
    <x v="3320"/>
    <n v="189032"/>
    <n v="66267"/>
    <n v="122765"/>
    <n v="165677397"/>
    <n v="87406910"/>
    <n v="253084307"/>
    <n v="52786"/>
    <n v="8384"/>
    <n v="61170"/>
    <b v="1"/>
    <b v="1"/>
    <b v="1"/>
    <b v="1"/>
    <b v="1"/>
    <b v="1"/>
  </r>
  <r>
    <x v="3321"/>
    <n v="209634"/>
    <n v="73402"/>
    <n v="136232"/>
    <n v="199579613"/>
    <n v="109518448"/>
    <n v="309098061"/>
    <n v="64688"/>
    <n v="10153"/>
    <n v="74841"/>
    <b v="1"/>
    <b v="1"/>
    <b v="1"/>
    <b v="1"/>
    <b v="1"/>
    <b v="1"/>
  </r>
  <r>
    <x v="3322"/>
    <n v="199530"/>
    <n v="69478"/>
    <n v="130052"/>
    <n v="197713251"/>
    <n v="117604074"/>
    <n v="315317325"/>
    <n v="62611"/>
    <n v="9621"/>
    <n v="72232"/>
    <b v="1"/>
    <b v="1"/>
    <b v="1"/>
    <b v="1"/>
    <b v="1"/>
    <b v="1"/>
  </r>
  <r>
    <x v="3323"/>
    <n v="221952"/>
    <n v="77184"/>
    <n v="144768"/>
    <n v="220491148"/>
    <n v="127717174"/>
    <n v="348208322"/>
    <n v="68983"/>
    <n v="11077"/>
    <n v="80060"/>
    <b v="1"/>
    <b v="1"/>
    <b v="1"/>
    <b v="1"/>
    <b v="1"/>
    <b v="1"/>
  </r>
  <r>
    <x v="3324"/>
    <n v="214824"/>
    <n v="75954"/>
    <n v="138870"/>
    <n v="206908908"/>
    <n v="124754520"/>
    <n v="331663428"/>
    <n v="55797"/>
    <n v="10372"/>
    <n v="66169"/>
    <b v="1"/>
    <b v="1"/>
    <b v="1"/>
    <b v="1"/>
    <b v="1"/>
    <b v="1"/>
  </r>
  <r>
    <x v="3325"/>
    <n v="220230"/>
    <n v="78712"/>
    <n v="141518"/>
    <n v="209816240"/>
    <n v="120520845"/>
    <n v="330337085"/>
    <n v="69271"/>
    <n v="10988"/>
    <n v="80259"/>
    <b v="1"/>
    <b v="1"/>
    <b v="1"/>
    <b v="1"/>
    <b v="1"/>
    <b v="1"/>
  </r>
  <r>
    <x v="3326"/>
    <n v="213407"/>
    <n v="76088"/>
    <n v="137319"/>
    <n v="192830450"/>
    <n v="109125747"/>
    <n v="301956197"/>
    <n v="67309"/>
    <n v="10800"/>
    <n v="78109"/>
    <b v="1"/>
    <b v="1"/>
    <b v="1"/>
    <b v="1"/>
    <b v="1"/>
    <b v="1"/>
  </r>
  <r>
    <x v="3327"/>
    <n v="193284"/>
    <n v="66410"/>
    <n v="126874"/>
    <n v="171871372"/>
    <n v="81745676"/>
    <n v="253617048"/>
    <n v="60744"/>
    <n v="9292"/>
    <n v="70036"/>
    <b v="1"/>
    <b v="1"/>
    <b v="1"/>
    <b v="1"/>
    <b v="1"/>
    <b v="1"/>
  </r>
  <r>
    <x v="3328"/>
    <n v="210235"/>
    <n v="73191"/>
    <n v="137044"/>
    <n v="203685510"/>
    <n v="106842368"/>
    <n v="310527878"/>
    <n v="62470"/>
    <n v="10423"/>
    <n v="72893"/>
    <b v="1"/>
    <b v="1"/>
    <b v="1"/>
    <b v="1"/>
    <b v="1"/>
    <b v="1"/>
  </r>
  <r>
    <x v="3329"/>
    <n v="206727"/>
    <n v="73954"/>
    <n v="132773"/>
    <n v="201198317"/>
    <n v="108175946"/>
    <n v="309374263"/>
    <n v="62359"/>
    <n v="9836"/>
    <n v="72195"/>
    <b v="1"/>
    <b v="1"/>
    <b v="1"/>
    <b v="1"/>
    <b v="1"/>
    <b v="1"/>
  </r>
  <r>
    <x v="3330"/>
    <n v="212039"/>
    <n v="74157"/>
    <n v="137882"/>
    <n v="202928918"/>
    <n v="104221954"/>
    <n v="307150872"/>
    <n v="68570"/>
    <n v="10247"/>
    <n v="78817"/>
    <b v="1"/>
    <b v="1"/>
    <b v="1"/>
    <b v="1"/>
    <b v="1"/>
    <b v="1"/>
  </r>
  <r>
    <x v="3331"/>
    <n v="214600"/>
    <n v="75775"/>
    <n v="138825"/>
    <n v="204583005"/>
    <n v="115492101"/>
    <n v="320075106"/>
    <n v="69611"/>
    <n v="10735"/>
    <n v="80346"/>
    <b v="1"/>
    <b v="1"/>
    <b v="1"/>
    <b v="1"/>
    <b v="1"/>
    <b v="1"/>
  </r>
  <r>
    <x v="3332"/>
    <n v="211180"/>
    <n v="74858"/>
    <n v="136322"/>
    <n v="192763775"/>
    <n v="113530609"/>
    <n v="306294384"/>
    <n v="66890"/>
    <n v="9915"/>
    <n v="76805"/>
    <b v="1"/>
    <b v="1"/>
    <b v="1"/>
    <b v="1"/>
    <b v="1"/>
    <b v="1"/>
  </r>
  <r>
    <x v="3333"/>
    <n v="202536"/>
    <n v="76134"/>
    <n v="126402"/>
    <n v="185819464"/>
    <n v="112404316"/>
    <n v="298223780"/>
    <n v="57535"/>
    <n v="9645"/>
    <n v="67180"/>
    <b v="1"/>
    <b v="1"/>
    <b v="1"/>
    <b v="1"/>
    <b v="1"/>
    <b v="1"/>
  </r>
  <r>
    <x v="3334"/>
    <n v="189060"/>
    <n v="65247"/>
    <n v="123813"/>
    <n v="165080733"/>
    <n v="81490377"/>
    <n v="246571110"/>
    <n v="55378"/>
    <n v="8473"/>
    <n v="63851"/>
    <b v="1"/>
    <b v="1"/>
    <b v="1"/>
    <b v="1"/>
    <b v="1"/>
    <b v="1"/>
  </r>
  <r>
    <x v="3335"/>
    <n v="202578"/>
    <n v="69568"/>
    <n v="133010"/>
    <n v="193880685"/>
    <n v="99758781"/>
    <n v="293639466"/>
    <n v="64138"/>
    <n v="9645"/>
    <n v="73783"/>
    <b v="1"/>
    <b v="1"/>
    <b v="1"/>
    <b v="1"/>
    <b v="1"/>
    <b v="1"/>
  </r>
  <r>
    <x v="3336"/>
    <n v="185213"/>
    <n v="63993"/>
    <n v="121220"/>
    <n v="177461401"/>
    <n v="105405247"/>
    <n v="282866648"/>
    <n v="58872"/>
    <n v="8416"/>
    <n v="67288"/>
    <b v="1"/>
    <b v="1"/>
    <b v="1"/>
    <b v="1"/>
    <b v="1"/>
    <b v="1"/>
  </r>
  <r>
    <x v="3337"/>
    <n v="209807"/>
    <n v="72031"/>
    <n v="137776"/>
    <n v="198442780"/>
    <n v="118969845"/>
    <n v="317412625"/>
    <n v="63251"/>
    <n v="9674"/>
    <n v="72925"/>
    <b v="1"/>
    <b v="1"/>
    <b v="1"/>
    <b v="1"/>
    <b v="1"/>
    <b v="1"/>
  </r>
  <r>
    <x v="3338"/>
    <n v="209651"/>
    <n v="73039"/>
    <n v="136612"/>
    <n v="196212885"/>
    <n v="119116037"/>
    <n v="315328922"/>
    <n v="64469"/>
    <n v="9946"/>
    <n v="74415"/>
    <b v="1"/>
    <b v="1"/>
    <b v="1"/>
    <b v="1"/>
    <b v="1"/>
    <b v="1"/>
  </r>
  <r>
    <x v="3339"/>
    <n v="211215"/>
    <n v="74909"/>
    <n v="136306"/>
    <n v="196626433"/>
    <n v="114511412"/>
    <n v="311137845"/>
    <n v="65843"/>
    <n v="10113"/>
    <n v="75956"/>
    <b v="1"/>
    <b v="1"/>
    <b v="1"/>
    <b v="1"/>
    <b v="1"/>
    <b v="1"/>
  </r>
  <r>
    <x v="3340"/>
    <n v="199303"/>
    <n v="71110"/>
    <n v="128193"/>
    <n v="174681758"/>
    <n v="100405777"/>
    <n v="275087535"/>
    <n v="62421"/>
    <n v="9929"/>
    <n v="72350"/>
    <b v="1"/>
    <b v="1"/>
    <b v="1"/>
    <b v="1"/>
    <b v="1"/>
    <b v="1"/>
  </r>
  <r>
    <x v="3341"/>
    <n v="184801"/>
    <n v="61725"/>
    <n v="123076"/>
    <n v="169592299"/>
    <n v="79470373"/>
    <n v="249062672"/>
    <n v="60274"/>
    <n v="9207"/>
    <n v="69481"/>
    <b v="1"/>
    <b v="1"/>
    <b v="1"/>
    <b v="1"/>
    <b v="1"/>
    <b v="1"/>
  </r>
  <r>
    <x v="3342"/>
    <n v="199927"/>
    <n v="69307"/>
    <n v="130620"/>
    <n v="186305589"/>
    <n v="95853002"/>
    <n v="282158591"/>
    <n v="65909"/>
    <n v="10163"/>
    <n v="76072"/>
    <b v="1"/>
    <b v="1"/>
    <b v="1"/>
    <b v="1"/>
    <b v="1"/>
    <b v="1"/>
  </r>
  <r>
    <x v="3343"/>
    <n v="201211"/>
    <n v="71685"/>
    <n v="129526"/>
    <n v="190344937"/>
    <n v="109653081"/>
    <n v="299998018"/>
    <n v="68275"/>
    <n v="10410"/>
    <n v="78685"/>
    <b v="1"/>
    <b v="1"/>
    <b v="1"/>
    <b v="1"/>
    <b v="1"/>
    <b v="1"/>
  </r>
  <r>
    <x v="3344"/>
    <n v="205481"/>
    <n v="72529"/>
    <n v="132952"/>
    <n v="192737396"/>
    <n v="108604750"/>
    <n v="301342146"/>
    <n v="68414"/>
    <n v="10497"/>
    <n v="78911"/>
    <b v="1"/>
    <b v="1"/>
    <b v="1"/>
    <b v="1"/>
    <b v="1"/>
    <b v="1"/>
  </r>
  <r>
    <x v="3345"/>
    <n v="209697"/>
    <n v="73274"/>
    <n v="136423"/>
    <n v="204652741"/>
    <n v="102605645"/>
    <n v="307258386"/>
    <n v="69350"/>
    <n v="10692"/>
    <n v="80042"/>
    <b v="1"/>
    <b v="1"/>
    <b v="1"/>
    <b v="1"/>
    <b v="1"/>
    <b v="1"/>
  </r>
  <r>
    <x v="3346"/>
    <n v="219738"/>
    <n v="82078"/>
    <n v="137660"/>
    <n v="203987528"/>
    <n v="148655951"/>
    <n v="352643479"/>
    <n v="66178"/>
    <n v="10363"/>
    <n v="76541"/>
    <b v="1"/>
    <b v="1"/>
    <b v="1"/>
    <b v="1"/>
    <b v="1"/>
    <b v="1"/>
  </r>
  <r>
    <x v="3347"/>
    <n v="217652"/>
    <n v="82262"/>
    <n v="135390"/>
    <n v="200215997"/>
    <n v="136622509"/>
    <n v="336838506"/>
    <n v="62616"/>
    <n v="10194"/>
    <n v="72810"/>
    <b v="1"/>
    <b v="1"/>
    <b v="1"/>
    <b v="1"/>
    <b v="1"/>
    <b v="1"/>
  </r>
  <r>
    <x v="3348"/>
    <n v="203836"/>
    <n v="73009"/>
    <n v="130827"/>
    <n v="177088566"/>
    <n v="105651615"/>
    <n v="282740181"/>
    <n v="60582"/>
    <n v="9063"/>
    <n v="69645"/>
    <b v="1"/>
    <b v="1"/>
    <b v="1"/>
    <b v="1"/>
    <b v="1"/>
    <b v="1"/>
  </r>
  <r>
    <x v="3349"/>
    <n v="225353"/>
    <n v="81867"/>
    <n v="143486"/>
    <n v="205008943"/>
    <n v="129843691"/>
    <n v="334852634"/>
    <n v="71805"/>
    <n v="10570"/>
    <n v="82375"/>
    <b v="1"/>
    <b v="1"/>
    <b v="1"/>
    <b v="1"/>
    <b v="1"/>
    <b v="1"/>
  </r>
  <r>
    <x v="3350"/>
    <n v="223060"/>
    <n v="83067"/>
    <n v="139993"/>
    <n v="203472484"/>
    <n v="141361218"/>
    <n v="344833702"/>
    <n v="67906"/>
    <n v="10099"/>
    <n v="78005"/>
    <b v="1"/>
    <b v="1"/>
    <b v="1"/>
    <b v="1"/>
    <b v="1"/>
    <b v="1"/>
  </r>
  <r>
    <x v="3351"/>
    <n v="224359"/>
    <n v="82036"/>
    <n v="142323"/>
    <n v="222441679"/>
    <n v="155549096"/>
    <n v="377990775"/>
    <n v="71103"/>
    <n v="9926"/>
    <n v="81029"/>
    <b v="1"/>
    <b v="1"/>
    <b v="1"/>
    <b v="1"/>
    <b v="1"/>
    <b v="1"/>
  </r>
  <r>
    <x v="3352"/>
    <n v="212884"/>
    <n v="79403"/>
    <n v="133481"/>
    <n v="204815792"/>
    <n v="142173686"/>
    <n v="346989478"/>
    <n v="63270"/>
    <n v="9762"/>
    <n v="73032"/>
    <b v="1"/>
    <b v="1"/>
    <b v="1"/>
    <b v="1"/>
    <b v="1"/>
    <b v="1"/>
  </r>
  <r>
    <x v="3353"/>
    <n v="188750"/>
    <n v="70050"/>
    <n v="118700"/>
    <n v="168816536"/>
    <n v="116572557"/>
    <n v="285389093"/>
    <n v="60923"/>
    <n v="8887"/>
    <n v="69810"/>
    <b v="1"/>
    <b v="1"/>
    <b v="1"/>
    <b v="1"/>
    <b v="1"/>
    <b v="1"/>
  </r>
  <r>
    <x v="3354"/>
    <n v="207775"/>
    <n v="79671"/>
    <n v="128104"/>
    <n v="185800887"/>
    <n v="126384754"/>
    <n v="312185641"/>
    <n v="62032"/>
    <n v="9850"/>
    <n v="71882"/>
    <b v="1"/>
    <b v="1"/>
    <b v="1"/>
    <b v="1"/>
    <b v="1"/>
    <b v="1"/>
  </r>
  <r>
    <x v="3355"/>
    <n v="200435"/>
    <n v="72180"/>
    <n v="128255"/>
    <n v="170776298"/>
    <n v="97101454"/>
    <n v="267877752"/>
    <n v="60687"/>
    <n v="9010"/>
    <n v="69697"/>
    <b v="1"/>
    <b v="1"/>
    <b v="1"/>
    <b v="1"/>
    <b v="1"/>
    <b v="1"/>
  </r>
  <r>
    <x v="3356"/>
    <n v="221254"/>
    <n v="79569"/>
    <n v="141685"/>
    <n v="200542365"/>
    <n v="118817882"/>
    <n v="319360247"/>
    <n v="65661"/>
    <n v="10410"/>
    <n v="76071"/>
    <b v="1"/>
    <b v="1"/>
    <b v="1"/>
    <b v="1"/>
    <b v="1"/>
    <b v="1"/>
  </r>
  <r>
    <x v="3357"/>
    <n v="226489"/>
    <n v="80715"/>
    <n v="145774"/>
    <n v="215678860"/>
    <n v="133775313"/>
    <n v="349454173"/>
    <n v="66951"/>
    <n v="10689"/>
    <n v="77640"/>
    <b v="1"/>
    <b v="1"/>
    <b v="1"/>
    <b v="1"/>
    <b v="1"/>
    <b v="1"/>
  </r>
  <r>
    <x v="3358"/>
    <n v="224881"/>
    <n v="82468"/>
    <n v="142413"/>
    <n v="214062383"/>
    <n v="143802615"/>
    <n v="357864998"/>
    <n v="69994"/>
    <n v="10875"/>
    <n v="80869"/>
    <b v="1"/>
    <b v="1"/>
    <b v="1"/>
    <b v="1"/>
    <b v="1"/>
    <b v="1"/>
  </r>
  <r>
    <x v="3359"/>
    <n v="232600"/>
    <n v="84977"/>
    <n v="147623"/>
    <n v="230838003"/>
    <n v="151222570"/>
    <n v="382060573"/>
    <n v="73362"/>
    <n v="11182"/>
    <n v="84544"/>
    <b v="1"/>
    <b v="1"/>
    <b v="1"/>
    <b v="1"/>
    <b v="1"/>
    <b v="1"/>
  </r>
  <r>
    <x v="3360"/>
    <n v="230443"/>
    <n v="83532"/>
    <n v="146911"/>
    <n v="219435725"/>
    <n v="142256309"/>
    <n v="361692034"/>
    <n v="71365"/>
    <n v="10885"/>
    <n v="82250"/>
    <b v="1"/>
    <b v="1"/>
    <b v="1"/>
    <b v="1"/>
    <b v="1"/>
    <b v="1"/>
  </r>
  <r>
    <x v="3361"/>
    <n v="229969"/>
    <n v="83456"/>
    <n v="146513"/>
    <n v="217242746"/>
    <n v="127767243"/>
    <n v="345009989"/>
    <n v="74296"/>
    <n v="11368"/>
    <n v="85664"/>
    <b v="1"/>
    <b v="1"/>
    <b v="1"/>
    <b v="1"/>
    <b v="1"/>
    <b v="1"/>
  </r>
  <r>
    <x v="3362"/>
    <n v="207370"/>
    <n v="74849"/>
    <n v="132521"/>
    <n v="180672004"/>
    <n v="99415586"/>
    <n v="280087590"/>
    <n v="68268"/>
    <n v="10182"/>
    <n v="78450"/>
    <b v="1"/>
    <b v="1"/>
    <b v="1"/>
    <b v="1"/>
    <b v="1"/>
    <b v="1"/>
  </r>
  <r>
    <x v="3363"/>
    <n v="234599"/>
    <n v="82501"/>
    <n v="152098"/>
    <n v="221016877"/>
    <n v="121350949"/>
    <n v="342367826"/>
    <n v="76609"/>
    <n v="11540"/>
    <n v="88149"/>
    <b v="1"/>
    <b v="1"/>
    <b v="1"/>
    <b v="1"/>
    <b v="1"/>
    <b v="1"/>
  </r>
  <r>
    <x v="3364"/>
    <n v="238982"/>
    <n v="83636"/>
    <n v="155346"/>
    <n v="236488710"/>
    <n v="136331912"/>
    <n v="372820622"/>
    <n v="80585"/>
    <n v="12012"/>
    <n v="92597"/>
    <b v="1"/>
    <b v="1"/>
    <b v="1"/>
    <b v="1"/>
    <b v="1"/>
    <b v="1"/>
  </r>
  <r>
    <x v="3365"/>
    <n v="236521"/>
    <n v="82853"/>
    <n v="153668"/>
    <n v="227167813"/>
    <n v="131695608"/>
    <n v="358863421"/>
    <n v="79400"/>
    <n v="11573"/>
    <n v="90973"/>
    <b v="1"/>
    <b v="1"/>
    <b v="1"/>
    <b v="1"/>
    <b v="1"/>
    <b v="1"/>
  </r>
  <r>
    <x v="3366"/>
    <n v="249175"/>
    <n v="87895"/>
    <n v="161280"/>
    <n v="243915182"/>
    <n v="142747757"/>
    <n v="386662939"/>
    <n v="83693"/>
    <n v="12352"/>
    <n v="96045"/>
    <b v="1"/>
    <b v="1"/>
    <b v="1"/>
    <b v="1"/>
    <b v="1"/>
    <b v="1"/>
  </r>
  <r>
    <x v="3367"/>
    <n v="246908"/>
    <n v="87390"/>
    <n v="159518"/>
    <n v="269016837"/>
    <n v="137763745"/>
    <n v="406780582"/>
    <n v="85171"/>
    <n v="12341"/>
    <n v="97512"/>
    <b v="1"/>
    <b v="1"/>
    <b v="1"/>
    <b v="1"/>
    <b v="1"/>
    <b v="1"/>
  </r>
  <r>
    <x v="3368"/>
    <n v="246233"/>
    <n v="88994"/>
    <n v="157239"/>
    <n v="233230182"/>
    <n v="124335037"/>
    <n v="357565219"/>
    <n v="83208"/>
    <n v="12183"/>
    <n v="95391"/>
    <b v="1"/>
    <b v="1"/>
    <b v="1"/>
    <b v="1"/>
    <b v="1"/>
    <b v="1"/>
  </r>
  <r>
    <x v="3369"/>
    <n v="191494"/>
    <n v="64478"/>
    <n v="127016"/>
    <n v="171570101"/>
    <n v="72135087"/>
    <n v="243705188"/>
    <n v="64684"/>
    <n v="9051"/>
    <n v="73735"/>
    <b v="1"/>
    <b v="1"/>
    <b v="1"/>
    <b v="1"/>
    <b v="1"/>
    <b v="1"/>
  </r>
  <r>
    <x v="3370"/>
    <n v="162477"/>
    <n v="52148"/>
    <n v="110329"/>
    <n v="144573631"/>
    <n v="54415787"/>
    <n v="198989418"/>
    <n v="43339"/>
    <n v="7358"/>
    <n v="50697"/>
    <b v="1"/>
    <b v="1"/>
    <b v="1"/>
    <b v="1"/>
    <b v="1"/>
    <b v="1"/>
  </r>
  <r>
    <x v="3371"/>
    <n v="183510"/>
    <n v="62881"/>
    <n v="120629"/>
    <n v="151942735"/>
    <n v="73930125"/>
    <n v="225872860"/>
    <n v="51422"/>
    <n v="8135"/>
    <n v="59557"/>
    <b v="1"/>
    <b v="1"/>
    <b v="1"/>
    <b v="1"/>
    <b v="1"/>
    <b v="1"/>
  </r>
  <r>
    <x v="3372"/>
    <n v="225418"/>
    <n v="78437"/>
    <n v="146981"/>
    <n v="219716549"/>
    <n v="105620392"/>
    <n v="325336941"/>
    <n v="73692"/>
    <n v="10831"/>
    <n v="84523"/>
    <b v="1"/>
    <b v="1"/>
    <b v="1"/>
    <b v="1"/>
    <b v="1"/>
    <b v="1"/>
  </r>
  <r>
    <x v="3373"/>
    <n v="233365"/>
    <n v="81421"/>
    <n v="151944"/>
    <n v="236824088"/>
    <n v="116241532"/>
    <n v="353065620"/>
    <n v="77143"/>
    <n v="11370"/>
    <n v="88513"/>
    <b v="1"/>
    <b v="1"/>
    <b v="1"/>
    <b v="1"/>
    <b v="1"/>
    <b v="1"/>
  </r>
  <r>
    <x v="3374"/>
    <n v="235547"/>
    <n v="80115"/>
    <n v="155432"/>
    <n v="227528178"/>
    <n v="109357496"/>
    <n v="336885674"/>
    <n v="72274"/>
    <n v="10963"/>
    <n v="83237"/>
    <b v="1"/>
    <b v="1"/>
    <b v="1"/>
    <b v="1"/>
    <b v="1"/>
    <b v="1"/>
  </r>
  <r>
    <x v="3375"/>
    <n v="227159"/>
    <n v="77887"/>
    <n v="149272"/>
    <n v="230210817"/>
    <n v="107378678"/>
    <n v="337589495"/>
    <n v="73124"/>
    <n v="11195"/>
    <n v="84319"/>
    <b v="1"/>
    <b v="1"/>
    <b v="1"/>
    <b v="1"/>
    <b v="1"/>
    <b v="1"/>
  </r>
  <r>
    <x v="3376"/>
    <n v="206483"/>
    <n v="69515"/>
    <n v="136968"/>
    <n v="193639700"/>
    <n v="84504835"/>
    <n v="278144535"/>
    <n v="65377"/>
    <n v="9798"/>
    <n v="75175"/>
    <b v="1"/>
    <b v="1"/>
    <b v="1"/>
    <b v="1"/>
    <b v="1"/>
    <b v="1"/>
  </r>
  <r>
    <x v="3377"/>
    <n v="228485"/>
    <n v="79202"/>
    <n v="149283"/>
    <n v="217695195"/>
    <n v="106517796"/>
    <n v="324212991"/>
    <n v="76975"/>
    <n v="11004"/>
    <n v="87979"/>
    <b v="1"/>
    <b v="1"/>
    <b v="1"/>
    <b v="1"/>
    <b v="1"/>
    <b v="1"/>
  </r>
  <r>
    <x v="3378"/>
    <n v="227837"/>
    <n v="77650"/>
    <n v="150187"/>
    <n v="231761203"/>
    <n v="120171582"/>
    <n v="351932785"/>
    <n v="76230"/>
    <n v="10789"/>
    <n v="87019"/>
    <b v="1"/>
    <b v="1"/>
    <b v="1"/>
    <b v="1"/>
    <b v="1"/>
    <b v="1"/>
  </r>
  <r>
    <x v="3379"/>
    <n v="224668"/>
    <n v="79167"/>
    <n v="145501"/>
    <n v="216061500"/>
    <n v="119529082"/>
    <n v="335590582"/>
    <n v="72489"/>
    <n v="10403"/>
    <n v="82892"/>
    <b v="1"/>
    <b v="1"/>
    <b v="1"/>
    <b v="1"/>
    <b v="1"/>
    <b v="1"/>
  </r>
  <r>
    <x v="3380"/>
    <n v="235750"/>
    <n v="79291"/>
    <n v="156459"/>
    <n v="238739113"/>
    <n v="123081861"/>
    <n v="361820974"/>
    <n v="83143"/>
    <n v="11614"/>
    <n v="94757"/>
    <b v="1"/>
    <b v="1"/>
    <b v="1"/>
    <b v="1"/>
    <b v="1"/>
    <b v="1"/>
  </r>
  <r>
    <x v="3381"/>
    <n v="232486"/>
    <n v="77687"/>
    <n v="154799"/>
    <n v="232461342"/>
    <n v="113442285"/>
    <n v="345903627"/>
    <n v="77276"/>
    <n v="10626"/>
    <n v="87902"/>
    <b v="1"/>
    <b v="1"/>
    <b v="1"/>
    <b v="1"/>
    <b v="1"/>
    <b v="1"/>
  </r>
  <r>
    <x v="3382"/>
    <n v="231392"/>
    <n v="78514"/>
    <n v="152878"/>
    <n v="233445135"/>
    <n v="109073582"/>
    <n v="342518717"/>
    <n v="74799"/>
    <n v="10857"/>
    <n v="85656"/>
    <b v="1"/>
    <b v="1"/>
    <b v="1"/>
    <b v="1"/>
    <b v="1"/>
    <b v="1"/>
  </r>
  <r>
    <x v="3383"/>
    <n v="203991"/>
    <n v="68330"/>
    <n v="135661"/>
    <n v="196278914"/>
    <n v="81435087"/>
    <n v="277714001"/>
    <n v="65236"/>
    <n v="9316"/>
    <n v="74552"/>
    <b v="1"/>
    <b v="1"/>
    <b v="1"/>
    <b v="1"/>
    <b v="1"/>
    <b v="1"/>
  </r>
  <r>
    <x v="3384"/>
    <n v="230204"/>
    <n v="75279"/>
    <n v="154925"/>
    <n v="233493763"/>
    <n v="102822555"/>
    <n v="336316318"/>
    <n v="80154"/>
    <n v="11479"/>
    <n v="91633"/>
    <b v="1"/>
    <b v="1"/>
    <b v="1"/>
    <b v="1"/>
    <b v="1"/>
    <b v="1"/>
  </r>
  <r>
    <x v="3385"/>
    <n v="212631"/>
    <n v="70629"/>
    <n v="142002"/>
    <n v="226224534"/>
    <n v="97207703"/>
    <n v="323432237"/>
    <n v="74443"/>
    <n v="10995"/>
    <n v="85438"/>
    <b v="1"/>
    <b v="1"/>
    <b v="1"/>
    <b v="1"/>
    <b v="1"/>
    <b v="1"/>
  </r>
  <r>
    <x v="3386"/>
    <n v="222867"/>
    <n v="70485"/>
    <n v="152382"/>
    <n v="231221264"/>
    <n v="103757278"/>
    <n v="334978542"/>
    <n v="73990"/>
    <n v="10163"/>
    <n v="84153"/>
    <b v="1"/>
    <b v="1"/>
    <b v="1"/>
    <b v="1"/>
    <b v="1"/>
    <b v="1"/>
  </r>
  <r>
    <x v="3387"/>
    <n v="199840"/>
    <n v="64730"/>
    <n v="135110"/>
    <n v="193338955"/>
    <n v="83447483"/>
    <n v="276786438"/>
    <n v="69701"/>
    <n v="9078"/>
    <n v="78779"/>
    <b v="1"/>
    <b v="1"/>
    <b v="1"/>
    <b v="1"/>
    <b v="1"/>
    <b v="1"/>
  </r>
  <r>
    <x v="3388"/>
    <n v="228401"/>
    <n v="74822"/>
    <n v="153579"/>
    <n v="235792128"/>
    <n v="98887295"/>
    <n v="334679423"/>
    <n v="84352"/>
    <n v="11243"/>
    <n v="95595"/>
    <b v="1"/>
    <b v="1"/>
    <b v="1"/>
    <b v="1"/>
    <b v="1"/>
    <b v="1"/>
  </r>
  <r>
    <x v="3389"/>
    <n v="216143"/>
    <n v="72812"/>
    <n v="143331"/>
    <n v="205509665"/>
    <n v="92315605"/>
    <n v="297825270"/>
    <n v="76910"/>
    <n v="10420"/>
    <n v="87330"/>
    <b v="1"/>
    <b v="1"/>
    <b v="1"/>
    <b v="1"/>
    <b v="1"/>
    <b v="1"/>
  </r>
  <r>
    <x v="3390"/>
    <n v="184113"/>
    <n v="60182"/>
    <n v="123931"/>
    <n v="169762963"/>
    <n v="67619547"/>
    <n v="237382510"/>
    <n v="64648"/>
    <n v="8818"/>
    <n v="73466"/>
    <b v="1"/>
    <b v="1"/>
    <b v="1"/>
    <b v="1"/>
    <b v="1"/>
    <b v="1"/>
  </r>
  <r>
    <x v="3391"/>
    <n v="220333"/>
    <n v="69584"/>
    <n v="150749"/>
    <n v="220915487"/>
    <n v="89602137"/>
    <n v="310517624"/>
    <n v="83777"/>
    <n v="10881"/>
    <n v="94658"/>
    <b v="1"/>
    <b v="1"/>
    <b v="1"/>
    <b v="1"/>
    <b v="1"/>
    <b v="1"/>
  </r>
  <r>
    <x v="3392"/>
    <n v="211004"/>
    <n v="67728"/>
    <n v="143276"/>
    <n v="215519847"/>
    <n v="93117711"/>
    <n v="308637558"/>
    <n v="79259"/>
    <n v="10439"/>
    <n v="89698"/>
    <b v="1"/>
    <b v="1"/>
    <b v="1"/>
    <b v="1"/>
    <b v="1"/>
    <b v="1"/>
  </r>
  <r>
    <x v="3393"/>
    <n v="180366"/>
    <n v="57610"/>
    <n v="122756"/>
    <n v="183396170"/>
    <n v="74433376"/>
    <n v="257829546"/>
    <n v="69455"/>
    <n v="9309"/>
    <n v="78764"/>
    <b v="1"/>
    <b v="1"/>
    <b v="1"/>
    <b v="1"/>
    <b v="1"/>
    <b v="1"/>
  </r>
  <r>
    <x v="3394"/>
    <n v="180317"/>
    <n v="57959"/>
    <n v="122358"/>
    <n v="191813776"/>
    <n v="85149338"/>
    <n v="276963114"/>
    <n v="75308"/>
    <n v="10088"/>
    <n v="85396"/>
    <b v="1"/>
    <b v="1"/>
    <b v="1"/>
    <b v="1"/>
    <b v="1"/>
    <b v="1"/>
  </r>
  <r>
    <x v="3395"/>
    <n v="175461"/>
    <n v="57276"/>
    <n v="118185"/>
    <n v="183555325"/>
    <n v="82085260"/>
    <n v="265640585"/>
    <n v="73709"/>
    <n v="9952"/>
    <n v="83661"/>
    <b v="1"/>
    <b v="1"/>
    <b v="1"/>
    <b v="1"/>
    <b v="1"/>
    <b v="1"/>
  </r>
  <r>
    <x v="3396"/>
    <n v="196695"/>
    <n v="65487"/>
    <n v="131208"/>
    <n v="193312601"/>
    <n v="82650707"/>
    <n v="275963308"/>
    <n v="75007"/>
    <n v="10625"/>
    <n v="85632"/>
    <b v="1"/>
    <b v="1"/>
    <b v="1"/>
    <b v="1"/>
    <b v="1"/>
    <b v="1"/>
  </r>
  <r>
    <x v="3397"/>
    <n v="198948"/>
    <n v="63626"/>
    <n v="135322"/>
    <n v="185988610"/>
    <n v="71492894"/>
    <n v="257481504"/>
    <n v="72132"/>
    <n v="9232"/>
    <n v="81364"/>
    <b v="1"/>
    <b v="1"/>
    <b v="1"/>
    <b v="1"/>
    <b v="1"/>
    <b v="1"/>
  </r>
  <r>
    <x v="3398"/>
    <n v="204012"/>
    <n v="69819"/>
    <n v="134193"/>
    <n v="197839657"/>
    <n v="88569326"/>
    <n v="286408983"/>
    <n v="71351"/>
    <n v="10137"/>
    <n v="81488"/>
    <b v="1"/>
    <b v="1"/>
    <b v="1"/>
    <b v="1"/>
    <b v="1"/>
    <b v="1"/>
  </r>
  <r>
    <x v="3399"/>
    <n v="193995"/>
    <n v="64373"/>
    <n v="129622"/>
    <n v="197991532"/>
    <n v="90430815"/>
    <n v="288422347"/>
    <n v="69589"/>
    <n v="9527"/>
    <n v="79116"/>
    <b v="1"/>
    <b v="1"/>
    <b v="1"/>
    <b v="1"/>
    <b v="1"/>
    <b v="1"/>
  </r>
  <r>
    <x v="3400"/>
    <n v="197572"/>
    <n v="63612"/>
    <n v="133960"/>
    <n v="203843968"/>
    <n v="93879017"/>
    <n v="297722985"/>
    <n v="69609"/>
    <n v="9806"/>
    <n v="79415"/>
    <b v="1"/>
    <b v="1"/>
    <b v="1"/>
    <b v="1"/>
    <b v="1"/>
    <b v="1"/>
  </r>
  <r>
    <x v="3401"/>
    <n v="193973"/>
    <n v="60637"/>
    <n v="133336"/>
    <n v="198099700"/>
    <n v="86948366"/>
    <n v="285048066"/>
    <n v="67212"/>
    <n v="9501"/>
    <n v="76713"/>
    <b v="1"/>
    <b v="1"/>
    <b v="1"/>
    <b v="1"/>
    <b v="1"/>
    <b v="1"/>
  </r>
  <r>
    <x v="3402"/>
    <n v="184708"/>
    <n v="58532"/>
    <n v="126176"/>
    <n v="193407115"/>
    <n v="87085656"/>
    <n v="280492771"/>
    <n v="59094"/>
    <n v="8489"/>
    <n v="67583"/>
    <b v="1"/>
    <b v="1"/>
    <b v="1"/>
    <b v="1"/>
    <b v="1"/>
    <b v="1"/>
  </r>
  <r>
    <x v="3403"/>
    <n v="207419"/>
    <n v="66833"/>
    <n v="140586"/>
    <n v="210823915"/>
    <n v="86950784"/>
    <n v="297774699"/>
    <n v="70012"/>
    <n v="9955"/>
    <n v="79967"/>
    <b v="1"/>
    <b v="1"/>
    <b v="1"/>
    <b v="1"/>
    <b v="1"/>
    <b v="1"/>
  </r>
  <r>
    <x v="3404"/>
    <n v="198604"/>
    <n v="64475"/>
    <n v="134129"/>
    <n v="197793238"/>
    <n v="73433875"/>
    <n v="271227113"/>
    <n v="67548"/>
    <n v="9238"/>
    <n v="76786"/>
    <b v="1"/>
    <b v="1"/>
    <b v="1"/>
    <b v="1"/>
    <b v="1"/>
    <b v="1"/>
  </r>
  <r>
    <x v="3405"/>
    <n v="205484"/>
    <n v="69192"/>
    <n v="136292"/>
    <n v="195616904"/>
    <n v="83064701"/>
    <n v="278681605"/>
    <n v="71420"/>
    <n v="9866"/>
    <n v="81286"/>
    <b v="1"/>
    <b v="1"/>
    <b v="1"/>
    <b v="1"/>
    <b v="1"/>
    <b v="1"/>
  </r>
  <r>
    <x v="3406"/>
    <n v="217052"/>
    <n v="71989"/>
    <n v="145063"/>
    <n v="223303984"/>
    <n v="92467988"/>
    <n v="315771972"/>
    <n v="72011"/>
    <n v="10363"/>
    <n v="82374"/>
    <b v="1"/>
    <b v="1"/>
    <b v="1"/>
    <b v="1"/>
    <b v="1"/>
    <b v="1"/>
  </r>
  <r>
    <x v="3407"/>
    <n v="227166"/>
    <n v="75834"/>
    <n v="151332"/>
    <n v="220621694"/>
    <n v="99806340"/>
    <n v="320428034"/>
    <n v="80379"/>
    <n v="10481"/>
    <n v="90860"/>
    <b v="1"/>
    <b v="1"/>
    <b v="1"/>
    <b v="1"/>
    <b v="1"/>
    <b v="1"/>
  </r>
  <r>
    <x v="3408"/>
    <n v="232056"/>
    <n v="78461"/>
    <n v="153595"/>
    <n v="226651097"/>
    <n v="110673484"/>
    <n v="337324581"/>
    <n v="74591"/>
    <n v="10555"/>
    <n v="85146"/>
    <b v="1"/>
    <b v="1"/>
    <b v="1"/>
    <b v="1"/>
    <b v="1"/>
    <b v="1"/>
  </r>
  <r>
    <x v="3409"/>
    <n v="228813"/>
    <n v="77133"/>
    <n v="151680"/>
    <n v="220557486"/>
    <n v="115435429"/>
    <n v="335992915"/>
    <n v="77058"/>
    <n v="10552"/>
    <n v="87610"/>
    <b v="1"/>
    <b v="1"/>
    <b v="1"/>
    <b v="1"/>
    <b v="1"/>
    <b v="1"/>
  </r>
  <r>
    <x v="3410"/>
    <n v="224717"/>
    <n v="76227"/>
    <n v="148490"/>
    <n v="230000877"/>
    <n v="102617112"/>
    <n v="332617989"/>
    <n v="69096"/>
    <n v="10896"/>
    <n v="79992"/>
    <b v="1"/>
    <b v="1"/>
    <b v="1"/>
    <b v="1"/>
    <b v="1"/>
    <b v="1"/>
  </r>
  <r>
    <x v="3411"/>
    <n v="195774"/>
    <n v="62923"/>
    <n v="132851"/>
    <n v="178796472"/>
    <n v="135710584"/>
    <n v="314507056"/>
    <n v="60710"/>
    <n v="8661"/>
    <n v="69371"/>
    <b v="1"/>
    <b v="1"/>
    <b v="1"/>
    <b v="1"/>
    <b v="1"/>
    <b v="1"/>
  </r>
  <r>
    <x v="3412"/>
    <n v="200134"/>
    <n v="65907"/>
    <n v="134227"/>
    <n v="199319296"/>
    <n v="95838369"/>
    <n v="295157665"/>
    <n v="61247"/>
    <n v="9020"/>
    <n v="70267"/>
    <b v="1"/>
    <b v="1"/>
    <b v="1"/>
    <b v="1"/>
    <b v="1"/>
    <b v="1"/>
  </r>
  <r>
    <x v="3413"/>
    <n v="193230"/>
    <n v="63783"/>
    <n v="129447"/>
    <n v="189632503"/>
    <n v="99905349"/>
    <n v="289537852"/>
    <n v="59616"/>
    <n v="8399"/>
    <n v="68015"/>
    <b v="1"/>
    <b v="1"/>
    <b v="1"/>
    <b v="1"/>
    <b v="1"/>
    <b v="1"/>
  </r>
  <r>
    <x v="3414"/>
    <n v="211449"/>
    <n v="69883"/>
    <n v="141566"/>
    <n v="212114953"/>
    <n v="104117248"/>
    <n v="316232201"/>
    <n v="67686"/>
    <n v="9529"/>
    <n v="77215"/>
    <b v="1"/>
    <b v="1"/>
    <b v="1"/>
    <b v="1"/>
    <b v="1"/>
    <b v="1"/>
  </r>
  <r>
    <x v="3415"/>
    <n v="211348"/>
    <n v="71868"/>
    <n v="139480"/>
    <n v="210815977"/>
    <n v="111728685"/>
    <n v="322544662"/>
    <n v="67848"/>
    <n v="9493"/>
    <n v="77341"/>
    <b v="1"/>
    <b v="1"/>
    <b v="1"/>
    <b v="1"/>
    <b v="1"/>
    <b v="1"/>
  </r>
  <r>
    <x v="3416"/>
    <n v="199226"/>
    <n v="67206"/>
    <n v="132020"/>
    <n v="196889727"/>
    <n v="101260779"/>
    <n v="298150506"/>
    <n v="61137"/>
    <n v="8905"/>
    <n v="70042"/>
    <b v="1"/>
    <b v="1"/>
    <b v="1"/>
    <b v="1"/>
    <b v="1"/>
    <b v="1"/>
  </r>
  <r>
    <x v="3417"/>
    <n v="197613"/>
    <n v="67697"/>
    <n v="129916"/>
    <n v="183247155"/>
    <n v="89399249"/>
    <n v="272646404"/>
    <n v="62072"/>
    <n v="8563"/>
    <n v="70635"/>
    <b v="1"/>
    <b v="1"/>
    <b v="1"/>
    <b v="1"/>
    <b v="1"/>
    <b v="1"/>
  </r>
  <r>
    <x v="3418"/>
    <n v="190959"/>
    <n v="61557"/>
    <n v="129402"/>
    <n v="183983962"/>
    <n v="74932400"/>
    <n v="258916362"/>
    <n v="61632"/>
    <n v="8608"/>
    <n v="70240"/>
    <b v="1"/>
    <b v="1"/>
    <b v="1"/>
    <b v="1"/>
    <b v="1"/>
    <b v="1"/>
  </r>
  <r>
    <x v="3419"/>
    <n v="202256"/>
    <n v="68227"/>
    <n v="134029"/>
    <n v="209284181"/>
    <n v="98771430"/>
    <n v="308055611"/>
    <n v="67498"/>
    <n v="9410"/>
    <n v="76908"/>
    <b v="1"/>
    <b v="1"/>
    <b v="1"/>
    <b v="1"/>
    <b v="1"/>
    <b v="1"/>
  </r>
  <r>
    <x v="3420"/>
    <n v="203640"/>
    <n v="68581"/>
    <n v="135059"/>
    <n v="217983897"/>
    <n v="106844023"/>
    <n v="324827920"/>
    <n v="68388"/>
    <n v="9318"/>
    <n v="77706"/>
    <b v="1"/>
    <b v="1"/>
    <b v="1"/>
    <b v="1"/>
    <b v="1"/>
    <b v="1"/>
  </r>
  <r>
    <x v="3421"/>
    <n v="217485"/>
    <n v="71845"/>
    <n v="145640"/>
    <n v="227055479"/>
    <n v="110454176"/>
    <n v="337509655"/>
    <n v="70521"/>
    <n v="9598"/>
    <n v="80119"/>
    <b v="1"/>
    <b v="1"/>
    <b v="1"/>
    <b v="1"/>
    <b v="1"/>
    <b v="1"/>
  </r>
  <r>
    <x v="3422"/>
    <n v="215396"/>
    <n v="72108"/>
    <n v="143288"/>
    <n v="215944543"/>
    <n v="105823756"/>
    <n v="321768299"/>
    <n v="68563"/>
    <n v="9138"/>
    <n v="77701"/>
    <b v="1"/>
    <b v="1"/>
    <b v="1"/>
    <b v="1"/>
    <b v="1"/>
    <b v="1"/>
  </r>
  <r>
    <x v="3423"/>
    <n v="208622"/>
    <n v="71672"/>
    <n v="136950"/>
    <n v="207108170"/>
    <n v="108700333"/>
    <n v="315808503"/>
    <n v="64501"/>
    <n v="8425"/>
    <n v="72926"/>
    <b v="1"/>
    <b v="1"/>
    <b v="1"/>
    <b v="1"/>
    <b v="1"/>
    <b v="1"/>
  </r>
  <r>
    <x v="3424"/>
    <n v="208494"/>
    <n v="72958"/>
    <n v="135536"/>
    <n v="206316608"/>
    <n v="99645511"/>
    <n v="305962119"/>
    <n v="62316"/>
    <n v="9149"/>
    <n v="71465"/>
    <b v="1"/>
    <b v="1"/>
    <b v="1"/>
    <b v="1"/>
    <b v="1"/>
    <b v="1"/>
  </r>
  <r>
    <x v="3425"/>
    <n v="188899"/>
    <n v="64754"/>
    <n v="124145"/>
    <n v="174673187"/>
    <n v="77490435"/>
    <n v="252163622"/>
    <n v="54179"/>
    <n v="7397"/>
    <n v="61576"/>
    <b v="1"/>
    <b v="1"/>
    <b v="1"/>
    <b v="1"/>
    <b v="1"/>
    <b v="1"/>
  </r>
  <r>
    <x v="3426"/>
    <n v="186945"/>
    <n v="64676"/>
    <n v="122269"/>
    <n v="181224970"/>
    <n v="89555534"/>
    <n v="270780504"/>
    <n v="56150"/>
    <n v="8080"/>
    <n v="64230"/>
    <b v="1"/>
    <b v="1"/>
    <b v="1"/>
    <b v="1"/>
    <b v="1"/>
    <b v="1"/>
  </r>
  <r>
    <x v="3427"/>
    <n v="204550"/>
    <n v="68740"/>
    <n v="135810"/>
    <n v="203515973"/>
    <n v="105324089"/>
    <n v="308840062"/>
    <n v="66529"/>
    <n v="9072"/>
    <n v="75601"/>
    <b v="1"/>
    <b v="1"/>
    <b v="1"/>
    <b v="1"/>
    <b v="1"/>
    <b v="1"/>
  </r>
  <r>
    <x v="3428"/>
    <n v="193450"/>
    <n v="67438"/>
    <n v="126012"/>
    <n v="185301913"/>
    <n v="100982596"/>
    <n v="286284509"/>
    <n v="63508"/>
    <n v="8369"/>
    <n v="71877"/>
    <b v="1"/>
    <b v="1"/>
    <b v="1"/>
    <b v="1"/>
    <b v="1"/>
    <b v="1"/>
  </r>
  <r>
    <x v="3429"/>
    <n v="181921"/>
    <n v="62764"/>
    <n v="119157"/>
    <n v="165485340"/>
    <n v="87726647"/>
    <n v="253211987"/>
    <n v="60689"/>
    <n v="7913"/>
    <n v="68602"/>
    <b v="1"/>
    <b v="1"/>
    <b v="1"/>
    <b v="1"/>
    <b v="1"/>
    <b v="1"/>
  </r>
  <r>
    <x v="3430"/>
    <n v="191063"/>
    <n v="63797"/>
    <n v="127266"/>
    <n v="177289248"/>
    <n v="92381733"/>
    <n v="269670981"/>
    <n v="61877"/>
    <n v="7997"/>
    <n v="69874"/>
    <b v="1"/>
    <b v="1"/>
    <b v="1"/>
    <b v="1"/>
    <b v="1"/>
    <b v="1"/>
  </r>
  <r>
    <x v="3431"/>
    <n v="195900"/>
    <n v="66882"/>
    <n v="129018"/>
    <n v="171174939"/>
    <n v="88556185"/>
    <n v="259731124"/>
    <n v="58014"/>
    <n v="7852"/>
    <n v="65866"/>
    <b v="1"/>
    <b v="1"/>
    <b v="1"/>
    <b v="1"/>
    <b v="1"/>
    <b v="1"/>
  </r>
  <r>
    <x v="3432"/>
    <n v="179508"/>
    <n v="59255"/>
    <n v="120253"/>
    <n v="156970054"/>
    <n v="70051354"/>
    <n v="227021408"/>
    <n v="53008"/>
    <n v="6748"/>
    <n v="59756"/>
    <b v="1"/>
    <b v="1"/>
    <b v="1"/>
    <b v="1"/>
    <b v="1"/>
    <b v="1"/>
  </r>
  <r>
    <x v="3433"/>
    <n v="205285"/>
    <n v="67925"/>
    <n v="137360"/>
    <n v="206238465"/>
    <n v="92894403"/>
    <n v="299132868"/>
    <n v="67927"/>
    <n v="8788"/>
    <n v="76715"/>
    <b v="1"/>
    <b v="1"/>
    <b v="1"/>
    <b v="1"/>
    <b v="1"/>
    <b v="1"/>
  </r>
  <r>
    <x v="3434"/>
    <n v="200270"/>
    <n v="67385"/>
    <n v="132885"/>
    <n v="209548782"/>
    <n v="104898679"/>
    <n v="314447461"/>
    <n v="69220"/>
    <n v="9138"/>
    <n v="78358"/>
    <b v="1"/>
    <b v="1"/>
    <b v="1"/>
    <b v="1"/>
    <b v="1"/>
    <b v="1"/>
  </r>
  <r>
    <x v="3435"/>
    <n v="199523"/>
    <n v="66649"/>
    <n v="132874"/>
    <n v="214685050"/>
    <n v="105047822"/>
    <n v="319732872"/>
    <n v="66492"/>
    <n v="9136"/>
    <n v="75628"/>
    <b v="1"/>
    <b v="1"/>
    <b v="1"/>
    <b v="1"/>
    <b v="1"/>
    <b v="1"/>
  </r>
  <r>
    <x v="3436"/>
    <n v="196841"/>
    <n v="66870"/>
    <n v="129971"/>
    <n v="206241190"/>
    <n v="104111099"/>
    <n v="310352289"/>
    <n v="65446"/>
    <n v="9216"/>
    <n v="74662"/>
    <b v="1"/>
    <b v="1"/>
    <b v="1"/>
    <b v="1"/>
    <b v="1"/>
    <b v="1"/>
  </r>
  <r>
    <x v="3437"/>
    <n v="198148"/>
    <n v="66115"/>
    <n v="132033"/>
    <n v="214651765"/>
    <n v="98421744"/>
    <n v="313073509"/>
    <n v="63790"/>
    <n v="8835"/>
    <n v="72625"/>
    <b v="1"/>
    <b v="1"/>
    <b v="1"/>
    <b v="1"/>
    <b v="1"/>
    <b v="1"/>
  </r>
  <r>
    <x v="3438"/>
    <n v="207246"/>
    <n v="72508"/>
    <n v="134738"/>
    <n v="213445476"/>
    <n v="106293867"/>
    <n v="319739343"/>
    <n v="69250"/>
    <n v="9114"/>
    <n v="78364"/>
    <b v="1"/>
    <b v="1"/>
    <b v="1"/>
    <b v="1"/>
    <b v="1"/>
    <b v="1"/>
  </r>
  <r>
    <x v="3439"/>
    <n v="209095"/>
    <n v="70501"/>
    <n v="138594"/>
    <n v="190345010"/>
    <n v="89488491"/>
    <n v="279833501"/>
    <n v="67228"/>
    <n v="8384"/>
    <n v="75612"/>
    <b v="1"/>
    <b v="1"/>
    <b v="1"/>
    <b v="1"/>
    <b v="1"/>
    <b v="1"/>
  </r>
  <r>
    <x v="3440"/>
    <n v="214961"/>
    <n v="71295"/>
    <n v="143666"/>
    <n v="222568709"/>
    <n v="102553780"/>
    <n v="325122489"/>
    <n v="73703"/>
    <n v="9431"/>
    <n v="83134"/>
    <b v="1"/>
    <b v="1"/>
    <b v="1"/>
    <b v="1"/>
    <b v="1"/>
    <b v="1"/>
  </r>
  <r>
    <x v="3441"/>
    <n v="155543"/>
    <n v="49435"/>
    <n v="106108"/>
    <n v="172222581"/>
    <n v="85054090"/>
    <n v="257276671"/>
    <n v="57259"/>
    <n v="7686"/>
    <n v="64945"/>
    <b v="1"/>
    <b v="1"/>
    <b v="1"/>
    <b v="1"/>
    <b v="1"/>
    <b v="1"/>
  </r>
  <r>
    <x v="3442"/>
    <n v="229610"/>
    <n v="76414"/>
    <n v="153196"/>
    <n v="240703501"/>
    <n v="120213063"/>
    <n v="360916564"/>
    <n v="76815"/>
    <n v="9833"/>
    <n v="86648"/>
    <b v="1"/>
    <b v="1"/>
    <b v="1"/>
    <b v="1"/>
    <b v="1"/>
    <b v="1"/>
  </r>
  <r>
    <x v="3443"/>
    <n v="234226"/>
    <n v="76865"/>
    <n v="157361"/>
    <n v="237964340"/>
    <n v="128326534"/>
    <n v="366290874"/>
    <n v="81187"/>
    <n v="9935"/>
    <n v="91122"/>
    <b v="1"/>
    <b v="1"/>
    <b v="1"/>
    <b v="1"/>
    <b v="1"/>
    <b v="1"/>
  </r>
  <r>
    <x v="3444"/>
    <n v="232412"/>
    <n v="78268"/>
    <n v="154144"/>
    <n v="233087352"/>
    <n v="126008401"/>
    <n v="359095753"/>
    <n v="76978"/>
    <n v="9397"/>
    <n v="86375"/>
    <b v="1"/>
    <b v="1"/>
    <b v="1"/>
    <b v="1"/>
    <b v="1"/>
    <b v="1"/>
  </r>
  <r>
    <x v="3445"/>
    <n v="223370"/>
    <n v="76521"/>
    <n v="146849"/>
    <n v="210169939"/>
    <n v="109940051"/>
    <n v="320109990"/>
    <n v="73197"/>
    <n v="9535"/>
    <n v="82732"/>
    <b v="1"/>
    <b v="1"/>
    <b v="1"/>
    <b v="1"/>
    <b v="1"/>
    <b v="1"/>
  </r>
  <r>
    <x v="3446"/>
    <n v="190880"/>
    <n v="64655"/>
    <n v="126225"/>
    <n v="168293786"/>
    <n v="84143358"/>
    <n v="252437144"/>
    <n v="58758"/>
    <n v="7370"/>
    <n v="66128"/>
    <b v="1"/>
    <b v="1"/>
    <b v="1"/>
    <b v="1"/>
    <b v="1"/>
    <b v="1"/>
  </r>
  <r>
    <x v="3447"/>
    <n v="220884"/>
    <n v="72459"/>
    <n v="148425"/>
    <n v="224604419"/>
    <n v="109432472"/>
    <n v="334036891"/>
    <n v="75451"/>
    <n v="9218"/>
    <n v="84669"/>
    <b v="1"/>
    <b v="1"/>
    <b v="1"/>
    <b v="1"/>
    <b v="1"/>
    <b v="1"/>
  </r>
  <r>
    <x v="3448"/>
    <n v="236392"/>
    <n v="75819"/>
    <n v="160573"/>
    <n v="252638105"/>
    <n v="126098511"/>
    <n v="378736616"/>
    <n v="85398"/>
    <n v="10219"/>
    <n v="95617"/>
    <b v="1"/>
    <b v="1"/>
    <b v="1"/>
    <b v="1"/>
    <b v="1"/>
    <b v="1"/>
  </r>
  <r>
    <x v="3449"/>
    <n v="233007"/>
    <n v="75161"/>
    <n v="157846"/>
    <n v="250841997"/>
    <n v="126960084"/>
    <n v="377802081"/>
    <n v="83749"/>
    <n v="10182"/>
    <n v="93931"/>
    <b v="1"/>
    <b v="1"/>
    <b v="1"/>
    <b v="1"/>
    <b v="1"/>
    <b v="1"/>
  </r>
  <r>
    <x v="3450"/>
    <n v="237233"/>
    <n v="75041"/>
    <n v="162192"/>
    <n v="255516920"/>
    <n v="127305048"/>
    <n v="382821968"/>
    <n v="83428"/>
    <n v="10111"/>
    <n v="93539"/>
    <b v="1"/>
    <b v="1"/>
    <b v="1"/>
    <b v="1"/>
    <b v="1"/>
    <b v="1"/>
  </r>
  <r>
    <x v="3451"/>
    <n v="237095"/>
    <n v="76282"/>
    <n v="160813"/>
    <n v="248744647"/>
    <n v="125186983"/>
    <n v="373931630"/>
    <n v="83400"/>
    <n v="9685"/>
    <n v="93085"/>
    <b v="1"/>
    <b v="1"/>
    <b v="1"/>
    <b v="1"/>
    <b v="1"/>
    <b v="1"/>
  </r>
  <r>
    <x v="3452"/>
    <n v="241666"/>
    <n v="78431"/>
    <n v="163235"/>
    <n v="235194796"/>
    <n v="111413959"/>
    <n v="346608755"/>
    <n v="81409"/>
    <n v="10107"/>
    <n v="91516"/>
    <b v="1"/>
    <b v="1"/>
    <b v="1"/>
    <b v="1"/>
    <b v="1"/>
    <b v="1"/>
  </r>
  <r>
    <x v="3453"/>
    <n v="209973"/>
    <n v="66440"/>
    <n v="143533"/>
    <n v="196999294"/>
    <n v="142035443"/>
    <n v="339034737"/>
    <n v="69260"/>
    <n v="8279"/>
    <n v="77539"/>
    <b v="1"/>
    <b v="1"/>
    <b v="1"/>
    <b v="1"/>
    <b v="1"/>
    <b v="1"/>
  </r>
  <r>
    <x v="3454"/>
    <n v="204682"/>
    <n v="61460"/>
    <n v="143222"/>
    <n v="202111725"/>
    <n v="75911426"/>
    <n v="278023151"/>
    <n v="53177"/>
    <n v="7640"/>
    <n v="60817"/>
    <b v="1"/>
    <b v="1"/>
    <b v="1"/>
    <b v="1"/>
    <b v="1"/>
    <b v="1"/>
  </r>
  <r>
    <x v="3455"/>
    <n v="223850"/>
    <n v="71429"/>
    <n v="152421"/>
    <n v="226705583"/>
    <n v="105661967"/>
    <n v="332367550"/>
    <n v="74898"/>
    <n v="8871"/>
    <n v="83769"/>
    <b v="1"/>
    <b v="1"/>
    <b v="1"/>
    <b v="1"/>
    <b v="1"/>
    <b v="1"/>
  </r>
  <r>
    <x v="3456"/>
    <n v="228091"/>
    <n v="73985"/>
    <n v="154106"/>
    <n v="240535402"/>
    <n v="121937766"/>
    <n v="362473168"/>
    <n v="80214"/>
    <n v="9572"/>
    <n v="89786"/>
    <b v="1"/>
    <b v="1"/>
    <b v="1"/>
    <b v="1"/>
    <b v="1"/>
    <b v="1"/>
  </r>
  <r>
    <x v="3457"/>
    <n v="230905"/>
    <n v="73778"/>
    <n v="157127"/>
    <n v="241306350"/>
    <n v="116205239"/>
    <n v="357511589"/>
    <n v="83845"/>
    <n v="9801"/>
    <n v="93646"/>
    <b v="1"/>
    <b v="1"/>
    <b v="1"/>
    <b v="1"/>
    <b v="1"/>
    <b v="1"/>
  </r>
  <r>
    <x v="3458"/>
    <n v="215160"/>
    <n v="68873"/>
    <n v="146287"/>
    <n v="222768037"/>
    <n v="116231168"/>
    <n v="338999205"/>
    <n v="76410"/>
    <n v="9060"/>
    <n v="85470"/>
    <b v="1"/>
    <b v="1"/>
    <b v="1"/>
    <b v="1"/>
    <b v="1"/>
    <b v="1"/>
  </r>
  <r>
    <x v="3459"/>
    <n v="232213"/>
    <n v="74707"/>
    <n v="157506"/>
    <n v="232384063"/>
    <n v="110412644"/>
    <n v="342796707"/>
    <n v="85299"/>
    <n v="10210"/>
    <n v="95509"/>
    <b v="1"/>
    <b v="1"/>
    <b v="1"/>
    <b v="1"/>
    <b v="1"/>
    <b v="1"/>
  </r>
  <r>
    <x v="3460"/>
    <n v="215403"/>
    <n v="67287"/>
    <n v="148116"/>
    <n v="206267836"/>
    <n v="83295137"/>
    <n v="289562973"/>
    <n v="78416"/>
    <n v="9241"/>
    <n v="87657"/>
    <b v="1"/>
    <b v="1"/>
    <b v="1"/>
    <b v="1"/>
    <b v="1"/>
    <b v="1"/>
  </r>
  <r>
    <x v="3461"/>
    <n v="231327"/>
    <n v="71823"/>
    <n v="159504"/>
    <n v="234213594"/>
    <n v="106532082"/>
    <n v="340745676"/>
    <n v="85439"/>
    <n v="10181"/>
    <n v="95620"/>
    <b v="1"/>
    <b v="1"/>
    <b v="1"/>
    <b v="1"/>
    <b v="1"/>
    <b v="1"/>
  </r>
  <r>
    <x v="3462"/>
    <n v="231698"/>
    <n v="70733"/>
    <n v="160965"/>
    <n v="245034402"/>
    <n v="112715944"/>
    <n v="357750346"/>
    <n v="88388"/>
    <n v="10213"/>
    <n v="98601"/>
    <b v="1"/>
    <b v="1"/>
    <b v="1"/>
    <b v="1"/>
    <b v="1"/>
    <b v="1"/>
  </r>
  <r>
    <x v="3463"/>
    <n v="215474"/>
    <n v="68607"/>
    <n v="146867"/>
    <n v="224095202"/>
    <n v="110615419"/>
    <n v="334710621"/>
    <n v="74872"/>
    <n v="9060"/>
    <n v="83932"/>
    <b v="1"/>
    <b v="1"/>
    <b v="1"/>
    <b v="1"/>
    <b v="1"/>
    <b v="1"/>
  </r>
  <r>
    <x v="3464"/>
    <n v="224925"/>
    <n v="70335"/>
    <n v="154590"/>
    <n v="226170213"/>
    <n v="107518287"/>
    <n v="333688500"/>
    <n v="77889"/>
    <n v="9382"/>
    <n v="87271"/>
    <b v="1"/>
    <b v="1"/>
    <b v="1"/>
    <b v="1"/>
    <b v="1"/>
    <b v="1"/>
  </r>
  <r>
    <x v="3465"/>
    <n v="213887"/>
    <n v="68143"/>
    <n v="145744"/>
    <n v="202169222"/>
    <n v="94801793"/>
    <n v="296971015"/>
    <n v="68301"/>
    <n v="8228"/>
    <n v="76529"/>
    <b v="1"/>
    <b v="1"/>
    <b v="1"/>
    <b v="1"/>
    <b v="1"/>
    <b v="1"/>
  </r>
  <r>
    <x v="3466"/>
    <n v="226458"/>
    <n v="71419"/>
    <n v="155039"/>
    <n v="216502789"/>
    <n v="91513034"/>
    <n v="308015823"/>
    <n v="79334"/>
    <n v="9342"/>
    <n v="88676"/>
    <b v="1"/>
    <b v="1"/>
    <b v="1"/>
    <b v="1"/>
    <b v="1"/>
    <b v="1"/>
  </r>
  <r>
    <x v="3467"/>
    <n v="205914"/>
    <n v="61889"/>
    <n v="144025"/>
    <n v="186587715"/>
    <n v="70057735"/>
    <n v="256645450"/>
    <n v="72746"/>
    <n v="8325"/>
    <n v="81071"/>
    <b v="1"/>
    <b v="1"/>
    <b v="1"/>
    <b v="1"/>
    <b v="1"/>
    <b v="1"/>
  </r>
  <r>
    <x v="3468"/>
    <n v="228507"/>
    <n v="71759"/>
    <n v="156748"/>
    <n v="209386805"/>
    <n v="98788095"/>
    <n v="308174900"/>
    <n v="81707"/>
    <n v="9245"/>
    <n v="90952"/>
    <b v="1"/>
    <b v="1"/>
    <b v="1"/>
    <b v="1"/>
    <b v="1"/>
    <b v="1"/>
  </r>
  <r>
    <x v="3469"/>
    <n v="228468"/>
    <n v="75488"/>
    <n v="152980"/>
    <n v="220221020"/>
    <n v="115445766"/>
    <n v="335666786"/>
    <n v="78137"/>
    <n v="9113"/>
    <n v="87250"/>
    <b v="1"/>
    <b v="1"/>
    <b v="1"/>
    <b v="1"/>
    <b v="1"/>
    <b v="1"/>
  </r>
  <r>
    <x v="3470"/>
    <n v="230802"/>
    <n v="75902"/>
    <n v="154900"/>
    <n v="219109235"/>
    <n v="119579380"/>
    <n v="338688615"/>
    <n v="80350"/>
    <n v="9481"/>
    <n v="89831"/>
    <b v="1"/>
    <b v="1"/>
    <b v="1"/>
    <b v="1"/>
    <b v="1"/>
    <b v="1"/>
  </r>
  <r>
    <x v="3471"/>
    <n v="238333"/>
    <n v="75558"/>
    <n v="162775"/>
    <n v="241583570"/>
    <n v="118575690"/>
    <n v="360159260"/>
    <n v="82331"/>
    <n v="9423"/>
    <n v="91754"/>
    <b v="1"/>
    <b v="1"/>
    <b v="1"/>
    <b v="1"/>
    <b v="1"/>
    <b v="1"/>
  </r>
  <r>
    <x v="3472"/>
    <n v="230206"/>
    <n v="71805"/>
    <n v="158401"/>
    <n v="235486811"/>
    <n v="110549336"/>
    <n v="346036147"/>
    <n v="78020"/>
    <n v="9160"/>
    <n v="87180"/>
    <b v="1"/>
    <b v="1"/>
    <b v="1"/>
    <b v="1"/>
    <b v="1"/>
    <b v="1"/>
  </r>
  <r>
    <x v="3473"/>
    <n v="227235"/>
    <n v="71813"/>
    <n v="155422"/>
    <n v="226988131"/>
    <n v="99832474"/>
    <n v="326820605"/>
    <n v="82937"/>
    <n v="9392"/>
    <n v="92329"/>
    <b v="1"/>
    <b v="1"/>
    <b v="1"/>
    <b v="1"/>
    <b v="1"/>
    <b v="1"/>
  </r>
  <r>
    <x v="3474"/>
    <n v="203253"/>
    <n v="60184"/>
    <n v="143069"/>
    <n v="198285763"/>
    <n v="73787629"/>
    <n v="272073392"/>
    <n v="75444"/>
    <n v="8174"/>
    <n v="83618"/>
    <b v="1"/>
    <b v="1"/>
    <b v="1"/>
    <b v="1"/>
    <b v="1"/>
    <b v="1"/>
  </r>
  <r>
    <x v="3475"/>
    <n v="244221"/>
    <n v="72592"/>
    <n v="171629"/>
    <n v="256487680"/>
    <n v="106059886"/>
    <n v="362547566"/>
    <n v="93497"/>
    <n v="10260"/>
    <n v="103757"/>
    <b v="1"/>
    <b v="1"/>
    <b v="1"/>
    <b v="1"/>
    <b v="1"/>
    <b v="1"/>
  </r>
  <r>
    <x v="3476"/>
    <n v="230801"/>
    <n v="71268"/>
    <n v="159533"/>
    <n v="247292863"/>
    <n v="115817086"/>
    <n v="363109949"/>
    <n v="82356"/>
    <n v="9435"/>
    <n v="91791"/>
    <b v="1"/>
    <b v="1"/>
    <b v="1"/>
    <b v="1"/>
    <b v="1"/>
    <b v="1"/>
  </r>
  <r>
    <x v="3477"/>
    <n v="224599"/>
    <n v="69541"/>
    <n v="155058"/>
    <n v="246730123"/>
    <n v="112707201"/>
    <n v="359437324"/>
    <n v="88209"/>
    <n v="9549"/>
    <n v="97758"/>
    <b v="1"/>
    <b v="1"/>
    <b v="1"/>
    <b v="1"/>
    <b v="1"/>
    <b v="1"/>
  </r>
  <r>
    <x v="3478"/>
    <n v="216531"/>
    <n v="67390"/>
    <n v="149141"/>
    <n v="237042021"/>
    <n v="110830393"/>
    <n v="347872414"/>
    <n v="82103"/>
    <n v="9211"/>
    <n v="91314"/>
    <b v="1"/>
    <b v="1"/>
    <b v="1"/>
    <b v="1"/>
    <b v="1"/>
    <b v="1"/>
  </r>
  <r>
    <x v="3479"/>
    <n v="241900"/>
    <n v="73697"/>
    <n v="168203"/>
    <n v="265568788"/>
    <n v="111629689"/>
    <n v="377198477"/>
    <n v="92177"/>
    <n v="10312"/>
    <n v="102489"/>
    <b v="1"/>
    <b v="1"/>
    <b v="1"/>
    <b v="1"/>
    <b v="1"/>
    <b v="1"/>
  </r>
  <r>
    <x v="3480"/>
    <n v="230660"/>
    <n v="73020"/>
    <n v="157640"/>
    <n v="244138412"/>
    <n v="107166464"/>
    <n v="351304876"/>
    <n v="83935"/>
    <n v="9470"/>
    <n v="93405"/>
    <b v="1"/>
    <b v="1"/>
    <b v="1"/>
    <b v="1"/>
    <b v="1"/>
    <b v="1"/>
  </r>
  <r>
    <x v="3481"/>
    <n v="215975"/>
    <n v="64623"/>
    <n v="151352"/>
    <n v="208875678"/>
    <n v="81026116"/>
    <n v="289901794"/>
    <n v="78342"/>
    <n v="8690"/>
    <n v="87032"/>
    <b v="1"/>
    <b v="1"/>
    <b v="1"/>
    <b v="1"/>
    <b v="1"/>
    <b v="1"/>
  </r>
  <r>
    <x v="3482"/>
    <n v="217947"/>
    <n v="64940"/>
    <n v="153007"/>
    <n v="234356642"/>
    <n v="101442105"/>
    <n v="335798747"/>
    <n v="87967"/>
    <n v="9419"/>
    <n v="97386"/>
    <b v="1"/>
    <b v="1"/>
    <b v="1"/>
    <b v="1"/>
    <b v="1"/>
    <b v="1"/>
  </r>
  <r>
    <x v="3483"/>
    <n v="228031"/>
    <n v="67525"/>
    <n v="160506"/>
    <n v="247988626"/>
    <n v="105512415"/>
    <n v="353501041"/>
    <n v="87109"/>
    <n v="9458"/>
    <n v="96567"/>
    <b v="1"/>
    <b v="1"/>
    <b v="1"/>
    <b v="1"/>
    <b v="1"/>
    <b v="1"/>
  </r>
  <r>
    <x v="3484"/>
    <n v="210676"/>
    <n v="61959"/>
    <n v="148717"/>
    <n v="215633996"/>
    <n v="90531680"/>
    <n v="306165676"/>
    <n v="65639"/>
    <n v="8630"/>
    <n v="74269"/>
    <b v="1"/>
    <b v="1"/>
    <b v="1"/>
    <b v="1"/>
    <b v="1"/>
    <b v="1"/>
  </r>
  <r>
    <x v="3485"/>
    <n v="226981"/>
    <n v="68967"/>
    <n v="158014"/>
    <n v="246821389"/>
    <n v="109469215"/>
    <n v="356290604"/>
    <n v="83420"/>
    <n v="9274"/>
    <n v="92694"/>
    <b v="1"/>
    <b v="1"/>
    <b v="1"/>
    <b v="1"/>
    <b v="1"/>
    <b v="1"/>
  </r>
  <r>
    <x v="3486"/>
    <n v="248437"/>
    <n v="74874"/>
    <n v="173563"/>
    <n v="260595266"/>
    <n v="118356568"/>
    <n v="378951834"/>
    <n v="85102"/>
    <n v="9197"/>
    <n v="94299"/>
    <b v="1"/>
    <b v="1"/>
    <b v="1"/>
    <b v="1"/>
    <b v="1"/>
    <b v="1"/>
  </r>
  <r>
    <x v="3487"/>
    <n v="254859"/>
    <n v="79252"/>
    <n v="175607"/>
    <n v="259417816"/>
    <n v="108643903"/>
    <n v="368061719"/>
    <n v="85917"/>
    <n v="9528"/>
    <n v="95445"/>
    <b v="1"/>
    <b v="1"/>
    <b v="1"/>
    <b v="1"/>
    <b v="1"/>
    <b v="1"/>
  </r>
  <r>
    <x v="3488"/>
    <n v="214032"/>
    <n v="65117"/>
    <n v="148915"/>
    <n v="202746186"/>
    <n v="78545036"/>
    <n v="281291222"/>
    <n v="71283"/>
    <n v="7723"/>
    <n v="79006"/>
    <b v="1"/>
    <b v="1"/>
    <b v="1"/>
    <b v="1"/>
    <b v="1"/>
    <b v="1"/>
  </r>
  <r>
    <x v="3489"/>
    <n v="225823"/>
    <n v="69342"/>
    <n v="156481"/>
    <n v="219949383"/>
    <n v="100022643"/>
    <n v="319972026"/>
    <n v="74028"/>
    <n v="7840"/>
    <n v="81868"/>
    <b v="1"/>
    <b v="1"/>
    <b v="1"/>
    <b v="1"/>
    <b v="1"/>
    <b v="1"/>
  </r>
  <r>
    <x v="3490"/>
    <n v="224452"/>
    <n v="71718"/>
    <n v="152734"/>
    <n v="234068369"/>
    <n v="113034273"/>
    <n v="347102642"/>
    <n v="71658"/>
    <n v="7901"/>
    <n v="79559"/>
    <b v="1"/>
    <b v="1"/>
    <b v="1"/>
    <b v="1"/>
    <b v="1"/>
    <b v="1"/>
  </r>
  <r>
    <x v="3491"/>
    <n v="226802"/>
    <n v="72602"/>
    <n v="154200"/>
    <n v="230964503"/>
    <n v="113131140"/>
    <n v="344095643"/>
    <n v="71904"/>
    <n v="8025"/>
    <n v="79929"/>
    <b v="1"/>
    <b v="1"/>
    <b v="1"/>
    <b v="1"/>
    <b v="1"/>
    <b v="1"/>
  </r>
  <r>
    <x v="3492"/>
    <n v="226107"/>
    <n v="71804"/>
    <n v="154303"/>
    <n v="236434100"/>
    <n v="108045372"/>
    <n v="344479472"/>
    <n v="76309"/>
    <n v="8350"/>
    <n v="84659"/>
    <b v="1"/>
    <b v="1"/>
    <b v="1"/>
    <b v="1"/>
    <b v="1"/>
    <b v="1"/>
  </r>
  <r>
    <x v="3493"/>
    <n v="225340"/>
    <n v="70931"/>
    <n v="154409"/>
    <n v="228882311"/>
    <n v="105404247"/>
    <n v="334286558"/>
    <n v="73415"/>
    <n v="8080"/>
    <n v="81495"/>
    <b v="1"/>
    <b v="1"/>
    <b v="1"/>
    <b v="1"/>
    <b v="1"/>
    <b v="1"/>
  </r>
  <r>
    <x v="3494"/>
    <n v="223895"/>
    <n v="72211"/>
    <n v="151684"/>
    <n v="213946354"/>
    <n v="93710449"/>
    <n v="307656803"/>
    <n v="70806"/>
    <n v="8015"/>
    <n v="78821"/>
    <b v="1"/>
    <b v="1"/>
    <b v="1"/>
    <b v="1"/>
    <b v="1"/>
    <b v="1"/>
  </r>
  <r>
    <x v="3495"/>
    <n v="211907"/>
    <n v="66025"/>
    <n v="145882"/>
    <n v="189734559"/>
    <n v="77360108"/>
    <n v="267094667"/>
    <n v="60849"/>
    <n v="6983"/>
    <n v="67832"/>
    <b v="1"/>
    <b v="1"/>
    <b v="1"/>
    <b v="1"/>
    <b v="1"/>
    <b v="1"/>
  </r>
  <r>
    <x v="3496"/>
    <n v="208593"/>
    <n v="65023"/>
    <n v="143570"/>
    <n v="208749656"/>
    <n v="89042454"/>
    <n v="297792110"/>
    <n v="66991"/>
    <n v="7416"/>
    <n v="74407"/>
    <b v="1"/>
    <b v="1"/>
    <b v="1"/>
    <b v="1"/>
    <b v="1"/>
    <b v="1"/>
  </r>
  <r>
    <x v="3497"/>
    <n v="215061"/>
    <n v="65986"/>
    <n v="149075"/>
    <n v="228368110"/>
    <n v="98440731"/>
    <n v="326808841"/>
    <n v="66920"/>
    <n v="7342"/>
    <n v="74262"/>
    <b v="1"/>
    <b v="1"/>
    <b v="1"/>
    <b v="1"/>
    <b v="1"/>
    <b v="1"/>
  </r>
  <r>
    <x v="3498"/>
    <n v="190247"/>
    <n v="60385"/>
    <n v="129862"/>
    <n v="182335746"/>
    <n v="87721251"/>
    <n v="270056997"/>
    <n v="56475"/>
    <n v="6451"/>
    <n v="62926"/>
    <b v="1"/>
    <b v="1"/>
    <b v="1"/>
    <b v="1"/>
    <b v="1"/>
    <b v="1"/>
  </r>
  <r>
    <x v="3499"/>
    <n v="215563"/>
    <n v="69389"/>
    <n v="146174"/>
    <n v="206702213"/>
    <n v="108019420"/>
    <n v="314721633"/>
    <n v="65183"/>
    <n v="6853"/>
    <n v="72036"/>
    <b v="1"/>
    <b v="1"/>
    <b v="1"/>
    <b v="1"/>
    <b v="1"/>
    <b v="1"/>
  </r>
  <r>
    <x v="3500"/>
    <n v="222431"/>
    <n v="71006"/>
    <n v="151425"/>
    <n v="216186510"/>
    <n v="113140407"/>
    <n v="329326917"/>
    <n v="68712"/>
    <n v="7147"/>
    <n v="75859"/>
    <b v="1"/>
    <b v="1"/>
    <b v="1"/>
    <b v="1"/>
    <b v="1"/>
    <b v="1"/>
  </r>
  <r>
    <x v="3501"/>
    <n v="222234"/>
    <n v="73180"/>
    <n v="149054"/>
    <n v="218235786"/>
    <n v="342038216"/>
    <n v="560274002"/>
    <n v="68015"/>
    <n v="7724"/>
    <n v="75739"/>
    <b v="1"/>
    <b v="1"/>
    <b v="1"/>
    <b v="1"/>
    <b v="1"/>
    <b v="1"/>
  </r>
  <r>
    <x v="3502"/>
    <n v="205533"/>
    <n v="65895"/>
    <n v="139638"/>
    <n v="191768234"/>
    <n v="84769102"/>
    <n v="276537336"/>
    <n v="62316"/>
    <n v="6956"/>
    <n v="69272"/>
    <b v="1"/>
    <b v="1"/>
    <b v="1"/>
    <b v="1"/>
    <b v="1"/>
    <b v="1"/>
  </r>
  <r>
    <x v="3503"/>
    <n v="229105"/>
    <n v="73344"/>
    <n v="155761"/>
    <n v="242068816"/>
    <n v="114573864"/>
    <n v="356642680"/>
    <n v="71268"/>
    <n v="7753"/>
    <n v="79021"/>
    <b v="1"/>
    <b v="1"/>
    <b v="1"/>
    <b v="1"/>
    <b v="1"/>
    <b v="1"/>
  </r>
  <r>
    <x v="3504"/>
    <n v="233952"/>
    <n v="75803"/>
    <n v="158149"/>
    <n v="254013488"/>
    <n v="124681408"/>
    <n v="378694896"/>
    <n v="79715"/>
    <n v="8495"/>
    <n v="88210"/>
    <b v="1"/>
    <b v="1"/>
    <b v="1"/>
    <b v="1"/>
    <b v="1"/>
    <b v="1"/>
  </r>
  <r>
    <x v="3505"/>
    <n v="237687"/>
    <n v="76407"/>
    <n v="161280"/>
    <n v="262195043"/>
    <n v="133888155"/>
    <n v="396083198"/>
    <n v="77978"/>
    <n v="8274"/>
    <n v="86252"/>
    <b v="1"/>
    <b v="1"/>
    <b v="1"/>
    <b v="1"/>
    <b v="1"/>
    <b v="1"/>
  </r>
  <r>
    <x v="3506"/>
    <n v="246650"/>
    <n v="76628"/>
    <n v="170022"/>
    <n v="273862145"/>
    <n v="128128426"/>
    <n v="401990571"/>
    <n v="85975"/>
    <n v="9113"/>
    <n v="95088"/>
    <b v="1"/>
    <b v="1"/>
    <b v="1"/>
    <b v="1"/>
    <b v="1"/>
    <b v="1"/>
  </r>
  <r>
    <x v="3507"/>
    <n v="231599"/>
    <n v="73570"/>
    <n v="158029"/>
    <n v="253780297"/>
    <n v="120575452"/>
    <n v="374355749"/>
    <n v="82081"/>
    <n v="8724"/>
    <n v="90805"/>
    <b v="1"/>
    <b v="1"/>
    <b v="1"/>
    <b v="1"/>
    <b v="1"/>
    <b v="1"/>
  </r>
  <r>
    <x v="3508"/>
    <n v="247726"/>
    <n v="76871"/>
    <n v="170855"/>
    <n v="262693593"/>
    <n v="109275299"/>
    <n v="371968892"/>
    <n v="90738"/>
    <n v="9774"/>
    <n v="100512"/>
    <b v="1"/>
    <b v="1"/>
    <b v="1"/>
    <b v="1"/>
    <b v="1"/>
    <b v="1"/>
  </r>
  <r>
    <x v="3509"/>
    <n v="209663"/>
    <n v="65159"/>
    <n v="144504"/>
    <n v="200434658"/>
    <n v="84619843"/>
    <n v="285054501"/>
    <n v="67879"/>
    <n v="7215"/>
    <n v="75094"/>
    <b v="1"/>
    <b v="1"/>
    <b v="1"/>
    <b v="1"/>
    <b v="1"/>
    <b v="1"/>
  </r>
  <r>
    <x v="3510"/>
    <n v="227515"/>
    <n v="70370"/>
    <n v="157145"/>
    <n v="243252972"/>
    <n v="107736485"/>
    <n v="350989457"/>
    <n v="78187"/>
    <n v="8416"/>
    <n v="86603"/>
    <b v="1"/>
    <b v="1"/>
    <b v="1"/>
    <b v="1"/>
    <b v="1"/>
    <b v="1"/>
  </r>
  <r>
    <x v="3511"/>
    <n v="229670"/>
    <n v="72211"/>
    <n v="157459"/>
    <n v="243649563"/>
    <n v="131677252"/>
    <n v="375326815"/>
    <n v="81420"/>
    <n v="8477"/>
    <n v="89897"/>
    <b v="1"/>
    <b v="1"/>
    <b v="1"/>
    <b v="1"/>
    <b v="1"/>
    <b v="1"/>
  </r>
  <r>
    <x v="3512"/>
    <n v="228895"/>
    <n v="68903"/>
    <n v="159992"/>
    <n v="255235004"/>
    <n v="113526296"/>
    <n v="368761300"/>
    <n v="89713"/>
    <n v="9559"/>
    <n v="99272"/>
    <b v="1"/>
    <b v="1"/>
    <b v="1"/>
    <b v="1"/>
    <b v="1"/>
    <b v="1"/>
  </r>
  <r>
    <x v="3513"/>
    <n v="164153"/>
    <n v="48884"/>
    <n v="115269"/>
    <n v="148489440"/>
    <n v="57774602"/>
    <n v="206264042"/>
    <n v="55758"/>
    <n v="5419"/>
    <n v="61177"/>
    <b v="1"/>
    <b v="1"/>
    <b v="1"/>
    <b v="1"/>
    <b v="1"/>
    <b v="1"/>
  </r>
  <r>
    <x v="3514"/>
    <n v="245648"/>
    <n v="74988"/>
    <n v="170660"/>
    <n v="272434033"/>
    <n v="114038988"/>
    <n v="386473021"/>
    <n v="91968"/>
    <n v="9626"/>
    <n v="101594"/>
    <b v="1"/>
    <b v="1"/>
    <b v="1"/>
    <b v="1"/>
    <b v="1"/>
    <b v="1"/>
  </r>
  <r>
    <x v="3515"/>
    <n v="232773"/>
    <n v="73350"/>
    <n v="159423"/>
    <n v="255083122"/>
    <n v="104283464"/>
    <n v="359366586"/>
    <n v="83076"/>
    <n v="9081"/>
    <n v="92157"/>
    <b v="1"/>
    <b v="1"/>
    <b v="1"/>
    <b v="1"/>
    <b v="1"/>
    <b v="1"/>
  </r>
  <r>
    <x v="3516"/>
    <n v="216109"/>
    <n v="64682"/>
    <n v="151427"/>
    <n v="216852524"/>
    <n v="81766933"/>
    <n v="298619457"/>
    <n v="77958"/>
    <n v="8374"/>
    <n v="86332"/>
    <b v="1"/>
    <b v="1"/>
    <b v="1"/>
    <b v="1"/>
    <b v="1"/>
    <b v="1"/>
  </r>
  <r>
    <x v="3517"/>
    <n v="195626"/>
    <n v="57470"/>
    <n v="138156"/>
    <n v="190072417"/>
    <n v="67797152"/>
    <n v="257869569"/>
    <n v="68990"/>
    <n v="7730"/>
    <n v="76720"/>
    <b v="1"/>
    <b v="1"/>
    <b v="1"/>
    <b v="1"/>
    <b v="1"/>
    <b v="1"/>
  </r>
  <r>
    <x v="3518"/>
    <n v="232573"/>
    <n v="69109"/>
    <n v="163464"/>
    <n v="246840286"/>
    <n v="98456701"/>
    <n v="345296987"/>
    <n v="84841"/>
    <n v="9202"/>
    <n v="94043"/>
    <b v="1"/>
    <b v="1"/>
    <b v="1"/>
    <b v="1"/>
    <b v="1"/>
    <b v="1"/>
  </r>
  <r>
    <x v="3519"/>
    <n v="223640"/>
    <n v="66613"/>
    <n v="157027"/>
    <n v="250033138"/>
    <n v="109901999"/>
    <n v="359935137"/>
    <n v="80471"/>
    <n v="9064"/>
    <n v="89535"/>
    <b v="1"/>
    <b v="1"/>
    <b v="1"/>
    <b v="1"/>
    <b v="1"/>
    <b v="1"/>
  </r>
  <r>
    <x v="3520"/>
    <n v="243369"/>
    <n v="73232"/>
    <n v="170137"/>
    <n v="282287356"/>
    <n v="119384345"/>
    <n v="401671701"/>
    <n v="92003"/>
    <n v="10128"/>
    <n v="102131"/>
    <b v="1"/>
    <b v="1"/>
    <b v="1"/>
    <b v="1"/>
    <b v="1"/>
    <b v="1"/>
  </r>
  <r>
    <x v="3521"/>
    <n v="232912"/>
    <n v="71642"/>
    <n v="161270"/>
    <n v="255932398"/>
    <n v="116698656"/>
    <n v="372631054"/>
    <n v="81654"/>
    <n v="8942"/>
    <n v="90596"/>
    <b v="1"/>
    <b v="1"/>
    <b v="1"/>
    <b v="1"/>
    <b v="1"/>
    <b v="1"/>
  </r>
  <r>
    <x v="3522"/>
    <n v="236413"/>
    <n v="73344"/>
    <n v="163069"/>
    <n v="257348359"/>
    <n v="109640268"/>
    <n v="366988627"/>
    <n v="84090"/>
    <n v="10017"/>
    <n v="94107"/>
    <b v="1"/>
    <b v="1"/>
    <b v="1"/>
    <b v="1"/>
    <b v="1"/>
    <b v="1"/>
  </r>
  <r>
    <x v="3523"/>
    <n v="210314"/>
    <n v="65385"/>
    <n v="144929"/>
    <n v="209893137"/>
    <n v="83862316"/>
    <n v="293755453"/>
    <n v="73383"/>
    <n v="8021"/>
    <n v="81404"/>
    <b v="1"/>
    <b v="1"/>
    <b v="1"/>
    <b v="1"/>
    <b v="1"/>
    <b v="1"/>
  </r>
  <r>
    <x v="3524"/>
    <n v="200983"/>
    <n v="60549"/>
    <n v="140434"/>
    <n v="208804108"/>
    <n v="75107711"/>
    <n v="283911819"/>
    <n v="65473"/>
    <n v="7243"/>
    <n v="72716"/>
    <b v="1"/>
    <b v="1"/>
    <b v="1"/>
    <b v="1"/>
    <b v="1"/>
    <b v="1"/>
  </r>
  <r>
    <x v="3525"/>
    <n v="221095"/>
    <n v="66872"/>
    <n v="154223"/>
    <n v="239869538"/>
    <n v="97119341"/>
    <n v="336988879"/>
    <n v="72420"/>
    <n v="7956"/>
    <n v="80376"/>
    <b v="1"/>
    <b v="1"/>
    <b v="1"/>
    <b v="1"/>
    <b v="1"/>
    <b v="1"/>
  </r>
  <r>
    <x v="3526"/>
    <n v="217788"/>
    <n v="66791"/>
    <n v="150997"/>
    <n v="245405391"/>
    <n v="164382435"/>
    <n v="409787826"/>
    <n v="79845"/>
    <n v="8584"/>
    <n v="88429"/>
    <b v="1"/>
    <b v="1"/>
    <b v="1"/>
    <b v="1"/>
    <b v="1"/>
    <b v="1"/>
  </r>
  <r>
    <x v="3527"/>
    <n v="210063"/>
    <n v="63656"/>
    <n v="146407"/>
    <n v="232992393"/>
    <n v="102103585"/>
    <n v="335095978"/>
    <n v="79257"/>
    <n v="8348"/>
    <n v="87605"/>
    <b v="1"/>
    <b v="1"/>
    <b v="1"/>
    <b v="1"/>
    <b v="1"/>
    <b v="1"/>
  </r>
  <r>
    <x v="3528"/>
    <n v="223313"/>
    <n v="70223"/>
    <n v="153090"/>
    <n v="257643259"/>
    <n v="106579745"/>
    <n v="364223004"/>
    <n v="83533"/>
    <n v="9122"/>
    <n v="92655"/>
    <b v="1"/>
    <b v="1"/>
    <b v="1"/>
    <b v="1"/>
    <b v="1"/>
    <b v="1"/>
  </r>
  <r>
    <x v="3529"/>
    <n v="220542"/>
    <n v="69683"/>
    <n v="150859"/>
    <n v="256695202"/>
    <n v="97905079"/>
    <n v="354600281"/>
    <n v="77785"/>
    <n v="8790"/>
    <n v="86575"/>
    <b v="1"/>
    <b v="1"/>
    <b v="1"/>
    <b v="1"/>
    <b v="1"/>
    <b v="1"/>
  </r>
  <r>
    <x v="3530"/>
    <n v="213523"/>
    <n v="67444"/>
    <n v="146079"/>
    <n v="209088127"/>
    <n v="84974694"/>
    <n v="294062821"/>
    <n v="76968"/>
    <n v="7751"/>
    <n v="84719"/>
    <b v="1"/>
    <b v="1"/>
    <b v="1"/>
    <b v="1"/>
    <b v="1"/>
    <b v="1"/>
  </r>
  <r>
    <x v="3531"/>
    <n v="237513"/>
    <n v="73062"/>
    <n v="164451"/>
    <n v="270080652"/>
    <n v="110946983"/>
    <n v="381027635"/>
    <n v="90529"/>
    <n v="9078"/>
    <n v="99607"/>
    <b v="1"/>
    <b v="1"/>
    <b v="1"/>
    <b v="1"/>
    <b v="1"/>
    <b v="1"/>
  </r>
  <r>
    <x v="3532"/>
    <n v="242696"/>
    <n v="74988"/>
    <n v="167708"/>
    <n v="277009596"/>
    <n v="122763045"/>
    <n v="399772641"/>
    <n v="94013"/>
    <n v="9477"/>
    <n v="103490"/>
    <b v="1"/>
    <b v="1"/>
    <b v="1"/>
    <b v="1"/>
    <b v="1"/>
    <b v="1"/>
  </r>
  <r>
    <x v="3533"/>
    <n v="224490"/>
    <n v="71023"/>
    <n v="153467"/>
    <n v="251877547"/>
    <n v="118382215"/>
    <n v="370259762"/>
    <n v="83646"/>
    <n v="8845"/>
    <n v="92491"/>
    <b v="1"/>
    <b v="1"/>
    <b v="1"/>
    <b v="1"/>
    <b v="1"/>
    <b v="1"/>
  </r>
  <r>
    <x v="3534"/>
    <n v="241036"/>
    <n v="73702"/>
    <n v="167334"/>
    <n v="276000483"/>
    <n v="119877256"/>
    <n v="395877739"/>
    <n v="90257"/>
    <n v="9245"/>
    <n v="99502"/>
    <b v="1"/>
    <b v="1"/>
    <b v="1"/>
    <b v="1"/>
    <b v="1"/>
    <b v="1"/>
  </r>
  <r>
    <x v="3535"/>
    <n v="225307"/>
    <n v="70658"/>
    <n v="154649"/>
    <n v="240952227"/>
    <n v="118783729"/>
    <n v="359735956"/>
    <n v="80224"/>
    <n v="8330"/>
    <n v="88554"/>
    <b v="1"/>
    <b v="1"/>
    <b v="1"/>
    <b v="1"/>
    <b v="1"/>
    <b v="1"/>
  </r>
  <r>
    <x v="3536"/>
    <n v="219738"/>
    <n v="68618"/>
    <n v="151120"/>
    <n v="240933596"/>
    <n v="98410000"/>
    <n v="339343596"/>
    <n v="85103"/>
    <n v="9097"/>
    <n v="94200"/>
    <b v="1"/>
    <b v="1"/>
    <b v="1"/>
    <b v="1"/>
    <b v="1"/>
    <b v="1"/>
  </r>
  <r>
    <x v="3537"/>
    <n v="211995"/>
    <n v="66005"/>
    <n v="145990"/>
    <n v="227771562"/>
    <n v="84412241"/>
    <n v="312183803"/>
    <n v="83834"/>
    <n v="8593"/>
    <n v="92427"/>
    <b v="1"/>
    <b v="1"/>
    <b v="1"/>
    <b v="1"/>
    <b v="1"/>
    <b v="1"/>
  </r>
  <r>
    <x v="3538"/>
    <n v="218886"/>
    <n v="68533"/>
    <n v="150353"/>
    <n v="237969797"/>
    <n v="100206230"/>
    <n v="338176027"/>
    <n v="89328"/>
    <n v="9007"/>
    <n v="98335"/>
    <b v="1"/>
    <b v="1"/>
    <b v="1"/>
    <b v="1"/>
    <b v="1"/>
    <b v="1"/>
  </r>
  <r>
    <x v="3539"/>
    <n v="226030"/>
    <n v="70664"/>
    <n v="155366"/>
    <n v="263460177"/>
    <n v="113953906"/>
    <n v="377414083"/>
    <n v="89921"/>
    <n v="8939"/>
    <n v="98860"/>
    <b v="1"/>
    <b v="1"/>
    <b v="1"/>
    <b v="1"/>
    <b v="1"/>
    <b v="1"/>
  </r>
  <r>
    <x v="3540"/>
    <n v="216973"/>
    <n v="67762"/>
    <n v="149211"/>
    <n v="251481883"/>
    <n v="112774640"/>
    <n v="364256523"/>
    <n v="89601"/>
    <n v="8903"/>
    <n v="98504"/>
    <b v="1"/>
    <b v="1"/>
    <b v="1"/>
    <b v="1"/>
    <b v="1"/>
    <b v="1"/>
  </r>
  <r>
    <x v="3541"/>
    <n v="214417"/>
    <n v="69197"/>
    <n v="145220"/>
    <n v="236934838"/>
    <n v="114317351"/>
    <n v="351252189"/>
    <n v="79017"/>
    <n v="8301"/>
    <n v="87318"/>
    <b v="1"/>
    <b v="1"/>
    <b v="1"/>
    <b v="1"/>
    <b v="1"/>
    <b v="1"/>
  </r>
  <r>
    <x v="3542"/>
    <n v="215264"/>
    <n v="68785"/>
    <n v="146479"/>
    <n v="235869004"/>
    <n v="116446778"/>
    <n v="352315782"/>
    <n v="72183"/>
    <n v="8167"/>
    <n v="80350"/>
    <b v="1"/>
    <b v="1"/>
    <b v="1"/>
    <b v="1"/>
    <b v="1"/>
    <b v="1"/>
  </r>
  <r>
    <x v="3543"/>
    <n v="226606"/>
    <n v="71401"/>
    <n v="155205"/>
    <n v="244739159"/>
    <n v="107393186"/>
    <n v="352132345"/>
    <n v="89243"/>
    <n v="9387"/>
    <n v="98630"/>
    <b v="1"/>
    <b v="1"/>
    <b v="1"/>
    <b v="1"/>
    <b v="1"/>
    <b v="1"/>
  </r>
  <r>
    <x v="3544"/>
    <n v="203380"/>
    <n v="59220"/>
    <n v="144160"/>
    <n v="216311277"/>
    <n v="78500763"/>
    <n v="294812040"/>
    <n v="83112"/>
    <n v="8390"/>
    <n v="91502"/>
    <b v="1"/>
    <b v="1"/>
    <b v="1"/>
    <b v="1"/>
    <b v="1"/>
    <b v="1"/>
  </r>
  <r>
    <x v="3545"/>
    <n v="200988"/>
    <n v="60786"/>
    <n v="140202"/>
    <n v="218974577"/>
    <n v="87821630"/>
    <n v="306796207"/>
    <n v="73125"/>
    <n v="7833"/>
    <n v="80958"/>
    <b v="1"/>
    <b v="1"/>
    <b v="1"/>
    <b v="1"/>
    <b v="1"/>
    <b v="1"/>
  </r>
  <r>
    <x v="3546"/>
    <n v="193230"/>
    <n v="57615"/>
    <n v="135615"/>
    <n v="212999391"/>
    <n v="84789824"/>
    <n v="297789215"/>
    <n v="69685"/>
    <n v="7426"/>
    <n v="77111"/>
    <b v="1"/>
    <b v="1"/>
    <b v="1"/>
    <b v="1"/>
    <b v="1"/>
    <b v="1"/>
  </r>
  <r>
    <x v="3547"/>
    <n v="211485"/>
    <n v="67500"/>
    <n v="143985"/>
    <n v="225958087"/>
    <n v="110901567"/>
    <n v="336859654"/>
    <n v="71893"/>
    <n v="7900"/>
    <n v="79793"/>
    <b v="1"/>
    <b v="1"/>
    <b v="1"/>
    <b v="1"/>
    <b v="1"/>
    <b v="1"/>
  </r>
  <r>
    <x v="3548"/>
    <n v="243377"/>
    <n v="74302"/>
    <n v="169075"/>
    <n v="269856335"/>
    <n v="122537465"/>
    <n v="392393800"/>
    <n v="92252"/>
    <n v="9452"/>
    <n v="101704"/>
    <b v="1"/>
    <b v="1"/>
    <b v="1"/>
    <b v="1"/>
    <b v="1"/>
    <b v="1"/>
  </r>
  <r>
    <x v="3549"/>
    <n v="245315"/>
    <n v="74547"/>
    <n v="170768"/>
    <n v="274962423"/>
    <n v="125729795"/>
    <n v="400692218"/>
    <n v="91953"/>
    <n v="9210"/>
    <n v="101163"/>
    <b v="1"/>
    <b v="1"/>
    <b v="1"/>
    <b v="1"/>
    <b v="1"/>
    <b v="1"/>
  </r>
  <r>
    <x v="3550"/>
    <n v="240737"/>
    <n v="75669"/>
    <n v="165068"/>
    <n v="255068290"/>
    <n v="107753399"/>
    <n v="362821689"/>
    <n v="76374"/>
    <n v="8302"/>
    <n v="84676"/>
    <b v="1"/>
    <b v="1"/>
    <b v="1"/>
    <b v="1"/>
    <b v="1"/>
    <b v="1"/>
  </r>
  <r>
    <x v="3551"/>
    <n v="222967"/>
    <n v="68196"/>
    <n v="154771"/>
    <n v="233444792"/>
    <n v="87347190"/>
    <n v="320791982"/>
    <n v="82656"/>
    <n v="8010"/>
    <n v="90666"/>
    <b v="1"/>
    <b v="1"/>
    <b v="1"/>
    <b v="1"/>
    <b v="1"/>
    <b v="1"/>
  </r>
  <r>
    <x v="3552"/>
    <n v="239364"/>
    <n v="74093"/>
    <n v="165271"/>
    <n v="273100245"/>
    <n v="104833641"/>
    <n v="377933886"/>
    <n v="77032"/>
    <n v="9468"/>
    <n v="86500"/>
    <b v="1"/>
    <b v="1"/>
    <b v="1"/>
    <b v="1"/>
    <b v="1"/>
    <b v="1"/>
  </r>
  <r>
    <x v="3553"/>
    <n v="238259"/>
    <n v="73161"/>
    <n v="165098"/>
    <n v="273910126"/>
    <n v="117725546"/>
    <n v="391635672"/>
    <n v="87487"/>
    <n v="9174"/>
    <n v="96661"/>
    <b v="1"/>
    <b v="1"/>
    <b v="1"/>
    <b v="1"/>
    <b v="1"/>
    <b v="1"/>
  </r>
  <r>
    <x v="3554"/>
    <n v="231894"/>
    <n v="72388"/>
    <n v="159506"/>
    <n v="270346858"/>
    <n v="116216084"/>
    <n v="386562942"/>
    <n v="83905"/>
    <n v="8664"/>
    <n v="92569"/>
    <b v="1"/>
    <b v="1"/>
    <b v="1"/>
    <b v="1"/>
    <b v="1"/>
    <b v="1"/>
  </r>
  <r>
    <x v="3555"/>
    <n v="226225"/>
    <n v="70701"/>
    <n v="155524"/>
    <n v="255947956"/>
    <n v="106835007"/>
    <n v="362782963"/>
    <n v="78505"/>
    <n v="8727"/>
    <n v="87232"/>
    <b v="1"/>
    <b v="1"/>
    <b v="1"/>
    <b v="1"/>
    <b v="1"/>
    <b v="1"/>
  </r>
  <r>
    <x v="3556"/>
    <n v="225048"/>
    <n v="71040"/>
    <n v="154008"/>
    <n v="250576796"/>
    <n v="105880710"/>
    <n v="356457506"/>
    <n v="80437"/>
    <n v="9047"/>
    <n v="89484"/>
    <b v="1"/>
    <b v="1"/>
    <b v="1"/>
    <b v="1"/>
    <b v="1"/>
    <b v="1"/>
  </r>
  <r>
    <x v="3557"/>
    <n v="230343"/>
    <n v="73696"/>
    <n v="156647"/>
    <n v="243505798"/>
    <n v="100528629"/>
    <n v="344034427"/>
    <n v="80156"/>
    <n v="9146"/>
    <n v="89302"/>
    <b v="1"/>
    <b v="1"/>
    <b v="1"/>
    <b v="1"/>
    <b v="1"/>
    <b v="1"/>
  </r>
  <r>
    <x v="3558"/>
    <n v="215589"/>
    <n v="67441"/>
    <n v="148148"/>
    <n v="218225436"/>
    <n v="82993160"/>
    <n v="301218596"/>
    <n v="76952"/>
    <n v="8062"/>
    <n v="85014"/>
    <b v="1"/>
    <b v="1"/>
    <b v="1"/>
    <b v="1"/>
    <b v="1"/>
    <b v="1"/>
  </r>
  <r>
    <x v="3559"/>
    <n v="233813"/>
    <n v="73132"/>
    <n v="160681"/>
    <n v="253465664"/>
    <n v="99897849"/>
    <n v="353363513"/>
    <n v="86147"/>
    <n v="8830"/>
    <n v="94977"/>
    <b v="1"/>
    <b v="1"/>
    <b v="1"/>
    <b v="1"/>
    <b v="1"/>
    <b v="1"/>
  </r>
  <r>
    <x v="3560"/>
    <n v="221005"/>
    <n v="68019"/>
    <n v="152986"/>
    <n v="245216897"/>
    <n v="108075719"/>
    <n v="353292616"/>
    <n v="84855"/>
    <n v="9377"/>
    <n v="94232"/>
    <b v="1"/>
    <b v="1"/>
    <b v="1"/>
    <b v="1"/>
    <b v="1"/>
    <b v="1"/>
  </r>
  <r>
    <x v="3561"/>
    <n v="224189"/>
    <n v="72773"/>
    <n v="151416"/>
    <n v="243271460"/>
    <n v="103656189"/>
    <n v="346927649"/>
    <n v="81893"/>
    <n v="8959"/>
    <n v="90852"/>
    <b v="1"/>
    <b v="1"/>
    <b v="1"/>
    <b v="1"/>
    <b v="1"/>
    <b v="1"/>
  </r>
  <r>
    <x v="3562"/>
    <n v="243884"/>
    <n v="72085"/>
    <n v="171799"/>
    <n v="285517172"/>
    <n v="115998676"/>
    <n v="401515848"/>
    <n v="85718"/>
    <n v="9339"/>
    <n v="95057"/>
    <b v="1"/>
    <b v="1"/>
    <b v="1"/>
    <b v="1"/>
    <b v="1"/>
    <b v="1"/>
  </r>
  <r>
    <x v="3563"/>
    <n v="253179"/>
    <n v="75759"/>
    <n v="177420"/>
    <n v="295586770"/>
    <n v="125253109"/>
    <n v="420839879"/>
    <n v="92406"/>
    <n v="10129"/>
    <n v="102535"/>
    <b v="1"/>
    <b v="1"/>
    <b v="1"/>
    <b v="1"/>
    <b v="1"/>
    <b v="1"/>
  </r>
  <r>
    <x v="3564"/>
    <n v="246858"/>
    <n v="76445"/>
    <n v="170413"/>
    <n v="281731428"/>
    <n v="119896963"/>
    <n v="401628391"/>
    <n v="89099"/>
    <n v="9375"/>
    <n v="98474"/>
    <b v="1"/>
    <b v="1"/>
    <b v="1"/>
    <b v="1"/>
    <b v="1"/>
    <b v="1"/>
  </r>
  <r>
    <x v="3565"/>
    <n v="219152"/>
    <n v="66375"/>
    <n v="152777"/>
    <n v="235236243"/>
    <n v="91694270"/>
    <n v="326930513"/>
    <n v="80972"/>
    <n v="8582"/>
    <n v="89554"/>
    <b v="1"/>
    <b v="1"/>
    <b v="1"/>
    <b v="1"/>
    <b v="1"/>
    <b v="1"/>
  </r>
  <r>
    <x v="3566"/>
    <n v="250608"/>
    <n v="75651"/>
    <n v="174957"/>
    <n v="288423193"/>
    <n v="126105881"/>
    <n v="414529074"/>
    <n v="89876"/>
    <n v="9562"/>
    <n v="99438"/>
    <b v="1"/>
    <b v="1"/>
    <b v="1"/>
    <b v="1"/>
    <b v="1"/>
    <b v="1"/>
  </r>
  <r>
    <x v="3567"/>
    <n v="243070"/>
    <n v="74666"/>
    <n v="168404"/>
    <n v="288551903"/>
    <n v="130441618"/>
    <n v="418993521"/>
    <n v="87641"/>
    <n v="8724"/>
    <n v="96365"/>
    <b v="1"/>
    <b v="1"/>
    <b v="1"/>
    <b v="1"/>
    <b v="1"/>
    <b v="1"/>
  </r>
  <r>
    <x v="3568"/>
    <n v="245724"/>
    <n v="76301"/>
    <n v="169423"/>
    <n v="283460308"/>
    <n v="135100403"/>
    <n v="418560711"/>
    <n v="90020"/>
    <n v="9715"/>
    <n v="99735"/>
    <b v="1"/>
    <b v="1"/>
    <b v="1"/>
    <b v="1"/>
    <b v="1"/>
    <b v="1"/>
  </r>
  <r>
    <x v="3569"/>
    <n v="245970"/>
    <n v="76780"/>
    <n v="169190"/>
    <n v="287314376"/>
    <n v="129109117"/>
    <n v="416423493"/>
    <n v="93165"/>
    <n v="9215"/>
    <n v="102380"/>
    <b v="1"/>
    <b v="1"/>
    <b v="1"/>
    <b v="1"/>
    <b v="1"/>
    <b v="1"/>
  </r>
  <r>
    <x v="3570"/>
    <n v="222930"/>
    <n v="68643"/>
    <n v="154287"/>
    <n v="260060125"/>
    <n v="99009780"/>
    <n v="359069905"/>
    <n v="90376"/>
    <n v="8930"/>
    <n v="99306"/>
    <b v="1"/>
    <b v="1"/>
    <b v="1"/>
    <b v="1"/>
    <b v="1"/>
    <b v="1"/>
  </r>
  <r>
    <x v="3571"/>
    <n v="209250"/>
    <n v="61764"/>
    <n v="147486"/>
    <n v="240939295"/>
    <n v="74230714"/>
    <n v="315170009"/>
    <n v="81358"/>
    <n v="8540"/>
    <n v="89898"/>
    <b v="1"/>
    <b v="1"/>
    <b v="1"/>
    <b v="1"/>
    <b v="1"/>
    <b v="1"/>
  </r>
  <r>
    <x v="3572"/>
    <n v="215186"/>
    <n v="61593"/>
    <n v="153593"/>
    <n v="244697448"/>
    <n v="74807820"/>
    <n v="319505268"/>
    <n v="86091"/>
    <n v="8171"/>
    <n v="94262"/>
    <b v="1"/>
    <b v="1"/>
    <b v="1"/>
    <b v="1"/>
    <b v="1"/>
    <b v="1"/>
  </r>
  <r>
    <x v="3573"/>
    <n v="231939"/>
    <n v="68151"/>
    <n v="163788"/>
    <n v="283667824"/>
    <n v="105116081"/>
    <n v="388783905"/>
    <n v="92851"/>
    <n v="9337"/>
    <n v="102188"/>
    <b v="1"/>
    <b v="1"/>
    <b v="1"/>
    <b v="1"/>
    <b v="1"/>
    <b v="1"/>
  </r>
  <r>
    <x v="3574"/>
    <n v="230557"/>
    <n v="67644"/>
    <n v="162913"/>
    <n v="284616300"/>
    <n v="118146405"/>
    <n v="402762705"/>
    <n v="95973"/>
    <n v="9256"/>
    <n v="105229"/>
    <b v="1"/>
    <b v="1"/>
    <b v="1"/>
    <b v="1"/>
    <b v="1"/>
    <b v="1"/>
  </r>
  <r>
    <x v="3575"/>
    <n v="238243"/>
    <n v="68717"/>
    <n v="169526"/>
    <n v="286269823"/>
    <n v="118571064"/>
    <n v="404840887"/>
    <n v="88046"/>
    <n v="9084"/>
    <n v="97130"/>
    <b v="1"/>
    <b v="1"/>
    <b v="1"/>
    <b v="1"/>
    <b v="1"/>
    <b v="1"/>
  </r>
  <r>
    <x v="3576"/>
    <n v="251494"/>
    <n v="75815"/>
    <n v="175679"/>
    <n v="304368411"/>
    <n v="128244097"/>
    <n v="432612508"/>
    <n v="92812"/>
    <n v="9607"/>
    <n v="102419"/>
    <b v="1"/>
    <b v="1"/>
    <b v="1"/>
    <b v="1"/>
    <b v="1"/>
    <b v="1"/>
  </r>
  <r>
    <x v="3577"/>
    <n v="262834"/>
    <n v="80715"/>
    <n v="182119"/>
    <n v="314406129"/>
    <n v="142505249"/>
    <n v="456911378"/>
    <n v="96349"/>
    <n v="9691"/>
    <n v="106040"/>
    <b v="1"/>
    <b v="1"/>
    <b v="1"/>
    <b v="1"/>
    <b v="1"/>
    <b v="1"/>
  </r>
  <r>
    <x v="3578"/>
    <n v="257096"/>
    <n v="79090"/>
    <n v="178006"/>
    <n v="306478747"/>
    <n v="132825198"/>
    <n v="439303945"/>
    <n v="93345"/>
    <n v="9510"/>
    <n v="102855"/>
    <b v="1"/>
    <b v="1"/>
    <b v="1"/>
    <b v="1"/>
    <b v="1"/>
    <b v="1"/>
  </r>
  <r>
    <x v="3579"/>
    <n v="226377"/>
    <n v="68048"/>
    <n v="158329"/>
    <n v="237515511"/>
    <n v="86631976"/>
    <n v="324147487"/>
    <n v="75312"/>
    <n v="7802"/>
    <n v="83114"/>
    <b v="1"/>
    <b v="1"/>
    <b v="1"/>
    <b v="1"/>
    <b v="1"/>
    <b v="1"/>
  </r>
  <r>
    <x v="3580"/>
    <n v="249975"/>
    <n v="76672"/>
    <n v="173303"/>
    <n v="298032743"/>
    <n v="122842065"/>
    <n v="420874808"/>
    <n v="84293"/>
    <n v="8648"/>
    <n v="92941"/>
    <b v="1"/>
    <b v="1"/>
    <b v="1"/>
    <b v="1"/>
    <b v="1"/>
    <b v="1"/>
  </r>
  <r>
    <x v="3581"/>
    <n v="253326"/>
    <n v="79567"/>
    <n v="173759"/>
    <n v="304862986"/>
    <n v="141903394"/>
    <n v="446766380"/>
    <n v="88267"/>
    <n v="9287"/>
    <n v="97554"/>
    <b v="1"/>
    <b v="1"/>
    <b v="1"/>
    <b v="1"/>
    <b v="1"/>
    <b v="1"/>
  </r>
  <r>
    <x v="3582"/>
    <n v="261278"/>
    <n v="80709"/>
    <n v="180569"/>
    <n v="327116150"/>
    <n v="143586225"/>
    <n v="470702375"/>
    <n v="88632"/>
    <n v="9367"/>
    <n v="97999"/>
    <b v="1"/>
    <b v="1"/>
    <b v="1"/>
    <b v="1"/>
    <b v="1"/>
    <b v="1"/>
  </r>
  <r>
    <x v="3583"/>
    <n v="255930"/>
    <n v="79136"/>
    <n v="176794"/>
    <n v="312076872"/>
    <n v="133974606"/>
    <n v="446051478"/>
    <n v="88887"/>
    <n v="8957"/>
    <n v="97844"/>
    <b v="1"/>
    <b v="1"/>
    <b v="1"/>
    <b v="1"/>
    <b v="1"/>
    <b v="1"/>
  </r>
  <r>
    <x v="3584"/>
    <n v="242721"/>
    <n v="74532"/>
    <n v="168189"/>
    <n v="301015864"/>
    <n v="123601867"/>
    <n v="424617731"/>
    <n v="86626"/>
    <n v="8926"/>
    <n v="95552"/>
    <b v="1"/>
    <b v="1"/>
    <b v="1"/>
    <b v="1"/>
    <b v="1"/>
    <b v="1"/>
  </r>
  <r>
    <x v="3585"/>
    <n v="252713"/>
    <n v="79199"/>
    <n v="173514"/>
    <n v="306051997"/>
    <n v="118842529"/>
    <n v="424894526"/>
    <n v="93948"/>
    <n v="9183"/>
    <n v="103131"/>
    <b v="1"/>
    <b v="1"/>
    <b v="1"/>
    <b v="1"/>
    <b v="1"/>
    <b v="1"/>
  </r>
  <r>
    <x v="3586"/>
    <n v="229345"/>
    <n v="70950"/>
    <n v="158395"/>
    <n v="273261194"/>
    <n v="88050307"/>
    <n v="361311501"/>
    <n v="84532"/>
    <n v="8263"/>
    <n v="92795"/>
    <b v="1"/>
    <b v="1"/>
    <b v="1"/>
    <b v="1"/>
    <b v="1"/>
    <b v="1"/>
  </r>
  <r>
    <x v="3587"/>
    <n v="241849"/>
    <n v="74606"/>
    <n v="167243"/>
    <n v="306065662"/>
    <n v="108426234"/>
    <n v="414491896"/>
    <n v="93166"/>
    <n v="9164"/>
    <n v="102330"/>
    <b v="1"/>
    <b v="1"/>
    <b v="1"/>
    <b v="1"/>
    <b v="1"/>
    <b v="1"/>
  </r>
  <r>
    <x v="3588"/>
    <n v="215471"/>
    <n v="65614"/>
    <n v="149857"/>
    <n v="275485540"/>
    <n v="95769024"/>
    <n v="371254564"/>
    <n v="79463"/>
    <n v="7901"/>
    <n v="87364"/>
    <b v="1"/>
    <b v="1"/>
    <b v="1"/>
    <b v="1"/>
    <b v="1"/>
    <b v="1"/>
  </r>
  <r>
    <x v="3589"/>
    <n v="200341"/>
    <n v="59270"/>
    <n v="141071"/>
    <n v="254505765"/>
    <n v="83429471"/>
    <n v="337935236"/>
    <n v="74245"/>
    <n v="7496"/>
    <n v="81741"/>
    <b v="1"/>
    <b v="1"/>
    <b v="1"/>
    <b v="1"/>
    <b v="1"/>
    <b v="1"/>
  </r>
  <r>
    <x v="3590"/>
    <n v="140691"/>
    <n v="39163"/>
    <n v="101528"/>
    <n v="160920321"/>
    <n v="42278382"/>
    <n v="203198703"/>
    <n v="51763"/>
    <n v="5150"/>
    <n v="56913"/>
    <b v="1"/>
    <b v="1"/>
    <b v="1"/>
    <b v="1"/>
    <b v="1"/>
    <b v="1"/>
  </r>
  <r>
    <x v="3591"/>
    <n v="191462"/>
    <n v="57482"/>
    <n v="133980"/>
    <n v="222737704"/>
    <n v="78140180"/>
    <n v="300877884"/>
    <n v="65129"/>
    <n v="5952"/>
    <n v="71081"/>
    <b v="1"/>
    <b v="1"/>
    <b v="1"/>
    <b v="1"/>
    <b v="1"/>
    <b v="1"/>
  </r>
  <r>
    <x v="3592"/>
    <n v="243040"/>
    <n v="70716"/>
    <n v="172324"/>
    <n v="287555090"/>
    <n v="87015883"/>
    <n v="374570973"/>
    <n v="87949"/>
    <n v="8361"/>
    <n v="96310"/>
    <b v="1"/>
    <b v="1"/>
    <b v="1"/>
    <b v="1"/>
    <b v="1"/>
    <b v="1"/>
  </r>
  <r>
    <x v="3593"/>
    <n v="242004"/>
    <n v="67764"/>
    <n v="174240"/>
    <n v="296487483"/>
    <n v="76478980"/>
    <n v="372966463"/>
    <n v="93881"/>
    <n v="8328"/>
    <n v="102209"/>
    <b v="1"/>
    <b v="1"/>
    <b v="1"/>
    <b v="1"/>
    <b v="1"/>
    <b v="1"/>
  </r>
  <r>
    <x v="3594"/>
    <n v="267975"/>
    <n v="76293"/>
    <n v="191682"/>
    <n v="360534990"/>
    <n v="114891565"/>
    <n v="475426555"/>
    <n v="108495"/>
    <n v="9528"/>
    <n v="118023"/>
    <b v="1"/>
    <b v="1"/>
    <b v="1"/>
    <b v="1"/>
    <b v="1"/>
    <b v="1"/>
  </r>
  <r>
    <x v="3595"/>
    <n v="280284"/>
    <n v="80378"/>
    <n v="199906"/>
    <n v="383588101"/>
    <n v="141236394"/>
    <n v="524824495"/>
    <n v="107779"/>
    <n v="9714"/>
    <n v="117493"/>
    <b v="1"/>
    <b v="1"/>
    <b v="1"/>
    <b v="1"/>
    <b v="1"/>
    <b v="1"/>
  </r>
  <r>
    <x v="3596"/>
    <n v="283776"/>
    <n v="83904"/>
    <n v="199872"/>
    <n v="384915041"/>
    <n v="147164301"/>
    <n v="532079342"/>
    <n v="116235"/>
    <n v="10103"/>
    <n v="126338"/>
    <b v="1"/>
    <b v="1"/>
    <b v="1"/>
    <b v="1"/>
    <b v="1"/>
    <b v="1"/>
  </r>
  <r>
    <x v="3597"/>
    <n v="258982"/>
    <n v="76811"/>
    <n v="182171"/>
    <n v="340440896"/>
    <n v="130989640"/>
    <n v="471430536"/>
    <n v="112125"/>
    <n v="9337"/>
    <n v="121462"/>
    <b v="1"/>
    <b v="1"/>
    <b v="1"/>
    <b v="1"/>
    <b v="1"/>
    <b v="1"/>
  </r>
  <r>
    <x v="3598"/>
    <n v="267724"/>
    <n v="82164"/>
    <n v="185560"/>
    <n v="337371334"/>
    <n v="135156834"/>
    <n v="472528168"/>
    <n v="110255"/>
    <n v="9388"/>
    <n v="119643"/>
    <b v="1"/>
    <b v="1"/>
    <b v="1"/>
    <b v="1"/>
    <b v="1"/>
    <b v="1"/>
  </r>
  <r>
    <x v="3599"/>
    <n v="286740"/>
    <n v="85419"/>
    <n v="201321"/>
    <n v="349737754"/>
    <n v="126305616"/>
    <n v="476043370"/>
    <n v="111736"/>
    <n v="9875"/>
    <n v="121611"/>
    <b v="1"/>
    <b v="1"/>
    <b v="1"/>
    <b v="1"/>
    <b v="1"/>
    <b v="1"/>
  </r>
  <r>
    <x v="3600"/>
    <n v="270624"/>
    <n v="78203"/>
    <n v="192421"/>
    <n v="317319311"/>
    <n v="97757446"/>
    <n v="415076757"/>
    <n v="104620"/>
    <n v="8718"/>
    <n v="113338"/>
    <b v="1"/>
    <b v="1"/>
    <b v="1"/>
    <b v="1"/>
    <b v="1"/>
    <b v="1"/>
  </r>
  <r>
    <x v="3601"/>
    <n v="294651"/>
    <n v="83893"/>
    <n v="210758"/>
    <n v="367985050"/>
    <n v="130073356"/>
    <n v="498058406"/>
    <n v="119180"/>
    <n v="9658"/>
    <n v="128838"/>
    <b v="1"/>
    <b v="1"/>
    <b v="1"/>
    <b v="1"/>
    <b v="1"/>
    <b v="1"/>
  </r>
  <r>
    <x v="3602"/>
    <n v="276286"/>
    <n v="78387"/>
    <n v="197899"/>
    <n v="364255441"/>
    <n v="139670348"/>
    <n v="503925789"/>
    <n v="114259"/>
    <n v="9298"/>
    <n v="123557"/>
    <b v="1"/>
    <b v="1"/>
    <b v="1"/>
    <b v="1"/>
    <b v="1"/>
    <b v="1"/>
  </r>
  <r>
    <x v="3603"/>
    <n v="285907"/>
    <n v="84111"/>
    <n v="201796"/>
    <n v="379236438"/>
    <n v="143964994"/>
    <n v="523201432"/>
    <n v="111016"/>
    <n v="9891"/>
    <n v="120907"/>
    <b v="1"/>
    <b v="1"/>
    <b v="1"/>
    <b v="1"/>
    <b v="1"/>
    <b v="1"/>
  </r>
  <r>
    <x v="3604"/>
    <n v="272520"/>
    <n v="79972"/>
    <n v="192548"/>
    <n v="360761579"/>
    <n v="141333472"/>
    <n v="502095051"/>
    <n v="113459"/>
    <n v="9555"/>
    <n v="123014"/>
    <b v="1"/>
    <b v="1"/>
    <b v="1"/>
    <b v="1"/>
    <b v="1"/>
    <b v="1"/>
  </r>
  <r>
    <x v="3605"/>
    <n v="268287"/>
    <n v="80489"/>
    <n v="187798"/>
    <n v="340260293"/>
    <n v="134576648"/>
    <n v="474836941"/>
    <n v="106209"/>
    <n v="9339"/>
    <n v="115548"/>
    <b v="1"/>
    <b v="1"/>
    <b v="1"/>
    <b v="1"/>
    <b v="1"/>
    <b v="1"/>
  </r>
  <r>
    <x v="3606"/>
    <n v="283526"/>
    <n v="83499"/>
    <n v="200027"/>
    <n v="373691005"/>
    <n v="207700517"/>
    <n v="581391522"/>
    <n v="112488"/>
    <n v="9910"/>
    <n v="122398"/>
    <b v="1"/>
    <b v="1"/>
    <b v="1"/>
    <b v="1"/>
    <b v="1"/>
    <b v="1"/>
  </r>
  <r>
    <x v="3607"/>
    <n v="271760"/>
    <n v="77031"/>
    <n v="194729"/>
    <n v="333649608"/>
    <n v="105372287"/>
    <n v="439021895"/>
    <n v="110046"/>
    <n v="9417"/>
    <n v="119463"/>
    <b v="1"/>
    <b v="1"/>
    <b v="1"/>
    <b v="1"/>
    <b v="1"/>
    <b v="1"/>
  </r>
  <r>
    <x v="3608"/>
    <n v="286688"/>
    <n v="82895"/>
    <n v="203793"/>
    <n v="374286146"/>
    <n v="130906391"/>
    <n v="505192537"/>
    <n v="118668"/>
    <n v="10394"/>
    <n v="129062"/>
    <b v="1"/>
    <b v="1"/>
    <b v="1"/>
    <b v="1"/>
    <b v="1"/>
    <b v="1"/>
  </r>
  <r>
    <x v="3609"/>
    <n v="295382"/>
    <n v="83903"/>
    <n v="211479"/>
    <n v="393743345"/>
    <n v="140991241"/>
    <n v="534734586"/>
    <n v="122091"/>
    <n v="10745"/>
    <n v="132836"/>
    <b v="1"/>
    <b v="1"/>
    <b v="1"/>
    <b v="1"/>
    <b v="1"/>
    <b v="1"/>
  </r>
  <r>
    <x v="3610"/>
    <n v="294187"/>
    <n v="85359"/>
    <n v="208828"/>
    <n v="384390545"/>
    <n v="143763283"/>
    <n v="528153828"/>
    <n v="119260"/>
    <n v="10187"/>
    <n v="129447"/>
    <b v="1"/>
    <b v="1"/>
    <b v="1"/>
    <b v="1"/>
    <b v="1"/>
    <b v="1"/>
  </r>
  <r>
    <x v="3611"/>
    <n v="300821"/>
    <n v="85921"/>
    <n v="214900"/>
    <n v="384635464"/>
    <n v="154419117"/>
    <n v="539054581"/>
    <n v="118963"/>
    <n v="9827"/>
    <n v="128790"/>
    <b v="1"/>
    <b v="1"/>
    <b v="1"/>
    <b v="1"/>
    <b v="1"/>
    <b v="1"/>
  </r>
  <r>
    <x v="3612"/>
    <n v="306500"/>
    <n v="87742"/>
    <n v="218758"/>
    <n v="381545193"/>
    <n v="148302324"/>
    <n v="529847517"/>
    <n v="119215"/>
    <n v="10354"/>
    <n v="129569"/>
    <b v="1"/>
    <b v="1"/>
    <b v="1"/>
    <b v="1"/>
    <b v="1"/>
    <b v="1"/>
  </r>
  <r>
    <x v="3613"/>
    <n v="292464"/>
    <n v="87272"/>
    <n v="205192"/>
    <n v="352728809"/>
    <n v="132060653"/>
    <n v="484789462"/>
    <n v="115139"/>
    <n v="10371"/>
    <n v="125510"/>
    <b v="1"/>
    <b v="1"/>
    <b v="1"/>
    <b v="1"/>
    <b v="1"/>
    <b v="1"/>
  </r>
  <r>
    <x v="3614"/>
    <n v="268434"/>
    <n v="75231"/>
    <n v="193203"/>
    <n v="308122919"/>
    <n v="96283887"/>
    <n v="404406806"/>
    <n v="102374"/>
    <n v="8562"/>
    <n v="110936"/>
    <b v="1"/>
    <b v="1"/>
    <b v="1"/>
    <b v="1"/>
    <b v="1"/>
    <b v="1"/>
  </r>
  <r>
    <x v="3615"/>
    <n v="287667"/>
    <n v="80721"/>
    <n v="206946"/>
    <n v="359705257"/>
    <n v="127361618"/>
    <n v="487066875"/>
    <n v="115998"/>
    <n v="9893"/>
    <n v="125891"/>
    <b v="1"/>
    <b v="1"/>
    <b v="1"/>
    <b v="1"/>
    <b v="1"/>
    <b v="1"/>
  </r>
  <r>
    <x v="3616"/>
    <n v="280952"/>
    <n v="78216"/>
    <n v="202736"/>
    <n v="419555862"/>
    <n v="138107954"/>
    <n v="557663816"/>
    <n v="125783"/>
    <n v="10904"/>
    <n v="136687"/>
    <b v="1"/>
    <b v="1"/>
    <b v="1"/>
    <b v="1"/>
    <b v="1"/>
    <b v="1"/>
  </r>
  <r>
    <x v="3617"/>
    <n v="303156"/>
    <n v="86640"/>
    <n v="216516"/>
    <n v="450166958"/>
    <n v="147107541"/>
    <n v="597274499"/>
    <n v="131992"/>
    <n v="11373"/>
    <n v="143365"/>
    <b v="1"/>
    <b v="1"/>
    <b v="1"/>
    <b v="1"/>
    <b v="1"/>
    <b v="1"/>
  </r>
  <r>
    <x v="3618"/>
    <n v="296184"/>
    <n v="82312"/>
    <n v="213872"/>
    <n v="440380503"/>
    <n v="138101364"/>
    <n v="578481867"/>
    <n v="130159"/>
    <n v="10644"/>
    <n v="140803"/>
    <b v="1"/>
    <b v="1"/>
    <b v="1"/>
    <b v="1"/>
    <b v="1"/>
    <b v="1"/>
  </r>
  <r>
    <x v="3619"/>
    <n v="297645"/>
    <n v="80714"/>
    <n v="216931"/>
    <n v="451088717"/>
    <n v="127998141"/>
    <n v="579086858"/>
    <n v="136032"/>
    <n v="10716"/>
    <n v="146748"/>
    <b v="1"/>
    <b v="1"/>
    <b v="1"/>
    <b v="1"/>
    <b v="1"/>
    <b v="1"/>
  </r>
  <r>
    <x v="3620"/>
    <n v="267802"/>
    <n v="73336"/>
    <n v="194466"/>
    <n v="417675223"/>
    <n v="112590697"/>
    <n v="530265920"/>
    <n v="123931"/>
    <n v="10019"/>
    <n v="133950"/>
    <b v="1"/>
    <b v="1"/>
    <b v="1"/>
    <b v="1"/>
    <b v="1"/>
    <b v="1"/>
  </r>
  <r>
    <x v="3621"/>
    <n v="237392"/>
    <n v="71156"/>
    <n v="166236"/>
    <n v="349292007"/>
    <n v="97700237"/>
    <n v="446992244"/>
    <n v="104163"/>
    <n v="8439"/>
    <n v="112602"/>
    <b v="1"/>
    <b v="1"/>
    <b v="1"/>
    <b v="1"/>
    <b v="1"/>
    <b v="1"/>
  </r>
  <r>
    <x v="3622"/>
    <n v="254183"/>
    <n v="74197"/>
    <n v="179986"/>
    <n v="384170792"/>
    <n v="127756959"/>
    <n v="511927751"/>
    <n v="103364"/>
    <n v="9051"/>
    <n v="112415"/>
    <b v="1"/>
    <b v="1"/>
    <b v="1"/>
    <b v="1"/>
    <b v="1"/>
    <b v="1"/>
  </r>
  <r>
    <x v="3623"/>
    <n v="267230"/>
    <n v="78462"/>
    <n v="188768"/>
    <n v="391918549"/>
    <n v="146413460"/>
    <n v="538332009"/>
    <n v="113409"/>
    <n v="9153"/>
    <n v="122562"/>
    <b v="1"/>
    <b v="1"/>
    <b v="1"/>
    <b v="1"/>
    <b v="1"/>
    <b v="1"/>
  </r>
  <r>
    <x v="3624"/>
    <n v="266905"/>
    <n v="80058"/>
    <n v="186847"/>
    <n v="405948997"/>
    <n v="144829080"/>
    <n v="550778077"/>
    <n v="112507"/>
    <n v="9418"/>
    <n v="121925"/>
    <b v="1"/>
    <b v="1"/>
    <b v="1"/>
    <b v="1"/>
    <b v="1"/>
    <b v="1"/>
  </r>
  <r>
    <x v="3625"/>
    <n v="262270"/>
    <n v="80050"/>
    <n v="182220"/>
    <n v="383725150"/>
    <n v="146926019"/>
    <n v="530651169"/>
    <n v="105341"/>
    <n v="9087"/>
    <n v="114428"/>
    <b v="1"/>
    <b v="1"/>
    <b v="1"/>
    <b v="1"/>
    <b v="1"/>
    <b v="1"/>
  </r>
  <r>
    <x v="3626"/>
    <n v="252366"/>
    <n v="76875"/>
    <n v="175491"/>
    <n v="319925339"/>
    <n v="133330186"/>
    <n v="453255525"/>
    <n v="102669"/>
    <n v="8598"/>
    <n v="111267"/>
    <b v="1"/>
    <b v="1"/>
    <b v="1"/>
    <b v="1"/>
    <b v="1"/>
    <b v="1"/>
  </r>
  <r>
    <x v="3627"/>
    <n v="255466"/>
    <n v="78890"/>
    <n v="176576"/>
    <n v="312856888"/>
    <n v="121144489"/>
    <n v="434001377"/>
    <n v="98678"/>
    <n v="8862"/>
    <n v="107540"/>
    <b v="1"/>
    <b v="1"/>
    <b v="1"/>
    <b v="1"/>
    <b v="1"/>
    <b v="1"/>
  </r>
  <r>
    <x v="3628"/>
    <n v="237177"/>
    <n v="69939"/>
    <n v="167238"/>
    <n v="281651041"/>
    <n v="88633179"/>
    <n v="370284220"/>
    <n v="93569"/>
    <n v="7727"/>
    <n v="101296"/>
    <b v="1"/>
    <b v="1"/>
    <b v="1"/>
    <b v="1"/>
    <b v="1"/>
    <b v="1"/>
  </r>
  <r>
    <x v="3629"/>
    <n v="258293"/>
    <n v="76788"/>
    <n v="181505"/>
    <n v="328117681"/>
    <n v="126674543"/>
    <n v="454792224"/>
    <n v="101842"/>
    <n v="8398"/>
    <n v="110240"/>
    <b v="1"/>
    <b v="1"/>
    <b v="1"/>
    <b v="1"/>
    <b v="1"/>
    <b v="1"/>
  </r>
  <r>
    <x v="3630"/>
    <n v="264246"/>
    <n v="79574"/>
    <n v="184672"/>
    <n v="347202472"/>
    <n v="137763529"/>
    <n v="484966001"/>
    <n v="105760"/>
    <n v="9272"/>
    <n v="115032"/>
    <b v="1"/>
    <b v="1"/>
    <b v="1"/>
    <b v="1"/>
    <b v="1"/>
    <b v="1"/>
  </r>
  <r>
    <x v="3631"/>
    <n v="259177"/>
    <n v="79891"/>
    <n v="179286"/>
    <n v="343829524"/>
    <n v="138202545"/>
    <n v="482032069"/>
    <n v="102548"/>
    <n v="8950"/>
    <n v="111498"/>
    <b v="1"/>
    <b v="1"/>
    <b v="1"/>
    <b v="1"/>
    <b v="1"/>
    <b v="1"/>
  </r>
  <r>
    <x v="3632"/>
    <n v="228924"/>
    <n v="68965"/>
    <n v="159959"/>
    <n v="321508269"/>
    <n v="126948410"/>
    <n v="448456679"/>
    <n v="101294"/>
    <n v="8912"/>
    <n v="110206"/>
    <b v="1"/>
    <b v="1"/>
    <b v="1"/>
    <b v="1"/>
    <b v="1"/>
    <b v="1"/>
  </r>
  <r>
    <x v="3633"/>
    <n v="239229"/>
    <n v="73445"/>
    <n v="165784"/>
    <n v="315413721"/>
    <n v="125552083"/>
    <n v="440965804"/>
    <n v="99164"/>
    <n v="8701"/>
    <n v="107865"/>
    <b v="1"/>
    <b v="1"/>
    <b v="1"/>
    <b v="1"/>
    <b v="1"/>
    <b v="1"/>
  </r>
  <r>
    <x v="3634"/>
    <n v="243277"/>
    <n v="75645"/>
    <n v="167632"/>
    <n v="276709084"/>
    <n v="105229786"/>
    <n v="381938870"/>
    <n v="98567"/>
    <n v="9251"/>
    <n v="107818"/>
    <b v="1"/>
    <b v="1"/>
    <b v="1"/>
    <b v="1"/>
    <b v="1"/>
    <b v="1"/>
  </r>
  <r>
    <x v="3635"/>
    <n v="237319"/>
    <n v="69978"/>
    <n v="167341"/>
    <n v="272419200"/>
    <n v="83578485"/>
    <n v="355997685"/>
    <n v="97193"/>
    <n v="8278"/>
    <n v="105471"/>
    <b v="1"/>
    <b v="1"/>
    <b v="1"/>
    <b v="1"/>
    <b v="1"/>
    <b v="1"/>
  </r>
  <r>
    <x v="3636"/>
    <n v="258914"/>
    <n v="78210"/>
    <n v="180704"/>
    <n v="338941472"/>
    <n v="117704016"/>
    <n v="456645488"/>
    <n v="105196"/>
    <n v="9063"/>
    <n v="114259"/>
    <b v="1"/>
    <b v="1"/>
    <b v="1"/>
    <b v="1"/>
    <b v="1"/>
    <b v="1"/>
  </r>
  <r>
    <x v="3637"/>
    <n v="261572"/>
    <n v="78226"/>
    <n v="183346"/>
    <n v="385143219"/>
    <n v="133599517"/>
    <n v="518742736"/>
    <n v="107673"/>
    <n v="8749"/>
    <n v="116422"/>
    <b v="1"/>
    <b v="1"/>
    <b v="1"/>
    <b v="1"/>
    <b v="1"/>
    <b v="1"/>
  </r>
  <r>
    <x v="3638"/>
    <n v="261867"/>
    <n v="78195"/>
    <n v="183672"/>
    <n v="401838849"/>
    <n v="140600720"/>
    <n v="542439569"/>
    <n v="107332"/>
    <n v="9196"/>
    <n v="116528"/>
    <b v="1"/>
    <b v="1"/>
    <b v="1"/>
    <b v="1"/>
    <b v="1"/>
    <b v="1"/>
  </r>
  <r>
    <x v="3639"/>
    <n v="267787"/>
    <n v="79264"/>
    <n v="188523"/>
    <n v="404659740"/>
    <n v="136169136"/>
    <n v="540828876"/>
    <n v="107377"/>
    <n v="9448"/>
    <n v="116825"/>
    <b v="1"/>
    <b v="1"/>
    <b v="1"/>
    <b v="1"/>
    <b v="1"/>
    <b v="1"/>
  </r>
  <r>
    <x v="3640"/>
    <n v="259021"/>
    <n v="74433"/>
    <n v="184588"/>
    <n v="382285826"/>
    <n v="125277799"/>
    <n v="507563625"/>
    <n v="102860"/>
    <n v="8841"/>
    <n v="111701"/>
    <b v="1"/>
    <b v="1"/>
    <b v="1"/>
    <b v="1"/>
    <b v="1"/>
    <b v="1"/>
  </r>
  <r>
    <x v="3641"/>
    <n v="271985"/>
    <n v="82375"/>
    <n v="189610"/>
    <n v="374400709"/>
    <n v="120904970"/>
    <n v="495305679"/>
    <n v="107967"/>
    <n v="9140"/>
    <n v="117107"/>
    <b v="1"/>
    <b v="1"/>
    <b v="1"/>
    <b v="1"/>
    <b v="1"/>
    <b v="1"/>
  </r>
  <r>
    <x v="3642"/>
    <n v="253967"/>
    <n v="75532"/>
    <n v="178435"/>
    <n v="342001681"/>
    <n v="93323745"/>
    <n v="435325426"/>
    <n v="95106"/>
    <n v="7942"/>
    <n v="103048"/>
    <b v="1"/>
    <b v="1"/>
    <b v="1"/>
    <b v="1"/>
    <b v="1"/>
    <b v="1"/>
  </r>
  <r>
    <x v="3643"/>
    <n v="265467"/>
    <n v="80201"/>
    <n v="185266"/>
    <n v="379476800"/>
    <n v="126554512"/>
    <n v="506031312"/>
    <n v="100954"/>
    <n v="8371"/>
    <n v="109325"/>
    <b v="1"/>
    <b v="1"/>
    <b v="1"/>
    <b v="1"/>
    <b v="1"/>
    <b v="1"/>
  </r>
  <r>
    <x v="3644"/>
    <n v="262890"/>
    <n v="81283"/>
    <n v="181607"/>
    <n v="382325973"/>
    <n v="130612601"/>
    <n v="512938574"/>
    <n v="102894"/>
    <n v="8741"/>
    <n v="111635"/>
    <b v="1"/>
    <b v="1"/>
    <b v="1"/>
    <b v="1"/>
    <b v="1"/>
    <b v="1"/>
  </r>
  <r>
    <x v="3645"/>
    <n v="252525"/>
    <n v="75177"/>
    <n v="177348"/>
    <n v="323868945"/>
    <n v="100801299"/>
    <n v="424670244"/>
    <n v="100476"/>
    <n v="8116"/>
    <n v="108592"/>
    <b v="1"/>
    <b v="1"/>
    <b v="1"/>
    <b v="1"/>
    <b v="1"/>
    <b v="1"/>
  </r>
  <r>
    <x v="3646"/>
    <n v="267904"/>
    <n v="80422"/>
    <n v="187482"/>
    <n v="351437473"/>
    <n v="126171891"/>
    <n v="477609364"/>
    <n v="106175"/>
    <n v="8247"/>
    <n v="114422"/>
    <b v="1"/>
    <b v="1"/>
    <b v="1"/>
    <b v="1"/>
    <b v="1"/>
    <b v="1"/>
  </r>
  <r>
    <x v="3647"/>
    <n v="225594"/>
    <n v="72809"/>
    <n v="152785"/>
    <n v="220457143"/>
    <n v="105056542"/>
    <n v="325513685"/>
    <n v="72078"/>
    <n v="5401"/>
    <n v="77479"/>
    <b v="1"/>
    <b v="1"/>
    <b v="1"/>
    <b v="1"/>
    <b v="1"/>
    <b v="1"/>
  </r>
  <r>
    <x v="3648"/>
    <n v="243124"/>
    <n v="75529"/>
    <n v="167595"/>
    <n v="290576653"/>
    <n v="100260018"/>
    <n v="390836671"/>
    <n v="87075"/>
    <n v="6656"/>
    <n v="93731"/>
    <b v="1"/>
    <b v="1"/>
    <b v="1"/>
    <b v="1"/>
    <b v="1"/>
    <b v="1"/>
  </r>
  <r>
    <x v="3649"/>
    <n v="239056"/>
    <n v="73065"/>
    <n v="165991"/>
    <n v="273048044"/>
    <n v="85546066"/>
    <n v="358594110"/>
    <n v="90440"/>
    <n v="7533"/>
    <n v="97973"/>
    <b v="1"/>
    <b v="1"/>
    <b v="1"/>
    <b v="1"/>
    <b v="1"/>
    <b v="1"/>
  </r>
  <r>
    <x v="3650"/>
    <n v="246120"/>
    <n v="76591"/>
    <n v="169529"/>
    <n v="304716260"/>
    <n v="102202312"/>
    <n v="406918572"/>
    <n v="94618"/>
    <n v="8226"/>
    <n v="102844"/>
    <b v="1"/>
    <b v="1"/>
    <b v="1"/>
    <b v="1"/>
    <b v="1"/>
    <b v="1"/>
  </r>
  <r>
    <x v="3651"/>
    <n v="173951"/>
    <n v="51576"/>
    <n v="122375"/>
    <n v="220199376"/>
    <n v="84196520"/>
    <n v="304395896"/>
    <n v="65599"/>
    <n v="5642"/>
    <n v="71241"/>
    <b v="1"/>
    <b v="1"/>
    <b v="1"/>
    <b v="1"/>
    <b v="1"/>
    <b v="1"/>
  </r>
  <r>
    <x v="3652"/>
    <n v="218265"/>
    <n v="61320"/>
    <n v="156945"/>
    <n v="269867081"/>
    <n v="84739970"/>
    <n v="354607051"/>
    <n v="91746"/>
    <n v="7526"/>
    <n v="99272"/>
    <b v="1"/>
    <b v="1"/>
    <b v="1"/>
    <b v="1"/>
    <b v="1"/>
    <b v="1"/>
  </r>
  <r>
    <x v="3653"/>
    <n v="262483"/>
    <n v="80626"/>
    <n v="181857"/>
    <n v="321218288"/>
    <n v="126168874"/>
    <n v="447387162"/>
    <n v="98031"/>
    <n v="7934"/>
    <n v="105965"/>
    <b v="1"/>
    <b v="1"/>
    <b v="1"/>
    <b v="1"/>
    <b v="1"/>
    <b v="1"/>
  </r>
  <r>
    <x v="3654"/>
    <n v="273327"/>
    <n v="86205"/>
    <n v="187122"/>
    <n v="326332498"/>
    <n v="146952218"/>
    <n v="473284716"/>
    <n v="97289"/>
    <n v="8145"/>
    <n v="105434"/>
    <b v="1"/>
    <b v="1"/>
    <b v="1"/>
    <b v="1"/>
    <b v="1"/>
    <b v="1"/>
  </r>
  <r>
    <x v="3655"/>
    <n v="271942"/>
    <n v="86558"/>
    <n v="185384"/>
    <n v="346574579"/>
    <n v="132509054"/>
    <n v="479083633"/>
    <n v="96646"/>
    <n v="8540"/>
    <n v="105186"/>
    <b v="1"/>
    <b v="1"/>
    <b v="1"/>
    <b v="1"/>
    <b v="1"/>
    <b v="1"/>
  </r>
  <r>
    <x v="3656"/>
    <n v="262272"/>
    <n v="78589"/>
    <n v="183683"/>
    <n v="298153929"/>
    <n v="99933730"/>
    <n v="398087659"/>
    <n v="93579"/>
    <n v="7696"/>
    <n v="101275"/>
    <b v="1"/>
    <b v="1"/>
    <b v="1"/>
    <b v="1"/>
    <b v="1"/>
    <b v="1"/>
  </r>
  <r>
    <x v="3657"/>
    <n v="284360"/>
    <n v="84051"/>
    <n v="200309"/>
    <n v="353697890"/>
    <n v="128925269"/>
    <n v="482623159"/>
    <n v="115136"/>
    <n v="8541"/>
    <n v="123677"/>
    <b v="1"/>
    <b v="1"/>
    <b v="1"/>
    <b v="1"/>
    <b v="1"/>
    <b v="1"/>
  </r>
  <r>
    <x v="3658"/>
    <n v="271518"/>
    <n v="82444"/>
    <n v="189074"/>
    <n v="339343194"/>
    <n v="137989092"/>
    <n v="477332286"/>
    <n v="107189"/>
    <n v="8340"/>
    <n v="115529"/>
    <b v="1"/>
    <b v="1"/>
    <b v="1"/>
    <b v="1"/>
    <b v="1"/>
    <b v="1"/>
  </r>
  <r>
    <x v="3659"/>
    <n v="277421"/>
    <n v="85595"/>
    <n v="191826"/>
    <n v="351933602"/>
    <n v="145840311"/>
    <n v="497773913"/>
    <n v="103610"/>
    <n v="9035"/>
    <n v="112645"/>
    <b v="1"/>
    <b v="1"/>
    <b v="1"/>
    <b v="1"/>
    <b v="1"/>
    <b v="1"/>
  </r>
  <r>
    <x v="3660"/>
    <n v="284496"/>
    <n v="84613"/>
    <n v="199883"/>
    <n v="366984348"/>
    <n v="141327511"/>
    <n v="508311859"/>
    <n v="110916"/>
    <n v="9010"/>
    <n v="119926"/>
    <b v="1"/>
    <b v="1"/>
    <b v="1"/>
    <b v="1"/>
    <b v="1"/>
    <b v="1"/>
  </r>
  <r>
    <x v="3661"/>
    <n v="274888"/>
    <n v="82804"/>
    <n v="192084"/>
    <n v="366132353"/>
    <n v="131885920"/>
    <n v="498018273"/>
    <n v="107857"/>
    <n v="8618"/>
    <n v="116475"/>
    <b v="1"/>
    <b v="1"/>
    <b v="1"/>
    <b v="1"/>
    <b v="1"/>
    <b v="1"/>
  </r>
  <r>
    <x v="3662"/>
    <n v="269840"/>
    <n v="81101"/>
    <n v="188739"/>
    <n v="349857982"/>
    <n v="109936308"/>
    <n v="459794290"/>
    <n v="107285"/>
    <n v="8348"/>
    <n v="115633"/>
    <b v="1"/>
    <b v="1"/>
    <b v="1"/>
    <b v="1"/>
    <b v="1"/>
    <b v="1"/>
  </r>
  <r>
    <x v="3663"/>
    <n v="252376"/>
    <n v="72407"/>
    <n v="179969"/>
    <n v="321620101"/>
    <n v="90466475"/>
    <n v="412086576"/>
    <n v="102956"/>
    <n v="7764"/>
    <n v="110720"/>
    <b v="1"/>
    <b v="1"/>
    <b v="1"/>
    <b v="1"/>
    <b v="1"/>
    <b v="1"/>
  </r>
  <r>
    <x v="3664"/>
    <n v="260226"/>
    <n v="72966"/>
    <n v="187260"/>
    <n v="353277185"/>
    <n v="104995517"/>
    <n v="458272702"/>
    <n v="111711"/>
    <n v="8035"/>
    <n v="119746"/>
    <b v="1"/>
    <b v="1"/>
    <b v="1"/>
    <b v="1"/>
    <b v="1"/>
    <b v="1"/>
  </r>
  <r>
    <x v="3665"/>
    <n v="222175"/>
    <n v="59845"/>
    <n v="162330"/>
    <n v="321638654"/>
    <n v="90485421"/>
    <n v="412124075"/>
    <n v="102396"/>
    <n v="7609"/>
    <n v="110005"/>
    <b v="1"/>
    <b v="1"/>
    <b v="1"/>
    <b v="1"/>
    <b v="1"/>
    <b v="1"/>
  </r>
  <r>
    <x v="3666"/>
    <n v="245724"/>
    <n v="68868"/>
    <n v="176856"/>
    <n v="346350408"/>
    <n v="106194376"/>
    <n v="452544784"/>
    <n v="102668"/>
    <n v="7939"/>
    <n v="110607"/>
    <b v="1"/>
    <b v="1"/>
    <b v="1"/>
    <b v="1"/>
    <b v="1"/>
    <b v="1"/>
  </r>
  <r>
    <x v="3667"/>
    <n v="264069"/>
    <n v="76533"/>
    <n v="187536"/>
    <n v="372704333"/>
    <n v="120261559"/>
    <n v="492965892"/>
    <n v="104734"/>
    <n v="8452"/>
    <n v="113186"/>
    <b v="1"/>
    <b v="1"/>
    <b v="1"/>
    <b v="1"/>
    <b v="1"/>
    <b v="1"/>
  </r>
  <r>
    <x v="3668"/>
    <n v="274379"/>
    <n v="80777"/>
    <n v="193602"/>
    <n v="352122864"/>
    <n v="127542335"/>
    <n v="479665199"/>
    <n v="110256"/>
    <n v="8341"/>
    <n v="118597"/>
    <b v="1"/>
    <b v="1"/>
    <b v="1"/>
    <b v="1"/>
    <b v="1"/>
    <b v="1"/>
  </r>
  <r>
    <x v="3669"/>
    <n v="277542"/>
    <n v="80775"/>
    <n v="196767"/>
    <n v="335603993"/>
    <n v="118664582"/>
    <n v="454268575"/>
    <n v="107290"/>
    <n v="8229"/>
    <n v="115519"/>
    <b v="1"/>
    <b v="1"/>
    <b v="1"/>
    <b v="1"/>
    <b v="1"/>
    <b v="1"/>
  </r>
  <r>
    <x v="3670"/>
    <n v="265299"/>
    <n v="74422"/>
    <n v="190877"/>
    <n v="323389909"/>
    <n v="88654310"/>
    <n v="412044219"/>
    <n v="105347"/>
    <n v="7712"/>
    <n v="113059"/>
    <b v="1"/>
    <b v="1"/>
    <b v="1"/>
    <b v="1"/>
    <b v="1"/>
    <b v="1"/>
  </r>
  <r>
    <x v="3671"/>
    <n v="276917"/>
    <n v="82410"/>
    <n v="194507"/>
    <n v="336460514"/>
    <n v="116390094"/>
    <n v="452850608"/>
    <n v="102388"/>
    <n v="8081"/>
    <n v="110469"/>
    <b v="1"/>
    <b v="1"/>
    <b v="1"/>
    <b v="1"/>
    <b v="1"/>
    <b v="1"/>
  </r>
  <r>
    <x v="3672"/>
    <n v="272720"/>
    <n v="81894"/>
    <n v="190826"/>
    <n v="333456393"/>
    <n v="127452886"/>
    <n v="460909279"/>
    <n v="105587"/>
    <n v="8046"/>
    <n v="113633"/>
    <b v="1"/>
    <b v="1"/>
    <b v="1"/>
    <b v="1"/>
    <b v="1"/>
    <b v="1"/>
  </r>
  <r>
    <x v="3673"/>
    <n v="273270"/>
    <n v="81167"/>
    <n v="192103"/>
    <n v="339926238"/>
    <n v="122228906"/>
    <n v="462155144"/>
    <n v="102728"/>
    <n v="8009"/>
    <n v="110737"/>
    <b v="1"/>
    <b v="1"/>
    <b v="1"/>
    <b v="1"/>
    <b v="1"/>
    <b v="1"/>
  </r>
  <r>
    <x v="3674"/>
    <n v="264748"/>
    <n v="79985"/>
    <n v="184763"/>
    <n v="307926848"/>
    <n v="112114410"/>
    <n v="420041258"/>
    <n v="94221"/>
    <n v="7323"/>
    <n v="101544"/>
    <b v="1"/>
    <b v="1"/>
    <b v="1"/>
    <b v="1"/>
    <b v="1"/>
    <b v="1"/>
  </r>
  <r>
    <x v="3675"/>
    <n v="276803"/>
    <n v="81496"/>
    <n v="195307"/>
    <n v="355081555"/>
    <n v="120337825"/>
    <n v="475419380"/>
    <n v="104418"/>
    <n v="8261"/>
    <n v="112679"/>
    <b v="1"/>
    <b v="1"/>
    <b v="1"/>
    <b v="1"/>
    <b v="1"/>
    <b v="1"/>
  </r>
  <r>
    <x v="3676"/>
    <n v="272892"/>
    <n v="81776"/>
    <n v="191116"/>
    <n v="329928258"/>
    <n v="108615892"/>
    <n v="438544150"/>
    <n v="101421"/>
    <n v="8143"/>
    <n v="109564"/>
    <b v="1"/>
    <b v="1"/>
    <b v="1"/>
    <b v="1"/>
    <b v="1"/>
    <b v="1"/>
  </r>
  <r>
    <x v="3677"/>
    <n v="191070"/>
    <n v="52652"/>
    <n v="138418"/>
    <n v="197143930"/>
    <n v="55468475"/>
    <n v="252612405"/>
    <n v="68579"/>
    <n v="5110"/>
    <n v="73689"/>
    <b v="1"/>
    <b v="1"/>
    <b v="1"/>
    <b v="1"/>
    <b v="1"/>
    <b v="1"/>
  </r>
  <r>
    <x v="3678"/>
    <n v="275008"/>
    <n v="81825"/>
    <n v="193183"/>
    <n v="342328719"/>
    <n v="110925699"/>
    <n v="453254418"/>
    <n v="104522"/>
    <n v="8117"/>
    <n v="112639"/>
    <b v="1"/>
    <b v="1"/>
    <b v="1"/>
    <b v="1"/>
    <b v="1"/>
    <b v="1"/>
  </r>
  <r>
    <x v="3679"/>
    <n v="274454"/>
    <n v="81962"/>
    <n v="192492"/>
    <n v="340997015"/>
    <n v="118669744"/>
    <n v="459666759"/>
    <n v="102099"/>
    <n v="7726"/>
    <n v="109825"/>
    <b v="1"/>
    <b v="1"/>
    <b v="1"/>
    <b v="1"/>
    <b v="1"/>
    <b v="1"/>
  </r>
  <r>
    <x v="3680"/>
    <n v="281583"/>
    <n v="83897"/>
    <n v="197686"/>
    <n v="350757286"/>
    <n v="121775209"/>
    <n v="472532495"/>
    <n v="104837"/>
    <n v="8103"/>
    <n v="112940"/>
    <b v="1"/>
    <b v="1"/>
    <b v="1"/>
    <b v="1"/>
    <b v="1"/>
    <b v="1"/>
  </r>
  <r>
    <x v="3681"/>
    <n v="270801"/>
    <n v="80442"/>
    <n v="190359"/>
    <n v="352094597"/>
    <n v="108429767"/>
    <n v="460524364"/>
    <n v="99809"/>
    <n v="8368"/>
    <n v="108177"/>
    <b v="1"/>
    <b v="1"/>
    <b v="1"/>
    <b v="1"/>
    <b v="1"/>
    <b v="1"/>
  </r>
  <r>
    <x v="3682"/>
    <n v="265387"/>
    <n v="78456"/>
    <n v="186931"/>
    <n v="340146605"/>
    <n v="107194370"/>
    <n v="447340975"/>
    <n v="98305"/>
    <n v="8287"/>
    <n v="106592"/>
    <b v="1"/>
    <b v="1"/>
    <b v="1"/>
    <b v="1"/>
    <b v="1"/>
    <b v="1"/>
  </r>
  <r>
    <x v="3683"/>
    <n v="268141"/>
    <n v="82917"/>
    <n v="185224"/>
    <n v="330417872"/>
    <n v="120494676"/>
    <n v="450912548"/>
    <n v="107568"/>
    <n v="7939"/>
    <n v="115507"/>
    <b v="1"/>
    <b v="1"/>
    <b v="1"/>
    <b v="1"/>
    <b v="1"/>
    <b v="1"/>
  </r>
  <r>
    <x v="3684"/>
    <n v="250609"/>
    <n v="73996"/>
    <n v="176613"/>
    <n v="292803815"/>
    <n v="92952554"/>
    <n v="385756369"/>
    <n v="95876"/>
    <n v="6875"/>
    <n v="102751"/>
    <b v="1"/>
    <b v="1"/>
    <b v="1"/>
    <b v="1"/>
    <b v="1"/>
    <b v="1"/>
  </r>
  <r>
    <x v="3685"/>
    <n v="273454"/>
    <n v="80759"/>
    <n v="192695"/>
    <n v="337155036"/>
    <n v="116833746"/>
    <n v="453988782"/>
    <n v="111337"/>
    <n v="7616"/>
    <n v="118953"/>
    <b v="1"/>
    <b v="1"/>
    <b v="1"/>
    <b v="1"/>
    <b v="1"/>
    <b v="1"/>
  </r>
  <r>
    <x v="3686"/>
    <n v="266475"/>
    <n v="80031"/>
    <n v="186444"/>
    <n v="320217101"/>
    <n v="126818538"/>
    <n v="447035639"/>
    <n v="110363"/>
    <n v="7479"/>
    <n v="117842"/>
    <b v="1"/>
    <b v="1"/>
    <b v="1"/>
    <b v="1"/>
    <b v="1"/>
    <b v="1"/>
  </r>
  <r>
    <x v="3687"/>
    <n v="276780"/>
    <n v="83709"/>
    <n v="193071"/>
    <n v="330639462"/>
    <n v="135046461"/>
    <n v="465685923"/>
    <n v="114208"/>
    <n v="7867"/>
    <n v="122075"/>
    <b v="1"/>
    <b v="1"/>
    <b v="1"/>
    <b v="1"/>
    <b v="1"/>
    <b v="1"/>
  </r>
  <r>
    <x v="3688"/>
    <n v="264608"/>
    <n v="82042"/>
    <n v="182566"/>
    <n v="326800677"/>
    <n v="136221982"/>
    <n v="463022659"/>
    <n v="105496"/>
    <n v="7490"/>
    <n v="112986"/>
    <b v="1"/>
    <b v="1"/>
    <b v="1"/>
    <b v="1"/>
    <b v="1"/>
    <b v="1"/>
  </r>
  <r>
    <x v="3689"/>
    <n v="268211"/>
    <n v="80085"/>
    <n v="188126"/>
    <n v="343239061"/>
    <n v="126672491"/>
    <n v="469911552"/>
    <n v="108577"/>
    <n v="7775"/>
    <n v="116352"/>
    <b v="1"/>
    <b v="1"/>
    <b v="1"/>
    <b v="1"/>
    <b v="1"/>
    <b v="1"/>
  </r>
  <r>
    <x v="3690"/>
    <n v="260195"/>
    <n v="79413"/>
    <n v="180782"/>
    <n v="307085039"/>
    <n v="104362117"/>
    <n v="411447156"/>
    <n v="101979"/>
    <n v="7602"/>
    <n v="109581"/>
    <b v="1"/>
    <b v="1"/>
    <b v="1"/>
    <b v="1"/>
    <b v="1"/>
    <b v="1"/>
  </r>
  <r>
    <x v="3691"/>
    <n v="244444"/>
    <n v="72755"/>
    <n v="171689"/>
    <n v="288094887"/>
    <n v="89828053"/>
    <n v="377922940"/>
    <n v="98911"/>
    <n v="7236"/>
    <n v="106147"/>
    <b v="1"/>
    <b v="1"/>
    <b v="1"/>
    <b v="1"/>
    <b v="1"/>
    <b v="1"/>
  </r>
  <r>
    <x v="3692"/>
    <n v="269892"/>
    <n v="79842"/>
    <n v="190050"/>
    <n v="337108050"/>
    <n v="119043588"/>
    <n v="456151638"/>
    <n v="114378"/>
    <n v="7933"/>
    <n v="122311"/>
    <b v="1"/>
    <b v="1"/>
    <b v="1"/>
    <b v="1"/>
    <b v="1"/>
    <b v="1"/>
  </r>
  <r>
    <x v="3693"/>
    <n v="272736"/>
    <n v="80803"/>
    <n v="191933"/>
    <n v="361574049"/>
    <n v="138450939"/>
    <n v="500024988"/>
    <n v="112691"/>
    <n v="7586"/>
    <n v="120277"/>
    <b v="1"/>
    <b v="1"/>
    <b v="1"/>
    <b v="1"/>
    <b v="1"/>
    <b v="1"/>
  </r>
  <r>
    <x v="3694"/>
    <n v="268772"/>
    <n v="80403"/>
    <n v="188369"/>
    <n v="352196709"/>
    <n v="132442297"/>
    <n v="484639006"/>
    <n v="107336"/>
    <n v="7561"/>
    <n v="114897"/>
    <b v="1"/>
    <b v="1"/>
    <b v="1"/>
    <b v="1"/>
    <b v="1"/>
    <b v="1"/>
  </r>
  <r>
    <x v="3695"/>
    <n v="267545"/>
    <n v="80498"/>
    <n v="187047"/>
    <n v="354749409"/>
    <n v="126114209"/>
    <n v="480863618"/>
    <n v="105300"/>
    <n v="7306"/>
    <n v="112606"/>
    <b v="1"/>
    <b v="1"/>
    <b v="1"/>
    <b v="1"/>
    <b v="1"/>
    <b v="1"/>
  </r>
  <r>
    <x v="3696"/>
    <n v="272413"/>
    <n v="81446"/>
    <n v="190967"/>
    <n v="350601999"/>
    <n v="134627710"/>
    <n v="485229709"/>
    <n v="102973"/>
    <n v="7189"/>
    <n v="110162"/>
    <b v="1"/>
    <b v="1"/>
    <b v="1"/>
    <b v="1"/>
    <b v="1"/>
    <b v="1"/>
  </r>
  <r>
    <x v="3697"/>
    <n v="300480"/>
    <n v="89339"/>
    <n v="211141"/>
    <n v="366271339"/>
    <n v="127310190"/>
    <n v="493581529"/>
    <n v="117524"/>
    <n v="8826"/>
    <n v="126350"/>
    <b v="1"/>
    <b v="1"/>
    <b v="1"/>
    <b v="1"/>
    <b v="1"/>
    <b v="1"/>
  </r>
  <r>
    <x v="3698"/>
    <n v="266530"/>
    <n v="75877"/>
    <n v="190653"/>
    <n v="306393614"/>
    <n v="97528381"/>
    <n v="403921995"/>
    <n v="104141"/>
    <n v="6889"/>
    <n v="111030"/>
    <b v="1"/>
    <b v="1"/>
    <b v="1"/>
    <b v="1"/>
    <b v="1"/>
    <b v="1"/>
  </r>
  <r>
    <x v="3699"/>
    <n v="287878"/>
    <n v="81544"/>
    <n v="206334"/>
    <n v="368949750"/>
    <n v="129093919"/>
    <n v="498043669"/>
    <n v="115759"/>
    <n v="8076"/>
    <n v="123835"/>
    <b v="1"/>
    <b v="1"/>
    <b v="1"/>
    <b v="1"/>
    <b v="1"/>
    <b v="1"/>
  </r>
  <r>
    <x v="3700"/>
    <n v="292279"/>
    <n v="84717"/>
    <n v="207562"/>
    <n v="377819602"/>
    <n v="143844416"/>
    <n v="521664018"/>
    <n v="115827"/>
    <n v="7892"/>
    <n v="123719"/>
    <b v="1"/>
    <b v="1"/>
    <b v="1"/>
    <b v="1"/>
    <b v="1"/>
    <b v="1"/>
  </r>
  <r>
    <x v="3701"/>
    <n v="291743"/>
    <n v="84292"/>
    <n v="207451"/>
    <n v="385151438"/>
    <n v="136496744"/>
    <n v="521648182"/>
    <n v="117270"/>
    <n v="7920"/>
    <n v="125190"/>
    <b v="1"/>
    <b v="1"/>
    <b v="1"/>
    <b v="1"/>
    <b v="1"/>
    <b v="1"/>
  </r>
  <r>
    <x v="3702"/>
    <n v="272641"/>
    <n v="79896"/>
    <n v="192745"/>
    <n v="361388713"/>
    <n v="131214752"/>
    <n v="492603465"/>
    <n v="106467"/>
    <n v="7197"/>
    <n v="113664"/>
    <b v="1"/>
    <b v="1"/>
    <b v="1"/>
    <b v="1"/>
    <b v="1"/>
    <b v="1"/>
  </r>
  <r>
    <x v="3703"/>
    <n v="282769"/>
    <n v="83941"/>
    <n v="198828"/>
    <n v="374365414"/>
    <n v="137973964"/>
    <n v="512339378"/>
    <n v="113207"/>
    <n v="7780"/>
    <n v="120987"/>
    <b v="1"/>
    <b v="1"/>
    <b v="1"/>
    <b v="1"/>
    <b v="1"/>
    <b v="1"/>
  </r>
  <r>
    <x v="3704"/>
    <n v="281965"/>
    <n v="84607"/>
    <n v="197358"/>
    <n v="361787301"/>
    <n v="122915052"/>
    <n v="484702353"/>
    <n v="96906"/>
    <n v="7952"/>
    <n v="104858"/>
    <b v="1"/>
    <b v="1"/>
    <b v="1"/>
    <b v="1"/>
    <b v="1"/>
    <b v="1"/>
  </r>
  <r>
    <x v="3705"/>
    <n v="254167"/>
    <n v="73538"/>
    <n v="180629"/>
    <n v="296628552"/>
    <n v="95721763"/>
    <n v="392350315"/>
    <n v="101402"/>
    <n v="7035"/>
    <n v="108437"/>
    <b v="1"/>
    <b v="1"/>
    <b v="1"/>
    <b v="1"/>
    <b v="1"/>
    <b v="1"/>
  </r>
  <r>
    <x v="3706"/>
    <n v="283910"/>
    <n v="78384"/>
    <n v="205526"/>
    <n v="392091734"/>
    <n v="117790803"/>
    <n v="509882537"/>
    <n v="117093"/>
    <n v="8141"/>
    <n v="125234"/>
    <b v="1"/>
    <b v="1"/>
    <b v="1"/>
    <b v="1"/>
    <b v="1"/>
    <b v="1"/>
  </r>
  <r>
    <x v="3707"/>
    <n v="278490"/>
    <n v="77617"/>
    <n v="200873"/>
    <n v="399528156"/>
    <n v="125690284"/>
    <n v="525218440"/>
    <n v="118733"/>
    <n v="8019"/>
    <n v="126752"/>
    <b v="1"/>
    <b v="1"/>
    <b v="1"/>
    <b v="1"/>
    <b v="1"/>
    <b v="1"/>
  </r>
  <r>
    <x v="3708"/>
    <n v="240411"/>
    <n v="64078"/>
    <n v="176333"/>
    <n v="322910687"/>
    <n v="89238122"/>
    <n v="412148809"/>
    <n v="102154"/>
    <n v="6940"/>
    <n v="109094"/>
    <b v="1"/>
    <b v="1"/>
    <b v="1"/>
    <b v="1"/>
    <b v="1"/>
    <b v="1"/>
  </r>
  <r>
    <x v="3709"/>
    <n v="258139"/>
    <n v="70089"/>
    <n v="188050"/>
    <n v="368155254"/>
    <n v="177050512"/>
    <n v="545205766"/>
    <n v="111514"/>
    <n v="7086"/>
    <n v="118600"/>
    <b v="1"/>
    <b v="1"/>
    <b v="1"/>
    <b v="1"/>
    <b v="1"/>
    <b v="1"/>
  </r>
  <r>
    <x v="3710"/>
    <n v="267561"/>
    <n v="75223"/>
    <n v="192338"/>
    <n v="361606046"/>
    <n v="122300346"/>
    <n v="483906392"/>
    <n v="111076"/>
    <n v="7162"/>
    <n v="118238"/>
    <b v="1"/>
    <b v="1"/>
    <b v="1"/>
    <b v="1"/>
    <b v="1"/>
    <b v="1"/>
  </r>
  <r>
    <x v="3711"/>
    <n v="265329"/>
    <n v="83107"/>
    <n v="182222"/>
    <n v="340503355"/>
    <n v="154805290"/>
    <n v="495308645"/>
    <n v="101380"/>
    <n v="7046"/>
    <n v="108426"/>
    <b v="1"/>
    <b v="1"/>
    <b v="1"/>
    <b v="1"/>
    <b v="1"/>
    <b v="1"/>
  </r>
  <r>
    <x v="3712"/>
    <n v="232304"/>
    <n v="75116"/>
    <n v="157188"/>
    <n v="264332284"/>
    <n v="128046450"/>
    <n v="392378734"/>
    <n v="84801"/>
    <n v="5416"/>
    <n v="90217"/>
    <b v="1"/>
    <b v="1"/>
    <b v="1"/>
    <b v="1"/>
    <b v="1"/>
    <b v="1"/>
  </r>
  <r>
    <x v="3713"/>
    <n v="263029"/>
    <n v="81318"/>
    <n v="181711"/>
    <n v="346340916"/>
    <n v="159768740"/>
    <n v="506109656"/>
    <n v="102988"/>
    <n v="6393"/>
    <n v="109381"/>
    <b v="1"/>
    <b v="1"/>
    <b v="1"/>
    <b v="1"/>
    <b v="1"/>
    <b v="1"/>
  </r>
  <r>
    <x v="3714"/>
    <n v="254787"/>
    <n v="76614"/>
    <n v="178173"/>
    <n v="348553401"/>
    <n v="172179541"/>
    <n v="520732942"/>
    <n v="103923"/>
    <n v="6623"/>
    <n v="110546"/>
    <b v="1"/>
    <b v="1"/>
    <b v="1"/>
    <b v="1"/>
    <b v="1"/>
    <b v="1"/>
  </r>
  <r>
    <x v="3715"/>
    <n v="254294"/>
    <n v="75871"/>
    <n v="178423"/>
    <n v="348310763"/>
    <n v="172349247"/>
    <n v="520660010"/>
    <n v="101057"/>
    <n v="6718"/>
    <n v="107775"/>
    <b v="1"/>
    <b v="1"/>
    <b v="1"/>
    <b v="1"/>
    <b v="1"/>
    <b v="1"/>
  </r>
  <r>
    <x v="3716"/>
    <n v="257225"/>
    <n v="75319"/>
    <n v="181906"/>
    <n v="357600110"/>
    <n v="234988953"/>
    <n v="592589063"/>
    <n v="104251"/>
    <n v="7044"/>
    <n v="111295"/>
    <b v="1"/>
    <b v="1"/>
    <b v="1"/>
    <b v="1"/>
    <b v="1"/>
    <b v="1"/>
  </r>
  <r>
    <x v="3717"/>
    <n v="268433"/>
    <n v="77900"/>
    <n v="190533"/>
    <n v="373468889"/>
    <n v="228697193"/>
    <n v="602166082"/>
    <n v="108607"/>
    <n v="7340"/>
    <n v="115947"/>
    <b v="1"/>
    <b v="1"/>
    <b v="1"/>
    <b v="1"/>
    <b v="1"/>
    <b v="1"/>
  </r>
  <r>
    <x v="3718"/>
    <n v="258626"/>
    <n v="77089"/>
    <n v="181537"/>
    <n v="345622566"/>
    <n v="147974092"/>
    <n v="493596658"/>
    <n v="103401"/>
    <n v="7050"/>
    <n v="110451"/>
    <b v="1"/>
    <b v="1"/>
    <b v="1"/>
    <b v="1"/>
    <b v="1"/>
    <b v="1"/>
  </r>
  <r>
    <x v="3719"/>
    <n v="246168"/>
    <n v="67608"/>
    <n v="178560"/>
    <n v="316989750"/>
    <n v="118889147"/>
    <n v="435878897"/>
    <n v="101055"/>
    <n v="6379"/>
    <n v="107434"/>
    <b v="1"/>
    <b v="1"/>
    <b v="1"/>
    <b v="1"/>
    <b v="1"/>
    <b v="1"/>
  </r>
  <r>
    <x v="3720"/>
    <n v="268407"/>
    <n v="74663"/>
    <n v="193744"/>
    <n v="379506395"/>
    <n v="156559343"/>
    <n v="536065738"/>
    <n v="115123"/>
    <n v="7011"/>
    <n v="122134"/>
    <b v="1"/>
    <b v="1"/>
    <b v="1"/>
    <b v="1"/>
    <b v="1"/>
    <b v="1"/>
  </r>
  <r>
    <x v="3721"/>
    <n v="269497"/>
    <n v="75187"/>
    <n v="194310"/>
    <n v="391868712"/>
    <n v="159406034"/>
    <n v="551274746"/>
    <n v="112445"/>
    <n v="7353"/>
    <n v="119798"/>
    <b v="1"/>
    <b v="1"/>
    <b v="1"/>
    <b v="1"/>
    <b v="1"/>
    <b v="1"/>
  </r>
  <r>
    <x v="3722"/>
    <n v="271222"/>
    <n v="76082"/>
    <n v="195140"/>
    <n v="376362478"/>
    <n v="148067095"/>
    <n v="524429573"/>
    <n v="111552"/>
    <n v="7228"/>
    <n v="118780"/>
    <b v="1"/>
    <b v="1"/>
    <b v="1"/>
    <b v="1"/>
    <b v="1"/>
    <b v="1"/>
  </r>
  <r>
    <x v="3723"/>
    <n v="246391"/>
    <n v="67626"/>
    <n v="178765"/>
    <n v="347294134"/>
    <n v="107857437"/>
    <n v="455151571"/>
    <n v="103280"/>
    <n v="6274"/>
    <n v="109554"/>
    <b v="1"/>
    <b v="1"/>
    <b v="1"/>
    <b v="1"/>
    <b v="1"/>
    <b v="1"/>
  </r>
  <r>
    <x v="3724"/>
    <n v="198622"/>
    <n v="50860"/>
    <n v="147762"/>
    <n v="250216363"/>
    <n v="127309425"/>
    <n v="377525788"/>
    <n v="79954"/>
    <n v="5291"/>
    <n v="85245"/>
    <b v="1"/>
    <b v="1"/>
    <b v="1"/>
    <b v="1"/>
    <b v="1"/>
    <b v="1"/>
  </r>
  <r>
    <x v="3725"/>
    <n v="217328"/>
    <n v="62532"/>
    <n v="154796"/>
    <n v="291072698"/>
    <n v="88329628"/>
    <n v="379402326"/>
    <n v="80813"/>
    <n v="5352"/>
    <n v="86165"/>
    <b v="1"/>
    <b v="1"/>
    <b v="1"/>
    <b v="1"/>
    <b v="1"/>
    <b v="1"/>
  </r>
  <r>
    <x v="3726"/>
    <n v="248770"/>
    <n v="66980"/>
    <n v="181790"/>
    <n v="318062307"/>
    <n v="96052190"/>
    <n v="414114497"/>
    <n v="101043"/>
    <n v="6333"/>
    <n v="107376"/>
    <b v="1"/>
    <b v="1"/>
    <b v="1"/>
    <b v="1"/>
    <b v="1"/>
    <b v="1"/>
  </r>
  <r>
    <x v="3727"/>
    <n v="290607"/>
    <n v="78133"/>
    <n v="212474"/>
    <n v="425288669"/>
    <n v="141191773"/>
    <n v="566480442"/>
    <n v="124992"/>
    <n v="7520"/>
    <n v="132512"/>
    <b v="1"/>
    <b v="1"/>
    <b v="1"/>
    <b v="1"/>
    <b v="1"/>
    <b v="1"/>
  </r>
  <r>
    <x v="3728"/>
    <n v="286433"/>
    <n v="79475"/>
    <n v="206958"/>
    <n v="421674744"/>
    <n v="166017736"/>
    <n v="587692480"/>
    <n v="115316"/>
    <n v="7289"/>
    <n v="122605"/>
    <b v="1"/>
    <b v="1"/>
    <b v="1"/>
    <b v="1"/>
    <b v="1"/>
    <b v="1"/>
  </r>
  <r>
    <x v="3729"/>
    <n v="275274"/>
    <n v="76334"/>
    <n v="198940"/>
    <n v="411635238"/>
    <n v="160381401"/>
    <n v="572016639"/>
    <n v="110644"/>
    <n v="7175"/>
    <n v="117819"/>
    <b v="1"/>
    <b v="1"/>
    <b v="1"/>
    <b v="1"/>
    <b v="1"/>
    <b v="1"/>
  </r>
  <r>
    <x v="3730"/>
    <n v="286014"/>
    <n v="79528"/>
    <n v="206486"/>
    <n v="430738562"/>
    <n v="158587158"/>
    <n v="589325720"/>
    <n v="119441"/>
    <n v="7628"/>
    <n v="127069"/>
    <b v="1"/>
    <b v="1"/>
    <b v="1"/>
    <b v="1"/>
    <b v="1"/>
    <b v="1"/>
  </r>
  <r>
    <x v="3731"/>
    <n v="288955"/>
    <n v="80390"/>
    <n v="208565"/>
    <n v="423280780"/>
    <n v="165432974"/>
    <n v="588713754"/>
    <n v="119088"/>
    <n v="7106"/>
    <n v="126194"/>
    <b v="1"/>
    <b v="1"/>
    <b v="1"/>
    <b v="1"/>
    <b v="1"/>
    <b v="1"/>
  </r>
  <r>
    <x v="3732"/>
    <n v="288305"/>
    <n v="80882"/>
    <n v="207423"/>
    <n v="429348548"/>
    <n v="153716120"/>
    <n v="583064668"/>
    <n v="119049"/>
    <n v="7396"/>
    <n v="126445"/>
    <b v="1"/>
    <b v="1"/>
    <b v="1"/>
    <b v="1"/>
    <b v="1"/>
    <b v="1"/>
  </r>
  <r>
    <x v="3733"/>
    <n v="267856"/>
    <n v="72593"/>
    <n v="195263"/>
    <n v="371202953"/>
    <n v="117850733"/>
    <n v="489053686"/>
    <n v="104361"/>
    <n v="6489"/>
    <n v="110850"/>
    <b v="1"/>
    <b v="1"/>
    <b v="1"/>
    <b v="1"/>
    <b v="1"/>
    <b v="1"/>
  </r>
  <r>
    <x v="3734"/>
    <n v="287265"/>
    <n v="79506"/>
    <n v="207759"/>
    <n v="441949820"/>
    <n v="143316867"/>
    <n v="585266687"/>
    <n v="116783"/>
    <n v="7584"/>
    <n v="124367"/>
    <b v="1"/>
    <b v="1"/>
    <b v="1"/>
    <b v="1"/>
    <b v="1"/>
    <b v="1"/>
  </r>
  <r>
    <x v="3735"/>
    <n v="285401"/>
    <n v="79266"/>
    <n v="206135"/>
    <n v="426586623"/>
    <n v="147182153"/>
    <n v="573768776"/>
    <n v="117662"/>
    <n v="7268"/>
    <n v="124930"/>
    <b v="1"/>
    <b v="1"/>
    <b v="1"/>
    <b v="1"/>
    <b v="1"/>
    <b v="1"/>
  </r>
  <r>
    <x v="3736"/>
    <n v="298447"/>
    <n v="83526"/>
    <n v="214921"/>
    <n v="430696306"/>
    <n v="151388493"/>
    <n v="582084799"/>
    <n v="118597"/>
    <n v="7459"/>
    <n v="126056"/>
    <b v="1"/>
    <b v="1"/>
    <b v="1"/>
    <b v="1"/>
    <b v="1"/>
    <b v="1"/>
  </r>
  <r>
    <x v="3737"/>
    <n v="290466"/>
    <n v="80961"/>
    <n v="209505"/>
    <n v="433474704"/>
    <n v="143786805"/>
    <n v="577261509"/>
    <n v="115562"/>
    <n v="7335"/>
    <n v="122897"/>
    <b v="1"/>
    <b v="1"/>
    <b v="1"/>
    <b v="1"/>
    <b v="1"/>
    <b v="1"/>
  </r>
  <r>
    <x v="3738"/>
    <n v="282746"/>
    <n v="79165"/>
    <n v="203581"/>
    <n v="411439342"/>
    <n v="136793537"/>
    <n v="548232879"/>
    <n v="112955"/>
    <n v="6729"/>
    <n v="119684"/>
    <b v="1"/>
    <b v="1"/>
    <b v="1"/>
    <b v="1"/>
    <b v="1"/>
    <b v="1"/>
  </r>
  <r>
    <x v="3739"/>
    <n v="278230"/>
    <n v="78176"/>
    <n v="200054"/>
    <n v="391346484"/>
    <n v="128889233"/>
    <n v="520235717"/>
    <n v="113638"/>
    <n v="7424"/>
    <n v="121062"/>
    <b v="1"/>
    <b v="1"/>
    <b v="1"/>
    <b v="1"/>
    <b v="1"/>
    <b v="1"/>
  </r>
  <r>
    <x v="3740"/>
    <n v="250806"/>
    <n v="68247"/>
    <n v="182559"/>
    <n v="330496460"/>
    <n v="159974801"/>
    <n v="490471261"/>
    <n v="99803"/>
    <n v="6142"/>
    <n v="105945"/>
    <b v="1"/>
    <b v="1"/>
    <b v="1"/>
    <b v="1"/>
    <b v="1"/>
    <b v="1"/>
  </r>
  <r>
    <x v="3741"/>
    <n v="246623"/>
    <n v="64841"/>
    <n v="181782"/>
    <n v="340014084"/>
    <n v="88966583"/>
    <n v="428980667"/>
    <n v="97552"/>
    <n v="5451"/>
    <n v="103003"/>
    <b v="1"/>
    <b v="1"/>
    <b v="1"/>
    <b v="1"/>
    <b v="1"/>
    <b v="1"/>
  </r>
  <r>
    <x v="3742"/>
    <n v="274857"/>
    <n v="77908"/>
    <n v="196949"/>
    <n v="378797275"/>
    <n v="127530824"/>
    <n v="506328099"/>
    <n v="114113"/>
    <n v="6984"/>
    <n v="121097"/>
    <b v="1"/>
    <b v="1"/>
    <b v="1"/>
    <b v="1"/>
    <b v="1"/>
    <b v="1"/>
  </r>
  <r>
    <x v="3743"/>
    <n v="290393"/>
    <n v="83064"/>
    <n v="207329"/>
    <n v="400263756"/>
    <n v="206092960"/>
    <n v="606356716"/>
    <n v="115185"/>
    <n v="7574"/>
    <n v="122759"/>
    <b v="1"/>
    <b v="1"/>
    <b v="1"/>
    <b v="1"/>
    <b v="1"/>
    <b v="1"/>
  </r>
  <r>
    <x v="3744"/>
    <n v="284058"/>
    <n v="79929"/>
    <n v="204129"/>
    <n v="416846939"/>
    <n v="140438871"/>
    <n v="557285810"/>
    <n v="120708"/>
    <n v="7126"/>
    <n v="127834"/>
    <b v="1"/>
    <b v="1"/>
    <b v="1"/>
    <b v="1"/>
    <b v="1"/>
    <b v="1"/>
  </r>
  <r>
    <x v="3745"/>
    <n v="279424"/>
    <n v="78102"/>
    <n v="201322"/>
    <n v="407814106"/>
    <n v="140002183"/>
    <n v="547816289"/>
    <n v="122201"/>
    <n v="7206"/>
    <n v="129407"/>
    <b v="1"/>
    <b v="1"/>
    <b v="1"/>
    <b v="1"/>
    <b v="1"/>
    <b v="1"/>
  </r>
  <r>
    <x v="3746"/>
    <n v="270364"/>
    <n v="74353"/>
    <n v="196011"/>
    <n v="408919339"/>
    <n v="119661536"/>
    <n v="528580875"/>
    <n v="115508"/>
    <n v="6512"/>
    <n v="122020"/>
    <b v="1"/>
    <b v="1"/>
    <b v="1"/>
    <b v="1"/>
    <b v="1"/>
    <b v="1"/>
  </r>
  <r>
    <x v="3747"/>
    <n v="230920"/>
    <n v="60294"/>
    <n v="170626"/>
    <n v="325438887"/>
    <n v="85203687"/>
    <n v="410642574"/>
    <n v="104679"/>
    <n v="6174"/>
    <n v="110853"/>
    <b v="1"/>
    <b v="1"/>
    <b v="1"/>
    <b v="1"/>
    <b v="1"/>
    <b v="1"/>
  </r>
  <r>
    <x v="3748"/>
    <n v="276137"/>
    <n v="73067"/>
    <n v="203070"/>
    <n v="432809248"/>
    <n v="120872472"/>
    <n v="553681720"/>
    <n v="125091"/>
    <n v="7388"/>
    <n v="132479"/>
    <b v="1"/>
    <b v="1"/>
    <b v="1"/>
    <b v="1"/>
    <b v="1"/>
    <b v="1"/>
  </r>
  <r>
    <x v="3749"/>
    <n v="297635"/>
    <n v="76878"/>
    <n v="220757"/>
    <n v="464550958"/>
    <n v="143406606"/>
    <n v="607957564"/>
    <n v="134290"/>
    <n v="7495"/>
    <n v="141785"/>
    <b v="1"/>
    <b v="1"/>
    <b v="1"/>
    <b v="1"/>
    <b v="1"/>
    <b v="1"/>
  </r>
  <r>
    <x v="3750"/>
    <n v="286673"/>
    <n v="73544"/>
    <n v="213129"/>
    <n v="441385280"/>
    <n v="130776540"/>
    <n v="572161820"/>
    <n v="134290"/>
    <n v="7388"/>
    <n v="141678"/>
    <b v="1"/>
    <b v="1"/>
    <b v="1"/>
    <b v="1"/>
    <b v="1"/>
    <b v="1"/>
  </r>
  <r>
    <x v="3751"/>
    <n v="245288"/>
    <n v="62192"/>
    <n v="183096"/>
    <n v="357301634"/>
    <n v="102651621"/>
    <n v="459953255"/>
    <n v="111893"/>
    <n v="6172"/>
    <n v="118065"/>
    <b v="1"/>
    <b v="1"/>
    <b v="1"/>
    <b v="1"/>
    <b v="1"/>
    <b v="1"/>
  </r>
  <r>
    <x v="3752"/>
    <n v="254175"/>
    <n v="65006"/>
    <n v="189169"/>
    <n v="371493475"/>
    <n v="100259809"/>
    <n v="471753284"/>
    <n v="114851"/>
    <n v="6372"/>
    <n v="121223"/>
    <b v="1"/>
    <b v="1"/>
    <b v="1"/>
    <b v="1"/>
    <b v="1"/>
    <b v="1"/>
  </r>
  <r>
    <x v="3753"/>
    <n v="265284"/>
    <n v="69608"/>
    <n v="195676"/>
    <n v="392126933"/>
    <n v="98542718"/>
    <n v="490669651"/>
    <n v="113533"/>
    <n v="6615"/>
    <n v="120148"/>
    <b v="1"/>
    <b v="1"/>
    <b v="1"/>
    <b v="1"/>
    <b v="1"/>
    <b v="1"/>
  </r>
  <r>
    <x v="3754"/>
    <n v="264323"/>
    <n v="71254"/>
    <n v="193069"/>
    <n v="333986209"/>
    <n v="84532943"/>
    <n v="418519152"/>
    <n v="112655"/>
    <n v="6519"/>
    <n v="119174"/>
    <b v="1"/>
    <b v="1"/>
    <b v="1"/>
    <b v="1"/>
    <b v="1"/>
    <b v="1"/>
  </r>
  <r>
    <x v="3755"/>
    <n v="247786"/>
    <n v="62597"/>
    <n v="185189"/>
    <n v="328985601"/>
    <n v="74251820"/>
    <n v="403237421"/>
    <n v="112234"/>
    <n v="6212"/>
    <n v="118446"/>
    <b v="1"/>
    <b v="1"/>
    <b v="1"/>
    <b v="1"/>
    <b v="1"/>
    <b v="1"/>
  </r>
  <r>
    <x v="3756"/>
    <n v="284714"/>
    <n v="75573"/>
    <n v="209141"/>
    <n v="431612400"/>
    <n v="111448540"/>
    <n v="543060940"/>
    <n v="129312"/>
    <n v="7301"/>
    <n v="136613"/>
    <b v="1"/>
    <b v="1"/>
    <b v="1"/>
    <b v="1"/>
    <b v="1"/>
    <b v="1"/>
  </r>
  <r>
    <x v="3757"/>
    <n v="281386"/>
    <n v="71629"/>
    <n v="209757"/>
    <n v="413252443"/>
    <n v="126430216"/>
    <n v="539682659"/>
    <n v="124157"/>
    <n v="7025"/>
    <n v="131182"/>
    <b v="1"/>
    <b v="1"/>
    <b v="1"/>
    <b v="1"/>
    <b v="1"/>
    <b v="1"/>
  </r>
  <r>
    <x v="3758"/>
    <n v="285232"/>
    <n v="73532"/>
    <n v="211700"/>
    <n v="423055066"/>
    <n v="131455931"/>
    <n v="554510997"/>
    <n v="120155"/>
    <n v="6812"/>
    <n v="126967"/>
    <b v="1"/>
    <b v="1"/>
    <b v="1"/>
    <b v="1"/>
    <b v="1"/>
    <b v="1"/>
  </r>
  <r>
    <x v="3759"/>
    <n v="284531"/>
    <n v="71090"/>
    <n v="213441"/>
    <n v="375799280"/>
    <n v="106763457"/>
    <n v="482562737"/>
    <n v="120933"/>
    <n v="6835"/>
    <n v="127768"/>
    <b v="1"/>
    <b v="1"/>
    <b v="1"/>
    <b v="1"/>
    <b v="1"/>
    <b v="1"/>
  </r>
  <r>
    <x v="3760"/>
    <n v="279791"/>
    <n v="71813"/>
    <n v="207978"/>
    <n v="391032389"/>
    <n v="104547886"/>
    <n v="495580275"/>
    <n v="116914"/>
    <n v="5993"/>
    <n v="122907"/>
    <b v="1"/>
    <b v="1"/>
    <b v="1"/>
    <b v="1"/>
    <b v="1"/>
    <b v="1"/>
  </r>
  <r>
    <x v="3761"/>
    <n v="255150"/>
    <n v="63216"/>
    <n v="191934"/>
    <n v="320703087"/>
    <n v="81765870"/>
    <n v="402468957"/>
    <n v="107695"/>
    <n v="6336"/>
    <n v="114031"/>
    <b v="1"/>
    <b v="1"/>
    <b v="1"/>
    <b v="1"/>
    <b v="1"/>
    <b v="1"/>
  </r>
  <r>
    <x v="3762"/>
    <n v="278153"/>
    <n v="71809"/>
    <n v="206344"/>
    <n v="397158065"/>
    <n v="117531640"/>
    <n v="514689705"/>
    <n v="114102"/>
    <n v="6588"/>
    <n v="120690"/>
    <b v="1"/>
    <b v="1"/>
    <b v="1"/>
    <b v="1"/>
    <b v="1"/>
    <b v="1"/>
  </r>
  <r>
    <x v="3763"/>
    <n v="275828"/>
    <n v="72192"/>
    <n v="203636"/>
    <n v="407245384"/>
    <n v="122864685"/>
    <n v="530110069"/>
    <n v="115254"/>
    <n v="6437"/>
    <n v="121691"/>
    <b v="1"/>
    <b v="1"/>
    <b v="1"/>
    <b v="1"/>
    <b v="1"/>
    <b v="1"/>
  </r>
  <r>
    <x v="3764"/>
    <n v="265932"/>
    <n v="71115"/>
    <n v="194817"/>
    <n v="405786226"/>
    <n v="123886754"/>
    <n v="529672980"/>
    <n v="111270"/>
    <n v="6145"/>
    <n v="117415"/>
    <b v="1"/>
    <b v="1"/>
    <b v="1"/>
    <b v="1"/>
    <b v="1"/>
    <b v="1"/>
  </r>
  <r>
    <x v="3765"/>
    <n v="274495"/>
    <n v="72019"/>
    <n v="202476"/>
    <n v="407386496"/>
    <n v="110993733"/>
    <n v="518380229"/>
    <n v="112915"/>
    <n v="6244"/>
    <n v="119159"/>
    <b v="1"/>
    <b v="1"/>
    <b v="1"/>
    <b v="1"/>
    <b v="1"/>
    <b v="1"/>
  </r>
  <r>
    <x v="3766"/>
    <n v="279286"/>
    <n v="74081"/>
    <n v="205205"/>
    <n v="426374527"/>
    <n v="115476056"/>
    <n v="541850583"/>
    <n v="106954"/>
    <n v="6386"/>
    <n v="113340"/>
    <b v="1"/>
    <b v="1"/>
    <b v="1"/>
    <b v="1"/>
    <b v="1"/>
    <b v="1"/>
  </r>
  <r>
    <x v="3767"/>
    <n v="282732"/>
    <n v="75839"/>
    <n v="206893"/>
    <n v="399925434"/>
    <n v="106773580"/>
    <n v="506699014"/>
    <n v="94553"/>
    <n v="6555"/>
    <n v="101108"/>
    <b v="1"/>
    <b v="1"/>
    <b v="1"/>
    <b v="1"/>
    <b v="1"/>
    <b v="1"/>
  </r>
  <r>
    <x v="3768"/>
    <n v="260751"/>
    <n v="67144"/>
    <n v="193607"/>
    <n v="329033574"/>
    <n v="82079781"/>
    <n v="411113355"/>
    <n v="103845"/>
    <n v="5827"/>
    <n v="109672"/>
    <b v="1"/>
    <b v="1"/>
    <b v="1"/>
    <b v="1"/>
    <b v="1"/>
    <b v="1"/>
  </r>
  <r>
    <x v="3769"/>
    <n v="288313"/>
    <n v="72086"/>
    <n v="216227"/>
    <n v="413693454"/>
    <n v="98664005"/>
    <n v="512357459"/>
    <n v="118485"/>
    <n v="6559"/>
    <n v="125044"/>
    <b v="1"/>
    <b v="1"/>
    <b v="1"/>
    <b v="1"/>
    <b v="1"/>
    <b v="1"/>
  </r>
  <r>
    <x v="3770"/>
    <n v="266284"/>
    <n v="67931"/>
    <n v="198353"/>
    <n v="379626413"/>
    <n v="99936596"/>
    <n v="479563009"/>
    <n v="97471"/>
    <n v="5806"/>
    <n v="103277"/>
    <b v="1"/>
    <b v="1"/>
    <b v="1"/>
    <b v="1"/>
    <b v="1"/>
    <b v="1"/>
  </r>
  <r>
    <x v="3771"/>
    <n v="260400"/>
    <n v="65900"/>
    <n v="194500"/>
    <n v="372581738"/>
    <n v="94345944"/>
    <n v="466927682"/>
    <n v="97542"/>
    <n v="5183"/>
    <n v="102725"/>
    <b v="1"/>
    <b v="1"/>
    <b v="1"/>
    <b v="1"/>
    <b v="1"/>
    <b v="1"/>
  </r>
  <r>
    <x v="3772"/>
    <n v="272221"/>
    <n v="73064"/>
    <n v="199157"/>
    <n v="367108978"/>
    <n v="114309533"/>
    <n v="481418511"/>
    <n v="104014"/>
    <n v="5470"/>
    <n v="109484"/>
    <b v="1"/>
    <b v="1"/>
    <b v="1"/>
    <b v="1"/>
    <b v="1"/>
    <b v="1"/>
  </r>
  <r>
    <x v="3773"/>
    <n v="277721"/>
    <n v="76390"/>
    <n v="201331"/>
    <n v="366283345"/>
    <n v="127509243"/>
    <n v="493792588"/>
    <n v="100270"/>
    <n v="5124"/>
    <n v="105394"/>
    <b v="1"/>
    <b v="1"/>
    <b v="1"/>
    <b v="1"/>
    <b v="1"/>
    <b v="1"/>
  </r>
  <r>
    <x v="3774"/>
    <n v="288143"/>
    <n v="76739"/>
    <n v="211404"/>
    <n v="400166885"/>
    <n v="128613786"/>
    <n v="528780671"/>
    <n v="114009"/>
    <n v="6025"/>
    <n v="120034"/>
    <b v="1"/>
    <b v="1"/>
    <b v="1"/>
    <b v="1"/>
    <b v="1"/>
    <b v="1"/>
  </r>
  <r>
    <x v="3775"/>
    <n v="246852"/>
    <n v="63538"/>
    <n v="183314"/>
    <n v="318312092"/>
    <n v="87852591"/>
    <n v="406164683"/>
    <n v="93050"/>
    <n v="4807"/>
    <n v="97857"/>
    <b v="1"/>
    <b v="1"/>
    <b v="1"/>
    <b v="1"/>
    <b v="1"/>
    <b v="1"/>
  </r>
  <r>
    <x v="3776"/>
    <n v="277734"/>
    <n v="71846"/>
    <n v="205888"/>
    <n v="398862854"/>
    <n v="121150639"/>
    <n v="520013493"/>
    <n v="109026"/>
    <n v="5755"/>
    <n v="114781"/>
    <b v="1"/>
    <b v="1"/>
    <b v="1"/>
    <b v="1"/>
    <b v="1"/>
    <b v="1"/>
  </r>
  <r>
    <x v="3777"/>
    <n v="282714"/>
    <n v="73204"/>
    <n v="209510"/>
    <n v="401976994"/>
    <n v="123966775"/>
    <n v="525943769"/>
    <n v="115269"/>
    <n v="5877"/>
    <n v="121146"/>
    <b v="1"/>
    <b v="1"/>
    <b v="1"/>
    <b v="1"/>
    <b v="1"/>
    <b v="1"/>
  </r>
  <r>
    <x v="3778"/>
    <n v="264252"/>
    <n v="67008"/>
    <n v="197244"/>
    <n v="378561481"/>
    <n v="120240559"/>
    <n v="498802040"/>
    <n v="106524"/>
    <n v="5469"/>
    <n v="111993"/>
    <b v="1"/>
    <b v="1"/>
    <b v="1"/>
    <b v="1"/>
    <b v="1"/>
    <b v="1"/>
  </r>
  <r>
    <x v="3779"/>
    <n v="279848"/>
    <n v="72923"/>
    <n v="206925"/>
    <n v="402590235"/>
    <n v="130253902"/>
    <n v="532844137"/>
    <n v="114879"/>
    <n v="5748"/>
    <n v="120627"/>
    <b v="1"/>
    <b v="1"/>
    <b v="1"/>
    <b v="1"/>
    <b v="1"/>
    <b v="1"/>
  </r>
  <r>
    <x v="3780"/>
    <n v="272704"/>
    <n v="72119"/>
    <n v="200585"/>
    <n v="399786466"/>
    <n v="113081654"/>
    <n v="512868120"/>
    <n v="118368"/>
    <n v="5992"/>
    <n v="124360"/>
    <b v="1"/>
    <b v="1"/>
    <b v="1"/>
    <b v="1"/>
    <b v="1"/>
    <b v="1"/>
  </r>
  <r>
    <x v="3781"/>
    <n v="261056"/>
    <n v="69771"/>
    <n v="191285"/>
    <n v="349862077"/>
    <n v="96274099"/>
    <n v="446136176"/>
    <n v="110281"/>
    <n v="5592"/>
    <n v="115873"/>
    <b v="1"/>
    <b v="1"/>
    <b v="1"/>
    <b v="1"/>
    <b v="1"/>
    <b v="1"/>
  </r>
  <r>
    <x v="3782"/>
    <n v="252308"/>
    <n v="65015"/>
    <n v="187293"/>
    <n v="329217944"/>
    <n v="80417092"/>
    <n v="409635036"/>
    <n v="103620"/>
    <n v="5502"/>
    <n v="109122"/>
    <b v="1"/>
    <b v="1"/>
    <b v="1"/>
    <b v="1"/>
    <b v="1"/>
    <b v="1"/>
  </r>
  <r>
    <x v="3783"/>
    <n v="272127"/>
    <n v="71410"/>
    <n v="200717"/>
    <n v="380571758"/>
    <n v="101018897"/>
    <n v="481590655"/>
    <n v="112473"/>
    <n v="6120"/>
    <n v="118593"/>
    <b v="1"/>
    <b v="1"/>
    <b v="1"/>
    <b v="1"/>
    <b v="1"/>
    <b v="1"/>
  </r>
  <r>
    <x v="3784"/>
    <n v="275150"/>
    <n v="71537"/>
    <n v="203613"/>
    <n v="395637962"/>
    <n v="118012997"/>
    <n v="513650959"/>
    <n v="117390"/>
    <n v="6070"/>
    <n v="123460"/>
    <b v="1"/>
    <b v="1"/>
    <b v="1"/>
    <b v="1"/>
    <b v="1"/>
    <b v="1"/>
  </r>
  <r>
    <x v="3785"/>
    <n v="270026"/>
    <n v="69680"/>
    <n v="200346"/>
    <n v="402814741"/>
    <n v="120607163"/>
    <n v="523421904"/>
    <n v="112718"/>
    <n v="5934"/>
    <n v="118652"/>
    <b v="1"/>
    <b v="1"/>
    <b v="1"/>
    <b v="1"/>
    <b v="1"/>
    <b v="1"/>
  </r>
  <r>
    <x v="3786"/>
    <n v="283906"/>
    <n v="73290"/>
    <n v="210616"/>
    <n v="422631164"/>
    <n v="131081903"/>
    <n v="553713067"/>
    <n v="115422"/>
    <n v="6450"/>
    <n v="121872"/>
    <b v="1"/>
    <b v="1"/>
    <b v="1"/>
    <b v="1"/>
    <b v="1"/>
    <b v="1"/>
  </r>
  <r>
    <x v="3787"/>
    <n v="294383"/>
    <n v="76809"/>
    <n v="217574"/>
    <n v="424937145"/>
    <n v="130840099"/>
    <n v="555777244"/>
    <n v="117508"/>
    <n v="6515"/>
    <n v="124023"/>
    <b v="1"/>
    <b v="1"/>
    <b v="1"/>
    <b v="1"/>
    <b v="1"/>
    <b v="1"/>
  </r>
  <r>
    <x v="3788"/>
    <n v="295649"/>
    <n v="77265"/>
    <n v="218384"/>
    <n v="440333242"/>
    <n v="122568553"/>
    <n v="562901795"/>
    <n v="118237"/>
    <n v="6669"/>
    <n v="124906"/>
    <b v="1"/>
    <b v="1"/>
    <b v="1"/>
    <b v="1"/>
    <b v="1"/>
    <b v="1"/>
  </r>
  <r>
    <x v="3789"/>
    <n v="278121"/>
    <n v="71483"/>
    <n v="206638"/>
    <n v="377039909"/>
    <n v="93033553"/>
    <n v="470073462"/>
    <n v="108679"/>
    <n v="6034"/>
    <n v="114713"/>
    <b v="1"/>
    <b v="1"/>
    <b v="1"/>
    <b v="1"/>
    <b v="1"/>
    <b v="1"/>
  </r>
  <r>
    <x v="3790"/>
    <n v="285184"/>
    <n v="73171"/>
    <n v="212013"/>
    <n v="406488317"/>
    <n v="111983010"/>
    <n v="518471327"/>
    <n v="110181"/>
    <n v="6401"/>
    <n v="116582"/>
    <b v="1"/>
    <b v="1"/>
    <b v="1"/>
    <b v="1"/>
    <b v="1"/>
    <b v="1"/>
  </r>
  <r>
    <x v="3791"/>
    <n v="282779"/>
    <n v="72047"/>
    <n v="210732"/>
    <n v="414205708"/>
    <n v="114299755"/>
    <n v="528505463"/>
    <n v="119532"/>
    <n v="6579"/>
    <n v="126111"/>
    <b v="1"/>
    <b v="1"/>
    <b v="1"/>
    <b v="1"/>
    <b v="1"/>
    <b v="1"/>
  </r>
  <r>
    <x v="3792"/>
    <n v="277880"/>
    <n v="69561"/>
    <n v="208319"/>
    <n v="405202875"/>
    <n v="117790402"/>
    <n v="522993277"/>
    <n v="113738"/>
    <n v="6059"/>
    <n v="119797"/>
    <b v="1"/>
    <b v="1"/>
    <b v="1"/>
    <b v="1"/>
    <b v="1"/>
    <b v="1"/>
  </r>
  <r>
    <x v="3793"/>
    <n v="281628"/>
    <n v="71600"/>
    <n v="210028"/>
    <n v="406828734"/>
    <n v="113934826"/>
    <n v="520763560"/>
    <n v="116999"/>
    <n v="5261"/>
    <n v="122260"/>
    <b v="1"/>
    <b v="1"/>
    <b v="1"/>
    <b v="1"/>
    <b v="1"/>
    <b v="1"/>
  </r>
  <r>
    <x v="3794"/>
    <n v="254340"/>
    <n v="68083"/>
    <n v="186257"/>
    <n v="334958697"/>
    <n v="111489479"/>
    <n v="446448176"/>
    <n v="106954"/>
    <n v="5179"/>
    <n v="112133"/>
    <b v="1"/>
    <b v="1"/>
    <b v="1"/>
    <b v="1"/>
    <b v="1"/>
    <b v="1"/>
  </r>
  <r>
    <x v="3795"/>
    <n v="250264"/>
    <n v="61423"/>
    <n v="188841"/>
    <n v="368932736"/>
    <n v="93836296"/>
    <n v="462769032"/>
    <n v="107040"/>
    <n v="5644"/>
    <n v="112684"/>
    <b v="1"/>
    <b v="1"/>
    <b v="1"/>
    <b v="1"/>
    <b v="1"/>
    <b v="1"/>
  </r>
  <r>
    <x v="3796"/>
    <n v="234774"/>
    <n v="58393"/>
    <n v="176381"/>
    <n v="314093770"/>
    <n v="73961702"/>
    <n v="388055472"/>
    <n v="99527"/>
    <n v="4902"/>
    <n v="104429"/>
    <b v="1"/>
    <b v="1"/>
    <b v="1"/>
    <b v="1"/>
    <b v="1"/>
    <b v="1"/>
  </r>
  <r>
    <x v="3797"/>
    <n v="264029"/>
    <n v="62583"/>
    <n v="201446"/>
    <n v="390056582"/>
    <n v="93896175"/>
    <n v="483952757"/>
    <n v="117138"/>
    <n v="5905"/>
    <n v="123043"/>
    <b v="1"/>
    <b v="1"/>
    <b v="1"/>
    <b v="1"/>
    <b v="1"/>
    <b v="1"/>
  </r>
  <r>
    <x v="3798"/>
    <n v="274445"/>
    <n v="66564"/>
    <n v="207881"/>
    <n v="400997454"/>
    <n v="109718344"/>
    <n v="510715798"/>
    <n v="116821"/>
    <n v="5725"/>
    <n v="122546"/>
    <b v="1"/>
    <b v="1"/>
    <b v="1"/>
    <b v="1"/>
    <b v="1"/>
    <b v="1"/>
  </r>
  <r>
    <x v="3799"/>
    <n v="279714"/>
    <n v="67887"/>
    <n v="211827"/>
    <n v="414667894"/>
    <n v="109305378"/>
    <n v="523973272"/>
    <n v="120276"/>
    <n v="5909"/>
    <n v="126185"/>
    <b v="1"/>
    <b v="1"/>
    <b v="1"/>
    <b v="1"/>
    <b v="1"/>
    <b v="1"/>
  </r>
  <r>
    <x v="3800"/>
    <n v="254785"/>
    <n v="62587"/>
    <n v="192198"/>
    <n v="388303860"/>
    <n v="99680566"/>
    <n v="487984426"/>
    <n v="105194"/>
    <n v="5459"/>
    <n v="110653"/>
    <b v="1"/>
    <b v="1"/>
    <b v="1"/>
    <b v="1"/>
    <b v="1"/>
    <b v="1"/>
  </r>
  <r>
    <x v="3801"/>
    <n v="253201"/>
    <n v="62984"/>
    <n v="190217"/>
    <n v="389368912"/>
    <n v="97589728"/>
    <n v="486958640"/>
    <n v="108009"/>
    <n v="5616"/>
    <n v="113625"/>
    <b v="1"/>
    <b v="1"/>
    <b v="1"/>
    <b v="1"/>
    <b v="1"/>
    <b v="1"/>
  </r>
  <r>
    <x v="3802"/>
    <n v="251815"/>
    <n v="63535"/>
    <n v="188280"/>
    <n v="365892936"/>
    <n v="87652169"/>
    <n v="453545105"/>
    <n v="101986"/>
    <n v="5324"/>
    <n v="107310"/>
    <b v="1"/>
    <b v="1"/>
    <b v="1"/>
    <b v="1"/>
    <b v="1"/>
    <b v="1"/>
  </r>
  <r>
    <x v="3803"/>
    <n v="246634"/>
    <n v="66199"/>
    <n v="180435"/>
    <n v="308809271"/>
    <n v="86076917"/>
    <n v="394886188"/>
    <n v="104065"/>
    <n v="4754"/>
    <n v="108819"/>
    <b v="1"/>
    <b v="1"/>
    <b v="1"/>
    <b v="1"/>
    <b v="1"/>
    <b v="1"/>
  </r>
  <r>
    <x v="3804"/>
    <n v="287295"/>
    <n v="75360"/>
    <n v="211935"/>
    <n v="391651688"/>
    <n v="127060520"/>
    <n v="518712208"/>
    <n v="119427"/>
    <n v="5313"/>
    <n v="124740"/>
    <b v="1"/>
    <b v="1"/>
    <b v="1"/>
    <b v="1"/>
    <b v="1"/>
    <b v="1"/>
  </r>
  <r>
    <x v="3805"/>
    <n v="298421"/>
    <n v="75720"/>
    <n v="222701"/>
    <n v="426178246"/>
    <n v="134766317"/>
    <n v="560944563"/>
    <n v="130598"/>
    <n v="5704"/>
    <n v="136302"/>
    <b v="1"/>
    <b v="1"/>
    <b v="1"/>
    <b v="1"/>
    <b v="1"/>
    <b v="1"/>
  </r>
  <r>
    <x v="3806"/>
    <n v="294603"/>
    <n v="74551"/>
    <n v="220052"/>
    <n v="428870372"/>
    <n v="132687468"/>
    <n v="561557840"/>
    <n v="121416"/>
    <n v="5782"/>
    <n v="127198"/>
    <b v="1"/>
    <b v="1"/>
    <b v="1"/>
    <b v="1"/>
    <b v="1"/>
    <b v="1"/>
  </r>
  <r>
    <x v="3807"/>
    <n v="288602"/>
    <n v="73293"/>
    <n v="215309"/>
    <n v="420548848"/>
    <n v="125091033"/>
    <n v="545639881"/>
    <n v="118686"/>
    <n v="5602"/>
    <n v="124288"/>
    <b v="1"/>
    <b v="1"/>
    <b v="1"/>
    <b v="1"/>
    <b v="1"/>
    <b v="1"/>
  </r>
  <r>
    <x v="3808"/>
    <n v="281893"/>
    <n v="71699"/>
    <n v="210194"/>
    <n v="400261894"/>
    <n v="124266073"/>
    <n v="524527967"/>
    <n v="121486"/>
    <n v="4772"/>
    <n v="126258"/>
    <b v="1"/>
    <b v="1"/>
    <b v="1"/>
    <b v="1"/>
    <b v="1"/>
    <b v="1"/>
  </r>
  <r>
    <x v="3809"/>
    <n v="258841"/>
    <n v="63245"/>
    <n v="195596"/>
    <n v="337604722"/>
    <n v="93736992"/>
    <n v="431341714"/>
    <n v="102501"/>
    <n v="5138"/>
    <n v="107639"/>
    <b v="1"/>
    <b v="1"/>
    <b v="1"/>
    <b v="1"/>
    <b v="1"/>
    <b v="1"/>
  </r>
  <r>
    <x v="3810"/>
    <n v="262474"/>
    <n v="65219"/>
    <n v="197255"/>
    <n v="333822055"/>
    <n v="82081270"/>
    <n v="415903325"/>
    <n v="115815"/>
    <n v="5132"/>
    <n v="120947"/>
    <b v="1"/>
    <b v="1"/>
    <b v="1"/>
    <b v="1"/>
    <b v="1"/>
    <b v="1"/>
  </r>
  <r>
    <x v="3811"/>
    <n v="287888"/>
    <n v="71286"/>
    <n v="216602"/>
    <n v="402240424"/>
    <n v="116262629"/>
    <n v="518503053"/>
    <n v="121945"/>
    <n v="5297"/>
    <n v="127242"/>
    <b v="1"/>
    <b v="1"/>
    <b v="1"/>
    <b v="1"/>
    <b v="1"/>
    <b v="1"/>
  </r>
  <r>
    <x v="3812"/>
    <n v="281062"/>
    <n v="71471"/>
    <n v="209591"/>
    <n v="395637213"/>
    <n v="121459906"/>
    <n v="517097119"/>
    <n v="116387"/>
    <n v="5302"/>
    <n v="121689"/>
    <b v="1"/>
    <b v="1"/>
    <b v="1"/>
    <b v="1"/>
    <b v="1"/>
    <b v="1"/>
  </r>
  <r>
    <x v="3813"/>
    <n v="281994"/>
    <n v="69225"/>
    <n v="212769"/>
    <n v="406796870"/>
    <n v="119350104"/>
    <n v="526146974"/>
    <n v="127038"/>
    <n v="5465"/>
    <n v="132503"/>
    <b v="1"/>
    <b v="1"/>
    <b v="1"/>
    <b v="1"/>
    <b v="1"/>
    <b v="1"/>
  </r>
  <r>
    <x v="3814"/>
    <n v="269440"/>
    <n v="68389"/>
    <n v="201051"/>
    <n v="384100303"/>
    <n v="118674614"/>
    <n v="502774917"/>
    <n v="110500"/>
    <n v="5327"/>
    <n v="115827"/>
    <b v="1"/>
    <b v="1"/>
    <b v="1"/>
    <b v="1"/>
    <b v="1"/>
    <b v="1"/>
  </r>
  <r>
    <x v="3815"/>
    <n v="266312"/>
    <n v="67002"/>
    <n v="199310"/>
    <n v="392195331"/>
    <n v="120515069"/>
    <n v="512710400"/>
    <n v="103817"/>
    <n v="5267"/>
    <n v="109084"/>
    <b v="1"/>
    <b v="1"/>
    <b v="1"/>
    <b v="1"/>
    <b v="1"/>
    <b v="1"/>
  </r>
  <r>
    <x v="3816"/>
    <n v="255478"/>
    <n v="64469"/>
    <n v="191009"/>
    <n v="349817794"/>
    <n v="93409455"/>
    <n v="443227249"/>
    <n v="96508"/>
    <n v="5105"/>
    <n v="101613"/>
    <b v="1"/>
    <b v="1"/>
    <b v="1"/>
    <b v="1"/>
    <b v="1"/>
    <b v="1"/>
  </r>
  <r>
    <x v="3817"/>
    <n v="236576"/>
    <n v="56917"/>
    <n v="179659"/>
    <n v="312666453"/>
    <n v="78071655"/>
    <n v="390738108"/>
    <n v="89018"/>
    <n v="4557"/>
    <n v="93575"/>
    <b v="1"/>
    <b v="1"/>
    <b v="1"/>
    <b v="1"/>
    <b v="1"/>
    <b v="1"/>
  </r>
  <r>
    <x v="3818"/>
    <n v="269761"/>
    <n v="63418"/>
    <n v="206343"/>
    <n v="391283115"/>
    <n v="100251198"/>
    <n v="491534313"/>
    <n v="111296"/>
    <n v="5652"/>
    <n v="116948"/>
    <b v="1"/>
    <b v="1"/>
    <b v="1"/>
    <b v="1"/>
    <b v="1"/>
    <b v="1"/>
  </r>
  <r>
    <x v="3819"/>
    <n v="255101"/>
    <n v="61078"/>
    <n v="194023"/>
    <n v="364688242"/>
    <n v="104165829"/>
    <n v="468854071"/>
    <n v="106776"/>
    <n v="4837"/>
    <n v="111613"/>
    <b v="1"/>
    <b v="1"/>
    <b v="1"/>
    <b v="1"/>
    <b v="1"/>
    <b v="1"/>
  </r>
  <r>
    <x v="3820"/>
    <n v="279275"/>
    <n v="66569"/>
    <n v="212706"/>
    <n v="403156013"/>
    <n v="109582602"/>
    <n v="512738615"/>
    <n v="124539"/>
    <n v="5849"/>
    <n v="130388"/>
    <b v="1"/>
    <b v="1"/>
    <b v="1"/>
    <b v="1"/>
    <b v="1"/>
    <b v="1"/>
  </r>
  <r>
    <x v="3821"/>
    <n v="271303"/>
    <n v="64214"/>
    <n v="207089"/>
    <n v="402799851"/>
    <n v="110721150"/>
    <n v="513521001"/>
    <n v="120035"/>
    <n v="5901"/>
    <n v="125936"/>
    <b v="1"/>
    <b v="1"/>
    <b v="1"/>
    <b v="1"/>
    <b v="1"/>
    <b v="1"/>
  </r>
  <r>
    <x v="3822"/>
    <n v="289944"/>
    <n v="67482"/>
    <n v="222462"/>
    <n v="418351877"/>
    <n v="111512110"/>
    <n v="529863987"/>
    <n v="119000"/>
    <n v="6340"/>
    <n v="125340"/>
    <b v="1"/>
    <b v="1"/>
    <b v="1"/>
    <b v="1"/>
    <b v="1"/>
    <b v="1"/>
  </r>
  <r>
    <x v="3823"/>
    <n v="283856"/>
    <n v="68071"/>
    <n v="215785"/>
    <n v="396839897"/>
    <n v="99844926"/>
    <n v="496684823"/>
    <n v="120436"/>
    <n v="6027"/>
    <n v="126463"/>
    <b v="1"/>
    <b v="1"/>
    <b v="1"/>
    <b v="1"/>
    <b v="1"/>
    <b v="1"/>
  </r>
  <r>
    <x v="3824"/>
    <n v="254586"/>
    <n v="58515"/>
    <n v="196071"/>
    <n v="338554374"/>
    <n v="73846657"/>
    <n v="412401031"/>
    <n v="110830"/>
    <n v="5429"/>
    <n v="116259"/>
    <b v="1"/>
    <b v="1"/>
    <b v="1"/>
    <b v="1"/>
    <b v="1"/>
    <b v="1"/>
  </r>
  <r>
    <x v="3825"/>
    <n v="282142"/>
    <n v="65755"/>
    <n v="216387"/>
    <n v="401371319"/>
    <n v="99976417"/>
    <n v="501347736"/>
    <n v="116920"/>
    <n v="5602"/>
    <n v="122522"/>
    <b v="1"/>
    <b v="1"/>
    <b v="1"/>
    <b v="1"/>
    <b v="1"/>
    <b v="1"/>
  </r>
  <r>
    <x v="3826"/>
    <n v="282233"/>
    <n v="67758"/>
    <n v="214475"/>
    <n v="407540959"/>
    <n v="112428264"/>
    <n v="519969223"/>
    <n v="114356"/>
    <n v="5319"/>
    <n v="119675"/>
    <b v="1"/>
    <b v="1"/>
    <b v="1"/>
    <b v="1"/>
    <b v="1"/>
    <b v="1"/>
  </r>
  <r>
    <x v="3827"/>
    <n v="261215"/>
    <n v="62749"/>
    <n v="198466"/>
    <n v="387670420"/>
    <n v="105719852"/>
    <n v="493390272"/>
    <n v="110327"/>
    <n v="5090"/>
    <n v="115417"/>
    <b v="1"/>
    <b v="1"/>
    <b v="1"/>
    <b v="1"/>
    <b v="1"/>
    <b v="1"/>
  </r>
  <r>
    <x v="3828"/>
    <n v="248132"/>
    <n v="59368"/>
    <n v="188764"/>
    <n v="380341318"/>
    <n v="102847968"/>
    <n v="483189286"/>
    <n v="105072"/>
    <n v="5163"/>
    <n v="110235"/>
    <b v="1"/>
    <b v="1"/>
    <b v="1"/>
    <b v="1"/>
    <b v="1"/>
    <b v="1"/>
  </r>
  <r>
    <x v="3829"/>
    <n v="260258"/>
    <n v="61566"/>
    <n v="198692"/>
    <n v="380226534"/>
    <n v="100541631"/>
    <n v="480768165"/>
    <n v="105178"/>
    <n v="5333"/>
    <n v="110511"/>
    <b v="1"/>
    <b v="1"/>
    <b v="1"/>
    <b v="1"/>
    <b v="1"/>
    <b v="1"/>
  </r>
  <r>
    <x v="3830"/>
    <n v="266857"/>
    <n v="66037"/>
    <n v="200820"/>
    <n v="370335653"/>
    <n v="93797147"/>
    <n v="464132800"/>
    <n v="105073"/>
    <n v="5364"/>
    <n v="110437"/>
    <b v="1"/>
    <b v="1"/>
    <b v="1"/>
    <b v="1"/>
    <b v="1"/>
    <b v="1"/>
  </r>
  <r>
    <x v="3831"/>
    <n v="245247"/>
    <n v="59340"/>
    <n v="185907"/>
    <n v="314657065"/>
    <n v="72379600"/>
    <n v="387036665"/>
    <n v="100583"/>
    <n v="5044"/>
    <n v="105627"/>
    <b v="1"/>
    <b v="1"/>
    <b v="1"/>
    <b v="1"/>
    <b v="1"/>
    <b v="1"/>
  </r>
  <r>
    <x v="3832"/>
    <n v="267053"/>
    <n v="64302"/>
    <n v="202751"/>
    <n v="379475656"/>
    <n v="86919471"/>
    <n v="466395127"/>
    <n v="110449"/>
    <n v="5448"/>
    <n v="115897"/>
    <b v="1"/>
    <b v="1"/>
    <b v="1"/>
    <b v="1"/>
    <b v="1"/>
    <b v="1"/>
  </r>
  <r>
    <x v="3833"/>
    <n v="276880"/>
    <n v="66994"/>
    <n v="209886"/>
    <n v="377992594"/>
    <n v="111644067"/>
    <n v="489636661"/>
    <n v="126642"/>
    <n v="4983"/>
    <n v="131625"/>
    <b v="1"/>
    <b v="1"/>
    <b v="1"/>
    <b v="1"/>
    <b v="1"/>
    <b v="1"/>
  </r>
  <r>
    <x v="3834"/>
    <n v="283059"/>
    <n v="68007"/>
    <n v="215052"/>
    <n v="399286144"/>
    <n v="122005207"/>
    <n v="521291351"/>
    <n v="123188"/>
    <n v="5306"/>
    <n v="128494"/>
    <b v="1"/>
    <b v="1"/>
    <b v="1"/>
    <b v="1"/>
    <b v="1"/>
    <b v="1"/>
  </r>
  <r>
    <x v="3835"/>
    <n v="278685"/>
    <n v="67126"/>
    <n v="211559"/>
    <n v="401729426"/>
    <n v="124325334"/>
    <n v="526054760"/>
    <n v="128239"/>
    <n v="5358"/>
    <n v="133597"/>
    <b v="1"/>
    <b v="1"/>
    <b v="1"/>
    <b v="1"/>
    <b v="1"/>
    <b v="1"/>
  </r>
  <r>
    <x v="3836"/>
    <n v="273345"/>
    <n v="65419"/>
    <n v="207926"/>
    <n v="402105751"/>
    <n v="118350999"/>
    <n v="520456750"/>
    <n v="123513"/>
    <n v="5387"/>
    <n v="128900"/>
    <b v="1"/>
    <b v="1"/>
    <b v="1"/>
    <b v="1"/>
    <b v="1"/>
    <b v="1"/>
  </r>
  <r>
    <x v="3837"/>
    <n v="256474"/>
    <n v="60093"/>
    <n v="196381"/>
    <n v="380684891"/>
    <n v="100326588"/>
    <n v="481011479"/>
    <n v="118908"/>
    <n v="5430"/>
    <n v="124338"/>
    <b v="1"/>
    <b v="1"/>
    <b v="1"/>
    <b v="1"/>
    <b v="1"/>
    <b v="1"/>
  </r>
  <r>
    <x v="3838"/>
    <n v="217945"/>
    <n v="48880"/>
    <n v="169065"/>
    <n v="301069364"/>
    <n v="68244341"/>
    <n v="369313705"/>
    <n v="105333"/>
    <n v="4605"/>
    <n v="109938"/>
    <b v="1"/>
    <b v="1"/>
    <b v="1"/>
    <b v="1"/>
    <b v="1"/>
    <b v="1"/>
  </r>
  <r>
    <x v="3839"/>
    <n v="264894"/>
    <n v="60115"/>
    <n v="204779"/>
    <n v="380635202"/>
    <n v="101330914"/>
    <n v="481966116"/>
    <n v="126814"/>
    <n v="5109"/>
    <n v="131923"/>
    <b v="1"/>
    <b v="1"/>
    <b v="1"/>
    <b v="1"/>
    <b v="1"/>
    <b v="1"/>
  </r>
  <r>
    <x v="3840"/>
    <n v="258801"/>
    <n v="58925"/>
    <n v="199876"/>
    <n v="384690810"/>
    <n v="112221863"/>
    <n v="496912673"/>
    <n v="129699"/>
    <n v="5112"/>
    <n v="134811"/>
    <b v="1"/>
    <b v="1"/>
    <b v="1"/>
    <b v="1"/>
    <b v="1"/>
    <b v="1"/>
  </r>
  <r>
    <x v="3841"/>
    <n v="253088"/>
    <n v="55491"/>
    <n v="197597"/>
    <n v="372781036"/>
    <n v="99581411"/>
    <n v="472362447"/>
    <n v="115030"/>
    <n v="5262"/>
    <n v="120292"/>
    <b v="1"/>
    <b v="1"/>
    <b v="1"/>
    <b v="1"/>
    <b v="1"/>
    <b v="1"/>
  </r>
  <r>
    <x v="3842"/>
    <n v="260961"/>
    <n v="61752"/>
    <n v="199209"/>
    <n v="386124070"/>
    <n v="112232616"/>
    <n v="498356686"/>
    <n v="121716"/>
    <n v="5124"/>
    <n v="126840"/>
    <b v="1"/>
    <b v="1"/>
    <b v="1"/>
    <b v="1"/>
    <b v="1"/>
    <b v="1"/>
  </r>
  <r>
    <x v="3843"/>
    <n v="278494"/>
    <n v="65212"/>
    <n v="213282"/>
    <n v="420572374"/>
    <n v="111821207"/>
    <n v="532393581"/>
    <n v="130571"/>
    <n v="5626"/>
    <n v="136197"/>
    <b v="1"/>
    <b v="1"/>
    <b v="1"/>
    <b v="1"/>
    <b v="1"/>
    <b v="1"/>
  </r>
  <r>
    <x v="3844"/>
    <n v="265995"/>
    <n v="61941"/>
    <n v="204054"/>
    <n v="385694244"/>
    <n v="87202182"/>
    <n v="472896426"/>
    <n v="109703"/>
    <n v="5367"/>
    <n v="115070"/>
    <b v="1"/>
    <b v="1"/>
    <b v="1"/>
    <b v="1"/>
    <b v="1"/>
    <b v="1"/>
  </r>
  <r>
    <x v="3845"/>
    <n v="247879"/>
    <n v="58798"/>
    <n v="189081"/>
    <n v="337090121"/>
    <n v="72733835"/>
    <n v="409823956"/>
    <n v="103661"/>
    <n v="4746"/>
    <n v="108407"/>
    <b v="1"/>
    <b v="1"/>
    <b v="1"/>
    <b v="1"/>
    <b v="1"/>
    <b v="1"/>
  </r>
  <r>
    <x v="3846"/>
    <n v="258669"/>
    <n v="59373"/>
    <n v="199296"/>
    <n v="382291068"/>
    <n v="94228668"/>
    <n v="476519736"/>
    <n v="109241"/>
    <n v="4941"/>
    <n v="114182"/>
    <b v="1"/>
    <b v="1"/>
    <b v="1"/>
    <b v="1"/>
    <b v="1"/>
    <b v="1"/>
  </r>
  <r>
    <x v="3847"/>
    <n v="276598"/>
    <n v="64360"/>
    <n v="212238"/>
    <n v="419064644"/>
    <n v="110472240"/>
    <n v="529536884"/>
    <n v="118294"/>
    <n v="5498"/>
    <n v="123792"/>
    <b v="1"/>
    <b v="1"/>
    <b v="1"/>
    <b v="1"/>
    <b v="1"/>
    <b v="1"/>
  </r>
  <r>
    <x v="3848"/>
    <n v="270265"/>
    <n v="61807"/>
    <n v="208458"/>
    <n v="408800405"/>
    <n v="111713118"/>
    <n v="520513523"/>
    <n v="116960"/>
    <n v="5593"/>
    <n v="122553"/>
    <b v="1"/>
    <b v="1"/>
    <b v="1"/>
    <b v="1"/>
    <b v="1"/>
    <b v="1"/>
  </r>
  <r>
    <x v="3849"/>
    <n v="260253"/>
    <n v="61159"/>
    <n v="199094"/>
    <n v="384846312"/>
    <n v="105035390"/>
    <n v="489881702"/>
    <n v="113353"/>
    <n v="5367"/>
    <n v="118720"/>
    <b v="1"/>
    <b v="1"/>
    <b v="1"/>
    <b v="1"/>
    <b v="1"/>
    <b v="1"/>
  </r>
  <r>
    <x v="3850"/>
    <n v="270249"/>
    <n v="63196"/>
    <n v="207053"/>
    <n v="384168892"/>
    <n v="102037478"/>
    <n v="486206370"/>
    <n v="116960"/>
    <n v="5053"/>
    <n v="122013"/>
    <b v="1"/>
    <b v="1"/>
    <b v="1"/>
    <b v="1"/>
    <b v="1"/>
    <b v="1"/>
  </r>
  <r>
    <x v="3851"/>
    <n v="261351"/>
    <n v="62835"/>
    <n v="198516"/>
    <n v="371770430"/>
    <n v="92732925"/>
    <n v="464503355"/>
    <n v="103595"/>
    <n v="5012"/>
    <n v="108607"/>
    <b v="1"/>
    <b v="1"/>
    <b v="1"/>
    <b v="1"/>
    <b v="1"/>
    <b v="1"/>
  </r>
  <r>
    <x v="3852"/>
    <n v="247647"/>
    <n v="57694"/>
    <n v="189953"/>
    <n v="314017229"/>
    <n v="70221686"/>
    <n v="384238915"/>
    <n v="99443"/>
    <n v="4800"/>
    <n v="104243"/>
    <b v="1"/>
    <b v="1"/>
    <b v="1"/>
    <b v="1"/>
    <b v="1"/>
    <b v="1"/>
  </r>
  <r>
    <x v="3853"/>
    <n v="241334"/>
    <n v="56586"/>
    <n v="184748"/>
    <n v="355321586"/>
    <n v="87084905"/>
    <n v="442406491"/>
    <n v="105804"/>
    <n v="4172"/>
    <n v="109976"/>
    <b v="1"/>
    <b v="1"/>
    <b v="1"/>
    <b v="1"/>
    <b v="1"/>
    <b v="1"/>
  </r>
  <r>
    <x v="3854"/>
    <n v="244188"/>
    <n v="57087"/>
    <n v="187101"/>
    <n v="346074053"/>
    <n v="94067571"/>
    <n v="440141624"/>
    <n v="104469"/>
    <n v="4230"/>
    <n v="108699"/>
    <b v="1"/>
    <b v="1"/>
    <b v="1"/>
    <b v="1"/>
    <b v="1"/>
    <b v="1"/>
  </r>
  <r>
    <x v="3855"/>
    <n v="251301"/>
    <n v="60779"/>
    <n v="190522"/>
    <n v="358931868"/>
    <n v="105068160"/>
    <n v="464000028"/>
    <n v="107183"/>
    <n v="4299"/>
    <n v="111482"/>
    <b v="1"/>
    <b v="1"/>
    <b v="1"/>
    <b v="1"/>
    <b v="1"/>
    <b v="1"/>
  </r>
  <r>
    <x v="3856"/>
    <n v="261893"/>
    <n v="60661"/>
    <n v="201232"/>
    <n v="386424025"/>
    <n v="99698039"/>
    <n v="486122064"/>
    <n v="113324"/>
    <n v="4959"/>
    <n v="118283"/>
    <b v="1"/>
    <b v="1"/>
    <b v="1"/>
    <b v="1"/>
    <b v="1"/>
    <b v="1"/>
  </r>
  <r>
    <x v="3857"/>
    <n v="250892"/>
    <n v="60653"/>
    <n v="190239"/>
    <n v="372957377"/>
    <n v="98346390"/>
    <n v="471303767"/>
    <n v="104784"/>
    <n v="4842"/>
    <n v="109626"/>
    <b v="1"/>
    <b v="1"/>
    <b v="1"/>
    <b v="1"/>
    <b v="1"/>
    <b v="1"/>
  </r>
  <r>
    <x v="3858"/>
    <n v="240702"/>
    <n v="56174"/>
    <n v="184528"/>
    <n v="343074059"/>
    <n v="81865805"/>
    <n v="424939864"/>
    <n v="98649"/>
    <n v="4681"/>
    <n v="103330"/>
    <b v="1"/>
    <b v="1"/>
    <b v="1"/>
    <b v="1"/>
    <b v="1"/>
    <b v="1"/>
  </r>
  <r>
    <x v="3859"/>
    <n v="232453"/>
    <n v="50741"/>
    <n v="181712"/>
    <n v="297768756"/>
    <n v="65132560"/>
    <n v="362901316"/>
    <n v="88460"/>
    <n v="4571"/>
    <n v="93031"/>
    <b v="1"/>
    <b v="1"/>
    <b v="1"/>
    <b v="1"/>
    <b v="1"/>
    <b v="1"/>
  </r>
  <r>
    <x v="3860"/>
    <n v="256711"/>
    <n v="56611"/>
    <n v="200100"/>
    <n v="386666056"/>
    <n v="82723780"/>
    <n v="469389836"/>
    <n v="108091"/>
    <n v="4814"/>
    <n v="112905"/>
    <b v="1"/>
    <b v="1"/>
    <b v="1"/>
    <b v="1"/>
    <b v="1"/>
    <b v="1"/>
  </r>
  <r>
    <x v="3861"/>
    <n v="271233"/>
    <n v="61587"/>
    <n v="209646"/>
    <n v="416178886"/>
    <n v="102862542"/>
    <n v="519041428"/>
    <n v="102375"/>
    <n v="4617"/>
    <n v="106992"/>
    <b v="1"/>
    <b v="1"/>
    <b v="1"/>
    <b v="1"/>
    <b v="1"/>
    <b v="1"/>
  </r>
  <r>
    <x v="3862"/>
    <n v="272423"/>
    <n v="63189"/>
    <n v="209234"/>
    <n v="416370783"/>
    <n v="101011328"/>
    <n v="517382111"/>
    <n v="108074"/>
    <n v="4808"/>
    <n v="112882"/>
    <b v="1"/>
    <b v="1"/>
    <b v="1"/>
    <b v="1"/>
    <b v="1"/>
    <b v="1"/>
  </r>
  <r>
    <x v="3863"/>
    <n v="254156"/>
    <n v="58860"/>
    <n v="195296"/>
    <n v="387064629"/>
    <n v="88701059"/>
    <n v="475765688"/>
    <n v="96986"/>
    <n v="4210"/>
    <n v="101196"/>
    <b v="1"/>
    <b v="1"/>
    <b v="1"/>
    <b v="1"/>
    <b v="1"/>
    <b v="1"/>
  </r>
  <r>
    <x v="3864"/>
    <n v="267709"/>
    <n v="62597"/>
    <n v="205112"/>
    <n v="421029382"/>
    <n v="114510364"/>
    <n v="535539746"/>
    <n v="121126"/>
    <n v="4359"/>
    <n v="125485"/>
    <b v="1"/>
    <b v="1"/>
    <b v="1"/>
    <b v="1"/>
    <b v="1"/>
    <b v="1"/>
  </r>
  <r>
    <x v="3865"/>
    <n v="279402"/>
    <n v="67916"/>
    <n v="211486"/>
    <n v="412182209"/>
    <n v="111607415"/>
    <n v="523789624"/>
    <n v="118473"/>
    <n v="4785"/>
    <n v="123258"/>
    <b v="1"/>
    <b v="1"/>
    <b v="1"/>
    <b v="1"/>
    <b v="1"/>
    <b v="1"/>
  </r>
  <r>
    <x v="3866"/>
    <n v="241263"/>
    <n v="58219"/>
    <n v="183044"/>
    <n v="333722553"/>
    <n v="75981769"/>
    <n v="409704322"/>
    <n v="99352"/>
    <n v="4134"/>
    <n v="103486"/>
    <b v="1"/>
    <b v="1"/>
    <b v="1"/>
    <b v="1"/>
    <b v="1"/>
    <b v="1"/>
  </r>
  <r>
    <x v="3867"/>
    <n v="262298"/>
    <n v="62065"/>
    <n v="200233"/>
    <n v="407765289"/>
    <n v="107475265"/>
    <n v="515240554"/>
    <n v="111618"/>
    <n v="4352"/>
    <n v="115970"/>
    <b v="1"/>
    <b v="1"/>
    <b v="1"/>
    <b v="1"/>
    <b v="1"/>
    <b v="1"/>
  </r>
  <r>
    <x v="3868"/>
    <n v="278037"/>
    <n v="64421"/>
    <n v="213616"/>
    <n v="442520330"/>
    <n v="116397832"/>
    <n v="558918162"/>
    <n v="122414"/>
    <n v="4521"/>
    <n v="126935"/>
    <b v="1"/>
    <b v="1"/>
    <b v="1"/>
    <b v="1"/>
    <b v="1"/>
    <b v="1"/>
  </r>
  <r>
    <x v="3869"/>
    <n v="292681"/>
    <n v="66729"/>
    <n v="225952"/>
    <n v="470319017"/>
    <n v="124364385"/>
    <n v="594683402"/>
    <n v="119485"/>
    <n v="4819"/>
    <n v="124304"/>
    <b v="1"/>
    <b v="1"/>
    <b v="1"/>
    <b v="1"/>
    <b v="1"/>
    <b v="1"/>
  </r>
  <r>
    <x v="3870"/>
    <n v="284075"/>
    <n v="66693"/>
    <n v="217382"/>
    <n v="452732144"/>
    <n v="123998423"/>
    <n v="576730567"/>
    <n v="108391"/>
    <n v="4527"/>
    <n v="112918"/>
    <b v="1"/>
    <b v="1"/>
    <b v="1"/>
    <b v="1"/>
    <b v="1"/>
    <b v="1"/>
  </r>
  <r>
    <x v="3871"/>
    <n v="259681"/>
    <n v="60832"/>
    <n v="198849"/>
    <n v="417335871"/>
    <n v="103289585"/>
    <n v="520625456"/>
    <n v="98923"/>
    <n v="4473"/>
    <n v="103396"/>
    <b v="1"/>
    <b v="1"/>
    <b v="1"/>
    <b v="1"/>
    <b v="1"/>
    <b v="1"/>
  </r>
  <r>
    <x v="3872"/>
    <n v="190385"/>
    <n v="46039"/>
    <n v="144346"/>
    <n v="246636361"/>
    <n v="55299633"/>
    <n v="301935994"/>
    <n v="62382"/>
    <n v="2715"/>
    <n v="65097"/>
    <b v="1"/>
    <b v="1"/>
    <b v="1"/>
    <b v="1"/>
    <b v="1"/>
    <b v="1"/>
  </r>
  <r>
    <x v="3873"/>
    <n v="241337"/>
    <n v="54155"/>
    <n v="187182"/>
    <n v="322029931"/>
    <n v="63261185"/>
    <n v="385291116"/>
    <n v="91918"/>
    <n v="4051"/>
    <n v="95969"/>
    <b v="1"/>
    <b v="1"/>
    <b v="1"/>
    <b v="1"/>
    <b v="1"/>
    <b v="1"/>
  </r>
  <r>
    <x v="3874"/>
    <n v="268633"/>
    <n v="60141"/>
    <n v="208492"/>
    <n v="386981706"/>
    <n v="98591246"/>
    <n v="485572952"/>
    <n v="113982"/>
    <n v="4046"/>
    <n v="118028"/>
    <b v="1"/>
    <b v="1"/>
    <b v="1"/>
    <b v="1"/>
    <b v="1"/>
    <b v="1"/>
  </r>
  <r>
    <x v="3875"/>
    <n v="278353"/>
    <n v="62846"/>
    <n v="215507"/>
    <n v="429681098"/>
    <n v="119696573"/>
    <n v="549377671"/>
    <n v="115072"/>
    <n v="4293"/>
    <n v="119365"/>
    <b v="1"/>
    <b v="1"/>
    <b v="1"/>
    <b v="1"/>
    <b v="1"/>
    <b v="1"/>
  </r>
  <r>
    <x v="3876"/>
    <n v="250333"/>
    <n v="56028"/>
    <n v="194305"/>
    <n v="384223978"/>
    <n v="113765349"/>
    <n v="497989327"/>
    <n v="102034"/>
    <n v="3723"/>
    <n v="105757"/>
    <b v="1"/>
    <b v="1"/>
    <b v="1"/>
    <b v="1"/>
    <b v="1"/>
    <b v="1"/>
  </r>
  <r>
    <x v="3877"/>
    <n v="244744"/>
    <n v="54983"/>
    <n v="189761"/>
    <n v="361226956"/>
    <n v="102425322"/>
    <n v="463652278"/>
    <n v="91502"/>
    <n v="3430"/>
    <n v="94932"/>
    <b v="1"/>
    <b v="1"/>
    <b v="1"/>
    <b v="1"/>
    <b v="1"/>
    <b v="1"/>
  </r>
  <r>
    <x v="3878"/>
    <n v="175714"/>
    <n v="37768"/>
    <n v="137946"/>
    <n v="252075667"/>
    <n v="48317146"/>
    <n v="300392813"/>
    <n v="60880"/>
    <n v="2683"/>
    <n v="63563"/>
    <b v="1"/>
    <b v="1"/>
    <b v="1"/>
    <b v="1"/>
    <b v="1"/>
    <b v="1"/>
  </r>
  <r>
    <x v="3879"/>
    <n v="233623"/>
    <n v="52570"/>
    <n v="181053"/>
    <n v="355751786"/>
    <n v="70784539"/>
    <n v="426536325"/>
    <n v="93463"/>
    <n v="3910"/>
    <n v="97373"/>
    <b v="1"/>
    <b v="1"/>
    <b v="1"/>
    <b v="1"/>
    <b v="1"/>
    <b v="1"/>
  </r>
  <r>
    <x v="3880"/>
    <n v="219945"/>
    <n v="49695"/>
    <n v="170250"/>
    <n v="320139097"/>
    <n v="66788811"/>
    <n v="386927908"/>
    <n v="88264"/>
    <n v="3617"/>
    <n v="91881"/>
    <b v="1"/>
    <b v="1"/>
    <b v="1"/>
    <b v="1"/>
    <b v="1"/>
    <b v="1"/>
  </r>
  <r>
    <x v="3881"/>
    <n v="236884"/>
    <n v="51694"/>
    <n v="185190"/>
    <n v="388456039"/>
    <n v="91106877"/>
    <n v="479562916"/>
    <n v="95578"/>
    <n v="3966"/>
    <n v="99544"/>
    <b v="1"/>
    <b v="1"/>
    <b v="1"/>
    <b v="1"/>
    <b v="1"/>
    <b v="1"/>
  </r>
  <r>
    <x v="3882"/>
    <n v="270092"/>
    <n v="61145"/>
    <n v="208947"/>
    <n v="439451963"/>
    <n v="117016560"/>
    <n v="556468523"/>
    <n v="112566"/>
    <n v="4622"/>
    <n v="117188"/>
    <b v="1"/>
    <b v="1"/>
    <b v="1"/>
    <b v="1"/>
    <b v="1"/>
    <b v="1"/>
  </r>
  <r>
    <x v="3883"/>
    <n v="275790"/>
    <n v="61261"/>
    <n v="214529"/>
    <n v="440370902"/>
    <n v="114938934"/>
    <n v="555309836"/>
    <n v="113765"/>
    <n v="4755"/>
    <n v="118520"/>
    <b v="1"/>
    <b v="1"/>
    <b v="1"/>
    <b v="1"/>
    <b v="1"/>
    <b v="1"/>
  </r>
  <r>
    <x v="3884"/>
    <n v="268357"/>
    <n v="60773"/>
    <n v="207584"/>
    <n v="434754748"/>
    <n v="112013319"/>
    <n v="546768067"/>
    <n v="110652"/>
    <n v="4561"/>
    <n v="115213"/>
    <b v="1"/>
    <b v="1"/>
    <b v="1"/>
    <b v="1"/>
    <b v="1"/>
    <b v="1"/>
  </r>
  <r>
    <x v="3885"/>
    <n v="278109"/>
    <n v="61225"/>
    <n v="216884"/>
    <n v="439861697"/>
    <n v="109608169"/>
    <n v="549469866"/>
    <n v="115734"/>
    <n v="5004"/>
    <n v="120738"/>
    <b v="1"/>
    <b v="1"/>
    <b v="1"/>
    <b v="1"/>
    <b v="1"/>
    <b v="1"/>
  </r>
  <r>
    <x v="3886"/>
    <n v="263401"/>
    <n v="59489"/>
    <n v="203912"/>
    <n v="384045990"/>
    <n v="95199063"/>
    <n v="479245053"/>
    <n v="102376"/>
    <n v="4597"/>
    <n v="106973"/>
    <b v="1"/>
    <b v="1"/>
    <b v="1"/>
    <b v="1"/>
    <b v="1"/>
    <b v="1"/>
  </r>
  <r>
    <x v="3887"/>
    <n v="231341"/>
    <n v="51002"/>
    <n v="180339"/>
    <n v="310837445"/>
    <n v="68436142"/>
    <n v="379273587"/>
    <n v="89487"/>
    <n v="3802"/>
    <n v="93289"/>
    <b v="1"/>
    <b v="1"/>
    <b v="1"/>
    <b v="1"/>
    <b v="1"/>
    <b v="1"/>
  </r>
  <r>
    <x v="3888"/>
    <n v="263953"/>
    <n v="56436"/>
    <n v="207517"/>
    <n v="410493864"/>
    <n v="93477212"/>
    <n v="503971076"/>
    <n v="100554"/>
    <n v="4079"/>
    <n v="104633"/>
    <b v="1"/>
    <b v="1"/>
    <b v="1"/>
    <b v="1"/>
    <b v="1"/>
    <b v="1"/>
  </r>
  <r>
    <x v="3889"/>
    <n v="268059"/>
    <n v="55537"/>
    <n v="212522"/>
    <n v="414772172"/>
    <n v="99274680"/>
    <n v="514046852"/>
    <n v="100865"/>
    <n v="4027"/>
    <n v="104892"/>
    <b v="1"/>
    <b v="1"/>
    <b v="1"/>
    <b v="1"/>
    <b v="1"/>
    <b v="1"/>
  </r>
  <r>
    <x v="3890"/>
    <n v="247663"/>
    <n v="49683"/>
    <n v="197980"/>
    <n v="388632463"/>
    <n v="86580528"/>
    <n v="475212991"/>
    <n v="72307"/>
    <n v="3352"/>
    <n v="75659"/>
    <b v="1"/>
    <b v="1"/>
    <b v="1"/>
    <b v="1"/>
    <b v="1"/>
    <b v="1"/>
  </r>
  <r>
    <x v="3891"/>
    <n v="249726"/>
    <n v="53408"/>
    <n v="196318"/>
    <n v="398245152"/>
    <n v="91042472"/>
    <n v="489287624"/>
    <n v="108013"/>
    <n v="3940"/>
    <n v="111953"/>
    <b v="1"/>
    <b v="1"/>
    <b v="1"/>
    <b v="1"/>
    <b v="1"/>
    <b v="1"/>
  </r>
  <r>
    <x v="3892"/>
    <n v="236852"/>
    <n v="51728"/>
    <n v="185124"/>
    <n v="391020440"/>
    <n v="87032156"/>
    <n v="478052596"/>
    <n v="97455"/>
    <n v="3731"/>
    <n v="101186"/>
    <b v="1"/>
    <b v="1"/>
    <b v="1"/>
    <b v="1"/>
    <b v="1"/>
    <b v="1"/>
  </r>
  <r>
    <x v="3893"/>
    <n v="253887"/>
    <n v="54951"/>
    <n v="198936"/>
    <n v="409119276"/>
    <n v="83529551"/>
    <n v="492648827"/>
    <n v="103650"/>
    <n v="4135"/>
    <n v="107785"/>
    <b v="1"/>
    <b v="1"/>
    <b v="1"/>
    <b v="1"/>
    <b v="1"/>
    <b v="1"/>
  </r>
  <r>
    <x v="3894"/>
    <n v="207685"/>
    <n v="45209"/>
    <n v="162476"/>
    <n v="327356041"/>
    <n v="60736579"/>
    <n v="388092620"/>
    <n v="82521"/>
    <n v="3665"/>
    <n v="86186"/>
    <b v="1"/>
    <b v="1"/>
    <b v="1"/>
    <b v="1"/>
    <b v="1"/>
    <b v="1"/>
  </r>
  <r>
    <x v="3895"/>
    <n v="226713"/>
    <n v="53129"/>
    <n v="173584"/>
    <n v="334075435"/>
    <n v="90577670"/>
    <n v="424653105"/>
    <n v="84400"/>
    <n v="3413"/>
    <n v="87813"/>
    <b v="1"/>
    <b v="1"/>
    <b v="1"/>
    <b v="1"/>
    <b v="1"/>
    <b v="1"/>
  </r>
  <r>
    <x v="3896"/>
    <n v="236448"/>
    <n v="52950"/>
    <n v="183498"/>
    <n v="371783788"/>
    <n v="99385404"/>
    <n v="471169192"/>
    <n v="93521"/>
    <n v="3372"/>
    <n v="96893"/>
    <b v="1"/>
    <b v="1"/>
    <b v="1"/>
    <b v="1"/>
    <b v="1"/>
    <b v="1"/>
  </r>
  <r>
    <x v="3897"/>
    <n v="245262"/>
    <n v="54286"/>
    <n v="190976"/>
    <n v="371228295"/>
    <n v="107219441"/>
    <n v="478447736"/>
    <n v="100523"/>
    <n v="3687"/>
    <n v="104210"/>
    <b v="1"/>
    <b v="1"/>
    <b v="1"/>
    <b v="1"/>
    <b v="1"/>
    <b v="1"/>
  </r>
  <r>
    <x v="3898"/>
    <n v="255752"/>
    <n v="53909"/>
    <n v="201843"/>
    <n v="407455502"/>
    <n v="105219565"/>
    <n v="512675067"/>
    <n v="104403"/>
    <n v="4127"/>
    <n v="108530"/>
    <b v="1"/>
    <b v="1"/>
    <b v="1"/>
    <b v="1"/>
    <b v="1"/>
    <b v="1"/>
  </r>
  <r>
    <x v="3899"/>
    <n v="232898"/>
    <n v="46620"/>
    <n v="186278"/>
    <n v="380946436"/>
    <n v="82054563"/>
    <n v="463000999"/>
    <n v="91108"/>
    <n v="3923"/>
    <n v="95031"/>
    <b v="1"/>
    <b v="1"/>
    <b v="1"/>
    <b v="1"/>
    <b v="1"/>
    <b v="1"/>
  </r>
  <r>
    <x v="3900"/>
    <n v="227726"/>
    <n v="45381"/>
    <n v="182345"/>
    <n v="376409938"/>
    <n v="71792595"/>
    <n v="448202533"/>
    <n v="83305"/>
    <n v="4009"/>
    <n v="87314"/>
    <b v="1"/>
    <b v="1"/>
    <b v="1"/>
    <b v="1"/>
    <b v="1"/>
    <b v="1"/>
  </r>
  <r>
    <x v="3901"/>
    <n v="223538"/>
    <n v="45970"/>
    <n v="177568"/>
    <n v="335065470"/>
    <n v="63499963"/>
    <n v="398565433"/>
    <n v="87062"/>
    <n v="3965"/>
    <n v="91027"/>
    <b v="1"/>
    <b v="1"/>
    <b v="1"/>
    <b v="1"/>
    <b v="1"/>
    <b v="1"/>
  </r>
  <r>
    <x v="3902"/>
    <n v="284593"/>
    <n v="61362"/>
    <n v="223231"/>
    <n v="438856418"/>
    <n v="104852367"/>
    <n v="543708785"/>
    <n v="110958"/>
    <n v="4392"/>
    <n v="115350"/>
    <b v="1"/>
    <b v="1"/>
    <b v="1"/>
    <b v="1"/>
    <b v="1"/>
    <b v="1"/>
  </r>
  <r>
    <x v="3903"/>
    <n v="273822"/>
    <n v="59850"/>
    <n v="213972"/>
    <n v="441464463"/>
    <n v="114447852"/>
    <n v="555912315"/>
    <n v="104110"/>
    <n v="4093"/>
    <n v="108203"/>
    <b v="1"/>
    <b v="1"/>
    <b v="1"/>
    <b v="1"/>
    <b v="1"/>
    <b v="1"/>
  </r>
  <r>
    <x v="3904"/>
    <n v="275903"/>
    <n v="61518"/>
    <n v="214385"/>
    <n v="443977661"/>
    <n v="119100249"/>
    <n v="563077910"/>
    <n v="107115"/>
    <n v="3788"/>
    <n v="110903"/>
    <b v="1"/>
    <b v="1"/>
    <b v="1"/>
    <b v="1"/>
    <b v="1"/>
    <b v="1"/>
  </r>
  <r>
    <x v="3905"/>
    <n v="278110"/>
    <n v="61423"/>
    <n v="216687"/>
    <n v="454434742"/>
    <n v="114296872"/>
    <n v="568731614"/>
    <n v="108199"/>
    <n v="3889"/>
    <n v="112088"/>
    <b v="1"/>
    <b v="1"/>
    <b v="1"/>
    <b v="1"/>
    <b v="1"/>
    <b v="1"/>
  </r>
  <r>
    <x v="3906"/>
    <n v="278156"/>
    <n v="61196"/>
    <n v="216960"/>
    <n v="453046235"/>
    <n v="113183511"/>
    <n v="566229746"/>
    <n v="100722"/>
    <n v="3752"/>
    <n v="104474"/>
    <b v="1"/>
    <b v="1"/>
    <b v="1"/>
    <b v="1"/>
    <b v="1"/>
    <b v="1"/>
  </r>
  <r>
    <x v="3907"/>
    <n v="272165"/>
    <n v="61615"/>
    <n v="210550"/>
    <n v="403744696"/>
    <n v="90464305"/>
    <n v="494209001"/>
    <n v="93322"/>
    <n v="3481"/>
    <n v="96803"/>
    <b v="1"/>
    <b v="1"/>
    <b v="1"/>
    <b v="1"/>
    <b v="1"/>
    <b v="1"/>
  </r>
  <r>
    <x v="3908"/>
    <n v="252799"/>
    <n v="53931"/>
    <n v="198868"/>
    <n v="366954560"/>
    <n v="69504909"/>
    <n v="436459469"/>
    <n v="93793"/>
    <n v="3729"/>
    <n v="97522"/>
    <b v="1"/>
    <b v="1"/>
    <b v="1"/>
    <b v="1"/>
    <b v="1"/>
    <b v="1"/>
  </r>
  <r>
    <x v="3909"/>
    <n v="279051"/>
    <n v="59398"/>
    <n v="219653"/>
    <n v="431099358"/>
    <n v="90839837"/>
    <n v="521939195"/>
    <n v="109471"/>
    <n v="4000"/>
    <n v="113471"/>
    <b v="1"/>
    <b v="1"/>
    <b v="1"/>
    <b v="1"/>
    <b v="1"/>
    <b v="1"/>
  </r>
  <r>
    <x v="3910"/>
    <n v="272120"/>
    <n v="59243"/>
    <n v="212877"/>
    <n v="422390737"/>
    <n v="100628362"/>
    <n v="523019099"/>
    <n v="104038"/>
    <n v="3766"/>
    <n v="107804"/>
    <b v="1"/>
    <b v="1"/>
    <b v="1"/>
    <b v="1"/>
    <b v="1"/>
    <b v="1"/>
  </r>
  <r>
    <x v="3911"/>
    <n v="258318"/>
    <n v="56930"/>
    <n v="201388"/>
    <n v="393529971"/>
    <n v="90670981"/>
    <n v="484200952"/>
    <n v="105461"/>
    <n v="3716"/>
    <n v="109177"/>
    <b v="1"/>
    <b v="1"/>
    <b v="1"/>
    <b v="1"/>
    <b v="1"/>
    <b v="1"/>
  </r>
  <r>
    <x v="3912"/>
    <n v="283059"/>
    <n v="60772"/>
    <n v="222287"/>
    <n v="438562341"/>
    <n v="104141820"/>
    <n v="542704161"/>
    <n v="108041"/>
    <n v="3738"/>
    <n v="111779"/>
    <b v="1"/>
    <b v="1"/>
    <b v="1"/>
    <b v="1"/>
    <b v="1"/>
    <b v="1"/>
  </r>
  <r>
    <x v="3913"/>
    <n v="275362"/>
    <n v="61299"/>
    <n v="214063"/>
    <n v="438561378"/>
    <n v="105680368"/>
    <n v="544241746"/>
    <n v="105906"/>
    <n v="3575"/>
    <n v="109481"/>
    <b v="1"/>
    <b v="1"/>
    <b v="1"/>
    <b v="1"/>
    <b v="1"/>
    <b v="1"/>
  </r>
  <r>
    <x v="3914"/>
    <n v="271259"/>
    <n v="62564"/>
    <n v="208695"/>
    <n v="424708400"/>
    <n v="93877971"/>
    <n v="518586371"/>
    <n v="103759"/>
    <n v="3802"/>
    <n v="107561"/>
    <b v="1"/>
    <b v="1"/>
    <b v="1"/>
    <b v="1"/>
    <b v="1"/>
    <b v="1"/>
  </r>
  <r>
    <x v="3915"/>
    <n v="240182"/>
    <n v="55137"/>
    <n v="185045"/>
    <n v="343299833"/>
    <n v="67051201"/>
    <n v="410351034"/>
    <n v="88162"/>
    <n v="3108"/>
    <n v="91270"/>
    <b v="1"/>
    <b v="1"/>
    <b v="1"/>
    <b v="1"/>
    <b v="1"/>
    <b v="1"/>
  </r>
  <r>
    <x v="3916"/>
    <n v="271587"/>
    <n v="61438"/>
    <n v="210149"/>
    <n v="415282713"/>
    <n v="85004790"/>
    <n v="500287503"/>
    <n v="103167"/>
    <n v="3668"/>
    <n v="106835"/>
    <b v="1"/>
    <b v="1"/>
    <b v="1"/>
    <b v="1"/>
    <b v="1"/>
    <b v="1"/>
  </r>
  <r>
    <x v="3917"/>
    <n v="255353"/>
    <n v="53177"/>
    <n v="202176"/>
    <n v="416272796"/>
    <n v="96925081"/>
    <n v="513197877"/>
    <n v="99035"/>
    <n v="3386"/>
    <n v="102421"/>
    <b v="1"/>
    <b v="1"/>
    <b v="1"/>
    <b v="1"/>
    <b v="1"/>
    <b v="1"/>
  </r>
  <r>
    <x v="3918"/>
    <n v="258041"/>
    <n v="53529"/>
    <n v="204512"/>
    <n v="397886847"/>
    <n v="100773420"/>
    <n v="498660267"/>
    <n v="100264"/>
    <n v="3058"/>
    <n v="103322"/>
    <b v="1"/>
    <b v="1"/>
    <b v="1"/>
    <b v="1"/>
    <b v="1"/>
    <b v="1"/>
  </r>
  <r>
    <x v="3919"/>
    <n v="259204"/>
    <n v="52372"/>
    <n v="206832"/>
    <n v="412838521"/>
    <n v="96104236"/>
    <n v="508942757"/>
    <n v="98485"/>
    <n v="3376"/>
    <n v="101861"/>
    <b v="1"/>
    <b v="1"/>
    <b v="1"/>
    <b v="1"/>
    <b v="1"/>
    <b v="1"/>
  </r>
  <r>
    <x v="3920"/>
    <n v="256672"/>
    <n v="51891"/>
    <n v="204781"/>
    <n v="404490584"/>
    <n v="92859873"/>
    <n v="497350457"/>
    <n v="96293"/>
    <n v="3341"/>
    <n v="99634"/>
    <b v="1"/>
    <b v="1"/>
    <b v="1"/>
    <b v="1"/>
    <b v="1"/>
    <b v="1"/>
  </r>
  <r>
    <x v="3921"/>
    <n v="248784"/>
    <n v="51877"/>
    <n v="196907"/>
    <n v="370922398"/>
    <n v="79338942"/>
    <n v="450261340"/>
    <n v="98158"/>
    <n v="3419"/>
    <n v="101577"/>
    <b v="1"/>
    <b v="1"/>
    <b v="1"/>
    <b v="1"/>
    <b v="1"/>
    <b v="1"/>
  </r>
  <r>
    <x v="3922"/>
    <n v="222361"/>
    <n v="44939"/>
    <n v="177422"/>
    <n v="321983505"/>
    <n v="59203354"/>
    <n v="381186859"/>
    <n v="89426"/>
    <n v="3212"/>
    <n v="92638"/>
    <b v="1"/>
    <b v="1"/>
    <b v="1"/>
    <b v="1"/>
    <b v="1"/>
    <b v="1"/>
  </r>
  <r>
    <x v="3923"/>
    <n v="248093"/>
    <n v="49146"/>
    <n v="198947"/>
    <n v="376992445"/>
    <n v="70652428"/>
    <n v="447644873"/>
    <n v="101190"/>
    <n v="3376"/>
    <n v="104566"/>
    <b v="1"/>
    <b v="1"/>
    <b v="1"/>
    <b v="1"/>
    <b v="1"/>
    <b v="1"/>
  </r>
  <r>
    <x v="3924"/>
    <n v="227579"/>
    <n v="45709"/>
    <n v="181870"/>
    <n v="342687944"/>
    <n v="63290147"/>
    <n v="405978091"/>
    <n v="93172"/>
    <n v="2750"/>
    <n v="95922"/>
    <b v="1"/>
    <b v="1"/>
    <b v="1"/>
    <b v="1"/>
    <b v="1"/>
    <b v="1"/>
  </r>
  <r>
    <x v="3925"/>
    <n v="243496"/>
    <n v="49473"/>
    <n v="194023"/>
    <n v="369890971"/>
    <n v="76400750"/>
    <n v="446291721"/>
    <n v="101199"/>
    <n v="3179"/>
    <n v="104378"/>
    <b v="1"/>
    <b v="1"/>
    <b v="1"/>
    <b v="1"/>
    <b v="1"/>
    <b v="1"/>
  </r>
  <r>
    <x v="3926"/>
    <n v="207523"/>
    <n v="42046"/>
    <n v="165477"/>
    <n v="306684784"/>
    <n v="55192651"/>
    <n v="361877435"/>
    <n v="83784"/>
    <n v="2730"/>
    <n v="86514"/>
    <b v="1"/>
    <b v="1"/>
    <b v="1"/>
    <b v="1"/>
    <b v="1"/>
    <b v="1"/>
  </r>
  <r>
    <x v="3927"/>
    <n v="242990"/>
    <n v="49463"/>
    <n v="193527"/>
    <n v="377483379"/>
    <n v="82329959"/>
    <n v="459813338"/>
    <n v="98472"/>
    <n v="3095"/>
    <n v="101567"/>
    <b v="1"/>
    <b v="1"/>
    <b v="1"/>
    <b v="1"/>
    <b v="1"/>
    <b v="1"/>
  </r>
  <r>
    <x v="3928"/>
    <n v="255227"/>
    <n v="52545"/>
    <n v="202682"/>
    <n v="404074762"/>
    <n v="93738221"/>
    <n v="497812983"/>
    <n v="101488"/>
    <n v="3308"/>
    <n v="104796"/>
    <b v="1"/>
    <b v="1"/>
    <b v="1"/>
    <b v="1"/>
    <b v="1"/>
    <b v="1"/>
  </r>
  <r>
    <x v="3929"/>
    <n v="246284"/>
    <n v="49573"/>
    <n v="196711"/>
    <n v="366138408"/>
    <n v="75184725"/>
    <n v="441323133"/>
    <n v="98735"/>
    <n v="3023"/>
    <n v="101758"/>
    <b v="1"/>
    <b v="1"/>
    <b v="1"/>
    <b v="1"/>
    <b v="1"/>
    <b v="1"/>
  </r>
  <r>
    <x v="3930"/>
    <n v="256980"/>
    <n v="52012"/>
    <n v="204968"/>
    <n v="412355619"/>
    <n v="97047782"/>
    <n v="509403401"/>
    <n v="98801"/>
    <n v="3027"/>
    <n v="101828"/>
    <b v="1"/>
    <b v="1"/>
    <b v="1"/>
    <b v="1"/>
    <b v="1"/>
    <b v="1"/>
  </r>
  <r>
    <x v="3931"/>
    <n v="262912"/>
    <n v="54212"/>
    <n v="208700"/>
    <n v="395557053"/>
    <n v="105491991"/>
    <n v="501049044"/>
    <n v="95381"/>
    <n v="3030"/>
    <n v="98411"/>
    <b v="1"/>
    <b v="1"/>
    <b v="1"/>
    <b v="1"/>
    <b v="1"/>
    <b v="1"/>
  </r>
  <r>
    <x v="3932"/>
    <n v="283406"/>
    <n v="55704"/>
    <n v="227702"/>
    <n v="449346769"/>
    <n v="110302691"/>
    <n v="559649460"/>
    <n v="105397"/>
    <n v="3391"/>
    <n v="108788"/>
    <b v="1"/>
    <b v="1"/>
    <b v="1"/>
    <b v="1"/>
    <b v="1"/>
    <b v="1"/>
  </r>
  <r>
    <x v="3933"/>
    <n v="279034"/>
    <n v="56319"/>
    <n v="222715"/>
    <n v="450654851"/>
    <n v="116546830"/>
    <n v="567201681"/>
    <n v="105467"/>
    <n v="3383"/>
    <n v="108850"/>
    <b v="1"/>
    <b v="1"/>
    <b v="1"/>
    <b v="1"/>
    <b v="1"/>
    <b v="1"/>
  </r>
  <r>
    <x v="3934"/>
    <n v="261257"/>
    <n v="53072"/>
    <n v="208185"/>
    <n v="418557325"/>
    <n v="102340744"/>
    <n v="520898069"/>
    <n v="98267"/>
    <n v="3109"/>
    <n v="101376"/>
    <b v="1"/>
    <b v="1"/>
    <b v="1"/>
    <b v="1"/>
    <b v="1"/>
    <b v="1"/>
  </r>
  <r>
    <x v="3935"/>
    <n v="275546"/>
    <n v="55180"/>
    <n v="220366"/>
    <n v="423093276"/>
    <n v="79595219"/>
    <n v="502688495"/>
    <n v="98326"/>
    <n v="3582"/>
    <n v="101908"/>
    <b v="1"/>
    <b v="1"/>
    <b v="1"/>
    <b v="1"/>
    <b v="1"/>
    <b v="1"/>
  </r>
  <r>
    <x v="3936"/>
    <n v="255377"/>
    <n v="50526"/>
    <n v="204851"/>
    <n v="415392958"/>
    <n v="73568191"/>
    <n v="488961149"/>
    <n v="91126"/>
    <n v="3251"/>
    <n v="94377"/>
    <b v="1"/>
    <b v="1"/>
    <b v="1"/>
    <b v="1"/>
    <b v="1"/>
    <b v="1"/>
  </r>
  <r>
    <x v="3937"/>
    <n v="282562"/>
    <n v="55053"/>
    <n v="227509"/>
    <n v="479381281"/>
    <n v="103914832"/>
    <n v="583296113"/>
    <n v="103027"/>
    <n v="3502"/>
    <n v="106529"/>
    <b v="1"/>
    <b v="1"/>
    <b v="1"/>
    <b v="1"/>
    <b v="1"/>
    <b v="1"/>
  </r>
  <r>
    <x v="3938"/>
    <n v="292662"/>
    <n v="56614"/>
    <n v="236048"/>
    <n v="490294870"/>
    <n v="115115278"/>
    <n v="605410148"/>
    <n v="105363"/>
    <n v="3287"/>
    <n v="108650"/>
    <b v="1"/>
    <b v="1"/>
    <b v="1"/>
    <b v="1"/>
    <b v="1"/>
    <b v="1"/>
  </r>
  <r>
    <x v="3939"/>
    <n v="296452"/>
    <n v="55099"/>
    <n v="241353"/>
    <n v="504032565"/>
    <n v="114562032"/>
    <n v="618594597"/>
    <n v="106063"/>
    <n v="3399"/>
    <n v="109462"/>
    <b v="1"/>
    <b v="1"/>
    <b v="1"/>
    <b v="1"/>
    <b v="1"/>
    <b v="1"/>
  </r>
  <r>
    <x v="3940"/>
    <n v="285165"/>
    <n v="54692"/>
    <n v="230473"/>
    <n v="480226700"/>
    <n v="105152956"/>
    <n v="585379656"/>
    <n v="106497"/>
    <n v="3326"/>
    <n v="109823"/>
    <b v="1"/>
    <b v="1"/>
    <b v="1"/>
    <b v="1"/>
    <b v="1"/>
    <b v="1"/>
  </r>
  <r>
    <x v="3941"/>
    <n v="276014"/>
    <n v="52117"/>
    <n v="223897"/>
    <n v="462964990"/>
    <n v="89944132"/>
    <n v="552909122"/>
    <n v="99497"/>
    <n v="3237"/>
    <n v="102734"/>
    <b v="1"/>
    <b v="1"/>
    <b v="1"/>
    <b v="1"/>
    <b v="1"/>
    <b v="1"/>
  </r>
  <r>
    <x v="3942"/>
    <n v="255922"/>
    <n v="47679"/>
    <n v="208243"/>
    <n v="413903513"/>
    <n v="67763165"/>
    <n v="481666678"/>
    <n v="88576"/>
    <n v="2925"/>
    <n v="91501"/>
    <b v="1"/>
    <b v="1"/>
    <b v="1"/>
    <b v="1"/>
    <b v="1"/>
    <b v="1"/>
  </r>
  <r>
    <x v="3943"/>
    <n v="213453"/>
    <n v="38820"/>
    <n v="174633"/>
    <n v="319639407"/>
    <n v="45616979"/>
    <n v="365256386"/>
    <n v="77744"/>
    <n v="2349"/>
    <n v="80093"/>
    <b v="1"/>
    <b v="1"/>
    <b v="1"/>
    <b v="1"/>
    <b v="1"/>
    <b v="1"/>
  </r>
  <r>
    <x v="3944"/>
    <n v="157314"/>
    <n v="26761"/>
    <n v="130553"/>
    <n v="219069462"/>
    <n v="29718261"/>
    <n v="248787723"/>
    <n v="58626"/>
    <n v="1719"/>
    <n v="60345"/>
    <b v="1"/>
    <b v="1"/>
    <b v="1"/>
    <b v="1"/>
    <b v="1"/>
    <b v="1"/>
  </r>
  <r>
    <x v="3945"/>
    <n v="193124"/>
    <n v="33741"/>
    <n v="159383"/>
    <n v="309236468"/>
    <n v="40242891"/>
    <n v="349479359"/>
    <n v="69916"/>
    <n v="2153"/>
    <n v="72069"/>
    <b v="1"/>
    <b v="1"/>
    <b v="1"/>
    <b v="1"/>
    <b v="1"/>
    <b v="1"/>
  </r>
  <r>
    <x v="3946"/>
    <n v="222078"/>
    <n v="40002"/>
    <n v="182076"/>
    <n v="376857644"/>
    <n v="52946408"/>
    <n v="429804052"/>
    <n v="77205"/>
    <n v="2384"/>
    <n v="79589"/>
    <b v="1"/>
    <b v="1"/>
    <b v="1"/>
    <b v="1"/>
    <b v="1"/>
    <b v="1"/>
  </r>
  <r>
    <x v="3947"/>
    <n v="235805"/>
    <n v="43345"/>
    <n v="192460"/>
    <n v="396070977"/>
    <n v="61572308"/>
    <n v="457643285"/>
    <n v="79721"/>
    <n v="2540"/>
    <n v="82261"/>
    <b v="1"/>
    <b v="1"/>
    <b v="1"/>
    <b v="1"/>
    <b v="1"/>
    <b v="1"/>
  </r>
  <r>
    <x v="3948"/>
    <n v="265205"/>
    <n v="50496"/>
    <n v="214709"/>
    <n v="448426417"/>
    <n v="81689007"/>
    <n v="530115424"/>
    <n v="91783"/>
    <n v="2749"/>
    <n v="94532"/>
    <b v="1"/>
    <b v="1"/>
    <b v="1"/>
    <b v="1"/>
    <b v="1"/>
    <b v="1"/>
  </r>
  <r>
    <x v="3949"/>
    <n v="264950"/>
    <n v="52475"/>
    <n v="212475"/>
    <n v="455608045"/>
    <n v="88660683"/>
    <n v="544268728"/>
    <n v="92350"/>
    <n v="2832"/>
    <n v="95182"/>
    <b v="1"/>
    <b v="1"/>
    <b v="1"/>
    <b v="1"/>
    <b v="1"/>
    <b v="1"/>
  </r>
  <r>
    <x v="3950"/>
    <n v="234845"/>
    <n v="46148"/>
    <n v="188697"/>
    <n v="376917373"/>
    <n v="70028815"/>
    <n v="446946188"/>
    <n v="82801"/>
    <n v="2409"/>
    <n v="85210"/>
    <b v="1"/>
    <b v="1"/>
    <b v="1"/>
    <b v="1"/>
    <b v="1"/>
    <b v="1"/>
  </r>
  <r>
    <x v="3951"/>
    <n v="219112"/>
    <n v="40557"/>
    <n v="178555"/>
    <n v="381477049"/>
    <n v="75127882"/>
    <n v="456604931"/>
    <n v="83193"/>
    <n v="2324"/>
    <n v="85517"/>
    <b v="1"/>
    <b v="1"/>
    <b v="1"/>
    <b v="1"/>
    <b v="1"/>
    <b v="1"/>
  </r>
  <r>
    <x v="3952"/>
    <n v="233675"/>
    <n v="42929"/>
    <n v="190746"/>
    <n v="404111397"/>
    <n v="84388721"/>
    <n v="488500118"/>
    <n v="90834"/>
    <n v="2426"/>
    <n v="93260"/>
    <b v="1"/>
    <b v="1"/>
    <b v="1"/>
    <b v="1"/>
    <b v="1"/>
    <b v="1"/>
  </r>
  <r>
    <x v="3953"/>
    <n v="248524"/>
    <n v="47720"/>
    <n v="200804"/>
    <n v="411128617"/>
    <n v="85917241"/>
    <n v="497045858"/>
    <n v="95873"/>
    <n v="2578"/>
    <n v="98451"/>
    <b v="1"/>
    <b v="1"/>
    <b v="1"/>
    <b v="1"/>
    <b v="1"/>
    <b v="1"/>
  </r>
  <r>
    <x v="3954"/>
    <n v="232109"/>
    <n v="46306"/>
    <n v="185803"/>
    <n v="381731257"/>
    <n v="83499935"/>
    <n v="465231192"/>
    <n v="83066"/>
    <n v="2254"/>
    <n v="85320"/>
    <b v="1"/>
    <b v="1"/>
    <b v="1"/>
    <b v="1"/>
    <b v="1"/>
    <b v="1"/>
  </r>
  <r>
    <x v="3955"/>
    <n v="234040"/>
    <n v="45282"/>
    <n v="188758"/>
    <n v="370814461"/>
    <n v="76253770"/>
    <n v="447068231"/>
    <n v="81191"/>
    <n v="2031"/>
    <n v="83222"/>
    <b v="1"/>
    <b v="1"/>
    <b v="1"/>
    <b v="1"/>
    <b v="1"/>
    <b v="1"/>
  </r>
  <r>
    <x v="3956"/>
    <n v="257010"/>
    <n v="53065"/>
    <n v="203945"/>
    <n v="384228877"/>
    <n v="90069079"/>
    <n v="474297956"/>
    <n v="90698"/>
    <n v="2263"/>
    <n v="92961"/>
    <b v="1"/>
    <b v="1"/>
    <b v="1"/>
    <b v="1"/>
    <b v="1"/>
    <b v="1"/>
  </r>
  <r>
    <x v="3957"/>
    <n v="252590"/>
    <n v="49480"/>
    <n v="203110"/>
    <n v="353203595"/>
    <n v="73079543"/>
    <n v="426283138"/>
    <n v="93383"/>
    <n v="1940"/>
    <n v="95323"/>
    <b v="1"/>
    <b v="1"/>
    <b v="1"/>
    <b v="1"/>
    <b v="1"/>
    <b v="1"/>
  </r>
  <r>
    <x v="3958"/>
    <n v="281338"/>
    <n v="51734"/>
    <n v="229604"/>
    <n v="441846535"/>
    <n v="94968104"/>
    <n v="536814639"/>
    <n v="94116"/>
    <n v="2352"/>
    <n v="96468"/>
    <b v="1"/>
    <b v="1"/>
    <b v="1"/>
    <b v="1"/>
    <b v="1"/>
    <b v="1"/>
  </r>
  <r>
    <x v="3959"/>
    <n v="283882"/>
    <n v="52773"/>
    <n v="231109"/>
    <n v="449569806"/>
    <n v="109057163"/>
    <n v="558626969"/>
    <n v="91998"/>
    <n v="2377"/>
    <n v="94375"/>
    <b v="1"/>
    <b v="1"/>
    <b v="1"/>
    <b v="1"/>
    <b v="1"/>
    <b v="1"/>
  </r>
  <r>
    <x v="3960"/>
    <n v="293871"/>
    <n v="53638"/>
    <n v="240233"/>
    <n v="448671345"/>
    <n v="95114026"/>
    <n v="543785371"/>
    <n v="94968"/>
    <n v="2346"/>
    <n v="97314"/>
    <b v="1"/>
    <b v="1"/>
    <b v="1"/>
    <b v="1"/>
    <b v="1"/>
    <b v="1"/>
  </r>
  <r>
    <x v="3961"/>
    <n v="309149"/>
    <n v="56299"/>
    <n v="252850"/>
    <n v="482217448"/>
    <n v="103786970"/>
    <n v="586004418"/>
    <n v="95238"/>
    <n v="2424"/>
    <n v="97662"/>
    <b v="1"/>
    <b v="1"/>
    <b v="1"/>
    <b v="1"/>
    <b v="1"/>
    <b v="1"/>
  </r>
  <r>
    <x v="3962"/>
    <n v="297245"/>
    <n v="54682"/>
    <n v="242563"/>
    <n v="469718392"/>
    <n v="101103521"/>
    <n v="570821913"/>
    <n v="86991"/>
    <n v="2370"/>
    <n v="89361"/>
    <b v="1"/>
    <b v="1"/>
    <b v="1"/>
    <b v="1"/>
    <b v="1"/>
    <b v="1"/>
  </r>
  <r>
    <x v="3963"/>
    <n v="285152"/>
    <n v="54543"/>
    <n v="230609"/>
    <n v="406635400"/>
    <n v="81562467"/>
    <n v="488197867"/>
    <n v="86458"/>
    <n v="2162"/>
    <n v="88620"/>
    <b v="1"/>
    <b v="1"/>
    <b v="1"/>
    <b v="1"/>
    <b v="1"/>
    <b v="1"/>
  </r>
  <r>
    <x v="3964"/>
    <n v="281507"/>
    <n v="51148"/>
    <n v="230359"/>
    <n v="423312111"/>
    <n v="72110931"/>
    <n v="495423042"/>
    <n v="85685"/>
    <n v="2112"/>
    <n v="87797"/>
    <b v="1"/>
    <b v="1"/>
    <b v="1"/>
    <b v="1"/>
    <b v="1"/>
    <b v="1"/>
  </r>
  <r>
    <x v="3965"/>
    <n v="312285"/>
    <n v="51852"/>
    <n v="260433"/>
    <n v="499940960"/>
    <n v="92959093"/>
    <n v="592900053"/>
    <n v="96343"/>
    <n v="2380"/>
    <n v="98723"/>
    <b v="1"/>
    <b v="1"/>
    <b v="1"/>
    <b v="1"/>
    <b v="1"/>
    <b v="1"/>
  </r>
  <r>
    <x v="3966"/>
    <n v="315623"/>
    <n v="54948"/>
    <n v="260675"/>
    <n v="518563320"/>
    <n v="102192451"/>
    <n v="620755771"/>
    <n v="99547"/>
    <n v="2398"/>
    <n v="101945"/>
    <b v="1"/>
    <b v="1"/>
    <b v="1"/>
    <b v="1"/>
    <b v="1"/>
    <b v="1"/>
  </r>
  <r>
    <x v="3967"/>
    <n v="322801"/>
    <n v="56248"/>
    <n v="266553"/>
    <n v="532235298"/>
    <n v="105577990"/>
    <n v="637813288"/>
    <n v="96482"/>
    <n v="2214"/>
    <n v="98696"/>
    <b v="1"/>
    <b v="1"/>
    <b v="1"/>
    <b v="1"/>
    <b v="1"/>
    <b v="1"/>
  </r>
  <r>
    <x v="3968"/>
    <n v="330124"/>
    <n v="55399"/>
    <n v="274725"/>
    <n v="536925663"/>
    <n v="99809765"/>
    <n v="636735428"/>
    <n v="95543"/>
    <n v="2414"/>
    <n v="97957"/>
    <b v="1"/>
    <b v="1"/>
    <b v="1"/>
    <b v="1"/>
    <b v="1"/>
    <b v="1"/>
  </r>
  <r>
    <x v="3969"/>
    <n v="319788"/>
    <n v="53214"/>
    <n v="266574"/>
    <n v="528062547"/>
    <n v="95429464"/>
    <n v="623492011"/>
    <n v="94661"/>
    <n v="2411"/>
    <n v="97072"/>
    <b v="1"/>
    <b v="1"/>
    <b v="1"/>
    <b v="1"/>
    <b v="1"/>
    <b v="1"/>
  </r>
  <r>
    <x v="3970"/>
    <n v="332710"/>
    <n v="52122"/>
    <n v="280588"/>
    <n v="518792922"/>
    <n v="81742697"/>
    <n v="600535619"/>
    <n v="98346"/>
    <n v="3203"/>
    <n v="101549"/>
    <b v="1"/>
    <b v="1"/>
    <b v="1"/>
    <b v="1"/>
    <b v="1"/>
    <b v="1"/>
  </r>
  <r>
    <x v="3971"/>
    <n v="300011"/>
    <n v="48949"/>
    <n v="251062"/>
    <n v="436105904"/>
    <n v="63982029"/>
    <n v="500087933"/>
    <n v="52455"/>
    <n v="1943"/>
    <n v="54398"/>
    <b v="1"/>
    <b v="1"/>
    <b v="1"/>
    <b v="1"/>
    <b v="1"/>
    <b v="1"/>
  </r>
  <r>
    <x v="3972"/>
    <n v="327914"/>
    <n v="52422"/>
    <n v="275492"/>
    <n v="531605261"/>
    <n v="83700983"/>
    <n v="615306244"/>
    <n v="60809"/>
    <n v="2321"/>
    <n v="63130"/>
    <b v="1"/>
    <b v="1"/>
    <b v="1"/>
    <b v="1"/>
    <b v="1"/>
    <b v="1"/>
  </r>
  <r>
    <x v="3973"/>
    <n v="330422"/>
    <n v="52614"/>
    <n v="277808"/>
    <n v="544432703"/>
    <n v="95814517"/>
    <n v="640247220"/>
    <n v="61155"/>
    <n v="2224"/>
    <n v="63379"/>
    <b v="1"/>
    <b v="1"/>
    <b v="1"/>
    <b v="1"/>
    <b v="1"/>
    <b v="1"/>
  </r>
  <r>
    <x v="3974"/>
    <n v="332423"/>
    <n v="52281"/>
    <n v="280142"/>
    <n v="556865657"/>
    <n v="99373534"/>
    <n v="656239191"/>
    <n v="60366"/>
    <n v="2198"/>
    <n v="62564"/>
    <b v="1"/>
    <b v="1"/>
    <b v="1"/>
    <b v="1"/>
    <b v="1"/>
    <b v="1"/>
  </r>
  <r>
    <x v="3975"/>
    <n v="331999"/>
    <n v="52313"/>
    <n v="279686"/>
    <n v="543667379"/>
    <n v="89981341"/>
    <n v="633648720"/>
    <n v="60365"/>
    <n v="2222"/>
    <n v="62587"/>
    <b v="1"/>
    <b v="1"/>
    <b v="1"/>
    <b v="1"/>
    <b v="1"/>
    <b v="1"/>
  </r>
  <r>
    <x v="3976"/>
    <n v="329886"/>
    <n v="51392"/>
    <n v="278494"/>
    <n v="534412890"/>
    <n v="84167178"/>
    <n v="618580068"/>
    <n v="59564"/>
    <n v="2353"/>
    <n v="61917"/>
    <b v="1"/>
    <b v="1"/>
    <b v="1"/>
    <b v="1"/>
    <b v="1"/>
    <b v="1"/>
  </r>
  <r>
    <x v="3977"/>
    <n v="318408"/>
    <n v="51399"/>
    <n v="267009"/>
    <n v="512742229"/>
    <n v="74436823"/>
    <n v="587179052"/>
    <n v="53852"/>
    <n v="2204"/>
    <n v="56056"/>
    <b v="1"/>
    <b v="1"/>
    <b v="1"/>
    <b v="1"/>
    <b v="1"/>
    <b v="1"/>
  </r>
  <r>
    <x v="3978"/>
    <n v="284393"/>
    <n v="44513"/>
    <n v="239880"/>
    <n v="455902315"/>
    <n v="57578946"/>
    <n v="513481261"/>
    <n v="44363"/>
    <n v="1839"/>
    <n v="46202"/>
    <b v="1"/>
    <b v="1"/>
    <b v="1"/>
    <b v="1"/>
    <b v="1"/>
    <b v="1"/>
  </r>
  <r>
    <x v="3979"/>
    <n v="295356"/>
    <n v="44868"/>
    <n v="250488"/>
    <n v="491468844"/>
    <n v="72773323"/>
    <n v="564242167"/>
    <n v="49541"/>
    <n v="1910"/>
    <n v="51451"/>
    <b v="1"/>
    <b v="1"/>
    <b v="1"/>
    <b v="1"/>
    <b v="1"/>
    <b v="1"/>
  </r>
  <r>
    <x v="3980"/>
    <n v="316243"/>
    <n v="47165"/>
    <n v="269078"/>
    <n v="503162213"/>
    <n v="75974785"/>
    <n v="579136998"/>
    <n v="51388"/>
    <n v="1930"/>
    <n v="53318"/>
    <b v="1"/>
    <b v="1"/>
    <b v="1"/>
    <b v="1"/>
    <b v="1"/>
    <b v="1"/>
  </r>
  <r>
    <x v="3981"/>
    <n v="319978"/>
    <n v="48118"/>
    <n v="271860"/>
    <n v="532614259"/>
    <n v="85627790"/>
    <n v="618242049"/>
    <n v="50722"/>
    <n v="1986"/>
    <n v="52708"/>
    <b v="1"/>
    <b v="1"/>
    <b v="1"/>
    <b v="1"/>
    <b v="1"/>
    <b v="1"/>
  </r>
  <r>
    <x v="3982"/>
    <n v="323364"/>
    <n v="50949"/>
    <n v="272415"/>
    <n v="519976717"/>
    <n v="88710663"/>
    <n v="608687380"/>
    <n v="54297"/>
    <n v="1915"/>
    <n v="56212"/>
    <b v="1"/>
    <b v="1"/>
    <b v="1"/>
    <b v="1"/>
    <b v="1"/>
    <b v="1"/>
  </r>
  <r>
    <x v="3983"/>
    <n v="318198"/>
    <n v="49263"/>
    <n v="268935"/>
    <n v="496573241"/>
    <n v="82228611"/>
    <n v="578801852"/>
    <n v="50396"/>
    <n v="1941"/>
    <n v="52337"/>
    <b v="1"/>
    <b v="1"/>
    <b v="1"/>
    <b v="1"/>
    <b v="1"/>
    <b v="1"/>
  </r>
  <r>
    <x v="3984"/>
    <n v="315080"/>
    <n v="49841"/>
    <n v="265239"/>
    <n v="499885265"/>
    <n v="73393210"/>
    <n v="573278475"/>
    <n v="47096"/>
    <n v="1950"/>
    <n v="49046"/>
    <b v="1"/>
    <b v="1"/>
    <b v="1"/>
    <b v="1"/>
    <b v="1"/>
    <b v="1"/>
  </r>
  <r>
    <x v="3985"/>
    <n v="275395"/>
    <n v="41530"/>
    <n v="233865"/>
    <n v="404146463"/>
    <n v="52658349"/>
    <n v="456804812"/>
    <n v="38868"/>
    <n v="1561"/>
    <n v="40429"/>
    <b v="1"/>
    <b v="1"/>
    <b v="1"/>
    <b v="1"/>
    <b v="1"/>
    <b v="1"/>
  </r>
  <r>
    <x v="3986"/>
    <n v="284080"/>
    <n v="49674"/>
    <n v="234406"/>
    <n v="457698035"/>
    <n v="88841010"/>
    <n v="546539045"/>
    <n v="47282"/>
    <n v="1646"/>
    <n v="48928"/>
    <b v="1"/>
    <b v="1"/>
    <b v="1"/>
    <b v="1"/>
    <b v="1"/>
    <b v="1"/>
  </r>
  <r>
    <x v="3987"/>
    <n v="280307"/>
    <n v="50911"/>
    <n v="229396"/>
    <n v="472826768"/>
    <n v="96955769"/>
    <n v="569782537"/>
    <n v="39334"/>
    <n v="1603"/>
    <n v="40937"/>
    <b v="1"/>
    <b v="1"/>
    <b v="1"/>
    <b v="1"/>
    <b v="1"/>
    <b v="1"/>
  </r>
  <r>
    <x v="3988"/>
    <n v="284547"/>
    <n v="51510"/>
    <n v="233037"/>
    <n v="474198091"/>
    <n v="102505283"/>
    <n v="576703374"/>
    <n v="41012"/>
    <n v="1753"/>
    <n v="42765"/>
    <b v="1"/>
    <b v="1"/>
    <b v="1"/>
    <b v="1"/>
    <b v="1"/>
    <b v="1"/>
  </r>
  <r>
    <x v="3989"/>
    <n v="273381"/>
    <n v="49283"/>
    <n v="224098"/>
    <n v="473755728"/>
    <n v="99451035"/>
    <n v="573206763"/>
    <n v="38732"/>
    <n v="1604"/>
    <n v="40336"/>
    <b v="1"/>
    <b v="1"/>
    <b v="1"/>
    <b v="1"/>
    <b v="1"/>
    <b v="1"/>
  </r>
  <r>
    <x v="3990"/>
    <n v="265402"/>
    <n v="46985"/>
    <n v="218417"/>
    <n v="453320362"/>
    <n v="92972736"/>
    <n v="546293098"/>
    <n v="37697"/>
    <n v="1441"/>
    <n v="39138"/>
    <b v="1"/>
    <b v="1"/>
    <b v="1"/>
    <b v="1"/>
    <b v="1"/>
    <b v="1"/>
  </r>
  <r>
    <x v="3991"/>
    <n v="269462"/>
    <n v="46951"/>
    <n v="222511"/>
    <n v="447472767"/>
    <n v="81701319"/>
    <n v="529174086"/>
    <n v="39063"/>
    <n v="1703"/>
    <n v="40766"/>
    <b v="1"/>
    <b v="1"/>
    <b v="1"/>
    <b v="1"/>
    <b v="1"/>
    <b v="1"/>
  </r>
  <r>
    <x v="3992"/>
    <n v="267820"/>
    <n v="45249"/>
    <n v="222571"/>
    <n v="422277471"/>
    <n v="62222685"/>
    <n v="484500156"/>
    <n v="34803"/>
    <n v="1517"/>
    <n v="36320"/>
    <b v="1"/>
    <b v="1"/>
    <b v="1"/>
    <b v="1"/>
    <b v="1"/>
    <b v="1"/>
  </r>
  <r>
    <x v="3993"/>
    <n v="285634"/>
    <n v="47923"/>
    <n v="237711"/>
    <n v="497169517"/>
    <n v="90666272"/>
    <n v="587835789"/>
    <n v="40375"/>
    <n v="1509"/>
    <n v="41884"/>
    <b v="1"/>
    <b v="1"/>
    <b v="1"/>
    <b v="1"/>
    <b v="1"/>
    <b v="1"/>
  </r>
  <r>
    <x v="3994"/>
    <n v="289285"/>
    <n v="47513"/>
    <n v="241772"/>
    <n v="497524744"/>
    <n v="98423698"/>
    <n v="595948442"/>
    <n v="39760"/>
    <n v="1501"/>
    <n v="41261"/>
    <b v="1"/>
    <b v="1"/>
    <b v="1"/>
    <b v="1"/>
    <b v="1"/>
    <b v="1"/>
  </r>
  <r>
    <x v="3995"/>
    <n v="288495"/>
    <n v="48279"/>
    <n v="240216"/>
    <n v="494344923"/>
    <n v="101313562"/>
    <n v="595658485"/>
    <n v="41538"/>
    <n v="1702"/>
    <n v="43240"/>
    <b v="1"/>
    <b v="1"/>
    <b v="1"/>
    <b v="1"/>
    <b v="1"/>
    <b v="1"/>
  </r>
  <r>
    <x v="3996"/>
    <n v="287572"/>
    <n v="45288"/>
    <n v="242284"/>
    <n v="499991590"/>
    <n v="92621387"/>
    <n v="592612977"/>
    <n v="41225"/>
    <n v="1396"/>
    <n v="42621"/>
    <b v="1"/>
    <b v="1"/>
    <b v="1"/>
    <b v="1"/>
    <b v="1"/>
    <b v="1"/>
  </r>
  <r>
    <x v="3997"/>
    <n v="292997"/>
    <n v="45608"/>
    <n v="247389"/>
    <n v="493839800"/>
    <n v="92091834"/>
    <n v="585931634"/>
    <n v="42863"/>
    <n v="1436"/>
    <n v="44299"/>
    <b v="1"/>
    <b v="1"/>
    <b v="1"/>
    <b v="1"/>
    <b v="1"/>
    <b v="1"/>
  </r>
  <r>
    <x v="3998"/>
    <n v="285511"/>
    <n v="42145"/>
    <n v="243366"/>
    <n v="481413048"/>
    <n v="66181140"/>
    <n v="547594188"/>
    <n v="40867"/>
    <n v="1444"/>
    <n v="42311"/>
    <b v="1"/>
    <b v="1"/>
    <b v="1"/>
    <b v="1"/>
    <b v="1"/>
    <b v="1"/>
  </r>
  <r>
    <x v="3999"/>
    <n v="269233"/>
    <n v="40280"/>
    <n v="228953"/>
    <n v="433221466"/>
    <n v="57190556"/>
    <n v="490412022"/>
    <n v="37971"/>
    <n v="1292"/>
    <n v="39263"/>
    <b v="1"/>
    <b v="1"/>
    <b v="1"/>
    <b v="1"/>
    <b v="1"/>
    <b v="1"/>
  </r>
  <r>
    <x v="4000"/>
    <n v="297330"/>
    <n v="45023"/>
    <n v="252307"/>
    <n v="511517590"/>
    <n v="78016187"/>
    <n v="589533777"/>
    <n v="42704"/>
    <n v="1234"/>
    <n v="43938"/>
    <b v="1"/>
    <b v="1"/>
    <b v="1"/>
    <b v="1"/>
    <b v="1"/>
    <b v="1"/>
  </r>
  <r>
    <x v="4001"/>
    <n v="293319"/>
    <n v="44344"/>
    <n v="248975"/>
    <n v="494680576"/>
    <n v="92525084"/>
    <n v="587205660"/>
    <n v="40378"/>
    <n v="1209"/>
    <n v="41587"/>
    <b v="1"/>
    <b v="1"/>
    <b v="1"/>
    <b v="1"/>
    <b v="1"/>
    <b v="1"/>
  </r>
  <r>
    <x v="4002"/>
    <n v="293594"/>
    <n v="45943"/>
    <n v="247651"/>
    <n v="544545088"/>
    <n v="92535332"/>
    <n v="637080420"/>
    <n v="41262"/>
    <n v="1187"/>
    <n v="42449"/>
    <b v="1"/>
    <b v="1"/>
    <b v="1"/>
    <b v="1"/>
    <b v="1"/>
    <b v="1"/>
  </r>
  <r>
    <x v="4003"/>
    <n v="297905"/>
    <n v="45725"/>
    <n v="252180"/>
    <n v="555481448"/>
    <n v="85986419"/>
    <n v="641467867"/>
    <n v="43803"/>
    <n v="1198"/>
    <n v="45001"/>
    <b v="1"/>
    <b v="1"/>
    <b v="1"/>
    <b v="1"/>
    <b v="1"/>
    <b v="1"/>
  </r>
  <r>
    <x v="4004"/>
    <n v="294971"/>
    <n v="45944"/>
    <n v="249027"/>
    <n v="534912879"/>
    <n v="85649663"/>
    <n v="620562542"/>
    <n v="40767"/>
    <n v="1184"/>
    <n v="41951"/>
    <b v="1"/>
    <b v="1"/>
    <b v="1"/>
    <b v="1"/>
    <b v="1"/>
    <b v="1"/>
  </r>
  <r>
    <x v="4005"/>
    <n v="281650"/>
    <n v="44052"/>
    <n v="237598"/>
    <n v="516649263"/>
    <n v="72618265"/>
    <n v="589267528"/>
    <n v="39038"/>
    <n v="1238"/>
    <n v="40276"/>
    <b v="1"/>
    <b v="1"/>
    <b v="1"/>
    <b v="1"/>
    <b v="1"/>
    <b v="1"/>
  </r>
  <r>
    <x v="4006"/>
    <n v="267488"/>
    <n v="39370"/>
    <n v="228118"/>
    <n v="475247417"/>
    <n v="54905718"/>
    <n v="530153135"/>
    <n v="37512"/>
    <n v="1007"/>
    <n v="38519"/>
    <b v="1"/>
    <b v="1"/>
    <b v="1"/>
    <b v="1"/>
    <b v="1"/>
    <b v="1"/>
  </r>
  <r>
    <x v="4007"/>
    <n v="303202"/>
    <n v="44126"/>
    <n v="259076"/>
    <n v="543022969"/>
    <n v="81699743"/>
    <n v="624722712"/>
    <n v="43364"/>
    <n v="1167"/>
    <n v="44531"/>
    <b v="1"/>
    <b v="1"/>
    <b v="1"/>
    <b v="1"/>
    <b v="1"/>
    <b v="1"/>
  </r>
  <r>
    <x v="4008"/>
    <n v="295607"/>
    <n v="43387"/>
    <n v="252220"/>
    <n v="537106063"/>
    <n v="86415551"/>
    <n v="623521614"/>
    <n v="43112"/>
    <n v="1069"/>
    <n v="44181"/>
    <b v="1"/>
    <b v="1"/>
    <b v="1"/>
    <b v="1"/>
    <b v="1"/>
    <b v="1"/>
  </r>
  <r>
    <x v="4009"/>
    <n v="287532"/>
    <n v="43004"/>
    <n v="244528"/>
    <n v="518555791"/>
    <n v="86367971"/>
    <n v="604923762"/>
    <n v="41259"/>
    <n v="1064"/>
    <n v="42323"/>
    <b v="1"/>
    <b v="1"/>
    <b v="1"/>
    <b v="1"/>
    <b v="1"/>
    <b v="1"/>
  </r>
  <r>
    <x v="4010"/>
    <n v="263161"/>
    <n v="37076"/>
    <n v="226085"/>
    <n v="384715920"/>
    <n v="59339434"/>
    <n v="444055354"/>
    <n v="38888"/>
    <n v="949"/>
    <n v="39837"/>
    <b v="1"/>
    <b v="1"/>
    <b v="1"/>
    <b v="1"/>
    <b v="1"/>
    <b v="1"/>
  </r>
  <r>
    <x v="4011"/>
    <n v="272025"/>
    <n v="40918"/>
    <n v="231107"/>
    <n v="411699423"/>
    <n v="73347968"/>
    <n v="485047391"/>
    <n v="36927"/>
    <n v="1051"/>
    <n v="37978"/>
    <b v="1"/>
    <b v="1"/>
    <b v="1"/>
    <b v="1"/>
    <b v="1"/>
    <b v="1"/>
  </r>
  <r>
    <x v="4012"/>
    <n v="274970"/>
    <n v="41576"/>
    <n v="233394"/>
    <n v="452577586"/>
    <n v="65026112"/>
    <n v="517603698"/>
    <n v="36401"/>
    <n v="1073"/>
    <n v="37474"/>
    <b v="1"/>
    <b v="1"/>
    <b v="1"/>
    <b v="1"/>
    <b v="1"/>
    <b v="1"/>
  </r>
  <r>
    <x v="4013"/>
    <n v="251313"/>
    <n v="36803"/>
    <n v="214510"/>
    <n v="354391245"/>
    <n v="48164276"/>
    <n v="402555521"/>
    <n v="34488"/>
    <n v="905"/>
    <n v="35393"/>
    <b v="1"/>
    <b v="1"/>
    <b v="1"/>
    <b v="1"/>
    <b v="1"/>
    <b v="1"/>
  </r>
  <r>
    <x v="4014"/>
    <n v="275093"/>
    <n v="40832"/>
    <n v="234261"/>
    <n v="449130843"/>
    <n v="62896921"/>
    <n v="512027764"/>
    <n v="39807"/>
    <n v="1000"/>
    <n v="40807"/>
    <b v="1"/>
    <b v="1"/>
    <b v="1"/>
    <b v="1"/>
    <b v="1"/>
    <b v="1"/>
  </r>
  <r>
    <x v="4015"/>
    <n v="287402"/>
    <n v="41415"/>
    <n v="245987"/>
    <n v="498750894"/>
    <n v="71748621"/>
    <n v="570499515"/>
    <n v="37855"/>
    <n v="1032"/>
    <n v="38887"/>
    <b v="1"/>
    <b v="1"/>
    <b v="1"/>
    <b v="1"/>
    <b v="1"/>
    <b v="1"/>
  </r>
  <r>
    <x v="4016"/>
    <n v="277330"/>
    <n v="37757"/>
    <n v="239573"/>
    <n v="487144164"/>
    <n v="62457197"/>
    <n v="549601361"/>
    <n v="39809"/>
    <n v="1099"/>
    <n v="40908"/>
    <b v="1"/>
    <b v="1"/>
    <b v="1"/>
    <b v="1"/>
    <b v="1"/>
    <b v="1"/>
  </r>
  <r>
    <x v="4017"/>
    <n v="237939"/>
    <n v="31780"/>
    <n v="206159"/>
    <n v="391863523"/>
    <n v="49982392"/>
    <n v="441845915"/>
    <n v="30234"/>
    <n v="789"/>
    <n v="31023"/>
    <b v="1"/>
    <b v="1"/>
    <b v="1"/>
    <b v="1"/>
    <b v="1"/>
    <b v="1"/>
  </r>
  <r>
    <x v="4018"/>
    <n v="297429"/>
    <n v="45603"/>
    <n v="251826"/>
    <n v="470858078"/>
    <n v="75942950"/>
    <n v="546801028"/>
    <n v="36558"/>
    <n v="839"/>
    <n v="37397"/>
    <b v="1"/>
    <b v="1"/>
    <b v="1"/>
    <b v="1"/>
    <b v="1"/>
    <b v="1"/>
  </r>
  <r>
    <x v="4019"/>
    <n v="292558"/>
    <n v="44789"/>
    <n v="247769"/>
    <n v="470708388"/>
    <n v="69488178"/>
    <n v="540196566"/>
    <n v="33729"/>
    <n v="973"/>
    <n v="34702"/>
    <b v="1"/>
    <b v="1"/>
    <b v="1"/>
    <b v="1"/>
    <b v="1"/>
    <b v="1"/>
  </r>
  <r>
    <x v="4020"/>
    <n v="284379"/>
    <n v="41367"/>
    <n v="243012"/>
    <n v="454295176"/>
    <n v="59016389"/>
    <n v="513311565"/>
    <n v="37820"/>
    <n v="997"/>
    <n v="38817"/>
    <b v="1"/>
    <b v="1"/>
    <b v="1"/>
    <b v="1"/>
    <b v="1"/>
    <b v="1"/>
  </r>
  <r>
    <x v="4021"/>
    <n v="308929"/>
    <n v="46283"/>
    <n v="262646"/>
    <n v="497718559"/>
    <n v="85069025"/>
    <n v="582787584"/>
    <n v="36212"/>
    <n v="953"/>
    <n v="37165"/>
    <b v="1"/>
    <b v="1"/>
    <b v="1"/>
    <b v="1"/>
    <b v="1"/>
    <b v="1"/>
  </r>
  <r>
    <x v="4022"/>
    <n v="305473"/>
    <n v="45367"/>
    <n v="260106"/>
    <n v="508839432"/>
    <n v="92983053"/>
    <n v="601822485"/>
    <n v="36683"/>
    <n v="943"/>
    <n v="37626"/>
    <b v="1"/>
    <b v="1"/>
    <b v="1"/>
    <b v="1"/>
    <b v="1"/>
    <b v="1"/>
  </r>
  <r>
    <x v="4023"/>
    <n v="320516"/>
    <n v="47792"/>
    <n v="272724"/>
    <n v="565996093"/>
    <n v="93149973"/>
    <n v="659146066"/>
    <n v="38485"/>
    <n v="944"/>
    <n v="39429"/>
    <b v="1"/>
    <b v="1"/>
    <b v="1"/>
    <b v="1"/>
    <b v="1"/>
    <b v="1"/>
  </r>
  <r>
    <x v="4024"/>
    <n v="311700"/>
    <n v="46047"/>
    <n v="265653"/>
    <n v="534442793"/>
    <n v="95496534"/>
    <n v="629939327"/>
    <n v="35101"/>
    <n v="901"/>
    <n v="36002"/>
    <b v="1"/>
    <b v="1"/>
    <b v="1"/>
    <b v="1"/>
    <b v="1"/>
    <b v="1"/>
  </r>
  <r>
    <x v="4025"/>
    <n v="308525"/>
    <n v="43489"/>
    <n v="265036"/>
    <n v="513298212"/>
    <n v="82984998"/>
    <n v="596283210"/>
    <n v="33097"/>
    <n v="753"/>
    <n v="33850"/>
    <b v="1"/>
    <b v="1"/>
    <b v="1"/>
    <b v="1"/>
    <b v="1"/>
    <b v="1"/>
  </r>
  <r>
    <x v="4026"/>
    <n v="306890"/>
    <n v="42652"/>
    <n v="264238"/>
    <n v="504245833"/>
    <n v="70471377"/>
    <n v="574717210"/>
    <n v="30975"/>
    <n v="773"/>
    <n v="31748"/>
    <b v="1"/>
    <b v="1"/>
    <b v="1"/>
    <b v="1"/>
    <b v="1"/>
    <b v="1"/>
  </r>
  <r>
    <x v="4027"/>
    <n v="280817"/>
    <n v="36446"/>
    <n v="244371"/>
    <n v="457205289"/>
    <n v="49265160"/>
    <n v="506470449"/>
    <n v="30386"/>
    <n v="700"/>
    <n v="31086"/>
    <b v="1"/>
    <b v="1"/>
    <b v="1"/>
    <b v="1"/>
    <b v="1"/>
    <b v="1"/>
  </r>
  <r>
    <x v="4028"/>
    <n v="298223"/>
    <n v="40743"/>
    <n v="257480"/>
    <n v="515393675"/>
    <n v="73035320"/>
    <n v="588428995"/>
    <n v="32311"/>
    <n v="663"/>
    <n v="32974"/>
    <b v="1"/>
    <b v="1"/>
    <b v="1"/>
    <b v="1"/>
    <b v="1"/>
    <b v="1"/>
  </r>
  <r>
    <x v="4029"/>
    <n v="290418"/>
    <n v="39013"/>
    <n v="251405"/>
    <n v="498903377"/>
    <n v="78664342"/>
    <n v="577567719"/>
    <n v="31361"/>
    <n v="912"/>
    <n v="32273"/>
    <b v="1"/>
    <b v="1"/>
    <b v="1"/>
    <b v="1"/>
    <b v="1"/>
    <b v="1"/>
  </r>
  <r>
    <x v="4030"/>
    <n v="258178"/>
    <n v="31297"/>
    <n v="226881"/>
    <n v="448526933"/>
    <n v="63321975"/>
    <n v="511848908"/>
    <n v="29793"/>
    <n v="677"/>
    <n v="30470"/>
    <b v="1"/>
    <b v="1"/>
    <b v="1"/>
    <b v="1"/>
    <b v="1"/>
    <b v="1"/>
  </r>
  <r>
    <x v="4031"/>
    <n v="249702"/>
    <n v="32372"/>
    <n v="217330"/>
    <n v="439964003"/>
    <n v="61888100"/>
    <n v="501852103"/>
    <n v="25783"/>
    <n v="616"/>
    <n v="26399"/>
    <b v="1"/>
    <b v="1"/>
    <b v="1"/>
    <b v="1"/>
    <b v="1"/>
    <b v="1"/>
  </r>
  <r>
    <x v="4032"/>
    <n v="272880"/>
    <n v="35681"/>
    <n v="237199"/>
    <n v="465911753"/>
    <n v="72524395"/>
    <n v="538436148"/>
    <n v="28445"/>
    <n v="665"/>
    <n v="29110"/>
    <b v="1"/>
    <b v="1"/>
    <b v="1"/>
    <b v="1"/>
    <b v="1"/>
    <b v="1"/>
  </r>
  <r>
    <x v="4033"/>
    <n v="267745"/>
    <n v="38563"/>
    <n v="229182"/>
    <n v="427273450"/>
    <n v="67055656"/>
    <n v="494329106"/>
    <n v="22775"/>
    <n v="556"/>
    <n v="23331"/>
    <b v="1"/>
    <b v="1"/>
    <b v="1"/>
    <b v="1"/>
    <b v="1"/>
    <b v="1"/>
  </r>
  <r>
    <x v="4034"/>
    <n v="263957"/>
    <n v="35122"/>
    <n v="228835"/>
    <n v="432527554"/>
    <n v="50414538"/>
    <n v="482942092"/>
    <n v="29076"/>
    <n v="661"/>
    <n v="29737"/>
    <b v="1"/>
    <b v="1"/>
    <b v="1"/>
    <b v="1"/>
    <b v="1"/>
    <b v="1"/>
  </r>
  <r>
    <x v="4035"/>
    <n v="285197"/>
    <n v="38849"/>
    <n v="246348"/>
    <n v="461334771"/>
    <n v="72861211"/>
    <n v="534195982"/>
    <n v="24302"/>
    <n v="572"/>
    <n v="24874"/>
    <b v="1"/>
    <b v="1"/>
    <b v="1"/>
    <b v="1"/>
    <b v="1"/>
    <b v="1"/>
  </r>
  <r>
    <x v="4036"/>
    <n v="286707"/>
    <n v="40417"/>
    <n v="246290"/>
    <n v="457591146"/>
    <n v="81827075"/>
    <n v="539418221"/>
    <n v="23125"/>
    <n v="497"/>
    <n v="23622"/>
    <b v="1"/>
    <b v="1"/>
    <b v="1"/>
    <b v="1"/>
    <b v="1"/>
    <b v="1"/>
  </r>
  <r>
    <x v="4037"/>
    <n v="283845"/>
    <n v="40585"/>
    <n v="243260"/>
    <n v="461052520"/>
    <n v="78654967"/>
    <n v="539707487"/>
    <n v="22126"/>
    <n v="454"/>
    <n v="22580"/>
    <b v="1"/>
    <b v="1"/>
    <b v="1"/>
    <b v="1"/>
    <b v="1"/>
    <b v="1"/>
  </r>
  <r>
    <x v="4038"/>
    <n v="291447"/>
    <n v="39958"/>
    <n v="251489"/>
    <n v="487029454"/>
    <n v="76919260"/>
    <n v="563948714"/>
    <n v="26444"/>
    <n v="500"/>
    <n v="26944"/>
    <b v="1"/>
    <b v="1"/>
    <b v="1"/>
    <b v="1"/>
    <b v="1"/>
    <b v="1"/>
  </r>
  <r>
    <x v="4039"/>
    <n v="229715"/>
    <n v="31386"/>
    <n v="198329"/>
    <n v="348784234"/>
    <n v="56925402"/>
    <n v="405709636"/>
    <n v="13913"/>
    <n v="281"/>
    <n v="14194"/>
    <b v="1"/>
    <b v="1"/>
    <b v="1"/>
    <b v="1"/>
    <b v="1"/>
    <b v="1"/>
  </r>
  <r>
    <x v="4040"/>
    <n v="279695"/>
    <n v="36884"/>
    <n v="242811"/>
    <n v="469336161"/>
    <n v="61041492"/>
    <n v="530377653"/>
    <n v="24528"/>
    <n v="509"/>
    <n v="25037"/>
    <b v="1"/>
    <b v="1"/>
    <b v="1"/>
    <b v="1"/>
    <b v="1"/>
    <b v="1"/>
  </r>
  <r>
    <x v="4041"/>
    <n v="251323"/>
    <n v="31639"/>
    <n v="219684"/>
    <n v="393648442"/>
    <n v="44993389"/>
    <n v="438641831"/>
    <n v="20201"/>
    <n v="330"/>
    <n v="20531"/>
    <b v="1"/>
    <b v="1"/>
    <b v="1"/>
    <b v="1"/>
    <b v="1"/>
    <b v="1"/>
  </r>
  <r>
    <x v="4042"/>
    <n v="191126"/>
    <n v="22011"/>
    <n v="169115"/>
    <n v="294310256"/>
    <n v="28032264"/>
    <n v="322342520"/>
    <n v="8224"/>
    <n v="159"/>
    <n v="8383"/>
    <b v="1"/>
    <b v="1"/>
    <b v="1"/>
    <b v="1"/>
    <b v="1"/>
    <b v="1"/>
  </r>
  <r>
    <x v="4043"/>
    <n v="258242"/>
    <n v="35088"/>
    <n v="223154"/>
    <n v="414914111"/>
    <n v="61374972"/>
    <n v="476289083"/>
    <n v="18431"/>
    <n v="336"/>
    <n v="18767"/>
    <b v="1"/>
    <b v="1"/>
    <b v="1"/>
    <b v="1"/>
    <b v="1"/>
    <b v="1"/>
  </r>
  <r>
    <x v="4044"/>
    <n v="277413"/>
    <n v="38699"/>
    <n v="238714"/>
    <n v="460962660"/>
    <n v="70064179"/>
    <n v="531026839"/>
    <n v="20743"/>
    <n v="378"/>
    <n v="21121"/>
    <b v="1"/>
    <b v="1"/>
    <b v="1"/>
    <b v="1"/>
    <b v="1"/>
    <b v="1"/>
  </r>
  <r>
    <x v="4045"/>
    <n v="287230"/>
    <n v="42951"/>
    <n v="244279"/>
    <n v="464996692"/>
    <n v="77004537"/>
    <n v="542001229"/>
    <n v="21686"/>
    <n v="433"/>
    <n v="22119"/>
    <b v="1"/>
    <b v="1"/>
    <b v="1"/>
    <b v="1"/>
    <b v="1"/>
    <b v="1"/>
  </r>
  <r>
    <x v="4046"/>
    <n v="272162"/>
    <n v="40686"/>
    <n v="231476"/>
    <n v="431335616"/>
    <n v="67045636"/>
    <n v="498381252"/>
    <n v="16824"/>
    <n v="338"/>
    <n v="17162"/>
    <b v="1"/>
    <b v="1"/>
    <b v="1"/>
    <b v="1"/>
    <b v="1"/>
    <b v="1"/>
  </r>
  <r>
    <x v="4047"/>
    <n v="253134"/>
    <n v="38090"/>
    <n v="215044"/>
    <n v="408853455"/>
    <n v="51144369"/>
    <n v="459997824"/>
    <n v="16837"/>
    <n v="377"/>
    <n v="17214"/>
    <b v="1"/>
    <b v="1"/>
    <b v="1"/>
    <b v="1"/>
    <b v="1"/>
    <b v="1"/>
  </r>
  <r>
    <x v="4048"/>
    <n v="224412"/>
    <n v="31372"/>
    <n v="193040"/>
    <n v="348526648"/>
    <n v="48097659"/>
    <n v="396624307"/>
    <n v="16179"/>
    <n v="294"/>
    <n v="16473"/>
    <b v="1"/>
    <b v="1"/>
    <b v="1"/>
    <b v="1"/>
    <b v="1"/>
    <b v="1"/>
  </r>
  <r>
    <x v="4049"/>
    <n v="262525"/>
    <n v="38884"/>
    <n v="223641"/>
    <n v="440925959"/>
    <n v="79833695"/>
    <n v="520759654"/>
    <n v="20824"/>
    <n v="257"/>
    <n v="21081"/>
    <b v="1"/>
    <b v="1"/>
    <b v="1"/>
    <b v="1"/>
    <b v="1"/>
    <b v="1"/>
  </r>
  <r>
    <x v="4050"/>
    <n v="266069"/>
    <n v="38259"/>
    <n v="227810"/>
    <n v="449894967"/>
    <n v="88118089"/>
    <n v="538013056"/>
    <n v="22078"/>
    <n v="285"/>
    <n v="22363"/>
    <b v="1"/>
    <b v="1"/>
    <b v="1"/>
    <b v="1"/>
    <b v="1"/>
    <b v="1"/>
  </r>
  <r>
    <x v="4051"/>
    <n v="268438"/>
    <n v="36725"/>
    <n v="231713"/>
    <n v="453592893"/>
    <n v="81669231"/>
    <n v="535262124"/>
    <n v="20679"/>
    <n v="286"/>
    <n v="20965"/>
    <b v="1"/>
    <b v="1"/>
    <b v="1"/>
    <b v="1"/>
    <b v="1"/>
    <b v="1"/>
  </r>
  <r>
    <x v="4052"/>
    <n v="268447"/>
    <n v="37351"/>
    <n v="231096"/>
    <n v="462030965"/>
    <n v="86806096"/>
    <n v="548837061"/>
    <n v="19864"/>
    <n v="223"/>
    <n v="20087"/>
    <b v="1"/>
    <b v="1"/>
    <b v="1"/>
    <b v="1"/>
    <b v="1"/>
    <b v="1"/>
  </r>
  <r>
    <x v="4053"/>
    <n v="256490"/>
    <n v="34604"/>
    <n v="221886"/>
    <n v="437436457"/>
    <n v="82065754"/>
    <n v="519502211"/>
    <n v="19800"/>
    <n v="176"/>
    <n v="19976"/>
    <b v="1"/>
    <b v="1"/>
    <b v="1"/>
    <b v="1"/>
    <b v="1"/>
    <b v="1"/>
  </r>
  <r>
    <x v="4054"/>
    <n v="252749"/>
    <n v="35620"/>
    <n v="217129"/>
    <n v="423543508"/>
    <n v="70864741"/>
    <n v="494408249"/>
    <n v="18328"/>
    <n v="215"/>
    <n v="18543"/>
    <b v="1"/>
    <b v="1"/>
    <b v="1"/>
    <b v="1"/>
    <b v="1"/>
    <b v="1"/>
  </r>
  <r>
    <x v="4055"/>
    <n v="221014"/>
    <n v="28665"/>
    <n v="192349"/>
    <n v="349366595"/>
    <n v="47593442"/>
    <n v="396960037"/>
    <n v="14924"/>
    <n v="109"/>
    <n v="15033"/>
    <b v="1"/>
    <b v="1"/>
    <b v="1"/>
    <b v="1"/>
    <b v="1"/>
    <b v="1"/>
  </r>
  <r>
    <x v="4056"/>
    <n v="242251"/>
    <n v="33045"/>
    <n v="209206"/>
    <n v="399248914"/>
    <n v="72117659"/>
    <n v="471366573"/>
    <n v="13240"/>
    <n v="107"/>
    <n v="13347"/>
    <b v="1"/>
    <b v="1"/>
    <b v="1"/>
    <b v="1"/>
    <b v="1"/>
    <b v="1"/>
  </r>
  <r>
    <x v="4057"/>
    <n v="235459"/>
    <n v="30908"/>
    <n v="204551"/>
    <n v="409291982"/>
    <n v="75390316"/>
    <n v="484682298"/>
    <n v="13867"/>
    <n v="86"/>
    <n v="13953"/>
    <b v="1"/>
    <b v="1"/>
    <b v="1"/>
    <b v="1"/>
    <b v="1"/>
    <b v="1"/>
  </r>
  <r>
    <x v="4058"/>
    <n v="234315"/>
    <n v="31543"/>
    <n v="202772"/>
    <n v="405939091"/>
    <n v="73253910"/>
    <n v="479193001"/>
    <n v="13760"/>
    <n v="44"/>
    <n v="13804"/>
    <b v="1"/>
    <b v="1"/>
    <b v="1"/>
    <b v="1"/>
    <b v="1"/>
    <b v="1"/>
  </r>
  <r>
    <x v="4059"/>
    <n v="185594"/>
    <n v="24278"/>
    <n v="161316"/>
    <n v="307489891"/>
    <n v="54353608"/>
    <n v="361843499"/>
    <n v="8896"/>
    <n v="16"/>
    <n v="8912"/>
    <b v="1"/>
    <b v="1"/>
    <b v="1"/>
    <b v="1"/>
    <b v="1"/>
    <b v="1"/>
  </r>
  <r>
    <x v="4060"/>
    <n v="5990"/>
    <n v="81"/>
    <n v="5909"/>
    <n v="16886196"/>
    <n v="113550"/>
    <n v="16999746"/>
    <n v="30"/>
    <n v="0"/>
    <n v="30"/>
    <b v="1"/>
    <b v="1"/>
    <b v="1"/>
    <b v="1"/>
    <b v="1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DC87E-7C14-4AAD-9FD7-8C7B2C65BE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4:K17" firstHeaderRow="0" firstDataRow="1" firstDataCol="1"/>
  <pivotFields count="19">
    <pivotField numFmtId="14" showAll="0">
      <items count="40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Challan" fld="1" baseField="0" baseItem="0" numFmtId="3"/>
    <dataField name="Sum of disposedChallan" fld="2" baseField="0" baseItem="0"/>
    <dataField name="Sum of pendingChallan" fld="3" baseField="0" baseItem="0"/>
    <dataField name="Sum of totalAmount" fld="6" baseField="0" baseItem="0"/>
    <dataField name="Sum of pendingAmount" fld="4" baseField="18" baseItem="0" numFmtId="164"/>
    <dataField name="Sum of disposedAmount" fld="5" baseField="0" baseItem="0" numFmtId="164"/>
  </dataFields>
  <formats count="9">
    <format dxfId="8">
      <pivotArea field="1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7">
      <pivotArea field="18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8" type="button" dataOnly="0" labelOnly="1" outline="0" axis="axisRow" fieldPosition="0"/>
    </format>
    <format dxfId="2">
      <pivotArea dataOnly="0" labelOnly="1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1CE2E5-691B-4B57-AFB8-522DC8B31BDE}" autoFormatId="16" applyNumberFormats="0" applyBorderFormats="0" applyFontFormats="0" applyPatternFormats="0" applyAlignmentFormats="0" applyWidthHeightFormats="0">
  <queryTableRefresh nextId="18" unboundColumnsRight="6">
    <queryTableFields count="16">
      <queryTableField id="1" name="date" tableColumnId="1"/>
      <queryTableField id="2" name="totalChallan" tableColumnId="2"/>
      <queryTableField id="3" name="disposedChallan" tableColumnId="3"/>
      <queryTableField id="4" name="pendingChallan" tableColumnId="4"/>
      <queryTableField id="5" name="pendingAmount" tableColumnId="5"/>
      <queryTableField id="6" name="disposedAmount" tableColumnId="6"/>
      <queryTableField id="7" name="totalAmount" tableColumnId="7"/>
      <queryTableField id="8" name="pendingCourt" tableColumnId="8"/>
      <queryTableField id="9" name="disposedCourt" tableColumnId="9"/>
      <queryTableField id="10" name="totalCourt" tableColumnId="10"/>
      <queryTableField id="11" dataBound="0" tableColumnId="11"/>
      <queryTableField id="12" dataBound="0" tableColumnId="12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54C20-FB63-461C-87AD-6970DE17B7B2}" name="TrafficData" displayName="TrafficData" ref="A1:P4062" tableType="queryTable" totalsRowShown="0">
  <autoFilter ref="A1:P4062" xr:uid="{31F54C20-FB63-461C-87AD-6970DE17B7B2}"/>
  <tableColumns count="16">
    <tableColumn id="1" xr3:uid="{1EDEB390-CB9C-4975-B2D8-6B8B8E66DCF6}" uniqueName="1" name="date" queryTableFieldId="1" dataDxfId="22"/>
    <tableColumn id="2" xr3:uid="{83D31088-4CE0-452C-A51A-88B9A8F9995A}" uniqueName="2" name="totalChallan" queryTableFieldId="2"/>
    <tableColumn id="3" xr3:uid="{5FE15D49-8C26-4F6F-9161-F8536C389BBA}" uniqueName="3" name="disposedChallan" queryTableFieldId="3"/>
    <tableColumn id="4" xr3:uid="{44545557-A509-478A-B69A-AAE329D2B8A1}" uniqueName="4" name="pendingChallan" queryTableFieldId="4"/>
    <tableColumn id="5" xr3:uid="{DF9F6272-AE78-4897-8E52-7F694F279399}" uniqueName="5" name="pendingAmount" queryTableFieldId="5"/>
    <tableColumn id="6" xr3:uid="{E6ED2559-986D-4362-8056-DC1473359FE9}" uniqueName="6" name="disposedAmount" queryTableFieldId="6"/>
    <tableColumn id="7" xr3:uid="{34061FF0-EFFD-4788-96C7-EF7D9829D088}" uniqueName="7" name="totalAmount" queryTableFieldId="7"/>
    <tableColumn id="8" xr3:uid="{C71DEFE5-0035-4432-A909-7BBD9F29032A}" uniqueName="8" name="pendingCourt" queryTableFieldId="8"/>
    <tableColumn id="9" xr3:uid="{E8A43664-628A-4A27-939D-FFAFEF22E715}" uniqueName="9" name="disposedCourt" queryTableFieldId="9"/>
    <tableColumn id="10" xr3:uid="{E23049AC-C199-4188-9952-445C747325BC}" uniqueName="10" name="totalCourt" queryTableFieldId="10"/>
    <tableColumn id="11" xr3:uid="{A7563354-B586-4D3A-BC6C-AA68A094D85E}" uniqueName="11" name="Challan_Check" queryTableFieldId="11" dataDxfId="21">
      <calculatedColumnFormula>TrafficData[[#This Row],[disposedChallan]]+TrafficData[[#This Row],[pendingChallan]]=TrafficData[[#This Row],[totalChallan]]</calculatedColumnFormula>
    </tableColumn>
    <tableColumn id="12" xr3:uid="{EB379954-3E1B-49AE-9E5D-122C2A20EB5F}" uniqueName="12" name="Amount_Check" queryTableFieldId="12" dataDxfId="20">
      <calculatedColumnFormula>TrafficData[[#This Row],[pendingAmount]]+TrafficData[[#This Row],[disposedAmount]]=TrafficData[[#This Row],[totalAmount]]</calculatedColumnFormula>
    </tableColumn>
    <tableColumn id="14" xr3:uid="{C8B10302-369F-4B25-954F-D38A8829D1EA}" uniqueName="14" name="Court_Check" queryTableFieldId="14" dataDxfId="19">
      <calculatedColumnFormula>TrafficData[[#This Row],[pendingCourt]]+TrafficData[[#This Row],[disposedCourt]]=TrafficData[[#This Row],[totalCourt]]</calculatedColumnFormula>
    </tableColumn>
    <tableColumn id="15" xr3:uid="{088FA1AD-0855-43AB-AD27-A3DFAC82C32D}" uniqueName="15" name="Challan_Logic_Check" queryTableFieldId="15" dataDxfId="18">
      <calculatedColumnFormula>AND(TrafficData[[#This Row],[disposedChallan]]&lt;=TrafficData[[#This Row],[totalChallan]],TrafficData[[#This Row],[pendingChallan]]&lt;=TrafficData[[#This Row],[totalChallan]])</calculatedColumnFormula>
    </tableColumn>
    <tableColumn id="16" xr3:uid="{9712E9A4-9824-4975-AC5A-F6E16F985953}" uniqueName="16" name="Amount_Logic_Check" queryTableFieldId="16" dataDxfId="17">
      <calculatedColumnFormula>AND(TrafficData[[#This Row],[pendingAmount]]&lt;=TrafficData[[#This Row],[totalAmount]],TrafficData[[#This Row],[disposedAmount]]&lt;=TrafficData[[#This Row],[totalAmount]])</calculatedColumnFormula>
    </tableColumn>
    <tableColumn id="17" xr3:uid="{ED2C5B7B-B1F6-4764-BA8C-492E4BB284D1}" uniqueName="17" name="Court_Logic_Check" queryTableFieldId="17" dataDxfId="16">
      <calculatedColumnFormula>AND(TrafficData[[#This Row],[pendingCourt]]&lt;=TrafficData[[#This Row],[totalCourt]],TrafficData[[#This Row],[disposedCourt]]&lt;=TrafficData[[#This Row],[totalCourt]])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570603-61D7-45BE-A477-FB7AF4921805}" name="Table2" displayName="Table2" ref="A1:E11" totalsRowShown="0" headerRowDxfId="15" dataDxfId="14">
  <autoFilter ref="A1:E11" xr:uid="{80570603-61D7-45BE-A477-FB7AF4921805}"/>
  <tableColumns count="5">
    <tableColumn id="1" xr3:uid="{03D01DFD-C9D0-4F21-B94B-9112955C9691}" name="Column Name" dataDxfId="13"/>
    <tableColumn id="2" xr3:uid="{82731893-CD15-4A8C-BBD6-4C91B0227C53}" name="Meaning" dataDxfId="12"/>
    <tableColumn id="3" xr3:uid="{1C6EFC38-86C2-467C-8190-8DE69B98F6BC}" name="Data Type" dataDxfId="11"/>
    <tableColumn id="4" xr3:uid="{22B5FCBD-E004-43AC-A380-F5C1387CDB68}" name="Example" dataDxfId="10"/>
    <tableColumn id="5" xr3:uid="{9D4CB51D-35AF-4185-88E6-44E01E7F4C39}" name="Problems Found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021A-C347-419C-AD8A-161F9F87530D}">
  <dimension ref="A1:S4062"/>
  <sheetViews>
    <sheetView tabSelected="1" topLeftCell="G1" workbookViewId="0">
      <pane ySplit="1" topLeftCell="A2" activePane="bottomLeft" state="frozen"/>
      <selection pane="bottomLeft" activeCell="K1" sqref="K1:P1"/>
    </sheetView>
  </sheetViews>
  <sheetFormatPr defaultRowHeight="14.4"/>
  <cols>
    <col min="1" max="1" width="10.33203125" bestFit="1" customWidth="1"/>
    <col min="2" max="2" width="13.33203125" bestFit="1" customWidth="1"/>
    <col min="3" max="3" width="17" bestFit="1" customWidth="1"/>
    <col min="4" max="4" width="16.44140625" bestFit="1" customWidth="1"/>
    <col min="5" max="5" width="17.109375" bestFit="1" customWidth="1"/>
    <col min="6" max="6" width="17.6640625" bestFit="1" customWidth="1"/>
    <col min="7" max="7" width="14" bestFit="1" customWidth="1"/>
    <col min="8" max="8" width="14.77734375" bestFit="1" customWidth="1"/>
    <col min="9" max="9" width="15.44140625" bestFit="1" customWidth="1"/>
    <col min="10" max="10" width="11.77734375" bestFit="1" customWidth="1"/>
    <col min="11" max="11" width="15.6640625" bestFit="1" customWidth="1"/>
    <col min="12" max="12" width="16.33203125" bestFit="1" customWidth="1"/>
    <col min="13" max="13" width="14" bestFit="1" customWidth="1"/>
    <col min="14" max="14" width="22.109375" bestFit="1" customWidth="1"/>
    <col min="15" max="15" width="21.77734375" bestFit="1" customWidth="1"/>
    <col min="16" max="16" width="19.5546875" bestFit="1" customWidth="1"/>
    <col min="19" max="19" width="11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  <c r="L1" t="s">
        <v>29</v>
      </c>
      <c r="M1" t="s">
        <v>30</v>
      </c>
      <c r="N1" s="3" t="s">
        <v>31</v>
      </c>
      <c r="O1" t="s">
        <v>32</v>
      </c>
      <c r="P1" t="s">
        <v>33</v>
      </c>
    </row>
    <row r="2" spans="1:19">
      <c r="A2" s="1">
        <v>42005</v>
      </c>
      <c r="B2">
        <v>120</v>
      </c>
      <c r="C2">
        <v>29</v>
      </c>
      <c r="D2">
        <v>91</v>
      </c>
      <c r="E2">
        <v>588600</v>
      </c>
      <c r="F2">
        <v>116860</v>
      </c>
      <c r="G2">
        <v>705460</v>
      </c>
      <c r="H2">
        <v>1</v>
      </c>
      <c r="I2">
        <v>0</v>
      </c>
      <c r="J2">
        <v>1</v>
      </c>
      <c r="K2" t="b">
        <f>TrafficData[[#This Row],[disposedChallan]]+TrafficData[[#This Row],[pendingChallan]]=TrafficData[[#This Row],[totalChallan]]</f>
        <v>1</v>
      </c>
      <c r="L2" t="b">
        <f>TrafficData[[#This Row],[pendingAmount]]+TrafficData[[#This Row],[disposedAmount]]=TrafficData[[#This Row],[totalAmount]]</f>
        <v>1</v>
      </c>
      <c r="M2" t="b">
        <f>TrafficData[[#This Row],[pendingCourt]]+TrafficData[[#This Row],[disposedCourt]]=TrafficData[[#This Row],[totalCourt]]</f>
        <v>1</v>
      </c>
      <c r="N2" t="b">
        <f>AND(TrafficData[[#This Row],[disposedChallan]]&lt;=TrafficData[[#This Row],[totalChallan]],TrafficData[[#This Row],[pendingChallan]]&lt;=TrafficData[[#This Row],[totalChallan]])</f>
        <v>1</v>
      </c>
      <c r="O2" t="b">
        <f>AND(TrafficData[[#This Row],[pendingAmount]]&lt;=TrafficData[[#This Row],[totalAmount]],TrafficData[[#This Row],[disposedAmount]]&lt;=TrafficData[[#This Row],[totalAmount]])</f>
        <v>1</v>
      </c>
      <c r="P2" t="b">
        <f>AND(TrafficData[[#This Row],[pendingCourt]]&lt;=TrafficData[[#This Row],[totalCourt]],TrafficData[[#This Row],[disposedCourt]]&lt;=TrafficData[[#This Row],[totalCourt]])</f>
        <v>1</v>
      </c>
    </row>
    <row r="3" spans="1:19">
      <c r="A3" s="1">
        <v>42006</v>
      </c>
      <c r="B3">
        <v>162</v>
      </c>
      <c r="C3">
        <v>39</v>
      </c>
      <c r="D3">
        <v>123</v>
      </c>
      <c r="E3">
        <v>663350</v>
      </c>
      <c r="F3">
        <v>281425</v>
      </c>
      <c r="G3">
        <v>944775</v>
      </c>
      <c r="H3">
        <v>1</v>
      </c>
      <c r="I3">
        <v>1</v>
      </c>
      <c r="J3">
        <v>2</v>
      </c>
      <c r="K3" t="b">
        <f>TrafficData[[#This Row],[disposedChallan]]+TrafficData[[#This Row],[pendingChallan]]=TrafficData[[#This Row],[totalChallan]]</f>
        <v>1</v>
      </c>
      <c r="L3" t="b">
        <f>TrafficData[[#This Row],[pendingAmount]]+TrafficData[[#This Row],[disposedAmount]]=TrafficData[[#This Row],[totalAmount]]</f>
        <v>1</v>
      </c>
      <c r="M3" t="b">
        <f>TrafficData[[#This Row],[pendingCourt]]+TrafficData[[#This Row],[disposedCourt]]=TrafficData[[#This Row],[totalCourt]]</f>
        <v>1</v>
      </c>
      <c r="N3" t="b">
        <f>AND(TrafficData[[#This Row],[disposedChallan]]&lt;=TrafficData[[#This Row],[totalChallan]],TrafficData[[#This Row],[pendingChallan]]&lt;=TrafficData[[#This Row],[totalChallan]])</f>
        <v>1</v>
      </c>
      <c r="O3" t="b">
        <f>AND(TrafficData[[#This Row],[pendingAmount]]&lt;=TrafficData[[#This Row],[totalAmount]],TrafficData[[#This Row],[disposedAmount]]&lt;=TrafficData[[#This Row],[totalAmount]])</f>
        <v>1</v>
      </c>
      <c r="P3" t="b">
        <f>AND(TrafficData[[#This Row],[pendingCourt]]&lt;=TrafficData[[#This Row],[totalCourt]],TrafficData[[#This Row],[disposedCourt]]&lt;=TrafficData[[#This Row],[totalCourt]])</f>
        <v>1</v>
      </c>
    </row>
    <row r="4" spans="1:19">
      <c r="A4" s="1">
        <v>42007</v>
      </c>
      <c r="B4">
        <v>122</v>
      </c>
      <c r="C4">
        <v>34</v>
      </c>
      <c r="D4">
        <v>88</v>
      </c>
      <c r="E4">
        <v>596900</v>
      </c>
      <c r="F4">
        <v>286950</v>
      </c>
      <c r="G4">
        <v>883850</v>
      </c>
      <c r="H4">
        <v>4</v>
      </c>
      <c r="I4">
        <v>1</v>
      </c>
      <c r="J4">
        <v>5</v>
      </c>
      <c r="K4" t="b">
        <f>TrafficData[[#This Row],[disposedChallan]]+TrafficData[[#This Row],[pendingChallan]]=TrafficData[[#This Row],[totalChallan]]</f>
        <v>1</v>
      </c>
      <c r="L4" t="b">
        <f>TrafficData[[#This Row],[pendingAmount]]+TrafficData[[#This Row],[disposedAmount]]=TrafficData[[#This Row],[totalAmount]]</f>
        <v>1</v>
      </c>
      <c r="M4" t="b">
        <f>TrafficData[[#This Row],[pendingCourt]]+TrafficData[[#This Row],[disposedCourt]]=TrafficData[[#This Row],[totalCourt]]</f>
        <v>1</v>
      </c>
      <c r="N4" t="b">
        <f>AND(TrafficData[[#This Row],[disposedChallan]]&lt;=TrafficData[[#This Row],[totalChallan]],TrafficData[[#This Row],[pendingChallan]]&lt;=TrafficData[[#This Row],[totalChallan]])</f>
        <v>1</v>
      </c>
      <c r="O4" t="b">
        <f>AND(TrafficData[[#This Row],[pendingAmount]]&lt;=TrafficData[[#This Row],[totalAmount]],TrafficData[[#This Row],[disposedAmount]]&lt;=TrafficData[[#This Row],[totalAmount]])</f>
        <v>1</v>
      </c>
      <c r="P4" t="b">
        <f>AND(TrafficData[[#This Row],[pendingCourt]]&lt;=TrafficData[[#This Row],[totalCourt]],TrafficData[[#This Row],[disposedCourt]]&lt;=TrafficData[[#This Row],[totalCourt]])</f>
        <v>1</v>
      </c>
    </row>
    <row r="5" spans="1:19">
      <c r="A5" s="1">
        <v>42008</v>
      </c>
      <c r="B5">
        <v>116</v>
      </c>
      <c r="C5">
        <v>27</v>
      </c>
      <c r="D5">
        <v>89</v>
      </c>
      <c r="E5">
        <v>967350</v>
      </c>
      <c r="F5">
        <v>301600</v>
      </c>
      <c r="G5">
        <v>1268950</v>
      </c>
      <c r="H5">
        <v>3</v>
      </c>
      <c r="I5">
        <v>2</v>
      </c>
      <c r="J5">
        <v>5</v>
      </c>
      <c r="K5" t="b">
        <f>TrafficData[[#This Row],[disposedChallan]]+TrafficData[[#This Row],[pendingChallan]]=TrafficData[[#This Row],[totalChallan]]</f>
        <v>1</v>
      </c>
      <c r="L5" t="b">
        <f>TrafficData[[#This Row],[pendingAmount]]+TrafficData[[#This Row],[disposedAmount]]=TrafficData[[#This Row],[totalAmount]]</f>
        <v>1</v>
      </c>
      <c r="M5" t="b">
        <f>TrafficData[[#This Row],[pendingCourt]]+TrafficData[[#This Row],[disposedCourt]]=TrafficData[[#This Row],[totalCourt]]</f>
        <v>1</v>
      </c>
      <c r="N5" t="b">
        <f>AND(TrafficData[[#This Row],[disposedChallan]]&lt;=TrafficData[[#This Row],[totalChallan]],TrafficData[[#This Row],[pendingChallan]]&lt;=TrafficData[[#This Row],[totalChallan]])</f>
        <v>1</v>
      </c>
      <c r="O5" t="b">
        <f>AND(TrafficData[[#This Row],[pendingAmount]]&lt;=TrafficData[[#This Row],[totalAmount]],TrafficData[[#This Row],[disposedAmount]]&lt;=TrafficData[[#This Row],[totalAmount]])</f>
        <v>1</v>
      </c>
      <c r="P5" t="b">
        <f>AND(TrafficData[[#This Row],[pendingCourt]]&lt;=TrafficData[[#This Row],[totalCourt]],TrafficData[[#This Row],[disposedCourt]]&lt;=TrafficData[[#This Row],[totalCourt]])</f>
        <v>1</v>
      </c>
    </row>
    <row r="6" spans="1:19">
      <c r="A6" s="1">
        <v>42009</v>
      </c>
      <c r="B6">
        <v>162</v>
      </c>
      <c r="C6">
        <v>28</v>
      </c>
      <c r="D6">
        <v>134</v>
      </c>
      <c r="E6">
        <v>877654</v>
      </c>
      <c r="F6">
        <v>103000</v>
      </c>
      <c r="G6">
        <v>980654</v>
      </c>
      <c r="H6">
        <v>2</v>
      </c>
      <c r="I6">
        <v>0</v>
      </c>
      <c r="J6">
        <v>2</v>
      </c>
      <c r="K6" t="b">
        <f>TrafficData[[#This Row],[disposedChallan]]+TrafficData[[#This Row],[pendingChallan]]=TrafficData[[#This Row],[totalChallan]]</f>
        <v>1</v>
      </c>
      <c r="L6" t="b">
        <f>TrafficData[[#This Row],[pendingAmount]]+TrafficData[[#This Row],[disposedAmount]]=TrafficData[[#This Row],[totalAmount]]</f>
        <v>1</v>
      </c>
      <c r="M6" t="b">
        <f>TrafficData[[#This Row],[pendingCourt]]+TrafficData[[#This Row],[disposedCourt]]=TrafficData[[#This Row],[totalCourt]]</f>
        <v>1</v>
      </c>
      <c r="N6" t="b">
        <f>AND(TrafficData[[#This Row],[disposedChallan]]&lt;=TrafficData[[#This Row],[totalChallan]],TrafficData[[#This Row],[pendingChallan]]&lt;=TrafficData[[#This Row],[totalChallan]])</f>
        <v>1</v>
      </c>
      <c r="O6" t="b">
        <f>AND(TrafficData[[#This Row],[pendingAmount]]&lt;=TrafficData[[#This Row],[totalAmount]],TrafficData[[#This Row],[disposedAmount]]&lt;=TrafficData[[#This Row],[totalAmount]])</f>
        <v>1</v>
      </c>
      <c r="P6" t="b">
        <f>AND(TrafficData[[#This Row],[pendingCourt]]&lt;=TrafficData[[#This Row],[totalCourt]],TrafficData[[#This Row],[disposedCourt]]&lt;=TrafficData[[#This Row],[totalCourt]])</f>
        <v>1</v>
      </c>
    </row>
    <row r="7" spans="1:19">
      <c r="A7" s="1">
        <v>42010</v>
      </c>
      <c r="B7">
        <v>104</v>
      </c>
      <c r="C7">
        <v>24</v>
      </c>
      <c r="D7">
        <v>80</v>
      </c>
      <c r="E7">
        <v>597100</v>
      </c>
      <c r="F7">
        <v>149500</v>
      </c>
      <c r="G7">
        <v>746600</v>
      </c>
      <c r="H7">
        <v>2</v>
      </c>
      <c r="I7">
        <v>1</v>
      </c>
      <c r="J7">
        <v>3</v>
      </c>
      <c r="K7" t="b">
        <f>TrafficData[[#This Row],[disposedChallan]]+TrafficData[[#This Row],[pendingChallan]]=TrafficData[[#This Row],[totalChallan]]</f>
        <v>1</v>
      </c>
      <c r="L7" t="b">
        <f>TrafficData[[#This Row],[pendingAmount]]+TrafficData[[#This Row],[disposedAmount]]=TrafficData[[#This Row],[totalAmount]]</f>
        <v>1</v>
      </c>
      <c r="M7" t="b">
        <f>TrafficData[[#This Row],[pendingCourt]]+TrafficData[[#This Row],[disposedCourt]]=TrafficData[[#This Row],[totalCourt]]</f>
        <v>1</v>
      </c>
      <c r="N7" t="b">
        <f>AND(TrafficData[[#This Row],[disposedChallan]]&lt;=TrafficData[[#This Row],[totalChallan]],TrafficData[[#This Row],[pendingChallan]]&lt;=TrafficData[[#This Row],[totalChallan]])</f>
        <v>1</v>
      </c>
      <c r="O7" t="b">
        <f>AND(TrafficData[[#This Row],[pendingAmount]]&lt;=TrafficData[[#This Row],[totalAmount]],TrafficData[[#This Row],[disposedAmount]]&lt;=TrafficData[[#This Row],[totalAmount]])</f>
        <v>1</v>
      </c>
      <c r="P7" t="b">
        <f>AND(TrafficData[[#This Row],[pendingCourt]]&lt;=TrafficData[[#This Row],[totalCourt]],TrafficData[[#This Row],[disposedCourt]]&lt;=TrafficData[[#This Row],[totalCourt]])</f>
        <v>1</v>
      </c>
    </row>
    <row r="8" spans="1:19">
      <c r="A8" s="1">
        <v>42011</v>
      </c>
      <c r="B8">
        <v>108</v>
      </c>
      <c r="C8">
        <v>22</v>
      </c>
      <c r="D8">
        <v>86</v>
      </c>
      <c r="E8">
        <v>728650</v>
      </c>
      <c r="F8">
        <v>144600</v>
      </c>
      <c r="G8">
        <v>873250</v>
      </c>
      <c r="H8">
        <v>3</v>
      </c>
      <c r="I8">
        <v>1</v>
      </c>
      <c r="J8">
        <v>4</v>
      </c>
      <c r="K8" t="b">
        <f>TrafficData[[#This Row],[disposedChallan]]+TrafficData[[#This Row],[pendingChallan]]=TrafficData[[#This Row],[totalChallan]]</f>
        <v>1</v>
      </c>
      <c r="L8" t="b">
        <f>TrafficData[[#This Row],[pendingAmount]]+TrafficData[[#This Row],[disposedAmount]]=TrafficData[[#This Row],[totalAmount]]</f>
        <v>1</v>
      </c>
      <c r="M8" t="b">
        <f>TrafficData[[#This Row],[pendingCourt]]+TrafficData[[#This Row],[disposedCourt]]=TrafficData[[#This Row],[totalCourt]]</f>
        <v>1</v>
      </c>
      <c r="N8" t="b">
        <f>AND(TrafficData[[#This Row],[disposedChallan]]&lt;=TrafficData[[#This Row],[totalChallan]],TrafficData[[#This Row],[pendingChallan]]&lt;=TrafficData[[#This Row],[totalChallan]])</f>
        <v>1</v>
      </c>
      <c r="O8" t="b">
        <f>AND(TrafficData[[#This Row],[pendingAmount]]&lt;=TrafficData[[#This Row],[totalAmount]],TrafficData[[#This Row],[disposedAmount]]&lt;=TrafficData[[#This Row],[totalAmount]])</f>
        <v>1</v>
      </c>
      <c r="P8" s="4" t="b">
        <f>AND(TrafficData[[#This Row],[pendingCourt]]&lt;=TrafficData[[#This Row],[totalCourt]],TrafficData[[#This Row],[disposedCourt]]&lt;=TrafficData[[#This Row],[totalCourt]])</f>
        <v>1</v>
      </c>
    </row>
    <row r="9" spans="1:19">
      <c r="A9" s="1">
        <v>42012</v>
      </c>
      <c r="B9">
        <v>169</v>
      </c>
      <c r="C9">
        <v>37</v>
      </c>
      <c r="D9">
        <v>132</v>
      </c>
      <c r="E9">
        <v>886802</v>
      </c>
      <c r="F9">
        <v>156300</v>
      </c>
      <c r="G9">
        <v>1043102</v>
      </c>
      <c r="H9">
        <v>0</v>
      </c>
      <c r="I9">
        <v>0</v>
      </c>
      <c r="J9">
        <v>0</v>
      </c>
      <c r="K9" t="b">
        <f>TrafficData[[#This Row],[disposedChallan]]+TrafficData[[#This Row],[pendingChallan]]=TrafficData[[#This Row],[totalChallan]]</f>
        <v>1</v>
      </c>
      <c r="L9" t="b">
        <f>TrafficData[[#This Row],[pendingAmount]]+TrafficData[[#This Row],[disposedAmount]]=TrafficData[[#This Row],[totalAmount]]</f>
        <v>1</v>
      </c>
      <c r="M9" t="b">
        <f>TrafficData[[#This Row],[pendingCourt]]+TrafficData[[#This Row],[disposedCourt]]=TrafficData[[#This Row],[totalCourt]]</f>
        <v>1</v>
      </c>
      <c r="N9" t="b">
        <f>AND(TrafficData[[#This Row],[disposedChallan]]&lt;=TrafficData[[#This Row],[totalChallan]],TrafficData[[#This Row],[pendingChallan]]&lt;=TrafficData[[#This Row],[totalChallan]])</f>
        <v>1</v>
      </c>
      <c r="O9" t="b">
        <f>AND(TrafficData[[#This Row],[pendingAmount]]&lt;=TrafficData[[#This Row],[totalAmount]],TrafficData[[#This Row],[disposedAmount]]&lt;=TrafficData[[#This Row],[totalAmount]])</f>
        <v>1</v>
      </c>
      <c r="P9" t="b">
        <f>AND(TrafficData[[#This Row],[pendingCourt]]&lt;=TrafficData[[#This Row],[totalCourt]],TrafficData[[#This Row],[disposedCourt]]&lt;=TrafficData[[#This Row],[totalCourt]])</f>
        <v>1</v>
      </c>
    </row>
    <row r="10" spans="1:19">
      <c r="A10" s="1">
        <v>42013</v>
      </c>
      <c r="B10">
        <v>137</v>
      </c>
      <c r="C10">
        <v>30</v>
      </c>
      <c r="D10">
        <v>107</v>
      </c>
      <c r="E10">
        <v>852650</v>
      </c>
      <c r="F10">
        <v>282200</v>
      </c>
      <c r="G10">
        <v>1134850</v>
      </c>
      <c r="H10">
        <v>7</v>
      </c>
      <c r="I10">
        <v>0</v>
      </c>
      <c r="J10">
        <v>7</v>
      </c>
      <c r="K10" t="b">
        <f>TrafficData[[#This Row],[disposedChallan]]+TrafficData[[#This Row],[pendingChallan]]=TrafficData[[#This Row],[totalChallan]]</f>
        <v>1</v>
      </c>
      <c r="L10" t="b">
        <f>TrafficData[[#This Row],[pendingAmount]]+TrafficData[[#This Row],[disposedAmount]]=TrafficData[[#This Row],[totalAmount]]</f>
        <v>1</v>
      </c>
      <c r="M10" t="b">
        <f>TrafficData[[#This Row],[pendingCourt]]+TrafficData[[#This Row],[disposedCourt]]=TrafficData[[#This Row],[totalCourt]]</f>
        <v>1</v>
      </c>
      <c r="N10" t="b">
        <f>AND(TrafficData[[#This Row],[disposedChallan]]&lt;=TrafficData[[#This Row],[totalChallan]],TrafficData[[#This Row],[pendingChallan]]&lt;=TrafficData[[#This Row],[totalChallan]])</f>
        <v>1</v>
      </c>
      <c r="O10" t="b">
        <f>AND(TrafficData[[#This Row],[pendingAmount]]&lt;=TrafficData[[#This Row],[totalAmount]],TrafficData[[#This Row],[disposedAmount]]&lt;=TrafficData[[#This Row],[totalAmount]])</f>
        <v>1</v>
      </c>
      <c r="P10" t="b">
        <f>AND(TrafficData[[#This Row],[pendingCourt]]&lt;=TrafficData[[#This Row],[totalCourt]],TrafficData[[#This Row],[disposedCourt]]&lt;=TrafficData[[#This Row],[totalCourt]])</f>
        <v>1</v>
      </c>
    </row>
    <row r="11" spans="1:19">
      <c r="A11" s="1">
        <v>42014</v>
      </c>
      <c r="B11">
        <v>108</v>
      </c>
      <c r="C11">
        <v>35</v>
      </c>
      <c r="D11">
        <v>73</v>
      </c>
      <c r="E11">
        <v>668450</v>
      </c>
      <c r="F11">
        <v>183380</v>
      </c>
      <c r="G11">
        <v>851830</v>
      </c>
      <c r="H11">
        <v>6</v>
      </c>
      <c r="I11">
        <v>0</v>
      </c>
      <c r="J11">
        <v>6</v>
      </c>
      <c r="K11" t="b">
        <f>TrafficData[[#This Row],[disposedChallan]]+TrafficData[[#This Row],[pendingChallan]]=TrafficData[[#This Row],[totalChallan]]</f>
        <v>1</v>
      </c>
      <c r="L11" t="b">
        <f>TrafficData[[#This Row],[pendingAmount]]+TrafficData[[#This Row],[disposedAmount]]=TrafficData[[#This Row],[totalAmount]]</f>
        <v>1</v>
      </c>
      <c r="M11" t="b">
        <f>TrafficData[[#This Row],[pendingCourt]]+TrafficData[[#This Row],[disposedCourt]]=TrafficData[[#This Row],[totalCourt]]</f>
        <v>1</v>
      </c>
      <c r="N11" t="b">
        <f>AND(TrafficData[[#This Row],[disposedChallan]]&lt;=TrafficData[[#This Row],[totalChallan]],TrafficData[[#This Row],[pendingChallan]]&lt;=TrafficData[[#This Row],[totalChallan]])</f>
        <v>1</v>
      </c>
      <c r="O11" t="b">
        <f>AND(TrafficData[[#This Row],[pendingAmount]]&lt;=TrafficData[[#This Row],[totalAmount]],TrafficData[[#This Row],[disposedAmount]]&lt;=TrafficData[[#This Row],[totalAmount]])</f>
        <v>1</v>
      </c>
      <c r="P11" t="b">
        <f>AND(TrafficData[[#This Row],[pendingCourt]]&lt;=TrafficData[[#This Row],[totalCourt]],TrafficData[[#This Row],[disposedCourt]]&lt;=TrafficData[[#This Row],[totalCourt]])</f>
        <v>1</v>
      </c>
      <c r="S11" s="6"/>
    </row>
    <row r="12" spans="1:19">
      <c r="A12" s="1">
        <v>42015</v>
      </c>
      <c r="B12">
        <v>116</v>
      </c>
      <c r="C12">
        <v>18</v>
      </c>
      <c r="D12">
        <v>98</v>
      </c>
      <c r="E12">
        <v>809900</v>
      </c>
      <c r="F12">
        <v>109200</v>
      </c>
      <c r="G12">
        <v>919100</v>
      </c>
      <c r="H12">
        <v>3</v>
      </c>
      <c r="I12">
        <v>0</v>
      </c>
      <c r="J12">
        <v>3</v>
      </c>
      <c r="K12" t="b">
        <f>TrafficData[[#This Row],[disposedChallan]]+TrafficData[[#This Row],[pendingChallan]]=TrafficData[[#This Row],[totalChallan]]</f>
        <v>1</v>
      </c>
      <c r="L12" t="b">
        <f>TrafficData[[#This Row],[pendingAmount]]+TrafficData[[#This Row],[disposedAmount]]=TrafficData[[#This Row],[totalAmount]]</f>
        <v>1</v>
      </c>
      <c r="M12" t="b">
        <f>TrafficData[[#This Row],[pendingCourt]]+TrafficData[[#This Row],[disposedCourt]]=TrafficData[[#This Row],[totalCourt]]</f>
        <v>1</v>
      </c>
      <c r="N12" t="b">
        <f>AND(TrafficData[[#This Row],[disposedChallan]]&lt;=TrafficData[[#This Row],[totalChallan]],TrafficData[[#This Row],[pendingChallan]]&lt;=TrafficData[[#This Row],[totalChallan]])</f>
        <v>1</v>
      </c>
      <c r="O12" t="b">
        <f>AND(TrafficData[[#This Row],[pendingAmount]]&lt;=TrafficData[[#This Row],[totalAmount]],TrafficData[[#This Row],[disposedAmount]]&lt;=TrafficData[[#This Row],[totalAmount]])</f>
        <v>1</v>
      </c>
      <c r="P12" t="b">
        <f>AND(TrafficData[[#This Row],[pendingCourt]]&lt;=TrafficData[[#This Row],[totalCourt]],TrafficData[[#This Row],[disposedCourt]]&lt;=TrafficData[[#This Row],[totalCourt]])</f>
        <v>1</v>
      </c>
      <c r="S12" s="6"/>
    </row>
    <row r="13" spans="1:19">
      <c r="A13" s="1">
        <v>42016</v>
      </c>
      <c r="B13">
        <v>130</v>
      </c>
      <c r="C13">
        <v>19</v>
      </c>
      <c r="D13">
        <v>111</v>
      </c>
      <c r="E13">
        <v>650150</v>
      </c>
      <c r="F13">
        <v>85600</v>
      </c>
      <c r="G13">
        <v>735750</v>
      </c>
      <c r="H13">
        <v>1</v>
      </c>
      <c r="I13">
        <v>1</v>
      </c>
      <c r="J13">
        <v>2</v>
      </c>
      <c r="K13" t="b">
        <f>TrafficData[[#This Row],[disposedChallan]]+TrafficData[[#This Row],[pendingChallan]]=TrafficData[[#This Row],[totalChallan]]</f>
        <v>1</v>
      </c>
      <c r="L13" t="b">
        <f>TrafficData[[#This Row],[pendingAmount]]+TrafficData[[#This Row],[disposedAmount]]=TrafficData[[#This Row],[totalAmount]]</f>
        <v>1</v>
      </c>
      <c r="M13" t="b">
        <f>TrafficData[[#This Row],[pendingCourt]]+TrafficData[[#This Row],[disposedCourt]]=TrafficData[[#This Row],[totalCourt]]</f>
        <v>1</v>
      </c>
      <c r="N13" t="b">
        <f>AND(TrafficData[[#This Row],[disposedChallan]]&lt;=TrafficData[[#This Row],[totalChallan]],TrafficData[[#This Row],[pendingChallan]]&lt;=TrafficData[[#This Row],[totalChallan]])</f>
        <v>1</v>
      </c>
      <c r="O13" t="b">
        <f>AND(TrafficData[[#This Row],[pendingAmount]]&lt;=TrafficData[[#This Row],[totalAmount]],TrafficData[[#This Row],[disposedAmount]]&lt;=TrafficData[[#This Row],[totalAmount]])</f>
        <v>1</v>
      </c>
      <c r="P13" t="b">
        <f>AND(TrafficData[[#This Row],[pendingCourt]]&lt;=TrafficData[[#This Row],[totalCourt]],TrafficData[[#This Row],[disposedCourt]]&lt;=TrafficData[[#This Row],[totalCourt]])</f>
        <v>1</v>
      </c>
      <c r="S13" s="5"/>
    </row>
    <row r="14" spans="1:19">
      <c r="A14" s="1">
        <v>42017</v>
      </c>
      <c r="B14">
        <v>115</v>
      </c>
      <c r="C14">
        <v>24</v>
      </c>
      <c r="D14">
        <v>91</v>
      </c>
      <c r="E14">
        <v>579000</v>
      </c>
      <c r="F14">
        <v>83235</v>
      </c>
      <c r="G14">
        <v>662235</v>
      </c>
      <c r="H14">
        <v>8</v>
      </c>
      <c r="I14">
        <v>3</v>
      </c>
      <c r="J14">
        <v>11</v>
      </c>
      <c r="K14" t="b">
        <f>TrafficData[[#This Row],[disposedChallan]]+TrafficData[[#This Row],[pendingChallan]]=TrafficData[[#This Row],[totalChallan]]</f>
        <v>1</v>
      </c>
      <c r="L14" t="b">
        <f>TrafficData[[#This Row],[pendingAmount]]+TrafficData[[#This Row],[disposedAmount]]=TrafficData[[#This Row],[totalAmount]]</f>
        <v>1</v>
      </c>
      <c r="M14" t="b">
        <f>TrafficData[[#This Row],[pendingCourt]]+TrafficData[[#This Row],[disposedCourt]]=TrafficData[[#This Row],[totalCourt]]</f>
        <v>1</v>
      </c>
      <c r="N14" t="b">
        <f>AND(TrafficData[[#This Row],[disposedChallan]]&lt;=TrafficData[[#This Row],[totalChallan]],TrafficData[[#This Row],[pendingChallan]]&lt;=TrafficData[[#This Row],[totalChallan]])</f>
        <v>1</v>
      </c>
      <c r="O14" t="b">
        <f>AND(TrafficData[[#This Row],[pendingAmount]]&lt;=TrafficData[[#This Row],[totalAmount]],TrafficData[[#This Row],[disposedAmount]]&lt;=TrafficData[[#This Row],[totalAmount]])</f>
        <v>1</v>
      </c>
      <c r="P14" t="b">
        <f>AND(TrafficData[[#This Row],[pendingCourt]]&lt;=TrafficData[[#This Row],[totalCourt]],TrafficData[[#This Row],[disposedCourt]]&lt;=TrafficData[[#This Row],[totalCourt]])</f>
        <v>1</v>
      </c>
      <c r="S14" s="6"/>
    </row>
    <row r="15" spans="1:19">
      <c r="A15" s="1">
        <v>42018</v>
      </c>
      <c r="B15">
        <v>68</v>
      </c>
      <c r="C15">
        <v>15</v>
      </c>
      <c r="D15">
        <v>53</v>
      </c>
      <c r="E15">
        <v>352850</v>
      </c>
      <c r="F15">
        <v>77050</v>
      </c>
      <c r="G15">
        <v>429900</v>
      </c>
      <c r="H15">
        <v>6</v>
      </c>
      <c r="I15">
        <v>0</v>
      </c>
      <c r="J15">
        <v>6</v>
      </c>
      <c r="K15" t="b">
        <f>TrafficData[[#This Row],[disposedChallan]]+TrafficData[[#This Row],[pendingChallan]]=TrafficData[[#This Row],[totalChallan]]</f>
        <v>1</v>
      </c>
      <c r="L15" t="b">
        <f>TrafficData[[#This Row],[pendingAmount]]+TrafficData[[#This Row],[disposedAmount]]=TrafficData[[#This Row],[totalAmount]]</f>
        <v>1</v>
      </c>
      <c r="M15" t="b">
        <f>TrafficData[[#This Row],[pendingCourt]]+TrafficData[[#This Row],[disposedCourt]]=TrafficData[[#This Row],[totalCourt]]</f>
        <v>1</v>
      </c>
      <c r="N15" t="b">
        <f>AND(TrafficData[[#This Row],[disposedChallan]]&lt;=TrafficData[[#This Row],[totalChallan]],TrafficData[[#This Row],[pendingChallan]]&lt;=TrafficData[[#This Row],[totalChallan]])</f>
        <v>1</v>
      </c>
      <c r="O15" t="b">
        <f>AND(TrafficData[[#This Row],[pendingAmount]]&lt;=TrafficData[[#This Row],[totalAmount]],TrafficData[[#This Row],[disposedAmount]]&lt;=TrafficData[[#This Row],[totalAmount]])</f>
        <v>1</v>
      </c>
      <c r="P15" t="b">
        <f>AND(TrafficData[[#This Row],[pendingCourt]]&lt;=TrafficData[[#This Row],[totalCourt]],TrafficData[[#This Row],[disposedCourt]]&lt;=TrafficData[[#This Row],[totalCourt]])</f>
        <v>1</v>
      </c>
      <c r="S15" s="6"/>
    </row>
    <row r="16" spans="1:19">
      <c r="A16" s="1">
        <v>42019</v>
      </c>
      <c r="B16">
        <v>116</v>
      </c>
      <c r="C16">
        <v>30</v>
      </c>
      <c r="D16">
        <v>86</v>
      </c>
      <c r="E16">
        <v>650400</v>
      </c>
      <c r="F16">
        <v>148100</v>
      </c>
      <c r="G16">
        <v>798500</v>
      </c>
      <c r="H16">
        <v>1</v>
      </c>
      <c r="I16">
        <v>0</v>
      </c>
      <c r="J16">
        <v>1</v>
      </c>
      <c r="K16" t="b">
        <f>TrafficData[[#This Row],[disposedChallan]]+TrafficData[[#This Row],[pendingChallan]]=TrafficData[[#This Row],[totalChallan]]</f>
        <v>1</v>
      </c>
      <c r="L16" t="b">
        <f>TrafficData[[#This Row],[pendingAmount]]+TrafficData[[#This Row],[disposedAmount]]=TrafficData[[#This Row],[totalAmount]]</f>
        <v>1</v>
      </c>
      <c r="M16" t="b">
        <f>TrafficData[[#This Row],[pendingCourt]]+TrafficData[[#This Row],[disposedCourt]]=TrafficData[[#This Row],[totalCourt]]</f>
        <v>1</v>
      </c>
      <c r="N16" t="b">
        <f>AND(TrafficData[[#This Row],[disposedChallan]]&lt;=TrafficData[[#This Row],[totalChallan]],TrafficData[[#This Row],[pendingChallan]]&lt;=TrafficData[[#This Row],[totalChallan]])</f>
        <v>1</v>
      </c>
      <c r="O16" t="b">
        <f>AND(TrafficData[[#This Row],[pendingAmount]]&lt;=TrafficData[[#This Row],[totalAmount]],TrafficData[[#This Row],[disposedAmount]]&lt;=TrafficData[[#This Row],[totalAmount]])</f>
        <v>1</v>
      </c>
      <c r="P16" t="b">
        <f>AND(TrafficData[[#This Row],[pendingCourt]]&lt;=TrafficData[[#This Row],[totalCourt]],TrafficData[[#This Row],[disposedCourt]]&lt;=TrafficData[[#This Row],[totalCourt]])</f>
        <v>1</v>
      </c>
      <c r="S16" s="5"/>
    </row>
    <row r="17" spans="1:19">
      <c r="A17" s="1">
        <v>42020</v>
      </c>
      <c r="B17">
        <v>148</v>
      </c>
      <c r="C17">
        <v>27</v>
      </c>
      <c r="D17">
        <v>121</v>
      </c>
      <c r="E17">
        <v>555800</v>
      </c>
      <c r="F17">
        <v>53800</v>
      </c>
      <c r="G17">
        <v>609600</v>
      </c>
      <c r="H17">
        <v>1</v>
      </c>
      <c r="I17">
        <v>1</v>
      </c>
      <c r="J17">
        <v>2</v>
      </c>
      <c r="K17" t="b">
        <f>TrafficData[[#This Row],[disposedChallan]]+TrafficData[[#This Row],[pendingChallan]]=TrafficData[[#This Row],[totalChallan]]</f>
        <v>1</v>
      </c>
      <c r="L17" t="b">
        <f>TrafficData[[#This Row],[pendingAmount]]+TrafficData[[#This Row],[disposedAmount]]=TrafficData[[#This Row],[totalAmount]]</f>
        <v>1</v>
      </c>
      <c r="M17" t="b">
        <f>TrafficData[[#This Row],[pendingCourt]]+TrafficData[[#This Row],[disposedCourt]]=TrafficData[[#This Row],[totalCourt]]</f>
        <v>1</v>
      </c>
      <c r="N17" t="b">
        <f>AND(TrafficData[[#This Row],[disposedChallan]]&lt;=TrafficData[[#This Row],[totalChallan]],TrafficData[[#This Row],[pendingChallan]]&lt;=TrafficData[[#This Row],[totalChallan]])</f>
        <v>1</v>
      </c>
      <c r="O17" t="b">
        <f>AND(TrafficData[[#This Row],[pendingAmount]]&lt;=TrafficData[[#This Row],[totalAmount]],TrafficData[[#This Row],[disposedAmount]]&lt;=TrafficData[[#This Row],[totalAmount]])</f>
        <v>1</v>
      </c>
      <c r="P17" t="b">
        <f>AND(TrafficData[[#This Row],[pendingCourt]]&lt;=TrafficData[[#This Row],[totalCourt]],TrafficData[[#This Row],[disposedCourt]]&lt;=TrafficData[[#This Row],[totalCourt]])</f>
        <v>1</v>
      </c>
      <c r="S17" s="6"/>
    </row>
    <row r="18" spans="1:19">
      <c r="A18" s="1">
        <v>42021</v>
      </c>
      <c r="B18">
        <v>128</v>
      </c>
      <c r="C18">
        <v>37</v>
      </c>
      <c r="D18">
        <v>91</v>
      </c>
      <c r="E18">
        <v>610100</v>
      </c>
      <c r="F18">
        <v>137800</v>
      </c>
      <c r="G18">
        <v>747900</v>
      </c>
      <c r="H18">
        <v>2</v>
      </c>
      <c r="I18">
        <v>2</v>
      </c>
      <c r="J18">
        <v>4</v>
      </c>
      <c r="K18" t="b">
        <f>TrafficData[[#This Row],[disposedChallan]]+TrafficData[[#This Row],[pendingChallan]]=TrafficData[[#This Row],[totalChallan]]</f>
        <v>1</v>
      </c>
      <c r="L18" t="b">
        <f>TrafficData[[#This Row],[pendingAmount]]+TrafficData[[#This Row],[disposedAmount]]=TrafficData[[#This Row],[totalAmount]]</f>
        <v>1</v>
      </c>
      <c r="M18" t="b">
        <f>TrafficData[[#This Row],[pendingCourt]]+TrafficData[[#This Row],[disposedCourt]]=TrafficData[[#This Row],[totalCourt]]</f>
        <v>1</v>
      </c>
      <c r="N18" t="b">
        <f>AND(TrafficData[[#This Row],[disposedChallan]]&lt;=TrafficData[[#This Row],[totalChallan]],TrafficData[[#This Row],[pendingChallan]]&lt;=TrafficData[[#This Row],[totalChallan]])</f>
        <v>1</v>
      </c>
      <c r="O18" t="b">
        <f>AND(TrafficData[[#This Row],[pendingAmount]]&lt;=TrafficData[[#This Row],[totalAmount]],TrafficData[[#This Row],[disposedAmount]]&lt;=TrafficData[[#This Row],[totalAmount]])</f>
        <v>1</v>
      </c>
      <c r="P18" t="b">
        <f>AND(TrafficData[[#This Row],[pendingCourt]]&lt;=TrafficData[[#This Row],[totalCourt]],TrafficData[[#This Row],[disposedCourt]]&lt;=TrafficData[[#This Row],[totalCourt]])</f>
        <v>1</v>
      </c>
      <c r="S18" s="6"/>
    </row>
    <row r="19" spans="1:19">
      <c r="A19" s="1">
        <v>42022</v>
      </c>
      <c r="B19">
        <v>84</v>
      </c>
      <c r="C19">
        <v>22</v>
      </c>
      <c r="D19">
        <v>62</v>
      </c>
      <c r="E19">
        <v>450350</v>
      </c>
      <c r="F19">
        <v>52300</v>
      </c>
      <c r="G19">
        <v>502650</v>
      </c>
      <c r="H19">
        <v>1</v>
      </c>
      <c r="I19">
        <v>1</v>
      </c>
      <c r="J19">
        <v>2</v>
      </c>
      <c r="K19" t="b">
        <f>TrafficData[[#This Row],[disposedChallan]]+TrafficData[[#This Row],[pendingChallan]]=TrafficData[[#This Row],[totalChallan]]</f>
        <v>1</v>
      </c>
      <c r="L19" t="b">
        <f>TrafficData[[#This Row],[pendingAmount]]+TrafficData[[#This Row],[disposedAmount]]=TrafficData[[#This Row],[totalAmount]]</f>
        <v>1</v>
      </c>
      <c r="M19" t="b">
        <f>TrafficData[[#This Row],[pendingCourt]]+TrafficData[[#This Row],[disposedCourt]]=TrafficData[[#This Row],[totalCourt]]</f>
        <v>1</v>
      </c>
      <c r="N19" t="b">
        <f>AND(TrafficData[[#This Row],[disposedChallan]]&lt;=TrafficData[[#This Row],[totalChallan]],TrafficData[[#This Row],[pendingChallan]]&lt;=TrafficData[[#This Row],[totalChallan]])</f>
        <v>1</v>
      </c>
      <c r="O19" t="b">
        <f>AND(TrafficData[[#This Row],[pendingAmount]]&lt;=TrafficData[[#This Row],[totalAmount]],TrafficData[[#This Row],[disposedAmount]]&lt;=TrafficData[[#This Row],[totalAmount]])</f>
        <v>1</v>
      </c>
      <c r="P19" t="b">
        <f>AND(TrafficData[[#This Row],[pendingCourt]]&lt;=TrafficData[[#This Row],[totalCourt]],TrafficData[[#This Row],[disposedCourt]]&lt;=TrafficData[[#This Row],[totalCourt]])</f>
        <v>1</v>
      </c>
      <c r="S19" s="5"/>
    </row>
    <row r="20" spans="1:19">
      <c r="A20" s="1">
        <v>42023</v>
      </c>
      <c r="B20">
        <v>134</v>
      </c>
      <c r="C20">
        <v>32</v>
      </c>
      <c r="D20">
        <v>102</v>
      </c>
      <c r="E20">
        <v>567500</v>
      </c>
      <c r="F20">
        <v>130900</v>
      </c>
      <c r="G20">
        <v>698400</v>
      </c>
      <c r="H20">
        <v>7</v>
      </c>
      <c r="I20">
        <v>2</v>
      </c>
      <c r="J20">
        <v>9</v>
      </c>
      <c r="K20" t="b">
        <f>TrafficData[[#This Row],[disposedChallan]]+TrafficData[[#This Row],[pendingChallan]]=TrafficData[[#This Row],[totalChallan]]</f>
        <v>1</v>
      </c>
      <c r="L20" t="b">
        <f>TrafficData[[#This Row],[pendingAmount]]+TrafficData[[#This Row],[disposedAmount]]=TrafficData[[#This Row],[totalAmount]]</f>
        <v>1</v>
      </c>
      <c r="M20" t="b">
        <f>TrafficData[[#This Row],[pendingCourt]]+TrafficData[[#This Row],[disposedCourt]]=TrafficData[[#This Row],[totalCourt]]</f>
        <v>1</v>
      </c>
      <c r="N20" t="b">
        <f>AND(TrafficData[[#This Row],[disposedChallan]]&lt;=TrafficData[[#This Row],[totalChallan]],TrafficData[[#This Row],[pendingChallan]]&lt;=TrafficData[[#This Row],[totalChallan]])</f>
        <v>1</v>
      </c>
      <c r="O20" t="b">
        <f>AND(TrafficData[[#This Row],[pendingAmount]]&lt;=TrafficData[[#This Row],[totalAmount]],TrafficData[[#This Row],[disposedAmount]]&lt;=TrafficData[[#This Row],[totalAmount]])</f>
        <v>1</v>
      </c>
      <c r="P20" t="b">
        <f>AND(TrafficData[[#This Row],[pendingCourt]]&lt;=TrafficData[[#This Row],[totalCourt]],TrafficData[[#This Row],[disposedCourt]]&lt;=TrafficData[[#This Row],[totalCourt]])</f>
        <v>1</v>
      </c>
      <c r="S20" s="6"/>
    </row>
    <row r="21" spans="1:19">
      <c r="A21" s="1">
        <v>42024</v>
      </c>
      <c r="B21">
        <v>137</v>
      </c>
      <c r="C21">
        <v>33</v>
      </c>
      <c r="D21">
        <v>104</v>
      </c>
      <c r="E21">
        <v>584350</v>
      </c>
      <c r="F21">
        <v>158600</v>
      </c>
      <c r="G21">
        <v>742950</v>
      </c>
      <c r="H21">
        <v>7</v>
      </c>
      <c r="I21">
        <v>0</v>
      </c>
      <c r="J21">
        <v>7</v>
      </c>
      <c r="K21" t="b">
        <f>TrafficData[[#This Row],[disposedChallan]]+TrafficData[[#This Row],[pendingChallan]]=TrafficData[[#This Row],[totalChallan]]</f>
        <v>1</v>
      </c>
      <c r="L21" t="b">
        <f>TrafficData[[#This Row],[pendingAmount]]+TrafficData[[#This Row],[disposedAmount]]=TrafficData[[#This Row],[totalAmount]]</f>
        <v>1</v>
      </c>
      <c r="M21" t="b">
        <f>TrafficData[[#This Row],[pendingCourt]]+TrafficData[[#This Row],[disposedCourt]]=TrafficData[[#This Row],[totalCourt]]</f>
        <v>1</v>
      </c>
      <c r="N21" t="b">
        <f>AND(TrafficData[[#This Row],[disposedChallan]]&lt;=TrafficData[[#This Row],[totalChallan]],TrafficData[[#This Row],[pendingChallan]]&lt;=TrafficData[[#This Row],[totalChallan]])</f>
        <v>1</v>
      </c>
      <c r="O21" t="b">
        <f>AND(TrafficData[[#This Row],[pendingAmount]]&lt;=TrafficData[[#This Row],[totalAmount]],TrafficData[[#This Row],[disposedAmount]]&lt;=TrafficData[[#This Row],[totalAmount]])</f>
        <v>1</v>
      </c>
      <c r="P21" t="b">
        <f>AND(TrafficData[[#This Row],[pendingCourt]]&lt;=TrafficData[[#This Row],[totalCourt]],TrafficData[[#This Row],[disposedCourt]]&lt;=TrafficData[[#This Row],[totalCourt]])</f>
        <v>1</v>
      </c>
      <c r="S21" s="6"/>
    </row>
    <row r="22" spans="1:19">
      <c r="A22" s="1">
        <v>42025</v>
      </c>
      <c r="B22">
        <v>112</v>
      </c>
      <c r="C22">
        <v>23</v>
      </c>
      <c r="D22">
        <v>89</v>
      </c>
      <c r="E22">
        <v>634749</v>
      </c>
      <c r="F22">
        <v>56400</v>
      </c>
      <c r="G22">
        <v>691149</v>
      </c>
      <c r="H22">
        <v>2</v>
      </c>
      <c r="I22">
        <v>0</v>
      </c>
      <c r="J22">
        <v>2</v>
      </c>
      <c r="K22" t="b">
        <f>TrafficData[[#This Row],[disposedChallan]]+TrafficData[[#This Row],[pendingChallan]]=TrafficData[[#This Row],[totalChallan]]</f>
        <v>1</v>
      </c>
      <c r="L22" t="b">
        <f>TrafficData[[#This Row],[pendingAmount]]+TrafficData[[#This Row],[disposedAmount]]=TrafficData[[#This Row],[totalAmount]]</f>
        <v>1</v>
      </c>
      <c r="M22" t="b">
        <f>TrafficData[[#This Row],[pendingCourt]]+TrafficData[[#This Row],[disposedCourt]]=TrafficData[[#This Row],[totalCourt]]</f>
        <v>1</v>
      </c>
      <c r="N22" t="b">
        <f>AND(TrafficData[[#This Row],[disposedChallan]]&lt;=TrafficData[[#This Row],[totalChallan]],TrafficData[[#This Row],[pendingChallan]]&lt;=TrafficData[[#This Row],[totalChallan]])</f>
        <v>1</v>
      </c>
      <c r="O22" t="b">
        <f>AND(TrafficData[[#This Row],[pendingAmount]]&lt;=TrafficData[[#This Row],[totalAmount]],TrafficData[[#This Row],[disposedAmount]]&lt;=TrafficData[[#This Row],[totalAmount]])</f>
        <v>1</v>
      </c>
      <c r="P22" t="b">
        <f>AND(TrafficData[[#This Row],[pendingCourt]]&lt;=TrafficData[[#This Row],[totalCourt]],TrafficData[[#This Row],[disposedCourt]]&lt;=TrafficData[[#This Row],[totalCourt]])</f>
        <v>1</v>
      </c>
      <c r="S22" s="5"/>
    </row>
    <row r="23" spans="1:19">
      <c r="A23" s="1">
        <v>42026</v>
      </c>
      <c r="B23">
        <v>130</v>
      </c>
      <c r="C23">
        <v>27</v>
      </c>
      <c r="D23">
        <v>103</v>
      </c>
      <c r="E23">
        <v>670600</v>
      </c>
      <c r="F23">
        <v>106800</v>
      </c>
      <c r="G23">
        <v>777400</v>
      </c>
      <c r="H23">
        <v>2</v>
      </c>
      <c r="I23">
        <v>3</v>
      </c>
      <c r="J23">
        <v>5</v>
      </c>
      <c r="K23" t="b">
        <f>TrafficData[[#This Row],[disposedChallan]]+TrafficData[[#This Row],[pendingChallan]]=TrafficData[[#This Row],[totalChallan]]</f>
        <v>1</v>
      </c>
      <c r="L23" t="b">
        <f>TrafficData[[#This Row],[pendingAmount]]+TrafficData[[#This Row],[disposedAmount]]=TrafficData[[#This Row],[totalAmount]]</f>
        <v>1</v>
      </c>
      <c r="M23" t="b">
        <f>TrafficData[[#This Row],[pendingCourt]]+TrafficData[[#This Row],[disposedCourt]]=TrafficData[[#This Row],[totalCourt]]</f>
        <v>1</v>
      </c>
      <c r="N23" t="b">
        <f>AND(TrafficData[[#This Row],[disposedChallan]]&lt;=TrafficData[[#This Row],[totalChallan]],TrafficData[[#This Row],[pendingChallan]]&lt;=TrafficData[[#This Row],[totalChallan]])</f>
        <v>1</v>
      </c>
      <c r="O23" t="b">
        <f>AND(TrafficData[[#This Row],[pendingAmount]]&lt;=TrafficData[[#This Row],[totalAmount]],TrafficData[[#This Row],[disposedAmount]]&lt;=TrafficData[[#This Row],[totalAmount]])</f>
        <v>1</v>
      </c>
      <c r="P23" t="b">
        <f>AND(TrafficData[[#This Row],[pendingCourt]]&lt;=TrafficData[[#This Row],[totalCourt]],TrafficData[[#This Row],[disposedCourt]]&lt;=TrafficData[[#This Row],[totalCourt]])</f>
        <v>1</v>
      </c>
      <c r="S23" s="6"/>
    </row>
    <row r="24" spans="1:19">
      <c r="A24" s="1">
        <v>42027</v>
      </c>
      <c r="B24">
        <v>93</v>
      </c>
      <c r="C24">
        <v>25</v>
      </c>
      <c r="D24">
        <v>68</v>
      </c>
      <c r="E24">
        <v>354000</v>
      </c>
      <c r="F24">
        <v>179550</v>
      </c>
      <c r="G24">
        <v>533550</v>
      </c>
      <c r="H24">
        <v>7</v>
      </c>
      <c r="I24">
        <v>0</v>
      </c>
      <c r="J24">
        <v>7</v>
      </c>
      <c r="K24" t="b">
        <f>TrafficData[[#This Row],[disposedChallan]]+TrafficData[[#This Row],[pendingChallan]]=TrafficData[[#This Row],[totalChallan]]</f>
        <v>1</v>
      </c>
      <c r="L24" t="b">
        <f>TrafficData[[#This Row],[pendingAmount]]+TrafficData[[#This Row],[disposedAmount]]=TrafficData[[#This Row],[totalAmount]]</f>
        <v>1</v>
      </c>
      <c r="M24" t="b">
        <f>TrafficData[[#This Row],[pendingCourt]]+TrafficData[[#This Row],[disposedCourt]]=TrafficData[[#This Row],[totalCourt]]</f>
        <v>1</v>
      </c>
      <c r="N24" t="b">
        <f>AND(TrafficData[[#This Row],[disposedChallan]]&lt;=TrafficData[[#This Row],[totalChallan]],TrafficData[[#This Row],[pendingChallan]]&lt;=TrafficData[[#This Row],[totalChallan]])</f>
        <v>1</v>
      </c>
      <c r="O24" t="b">
        <f>AND(TrafficData[[#This Row],[pendingAmount]]&lt;=TrafficData[[#This Row],[totalAmount]],TrafficData[[#This Row],[disposedAmount]]&lt;=TrafficData[[#This Row],[totalAmount]])</f>
        <v>1</v>
      </c>
      <c r="P24" t="b">
        <f>AND(TrafficData[[#This Row],[pendingCourt]]&lt;=TrafficData[[#This Row],[totalCourt]],TrafficData[[#This Row],[disposedCourt]]&lt;=TrafficData[[#This Row],[totalCourt]])</f>
        <v>1</v>
      </c>
      <c r="S24" s="6"/>
    </row>
    <row r="25" spans="1:19">
      <c r="A25" s="1">
        <v>42028</v>
      </c>
      <c r="B25">
        <v>74</v>
      </c>
      <c r="C25">
        <v>17</v>
      </c>
      <c r="D25">
        <v>57</v>
      </c>
      <c r="E25">
        <v>447450</v>
      </c>
      <c r="F25">
        <v>90800</v>
      </c>
      <c r="G25">
        <v>538250</v>
      </c>
      <c r="H25">
        <v>2</v>
      </c>
      <c r="I25">
        <v>1</v>
      </c>
      <c r="J25">
        <v>3</v>
      </c>
      <c r="K25" t="b">
        <f>TrafficData[[#This Row],[disposedChallan]]+TrafficData[[#This Row],[pendingChallan]]=TrafficData[[#This Row],[totalChallan]]</f>
        <v>1</v>
      </c>
      <c r="L25" t="b">
        <f>TrafficData[[#This Row],[pendingAmount]]+TrafficData[[#This Row],[disposedAmount]]=TrafficData[[#This Row],[totalAmount]]</f>
        <v>1</v>
      </c>
      <c r="M25" t="b">
        <f>TrafficData[[#This Row],[pendingCourt]]+TrafficData[[#This Row],[disposedCourt]]=TrafficData[[#This Row],[totalCourt]]</f>
        <v>1</v>
      </c>
      <c r="N25" t="b">
        <f>AND(TrafficData[[#This Row],[disposedChallan]]&lt;=TrafficData[[#This Row],[totalChallan]],TrafficData[[#This Row],[pendingChallan]]&lt;=TrafficData[[#This Row],[totalChallan]])</f>
        <v>1</v>
      </c>
      <c r="O25" t="b">
        <f>AND(TrafficData[[#This Row],[pendingAmount]]&lt;=TrafficData[[#This Row],[totalAmount]],TrafficData[[#This Row],[disposedAmount]]&lt;=TrafficData[[#This Row],[totalAmount]])</f>
        <v>1</v>
      </c>
      <c r="P25" t="b">
        <f>AND(TrafficData[[#This Row],[pendingCourt]]&lt;=TrafficData[[#This Row],[totalCourt]],TrafficData[[#This Row],[disposedCourt]]&lt;=TrafficData[[#This Row],[totalCourt]])</f>
        <v>1</v>
      </c>
      <c r="S25" s="5"/>
    </row>
    <row r="26" spans="1:19">
      <c r="A26" s="1">
        <v>42029</v>
      </c>
      <c r="B26">
        <v>97</v>
      </c>
      <c r="C26">
        <v>30</v>
      </c>
      <c r="D26">
        <v>67</v>
      </c>
      <c r="E26">
        <v>617050</v>
      </c>
      <c r="F26">
        <v>161700</v>
      </c>
      <c r="G26">
        <v>778750</v>
      </c>
      <c r="H26">
        <v>2</v>
      </c>
      <c r="I26">
        <v>0</v>
      </c>
      <c r="J26">
        <v>2</v>
      </c>
      <c r="K26" t="b">
        <f>TrafficData[[#This Row],[disposedChallan]]+TrafficData[[#This Row],[pendingChallan]]=TrafficData[[#This Row],[totalChallan]]</f>
        <v>1</v>
      </c>
      <c r="L26" t="b">
        <f>TrafficData[[#This Row],[pendingAmount]]+TrafficData[[#This Row],[disposedAmount]]=TrafficData[[#This Row],[totalAmount]]</f>
        <v>1</v>
      </c>
      <c r="M26" t="b">
        <f>TrafficData[[#This Row],[pendingCourt]]+TrafficData[[#This Row],[disposedCourt]]=TrafficData[[#This Row],[totalCourt]]</f>
        <v>1</v>
      </c>
      <c r="N26" t="b">
        <f>AND(TrafficData[[#This Row],[disposedChallan]]&lt;=TrafficData[[#This Row],[totalChallan]],TrafficData[[#This Row],[pendingChallan]]&lt;=TrafficData[[#This Row],[totalChallan]])</f>
        <v>1</v>
      </c>
      <c r="O26" t="b">
        <f>AND(TrafficData[[#This Row],[pendingAmount]]&lt;=TrafficData[[#This Row],[totalAmount]],TrafficData[[#This Row],[disposedAmount]]&lt;=TrafficData[[#This Row],[totalAmount]])</f>
        <v>1</v>
      </c>
      <c r="P26" t="b">
        <f>AND(TrafficData[[#This Row],[pendingCourt]]&lt;=TrafficData[[#This Row],[totalCourt]],TrafficData[[#This Row],[disposedCourt]]&lt;=TrafficData[[#This Row],[totalCourt]])</f>
        <v>1</v>
      </c>
      <c r="S26" s="6"/>
    </row>
    <row r="27" spans="1:19">
      <c r="A27" s="1">
        <v>42030</v>
      </c>
      <c r="B27">
        <v>75</v>
      </c>
      <c r="C27">
        <v>13</v>
      </c>
      <c r="D27">
        <v>62</v>
      </c>
      <c r="E27">
        <v>410350</v>
      </c>
      <c r="F27">
        <v>43250</v>
      </c>
      <c r="G27">
        <v>453600</v>
      </c>
      <c r="H27">
        <v>2</v>
      </c>
      <c r="I27">
        <v>0</v>
      </c>
      <c r="J27">
        <v>2</v>
      </c>
      <c r="K27" t="b">
        <f>TrafficData[[#This Row],[disposedChallan]]+TrafficData[[#This Row],[pendingChallan]]=TrafficData[[#This Row],[totalChallan]]</f>
        <v>1</v>
      </c>
      <c r="L27" t="b">
        <f>TrafficData[[#This Row],[pendingAmount]]+TrafficData[[#This Row],[disposedAmount]]=TrafficData[[#This Row],[totalAmount]]</f>
        <v>1</v>
      </c>
      <c r="M27" t="b">
        <f>TrafficData[[#This Row],[pendingCourt]]+TrafficData[[#This Row],[disposedCourt]]=TrafficData[[#This Row],[totalCourt]]</f>
        <v>1</v>
      </c>
      <c r="N27" t="b">
        <f>AND(TrafficData[[#This Row],[disposedChallan]]&lt;=TrafficData[[#This Row],[totalChallan]],TrafficData[[#This Row],[pendingChallan]]&lt;=TrafficData[[#This Row],[totalChallan]])</f>
        <v>1</v>
      </c>
      <c r="O27" t="b">
        <f>AND(TrafficData[[#This Row],[pendingAmount]]&lt;=TrafficData[[#This Row],[totalAmount]],TrafficData[[#This Row],[disposedAmount]]&lt;=TrafficData[[#This Row],[totalAmount]])</f>
        <v>1</v>
      </c>
      <c r="P27" t="b">
        <f>AND(TrafficData[[#This Row],[pendingCourt]]&lt;=TrafficData[[#This Row],[totalCourt]],TrafficData[[#This Row],[disposedCourt]]&lt;=TrafficData[[#This Row],[totalCourt]])</f>
        <v>1</v>
      </c>
      <c r="S27" s="6"/>
    </row>
    <row r="28" spans="1:19">
      <c r="A28" s="1">
        <v>42031</v>
      </c>
      <c r="B28">
        <v>83</v>
      </c>
      <c r="C28">
        <v>33</v>
      </c>
      <c r="D28">
        <v>50</v>
      </c>
      <c r="E28">
        <v>319620</v>
      </c>
      <c r="F28">
        <v>164500</v>
      </c>
      <c r="G28">
        <v>484120</v>
      </c>
      <c r="H28">
        <v>1</v>
      </c>
      <c r="I28">
        <v>0</v>
      </c>
      <c r="J28">
        <v>1</v>
      </c>
      <c r="K28" t="b">
        <f>TrafficData[[#This Row],[disposedChallan]]+TrafficData[[#This Row],[pendingChallan]]=TrafficData[[#This Row],[totalChallan]]</f>
        <v>1</v>
      </c>
      <c r="L28" t="b">
        <f>TrafficData[[#This Row],[pendingAmount]]+TrafficData[[#This Row],[disposedAmount]]=TrafficData[[#This Row],[totalAmount]]</f>
        <v>1</v>
      </c>
      <c r="M28" t="b">
        <f>TrafficData[[#This Row],[pendingCourt]]+TrafficData[[#This Row],[disposedCourt]]=TrafficData[[#This Row],[totalCourt]]</f>
        <v>1</v>
      </c>
      <c r="N28" t="b">
        <f>AND(TrafficData[[#This Row],[disposedChallan]]&lt;=TrafficData[[#This Row],[totalChallan]],TrafficData[[#This Row],[pendingChallan]]&lt;=TrafficData[[#This Row],[totalChallan]])</f>
        <v>1</v>
      </c>
      <c r="O28" t="b">
        <f>AND(TrafficData[[#This Row],[pendingAmount]]&lt;=TrafficData[[#This Row],[totalAmount]],TrafficData[[#This Row],[disposedAmount]]&lt;=TrafficData[[#This Row],[totalAmount]])</f>
        <v>1</v>
      </c>
      <c r="P28" t="b">
        <f>AND(TrafficData[[#This Row],[pendingCourt]]&lt;=TrafficData[[#This Row],[totalCourt]],TrafficData[[#This Row],[disposedCourt]]&lt;=TrafficData[[#This Row],[totalCourt]])</f>
        <v>1</v>
      </c>
      <c r="S28" s="5"/>
    </row>
    <row r="29" spans="1:19">
      <c r="A29" s="1">
        <v>42032</v>
      </c>
      <c r="B29">
        <v>134</v>
      </c>
      <c r="C29">
        <v>23</v>
      </c>
      <c r="D29">
        <v>111</v>
      </c>
      <c r="E29">
        <v>586950</v>
      </c>
      <c r="F29">
        <v>50750</v>
      </c>
      <c r="G29">
        <v>637700</v>
      </c>
      <c r="H29">
        <v>4</v>
      </c>
      <c r="I29">
        <v>1</v>
      </c>
      <c r="J29">
        <v>5</v>
      </c>
      <c r="K29" t="b">
        <f>TrafficData[[#This Row],[disposedChallan]]+TrafficData[[#This Row],[pendingChallan]]=TrafficData[[#This Row],[totalChallan]]</f>
        <v>1</v>
      </c>
      <c r="L29" t="b">
        <f>TrafficData[[#This Row],[pendingAmount]]+TrafficData[[#This Row],[disposedAmount]]=TrafficData[[#This Row],[totalAmount]]</f>
        <v>1</v>
      </c>
      <c r="M29" t="b">
        <f>TrafficData[[#This Row],[pendingCourt]]+TrafficData[[#This Row],[disposedCourt]]=TrafficData[[#This Row],[totalCourt]]</f>
        <v>1</v>
      </c>
      <c r="N29" t="b">
        <f>AND(TrafficData[[#This Row],[disposedChallan]]&lt;=TrafficData[[#This Row],[totalChallan]],TrafficData[[#This Row],[pendingChallan]]&lt;=TrafficData[[#This Row],[totalChallan]])</f>
        <v>1</v>
      </c>
      <c r="O29" t="b">
        <f>AND(TrafficData[[#This Row],[pendingAmount]]&lt;=TrafficData[[#This Row],[totalAmount]],TrafficData[[#This Row],[disposedAmount]]&lt;=TrafficData[[#This Row],[totalAmount]])</f>
        <v>1</v>
      </c>
      <c r="P29" t="b">
        <f>AND(TrafficData[[#This Row],[pendingCourt]]&lt;=TrafficData[[#This Row],[totalCourt]],TrafficData[[#This Row],[disposedCourt]]&lt;=TrafficData[[#This Row],[totalCourt]])</f>
        <v>1</v>
      </c>
      <c r="S29" s="6"/>
    </row>
    <row r="30" spans="1:19">
      <c r="A30" s="1">
        <v>42033</v>
      </c>
      <c r="B30">
        <v>101</v>
      </c>
      <c r="C30">
        <v>29</v>
      </c>
      <c r="D30">
        <v>72</v>
      </c>
      <c r="E30">
        <v>442198</v>
      </c>
      <c r="F30">
        <v>233690</v>
      </c>
      <c r="G30">
        <v>675888</v>
      </c>
      <c r="H30">
        <v>1</v>
      </c>
      <c r="I30">
        <v>0</v>
      </c>
      <c r="J30">
        <v>1</v>
      </c>
      <c r="K30" t="b">
        <f>TrafficData[[#This Row],[disposedChallan]]+TrafficData[[#This Row],[pendingChallan]]=TrafficData[[#This Row],[totalChallan]]</f>
        <v>1</v>
      </c>
      <c r="L30" t="b">
        <f>TrafficData[[#This Row],[pendingAmount]]+TrafficData[[#This Row],[disposedAmount]]=TrafficData[[#This Row],[totalAmount]]</f>
        <v>1</v>
      </c>
      <c r="M30" t="b">
        <f>TrafficData[[#This Row],[pendingCourt]]+TrafficData[[#This Row],[disposedCourt]]=TrafficData[[#This Row],[totalCourt]]</f>
        <v>1</v>
      </c>
      <c r="N30" t="b">
        <f>AND(TrafficData[[#This Row],[disposedChallan]]&lt;=TrafficData[[#This Row],[totalChallan]],TrafficData[[#This Row],[pendingChallan]]&lt;=TrafficData[[#This Row],[totalChallan]])</f>
        <v>1</v>
      </c>
      <c r="O30" t="b">
        <f>AND(TrafficData[[#This Row],[pendingAmount]]&lt;=TrafficData[[#This Row],[totalAmount]],TrafficData[[#This Row],[disposedAmount]]&lt;=TrafficData[[#This Row],[totalAmount]])</f>
        <v>1</v>
      </c>
      <c r="P30" t="b">
        <f>AND(TrafficData[[#This Row],[pendingCourt]]&lt;=TrafficData[[#This Row],[totalCourt]],TrafficData[[#This Row],[disposedCourt]]&lt;=TrafficData[[#This Row],[totalCourt]])</f>
        <v>1</v>
      </c>
      <c r="S30" s="6"/>
    </row>
    <row r="31" spans="1:19">
      <c r="A31" s="1">
        <v>42034</v>
      </c>
      <c r="B31">
        <v>109</v>
      </c>
      <c r="C31">
        <v>28</v>
      </c>
      <c r="D31">
        <v>81</v>
      </c>
      <c r="E31">
        <v>681600</v>
      </c>
      <c r="F31">
        <v>196030</v>
      </c>
      <c r="G31">
        <v>877630</v>
      </c>
      <c r="H31">
        <v>3</v>
      </c>
      <c r="I31">
        <v>1</v>
      </c>
      <c r="J31">
        <v>4</v>
      </c>
      <c r="K31" t="b">
        <f>TrafficData[[#This Row],[disposedChallan]]+TrafficData[[#This Row],[pendingChallan]]=TrafficData[[#This Row],[totalChallan]]</f>
        <v>1</v>
      </c>
      <c r="L31" t="b">
        <f>TrafficData[[#This Row],[pendingAmount]]+TrafficData[[#This Row],[disposedAmount]]=TrafficData[[#This Row],[totalAmount]]</f>
        <v>1</v>
      </c>
      <c r="M31" t="b">
        <f>TrafficData[[#This Row],[pendingCourt]]+TrafficData[[#This Row],[disposedCourt]]=TrafficData[[#This Row],[totalCourt]]</f>
        <v>1</v>
      </c>
      <c r="N31" t="b">
        <f>AND(TrafficData[[#This Row],[disposedChallan]]&lt;=TrafficData[[#This Row],[totalChallan]],TrafficData[[#This Row],[pendingChallan]]&lt;=TrafficData[[#This Row],[totalChallan]])</f>
        <v>1</v>
      </c>
      <c r="O31" t="b">
        <f>AND(TrafficData[[#This Row],[pendingAmount]]&lt;=TrafficData[[#This Row],[totalAmount]],TrafficData[[#This Row],[disposedAmount]]&lt;=TrafficData[[#This Row],[totalAmount]])</f>
        <v>1</v>
      </c>
      <c r="P31" t="b">
        <f>AND(TrafficData[[#This Row],[pendingCourt]]&lt;=TrafficData[[#This Row],[totalCourt]],TrafficData[[#This Row],[disposedCourt]]&lt;=TrafficData[[#This Row],[totalCourt]])</f>
        <v>1</v>
      </c>
      <c r="S31" s="5"/>
    </row>
    <row r="32" spans="1:19">
      <c r="A32" s="1">
        <v>42035</v>
      </c>
      <c r="B32">
        <v>89</v>
      </c>
      <c r="C32">
        <v>19</v>
      </c>
      <c r="D32">
        <v>70</v>
      </c>
      <c r="E32">
        <v>563971</v>
      </c>
      <c r="F32">
        <v>111300</v>
      </c>
      <c r="G32">
        <v>675271</v>
      </c>
      <c r="H32">
        <v>2</v>
      </c>
      <c r="I32">
        <v>0</v>
      </c>
      <c r="J32">
        <v>2</v>
      </c>
      <c r="K32" t="b">
        <f>TrafficData[[#This Row],[disposedChallan]]+TrafficData[[#This Row],[pendingChallan]]=TrafficData[[#This Row],[totalChallan]]</f>
        <v>1</v>
      </c>
      <c r="L32" t="b">
        <f>TrafficData[[#This Row],[pendingAmount]]+TrafficData[[#This Row],[disposedAmount]]=TrafficData[[#This Row],[totalAmount]]</f>
        <v>1</v>
      </c>
      <c r="M32" t="b">
        <f>TrafficData[[#This Row],[pendingCourt]]+TrafficData[[#This Row],[disposedCourt]]=TrafficData[[#This Row],[totalCourt]]</f>
        <v>1</v>
      </c>
      <c r="N32" t="b">
        <f>AND(TrafficData[[#This Row],[disposedChallan]]&lt;=TrafficData[[#This Row],[totalChallan]],TrafficData[[#This Row],[pendingChallan]]&lt;=TrafficData[[#This Row],[totalChallan]])</f>
        <v>1</v>
      </c>
      <c r="O32" t="b">
        <f>AND(TrafficData[[#This Row],[pendingAmount]]&lt;=TrafficData[[#This Row],[totalAmount]],TrafficData[[#This Row],[disposedAmount]]&lt;=TrafficData[[#This Row],[totalAmount]])</f>
        <v>1</v>
      </c>
      <c r="P32" t="b">
        <f>AND(TrafficData[[#This Row],[pendingCourt]]&lt;=TrafficData[[#This Row],[totalCourt]],TrafficData[[#This Row],[disposedCourt]]&lt;=TrafficData[[#This Row],[totalCourt]])</f>
        <v>1</v>
      </c>
      <c r="S32" s="6"/>
    </row>
    <row r="33" spans="1:19">
      <c r="A33" s="1">
        <v>42036</v>
      </c>
      <c r="B33">
        <v>69</v>
      </c>
      <c r="C33">
        <v>21</v>
      </c>
      <c r="D33">
        <v>48</v>
      </c>
      <c r="E33">
        <v>413896</v>
      </c>
      <c r="F33">
        <v>68200</v>
      </c>
      <c r="G33">
        <v>482096</v>
      </c>
      <c r="H33">
        <v>3</v>
      </c>
      <c r="I33">
        <v>2</v>
      </c>
      <c r="J33">
        <v>5</v>
      </c>
      <c r="K33" t="b">
        <f>TrafficData[[#This Row],[disposedChallan]]+TrafficData[[#This Row],[pendingChallan]]=TrafficData[[#This Row],[totalChallan]]</f>
        <v>1</v>
      </c>
      <c r="L33" t="b">
        <f>TrafficData[[#This Row],[pendingAmount]]+TrafficData[[#This Row],[disposedAmount]]=TrafficData[[#This Row],[totalAmount]]</f>
        <v>1</v>
      </c>
      <c r="M33" t="b">
        <f>TrafficData[[#This Row],[pendingCourt]]+TrafficData[[#This Row],[disposedCourt]]=TrafficData[[#This Row],[totalCourt]]</f>
        <v>1</v>
      </c>
      <c r="N33" t="b">
        <f>AND(TrafficData[[#This Row],[disposedChallan]]&lt;=TrafficData[[#This Row],[totalChallan]],TrafficData[[#This Row],[pendingChallan]]&lt;=TrafficData[[#This Row],[totalChallan]])</f>
        <v>1</v>
      </c>
      <c r="O33" t="b">
        <f>AND(TrafficData[[#This Row],[pendingAmount]]&lt;=TrafficData[[#This Row],[totalAmount]],TrafficData[[#This Row],[disposedAmount]]&lt;=TrafficData[[#This Row],[totalAmount]])</f>
        <v>1</v>
      </c>
      <c r="P33" t="b">
        <f>AND(TrafficData[[#This Row],[pendingCourt]]&lt;=TrafficData[[#This Row],[totalCourt]],TrafficData[[#This Row],[disposedCourt]]&lt;=TrafficData[[#This Row],[totalCourt]])</f>
        <v>1</v>
      </c>
      <c r="S33" s="6"/>
    </row>
    <row r="34" spans="1:19">
      <c r="A34" s="1">
        <v>42037</v>
      </c>
      <c r="B34">
        <v>116</v>
      </c>
      <c r="C34">
        <v>32</v>
      </c>
      <c r="D34">
        <v>84</v>
      </c>
      <c r="E34">
        <v>607850</v>
      </c>
      <c r="F34">
        <v>145800</v>
      </c>
      <c r="G34">
        <v>753650</v>
      </c>
      <c r="H34">
        <v>6</v>
      </c>
      <c r="I34">
        <v>0</v>
      </c>
      <c r="J34">
        <v>6</v>
      </c>
      <c r="K34" t="b">
        <f>TrafficData[[#This Row],[disposedChallan]]+TrafficData[[#This Row],[pendingChallan]]=TrafficData[[#This Row],[totalChallan]]</f>
        <v>1</v>
      </c>
      <c r="L34" t="b">
        <f>TrafficData[[#This Row],[pendingAmount]]+TrafficData[[#This Row],[disposedAmount]]=TrafficData[[#This Row],[totalAmount]]</f>
        <v>1</v>
      </c>
      <c r="M34" t="b">
        <f>TrafficData[[#This Row],[pendingCourt]]+TrafficData[[#This Row],[disposedCourt]]=TrafficData[[#This Row],[totalCourt]]</f>
        <v>1</v>
      </c>
      <c r="N34" t="b">
        <f>AND(TrafficData[[#This Row],[disposedChallan]]&lt;=TrafficData[[#This Row],[totalChallan]],TrafficData[[#This Row],[pendingChallan]]&lt;=TrafficData[[#This Row],[totalChallan]])</f>
        <v>1</v>
      </c>
      <c r="O34" t="b">
        <f>AND(TrafficData[[#This Row],[pendingAmount]]&lt;=TrafficData[[#This Row],[totalAmount]],TrafficData[[#This Row],[disposedAmount]]&lt;=TrafficData[[#This Row],[totalAmount]])</f>
        <v>1</v>
      </c>
      <c r="P34" t="b">
        <f>AND(TrafficData[[#This Row],[pendingCourt]]&lt;=TrafficData[[#This Row],[totalCourt]],TrafficData[[#This Row],[disposedCourt]]&lt;=TrafficData[[#This Row],[totalCourt]])</f>
        <v>1</v>
      </c>
    </row>
    <row r="35" spans="1:19">
      <c r="A35" s="1">
        <v>42038</v>
      </c>
      <c r="B35">
        <v>126</v>
      </c>
      <c r="C35">
        <v>36</v>
      </c>
      <c r="D35">
        <v>90</v>
      </c>
      <c r="E35">
        <v>797798</v>
      </c>
      <c r="F35">
        <v>184200</v>
      </c>
      <c r="G35">
        <v>981998</v>
      </c>
      <c r="H35">
        <v>2</v>
      </c>
      <c r="I35">
        <v>1</v>
      </c>
      <c r="J35">
        <v>3</v>
      </c>
      <c r="K35" t="b">
        <f>TrafficData[[#This Row],[disposedChallan]]+TrafficData[[#This Row],[pendingChallan]]=TrafficData[[#This Row],[totalChallan]]</f>
        <v>1</v>
      </c>
      <c r="L35" t="b">
        <f>TrafficData[[#This Row],[pendingAmount]]+TrafficData[[#This Row],[disposedAmount]]=TrafficData[[#This Row],[totalAmount]]</f>
        <v>1</v>
      </c>
      <c r="M35" t="b">
        <f>TrafficData[[#This Row],[pendingCourt]]+TrafficData[[#This Row],[disposedCourt]]=TrafficData[[#This Row],[totalCourt]]</f>
        <v>1</v>
      </c>
      <c r="N35" t="b">
        <f>AND(TrafficData[[#This Row],[disposedChallan]]&lt;=TrafficData[[#This Row],[totalChallan]],TrafficData[[#This Row],[pendingChallan]]&lt;=TrafficData[[#This Row],[totalChallan]])</f>
        <v>1</v>
      </c>
      <c r="O35" t="b">
        <f>AND(TrafficData[[#This Row],[pendingAmount]]&lt;=TrafficData[[#This Row],[totalAmount]],TrafficData[[#This Row],[disposedAmount]]&lt;=TrafficData[[#This Row],[totalAmount]])</f>
        <v>1</v>
      </c>
      <c r="P35" t="b">
        <f>AND(TrafficData[[#This Row],[pendingCourt]]&lt;=TrafficData[[#This Row],[totalCourt]],TrafficData[[#This Row],[disposedCourt]]&lt;=TrafficData[[#This Row],[totalCourt]])</f>
        <v>1</v>
      </c>
    </row>
    <row r="36" spans="1:19">
      <c r="A36" s="1">
        <v>42039</v>
      </c>
      <c r="B36">
        <v>125</v>
      </c>
      <c r="C36">
        <v>37</v>
      </c>
      <c r="D36">
        <v>88</v>
      </c>
      <c r="E36">
        <v>656550</v>
      </c>
      <c r="F36">
        <v>204036</v>
      </c>
      <c r="G36">
        <v>860586</v>
      </c>
      <c r="H36">
        <v>2</v>
      </c>
      <c r="I36">
        <v>1</v>
      </c>
      <c r="J36">
        <v>3</v>
      </c>
      <c r="K36" t="b">
        <f>TrafficData[[#This Row],[disposedChallan]]+TrafficData[[#This Row],[pendingChallan]]=TrafficData[[#This Row],[totalChallan]]</f>
        <v>1</v>
      </c>
      <c r="L36" t="b">
        <f>TrafficData[[#This Row],[pendingAmount]]+TrafficData[[#This Row],[disposedAmount]]=TrafficData[[#This Row],[totalAmount]]</f>
        <v>1</v>
      </c>
      <c r="M36" t="b">
        <f>TrafficData[[#This Row],[pendingCourt]]+TrafficData[[#This Row],[disposedCourt]]=TrafficData[[#This Row],[totalCourt]]</f>
        <v>1</v>
      </c>
      <c r="N36" t="b">
        <f>AND(TrafficData[[#This Row],[disposedChallan]]&lt;=TrafficData[[#This Row],[totalChallan]],TrafficData[[#This Row],[pendingChallan]]&lt;=TrafficData[[#This Row],[totalChallan]])</f>
        <v>1</v>
      </c>
      <c r="O36" t="b">
        <f>AND(TrafficData[[#This Row],[pendingAmount]]&lt;=TrafficData[[#This Row],[totalAmount]],TrafficData[[#This Row],[disposedAmount]]&lt;=TrafficData[[#This Row],[totalAmount]])</f>
        <v>1</v>
      </c>
      <c r="P36" t="b">
        <f>AND(TrafficData[[#This Row],[pendingCourt]]&lt;=TrafficData[[#This Row],[totalCourt]],TrafficData[[#This Row],[disposedCourt]]&lt;=TrafficData[[#This Row],[totalCourt]])</f>
        <v>1</v>
      </c>
    </row>
    <row r="37" spans="1:19">
      <c r="A37" s="1">
        <v>42040</v>
      </c>
      <c r="B37">
        <v>118</v>
      </c>
      <c r="C37">
        <v>32</v>
      </c>
      <c r="D37">
        <v>86</v>
      </c>
      <c r="E37">
        <v>758500</v>
      </c>
      <c r="F37">
        <v>146720</v>
      </c>
      <c r="G37">
        <v>905220</v>
      </c>
      <c r="H37">
        <v>2</v>
      </c>
      <c r="I37">
        <v>0</v>
      </c>
      <c r="J37">
        <v>2</v>
      </c>
      <c r="K37" t="b">
        <f>TrafficData[[#This Row],[disposedChallan]]+TrafficData[[#This Row],[pendingChallan]]=TrafficData[[#This Row],[totalChallan]]</f>
        <v>1</v>
      </c>
      <c r="L37" t="b">
        <f>TrafficData[[#This Row],[pendingAmount]]+TrafficData[[#This Row],[disposedAmount]]=TrafficData[[#This Row],[totalAmount]]</f>
        <v>1</v>
      </c>
      <c r="M37" t="b">
        <f>TrafficData[[#This Row],[pendingCourt]]+TrafficData[[#This Row],[disposedCourt]]=TrafficData[[#This Row],[totalCourt]]</f>
        <v>1</v>
      </c>
      <c r="N37" t="b">
        <f>AND(TrafficData[[#This Row],[disposedChallan]]&lt;=TrafficData[[#This Row],[totalChallan]],TrafficData[[#This Row],[pendingChallan]]&lt;=TrafficData[[#This Row],[totalChallan]])</f>
        <v>1</v>
      </c>
      <c r="O37" t="b">
        <f>AND(TrafficData[[#This Row],[pendingAmount]]&lt;=TrafficData[[#This Row],[totalAmount]],TrafficData[[#This Row],[disposedAmount]]&lt;=TrafficData[[#This Row],[totalAmount]])</f>
        <v>1</v>
      </c>
      <c r="P37" t="b">
        <f>AND(TrafficData[[#This Row],[pendingCourt]]&lt;=TrafficData[[#This Row],[totalCourt]],TrafficData[[#This Row],[disposedCourt]]&lt;=TrafficData[[#This Row],[totalCourt]])</f>
        <v>1</v>
      </c>
    </row>
    <row r="38" spans="1:19">
      <c r="A38" s="1">
        <v>42041</v>
      </c>
      <c r="B38">
        <v>101</v>
      </c>
      <c r="C38">
        <v>32</v>
      </c>
      <c r="D38">
        <v>69</v>
      </c>
      <c r="E38">
        <v>553250</v>
      </c>
      <c r="F38">
        <v>110000</v>
      </c>
      <c r="G38">
        <v>663250</v>
      </c>
      <c r="H38">
        <v>4</v>
      </c>
      <c r="I38">
        <v>1</v>
      </c>
      <c r="J38">
        <v>5</v>
      </c>
      <c r="K38" t="b">
        <f>TrafficData[[#This Row],[disposedChallan]]+TrafficData[[#This Row],[pendingChallan]]=TrafficData[[#This Row],[totalChallan]]</f>
        <v>1</v>
      </c>
      <c r="L38" t="b">
        <f>TrafficData[[#This Row],[pendingAmount]]+TrafficData[[#This Row],[disposedAmount]]=TrafficData[[#This Row],[totalAmount]]</f>
        <v>1</v>
      </c>
      <c r="M38" t="b">
        <f>TrafficData[[#This Row],[pendingCourt]]+TrafficData[[#This Row],[disposedCourt]]=TrafficData[[#This Row],[totalCourt]]</f>
        <v>1</v>
      </c>
      <c r="N38" t="b">
        <f>AND(TrafficData[[#This Row],[disposedChallan]]&lt;=TrafficData[[#This Row],[totalChallan]],TrafficData[[#This Row],[pendingChallan]]&lt;=TrafficData[[#This Row],[totalChallan]])</f>
        <v>1</v>
      </c>
      <c r="O38" t="b">
        <f>AND(TrafficData[[#This Row],[pendingAmount]]&lt;=TrafficData[[#This Row],[totalAmount]],TrafficData[[#This Row],[disposedAmount]]&lt;=TrafficData[[#This Row],[totalAmount]])</f>
        <v>1</v>
      </c>
      <c r="P38" t="b">
        <f>AND(TrafficData[[#This Row],[pendingCourt]]&lt;=TrafficData[[#This Row],[totalCourt]],TrafficData[[#This Row],[disposedCourt]]&lt;=TrafficData[[#This Row],[totalCourt]])</f>
        <v>1</v>
      </c>
    </row>
    <row r="39" spans="1:19">
      <c r="A39" s="1">
        <v>42042</v>
      </c>
      <c r="B39">
        <v>77</v>
      </c>
      <c r="C39">
        <v>29</v>
      </c>
      <c r="D39">
        <v>48</v>
      </c>
      <c r="E39">
        <v>401850</v>
      </c>
      <c r="F39">
        <v>108600</v>
      </c>
      <c r="G39">
        <v>510450</v>
      </c>
      <c r="H39">
        <v>2</v>
      </c>
      <c r="I39">
        <v>0</v>
      </c>
      <c r="J39">
        <v>2</v>
      </c>
      <c r="K39" t="b">
        <f>TrafficData[[#This Row],[disposedChallan]]+TrafficData[[#This Row],[pendingChallan]]=TrafficData[[#This Row],[totalChallan]]</f>
        <v>1</v>
      </c>
      <c r="L39" t="b">
        <f>TrafficData[[#This Row],[pendingAmount]]+TrafficData[[#This Row],[disposedAmount]]=TrafficData[[#This Row],[totalAmount]]</f>
        <v>1</v>
      </c>
      <c r="M39" t="b">
        <f>TrafficData[[#This Row],[pendingCourt]]+TrafficData[[#This Row],[disposedCourt]]=TrafficData[[#This Row],[totalCourt]]</f>
        <v>1</v>
      </c>
      <c r="N39" t="b">
        <f>AND(TrafficData[[#This Row],[disposedChallan]]&lt;=TrafficData[[#This Row],[totalChallan]],TrafficData[[#This Row],[pendingChallan]]&lt;=TrafficData[[#This Row],[totalChallan]])</f>
        <v>1</v>
      </c>
      <c r="O39" t="b">
        <f>AND(TrafficData[[#This Row],[pendingAmount]]&lt;=TrafficData[[#This Row],[totalAmount]],TrafficData[[#This Row],[disposedAmount]]&lt;=TrafficData[[#This Row],[totalAmount]])</f>
        <v>1</v>
      </c>
      <c r="P39" t="b">
        <f>AND(TrafficData[[#This Row],[pendingCourt]]&lt;=TrafficData[[#This Row],[totalCourt]],TrafficData[[#This Row],[disposedCourt]]&lt;=TrafficData[[#This Row],[totalCourt]])</f>
        <v>1</v>
      </c>
    </row>
    <row r="40" spans="1:19">
      <c r="A40" s="1">
        <v>42043</v>
      </c>
      <c r="B40">
        <v>78</v>
      </c>
      <c r="C40">
        <v>27</v>
      </c>
      <c r="D40">
        <v>51</v>
      </c>
      <c r="E40">
        <v>273650</v>
      </c>
      <c r="F40">
        <v>82100</v>
      </c>
      <c r="G40">
        <v>355750</v>
      </c>
      <c r="H40">
        <v>2</v>
      </c>
      <c r="I40">
        <v>0</v>
      </c>
      <c r="J40">
        <v>2</v>
      </c>
      <c r="K40" t="b">
        <f>TrafficData[[#This Row],[disposedChallan]]+TrafficData[[#This Row],[pendingChallan]]=TrafficData[[#This Row],[totalChallan]]</f>
        <v>1</v>
      </c>
      <c r="L40" t="b">
        <f>TrafficData[[#This Row],[pendingAmount]]+TrafficData[[#This Row],[disposedAmount]]=TrafficData[[#This Row],[totalAmount]]</f>
        <v>1</v>
      </c>
      <c r="M40" t="b">
        <f>TrafficData[[#This Row],[pendingCourt]]+TrafficData[[#This Row],[disposedCourt]]=TrafficData[[#This Row],[totalCourt]]</f>
        <v>1</v>
      </c>
      <c r="N40" t="b">
        <f>AND(TrafficData[[#This Row],[disposedChallan]]&lt;=TrafficData[[#This Row],[totalChallan]],TrafficData[[#This Row],[pendingChallan]]&lt;=TrafficData[[#This Row],[totalChallan]])</f>
        <v>1</v>
      </c>
      <c r="O40" t="b">
        <f>AND(TrafficData[[#This Row],[pendingAmount]]&lt;=TrafficData[[#This Row],[totalAmount]],TrafficData[[#This Row],[disposedAmount]]&lt;=TrafficData[[#This Row],[totalAmount]])</f>
        <v>1</v>
      </c>
      <c r="P40" t="b">
        <f>AND(TrafficData[[#This Row],[pendingCourt]]&lt;=TrafficData[[#This Row],[totalCourt]],TrafficData[[#This Row],[disposedCourt]]&lt;=TrafficData[[#This Row],[totalCourt]])</f>
        <v>1</v>
      </c>
    </row>
    <row r="41" spans="1:19">
      <c r="A41" s="1">
        <v>42044</v>
      </c>
      <c r="B41">
        <v>116</v>
      </c>
      <c r="C41">
        <v>37</v>
      </c>
      <c r="D41">
        <v>79</v>
      </c>
      <c r="E41">
        <v>604400</v>
      </c>
      <c r="F41">
        <v>140600</v>
      </c>
      <c r="G41">
        <v>745000</v>
      </c>
      <c r="H41">
        <v>1</v>
      </c>
      <c r="I41">
        <v>0</v>
      </c>
      <c r="J41">
        <v>1</v>
      </c>
      <c r="K41" t="b">
        <f>TrafficData[[#This Row],[disposedChallan]]+TrafficData[[#This Row],[pendingChallan]]=TrafficData[[#This Row],[totalChallan]]</f>
        <v>1</v>
      </c>
      <c r="L41" t="b">
        <f>TrafficData[[#This Row],[pendingAmount]]+TrafficData[[#This Row],[disposedAmount]]=TrafficData[[#This Row],[totalAmount]]</f>
        <v>1</v>
      </c>
      <c r="M41" t="b">
        <f>TrafficData[[#This Row],[pendingCourt]]+TrafficData[[#This Row],[disposedCourt]]=TrafficData[[#This Row],[totalCourt]]</f>
        <v>1</v>
      </c>
      <c r="N41" t="b">
        <f>AND(TrafficData[[#This Row],[disposedChallan]]&lt;=TrafficData[[#This Row],[totalChallan]],TrafficData[[#This Row],[pendingChallan]]&lt;=TrafficData[[#This Row],[totalChallan]])</f>
        <v>1</v>
      </c>
      <c r="O41" t="b">
        <f>AND(TrafficData[[#This Row],[pendingAmount]]&lt;=TrafficData[[#This Row],[totalAmount]],TrafficData[[#This Row],[disposedAmount]]&lt;=TrafficData[[#This Row],[totalAmount]])</f>
        <v>1</v>
      </c>
      <c r="P41" t="b">
        <f>AND(TrafficData[[#This Row],[pendingCourt]]&lt;=TrafficData[[#This Row],[totalCourt]],TrafficData[[#This Row],[disposedCourt]]&lt;=TrafficData[[#This Row],[totalCourt]])</f>
        <v>1</v>
      </c>
    </row>
    <row r="42" spans="1:19">
      <c r="A42" s="1">
        <v>42045</v>
      </c>
      <c r="B42">
        <v>190</v>
      </c>
      <c r="C42">
        <v>54</v>
      </c>
      <c r="D42">
        <v>136</v>
      </c>
      <c r="E42">
        <v>1101190</v>
      </c>
      <c r="F42">
        <v>205500</v>
      </c>
      <c r="G42">
        <v>1306690</v>
      </c>
      <c r="H42">
        <v>5</v>
      </c>
      <c r="I42">
        <v>0</v>
      </c>
      <c r="J42">
        <v>5</v>
      </c>
      <c r="K42" t="b">
        <f>TrafficData[[#This Row],[disposedChallan]]+TrafficData[[#This Row],[pendingChallan]]=TrafficData[[#This Row],[totalChallan]]</f>
        <v>1</v>
      </c>
      <c r="L42" t="b">
        <f>TrafficData[[#This Row],[pendingAmount]]+TrafficData[[#This Row],[disposedAmount]]=TrafficData[[#This Row],[totalAmount]]</f>
        <v>1</v>
      </c>
      <c r="M42" t="b">
        <f>TrafficData[[#This Row],[pendingCourt]]+TrafficData[[#This Row],[disposedCourt]]=TrafficData[[#This Row],[totalCourt]]</f>
        <v>1</v>
      </c>
      <c r="N42" t="b">
        <f>AND(TrafficData[[#This Row],[disposedChallan]]&lt;=TrafficData[[#This Row],[totalChallan]],TrafficData[[#This Row],[pendingChallan]]&lt;=TrafficData[[#This Row],[totalChallan]])</f>
        <v>1</v>
      </c>
      <c r="O42" t="b">
        <f>AND(TrafficData[[#This Row],[pendingAmount]]&lt;=TrafficData[[#This Row],[totalAmount]],TrafficData[[#This Row],[disposedAmount]]&lt;=TrafficData[[#This Row],[totalAmount]])</f>
        <v>1</v>
      </c>
      <c r="P42" t="b">
        <f>AND(TrafficData[[#This Row],[pendingCourt]]&lt;=TrafficData[[#This Row],[totalCourt]],TrafficData[[#This Row],[disposedCourt]]&lt;=TrafficData[[#This Row],[totalCourt]])</f>
        <v>1</v>
      </c>
    </row>
    <row r="43" spans="1:19">
      <c r="A43" s="1">
        <v>42046</v>
      </c>
      <c r="B43">
        <v>213</v>
      </c>
      <c r="C43">
        <v>54</v>
      </c>
      <c r="D43">
        <v>159</v>
      </c>
      <c r="E43">
        <v>984522</v>
      </c>
      <c r="F43">
        <v>241900</v>
      </c>
      <c r="G43">
        <v>1226422</v>
      </c>
      <c r="H43">
        <v>2</v>
      </c>
      <c r="I43">
        <v>0</v>
      </c>
      <c r="J43">
        <v>2</v>
      </c>
      <c r="K43" t="b">
        <f>TrafficData[[#This Row],[disposedChallan]]+TrafficData[[#This Row],[pendingChallan]]=TrafficData[[#This Row],[totalChallan]]</f>
        <v>1</v>
      </c>
      <c r="L43" t="b">
        <f>TrafficData[[#This Row],[pendingAmount]]+TrafficData[[#This Row],[disposedAmount]]=TrafficData[[#This Row],[totalAmount]]</f>
        <v>1</v>
      </c>
      <c r="M43" t="b">
        <f>TrafficData[[#This Row],[pendingCourt]]+TrafficData[[#This Row],[disposedCourt]]=TrafficData[[#This Row],[totalCourt]]</f>
        <v>1</v>
      </c>
      <c r="N43" t="b">
        <f>AND(TrafficData[[#This Row],[disposedChallan]]&lt;=TrafficData[[#This Row],[totalChallan]],TrafficData[[#This Row],[pendingChallan]]&lt;=TrafficData[[#This Row],[totalChallan]])</f>
        <v>1</v>
      </c>
      <c r="O43" t="b">
        <f>AND(TrafficData[[#This Row],[pendingAmount]]&lt;=TrafficData[[#This Row],[totalAmount]],TrafficData[[#This Row],[disposedAmount]]&lt;=TrafficData[[#This Row],[totalAmount]])</f>
        <v>1</v>
      </c>
      <c r="P43" t="b">
        <f>AND(TrafficData[[#This Row],[pendingCourt]]&lt;=TrafficData[[#This Row],[totalCourt]],TrafficData[[#This Row],[disposedCourt]]&lt;=TrafficData[[#This Row],[totalCourt]])</f>
        <v>1</v>
      </c>
    </row>
    <row r="44" spans="1:19">
      <c r="A44" s="1">
        <v>42047</v>
      </c>
      <c r="B44">
        <v>230</v>
      </c>
      <c r="C44">
        <v>56</v>
      </c>
      <c r="D44">
        <v>174</v>
      </c>
      <c r="E44">
        <v>1046250</v>
      </c>
      <c r="F44">
        <v>200350</v>
      </c>
      <c r="G44">
        <v>1246600</v>
      </c>
      <c r="H44">
        <v>2</v>
      </c>
      <c r="I44">
        <v>0</v>
      </c>
      <c r="J44">
        <v>2</v>
      </c>
      <c r="K44" t="b">
        <f>TrafficData[[#This Row],[disposedChallan]]+TrafficData[[#This Row],[pendingChallan]]=TrafficData[[#This Row],[totalChallan]]</f>
        <v>1</v>
      </c>
      <c r="L44" t="b">
        <f>TrafficData[[#This Row],[pendingAmount]]+TrafficData[[#This Row],[disposedAmount]]=TrafficData[[#This Row],[totalAmount]]</f>
        <v>1</v>
      </c>
      <c r="M44" t="b">
        <f>TrafficData[[#This Row],[pendingCourt]]+TrafficData[[#This Row],[disposedCourt]]=TrafficData[[#This Row],[totalCourt]]</f>
        <v>1</v>
      </c>
      <c r="N44" t="b">
        <f>AND(TrafficData[[#This Row],[disposedChallan]]&lt;=TrafficData[[#This Row],[totalChallan]],TrafficData[[#This Row],[pendingChallan]]&lt;=TrafficData[[#This Row],[totalChallan]])</f>
        <v>1</v>
      </c>
      <c r="O44" t="b">
        <f>AND(TrafficData[[#This Row],[pendingAmount]]&lt;=TrafficData[[#This Row],[totalAmount]],TrafficData[[#This Row],[disposedAmount]]&lt;=TrafficData[[#This Row],[totalAmount]])</f>
        <v>1</v>
      </c>
      <c r="P44" t="b">
        <f>AND(TrafficData[[#This Row],[pendingCourt]]&lt;=TrafficData[[#This Row],[totalCourt]],TrafficData[[#This Row],[disposedCourt]]&lt;=TrafficData[[#This Row],[totalCourt]])</f>
        <v>1</v>
      </c>
    </row>
    <row r="45" spans="1:19">
      <c r="A45" s="1">
        <v>42048</v>
      </c>
      <c r="B45">
        <v>160</v>
      </c>
      <c r="C45">
        <v>46</v>
      </c>
      <c r="D45">
        <v>114</v>
      </c>
      <c r="E45">
        <v>927550</v>
      </c>
      <c r="F45">
        <v>145035</v>
      </c>
      <c r="G45">
        <v>1072585</v>
      </c>
      <c r="H45">
        <v>2</v>
      </c>
      <c r="I45">
        <v>2</v>
      </c>
      <c r="J45">
        <v>4</v>
      </c>
      <c r="K45" t="b">
        <f>TrafficData[[#This Row],[disposedChallan]]+TrafficData[[#This Row],[pendingChallan]]=TrafficData[[#This Row],[totalChallan]]</f>
        <v>1</v>
      </c>
      <c r="L45" t="b">
        <f>TrafficData[[#This Row],[pendingAmount]]+TrafficData[[#This Row],[disposedAmount]]=TrafficData[[#This Row],[totalAmount]]</f>
        <v>1</v>
      </c>
      <c r="M45" t="b">
        <f>TrafficData[[#This Row],[pendingCourt]]+TrafficData[[#This Row],[disposedCourt]]=TrafficData[[#This Row],[totalCourt]]</f>
        <v>1</v>
      </c>
      <c r="N45" t="b">
        <f>AND(TrafficData[[#This Row],[disposedChallan]]&lt;=TrafficData[[#This Row],[totalChallan]],TrafficData[[#This Row],[pendingChallan]]&lt;=TrafficData[[#This Row],[totalChallan]])</f>
        <v>1</v>
      </c>
      <c r="O45" t="b">
        <f>AND(TrafficData[[#This Row],[pendingAmount]]&lt;=TrafficData[[#This Row],[totalAmount]],TrafficData[[#This Row],[disposedAmount]]&lt;=TrafficData[[#This Row],[totalAmount]])</f>
        <v>1</v>
      </c>
      <c r="P45" t="b">
        <f>AND(TrafficData[[#This Row],[pendingCourt]]&lt;=TrafficData[[#This Row],[totalCourt]],TrafficData[[#This Row],[disposedCourt]]&lt;=TrafficData[[#This Row],[totalCourt]])</f>
        <v>1</v>
      </c>
    </row>
    <row r="46" spans="1:19">
      <c r="A46" s="1">
        <v>42049</v>
      </c>
      <c r="B46">
        <v>129</v>
      </c>
      <c r="C46">
        <v>23</v>
      </c>
      <c r="D46">
        <v>106</v>
      </c>
      <c r="E46">
        <v>561350</v>
      </c>
      <c r="F46">
        <v>55310</v>
      </c>
      <c r="G46">
        <v>616660</v>
      </c>
      <c r="H46">
        <v>3</v>
      </c>
      <c r="I46">
        <v>0</v>
      </c>
      <c r="J46">
        <v>3</v>
      </c>
      <c r="K46" t="b">
        <f>TrafficData[[#This Row],[disposedChallan]]+TrafficData[[#This Row],[pendingChallan]]=TrafficData[[#This Row],[totalChallan]]</f>
        <v>1</v>
      </c>
      <c r="L46" t="b">
        <f>TrafficData[[#This Row],[pendingAmount]]+TrafficData[[#This Row],[disposedAmount]]=TrafficData[[#This Row],[totalAmount]]</f>
        <v>1</v>
      </c>
      <c r="M46" t="b">
        <f>TrafficData[[#This Row],[pendingCourt]]+TrafficData[[#This Row],[disposedCourt]]=TrafficData[[#This Row],[totalCourt]]</f>
        <v>1</v>
      </c>
      <c r="N46" t="b">
        <f>AND(TrafficData[[#This Row],[disposedChallan]]&lt;=TrafficData[[#This Row],[totalChallan]],TrafficData[[#This Row],[pendingChallan]]&lt;=TrafficData[[#This Row],[totalChallan]])</f>
        <v>1</v>
      </c>
      <c r="O46" t="b">
        <f>AND(TrafficData[[#This Row],[pendingAmount]]&lt;=TrafficData[[#This Row],[totalAmount]],TrafficData[[#This Row],[disposedAmount]]&lt;=TrafficData[[#This Row],[totalAmount]])</f>
        <v>1</v>
      </c>
      <c r="P46" t="b">
        <f>AND(TrafficData[[#This Row],[pendingCourt]]&lt;=TrafficData[[#This Row],[totalCourt]],TrafficData[[#This Row],[disposedCourt]]&lt;=TrafficData[[#This Row],[totalCourt]])</f>
        <v>1</v>
      </c>
    </row>
    <row r="47" spans="1:19">
      <c r="A47" s="1">
        <v>42050</v>
      </c>
      <c r="B47">
        <v>89</v>
      </c>
      <c r="C47">
        <v>34</v>
      </c>
      <c r="D47">
        <v>55</v>
      </c>
      <c r="E47">
        <v>318900</v>
      </c>
      <c r="F47">
        <v>109300</v>
      </c>
      <c r="G47">
        <v>428200</v>
      </c>
      <c r="H47">
        <v>2</v>
      </c>
      <c r="I47">
        <v>0</v>
      </c>
      <c r="J47">
        <v>2</v>
      </c>
      <c r="K47" t="b">
        <f>TrafficData[[#This Row],[disposedChallan]]+TrafficData[[#This Row],[pendingChallan]]=TrafficData[[#This Row],[totalChallan]]</f>
        <v>1</v>
      </c>
      <c r="L47" t="b">
        <f>TrafficData[[#This Row],[pendingAmount]]+TrafficData[[#This Row],[disposedAmount]]=TrafficData[[#This Row],[totalAmount]]</f>
        <v>1</v>
      </c>
      <c r="M47" t="b">
        <f>TrafficData[[#This Row],[pendingCourt]]+TrafficData[[#This Row],[disposedCourt]]=TrafficData[[#This Row],[totalCourt]]</f>
        <v>1</v>
      </c>
      <c r="N47" t="b">
        <f>AND(TrafficData[[#This Row],[disposedChallan]]&lt;=TrafficData[[#This Row],[totalChallan]],TrafficData[[#This Row],[pendingChallan]]&lt;=TrafficData[[#This Row],[totalChallan]])</f>
        <v>1</v>
      </c>
      <c r="O47" t="b">
        <f>AND(TrafficData[[#This Row],[pendingAmount]]&lt;=TrafficData[[#This Row],[totalAmount]],TrafficData[[#This Row],[disposedAmount]]&lt;=TrafficData[[#This Row],[totalAmount]])</f>
        <v>1</v>
      </c>
      <c r="P47" t="b">
        <f>AND(TrafficData[[#This Row],[pendingCourt]]&lt;=TrafficData[[#This Row],[totalCourt]],TrafficData[[#This Row],[disposedCourt]]&lt;=TrafficData[[#This Row],[totalCourt]])</f>
        <v>1</v>
      </c>
    </row>
    <row r="48" spans="1:19">
      <c r="A48" s="1">
        <v>42051</v>
      </c>
      <c r="B48">
        <v>133</v>
      </c>
      <c r="C48">
        <v>29</v>
      </c>
      <c r="D48">
        <v>104</v>
      </c>
      <c r="E48">
        <v>735620</v>
      </c>
      <c r="F48">
        <v>116600</v>
      </c>
      <c r="G48">
        <v>852220</v>
      </c>
      <c r="H48">
        <v>0</v>
      </c>
      <c r="I48">
        <v>1</v>
      </c>
      <c r="J48">
        <v>1</v>
      </c>
      <c r="K48" t="b">
        <f>TrafficData[[#This Row],[disposedChallan]]+TrafficData[[#This Row],[pendingChallan]]=TrafficData[[#This Row],[totalChallan]]</f>
        <v>1</v>
      </c>
      <c r="L48" t="b">
        <f>TrafficData[[#This Row],[pendingAmount]]+TrafficData[[#This Row],[disposedAmount]]=TrafficData[[#This Row],[totalAmount]]</f>
        <v>1</v>
      </c>
      <c r="M48" t="b">
        <f>TrafficData[[#This Row],[pendingCourt]]+TrafficData[[#This Row],[disposedCourt]]=TrafficData[[#This Row],[totalCourt]]</f>
        <v>1</v>
      </c>
      <c r="N48" t="b">
        <f>AND(TrafficData[[#This Row],[disposedChallan]]&lt;=TrafficData[[#This Row],[totalChallan]],TrafficData[[#This Row],[pendingChallan]]&lt;=TrafficData[[#This Row],[totalChallan]])</f>
        <v>1</v>
      </c>
      <c r="O48" t="b">
        <f>AND(TrafficData[[#This Row],[pendingAmount]]&lt;=TrafficData[[#This Row],[totalAmount]],TrafficData[[#This Row],[disposedAmount]]&lt;=TrafficData[[#This Row],[totalAmount]])</f>
        <v>1</v>
      </c>
      <c r="P48" t="b">
        <f>AND(TrafficData[[#This Row],[pendingCourt]]&lt;=TrafficData[[#This Row],[totalCourt]],TrafficData[[#This Row],[disposedCourt]]&lt;=TrafficData[[#This Row],[totalCourt]])</f>
        <v>1</v>
      </c>
    </row>
    <row r="49" spans="1:16">
      <c r="A49" s="1">
        <v>42052</v>
      </c>
      <c r="B49">
        <v>55</v>
      </c>
      <c r="C49">
        <v>18</v>
      </c>
      <c r="D49">
        <v>37</v>
      </c>
      <c r="E49">
        <v>168300</v>
      </c>
      <c r="F49">
        <v>60600</v>
      </c>
      <c r="G49">
        <v>228900</v>
      </c>
      <c r="H49">
        <v>0</v>
      </c>
      <c r="I49">
        <v>0</v>
      </c>
      <c r="J49">
        <v>0</v>
      </c>
      <c r="K49" t="b">
        <f>TrafficData[[#This Row],[disposedChallan]]+TrafficData[[#This Row],[pendingChallan]]=TrafficData[[#This Row],[totalChallan]]</f>
        <v>1</v>
      </c>
      <c r="L49" t="b">
        <f>TrafficData[[#This Row],[pendingAmount]]+TrafficData[[#This Row],[disposedAmount]]=TrafficData[[#This Row],[totalAmount]]</f>
        <v>1</v>
      </c>
      <c r="M49" t="b">
        <f>TrafficData[[#This Row],[pendingCourt]]+TrafficData[[#This Row],[disposedCourt]]=TrafficData[[#This Row],[totalCourt]]</f>
        <v>1</v>
      </c>
      <c r="N49" t="b">
        <f>AND(TrafficData[[#This Row],[disposedChallan]]&lt;=TrafficData[[#This Row],[totalChallan]],TrafficData[[#This Row],[pendingChallan]]&lt;=TrafficData[[#This Row],[totalChallan]])</f>
        <v>1</v>
      </c>
      <c r="O49" t="b">
        <f>AND(TrafficData[[#This Row],[pendingAmount]]&lt;=TrafficData[[#This Row],[totalAmount]],TrafficData[[#This Row],[disposedAmount]]&lt;=TrafficData[[#This Row],[totalAmount]])</f>
        <v>1</v>
      </c>
      <c r="P49" t="b">
        <f>AND(TrafficData[[#This Row],[pendingCourt]]&lt;=TrafficData[[#This Row],[totalCourt]],TrafficData[[#This Row],[disposedCourt]]&lt;=TrafficData[[#This Row],[totalCourt]])</f>
        <v>1</v>
      </c>
    </row>
    <row r="50" spans="1:16">
      <c r="A50" s="1">
        <v>42053</v>
      </c>
      <c r="B50">
        <v>141</v>
      </c>
      <c r="C50">
        <v>34</v>
      </c>
      <c r="D50">
        <v>107</v>
      </c>
      <c r="E50">
        <v>687850</v>
      </c>
      <c r="F50">
        <v>129800</v>
      </c>
      <c r="G50">
        <v>817650</v>
      </c>
      <c r="H50">
        <v>1</v>
      </c>
      <c r="I50">
        <v>0</v>
      </c>
      <c r="J50">
        <v>1</v>
      </c>
      <c r="K50" t="b">
        <f>TrafficData[[#This Row],[disposedChallan]]+TrafficData[[#This Row],[pendingChallan]]=TrafficData[[#This Row],[totalChallan]]</f>
        <v>1</v>
      </c>
      <c r="L50" t="b">
        <f>TrafficData[[#This Row],[pendingAmount]]+TrafficData[[#This Row],[disposedAmount]]=TrafficData[[#This Row],[totalAmount]]</f>
        <v>1</v>
      </c>
      <c r="M50" t="b">
        <f>TrafficData[[#This Row],[pendingCourt]]+TrafficData[[#This Row],[disposedCourt]]=TrafficData[[#This Row],[totalCourt]]</f>
        <v>1</v>
      </c>
      <c r="N50" t="b">
        <f>AND(TrafficData[[#This Row],[disposedChallan]]&lt;=TrafficData[[#This Row],[totalChallan]],TrafficData[[#This Row],[pendingChallan]]&lt;=TrafficData[[#This Row],[totalChallan]])</f>
        <v>1</v>
      </c>
      <c r="O50" t="b">
        <f>AND(TrafficData[[#This Row],[pendingAmount]]&lt;=TrafficData[[#This Row],[totalAmount]],TrafficData[[#This Row],[disposedAmount]]&lt;=TrafficData[[#This Row],[totalAmount]])</f>
        <v>1</v>
      </c>
      <c r="P50" t="b">
        <f>AND(TrafficData[[#This Row],[pendingCourt]]&lt;=TrafficData[[#This Row],[totalCourt]],TrafficData[[#This Row],[disposedCourt]]&lt;=TrafficData[[#This Row],[totalCourt]])</f>
        <v>1</v>
      </c>
    </row>
    <row r="51" spans="1:16">
      <c r="A51" s="1">
        <v>42054</v>
      </c>
      <c r="B51">
        <v>254</v>
      </c>
      <c r="C51">
        <v>76</v>
      </c>
      <c r="D51">
        <v>178</v>
      </c>
      <c r="E51">
        <v>938700</v>
      </c>
      <c r="F51">
        <v>306050</v>
      </c>
      <c r="G51">
        <v>1244750</v>
      </c>
      <c r="H51">
        <v>0</v>
      </c>
      <c r="I51">
        <v>0</v>
      </c>
      <c r="J51">
        <v>0</v>
      </c>
      <c r="K51" t="b">
        <f>TrafficData[[#This Row],[disposedChallan]]+TrafficData[[#This Row],[pendingChallan]]=TrafficData[[#This Row],[totalChallan]]</f>
        <v>1</v>
      </c>
      <c r="L51" t="b">
        <f>TrafficData[[#This Row],[pendingAmount]]+TrafficData[[#This Row],[disposedAmount]]=TrafficData[[#This Row],[totalAmount]]</f>
        <v>1</v>
      </c>
      <c r="M51" t="b">
        <f>TrafficData[[#This Row],[pendingCourt]]+TrafficData[[#This Row],[disposedCourt]]=TrafficData[[#This Row],[totalCourt]]</f>
        <v>1</v>
      </c>
      <c r="N51" t="b">
        <f>AND(TrafficData[[#This Row],[disposedChallan]]&lt;=TrafficData[[#This Row],[totalChallan]],TrafficData[[#This Row],[pendingChallan]]&lt;=TrafficData[[#This Row],[totalChallan]])</f>
        <v>1</v>
      </c>
      <c r="O51" t="b">
        <f>AND(TrafficData[[#This Row],[pendingAmount]]&lt;=TrafficData[[#This Row],[totalAmount]],TrafficData[[#This Row],[disposedAmount]]&lt;=TrafficData[[#This Row],[totalAmount]])</f>
        <v>1</v>
      </c>
      <c r="P51" t="b">
        <f>AND(TrafficData[[#This Row],[pendingCourt]]&lt;=TrafficData[[#This Row],[totalCourt]],TrafficData[[#This Row],[disposedCourt]]&lt;=TrafficData[[#This Row],[totalCourt]])</f>
        <v>1</v>
      </c>
    </row>
    <row r="52" spans="1:16">
      <c r="A52" s="1">
        <v>42055</v>
      </c>
      <c r="B52">
        <v>136</v>
      </c>
      <c r="C52">
        <v>30</v>
      </c>
      <c r="D52">
        <v>106</v>
      </c>
      <c r="E52">
        <v>814350</v>
      </c>
      <c r="F52">
        <v>97000</v>
      </c>
      <c r="G52">
        <v>911350</v>
      </c>
      <c r="H52">
        <v>3</v>
      </c>
      <c r="I52">
        <v>0</v>
      </c>
      <c r="J52">
        <v>3</v>
      </c>
      <c r="K52" t="b">
        <f>TrafficData[[#This Row],[disposedChallan]]+TrafficData[[#This Row],[pendingChallan]]=TrafficData[[#This Row],[totalChallan]]</f>
        <v>1</v>
      </c>
      <c r="L52" t="b">
        <f>TrafficData[[#This Row],[pendingAmount]]+TrafficData[[#This Row],[disposedAmount]]=TrafficData[[#This Row],[totalAmount]]</f>
        <v>1</v>
      </c>
      <c r="M52" t="b">
        <f>TrafficData[[#This Row],[pendingCourt]]+TrafficData[[#This Row],[disposedCourt]]=TrafficData[[#This Row],[totalCourt]]</f>
        <v>1</v>
      </c>
      <c r="N52" t="b">
        <f>AND(TrafficData[[#This Row],[disposedChallan]]&lt;=TrafficData[[#This Row],[totalChallan]],TrafficData[[#This Row],[pendingChallan]]&lt;=TrafficData[[#This Row],[totalChallan]])</f>
        <v>1</v>
      </c>
      <c r="O52" t="b">
        <f>AND(TrafficData[[#This Row],[pendingAmount]]&lt;=TrafficData[[#This Row],[totalAmount]],TrafficData[[#This Row],[disposedAmount]]&lt;=TrafficData[[#This Row],[totalAmount]])</f>
        <v>1</v>
      </c>
      <c r="P52" t="b">
        <f>AND(TrafficData[[#This Row],[pendingCourt]]&lt;=TrafficData[[#This Row],[totalCourt]],TrafficData[[#This Row],[disposedCourt]]&lt;=TrafficData[[#This Row],[totalCourt]])</f>
        <v>1</v>
      </c>
    </row>
    <row r="53" spans="1:16">
      <c r="A53" s="1">
        <v>42056</v>
      </c>
      <c r="B53">
        <v>91</v>
      </c>
      <c r="C53">
        <v>24</v>
      </c>
      <c r="D53">
        <v>67</v>
      </c>
      <c r="E53">
        <v>376900</v>
      </c>
      <c r="F53">
        <v>145650</v>
      </c>
      <c r="G53">
        <v>522550</v>
      </c>
      <c r="H53">
        <v>4</v>
      </c>
      <c r="I53">
        <v>1</v>
      </c>
      <c r="J53">
        <v>5</v>
      </c>
      <c r="K53" t="b">
        <f>TrafficData[[#This Row],[disposedChallan]]+TrafficData[[#This Row],[pendingChallan]]=TrafficData[[#This Row],[totalChallan]]</f>
        <v>1</v>
      </c>
      <c r="L53" t="b">
        <f>TrafficData[[#This Row],[pendingAmount]]+TrafficData[[#This Row],[disposedAmount]]=TrafficData[[#This Row],[totalAmount]]</f>
        <v>1</v>
      </c>
      <c r="M53" t="b">
        <f>TrafficData[[#This Row],[pendingCourt]]+TrafficData[[#This Row],[disposedCourt]]=TrafficData[[#This Row],[totalCourt]]</f>
        <v>1</v>
      </c>
      <c r="N53" t="b">
        <f>AND(TrafficData[[#This Row],[disposedChallan]]&lt;=TrafficData[[#This Row],[totalChallan]],TrafficData[[#This Row],[pendingChallan]]&lt;=TrafficData[[#This Row],[totalChallan]])</f>
        <v>1</v>
      </c>
      <c r="O53" t="b">
        <f>AND(TrafficData[[#This Row],[pendingAmount]]&lt;=TrafficData[[#This Row],[totalAmount]],TrafficData[[#This Row],[disposedAmount]]&lt;=TrafficData[[#This Row],[totalAmount]])</f>
        <v>1</v>
      </c>
      <c r="P53" t="b">
        <f>AND(TrafficData[[#This Row],[pendingCourt]]&lt;=TrafficData[[#This Row],[totalCourt]],TrafficData[[#This Row],[disposedCourt]]&lt;=TrafficData[[#This Row],[totalCourt]])</f>
        <v>1</v>
      </c>
    </row>
    <row r="54" spans="1:16">
      <c r="A54" s="1">
        <v>42057</v>
      </c>
      <c r="B54">
        <v>87</v>
      </c>
      <c r="C54">
        <v>16</v>
      </c>
      <c r="D54">
        <v>71</v>
      </c>
      <c r="E54">
        <v>365800</v>
      </c>
      <c r="F54">
        <v>26500</v>
      </c>
      <c r="G54">
        <v>392300</v>
      </c>
      <c r="H54">
        <v>0</v>
      </c>
      <c r="I54">
        <v>0</v>
      </c>
      <c r="J54">
        <v>0</v>
      </c>
      <c r="K54" t="b">
        <f>TrafficData[[#This Row],[disposedChallan]]+TrafficData[[#This Row],[pendingChallan]]=TrafficData[[#This Row],[totalChallan]]</f>
        <v>1</v>
      </c>
      <c r="L54" t="b">
        <f>TrafficData[[#This Row],[pendingAmount]]+TrafficData[[#This Row],[disposedAmount]]=TrafficData[[#This Row],[totalAmount]]</f>
        <v>1</v>
      </c>
      <c r="M54" t="b">
        <f>TrafficData[[#This Row],[pendingCourt]]+TrafficData[[#This Row],[disposedCourt]]=TrafficData[[#This Row],[totalCourt]]</f>
        <v>1</v>
      </c>
      <c r="N54" t="b">
        <f>AND(TrafficData[[#This Row],[disposedChallan]]&lt;=TrafficData[[#This Row],[totalChallan]],TrafficData[[#This Row],[pendingChallan]]&lt;=TrafficData[[#This Row],[totalChallan]])</f>
        <v>1</v>
      </c>
      <c r="O54" t="b">
        <f>AND(TrafficData[[#This Row],[pendingAmount]]&lt;=TrafficData[[#This Row],[totalAmount]],TrafficData[[#This Row],[disposedAmount]]&lt;=TrafficData[[#This Row],[totalAmount]])</f>
        <v>1</v>
      </c>
      <c r="P54" t="b">
        <f>AND(TrafficData[[#This Row],[pendingCourt]]&lt;=TrafficData[[#This Row],[totalCourt]],TrafficData[[#This Row],[disposedCourt]]&lt;=TrafficData[[#This Row],[totalCourt]])</f>
        <v>1</v>
      </c>
    </row>
    <row r="55" spans="1:16">
      <c r="A55" s="1">
        <v>42058</v>
      </c>
      <c r="B55">
        <v>97</v>
      </c>
      <c r="C55">
        <v>15</v>
      </c>
      <c r="D55">
        <v>82</v>
      </c>
      <c r="E55">
        <v>622500</v>
      </c>
      <c r="F55">
        <v>68500</v>
      </c>
      <c r="G55">
        <v>691000</v>
      </c>
      <c r="H55">
        <v>3</v>
      </c>
      <c r="I55">
        <v>0</v>
      </c>
      <c r="J55">
        <v>3</v>
      </c>
      <c r="K55" t="b">
        <f>TrafficData[[#This Row],[disposedChallan]]+TrafficData[[#This Row],[pendingChallan]]=TrafficData[[#This Row],[totalChallan]]</f>
        <v>1</v>
      </c>
      <c r="L55" t="b">
        <f>TrafficData[[#This Row],[pendingAmount]]+TrafficData[[#This Row],[disposedAmount]]=TrafficData[[#This Row],[totalAmount]]</f>
        <v>1</v>
      </c>
      <c r="M55" t="b">
        <f>TrafficData[[#This Row],[pendingCourt]]+TrafficData[[#This Row],[disposedCourt]]=TrafficData[[#This Row],[totalCourt]]</f>
        <v>1</v>
      </c>
      <c r="N55" t="b">
        <f>AND(TrafficData[[#This Row],[disposedChallan]]&lt;=TrafficData[[#This Row],[totalChallan]],TrafficData[[#This Row],[pendingChallan]]&lt;=TrafficData[[#This Row],[totalChallan]])</f>
        <v>1</v>
      </c>
      <c r="O55" t="b">
        <f>AND(TrafficData[[#This Row],[pendingAmount]]&lt;=TrafficData[[#This Row],[totalAmount]],TrafficData[[#This Row],[disposedAmount]]&lt;=TrafficData[[#This Row],[totalAmount]])</f>
        <v>1</v>
      </c>
      <c r="P55" t="b">
        <f>AND(TrafficData[[#This Row],[pendingCourt]]&lt;=TrafficData[[#This Row],[totalCourt]],TrafficData[[#This Row],[disposedCourt]]&lt;=TrafficData[[#This Row],[totalCourt]])</f>
        <v>1</v>
      </c>
    </row>
    <row r="56" spans="1:16">
      <c r="A56" s="1">
        <v>42059</v>
      </c>
      <c r="B56">
        <v>112</v>
      </c>
      <c r="C56">
        <v>30</v>
      </c>
      <c r="D56">
        <v>82</v>
      </c>
      <c r="E56">
        <v>545150</v>
      </c>
      <c r="F56">
        <v>201160</v>
      </c>
      <c r="G56">
        <v>746310</v>
      </c>
      <c r="H56">
        <v>1</v>
      </c>
      <c r="I56">
        <v>2</v>
      </c>
      <c r="J56">
        <v>3</v>
      </c>
      <c r="K56" t="b">
        <f>TrafficData[[#This Row],[disposedChallan]]+TrafficData[[#This Row],[pendingChallan]]=TrafficData[[#This Row],[totalChallan]]</f>
        <v>1</v>
      </c>
      <c r="L56" t="b">
        <f>TrafficData[[#This Row],[pendingAmount]]+TrafficData[[#This Row],[disposedAmount]]=TrafficData[[#This Row],[totalAmount]]</f>
        <v>1</v>
      </c>
      <c r="M56" t="b">
        <f>TrafficData[[#This Row],[pendingCourt]]+TrafficData[[#This Row],[disposedCourt]]=TrafficData[[#This Row],[totalCourt]]</f>
        <v>1</v>
      </c>
      <c r="N56" t="b">
        <f>AND(TrafficData[[#This Row],[disposedChallan]]&lt;=TrafficData[[#This Row],[totalChallan]],TrafficData[[#This Row],[pendingChallan]]&lt;=TrafficData[[#This Row],[totalChallan]])</f>
        <v>1</v>
      </c>
      <c r="O56" t="b">
        <f>AND(TrafficData[[#This Row],[pendingAmount]]&lt;=TrafficData[[#This Row],[totalAmount]],TrafficData[[#This Row],[disposedAmount]]&lt;=TrafficData[[#This Row],[totalAmount]])</f>
        <v>1</v>
      </c>
      <c r="P56" t="b">
        <f>AND(TrafficData[[#This Row],[pendingCourt]]&lt;=TrafficData[[#This Row],[totalCourt]],TrafficData[[#This Row],[disposedCourt]]&lt;=TrafficData[[#This Row],[totalCourt]])</f>
        <v>1</v>
      </c>
    </row>
    <row r="57" spans="1:16">
      <c r="A57" s="1">
        <v>42060</v>
      </c>
      <c r="B57">
        <v>110</v>
      </c>
      <c r="C57">
        <v>37</v>
      </c>
      <c r="D57">
        <v>73</v>
      </c>
      <c r="E57">
        <v>463000</v>
      </c>
      <c r="F57">
        <v>122950</v>
      </c>
      <c r="G57">
        <v>585950</v>
      </c>
      <c r="H57">
        <v>4</v>
      </c>
      <c r="I57">
        <v>1</v>
      </c>
      <c r="J57">
        <v>5</v>
      </c>
      <c r="K57" t="b">
        <f>TrafficData[[#This Row],[disposedChallan]]+TrafficData[[#This Row],[pendingChallan]]=TrafficData[[#This Row],[totalChallan]]</f>
        <v>1</v>
      </c>
      <c r="L57" t="b">
        <f>TrafficData[[#This Row],[pendingAmount]]+TrafficData[[#This Row],[disposedAmount]]=TrafficData[[#This Row],[totalAmount]]</f>
        <v>1</v>
      </c>
      <c r="M57" t="b">
        <f>TrafficData[[#This Row],[pendingCourt]]+TrafficData[[#This Row],[disposedCourt]]=TrafficData[[#This Row],[totalCourt]]</f>
        <v>1</v>
      </c>
      <c r="N57" t="b">
        <f>AND(TrafficData[[#This Row],[disposedChallan]]&lt;=TrafficData[[#This Row],[totalChallan]],TrafficData[[#This Row],[pendingChallan]]&lt;=TrafficData[[#This Row],[totalChallan]])</f>
        <v>1</v>
      </c>
      <c r="O57" t="b">
        <f>AND(TrafficData[[#This Row],[pendingAmount]]&lt;=TrafficData[[#This Row],[totalAmount]],TrafficData[[#This Row],[disposedAmount]]&lt;=TrafficData[[#This Row],[totalAmount]])</f>
        <v>1</v>
      </c>
      <c r="P57" t="b">
        <f>AND(TrafficData[[#This Row],[pendingCourt]]&lt;=TrafficData[[#This Row],[totalCourt]],TrafficData[[#This Row],[disposedCourt]]&lt;=TrafficData[[#This Row],[totalCourt]])</f>
        <v>1</v>
      </c>
    </row>
    <row r="58" spans="1:16">
      <c r="A58" s="1">
        <v>42061</v>
      </c>
      <c r="B58">
        <v>130</v>
      </c>
      <c r="C58">
        <v>44</v>
      </c>
      <c r="D58">
        <v>86</v>
      </c>
      <c r="E58">
        <v>860450</v>
      </c>
      <c r="F58">
        <v>189700</v>
      </c>
      <c r="G58">
        <v>1050150</v>
      </c>
      <c r="H58">
        <v>1</v>
      </c>
      <c r="I58">
        <v>2</v>
      </c>
      <c r="J58">
        <v>3</v>
      </c>
      <c r="K58" t="b">
        <f>TrafficData[[#This Row],[disposedChallan]]+TrafficData[[#This Row],[pendingChallan]]=TrafficData[[#This Row],[totalChallan]]</f>
        <v>1</v>
      </c>
      <c r="L58" t="b">
        <f>TrafficData[[#This Row],[pendingAmount]]+TrafficData[[#This Row],[disposedAmount]]=TrafficData[[#This Row],[totalAmount]]</f>
        <v>1</v>
      </c>
      <c r="M58" t="b">
        <f>TrafficData[[#This Row],[pendingCourt]]+TrafficData[[#This Row],[disposedCourt]]=TrafficData[[#This Row],[totalCourt]]</f>
        <v>1</v>
      </c>
      <c r="N58" t="b">
        <f>AND(TrafficData[[#This Row],[disposedChallan]]&lt;=TrafficData[[#This Row],[totalChallan]],TrafficData[[#This Row],[pendingChallan]]&lt;=TrafficData[[#This Row],[totalChallan]])</f>
        <v>1</v>
      </c>
      <c r="O58" t="b">
        <f>AND(TrafficData[[#This Row],[pendingAmount]]&lt;=TrafficData[[#This Row],[totalAmount]],TrafficData[[#This Row],[disposedAmount]]&lt;=TrafficData[[#This Row],[totalAmount]])</f>
        <v>1</v>
      </c>
      <c r="P58" t="b">
        <f>AND(TrafficData[[#This Row],[pendingCourt]]&lt;=TrafficData[[#This Row],[totalCourt]],TrafficData[[#This Row],[disposedCourt]]&lt;=TrafficData[[#This Row],[totalCourt]])</f>
        <v>1</v>
      </c>
    </row>
    <row r="59" spans="1:16">
      <c r="A59" s="1">
        <v>42062</v>
      </c>
      <c r="B59">
        <v>105</v>
      </c>
      <c r="C59">
        <v>35</v>
      </c>
      <c r="D59">
        <v>70</v>
      </c>
      <c r="E59">
        <v>529650</v>
      </c>
      <c r="F59">
        <v>166000</v>
      </c>
      <c r="G59">
        <v>695650</v>
      </c>
      <c r="H59">
        <v>1</v>
      </c>
      <c r="I59">
        <v>1</v>
      </c>
      <c r="J59">
        <v>2</v>
      </c>
      <c r="K59" t="b">
        <f>TrafficData[[#This Row],[disposedChallan]]+TrafficData[[#This Row],[pendingChallan]]=TrafficData[[#This Row],[totalChallan]]</f>
        <v>1</v>
      </c>
      <c r="L59" t="b">
        <f>TrafficData[[#This Row],[pendingAmount]]+TrafficData[[#This Row],[disposedAmount]]=TrafficData[[#This Row],[totalAmount]]</f>
        <v>1</v>
      </c>
      <c r="M59" t="b">
        <f>TrafficData[[#This Row],[pendingCourt]]+TrafficData[[#This Row],[disposedCourt]]=TrafficData[[#This Row],[totalCourt]]</f>
        <v>1</v>
      </c>
      <c r="N59" t="b">
        <f>AND(TrafficData[[#This Row],[disposedChallan]]&lt;=TrafficData[[#This Row],[totalChallan]],TrafficData[[#This Row],[pendingChallan]]&lt;=TrafficData[[#This Row],[totalChallan]])</f>
        <v>1</v>
      </c>
      <c r="O59" t="b">
        <f>AND(TrafficData[[#This Row],[pendingAmount]]&lt;=TrafficData[[#This Row],[totalAmount]],TrafficData[[#This Row],[disposedAmount]]&lt;=TrafficData[[#This Row],[totalAmount]])</f>
        <v>1</v>
      </c>
      <c r="P59" t="b">
        <f>AND(TrafficData[[#This Row],[pendingCourt]]&lt;=TrafficData[[#This Row],[totalCourt]],TrafficData[[#This Row],[disposedCourt]]&lt;=TrafficData[[#This Row],[totalCourt]])</f>
        <v>1</v>
      </c>
    </row>
    <row r="60" spans="1:16">
      <c r="A60" s="1">
        <v>42063</v>
      </c>
      <c r="B60">
        <v>58</v>
      </c>
      <c r="C60">
        <v>16</v>
      </c>
      <c r="D60">
        <v>42</v>
      </c>
      <c r="E60">
        <v>310650</v>
      </c>
      <c r="F60">
        <v>68000</v>
      </c>
      <c r="G60">
        <v>378650</v>
      </c>
      <c r="H60">
        <v>0</v>
      </c>
      <c r="I60">
        <v>0</v>
      </c>
      <c r="J60">
        <v>0</v>
      </c>
      <c r="K60" t="b">
        <f>TrafficData[[#This Row],[disposedChallan]]+TrafficData[[#This Row],[pendingChallan]]=TrafficData[[#This Row],[totalChallan]]</f>
        <v>1</v>
      </c>
      <c r="L60" t="b">
        <f>TrafficData[[#This Row],[pendingAmount]]+TrafficData[[#This Row],[disposedAmount]]=TrafficData[[#This Row],[totalAmount]]</f>
        <v>1</v>
      </c>
      <c r="M60" t="b">
        <f>TrafficData[[#This Row],[pendingCourt]]+TrafficData[[#This Row],[disposedCourt]]=TrafficData[[#This Row],[totalCourt]]</f>
        <v>1</v>
      </c>
      <c r="N60" t="b">
        <f>AND(TrafficData[[#This Row],[disposedChallan]]&lt;=TrafficData[[#This Row],[totalChallan]],TrafficData[[#This Row],[pendingChallan]]&lt;=TrafficData[[#This Row],[totalChallan]])</f>
        <v>1</v>
      </c>
      <c r="O60" t="b">
        <f>AND(TrafficData[[#This Row],[pendingAmount]]&lt;=TrafficData[[#This Row],[totalAmount]],TrafficData[[#This Row],[disposedAmount]]&lt;=TrafficData[[#This Row],[totalAmount]])</f>
        <v>1</v>
      </c>
      <c r="P60" t="b">
        <f>AND(TrafficData[[#This Row],[pendingCourt]]&lt;=TrafficData[[#This Row],[totalCourt]],TrafficData[[#This Row],[disposedCourt]]&lt;=TrafficData[[#This Row],[totalCourt]])</f>
        <v>1</v>
      </c>
    </row>
    <row r="61" spans="1:16">
      <c r="A61" s="1">
        <v>42064</v>
      </c>
      <c r="B61">
        <v>61</v>
      </c>
      <c r="C61">
        <v>14</v>
      </c>
      <c r="D61">
        <v>47</v>
      </c>
      <c r="E61">
        <v>373700</v>
      </c>
      <c r="F61">
        <v>92700</v>
      </c>
      <c r="G61">
        <v>466400</v>
      </c>
      <c r="H61">
        <v>1</v>
      </c>
      <c r="I61">
        <v>1</v>
      </c>
      <c r="J61">
        <v>2</v>
      </c>
      <c r="K61" t="b">
        <f>TrafficData[[#This Row],[disposedChallan]]+TrafficData[[#This Row],[pendingChallan]]=TrafficData[[#This Row],[totalChallan]]</f>
        <v>1</v>
      </c>
      <c r="L61" t="b">
        <f>TrafficData[[#This Row],[pendingAmount]]+TrafficData[[#This Row],[disposedAmount]]=TrafficData[[#This Row],[totalAmount]]</f>
        <v>1</v>
      </c>
      <c r="M61" t="b">
        <f>TrafficData[[#This Row],[pendingCourt]]+TrafficData[[#This Row],[disposedCourt]]=TrafficData[[#This Row],[totalCourt]]</f>
        <v>1</v>
      </c>
      <c r="N61" t="b">
        <f>AND(TrafficData[[#This Row],[disposedChallan]]&lt;=TrafficData[[#This Row],[totalChallan]],TrafficData[[#This Row],[pendingChallan]]&lt;=TrafficData[[#This Row],[totalChallan]])</f>
        <v>1</v>
      </c>
      <c r="O61" t="b">
        <f>AND(TrafficData[[#This Row],[pendingAmount]]&lt;=TrafficData[[#This Row],[totalAmount]],TrafficData[[#This Row],[disposedAmount]]&lt;=TrafficData[[#This Row],[totalAmount]])</f>
        <v>1</v>
      </c>
      <c r="P61" t="b">
        <f>AND(TrafficData[[#This Row],[pendingCourt]]&lt;=TrafficData[[#This Row],[totalCourt]],TrafficData[[#This Row],[disposedCourt]]&lt;=TrafficData[[#This Row],[totalCourt]])</f>
        <v>1</v>
      </c>
    </row>
    <row r="62" spans="1:16">
      <c r="A62" s="1">
        <v>42065</v>
      </c>
      <c r="B62">
        <v>101</v>
      </c>
      <c r="C62">
        <v>19</v>
      </c>
      <c r="D62">
        <v>82</v>
      </c>
      <c r="E62">
        <v>787050</v>
      </c>
      <c r="F62">
        <v>28000</v>
      </c>
      <c r="G62">
        <v>815050</v>
      </c>
      <c r="H62">
        <v>2</v>
      </c>
      <c r="I62">
        <v>1</v>
      </c>
      <c r="J62">
        <v>3</v>
      </c>
      <c r="K62" t="b">
        <f>TrafficData[[#This Row],[disposedChallan]]+TrafficData[[#This Row],[pendingChallan]]=TrafficData[[#This Row],[totalChallan]]</f>
        <v>1</v>
      </c>
      <c r="L62" t="b">
        <f>TrafficData[[#This Row],[pendingAmount]]+TrafficData[[#This Row],[disposedAmount]]=TrafficData[[#This Row],[totalAmount]]</f>
        <v>1</v>
      </c>
      <c r="M62" t="b">
        <f>TrafficData[[#This Row],[pendingCourt]]+TrafficData[[#This Row],[disposedCourt]]=TrafficData[[#This Row],[totalCourt]]</f>
        <v>1</v>
      </c>
      <c r="N62" t="b">
        <f>AND(TrafficData[[#This Row],[disposedChallan]]&lt;=TrafficData[[#This Row],[totalChallan]],TrafficData[[#This Row],[pendingChallan]]&lt;=TrafficData[[#This Row],[totalChallan]])</f>
        <v>1</v>
      </c>
      <c r="O62" t="b">
        <f>AND(TrafficData[[#This Row],[pendingAmount]]&lt;=TrafficData[[#This Row],[totalAmount]],TrafficData[[#This Row],[disposedAmount]]&lt;=TrafficData[[#This Row],[totalAmount]])</f>
        <v>1</v>
      </c>
      <c r="P62" t="b">
        <f>AND(TrafficData[[#This Row],[pendingCourt]]&lt;=TrafficData[[#This Row],[totalCourt]],TrafficData[[#This Row],[disposedCourt]]&lt;=TrafficData[[#This Row],[totalCourt]])</f>
        <v>1</v>
      </c>
    </row>
    <row r="63" spans="1:16">
      <c r="A63" s="1">
        <v>42066</v>
      </c>
      <c r="B63">
        <v>144</v>
      </c>
      <c r="C63">
        <v>27</v>
      </c>
      <c r="D63">
        <v>117</v>
      </c>
      <c r="E63">
        <v>908550</v>
      </c>
      <c r="F63">
        <v>171500</v>
      </c>
      <c r="G63">
        <v>1080050</v>
      </c>
      <c r="H63">
        <v>6</v>
      </c>
      <c r="I63">
        <v>1</v>
      </c>
      <c r="J63">
        <v>7</v>
      </c>
      <c r="K63" t="b">
        <f>TrafficData[[#This Row],[disposedChallan]]+TrafficData[[#This Row],[pendingChallan]]=TrafficData[[#This Row],[totalChallan]]</f>
        <v>1</v>
      </c>
      <c r="L63" t="b">
        <f>TrafficData[[#This Row],[pendingAmount]]+TrafficData[[#This Row],[disposedAmount]]=TrafficData[[#This Row],[totalAmount]]</f>
        <v>1</v>
      </c>
      <c r="M63" t="b">
        <f>TrafficData[[#This Row],[pendingCourt]]+TrafficData[[#This Row],[disposedCourt]]=TrafficData[[#This Row],[totalCourt]]</f>
        <v>1</v>
      </c>
      <c r="N63" t="b">
        <f>AND(TrafficData[[#This Row],[disposedChallan]]&lt;=TrafficData[[#This Row],[totalChallan]],TrafficData[[#This Row],[pendingChallan]]&lt;=TrafficData[[#This Row],[totalChallan]])</f>
        <v>1</v>
      </c>
      <c r="O63" t="b">
        <f>AND(TrafficData[[#This Row],[pendingAmount]]&lt;=TrafficData[[#This Row],[totalAmount]],TrafficData[[#This Row],[disposedAmount]]&lt;=TrafficData[[#This Row],[totalAmount]])</f>
        <v>1</v>
      </c>
      <c r="P63" t="b">
        <f>AND(TrafficData[[#This Row],[pendingCourt]]&lt;=TrafficData[[#This Row],[totalCourt]],TrafficData[[#This Row],[disposedCourt]]&lt;=TrafficData[[#This Row],[totalCourt]])</f>
        <v>1</v>
      </c>
    </row>
    <row r="64" spans="1:16">
      <c r="A64" s="1">
        <v>42067</v>
      </c>
      <c r="B64">
        <v>127</v>
      </c>
      <c r="C64">
        <v>26</v>
      </c>
      <c r="D64">
        <v>101</v>
      </c>
      <c r="E64">
        <v>805500</v>
      </c>
      <c r="F64">
        <v>125550</v>
      </c>
      <c r="G64">
        <v>931050</v>
      </c>
      <c r="H64">
        <v>4</v>
      </c>
      <c r="I64">
        <v>0</v>
      </c>
      <c r="J64">
        <v>4</v>
      </c>
      <c r="K64" t="b">
        <f>TrafficData[[#This Row],[disposedChallan]]+TrafficData[[#This Row],[pendingChallan]]=TrafficData[[#This Row],[totalChallan]]</f>
        <v>1</v>
      </c>
      <c r="L64" t="b">
        <f>TrafficData[[#This Row],[pendingAmount]]+TrafficData[[#This Row],[disposedAmount]]=TrafficData[[#This Row],[totalAmount]]</f>
        <v>1</v>
      </c>
      <c r="M64" t="b">
        <f>TrafficData[[#This Row],[pendingCourt]]+TrafficData[[#This Row],[disposedCourt]]=TrafficData[[#This Row],[totalCourt]]</f>
        <v>1</v>
      </c>
      <c r="N64" t="b">
        <f>AND(TrafficData[[#This Row],[disposedChallan]]&lt;=TrafficData[[#This Row],[totalChallan]],TrafficData[[#This Row],[pendingChallan]]&lt;=TrafficData[[#This Row],[totalChallan]])</f>
        <v>1</v>
      </c>
      <c r="O64" t="b">
        <f>AND(TrafficData[[#This Row],[pendingAmount]]&lt;=TrafficData[[#This Row],[totalAmount]],TrafficData[[#This Row],[disposedAmount]]&lt;=TrafficData[[#This Row],[totalAmount]])</f>
        <v>1</v>
      </c>
      <c r="P64" t="b">
        <f>AND(TrafficData[[#This Row],[pendingCourt]]&lt;=TrafficData[[#This Row],[totalCourt]],TrafficData[[#This Row],[disposedCourt]]&lt;=TrafficData[[#This Row],[totalCourt]])</f>
        <v>1</v>
      </c>
    </row>
    <row r="65" spans="1:16">
      <c r="A65" s="1">
        <v>42068</v>
      </c>
      <c r="B65">
        <v>75</v>
      </c>
      <c r="C65">
        <v>19</v>
      </c>
      <c r="D65">
        <v>56</v>
      </c>
      <c r="E65">
        <v>357000</v>
      </c>
      <c r="F65">
        <v>133500</v>
      </c>
      <c r="G65">
        <v>490500</v>
      </c>
      <c r="H65">
        <v>4</v>
      </c>
      <c r="I65">
        <v>1</v>
      </c>
      <c r="J65">
        <v>5</v>
      </c>
      <c r="K65" t="b">
        <f>TrafficData[[#This Row],[disposedChallan]]+TrafficData[[#This Row],[pendingChallan]]=TrafficData[[#This Row],[totalChallan]]</f>
        <v>1</v>
      </c>
      <c r="L65" t="b">
        <f>TrafficData[[#This Row],[pendingAmount]]+TrafficData[[#This Row],[disposedAmount]]=TrafficData[[#This Row],[totalAmount]]</f>
        <v>1</v>
      </c>
      <c r="M65" t="b">
        <f>TrafficData[[#This Row],[pendingCourt]]+TrafficData[[#This Row],[disposedCourt]]=TrafficData[[#This Row],[totalCourt]]</f>
        <v>1</v>
      </c>
      <c r="N65" t="b">
        <f>AND(TrafficData[[#This Row],[disposedChallan]]&lt;=TrafficData[[#This Row],[totalChallan]],TrafficData[[#This Row],[pendingChallan]]&lt;=TrafficData[[#This Row],[totalChallan]])</f>
        <v>1</v>
      </c>
      <c r="O65" t="b">
        <f>AND(TrafficData[[#This Row],[pendingAmount]]&lt;=TrafficData[[#This Row],[totalAmount]],TrafficData[[#This Row],[disposedAmount]]&lt;=TrafficData[[#This Row],[totalAmount]])</f>
        <v>1</v>
      </c>
      <c r="P65" t="b">
        <f>AND(TrafficData[[#This Row],[pendingCourt]]&lt;=TrafficData[[#This Row],[totalCourt]],TrafficData[[#This Row],[disposedCourt]]&lt;=TrafficData[[#This Row],[totalCourt]])</f>
        <v>1</v>
      </c>
    </row>
    <row r="66" spans="1:16">
      <c r="A66" s="1">
        <v>42069</v>
      </c>
      <c r="B66">
        <v>10</v>
      </c>
      <c r="C66">
        <v>7</v>
      </c>
      <c r="D66">
        <v>3</v>
      </c>
      <c r="E66">
        <v>20400</v>
      </c>
      <c r="F66">
        <v>34000</v>
      </c>
      <c r="G66">
        <v>54400</v>
      </c>
      <c r="H66">
        <v>0</v>
      </c>
      <c r="I66">
        <v>0</v>
      </c>
      <c r="J66">
        <v>0</v>
      </c>
      <c r="K66" t="b">
        <f>TrafficData[[#This Row],[disposedChallan]]+TrafficData[[#This Row],[pendingChallan]]=TrafficData[[#This Row],[totalChallan]]</f>
        <v>1</v>
      </c>
      <c r="L66" t="b">
        <f>TrafficData[[#This Row],[pendingAmount]]+TrafficData[[#This Row],[disposedAmount]]=TrafficData[[#This Row],[totalAmount]]</f>
        <v>1</v>
      </c>
      <c r="M66" t="b">
        <f>TrafficData[[#This Row],[pendingCourt]]+TrafficData[[#This Row],[disposedCourt]]=TrafficData[[#This Row],[totalCourt]]</f>
        <v>1</v>
      </c>
      <c r="N66" t="b">
        <f>AND(TrafficData[[#This Row],[disposedChallan]]&lt;=TrafficData[[#This Row],[totalChallan]],TrafficData[[#This Row],[pendingChallan]]&lt;=TrafficData[[#This Row],[totalChallan]])</f>
        <v>1</v>
      </c>
      <c r="O66" t="b">
        <f>AND(TrafficData[[#This Row],[pendingAmount]]&lt;=TrafficData[[#This Row],[totalAmount]],TrafficData[[#This Row],[disposedAmount]]&lt;=TrafficData[[#This Row],[totalAmount]])</f>
        <v>1</v>
      </c>
      <c r="P66" t="b">
        <f>AND(TrafficData[[#This Row],[pendingCourt]]&lt;=TrafficData[[#This Row],[totalCourt]],TrafficData[[#This Row],[disposedCourt]]&lt;=TrafficData[[#This Row],[totalCourt]])</f>
        <v>1</v>
      </c>
    </row>
    <row r="67" spans="1:16">
      <c r="A67" s="1">
        <v>42070</v>
      </c>
      <c r="B67">
        <v>111</v>
      </c>
      <c r="C67">
        <v>23</v>
      </c>
      <c r="D67">
        <v>88</v>
      </c>
      <c r="E67">
        <v>457850</v>
      </c>
      <c r="F67">
        <v>69900</v>
      </c>
      <c r="G67">
        <v>527750</v>
      </c>
      <c r="H67">
        <v>2</v>
      </c>
      <c r="I67">
        <v>0</v>
      </c>
      <c r="J67">
        <v>2</v>
      </c>
      <c r="K67" t="b">
        <f>TrafficData[[#This Row],[disposedChallan]]+TrafficData[[#This Row],[pendingChallan]]=TrafficData[[#This Row],[totalChallan]]</f>
        <v>1</v>
      </c>
      <c r="L67" t="b">
        <f>TrafficData[[#This Row],[pendingAmount]]+TrafficData[[#This Row],[disposedAmount]]=TrafficData[[#This Row],[totalAmount]]</f>
        <v>1</v>
      </c>
      <c r="M67" t="b">
        <f>TrafficData[[#This Row],[pendingCourt]]+TrafficData[[#This Row],[disposedCourt]]=TrafficData[[#This Row],[totalCourt]]</f>
        <v>1</v>
      </c>
      <c r="N67" t="b">
        <f>AND(TrafficData[[#This Row],[disposedChallan]]&lt;=TrafficData[[#This Row],[totalChallan]],TrafficData[[#This Row],[pendingChallan]]&lt;=TrafficData[[#This Row],[totalChallan]])</f>
        <v>1</v>
      </c>
      <c r="O67" t="b">
        <f>AND(TrafficData[[#This Row],[pendingAmount]]&lt;=TrafficData[[#This Row],[totalAmount]],TrafficData[[#This Row],[disposedAmount]]&lt;=TrafficData[[#This Row],[totalAmount]])</f>
        <v>1</v>
      </c>
      <c r="P67" t="b">
        <f>AND(TrafficData[[#This Row],[pendingCourt]]&lt;=TrafficData[[#This Row],[totalCourt]],TrafficData[[#This Row],[disposedCourt]]&lt;=TrafficData[[#This Row],[totalCourt]])</f>
        <v>1</v>
      </c>
    </row>
    <row r="68" spans="1:16">
      <c r="A68" s="1">
        <v>42071</v>
      </c>
      <c r="B68">
        <v>80</v>
      </c>
      <c r="C68">
        <v>22</v>
      </c>
      <c r="D68">
        <v>58</v>
      </c>
      <c r="E68">
        <v>453050</v>
      </c>
      <c r="F68">
        <v>99300</v>
      </c>
      <c r="G68">
        <v>552350</v>
      </c>
      <c r="H68">
        <v>1</v>
      </c>
      <c r="I68">
        <v>0</v>
      </c>
      <c r="J68">
        <v>1</v>
      </c>
      <c r="K68" t="b">
        <f>TrafficData[[#This Row],[disposedChallan]]+TrafficData[[#This Row],[pendingChallan]]=TrafficData[[#This Row],[totalChallan]]</f>
        <v>1</v>
      </c>
      <c r="L68" t="b">
        <f>TrafficData[[#This Row],[pendingAmount]]+TrafficData[[#This Row],[disposedAmount]]=TrafficData[[#This Row],[totalAmount]]</f>
        <v>1</v>
      </c>
      <c r="M68" t="b">
        <f>TrafficData[[#This Row],[pendingCourt]]+TrafficData[[#This Row],[disposedCourt]]=TrafficData[[#This Row],[totalCourt]]</f>
        <v>1</v>
      </c>
      <c r="N68" t="b">
        <f>AND(TrafficData[[#This Row],[disposedChallan]]&lt;=TrafficData[[#This Row],[totalChallan]],TrafficData[[#This Row],[pendingChallan]]&lt;=TrafficData[[#This Row],[totalChallan]])</f>
        <v>1</v>
      </c>
      <c r="O68" t="b">
        <f>AND(TrafficData[[#This Row],[pendingAmount]]&lt;=TrafficData[[#This Row],[totalAmount]],TrafficData[[#This Row],[disposedAmount]]&lt;=TrafficData[[#This Row],[totalAmount]])</f>
        <v>1</v>
      </c>
      <c r="P68" t="b">
        <f>AND(TrafficData[[#This Row],[pendingCourt]]&lt;=TrafficData[[#This Row],[totalCourt]],TrafficData[[#This Row],[disposedCourt]]&lt;=TrafficData[[#This Row],[totalCourt]])</f>
        <v>1</v>
      </c>
    </row>
    <row r="69" spans="1:16">
      <c r="A69" s="1">
        <v>42072</v>
      </c>
      <c r="B69">
        <v>129</v>
      </c>
      <c r="C69">
        <v>28</v>
      </c>
      <c r="D69">
        <v>101</v>
      </c>
      <c r="E69">
        <v>626400</v>
      </c>
      <c r="F69">
        <v>105850</v>
      </c>
      <c r="G69">
        <v>732250</v>
      </c>
      <c r="H69">
        <v>4</v>
      </c>
      <c r="I69">
        <v>1</v>
      </c>
      <c r="J69">
        <v>5</v>
      </c>
      <c r="K69" t="b">
        <f>TrafficData[[#This Row],[disposedChallan]]+TrafficData[[#This Row],[pendingChallan]]=TrafficData[[#This Row],[totalChallan]]</f>
        <v>1</v>
      </c>
      <c r="L69" t="b">
        <f>TrafficData[[#This Row],[pendingAmount]]+TrafficData[[#This Row],[disposedAmount]]=TrafficData[[#This Row],[totalAmount]]</f>
        <v>1</v>
      </c>
      <c r="M69" t="b">
        <f>TrafficData[[#This Row],[pendingCourt]]+TrafficData[[#This Row],[disposedCourt]]=TrafficData[[#This Row],[totalCourt]]</f>
        <v>1</v>
      </c>
      <c r="N69" t="b">
        <f>AND(TrafficData[[#This Row],[disposedChallan]]&lt;=TrafficData[[#This Row],[totalChallan]],TrafficData[[#This Row],[pendingChallan]]&lt;=TrafficData[[#This Row],[totalChallan]])</f>
        <v>1</v>
      </c>
      <c r="O69" t="b">
        <f>AND(TrafficData[[#This Row],[pendingAmount]]&lt;=TrafficData[[#This Row],[totalAmount]],TrafficData[[#This Row],[disposedAmount]]&lt;=TrafficData[[#This Row],[totalAmount]])</f>
        <v>1</v>
      </c>
      <c r="P69" t="b">
        <f>AND(TrafficData[[#This Row],[pendingCourt]]&lt;=TrafficData[[#This Row],[totalCourt]],TrafficData[[#This Row],[disposedCourt]]&lt;=TrafficData[[#This Row],[totalCourt]])</f>
        <v>1</v>
      </c>
    </row>
    <row r="70" spans="1:16">
      <c r="A70" s="1">
        <v>42073</v>
      </c>
      <c r="B70">
        <v>136</v>
      </c>
      <c r="C70">
        <v>35</v>
      </c>
      <c r="D70">
        <v>101</v>
      </c>
      <c r="E70">
        <v>734350</v>
      </c>
      <c r="F70">
        <v>163160</v>
      </c>
      <c r="G70">
        <v>897510</v>
      </c>
      <c r="H70">
        <v>5</v>
      </c>
      <c r="I70">
        <v>2</v>
      </c>
      <c r="J70">
        <v>7</v>
      </c>
      <c r="K70" t="b">
        <f>TrafficData[[#This Row],[disposedChallan]]+TrafficData[[#This Row],[pendingChallan]]=TrafficData[[#This Row],[totalChallan]]</f>
        <v>1</v>
      </c>
      <c r="L70" t="b">
        <f>TrafficData[[#This Row],[pendingAmount]]+TrafficData[[#This Row],[disposedAmount]]=TrafficData[[#This Row],[totalAmount]]</f>
        <v>1</v>
      </c>
      <c r="M70" t="b">
        <f>TrafficData[[#This Row],[pendingCourt]]+TrafficData[[#This Row],[disposedCourt]]=TrafficData[[#This Row],[totalCourt]]</f>
        <v>1</v>
      </c>
      <c r="N70" t="b">
        <f>AND(TrafficData[[#This Row],[disposedChallan]]&lt;=TrafficData[[#This Row],[totalChallan]],TrafficData[[#This Row],[pendingChallan]]&lt;=TrafficData[[#This Row],[totalChallan]])</f>
        <v>1</v>
      </c>
      <c r="O70" t="b">
        <f>AND(TrafficData[[#This Row],[pendingAmount]]&lt;=TrafficData[[#This Row],[totalAmount]],TrafficData[[#This Row],[disposedAmount]]&lt;=TrafficData[[#This Row],[totalAmount]])</f>
        <v>1</v>
      </c>
      <c r="P70" t="b">
        <f>AND(TrafficData[[#This Row],[pendingCourt]]&lt;=TrafficData[[#This Row],[totalCourt]],TrafficData[[#This Row],[disposedCourt]]&lt;=TrafficData[[#This Row],[totalCourt]])</f>
        <v>1</v>
      </c>
    </row>
    <row r="71" spans="1:16">
      <c r="A71" s="1">
        <v>42074</v>
      </c>
      <c r="B71">
        <v>131</v>
      </c>
      <c r="C71">
        <v>43</v>
      </c>
      <c r="D71">
        <v>88</v>
      </c>
      <c r="E71">
        <v>760160</v>
      </c>
      <c r="F71">
        <v>288000</v>
      </c>
      <c r="G71">
        <v>1048160</v>
      </c>
      <c r="H71">
        <v>3</v>
      </c>
      <c r="I71">
        <v>0</v>
      </c>
      <c r="J71">
        <v>3</v>
      </c>
      <c r="K71" t="b">
        <f>TrafficData[[#This Row],[disposedChallan]]+TrafficData[[#This Row],[pendingChallan]]=TrafficData[[#This Row],[totalChallan]]</f>
        <v>1</v>
      </c>
      <c r="L71" t="b">
        <f>TrafficData[[#This Row],[pendingAmount]]+TrafficData[[#This Row],[disposedAmount]]=TrafficData[[#This Row],[totalAmount]]</f>
        <v>1</v>
      </c>
      <c r="M71" t="b">
        <f>TrafficData[[#This Row],[pendingCourt]]+TrafficData[[#This Row],[disposedCourt]]=TrafficData[[#This Row],[totalCourt]]</f>
        <v>1</v>
      </c>
      <c r="N71" t="b">
        <f>AND(TrafficData[[#This Row],[disposedChallan]]&lt;=TrafficData[[#This Row],[totalChallan]],TrafficData[[#This Row],[pendingChallan]]&lt;=TrafficData[[#This Row],[totalChallan]])</f>
        <v>1</v>
      </c>
      <c r="O71" t="b">
        <f>AND(TrafficData[[#This Row],[pendingAmount]]&lt;=TrafficData[[#This Row],[totalAmount]],TrafficData[[#This Row],[disposedAmount]]&lt;=TrafficData[[#This Row],[totalAmount]])</f>
        <v>1</v>
      </c>
      <c r="P71" t="b">
        <f>AND(TrafficData[[#This Row],[pendingCourt]]&lt;=TrafficData[[#This Row],[totalCourt]],TrafficData[[#This Row],[disposedCourt]]&lt;=TrafficData[[#This Row],[totalCourt]])</f>
        <v>1</v>
      </c>
    </row>
    <row r="72" spans="1:16">
      <c r="A72" s="1">
        <v>42075</v>
      </c>
      <c r="B72">
        <v>120</v>
      </c>
      <c r="C72">
        <v>26</v>
      </c>
      <c r="D72">
        <v>94</v>
      </c>
      <c r="E72">
        <v>672050</v>
      </c>
      <c r="F72">
        <v>190410</v>
      </c>
      <c r="G72">
        <v>862460</v>
      </c>
      <c r="H72">
        <v>1</v>
      </c>
      <c r="I72">
        <v>1</v>
      </c>
      <c r="J72">
        <v>2</v>
      </c>
      <c r="K72" t="b">
        <f>TrafficData[[#This Row],[disposedChallan]]+TrafficData[[#This Row],[pendingChallan]]=TrafficData[[#This Row],[totalChallan]]</f>
        <v>1</v>
      </c>
      <c r="L72" t="b">
        <f>TrafficData[[#This Row],[pendingAmount]]+TrafficData[[#This Row],[disposedAmount]]=TrafficData[[#This Row],[totalAmount]]</f>
        <v>1</v>
      </c>
      <c r="M72" t="b">
        <f>TrafficData[[#This Row],[pendingCourt]]+TrafficData[[#This Row],[disposedCourt]]=TrafficData[[#This Row],[totalCourt]]</f>
        <v>1</v>
      </c>
      <c r="N72" t="b">
        <f>AND(TrafficData[[#This Row],[disposedChallan]]&lt;=TrafficData[[#This Row],[totalChallan]],TrafficData[[#This Row],[pendingChallan]]&lt;=TrafficData[[#This Row],[totalChallan]])</f>
        <v>1</v>
      </c>
      <c r="O72" t="b">
        <f>AND(TrafficData[[#This Row],[pendingAmount]]&lt;=TrafficData[[#This Row],[totalAmount]],TrafficData[[#This Row],[disposedAmount]]&lt;=TrafficData[[#This Row],[totalAmount]])</f>
        <v>1</v>
      </c>
      <c r="P72" t="b">
        <f>AND(TrafficData[[#This Row],[pendingCourt]]&lt;=TrafficData[[#This Row],[totalCourt]],TrafficData[[#This Row],[disposedCourt]]&lt;=TrafficData[[#This Row],[totalCourt]])</f>
        <v>1</v>
      </c>
    </row>
    <row r="73" spans="1:16">
      <c r="A73" s="1">
        <v>42076</v>
      </c>
      <c r="B73">
        <v>103</v>
      </c>
      <c r="C73">
        <v>35</v>
      </c>
      <c r="D73">
        <v>68</v>
      </c>
      <c r="E73">
        <v>560600</v>
      </c>
      <c r="F73">
        <v>153320</v>
      </c>
      <c r="G73">
        <v>713920</v>
      </c>
      <c r="H73">
        <v>3</v>
      </c>
      <c r="I73">
        <v>4</v>
      </c>
      <c r="J73">
        <v>7</v>
      </c>
      <c r="K73" t="b">
        <f>TrafficData[[#This Row],[disposedChallan]]+TrafficData[[#This Row],[pendingChallan]]=TrafficData[[#This Row],[totalChallan]]</f>
        <v>1</v>
      </c>
      <c r="L73" t="b">
        <f>TrafficData[[#This Row],[pendingAmount]]+TrafficData[[#This Row],[disposedAmount]]=TrafficData[[#This Row],[totalAmount]]</f>
        <v>1</v>
      </c>
      <c r="M73" t="b">
        <f>TrafficData[[#This Row],[pendingCourt]]+TrafficData[[#This Row],[disposedCourt]]=TrafficData[[#This Row],[totalCourt]]</f>
        <v>1</v>
      </c>
      <c r="N73" t="b">
        <f>AND(TrafficData[[#This Row],[disposedChallan]]&lt;=TrafficData[[#This Row],[totalChallan]],TrafficData[[#This Row],[pendingChallan]]&lt;=TrafficData[[#This Row],[totalChallan]])</f>
        <v>1</v>
      </c>
      <c r="O73" t="b">
        <f>AND(TrafficData[[#This Row],[pendingAmount]]&lt;=TrafficData[[#This Row],[totalAmount]],TrafficData[[#This Row],[disposedAmount]]&lt;=TrafficData[[#This Row],[totalAmount]])</f>
        <v>1</v>
      </c>
      <c r="P73" t="b">
        <f>AND(TrafficData[[#This Row],[pendingCourt]]&lt;=TrafficData[[#This Row],[totalCourt]],TrafficData[[#This Row],[disposedCourt]]&lt;=TrafficData[[#This Row],[totalCourt]])</f>
        <v>1</v>
      </c>
    </row>
    <row r="74" spans="1:16">
      <c r="A74" s="1">
        <v>42077</v>
      </c>
      <c r="B74">
        <v>114</v>
      </c>
      <c r="C74">
        <v>30</v>
      </c>
      <c r="D74">
        <v>84</v>
      </c>
      <c r="E74">
        <v>538600</v>
      </c>
      <c r="F74">
        <v>147610</v>
      </c>
      <c r="G74">
        <v>686210</v>
      </c>
      <c r="H74">
        <v>0</v>
      </c>
      <c r="I74">
        <v>2</v>
      </c>
      <c r="J74">
        <v>2</v>
      </c>
      <c r="K74" t="b">
        <f>TrafficData[[#This Row],[disposedChallan]]+TrafficData[[#This Row],[pendingChallan]]=TrafficData[[#This Row],[totalChallan]]</f>
        <v>1</v>
      </c>
      <c r="L74" t="b">
        <f>TrafficData[[#This Row],[pendingAmount]]+TrafficData[[#This Row],[disposedAmount]]=TrafficData[[#This Row],[totalAmount]]</f>
        <v>1</v>
      </c>
      <c r="M74" t="b">
        <f>TrafficData[[#This Row],[pendingCourt]]+TrafficData[[#This Row],[disposedCourt]]=TrafficData[[#This Row],[totalCourt]]</f>
        <v>1</v>
      </c>
      <c r="N74" t="b">
        <f>AND(TrafficData[[#This Row],[disposedChallan]]&lt;=TrafficData[[#This Row],[totalChallan]],TrafficData[[#This Row],[pendingChallan]]&lt;=TrafficData[[#This Row],[totalChallan]])</f>
        <v>1</v>
      </c>
      <c r="O74" t="b">
        <f>AND(TrafficData[[#This Row],[pendingAmount]]&lt;=TrafficData[[#This Row],[totalAmount]],TrafficData[[#This Row],[disposedAmount]]&lt;=TrafficData[[#This Row],[totalAmount]])</f>
        <v>1</v>
      </c>
      <c r="P74" t="b">
        <f>AND(TrafficData[[#This Row],[pendingCourt]]&lt;=TrafficData[[#This Row],[totalCourt]],TrafficData[[#This Row],[disposedCourt]]&lt;=TrafficData[[#This Row],[totalCourt]])</f>
        <v>1</v>
      </c>
    </row>
    <row r="75" spans="1:16">
      <c r="A75" s="1">
        <v>42078</v>
      </c>
      <c r="B75">
        <v>129</v>
      </c>
      <c r="C75">
        <v>43</v>
      </c>
      <c r="D75">
        <v>86</v>
      </c>
      <c r="E75">
        <v>404150</v>
      </c>
      <c r="F75">
        <v>169449</v>
      </c>
      <c r="G75">
        <v>573599</v>
      </c>
      <c r="H75">
        <v>1</v>
      </c>
      <c r="I75">
        <v>1</v>
      </c>
      <c r="J75">
        <v>2</v>
      </c>
      <c r="K75" t="b">
        <f>TrafficData[[#This Row],[disposedChallan]]+TrafficData[[#This Row],[pendingChallan]]=TrafficData[[#This Row],[totalChallan]]</f>
        <v>1</v>
      </c>
      <c r="L75" t="b">
        <f>TrafficData[[#This Row],[pendingAmount]]+TrafficData[[#This Row],[disposedAmount]]=TrafficData[[#This Row],[totalAmount]]</f>
        <v>1</v>
      </c>
      <c r="M75" t="b">
        <f>TrafficData[[#This Row],[pendingCourt]]+TrafficData[[#This Row],[disposedCourt]]=TrafficData[[#This Row],[totalCourt]]</f>
        <v>1</v>
      </c>
      <c r="N75" t="b">
        <f>AND(TrafficData[[#This Row],[disposedChallan]]&lt;=TrafficData[[#This Row],[totalChallan]],TrafficData[[#This Row],[pendingChallan]]&lt;=TrafficData[[#This Row],[totalChallan]])</f>
        <v>1</v>
      </c>
      <c r="O75" t="b">
        <f>AND(TrafficData[[#This Row],[pendingAmount]]&lt;=TrafficData[[#This Row],[totalAmount]],TrafficData[[#This Row],[disposedAmount]]&lt;=TrafficData[[#This Row],[totalAmount]])</f>
        <v>1</v>
      </c>
      <c r="P75" t="b">
        <f>AND(TrafficData[[#This Row],[pendingCourt]]&lt;=TrafficData[[#This Row],[totalCourt]],TrafficData[[#This Row],[disposedCourt]]&lt;=TrafficData[[#This Row],[totalCourt]])</f>
        <v>1</v>
      </c>
    </row>
    <row r="76" spans="1:16">
      <c r="A76" s="1">
        <v>42079</v>
      </c>
      <c r="B76">
        <v>121</v>
      </c>
      <c r="C76">
        <v>25</v>
      </c>
      <c r="D76">
        <v>96</v>
      </c>
      <c r="E76">
        <v>700600</v>
      </c>
      <c r="F76">
        <v>104130</v>
      </c>
      <c r="G76">
        <v>804730</v>
      </c>
      <c r="H76">
        <v>2</v>
      </c>
      <c r="I76">
        <v>1</v>
      </c>
      <c r="J76">
        <v>3</v>
      </c>
      <c r="K76" t="b">
        <f>TrafficData[[#This Row],[disposedChallan]]+TrafficData[[#This Row],[pendingChallan]]=TrafficData[[#This Row],[totalChallan]]</f>
        <v>1</v>
      </c>
      <c r="L76" t="b">
        <f>TrafficData[[#This Row],[pendingAmount]]+TrafficData[[#This Row],[disposedAmount]]=TrafficData[[#This Row],[totalAmount]]</f>
        <v>1</v>
      </c>
      <c r="M76" t="b">
        <f>TrafficData[[#This Row],[pendingCourt]]+TrafficData[[#This Row],[disposedCourt]]=TrafficData[[#This Row],[totalCourt]]</f>
        <v>1</v>
      </c>
      <c r="N76" t="b">
        <f>AND(TrafficData[[#This Row],[disposedChallan]]&lt;=TrafficData[[#This Row],[totalChallan]],TrafficData[[#This Row],[pendingChallan]]&lt;=TrafficData[[#This Row],[totalChallan]])</f>
        <v>1</v>
      </c>
      <c r="O76" t="b">
        <f>AND(TrafficData[[#This Row],[pendingAmount]]&lt;=TrafficData[[#This Row],[totalAmount]],TrafficData[[#This Row],[disposedAmount]]&lt;=TrafficData[[#This Row],[totalAmount]])</f>
        <v>1</v>
      </c>
      <c r="P76" t="b">
        <f>AND(TrafficData[[#This Row],[pendingCourt]]&lt;=TrafficData[[#This Row],[totalCourt]],TrafficData[[#This Row],[disposedCourt]]&lt;=TrafficData[[#This Row],[totalCourt]])</f>
        <v>1</v>
      </c>
    </row>
    <row r="77" spans="1:16">
      <c r="A77" s="1">
        <v>42080</v>
      </c>
      <c r="B77">
        <v>112</v>
      </c>
      <c r="C77">
        <v>24</v>
      </c>
      <c r="D77">
        <v>88</v>
      </c>
      <c r="E77">
        <v>588900</v>
      </c>
      <c r="F77">
        <v>172548</v>
      </c>
      <c r="G77">
        <v>761448</v>
      </c>
      <c r="H77">
        <v>2</v>
      </c>
      <c r="I77">
        <v>1</v>
      </c>
      <c r="J77">
        <v>3</v>
      </c>
      <c r="K77" t="b">
        <f>TrafficData[[#This Row],[disposedChallan]]+TrafficData[[#This Row],[pendingChallan]]=TrafficData[[#This Row],[totalChallan]]</f>
        <v>1</v>
      </c>
      <c r="L77" t="b">
        <f>TrafficData[[#This Row],[pendingAmount]]+TrafficData[[#This Row],[disposedAmount]]=TrafficData[[#This Row],[totalAmount]]</f>
        <v>1</v>
      </c>
      <c r="M77" t="b">
        <f>TrafficData[[#This Row],[pendingCourt]]+TrafficData[[#This Row],[disposedCourt]]=TrafficData[[#This Row],[totalCourt]]</f>
        <v>1</v>
      </c>
      <c r="N77" t="b">
        <f>AND(TrafficData[[#This Row],[disposedChallan]]&lt;=TrafficData[[#This Row],[totalChallan]],TrafficData[[#This Row],[pendingChallan]]&lt;=TrafficData[[#This Row],[totalChallan]])</f>
        <v>1</v>
      </c>
      <c r="O77" t="b">
        <f>AND(TrafficData[[#This Row],[pendingAmount]]&lt;=TrafficData[[#This Row],[totalAmount]],TrafficData[[#This Row],[disposedAmount]]&lt;=TrafficData[[#This Row],[totalAmount]])</f>
        <v>1</v>
      </c>
      <c r="P77" t="b">
        <f>AND(TrafficData[[#This Row],[pendingCourt]]&lt;=TrafficData[[#This Row],[totalCourt]],TrafficData[[#This Row],[disposedCourt]]&lt;=TrafficData[[#This Row],[totalCourt]])</f>
        <v>1</v>
      </c>
    </row>
    <row r="78" spans="1:16">
      <c r="A78" s="1">
        <v>42081</v>
      </c>
      <c r="B78">
        <v>161</v>
      </c>
      <c r="C78">
        <v>42</v>
      </c>
      <c r="D78">
        <v>119</v>
      </c>
      <c r="E78">
        <v>994400</v>
      </c>
      <c r="F78">
        <v>281950</v>
      </c>
      <c r="G78">
        <v>1276350</v>
      </c>
      <c r="H78">
        <v>3</v>
      </c>
      <c r="I78">
        <v>1</v>
      </c>
      <c r="J78">
        <v>4</v>
      </c>
      <c r="K78" t="b">
        <f>TrafficData[[#This Row],[disposedChallan]]+TrafficData[[#This Row],[pendingChallan]]=TrafficData[[#This Row],[totalChallan]]</f>
        <v>1</v>
      </c>
      <c r="L78" t="b">
        <f>TrafficData[[#This Row],[pendingAmount]]+TrafficData[[#This Row],[disposedAmount]]=TrafficData[[#This Row],[totalAmount]]</f>
        <v>1</v>
      </c>
      <c r="M78" t="b">
        <f>TrafficData[[#This Row],[pendingCourt]]+TrafficData[[#This Row],[disposedCourt]]=TrafficData[[#This Row],[totalCourt]]</f>
        <v>1</v>
      </c>
      <c r="N78" t="b">
        <f>AND(TrafficData[[#This Row],[disposedChallan]]&lt;=TrafficData[[#This Row],[totalChallan]],TrafficData[[#This Row],[pendingChallan]]&lt;=TrafficData[[#This Row],[totalChallan]])</f>
        <v>1</v>
      </c>
      <c r="O78" t="b">
        <f>AND(TrafficData[[#This Row],[pendingAmount]]&lt;=TrafficData[[#This Row],[totalAmount]],TrafficData[[#This Row],[disposedAmount]]&lt;=TrafficData[[#This Row],[totalAmount]])</f>
        <v>1</v>
      </c>
      <c r="P78" t="b">
        <f>AND(TrafficData[[#This Row],[pendingCourt]]&lt;=TrafficData[[#This Row],[totalCourt]],TrafficData[[#This Row],[disposedCourt]]&lt;=TrafficData[[#This Row],[totalCourt]])</f>
        <v>1</v>
      </c>
    </row>
    <row r="79" spans="1:16">
      <c r="A79" s="1">
        <v>42082</v>
      </c>
      <c r="B79">
        <v>156</v>
      </c>
      <c r="C79">
        <v>47</v>
      </c>
      <c r="D79">
        <v>109</v>
      </c>
      <c r="E79">
        <v>1320100</v>
      </c>
      <c r="F79">
        <v>328250</v>
      </c>
      <c r="G79">
        <v>1648350</v>
      </c>
      <c r="H79">
        <v>4</v>
      </c>
      <c r="I79">
        <v>4</v>
      </c>
      <c r="J79">
        <v>8</v>
      </c>
      <c r="K79" t="b">
        <f>TrafficData[[#This Row],[disposedChallan]]+TrafficData[[#This Row],[pendingChallan]]=TrafficData[[#This Row],[totalChallan]]</f>
        <v>1</v>
      </c>
      <c r="L79" t="b">
        <f>TrafficData[[#This Row],[pendingAmount]]+TrafficData[[#This Row],[disposedAmount]]=TrafficData[[#This Row],[totalAmount]]</f>
        <v>1</v>
      </c>
      <c r="M79" t="b">
        <f>TrafficData[[#This Row],[pendingCourt]]+TrafficData[[#This Row],[disposedCourt]]=TrafficData[[#This Row],[totalCourt]]</f>
        <v>1</v>
      </c>
      <c r="N79" t="b">
        <f>AND(TrafficData[[#This Row],[disposedChallan]]&lt;=TrafficData[[#This Row],[totalChallan]],TrafficData[[#This Row],[pendingChallan]]&lt;=TrafficData[[#This Row],[totalChallan]])</f>
        <v>1</v>
      </c>
      <c r="O79" t="b">
        <f>AND(TrafficData[[#This Row],[pendingAmount]]&lt;=TrafficData[[#This Row],[totalAmount]],TrafficData[[#This Row],[disposedAmount]]&lt;=TrafficData[[#This Row],[totalAmount]])</f>
        <v>1</v>
      </c>
      <c r="P79" t="b">
        <f>AND(TrafficData[[#This Row],[pendingCourt]]&lt;=TrafficData[[#This Row],[totalCourt]],TrafficData[[#This Row],[disposedCourt]]&lt;=TrafficData[[#This Row],[totalCourt]])</f>
        <v>1</v>
      </c>
    </row>
    <row r="80" spans="1:16">
      <c r="A80" s="1">
        <v>42083</v>
      </c>
      <c r="B80">
        <v>99</v>
      </c>
      <c r="C80">
        <v>26</v>
      </c>
      <c r="D80">
        <v>73</v>
      </c>
      <c r="E80">
        <v>378401</v>
      </c>
      <c r="F80">
        <v>171554</v>
      </c>
      <c r="G80">
        <v>549955</v>
      </c>
      <c r="H80">
        <v>6</v>
      </c>
      <c r="I80">
        <v>1</v>
      </c>
      <c r="J80">
        <v>7</v>
      </c>
      <c r="K80" t="b">
        <f>TrafficData[[#This Row],[disposedChallan]]+TrafficData[[#This Row],[pendingChallan]]=TrafficData[[#This Row],[totalChallan]]</f>
        <v>1</v>
      </c>
      <c r="L80" t="b">
        <f>TrafficData[[#This Row],[pendingAmount]]+TrafficData[[#This Row],[disposedAmount]]=TrafficData[[#This Row],[totalAmount]]</f>
        <v>1</v>
      </c>
      <c r="M80" t="b">
        <f>TrafficData[[#This Row],[pendingCourt]]+TrafficData[[#This Row],[disposedCourt]]=TrafficData[[#This Row],[totalCourt]]</f>
        <v>1</v>
      </c>
      <c r="N80" t="b">
        <f>AND(TrafficData[[#This Row],[disposedChallan]]&lt;=TrafficData[[#This Row],[totalChallan]],TrafficData[[#This Row],[pendingChallan]]&lt;=TrafficData[[#This Row],[totalChallan]])</f>
        <v>1</v>
      </c>
      <c r="O80" t="b">
        <f>AND(TrafficData[[#This Row],[pendingAmount]]&lt;=TrafficData[[#This Row],[totalAmount]],TrafficData[[#This Row],[disposedAmount]]&lt;=TrafficData[[#This Row],[totalAmount]])</f>
        <v>1</v>
      </c>
      <c r="P80" t="b">
        <f>AND(TrafficData[[#This Row],[pendingCourt]]&lt;=TrafficData[[#This Row],[totalCourt]],TrafficData[[#This Row],[disposedCourt]]&lt;=TrafficData[[#This Row],[totalCourt]])</f>
        <v>1</v>
      </c>
    </row>
    <row r="81" spans="1:16">
      <c r="A81" s="1">
        <v>42084</v>
      </c>
      <c r="B81">
        <v>127</v>
      </c>
      <c r="C81">
        <v>30</v>
      </c>
      <c r="D81">
        <v>97</v>
      </c>
      <c r="E81">
        <v>574250</v>
      </c>
      <c r="F81">
        <v>121750</v>
      </c>
      <c r="G81">
        <v>696000</v>
      </c>
      <c r="H81">
        <v>0</v>
      </c>
      <c r="I81">
        <v>2</v>
      </c>
      <c r="J81">
        <v>2</v>
      </c>
      <c r="K81" t="b">
        <f>TrafficData[[#This Row],[disposedChallan]]+TrafficData[[#This Row],[pendingChallan]]=TrafficData[[#This Row],[totalChallan]]</f>
        <v>1</v>
      </c>
      <c r="L81" t="b">
        <f>TrafficData[[#This Row],[pendingAmount]]+TrafficData[[#This Row],[disposedAmount]]=TrafficData[[#This Row],[totalAmount]]</f>
        <v>1</v>
      </c>
      <c r="M81" t="b">
        <f>TrafficData[[#This Row],[pendingCourt]]+TrafficData[[#This Row],[disposedCourt]]=TrafficData[[#This Row],[totalCourt]]</f>
        <v>1</v>
      </c>
      <c r="N81" t="b">
        <f>AND(TrafficData[[#This Row],[disposedChallan]]&lt;=TrafficData[[#This Row],[totalChallan]],TrafficData[[#This Row],[pendingChallan]]&lt;=TrafficData[[#This Row],[totalChallan]])</f>
        <v>1</v>
      </c>
      <c r="O81" t="b">
        <f>AND(TrafficData[[#This Row],[pendingAmount]]&lt;=TrafficData[[#This Row],[totalAmount]],TrafficData[[#This Row],[disposedAmount]]&lt;=TrafficData[[#This Row],[totalAmount]])</f>
        <v>1</v>
      </c>
      <c r="P81" t="b">
        <f>AND(TrafficData[[#This Row],[pendingCourt]]&lt;=TrafficData[[#This Row],[totalCourt]],TrafficData[[#This Row],[disposedCourt]]&lt;=TrafficData[[#This Row],[totalCourt]])</f>
        <v>1</v>
      </c>
    </row>
    <row r="82" spans="1:16">
      <c r="A82" s="1">
        <v>42085</v>
      </c>
      <c r="B82">
        <v>122</v>
      </c>
      <c r="C82">
        <v>41</v>
      </c>
      <c r="D82">
        <v>81</v>
      </c>
      <c r="E82">
        <v>519200</v>
      </c>
      <c r="F82">
        <v>206380</v>
      </c>
      <c r="G82">
        <v>725580</v>
      </c>
      <c r="H82">
        <v>1</v>
      </c>
      <c r="I82">
        <v>0</v>
      </c>
      <c r="J82">
        <v>1</v>
      </c>
      <c r="K82" t="b">
        <f>TrafficData[[#This Row],[disposedChallan]]+TrafficData[[#This Row],[pendingChallan]]=TrafficData[[#This Row],[totalChallan]]</f>
        <v>1</v>
      </c>
      <c r="L82" t="b">
        <f>TrafficData[[#This Row],[pendingAmount]]+TrafficData[[#This Row],[disposedAmount]]=TrafficData[[#This Row],[totalAmount]]</f>
        <v>1</v>
      </c>
      <c r="M82" t="b">
        <f>TrafficData[[#This Row],[pendingCourt]]+TrafficData[[#This Row],[disposedCourt]]=TrafficData[[#This Row],[totalCourt]]</f>
        <v>1</v>
      </c>
      <c r="N82" t="b">
        <f>AND(TrafficData[[#This Row],[disposedChallan]]&lt;=TrafficData[[#This Row],[totalChallan]],TrafficData[[#This Row],[pendingChallan]]&lt;=TrafficData[[#This Row],[totalChallan]])</f>
        <v>1</v>
      </c>
      <c r="O82" t="b">
        <f>AND(TrafficData[[#This Row],[pendingAmount]]&lt;=TrafficData[[#This Row],[totalAmount]],TrafficData[[#This Row],[disposedAmount]]&lt;=TrafficData[[#This Row],[totalAmount]])</f>
        <v>1</v>
      </c>
      <c r="P82" t="b">
        <f>AND(TrafficData[[#This Row],[pendingCourt]]&lt;=TrafficData[[#This Row],[totalCourt]],TrafficData[[#This Row],[disposedCourt]]&lt;=TrafficData[[#This Row],[totalCourt]])</f>
        <v>1</v>
      </c>
    </row>
    <row r="83" spans="1:16">
      <c r="A83" s="1">
        <v>42086</v>
      </c>
      <c r="B83">
        <v>123</v>
      </c>
      <c r="C83">
        <v>27</v>
      </c>
      <c r="D83">
        <v>96</v>
      </c>
      <c r="E83">
        <v>729000</v>
      </c>
      <c r="F83">
        <v>53500</v>
      </c>
      <c r="G83">
        <v>782500</v>
      </c>
      <c r="H83">
        <v>8</v>
      </c>
      <c r="I83">
        <v>0</v>
      </c>
      <c r="J83">
        <v>8</v>
      </c>
      <c r="K83" t="b">
        <f>TrafficData[[#This Row],[disposedChallan]]+TrafficData[[#This Row],[pendingChallan]]=TrafficData[[#This Row],[totalChallan]]</f>
        <v>1</v>
      </c>
      <c r="L83" t="b">
        <f>TrafficData[[#This Row],[pendingAmount]]+TrafficData[[#This Row],[disposedAmount]]=TrafficData[[#This Row],[totalAmount]]</f>
        <v>1</v>
      </c>
      <c r="M83" t="b">
        <f>TrafficData[[#This Row],[pendingCourt]]+TrafficData[[#This Row],[disposedCourt]]=TrafficData[[#This Row],[totalCourt]]</f>
        <v>1</v>
      </c>
      <c r="N83" t="b">
        <f>AND(TrafficData[[#This Row],[disposedChallan]]&lt;=TrafficData[[#This Row],[totalChallan]],TrafficData[[#This Row],[pendingChallan]]&lt;=TrafficData[[#This Row],[totalChallan]])</f>
        <v>1</v>
      </c>
      <c r="O83" t="b">
        <f>AND(TrafficData[[#This Row],[pendingAmount]]&lt;=TrafficData[[#This Row],[totalAmount]],TrafficData[[#This Row],[disposedAmount]]&lt;=TrafficData[[#This Row],[totalAmount]])</f>
        <v>1</v>
      </c>
      <c r="P83" t="b">
        <f>AND(TrafficData[[#This Row],[pendingCourt]]&lt;=TrafficData[[#This Row],[totalCourt]],TrafficData[[#This Row],[disposedCourt]]&lt;=TrafficData[[#This Row],[totalCourt]])</f>
        <v>1</v>
      </c>
    </row>
    <row r="84" spans="1:16">
      <c r="A84" s="1">
        <v>42087</v>
      </c>
      <c r="B84">
        <v>135</v>
      </c>
      <c r="C84">
        <v>41</v>
      </c>
      <c r="D84">
        <v>94</v>
      </c>
      <c r="E84">
        <v>764750</v>
      </c>
      <c r="F84">
        <v>234600</v>
      </c>
      <c r="G84">
        <v>999350</v>
      </c>
      <c r="H84">
        <v>4</v>
      </c>
      <c r="I84">
        <v>0</v>
      </c>
      <c r="J84">
        <v>4</v>
      </c>
      <c r="K84" t="b">
        <f>TrafficData[[#This Row],[disposedChallan]]+TrafficData[[#This Row],[pendingChallan]]=TrafficData[[#This Row],[totalChallan]]</f>
        <v>1</v>
      </c>
      <c r="L84" t="b">
        <f>TrafficData[[#This Row],[pendingAmount]]+TrafficData[[#This Row],[disposedAmount]]=TrafficData[[#This Row],[totalAmount]]</f>
        <v>1</v>
      </c>
      <c r="M84" t="b">
        <f>TrafficData[[#This Row],[pendingCourt]]+TrafficData[[#This Row],[disposedCourt]]=TrafficData[[#This Row],[totalCourt]]</f>
        <v>1</v>
      </c>
      <c r="N84" t="b">
        <f>AND(TrafficData[[#This Row],[disposedChallan]]&lt;=TrafficData[[#This Row],[totalChallan]],TrafficData[[#This Row],[pendingChallan]]&lt;=TrafficData[[#This Row],[totalChallan]])</f>
        <v>1</v>
      </c>
      <c r="O84" t="b">
        <f>AND(TrafficData[[#This Row],[pendingAmount]]&lt;=TrafficData[[#This Row],[totalAmount]],TrafficData[[#This Row],[disposedAmount]]&lt;=TrafficData[[#This Row],[totalAmount]])</f>
        <v>1</v>
      </c>
      <c r="P84" t="b">
        <f>AND(TrafficData[[#This Row],[pendingCourt]]&lt;=TrafficData[[#This Row],[totalCourt]],TrafficData[[#This Row],[disposedCourt]]&lt;=TrafficData[[#This Row],[totalCourt]])</f>
        <v>1</v>
      </c>
    </row>
    <row r="85" spans="1:16">
      <c r="A85" s="1">
        <v>42088</v>
      </c>
      <c r="B85">
        <v>125</v>
      </c>
      <c r="C85">
        <v>28</v>
      </c>
      <c r="D85">
        <v>97</v>
      </c>
      <c r="E85">
        <v>771050</v>
      </c>
      <c r="F85">
        <v>106838</v>
      </c>
      <c r="G85">
        <v>877888</v>
      </c>
      <c r="H85">
        <v>1</v>
      </c>
      <c r="I85">
        <v>1</v>
      </c>
      <c r="J85">
        <v>2</v>
      </c>
      <c r="K85" t="b">
        <f>TrafficData[[#This Row],[disposedChallan]]+TrafficData[[#This Row],[pendingChallan]]=TrafficData[[#This Row],[totalChallan]]</f>
        <v>1</v>
      </c>
      <c r="L85" t="b">
        <f>TrafficData[[#This Row],[pendingAmount]]+TrafficData[[#This Row],[disposedAmount]]=TrafficData[[#This Row],[totalAmount]]</f>
        <v>1</v>
      </c>
      <c r="M85" t="b">
        <f>TrafficData[[#This Row],[pendingCourt]]+TrafficData[[#This Row],[disposedCourt]]=TrafficData[[#This Row],[totalCourt]]</f>
        <v>1</v>
      </c>
      <c r="N85" t="b">
        <f>AND(TrafficData[[#This Row],[disposedChallan]]&lt;=TrafficData[[#This Row],[totalChallan]],TrafficData[[#This Row],[pendingChallan]]&lt;=TrafficData[[#This Row],[totalChallan]])</f>
        <v>1</v>
      </c>
      <c r="O85" t="b">
        <f>AND(TrafficData[[#This Row],[pendingAmount]]&lt;=TrafficData[[#This Row],[totalAmount]],TrafficData[[#This Row],[disposedAmount]]&lt;=TrafficData[[#This Row],[totalAmount]])</f>
        <v>1</v>
      </c>
      <c r="P85" t="b">
        <f>AND(TrafficData[[#This Row],[pendingCourt]]&lt;=TrafficData[[#This Row],[totalCourt]],TrafficData[[#This Row],[disposedCourt]]&lt;=TrafficData[[#This Row],[totalCourt]])</f>
        <v>1</v>
      </c>
    </row>
    <row r="86" spans="1:16">
      <c r="A86" s="1">
        <v>42089</v>
      </c>
      <c r="B86">
        <v>110</v>
      </c>
      <c r="C86">
        <v>31</v>
      </c>
      <c r="D86">
        <v>79</v>
      </c>
      <c r="E86">
        <v>536650</v>
      </c>
      <c r="F86">
        <v>139430</v>
      </c>
      <c r="G86">
        <v>676080</v>
      </c>
      <c r="H86">
        <v>6</v>
      </c>
      <c r="I86">
        <v>2</v>
      </c>
      <c r="J86">
        <v>8</v>
      </c>
      <c r="K86" t="b">
        <f>TrafficData[[#This Row],[disposedChallan]]+TrafficData[[#This Row],[pendingChallan]]=TrafficData[[#This Row],[totalChallan]]</f>
        <v>1</v>
      </c>
      <c r="L86" t="b">
        <f>TrafficData[[#This Row],[pendingAmount]]+TrafficData[[#This Row],[disposedAmount]]=TrafficData[[#This Row],[totalAmount]]</f>
        <v>1</v>
      </c>
      <c r="M86" t="b">
        <f>TrafficData[[#This Row],[pendingCourt]]+TrafficData[[#This Row],[disposedCourt]]=TrafficData[[#This Row],[totalCourt]]</f>
        <v>1</v>
      </c>
      <c r="N86" t="b">
        <f>AND(TrafficData[[#This Row],[disposedChallan]]&lt;=TrafficData[[#This Row],[totalChallan]],TrafficData[[#This Row],[pendingChallan]]&lt;=TrafficData[[#This Row],[totalChallan]])</f>
        <v>1</v>
      </c>
      <c r="O86" t="b">
        <f>AND(TrafficData[[#This Row],[pendingAmount]]&lt;=TrafficData[[#This Row],[totalAmount]],TrafficData[[#This Row],[disposedAmount]]&lt;=TrafficData[[#This Row],[totalAmount]])</f>
        <v>1</v>
      </c>
      <c r="P86" t="b">
        <f>AND(TrafficData[[#This Row],[pendingCourt]]&lt;=TrafficData[[#This Row],[totalCourt]],TrafficData[[#This Row],[disposedCourt]]&lt;=TrafficData[[#This Row],[totalCourt]])</f>
        <v>1</v>
      </c>
    </row>
    <row r="87" spans="1:16">
      <c r="A87" s="1">
        <v>42090</v>
      </c>
      <c r="B87">
        <v>67</v>
      </c>
      <c r="C87">
        <v>23</v>
      </c>
      <c r="D87">
        <v>44</v>
      </c>
      <c r="E87">
        <v>328200</v>
      </c>
      <c r="F87">
        <v>124324</v>
      </c>
      <c r="G87">
        <v>452524</v>
      </c>
      <c r="H87">
        <v>2</v>
      </c>
      <c r="I87">
        <v>0</v>
      </c>
      <c r="J87">
        <v>2</v>
      </c>
      <c r="K87" t="b">
        <f>TrafficData[[#This Row],[disposedChallan]]+TrafficData[[#This Row],[pendingChallan]]=TrafficData[[#This Row],[totalChallan]]</f>
        <v>1</v>
      </c>
      <c r="L87" t="b">
        <f>TrafficData[[#This Row],[pendingAmount]]+TrafficData[[#This Row],[disposedAmount]]=TrafficData[[#This Row],[totalAmount]]</f>
        <v>1</v>
      </c>
      <c r="M87" t="b">
        <f>TrafficData[[#This Row],[pendingCourt]]+TrafficData[[#This Row],[disposedCourt]]=TrafficData[[#This Row],[totalCourt]]</f>
        <v>1</v>
      </c>
      <c r="N87" t="b">
        <f>AND(TrafficData[[#This Row],[disposedChallan]]&lt;=TrafficData[[#This Row],[totalChallan]],TrafficData[[#This Row],[pendingChallan]]&lt;=TrafficData[[#This Row],[totalChallan]])</f>
        <v>1</v>
      </c>
      <c r="O87" t="b">
        <f>AND(TrafficData[[#This Row],[pendingAmount]]&lt;=TrafficData[[#This Row],[totalAmount]],TrafficData[[#This Row],[disposedAmount]]&lt;=TrafficData[[#This Row],[totalAmount]])</f>
        <v>1</v>
      </c>
      <c r="P87" t="b">
        <f>AND(TrafficData[[#This Row],[pendingCourt]]&lt;=TrafficData[[#This Row],[totalCourt]],TrafficData[[#This Row],[disposedCourt]]&lt;=TrafficData[[#This Row],[totalCourt]])</f>
        <v>1</v>
      </c>
    </row>
    <row r="88" spans="1:16">
      <c r="A88" s="1">
        <v>42091</v>
      </c>
      <c r="B88">
        <v>84</v>
      </c>
      <c r="C88">
        <v>22</v>
      </c>
      <c r="D88">
        <v>62</v>
      </c>
      <c r="E88">
        <v>359700</v>
      </c>
      <c r="F88">
        <v>137900</v>
      </c>
      <c r="G88">
        <v>497600</v>
      </c>
      <c r="H88">
        <v>0</v>
      </c>
      <c r="I88">
        <v>2</v>
      </c>
      <c r="J88">
        <v>2</v>
      </c>
      <c r="K88" t="b">
        <f>TrafficData[[#This Row],[disposedChallan]]+TrafficData[[#This Row],[pendingChallan]]=TrafficData[[#This Row],[totalChallan]]</f>
        <v>1</v>
      </c>
      <c r="L88" t="b">
        <f>TrafficData[[#This Row],[pendingAmount]]+TrafficData[[#This Row],[disposedAmount]]=TrafficData[[#This Row],[totalAmount]]</f>
        <v>1</v>
      </c>
      <c r="M88" t="b">
        <f>TrafficData[[#This Row],[pendingCourt]]+TrafficData[[#This Row],[disposedCourt]]=TrafficData[[#This Row],[totalCourt]]</f>
        <v>1</v>
      </c>
      <c r="N88" t="b">
        <f>AND(TrafficData[[#This Row],[disposedChallan]]&lt;=TrafficData[[#This Row],[totalChallan]],TrafficData[[#This Row],[pendingChallan]]&lt;=TrafficData[[#This Row],[totalChallan]])</f>
        <v>1</v>
      </c>
      <c r="O88" t="b">
        <f>AND(TrafficData[[#This Row],[pendingAmount]]&lt;=TrafficData[[#This Row],[totalAmount]],TrafficData[[#This Row],[disposedAmount]]&lt;=TrafficData[[#This Row],[totalAmount]])</f>
        <v>1</v>
      </c>
      <c r="P88" t="b">
        <f>AND(TrafficData[[#This Row],[pendingCourt]]&lt;=TrafficData[[#This Row],[totalCourt]],TrafficData[[#This Row],[disposedCourt]]&lt;=TrafficData[[#This Row],[totalCourt]])</f>
        <v>1</v>
      </c>
    </row>
    <row r="89" spans="1:16">
      <c r="A89" s="1">
        <v>42092</v>
      </c>
      <c r="B89">
        <v>100</v>
      </c>
      <c r="C89">
        <v>24</v>
      </c>
      <c r="D89">
        <v>76</v>
      </c>
      <c r="E89">
        <v>411800</v>
      </c>
      <c r="F89">
        <v>75900</v>
      </c>
      <c r="G89">
        <v>487700</v>
      </c>
      <c r="H89">
        <v>0</v>
      </c>
      <c r="I89">
        <v>0</v>
      </c>
      <c r="J89">
        <v>0</v>
      </c>
      <c r="K89" t="b">
        <f>TrafficData[[#This Row],[disposedChallan]]+TrafficData[[#This Row],[pendingChallan]]=TrafficData[[#This Row],[totalChallan]]</f>
        <v>1</v>
      </c>
      <c r="L89" t="b">
        <f>TrafficData[[#This Row],[pendingAmount]]+TrafficData[[#This Row],[disposedAmount]]=TrafficData[[#This Row],[totalAmount]]</f>
        <v>1</v>
      </c>
      <c r="M89" t="b">
        <f>TrafficData[[#This Row],[pendingCourt]]+TrafficData[[#This Row],[disposedCourt]]=TrafficData[[#This Row],[totalCourt]]</f>
        <v>1</v>
      </c>
      <c r="N89" t="b">
        <f>AND(TrafficData[[#This Row],[disposedChallan]]&lt;=TrafficData[[#This Row],[totalChallan]],TrafficData[[#This Row],[pendingChallan]]&lt;=TrafficData[[#This Row],[totalChallan]])</f>
        <v>1</v>
      </c>
      <c r="O89" t="b">
        <f>AND(TrafficData[[#This Row],[pendingAmount]]&lt;=TrafficData[[#This Row],[totalAmount]],TrafficData[[#This Row],[disposedAmount]]&lt;=TrafficData[[#This Row],[totalAmount]])</f>
        <v>1</v>
      </c>
      <c r="P89" t="b">
        <f>AND(TrafficData[[#This Row],[pendingCourt]]&lt;=TrafficData[[#This Row],[totalCourt]],TrafficData[[#This Row],[disposedCourt]]&lt;=TrafficData[[#This Row],[totalCourt]])</f>
        <v>1</v>
      </c>
    </row>
    <row r="90" spans="1:16">
      <c r="A90" s="1">
        <v>42093</v>
      </c>
      <c r="B90">
        <v>102</v>
      </c>
      <c r="C90">
        <v>21</v>
      </c>
      <c r="D90">
        <v>81</v>
      </c>
      <c r="E90">
        <v>508630</v>
      </c>
      <c r="F90">
        <v>60720</v>
      </c>
      <c r="G90">
        <v>569350</v>
      </c>
      <c r="H90">
        <v>2</v>
      </c>
      <c r="I90">
        <v>2</v>
      </c>
      <c r="J90">
        <v>4</v>
      </c>
      <c r="K90" t="b">
        <f>TrafficData[[#This Row],[disposedChallan]]+TrafficData[[#This Row],[pendingChallan]]=TrafficData[[#This Row],[totalChallan]]</f>
        <v>1</v>
      </c>
      <c r="L90" t="b">
        <f>TrafficData[[#This Row],[pendingAmount]]+TrafficData[[#This Row],[disposedAmount]]=TrafficData[[#This Row],[totalAmount]]</f>
        <v>1</v>
      </c>
      <c r="M90" t="b">
        <f>TrafficData[[#This Row],[pendingCourt]]+TrafficData[[#This Row],[disposedCourt]]=TrafficData[[#This Row],[totalCourt]]</f>
        <v>1</v>
      </c>
      <c r="N90" t="b">
        <f>AND(TrafficData[[#This Row],[disposedChallan]]&lt;=TrafficData[[#This Row],[totalChallan]],TrafficData[[#This Row],[pendingChallan]]&lt;=TrafficData[[#This Row],[totalChallan]])</f>
        <v>1</v>
      </c>
      <c r="O90" t="b">
        <f>AND(TrafficData[[#This Row],[pendingAmount]]&lt;=TrafficData[[#This Row],[totalAmount]],TrafficData[[#This Row],[disposedAmount]]&lt;=TrafficData[[#This Row],[totalAmount]])</f>
        <v>1</v>
      </c>
      <c r="P90" t="b">
        <f>AND(TrafficData[[#This Row],[pendingCourt]]&lt;=TrafficData[[#This Row],[totalCourt]],TrafficData[[#This Row],[disposedCourt]]&lt;=TrafficData[[#This Row],[totalCourt]])</f>
        <v>1</v>
      </c>
    </row>
    <row r="91" spans="1:16">
      <c r="A91" s="1">
        <v>42094</v>
      </c>
      <c r="B91">
        <v>96</v>
      </c>
      <c r="C91">
        <v>26</v>
      </c>
      <c r="D91">
        <v>70</v>
      </c>
      <c r="E91">
        <v>383800</v>
      </c>
      <c r="F91">
        <v>104300</v>
      </c>
      <c r="G91">
        <v>488100</v>
      </c>
      <c r="H91">
        <v>1</v>
      </c>
      <c r="I91">
        <v>0</v>
      </c>
      <c r="J91">
        <v>1</v>
      </c>
      <c r="K91" t="b">
        <f>TrafficData[[#This Row],[disposedChallan]]+TrafficData[[#This Row],[pendingChallan]]=TrafficData[[#This Row],[totalChallan]]</f>
        <v>1</v>
      </c>
      <c r="L91" t="b">
        <f>TrafficData[[#This Row],[pendingAmount]]+TrafficData[[#This Row],[disposedAmount]]=TrafficData[[#This Row],[totalAmount]]</f>
        <v>1</v>
      </c>
      <c r="M91" t="b">
        <f>TrafficData[[#This Row],[pendingCourt]]+TrafficData[[#This Row],[disposedCourt]]=TrafficData[[#This Row],[totalCourt]]</f>
        <v>1</v>
      </c>
      <c r="N91" t="b">
        <f>AND(TrafficData[[#This Row],[disposedChallan]]&lt;=TrafficData[[#This Row],[totalChallan]],TrafficData[[#This Row],[pendingChallan]]&lt;=TrafficData[[#This Row],[totalChallan]])</f>
        <v>1</v>
      </c>
      <c r="O91" t="b">
        <f>AND(TrafficData[[#This Row],[pendingAmount]]&lt;=TrafficData[[#This Row],[totalAmount]],TrafficData[[#This Row],[disposedAmount]]&lt;=TrafficData[[#This Row],[totalAmount]])</f>
        <v>1</v>
      </c>
      <c r="P91" t="b">
        <f>AND(TrafficData[[#This Row],[pendingCourt]]&lt;=TrafficData[[#This Row],[totalCourt]],TrafficData[[#This Row],[disposedCourt]]&lt;=TrafficData[[#This Row],[totalCourt]])</f>
        <v>1</v>
      </c>
    </row>
    <row r="92" spans="1:16">
      <c r="A92" s="1">
        <v>42095</v>
      </c>
      <c r="B92">
        <v>73</v>
      </c>
      <c r="C92">
        <v>22</v>
      </c>
      <c r="D92">
        <v>51</v>
      </c>
      <c r="E92">
        <v>335100</v>
      </c>
      <c r="F92">
        <v>113775</v>
      </c>
      <c r="G92">
        <v>448875</v>
      </c>
      <c r="H92">
        <v>1</v>
      </c>
      <c r="I92">
        <v>1</v>
      </c>
      <c r="J92">
        <v>2</v>
      </c>
      <c r="K92" t="b">
        <f>TrafficData[[#This Row],[disposedChallan]]+TrafficData[[#This Row],[pendingChallan]]=TrafficData[[#This Row],[totalChallan]]</f>
        <v>1</v>
      </c>
      <c r="L92" t="b">
        <f>TrafficData[[#This Row],[pendingAmount]]+TrafficData[[#This Row],[disposedAmount]]=TrafficData[[#This Row],[totalAmount]]</f>
        <v>1</v>
      </c>
      <c r="M92" t="b">
        <f>TrafficData[[#This Row],[pendingCourt]]+TrafficData[[#This Row],[disposedCourt]]=TrafficData[[#This Row],[totalCourt]]</f>
        <v>1</v>
      </c>
      <c r="N92" t="b">
        <f>AND(TrafficData[[#This Row],[disposedChallan]]&lt;=TrafficData[[#This Row],[totalChallan]],TrafficData[[#This Row],[pendingChallan]]&lt;=TrafficData[[#This Row],[totalChallan]])</f>
        <v>1</v>
      </c>
      <c r="O92" t="b">
        <f>AND(TrafficData[[#This Row],[pendingAmount]]&lt;=TrafficData[[#This Row],[totalAmount]],TrafficData[[#This Row],[disposedAmount]]&lt;=TrafficData[[#This Row],[totalAmount]])</f>
        <v>1</v>
      </c>
      <c r="P92" t="b">
        <f>AND(TrafficData[[#This Row],[pendingCourt]]&lt;=TrafficData[[#This Row],[totalCourt]],TrafficData[[#This Row],[disposedCourt]]&lt;=TrafficData[[#This Row],[totalCourt]])</f>
        <v>1</v>
      </c>
    </row>
    <row r="93" spans="1:16">
      <c r="A93" s="1">
        <v>42096</v>
      </c>
      <c r="B93">
        <v>105</v>
      </c>
      <c r="C93">
        <v>31</v>
      </c>
      <c r="D93">
        <v>74</v>
      </c>
      <c r="E93">
        <v>426747</v>
      </c>
      <c r="F93">
        <v>117960</v>
      </c>
      <c r="G93">
        <v>544707</v>
      </c>
      <c r="H93">
        <v>1</v>
      </c>
      <c r="I93">
        <v>0</v>
      </c>
      <c r="J93">
        <v>1</v>
      </c>
      <c r="K93" t="b">
        <f>TrafficData[[#This Row],[disposedChallan]]+TrafficData[[#This Row],[pendingChallan]]=TrafficData[[#This Row],[totalChallan]]</f>
        <v>1</v>
      </c>
      <c r="L93" t="b">
        <f>TrafficData[[#This Row],[pendingAmount]]+TrafficData[[#This Row],[disposedAmount]]=TrafficData[[#This Row],[totalAmount]]</f>
        <v>1</v>
      </c>
      <c r="M93" t="b">
        <f>TrafficData[[#This Row],[pendingCourt]]+TrafficData[[#This Row],[disposedCourt]]=TrafficData[[#This Row],[totalCourt]]</f>
        <v>1</v>
      </c>
      <c r="N93" t="b">
        <f>AND(TrafficData[[#This Row],[disposedChallan]]&lt;=TrafficData[[#This Row],[totalChallan]],TrafficData[[#This Row],[pendingChallan]]&lt;=TrafficData[[#This Row],[totalChallan]])</f>
        <v>1</v>
      </c>
      <c r="O93" t="b">
        <f>AND(TrafficData[[#This Row],[pendingAmount]]&lt;=TrafficData[[#This Row],[totalAmount]],TrafficData[[#This Row],[disposedAmount]]&lt;=TrafficData[[#This Row],[totalAmount]])</f>
        <v>1</v>
      </c>
      <c r="P93" t="b">
        <f>AND(TrafficData[[#This Row],[pendingCourt]]&lt;=TrafficData[[#This Row],[totalCourt]],TrafficData[[#This Row],[disposedCourt]]&lt;=TrafficData[[#This Row],[totalCourt]])</f>
        <v>1</v>
      </c>
    </row>
    <row r="94" spans="1:16">
      <c r="A94" s="1">
        <v>42097</v>
      </c>
      <c r="B94">
        <v>100</v>
      </c>
      <c r="C94">
        <v>24</v>
      </c>
      <c r="D94">
        <v>76</v>
      </c>
      <c r="E94">
        <v>621300</v>
      </c>
      <c r="F94">
        <v>121800</v>
      </c>
      <c r="G94">
        <v>743100</v>
      </c>
      <c r="H94">
        <v>3</v>
      </c>
      <c r="I94">
        <v>0</v>
      </c>
      <c r="J94">
        <v>3</v>
      </c>
      <c r="K94" t="b">
        <f>TrafficData[[#This Row],[disposedChallan]]+TrafficData[[#This Row],[pendingChallan]]=TrafficData[[#This Row],[totalChallan]]</f>
        <v>1</v>
      </c>
      <c r="L94" t="b">
        <f>TrafficData[[#This Row],[pendingAmount]]+TrafficData[[#This Row],[disposedAmount]]=TrafficData[[#This Row],[totalAmount]]</f>
        <v>1</v>
      </c>
      <c r="M94" t="b">
        <f>TrafficData[[#This Row],[pendingCourt]]+TrafficData[[#This Row],[disposedCourt]]=TrafficData[[#This Row],[totalCourt]]</f>
        <v>1</v>
      </c>
      <c r="N94" t="b">
        <f>AND(TrafficData[[#This Row],[disposedChallan]]&lt;=TrafficData[[#This Row],[totalChallan]],TrafficData[[#This Row],[pendingChallan]]&lt;=TrafficData[[#This Row],[totalChallan]])</f>
        <v>1</v>
      </c>
      <c r="O94" t="b">
        <f>AND(TrafficData[[#This Row],[pendingAmount]]&lt;=TrafficData[[#This Row],[totalAmount]],TrafficData[[#This Row],[disposedAmount]]&lt;=TrafficData[[#This Row],[totalAmount]])</f>
        <v>1</v>
      </c>
      <c r="P94" t="b">
        <f>AND(TrafficData[[#This Row],[pendingCourt]]&lt;=TrafficData[[#This Row],[totalCourt]],TrafficData[[#This Row],[disposedCourt]]&lt;=TrafficData[[#This Row],[totalCourt]])</f>
        <v>1</v>
      </c>
    </row>
    <row r="95" spans="1:16">
      <c r="A95" s="1">
        <v>42098</v>
      </c>
      <c r="B95">
        <v>83</v>
      </c>
      <c r="C95">
        <v>14</v>
      </c>
      <c r="D95">
        <v>69</v>
      </c>
      <c r="E95">
        <v>379600</v>
      </c>
      <c r="F95">
        <v>37060</v>
      </c>
      <c r="G95">
        <v>416660</v>
      </c>
      <c r="H95">
        <v>0</v>
      </c>
      <c r="I95">
        <v>0</v>
      </c>
      <c r="J95">
        <v>0</v>
      </c>
      <c r="K95" t="b">
        <f>TrafficData[[#This Row],[disposedChallan]]+TrafficData[[#This Row],[pendingChallan]]=TrafficData[[#This Row],[totalChallan]]</f>
        <v>1</v>
      </c>
      <c r="L95" t="b">
        <f>TrafficData[[#This Row],[pendingAmount]]+TrafficData[[#This Row],[disposedAmount]]=TrafficData[[#This Row],[totalAmount]]</f>
        <v>1</v>
      </c>
      <c r="M95" t="b">
        <f>TrafficData[[#This Row],[pendingCourt]]+TrafficData[[#This Row],[disposedCourt]]=TrafficData[[#This Row],[totalCourt]]</f>
        <v>1</v>
      </c>
      <c r="N95" t="b">
        <f>AND(TrafficData[[#This Row],[disposedChallan]]&lt;=TrafficData[[#This Row],[totalChallan]],TrafficData[[#This Row],[pendingChallan]]&lt;=TrafficData[[#This Row],[totalChallan]])</f>
        <v>1</v>
      </c>
      <c r="O95" t="b">
        <f>AND(TrafficData[[#This Row],[pendingAmount]]&lt;=TrafficData[[#This Row],[totalAmount]],TrafficData[[#This Row],[disposedAmount]]&lt;=TrafficData[[#This Row],[totalAmount]])</f>
        <v>1</v>
      </c>
      <c r="P95" t="b">
        <f>AND(TrafficData[[#This Row],[pendingCourt]]&lt;=TrafficData[[#This Row],[totalCourt]],TrafficData[[#This Row],[disposedCourt]]&lt;=TrafficData[[#This Row],[totalCourt]])</f>
        <v>1</v>
      </c>
    </row>
    <row r="96" spans="1:16">
      <c r="A96" s="1">
        <v>42099</v>
      </c>
      <c r="B96">
        <v>105</v>
      </c>
      <c r="C96">
        <v>29</v>
      </c>
      <c r="D96">
        <v>76</v>
      </c>
      <c r="E96">
        <v>510430</v>
      </c>
      <c r="F96">
        <v>139950</v>
      </c>
      <c r="G96">
        <v>650380</v>
      </c>
      <c r="H96">
        <v>1</v>
      </c>
      <c r="I96">
        <v>0</v>
      </c>
      <c r="J96">
        <v>1</v>
      </c>
      <c r="K96" t="b">
        <f>TrafficData[[#This Row],[disposedChallan]]+TrafficData[[#This Row],[pendingChallan]]=TrafficData[[#This Row],[totalChallan]]</f>
        <v>1</v>
      </c>
      <c r="L96" t="b">
        <f>TrafficData[[#This Row],[pendingAmount]]+TrafficData[[#This Row],[disposedAmount]]=TrafficData[[#This Row],[totalAmount]]</f>
        <v>1</v>
      </c>
      <c r="M96" t="b">
        <f>TrafficData[[#This Row],[pendingCourt]]+TrafficData[[#This Row],[disposedCourt]]=TrafficData[[#This Row],[totalCourt]]</f>
        <v>1</v>
      </c>
      <c r="N96" t="b">
        <f>AND(TrafficData[[#This Row],[disposedChallan]]&lt;=TrafficData[[#This Row],[totalChallan]],TrafficData[[#This Row],[pendingChallan]]&lt;=TrafficData[[#This Row],[totalChallan]])</f>
        <v>1</v>
      </c>
      <c r="O96" t="b">
        <f>AND(TrafficData[[#This Row],[pendingAmount]]&lt;=TrafficData[[#This Row],[totalAmount]],TrafficData[[#This Row],[disposedAmount]]&lt;=TrafficData[[#This Row],[totalAmount]])</f>
        <v>1</v>
      </c>
      <c r="P96" t="b">
        <f>AND(TrafficData[[#This Row],[pendingCourt]]&lt;=TrafficData[[#This Row],[totalCourt]],TrafficData[[#This Row],[disposedCourt]]&lt;=TrafficData[[#This Row],[totalCourt]])</f>
        <v>1</v>
      </c>
    </row>
    <row r="97" spans="1:16">
      <c r="A97" s="1">
        <v>42100</v>
      </c>
      <c r="B97">
        <v>108</v>
      </c>
      <c r="C97">
        <v>23</v>
      </c>
      <c r="D97">
        <v>85</v>
      </c>
      <c r="E97">
        <v>663120</v>
      </c>
      <c r="F97">
        <v>67200</v>
      </c>
      <c r="G97">
        <v>730320</v>
      </c>
      <c r="H97">
        <v>0</v>
      </c>
      <c r="I97">
        <v>0</v>
      </c>
      <c r="J97">
        <v>0</v>
      </c>
      <c r="K97" t="b">
        <f>TrafficData[[#This Row],[disposedChallan]]+TrafficData[[#This Row],[pendingChallan]]=TrafficData[[#This Row],[totalChallan]]</f>
        <v>1</v>
      </c>
      <c r="L97" t="b">
        <f>TrafficData[[#This Row],[pendingAmount]]+TrafficData[[#This Row],[disposedAmount]]=TrafficData[[#This Row],[totalAmount]]</f>
        <v>1</v>
      </c>
      <c r="M97" t="b">
        <f>TrafficData[[#This Row],[pendingCourt]]+TrafficData[[#This Row],[disposedCourt]]=TrafficData[[#This Row],[totalCourt]]</f>
        <v>1</v>
      </c>
      <c r="N97" t="b">
        <f>AND(TrafficData[[#This Row],[disposedChallan]]&lt;=TrafficData[[#This Row],[totalChallan]],TrafficData[[#This Row],[pendingChallan]]&lt;=TrafficData[[#This Row],[totalChallan]])</f>
        <v>1</v>
      </c>
      <c r="O97" t="b">
        <f>AND(TrafficData[[#This Row],[pendingAmount]]&lt;=TrafficData[[#This Row],[totalAmount]],TrafficData[[#This Row],[disposedAmount]]&lt;=TrafficData[[#This Row],[totalAmount]])</f>
        <v>1</v>
      </c>
      <c r="P97" t="b">
        <f>AND(TrafficData[[#This Row],[pendingCourt]]&lt;=TrafficData[[#This Row],[totalCourt]],TrafficData[[#This Row],[disposedCourt]]&lt;=TrafficData[[#This Row],[totalCourt]])</f>
        <v>1</v>
      </c>
    </row>
    <row r="98" spans="1:16">
      <c r="A98" s="1">
        <v>42101</v>
      </c>
      <c r="B98">
        <v>119</v>
      </c>
      <c r="C98">
        <v>22</v>
      </c>
      <c r="D98">
        <v>97</v>
      </c>
      <c r="E98">
        <v>586650</v>
      </c>
      <c r="F98">
        <v>109790</v>
      </c>
      <c r="G98">
        <v>696440</v>
      </c>
      <c r="H98">
        <v>7</v>
      </c>
      <c r="I98">
        <v>0</v>
      </c>
      <c r="J98">
        <v>7</v>
      </c>
      <c r="K98" t="b">
        <f>TrafficData[[#This Row],[disposedChallan]]+TrafficData[[#This Row],[pendingChallan]]=TrafficData[[#This Row],[totalChallan]]</f>
        <v>1</v>
      </c>
      <c r="L98" t="b">
        <f>TrafficData[[#This Row],[pendingAmount]]+TrafficData[[#This Row],[disposedAmount]]=TrafficData[[#This Row],[totalAmount]]</f>
        <v>1</v>
      </c>
      <c r="M98" t="b">
        <f>TrafficData[[#This Row],[pendingCourt]]+TrafficData[[#This Row],[disposedCourt]]=TrafficData[[#This Row],[totalCourt]]</f>
        <v>1</v>
      </c>
      <c r="N98" t="b">
        <f>AND(TrafficData[[#This Row],[disposedChallan]]&lt;=TrafficData[[#This Row],[totalChallan]],TrafficData[[#This Row],[pendingChallan]]&lt;=TrafficData[[#This Row],[totalChallan]])</f>
        <v>1</v>
      </c>
      <c r="O98" t="b">
        <f>AND(TrafficData[[#This Row],[pendingAmount]]&lt;=TrafficData[[#This Row],[totalAmount]],TrafficData[[#This Row],[disposedAmount]]&lt;=TrafficData[[#This Row],[totalAmount]])</f>
        <v>1</v>
      </c>
      <c r="P98" t="b">
        <f>AND(TrafficData[[#This Row],[pendingCourt]]&lt;=TrafficData[[#This Row],[totalCourt]],TrafficData[[#This Row],[disposedCourt]]&lt;=TrafficData[[#This Row],[totalCourt]])</f>
        <v>1</v>
      </c>
    </row>
    <row r="99" spans="1:16">
      <c r="A99" s="1">
        <v>42102</v>
      </c>
      <c r="B99">
        <v>125</v>
      </c>
      <c r="C99">
        <v>39</v>
      </c>
      <c r="D99">
        <v>86</v>
      </c>
      <c r="E99">
        <v>559220</v>
      </c>
      <c r="F99">
        <v>253410</v>
      </c>
      <c r="G99">
        <v>812630</v>
      </c>
      <c r="H99">
        <v>2</v>
      </c>
      <c r="I99">
        <v>0</v>
      </c>
      <c r="J99">
        <v>2</v>
      </c>
      <c r="K99" t="b">
        <f>TrafficData[[#This Row],[disposedChallan]]+TrafficData[[#This Row],[pendingChallan]]=TrafficData[[#This Row],[totalChallan]]</f>
        <v>1</v>
      </c>
      <c r="L99" t="b">
        <f>TrafficData[[#This Row],[pendingAmount]]+TrafficData[[#This Row],[disposedAmount]]=TrafficData[[#This Row],[totalAmount]]</f>
        <v>1</v>
      </c>
      <c r="M99" t="b">
        <f>TrafficData[[#This Row],[pendingCourt]]+TrafficData[[#This Row],[disposedCourt]]=TrafficData[[#This Row],[totalCourt]]</f>
        <v>1</v>
      </c>
      <c r="N99" t="b">
        <f>AND(TrafficData[[#This Row],[disposedChallan]]&lt;=TrafficData[[#This Row],[totalChallan]],TrafficData[[#This Row],[pendingChallan]]&lt;=TrafficData[[#This Row],[totalChallan]])</f>
        <v>1</v>
      </c>
      <c r="O99" t="b">
        <f>AND(TrafficData[[#This Row],[pendingAmount]]&lt;=TrafficData[[#This Row],[totalAmount]],TrafficData[[#This Row],[disposedAmount]]&lt;=TrafficData[[#This Row],[totalAmount]])</f>
        <v>1</v>
      </c>
      <c r="P99" t="b">
        <f>AND(TrafficData[[#This Row],[pendingCourt]]&lt;=TrafficData[[#This Row],[totalCourt]],TrafficData[[#This Row],[disposedCourt]]&lt;=TrafficData[[#This Row],[totalCourt]])</f>
        <v>1</v>
      </c>
    </row>
    <row r="100" spans="1:16">
      <c r="A100" s="1">
        <v>42103</v>
      </c>
      <c r="B100">
        <v>128</v>
      </c>
      <c r="C100">
        <v>40</v>
      </c>
      <c r="D100">
        <v>88</v>
      </c>
      <c r="E100">
        <v>823300</v>
      </c>
      <c r="F100">
        <v>232380</v>
      </c>
      <c r="G100">
        <v>1055680</v>
      </c>
      <c r="H100">
        <v>3</v>
      </c>
      <c r="I100">
        <v>3</v>
      </c>
      <c r="J100">
        <v>6</v>
      </c>
      <c r="K100" t="b">
        <f>TrafficData[[#This Row],[disposedChallan]]+TrafficData[[#This Row],[pendingChallan]]=TrafficData[[#This Row],[totalChallan]]</f>
        <v>1</v>
      </c>
      <c r="L100" t="b">
        <f>TrafficData[[#This Row],[pendingAmount]]+TrafficData[[#This Row],[disposedAmount]]=TrafficData[[#This Row],[totalAmount]]</f>
        <v>1</v>
      </c>
      <c r="M100" t="b">
        <f>TrafficData[[#This Row],[pendingCourt]]+TrafficData[[#This Row],[disposedCourt]]=TrafficData[[#This Row],[totalCourt]]</f>
        <v>1</v>
      </c>
      <c r="N100" t="b">
        <f>AND(TrafficData[[#This Row],[disposedChallan]]&lt;=TrafficData[[#This Row],[totalChallan]],TrafficData[[#This Row],[pendingChallan]]&lt;=TrafficData[[#This Row],[totalChallan]])</f>
        <v>1</v>
      </c>
      <c r="O100" t="b">
        <f>AND(TrafficData[[#This Row],[pendingAmount]]&lt;=TrafficData[[#This Row],[totalAmount]],TrafficData[[#This Row],[disposedAmount]]&lt;=TrafficData[[#This Row],[totalAmount]])</f>
        <v>1</v>
      </c>
      <c r="P100" t="b">
        <f>AND(TrafficData[[#This Row],[pendingCourt]]&lt;=TrafficData[[#This Row],[totalCourt]],TrafficData[[#This Row],[disposedCourt]]&lt;=TrafficData[[#This Row],[totalCourt]])</f>
        <v>1</v>
      </c>
    </row>
    <row r="101" spans="1:16">
      <c r="A101" s="1">
        <v>42104</v>
      </c>
      <c r="B101">
        <v>72</v>
      </c>
      <c r="C101">
        <v>13</v>
      </c>
      <c r="D101">
        <v>59</v>
      </c>
      <c r="E101">
        <v>503600</v>
      </c>
      <c r="F101">
        <v>50800</v>
      </c>
      <c r="G101">
        <v>554400</v>
      </c>
      <c r="H101">
        <v>1</v>
      </c>
      <c r="I101">
        <v>1</v>
      </c>
      <c r="J101">
        <v>2</v>
      </c>
      <c r="K101" t="b">
        <f>TrafficData[[#This Row],[disposedChallan]]+TrafficData[[#This Row],[pendingChallan]]=TrafficData[[#This Row],[totalChallan]]</f>
        <v>1</v>
      </c>
      <c r="L101" t="b">
        <f>TrafficData[[#This Row],[pendingAmount]]+TrafficData[[#This Row],[disposedAmount]]=TrafficData[[#This Row],[totalAmount]]</f>
        <v>1</v>
      </c>
      <c r="M101" t="b">
        <f>TrafficData[[#This Row],[pendingCourt]]+TrafficData[[#This Row],[disposedCourt]]=TrafficData[[#This Row],[totalCourt]]</f>
        <v>1</v>
      </c>
      <c r="N101" t="b">
        <f>AND(TrafficData[[#This Row],[disposedChallan]]&lt;=TrafficData[[#This Row],[totalChallan]],TrafficData[[#This Row],[pendingChallan]]&lt;=TrafficData[[#This Row],[totalChallan]])</f>
        <v>1</v>
      </c>
      <c r="O101" t="b">
        <f>AND(TrafficData[[#This Row],[pendingAmount]]&lt;=TrafficData[[#This Row],[totalAmount]],TrafficData[[#This Row],[disposedAmount]]&lt;=TrafficData[[#This Row],[totalAmount]])</f>
        <v>1</v>
      </c>
      <c r="P101" t="b">
        <f>AND(TrafficData[[#This Row],[pendingCourt]]&lt;=TrafficData[[#This Row],[totalCourt]],TrafficData[[#This Row],[disposedCourt]]&lt;=TrafficData[[#This Row],[totalCourt]])</f>
        <v>1</v>
      </c>
    </row>
    <row r="102" spans="1:16">
      <c r="A102" s="1">
        <v>42105</v>
      </c>
      <c r="B102">
        <v>87</v>
      </c>
      <c r="C102">
        <v>36</v>
      </c>
      <c r="D102">
        <v>51</v>
      </c>
      <c r="E102">
        <v>310501</v>
      </c>
      <c r="F102">
        <v>109300</v>
      </c>
      <c r="G102">
        <v>419801</v>
      </c>
      <c r="H102">
        <v>0</v>
      </c>
      <c r="I102">
        <v>1</v>
      </c>
      <c r="J102">
        <v>1</v>
      </c>
      <c r="K102" t="b">
        <f>TrafficData[[#This Row],[disposedChallan]]+TrafficData[[#This Row],[pendingChallan]]=TrafficData[[#This Row],[totalChallan]]</f>
        <v>1</v>
      </c>
      <c r="L102" t="b">
        <f>TrafficData[[#This Row],[pendingAmount]]+TrafficData[[#This Row],[disposedAmount]]=TrafficData[[#This Row],[totalAmount]]</f>
        <v>1</v>
      </c>
      <c r="M102" t="b">
        <f>TrafficData[[#This Row],[pendingCourt]]+TrafficData[[#This Row],[disposedCourt]]=TrafficData[[#This Row],[totalCourt]]</f>
        <v>1</v>
      </c>
      <c r="N102" t="b">
        <f>AND(TrafficData[[#This Row],[disposedChallan]]&lt;=TrafficData[[#This Row],[totalChallan]],TrafficData[[#This Row],[pendingChallan]]&lt;=TrafficData[[#This Row],[totalChallan]])</f>
        <v>1</v>
      </c>
      <c r="O102" t="b">
        <f>AND(TrafficData[[#This Row],[pendingAmount]]&lt;=TrafficData[[#This Row],[totalAmount]],TrafficData[[#This Row],[disposedAmount]]&lt;=TrafficData[[#This Row],[totalAmount]])</f>
        <v>1</v>
      </c>
      <c r="P102" t="b">
        <f>AND(TrafficData[[#This Row],[pendingCourt]]&lt;=TrafficData[[#This Row],[totalCourt]],TrafficData[[#This Row],[disposedCourt]]&lt;=TrafficData[[#This Row],[totalCourt]])</f>
        <v>1</v>
      </c>
    </row>
    <row r="103" spans="1:16">
      <c r="A103" s="1">
        <v>42106</v>
      </c>
      <c r="B103">
        <v>89</v>
      </c>
      <c r="C103">
        <v>20</v>
      </c>
      <c r="D103">
        <v>69</v>
      </c>
      <c r="E103">
        <v>385700</v>
      </c>
      <c r="F103">
        <v>83300</v>
      </c>
      <c r="G103">
        <v>469000</v>
      </c>
      <c r="H103">
        <v>0</v>
      </c>
      <c r="I103">
        <v>0</v>
      </c>
      <c r="J103">
        <v>0</v>
      </c>
      <c r="K103" t="b">
        <f>TrafficData[[#This Row],[disposedChallan]]+TrafficData[[#This Row],[pendingChallan]]=TrafficData[[#This Row],[totalChallan]]</f>
        <v>1</v>
      </c>
      <c r="L103" t="b">
        <f>TrafficData[[#This Row],[pendingAmount]]+TrafficData[[#This Row],[disposedAmount]]=TrafficData[[#This Row],[totalAmount]]</f>
        <v>1</v>
      </c>
      <c r="M103" t="b">
        <f>TrafficData[[#This Row],[pendingCourt]]+TrafficData[[#This Row],[disposedCourt]]=TrafficData[[#This Row],[totalCourt]]</f>
        <v>1</v>
      </c>
      <c r="N103" t="b">
        <f>AND(TrafficData[[#This Row],[disposedChallan]]&lt;=TrafficData[[#This Row],[totalChallan]],TrafficData[[#This Row],[pendingChallan]]&lt;=TrafficData[[#This Row],[totalChallan]])</f>
        <v>1</v>
      </c>
      <c r="O103" t="b">
        <f>AND(TrafficData[[#This Row],[pendingAmount]]&lt;=TrafficData[[#This Row],[totalAmount]],TrafficData[[#This Row],[disposedAmount]]&lt;=TrafficData[[#This Row],[totalAmount]])</f>
        <v>1</v>
      </c>
      <c r="P103" t="b">
        <f>AND(TrafficData[[#This Row],[pendingCourt]]&lt;=TrafficData[[#This Row],[totalCourt]],TrafficData[[#This Row],[disposedCourt]]&lt;=TrafficData[[#This Row],[totalCourt]])</f>
        <v>1</v>
      </c>
    </row>
    <row r="104" spans="1:16">
      <c r="A104" s="1">
        <v>42107</v>
      </c>
      <c r="B104">
        <v>97</v>
      </c>
      <c r="C104">
        <v>24</v>
      </c>
      <c r="D104">
        <v>73</v>
      </c>
      <c r="E104">
        <v>746950</v>
      </c>
      <c r="F104">
        <v>100050</v>
      </c>
      <c r="G104">
        <v>847000</v>
      </c>
      <c r="H104">
        <v>1</v>
      </c>
      <c r="I104">
        <v>3</v>
      </c>
      <c r="J104">
        <v>4</v>
      </c>
      <c r="K104" t="b">
        <f>TrafficData[[#This Row],[disposedChallan]]+TrafficData[[#This Row],[pendingChallan]]=TrafficData[[#This Row],[totalChallan]]</f>
        <v>1</v>
      </c>
      <c r="L104" t="b">
        <f>TrafficData[[#This Row],[pendingAmount]]+TrafficData[[#This Row],[disposedAmount]]=TrafficData[[#This Row],[totalAmount]]</f>
        <v>1</v>
      </c>
      <c r="M104" t="b">
        <f>TrafficData[[#This Row],[pendingCourt]]+TrafficData[[#This Row],[disposedCourt]]=TrafficData[[#This Row],[totalCourt]]</f>
        <v>1</v>
      </c>
      <c r="N104" t="b">
        <f>AND(TrafficData[[#This Row],[disposedChallan]]&lt;=TrafficData[[#This Row],[totalChallan]],TrafficData[[#This Row],[pendingChallan]]&lt;=TrafficData[[#This Row],[totalChallan]])</f>
        <v>1</v>
      </c>
      <c r="O104" t="b">
        <f>AND(TrafficData[[#This Row],[pendingAmount]]&lt;=TrafficData[[#This Row],[totalAmount]],TrafficData[[#This Row],[disposedAmount]]&lt;=TrafficData[[#This Row],[totalAmount]])</f>
        <v>1</v>
      </c>
      <c r="P104" t="b">
        <f>AND(TrafficData[[#This Row],[pendingCourt]]&lt;=TrafficData[[#This Row],[totalCourt]],TrafficData[[#This Row],[disposedCourt]]&lt;=TrafficData[[#This Row],[totalCourt]])</f>
        <v>1</v>
      </c>
    </row>
    <row r="105" spans="1:16">
      <c r="A105" s="1">
        <v>42108</v>
      </c>
      <c r="B105">
        <v>79</v>
      </c>
      <c r="C105">
        <v>19</v>
      </c>
      <c r="D105">
        <v>60</v>
      </c>
      <c r="E105">
        <v>319050</v>
      </c>
      <c r="F105">
        <v>90400</v>
      </c>
      <c r="G105">
        <v>409450</v>
      </c>
      <c r="H105">
        <v>4</v>
      </c>
      <c r="I105">
        <v>0</v>
      </c>
      <c r="J105">
        <v>4</v>
      </c>
      <c r="K105" t="b">
        <f>TrafficData[[#This Row],[disposedChallan]]+TrafficData[[#This Row],[pendingChallan]]=TrafficData[[#This Row],[totalChallan]]</f>
        <v>1</v>
      </c>
      <c r="L105" t="b">
        <f>TrafficData[[#This Row],[pendingAmount]]+TrafficData[[#This Row],[disposedAmount]]=TrafficData[[#This Row],[totalAmount]]</f>
        <v>1</v>
      </c>
      <c r="M105" t="b">
        <f>TrafficData[[#This Row],[pendingCourt]]+TrafficData[[#This Row],[disposedCourt]]=TrafficData[[#This Row],[totalCourt]]</f>
        <v>1</v>
      </c>
      <c r="N105" t="b">
        <f>AND(TrafficData[[#This Row],[disposedChallan]]&lt;=TrafficData[[#This Row],[totalChallan]],TrafficData[[#This Row],[pendingChallan]]&lt;=TrafficData[[#This Row],[totalChallan]])</f>
        <v>1</v>
      </c>
      <c r="O105" t="b">
        <f>AND(TrafficData[[#This Row],[pendingAmount]]&lt;=TrafficData[[#This Row],[totalAmount]],TrafficData[[#This Row],[disposedAmount]]&lt;=TrafficData[[#This Row],[totalAmount]])</f>
        <v>1</v>
      </c>
      <c r="P105" t="b">
        <f>AND(TrafficData[[#This Row],[pendingCourt]]&lt;=TrafficData[[#This Row],[totalCourt]],TrafficData[[#This Row],[disposedCourt]]&lt;=TrafficData[[#This Row],[totalCourt]])</f>
        <v>1</v>
      </c>
    </row>
    <row r="106" spans="1:16">
      <c r="A106" s="1">
        <v>42109</v>
      </c>
      <c r="B106">
        <v>108</v>
      </c>
      <c r="C106">
        <v>29</v>
      </c>
      <c r="D106">
        <v>79</v>
      </c>
      <c r="E106">
        <v>838500</v>
      </c>
      <c r="F106">
        <v>197000</v>
      </c>
      <c r="G106">
        <v>1035500</v>
      </c>
      <c r="H106">
        <v>0</v>
      </c>
      <c r="I106">
        <v>1</v>
      </c>
      <c r="J106">
        <v>1</v>
      </c>
      <c r="K106" t="b">
        <f>TrafficData[[#This Row],[disposedChallan]]+TrafficData[[#This Row],[pendingChallan]]=TrafficData[[#This Row],[totalChallan]]</f>
        <v>1</v>
      </c>
      <c r="L106" t="b">
        <f>TrafficData[[#This Row],[pendingAmount]]+TrafficData[[#This Row],[disposedAmount]]=TrafficData[[#This Row],[totalAmount]]</f>
        <v>1</v>
      </c>
      <c r="M106" t="b">
        <f>TrafficData[[#This Row],[pendingCourt]]+TrafficData[[#This Row],[disposedCourt]]=TrafficData[[#This Row],[totalCourt]]</f>
        <v>1</v>
      </c>
      <c r="N106" t="b">
        <f>AND(TrafficData[[#This Row],[disposedChallan]]&lt;=TrafficData[[#This Row],[totalChallan]],TrafficData[[#This Row],[pendingChallan]]&lt;=TrafficData[[#This Row],[totalChallan]])</f>
        <v>1</v>
      </c>
      <c r="O106" t="b">
        <f>AND(TrafficData[[#This Row],[pendingAmount]]&lt;=TrafficData[[#This Row],[totalAmount]],TrafficData[[#This Row],[disposedAmount]]&lt;=TrafficData[[#This Row],[totalAmount]])</f>
        <v>1</v>
      </c>
      <c r="P106" t="b">
        <f>AND(TrafficData[[#This Row],[pendingCourt]]&lt;=TrafficData[[#This Row],[totalCourt]],TrafficData[[#This Row],[disposedCourt]]&lt;=TrafficData[[#This Row],[totalCourt]])</f>
        <v>1</v>
      </c>
    </row>
    <row r="107" spans="1:16">
      <c r="A107" s="1">
        <v>42110</v>
      </c>
      <c r="B107">
        <v>115</v>
      </c>
      <c r="C107">
        <v>35</v>
      </c>
      <c r="D107">
        <v>80</v>
      </c>
      <c r="E107">
        <v>1098300</v>
      </c>
      <c r="F107">
        <v>202600</v>
      </c>
      <c r="G107">
        <v>1300900</v>
      </c>
      <c r="H107">
        <v>3</v>
      </c>
      <c r="I107">
        <v>1</v>
      </c>
      <c r="J107">
        <v>4</v>
      </c>
      <c r="K107" t="b">
        <f>TrafficData[[#This Row],[disposedChallan]]+TrafficData[[#This Row],[pendingChallan]]=TrafficData[[#This Row],[totalChallan]]</f>
        <v>1</v>
      </c>
      <c r="L107" t="b">
        <f>TrafficData[[#This Row],[pendingAmount]]+TrafficData[[#This Row],[disposedAmount]]=TrafficData[[#This Row],[totalAmount]]</f>
        <v>1</v>
      </c>
      <c r="M107" t="b">
        <f>TrafficData[[#This Row],[pendingCourt]]+TrafficData[[#This Row],[disposedCourt]]=TrafficData[[#This Row],[totalCourt]]</f>
        <v>1</v>
      </c>
      <c r="N107" t="b">
        <f>AND(TrafficData[[#This Row],[disposedChallan]]&lt;=TrafficData[[#This Row],[totalChallan]],TrafficData[[#This Row],[pendingChallan]]&lt;=TrafficData[[#This Row],[totalChallan]])</f>
        <v>1</v>
      </c>
      <c r="O107" t="b">
        <f>AND(TrafficData[[#This Row],[pendingAmount]]&lt;=TrafficData[[#This Row],[totalAmount]],TrafficData[[#This Row],[disposedAmount]]&lt;=TrafficData[[#This Row],[totalAmount]])</f>
        <v>1</v>
      </c>
      <c r="P107" t="b">
        <f>AND(TrafficData[[#This Row],[pendingCourt]]&lt;=TrafficData[[#This Row],[totalCourt]],TrafficData[[#This Row],[disposedCourt]]&lt;=TrafficData[[#This Row],[totalCourt]])</f>
        <v>1</v>
      </c>
    </row>
    <row r="108" spans="1:16">
      <c r="A108" s="1">
        <v>42111</v>
      </c>
      <c r="B108">
        <v>83</v>
      </c>
      <c r="C108">
        <v>28</v>
      </c>
      <c r="D108">
        <v>55</v>
      </c>
      <c r="E108">
        <v>311000</v>
      </c>
      <c r="F108">
        <v>93500</v>
      </c>
      <c r="G108">
        <v>404500</v>
      </c>
      <c r="H108">
        <v>4</v>
      </c>
      <c r="I108">
        <v>2</v>
      </c>
      <c r="J108">
        <v>6</v>
      </c>
      <c r="K108" t="b">
        <f>TrafficData[[#This Row],[disposedChallan]]+TrafficData[[#This Row],[pendingChallan]]=TrafficData[[#This Row],[totalChallan]]</f>
        <v>1</v>
      </c>
      <c r="L108" t="b">
        <f>TrafficData[[#This Row],[pendingAmount]]+TrafficData[[#This Row],[disposedAmount]]=TrafficData[[#This Row],[totalAmount]]</f>
        <v>1</v>
      </c>
      <c r="M108" t="b">
        <f>TrafficData[[#This Row],[pendingCourt]]+TrafficData[[#This Row],[disposedCourt]]=TrafficData[[#This Row],[totalCourt]]</f>
        <v>1</v>
      </c>
      <c r="N108" t="b">
        <f>AND(TrafficData[[#This Row],[disposedChallan]]&lt;=TrafficData[[#This Row],[totalChallan]],TrafficData[[#This Row],[pendingChallan]]&lt;=TrafficData[[#This Row],[totalChallan]])</f>
        <v>1</v>
      </c>
      <c r="O108" t="b">
        <f>AND(TrafficData[[#This Row],[pendingAmount]]&lt;=TrafficData[[#This Row],[totalAmount]],TrafficData[[#This Row],[disposedAmount]]&lt;=TrafficData[[#This Row],[totalAmount]])</f>
        <v>1</v>
      </c>
      <c r="P108" t="b">
        <f>AND(TrafficData[[#This Row],[pendingCourt]]&lt;=TrafficData[[#This Row],[totalCourt]],TrafficData[[#This Row],[disposedCourt]]&lt;=TrafficData[[#This Row],[totalCourt]])</f>
        <v>1</v>
      </c>
    </row>
    <row r="109" spans="1:16">
      <c r="A109" s="1">
        <v>42112</v>
      </c>
      <c r="B109">
        <v>82</v>
      </c>
      <c r="C109">
        <v>23</v>
      </c>
      <c r="D109">
        <v>59</v>
      </c>
      <c r="E109">
        <v>510770</v>
      </c>
      <c r="F109">
        <v>107200</v>
      </c>
      <c r="G109">
        <v>617970</v>
      </c>
      <c r="H109">
        <v>4</v>
      </c>
      <c r="I109">
        <v>1</v>
      </c>
      <c r="J109">
        <v>5</v>
      </c>
      <c r="K109" t="b">
        <f>TrafficData[[#This Row],[disposedChallan]]+TrafficData[[#This Row],[pendingChallan]]=TrafficData[[#This Row],[totalChallan]]</f>
        <v>1</v>
      </c>
      <c r="L109" t="b">
        <f>TrafficData[[#This Row],[pendingAmount]]+TrafficData[[#This Row],[disposedAmount]]=TrafficData[[#This Row],[totalAmount]]</f>
        <v>1</v>
      </c>
      <c r="M109" t="b">
        <f>TrafficData[[#This Row],[pendingCourt]]+TrafficData[[#This Row],[disposedCourt]]=TrafficData[[#This Row],[totalCourt]]</f>
        <v>1</v>
      </c>
      <c r="N109" t="b">
        <f>AND(TrafficData[[#This Row],[disposedChallan]]&lt;=TrafficData[[#This Row],[totalChallan]],TrafficData[[#This Row],[pendingChallan]]&lt;=TrafficData[[#This Row],[totalChallan]])</f>
        <v>1</v>
      </c>
      <c r="O109" t="b">
        <f>AND(TrafficData[[#This Row],[pendingAmount]]&lt;=TrafficData[[#This Row],[totalAmount]],TrafficData[[#This Row],[disposedAmount]]&lt;=TrafficData[[#This Row],[totalAmount]])</f>
        <v>1</v>
      </c>
      <c r="P109" t="b">
        <f>AND(TrafficData[[#This Row],[pendingCourt]]&lt;=TrafficData[[#This Row],[totalCourt]],TrafficData[[#This Row],[disposedCourt]]&lt;=TrafficData[[#This Row],[totalCourt]])</f>
        <v>1</v>
      </c>
    </row>
    <row r="110" spans="1:16">
      <c r="A110" s="1">
        <v>42113</v>
      </c>
      <c r="B110">
        <v>63</v>
      </c>
      <c r="C110">
        <v>15</v>
      </c>
      <c r="D110">
        <v>48</v>
      </c>
      <c r="E110">
        <v>261350</v>
      </c>
      <c r="F110">
        <v>80000</v>
      </c>
      <c r="G110">
        <v>341350</v>
      </c>
      <c r="H110">
        <v>0</v>
      </c>
      <c r="I110">
        <v>0</v>
      </c>
      <c r="J110">
        <v>0</v>
      </c>
      <c r="K110" t="b">
        <f>TrafficData[[#This Row],[disposedChallan]]+TrafficData[[#This Row],[pendingChallan]]=TrafficData[[#This Row],[totalChallan]]</f>
        <v>1</v>
      </c>
      <c r="L110" t="b">
        <f>TrafficData[[#This Row],[pendingAmount]]+TrafficData[[#This Row],[disposedAmount]]=TrafficData[[#This Row],[totalAmount]]</f>
        <v>1</v>
      </c>
      <c r="M110" t="b">
        <f>TrafficData[[#This Row],[pendingCourt]]+TrafficData[[#This Row],[disposedCourt]]=TrafficData[[#This Row],[totalCourt]]</f>
        <v>1</v>
      </c>
      <c r="N110" t="b">
        <f>AND(TrafficData[[#This Row],[disposedChallan]]&lt;=TrafficData[[#This Row],[totalChallan]],TrafficData[[#This Row],[pendingChallan]]&lt;=TrafficData[[#This Row],[totalChallan]])</f>
        <v>1</v>
      </c>
      <c r="O110" t="b">
        <f>AND(TrafficData[[#This Row],[pendingAmount]]&lt;=TrafficData[[#This Row],[totalAmount]],TrafficData[[#This Row],[disposedAmount]]&lt;=TrafficData[[#This Row],[totalAmount]])</f>
        <v>1</v>
      </c>
      <c r="P110" t="b">
        <f>AND(TrafficData[[#This Row],[pendingCourt]]&lt;=TrafficData[[#This Row],[totalCourt]],TrafficData[[#This Row],[disposedCourt]]&lt;=TrafficData[[#This Row],[totalCourt]])</f>
        <v>1</v>
      </c>
    </row>
    <row r="111" spans="1:16">
      <c r="A111" s="1">
        <v>42114</v>
      </c>
      <c r="B111">
        <v>104</v>
      </c>
      <c r="C111">
        <v>26</v>
      </c>
      <c r="D111">
        <v>78</v>
      </c>
      <c r="E111">
        <v>357900</v>
      </c>
      <c r="F111">
        <v>152700</v>
      </c>
      <c r="G111">
        <v>510600</v>
      </c>
      <c r="H111">
        <v>5</v>
      </c>
      <c r="I111">
        <v>1</v>
      </c>
      <c r="J111">
        <v>6</v>
      </c>
      <c r="K111" t="b">
        <f>TrafficData[[#This Row],[disposedChallan]]+TrafficData[[#This Row],[pendingChallan]]=TrafficData[[#This Row],[totalChallan]]</f>
        <v>1</v>
      </c>
      <c r="L111" t="b">
        <f>TrafficData[[#This Row],[pendingAmount]]+TrafficData[[#This Row],[disposedAmount]]=TrafficData[[#This Row],[totalAmount]]</f>
        <v>1</v>
      </c>
      <c r="M111" t="b">
        <f>TrafficData[[#This Row],[pendingCourt]]+TrafficData[[#This Row],[disposedCourt]]=TrafficData[[#This Row],[totalCourt]]</f>
        <v>1</v>
      </c>
      <c r="N111" t="b">
        <f>AND(TrafficData[[#This Row],[disposedChallan]]&lt;=TrafficData[[#This Row],[totalChallan]],TrafficData[[#This Row],[pendingChallan]]&lt;=TrafficData[[#This Row],[totalChallan]])</f>
        <v>1</v>
      </c>
      <c r="O111" t="b">
        <f>AND(TrafficData[[#This Row],[pendingAmount]]&lt;=TrafficData[[#This Row],[totalAmount]],TrafficData[[#This Row],[disposedAmount]]&lt;=TrafficData[[#This Row],[totalAmount]])</f>
        <v>1</v>
      </c>
      <c r="P111" t="b">
        <f>AND(TrafficData[[#This Row],[pendingCourt]]&lt;=TrafficData[[#This Row],[totalCourt]],TrafficData[[#This Row],[disposedCourt]]&lt;=TrafficData[[#This Row],[totalCourt]])</f>
        <v>1</v>
      </c>
    </row>
    <row r="112" spans="1:16">
      <c r="A112" s="1">
        <v>42115</v>
      </c>
      <c r="B112">
        <v>89</v>
      </c>
      <c r="C112">
        <v>27</v>
      </c>
      <c r="D112">
        <v>62</v>
      </c>
      <c r="E112">
        <v>377450</v>
      </c>
      <c r="F112">
        <v>117900</v>
      </c>
      <c r="G112">
        <v>495350</v>
      </c>
      <c r="H112">
        <v>2</v>
      </c>
      <c r="I112">
        <v>3</v>
      </c>
      <c r="J112">
        <v>5</v>
      </c>
      <c r="K112" t="b">
        <f>TrafficData[[#This Row],[disposedChallan]]+TrafficData[[#This Row],[pendingChallan]]=TrafficData[[#This Row],[totalChallan]]</f>
        <v>1</v>
      </c>
      <c r="L112" t="b">
        <f>TrafficData[[#This Row],[pendingAmount]]+TrafficData[[#This Row],[disposedAmount]]=TrafficData[[#This Row],[totalAmount]]</f>
        <v>1</v>
      </c>
      <c r="M112" t="b">
        <f>TrafficData[[#This Row],[pendingCourt]]+TrafficData[[#This Row],[disposedCourt]]=TrafficData[[#This Row],[totalCourt]]</f>
        <v>1</v>
      </c>
      <c r="N112" t="b">
        <f>AND(TrafficData[[#This Row],[disposedChallan]]&lt;=TrafficData[[#This Row],[totalChallan]],TrafficData[[#This Row],[pendingChallan]]&lt;=TrafficData[[#This Row],[totalChallan]])</f>
        <v>1</v>
      </c>
      <c r="O112" t="b">
        <f>AND(TrafficData[[#This Row],[pendingAmount]]&lt;=TrafficData[[#This Row],[totalAmount]],TrafficData[[#This Row],[disposedAmount]]&lt;=TrafficData[[#This Row],[totalAmount]])</f>
        <v>1</v>
      </c>
      <c r="P112" t="b">
        <f>AND(TrafficData[[#This Row],[pendingCourt]]&lt;=TrafficData[[#This Row],[totalCourt]],TrafficData[[#This Row],[disposedCourt]]&lt;=TrafficData[[#This Row],[totalCourt]])</f>
        <v>1</v>
      </c>
    </row>
    <row r="113" spans="1:16">
      <c r="A113" s="1">
        <v>42116</v>
      </c>
      <c r="B113">
        <v>91</v>
      </c>
      <c r="C113">
        <v>32</v>
      </c>
      <c r="D113">
        <v>59</v>
      </c>
      <c r="E113">
        <v>442560</v>
      </c>
      <c r="F113">
        <v>115800</v>
      </c>
      <c r="G113">
        <v>558360</v>
      </c>
      <c r="H113">
        <v>1</v>
      </c>
      <c r="I113">
        <v>1</v>
      </c>
      <c r="J113">
        <v>2</v>
      </c>
      <c r="K113" t="b">
        <f>TrafficData[[#This Row],[disposedChallan]]+TrafficData[[#This Row],[pendingChallan]]=TrafficData[[#This Row],[totalChallan]]</f>
        <v>1</v>
      </c>
      <c r="L113" t="b">
        <f>TrafficData[[#This Row],[pendingAmount]]+TrafficData[[#This Row],[disposedAmount]]=TrafficData[[#This Row],[totalAmount]]</f>
        <v>1</v>
      </c>
      <c r="M113" t="b">
        <f>TrafficData[[#This Row],[pendingCourt]]+TrafficData[[#This Row],[disposedCourt]]=TrafficData[[#This Row],[totalCourt]]</f>
        <v>1</v>
      </c>
      <c r="N113" t="b">
        <f>AND(TrafficData[[#This Row],[disposedChallan]]&lt;=TrafficData[[#This Row],[totalChallan]],TrafficData[[#This Row],[pendingChallan]]&lt;=TrafficData[[#This Row],[totalChallan]])</f>
        <v>1</v>
      </c>
      <c r="O113" t="b">
        <f>AND(TrafficData[[#This Row],[pendingAmount]]&lt;=TrafficData[[#This Row],[totalAmount]],TrafficData[[#This Row],[disposedAmount]]&lt;=TrafficData[[#This Row],[totalAmount]])</f>
        <v>1</v>
      </c>
      <c r="P113" t="b">
        <f>AND(TrafficData[[#This Row],[pendingCourt]]&lt;=TrafficData[[#This Row],[totalCourt]],TrafficData[[#This Row],[disposedCourt]]&lt;=TrafficData[[#This Row],[totalCourt]])</f>
        <v>1</v>
      </c>
    </row>
    <row r="114" spans="1:16">
      <c r="A114" s="1">
        <v>42117</v>
      </c>
      <c r="B114">
        <v>97</v>
      </c>
      <c r="C114">
        <v>32</v>
      </c>
      <c r="D114">
        <v>65</v>
      </c>
      <c r="E114">
        <v>564100</v>
      </c>
      <c r="F114">
        <v>177525</v>
      </c>
      <c r="G114">
        <v>741625</v>
      </c>
      <c r="H114">
        <v>3</v>
      </c>
      <c r="I114">
        <v>3</v>
      </c>
      <c r="J114">
        <v>6</v>
      </c>
      <c r="K114" t="b">
        <f>TrafficData[[#This Row],[disposedChallan]]+TrafficData[[#This Row],[pendingChallan]]=TrafficData[[#This Row],[totalChallan]]</f>
        <v>1</v>
      </c>
      <c r="L114" t="b">
        <f>TrafficData[[#This Row],[pendingAmount]]+TrafficData[[#This Row],[disposedAmount]]=TrafficData[[#This Row],[totalAmount]]</f>
        <v>1</v>
      </c>
      <c r="M114" t="b">
        <f>TrafficData[[#This Row],[pendingCourt]]+TrafficData[[#This Row],[disposedCourt]]=TrafficData[[#This Row],[totalCourt]]</f>
        <v>1</v>
      </c>
      <c r="N114" t="b">
        <f>AND(TrafficData[[#This Row],[disposedChallan]]&lt;=TrafficData[[#This Row],[totalChallan]],TrafficData[[#This Row],[pendingChallan]]&lt;=TrafficData[[#This Row],[totalChallan]])</f>
        <v>1</v>
      </c>
      <c r="O114" t="b">
        <f>AND(TrafficData[[#This Row],[pendingAmount]]&lt;=TrafficData[[#This Row],[totalAmount]],TrafficData[[#This Row],[disposedAmount]]&lt;=TrafficData[[#This Row],[totalAmount]])</f>
        <v>1</v>
      </c>
      <c r="P114" t="b">
        <f>AND(TrafficData[[#This Row],[pendingCourt]]&lt;=TrafficData[[#This Row],[totalCourt]],TrafficData[[#This Row],[disposedCourt]]&lt;=TrafficData[[#This Row],[totalCourt]])</f>
        <v>1</v>
      </c>
    </row>
    <row r="115" spans="1:16">
      <c r="A115" s="1">
        <v>42118</v>
      </c>
      <c r="B115">
        <v>72</v>
      </c>
      <c r="C115">
        <v>16</v>
      </c>
      <c r="D115">
        <v>56</v>
      </c>
      <c r="E115">
        <v>323900</v>
      </c>
      <c r="F115">
        <v>151500</v>
      </c>
      <c r="G115">
        <v>475400</v>
      </c>
      <c r="H115">
        <v>2</v>
      </c>
      <c r="I115">
        <v>0</v>
      </c>
      <c r="J115">
        <v>2</v>
      </c>
      <c r="K115" t="b">
        <f>TrafficData[[#This Row],[disposedChallan]]+TrafficData[[#This Row],[pendingChallan]]=TrafficData[[#This Row],[totalChallan]]</f>
        <v>1</v>
      </c>
      <c r="L115" t="b">
        <f>TrafficData[[#This Row],[pendingAmount]]+TrafficData[[#This Row],[disposedAmount]]=TrafficData[[#This Row],[totalAmount]]</f>
        <v>1</v>
      </c>
      <c r="M115" t="b">
        <f>TrafficData[[#This Row],[pendingCourt]]+TrafficData[[#This Row],[disposedCourt]]=TrafficData[[#This Row],[totalCourt]]</f>
        <v>1</v>
      </c>
      <c r="N115" t="b">
        <f>AND(TrafficData[[#This Row],[disposedChallan]]&lt;=TrafficData[[#This Row],[totalChallan]],TrafficData[[#This Row],[pendingChallan]]&lt;=TrafficData[[#This Row],[totalChallan]])</f>
        <v>1</v>
      </c>
      <c r="O115" t="b">
        <f>AND(TrafficData[[#This Row],[pendingAmount]]&lt;=TrafficData[[#This Row],[totalAmount]],TrafficData[[#This Row],[disposedAmount]]&lt;=TrafficData[[#This Row],[totalAmount]])</f>
        <v>1</v>
      </c>
      <c r="P115" t="b">
        <f>AND(TrafficData[[#This Row],[pendingCourt]]&lt;=TrafficData[[#This Row],[totalCourt]],TrafficData[[#This Row],[disposedCourt]]&lt;=TrafficData[[#This Row],[totalCourt]])</f>
        <v>1</v>
      </c>
    </row>
    <row r="116" spans="1:16">
      <c r="A116" s="1">
        <v>42119</v>
      </c>
      <c r="B116">
        <v>53</v>
      </c>
      <c r="C116">
        <v>21</v>
      </c>
      <c r="D116">
        <v>32</v>
      </c>
      <c r="E116">
        <v>181900</v>
      </c>
      <c r="F116">
        <v>112550</v>
      </c>
      <c r="G116">
        <v>294450</v>
      </c>
      <c r="H116">
        <v>2</v>
      </c>
      <c r="I116">
        <v>2</v>
      </c>
      <c r="J116">
        <v>4</v>
      </c>
      <c r="K116" t="b">
        <f>TrafficData[[#This Row],[disposedChallan]]+TrafficData[[#This Row],[pendingChallan]]=TrafficData[[#This Row],[totalChallan]]</f>
        <v>1</v>
      </c>
      <c r="L116" t="b">
        <f>TrafficData[[#This Row],[pendingAmount]]+TrafficData[[#This Row],[disposedAmount]]=TrafficData[[#This Row],[totalAmount]]</f>
        <v>1</v>
      </c>
      <c r="M116" t="b">
        <f>TrafficData[[#This Row],[pendingCourt]]+TrafficData[[#This Row],[disposedCourt]]=TrafficData[[#This Row],[totalCourt]]</f>
        <v>1</v>
      </c>
      <c r="N116" t="b">
        <f>AND(TrafficData[[#This Row],[disposedChallan]]&lt;=TrafficData[[#This Row],[totalChallan]],TrafficData[[#This Row],[pendingChallan]]&lt;=TrafficData[[#This Row],[totalChallan]])</f>
        <v>1</v>
      </c>
      <c r="O116" t="b">
        <f>AND(TrafficData[[#This Row],[pendingAmount]]&lt;=TrafficData[[#This Row],[totalAmount]],TrafficData[[#This Row],[disposedAmount]]&lt;=TrafficData[[#This Row],[totalAmount]])</f>
        <v>1</v>
      </c>
      <c r="P116" t="b">
        <f>AND(TrafficData[[#This Row],[pendingCourt]]&lt;=TrafficData[[#This Row],[totalCourt]],TrafficData[[#This Row],[disposedCourt]]&lt;=TrafficData[[#This Row],[totalCourt]])</f>
        <v>1</v>
      </c>
    </row>
    <row r="117" spans="1:16">
      <c r="A117" s="1">
        <v>42120</v>
      </c>
      <c r="B117">
        <v>46</v>
      </c>
      <c r="C117">
        <v>16</v>
      </c>
      <c r="D117">
        <v>30</v>
      </c>
      <c r="E117">
        <v>169850</v>
      </c>
      <c r="F117">
        <v>100700</v>
      </c>
      <c r="G117">
        <v>270550</v>
      </c>
      <c r="H117">
        <v>0</v>
      </c>
      <c r="I117">
        <v>0</v>
      </c>
      <c r="J117">
        <v>0</v>
      </c>
      <c r="K117" t="b">
        <f>TrafficData[[#This Row],[disposedChallan]]+TrafficData[[#This Row],[pendingChallan]]=TrafficData[[#This Row],[totalChallan]]</f>
        <v>1</v>
      </c>
      <c r="L117" t="b">
        <f>TrafficData[[#This Row],[pendingAmount]]+TrafficData[[#This Row],[disposedAmount]]=TrafficData[[#This Row],[totalAmount]]</f>
        <v>1</v>
      </c>
      <c r="M117" t="b">
        <f>TrafficData[[#This Row],[pendingCourt]]+TrafficData[[#This Row],[disposedCourt]]=TrafficData[[#This Row],[totalCourt]]</f>
        <v>1</v>
      </c>
      <c r="N117" t="b">
        <f>AND(TrafficData[[#This Row],[disposedChallan]]&lt;=TrafficData[[#This Row],[totalChallan]],TrafficData[[#This Row],[pendingChallan]]&lt;=TrafficData[[#This Row],[totalChallan]])</f>
        <v>1</v>
      </c>
      <c r="O117" t="b">
        <f>AND(TrafficData[[#This Row],[pendingAmount]]&lt;=TrafficData[[#This Row],[totalAmount]],TrafficData[[#This Row],[disposedAmount]]&lt;=TrafficData[[#This Row],[totalAmount]])</f>
        <v>1</v>
      </c>
      <c r="P117" t="b">
        <f>AND(TrafficData[[#This Row],[pendingCourt]]&lt;=TrafficData[[#This Row],[totalCourt]],TrafficData[[#This Row],[disposedCourt]]&lt;=TrafficData[[#This Row],[totalCourt]])</f>
        <v>1</v>
      </c>
    </row>
    <row r="118" spans="1:16">
      <c r="A118" s="1">
        <v>42121</v>
      </c>
      <c r="B118">
        <v>85</v>
      </c>
      <c r="C118">
        <v>24</v>
      </c>
      <c r="D118">
        <v>61</v>
      </c>
      <c r="E118">
        <v>470250</v>
      </c>
      <c r="F118">
        <v>153250</v>
      </c>
      <c r="G118">
        <v>623500</v>
      </c>
      <c r="H118">
        <v>4</v>
      </c>
      <c r="I118">
        <v>1</v>
      </c>
      <c r="J118">
        <v>5</v>
      </c>
      <c r="K118" t="b">
        <f>TrafficData[[#This Row],[disposedChallan]]+TrafficData[[#This Row],[pendingChallan]]=TrafficData[[#This Row],[totalChallan]]</f>
        <v>1</v>
      </c>
      <c r="L118" t="b">
        <f>TrafficData[[#This Row],[pendingAmount]]+TrafficData[[#This Row],[disposedAmount]]=TrafficData[[#This Row],[totalAmount]]</f>
        <v>1</v>
      </c>
      <c r="M118" t="b">
        <f>TrafficData[[#This Row],[pendingCourt]]+TrafficData[[#This Row],[disposedCourt]]=TrafficData[[#This Row],[totalCourt]]</f>
        <v>1</v>
      </c>
      <c r="N118" t="b">
        <f>AND(TrafficData[[#This Row],[disposedChallan]]&lt;=TrafficData[[#This Row],[totalChallan]],TrafficData[[#This Row],[pendingChallan]]&lt;=TrafficData[[#This Row],[totalChallan]])</f>
        <v>1</v>
      </c>
      <c r="O118" t="b">
        <f>AND(TrafficData[[#This Row],[pendingAmount]]&lt;=TrafficData[[#This Row],[totalAmount]],TrafficData[[#This Row],[disposedAmount]]&lt;=TrafficData[[#This Row],[totalAmount]])</f>
        <v>1</v>
      </c>
      <c r="P118" t="b">
        <f>AND(TrafficData[[#This Row],[pendingCourt]]&lt;=TrafficData[[#This Row],[totalCourt]],TrafficData[[#This Row],[disposedCourt]]&lt;=TrafficData[[#This Row],[totalCourt]])</f>
        <v>1</v>
      </c>
    </row>
    <row r="119" spans="1:16">
      <c r="A119" s="1">
        <v>42122</v>
      </c>
      <c r="B119">
        <v>100</v>
      </c>
      <c r="C119">
        <v>18</v>
      </c>
      <c r="D119">
        <v>82</v>
      </c>
      <c r="E119">
        <v>611000</v>
      </c>
      <c r="F119">
        <v>43750</v>
      </c>
      <c r="G119">
        <v>654750</v>
      </c>
      <c r="H119">
        <v>4</v>
      </c>
      <c r="I119">
        <v>1</v>
      </c>
      <c r="J119">
        <v>5</v>
      </c>
      <c r="K119" t="b">
        <f>TrafficData[[#This Row],[disposedChallan]]+TrafficData[[#This Row],[pendingChallan]]=TrafficData[[#This Row],[totalChallan]]</f>
        <v>1</v>
      </c>
      <c r="L119" t="b">
        <f>TrafficData[[#This Row],[pendingAmount]]+TrafficData[[#This Row],[disposedAmount]]=TrafficData[[#This Row],[totalAmount]]</f>
        <v>1</v>
      </c>
      <c r="M119" t="b">
        <f>TrafficData[[#This Row],[pendingCourt]]+TrafficData[[#This Row],[disposedCourt]]=TrafficData[[#This Row],[totalCourt]]</f>
        <v>1</v>
      </c>
      <c r="N119" t="b">
        <f>AND(TrafficData[[#This Row],[disposedChallan]]&lt;=TrafficData[[#This Row],[totalChallan]],TrafficData[[#This Row],[pendingChallan]]&lt;=TrafficData[[#This Row],[totalChallan]])</f>
        <v>1</v>
      </c>
      <c r="O119" t="b">
        <f>AND(TrafficData[[#This Row],[pendingAmount]]&lt;=TrafficData[[#This Row],[totalAmount]],TrafficData[[#This Row],[disposedAmount]]&lt;=TrafficData[[#This Row],[totalAmount]])</f>
        <v>1</v>
      </c>
      <c r="P119" t="b">
        <f>AND(TrafficData[[#This Row],[pendingCourt]]&lt;=TrafficData[[#This Row],[totalCourt]],TrafficData[[#This Row],[disposedCourt]]&lt;=TrafficData[[#This Row],[totalCourt]])</f>
        <v>1</v>
      </c>
    </row>
    <row r="120" spans="1:16">
      <c r="A120" s="1">
        <v>42123</v>
      </c>
      <c r="B120">
        <v>64</v>
      </c>
      <c r="C120">
        <v>17</v>
      </c>
      <c r="D120">
        <v>47</v>
      </c>
      <c r="E120">
        <v>345200</v>
      </c>
      <c r="F120">
        <v>96075</v>
      </c>
      <c r="G120">
        <v>441275</v>
      </c>
      <c r="H120">
        <v>2</v>
      </c>
      <c r="I120">
        <v>0</v>
      </c>
      <c r="J120">
        <v>2</v>
      </c>
      <c r="K120" t="b">
        <f>TrafficData[[#This Row],[disposedChallan]]+TrafficData[[#This Row],[pendingChallan]]=TrafficData[[#This Row],[totalChallan]]</f>
        <v>1</v>
      </c>
      <c r="L120" t="b">
        <f>TrafficData[[#This Row],[pendingAmount]]+TrafficData[[#This Row],[disposedAmount]]=TrafficData[[#This Row],[totalAmount]]</f>
        <v>1</v>
      </c>
      <c r="M120" t="b">
        <f>TrafficData[[#This Row],[pendingCourt]]+TrafficData[[#This Row],[disposedCourt]]=TrafficData[[#This Row],[totalCourt]]</f>
        <v>1</v>
      </c>
      <c r="N120" t="b">
        <f>AND(TrafficData[[#This Row],[disposedChallan]]&lt;=TrafficData[[#This Row],[totalChallan]],TrafficData[[#This Row],[pendingChallan]]&lt;=TrafficData[[#This Row],[totalChallan]])</f>
        <v>1</v>
      </c>
      <c r="O120" t="b">
        <f>AND(TrafficData[[#This Row],[pendingAmount]]&lt;=TrafficData[[#This Row],[totalAmount]],TrafficData[[#This Row],[disposedAmount]]&lt;=TrafficData[[#This Row],[totalAmount]])</f>
        <v>1</v>
      </c>
      <c r="P120" t="b">
        <f>AND(TrafficData[[#This Row],[pendingCourt]]&lt;=TrafficData[[#This Row],[totalCourt]],TrafficData[[#This Row],[disposedCourt]]&lt;=TrafficData[[#This Row],[totalCourt]])</f>
        <v>1</v>
      </c>
    </row>
    <row r="121" spans="1:16">
      <c r="A121" s="1">
        <v>42124</v>
      </c>
      <c r="B121">
        <v>74</v>
      </c>
      <c r="C121">
        <v>23</v>
      </c>
      <c r="D121">
        <v>51</v>
      </c>
      <c r="E121">
        <v>441100</v>
      </c>
      <c r="F121">
        <v>119500</v>
      </c>
      <c r="G121">
        <v>560600</v>
      </c>
      <c r="H121">
        <v>0</v>
      </c>
      <c r="I121">
        <v>0</v>
      </c>
      <c r="J121">
        <v>0</v>
      </c>
      <c r="K121" t="b">
        <f>TrafficData[[#This Row],[disposedChallan]]+TrafficData[[#This Row],[pendingChallan]]=TrafficData[[#This Row],[totalChallan]]</f>
        <v>1</v>
      </c>
      <c r="L121" t="b">
        <f>TrafficData[[#This Row],[pendingAmount]]+TrafficData[[#This Row],[disposedAmount]]=TrafficData[[#This Row],[totalAmount]]</f>
        <v>1</v>
      </c>
      <c r="M121" t="b">
        <f>TrafficData[[#This Row],[pendingCourt]]+TrafficData[[#This Row],[disposedCourt]]=TrafficData[[#This Row],[totalCourt]]</f>
        <v>1</v>
      </c>
      <c r="N121" t="b">
        <f>AND(TrafficData[[#This Row],[disposedChallan]]&lt;=TrafficData[[#This Row],[totalChallan]],TrafficData[[#This Row],[pendingChallan]]&lt;=TrafficData[[#This Row],[totalChallan]])</f>
        <v>1</v>
      </c>
      <c r="O121" t="b">
        <f>AND(TrafficData[[#This Row],[pendingAmount]]&lt;=TrafficData[[#This Row],[totalAmount]],TrafficData[[#This Row],[disposedAmount]]&lt;=TrafficData[[#This Row],[totalAmount]])</f>
        <v>1</v>
      </c>
      <c r="P121" t="b">
        <f>AND(TrafficData[[#This Row],[pendingCourt]]&lt;=TrafficData[[#This Row],[totalCourt]],TrafficData[[#This Row],[disposedCourt]]&lt;=TrafficData[[#This Row],[totalCourt]])</f>
        <v>1</v>
      </c>
    </row>
    <row r="122" spans="1:16">
      <c r="A122" s="1">
        <v>42125</v>
      </c>
      <c r="B122">
        <v>63</v>
      </c>
      <c r="C122">
        <v>12</v>
      </c>
      <c r="D122">
        <v>51</v>
      </c>
      <c r="E122">
        <v>434440</v>
      </c>
      <c r="F122">
        <v>52550</v>
      </c>
      <c r="G122">
        <v>486990</v>
      </c>
      <c r="H122">
        <v>1</v>
      </c>
      <c r="I122">
        <v>1</v>
      </c>
      <c r="J122">
        <v>2</v>
      </c>
      <c r="K122" t="b">
        <f>TrafficData[[#This Row],[disposedChallan]]+TrafficData[[#This Row],[pendingChallan]]=TrafficData[[#This Row],[totalChallan]]</f>
        <v>1</v>
      </c>
      <c r="L122" t="b">
        <f>TrafficData[[#This Row],[pendingAmount]]+TrafficData[[#This Row],[disposedAmount]]=TrafficData[[#This Row],[totalAmount]]</f>
        <v>1</v>
      </c>
      <c r="M122" t="b">
        <f>TrafficData[[#This Row],[pendingCourt]]+TrafficData[[#This Row],[disposedCourt]]=TrafficData[[#This Row],[totalCourt]]</f>
        <v>1</v>
      </c>
      <c r="N122" t="b">
        <f>AND(TrafficData[[#This Row],[disposedChallan]]&lt;=TrafficData[[#This Row],[totalChallan]],TrafficData[[#This Row],[pendingChallan]]&lt;=TrafficData[[#This Row],[totalChallan]])</f>
        <v>1</v>
      </c>
      <c r="O122" t="b">
        <f>AND(TrafficData[[#This Row],[pendingAmount]]&lt;=TrafficData[[#This Row],[totalAmount]],TrafficData[[#This Row],[disposedAmount]]&lt;=TrafficData[[#This Row],[totalAmount]])</f>
        <v>1</v>
      </c>
      <c r="P122" t="b">
        <f>AND(TrafficData[[#This Row],[pendingCourt]]&lt;=TrafficData[[#This Row],[totalCourt]],TrafficData[[#This Row],[disposedCourt]]&lt;=TrafficData[[#This Row],[totalCourt]])</f>
        <v>1</v>
      </c>
    </row>
    <row r="123" spans="1:16">
      <c r="A123" s="1">
        <v>42126</v>
      </c>
      <c r="B123">
        <v>62</v>
      </c>
      <c r="C123">
        <v>15</v>
      </c>
      <c r="D123">
        <v>47</v>
      </c>
      <c r="E123">
        <v>391000</v>
      </c>
      <c r="F123">
        <v>85350</v>
      </c>
      <c r="G123">
        <v>476350</v>
      </c>
      <c r="H123">
        <v>1</v>
      </c>
      <c r="I123">
        <v>0</v>
      </c>
      <c r="J123">
        <v>1</v>
      </c>
      <c r="K123" t="b">
        <f>TrafficData[[#This Row],[disposedChallan]]+TrafficData[[#This Row],[pendingChallan]]=TrafficData[[#This Row],[totalChallan]]</f>
        <v>1</v>
      </c>
      <c r="L123" t="b">
        <f>TrafficData[[#This Row],[pendingAmount]]+TrafficData[[#This Row],[disposedAmount]]=TrafficData[[#This Row],[totalAmount]]</f>
        <v>1</v>
      </c>
      <c r="M123" t="b">
        <f>TrafficData[[#This Row],[pendingCourt]]+TrafficData[[#This Row],[disposedCourt]]=TrafficData[[#This Row],[totalCourt]]</f>
        <v>1</v>
      </c>
      <c r="N123" t="b">
        <f>AND(TrafficData[[#This Row],[disposedChallan]]&lt;=TrafficData[[#This Row],[totalChallan]],TrafficData[[#This Row],[pendingChallan]]&lt;=TrafficData[[#This Row],[totalChallan]])</f>
        <v>1</v>
      </c>
      <c r="O123" t="b">
        <f>AND(TrafficData[[#This Row],[pendingAmount]]&lt;=TrafficData[[#This Row],[totalAmount]],TrafficData[[#This Row],[disposedAmount]]&lt;=TrafficData[[#This Row],[totalAmount]])</f>
        <v>1</v>
      </c>
      <c r="P123" t="b">
        <f>AND(TrafficData[[#This Row],[pendingCourt]]&lt;=TrafficData[[#This Row],[totalCourt]],TrafficData[[#This Row],[disposedCourt]]&lt;=TrafficData[[#This Row],[totalCourt]])</f>
        <v>1</v>
      </c>
    </row>
    <row r="124" spans="1:16">
      <c r="A124" s="1">
        <v>42127</v>
      </c>
      <c r="B124">
        <v>46</v>
      </c>
      <c r="C124">
        <v>22</v>
      </c>
      <c r="D124">
        <v>24</v>
      </c>
      <c r="E124">
        <v>129000</v>
      </c>
      <c r="F124">
        <v>103350</v>
      </c>
      <c r="G124">
        <v>232350</v>
      </c>
      <c r="H124">
        <v>0</v>
      </c>
      <c r="I124">
        <v>0</v>
      </c>
      <c r="J124">
        <v>0</v>
      </c>
      <c r="K124" t="b">
        <f>TrafficData[[#This Row],[disposedChallan]]+TrafficData[[#This Row],[pendingChallan]]=TrafficData[[#This Row],[totalChallan]]</f>
        <v>1</v>
      </c>
      <c r="L124" t="b">
        <f>TrafficData[[#This Row],[pendingAmount]]+TrafficData[[#This Row],[disposedAmount]]=TrafficData[[#This Row],[totalAmount]]</f>
        <v>1</v>
      </c>
      <c r="M124" t="b">
        <f>TrafficData[[#This Row],[pendingCourt]]+TrafficData[[#This Row],[disposedCourt]]=TrafficData[[#This Row],[totalCourt]]</f>
        <v>1</v>
      </c>
      <c r="N124" t="b">
        <f>AND(TrafficData[[#This Row],[disposedChallan]]&lt;=TrafficData[[#This Row],[totalChallan]],TrafficData[[#This Row],[pendingChallan]]&lt;=TrafficData[[#This Row],[totalChallan]])</f>
        <v>1</v>
      </c>
      <c r="O124" t="b">
        <f>AND(TrafficData[[#This Row],[pendingAmount]]&lt;=TrafficData[[#This Row],[totalAmount]],TrafficData[[#This Row],[disposedAmount]]&lt;=TrafficData[[#This Row],[totalAmount]])</f>
        <v>1</v>
      </c>
      <c r="P124" t="b">
        <f>AND(TrafficData[[#This Row],[pendingCourt]]&lt;=TrafficData[[#This Row],[totalCourt]],TrafficData[[#This Row],[disposedCourt]]&lt;=TrafficData[[#This Row],[totalCourt]])</f>
        <v>1</v>
      </c>
    </row>
    <row r="125" spans="1:16">
      <c r="A125" s="1">
        <v>42128</v>
      </c>
      <c r="B125">
        <v>52</v>
      </c>
      <c r="C125">
        <v>11</v>
      </c>
      <c r="D125">
        <v>41</v>
      </c>
      <c r="E125">
        <v>319900</v>
      </c>
      <c r="F125">
        <v>40438</v>
      </c>
      <c r="G125">
        <v>360338</v>
      </c>
      <c r="H125">
        <v>0</v>
      </c>
      <c r="I125">
        <v>0</v>
      </c>
      <c r="J125">
        <v>0</v>
      </c>
      <c r="K125" t="b">
        <f>TrafficData[[#This Row],[disposedChallan]]+TrafficData[[#This Row],[pendingChallan]]=TrafficData[[#This Row],[totalChallan]]</f>
        <v>1</v>
      </c>
      <c r="L125" t="b">
        <f>TrafficData[[#This Row],[pendingAmount]]+TrafficData[[#This Row],[disposedAmount]]=TrafficData[[#This Row],[totalAmount]]</f>
        <v>1</v>
      </c>
      <c r="M125" t="b">
        <f>TrafficData[[#This Row],[pendingCourt]]+TrafficData[[#This Row],[disposedCourt]]=TrafficData[[#This Row],[totalCourt]]</f>
        <v>1</v>
      </c>
      <c r="N125" t="b">
        <f>AND(TrafficData[[#This Row],[disposedChallan]]&lt;=TrafficData[[#This Row],[totalChallan]],TrafficData[[#This Row],[pendingChallan]]&lt;=TrafficData[[#This Row],[totalChallan]])</f>
        <v>1</v>
      </c>
      <c r="O125" t="b">
        <f>AND(TrafficData[[#This Row],[pendingAmount]]&lt;=TrafficData[[#This Row],[totalAmount]],TrafficData[[#This Row],[disposedAmount]]&lt;=TrafficData[[#This Row],[totalAmount]])</f>
        <v>1</v>
      </c>
      <c r="P125" t="b">
        <f>AND(TrafficData[[#This Row],[pendingCourt]]&lt;=TrafficData[[#This Row],[totalCourt]],TrafficData[[#This Row],[disposedCourt]]&lt;=TrafficData[[#This Row],[totalCourt]])</f>
        <v>1</v>
      </c>
    </row>
    <row r="126" spans="1:16">
      <c r="A126" s="1">
        <v>42129</v>
      </c>
      <c r="B126">
        <v>92</v>
      </c>
      <c r="C126">
        <v>29</v>
      </c>
      <c r="D126">
        <v>63</v>
      </c>
      <c r="E126">
        <v>427098</v>
      </c>
      <c r="F126">
        <v>234800</v>
      </c>
      <c r="G126">
        <v>661898</v>
      </c>
      <c r="H126">
        <v>1</v>
      </c>
      <c r="I126">
        <v>0</v>
      </c>
      <c r="J126">
        <v>1</v>
      </c>
      <c r="K126" t="b">
        <f>TrafficData[[#This Row],[disposedChallan]]+TrafficData[[#This Row],[pendingChallan]]=TrafficData[[#This Row],[totalChallan]]</f>
        <v>1</v>
      </c>
      <c r="L126" t="b">
        <f>TrafficData[[#This Row],[pendingAmount]]+TrafficData[[#This Row],[disposedAmount]]=TrafficData[[#This Row],[totalAmount]]</f>
        <v>1</v>
      </c>
      <c r="M126" t="b">
        <f>TrafficData[[#This Row],[pendingCourt]]+TrafficData[[#This Row],[disposedCourt]]=TrafficData[[#This Row],[totalCourt]]</f>
        <v>1</v>
      </c>
      <c r="N126" t="b">
        <f>AND(TrafficData[[#This Row],[disposedChallan]]&lt;=TrafficData[[#This Row],[totalChallan]],TrafficData[[#This Row],[pendingChallan]]&lt;=TrafficData[[#This Row],[totalChallan]])</f>
        <v>1</v>
      </c>
      <c r="O126" t="b">
        <f>AND(TrafficData[[#This Row],[pendingAmount]]&lt;=TrafficData[[#This Row],[totalAmount]],TrafficData[[#This Row],[disposedAmount]]&lt;=TrafficData[[#This Row],[totalAmount]])</f>
        <v>1</v>
      </c>
      <c r="P126" t="b">
        <f>AND(TrafficData[[#This Row],[pendingCourt]]&lt;=TrafficData[[#This Row],[totalCourt]],TrafficData[[#This Row],[disposedCourt]]&lt;=TrafficData[[#This Row],[totalCourt]])</f>
        <v>1</v>
      </c>
    </row>
    <row r="127" spans="1:16">
      <c r="A127" s="1">
        <v>42130</v>
      </c>
      <c r="B127">
        <v>99</v>
      </c>
      <c r="C127">
        <v>31</v>
      </c>
      <c r="D127">
        <v>68</v>
      </c>
      <c r="E127">
        <v>674475</v>
      </c>
      <c r="F127">
        <v>176600</v>
      </c>
      <c r="G127">
        <v>851075</v>
      </c>
      <c r="H127">
        <v>0</v>
      </c>
      <c r="I127">
        <v>1</v>
      </c>
      <c r="J127">
        <v>1</v>
      </c>
      <c r="K127" t="b">
        <f>TrafficData[[#This Row],[disposedChallan]]+TrafficData[[#This Row],[pendingChallan]]=TrafficData[[#This Row],[totalChallan]]</f>
        <v>1</v>
      </c>
      <c r="L127" t="b">
        <f>TrafficData[[#This Row],[pendingAmount]]+TrafficData[[#This Row],[disposedAmount]]=TrafficData[[#This Row],[totalAmount]]</f>
        <v>1</v>
      </c>
      <c r="M127" t="b">
        <f>TrafficData[[#This Row],[pendingCourt]]+TrafficData[[#This Row],[disposedCourt]]=TrafficData[[#This Row],[totalCourt]]</f>
        <v>1</v>
      </c>
      <c r="N127" t="b">
        <f>AND(TrafficData[[#This Row],[disposedChallan]]&lt;=TrafficData[[#This Row],[totalChallan]],TrafficData[[#This Row],[pendingChallan]]&lt;=TrafficData[[#This Row],[totalChallan]])</f>
        <v>1</v>
      </c>
      <c r="O127" t="b">
        <f>AND(TrafficData[[#This Row],[pendingAmount]]&lt;=TrafficData[[#This Row],[totalAmount]],TrafficData[[#This Row],[disposedAmount]]&lt;=TrafficData[[#This Row],[totalAmount]])</f>
        <v>1</v>
      </c>
      <c r="P127" t="b">
        <f>AND(TrafficData[[#This Row],[pendingCourt]]&lt;=TrafficData[[#This Row],[totalCourt]],TrafficData[[#This Row],[disposedCourt]]&lt;=TrafficData[[#This Row],[totalCourt]])</f>
        <v>1</v>
      </c>
    </row>
    <row r="128" spans="1:16">
      <c r="A128" s="1">
        <v>42131</v>
      </c>
      <c r="B128">
        <v>93</v>
      </c>
      <c r="C128">
        <v>42</v>
      </c>
      <c r="D128">
        <v>51</v>
      </c>
      <c r="E128">
        <v>509100</v>
      </c>
      <c r="F128">
        <v>231773</v>
      </c>
      <c r="G128">
        <v>740873</v>
      </c>
      <c r="H128">
        <v>1</v>
      </c>
      <c r="I128">
        <v>1</v>
      </c>
      <c r="J128">
        <v>2</v>
      </c>
      <c r="K128" t="b">
        <f>TrafficData[[#This Row],[disposedChallan]]+TrafficData[[#This Row],[pendingChallan]]=TrafficData[[#This Row],[totalChallan]]</f>
        <v>1</v>
      </c>
      <c r="L128" t="b">
        <f>TrafficData[[#This Row],[pendingAmount]]+TrafficData[[#This Row],[disposedAmount]]=TrafficData[[#This Row],[totalAmount]]</f>
        <v>1</v>
      </c>
      <c r="M128" t="b">
        <f>TrafficData[[#This Row],[pendingCourt]]+TrafficData[[#This Row],[disposedCourt]]=TrafficData[[#This Row],[totalCourt]]</f>
        <v>1</v>
      </c>
      <c r="N128" t="b">
        <f>AND(TrafficData[[#This Row],[disposedChallan]]&lt;=TrafficData[[#This Row],[totalChallan]],TrafficData[[#This Row],[pendingChallan]]&lt;=TrafficData[[#This Row],[totalChallan]])</f>
        <v>1</v>
      </c>
      <c r="O128" t="b">
        <f>AND(TrafficData[[#This Row],[pendingAmount]]&lt;=TrafficData[[#This Row],[totalAmount]],TrafficData[[#This Row],[disposedAmount]]&lt;=TrafficData[[#This Row],[totalAmount]])</f>
        <v>1</v>
      </c>
      <c r="P128" t="b">
        <f>AND(TrafficData[[#This Row],[pendingCourt]]&lt;=TrafficData[[#This Row],[totalCourt]],TrafficData[[#This Row],[disposedCourt]]&lt;=TrafficData[[#This Row],[totalCourt]])</f>
        <v>1</v>
      </c>
    </row>
    <row r="129" spans="1:16">
      <c r="A129" s="1">
        <v>42132</v>
      </c>
      <c r="B129">
        <v>73</v>
      </c>
      <c r="C129">
        <v>20</v>
      </c>
      <c r="D129">
        <v>53</v>
      </c>
      <c r="E129">
        <v>510500</v>
      </c>
      <c r="F129">
        <v>111500</v>
      </c>
      <c r="G129">
        <v>622000</v>
      </c>
      <c r="H129">
        <v>3</v>
      </c>
      <c r="I129">
        <v>0</v>
      </c>
      <c r="J129">
        <v>3</v>
      </c>
      <c r="K129" t="b">
        <f>TrafficData[[#This Row],[disposedChallan]]+TrafficData[[#This Row],[pendingChallan]]=TrafficData[[#This Row],[totalChallan]]</f>
        <v>1</v>
      </c>
      <c r="L129" t="b">
        <f>TrafficData[[#This Row],[pendingAmount]]+TrafficData[[#This Row],[disposedAmount]]=TrafficData[[#This Row],[totalAmount]]</f>
        <v>1</v>
      </c>
      <c r="M129" t="b">
        <f>TrafficData[[#This Row],[pendingCourt]]+TrafficData[[#This Row],[disposedCourt]]=TrafficData[[#This Row],[totalCourt]]</f>
        <v>1</v>
      </c>
      <c r="N129" t="b">
        <f>AND(TrafficData[[#This Row],[disposedChallan]]&lt;=TrafficData[[#This Row],[totalChallan]],TrafficData[[#This Row],[pendingChallan]]&lt;=TrafficData[[#This Row],[totalChallan]])</f>
        <v>1</v>
      </c>
      <c r="O129" t="b">
        <f>AND(TrafficData[[#This Row],[pendingAmount]]&lt;=TrafficData[[#This Row],[totalAmount]],TrafficData[[#This Row],[disposedAmount]]&lt;=TrafficData[[#This Row],[totalAmount]])</f>
        <v>1</v>
      </c>
      <c r="P129" t="b">
        <f>AND(TrafficData[[#This Row],[pendingCourt]]&lt;=TrafficData[[#This Row],[totalCourt]],TrafficData[[#This Row],[disposedCourt]]&lt;=TrafficData[[#This Row],[totalCourt]])</f>
        <v>1</v>
      </c>
    </row>
    <row r="130" spans="1:16">
      <c r="A130" s="1">
        <v>42133</v>
      </c>
      <c r="B130">
        <v>100</v>
      </c>
      <c r="C130">
        <v>28</v>
      </c>
      <c r="D130">
        <v>72</v>
      </c>
      <c r="E130">
        <v>612550</v>
      </c>
      <c r="F130">
        <v>159550</v>
      </c>
      <c r="G130">
        <v>772100</v>
      </c>
      <c r="H130">
        <v>1</v>
      </c>
      <c r="I130">
        <v>2</v>
      </c>
      <c r="J130">
        <v>3</v>
      </c>
      <c r="K130" t="b">
        <f>TrafficData[[#This Row],[disposedChallan]]+TrafficData[[#This Row],[pendingChallan]]=TrafficData[[#This Row],[totalChallan]]</f>
        <v>1</v>
      </c>
      <c r="L130" t="b">
        <f>TrafficData[[#This Row],[pendingAmount]]+TrafficData[[#This Row],[disposedAmount]]=TrafficData[[#This Row],[totalAmount]]</f>
        <v>1</v>
      </c>
      <c r="M130" t="b">
        <f>TrafficData[[#This Row],[pendingCourt]]+TrafficData[[#This Row],[disposedCourt]]=TrafficData[[#This Row],[totalCourt]]</f>
        <v>1</v>
      </c>
      <c r="N130" t="b">
        <f>AND(TrafficData[[#This Row],[disposedChallan]]&lt;=TrafficData[[#This Row],[totalChallan]],TrafficData[[#This Row],[pendingChallan]]&lt;=TrafficData[[#This Row],[totalChallan]])</f>
        <v>1</v>
      </c>
      <c r="O130" t="b">
        <f>AND(TrafficData[[#This Row],[pendingAmount]]&lt;=TrafficData[[#This Row],[totalAmount]],TrafficData[[#This Row],[disposedAmount]]&lt;=TrafficData[[#This Row],[totalAmount]])</f>
        <v>1</v>
      </c>
      <c r="P130" t="b">
        <f>AND(TrafficData[[#This Row],[pendingCourt]]&lt;=TrafficData[[#This Row],[totalCourt]],TrafficData[[#This Row],[disposedCourt]]&lt;=TrafficData[[#This Row],[totalCourt]])</f>
        <v>1</v>
      </c>
    </row>
    <row r="131" spans="1:16">
      <c r="A131" s="1">
        <v>42134</v>
      </c>
      <c r="B131">
        <v>91</v>
      </c>
      <c r="C131">
        <v>33</v>
      </c>
      <c r="D131">
        <v>58</v>
      </c>
      <c r="E131">
        <v>366347</v>
      </c>
      <c r="F131">
        <v>109500</v>
      </c>
      <c r="G131">
        <v>475847</v>
      </c>
      <c r="H131">
        <v>3</v>
      </c>
      <c r="I131">
        <v>1</v>
      </c>
      <c r="J131">
        <v>4</v>
      </c>
      <c r="K131" t="b">
        <f>TrafficData[[#This Row],[disposedChallan]]+TrafficData[[#This Row],[pendingChallan]]=TrafficData[[#This Row],[totalChallan]]</f>
        <v>1</v>
      </c>
      <c r="L131" t="b">
        <f>TrafficData[[#This Row],[pendingAmount]]+TrafficData[[#This Row],[disposedAmount]]=TrafficData[[#This Row],[totalAmount]]</f>
        <v>1</v>
      </c>
      <c r="M131" t="b">
        <f>TrafficData[[#This Row],[pendingCourt]]+TrafficData[[#This Row],[disposedCourt]]=TrafficData[[#This Row],[totalCourt]]</f>
        <v>1</v>
      </c>
      <c r="N131" t="b">
        <f>AND(TrafficData[[#This Row],[disposedChallan]]&lt;=TrafficData[[#This Row],[totalChallan]],TrafficData[[#This Row],[pendingChallan]]&lt;=TrafficData[[#This Row],[totalChallan]])</f>
        <v>1</v>
      </c>
      <c r="O131" t="b">
        <f>AND(TrafficData[[#This Row],[pendingAmount]]&lt;=TrafficData[[#This Row],[totalAmount]],TrafficData[[#This Row],[disposedAmount]]&lt;=TrafficData[[#This Row],[totalAmount]])</f>
        <v>1</v>
      </c>
      <c r="P131" t="b">
        <f>AND(TrafficData[[#This Row],[pendingCourt]]&lt;=TrafficData[[#This Row],[totalCourt]],TrafficData[[#This Row],[disposedCourt]]&lt;=TrafficData[[#This Row],[totalCourt]])</f>
        <v>1</v>
      </c>
    </row>
    <row r="132" spans="1:16">
      <c r="A132" s="1">
        <v>42135</v>
      </c>
      <c r="B132">
        <v>96</v>
      </c>
      <c r="C132">
        <v>30</v>
      </c>
      <c r="D132">
        <v>66</v>
      </c>
      <c r="E132">
        <v>349148</v>
      </c>
      <c r="F132">
        <v>94633</v>
      </c>
      <c r="G132">
        <v>443781</v>
      </c>
      <c r="H132">
        <v>3</v>
      </c>
      <c r="I132">
        <v>1</v>
      </c>
      <c r="J132">
        <v>4</v>
      </c>
      <c r="K132" t="b">
        <f>TrafficData[[#This Row],[disposedChallan]]+TrafficData[[#This Row],[pendingChallan]]=TrafficData[[#This Row],[totalChallan]]</f>
        <v>1</v>
      </c>
      <c r="L132" t="b">
        <f>TrafficData[[#This Row],[pendingAmount]]+TrafficData[[#This Row],[disposedAmount]]=TrafficData[[#This Row],[totalAmount]]</f>
        <v>1</v>
      </c>
      <c r="M132" t="b">
        <f>TrafficData[[#This Row],[pendingCourt]]+TrafficData[[#This Row],[disposedCourt]]=TrafficData[[#This Row],[totalCourt]]</f>
        <v>1</v>
      </c>
      <c r="N132" t="b">
        <f>AND(TrafficData[[#This Row],[disposedChallan]]&lt;=TrafficData[[#This Row],[totalChallan]],TrafficData[[#This Row],[pendingChallan]]&lt;=TrafficData[[#This Row],[totalChallan]])</f>
        <v>1</v>
      </c>
      <c r="O132" t="b">
        <f>AND(TrafficData[[#This Row],[pendingAmount]]&lt;=TrafficData[[#This Row],[totalAmount]],TrafficData[[#This Row],[disposedAmount]]&lt;=TrafficData[[#This Row],[totalAmount]])</f>
        <v>1</v>
      </c>
      <c r="P132" t="b">
        <f>AND(TrafficData[[#This Row],[pendingCourt]]&lt;=TrafficData[[#This Row],[totalCourt]],TrafficData[[#This Row],[disposedCourt]]&lt;=TrafficData[[#This Row],[totalCourt]])</f>
        <v>1</v>
      </c>
    </row>
    <row r="133" spans="1:16">
      <c r="A133" s="1">
        <v>42136</v>
      </c>
      <c r="B133">
        <v>110</v>
      </c>
      <c r="C133">
        <v>22</v>
      </c>
      <c r="D133">
        <v>88</v>
      </c>
      <c r="E133">
        <v>533947</v>
      </c>
      <c r="F133">
        <v>132760</v>
      </c>
      <c r="G133">
        <v>666707</v>
      </c>
      <c r="H133">
        <v>2</v>
      </c>
      <c r="I133">
        <v>1</v>
      </c>
      <c r="J133">
        <v>3</v>
      </c>
      <c r="K133" t="b">
        <f>TrafficData[[#This Row],[disposedChallan]]+TrafficData[[#This Row],[pendingChallan]]=TrafficData[[#This Row],[totalChallan]]</f>
        <v>1</v>
      </c>
      <c r="L133" t="b">
        <f>TrafficData[[#This Row],[pendingAmount]]+TrafficData[[#This Row],[disposedAmount]]=TrafficData[[#This Row],[totalAmount]]</f>
        <v>1</v>
      </c>
      <c r="M133" t="b">
        <f>TrafficData[[#This Row],[pendingCourt]]+TrafficData[[#This Row],[disposedCourt]]=TrafficData[[#This Row],[totalCourt]]</f>
        <v>1</v>
      </c>
      <c r="N133" t="b">
        <f>AND(TrafficData[[#This Row],[disposedChallan]]&lt;=TrafficData[[#This Row],[totalChallan]],TrafficData[[#This Row],[pendingChallan]]&lt;=TrafficData[[#This Row],[totalChallan]])</f>
        <v>1</v>
      </c>
      <c r="O133" t="b">
        <f>AND(TrafficData[[#This Row],[pendingAmount]]&lt;=TrafficData[[#This Row],[totalAmount]],TrafficData[[#This Row],[disposedAmount]]&lt;=TrafficData[[#This Row],[totalAmount]])</f>
        <v>1</v>
      </c>
      <c r="P133" t="b">
        <f>AND(TrafficData[[#This Row],[pendingCourt]]&lt;=TrafficData[[#This Row],[totalCourt]],TrafficData[[#This Row],[disposedCourt]]&lt;=TrafficData[[#This Row],[totalCourt]])</f>
        <v>1</v>
      </c>
    </row>
    <row r="134" spans="1:16">
      <c r="A134" s="1">
        <v>42137</v>
      </c>
      <c r="B134">
        <v>110</v>
      </c>
      <c r="C134">
        <v>34</v>
      </c>
      <c r="D134">
        <v>76</v>
      </c>
      <c r="E134">
        <v>566200</v>
      </c>
      <c r="F134">
        <v>120450</v>
      </c>
      <c r="G134">
        <v>686650</v>
      </c>
      <c r="H134">
        <v>3</v>
      </c>
      <c r="I134">
        <v>0</v>
      </c>
      <c r="J134">
        <v>3</v>
      </c>
      <c r="K134" t="b">
        <f>TrafficData[[#This Row],[disposedChallan]]+TrafficData[[#This Row],[pendingChallan]]=TrafficData[[#This Row],[totalChallan]]</f>
        <v>1</v>
      </c>
      <c r="L134" t="b">
        <f>TrafficData[[#This Row],[pendingAmount]]+TrafficData[[#This Row],[disposedAmount]]=TrafficData[[#This Row],[totalAmount]]</f>
        <v>1</v>
      </c>
      <c r="M134" t="b">
        <f>TrafficData[[#This Row],[pendingCourt]]+TrafficData[[#This Row],[disposedCourt]]=TrafficData[[#This Row],[totalCourt]]</f>
        <v>1</v>
      </c>
      <c r="N134" t="b">
        <f>AND(TrafficData[[#This Row],[disposedChallan]]&lt;=TrafficData[[#This Row],[totalChallan]],TrafficData[[#This Row],[pendingChallan]]&lt;=TrafficData[[#This Row],[totalChallan]])</f>
        <v>1</v>
      </c>
      <c r="O134" t="b">
        <f>AND(TrafficData[[#This Row],[pendingAmount]]&lt;=TrafficData[[#This Row],[totalAmount]],TrafficData[[#This Row],[disposedAmount]]&lt;=TrafficData[[#This Row],[totalAmount]])</f>
        <v>1</v>
      </c>
      <c r="P134" t="b">
        <f>AND(TrafficData[[#This Row],[pendingCourt]]&lt;=TrafficData[[#This Row],[totalCourt]],TrafficData[[#This Row],[disposedCourt]]&lt;=TrafficData[[#This Row],[totalCourt]])</f>
        <v>1</v>
      </c>
    </row>
    <row r="135" spans="1:16">
      <c r="A135" s="1">
        <v>42138</v>
      </c>
      <c r="B135">
        <v>114</v>
      </c>
      <c r="C135">
        <v>34</v>
      </c>
      <c r="D135">
        <v>80</v>
      </c>
      <c r="E135">
        <v>442646</v>
      </c>
      <c r="F135">
        <v>156450</v>
      </c>
      <c r="G135">
        <v>599096</v>
      </c>
      <c r="H135">
        <v>2</v>
      </c>
      <c r="I135">
        <v>0</v>
      </c>
      <c r="J135">
        <v>2</v>
      </c>
      <c r="K135" t="b">
        <f>TrafficData[[#This Row],[disposedChallan]]+TrafficData[[#This Row],[pendingChallan]]=TrafficData[[#This Row],[totalChallan]]</f>
        <v>1</v>
      </c>
      <c r="L135" t="b">
        <f>TrafficData[[#This Row],[pendingAmount]]+TrafficData[[#This Row],[disposedAmount]]=TrafficData[[#This Row],[totalAmount]]</f>
        <v>1</v>
      </c>
      <c r="M135" t="b">
        <f>TrafficData[[#This Row],[pendingCourt]]+TrafficData[[#This Row],[disposedCourt]]=TrafficData[[#This Row],[totalCourt]]</f>
        <v>1</v>
      </c>
      <c r="N135" t="b">
        <f>AND(TrafficData[[#This Row],[disposedChallan]]&lt;=TrafficData[[#This Row],[totalChallan]],TrafficData[[#This Row],[pendingChallan]]&lt;=TrafficData[[#This Row],[totalChallan]])</f>
        <v>1</v>
      </c>
      <c r="O135" t="b">
        <f>AND(TrafficData[[#This Row],[pendingAmount]]&lt;=TrafficData[[#This Row],[totalAmount]],TrafficData[[#This Row],[disposedAmount]]&lt;=TrafficData[[#This Row],[totalAmount]])</f>
        <v>1</v>
      </c>
      <c r="P135" t="b">
        <f>AND(TrafficData[[#This Row],[pendingCourt]]&lt;=TrafficData[[#This Row],[totalCourt]],TrafficData[[#This Row],[disposedCourt]]&lt;=TrafficData[[#This Row],[totalCourt]])</f>
        <v>1</v>
      </c>
    </row>
    <row r="136" spans="1:16">
      <c r="A136" s="1">
        <v>42139</v>
      </c>
      <c r="B136">
        <v>117</v>
      </c>
      <c r="C136">
        <v>31</v>
      </c>
      <c r="D136">
        <v>86</v>
      </c>
      <c r="E136">
        <v>721438</v>
      </c>
      <c r="F136">
        <v>323950</v>
      </c>
      <c r="G136">
        <v>1045388</v>
      </c>
      <c r="H136">
        <v>3</v>
      </c>
      <c r="I136">
        <v>1</v>
      </c>
      <c r="J136">
        <v>4</v>
      </c>
      <c r="K136" t="b">
        <f>TrafficData[[#This Row],[disposedChallan]]+TrafficData[[#This Row],[pendingChallan]]=TrafficData[[#This Row],[totalChallan]]</f>
        <v>1</v>
      </c>
      <c r="L136" t="b">
        <f>TrafficData[[#This Row],[pendingAmount]]+TrafficData[[#This Row],[disposedAmount]]=TrafficData[[#This Row],[totalAmount]]</f>
        <v>1</v>
      </c>
      <c r="M136" t="b">
        <f>TrafficData[[#This Row],[pendingCourt]]+TrafficData[[#This Row],[disposedCourt]]=TrafficData[[#This Row],[totalCourt]]</f>
        <v>1</v>
      </c>
      <c r="N136" t="b">
        <f>AND(TrafficData[[#This Row],[disposedChallan]]&lt;=TrafficData[[#This Row],[totalChallan]],TrafficData[[#This Row],[pendingChallan]]&lt;=TrafficData[[#This Row],[totalChallan]])</f>
        <v>1</v>
      </c>
      <c r="O136" t="b">
        <f>AND(TrafficData[[#This Row],[pendingAmount]]&lt;=TrafficData[[#This Row],[totalAmount]],TrafficData[[#This Row],[disposedAmount]]&lt;=TrafficData[[#This Row],[totalAmount]])</f>
        <v>1</v>
      </c>
      <c r="P136" t="b">
        <f>AND(TrafficData[[#This Row],[pendingCourt]]&lt;=TrafficData[[#This Row],[totalCourt]],TrafficData[[#This Row],[disposedCourt]]&lt;=TrafficData[[#This Row],[totalCourt]])</f>
        <v>1</v>
      </c>
    </row>
    <row r="137" spans="1:16">
      <c r="A137" s="1">
        <v>42140</v>
      </c>
      <c r="B137">
        <v>157</v>
      </c>
      <c r="C137">
        <v>44</v>
      </c>
      <c r="D137">
        <v>113</v>
      </c>
      <c r="E137">
        <v>690450</v>
      </c>
      <c r="F137">
        <v>202550</v>
      </c>
      <c r="G137">
        <v>893000</v>
      </c>
      <c r="H137">
        <v>2</v>
      </c>
      <c r="I137">
        <v>2</v>
      </c>
      <c r="J137">
        <v>4</v>
      </c>
      <c r="K137" t="b">
        <f>TrafficData[[#This Row],[disposedChallan]]+TrafficData[[#This Row],[pendingChallan]]=TrafficData[[#This Row],[totalChallan]]</f>
        <v>1</v>
      </c>
      <c r="L137" t="b">
        <f>TrafficData[[#This Row],[pendingAmount]]+TrafficData[[#This Row],[disposedAmount]]=TrafficData[[#This Row],[totalAmount]]</f>
        <v>1</v>
      </c>
      <c r="M137" t="b">
        <f>TrafficData[[#This Row],[pendingCourt]]+TrafficData[[#This Row],[disposedCourt]]=TrafficData[[#This Row],[totalCourt]]</f>
        <v>1</v>
      </c>
      <c r="N137" t="b">
        <f>AND(TrafficData[[#This Row],[disposedChallan]]&lt;=TrafficData[[#This Row],[totalChallan]],TrafficData[[#This Row],[pendingChallan]]&lt;=TrafficData[[#This Row],[totalChallan]])</f>
        <v>1</v>
      </c>
      <c r="O137" t="b">
        <f>AND(TrafficData[[#This Row],[pendingAmount]]&lt;=TrafficData[[#This Row],[totalAmount]],TrafficData[[#This Row],[disposedAmount]]&lt;=TrafficData[[#This Row],[totalAmount]])</f>
        <v>1</v>
      </c>
      <c r="P137" t="b">
        <f>AND(TrafficData[[#This Row],[pendingCourt]]&lt;=TrafficData[[#This Row],[totalCourt]],TrafficData[[#This Row],[disposedCourt]]&lt;=TrafficData[[#This Row],[totalCourt]])</f>
        <v>1</v>
      </c>
    </row>
    <row r="138" spans="1:16">
      <c r="A138" s="1">
        <v>42141</v>
      </c>
      <c r="B138">
        <v>104</v>
      </c>
      <c r="C138">
        <v>21</v>
      </c>
      <c r="D138">
        <v>83</v>
      </c>
      <c r="E138">
        <v>600400</v>
      </c>
      <c r="F138">
        <v>74250</v>
      </c>
      <c r="G138">
        <v>674650</v>
      </c>
      <c r="H138">
        <v>3</v>
      </c>
      <c r="I138">
        <v>0</v>
      </c>
      <c r="J138">
        <v>3</v>
      </c>
      <c r="K138" t="b">
        <f>TrafficData[[#This Row],[disposedChallan]]+TrafficData[[#This Row],[pendingChallan]]=TrafficData[[#This Row],[totalChallan]]</f>
        <v>1</v>
      </c>
      <c r="L138" t="b">
        <f>TrafficData[[#This Row],[pendingAmount]]+TrafficData[[#This Row],[disposedAmount]]=TrafficData[[#This Row],[totalAmount]]</f>
        <v>1</v>
      </c>
      <c r="M138" t="b">
        <f>TrafficData[[#This Row],[pendingCourt]]+TrafficData[[#This Row],[disposedCourt]]=TrafficData[[#This Row],[totalCourt]]</f>
        <v>1</v>
      </c>
      <c r="N138" t="b">
        <f>AND(TrafficData[[#This Row],[disposedChallan]]&lt;=TrafficData[[#This Row],[totalChallan]],TrafficData[[#This Row],[pendingChallan]]&lt;=TrafficData[[#This Row],[totalChallan]])</f>
        <v>1</v>
      </c>
      <c r="O138" t="b">
        <f>AND(TrafficData[[#This Row],[pendingAmount]]&lt;=TrafficData[[#This Row],[totalAmount]],TrafficData[[#This Row],[disposedAmount]]&lt;=TrafficData[[#This Row],[totalAmount]])</f>
        <v>1</v>
      </c>
      <c r="P138" t="b">
        <f>AND(TrafficData[[#This Row],[pendingCourt]]&lt;=TrafficData[[#This Row],[totalCourt]],TrafficData[[#This Row],[disposedCourt]]&lt;=TrafficData[[#This Row],[totalCourt]])</f>
        <v>1</v>
      </c>
    </row>
    <row r="139" spans="1:16">
      <c r="A139" s="1">
        <v>42142</v>
      </c>
      <c r="B139">
        <v>135</v>
      </c>
      <c r="C139">
        <v>28</v>
      </c>
      <c r="D139">
        <v>107</v>
      </c>
      <c r="E139">
        <v>812548</v>
      </c>
      <c r="F139">
        <v>96850</v>
      </c>
      <c r="G139">
        <v>909398</v>
      </c>
      <c r="H139">
        <v>3</v>
      </c>
      <c r="I139">
        <v>1</v>
      </c>
      <c r="J139">
        <v>4</v>
      </c>
      <c r="K139" t="b">
        <f>TrafficData[[#This Row],[disposedChallan]]+TrafficData[[#This Row],[pendingChallan]]=TrafficData[[#This Row],[totalChallan]]</f>
        <v>1</v>
      </c>
      <c r="L139" t="b">
        <f>TrafficData[[#This Row],[pendingAmount]]+TrafficData[[#This Row],[disposedAmount]]=TrafficData[[#This Row],[totalAmount]]</f>
        <v>1</v>
      </c>
      <c r="M139" t="b">
        <f>TrafficData[[#This Row],[pendingCourt]]+TrafficData[[#This Row],[disposedCourt]]=TrafficData[[#This Row],[totalCourt]]</f>
        <v>1</v>
      </c>
      <c r="N139" t="b">
        <f>AND(TrafficData[[#This Row],[disposedChallan]]&lt;=TrafficData[[#This Row],[totalChallan]],TrafficData[[#This Row],[pendingChallan]]&lt;=TrafficData[[#This Row],[totalChallan]])</f>
        <v>1</v>
      </c>
      <c r="O139" t="b">
        <f>AND(TrafficData[[#This Row],[pendingAmount]]&lt;=TrafficData[[#This Row],[totalAmount]],TrafficData[[#This Row],[disposedAmount]]&lt;=TrafficData[[#This Row],[totalAmount]])</f>
        <v>1</v>
      </c>
      <c r="P139" t="b">
        <f>AND(TrafficData[[#This Row],[pendingCourt]]&lt;=TrafficData[[#This Row],[totalCourt]],TrafficData[[#This Row],[disposedCourt]]&lt;=TrafficData[[#This Row],[totalCourt]])</f>
        <v>1</v>
      </c>
    </row>
    <row r="140" spans="1:16">
      <c r="A140" s="1">
        <v>42143</v>
      </c>
      <c r="B140">
        <v>116</v>
      </c>
      <c r="C140">
        <v>27</v>
      </c>
      <c r="D140">
        <v>89</v>
      </c>
      <c r="E140">
        <v>715000</v>
      </c>
      <c r="F140">
        <v>92700</v>
      </c>
      <c r="G140">
        <v>807700</v>
      </c>
      <c r="H140">
        <v>3</v>
      </c>
      <c r="I140">
        <v>0</v>
      </c>
      <c r="J140">
        <v>3</v>
      </c>
      <c r="K140" t="b">
        <f>TrafficData[[#This Row],[disposedChallan]]+TrafficData[[#This Row],[pendingChallan]]=TrafficData[[#This Row],[totalChallan]]</f>
        <v>1</v>
      </c>
      <c r="L140" t="b">
        <f>TrafficData[[#This Row],[pendingAmount]]+TrafficData[[#This Row],[disposedAmount]]=TrafficData[[#This Row],[totalAmount]]</f>
        <v>1</v>
      </c>
      <c r="M140" t="b">
        <f>TrafficData[[#This Row],[pendingCourt]]+TrafficData[[#This Row],[disposedCourt]]=TrafficData[[#This Row],[totalCourt]]</f>
        <v>1</v>
      </c>
      <c r="N140" t="b">
        <f>AND(TrafficData[[#This Row],[disposedChallan]]&lt;=TrafficData[[#This Row],[totalChallan]],TrafficData[[#This Row],[pendingChallan]]&lt;=TrafficData[[#This Row],[totalChallan]])</f>
        <v>1</v>
      </c>
      <c r="O140" t="b">
        <f>AND(TrafficData[[#This Row],[pendingAmount]]&lt;=TrafficData[[#This Row],[totalAmount]],TrafficData[[#This Row],[disposedAmount]]&lt;=TrafficData[[#This Row],[totalAmount]])</f>
        <v>1</v>
      </c>
      <c r="P140" t="b">
        <f>AND(TrafficData[[#This Row],[pendingCourt]]&lt;=TrafficData[[#This Row],[totalCourt]],TrafficData[[#This Row],[disposedCourt]]&lt;=TrafficData[[#This Row],[totalCourt]])</f>
        <v>1</v>
      </c>
    </row>
    <row r="141" spans="1:16">
      <c r="A141" s="1">
        <v>42144</v>
      </c>
      <c r="B141">
        <v>118</v>
      </c>
      <c r="C141">
        <v>34</v>
      </c>
      <c r="D141">
        <v>84</v>
      </c>
      <c r="E141">
        <v>557400</v>
      </c>
      <c r="F141">
        <v>223050</v>
      </c>
      <c r="G141">
        <v>780450</v>
      </c>
      <c r="H141">
        <v>2</v>
      </c>
      <c r="I141">
        <v>2</v>
      </c>
      <c r="J141">
        <v>4</v>
      </c>
      <c r="K141" t="b">
        <f>TrafficData[[#This Row],[disposedChallan]]+TrafficData[[#This Row],[pendingChallan]]=TrafficData[[#This Row],[totalChallan]]</f>
        <v>1</v>
      </c>
      <c r="L141" t="b">
        <f>TrafficData[[#This Row],[pendingAmount]]+TrafficData[[#This Row],[disposedAmount]]=TrafficData[[#This Row],[totalAmount]]</f>
        <v>1</v>
      </c>
      <c r="M141" t="b">
        <f>TrafficData[[#This Row],[pendingCourt]]+TrafficData[[#This Row],[disposedCourt]]=TrafficData[[#This Row],[totalCourt]]</f>
        <v>1</v>
      </c>
      <c r="N141" t="b">
        <f>AND(TrafficData[[#This Row],[disposedChallan]]&lt;=TrafficData[[#This Row],[totalChallan]],TrafficData[[#This Row],[pendingChallan]]&lt;=TrafficData[[#This Row],[totalChallan]])</f>
        <v>1</v>
      </c>
      <c r="O141" t="b">
        <f>AND(TrafficData[[#This Row],[pendingAmount]]&lt;=TrafficData[[#This Row],[totalAmount]],TrafficData[[#This Row],[disposedAmount]]&lt;=TrafficData[[#This Row],[totalAmount]])</f>
        <v>1</v>
      </c>
      <c r="P141" t="b">
        <f>AND(TrafficData[[#This Row],[pendingCourt]]&lt;=TrafficData[[#This Row],[totalCourt]],TrafficData[[#This Row],[disposedCourt]]&lt;=TrafficData[[#This Row],[totalCourt]])</f>
        <v>1</v>
      </c>
    </row>
    <row r="142" spans="1:16">
      <c r="A142" s="1">
        <v>42145</v>
      </c>
      <c r="B142">
        <v>104</v>
      </c>
      <c r="C142">
        <v>20</v>
      </c>
      <c r="D142">
        <v>84</v>
      </c>
      <c r="E142">
        <v>954750</v>
      </c>
      <c r="F142">
        <v>87400</v>
      </c>
      <c r="G142">
        <v>1042150</v>
      </c>
      <c r="H142">
        <v>2</v>
      </c>
      <c r="I142">
        <v>1</v>
      </c>
      <c r="J142">
        <v>3</v>
      </c>
      <c r="K142" t="b">
        <f>TrafficData[[#This Row],[disposedChallan]]+TrafficData[[#This Row],[pendingChallan]]=TrafficData[[#This Row],[totalChallan]]</f>
        <v>1</v>
      </c>
      <c r="L142" t="b">
        <f>TrafficData[[#This Row],[pendingAmount]]+TrafficData[[#This Row],[disposedAmount]]=TrafficData[[#This Row],[totalAmount]]</f>
        <v>1</v>
      </c>
      <c r="M142" t="b">
        <f>TrafficData[[#This Row],[pendingCourt]]+TrafficData[[#This Row],[disposedCourt]]=TrafficData[[#This Row],[totalCourt]]</f>
        <v>1</v>
      </c>
      <c r="N142" t="b">
        <f>AND(TrafficData[[#This Row],[disposedChallan]]&lt;=TrafficData[[#This Row],[totalChallan]],TrafficData[[#This Row],[pendingChallan]]&lt;=TrafficData[[#This Row],[totalChallan]])</f>
        <v>1</v>
      </c>
      <c r="O142" t="b">
        <f>AND(TrafficData[[#This Row],[pendingAmount]]&lt;=TrafficData[[#This Row],[totalAmount]],TrafficData[[#This Row],[disposedAmount]]&lt;=TrafficData[[#This Row],[totalAmount]])</f>
        <v>1</v>
      </c>
      <c r="P142" t="b">
        <f>AND(TrafficData[[#This Row],[pendingCourt]]&lt;=TrafficData[[#This Row],[totalCourt]],TrafficData[[#This Row],[disposedCourt]]&lt;=TrafficData[[#This Row],[totalCourt]])</f>
        <v>1</v>
      </c>
    </row>
    <row r="143" spans="1:16">
      <c r="A143" s="1">
        <v>42146</v>
      </c>
      <c r="B143">
        <v>62</v>
      </c>
      <c r="C143">
        <v>20</v>
      </c>
      <c r="D143">
        <v>42</v>
      </c>
      <c r="E143">
        <v>358950</v>
      </c>
      <c r="F143">
        <v>125899</v>
      </c>
      <c r="G143">
        <v>484849</v>
      </c>
      <c r="H143">
        <v>2</v>
      </c>
      <c r="I143">
        <v>0</v>
      </c>
      <c r="J143">
        <v>2</v>
      </c>
      <c r="K143" t="b">
        <f>TrafficData[[#This Row],[disposedChallan]]+TrafficData[[#This Row],[pendingChallan]]=TrafficData[[#This Row],[totalChallan]]</f>
        <v>1</v>
      </c>
      <c r="L143" t="b">
        <f>TrafficData[[#This Row],[pendingAmount]]+TrafficData[[#This Row],[disposedAmount]]=TrafficData[[#This Row],[totalAmount]]</f>
        <v>1</v>
      </c>
      <c r="M143" t="b">
        <f>TrafficData[[#This Row],[pendingCourt]]+TrafficData[[#This Row],[disposedCourt]]=TrafficData[[#This Row],[totalCourt]]</f>
        <v>1</v>
      </c>
      <c r="N143" t="b">
        <f>AND(TrafficData[[#This Row],[disposedChallan]]&lt;=TrafficData[[#This Row],[totalChallan]],TrafficData[[#This Row],[pendingChallan]]&lt;=TrafficData[[#This Row],[totalChallan]])</f>
        <v>1</v>
      </c>
      <c r="O143" t="b">
        <f>AND(TrafficData[[#This Row],[pendingAmount]]&lt;=TrafficData[[#This Row],[totalAmount]],TrafficData[[#This Row],[disposedAmount]]&lt;=TrafficData[[#This Row],[totalAmount]])</f>
        <v>1</v>
      </c>
      <c r="P143" t="b">
        <f>AND(TrafficData[[#This Row],[pendingCourt]]&lt;=TrafficData[[#This Row],[totalCourt]],TrafficData[[#This Row],[disposedCourt]]&lt;=TrafficData[[#This Row],[totalCourt]])</f>
        <v>1</v>
      </c>
    </row>
    <row r="144" spans="1:16">
      <c r="A144" s="1">
        <v>42147</v>
      </c>
      <c r="B144">
        <v>81</v>
      </c>
      <c r="C144">
        <v>22</v>
      </c>
      <c r="D144">
        <v>59</v>
      </c>
      <c r="E144">
        <v>385500</v>
      </c>
      <c r="F144">
        <v>61025</v>
      </c>
      <c r="G144">
        <v>446525</v>
      </c>
      <c r="H144">
        <v>0</v>
      </c>
      <c r="I144">
        <v>1</v>
      </c>
      <c r="J144">
        <v>1</v>
      </c>
      <c r="K144" t="b">
        <f>TrafficData[[#This Row],[disposedChallan]]+TrafficData[[#This Row],[pendingChallan]]=TrafficData[[#This Row],[totalChallan]]</f>
        <v>1</v>
      </c>
      <c r="L144" t="b">
        <f>TrafficData[[#This Row],[pendingAmount]]+TrafficData[[#This Row],[disposedAmount]]=TrafficData[[#This Row],[totalAmount]]</f>
        <v>1</v>
      </c>
      <c r="M144" t="b">
        <f>TrafficData[[#This Row],[pendingCourt]]+TrafficData[[#This Row],[disposedCourt]]=TrafficData[[#This Row],[totalCourt]]</f>
        <v>1</v>
      </c>
      <c r="N144" t="b">
        <f>AND(TrafficData[[#This Row],[disposedChallan]]&lt;=TrafficData[[#This Row],[totalChallan]],TrafficData[[#This Row],[pendingChallan]]&lt;=TrafficData[[#This Row],[totalChallan]])</f>
        <v>1</v>
      </c>
      <c r="O144" t="b">
        <f>AND(TrafficData[[#This Row],[pendingAmount]]&lt;=TrafficData[[#This Row],[totalAmount]],TrafficData[[#This Row],[disposedAmount]]&lt;=TrafficData[[#This Row],[totalAmount]])</f>
        <v>1</v>
      </c>
      <c r="P144" t="b">
        <f>AND(TrafficData[[#This Row],[pendingCourt]]&lt;=TrafficData[[#This Row],[totalCourt]],TrafficData[[#This Row],[disposedCourt]]&lt;=TrafficData[[#This Row],[totalCourt]])</f>
        <v>1</v>
      </c>
    </row>
    <row r="145" spans="1:16">
      <c r="A145" s="1">
        <v>42148</v>
      </c>
      <c r="B145">
        <v>63</v>
      </c>
      <c r="C145">
        <v>16</v>
      </c>
      <c r="D145">
        <v>47</v>
      </c>
      <c r="E145">
        <v>308450</v>
      </c>
      <c r="F145">
        <v>59350</v>
      </c>
      <c r="G145">
        <v>367800</v>
      </c>
      <c r="H145">
        <v>0</v>
      </c>
      <c r="I145">
        <v>0</v>
      </c>
      <c r="J145">
        <v>0</v>
      </c>
      <c r="K145" t="b">
        <f>TrafficData[[#This Row],[disposedChallan]]+TrafficData[[#This Row],[pendingChallan]]=TrafficData[[#This Row],[totalChallan]]</f>
        <v>1</v>
      </c>
      <c r="L145" t="b">
        <f>TrafficData[[#This Row],[pendingAmount]]+TrafficData[[#This Row],[disposedAmount]]=TrafficData[[#This Row],[totalAmount]]</f>
        <v>1</v>
      </c>
      <c r="M145" t="b">
        <f>TrafficData[[#This Row],[pendingCourt]]+TrafficData[[#This Row],[disposedCourt]]=TrafficData[[#This Row],[totalCourt]]</f>
        <v>1</v>
      </c>
      <c r="N145" t="b">
        <f>AND(TrafficData[[#This Row],[disposedChallan]]&lt;=TrafficData[[#This Row],[totalChallan]],TrafficData[[#This Row],[pendingChallan]]&lt;=TrafficData[[#This Row],[totalChallan]])</f>
        <v>1</v>
      </c>
      <c r="O145" t="b">
        <f>AND(TrafficData[[#This Row],[pendingAmount]]&lt;=TrafficData[[#This Row],[totalAmount]],TrafficData[[#This Row],[disposedAmount]]&lt;=TrafficData[[#This Row],[totalAmount]])</f>
        <v>1</v>
      </c>
      <c r="P145" t="b">
        <f>AND(TrafficData[[#This Row],[pendingCourt]]&lt;=TrafficData[[#This Row],[totalCourt]],TrafficData[[#This Row],[disposedCourt]]&lt;=TrafficData[[#This Row],[totalCourt]])</f>
        <v>1</v>
      </c>
    </row>
    <row r="146" spans="1:16">
      <c r="A146" s="1">
        <v>42149</v>
      </c>
      <c r="B146">
        <v>108</v>
      </c>
      <c r="C146">
        <v>35</v>
      </c>
      <c r="D146">
        <v>73</v>
      </c>
      <c r="E146">
        <v>481650</v>
      </c>
      <c r="F146">
        <v>156800</v>
      </c>
      <c r="G146">
        <v>638450</v>
      </c>
      <c r="H146">
        <v>4</v>
      </c>
      <c r="I146">
        <v>0</v>
      </c>
      <c r="J146">
        <v>4</v>
      </c>
      <c r="K146" t="b">
        <f>TrafficData[[#This Row],[disposedChallan]]+TrafficData[[#This Row],[pendingChallan]]=TrafficData[[#This Row],[totalChallan]]</f>
        <v>1</v>
      </c>
      <c r="L146" t="b">
        <f>TrafficData[[#This Row],[pendingAmount]]+TrafficData[[#This Row],[disposedAmount]]=TrafficData[[#This Row],[totalAmount]]</f>
        <v>1</v>
      </c>
      <c r="M146" t="b">
        <f>TrafficData[[#This Row],[pendingCourt]]+TrafficData[[#This Row],[disposedCourt]]=TrafficData[[#This Row],[totalCourt]]</f>
        <v>1</v>
      </c>
      <c r="N146" t="b">
        <f>AND(TrafficData[[#This Row],[disposedChallan]]&lt;=TrafficData[[#This Row],[totalChallan]],TrafficData[[#This Row],[pendingChallan]]&lt;=TrafficData[[#This Row],[totalChallan]])</f>
        <v>1</v>
      </c>
      <c r="O146" t="b">
        <f>AND(TrafficData[[#This Row],[pendingAmount]]&lt;=TrafficData[[#This Row],[totalAmount]],TrafficData[[#This Row],[disposedAmount]]&lt;=TrafficData[[#This Row],[totalAmount]])</f>
        <v>1</v>
      </c>
      <c r="P146" t="b">
        <f>AND(TrafficData[[#This Row],[pendingCourt]]&lt;=TrafficData[[#This Row],[totalCourt]],TrafficData[[#This Row],[disposedCourt]]&lt;=TrafficData[[#This Row],[totalCourt]])</f>
        <v>1</v>
      </c>
    </row>
    <row r="147" spans="1:16">
      <c r="A147" s="1">
        <v>42150</v>
      </c>
      <c r="B147">
        <v>77</v>
      </c>
      <c r="C147">
        <v>19</v>
      </c>
      <c r="D147">
        <v>58</v>
      </c>
      <c r="E147">
        <v>439950</v>
      </c>
      <c r="F147">
        <v>103430</v>
      </c>
      <c r="G147">
        <v>543380</v>
      </c>
      <c r="H147">
        <v>0</v>
      </c>
      <c r="I147">
        <v>0</v>
      </c>
      <c r="J147">
        <v>0</v>
      </c>
      <c r="K147" t="b">
        <f>TrafficData[[#This Row],[disposedChallan]]+TrafficData[[#This Row],[pendingChallan]]=TrafficData[[#This Row],[totalChallan]]</f>
        <v>1</v>
      </c>
      <c r="L147" t="b">
        <f>TrafficData[[#This Row],[pendingAmount]]+TrafficData[[#This Row],[disposedAmount]]=TrafficData[[#This Row],[totalAmount]]</f>
        <v>1</v>
      </c>
      <c r="M147" t="b">
        <f>TrafficData[[#This Row],[pendingCourt]]+TrafficData[[#This Row],[disposedCourt]]=TrafficData[[#This Row],[totalCourt]]</f>
        <v>1</v>
      </c>
      <c r="N147" t="b">
        <f>AND(TrafficData[[#This Row],[disposedChallan]]&lt;=TrafficData[[#This Row],[totalChallan]],TrafficData[[#This Row],[pendingChallan]]&lt;=TrafficData[[#This Row],[totalChallan]])</f>
        <v>1</v>
      </c>
      <c r="O147" t="b">
        <f>AND(TrafficData[[#This Row],[pendingAmount]]&lt;=TrafficData[[#This Row],[totalAmount]],TrafficData[[#This Row],[disposedAmount]]&lt;=TrafficData[[#This Row],[totalAmount]])</f>
        <v>1</v>
      </c>
      <c r="P147" t="b">
        <f>AND(TrafficData[[#This Row],[pendingCourt]]&lt;=TrafficData[[#This Row],[totalCourt]],TrafficData[[#This Row],[disposedCourt]]&lt;=TrafficData[[#This Row],[totalCourt]])</f>
        <v>1</v>
      </c>
    </row>
    <row r="148" spans="1:16">
      <c r="A148" s="1">
        <v>42151</v>
      </c>
      <c r="B148">
        <v>111</v>
      </c>
      <c r="C148">
        <v>33</v>
      </c>
      <c r="D148">
        <v>78</v>
      </c>
      <c r="E148">
        <v>715150</v>
      </c>
      <c r="F148">
        <v>209300</v>
      </c>
      <c r="G148">
        <v>924450</v>
      </c>
      <c r="H148">
        <v>2</v>
      </c>
      <c r="I148">
        <v>0</v>
      </c>
      <c r="J148">
        <v>2</v>
      </c>
      <c r="K148" t="b">
        <f>TrafficData[[#This Row],[disposedChallan]]+TrafficData[[#This Row],[pendingChallan]]=TrafficData[[#This Row],[totalChallan]]</f>
        <v>1</v>
      </c>
      <c r="L148" t="b">
        <f>TrafficData[[#This Row],[pendingAmount]]+TrafficData[[#This Row],[disposedAmount]]=TrafficData[[#This Row],[totalAmount]]</f>
        <v>1</v>
      </c>
      <c r="M148" t="b">
        <f>TrafficData[[#This Row],[pendingCourt]]+TrafficData[[#This Row],[disposedCourt]]=TrafficData[[#This Row],[totalCourt]]</f>
        <v>1</v>
      </c>
      <c r="N148" t="b">
        <f>AND(TrafficData[[#This Row],[disposedChallan]]&lt;=TrafficData[[#This Row],[totalChallan]],TrafficData[[#This Row],[pendingChallan]]&lt;=TrafficData[[#This Row],[totalChallan]])</f>
        <v>1</v>
      </c>
      <c r="O148" t="b">
        <f>AND(TrafficData[[#This Row],[pendingAmount]]&lt;=TrafficData[[#This Row],[totalAmount]],TrafficData[[#This Row],[disposedAmount]]&lt;=TrafficData[[#This Row],[totalAmount]])</f>
        <v>1</v>
      </c>
      <c r="P148" t="b">
        <f>AND(TrafficData[[#This Row],[pendingCourt]]&lt;=TrafficData[[#This Row],[totalCourt]],TrafficData[[#This Row],[disposedCourt]]&lt;=TrafficData[[#This Row],[totalCourt]])</f>
        <v>1</v>
      </c>
    </row>
    <row r="149" spans="1:16">
      <c r="A149" s="1">
        <v>42152</v>
      </c>
      <c r="B149">
        <v>94</v>
      </c>
      <c r="C149">
        <v>22</v>
      </c>
      <c r="D149">
        <v>72</v>
      </c>
      <c r="E149">
        <v>480300</v>
      </c>
      <c r="F149">
        <v>131800</v>
      </c>
      <c r="G149">
        <v>612100</v>
      </c>
      <c r="H149">
        <v>5</v>
      </c>
      <c r="I149">
        <v>1</v>
      </c>
      <c r="J149">
        <v>6</v>
      </c>
      <c r="K149" t="b">
        <f>TrafficData[[#This Row],[disposedChallan]]+TrafficData[[#This Row],[pendingChallan]]=TrafficData[[#This Row],[totalChallan]]</f>
        <v>1</v>
      </c>
      <c r="L149" t="b">
        <f>TrafficData[[#This Row],[pendingAmount]]+TrafficData[[#This Row],[disposedAmount]]=TrafficData[[#This Row],[totalAmount]]</f>
        <v>1</v>
      </c>
      <c r="M149" t="b">
        <f>TrafficData[[#This Row],[pendingCourt]]+TrafficData[[#This Row],[disposedCourt]]=TrafficData[[#This Row],[totalCourt]]</f>
        <v>1</v>
      </c>
      <c r="N149" t="b">
        <f>AND(TrafficData[[#This Row],[disposedChallan]]&lt;=TrafficData[[#This Row],[totalChallan]],TrafficData[[#This Row],[pendingChallan]]&lt;=TrafficData[[#This Row],[totalChallan]])</f>
        <v>1</v>
      </c>
      <c r="O149" t="b">
        <f>AND(TrafficData[[#This Row],[pendingAmount]]&lt;=TrafficData[[#This Row],[totalAmount]],TrafficData[[#This Row],[disposedAmount]]&lt;=TrafficData[[#This Row],[totalAmount]])</f>
        <v>1</v>
      </c>
      <c r="P149" t="b">
        <f>AND(TrafficData[[#This Row],[pendingCourt]]&lt;=TrafficData[[#This Row],[totalCourt]],TrafficData[[#This Row],[disposedCourt]]&lt;=TrafficData[[#This Row],[totalCourt]])</f>
        <v>1</v>
      </c>
    </row>
    <row r="150" spans="1:16">
      <c r="A150" s="1">
        <v>42153</v>
      </c>
      <c r="B150">
        <v>97</v>
      </c>
      <c r="C150">
        <v>19</v>
      </c>
      <c r="D150">
        <v>78</v>
      </c>
      <c r="E150">
        <v>518250</v>
      </c>
      <c r="F150">
        <v>92100</v>
      </c>
      <c r="G150">
        <v>610350</v>
      </c>
      <c r="H150">
        <v>6</v>
      </c>
      <c r="I150">
        <v>0</v>
      </c>
      <c r="J150">
        <v>6</v>
      </c>
      <c r="K150" t="b">
        <f>TrafficData[[#This Row],[disposedChallan]]+TrafficData[[#This Row],[pendingChallan]]=TrafficData[[#This Row],[totalChallan]]</f>
        <v>1</v>
      </c>
      <c r="L150" t="b">
        <f>TrafficData[[#This Row],[pendingAmount]]+TrafficData[[#This Row],[disposedAmount]]=TrafficData[[#This Row],[totalAmount]]</f>
        <v>1</v>
      </c>
      <c r="M150" t="b">
        <f>TrafficData[[#This Row],[pendingCourt]]+TrafficData[[#This Row],[disposedCourt]]=TrafficData[[#This Row],[totalCourt]]</f>
        <v>1</v>
      </c>
      <c r="N150" t="b">
        <f>AND(TrafficData[[#This Row],[disposedChallan]]&lt;=TrafficData[[#This Row],[totalChallan]],TrafficData[[#This Row],[pendingChallan]]&lt;=TrafficData[[#This Row],[totalChallan]])</f>
        <v>1</v>
      </c>
      <c r="O150" t="b">
        <f>AND(TrafficData[[#This Row],[pendingAmount]]&lt;=TrafficData[[#This Row],[totalAmount]],TrafficData[[#This Row],[disposedAmount]]&lt;=TrafficData[[#This Row],[totalAmount]])</f>
        <v>1</v>
      </c>
      <c r="P150" t="b">
        <f>AND(TrafficData[[#This Row],[pendingCourt]]&lt;=TrafficData[[#This Row],[totalCourt]],TrafficData[[#This Row],[disposedCourt]]&lt;=TrafficData[[#This Row],[totalCourt]])</f>
        <v>1</v>
      </c>
    </row>
    <row r="151" spans="1:16">
      <c r="A151" s="1">
        <v>42154</v>
      </c>
      <c r="B151">
        <v>105</v>
      </c>
      <c r="C151">
        <v>44</v>
      </c>
      <c r="D151">
        <v>61</v>
      </c>
      <c r="E151">
        <v>302800</v>
      </c>
      <c r="F151">
        <v>242100</v>
      </c>
      <c r="G151">
        <v>544900</v>
      </c>
      <c r="H151">
        <v>2</v>
      </c>
      <c r="I151">
        <v>1</v>
      </c>
      <c r="J151">
        <v>3</v>
      </c>
      <c r="K151" t="b">
        <f>TrafficData[[#This Row],[disposedChallan]]+TrafficData[[#This Row],[pendingChallan]]=TrafficData[[#This Row],[totalChallan]]</f>
        <v>1</v>
      </c>
      <c r="L151" t="b">
        <f>TrafficData[[#This Row],[pendingAmount]]+TrafficData[[#This Row],[disposedAmount]]=TrafficData[[#This Row],[totalAmount]]</f>
        <v>1</v>
      </c>
      <c r="M151" t="b">
        <f>TrafficData[[#This Row],[pendingCourt]]+TrafficData[[#This Row],[disposedCourt]]=TrafficData[[#This Row],[totalCourt]]</f>
        <v>1</v>
      </c>
      <c r="N151" t="b">
        <f>AND(TrafficData[[#This Row],[disposedChallan]]&lt;=TrafficData[[#This Row],[totalChallan]],TrafficData[[#This Row],[pendingChallan]]&lt;=TrafficData[[#This Row],[totalChallan]])</f>
        <v>1</v>
      </c>
      <c r="O151" t="b">
        <f>AND(TrafficData[[#This Row],[pendingAmount]]&lt;=TrafficData[[#This Row],[totalAmount]],TrafficData[[#This Row],[disposedAmount]]&lt;=TrafficData[[#This Row],[totalAmount]])</f>
        <v>1</v>
      </c>
      <c r="P151" t="b">
        <f>AND(TrafficData[[#This Row],[pendingCourt]]&lt;=TrafficData[[#This Row],[totalCourt]],TrafficData[[#This Row],[disposedCourt]]&lt;=TrafficData[[#This Row],[totalCourt]])</f>
        <v>1</v>
      </c>
    </row>
    <row r="152" spans="1:16">
      <c r="A152" s="1">
        <v>42155</v>
      </c>
      <c r="B152">
        <v>58</v>
      </c>
      <c r="C152">
        <v>19</v>
      </c>
      <c r="D152">
        <v>39</v>
      </c>
      <c r="E152">
        <v>277901</v>
      </c>
      <c r="F152">
        <v>113200</v>
      </c>
      <c r="G152">
        <v>391101</v>
      </c>
      <c r="H152">
        <v>0</v>
      </c>
      <c r="I152">
        <v>1</v>
      </c>
      <c r="J152">
        <v>1</v>
      </c>
      <c r="K152" t="b">
        <f>TrafficData[[#This Row],[disposedChallan]]+TrafficData[[#This Row],[pendingChallan]]=TrafficData[[#This Row],[totalChallan]]</f>
        <v>1</v>
      </c>
      <c r="L152" t="b">
        <f>TrafficData[[#This Row],[pendingAmount]]+TrafficData[[#This Row],[disposedAmount]]=TrafficData[[#This Row],[totalAmount]]</f>
        <v>1</v>
      </c>
      <c r="M152" t="b">
        <f>TrafficData[[#This Row],[pendingCourt]]+TrafficData[[#This Row],[disposedCourt]]=TrafficData[[#This Row],[totalCourt]]</f>
        <v>1</v>
      </c>
      <c r="N152" t="b">
        <f>AND(TrafficData[[#This Row],[disposedChallan]]&lt;=TrafficData[[#This Row],[totalChallan]],TrafficData[[#This Row],[pendingChallan]]&lt;=TrafficData[[#This Row],[totalChallan]])</f>
        <v>1</v>
      </c>
      <c r="O152" t="b">
        <f>AND(TrafficData[[#This Row],[pendingAmount]]&lt;=TrafficData[[#This Row],[totalAmount]],TrafficData[[#This Row],[disposedAmount]]&lt;=TrafficData[[#This Row],[totalAmount]])</f>
        <v>1</v>
      </c>
      <c r="P152" t="b">
        <f>AND(TrafficData[[#This Row],[pendingCourt]]&lt;=TrafficData[[#This Row],[totalCourt]],TrafficData[[#This Row],[disposedCourt]]&lt;=TrafficData[[#This Row],[totalCourt]])</f>
        <v>1</v>
      </c>
    </row>
    <row r="153" spans="1:16">
      <c r="A153" s="1">
        <v>42156</v>
      </c>
      <c r="B153">
        <v>107</v>
      </c>
      <c r="C153">
        <v>36</v>
      </c>
      <c r="D153">
        <v>71</v>
      </c>
      <c r="E153">
        <v>632450</v>
      </c>
      <c r="F153">
        <v>244000</v>
      </c>
      <c r="G153">
        <v>876450</v>
      </c>
      <c r="H153">
        <v>3</v>
      </c>
      <c r="I153">
        <v>1</v>
      </c>
      <c r="J153">
        <v>4</v>
      </c>
      <c r="K153" t="b">
        <f>TrafficData[[#This Row],[disposedChallan]]+TrafficData[[#This Row],[pendingChallan]]=TrafficData[[#This Row],[totalChallan]]</f>
        <v>1</v>
      </c>
      <c r="L153" t="b">
        <f>TrafficData[[#This Row],[pendingAmount]]+TrafficData[[#This Row],[disposedAmount]]=TrafficData[[#This Row],[totalAmount]]</f>
        <v>1</v>
      </c>
      <c r="M153" t="b">
        <f>TrafficData[[#This Row],[pendingCourt]]+TrafficData[[#This Row],[disposedCourt]]=TrafficData[[#This Row],[totalCourt]]</f>
        <v>1</v>
      </c>
      <c r="N153" t="b">
        <f>AND(TrafficData[[#This Row],[disposedChallan]]&lt;=TrafficData[[#This Row],[totalChallan]],TrafficData[[#This Row],[pendingChallan]]&lt;=TrafficData[[#This Row],[totalChallan]])</f>
        <v>1</v>
      </c>
      <c r="O153" t="b">
        <f>AND(TrafficData[[#This Row],[pendingAmount]]&lt;=TrafficData[[#This Row],[totalAmount]],TrafficData[[#This Row],[disposedAmount]]&lt;=TrafficData[[#This Row],[totalAmount]])</f>
        <v>1</v>
      </c>
      <c r="P153" t="b">
        <f>AND(TrafficData[[#This Row],[pendingCourt]]&lt;=TrafficData[[#This Row],[totalCourt]],TrafficData[[#This Row],[disposedCourt]]&lt;=TrafficData[[#This Row],[totalCourt]])</f>
        <v>1</v>
      </c>
    </row>
    <row r="154" spans="1:16">
      <c r="A154" s="1">
        <v>42157</v>
      </c>
      <c r="B154">
        <v>98</v>
      </c>
      <c r="C154">
        <v>31</v>
      </c>
      <c r="D154">
        <v>67</v>
      </c>
      <c r="E154">
        <v>561550</v>
      </c>
      <c r="F154">
        <v>160405</v>
      </c>
      <c r="G154">
        <v>721955</v>
      </c>
      <c r="H154">
        <v>6</v>
      </c>
      <c r="I154">
        <v>0</v>
      </c>
      <c r="J154">
        <v>6</v>
      </c>
      <c r="K154" t="b">
        <f>TrafficData[[#This Row],[disposedChallan]]+TrafficData[[#This Row],[pendingChallan]]=TrafficData[[#This Row],[totalChallan]]</f>
        <v>1</v>
      </c>
      <c r="L154" t="b">
        <f>TrafficData[[#This Row],[pendingAmount]]+TrafficData[[#This Row],[disposedAmount]]=TrafficData[[#This Row],[totalAmount]]</f>
        <v>1</v>
      </c>
      <c r="M154" t="b">
        <f>TrafficData[[#This Row],[pendingCourt]]+TrafficData[[#This Row],[disposedCourt]]=TrafficData[[#This Row],[totalCourt]]</f>
        <v>1</v>
      </c>
      <c r="N154" t="b">
        <f>AND(TrafficData[[#This Row],[disposedChallan]]&lt;=TrafficData[[#This Row],[totalChallan]],TrafficData[[#This Row],[pendingChallan]]&lt;=TrafficData[[#This Row],[totalChallan]])</f>
        <v>1</v>
      </c>
      <c r="O154" t="b">
        <f>AND(TrafficData[[#This Row],[pendingAmount]]&lt;=TrafficData[[#This Row],[totalAmount]],TrafficData[[#This Row],[disposedAmount]]&lt;=TrafficData[[#This Row],[totalAmount]])</f>
        <v>1</v>
      </c>
      <c r="P154" t="b">
        <f>AND(TrafficData[[#This Row],[pendingCourt]]&lt;=TrafficData[[#This Row],[totalCourt]],TrafficData[[#This Row],[disposedCourt]]&lt;=TrafficData[[#This Row],[totalCourt]])</f>
        <v>1</v>
      </c>
    </row>
    <row r="155" spans="1:16">
      <c r="A155" s="1">
        <v>42158</v>
      </c>
      <c r="B155">
        <v>156</v>
      </c>
      <c r="C155">
        <v>46</v>
      </c>
      <c r="D155">
        <v>110</v>
      </c>
      <c r="E155">
        <v>971600</v>
      </c>
      <c r="F155">
        <v>378240</v>
      </c>
      <c r="G155">
        <v>1349840</v>
      </c>
      <c r="H155">
        <v>2</v>
      </c>
      <c r="I155">
        <v>1</v>
      </c>
      <c r="J155">
        <v>3</v>
      </c>
      <c r="K155" t="b">
        <f>TrafficData[[#This Row],[disposedChallan]]+TrafficData[[#This Row],[pendingChallan]]=TrafficData[[#This Row],[totalChallan]]</f>
        <v>1</v>
      </c>
      <c r="L155" t="b">
        <f>TrafficData[[#This Row],[pendingAmount]]+TrafficData[[#This Row],[disposedAmount]]=TrafficData[[#This Row],[totalAmount]]</f>
        <v>1</v>
      </c>
      <c r="M155" t="b">
        <f>TrafficData[[#This Row],[pendingCourt]]+TrafficData[[#This Row],[disposedCourt]]=TrafficData[[#This Row],[totalCourt]]</f>
        <v>1</v>
      </c>
      <c r="N155" t="b">
        <f>AND(TrafficData[[#This Row],[disposedChallan]]&lt;=TrafficData[[#This Row],[totalChallan]],TrafficData[[#This Row],[pendingChallan]]&lt;=TrafficData[[#This Row],[totalChallan]])</f>
        <v>1</v>
      </c>
      <c r="O155" t="b">
        <f>AND(TrafficData[[#This Row],[pendingAmount]]&lt;=TrafficData[[#This Row],[totalAmount]],TrafficData[[#This Row],[disposedAmount]]&lt;=TrafficData[[#This Row],[totalAmount]])</f>
        <v>1</v>
      </c>
      <c r="P155" t="b">
        <f>AND(TrafficData[[#This Row],[pendingCourt]]&lt;=TrafficData[[#This Row],[totalCourt]],TrafficData[[#This Row],[disposedCourt]]&lt;=TrafficData[[#This Row],[totalCourt]])</f>
        <v>1</v>
      </c>
    </row>
    <row r="156" spans="1:16">
      <c r="A156" s="1">
        <v>42159</v>
      </c>
      <c r="B156">
        <v>139</v>
      </c>
      <c r="C156">
        <v>41</v>
      </c>
      <c r="D156">
        <v>98</v>
      </c>
      <c r="E156">
        <v>779900</v>
      </c>
      <c r="F156">
        <v>200440</v>
      </c>
      <c r="G156">
        <v>980340</v>
      </c>
      <c r="H156">
        <v>0</v>
      </c>
      <c r="I156">
        <v>0</v>
      </c>
      <c r="J156">
        <v>0</v>
      </c>
      <c r="K156" t="b">
        <f>TrafficData[[#This Row],[disposedChallan]]+TrafficData[[#This Row],[pendingChallan]]=TrafficData[[#This Row],[totalChallan]]</f>
        <v>1</v>
      </c>
      <c r="L156" t="b">
        <f>TrafficData[[#This Row],[pendingAmount]]+TrafficData[[#This Row],[disposedAmount]]=TrafficData[[#This Row],[totalAmount]]</f>
        <v>1</v>
      </c>
      <c r="M156" t="b">
        <f>TrafficData[[#This Row],[pendingCourt]]+TrafficData[[#This Row],[disposedCourt]]=TrafficData[[#This Row],[totalCourt]]</f>
        <v>1</v>
      </c>
      <c r="N156" t="b">
        <f>AND(TrafficData[[#This Row],[disposedChallan]]&lt;=TrafficData[[#This Row],[totalChallan]],TrafficData[[#This Row],[pendingChallan]]&lt;=TrafficData[[#This Row],[totalChallan]])</f>
        <v>1</v>
      </c>
      <c r="O156" t="b">
        <f>AND(TrafficData[[#This Row],[pendingAmount]]&lt;=TrafficData[[#This Row],[totalAmount]],TrafficData[[#This Row],[disposedAmount]]&lt;=TrafficData[[#This Row],[totalAmount]])</f>
        <v>1</v>
      </c>
      <c r="P156" t="b">
        <f>AND(TrafficData[[#This Row],[pendingCourt]]&lt;=TrafficData[[#This Row],[totalCourt]],TrafficData[[#This Row],[disposedCourt]]&lt;=TrafficData[[#This Row],[totalCourt]])</f>
        <v>1</v>
      </c>
    </row>
    <row r="157" spans="1:16">
      <c r="A157" s="1">
        <v>42160</v>
      </c>
      <c r="B157">
        <v>103</v>
      </c>
      <c r="C157">
        <v>28</v>
      </c>
      <c r="D157">
        <v>75</v>
      </c>
      <c r="E157">
        <v>678650</v>
      </c>
      <c r="F157">
        <v>201790</v>
      </c>
      <c r="G157">
        <v>880440</v>
      </c>
      <c r="H157">
        <v>1</v>
      </c>
      <c r="I157">
        <v>1</v>
      </c>
      <c r="J157">
        <v>2</v>
      </c>
      <c r="K157" t="b">
        <f>TrafficData[[#This Row],[disposedChallan]]+TrafficData[[#This Row],[pendingChallan]]=TrafficData[[#This Row],[totalChallan]]</f>
        <v>1</v>
      </c>
      <c r="L157" t="b">
        <f>TrafficData[[#This Row],[pendingAmount]]+TrafficData[[#This Row],[disposedAmount]]=TrafficData[[#This Row],[totalAmount]]</f>
        <v>1</v>
      </c>
      <c r="M157" t="b">
        <f>TrafficData[[#This Row],[pendingCourt]]+TrafficData[[#This Row],[disposedCourt]]=TrafficData[[#This Row],[totalCourt]]</f>
        <v>1</v>
      </c>
      <c r="N157" t="b">
        <f>AND(TrafficData[[#This Row],[disposedChallan]]&lt;=TrafficData[[#This Row],[totalChallan]],TrafficData[[#This Row],[pendingChallan]]&lt;=TrafficData[[#This Row],[totalChallan]])</f>
        <v>1</v>
      </c>
      <c r="O157" t="b">
        <f>AND(TrafficData[[#This Row],[pendingAmount]]&lt;=TrafficData[[#This Row],[totalAmount]],TrafficData[[#This Row],[disposedAmount]]&lt;=TrafficData[[#This Row],[totalAmount]])</f>
        <v>1</v>
      </c>
      <c r="P157" t="b">
        <f>AND(TrafficData[[#This Row],[pendingCourt]]&lt;=TrafficData[[#This Row],[totalCourt]],TrafficData[[#This Row],[disposedCourt]]&lt;=TrafficData[[#This Row],[totalCourt]])</f>
        <v>1</v>
      </c>
    </row>
    <row r="158" spans="1:16">
      <c r="A158" s="1">
        <v>42161</v>
      </c>
      <c r="B158">
        <v>98</v>
      </c>
      <c r="C158">
        <v>26</v>
      </c>
      <c r="D158">
        <v>72</v>
      </c>
      <c r="E158">
        <v>584250</v>
      </c>
      <c r="F158">
        <v>163998</v>
      </c>
      <c r="G158">
        <v>748248</v>
      </c>
      <c r="H158">
        <v>1</v>
      </c>
      <c r="I158">
        <v>0</v>
      </c>
      <c r="J158">
        <v>1</v>
      </c>
      <c r="K158" t="b">
        <f>TrafficData[[#This Row],[disposedChallan]]+TrafficData[[#This Row],[pendingChallan]]=TrafficData[[#This Row],[totalChallan]]</f>
        <v>1</v>
      </c>
      <c r="L158" t="b">
        <f>TrafficData[[#This Row],[pendingAmount]]+TrafficData[[#This Row],[disposedAmount]]=TrafficData[[#This Row],[totalAmount]]</f>
        <v>1</v>
      </c>
      <c r="M158" t="b">
        <f>TrafficData[[#This Row],[pendingCourt]]+TrafficData[[#This Row],[disposedCourt]]=TrafficData[[#This Row],[totalCourt]]</f>
        <v>1</v>
      </c>
      <c r="N158" t="b">
        <f>AND(TrafficData[[#This Row],[disposedChallan]]&lt;=TrafficData[[#This Row],[totalChallan]],TrafficData[[#This Row],[pendingChallan]]&lt;=TrafficData[[#This Row],[totalChallan]])</f>
        <v>1</v>
      </c>
      <c r="O158" t="b">
        <f>AND(TrafficData[[#This Row],[pendingAmount]]&lt;=TrafficData[[#This Row],[totalAmount]],TrafficData[[#This Row],[disposedAmount]]&lt;=TrafficData[[#This Row],[totalAmount]])</f>
        <v>1</v>
      </c>
      <c r="P158" t="b">
        <f>AND(TrafficData[[#This Row],[pendingCourt]]&lt;=TrafficData[[#This Row],[totalCourt]],TrafficData[[#This Row],[disposedCourt]]&lt;=TrafficData[[#This Row],[totalCourt]])</f>
        <v>1</v>
      </c>
    </row>
    <row r="159" spans="1:16">
      <c r="A159" s="1">
        <v>42162</v>
      </c>
      <c r="B159">
        <v>82</v>
      </c>
      <c r="C159">
        <v>29</v>
      </c>
      <c r="D159">
        <v>53</v>
      </c>
      <c r="E159">
        <v>431550</v>
      </c>
      <c r="F159">
        <v>170400</v>
      </c>
      <c r="G159">
        <v>601950</v>
      </c>
      <c r="H159">
        <v>0</v>
      </c>
      <c r="I159">
        <v>1</v>
      </c>
      <c r="J159">
        <v>1</v>
      </c>
      <c r="K159" t="b">
        <f>TrafficData[[#This Row],[disposedChallan]]+TrafficData[[#This Row],[pendingChallan]]=TrafficData[[#This Row],[totalChallan]]</f>
        <v>1</v>
      </c>
      <c r="L159" t="b">
        <f>TrafficData[[#This Row],[pendingAmount]]+TrafficData[[#This Row],[disposedAmount]]=TrafficData[[#This Row],[totalAmount]]</f>
        <v>1</v>
      </c>
      <c r="M159" t="b">
        <f>TrafficData[[#This Row],[pendingCourt]]+TrafficData[[#This Row],[disposedCourt]]=TrafficData[[#This Row],[totalCourt]]</f>
        <v>1</v>
      </c>
      <c r="N159" t="b">
        <f>AND(TrafficData[[#This Row],[disposedChallan]]&lt;=TrafficData[[#This Row],[totalChallan]],TrafficData[[#This Row],[pendingChallan]]&lt;=TrafficData[[#This Row],[totalChallan]])</f>
        <v>1</v>
      </c>
      <c r="O159" t="b">
        <f>AND(TrafficData[[#This Row],[pendingAmount]]&lt;=TrafficData[[#This Row],[totalAmount]],TrafficData[[#This Row],[disposedAmount]]&lt;=TrafficData[[#This Row],[totalAmount]])</f>
        <v>1</v>
      </c>
      <c r="P159" t="b">
        <f>AND(TrafficData[[#This Row],[pendingCourt]]&lt;=TrafficData[[#This Row],[totalCourt]],TrafficData[[#This Row],[disposedCourt]]&lt;=TrafficData[[#This Row],[totalCourt]])</f>
        <v>1</v>
      </c>
    </row>
    <row r="160" spans="1:16">
      <c r="A160" s="1">
        <v>42163</v>
      </c>
      <c r="B160">
        <v>113</v>
      </c>
      <c r="C160">
        <v>36</v>
      </c>
      <c r="D160">
        <v>77</v>
      </c>
      <c r="E160">
        <v>712700</v>
      </c>
      <c r="F160">
        <v>173480</v>
      </c>
      <c r="G160">
        <v>886180</v>
      </c>
      <c r="H160">
        <v>2</v>
      </c>
      <c r="I160">
        <v>0</v>
      </c>
      <c r="J160">
        <v>2</v>
      </c>
      <c r="K160" t="b">
        <f>TrafficData[[#This Row],[disposedChallan]]+TrafficData[[#This Row],[pendingChallan]]=TrafficData[[#This Row],[totalChallan]]</f>
        <v>1</v>
      </c>
      <c r="L160" t="b">
        <f>TrafficData[[#This Row],[pendingAmount]]+TrafficData[[#This Row],[disposedAmount]]=TrafficData[[#This Row],[totalAmount]]</f>
        <v>1</v>
      </c>
      <c r="M160" t="b">
        <f>TrafficData[[#This Row],[pendingCourt]]+TrafficData[[#This Row],[disposedCourt]]=TrafficData[[#This Row],[totalCourt]]</f>
        <v>1</v>
      </c>
      <c r="N160" t="b">
        <f>AND(TrafficData[[#This Row],[disposedChallan]]&lt;=TrafficData[[#This Row],[totalChallan]],TrafficData[[#This Row],[pendingChallan]]&lt;=TrafficData[[#This Row],[totalChallan]])</f>
        <v>1</v>
      </c>
      <c r="O160" t="b">
        <f>AND(TrafficData[[#This Row],[pendingAmount]]&lt;=TrafficData[[#This Row],[totalAmount]],TrafficData[[#This Row],[disposedAmount]]&lt;=TrafficData[[#This Row],[totalAmount]])</f>
        <v>1</v>
      </c>
      <c r="P160" t="b">
        <f>AND(TrafficData[[#This Row],[pendingCourt]]&lt;=TrafficData[[#This Row],[totalCourt]],TrafficData[[#This Row],[disposedCourt]]&lt;=TrafficData[[#This Row],[totalCourt]])</f>
        <v>1</v>
      </c>
    </row>
    <row r="161" spans="1:16">
      <c r="A161" s="1">
        <v>42164</v>
      </c>
      <c r="B161">
        <v>93</v>
      </c>
      <c r="C161">
        <v>21</v>
      </c>
      <c r="D161">
        <v>72</v>
      </c>
      <c r="E161">
        <v>591500</v>
      </c>
      <c r="F161">
        <v>111600</v>
      </c>
      <c r="G161">
        <v>703100</v>
      </c>
      <c r="H161">
        <v>0</v>
      </c>
      <c r="I161">
        <v>0</v>
      </c>
      <c r="J161">
        <v>0</v>
      </c>
      <c r="K161" t="b">
        <f>TrafficData[[#This Row],[disposedChallan]]+TrafficData[[#This Row],[pendingChallan]]=TrafficData[[#This Row],[totalChallan]]</f>
        <v>1</v>
      </c>
      <c r="L161" t="b">
        <f>TrafficData[[#This Row],[pendingAmount]]+TrafficData[[#This Row],[disposedAmount]]=TrafficData[[#This Row],[totalAmount]]</f>
        <v>1</v>
      </c>
      <c r="M161" t="b">
        <f>TrafficData[[#This Row],[pendingCourt]]+TrafficData[[#This Row],[disposedCourt]]=TrafficData[[#This Row],[totalCourt]]</f>
        <v>1</v>
      </c>
      <c r="N161" t="b">
        <f>AND(TrafficData[[#This Row],[disposedChallan]]&lt;=TrafficData[[#This Row],[totalChallan]],TrafficData[[#This Row],[pendingChallan]]&lt;=TrafficData[[#This Row],[totalChallan]])</f>
        <v>1</v>
      </c>
      <c r="O161" t="b">
        <f>AND(TrafficData[[#This Row],[pendingAmount]]&lt;=TrafficData[[#This Row],[totalAmount]],TrafficData[[#This Row],[disposedAmount]]&lt;=TrafficData[[#This Row],[totalAmount]])</f>
        <v>1</v>
      </c>
      <c r="P161" t="b">
        <f>AND(TrafficData[[#This Row],[pendingCourt]]&lt;=TrafficData[[#This Row],[totalCourt]],TrafficData[[#This Row],[disposedCourt]]&lt;=TrafficData[[#This Row],[totalCourt]])</f>
        <v>1</v>
      </c>
    </row>
    <row r="162" spans="1:16">
      <c r="A162" s="1">
        <v>42165</v>
      </c>
      <c r="B162">
        <v>182</v>
      </c>
      <c r="C162">
        <v>68</v>
      </c>
      <c r="D162">
        <v>114</v>
      </c>
      <c r="E162">
        <v>853150</v>
      </c>
      <c r="F162">
        <v>344160</v>
      </c>
      <c r="G162">
        <v>1197310</v>
      </c>
      <c r="H162">
        <v>1</v>
      </c>
      <c r="I162">
        <v>2</v>
      </c>
      <c r="J162">
        <v>3</v>
      </c>
      <c r="K162" t="b">
        <f>TrafficData[[#This Row],[disposedChallan]]+TrafficData[[#This Row],[pendingChallan]]=TrafficData[[#This Row],[totalChallan]]</f>
        <v>1</v>
      </c>
      <c r="L162" t="b">
        <f>TrafficData[[#This Row],[pendingAmount]]+TrafficData[[#This Row],[disposedAmount]]=TrafficData[[#This Row],[totalAmount]]</f>
        <v>1</v>
      </c>
      <c r="M162" t="b">
        <f>TrafficData[[#This Row],[pendingCourt]]+TrafficData[[#This Row],[disposedCourt]]=TrafficData[[#This Row],[totalCourt]]</f>
        <v>1</v>
      </c>
      <c r="N162" t="b">
        <f>AND(TrafficData[[#This Row],[disposedChallan]]&lt;=TrafficData[[#This Row],[totalChallan]],TrafficData[[#This Row],[pendingChallan]]&lt;=TrafficData[[#This Row],[totalChallan]])</f>
        <v>1</v>
      </c>
      <c r="O162" t="b">
        <f>AND(TrafficData[[#This Row],[pendingAmount]]&lt;=TrafficData[[#This Row],[totalAmount]],TrafficData[[#This Row],[disposedAmount]]&lt;=TrafficData[[#This Row],[totalAmount]])</f>
        <v>1</v>
      </c>
      <c r="P162" t="b">
        <f>AND(TrafficData[[#This Row],[pendingCourt]]&lt;=TrafficData[[#This Row],[totalCourt]],TrafficData[[#This Row],[disposedCourt]]&lt;=TrafficData[[#This Row],[totalCourt]])</f>
        <v>1</v>
      </c>
    </row>
    <row r="163" spans="1:16">
      <c r="A163" s="1">
        <v>42166</v>
      </c>
      <c r="B163">
        <v>112</v>
      </c>
      <c r="C163">
        <v>38</v>
      </c>
      <c r="D163">
        <v>74</v>
      </c>
      <c r="E163">
        <v>631100</v>
      </c>
      <c r="F163">
        <v>165250</v>
      </c>
      <c r="G163">
        <v>796350</v>
      </c>
      <c r="H163">
        <v>0</v>
      </c>
      <c r="I163">
        <v>0</v>
      </c>
      <c r="J163">
        <v>0</v>
      </c>
      <c r="K163" t="b">
        <f>TrafficData[[#This Row],[disposedChallan]]+TrafficData[[#This Row],[pendingChallan]]=TrafficData[[#This Row],[totalChallan]]</f>
        <v>1</v>
      </c>
      <c r="L163" t="b">
        <f>TrafficData[[#This Row],[pendingAmount]]+TrafficData[[#This Row],[disposedAmount]]=TrafficData[[#This Row],[totalAmount]]</f>
        <v>1</v>
      </c>
      <c r="M163" t="b">
        <f>TrafficData[[#This Row],[pendingCourt]]+TrafficData[[#This Row],[disposedCourt]]=TrafficData[[#This Row],[totalCourt]]</f>
        <v>1</v>
      </c>
      <c r="N163" t="b">
        <f>AND(TrafficData[[#This Row],[disposedChallan]]&lt;=TrafficData[[#This Row],[totalChallan]],TrafficData[[#This Row],[pendingChallan]]&lt;=TrafficData[[#This Row],[totalChallan]])</f>
        <v>1</v>
      </c>
      <c r="O163" t="b">
        <f>AND(TrafficData[[#This Row],[pendingAmount]]&lt;=TrafficData[[#This Row],[totalAmount]],TrafficData[[#This Row],[disposedAmount]]&lt;=TrafficData[[#This Row],[totalAmount]])</f>
        <v>1</v>
      </c>
      <c r="P163" t="b">
        <f>AND(TrafficData[[#This Row],[pendingCourt]]&lt;=TrafficData[[#This Row],[totalCourt]],TrafficData[[#This Row],[disposedCourt]]&lt;=TrafficData[[#This Row],[totalCourt]])</f>
        <v>1</v>
      </c>
    </row>
    <row r="164" spans="1:16">
      <c r="A164" s="1">
        <v>42167</v>
      </c>
      <c r="B164">
        <v>128</v>
      </c>
      <c r="C164">
        <v>33</v>
      </c>
      <c r="D164">
        <v>95</v>
      </c>
      <c r="E164">
        <v>699850</v>
      </c>
      <c r="F164">
        <v>177750</v>
      </c>
      <c r="G164">
        <v>877600</v>
      </c>
      <c r="H164">
        <v>1</v>
      </c>
      <c r="I164">
        <v>0</v>
      </c>
      <c r="J164">
        <v>1</v>
      </c>
      <c r="K164" t="b">
        <f>TrafficData[[#This Row],[disposedChallan]]+TrafficData[[#This Row],[pendingChallan]]=TrafficData[[#This Row],[totalChallan]]</f>
        <v>1</v>
      </c>
      <c r="L164" t="b">
        <f>TrafficData[[#This Row],[pendingAmount]]+TrafficData[[#This Row],[disposedAmount]]=TrafficData[[#This Row],[totalAmount]]</f>
        <v>1</v>
      </c>
      <c r="M164" t="b">
        <f>TrafficData[[#This Row],[pendingCourt]]+TrafficData[[#This Row],[disposedCourt]]=TrafficData[[#This Row],[totalCourt]]</f>
        <v>1</v>
      </c>
      <c r="N164" t="b">
        <f>AND(TrafficData[[#This Row],[disposedChallan]]&lt;=TrafficData[[#This Row],[totalChallan]],TrafficData[[#This Row],[pendingChallan]]&lt;=TrafficData[[#This Row],[totalChallan]])</f>
        <v>1</v>
      </c>
      <c r="O164" t="b">
        <f>AND(TrafficData[[#This Row],[pendingAmount]]&lt;=TrafficData[[#This Row],[totalAmount]],TrafficData[[#This Row],[disposedAmount]]&lt;=TrafficData[[#This Row],[totalAmount]])</f>
        <v>1</v>
      </c>
      <c r="P164" t="b">
        <f>AND(TrafficData[[#This Row],[pendingCourt]]&lt;=TrafficData[[#This Row],[totalCourt]],TrafficData[[#This Row],[disposedCourt]]&lt;=TrafficData[[#This Row],[totalCourt]])</f>
        <v>1</v>
      </c>
    </row>
    <row r="165" spans="1:16">
      <c r="A165" s="1">
        <v>42168</v>
      </c>
      <c r="B165">
        <v>96</v>
      </c>
      <c r="C165">
        <v>26</v>
      </c>
      <c r="D165">
        <v>70</v>
      </c>
      <c r="E165">
        <v>498248</v>
      </c>
      <c r="F165">
        <v>116450</v>
      </c>
      <c r="G165">
        <v>614698</v>
      </c>
      <c r="H165">
        <v>2</v>
      </c>
      <c r="I165">
        <v>0</v>
      </c>
      <c r="J165">
        <v>2</v>
      </c>
      <c r="K165" t="b">
        <f>TrafficData[[#This Row],[disposedChallan]]+TrafficData[[#This Row],[pendingChallan]]=TrafficData[[#This Row],[totalChallan]]</f>
        <v>1</v>
      </c>
      <c r="L165" t="b">
        <f>TrafficData[[#This Row],[pendingAmount]]+TrafficData[[#This Row],[disposedAmount]]=TrafficData[[#This Row],[totalAmount]]</f>
        <v>1</v>
      </c>
      <c r="M165" t="b">
        <f>TrafficData[[#This Row],[pendingCourt]]+TrafficData[[#This Row],[disposedCourt]]=TrafficData[[#This Row],[totalCourt]]</f>
        <v>1</v>
      </c>
      <c r="N165" t="b">
        <f>AND(TrafficData[[#This Row],[disposedChallan]]&lt;=TrafficData[[#This Row],[totalChallan]],TrafficData[[#This Row],[pendingChallan]]&lt;=TrafficData[[#This Row],[totalChallan]])</f>
        <v>1</v>
      </c>
      <c r="O165" t="b">
        <f>AND(TrafficData[[#This Row],[pendingAmount]]&lt;=TrafficData[[#This Row],[totalAmount]],TrafficData[[#This Row],[disposedAmount]]&lt;=TrafficData[[#This Row],[totalAmount]])</f>
        <v>1</v>
      </c>
      <c r="P165" t="b">
        <f>AND(TrafficData[[#This Row],[pendingCourt]]&lt;=TrafficData[[#This Row],[totalCourt]],TrafficData[[#This Row],[disposedCourt]]&lt;=TrafficData[[#This Row],[totalCourt]])</f>
        <v>1</v>
      </c>
    </row>
    <row r="166" spans="1:16">
      <c r="A166" s="1">
        <v>42169</v>
      </c>
      <c r="B166">
        <v>79</v>
      </c>
      <c r="C166">
        <v>24</v>
      </c>
      <c r="D166">
        <v>55</v>
      </c>
      <c r="E166">
        <v>504250</v>
      </c>
      <c r="F166">
        <v>75600</v>
      </c>
      <c r="G166">
        <v>579850</v>
      </c>
      <c r="H166">
        <v>2</v>
      </c>
      <c r="I166">
        <v>1</v>
      </c>
      <c r="J166">
        <v>3</v>
      </c>
      <c r="K166" t="b">
        <f>TrafficData[[#This Row],[disposedChallan]]+TrafficData[[#This Row],[pendingChallan]]=TrafficData[[#This Row],[totalChallan]]</f>
        <v>1</v>
      </c>
      <c r="L166" t="b">
        <f>TrafficData[[#This Row],[pendingAmount]]+TrafficData[[#This Row],[disposedAmount]]=TrafficData[[#This Row],[totalAmount]]</f>
        <v>1</v>
      </c>
      <c r="M166" t="b">
        <f>TrafficData[[#This Row],[pendingCourt]]+TrafficData[[#This Row],[disposedCourt]]=TrafficData[[#This Row],[totalCourt]]</f>
        <v>1</v>
      </c>
      <c r="N166" t="b">
        <f>AND(TrafficData[[#This Row],[disposedChallan]]&lt;=TrafficData[[#This Row],[totalChallan]],TrafficData[[#This Row],[pendingChallan]]&lt;=TrafficData[[#This Row],[totalChallan]])</f>
        <v>1</v>
      </c>
      <c r="O166" t="b">
        <f>AND(TrafficData[[#This Row],[pendingAmount]]&lt;=TrafficData[[#This Row],[totalAmount]],TrafficData[[#This Row],[disposedAmount]]&lt;=TrafficData[[#This Row],[totalAmount]])</f>
        <v>1</v>
      </c>
      <c r="P166" t="b">
        <f>AND(TrafficData[[#This Row],[pendingCourt]]&lt;=TrafficData[[#This Row],[totalCourt]],TrafficData[[#This Row],[disposedCourt]]&lt;=TrafficData[[#This Row],[totalCourt]])</f>
        <v>1</v>
      </c>
    </row>
    <row r="167" spans="1:16">
      <c r="A167" s="1">
        <v>42170</v>
      </c>
      <c r="B167">
        <v>124</v>
      </c>
      <c r="C167">
        <v>31</v>
      </c>
      <c r="D167">
        <v>93</v>
      </c>
      <c r="E167">
        <v>732950</v>
      </c>
      <c r="F167">
        <v>196300</v>
      </c>
      <c r="G167">
        <v>929250</v>
      </c>
      <c r="H167">
        <v>4</v>
      </c>
      <c r="I167">
        <v>0</v>
      </c>
      <c r="J167">
        <v>4</v>
      </c>
      <c r="K167" t="b">
        <f>TrafficData[[#This Row],[disposedChallan]]+TrafficData[[#This Row],[pendingChallan]]=TrafficData[[#This Row],[totalChallan]]</f>
        <v>1</v>
      </c>
      <c r="L167" t="b">
        <f>TrafficData[[#This Row],[pendingAmount]]+TrafficData[[#This Row],[disposedAmount]]=TrafficData[[#This Row],[totalAmount]]</f>
        <v>1</v>
      </c>
      <c r="M167" t="b">
        <f>TrafficData[[#This Row],[pendingCourt]]+TrafficData[[#This Row],[disposedCourt]]=TrafficData[[#This Row],[totalCourt]]</f>
        <v>1</v>
      </c>
      <c r="N167" t="b">
        <f>AND(TrafficData[[#This Row],[disposedChallan]]&lt;=TrafficData[[#This Row],[totalChallan]],TrafficData[[#This Row],[pendingChallan]]&lt;=TrafficData[[#This Row],[totalChallan]])</f>
        <v>1</v>
      </c>
      <c r="O167" t="b">
        <f>AND(TrafficData[[#This Row],[pendingAmount]]&lt;=TrafficData[[#This Row],[totalAmount]],TrafficData[[#This Row],[disposedAmount]]&lt;=TrafficData[[#This Row],[totalAmount]])</f>
        <v>1</v>
      </c>
      <c r="P167" t="b">
        <f>AND(TrafficData[[#This Row],[pendingCourt]]&lt;=TrafficData[[#This Row],[totalCourt]],TrafficData[[#This Row],[disposedCourt]]&lt;=TrafficData[[#This Row],[totalCourt]])</f>
        <v>1</v>
      </c>
    </row>
    <row r="168" spans="1:16">
      <c r="A168" s="1">
        <v>42171</v>
      </c>
      <c r="B168">
        <v>95</v>
      </c>
      <c r="C168">
        <v>25</v>
      </c>
      <c r="D168">
        <v>70</v>
      </c>
      <c r="E168">
        <v>513700</v>
      </c>
      <c r="F168">
        <v>113100</v>
      </c>
      <c r="G168">
        <v>626800</v>
      </c>
      <c r="H168">
        <v>8</v>
      </c>
      <c r="I168">
        <v>0</v>
      </c>
      <c r="J168">
        <v>8</v>
      </c>
      <c r="K168" t="b">
        <f>TrafficData[[#This Row],[disposedChallan]]+TrafficData[[#This Row],[pendingChallan]]=TrafficData[[#This Row],[totalChallan]]</f>
        <v>1</v>
      </c>
      <c r="L168" t="b">
        <f>TrafficData[[#This Row],[pendingAmount]]+TrafficData[[#This Row],[disposedAmount]]=TrafficData[[#This Row],[totalAmount]]</f>
        <v>1</v>
      </c>
      <c r="M168" t="b">
        <f>TrafficData[[#This Row],[pendingCourt]]+TrafficData[[#This Row],[disposedCourt]]=TrafficData[[#This Row],[totalCourt]]</f>
        <v>1</v>
      </c>
      <c r="N168" t="b">
        <f>AND(TrafficData[[#This Row],[disposedChallan]]&lt;=TrafficData[[#This Row],[totalChallan]],TrafficData[[#This Row],[pendingChallan]]&lt;=TrafficData[[#This Row],[totalChallan]])</f>
        <v>1</v>
      </c>
      <c r="O168" t="b">
        <f>AND(TrafficData[[#This Row],[pendingAmount]]&lt;=TrafficData[[#This Row],[totalAmount]],TrafficData[[#This Row],[disposedAmount]]&lt;=TrafficData[[#This Row],[totalAmount]])</f>
        <v>1</v>
      </c>
      <c r="P168" t="b">
        <f>AND(TrafficData[[#This Row],[pendingCourt]]&lt;=TrafficData[[#This Row],[totalCourt]],TrafficData[[#This Row],[disposedCourt]]&lt;=TrafficData[[#This Row],[totalCourt]])</f>
        <v>1</v>
      </c>
    </row>
    <row r="169" spans="1:16">
      <c r="A169" s="1">
        <v>42172</v>
      </c>
      <c r="B169">
        <v>103</v>
      </c>
      <c r="C169">
        <v>36</v>
      </c>
      <c r="D169">
        <v>67</v>
      </c>
      <c r="E169">
        <v>512320</v>
      </c>
      <c r="F169">
        <v>169630</v>
      </c>
      <c r="G169">
        <v>681950</v>
      </c>
      <c r="H169">
        <v>5</v>
      </c>
      <c r="I169">
        <v>0</v>
      </c>
      <c r="J169">
        <v>5</v>
      </c>
      <c r="K169" t="b">
        <f>TrafficData[[#This Row],[disposedChallan]]+TrafficData[[#This Row],[pendingChallan]]=TrafficData[[#This Row],[totalChallan]]</f>
        <v>1</v>
      </c>
      <c r="L169" t="b">
        <f>TrafficData[[#This Row],[pendingAmount]]+TrafficData[[#This Row],[disposedAmount]]=TrafficData[[#This Row],[totalAmount]]</f>
        <v>1</v>
      </c>
      <c r="M169" t="b">
        <f>TrafficData[[#This Row],[pendingCourt]]+TrafficData[[#This Row],[disposedCourt]]=TrafficData[[#This Row],[totalCourt]]</f>
        <v>1</v>
      </c>
      <c r="N169" t="b">
        <f>AND(TrafficData[[#This Row],[disposedChallan]]&lt;=TrafficData[[#This Row],[totalChallan]],TrafficData[[#This Row],[pendingChallan]]&lt;=TrafficData[[#This Row],[totalChallan]])</f>
        <v>1</v>
      </c>
      <c r="O169" t="b">
        <f>AND(TrafficData[[#This Row],[pendingAmount]]&lt;=TrafficData[[#This Row],[totalAmount]],TrafficData[[#This Row],[disposedAmount]]&lt;=TrafficData[[#This Row],[totalAmount]])</f>
        <v>1</v>
      </c>
      <c r="P169" t="b">
        <f>AND(TrafficData[[#This Row],[pendingCourt]]&lt;=TrafficData[[#This Row],[totalCourt]],TrafficData[[#This Row],[disposedCourt]]&lt;=TrafficData[[#This Row],[totalCourt]])</f>
        <v>1</v>
      </c>
    </row>
    <row r="170" spans="1:16">
      <c r="A170" s="1">
        <v>42173</v>
      </c>
      <c r="B170">
        <v>116</v>
      </c>
      <c r="C170">
        <v>36</v>
      </c>
      <c r="D170">
        <v>80</v>
      </c>
      <c r="E170">
        <v>366400</v>
      </c>
      <c r="F170">
        <v>277400</v>
      </c>
      <c r="G170">
        <v>643800</v>
      </c>
      <c r="H170">
        <v>18</v>
      </c>
      <c r="I170">
        <v>1</v>
      </c>
      <c r="J170">
        <v>19</v>
      </c>
      <c r="K170" t="b">
        <f>TrafficData[[#This Row],[disposedChallan]]+TrafficData[[#This Row],[pendingChallan]]=TrafficData[[#This Row],[totalChallan]]</f>
        <v>1</v>
      </c>
      <c r="L170" t="b">
        <f>TrafficData[[#This Row],[pendingAmount]]+TrafficData[[#This Row],[disposedAmount]]=TrafficData[[#This Row],[totalAmount]]</f>
        <v>1</v>
      </c>
      <c r="M170" t="b">
        <f>TrafficData[[#This Row],[pendingCourt]]+TrafficData[[#This Row],[disposedCourt]]=TrafficData[[#This Row],[totalCourt]]</f>
        <v>1</v>
      </c>
      <c r="N170" t="b">
        <f>AND(TrafficData[[#This Row],[disposedChallan]]&lt;=TrafficData[[#This Row],[totalChallan]],TrafficData[[#This Row],[pendingChallan]]&lt;=TrafficData[[#This Row],[totalChallan]])</f>
        <v>1</v>
      </c>
      <c r="O170" t="b">
        <f>AND(TrafficData[[#This Row],[pendingAmount]]&lt;=TrafficData[[#This Row],[totalAmount]],TrafficData[[#This Row],[disposedAmount]]&lt;=TrafficData[[#This Row],[totalAmount]])</f>
        <v>1</v>
      </c>
      <c r="P170" t="b">
        <f>AND(TrafficData[[#This Row],[pendingCourt]]&lt;=TrafficData[[#This Row],[totalCourt]],TrafficData[[#This Row],[disposedCourt]]&lt;=TrafficData[[#This Row],[totalCourt]])</f>
        <v>1</v>
      </c>
    </row>
    <row r="171" spans="1:16">
      <c r="A171" s="1">
        <v>42174</v>
      </c>
      <c r="B171">
        <v>79</v>
      </c>
      <c r="C171">
        <v>17</v>
      </c>
      <c r="D171">
        <v>62</v>
      </c>
      <c r="E171">
        <v>514590</v>
      </c>
      <c r="F171">
        <v>132355</v>
      </c>
      <c r="G171">
        <v>646945</v>
      </c>
      <c r="H171">
        <v>6</v>
      </c>
      <c r="I171">
        <v>0</v>
      </c>
      <c r="J171">
        <v>6</v>
      </c>
      <c r="K171" t="b">
        <f>TrafficData[[#This Row],[disposedChallan]]+TrafficData[[#This Row],[pendingChallan]]=TrafficData[[#This Row],[totalChallan]]</f>
        <v>1</v>
      </c>
      <c r="L171" t="b">
        <f>TrafficData[[#This Row],[pendingAmount]]+TrafficData[[#This Row],[disposedAmount]]=TrafficData[[#This Row],[totalAmount]]</f>
        <v>1</v>
      </c>
      <c r="M171" t="b">
        <f>TrafficData[[#This Row],[pendingCourt]]+TrafficData[[#This Row],[disposedCourt]]=TrafficData[[#This Row],[totalCourt]]</f>
        <v>1</v>
      </c>
      <c r="N171" t="b">
        <f>AND(TrafficData[[#This Row],[disposedChallan]]&lt;=TrafficData[[#This Row],[totalChallan]],TrafficData[[#This Row],[pendingChallan]]&lt;=TrafficData[[#This Row],[totalChallan]])</f>
        <v>1</v>
      </c>
      <c r="O171" t="b">
        <f>AND(TrafficData[[#This Row],[pendingAmount]]&lt;=TrafficData[[#This Row],[totalAmount]],TrafficData[[#This Row],[disposedAmount]]&lt;=TrafficData[[#This Row],[totalAmount]])</f>
        <v>1</v>
      </c>
      <c r="P171" t="b">
        <f>AND(TrafficData[[#This Row],[pendingCourt]]&lt;=TrafficData[[#This Row],[totalCourt]],TrafficData[[#This Row],[disposedCourt]]&lt;=TrafficData[[#This Row],[totalCourt]])</f>
        <v>1</v>
      </c>
    </row>
    <row r="172" spans="1:16">
      <c r="A172" s="1">
        <v>42175</v>
      </c>
      <c r="B172">
        <v>118</v>
      </c>
      <c r="C172">
        <v>30</v>
      </c>
      <c r="D172">
        <v>88</v>
      </c>
      <c r="E172">
        <v>779800</v>
      </c>
      <c r="F172">
        <v>104150</v>
      </c>
      <c r="G172">
        <v>883950</v>
      </c>
      <c r="H172">
        <v>12</v>
      </c>
      <c r="I172">
        <v>2</v>
      </c>
      <c r="J172">
        <v>14</v>
      </c>
      <c r="K172" t="b">
        <f>TrafficData[[#This Row],[disposedChallan]]+TrafficData[[#This Row],[pendingChallan]]=TrafficData[[#This Row],[totalChallan]]</f>
        <v>1</v>
      </c>
      <c r="L172" t="b">
        <f>TrafficData[[#This Row],[pendingAmount]]+TrafficData[[#This Row],[disposedAmount]]=TrafficData[[#This Row],[totalAmount]]</f>
        <v>1</v>
      </c>
      <c r="M172" t="b">
        <f>TrafficData[[#This Row],[pendingCourt]]+TrafficData[[#This Row],[disposedCourt]]=TrafficData[[#This Row],[totalCourt]]</f>
        <v>1</v>
      </c>
      <c r="N172" t="b">
        <f>AND(TrafficData[[#This Row],[disposedChallan]]&lt;=TrafficData[[#This Row],[totalChallan]],TrafficData[[#This Row],[pendingChallan]]&lt;=TrafficData[[#This Row],[totalChallan]])</f>
        <v>1</v>
      </c>
      <c r="O172" t="b">
        <f>AND(TrafficData[[#This Row],[pendingAmount]]&lt;=TrafficData[[#This Row],[totalAmount]],TrafficData[[#This Row],[disposedAmount]]&lt;=TrafficData[[#This Row],[totalAmount]])</f>
        <v>1</v>
      </c>
      <c r="P172" t="b">
        <f>AND(TrafficData[[#This Row],[pendingCourt]]&lt;=TrafficData[[#This Row],[totalCourt]],TrafficData[[#This Row],[disposedCourt]]&lt;=TrafficData[[#This Row],[totalCourt]])</f>
        <v>1</v>
      </c>
    </row>
    <row r="173" spans="1:16">
      <c r="A173" s="1">
        <v>42176</v>
      </c>
      <c r="B173">
        <v>109</v>
      </c>
      <c r="C173">
        <v>29</v>
      </c>
      <c r="D173">
        <v>80</v>
      </c>
      <c r="E173">
        <v>680698</v>
      </c>
      <c r="F173">
        <v>98000</v>
      </c>
      <c r="G173">
        <v>778698</v>
      </c>
      <c r="H173">
        <v>1</v>
      </c>
      <c r="I173">
        <v>0</v>
      </c>
      <c r="J173">
        <v>1</v>
      </c>
      <c r="K173" t="b">
        <f>TrafficData[[#This Row],[disposedChallan]]+TrafficData[[#This Row],[pendingChallan]]=TrafficData[[#This Row],[totalChallan]]</f>
        <v>1</v>
      </c>
      <c r="L173" t="b">
        <f>TrafficData[[#This Row],[pendingAmount]]+TrafficData[[#This Row],[disposedAmount]]=TrafficData[[#This Row],[totalAmount]]</f>
        <v>1</v>
      </c>
      <c r="M173" t="b">
        <f>TrafficData[[#This Row],[pendingCourt]]+TrafficData[[#This Row],[disposedCourt]]=TrafficData[[#This Row],[totalCourt]]</f>
        <v>1</v>
      </c>
      <c r="N173" t="b">
        <f>AND(TrafficData[[#This Row],[disposedChallan]]&lt;=TrafficData[[#This Row],[totalChallan]],TrafficData[[#This Row],[pendingChallan]]&lt;=TrafficData[[#This Row],[totalChallan]])</f>
        <v>1</v>
      </c>
      <c r="O173" t="b">
        <f>AND(TrafficData[[#This Row],[pendingAmount]]&lt;=TrafficData[[#This Row],[totalAmount]],TrafficData[[#This Row],[disposedAmount]]&lt;=TrafficData[[#This Row],[totalAmount]])</f>
        <v>1</v>
      </c>
      <c r="P173" t="b">
        <f>AND(TrafficData[[#This Row],[pendingCourt]]&lt;=TrafficData[[#This Row],[totalCourt]],TrafficData[[#This Row],[disposedCourt]]&lt;=TrafficData[[#This Row],[totalCourt]])</f>
        <v>1</v>
      </c>
    </row>
    <row r="174" spans="1:16">
      <c r="A174" s="1">
        <v>42177</v>
      </c>
      <c r="B174">
        <v>117</v>
      </c>
      <c r="C174">
        <v>25</v>
      </c>
      <c r="D174">
        <v>92</v>
      </c>
      <c r="E174">
        <v>634400</v>
      </c>
      <c r="F174">
        <v>122400</v>
      </c>
      <c r="G174">
        <v>756800</v>
      </c>
      <c r="H174">
        <v>0</v>
      </c>
      <c r="I174">
        <v>1</v>
      </c>
      <c r="J174">
        <v>1</v>
      </c>
      <c r="K174" t="b">
        <f>TrafficData[[#This Row],[disposedChallan]]+TrafficData[[#This Row],[pendingChallan]]=TrafficData[[#This Row],[totalChallan]]</f>
        <v>1</v>
      </c>
      <c r="L174" t="b">
        <f>TrafficData[[#This Row],[pendingAmount]]+TrafficData[[#This Row],[disposedAmount]]=TrafficData[[#This Row],[totalAmount]]</f>
        <v>1</v>
      </c>
      <c r="M174" t="b">
        <f>TrafficData[[#This Row],[pendingCourt]]+TrafficData[[#This Row],[disposedCourt]]=TrafficData[[#This Row],[totalCourt]]</f>
        <v>1</v>
      </c>
      <c r="N174" t="b">
        <f>AND(TrafficData[[#This Row],[disposedChallan]]&lt;=TrafficData[[#This Row],[totalChallan]],TrafficData[[#This Row],[pendingChallan]]&lt;=TrafficData[[#This Row],[totalChallan]])</f>
        <v>1</v>
      </c>
      <c r="O174" t="b">
        <f>AND(TrafficData[[#This Row],[pendingAmount]]&lt;=TrafficData[[#This Row],[totalAmount]],TrafficData[[#This Row],[disposedAmount]]&lt;=TrafficData[[#This Row],[totalAmount]])</f>
        <v>1</v>
      </c>
      <c r="P174" t="b">
        <f>AND(TrafficData[[#This Row],[pendingCourt]]&lt;=TrafficData[[#This Row],[totalCourt]],TrafficData[[#This Row],[disposedCourt]]&lt;=TrafficData[[#This Row],[totalCourt]])</f>
        <v>1</v>
      </c>
    </row>
    <row r="175" spans="1:16">
      <c r="A175" s="1">
        <v>42178</v>
      </c>
      <c r="B175">
        <v>88</v>
      </c>
      <c r="C175">
        <v>20</v>
      </c>
      <c r="D175">
        <v>68</v>
      </c>
      <c r="E175">
        <v>675030</v>
      </c>
      <c r="F175">
        <v>103000</v>
      </c>
      <c r="G175">
        <v>778030</v>
      </c>
      <c r="H175">
        <v>4</v>
      </c>
      <c r="I175">
        <v>0</v>
      </c>
      <c r="J175">
        <v>4</v>
      </c>
      <c r="K175" t="b">
        <f>TrafficData[[#This Row],[disposedChallan]]+TrafficData[[#This Row],[pendingChallan]]=TrafficData[[#This Row],[totalChallan]]</f>
        <v>1</v>
      </c>
      <c r="L175" t="b">
        <f>TrafficData[[#This Row],[pendingAmount]]+TrafficData[[#This Row],[disposedAmount]]=TrafficData[[#This Row],[totalAmount]]</f>
        <v>1</v>
      </c>
      <c r="M175" t="b">
        <f>TrafficData[[#This Row],[pendingCourt]]+TrafficData[[#This Row],[disposedCourt]]=TrafficData[[#This Row],[totalCourt]]</f>
        <v>1</v>
      </c>
      <c r="N175" t="b">
        <f>AND(TrafficData[[#This Row],[disposedChallan]]&lt;=TrafficData[[#This Row],[totalChallan]],TrafficData[[#This Row],[pendingChallan]]&lt;=TrafficData[[#This Row],[totalChallan]])</f>
        <v>1</v>
      </c>
      <c r="O175" t="b">
        <f>AND(TrafficData[[#This Row],[pendingAmount]]&lt;=TrafficData[[#This Row],[totalAmount]],TrafficData[[#This Row],[disposedAmount]]&lt;=TrafficData[[#This Row],[totalAmount]])</f>
        <v>1</v>
      </c>
      <c r="P175" t="b">
        <f>AND(TrafficData[[#This Row],[pendingCourt]]&lt;=TrafficData[[#This Row],[totalCourt]],TrafficData[[#This Row],[disposedCourt]]&lt;=TrafficData[[#This Row],[totalCourt]])</f>
        <v>1</v>
      </c>
    </row>
    <row r="176" spans="1:16">
      <c r="A176" s="1">
        <v>42179</v>
      </c>
      <c r="B176">
        <v>79</v>
      </c>
      <c r="C176">
        <v>26</v>
      </c>
      <c r="D176">
        <v>53</v>
      </c>
      <c r="E176">
        <v>469390</v>
      </c>
      <c r="F176">
        <v>119450</v>
      </c>
      <c r="G176">
        <v>588840</v>
      </c>
      <c r="H176">
        <v>2</v>
      </c>
      <c r="I176">
        <v>1</v>
      </c>
      <c r="J176">
        <v>3</v>
      </c>
      <c r="K176" t="b">
        <f>TrafficData[[#This Row],[disposedChallan]]+TrafficData[[#This Row],[pendingChallan]]=TrafficData[[#This Row],[totalChallan]]</f>
        <v>1</v>
      </c>
      <c r="L176" t="b">
        <f>TrafficData[[#This Row],[pendingAmount]]+TrafficData[[#This Row],[disposedAmount]]=TrafficData[[#This Row],[totalAmount]]</f>
        <v>1</v>
      </c>
      <c r="M176" t="b">
        <f>TrafficData[[#This Row],[pendingCourt]]+TrafficData[[#This Row],[disposedCourt]]=TrafficData[[#This Row],[totalCourt]]</f>
        <v>1</v>
      </c>
      <c r="N176" t="b">
        <f>AND(TrafficData[[#This Row],[disposedChallan]]&lt;=TrafficData[[#This Row],[totalChallan]],TrafficData[[#This Row],[pendingChallan]]&lt;=TrafficData[[#This Row],[totalChallan]])</f>
        <v>1</v>
      </c>
      <c r="O176" t="b">
        <f>AND(TrafficData[[#This Row],[pendingAmount]]&lt;=TrafficData[[#This Row],[totalAmount]],TrafficData[[#This Row],[disposedAmount]]&lt;=TrafficData[[#This Row],[totalAmount]])</f>
        <v>1</v>
      </c>
      <c r="P176" t="b">
        <f>AND(TrafficData[[#This Row],[pendingCourt]]&lt;=TrafficData[[#This Row],[totalCourt]],TrafficData[[#This Row],[disposedCourt]]&lt;=TrafficData[[#This Row],[totalCourt]])</f>
        <v>1</v>
      </c>
    </row>
    <row r="177" spans="1:16">
      <c r="A177" s="1">
        <v>42180</v>
      </c>
      <c r="B177">
        <v>127</v>
      </c>
      <c r="C177">
        <v>34</v>
      </c>
      <c r="D177">
        <v>93</v>
      </c>
      <c r="E177">
        <v>961950</v>
      </c>
      <c r="F177">
        <v>130700</v>
      </c>
      <c r="G177">
        <v>1092650</v>
      </c>
      <c r="H177">
        <v>1</v>
      </c>
      <c r="I177">
        <v>1</v>
      </c>
      <c r="J177">
        <v>2</v>
      </c>
      <c r="K177" t="b">
        <f>TrafficData[[#This Row],[disposedChallan]]+TrafficData[[#This Row],[pendingChallan]]=TrafficData[[#This Row],[totalChallan]]</f>
        <v>1</v>
      </c>
      <c r="L177" t="b">
        <f>TrafficData[[#This Row],[pendingAmount]]+TrafficData[[#This Row],[disposedAmount]]=TrafficData[[#This Row],[totalAmount]]</f>
        <v>1</v>
      </c>
      <c r="M177" t="b">
        <f>TrafficData[[#This Row],[pendingCourt]]+TrafficData[[#This Row],[disposedCourt]]=TrafficData[[#This Row],[totalCourt]]</f>
        <v>1</v>
      </c>
      <c r="N177" t="b">
        <f>AND(TrafficData[[#This Row],[disposedChallan]]&lt;=TrafficData[[#This Row],[totalChallan]],TrafficData[[#This Row],[pendingChallan]]&lt;=TrafficData[[#This Row],[totalChallan]])</f>
        <v>1</v>
      </c>
      <c r="O177" t="b">
        <f>AND(TrafficData[[#This Row],[pendingAmount]]&lt;=TrafficData[[#This Row],[totalAmount]],TrafficData[[#This Row],[disposedAmount]]&lt;=TrafficData[[#This Row],[totalAmount]])</f>
        <v>1</v>
      </c>
      <c r="P177" t="b">
        <f>AND(TrafficData[[#This Row],[pendingCourt]]&lt;=TrafficData[[#This Row],[totalCourt]],TrafficData[[#This Row],[disposedCourt]]&lt;=TrafficData[[#This Row],[totalCourt]])</f>
        <v>1</v>
      </c>
    </row>
    <row r="178" spans="1:16">
      <c r="A178" s="1">
        <v>42181</v>
      </c>
      <c r="B178">
        <v>124</v>
      </c>
      <c r="C178">
        <v>31</v>
      </c>
      <c r="D178">
        <v>93</v>
      </c>
      <c r="E178">
        <v>1077100</v>
      </c>
      <c r="F178">
        <v>223575</v>
      </c>
      <c r="G178">
        <v>1300675</v>
      </c>
      <c r="H178">
        <v>2</v>
      </c>
      <c r="I178">
        <v>0</v>
      </c>
      <c r="J178">
        <v>2</v>
      </c>
      <c r="K178" t="b">
        <f>TrafficData[[#This Row],[disposedChallan]]+TrafficData[[#This Row],[pendingChallan]]=TrafficData[[#This Row],[totalChallan]]</f>
        <v>1</v>
      </c>
      <c r="L178" t="b">
        <f>TrafficData[[#This Row],[pendingAmount]]+TrafficData[[#This Row],[disposedAmount]]=TrafficData[[#This Row],[totalAmount]]</f>
        <v>1</v>
      </c>
      <c r="M178" t="b">
        <f>TrafficData[[#This Row],[pendingCourt]]+TrafficData[[#This Row],[disposedCourt]]=TrafficData[[#This Row],[totalCourt]]</f>
        <v>1</v>
      </c>
      <c r="N178" t="b">
        <f>AND(TrafficData[[#This Row],[disposedChallan]]&lt;=TrafficData[[#This Row],[totalChallan]],TrafficData[[#This Row],[pendingChallan]]&lt;=TrafficData[[#This Row],[totalChallan]])</f>
        <v>1</v>
      </c>
      <c r="O178" t="b">
        <f>AND(TrafficData[[#This Row],[pendingAmount]]&lt;=TrafficData[[#This Row],[totalAmount]],TrafficData[[#This Row],[disposedAmount]]&lt;=TrafficData[[#This Row],[totalAmount]])</f>
        <v>1</v>
      </c>
      <c r="P178" t="b">
        <f>AND(TrafficData[[#This Row],[pendingCourt]]&lt;=TrafficData[[#This Row],[totalCourt]],TrafficData[[#This Row],[disposedCourt]]&lt;=TrafficData[[#This Row],[totalCourt]])</f>
        <v>1</v>
      </c>
    </row>
    <row r="179" spans="1:16">
      <c r="A179" s="1">
        <v>42182</v>
      </c>
      <c r="B179">
        <v>80</v>
      </c>
      <c r="C179">
        <v>19</v>
      </c>
      <c r="D179">
        <v>61</v>
      </c>
      <c r="E179">
        <v>434150</v>
      </c>
      <c r="F179">
        <v>94200</v>
      </c>
      <c r="G179">
        <v>528350</v>
      </c>
      <c r="H179">
        <v>1</v>
      </c>
      <c r="I179">
        <v>1</v>
      </c>
      <c r="J179">
        <v>2</v>
      </c>
      <c r="K179" t="b">
        <f>TrafficData[[#This Row],[disposedChallan]]+TrafficData[[#This Row],[pendingChallan]]=TrafficData[[#This Row],[totalChallan]]</f>
        <v>1</v>
      </c>
      <c r="L179" t="b">
        <f>TrafficData[[#This Row],[pendingAmount]]+TrafficData[[#This Row],[disposedAmount]]=TrafficData[[#This Row],[totalAmount]]</f>
        <v>1</v>
      </c>
      <c r="M179" t="b">
        <f>TrafficData[[#This Row],[pendingCourt]]+TrafficData[[#This Row],[disposedCourt]]=TrafficData[[#This Row],[totalCourt]]</f>
        <v>1</v>
      </c>
      <c r="N179" t="b">
        <f>AND(TrafficData[[#This Row],[disposedChallan]]&lt;=TrafficData[[#This Row],[totalChallan]],TrafficData[[#This Row],[pendingChallan]]&lt;=TrafficData[[#This Row],[totalChallan]])</f>
        <v>1</v>
      </c>
      <c r="O179" t="b">
        <f>AND(TrafficData[[#This Row],[pendingAmount]]&lt;=TrafficData[[#This Row],[totalAmount]],TrafficData[[#This Row],[disposedAmount]]&lt;=TrafficData[[#This Row],[totalAmount]])</f>
        <v>1</v>
      </c>
      <c r="P179" t="b">
        <f>AND(TrafficData[[#This Row],[pendingCourt]]&lt;=TrafficData[[#This Row],[totalCourt]],TrafficData[[#This Row],[disposedCourt]]&lt;=TrafficData[[#This Row],[totalCourt]])</f>
        <v>1</v>
      </c>
    </row>
    <row r="180" spans="1:16">
      <c r="A180" s="1">
        <v>42183</v>
      </c>
      <c r="B180">
        <v>63</v>
      </c>
      <c r="C180">
        <v>10</v>
      </c>
      <c r="D180">
        <v>53</v>
      </c>
      <c r="E180">
        <v>336400</v>
      </c>
      <c r="F180">
        <v>32300</v>
      </c>
      <c r="G180">
        <v>368700</v>
      </c>
      <c r="H180">
        <v>0</v>
      </c>
      <c r="I180">
        <v>0</v>
      </c>
      <c r="J180">
        <v>0</v>
      </c>
      <c r="K180" t="b">
        <f>TrafficData[[#This Row],[disposedChallan]]+TrafficData[[#This Row],[pendingChallan]]=TrafficData[[#This Row],[totalChallan]]</f>
        <v>1</v>
      </c>
      <c r="L180" t="b">
        <f>TrafficData[[#This Row],[pendingAmount]]+TrafficData[[#This Row],[disposedAmount]]=TrafficData[[#This Row],[totalAmount]]</f>
        <v>1</v>
      </c>
      <c r="M180" t="b">
        <f>TrafficData[[#This Row],[pendingCourt]]+TrafficData[[#This Row],[disposedCourt]]=TrafficData[[#This Row],[totalCourt]]</f>
        <v>1</v>
      </c>
      <c r="N180" t="b">
        <f>AND(TrafficData[[#This Row],[disposedChallan]]&lt;=TrafficData[[#This Row],[totalChallan]],TrafficData[[#This Row],[pendingChallan]]&lt;=TrafficData[[#This Row],[totalChallan]])</f>
        <v>1</v>
      </c>
      <c r="O180" t="b">
        <f>AND(TrafficData[[#This Row],[pendingAmount]]&lt;=TrafficData[[#This Row],[totalAmount]],TrafficData[[#This Row],[disposedAmount]]&lt;=TrafficData[[#This Row],[totalAmount]])</f>
        <v>1</v>
      </c>
      <c r="P180" t="b">
        <f>AND(TrafficData[[#This Row],[pendingCourt]]&lt;=TrafficData[[#This Row],[totalCourt]],TrafficData[[#This Row],[disposedCourt]]&lt;=TrafficData[[#This Row],[totalCourt]])</f>
        <v>1</v>
      </c>
    </row>
    <row r="181" spans="1:16">
      <c r="A181" s="1">
        <v>42184</v>
      </c>
      <c r="B181">
        <v>101</v>
      </c>
      <c r="C181">
        <v>23</v>
      </c>
      <c r="D181">
        <v>78</v>
      </c>
      <c r="E181">
        <v>518500</v>
      </c>
      <c r="F181">
        <v>135580</v>
      </c>
      <c r="G181">
        <v>654080</v>
      </c>
      <c r="H181">
        <v>5</v>
      </c>
      <c r="I181">
        <v>0</v>
      </c>
      <c r="J181">
        <v>5</v>
      </c>
      <c r="K181" t="b">
        <f>TrafficData[[#This Row],[disposedChallan]]+TrafficData[[#This Row],[pendingChallan]]=TrafficData[[#This Row],[totalChallan]]</f>
        <v>1</v>
      </c>
      <c r="L181" t="b">
        <f>TrafficData[[#This Row],[pendingAmount]]+TrafficData[[#This Row],[disposedAmount]]=TrafficData[[#This Row],[totalAmount]]</f>
        <v>1</v>
      </c>
      <c r="M181" t="b">
        <f>TrafficData[[#This Row],[pendingCourt]]+TrafficData[[#This Row],[disposedCourt]]=TrafficData[[#This Row],[totalCourt]]</f>
        <v>1</v>
      </c>
      <c r="N181" t="b">
        <f>AND(TrafficData[[#This Row],[disposedChallan]]&lt;=TrafficData[[#This Row],[totalChallan]],TrafficData[[#This Row],[pendingChallan]]&lt;=TrafficData[[#This Row],[totalChallan]])</f>
        <v>1</v>
      </c>
      <c r="O181" t="b">
        <f>AND(TrafficData[[#This Row],[pendingAmount]]&lt;=TrafficData[[#This Row],[totalAmount]],TrafficData[[#This Row],[disposedAmount]]&lt;=TrafficData[[#This Row],[totalAmount]])</f>
        <v>1</v>
      </c>
      <c r="P181" t="b">
        <f>AND(TrafficData[[#This Row],[pendingCourt]]&lt;=TrafficData[[#This Row],[totalCourt]],TrafficData[[#This Row],[disposedCourt]]&lt;=TrafficData[[#This Row],[totalCourt]])</f>
        <v>1</v>
      </c>
    </row>
    <row r="182" spans="1:16">
      <c r="A182" s="1">
        <v>42185</v>
      </c>
      <c r="B182">
        <v>95</v>
      </c>
      <c r="C182">
        <v>25</v>
      </c>
      <c r="D182">
        <v>70</v>
      </c>
      <c r="E182">
        <v>423850</v>
      </c>
      <c r="F182">
        <v>92700</v>
      </c>
      <c r="G182">
        <v>516550</v>
      </c>
      <c r="H182">
        <v>2</v>
      </c>
      <c r="I182">
        <v>3</v>
      </c>
      <c r="J182">
        <v>5</v>
      </c>
      <c r="K182" t="b">
        <f>TrafficData[[#This Row],[disposedChallan]]+TrafficData[[#This Row],[pendingChallan]]=TrafficData[[#This Row],[totalChallan]]</f>
        <v>1</v>
      </c>
      <c r="L182" t="b">
        <f>TrafficData[[#This Row],[pendingAmount]]+TrafficData[[#This Row],[disposedAmount]]=TrafficData[[#This Row],[totalAmount]]</f>
        <v>1</v>
      </c>
      <c r="M182" t="b">
        <f>TrafficData[[#This Row],[pendingCourt]]+TrafficData[[#This Row],[disposedCourt]]=TrafficData[[#This Row],[totalCourt]]</f>
        <v>1</v>
      </c>
      <c r="N182" t="b">
        <f>AND(TrafficData[[#This Row],[disposedChallan]]&lt;=TrafficData[[#This Row],[totalChallan]],TrafficData[[#This Row],[pendingChallan]]&lt;=TrafficData[[#This Row],[totalChallan]])</f>
        <v>1</v>
      </c>
      <c r="O182" t="b">
        <f>AND(TrafficData[[#This Row],[pendingAmount]]&lt;=TrafficData[[#This Row],[totalAmount]],TrafficData[[#This Row],[disposedAmount]]&lt;=TrafficData[[#This Row],[totalAmount]])</f>
        <v>1</v>
      </c>
      <c r="P182" t="b">
        <f>AND(TrafficData[[#This Row],[pendingCourt]]&lt;=TrafficData[[#This Row],[totalCourt]],TrafficData[[#This Row],[disposedCourt]]&lt;=TrafficData[[#This Row],[totalCourt]])</f>
        <v>1</v>
      </c>
    </row>
    <row r="183" spans="1:16">
      <c r="A183" s="1">
        <v>42186</v>
      </c>
      <c r="B183">
        <v>93</v>
      </c>
      <c r="C183">
        <v>28</v>
      </c>
      <c r="D183">
        <v>65</v>
      </c>
      <c r="E183">
        <v>672150</v>
      </c>
      <c r="F183">
        <v>144110</v>
      </c>
      <c r="G183">
        <v>816260</v>
      </c>
      <c r="H183">
        <v>1</v>
      </c>
      <c r="I183">
        <v>0</v>
      </c>
      <c r="J183">
        <v>1</v>
      </c>
      <c r="K183" t="b">
        <f>TrafficData[[#This Row],[disposedChallan]]+TrafficData[[#This Row],[pendingChallan]]=TrafficData[[#This Row],[totalChallan]]</f>
        <v>1</v>
      </c>
      <c r="L183" t="b">
        <f>TrafficData[[#This Row],[pendingAmount]]+TrafficData[[#This Row],[disposedAmount]]=TrafficData[[#This Row],[totalAmount]]</f>
        <v>1</v>
      </c>
      <c r="M183" t="b">
        <f>TrafficData[[#This Row],[pendingCourt]]+TrafficData[[#This Row],[disposedCourt]]=TrafficData[[#This Row],[totalCourt]]</f>
        <v>1</v>
      </c>
      <c r="N183" t="b">
        <f>AND(TrafficData[[#This Row],[disposedChallan]]&lt;=TrafficData[[#This Row],[totalChallan]],TrafficData[[#This Row],[pendingChallan]]&lt;=TrafficData[[#This Row],[totalChallan]])</f>
        <v>1</v>
      </c>
      <c r="O183" t="b">
        <f>AND(TrafficData[[#This Row],[pendingAmount]]&lt;=TrafficData[[#This Row],[totalAmount]],TrafficData[[#This Row],[disposedAmount]]&lt;=TrafficData[[#This Row],[totalAmount]])</f>
        <v>1</v>
      </c>
      <c r="P183" t="b">
        <f>AND(TrafficData[[#This Row],[pendingCourt]]&lt;=TrafficData[[#This Row],[totalCourt]],TrafficData[[#This Row],[disposedCourt]]&lt;=TrafficData[[#This Row],[totalCourt]])</f>
        <v>1</v>
      </c>
    </row>
    <row r="184" spans="1:16">
      <c r="A184" s="1">
        <v>42187</v>
      </c>
      <c r="B184">
        <v>117</v>
      </c>
      <c r="C184">
        <v>34</v>
      </c>
      <c r="D184">
        <v>83</v>
      </c>
      <c r="E184">
        <v>663950</v>
      </c>
      <c r="F184">
        <v>159350</v>
      </c>
      <c r="G184">
        <v>823300</v>
      </c>
      <c r="H184">
        <v>0</v>
      </c>
      <c r="I184">
        <v>0</v>
      </c>
      <c r="J184">
        <v>0</v>
      </c>
      <c r="K184" t="b">
        <f>TrafficData[[#This Row],[disposedChallan]]+TrafficData[[#This Row],[pendingChallan]]=TrafficData[[#This Row],[totalChallan]]</f>
        <v>1</v>
      </c>
      <c r="L184" t="b">
        <f>TrafficData[[#This Row],[pendingAmount]]+TrafficData[[#This Row],[disposedAmount]]=TrafficData[[#This Row],[totalAmount]]</f>
        <v>1</v>
      </c>
      <c r="M184" t="b">
        <f>TrafficData[[#This Row],[pendingCourt]]+TrafficData[[#This Row],[disposedCourt]]=TrafficData[[#This Row],[totalCourt]]</f>
        <v>1</v>
      </c>
      <c r="N184" t="b">
        <f>AND(TrafficData[[#This Row],[disposedChallan]]&lt;=TrafficData[[#This Row],[totalChallan]],TrafficData[[#This Row],[pendingChallan]]&lt;=TrafficData[[#This Row],[totalChallan]])</f>
        <v>1</v>
      </c>
      <c r="O184" t="b">
        <f>AND(TrafficData[[#This Row],[pendingAmount]]&lt;=TrafficData[[#This Row],[totalAmount]],TrafficData[[#This Row],[disposedAmount]]&lt;=TrafficData[[#This Row],[totalAmount]])</f>
        <v>1</v>
      </c>
      <c r="P184" t="b">
        <f>AND(TrafficData[[#This Row],[pendingCourt]]&lt;=TrafficData[[#This Row],[totalCourt]],TrafficData[[#This Row],[disposedCourt]]&lt;=TrafficData[[#This Row],[totalCourt]])</f>
        <v>1</v>
      </c>
    </row>
    <row r="185" spans="1:16">
      <c r="A185" s="1">
        <v>42188</v>
      </c>
      <c r="B185">
        <v>113</v>
      </c>
      <c r="C185">
        <v>41</v>
      </c>
      <c r="D185">
        <v>72</v>
      </c>
      <c r="E185">
        <v>540250</v>
      </c>
      <c r="F185">
        <v>164610</v>
      </c>
      <c r="G185">
        <v>704860</v>
      </c>
      <c r="H185">
        <v>1</v>
      </c>
      <c r="I185">
        <v>0</v>
      </c>
      <c r="J185">
        <v>1</v>
      </c>
      <c r="K185" t="b">
        <f>TrafficData[[#This Row],[disposedChallan]]+TrafficData[[#This Row],[pendingChallan]]=TrafficData[[#This Row],[totalChallan]]</f>
        <v>1</v>
      </c>
      <c r="L185" t="b">
        <f>TrafficData[[#This Row],[pendingAmount]]+TrafficData[[#This Row],[disposedAmount]]=TrafficData[[#This Row],[totalAmount]]</f>
        <v>1</v>
      </c>
      <c r="M185" t="b">
        <f>TrafficData[[#This Row],[pendingCourt]]+TrafficData[[#This Row],[disposedCourt]]=TrafficData[[#This Row],[totalCourt]]</f>
        <v>1</v>
      </c>
      <c r="N185" t="b">
        <f>AND(TrafficData[[#This Row],[disposedChallan]]&lt;=TrafficData[[#This Row],[totalChallan]],TrafficData[[#This Row],[pendingChallan]]&lt;=TrafficData[[#This Row],[totalChallan]])</f>
        <v>1</v>
      </c>
      <c r="O185" t="b">
        <f>AND(TrafficData[[#This Row],[pendingAmount]]&lt;=TrafficData[[#This Row],[totalAmount]],TrafficData[[#This Row],[disposedAmount]]&lt;=TrafficData[[#This Row],[totalAmount]])</f>
        <v>1</v>
      </c>
      <c r="P185" t="b">
        <f>AND(TrafficData[[#This Row],[pendingCourt]]&lt;=TrafficData[[#This Row],[totalCourt]],TrafficData[[#This Row],[disposedCourt]]&lt;=TrafficData[[#This Row],[totalCourt]])</f>
        <v>1</v>
      </c>
    </row>
    <row r="186" spans="1:16">
      <c r="A186" s="1">
        <v>42189</v>
      </c>
      <c r="B186">
        <v>142</v>
      </c>
      <c r="C186">
        <v>39</v>
      </c>
      <c r="D186">
        <v>103</v>
      </c>
      <c r="E186">
        <v>619000</v>
      </c>
      <c r="F186">
        <v>276157</v>
      </c>
      <c r="G186">
        <v>895157</v>
      </c>
      <c r="H186">
        <v>0</v>
      </c>
      <c r="I186">
        <v>0</v>
      </c>
      <c r="J186">
        <v>0</v>
      </c>
      <c r="K186" t="b">
        <f>TrafficData[[#This Row],[disposedChallan]]+TrafficData[[#This Row],[pendingChallan]]=TrafficData[[#This Row],[totalChallan]]</f>
        <v>1</v>
      </c>
      <c r="L186" t="b">
        <f>TrafficData[[#This Row],[pendingAmount]]+TrafficData[[#This Row],[disposedAmount]]=TrafficData[[#This Row],[totalAmount]]</f>
        <v>1</v>
      </c>
      <c r="M186" t="b">
        <f>TrafficData[[#This Row],[pendingCourt]]+TrafficData[[#This Row],[disposedCourt]]=TrafficData[[#This Row],[totalCourt]]</f>
        <v>1</v>
      </c>
      <c r="N186" t="b">
        <f>AND(TrafficData[[#This Row],[disposedChallan]]&lt;=TrafficData[[#This Row],[totalChallan]],TrafficData[[#This Row],[pendingChallan]]&lt;=TrafficData[[#This Row],[totalChallan]])</f>
        <v>1</v>
      </c>
      <c r="O186" t="b">
        <f>AND(TrafficData[[#This Row],[pendingAmount]]&lt;=TrafficData[[#This Row],[totalAmount]],TrafficData[[#This Row],[disposedAmount]]&lt;=TrafficData[[#This Row],[totalAmount]])</f>
        <v>1</v>
      </c>
      <c r="P186" t="b">
        <f>AND(TrafficData[[#This Row],[pendingCourt]]&lt;=TrafficData[[#This Row],[totalCourt]],TrafficData[[#This Row],[disposedCourt]]&lt;=TrafficData[[#This Row],[totalCourt]])</f>
        <v>1</v>
      </c>
    </row>
    <row r="187" spans="1:16">
      <c r="A187" s="1">
        <v>42190</v>
      </c>
      <c r="B187">
        <v>78</v>
      </c>
      <c r="C187">
        <v>31</v>
      </c>
      <c r="D187">
        <v>47</v>
      </c>
      <c r="E187">
        <v>346300</v>
      </c>
      <c r="F187">
        <v>164300</v>
      </c>
      <c r="G187">
        <v>510600</v>
      </c>
      <c r="H187">
        <v>0</v>
      </c>
      <c r="I187">
        <v>1</v>
      </c>
      <c r="J187">
        <v>1</v>
      </c>
      <c r="K187" t="b">
        <f>TrafficData[[#This Row],[disposedChallan]]+TrafficData[[#This Row],[pendingChallan]]=TrafficData[[#This Row],[totalChallan]]</f>
        <v>1</v>
      </c>
      <c r="L187" t="b">
        <f>TrafficData[[#This Row],[pendingAmount]]+TrafficData[[#This Row],[disposedAmount]]=TrafficData[[#This Row],[totalAmount]]</f>
        <v>1</v>
      </c>
      <c r="M187" t="b">
        <f>TrafficData[[#This Row],[pendingCourt]]+TrafficData[[#This Row],[disposedCourt]]=TrafficData[[#This Row],[totalCourt]]</f>
        <v>1</v>
      </c>
      <c r="N187" t="b">
        <f>AND(TrafficData[[#This Row],[disposedChallan]]&lt;=TrafficData[[#This Row],[totalChallan]],TrafficData[[#This Row],[pendingChallan]]&lt;=TrafficData[[#This Row],[totalChallan]])</f>
        <v>1</v>
      </c>
      <c r="O187" t="b">
        <f>AND(TrafficData[[#This Row],[pendingAmount]]&lt;=TrafficData[[#This Row],[totalAmount]],TrafficData[[#This Row],[disposedAmount]]&lt;=TrafficData[[#This Row],[totalAmount]])</f>
        <v>1</v>
      </c>
      <c r="P187" t="b">
        <f>AND(TrafficData[[#This Row],[pendingCourt]]&lt;=TrafficData[[#This Row],[totalCourt]],TrafficData[[#This Row],[disposedCourt]]&lt;=TrafficData[[#This Row],[totalCourt]])</f>
        <v>1</v>
      </c>
    </row>
    <row r="188" spans="1:16">
      <c r="A188" s="1">
        <v>42191</v>
      </c>
      <c r="B188">
        <v>130</v>
      </c>
      <c r="C188">
        <v>34</v>
      </c>
      <c r="D188">
        <v>96</v>
      </c>
      <c r="E188">
        <v>731300</v>
      </c>
      <c r="F188">
        <v>204220</v>
      </c>
      <c r="G188">
        <v>935520</v>
      </c>
      <c r="H188">
        <v>0</v>
      </c>
      <c r="I188">
        <v>1</v>
      </c>
      <c r="J188">
        <v>1</v>
      </c>
      <c r="K188" t="b">
        <f>TrafficData[[#This Row],[disposedChallan]]+TrafficData[[#This Row],[pendingChallan]]=TrafficData[[#This Row],[totalChallan]]</f>
        <v>1</v>
      </c>
      <c r="L188" t="b">
        <f>TrafficData[[#This Row],[pendingAmount]]+TrafficData[[#This Row],[disposedAmount]]=TrafficData[[#This Row],[totalAmount]]</f>
        <v>1</v>
      </c>
      <c r="M188" t="b">
        <f>TrafficData[[#This Row],[pendingCourt]]+TrafficData[[#This Row],[disposedCourt]]=TrafficData[[#This Row],[totalCourt]]</f>
        <v>1</v>
      </c>
      <c r="N188" t="b">
        <f>AND(TrafficData[[#This Row],[disposedChallan]]&lt;=TrafficData[[#This Row],[totalChallan]],TrafficData[[#This Row],[pendingChallan]]&lt;=TrafficData[[#This Row],[totalChallan]])</f>
        <v>1</v>
      </c>
      <c r="O188" t="b">
        <f>AND(TrafficData[[#This Row],[pendingAmount]]&lt;=TrafficData[[#This Row],[totalAmount]],TrafficData[[#This Row],[disposedAmount]]&lt;=TrafficData[[#This Row],[totalAmount]])</f>
        <v>1</v>
      </c>
      <c r="P188" t="b">
        <f>AND(TrafficData[[#This Row],[pendingCourt]]&lt;=TrafficData[[#This Row],[totalCourt]],TrafficData[[#This Row],[disposedCourt]]&lt;=TrafficData[[#This Row],[totalCourt]])</f>
        <v>1</v>
      </c>
    </row>
    <row r="189" spans="1:16">
      <c r="A189" s="1">
        <v>42192</v>
      </c>
      <c r="B189">
        <v>118</v>
      </c>
      <c r="C189">
        <v>27</v>
      </c>
      <c r="D189">
        <v>91</v>
      </c>
      <c r="E189">
        <v>772375</v>
      </c>
      <c r="F189">
        <v>130550</v>
      </c>
      <c r="G189">
        <v>902925</v>
      </c>
      <c r="H189">
        <v>1</v>
      </c>
      <c r="I189">
        <v>0</v>
      </c>
      <c r="J189">
        <v>1</v>
      </c>
      <c r="K189" t="b">
        <f>TrafficData[[#This Row],[disposedChallan]]+TrafficData[[#This Row],[pendingChallan]]=TrafficData[[#This Row],[totalChallan]]</f>
        <v>1</v>
      </c>
      <c r="L189" t="b">
        <f>TrafficData[[#This Row],[pendingAmount]]+TrafficData[[#This Row],[disposedAmount]]=TrafficData[[#This Row],[totalAmount]]</f>
        <v>1</v>
      </c>
      <c r="M189" t="b">
        <f>TrafficData[[#This Row],[pendingCourt]]+TrafficData[[#This Row],[disposedCourt]]=TrafficData[[#This Row],[totalCourt]]</f>
        <v>1</v>
      </c>
      <c r="N189" t="b">
        <f>AND(TrafficData[[#This Row],[disposedChallan]]&lt;=TrafficData[[#This Row],[totalChallan]],TrafficData[[#This Row],[pendingChallan]]&lt;=TrafficData[[#This Row],[totalChallan]])</f>
        <v>1</v>
      </c>
      <c r="O189" t="b">
        <f>AND(TrafficData[[#This Row],[pendingAmount]]&lt;=TrafficData[[#This Row],[totalAmount]],TrafficData[[#This Row],[disposedAmount]]&lt;=TrafficData[[#This Row],[totalAmount]])</f>
        <v>1</v>
      </c>
      <c r="P189" t="b">
        <f>AND(TrafficData[[#This Row],[pendingCourt]]&lt;=TrafficData[[#This Row],[totalCourt]],TrafficData[[#This Row],[disposedCourt]]&lt;=TrafficData[[#This Row],[totalCourt]])</f>
        <v>1</v>
      </c>
    </row>
    <row r="190" spans="1:16">
      <c r="A190" s="1">
        <v>42193</v>
      </c>
      <c r="B190">
        <v>131</v>
      </c>
      <c r="C190">
        <v>52</v>
      </c>
      <c r="D190">
        <v>79</v>
      </c>
      <c r="E190">
        <v>993500</v>
      </c>
      <c r="F190">
        <v>381938</v>
      </c>
      <c r="G190">
        <v>1375438</v>
      </c>
      <c r="H190">
        <v>0</v>
      </c>
      <c r="I190">
        <v>2</v>
      </c>
      <c r="J190">
        <v>2</v>
      </c>
      <c r="K190" t="b">
        <f>TrafficData[[#This Row],[disposedChallan]]+TrafficData[[#This Row],[pendingChallan]]=TrafficData[[#This Row],[totalChallan]]</f>
        <v>1</v>
      </c>
      <c r="L190" t="b">
        <f>TrafficData[[#This Row],[pendingAmount]]+TrafficData[[#This Row],[disposedAmount]]=TrafficData[[#This Row],[totalAmount]]</f>
        <v>1</v>
      </c>
      <c r="M190" t="b">
        <f>TrafficData[[#This Row],[pendingCourt]]+TrafficData[[#This Row],[disposedCourt]]=TrafficData[[#This Row],[totalCourt]]</f>
        <v>1</v>
      </c>
      <c r="N190" t="b">
        <f>AND(TrafficData[[#This Row],[disposedChallan]]&lt;=TrafficData[[#This Row],[totalChallan]],TrafficData[[#This Row],[pendingChallan]]&lt;=TrafficData[[#This Row],[totalChallan]])</f>
        <v>1</v>
      </c>
      <c r="O190" t="b">
        <f>AND(TrafficData[[#This Row],[pendingAmount]]&lt;=TrafficData[[#This Row],[totalAmount]],TrafficData[[#This Row],[disposedAmount]]&lt;=TrafficData[[#This Row],[totalAmount]])</f>
        <v>1</v>
      </c>
      <c r="P190" t="b">
        <f>AND(TrafficData[[#This Row],[pendingCourt]]&lt;=TrafficData[[#This Row],[totalCourt]],TrafficData[[#This Row],[disposedCourt]]&lt;=TrafficData[[#This Row],[totalCourt]])</f>
        <v>1</v>
      </c>
    </row>
    <row r="191" spans="1:16">
      <c r="A191" s="1">
        <v>42194</v>
      </c>
      <c r="B191">
        <v>259</v>
      </c>
      <c r="C191">
        <v>88</v>
      </c>
      <c r="D191">
        <v>171</v>
      </c>
      <c r="E191">
        <v>1804180</v>
      </c>
      <c r="F191">
        <v>749500</v>
      </c>
      <c r="G191">
        <v>2553680</v>
      </c>
      <c r="H191">
        <v>2</v>
      </c>
      <c r="I191">
        <v>1</v>
      </c>
      <c r="J191">
        <v>3</v>
      </c>
      <c r="K191" t="b">
        <f>TrafficData[[#This Row],[disposedChallan]]+TrafficData[[#This Row],[pendingChallan]]=TrafficData[[#This Row],[totalChallan]]</f>
        <v>1</v>
      </c>
      <c r="L191" t="b">
        <f>TrafficData[[#This Row],[pendingAmount]]+TrafficData[[#This Row],[disposedAmount]]=TrafficData[[#This Row],[totalAmount]]</f>
        <v>1</v>
      </c>
      <c r="M191" t="b">
        <f>TrafficData[[#This Row],[pendingCourt]]+TrafficData[[#This Row],[disposedCourt]]=TrafficData[[#This Row],[totalCourt]]</f>
        <v>1</v>
      </c>
      <c r="N191" t="b">
        <f>AND(TrafficData[[#This Row],[disposedChallan]]&lt;=TrafficData[[#This Row],[totalChallan]],TrafficData[[#This Row],[pendingChallan]]&lt;=TrafficData[[#This Row],[totalChallan]])</f>
        <v>1</v>
      </c>
      <c r="O191" t="b">
        <f>AND(TrafficData[[#This Row],[pendingAmount]]&lt;=TrafficData[[#This Row],[totalAmount]],TrafficData[[#This Row],[disposedAmount]]&lt;=TrafficData[[#This Row],[totalAmount]])</f>
        <v>1</v>
      </c>
      <c r="P191" t="b">
        <f>AND(TrafficData[[#This Row],[pendingCourt]]&lt;=TrafficData[[#This Row],[totalCourt]],TrafficData[[#This Row],[disposedCourt]]&lt;=TrafficData[[#This Row],[totalCourt]])</f>
        <v>1</v>
      </c>
    </row>
    <row r="192" spans="1:16">
      <c r="A192" s="1">
        <v>42195</v>
      </c>
      <c r="B192">
        <v>154</v>
      </c>
      <c r="C192">
        <v>62</v>
      </c>
      <c r="D192">
        <v>92</v>
      </c>
      <c r="E192">
        <v>1088100</v>
      </c>
      <c r="F192">
        <v>509860</v>
      </c>
      <c r="G192">
        <v>1597960</v>
      </c>
      <c r="H192">
        <v>1</v>
      </c>
      <c r="I192">
        <v>1</v>
      </c>
      <c r="J192">
        <v>2</v>
      </c>
      <c r="K192" t="b">
        <f>TrafficData[[#This Row],[disposedChallan]]+TrafficData[[#This Row],[pendingChallan]]=TrafficData[[#This Row],[totalChallan]]</f>
        <v>1</v>
      </c>
      <c r="L192" t="b">
        <f>TrafficData[[#This Row],[pendingAmount]]+TrafficData[[#This Row],[disposedAmount]]=TrafficData[[#This Row],[totalAmount]]</f>
        <v>1</v>
      </c>
      <c r="M192" t="b">
        <f>TrafficData[[#This Row],[pendingCourt]]+TrafficData[[#This Row],[disposedCourt]]=TrafficData[[#This Row],[totalCourt]]</f>
        <v>1</v>
      </c>
      <c r="N192" t="b">
        <f>AND(TrafficData[[#This Row],[disposedChallan]]&lt;=TrafficData[[#This Row],[totalChallan]],TrafficData[[#This Row],[pendingChallan]]&lt;=TrafficData[[#This Row],[totalChallan]])</f>
        <v>1</v>
      </c>
      <c r="O192" t="b">
        <f>AND(TrafficData[[#This Row],[pendingAmount]]&lt;=TrafficData[[#This Row],[totalAmount]],TrafficData[[#This Row],[disposedAmount]]&lt;=TrafficData[[#This Row],[totalAmount]])</f>
        <v>1</v>
      </c>
      <c r="P192" t="b">
        <f>AND(TrafficData[[#This Row],[pendingCourt]]&lt;=TrafficData[[#This Row],[totalCourt]],TrafficData[[#This Row],[disposedCourt]]&lt;=TrafficData[[#This Row],[totalCourt]])</f>
        <v>1</v>
      </c>
    </row>
    <row r="193" spans="1:16">
      <c r="A193" s="1">
        <v>42196</v>
      </c>
      <c r="B193">
        <v>244</v>
      </c>
      <c r="C193">
        <v>100</v>
      </c>
      <c r="D193">
        <v>144</v>
      </c>
      <c r="E193">
        <v>1521147</v>
      </c>
      <c r="F193">
        <v>730210</v>
      </c>
      <c r="G193">
        <v>2251357</v>
      </c>
      <c r="H193">
        <v>0</v>
      </c>
      <c r="I193">
        <v>0</v>
      </c>
      <c r="J193">
        <v>0</v>
      </c>
      <c r="K193" t="b">
        <f>TrafficData[[#This Row],[disposedChallan]]+TrafficData[[#This Row],[pendingChallan]]=TrafficData[[#This Row],[totalChallan]]</f>
        <v>1</v>
      </c>
      <c r="L193" t="b">
        <f>TrafficData[[#This Row],[pendingAmount]]+TrafficData[[#This Row],[disposedAmount]]=TrafficData[[#This Row],[totalAmount]]</f>
        <v>1</v>
      </c>
      <c r="M193" t="b">
        <f>TrafficData[[#This Row],[pendingCourt]]+TrafficData[[#This Row],[disposedCourt]]=TrafficData[[#This Row],[totalCourt]]</f>
        <v>1</v>
      </c>
      <c r="N193" t="b">
        <f>AND(TrafficData[[#This Row],[disposedChallan]]&lt;=TrafficData[[#This Row],[totalChallan]],TrafficData[[#This Row],[pendingChallan]]&lt;=TrafficData[[#This Row],[totalChallan]])</f>
        <v>1</v>
      </c>
      <c r="O193" t="b">
        <f>AND(TrafficData[[#This Row],[pendingAmount]]&lt;=TrafficData[[#This Row],[totalAmount]],TrafficData[[#This Row],[disposedAmount]]&lt;=TrafficData[[#This Row],[totalAmount]])</f>
        <v>1</v>
      </c>
      <c r="P193" t="b">
        <f>AND(TrafficData[[#This Row],[pendingCourt]]&lt;=TrafficData[[#This Row],[totalCourt]],TrafficData[[#This Row],[disposedCourt]]&lt;=TrafficData[[#This Row],[totalCourt]])</f>
        <v>1</v>
      </c>
    </row>
    <row r="194" spans="1:16">
      <c r="A194" s="1">
        <v>42197</v>
      </c>
      <c r="B194">
        <v>95</v>
      </c>
      <c r="C194">
        <v>42</v>
      </c>
      <c r="D194">
        <v>53</v>
      </c>
      <c r="E194">
        <v>752800</v>
      </c>
      <c r="F194">
        <v>347500</v>
      </c>
      <c r="G194">
        <v>1100300</v>
      </c>
      <c r="H194">
        <v>0</v>
      </c>
      <c r="I194">
        <v>0</v>
      </c>
      <c r="J194">
        <v>0</v>
      </c>
      <c r="K194" t="b">
        <f>TrafficData[[#This Row],[disposedChallan]]+TrafficData[[#This Row],[pendingChallan]]=TrafficData[[#This Row],[totalChallan]]</f>
        <v>1</v>
      </c>
      <c r="L194" t="b">
        <f>TrafficData[[#This Row],[pendingAmount]]+TrafficData[[#This Row],[disposedAmount]]=TrafficData[[#This Row],[totalAmount]]</f>
        <v>1</v>
      </c>
      <c r="M194" t="b">
        <f>TrafficData[[#This Row],[pendingCourt]]+TrafficData[[#This Row],[disposedCourt]]=TrafficData[[#This Row],[totalCourt]]</f>
        <v>1</v>
      </c>
      <c r="N194" t="b">
        <f>AND(TrafficData[[#This Row],[disposedChallan]]&lt;=TrafficData[[#This Row],[totalChallan]],TrafficData[[#This Row],[pendingChallan]]&lt;=TrafficData[[#This Row],[totalChallan]])</f>
        <v>1</v>
      </c>
      <c r="O194" t="b">
        <f>AND(TrafficData[[#This Row],[pendingAmount]]&lt;=TrafficData[[#This Row],[totalAmount]],TrafficData[[#This Row],[disposedAmount]]&lt;=TrafficData[[#This Row],[totalAmount]])</f>
        <v>1</v>
      </c>
      <c r="P194" t="b">
        <f>AND(TrafficData[[#This Row],[pendingCourt]]&lt;=TrafficData[[#This Row],[totalCourt]],TrafficData[[#This Row],[disposedCourt]]&lt;=TrafficData[[#This Row],[totalCourt]])</f>
        <v>1</v>
      </c>
    </row>
    <row r="195" spans="1:16">
      <c r="A195" s="1">
        <v>42198</v>
      </c>
      <c r="B195">
        <v>136</v>
      </c>
      <c r="C195">
        <v>53</v>
      </c>
      <c r="D195">
        <v>83</v>
      </c>
      <c r="E195">
        <v>684704</v>
      </c>
      <c r="F195">
        <v>467800</v>
      </c>
      <c r="G195">
        <v>1152504</v>
      </c>
      <c r="H195">
        <v>2</v>
      </c>
      <c r="I195">
        <v>1</v>
      </c>
      <c r="J195">
        <v>3</v>
      </c>
      <c r="K195" t="b">
        <f>TrafficData[[#This Row],[disposedChallan]]+TrafficData[[#This Row],[pendingChallan]]=TrafficData[[#This Row],[totalChallan]]</f>
        <v>1</v>
      </c>
      <c r="L195" t="b">
        <f>TrafficData[[#This Row],[pendingAmount]]+TrafficData[[#This Row],[disposedAmount]]=TrafficData[[#This Row],[totalAmount]]</f>
        <v>1</v>
      </c>
      <c r="M195" t="b">
        <f>TrafficData[[#This Row],[pendingCourt]]+TrafficData[[#This Row],[disposedCourt]]=TrafficData[[#This Row],[totalCourt]]</f>
        <v>1</v>
      </c>
      <c r="N195" t="b">
        <f>AND(TrafficData[[#This Row],[disposedChallan]]&lt;=TrafficData[[#This Row],[totalChallan]],TrafficData[[#This Row],[pendingChallan]]&lt;=TrafficData[[#This Row],[totalChallan]])</f>
        <v>1</v>
      </c>
      <c r="O195" t="b">
        <f>AND(TrafficData[[#This Row],[pendingAmount]]&lt;=TrafficData[[#This Row],[totalAmount]],TrafficData[[#This Row],[disposedAmount]]&lt;=TrafficData[[#This Row],[totalAmount]])</f>
        <v>1</v>
      </c>
      <c r="P195" t="b">
        <f>AND(TrafficData[[#This Row],[pendingCourt]]&lt;=TrafficData[[#This Row],[totalCourt]],TrafficData[[#This Row],[disposedCourt]]&lt;=TrafficData[[#This Row],[totalCourt]])</f>
        <v>1</v>
      </c>
    </row>
    <row r="196" spans="1:16">
      <c r="A196" s="1">
        <v>42199</v>
      </c>
      <c r="B196">
        <v>121</v>
      </c>
      <c r="C196">
        <v>45</v>
      </c>
      <c r="D196">
        <v>76</v>
      </c>
      <c r="E196">
        <v>758770</v>
      </c>
      <c r="F196">
        <v>314850</v>
      </c>
      <c r="G196">
        <v>1073620</v>
      </c>
      <c r="H196">
        <v>2</v>
      </c>
      <c r="I196">
        <v>0</v>
      </c>
      <c r="J196">
        <v>2</v>
      </c>
      <c r="K196" t="b">
        <f>TrafficData[[#This Row],[disposedChallan]]+TrafficData[[#This Row],[pendingChallan]]=TrafficData[[#This Row],[totalChallan]]</f>
        <v>1</v>
      </c>
      <c r="L196" t="b">
        <f>TrafficData[[#This Row],[pendingAmount]]+TrafficData[[#This Row],[disposedAmount]]=TrafficData[[#This Row],[totalAmount]]</f>
        <v>1</v>
      </c>
      <c r="M196" t="b">
        <f>TrafficData[[#This Row],[pendingCourt]]+TrafficData[[#This Row],[disposedCourt]]=TrafficData[[#This Row],[totalCourt]]</f>
        <v>1</v>
      </c>
      <c r="N196" t="b">
        <f>AND(TrafficData[[#This Row],[disposedChallan]]&lt;=TrafficData[[#This Row],[totalChallan]],TrafficData[[#This Row],[pendingChallan]]&lt;=TrafficData[[#This Row],[totalChallan]])</f>
        <v>1</v>
      </c>
      <c r="O196" t="b">
        <f>AND(TrafficData[[#This Row],[pendingAmount]]&lt;=TrafficData[[#This Row],[totalAmount]],TrafficData[[#This Row],[disposedAmount]]&lt;=TrafficData[[#This Row],[totalAmount]])</f>
        <v>1</v>
      </c>
      <c r="P196" t="b">
        <f>AND(TrafficData[[#This Row],[pendingCourt]]&lt;=TrafficData[[#This Row],[totalCourt]],TrafficData[[#This Row],[disposedCourt]]&lt;=TrafficData[[#This Row],[totalCourt]])</f>
        <v>1</v>
      </c>
    </row>
    <row r="197" spans="1:16">
      <c r="A197" s="1">
        <v>42200</v>
      </c>
      <c r="B197">
        <v>142</v>
      </c>
      <c r="C197">
        <v>55</v>
      </c>
      <c r="D197">
        <v>87</v>
      </c>
      <c r="E197">
        <v>959500</v>
      </c>
      <c r="F197">
        <v>403985</v>
      </c>
      <c r="G197">
        <v>1363485</v>
      </c>
      <c r="H197">
        <v>0</v>
      </c>
      <c r="I197">
        <v>0</v>
      </c>
      <c r="J197">
        <v>0</v>
      </c>
      <c r="K197" t="b">
        <f>TrafficData[[#This Row],[disposedChallan]]+TrafficData[[#This Row],[pendingChallan]]=TrafficData[[#This Row],[totalChallan]]</f>
        <v>1</v>
      </c>
      <c r="L197" t="b">
        <f>TrafficData[[#This Row],[pendingAmount]]+TrafficData[[#This Row],[disposedAmount]]=TrafficData[[#This Row],[totalAmount]]</f>
        <v>1</v>
      </c>
      <c r="M197" t="b">
        <f>TrafficData[[#This Row],[pendingCourt]]+TrafficData[[#This Row],[disposedCourt]]=TrafficData[[#This Row],[totalCourt]]</f>
        <v>1</v>
      </c>
      <c r="N197" t="b">
        <f>AND(TrafficData[[#This Row],[disposedChallan]]&lt;=TrafficData[[#This Row],[totalChallan]],TrafficData[[#This Row],[pendingChallan]]&lt;=TrafficData[[#This Row],[totalChallan]])</f>
        <v>1</v>
      </c>
      <c r="O197" t="b">
        <f>AND(TrafficData[[#This Row],[pendingAmount]]&lt;=TrafficData[[#This Row],[totalAmount]],TrafficData[[#This Row],[disposedAmount]]&lt;=TrafficData[[#This Row],[totalAmount]])</f>
        <v>1</v>
      </c>
      <c r="P197" t="b">
        <f>AND(TrafficData[[#This Row],[pendingCourt]]&lt;=TrafficData[[#This Row],[totalCourt]],TrafficData[[#This Row],[disposedCourt]]&lt;=TrafficData[[#This Row],[totalCourt]])</f>
        <v>1</v>
      </c>
    </row>
    <row r="198" spans="1:16">
      <c r="A198" s="1">
        <v>42201</v>
      </c>
      <c r="B198">
        <v>113</v>
      </c>
      <c r="C198">
        <v>29</v>
      </c>
      <c r="D198">
        <v>84</v>
      </c>
      <c r="E198">
        <v>959300</v>
      </c>
      <c r="F198">
        <v>257300</v>
      </c>
      <c r="G198">
        <v>1216600</v>
      </c>
      <c r="H198">
        <v>2</v>
      </c>
      <c r="I198">
        <v>0</v>
      </c>
      <c r="J198">
        <v>2</v>
      </c>
      <c r="K198" t="b">
        <f>TrafficData[[#This Row],[disposedChallan]]+TrafficData[[#This Row],[pendingChallan]]=TrafficData[[#This Row],[totalChallan]]</f>
        <v>1</v>
      </c>
      <c r="L198" t="b">
        <f>TrafficData[[#This Row],[pendingAmount]]+TrafficData[[#This Row],[disposedAmount]]=TrafficData[[#This Row],[totalAmount]]</f>
        <v>1</v>
      </c>
      <c r="M198" t="b">
        <f>TrafficData[[#This Row],[pendingCourt]]+TrafficData[[#This Row],[disposedCourt]]=TrafficData[[#This Row],[totalCourt]]</f>
        <v>1</v>
      </c>
      <c r="N198" t="b">
        <f>AND(TrafficData[[#This Row],[disposedChallan]]&lt;=TrafficData[[#This Row],[totalChallan]],TrafficData[[#This Row],[pendingChallan]]&lt;=TrafficData[[#This Row],[totalChallan]])</f>
        <v>1</v>
      </c>
      <c r="O198" t="b">
        <f>AND(TrafficData[[#This Row],[pendingAmount]]&lt;=TrafficData[[#This Row],[totalAmount]],TrafficData[[#This Row],[disposedAmount]]&lt;=TrafficData[[#This Row],[totalAmount]])</f>
        <v>1</v>
      </c>
      <c r="P198" t="b">
        <f>AND(TrafficData[[#This Row],[pendingCourt]]&lt;=TrafficData[[#This Row],[totalCourt]],TrafficData[[#This Row],[disposedCourt]]&lt;=TrafficData[[#This Row],[totalCourt]])</f>
        <v>1</v>
      </c>
    </row>
    <row r="199" spans="1:16">
      <c r="A199" s="1">
        <v>42202</v>
      </c>
      <c r="B199">
        <v>231</v>
      </c>
      <c r="C199">
        <v>72</v>
      </c>
      <c r="D199">
        <v>159</v>
      </c>
      <c r="E199">
        <v>1279497</v>
      </c>
      <c r="F199">
        <v>547770</v>
      </c>
      <c r="G199">
        <v>1827267</v>
      </c>
      <c r="H199">
        <v>1</v>
      </c>
      <c r="I199">
        <v>2</v>
      </c>
      <c r="J199">
        <v>3</v>
      </c>
      <c r="K199" t="b">
        <f>TrafficData[[#This Row],[disposedChallan]]+TrafficData[[#This Row],[pendingChallan]]=TrafficData[[#This Row],[totalChallan]]</f>
        <v>1</v>
      </c>
      <c r="L199" t="b">
        <f>TrafficData[[#This Row],[pendingAmount]]+TrafficData[[#This Row],[disposedAmount]]=TrafficData[[#This Row],[totalAmount]]</f>
        <v>1</v>
      </c>
      <c r="M199" t="b">
        <f>TrafficData[[#This Row],[pendingCourt]]+TrafficData[[#This Row],[disposedCourt]]=TrafficData[[#This Row],[totalCourt]]</f>
        <v>1</v>
      </c>
      <c r="N199" t="b">
        <f>AND(TrafficData[[#This Row],[disposedChallan]]&lt;=TrafficData[[#This Row],[totalChallan]],TrafficData[[#This Row],[pendingChallan]]&lt;=TrafficData[[#This Row],[totalChallan]])</f>
        <v>1</v>
      </c>
      <c r="O199" t="b">
        <f>AND(TrafficData[[#This Row],[pendingAmount]]&lt;=TrafficData[[#This Row],[totalAmount]],TrafficData[[#This Row],[disposedAmount]]&lt;=TrafficData[[#This Row],[totalAmount]])</f>
        <v>1</v>
      </c>
      <c r="P199" t="b">
        <f>AND(TrafficData[[#This Row],[pendingCourt]]&lt;=TrafficData[[#This Row],[totalCourt]],TrafficData[[#This Row],[disposedCourt]]&lt;=TrafficData[[#This Row],[totalCourt]])</f>
        <v>1</v>
      </c>
    </row>
    <row r="200" spans="1:16">
      <c r="A200" s="1">
        <v>42203</v>
      </c>
      <c r="B200">
        <v>69</v>
      </c>
      <c r="C200">
        <v>25</v>
      </c>
      <c r="D200">
        <v>44</v>
      </c>
      <c r="E200">
        <v>490500</v>
      </c>
      <c r="F200">
        <v>163600</v>
      </c>
      <c r="G200">
        <v>654100</v>
      </c>
      <c r="H200">
        <v>0</v>
      </c>
      <c r="I200">
        <v>0</v>
      </c>
      <c r="J200">
        <v>0</v>
      </c>
      <c r="K200" t="b">
        <f>TrafficData[[#This Row],[disposedChallan]]+TrafficData[[#This Row],[pendingChallan]]=TrafficData[[#This Row],[totalChallan]]</f>
        <v>1</v>
      </c>
      <c r="L200" t="b">
        <f>TrafficData[[#This Row],[pendingAmount]]+TrafficData[[#This Row],[disposedAmount]]=TrafficData[[#This Row],[totalAmount]]</f>
        <v>1</v>
      </c>
      <c r="M200" t="b">
        <f>TrafficData[[#This Row],[pendingCourt]]+TrafficData[[#This Row],[disposedCourt]]=TrafficData[[#This Row],[totalCourt]]</f>
        <v>1</v>
      </c>
      <c r="N200" t="b">
        <f>AND(TrafficData[[#This Row],[disposedChallan]]&lt;=TrafficData[[#This Row],[totalChallan]],TrafficData[[#This Row],[pendingChallan]]&lt;=TrafficData[[#This Row],[totalChallan]])</f>
        <v>1</v>
      </c>
      <c r="O200" t="b">
        <f>AND(TrafficData[[#This Row],[pendingAmount]]&lt;=TrafficData[[#This Row],[totalAmount]],TrafficData[[#This Row],[disposedAmount]]&lt;=TrafficData[[#This Row],[totalAmount]])</f>
        <v>1</v>
      </c>
      <c r="P200" t="b">
        <f>AND(TrafficData[[#This Row],[pendingCourt]]&lt;=TrafficData[[#This Row],[totalCourt]],TrafficData[[#This Row],[disposedCourt]]&lt;=TrafficData[[#This Row],[totalCourt]])</f>
        <v>1</v>
      </c>
    </row>
    <row r="201" spans="1:16">
      <c r="A201" s="1">
        <v>42204</v>
      </c>
      <c r="B201">
        <v>99</v>
      </c>
      <c r="C201">
        <v>20</v>
      </c>
      <c r="D201">
        <v>79</v>
      </c>
      <c r="E201">
        <v>486000</v>
      </c>
      <c r="F201">
        <v>88100</v>
      </c>
      <c r="G201">
        <v>574100</v>
      </c>
      <c r="H201">
        <v>0</v>
      </c>
      <c r="I201">
        <v>0</v>
      </c>
      <c r="J201">
        <v>0</v>
      </c>
      <c r="K201" t="b">
        <f>TrafficData[[#This Row],[disposedChallan]]+TrafficData[[#This Row],[pendingChallan]]=TrafficData[[#This Row],[totalChallan]]</f>
        <v>1</v>
      </c>
      <c r="L201" t="b">
        <f>TrafficData[[#This Row],[pendingAmount]]+TrafficData[[#This Row],[disposedAmount]]=TrafficData[[#This Row],[totalAmount]]</f>
        <v>1</v>
      </c>
      <c r="M201" t="b">
        <f>TrafficData[[#This Row],[pendingCourt]]+TrafficData[[#This Row],[disposedCourt]]=TrafficData[[#This Row],[totalCourt]]</f>
        <v>1</v>
      </c>
      <c r="N201" t="b">
        <f>AND(TrafficData[[#This Row],[disposedChallan]]&lt;=TrafficData[[#This Row],[totalChallan]],TrafficData[[#This Row],[pendingChallan]]&lt;=TrafficData[[#This Row],[totalChallan]])</f>
        <v>1</v>
      </c>
      <c r="O201" t="b">
        <f>AND(TrafficData[[#This Row],[pendingAmount]]&lt;=TrafficData[[#This Row],[totalAmount]],TrafficData[[#This Row],[disposedAmount]]&lt;=TrafficData[[#This Row],[totalAmount]])</f>
        <v>1</v>
      </c>
      <c r="P201" t="b">
        <f>AND(TrafficData[[#This Row],[pendingCourt]]&lt;=TrafficData[[#This Row],[totalCourt]],TrafficData[[#This Row],[disposedCourt]]&lt;=TrafficData[[#This Row],[totalCourt]])</f>
        <v>1</v>
      </c>
    </row>
    <row r="202" spans="1:16">
      <c r="A202" s="1">
        <v>42205</v>
      </c>
      <c r="B202">
        <v>109</v>
      </c>
      <c r="C202">
        <v>28</v>
      </c>
      <c r="D202">
        <v>81</v>
      </c>
      <c r="E202">
        <v>713150</v>
      </c>
      <c r="F202">
        <v>135550</v>
      </c>
      <c r="G202">
        <v>848700</v>
      </c>
      <c r="H202">
        <v>1</v>
      </c>
      <c r="I202">
        <v>1</v>
      </c>
      <c r="J202">
        <v>2</v>
      </c>
      <c r="K202" t="b">
        <f>TrafficData[[#This Row],[disposedChallan]]+TrafficData[[#This Row],[pendingChallan]]=TrafficData[[#This Row],[totalChallan]]</f>
        <v>1</v>
      </c>
      <c r="L202" t="b">
        <f>TrafficData[[#This Row],[pendingAmount]]+TrafficData[[#This Row],[disposedAmount]]=TrafficData[[#This Row],[totalAmount]]</f>
        <v>1</v>
      </c>
      <c r="M202" t="b">
        <f>TrafficData[[#This Row],[pendingCourt]]+TrafficData[[#This Row],[disposedCourt]]=TrafficData[[#This Row],[totalCourt]]</f>
        <v>1</v>
      </c>
      <c r="N202" t="b">
        <f>AND(TrafficData[[#This Row],[disposedChallan]]&lt;=TrafficData[[#This Row],[totalChallan]],TrafficData[[#This Row],[pendingChallan]]&lt;=TrafficData[[#This Row],[totalChallan]])</f>
        <v>1</v>
      </c>
      <c r="O202" t="b">
        <f>AND(TrafficData[[#This Row],[pendingAmount]]&lt;=TrafficData[[#This Row],[totalAmount]],TrafficData[[#This Row],[disposedAmount]]&lt;=TrafficData[[#This Row],[totalAmount]])</f>
        <v>1</v>
      </c>
      <c r="P202" t="b">
        <f>AND(TrafficData[[#This Row],[pendingCourt]]&lt;=TrafficData[[#This Row],[totalCourt]],TrafficData[[#This Row],[disposedCourt]]&lt;=TrafficData[[#This Row],[totalCourt]])</f>
        <v>1</v>
      </c>
    </row>
    <row r="203" spans="1:16">
      <c r="A203" s="1">
        <v>42206</v>
      </c>
      <c r="B203">
        <v>143</v>
      </c>
      <c r="C203">
        <v>48</v>
      </c>
      <c r="D203">
        <v>95</v>
      </c>
      <c r="E203">
        <v>654300</v>
      </c>
      <c r="F203">
        <v>336275</v>
      </c>
      <c r="G203">
        <v>990575</v>
      </c>
      <c r="H203">
        <v>4</v>
      </c>
      <c r="I203">
        <v>0</v>
      </c>
      <c r="J203">
        <v>4</v>
      </c>
      <c r="K203" t="b">
        <f>TrafficData[[#This Row],[disposedChallan]]+TrafficData[[#This Row],[pendingChallan]]=TrafficData[[#This Row],[totalChallan]]</f>
        <v>1</v>
      </c>
      <c r="L203" t="b">
        <f>TrafficData[[#This Row],[pendingAmount]]+TrafficData[[#This Row],[disposedAmount]]=TrafficData[[#This Row],[totalAmount]]</f>
        <v>1</v>
      </c>
      <c r="M203" t="b">
        <f>TrafficData[[#This Row],[pendingCourt]]+TrafficData[[#This Row],[disposedCourt]]=TrafficData[[#This Row],[totalCourt]]</f>
        <v>1</v>
      </c>
      <c r="N203" t="b">
        <f>AND(TrafficData[[#This Row],[disposedChallan]]&lt;=TrafficData[[#This Row],[totalChallan]],TrafficData[[#This Row],[pendingChallan]]&lt;=TrafficData[[#This Row],[totalChallan]])</f>
        <v>1</v>
      </c>
      <c r="O203" t="b">
        <f>AND(TrafficData[[#This Row],[pendingAmount]]&lt;=TrafficData[[#This Row],[totalAmount]],TrafficData[[#This Row],[disposedAmount]]&lt;=TrafficData[[#This Row],[totalAmount]])</f>
        <v>1</v>
      </c>
      <c r="P203" t="b">
        <f>AND(TrafficData[[#This Row],[pendingCourt]]&lt;=TrafficData[[#This Row],[totalCourt]],TrafficData[[#This Row],[disposedCourt]]&lt;=TrafficData[[#This Row],[totalCourt]])</f>
        <v>1</v>
      </c>
    </row>
    <row r="204" spans="1:16">
      <c r="A204" s="1">
        <v>42207</v>
      </c>
      <c r="B204">
        <v>126</v>
      </c>
      <c r="C204">
        <v>47</v>
      </c>
      <c r="D204">
        <v>79</v>
      </c>
      <c r="E204">
        <v>736350</v>
      </c>
      <c r="F204">
        <v>483970</v>
      </c>
      <c r="G204">
        <v>1220320</v>
      </c>
      <c r="H204">
        <v>1</v>
      </c>
      <c r="I204">
        <v>1</v>
      </c>
      <c r="J204">
        <v>2</v>
      </c>
      <c r="K204" t="b">
        <f>TrafficData[[#This Row],[disposedChallan]]+TrafficData[[#This Row],[pendingChallan]]=TrafficData[[#This Row],[totalChallan]]</f>
        <v>1</v>
      </c>
      <c r="L204" t="b">
        <f>TrafficData[[#This Row],[pendingAmount]]+TrafficData[[#This Row],[disposedAmount]]=TrafficData[[#This Row],[totalAmount]]</f>
        <v>1</v>
      </c>
      <c r="M204" t="b">
        <f>TrafficData[[#This Row],[pendingCourt]]+TrafficData[[#This Row],[disposedCourt]]=TrafficData[[#This Row],[totalCourt]]</f>
        <v>1</v>
      </c>
      <c r="N204" t="b">
        <f>AND(TrafficData[[#This Row],[disposedChallan]]&lt;=TrafficData[[#This Row],[totalChallan]],TrafficData[[#This Row],[pendingChallan]]&lt;=TrafficData[[#This Row],[totalChallan]])</f>
        <v>1</v>
      </c>
      <c r="O204" t="b">
        <f>AND(TrafficData[[#This Row],[pendingAmount]]&lt;=TrafficData[[#This Row],[totalAmount]],TrafficData[[#This Row],[disposedAmount]]&lt;=TrafficData[[#This Row],[totalAmount]])</f>
        <v>1</v>
      </c>
      <c r="P204" t="b">
        <f>AND(TrafficData[[#This Row],[pendingCourt]]&lt;=TrafficData[[#This Row],[totalCourt]],TrafficData[[#This Row],[disposedCourt]]&lt;=TrafficData[[#This Row],[totalCourt]])</f>
        <v>1</v>
      </c>
    </row>
    <row r="205" spans="1:16">
      <c r="A205" s="1">
        <v>42208</v>
      </c>
      <c r="B205">
        <v>156</v>
      </c>
      <c r="C205">
        <v>55</v>
      </c>
      <c r="D205">
        <v>101</v>
      </c>
      <c r="E205">
        <v>674951</v>
      </c>
      <c r="F205">
        <v>328370</v>
      </c>
      <c r="G205">
        <v>1003321</v>
      </c>
      <c r="H205">
        <v>1</v>
      </c>
      <c r="I205">
        <v>1</v>
      </c>
      <c r="J205">
        <v>2</v>
      </c>
      <c r="K205" t="b">
        <f>TrafficData[[#This Row],[disposedChallan]]+TrafficData[[#This Row],[pendingChallan]]=TrafficData[[#This Row],[totalChallan]]</f>
        <v>1</v>
      </c>
      <c r="L205" t="b">
        <f>TrafficData[[#This Row],[pendingAmount]]+TrafficData[[#This Row],[disposedAmount]]=TrafficData[[#This Row],[totalAmount]]</f>
        <v>1</v>
      </c>
      <c r="M205" t="b">
        <f>TrafficData[[#This Row],[pendingCourt]]+TrafficData[[#This Row],[disposedCourt]]=TrafficData[[#This Row],[totalCourt]]</f>
        <v>1</v>
      </c>
      <c r="N205" t="b">
        <f>AND(TrafficData[[#This Row],[disposedChallan]]&lt;=TrafficData[[#This Row],[totalChallan]],TrafficData[[#This Row],[pendingChallan]]&lt;=TrafficData[[#This Row],[totalChallan]])</f>
        <v>1</v>
      </c>
      <c r="O205" t="b">
        <f>AND(TrafficData[[#This Row],[pendingAmount]]&lt;=TrafficData[[#This Row],[totalAmount]],TrafficData[[#This Row],[disposedAmount]]&lt;=TrafficData[[#This Row],[totalAmount]])</f>
        <v>1</v>
      </c>
      <c r="P205" t="b">
        <f>AND(TrafficData[[#This Row],[pendingCourt]]&lt;=TrafficData[[#This Row],[totalCourt]],TrafficData[[#This Row],[disposedCourt]]&lt;=TrafficData[[#This Row],[totalCourt]])</f>
        <v>1</v>
      </c>
    </row>
    <row r="206" spans="1:16">
      <c r="A206" s="1">
        <v>42209</v>
      </c>
      <c r="B206">
        <v>126</v>
      </c>
      <c r="C206">
        <v>37</v>
      </c>
      <c r="D206">
        <v>89</v>
      </c>
      <c r="E206">
        <v>589150</v>
      </c>
      <c r="F206">
        <v>187350</v>
      </c>
      <c r="G206">
        <v>776500</v>
      </c>
      <c r="H206">
        <v>4</v>
      </c>
      <c r="I206">
        <v>0</v>
      </c>
      <c r="J206">
        <v>4</v>
      </c>
      <c r="K206" t="b">
        <f>TrafficData[[#This Row],[disposedChallan]]+TrafficData[[#This Row],[pendingChallan]]=TrafficData[[#This Row],[totalChallan]]</f>
        <v>1</v>
      </c>
      <c r="L206" t="b">
        <f>TrafficData[[#This Row],[pendingAmount]]+TrafficData[[#This Row],[disposedAmount]]=TrafficData[[#This Row],[totalAmount]]</f>
        <v>1</v>
      </c>
      <c r="M206" t="b">
        <f>TrafficData[[#This Row],[pendingCourt]]+TrafficData[[#This Row],[disposedCourt]]=TrafficData[[#This Row],[totalCourt]]</f>
        <v>1</v>
      </c>
      <c r="N206" t="b">
        <f>AND(TrafficData[[#This Row],[disposedChallan]]&lt;=TrafficData[[#This Row],[totalChallan]],TrafficData[[#This Row],[pendingChallan]]&lt;=TrafficData[[#This Row],[totalChallan]])</f>
        <v>1</v>
      </c>
      <c r="O206" t="b">
        <f>AND(TrafficData[[#This Row],[pendingAmount]]&lt;=TrafficData[[#This Row],[totalAmount]],TrafficData[[#This Row],[disposedAmount]]&lt;=TrafficData[[#This Row],[totalAmount]])</f>
        <v>1</v>
      </c>
      <c r="P206" t="b">
        <f>AND(TrafficData[[#This Row],[pendingCourt]]&lt;=TrafficData[[#This Row],[totalCourt]],TrafficData[[#This Row],[disposedCourt]]&lt;=TrafficData[[#This Row],[totalCourt]])</f>
        <v>1</v>
      </c>
    </row>
    <row r="207" spans="1:16">
      <c r="A207" s="1">
        <v>42210</v>
      </c>
      <c r="B207">
        <v>102</v>
      </c>
      <c r="C207">
        <v>39</v>
      </c>
      <c r="D207">
        <v>63</v>
      </c>
      <c r="E207">
        <v>546350</v>
      </c>
      <c r="F207">
        <v>209600</v>
      </c>
      <c r="G207">
        <v>755950</v>
      </c>
      <c r="H207">
        <v>0</v>
      </c>
      <c r="I207">
        <v>5</v>
      </c>
      <c r="J207">
        <v>5</v>
      </c>
      <c r="K207" t="b">
        <f>TrafficData[[#This Row],[disposedChallan]]+TrafficData[[#This Row],[pendingChallan]]=TrafficData[[#This Row],[totalChallan]]</f>
        <v>1</v>
      </c>
      <c r="L207" t="b">
        <f>TrafficData[[#This Row],[pendingAmount]]+TrafficData[[#This Row],[disposedAmount]]=TrafficData[[#This Row],[totalAmount]]</f>
        <v>1</v>
      </c>
      <c r="M207" t="b">
        <f>TrafficData[[#This Row],[pendingCourt]]+TrafficData[[#This Row],[disposedCourt]]=TrafficData[[#This Row],[totalCourt]]</f>
        <v>1</v>
      </c>
      <c r="N207" t="b">
        <f>AND(TrafficData[[#This Row],[disposedChallan]]&lt;=TrafficData[[#This Row],[totalChallan]],TrafficData[[#This Row],[pendingChallan]]&lt;=TrafficData[[#This Row],[totalChallan]])</f>
        <v>1</v>
      </c>
      <c r="O207" t="b">
        <f>AND(TrafficData[[#This Row],[pendingAmount]]&lt;=TrafficData[[#This Row],[totalAmount]],TrafficData[[#This Row],[disposedAmount]]&lt;=TrafficData[[#This Row],[totalAmount]])</f>
        <v>1</v>
      </c>
      <c r="P207" t="b">
        <f>AND(TrafficData[[#This Row],[pendingCourt]]&lt;=TrafficData[[#This Row],[totalCourt]],TrafficData[[#This Row],[disposedCourt]]&lt;=TrafficData[[#This Row],[totalCourt]])</f>
        <v>1</v>
      </c>
    </row>
    <row r="208" spans="1:16">
      <c r="A208" s="1">
        <v>42211</v>
      </c>
      <c r="B208">
        <v>87</v>
      </c>
      <c r="C208">
        <v>33</v>
      </c>
      <c r="D208">
        <v>54</v>
      </c>
      <c r="E208">
        <v>416000</v>
      </c>
      <c r="F208">
        <v>220550</v>
      </c>
      <c r="G208">
        <v>636550</v>
      </c>
      <c r="H208">
        <v>0</v>
      </c>
      <c r="I208">
        <v>2</v>
      </c>
      <c r="J208">
        <v>2</v>
      </c>
      <c r="K208" t="b">
        <f>TrafficData[[#This Row],[disposedChallan]]+TrafficData[[#This Row],[pendingChallan]]=TrafficData[[#This Row],[totalChallan]]</f>
        <v>1</v>
      </c>
      <c r="L208" t="b">
        <f>TrafficData[[#This Row],[pendingAmount]]+TrafficData[[#This Row],[disposedAmount]]=TrafficData[[#This Row],[totalAmount]]</f>
        <v>1</v>
      </c>
      <c r="M208" t="b">
        <f>TrafficData[[#This Row],[pendingCourt]]+TrafficData[[#This Row],[disposedCourt]]=TrafficData[[#This Row],[totalCourt]]</f>
        <v>1</v>
      </c>
      <c r="N208" t="b">
        <f>AND(TrafficData[[#This Row],[disposedChallan]]&lt;=TrafficData[[#This Row],[totalChallan]],TrafficData[[#This Row],[pendingChallan]]&lt;=TrafficData[[#This Row],[totalChallan]])</f>
        <v>1</v>
      </c>
      <c r="O208" t="b">
        <f>AND(TrafficData[[#This Row],[pendingAmount]]&lt;=TrafficData[[#This Row],[totalAmount]],TrafficData[[#This Row],[disposedAmount]]&lt;=TrafficData[[#This Row],[totalAmount]])</f>
        <v>1</v>
      </c>
      <c r="P208" t="b">
        <f>AND(TrafficData[[#This Row],[pendingCourt]]&lt;=TrafficData[[#This Row],[totalCourt]],TrafficData[[#This Row],[disposedCourt]]&lt;=TrafficData[[#This Row],[totalCourt]])</f>
        <v>1</v>
      </c>
    </row>
    <row r="209" spans="1:16">
      <c r="A209" s="1">
        <v>42212</v>
      </c>
      <c r="B209">
        <v>75</v>
      </c>
      <c r="C209">
        <v>28</v>
      </c>
      <c r="D209">
        <v>47</v>
      </c>
      <c r="E209">
        <v>491950</v>
      </c>
      <c r="F209">
        <v>198800</v>
      </c>
      <c r="G209">
        <v>690750</v>
      </c>
      <c r="H209">
        <v>0</v>
      </c>
      <c r="I209">
        <v>0</v>
      </c>
      <c r="J209">
        <v>0</v>
      </c>
      <c r="K209" t="b">
        <f>TrafficData[[#This Row],[disposedChallan]]+TrafficData[[#This Row],[pendingChallan]]=TrafficData[[#This Row],[totalChallan]]</f>
        <v>1</v>
      </c>
      <c r="L209" t="b">
        <f>TrafficData[[#This Row],[pendingAmount]]+TrafficData[[#This Row],[disposedAmount]]=TrafficData[[#This Row],[totalAmount]]</f>
        <v>1</v>
      </c>
      <c r="M209" t="b">
        <f>TrafficData[[#This Row],[pendingCourt]]+TrafficData[[#This Row],[disposedCourt]]=TrafficData[[#This Row],[totalCourt]]</f>
        <v>1</v>
      </c>
      <c r="N209" t="b">
        <f>AND(TrafficData[[#This Row],[disposedChallan]]&lt;=TrafficData[[#This Row],[totalChallan]],TrafficData[[#This Row],[pendingChallan]]&lt;=TrafficData[[#This Row],[totalChallan]])</f>
        <v>1</v>
      </c>
      <c r="O209" t="b">
        <f>AND(TrafficData[[#This Row],[pendingAmount]]&lt;=TrafficData[[#This Row],[totalAmount]],TrafficData[[#This Row],[disposedAmount]]&lt;=TrafficData[[#This Row],[totalAmount]])</f>
        <v>1</v>
      </c>
      <c r="P209" t="b">
        <f>AND(TrafficData[[#This Row],[pendingCourt]]&lt;=TrafficData[[#This Row],[totalCourt]],TrafficData[[#This Row],[disposedCourt]]&lt;=TrafficData[[#This Row],[totalCourt]])</f>
        <v>1</v>
      </c>
    </row>
    <row r="210" spans="1:16">
      <c r="A210" s="1">
        <v>42213</v>
      </c>
      <c r="B210">
        <v>46</v>
      </c>
      <c r="C210">
        <v>18</v>
      </c>
      <c r="D210">
        <v>28</v>
      </c>
      <c r="E210">
        <v>175700</v>
      </c>
      <c r="F210">
        <v>117937</v>
      </c>
      <c r="G210">
        <v>293637</v>
      </c>
      <c r="H210">
        <v>5</v>
      </c>
      <c r="I210">
        <v>0</v>
      </c>
      <c r="J210">
        <v>5</v>
      </c>
      <c r="K210" t="b">
        <f>TrafficData[[#This Row],[disposedChallan]]+TrafficData[[#This Row],[pendingChallan]]=TrafficData[[#This Row],[totalChallan]]</f>
        <v>1</v>
      </c>
      <c r="L210" t="b">
        <f>TrafficData[[#This Row],[pendingAmount]]+TrafficData[[#This Row],[disposedAmount]]=TrafficData[[#This Row],[totalAmount]]</f>
        <v>1</v>
      </c>
      <c r="M210" t="b">
        <f>TrafficData[[#This Row],[pendingCourt]]+TrafficData[[#This Row],[disposedCourt]]=TrafficData[[#This Row],[totalCourt]]</f>
        <v>1</v>
      </c>
      <c r="N210" t="b">
        <f>AND(TrafficData[[#This Row],[disposedChallan]]&lt;=TrafficData[[#This Row],[totalChallan]],TrafficData[[#This Row],[pendingChallan]]&lt;=TrafficData[[#This Row],[totalChallan]])</f>
        <v>1</v>
      </c>
      <c r="O210" t="b">
        <f>AND(TrafficData[[#This Row],[pendingAmount]]&lt;=TrafficData[[#This Row],[totalAmount]],TrafficData[[#This Row],[disposedAmount]]&lt;=TrafficData[[#This Row],[totalAmount]])</f>
        <v>1</v>
      </c>
      <c r="P210" t="b">
        <f>AND(TrafficData[[#This Row],[pendingCourt]]&lt;=TrafficData[[#This Row],[totalCourt]],TrafficData[[#This Row],[disposedCourt]]&lt;=TrafficData[[#This Row],[totalCourt]])</f>
        <v>1</v>
      </c>
    </row>
    <row r="211" spans="1:16">
      <c r="A211" s="1">
        <v>42214</v>
      </c>
      <c r="B211">
        <v>63</v>
      </c>
      <c r="C211">
        <v>21</v>
      </c>
      <c r="D211">
        <v>42</v>
      </c>
      <c r="E211">
        <v>465119</v>
      </c>
      <c r="F211">
        <v>117350</v>
      </c>
      <c r="G211">
        <v>582469</v>
      </c>
      <c r="H211">
        <v>1</v>
      </c>
      <c r="I211">
        <v>1</v>
      </c>
      <c r="J211">
        <v>2</v>
      </c>
      <c r="K211" t="b">
        <f>TrafficData[[#This Row],[disposedChallan]]+TrafficData[[#This Row],[pendingChallan]]=TrafficData[[#This Row],[totalChallan]]</f>
        <v>1</v>
      </c>
      <c r="L211" t="b">
        <f>TrafficData[[#This Row],[pendingAmount]]+TrafficData[[#This Row],[disposedAmount]]=TrafficData[[#This Row],[totalAmount]]</f>
        <v>1</v>
      </c>
      <c r="M211" t="b">
        <f>TrafficData[[#This Row],[pendingCourt]]+TrafficData[[#This Row],[disposedCourt]]=TrafficData[[#This Row],[totalCourt]]</f>
        <v>1</v>
      </c>
      <c r="N211" t="b">
        <f>AND(TrafficData[[#This Row],[disposedChallan]]&lt;=TrafficData[[#This Row],[totalChallan]],TrafficData[[#This Row],[pendingChallan]]&lt;=TrafficData[[#This Row],[totalChallan]])</f>
        <v>1</v>
      </c>
      <c r="O211" t="b">
        <f>AND(TrafficData[[#This Row],[pendingAmount]]&lt;=TrafficData[[#This Row],[totalAmount]],TrafficData[[#This Row],[disposedAmount]]&lt;=TrafficData[[#This Row],[totalAmount]])</f>
        <v>1</v>
      </c>
      <c r="P211" t="b">
        <f>AND(TrafficData[[#This Row],[pendingCourt]]&lt;=TrafficData[[#This Row],[totalCourt]],TrafficData[[#This Row],[disposedCourt]]&lt;=TrafficData[[#This Row],[totalCourt]])</f>
        <v>1</v>
      </c>
    </row>
    <row r="212" spans="1:16">
      <c r="A212" s="1">
        <v>42215</v>
      </c>
      <c r="B212">
        <v>106</v>
      </c>
      <c r="C212">
        <v>39</v>
      </c>
      <c r="D212">
        <v>67</v>
      </c>
      <c r="E212">
        <v>459300</v>
      </c>
      <c r="F212">
        <v>312860</v>
      </c>
      <c r="G212">
        <v>772160</v>
      </c>
      <c r="H212">
        <v>1</v>
      </c>
      <c r="I212">
        <v>0</v>
      </c>
      <c r="J212">
        <v>1</v>
      </c>
      <c r="K212" t="b">
        <f>TrafficData[[#This Row],[disposedChallan]]+TrafficData[[#This Row],[pendingChallan]]=TrafficData[[#This Row],[totalChallan]]</f>
        <v>1</v>
      </c>
      <c r="L212" t="b">
        <f>TrafficData[[#This Row],[pendingAmount]]+TrafficData[[#This Row],[disposedAmount]]=TrafficData[[#This Row],[totalAmount]]</f>
        <v>1</v>
      </c>
      <c r="M212" t="b">
        <f>TrafficData[[#This Row],[pendingCourt]]+TrafficData[[#This Row],[disposedCourt]]=TrafficData[[#This Row],[totalCourt]]</f>
        <v>1</v>
      </c>
      <c r="N212" t="b">
        <f>AND(TrafficData[[#This Row],[disposedChallan]]&lt;=TrafficData[[#This Row],[totalChallan]],TrafficData[[#This Row],[pendingChallan]]&lt;=TrafficData[[#This Row],[totalChallan]])</f>
        <v>1</v>
      </c>
      <c r="O212" t="b">
        <f>AND(TrafficData[[#This Row],[pendingAmount]]&lt;=TrafficData[[#This Row],[totalAmount]],TrafficData[[#This Row],[disposedAmount]]&lt;=TrafficData[[#This Row],[totalAmount]])</f>
        <v>1</v>
      </c>
      <c r="P212" t="b">
        <f>AND(TrafficData[[#This Row],[pendingCourt]]&lt;=TrafficData[[#This Row],[totalCourt]],TrafficData[[#This Row],[disposedCourt]]&lt;=TrafficData[[#This Row],[totalCourt]])</f>
        <v>1</v>
      </c>
    </row>
    <row r="213" spans="1:16">
      <c r="A213" s="1">
        <v>42216</v>
      </c>
      <c r="B213">
        <v>128</v>
      </c>
      <c r="C213">
        <v>47</v>
      </c>
      <c r="D213">
        <v>81</v>
      </c>
      <c r="E213">
        <v>560100</v>
      </c>
      <c r="F213">
        <v>361803</v>
      </c>
      <c r="G213">
        <v>921903</v>
      </c>
      <c r="H213">
        <v>0</v>
      </c>
      <c r="I213">
        <v>0</v>
      </c>
      <c r="J213">
        <v>0</v>
      </c>
      <c r="K213" t="b">
        <f>TrafficData[[#This Row],[disposedChallan]]+TrafficData[[#This Row],[pendingChallan]]=TrafficData[[#This Row],[totalChallan]]</f>
        <v>1</v>
      </c>
      <c r="L213" t="b">
        <f>TrafficData[[#This Row],[pendingAmount]]+TrafficData[[#This Row],[disposedAmount]]=TrafficData[[#This Row],[totalAmount]]</f>
        <v>1</v>
      </c>
      <c r="M213" t="b">
        <f>TrafficData[[#This Row],[pendingCourt]]+TrafficData[[#This Row],[disposedCourt]]=TrafficData[[#This Row],[totalCourt]]</f>
        <v>1</v>
      </c>
      <c r="N213" t="b">
        <f>AND(TrafficData[[#This Row],[disposedChallan]]&lt;=TrafficData[[#This Row],[totalChallan]],TrafficData[[#This Row],[pendingChallan]]&lt;=TrafficData[[#This Row],[totalChallan]])</f>
        <v>1</v>
      </c>
      <c r="O213" t="b">
        <f>AND(TrafficData[[#This Row],[pendingAmount]]&lt;=TrafficData[[#This Row],[totalAmount]],TrafficData[[#This Row],[disposedAmount]]&lt;=TrafficData[[#This Row],[totalAmount]])</f>
        <v>1</v>
      </c>
      <c r="P213" t="b">
        <f>AND(TrafficData[[#This Row],[pendingCourt]]&lt;=TrafficData[[#This Row],[totalCourt]],TrafficData[[#This Row],[disposedCourt]]&lt;=TrafficData[[#This Row],[totalCourt]])</f>
        <v>1</v>
      </c>
    </row>
    <row r="214" spans="1:16">
      <c r="A214" s="1">
        <v>42217</v>
      </c>
      <c r="B214">
        <v>92</v>
      </c>
      <c r="C214">
        <v>26</v>
      </c>
      <c r="D214">
        <v>66</v>
      </c>
      <c r="E214">
        <v>756250</v>
      </c>
      <c r="F214">
        <v>130700</v>
      </c>
      <c r="G214">
        <v>886950</v>
      </c>
      <c r="H214">
        <v>5</v>
      </c>
      <c r="I214">
        <v>1</v>
      </c>
      <c r="J214">
        <v>6</v>
      </c>
      <c r="K214" t="b">
        <f>TrafficData[[#This Row],[disposedChallan]]+TrafficData[[#This Row],[pendingChallan]]=TrafficData[[#This Row],[totalChallan]]</f>
        <v>1</v>
      </c>
      <c r="L214" t="b">
        <f>TrafficData[[#This Row],[pendingAmount]]+TrafficData[[#This Row],[disposedAmount]]=TrafficData[[#This Row],[totalAmount]]</f>
        <v>1</v>
      </c>
      <c r="M214" t="b">
        <f>TrafficData[[#This Row],[pendingCourt]]+TrafficData[[#This Row],[disposedCourt]]=TrafficData[[#This Row],[totalCourt]]</f>
        <v>1</v>
      </c>
      <c r="N214" t="b">
        <f>AND(TrafficData[[#This Row],[disposedChallan]]&lt;=TrafficData[[#This Row],[totalChallan]],TrafficData[[#This Row],[pendingChallan]]&lt;=TrafficData[[#This Row],[totalChallan]])</f>
        <v>1</v>
      </c>
      <c r="O214" t="b">
        <f>AND(TrafficData[[#This Row],[pendingAmount]]&lt;=TrafficData[[#This Row],[totalAmount]],TrafficData[[#This Row],[disposedAmount]]&lt;=TrafficData[[#This Row],[totalAmount]])</f>
        <v>1</v>
      </c>
      <c r="P214" t="b">
        <f>AND(TrafficData[[#This Row],[pendingCourt]]&lt;=TrafficData[[#This Row],[totalCourt]],TrafficData[[#This Row],[disposedCourt]]&lt;=TrafficData[[#This Row],[totalCourt]])</f>
        <v>1</v>
      </c>
    </row>
    <row r="215" spans="1:16">
      <c r="A215" s="1">
        <v>42218</v>
      </c>
      <c r="B215">
        <v>96</v>
      </c>
      <c r="C215">
        <v>42</v>
      </c>
      <c r="D215">
        <v>54</v>
      </c>
      <c r="E215">
        <v>573550</v>
      </c>
      <c r="F215">
        <v>346050</v>
      </c>
      <c r="G215">
        <v>919600</v>
      </c>
      <c r="H215">
        <v>0</v>
      </c>
      <c r="I215">
        <v>0</v>
      </c>
      <c r="J215">
        <v>0</v>
      </c>
      <c r="K215" t="b">
        <f>TrafficData[[#This Row],[disposedChallan]]+TrafficData[[#This Row],[pendingChallan]]=TrafficData[[#This Row],[totalChallan]]</f>
        <v>1</v>
      </c>
      <c r="L215" t="b">
        <f>TrafficData[[#This Row],[pendingAmount]]+TrafficData[[#This Row],[disposedAmount]]=TrafficData[[#This Row],[totalAmount]]</f>
        <v>1</v>
      </c>
      <c r="M215" t="b">
        <f>TrafficData[[#This Row],[pendingCourt]]+TrafficData[[#This Row],[disposedCourt]]=TrafficData[[#This Row],[totalCourt]]</f>
        <v>1</v>
      </c>
      <c r="N215" t="b">
        <f>AND(TrafficData[[#This Row],[disposedChallan]]&lt;=TrafficData[[#This Row],[totalChallan]],TrafficData[[#This Row],[pendingChallan]]&lt;=TrafficData[[#This Row],[totalChallan]])</f>
        <v>1</v>
      </c>
      <c r="O215" t="b">
        <f>AND(TrafficData[[#This Row],[pendingAmount]]&lt;=TrafficData[[#This Row],[totalAmount]],TrafficData[[#This Row],[disposedAmount]]&lt;=TrafficData[[#This Row],[totalAmount]])</f>
        <v>1</v>
      </c>
      <c r="P215" t="b">
        <f>AND(TrafficData[[#This Row],[pendingCourt]]&lt;=TrafficData[[#This Row],[totalCourt]],TrafficData[[#This Row],[disposedCourt]]&lt;=TrafficData[[#This Row],[totalCourt]])</f>
        <v>1</v>
      </c>
    </row>
    <row r="216" spans="1:16">
      <c r="A216" s="1">
        <v>42219</v>
      </c>
      <c r="B216">
        <v>99</v>
      </c>
      <c r="C216">
        <v>31</v>
      </c>
      <c r="D216">
        <v>68</v>
      </c>
      <c r="E216">
        <v>356370</v>
      </c>
      <c r="F216">
        <v>199992</v>
      </c>
      <c r="G216">
        <v>556362</v>
      </c>
      <c r="H216">
        <v>3</v>
      </c>
      <c r="I216">
        <v>0</v>
      </c>
      <c r="J216">
        <v>3</v>
      </c>
      <c r="K216" t="b">
        <f>TrafficData[[#This Row],[disposedChallan]]+TrafficData[[#This Row],[pendingChallan]]=TrafficData[[#This Row],[totalChallan]]</f>
        <v>1</v>
      </c>
      <c r="L216" t="b">
        <f>TrafficData[[#This Row],[pendingAmount]]+TrafficData[[#This Row],[disposedAmount]]=TrafficData[[#This Row],[totalAmount]]</f>
        <v>1</v>
      </c>
      <c r="M216" t="b">
        <f>TrafficData[[#This Row],[pendingCourt]]+TrafficData[[#This Row],[disposedCourt]]=TrafficData[[#This Row],[totalCourt]]</f>
        <v>1</v>
      </c>
      <c r="N216" t="b">
        <f>AND(TrafficData[[#This Row],[disposedChallan]]&lt;=TrafficData[[#This Row],[totalChallan]],TrafficData[[#This Row],[pendingChallan]]&lt;=TrafficData[[#This Row],[totalChallan]])</f>
        <v>1</v>
      </c>
      <c r="O216" t="b">
        <f>AND(TrafficData[[#This Row],[pendingAmount]]&lt;=TrafficData[[#This Row],[totalAmount]],TrafficData[[#This Row],[disposedAmount]]&lt;=TrafficData[[#This Row],[totalAmount]])</f>
        <v>1</v>
      </c>
      <c r="P216" t="b">
        <f>AND(TrafficData[[#This Row],[pendingCourt]]&lt;=TrafficData[[#This Row],[totalCourt]],TrafficData[[#This Row],[disposedCourt]]&lt;=TrafficData[[#This Row],[totalCourt]])</f>
        <v>1</v>
      </c>
    </row>
    <row r="217" spans="1:16">
      <c r="A217" s="1">
        <v>42220</v>
      </c>
      <c r="B217">
        <v>92</v>
      </c>
      <c r="C217">
        <v>29</v>
      </c>
      <c r="D217">
        <v>63</v>
      </c>
      <c r="E217">
        <v>431550</v>
      </c>
      <c r="F217">
        <v>108200</v>
      </c>
      <c r="G217">
        <v>539750</v>
      </c>
      <c r="H217">
        <v>0</v>
      </c>
      <c r="I217">
        <v>0</v>
      </c>
      <c r="J217">
        <v>0</v>
      </c>
      <c r="K217" t="b">
        <f>TrafficData[[#This Row],[disposedChallan]]+TrafficData[[#This Row],[pendingChallan]]=TrafficData[[#This Row],[totalChallan]]</f>
        <v>1</v>
      </c>
      <c r="L217" t="b">
        <f>TrafficData[[#This Row],[pendingAmount]]+TrafficData[[#This Row],[disposedAmount]]=TrafficData[[#This Row],[totalAmount]]</f>
        <v>1</v>
      </c>
      <c r="M217" t="b">
        <f>TrafficData[[#This Row],[pendingCourt]]+TrafficData[[#This Row],[disposedCourt]]=TrafficData[[#This Row],[totalCourt]]</f>
        <v>1</v>
      </c>
      <c r="N217" t="b">
        <f>AND(TrafficData[[#This Row],[disposedChallan]]&lt;=TrafficData[[#This Row],[totalChallan]],TrafficData[[#This Row],[pendingChallan]]&lt;=TrafficData[[#This Row],[totalChallan]])</f>
        <v>1</v>
      </c>
      <c r="O217" t="b">
        <f>AND(TrafficData[[#This Row],[pendingAmount]]&lt;=TrafficData[[#This Row],[totalAmount]],TrafficData[[#This Row],[disposedAmount]]&lt;=TrafficData[[#This Row],[totalAmount]])</f>
        <v>1</v>
      </c>
      <c r="P217" t="b">
        <f>AND(TrafficData[[#This Row],[pendingCourt]]&lt;=TrafficData[[#This Row],[totalCourt]],TrafficData[[#This Row],[disposedCourt]]&lt;=TrafficData[[#This Row],[totalCourt]])</f>
        <v>1</v>
      </c>
    </row>
    <row r="218" spans="1:16">
      <c r="A218" s="1">
        <v>42221</v>
      </c>
      <c r="B218">
        <v>145</v>
      </c>
      <c r="C218">
        <v>70</v>
      </c>
      <c r="D218">
        <v>75</v>
      </c>
      <c r="E218">
        <v>824320</v>
      </c>
      <c r="F218">
        <v>977870</v>
      </c>
      <c r="G218">
        <v>1802190</v>
      </c>
      <c r="H218">
        <v>2</v>
      </c>
      <c r="I218">
        <v>0</v>
      </c>
      <c r="J218">
        <v>2</v>
      </c>
      <c r="K218" t="b">
        <f>TrafficData[[#This Row],[disposedChallan]]+TrafficData[[#This Row],[pendingChallan]]=TrafficData[[#This Row],[totalChallan]]</f>
        <v>1</v>
      </c>
      <c r="L218" t="b">
        <f>TrafficData[[#This Row],[pendingAmount]]+TrafficData[[#This Row],[disposedAmount]]=TrafficData[[#This Row],[totalAmount]]</f>
        <v>1</v>
      </c>
      <c r="M218" t="b">
        <f>TrafficData[[#This Row],[pendingCourt]]+TrafficData[[#This Row],[disposedCourt]]=TrafficData[[#This Row],[totalCourt]]</f>
        <v>1</v>
      </c>
      <c r="N218" t="b">
        <f>AND(TrafficData[[#This Row],[disposedChallan]]&lt;=TrafficData[[#This Row],[totalChallan]],TrafficData[[#This Row],[pendingChallan]]&lt;=TrafficData[[#This Row],[totalChallan]])</f>
        <v>1</v>
      </c>
      <c r="O218" t="b">
        <f>AND(TrafficData[[#This Row],[pendingAmount]]&lt;=TrafficData[[#This Row],[totalAmount]],TrafficData[[#This Row],[disposedAmount]]&lt;=TrafficData[[#This Row],[totalAmount]])</f>
        <v>1</v>
      </c>
      <c r="P218" t="b">
        <f>AND(TrafficData[[#This Row],[pendingCourt]]&lt;=TrafficData[[#This Row],[totalCourt]],TrafficData[[#This Row],[disposedCourt]]&lt;=TrafficData[[#This Row],[totalCourt]])</f>
        <v>1</v>
      </c>
    </row>
    <row r="219" spans="1:16">
      <c r="A219" s="1">
        <v>42222</v>
      </c>
      <c r="B219">
        <v>98</v>
      </c>
      <c r="C219">
        <v>38</v>
      </c>
      <c r="D219">
        <v>60</v>
      </c>
      <c r="E219">
        <v>502700</v>
      </c>
      <c r="F219">
        <v>233140</v>
      </c>
      <c r="G219">
        <v>735840</v>
      </c>
      <c r="H219">
        <v>4</v>
      </c>
      <c r="I219">
        <v>0</v>
      </c>
      <c r="J219">
        <v>4</v>
      </c>
      <c r="K219" t="b">
        <f>TrafficData[[#This Row],[disposedChallan]]+TrafficData[[#This Row],[pendingChallan]]=TrafficData[[#This Row],[totalChallan]]</f>
        <v>1</v>
      </c>
      <c r="L219" t="b">
        <f>TrafficData[[#This Row],[pendingAmount]]+TrafficData[[#This Row],[disposedAmount]]=TrafficData[[#This Row],[totalAmount]]</f>
        <v>1</v>
      </c>
      <c r="M219" t="b">
        <f>TrafficData[[#This Row],[pendingCourt]]+TrafficData[[#This Row],[disposedCourt]]=TrafficData[[#This Row],[totalCourt]]</f>
        <v>1</v>
      </c>
      <c r="N219" t="b">
        <f>AND(TrafficData[[#This Row],[disposedChallan]]&lt;=TrafficData[[#This Row],[totalChallan]],TrafficData[[#This Row],[pendingChallan]]&lt;=TrafficData[[#This Row],[totalChallan]])</f>
        <v>1</v>
      </c>
      <c r="O219" t="b">
        <f>AND(TrafficData[[#This Row],[pendingAmount]]&lt;=TrafficData[[#This Row],[totalAmount]],TrafficData[[#This Row],[disposedAmount]]&lt;=TrafficData[[#This Row],[totalAmount]])</f>
        <v>1</v>
      </c>
      <c r="P219" t="b">
        <f>AND(TrafficData[[#This Row],[pendingCourt]]&lt;=TrafficData[[#This Row],[totalCourt]],TrafficData[[#This Row],[disposedCourt]]&lt;=TrafficData[[#This Row],[totalCourt]])</f>
        <v>1</v>
      </c>
    </row>
    <row r="220" spans="1:16">
      <c r="A220" s="1">
        <v>42223</v>
      </c>
      <c r="B220">
        <v>105</v>
      </c>
      <c r="C220">
        <v>35</v>
      </c>
      <c r="D220">
        <v>70</v>
      </c>
      <c r="E220">
        <v>494570</v>
      </c>
      <c r="F220">
        <v>271020</v>
      </c>
      <c r="G220">
        <v>765590</v>
      </c>
      <c r="H220">
        <v>6</v>
      </c>
      <c r="I220">
        <v>1</v>
      </c>
      <c r="J220">
        <v>7</v>
      </c>
      <c r="K220" t="b">
        <f>TrafficData[[#This Row],[disposedChallan]]+TrafficData[[#This Row],[pendingChallan]]=TrafficData[[#This Row],[totalChallan]]</f>
        <v>1</v>
      </c>
      <c r="L220" t="b">
        <f>TrafficData[[#This Row],[pendingAmount]]+TrafficData[[#This Row],[disposedAmount]]=TrafficData[[#This Row],[totalAmount]]</f>
        <v>1</v>
      </c>
      <c r="M220" t="b">
        <f>TrafficData[[#This Row],[pendingCourt]]+TrafficData[[#This Row],[disposedCourt]]=TrafficData[[#This Row],[totalCourt]]</f>
        <v>1</v>
      </c>
      <c r="N220" t="b">
        <f>AND(TrafficData[[#This Row],[disposedChallan]]&lt;=TrafficData[[#This Row],[totalChallan]],TrafficData[[#This Row],[pendingChallan]]&lt;=TrafficData[[#This Row],[totalChallan]])</f>
        <v>1</v>
      </c>
      <c r="O220" t="b">
        <f>AND(TrafficData[[#This Row],[pendingAmount]]&lt;=TrafficData[[#This Row],[totalAmount]],TrafficData[[#This Row],[disposedAmount]]&lt;=TrafficData[[#This Row],[totalAmount]])</f>
        <v>1</v>
      </c>
      <c r="P220" t="b">
        <f>AND(TrafficData[[#This Row],[pendingCourt]]&lt;=TrafficData[[#This Row],[totalCourt]],TrafficData[[#This Row],[disposedCourt]]&lt;=TrafficData[[#This Row],[totalCourt]])</f>
        <v>1</v>
      </c>
    </row>
    <row r="221" spans="1:16">
      <c r="A221" s="1">
        <v>42224</v>
      </c>
      <c r="B221">
        <v>96</v>
      </c>
      <c r="C221">
        <v>29</v>
      </c>
      <c r="D221">
        <v>67</v>
      </c>
      <c r="E221">
        <v>418300</v>
      </c>
      <c r="F221">
        <v>116900</v>
      </c>
      <c r="G221">
        <v>535200</v>
      </c>
      <c r="H221">
        <v>0</v>
      </c>
      <c r="I221">
        <v>1</v>
      </c>
      <c r="J221">
        <v>1</v>
      </c>
      <c r="K221" t="b">
        <f>TrafficData[[#This Row],[disposedChallan]]+TrafficData[[#This Row],[pendingChallan]]=TrafficData[[#This Row],[totalChallan]]</f>
        <v>1</v>
      </c>
      <c r="L221" t="b">
        <f>TrafficData[[#This Row],[pendingAmount]]+TrafficData[[#This Row],[disposedAmount]]=TrafficData[[#This Row],[totalAmount]]</f>
        <v>1</v>
      </c>
      <c r="M221" t="b">
        <f>TrafficData[[#This Row],[pendingCourt]]+TrafficData[[#This Row],[disposedCourt]]=TrafficData[[#This Row],[totalCourt]]</f>
        <v>1</v>
      </c>
      <c r="N221" t="b">
        <f>AND(TrafficData[[#This Row],[disposedChallan]]&lt;=TrafficData[[#This Row],[totalChallan]],TrafficData[[#This Row],[pendingChallan]]&lt;=TrafficData[[#This Row],[totalChallan]])</f>
        <v>1</v>
      </c>
      <c r="O221" t="b">
        <f>AND(TrafficData[[#This Row],[pendingAmount]]&lt;=TrafficData[[#This Row],[totalAmount]],TrafficData[[#This Row],[disposedAmount]]&lt;=TrafficData[[#This Row],[totalAmount]])</f>
        <v>1</v>
      </c>
      <c r="P221" t="b">
        <f>AND(TrafficData[[#This Row],[pendingCourt]]&lt;=TrafficData[[#This Row],[totalCourt]],TrafficData[[#This Row],[disposedCourt]]&lt;=TrafficData[[#This Row],[totalCourt]])</f>
        <v>1</v>
      </c>
    </row>
    <row r="222" spans="1:16">
      <c r="A222" s="1">
        <v>42225</v>
      </c>
      <c r="B222">
        <v>64</v>
      </c>
      <c r="C222">
        <v>18</v>
      </c>
      <c r="D222">
        <v>46</v>
      </c>
      <c r="E222">
        <v>182100</v>
      </c>
      <c r="F222">
        <v>121800</v>
      </c>
      <c r="G222">
        <v>303900</v>
      </c>
      <c r="H222">
        <v>0</v>
      </c>
      <c r="I222">
        <v>1</v>
      </c>
      <c r="J222">
        <v>1</v>
      </c>
      <c r="K222" t="b">
        <f>TrafficData[[#This Row],[disposedChallan]]+TrafficData[[#This Row],[pendingChallan]]=TrafficData[[#This Row],[totalChallan]]</f>
        <v>1</v>
      </c>
      <c r="L222" t="b">
        <f>TrafficData[[#This Row],[pendingAmount]]+TrafficData[[#This Row],[disposedAmount]]=TrafficData[[#This Row],[totalAmount]]</f>
        <v>1</v>
      </c>
      <c r="M222" t="b">
        <f>TrafficData[[#This Row],[pendingCourt]]+TrafficData[[#This Row],[disposedCourt]]=TrafficData[[#This Row],[totalCourt]]</f>
        <v>1</v>
      </c>
      <c r="N222" t="b">
        <f>AND(TrafficData[[#This Row],[disposedChallan]]&lt;=TrafficData[[#This Row],[totalChallan]],TrafficData[[#This Row],[pendingChallan]]&lt;=TrafficData[[#This Row],[totalChallan]])</f>
        <v>1</v>
      </c>
      <c r="O222" t="b">
        <f>AND(TrafficData[[#This Row],[pendingAmount]]&lt;=TrafficData[[#This Row],[totalAmount]],TrafficData[[#This Row],[disposedAmount]]&lt;=TrafficData[[#This Row],[totalAmount]])</f>
        <v>1</v>
      </c>
      <c r="P222" t="b">
        <f>AND(TrafficData[[#This Row],[pendingCourt]]&lt;=TrafficData[[#This Row],[totalCourt]],TrafficData[[#This Row],[disposedCourt]]&lt;=TrafficData[[#This Row],[totalCourt]])</f>
        <v>1</v>
      </c>
    </row>
    <row r="223" spans="1:16">
      <c r="A223" s="1">
        <v>42226</v>
      </c>
      <c r="B223">
        <v>93</v>
      </c>
      <c r="C223">
        <v>23</v>
      </c>
      <c r="D223">
        <v>70</v>
      </c>
      <c r="E223">
        <v>526169</v>
      </c>
      <c r="F223">
        <v>110600</v>
      </c>
      <c r="G223">
        <v>636769</v>
      </c>
      <c r="H223">
        <v>1</v>
      </c>
      <c r="I223">
        <v>0</v>
      </c>
      <c r="J223">
        <v>1</v>
      </c>
      <c r="K223" t="b">
        <f>TrafficData[[#This Row],[disposedChallan]]+TrafficData[[#This Row],[pendingChallan]]=TrafficData[[#This Row],[totalChallan]]</f>
        <v>1</v>
      </c>
      <c r="L223" t="b">
        <f>TrafficData[[#This Row],[pendingAmount]]+TrafficData[[#This Row],[disposedAmount]]=TrafficData[[#This Row],[totalAmount]]</f>
        <v>1</v>
      </c>
      <c r="M223" t="b">
        <f>TrafficData[[#This Row],[pendingCourt]]+TrafficData[[#This Row],[disposedCourt]]=TrafficData[[#This Row],[totalCourt]]</f>
        <v>1</v>
      </c>
      <c r="N223" t="b">
        <f>AND(TrafficData[[#This Row],[disposedChallan]]&lt;=TrafficData[[#This Row],[totalChallan]],TrafficData[[#This Row],[pendingChallan]]&lt;=TrafficData[[#This Row],[totalChallan]])</f>
        <v>1</v>
      </c>
      <c r="O223" t="b">
        <f>AND(TrafficData[[#This Row],[pendingAmount]]&lt;=TrafficData[[#This Row],[totalAmount]],TrafficData[[#This Row],[disposedAmount]]&lt;=TrafficData[[#This Row],[totalAmount]])</f>
        <v>1</v>
      </c>
      <c r="P223" t="b">
        <f>AND(TrafficData[[#This Row],[pendingCourt]]&lt;=TrafficData[[#This Row],[totalCourt]],TrafficData[[#This Row],[disposedCourt]]&lt;=TrafficData[[#This Row],[totalCourt]])</f>
        <v>1</v>
      </c>
    </row>
    <row r="224" spans="1:16">
      <c r="A224" s="1">
        <v>42227</v>
      </c>
      <c r="B224">
        <v>76</v>
      </c>
      <c r="C224">
        <v>21</v>
      </c>
      <c r="D224">
        <v>55</v>
      </c>
      <c r="E224">
        <v>281850</v>
      </c>
      <c r="F224">
        <v>132030</v>
      </c>
      <c r="G224">
        <v>413880</v>
      </c>
      <c r="H224">
        <v>4</v>
      </c>
      <c r="I224">
        <v>0</v>
      </c>
      <c r="J224">
        <v>4</v>
      </c>
      <c r="K224" t="b">
        <f>TrafficData[[#This Row],[disposedChallan]]+TrafficData[[#This Row],[pendingChallan]]=TrafficData[[#This Row],[totalChallan]]</f>
        <v>1</v>
      </c>
      <c r="L224" t="b">
        <f>TrafficData[[#This Row],[pendingAmount]]+TrafficData[[#This Row],[disposedAmount]]=TrafficData[[#This Row],[totalAmount]]</f>
        <v>1</v>
      </c>
      <c r="M224" t="b">
        <f>TrafficData[[#This Row],[pendingCourt]]+TrafficData[[#This Row],[disposedCourt]]=TrafficData[[#This Row],[totalCourt]]</f>
        <v>1</v>
      </c>
      <c r="N224" t="b">
        <f>AND(TrafficData[[#This Row],[disposedChallan]]&lt;=TrafficData[[#This Row],[totalChallan]],TrafficData[[#This Row],[pendingChallan]]&lt;=TrafficData[[#This Row],[totalChallan]])</f>
        <v>1</v>
      </c>
      <c r="O224" t="b">
        <f>AND(TrafficData[[#This Row],[pendingAmount]]&lt;=TrafficData[[#This Row],[totalAmount]],TrafficData[[#This Row],[disposedAmount]]&lt;=TrafficData[[#This Row],[totalAmount]])</f>
        <v>1</v>
      </c>
      <c r="P224" t="b">
        <f>AND(TrafficData[[#This Row],[pendingCourt]]&lt;=TrafficData[[#This Row],[totalCourt]],TrafficData[[#This Row],[disposedCourt]]&lt;=TrafficData[[#This Row],[totalCourt]])</f>
        <v>1</v>
      </c>
    </row>
    <row r="225" spans="1:16">
      <c r="A225" s="1">
        <v>42228</v>
      </c>
      <c r="B225">
        <v>73</v>
      </c>
      <c r="C225">
        <v>28</v>
      </c>
      <c r="D225">
        <v>45</v>
      </c>
      <c r="E225">
        <v>341150</v>
      </c>
      <c r="F225">
        <v>207130</v>
      </c>
      <c r="G225">
        <v>548280</v>
      </c>
      <c r="H225">
        <v>2</v>
      </c>
      <c r="I225">
        <v>2</v>
      </c>
      <c r="J225">
        <v>4</v>
      </c>
      <c r="K225" t="b">
        <f>TrafficData[[#This Row],[disposedChallan]]+TrafficData[[#This Row],[pendingChallan]]=TrafficData[[#This Row],[totalChallan]]</f>
        <v>1</v>
      </c>
      <c r="L225" t="b">
        <f>TrafficData[[#This Row],[pendingAmount]]+TrafficData[[#This Row],[disposedAmount]]=TrafficData[[#This Row],[totalAmount]]</f>
        <v>1</v>
      </c>
      <c r="M225" t="b">
        <f>TrafficData[[#This Row],[pendingCourt]]+TrafficData[[#This Row],[disposedCourt]]=TrafficData[[#This Row],[totalCourt]]</f>
        <v>1</v>
      </c>
      <c r="N225" t="b">
        <f>AND(TrafficData[[#This Row],[disposedChallan]]&lt;=TrafficData[[#This Row],[totalChallan]],TrafficData[[#This Row],[pendingChallan]]&lt;=TrafficData[[#This Row],[totalChallan]])</f>
        <v>1</v>
      </c>
      <c r="O225" t="b">
        <f>AND(TrafficData[[#This Row],[pendingAmount]]&lt;=TrafficData[[#This Row],[totalAmount]],TrafficData[[#This Row],[disposedAmount]]&lt;=TrafficData[[#This Row],[totalAmount]])</f>
        <v>1</v>
      </c>
      <c r="P225" t="b">
        <f>AND(TrafficData[[#This Row],[pendingCourt]]&lt;=TrafficData[[#This Row],[totalCourt]],TrafficData[[#This Row],[disposedCourt]]&lt;=TrafficData[[#This Row],[totalCourt]])</f>
        <v>1</v>
      </c>
    </row>
    <row r="226" spans="1:16">
      <c r="A226" s="1">
        <v>42229</v>
      </c>
      <c r="B226">
        <v>99</v>
      </c>
      <c r="C226">
        <v>33</v>
      </c>
      <c r="D226">
        <v>66</v>
      </c>
      <c r="E226">
        <v>311300</v>
      </c>
      <c r="F226">
        <v>239750</v>
      </c>
      <c r="G226">
        <v>551050</v>
      </c>
      <c r="H226">
        <v>3</v>
      </c>
      <c r="I226">
        <v>1</v>
      </c>
      <c r="J226">
        <v>4</v>
      </c>
      <c r="K226" t="b">
        <f>TrafficData[[#This Row],[disposedChallan]]+TrafficData[[#This Row],[pendingChallan]]=TrafficData[[#This Row],[totalChallan]]</f>
        <v>1</v>
      </c>
      <c r="L226" t="b">
        <f>TrafficData[[#This Row],[pendingAmount]]+TrafficData[[#This Row],[disposedAmount]]=TrafficData[[#This Row],[totalAmount]]</f>
        <v>1</v>
      </c>
      <c r="M226" t="b">
        <f>TrafficData[[#This Row],[pendingCourt]]+TrafficData[[#This Row],[disposedCourt]]=TrafficData[[#This Row],[totalCourt]]</f>
        <v>1</v>
      </c>
      <c r="N226" t="b">
        <f>AND(TrafficData[[#This Row],[disposedChallan]]&lt;=TrafficData[[#This Row],[totalChallan]],TrafficData[[#This Row],[pendingChallan]]&lt;=TrafficData[[#This Row],[totalChallan]])</f>
        <v>1</v>
      </c>
      <c r="O226" t="b">
        <f>AND(TrafficData[[#This Row],[pendingAmount]]&lt;=TrafficData[[#This Row],[totalAmount]],TrafficData[[#This Row],[disposedAmount]]&lt;=TrafficData[[#This Row],[totalAmount]])</f>
        <v>1</v>
      </c>
      <c r="P226" t="b">
        <f>AND(TrafficData[[#This Row],[pendingCourt]]&lt;=TrafficData[[#This Row],[totalCourt]],TrafficData[[#This Row],[disposedCourt]]&lt;=TrafficData[[#This Row],[totalCourt]])</f>
        <v>1</v>
      </c>
    </row>
    <row r="227" spans="1:16">
      <c r="A227" s="1">
        <v>42230</v>
      </c>
      <c r="B227">
        <v>111</v>
      </c>
      <c r="C227">
        <v>31</v>
      </c>
      <c r="D227">
        <v>80</v>
      </c>
      <c r="E227">
        <v>560050</v>
      </c>
      <c r="F227">
        <v>181460</v>
      </c>
      <c r="G227">
        <v>741510</v>
      </c>
      <c r="H227">
        <v>1</v>
      </c>
      <c r="I227">
        <v>2</v>
      </c>
      <c r="J227">
        <v>3</v>
      </c>
      <c r="K227" t="b">
        <f>TrafficData[[#This Row],[disposedChallan]]+TrafficData[[#This Row],[pendingChallan]]=TrafficData[[#This Row],[totalChallan]]</f>
        <v>1</v>
      </c>
      <c r="L227" t="b">
        <f>TrafficData[[#This Row],[pendingAmount]]+TrafficData[[#This Row],[disposedAmount]]=TrafficData[[#This Row],[totalAmount]]</f>
        <v>1</v>
      </c>
      <c r="M227" t="b">
        <f>TrafficData[[#This Row],[pendingCourt]]+TrafficData[[#This Row],[disposedCourt]]=TrafficData[[#This Row],[totalCourt]]</f>
        <v>1</v>
      </c>
      <c r="N227" t="b">
        <f>AND(TrafficData[[#This Row],[disposedChallan]]&lt;=TrafficData[[#This Row],[totalChallan]],TrafficData[[#This Row],[pendingChallan]]&lt;=TrafficData[[#This Row],[totalChallan]])</f>
        <v>1</v>
      </c>
      <c r="O227" t="b">
        <f>AND(TrafficData[[#This Row],[pendingAmount]]&lt;=TrafficData[[#This Row],[totalAmount]],TrafficData[[#This Row],[disposedAmount]]&lt;=TrafficData[[#This Row],[totalAmount]])</f>
        <v>1</v>
      </c>
      <c r="P227" t="b">
        <f>AND(TrafficData[[#This Row],[pendingCourt]]&lt;=TrafficData[[#This Row],[totalCourt]],TrafficData[[#This Row],[disposedCourt]]&lt;=TrafficData[[#This Row],[totalCourt]])</f>
        <v>1</v>
      </c>
    </row>
    <row r="228" spans="1:16">
      <c r="A228" s="1">
        <v>42231</v>
      </c>
      <c r="B228">
        <v>47</v>
      </c>
      <c r="C228">
        <v>9</v>
      </c>
      <c r="D228">
        <v>38</v>
      </c>
      <c r="E228">
        <v>272500</v>
      </c>
      <c r="F228">
        <v>30510</v>
      </c>
      <c r="G228">
        <v>303010</v>
      </c>
      <c r="H228">
        <v>0</v>
      </c>
      <c r="I228">
        <v>0</v>
      </c>
      <c r="J228">
        <v>0</v>
      </c>
      <c r="K228" t="b">
        <f>TrafficData[[#This Row],[disposedChallan]]+TrafficData[[#This Row],[pendingChallan]]=TrafficData[[#This Row],[totalChallan]]</f>
        <v>1</v>
      </c>
      <c r="L228" t="b">
        <f>TrafficData[[#This Row],[pendingAmount]]+TrafficData[[#This Row],[disposedAmount]]=TrafficData[[#This Row],[totalAmount]]</f>
        <v>1</v>
      </c>
      <c r="M228" t="b">
        <f>TrafficData[[#This Row],[pendingCourt]]+TrafficData[[#This Row],[disposedCourt]]=TrafficData[[#This Row],[totalCourt]]</f>
        <v>1</v>
      </c>
      <c r="N228" t="b">
        <f>AND(TrafficData[[#This Row],[disposedChallan]]&lt;=TrafficData[[#This Row],[totalChallan]],TrafficData[[#This Row],[pendingChallan]]&lt;=TrafficData[[#This Row],[totalChallan]])</f>
        <v>1</v>
      </c>
      <c r="O228" t="b">
        <f>AND(TrafficData[[#This Row],[pendingAmount]]&lt;=TrafficData[[#This Row],[totalAmount]],TrafficData[[#This Row],[disposedAmount]]&lt;=TrafficData[[#This Row],[totalAmount]])</f>
        <v>1</v>
      </c>
      <c r="P228" t="b">
        <f>AND(TrafficData[[#This Row],[pendingCourt]]&lt;=TrafficData[[#This Row],[totalCourt]],TrafficData[[#This Row],[disposedCourt]]&lt;=TrafficData[[#This Row],[totalCourt]])</f>
        <v>1</v>
      </c>
    </row>
    <row r="229" spans="1:16">
      <c r="A229" s="1">
        <v>42232</v>
      </c>
      <c r="B229">
        <v>62</v>
      </c>
      <c r="C229">
        <v>18</v>
      </c>
      <c r="D229">
        <v>44</v>
      </c>
      <c r="E229">
        <v>162050</v>
      </c>
      <c r="F229">
        <v>112225</v>
      </c>
      <c r="G229">
        <v>274275</v>
      </c>
      <c r="H229">
        <v>0</v>
      </c>
      <c r="I229">
        <v>0</v>
      </c>
      <c r="J229">
        <v>0</v>
      </c>
      <c r="K229" t="b">
        <f>TrafficData[[#This Row],[disposedChallan]]+TrafficData[[#This Row],[pendingChallan]]=TrafficData[[#This Row],[totalChallan]]</f>
        <v>1</v>
      </c>
      <c r="L229" t="b">
        <f>TrafficData[[#This Row],[pendingAmount]]+TrafficData[[#This Row],[disposedAmount]]=TrafficData[[#This Row],[totalAmount]]</f>
        <v>1</v>
      </c>
      <c r="M229" t="b">
        <f>TrafficData[[#This Row],[pendingCourt]]+TrafficData[[#This Row],[disposedCourt]]=TrafficData[[#This Row],[totalCourt]]</f>
        <v>1</v>
      </c>
      <c r="N229" t="b">
        <f>AND(TrafficData[[#This Row],[disposedChallan]]&lt;=TrafficData[[#This Row],[totalChallan]],TrafficData[[#This Row],[pendingChallan]]&lt;=TrafficData[[#This Row],[totalChallan]])</f>
        <v>1</v>
      </c>
      <c r="O229" t="b">
        <f>AND(TrafficData[[#This Row],[pendingAmount]]&lt;=TrafficData[[#This Row],[totalAmount]],TrafficData[[#This Row],[disposedAmount]]&lt;=TrafficData[[#This Row],[totalAmount]])</f>
        <v>1</v>
      </c>
      <c r="P229" t="b">
        <f>AND(TrafficData[[#This Row],[pendingCourt]]&lt;=TrafficData[[#This Row],[totalCourt]],TrafficData[[#This Row],[disposedCourt]]&lt;=TrafficData[[#This Row],[totalCourt]])</f>
        <v>1</v>
      </c>
    </row>
    <row r="230" spans="1:16">
      <c r="A230" s="1">
        <v>42233</v>
      </c>
      <c r="B230">
        <v>73</v>
      </c>
      <c r="C230">
        <v>20</v>
      </c>
      <c r="D230">
        <v>53</v>
      </c>
      <c r="E230">
        <v>309300</v>
      </c>
      <c r="F230">
        <v>90300</v>
      </c>
      <c r="G230">
        <v>399600</v>
      </c>
      <c r="H230">
        <v>0</v>
      </c>
      <c r="I230">
        <v>1</v>
      </c>
      <c r="J230">
        <v>1</v>
      </c>
      <c r="K230" t="b">
        <f>TrafficData[[#This Row],[disposedChallan]]+TrafficData[[#This Row],[pendingChallan]]=TrafficData[[#This Row],[totalChallan]]</f>
        <v>1</v>
      </c>
      <c r="L230" t="b">
        <f>TrafficData[[#This Row],[pendingAmount]]+TrafficData[[#This Row],[disposedAmount]]=TrafficData[[#This Row],[totalAmount]]</f>
        <v>1</v>
      </c>
      <c r="M230" t="b">
        <f>TrafficData[[#This Row],[pendingCourt]]+TrafficData[[#This Row],[disposedCourt]]=TrafficData[[#This Row],[totalCourt]]</f>
        <v>1</v>
      </c>
      <c r="N230" t="b">
        <f>AND(TrafficData[[#This Row],[disposedChallan]]&lt;=TrafficData[[#This Row],[totalChallan]],TrafficData[[#This Row],[pendingChallan]]&lt;=TrafficData[[#This Row],[totalChallan]])</f>
        <v>1</v>
      </c>
      <c r="O230" t="b">
        <f>AND(TrafficData[[#This Row],[pendingAmount]]&lt;=TrafficData[[#This Row],[totalAmount]],TrafficData[[#This Row],[disposedAmount]]&lt;=TrafficData[[#This Row],[totalAmount]])</f>
        <v>1</v>
      </c>
      <c r="P230" t="b">
        <f>AND(TrafficData[[#This Row],[pendingCourt]]&lt;=TrafficData[[#This Row],[totalCourt]],TrafficData[[#This Row],[disposedCourt]]&lt;=TrafficData[[#This Row],[totalCourt]])</f>
        <v>1</v>
      </c>
    </row>
    <row r="231" spans="1:16">
      <c r="A231" s="1">
        <v>42234</v>
      </c>
      <c r="B231">
        <v>149</v>
      </c>
      <c r="C231">
        <v>49</v>
      </c>
      <c r="D231">
        <v>100</v>
      </c>
      <c r="E231">
        <v>578896</v>
      </c>
      <c r="F231">
        <v>201449</v>
      </c>
      <c r="G231">
        <v>780345</v>
      </c>
      <c r="H231">
        <v>1</v>
      </c>
      <c r="I231">
        <v>3</v>
      </c>
      <c r="J231">
        <v>4</v>
      </c>
      <c r="K231" t="b">
        <f>TrafficData[[#This Row],[disposedChallan]]+TrafficData[[#This Row],[pendingChallan]]=TrafficData[[#This Row],[totalChallan]]</f>
        <v>1</v>
      </c>
      <c r="L231" t="b">
        <f>TrafficData[[#This Row],[pendingAmount]]+TrafficData[[#This Row],[disposedAmount]]=TrafficData[[#This Row],[totalAmount]]</f>
        <v>1</v>
      </c>
      <c r="M231" t="b">
        <f>TrafficData[[#This Row],[pendingCourt]]+TrafficData[[#This Row],[disposedCourt]]=TrafficData[[#This Row],[totalCourt]]</f>
        <v>1</v>
      </c>
      <c r="N231" t="b">
        <f>AND(TrafficData[[#This Row],[disposedChallan]]&lt;=TrafficData[[#This Row],[totalChallan]],TrafficData[[#This Row],[pendingChallan]]&lt;=TrafficData[[#This Row],[totalChallan]])</f>
        <v>1</v>
      </c>
      <c r="O231" t="b">
        <f>AND(TrafficData[[#This Row],[pendingAmount]]&lt;=TrafficData[[#This Row],[totalAmount]],TrafficData[[#This Row],[disposedAmount]]&lt;=TrafficData[[#This Row],[totalAmount]])</f>
        <v>1</v>
      </c>
      <c r="P231" t="b">
        <f>AND(TrafficData[[#This Row],[pendingCourt]]&lt;=TrafficData[[#This Row],[totalCourt]],TrafficData[[#This Row],[disposedCourt]]&lt;=TrafficData[[#This Row],[totalCourt]])</f>
        <v>1</v>
      </c>
    </row>
    <row r="232" spans="1:16">
      <c r="A232" s="1">
        <v>42235</v>
      </c>
      <c r="B232">
        <v>192</v>
      </c>
      <c r="C232">
        <v>54</v>
      </c>
      <c r="D232">
        <v>138</v>
      </c>
      <c r="E232">
        <v>599350</v>
      </c>
      <c r="F232">
        <v>121690</v>
      </c>
      <c r="G232">
        <v>721040</v>
      </c>
      <c r="H232">
        <v>2</v>
      </c>
      <c r="I232">
        <v>1</v>
      </c>
      <c r="J232">
        <v>3</v>
      </c>
      <c r="K232" t="b">
        <f>TrafficData[[#This Row],[disposedChallan]]+TrafficData[[#This Row],[pendingChallan]]=TrafficData[[#This Row],[totalChallan]]</f>
        <v>1</v>
      </c>
      <c r="L232" t="b">
        <f>TrafficData[[#This Row],[pendingAmount]]+TrafficData[[#This Row],[disposedAmount]]=TrafficData[[#This Row],[totalAmount]]</f>
        <v>1</v>
      </c>
      <c r="M232" t="b">
        <f>TrafficData[[#This Row],[pendingCourt]]+TrafficData[[#This Row],[disposedCourt]]=TrafficData[[#This Row],[totalCourt]]</f>
        <v>1</v>
      </c>
      <c r="N232" t="b">
        <f>AND(TrafficData[[#This Row],[disposedChallan]]&lt;=TrafficData[[#This Row],[totalChallan]],TrafficData[[#This Row],[pendingChallan]]&lt;=TrafficData[[#This Row],[totalChallan]])</f>
        <v>1</v>
      </c>
      <c r="O232" t="b">
        <f>AND(TrafficData[[#This Row],[pendingAmount]]&lt;=TrafficData[[#This Row],[totalAmount]],TrafficData[[#This Row],[disposedAmount]]&lt;=TrafficData[[#This Row],[totalAmount]])</f>
        <v>1</v>
      </c>
      <c r="P232" t="b">
        <f>AND(TrafficData[[#This Row],[pendingCourt]]&lt;=TrafficData[[#This Row],[totalCourt]],TrafficData[[#This Row],[disposedCourt]]&lt;=TrafficData[[#This Row],[totalCourt]])</f>
        <v>1</v>
      </c>
    </row>
    <row r="233" spans="1:16">
      <c r="A233" s="1">
        <v>42236</v>
      </c>
      <c r="B233">
        <v>189</v>
      </c>
      <c r="C233">
        <v>58</v>
      </c>
      <c r="D233">
        <v>131</v>
      </c>
      <c r="E233">
        <v>1134900</v>
      </c>
      <c r="F233">
        <v>263300</v>
      </c>
      <c r="G233">
        <v>1398200</v>
      </c>
      <c r="H233">
        <v>1</v>
      </c>
      <c r="I233">
        <v>1</v>
      </c>
      <c r="J233">
        <v>2</v>
      </c>
      <c r="K233" t="b">
        <f>TrafficData[[#This Row],[disposedChallan]]+TrafficData[[#This Row],[pendingChallan]]=TrafficData[[#This Row],[totalChallan]]</f>
        <v>1</v>
      </c>
      <c r="L233" t="b">
        <f>TrafficData[[#This Row],[pendingAmount]]+TrafficData[[#This Row],[disposedAmount]]=TrafficData[[#This Row],[totalAmount]]</f>
        <v>1</v>
      </c>
      <c r="M233" t="b">
        <f>TrafficData[[#This Row],[pendingCourt]]+TrafficData[[#This Row],[disposedCourt]]=TrafficData[[#This Row],[totalCourt]]</f>
        <v>1</v>
      </c>
      <c r="N233" t="b">
        <f>AND(TrafficData[[#This Row],[disposedChallan]]&lt;=TrafficData[[#This Row],[totalChallan]],TrafficData[[#This Row],[pendingChallan]]&lt;=TrafficData[[#This Row],[totalChallan]])</f>
        <v>1</v>
      </c>
      <c r="O233" t="b">
        <f>AND(TrafficData[[#This Row],[pendingAmount]]&lt;=TrafficData[[#This Row],[totalAmount]],TrafficData[[#This Row],[disposedAmount]]&lt;=TrafficData[[#This Row],[totalAmount]])</f>
        <v>1</v>
      </c>
      <c r="P233" t="b">
        <f>AND(TrafficData[[#This Row],[pendingCourt]]&lt;=TrafficData[[#This Row],[totalCourt]],TrafficData[[#This Row],[disposedCourt]]&lt;=TrafficData[[#This Row],[totalCourt]])</f>
        <v>1</v>
      </c>
    </row>
    <row r="234" spans="1:16">
      <c r="A234" s="1">
        <v>42237</v>
      </c>
      <c r="B234">
        <v>160</v>
      </c>
      <c r="C234">
        <v>52</v>
      </c>
      <c r="D234">
        <v>108</v>
      </c>
      <c r="E234">
        <v>616120</v>
      </c>
      <c r="F234">
        <v>389850</v>
      </c>
      <c r="G234">
        <v>1005970</v>
      </c>
      <c r="H234">
        <v>2</v>
      </c>
      <c r="I234">
        <v>3</v>
      </c>
      <c r="J234">
        <v>5</v>
      </c>
      <c r="K234" t="b">
        <f>TrafficData[[#This Row],[disposedChallan]]+TrafficData[[#This Row],[pendingChallan]]=TrafficData[[#This Row],[totalChallan]]</f>
        <v>1</v>
      </c>
      <c r="L234" t="b">
        <f>TrafficData[[#This Row],[pendingAmount]]+TrafficData[[#This Row],[disposedAmount]]=TrafficData[[#This Row],[totalAmount]]</f>
        <v>1</v>
      </c>
      <c r="M234" t="b">
        <f>TrafficData[[#This Row],[pendingCourt]]+TrafficData[[#This Row],[disposedCourt]]=TrafficData[[#This Row],[totalCourt]]</f>
        <v>1</v>
      </c>
      <c r="N234" t="b">
        <f>AND(TrafficData[[#This Row],[disposedChallan]]&lt;=TrafficData[[#This Row],[totalChallan]],TrafficData[[#This Row],[pendingChallan]]&lt;=TrafficData[[#This Row],[totalChallan]])</f>
        <v>1</v>
      </c>
      <c r="O234" t="b">
        <f>AND(TrafficData[[#This Row],[pendingAmount]]&lt;=TrafficData[[#This Row],[totalAmount]],TrafficData[[#This Row],[disposedAmount]]&lt;=TrafficData[[#This Row],[totalAmount]])</f>
        <v>1</v>
      </c>
      <c r="P234" t="b">
        <f>AND(TrafficData[[#This Row],[pendingCourt]]&lt;=TrafficData[[#This Row],[totalCourt]],TrafficData[[#This Row],[disposedCourt]]&lt;=TrafficData[[#This Row],[totalCourt]])</f>
        <v>1</v>
      </c>
    </row>
    <row r="235" spans="1:16">
      <c r="A235" s="1">
        <v>42238</v>
      </c>
      <c r="B235">
        <v>62</v>
      </c>
      <c r="C235">
        <v>17</v>
      </c>
      <c r="D235">
        <v>45</v>
      </c>
      <c r="E235">
        <v>308446</v>
      </c>
      <c r="F235">
        <v>44400</v>
      </c>
      <c r="G235">
        <v>352846</v>
      </c>
      <c r="H235">
        <v>1</v>
      </c>
      <c r="I235">
        <v>0</v>
      </c>
      <c r="J235">
        <v>1</v>
      </c>
      <c r="K235" t="b">
        <f>TrafficData[[#This Row],[disposedChallan]]+TrafficData[[#This Row],[pendingChallan]]=TrafficData[[#This Row],[totalChallan]]</f>
        <v>1</v>
      </c>
      <c r="L235" t="b">
        <f>TrafficData[[#This Row],[pendingAmount]]+TrafficData[[#This Row],[disposedAmount]]=TrafficData[[#This Row],[totalAmount]]</f>
        <v>1</v>
      </c>
      <c r="M235" t="b">
        <f>TrafficData[[#This Row],[pendingCourt]]+TrafficData[[#This Row],[disposedCourt]]=TrafficData[[#This Row],[totalCourt]]</f>
        <v>1</v>
      </c>
      <c r="N235" t="b">
        <f>AND(TrafficData[[#This Row],[disposedChallan]]&lt;=TrafficData[[#This Row],[totalChallan]],TrafficData[[#This Row],[pendingChallan]]&lt;=TrafficData[[#This Row],[totalChallan]])</f>
        <v>1</v>
      </c>
      <c r="O235" t="b">
        <f>AND(TrafficData[[#This Row],[pendingAmount]]&lt;=TrafficData[[#This Row],[totalAmount]],TrafficData[[#This Row],[disposedAmount]]&lt;=TrafficData[[#This Row],[totalAmount]])</f>
        <v>1</v>
      </c>
      <c r="P235" t="b">
        <f>AND(TrafficData[[#This Row],[pendingCourt]]&lt;=TrafficData[[#This Row],[totalCourt]],TrafficData[[#This Row],[disposedCourt]]&lt;=TrafficData[[#This Row],[totalCourt]])</f>
        <v>1</v>
      </c>
    </row>
    <row r="236" spans="1:16">
      <c r="A236" s="1">
        <v>42239</v>
      </c>
      <c r="B236">
        <v>66</v>
      </c>
      <c r="C236">
        <v>16</v>
      </c>
      <c r="D236">
        <v>50</v>
      </c>
      <c r="E236">
        <v>337650</v>
      </c>
      <c r="F236">
        <v>18700</v>
      </c>
      <c r="G236">
        <v>356350</v>
      </c>
      <c r="H236">
        <v>0</v>
      </c>
      <c r="I236">
        <v>0</v>
      </c>
      <c r="J236">
        <v>0</v>
      </c>
      <c r="K236" t="b">
        <f>TrafficData[[#This Row],[disposedChallan]]+TrafficData[[#This Row],[pendingChallan]]=TrafficData[[#This Row],[totalChallan]]</f>
        <v>1</v>
      </c>
      <c r="L236" t="b">
        <f>TrafficData[[#This Row],[pendingAmount]]+TrafficData[[#This Row],[disposedAmount]]=TrafficData[[#This Row],[totalAmount]]</f>
        <v>1</v>
      </c>
      <c r="M236" t="b">
        <f>TrafficData[[#This Row],[pendingCourt]]+TrafficData[[#This Row],[disposedCourt]]=TrafficData[[#This Row],[totalCourt]]</f>
        <v>1</v>
      </c>
      <c r="N236" t="b">
        <f>AND(TrafficData[[#This Row],[disposedChallan]]&lt;=TrafficData[[#This Row],[totalChallan]],TrafficData[[#This Row],[pendingChallan]]&lt;=TrafficData[[#This Row],[totalChallan]])</f>
        <v>1</v>
      </c>
      <c r="O236" t="b">
        <f>AND(TrafficData[[#This Row],[pendingAmount]]&lt;=TrafficData[[#This Row],[totalAmount]],TrafficData[[#This Row],[disposedAmount]]&lt;=TrafficData[[#This Row],[totalAmount]])</f>
        <v>1</v>
      </c>
      <c r="P236" t="b">
        <f>AND(TrafficData[[#This Row],[pendingCourt]]&lt;=TrafficData[[#This Row],[totalCourt]],TrafficData[[#This Row],[disposedCourt]]&lt;=TrafficData[[#This Row],[totalCourt]])</f>
        <v>1</v>
      </c>
    </row>
    <row r="237" spans="1:16">
      <c r="A237" s="1">
        <v>42240</v>
      </c>
      <c r="B237">
        <v>69</v>
      </c>
      <c r="C237">
        <v>16</v>
      </c>
      <c r="D237">
        <v>53</v>
      </c>
      <c r="E237">
        <v>215650</v>
      </c>
      <c r="F237">
        <v>77950</v>
      </c>
      <c r="G237">
        <v>293600</v>
      </c>
      <c r="H237">
        <v>4</v>
      </c>
      <c r="I237">
        <v>1</v>
      </c>
      <c r="J237">
        <v>5</v>
      </c>
      <c r="K237" t="b">
        <f>TrafficData[[#This Row],[disposedChallan]]+TrafficData[[#This Row],[pendingChallan]]=TrafficData[[#This Row],[totalChallan]]</f>
        <v>1</v>
      </c>
      <c r="L237" t="b">
        <f>TrafficData[[#This Row],[pendingAmount]]+TrafficData[[#This Row],[disposedAmount]]=TrafficData[[#This Row],[totalAmount]]</f>
        <v>1</v>
      </c>
      <c r="M237" t="b">
        <f>TrafficData[[#This Row],[pendingCourt]]+TrafficData[[#This Row],[disposedCourt]]=TrafficData[[#This Row],[totalCourt]]</f>
        <v>1</v>
      </c>
      <c r="N237" t="b">
        <f>AND(TrafficData[[#This Row],[disposedChallan]]&lt;=TrafficData[[#This Row],[totalChallan]],TrafficData[[#This Row],[pendingChallan]]&lt;=TrafficData[[#This Row],[totalChallan]])</f>
        <v>1</v>
      </c>
      <c r="O237" t="b">
        <f>AND(TrafficData[[#This Row],[pendingAmount]]&lt;=TrafficData[[#This Row],[totalAmount]],TrafficData[[#This Row],[disposedAmount]]&lt;=TrafficData[[#This Row],[totalAmount]])</f>
        <v>1</v>
      </c>
      <c r="P237" t="b">
        <f>AND(TrafficData[[#This Row],[pendingCourt]]&lt;=TrafficData[[#This Row],[totalCourt]],TrafficData[[#This Row],[disposedCourt]]&lt;=TrafficData[[#This Row],[totalCourt]])</f>
        <v>1</v>
      </c>
    </row>
    <row r="238" spans="1:16">
      <c r="A238" s="1">
        <v>42241</v>
      </c>
      <c r="B238">
        <v>86</v>
      </c>
      <c r="C238">
        <v>39</v>
      </c>
      <c r="D238">
        <v>47</v>
      </c>
      <c r="E238">
        <v>300700</v>
      </c>
      <c r="F238">
        <v>213400</v>
      </c>
      <c r="G238">
        <v>514100</v>
      </c>
      <c r="H238">
        <v>0</v>
      </c>
      <c r="I238">
        <v>1</v>
      </c>
      <c r="J238">
        <v>1</v>
      </c>
      <c r="K238" t="b">
        <f>TrafficData[[#This Row],[disposedChallan]]+TrafficData[[#This Row],[pendingChallan]]=TrafficData[[#This Row],[totalChallan]]</f>
        <v>1</v>
      </c>
      <c r="L238" t="b">
        <f>TrafficData[[#This Row],[pendingAmount]]+TrafficData[[#This Row],[disposedAmount]]=TrafficData[[#This Row],[totalAmount]]</f>
        <v>1</v>
      </c>
      <c r="M238" t="b">
        <f>TrafficData[[#This Row],[pendingCourt]]+TrafficData[[#This Row],[disposedCourt]]=TrafficData[[#This Row],[totalCourt]]</f>
        <v>1</v>
      </c>
      <c r="N238" t="b">
        <f>AND(TrafficData[[#This Row],[disposedChallan]]&lt;=TrafficData[[#This Row],[totalChallan]],TrafficData[[#This Row],[pendingChallan]]&lt;=TrafficData[[#This Row],[totalChallan]])</f>
        <v>1</v>
      </c>
      <c r="O238" t="b">
        <f>AND(TrafficData[[#This Row],[pendingAmount]]&lt;=TrafficData[[#This Row],[totalAmount]],TrafficData[[#This Row],[disposedAmount]]&lt;=TrafficData[[#This Row],[totalAmount]])</f>
        <v>1</v>
      </c>
      <c r="P238" t="b">
        <f>AND(TrafficData[[#This Row],[pendingCourt]]&lt;=TrafficData[[#This Row],[totalCourt]],TrafficData[[#This Row],[disposedCourt]]&lt;=TrafficData[[#This Row],[totalCourt]])</f>
        <v>1</v>
      </c>
    </row>
    <row r="239" spans="1:16">
      <c r="A239" s="1">
        <v>42242</v>
      </c>
      <c r="B239">
        <v>54</v>
      </c>
      <c r="C239">
        <v>9</v>
      </c>
      <c r="D239">
        <v>45</v>
      </c>
      <c r="E239">
        <v>332000</v>
      </c>
      <c r="F239">
        <v>62000</v>
      </c>
      <c r="G239">
        <v>394000</v>
      </c>
      <c r="H239">
        <v>0</v>
      </c>
      <c r="I239">
        <v>0</v>
      </c>
      <c r="J239">
        <v>0</v>
      </c>
      <c r="K239" t="b">
        <f>TrafficData[[#This Row],[disposedChallan]]+TrafficData[[#This Row],[pendingChallan]]=TrafficData[[#This Row],[totalChallan]]</f>
        <v>1</v>
      </c>
      <c r="L239" t="b">
        <f>TrafficData[[#This Row],[pendingAmount]]+TrafficData[[#This Row],[disposedAmount]]=TrafficData[[#This Row],[totalAmount]]</f>
        <v>1</v>
      </c>
      <c r="M239" t="b">
        <f>TrafficData[[#This Row],[pendingCourt]]+TrafficData[[#This Row],[disposedCourt]]=TrafficData[[#This Row],[totalCourt]]</f>
        <v>1</v>
      </c>
      <c r="N239" t="b">
        <f>AND(TrafficData[[#This Row],[disposedChallan]]&lt;=TrafficData[[#This Row],[totalChallan]],TrafficData[[#This Row],[pendingChallan]]&lt;=TrafficData[[#This Row],[totalChallan]])</f>
        <v>1</v>
      </c>
      <c r="O239" t="b">
        <f>AND(TrafficData[[#This Row],[pendingAmount]]&lt;=TrafficData[[#This Row],[totalAmount]],TrafficData[[#This Row],[disposedAmount]]&lt;=TrafficData[[#This Row],[totalAmount]])</f>
        <v>1</v>
      </c>
      <c r="P239" t="b">
        <f>AND(TrafficData[[#This Row],[pendingCourt]]&lt;=TrafficData[[#This Row],[totalCourt]],TrafficData[[#This Row],[disposedCourt]]&lt;=TrafficData[[#This Row],[totalCourt]])</f>
        <v>1</v>
      </c>
    </row>
    <row r="240" spans="1:16">
      <c r="A240" s="1">
        <v>42243</v>
      </c>
      <c r="B240">
        <v>81</v>
      </c>
      <c r="C240">
        <v>16</v>
      </c>
      <c r="D240">
        <v>65</v>
      </c>
      <c r="E240">
        <v>489620</v>
      </c>
      <c r="F240">
        <v>71507</v>
      </c>
      <c r="G240">
        <v>561127</v>
      </c>
      <c r="H240">
        <v>4</v>
      </c>
      <c r="I240">
        <v>1</v>
      </c>
      <c r="J240">
        <v>5</v>
      </c>
      <c r="K240" t="b">
        <f>TrafficData[[#This Row],[disposedChallan]]+TrafficData[[#This Row],[pendingChallan]]=TrafficData[[#This Row],[totalChallan]]</f>
        <v>1</v>
      </c>
      <c r="L240" t="b">
        <f>TrafficData[[#This Row],[pendingAmount]]+TrafficData[[#This Row],[disposedAmount]]=TrafficData[[#This Row],[totalAmount]]</f>
        <v>1</v>
      </c>
      <c r="M240" t="b">
        <f>TrafficData[[#This Row],[pendingCourt]]+TrafficData[[#This Row],[disposedCourt]]=TrafficData[[#This Row],[totalCourt]]</f>
        <v>1</v>
      </c>
      <c r="N240" t="b">
        <f>AND(TrafficData[[#This Row],[disposedChallan]]&lt;=TrafficData[[#This Row],[totalChallan]],TrafficData[[#This Row],[pendingChallan]]&lt;=TrafficData[[#This Row],[totalChallan]])</f>
        <v>1</v>
      </c>
      <c r="O240" t="b">
        <f>AND(TrafficData[[#This Row],[pendingAmount]]&lt;=TrafficData[[#This Row],[totalAmount]],TrafficData[[#This Row],[disposedAmount]]&lt;=TrafficData[[#This Row],[totalAmount]])</f>
        <v>1</v>
      </c>
      <c r="P240" t="b">
        <f>AND(TrafficData[[#This Row],[pendingCourt]]&lt;=TrafficData[[#This Row],[totalCourt]],TrafficData[[#This Row],[disposedCourt]]&lt;=TrafficData[[#This Row],[totalCourt]])</f>
        <v>1</v>
      </c>
    </row>
    <row r="241" spans="1:16">
      <c r="A241" s="1">
        <v>42244</v>
      </c>
      <c r="B241">
        <v>74</v>
      </c>
      <c r="C241">
        <v>17</v>
      </c>
      <c r="D241">
        <v>57</v>
      </c>
      <c r="E241">
        <v>309950</v>
      </c>
      <c r="F241">
        <v>51400</v>
      </c>
      <c r="G241">
        <v>361350</v>
      </c>
      <c r="H241">
        <v>1</v>
      </c>
      <c r="I241">
        <v>0</v>
      </c>
      <c r="J241">
        <v>1</v>
      </c>
      <c r="K241" t="b">
        <f>TrafficData[[#This Row],[disposedChallan]]+TrafficData[[#This Row],[pendingChallan]]=TrafficData[[#This Row],[totalChallan]]</f>
        <v>1</v>
      </c>
      <c r="L241" t="b">
        <f>TrafficData[[#This Row],[pendingAmount]]+TrafficData[[#This Row],[disposedAmount]]=TrafficData[[#This Row],[totalAmount]]</f>
        <v>1</v>
      </c>
      <c r="M241" t="b">
        <f>TrafficData[[#This Row],[pendingCourt]]+TrafficData[[#This Row],[disposedCourt]]=TrafficData[[#This Row],[totalCourt]]</f>
        <v>1</v>
      </c>
      <c r="N241" t="b">
        <f>AND(TrafficData[[#This Row],[disposedChallan]]&lt;=TrafficData[[#This Row],[totalChallan]],TrafficData[[#This Row],[pendingChallan]]&lt;=TrafficData[[#This Row],[totalChallan]])</f>
        <v>1</v>
      </c>
      <c r="O241" t="b">
        <f>AND(TrafficData[[#This Row],[pendingAmount]]&lt;=TrafficData[[#This Row],[totalAmount]],TrafficData[[#This Row],[disposedAmount]]&lt;=TrafficData[[#This Row],[totalAmount]])</f>
        <v>1</v>
      </c>
      <c r="P241" t="b">
        <f>AND(TrafficData[[#This Row],[pendingCourt]]&lt;=TrafficData[[#This Row],[totalCourt]],TrafficData[[#This Row],[disposedCourt]]&lt;=TrafficData[[#This Row],[totalCourt]])</f>
        <v>1</v>
      </c>
    </row>
    <row r="242" spans="1:16">
      <c r="A242" s="1">
        <v>42245</v>
      </c>
      <c r="B242">
        <v>16</v>
      </c>
      <c r="C242">
        <v>6</v>
      </c>
      <c r="D242">
        <v>10</v>
      </c>
      <c r="E242">
        <v>47151</v>
      </c>
      <c r="F242">
        <v>10400</v>
      </c>
      <c r="G242">
        <v>57551</v>
      </c>
      <c r="H242">
        <v>0</v>
      </c>
      <c r="I242">
        <v>0</v>
      </c>
      <c r="J242">
        <v>0</v>
      </c>
      <c r="K242" t="b">
        <f>TrafficData[[#This Row],[disposedChallan]]+TrafficData[[#This Row],[pendingChallan]]=TrafficData[[#This Row],[totalChallan]]</f>
        <v>1</v>
      </c>
      <c r="L242" t="b">
        <f>TrafficData[[#This Row],[pendingAmount]]+TrafficData[[#This Row],[disposedAmount]]=TrafficData[[#This Row],[totalAmount]]</f>
        <v>1</v>
      </c>
      <c r="M242" t="b">
        <f>TrafficData[[#This Row],[pendingCourt]]+TrafficData[[#This Row],[disposedCourt]]=TrafficData[[#This Row],[totalCourt]]</f>
        <v>1</v>
      </c>
      <c r="N242" t="b">
        <f>AND(TrafficData[[#This Row],[disposedChallan]]&lt;=TrafficData[[#This Row],[totalChallan]],TrafficData[[#This Row],[pendingChallan]]&lt;=TrafficData[[#This Row],[totalChallan]])</f>
        <v>1</v>
      </c>
      <c r="O242" t="b">
        <f>AND(TrafficData[[#This Row],[pendingAmount]]&lt;=TrafficData[[#This Row],[totalAmount]],TrafficData[[#This Row],[disposedAmount]]&lt;=TrafficData[[#This Row],[totalAmount]])</f>
        <v>1</v>
      </c>
      <c r="P242" t="b">
        <f>AND(TrafficData[[#This Row],[pendingCourt]]&lt;=TrafficData[[#This Row],[totalCourt]],TrafficData[[#This Row],[disposedCourt]]&lt;=TrafficData[[#This Row],[totalCourt]])</f>
        <v>1</v>
      </c>
    </row>
    <row r="243" spans="1:16">
      <c r="A243" s="1">
        <v>42246</v>
      </c>
      <c r="B243">
        <v>39</v>
      </c>
      <c r="C243">
        <v>10</v>
      </c>
      <c r="D243">
        <v>29</v>
      </c>
      <c r="E243">
        <v>201800</v>
      </c>
      <c r="F243">
        <v>39600</v>
      </c>
      <c r="G243">
        <v>241400</v>
      </c>
      <c r="H243">
        <v>0</v>
      </c>
      <c r="I243">
        <v>0</v>
      </c>
      <c r="J243">
        <v>0</v>
      </c>
      <c r="K243" t="b">
        <f>TrafficData[[#This Row],[disposedChallan]]+TrafficData[[#This Row],[pendingChallan]]=TrafficData[[#This Row],[totalChallan]]</f>
        <v>1</v>
      </c>
      <c r="L243" t="b">
        <f>TrafficData[[#This Row],[pendingAmount]]+TrafficData[[#This Row],[disposedAmount]]=TrafficData[[#This Row],[totalAmount]]</f>
        <v>1</v>
      </c>
      <c r="M243" t="b">
        <f>TrafficData[[#This Row],[pendingCourt]]+TrafficData[[#This Row],[disposedCourt]]=TrafficData[[#This Row],[totalCourt]]</f>
        <v>1</v>
      </c>
      <c r="N243" t="b">
        <f>AND(TrafficData[[#This Row],[disposedChallan]]&lt;=TrafficData[[#This Row],[totalChallan]],TrafficData[[#This Row],[pendingChallan]]&lt;=TrafficData[[#This Row],[totalChallan]])</f>
        <v>1</v>
      </c>
      <c r="O243" t="b">
        <f>AND(TrafficData[[#This Row],[pendingAmount]]&lt;=TrafficData[[#This Row],[totalAmount]],TrafficData[[#This Row],[disposedAmount]]&lt;=TrafficData[[#This Row],[totalAmount]])</f>
        <v>1</v>
      </c>
      <c r="P243" t="b">
        <f>AND(TrafficData[[#This Row],[pendingCourt]]&lt;=TrafficData[[#This Row],[totalCourt]],TrafficData[[#This Row],[disposedCourt]]&lt;=TrafficData[[#This Row],[totalCourt]])</f>
        <v>1</v>
      </c>
    </row>
    <row r="244" spans="1:16">
      <c r="A244" s="1">
        <v>42247</v>
      </c>
      <c r="B244">
        <v>46</v>
      </c>
      <c r="C244">
        <v>14</v>
      </c>
      <c r="D244">
        <v>32</v>
      </c>
      <c r="E244">
        <v>189000</v>
      </c>
      <c r="F244">
        <v>31700</v>
      </c>
      <c r="G244">
        <v>220700</v>
      </c>
      <c r="H244">
        <v>0</v>
      </c>
      <c r="I244">
        <v>0</v>
      </c>
      <c r="J244">
        <v>0</v>
      </c>
      <c r="K244" t="b">
        <f>TrafficData[[#This Row],[disposedChallan]]+TrafficData[[#This Row],[pendingChallan]]=TrafficData[[#This Row],[totalChallan]]</f>
        <v>1</v>
      </c>
      <c r="L244" t="b">
        <f>TrafficData[[#This Row],[pendingAmount]]+TrafficData[[#This Row],[disposedAmount]]=TrafficData[[#This Row],[totalAmount]]</f>
        <v>1</v>
      </c>
      <c r="M244" t="b">
        <f>TrafficData[[#This Row],[pendingCourt]]+TrafficData[[#This Row],[disposedCourt]]=TrafficData[[#This Row],[totalCourt]]</f>
        <v>1</v>
      </c>
      <c r="N244" t="b">
        <f>AND(TrafficData[[#This Row],[disposedChallan]]&lt;=TrafficData[[#This Row],[totalChallan]],TrafficData[[#This Row],[pendingChallan]]&lt;=TrafficData[[#This Row],[totalChallan]])</f>
        <v>1</v>
      </c>
      <c r="O244" t="b">
        <f>AND(TrafficData[[#This Row],[pendingAmount]]&lt;=TrafficData[[#This Row],[totalAmount]],TrafficData[[#This Row],[disposedAmount]]&lt;=TrafficData[[#This Row],[totalAmount]])</f>
        <v>1</v>
      </c>
      <c r="P244" t="b">
        <f>AND(TrafficData[[#This Row],[pendingCourt]]&lt;=TrafficData[[#This Row],[totalCourt]],TrafficData[[#This Row],[disposedCourt]]&lt;=TrafficData[[#This Row],[totalCourt]])</f>
        <v>1</v>
      </c>
    </row>
    <row r="245" spans="1:16">
      <c r="A245" s="1">
        <v>42248</v>
      </c>
      <c r="B245">
        <v>73</v>
      </c>
      <c r="C245">
        <v>16</v>
      </c>
      <c r="D245">
        <v>57</v>
      </c>
      <c r="E245">
        <v>687848</v>
      </c>
      <c r="F245">
        <v>80280</v>
      </c>
      <c r="G245">
        <v>768128</v>
      </c>
      <c r="H245">
        <v>0</v>
      </c>
      <c r="I245">
        <v>1</v>
      </c>
      <c r="J245">
        <v>1</v>
      </c>
      <c r="K245" t="b">
        <f>TrafficData[[#This Row],[disposedChallan]]+TrafficData[[#This Row],[pendingChallan]]=TrafficData[[#This Row],[totalChallan]]</f>
        <v>1</v>
      </c>
      <c r="L245" t="b">
        <f>TrafficData[[#This Row],[pendingAmount]]+TrafficData[[#This Row],[disposedAmount]]=TrafficData[[#This Row],[totalAmount]]</f>
        <v>1</v>
      </c>
      <c r="M245" t="b">
        <f>TrafficData[[#This Row],[pendingCourt]]+TrafficData[[#This Row],[disposedCourt]]=TrafficData[[#This Row],[totalCourt]]</f>
        <v>1</v>
      </c>
      <c r="N245" t="b">
        <f>AND(TrafficData[[#This Row],[disposedChallan]]&lt;=TrafficData[[#This Row],[totalChallan]],TrafficData[[#This Row],[pendingChallan]]&lt;=TrafficData[[#This Row],[totalChallan]])</f>
        <v>1</v>
      </c>
      <c r="O245" t="b">
        <f>AND(TrafficData[[#This Row],[pendingAmount]]&lt;=TrafficData[[#This Row],[totalAmount]],TrafficData[[#This Row],[disposedAmount]]&lt;=TrafficData[[#This Row],[totalAmount]])</f>
        <v>1</v>
      </c>
      <c r="P245" t="b">
        <f>AND(TrafficData[[#This Row],[pendingCourt]]&lt;=TrafficData[[#This Row],[totalCourt]],TrafficData[[#This Row],[disposedCourt]]&lt;=TrafficData[[#This Row],[totalCourt]])</f>
        <v>1</v>
      </c>
    </row>
    <row r="246" spans="1:16">
      <c r="A246" s="1">
        <v>42249</v>
      </c>
      <c r="B246">
        <v>85</v>
      </c>
      <c r="C246">
        <v>19</v>
      </c>
      <c r="D246">
        <v>66</v>
      </c>
      <c r="E246">
        <v>556400</v>
      </c>
      <c r="F246">
        <v>140450</v>
      </c>
      <c r="G246">
        <v>696850</v>
      </c>
      <c r="H246">
        <v>2</v>
      </c>
      <c r="I246">
        <v>2</v>
      </c>
      <c r="J246">
        <v>4</v>
      </c>
      <c r="K246" t="b">
        <f>TrafficData[[#This Row],[disposedChallan]]+TrafficData[[#This Row],[pendingChallan]]=TrafficData[[#This Row],[totalChallan]]</f>
        <v>1</v>
      </c>
      <c r="L246" t="b">
        <f>TrafficData[[#This Row],[pendingAmount]]+TrafficData[[#This Row],[disposedAmount]]=TrafficData[[#This Row],[totalAmount]]</f>
        <v>1</v>
      </c>
      <c r="M246" t="b">
        <f>TrafficData[[#This Row],[pendingCourt]]+TrafficData[[#This Row],[disposedCourt]]=TrafficData[[#This Row],[totalCourt]]</f>
        <v>1</v>
      </c>
      <c r="N246" t="b">
        <f>AND(TrafficData[[#This Row],[disposedChallan]]&lt;=TrafficData[[#This Row],[totalChallan]],TrafficData[[#This Row],[pendingChallan]]&lt;=TrafficData[[#This Row],[totalChallan]])</f>
        <v>1</v>
      </c>
      <c r="O246" t="b">
        <f>AND(TrafficData[[#This Row],[pendingAmount]]&lt;=TrafficData[[#This Row],[totalAmount]],TrafficData[[#This Row],[disposedAmount]]&lt;=TrafficData[[#This Row],[totalAmount]])</f>
        <v>1</v>
      </c>
      <c r="P246" t="b">
        <f>AND(TrafficData[[#This Row],[pendingCourt]]&lt;=TrafficData[[#This Row],[totalCourt]],TrafficData[[#This Row],[disposedCourt]]&lt;=TrafficData[[#This Row],[totalCourt]])</f>
        <v>1</v>
      </c>
    </row>
    <row r="247" spans="1:16">
      <c r="A247" s="1">
        <v>42250</v>
      </c>
      <c r="B247">
        <v>91</v>
      </c>
      <c r="C247">
        <v>26</v>
      </c>
      <c r="D247">
        <v>65</v>
      </c>
      <c r="E247">
        <v>573300</v>
      </c>
      <c r="F247">
        <v>88050</v>
      </c>
      <c r="G247">
        <v>661350</v>
      </c>
      <c r="H247">
        <v>2</v>
      </c>
      <c r="I247">
        <v>0</v>
      </c>
      <c r="J247">
        <v>2</v>
      </c>
      <c r="K247" t="b">
        <f>TrafficData[[#This Row],[disposedChallan]]+TrafficData[[#This Row],[pendingChallan]]=TrafficData[[#This Row],[totalChallan]]</f>
        <v>1</v>
      </c>
      <c r="L247" t="b">
        <f>TrafficData[[#This Row],[pendingAmount]]+TrafficData[[#This Row],[disposedAmount]]=TrafficData[[#This Row],[totalAmount]]</f>
        <v>1</v>
      </c>
      <c r="M247" t="b">
        <f>TrafficData[[#This Row],[pendingCourt]]+TrafficData[[#This Row],[disposedCourt]]=TrafficData[[#This Row],[totalCourt]]</f>
        <v>1</v>
      </c>
      <c r="N247" t="b">
        <f>AND(TrafficData[[#This Row],[disposedChallan]]&lt;=TrafficData[[#This Row],[totalChallan]],TrafficData[[#This Row],[pendingChallan]]&lt;=TrafficData[[#This Row],[totalChallan]])</f>
        <v>1</v>
      </c>
      <c r="O247" t="b">
        <f>AND(TrafficData[[#This Row],[pendingAmount]]&lt;=TrafficData[[#This Row],[totalAmount]],TrafficData[[#This Row],[disposedAmount]]&lt;=TrafficData[[#This Row],[totalAmount]])</f>
        <v>1</v>
      </c>
      <c r="P247" t="b">
        <f>AND(TrafficData[[#This Row],[pendingCourt]]&lt;=TrafficData[[#This Row],[totalCourt]],TrafficData[[#This Row],[disposedCourt]]&lt;=TrafficData[[#This Row],[totalCourt]])</f>
        <v>1</v>
      </c>
    </row>
    <row r="248" spans="1:16">
      <c r="A248" s="1">
        <v>42251</v>
      </c>
      <c r="B248">
        <v>73</v>
      </c>
      <c r="C248">
        <v>22</v>
      </c>
      <c r="D248">
        <v>51</v>
      </c>
      <c r="E248">
        <v>311000</v>
      </c>
      <c r="F248">
        <v>153648</v>
      </c>
      <c r="G248">
        <v>464648</v>
      </c>
      <c r="H248">
        <v>5</v>
      </c>
      <c r="I248">
        <v>0</v>
      </c>
      <c r="J248">
        <v>5</v>
      </c>
      <c r="K248" t="b">
        <f>TrafficData[[#This Row],[disposedChallan]]+TrafficData[[#This Row],[pendingChallan]]=TrafficData[[#This Row],[totalChallan]]</f>
        <v>1</v>
      </c>
      <c r="L248" t="b">
        <f>TrafficData[[#This Row],[pendingAmount]]+TrafficData[[#This Row],[disposedAmount]]=TrafficData[[#This Row],[totalAmount]]</f>
        <v>1</v>
      </c>
      <c r="M248" t="b">
        <f>TrafficData[[#This Row],[pendingCourt]]+TrafficData[[#This Row],[disposedCourt]]=TrafficData[[#This Row],[totalCourt]]</f>
        <v>1</v>
      </c>
      <c r="N248" t="b">
        <f>AND(TrafficData[[#This Row],[disposedChallan]]&lt;=TrafficData[[#This Row],[totalChallan]],TrafficData[[#This Row],[pendingChallan]]&lt;=TrafficData[[#This Row],[totalChallan]])</f>
        <v>1</v>
      </c>
      <c r="O248" t="b">
        <f>AND(TrafficData[[#This Row],[pendingAmount]]&lt;=TrafficData[[#This Row],[totalAmount]],TrafficData[[#This Row],[disposedAmount]]&lt;=TrafficData[[#This Row],[totalAmount]])</f>
        <v>1</v>
      </c>
      <c r="P248" t="b">
        <f>AND(TrafficData[[#This Row],[pendingCourt]]&lt;=TrafficData[[#This Row],[totalCourt]],TrafficData[[#This Row],[disposedCourt]]&lt;=TrafficData[[#This Row],[totalCourt]])</f>
        <v>1</v>
      </c>
    </row>
    <row r="249" spans="1:16">
      <c r="A249" s="1">
        <v>42252</v>
      </c>
      <c r="B249">
        <v>45</v>
      </c>
      <c r="C249">
        <v>9</v>
      </c>
      <c r="D249">
        <v>36</v>
      </c>
      <c r="E249">
        <v>220400</v>
      </c>
      <c r="F249">
        <v>50507</v>
      </c>
      <c r="G249">
        <v>270907</v>
      </c>
      <c r="H249">
        <v>2</v>
      </c>
      <c r="I249">
        <v>0</v>
      </c>
      <c r="J249">
        <v>2</v>
      </c>
      <c r="K249" t="b">
        <f>TrafficData[[#This Row],[disposedChallan]]+TrafficData[[#This Row],[pendingChallan]]=TrafficData[[#This Row],[totalChallan]]</f>
        <v>1</v>
      </c>
      <c r="L249" t="b">
        <f>TrafficData[[#This Row],[pendingAmount]]+TrafficData[[#This Row],[disposedAmount]]=TrafficData[[#This Row],[totalAmount]]</f>
        <v>1</v>
      </c>
      <c r="M249" t="b">
        <f>TrafficData[[#This Row],[pendingCourt]]+TrafficData[[#This Row],[disposedCourt]]=TrafficData[[#This Row],[totalCourt]]</f>
        <v>1</v>
      </c>
      <c r="N249" t="b">
        <f>AND(TrafficData[[#This Row],[disposedChallan]]&lt;=TrafficData[[#This Row],[totalChallan]],TrafficData[[#This Row],[pendingChallan]]&lt;=TrafficData[[#This Row],[totalChallan]])</f>
        <v>1</v>
      </c>
      <c r="O249" t="b">
        <f>AND(TrafficData[[#This Row],[pendingAmount]]&lt;=TrafficData[[#This Row],[totalAmount]],TrafficData[[#This Row],[disposedAmount]]&lt;=TrafficData[[#This Row],[totalAmount]])</f>
        <v>1</v>
      </c>
      <c r="P249" t="b">
        <f>AND(TrafficData[[#This Row],[pendingCourt]]&lt;=TrafficData[[#This Row],[totalCourt]],TrafficData[[#This Row],[disposedCourt]]&lt;=TrafficData[[#This Row],[totalCourt]])</f>
        <v>1</v>
      </c>
    </row>
    <row r="250" spans="1:16">
      <c r="A250" s="1">
        <v>42253</v>
      </c>
      <c r="B250">
        <v>42</v>
      </c>
      <c r="C250">
        <v>13</v>
      </c>
      <c r="D250">
        <v>29</v>
      </c>
      <c r="E250">
        <v>241150</v>
      </c>
      <c r="F250">
        <v>48650</v>
      </c>
      <c r="G250">
        <v>289800</v>
      </c>
      <c r="H250">
        <v>1</v>
      </c>
      <c r="I250">
        <v>0</v>
      </c>
      <c r="J250">
        <v>1</v>
      </c>
      <c r="K250" t="b">
        <f>TrafficData[[#This Row],[disposedChallan]]+TrafficData[[#This Row],[pendingChallan]]=TrafficData[[#This Row],[totalChallan]]</f>
        <v>1</v>
      </c>
      <c r="L250" t="b">
        <f>TrafficData[[#This Row],[pendingAmount]]+TrafficData[[#This Row],[disposedAmount]]=TrafficData[[#This Row],[totalAmount]]</f>
        <v>1</v>
      </c>
      <c r="M250" t="b">
        <f>TrafficData[[#This Row],[pendingCourt]]+TrafficData[[#This Row],[disposedCourt]]=TrafficData[[#This Row],[totalCourt]]</f>
        <v>1</v>
      </c>
      <c r="N250" t="b">
        <f>AND(TrafficData[[#This Row],[disposedChallan]]&lt;=TrafficData[[#This Row],[totalChallan]],TrafficData[[#This Row],[pendingChallan]]&lt;=TrafficData[[#This Row],[totalChallan]])</f>
        <v>1</v>
      </c>
      <c r="O250" t="b">
        <f>AND(TrafficData[[#This Row],[pendingAmount]]&lt;=TrafficData[[#This Row],[totalAmount]],TrafficData[[#This Row],[disposedAmount]]&lt;=TrafficData[[#This Row],[totalAmount]])</f>
        <v>1</v>
      </c>
      <c r="P250" t="b">
        <f>AND(TrafficData[[#This Row],[pendingCourt]]&lt;=TrafficData[[#This Row],[totalCourt]],TrafficData[[#This Row],[disposedCourt]]&lt;=TrafficData[[#This Row],[totalCourt]])</f>
        <v>1</v>
      </c>
    </row>
    <row r="251" spans="1:16">
      <c r="A251" s="1">
        <v>42254</v>
      </c>
      <c r="B251">
        <v>78</v>
      </c>
      <c r="C251">
        <v>28</v>
      </c>
      <c r="D251">
        <v>50</v>
      </c>
      <c r="E251">
        <v>502196</v>
      </c>
      <c r="F251">
        <v>115400</v>
      </c>
      <c r="G251">
        <v>617596</v>
      </c>
      <c r="H251">
        <v>4</v>
      </c>
      <c r="I251">
        <v>1</v>
      </c>
      <c r="J251">
        <v>5</v>
      </c>
      <c r="K251" t="b">
        <f>TrafficData[[#This Row],[disposedChallan]]+TrafficData[[#This Row],[pendingChallan]]=TrafficData[[#This Row],[totalChallan]]</f>
        <v>1</v>
      </c>
      <c r="L251" t="b">
        <f>TrafficData[[#This Row],[pendingAmount]]+TrafficData[[#This Row],[disposedAmount]]=TrafficData[[#This Row],[totalAmount]]</f>
        <v>1</v>
      </c>
      <c r="M251" t="b">
        <f>TrafficData[[#This Row],[pendingCourt]]+TrafficData[[#This Row],[disposedCourt]]=TrafficData[[#This Row],[totalCourt]]</f>
        <v>1</v>
      </c>
      <c r="N251" t="b">
        <f>AND(TrafficData[[#This Row],[disposedChallan]]&lt;=TrafficData[[#This Row],[totalChallan]],TrafficData[[#This Row],[pendingChallan]]&lt;=TrafficData[[#This Row],[totalChallan]])</f>
        <v>1</v>
      </c>
      <c r="O251" t="b">
        <f>AND(TrafficData[[#This Row],[pendingAmount]]&lt;=TrafficData[[#This Row],[totalAmount]],TrafficData[[#This Row],[disposedAmount]]&lt;=TrafficData[[#This Row],[totalAmount]])</f>
        <v>1</v>
      </c>
      <c r="P251" t="b">
        <f>AND(TrafficData[[#This Row],[pendingCourt]]&lt;=TrafficData[[#This Row],[totalCourt]],TrafficData[[#This Row],[disposedCourt]]&lt;=TrafficData[[#This Row],[totalCourt]])</f>
        <v>1</v>
      </c>
    </row>
    <row r="252" spans="1:16">
      <c r="A252" s="1">
        <v>42255</v>
      </c>
      <c r="B252">
        <v>124</v>
      </c>
      <c r="C252">
        <v>31</v>
      </c>
      <c r="D252">
        <v>93</v>
      </c>
      <c r="E252">
        <v>634447</v>
      </c>
      <c r="F252">
        <v>148560</v>
      </c>
      <c r="G252">
        <v>783007</v>
      </c>
      <c r="H252">
        <v>4</v>
      </c>
      <c r="I252">
        <v>0</v>
      </c>
      <c r="J252">
        <v>4</v>
      </c>
      <c r="K252" t="b">
        <f>TrafficData[[#This Row],[disposedChallan]]+TrafficData[[#This Row],[pendingChallan]]=TrafficData[[#This Row],[totalChallan]]</f>
        <v>1</v>
      </c>
      <c r="L252" t="b">
        <f>TrafficData[[#This Row],[pendingAmount]]+TrafficData[[#This Row],[disposedAmount]]=TrafficData[[#This Row],[totalAmount]]</f>
        <v>1</v>
      </c>
      <c r="M252" t="b">
        <f>TrafficData[[#This Row],[pendingCourt]]+TrafficData[[#This Row],[disposedCourt]]=TrafficData[[#This Row],[totalCourt]]</f>
        <v>1</v>
      </c>
      <c r="N252" t="b">
        <f>AND(TrafficData[[#This Row],[disposedChallan]]&lt;=TrafficData[[#This Row],[totalChallan]],TrafficData[[#This Row],[pendingChallan]]&lt;=TrafficData[[#This Row],[totalChallan]])</f>
        <v>1</v>
      </c>
      <c r="O252" t="b">
        <f>AND(TrafficData[[#This Row],[pendingAmount]]&lt;=TrafficData[[#This Row],[totalAmount]],TrafficData[[#This Row],[disposedAmount]]&lt;=TrafficData[[#This Row],[totalAmount]])</f>
        <v>1</v>
      </c>
      <c r="P252" t="b">
        <f>AND(TrafficData[[#This Row],[pendingCourt]]&lt;=TrafficData[[#This Row],[totalCourt]],TrafficData[[#This Row],[disposedCourt]]&lt;=TrafficData[[#This Row],[totalCourt]])</f>
        <v>1</v>
      </c>
    </row>
    <row r="253" spans="1:16">
      <c r="A253" s="1">
        <v>42256</v>
      </c>
      <c r="B253">
        <v>114</v>
      </c>
      <c r="C253">
        <v>36</v>
      </c>
      <c r="D253">
        <v>78</v>
      </c>
      <c r="E253">
        <v>549150</v>
      </c>
      <c r="F253">
        <v>152790</v>
      </c>
      <c r="G253">
        <v>701940</v>
      </c>
      <c r="H253">
        <v>2</v>
      </c>
      <c r="I253">
        <v>2</v>
      </c>
      <c r="J253">
        <v>4</v>
      </c>
      <c r="K253" t="b">
        <f>TrafficData[[#This Row],[disposedChallan]]+TrafficData[[#This Row],[pendingChallan]]=TrafficData[[#This Row],[totalChallan]]</f>
        <v>1</v>
      </c>
      <c r="L253" t="b">
        <f>TrafficData[[#This Row],[pendingAmount]]+TrafficData[[#This Row],[disposedAmount]]=TrafficData[[#This Row],[totalAmount]]</f>
        <v>1</v>
      </c>
      <c r="M253" t="b">
        <f>TrafficData[[#This Row],[pendingCourt]]+TrafficData[[#This Row],[disposedCourt]]=TrafficData[[#This Row],[totalCourt]]</f>
        <v>1</v>
      </c>
      <c r="N253" t="b">
        <f>AND(TrafficData[[#This Row],[disposedChallan]]&lt;=TrafficData[[#This Row],[totalChallan]],TrafficData[[#This Row],[pendingChallan]]&lt;=TrafficData[[#This Row],[totalChallan]])</f>
        <v>1</v>
      </c>
      <c r="O253" t="b">
        <f>AND(TrafficData[[#This Row],[pendingAmount]]&lt;=TrafficData[[#This Row],[totalAmount]],TrafficData[[#This Row],[disposedAmount]]&lt;=TrafficData[[#This Row],[totalAmount]])</f>
        <v>1</v>
      </c>
      <c r="P253" t="b">
        <f>AND(TrafficData[[#This Row],[pendingCourt]]&lt;=TrafficData[[#This Row],[totalCourt]],TrafficData[[#This Row],[disposedCourt]]&lt;=TrafficData[[#This Row],[totalCourt]])</f>
        <v>1</v>
      </c>
    </row>
    <row r="254" spans="1:16">
      <c r="A254" s="1">
        <v>42257</v>
      </c>
      <c r="B254">
        <v>111</v>
      </c>
      <c r="C254">
        <v>32</v>
      </c>
      <c r="D254">
        <v>79</v>
      </c>
      <c r="E254">
        <v>584550</v>
      </c>
      <c r="F254">
        <v>151300</v>
      </c>
      <c r="G254">
        <v>735850</v>
      </c>
      <c r="H254">
        <v>2</v>
      </c>
      <c r="I254">
        <v>1</v>
      </c>
      <c r="J254">
        <v>3</v>
      </c>
      <c r="K254" t="b">
        <f>TrafficData[[#This Row],[disposedChallan]]+TrafficData[[#This Row],[pendingChallan]]=TrafficData[[#This Row],[totalChallan]]</f>
        <v>1</v>
      </c>
      <c r="L254" t="b">
        <f>TrafficData[[#This Row],[pendingAmount]]+TrafficData[[#This Row],[disposedAmount]]=TrafficData[[#This Row],[totalAmount]]</f>
        <v>1</v>
      </c>
      <c r="M254" t="b">
        <f>TrafficData[[#This Row],[pendingCourt]]+TrafficData[[#This Row],[disposedCourt]]=TrafficData[[#This Row],[totalCourt]]</f>
        <v>1</v>
      </c>
      <c r="N254" t="b">
        <f>AND(TrafficData[[#This Row],[disposedChallan]]&lt;=TrafficData[[#This Row],[totalChallan]],TrafficData[[#This Row],[pendingChallan]]&lt;=TrafficData[[#This Row],[totalChallan]])</f>
        <v>1</v>
      </c>
      <c r="O254" t="b">
        <f>AND(TrafficData[[#This Row],[pendingAmount]]&lt;=TrafficData[[#This Row],[totalAmount]],TrafficData[[#This Row],[disposedAmount]]&lt;=TrafficData[[#This Row],[totalAmount]])</f>
        <v>1</v>
      </c>
      <c r="P254" t="b">
        <f>AND(TrafficData[[#This Row],[pendingCourt]]&lt;=TrafficData[[#This Row],[totalCourt]],TrafficData[[#This Row],[disposedCourt]]&lt;=TrafficData[[#This Row],[totalCourt]])</f>
        <v>1</v>
      </c>
    </row>
    <row r="255" spans="1:16">
      <c r="A255" s="1">
        <v>42258</v>
      </c>
      <c r="B255">
        <v>99</v>
      </c>
      <c r="C255">
        <v>21</v>
      </c>
      <c r="D255">
        <v>78</v>
      </c>
      <c r="E255">
        <v>531899</v>
      </c>
      <c r="F255">
        <v>132150</v>
      </c>
      <c r="G255">
        <v>664049</v>
      </c>
      <c r="H255">
        <v>0</v>
      </c>
      <c r="I255">
        <v>0</v>
      </c>
      <c r="J255">
        <v>0</v>
      </c>
      <c r="K255" t="b">
        <f>TrafficData[[#This Row],[disposedChallan]]+TrafficData[[#This Row],[pendingChallan]]=TrafficData[[#This Row],[totalChallan]]</f>
        <v>1</v>
      </c>
      <c r="L255" t="b">
        <f>TrafficData[[#This Row],[pendingAmount]]+TrafficData[[#This Row],[disposedAmount]]=TrafficData[[#This Row],[totalAmount]]</f>
        <v>1</v>
      </c>
      <c r="M255" t="b">
        <f>TrafficData[[#This Row],[pendingCourt]]+TrafficData[[#This Row],[disposedCourt]]=TrafficData[[#This Row],[totalCourt]]</f>
        <v>1</v>
      </c>
      <c r="N255" t="b">
        <f>AND(TrafficData[[#This Row],[disposedChallan]]&lt;=TrafficData[[#This Row],[totalChallan]],TrafficData[[#This Row],[pendingChallan]]&lt;=TrafficData[[#This Row],[totalChallan]])</f>
        <v>1</v>
      </c>
      <c r="O255" t="b">
        <f>AND(TrafficData[[#This Row],[pendingAmount]]&lt;=TrafficData[[#This Row],[totalAmount]],TrafficData[[#This Row],[disposedAmount]]&lt;=TrafficData[[#This Row],[totalAmount]])</f>
        <v>1</v>
      </c>
      <c r="P255" t="b">
        <f>AND(TrafficData[[#This Row],[pendingCourt]]&lt;=TrafficData[[#This Row],[totalCourt]],TrafficData[[#This Row],[disposedCourt]]&lt;=TrafficData[[#This Row],[totalCourt]])</f>
        <v>1</v>
      </c>
    </row>
    <row r="256" spans="1:16">
      <c r="A256" s="1">
        <v>42259</v>
      </c>
      <c r="B256">
        <v>71</v>
      </c>
      <c r="C256">
        <v>17</v>
      </c>
      <c r="D256">
        <v>54</v>
      </c>
      <c r="E256">
        <v>291900</v>
      </c>
      <c r="F256">
        <v>52000</v>
      </c>
      <c r="G256">
        <v>343900</v>
      </c>
      <c r="H256">
        <v>1</v>
      </c>
      <c r="I256">
        <v>0</v>
      </c>
      <c r="J256">
        <v>1</v>
      </c>
      <c r="K256" t="b">
        <f>TrafficData[[#This Row],[disposedChallan]]+TrafficData[[#This Row],[pendingChallan]]=TrafficData[[#This Row],[totalChallan]]</f>
        <v>1</v>
      </c>
      <c r="L256" t="b">
        <f>TrafficData[[#This Row],[pendingAmount]]+TrafficData[[#This Row],[disposedAmount]]=TrafficData[[#This Row],[totalAmount]]</f>
        <v>1</v>
      </c>
      <c r="M256" t="b">
        <f>TrafficData[[#This Row],[pendingCourt]]+TrafficData[[#This Row],[disposedCourt]]=TrafficData[[#This Row],[totalCourt]]</f>
        <v>1</v>
      </c>
      <c r="N256" t="b">
        <f>AND(TrafficData[[#This Row],[disposedChallan]]&lt;=TrafficData[[#This Row],[totalChallan]],TrafficData[[#This Row],[pendingChallan]]&lt;=TrafficData[[#This Row],[totalChallan]])</f>
        <v>1</v>
      </c>
      <c r="O256" t="b">
        <f>AND(TrafficData[[#This Row],[pendingAmount]]&lt;=TrafficData[[#This Row],[totalAmount]],TrafficData[[#This Row],[disposedAmount]]&lt;=TrafficData[[#This Row],[totalAmount]])</f>
        <v>1</v>
      </c>
      <c r="P256" t="b">
        <f>AND(TrafficData[[#This Row],[pendingCourt]]&lt;=TrafficData[[#This Row],[totalCourt]],TrafficData[[#This Row],[disposedCourt]]&lt;=TrafficData[[#This Row],[totalCourt]])</f>
        <v>1</v>
      </c>
    </row>
    <row r="257" spans="1:16">
      <c r="A257" s="1">
        <v>42260</v>
      </c>
      <c r="B257">
        <v>62</v>
      </c>
      <c r="C257">
        <v>15</v>
      </c>
      <c r="D257">
        <v>47</v>
      </c>
      <c r="E257">
        <v>301419</v>
      </c>
      <c r="F257">
        <v>30300</v>
      </c>
      <c r="G257">
        <v>331719</v>
      </c>
      <c r="H257">
        <v>0</v>
      </c>
      <c r="I257">
        <v>0</v>
      </c>
      <c r="J257">
        <v>0</v>
      </c>
      <c r="K257" t="b">
        <f>TrafficData[[#This Row],[disposedChallan]]+TrafficData[[#This Row],[pendingChallan]]=TrafficData[[#This Row],[totalChallan]]</f>
        <v>1</v>
      </c>
      <c r="L257" t="b">
        <f>TrafficData[[#This Row],[pendingAmount]]+TrafficData[[#This Row],[disposedAmount]]=TrafficData[[#This Row],[totalAmount]]</f>
        <v>1</v>
      </c>
      <c r="M257" t="b">
        <f>TrafficData[[#This Row],[pendingCourt]]+TrafficData[[#This Row],[disposedCourt]]=TrafficData[[#This Row],[totalCourt]]</f>
        <v>1</v>
      </c>
      <c r="N257" t="b">
        <f>AND(TrafficData[[#This Row],[disposedChallan]]&lt;=TrafficData[[#This Row],[totalChallan]],TrafficData[[#This Row],[pendingChallan]]&lt;=TrafficData[[#This Row],[totalChallan]])</f>
        <v>1</v>
      </c>
      <c r="O257" t="b">
        <f>AND(TrafficData[[#This Row],[pendingAmount]]&lt;=TrafficData[[#This Row],[totalAmount]],TrafficData[[#This Row],[disposedAmount]]&lt;=TrafficData[[#This Row],[totalAmount]])</f>
        <v>1</v>
      </c>
      <c r="P257" t="b">
        <f>AND(TrafficData[[#This Row],[pendingCourt]]&lt;=TrafficData[[#This Row],[totalCourt]],TrafficData[[#This Row],[disposedCourt]]&lt;=TrafficData[[#This Row],[totalCourt]])</f>
        <v>1</v>
      </c>
    </row>
    <row r="258" spans="1:16">
      <c r="A258" s="1">
        <v>42261</v>
      </c>
      <c r="B258">
        <v>94</v>
      </c>
      <c r="C258">
        <v>24</v>
      </c>
      <c r="D258">
        <v>70</v>
      </c>
      <c r="E258">
        <v>458500</v>
      </c>
      <c r="F258">
        <v>55875</v>
      </c>
      <c r="G258">
        <v>514375</v>
      </c>
      <c r="H258">
        <v>2</v>
      </c>
      <c r="I258">
        <v>0</v>
      </c>
      <c r="J258">
        <v>2</v>
      </c>
      <c r="K258" t="b">
        <f>TrafficData[[#This Row],[disposedChallan]]+TrafficData[[#This Row],[pendingChallan]]=TrafficData[[#This Row],[totalChallan]]</f>
        <v>1</v>
      </c>
      <c r="L258" t="b">
        <f>TrafficData[[#This Row],[pendingAmount]]+TrafficData[[#This Row],[disposedAmount]]=TrafficData[[#This Row],[totalAmount]]</f>
        <v>1</v>
      </c>
      <c r="M258" t="b">
        <f>TrafficData[[#This Row],[pendingCourt]]+TrafficData[[#This Row],[disposedCourt]]=TrafficData[[#This Row],[totalCourt]]</f>
        <v>1</v>
      </c>
      <c r="N258" t="b">
        <f>AND(TrafficData[[#This Row],[disposedChallan]]&lt;=TrafficData[[#This Row],[totalChallan]],TrafficData[[#This Row],[pendingChallan]]&lt;=TrafficData[[#This Row],[totalChallan]])</f>
        <v>1</v>
      </c>
      <c r="O258" t="b">
        <f>AND(TrafficData[[#This Row],[pendingAmount]]&lt;=TrafficData[[#This Row],[totalAmount]],TrafficData[[#This Row],[disposedAmount]]&lt;=TrafficData[[#This Row],[totalAmount]])</f>
        <v>1</v>
      </c>
      <c r="P258" t="b">
        <f>AND(TrafficData[[#This Row],[pendingCourt]]&lt;=TrafficData[[#This Row],[totalCourt]],TrafficData[[#This Row],[disposedCourt]]&lt;=TrafficData[[#This Row],[totalCourt]])</f>
        <v>1</v>
      </c>
    </row>
    <row r="259" spans="1:16">
      <c r="A259" s="1">
        <v>42262</v>
      </c>
      <c r="B259">
        <v>125</v>
      </c>
      <c r="C259">
        <v>37</v>
      </c>
      <c r="D259">
        <v>88</v>
      </c>
      <c r="E259">
        <v>695525</v>
      </c>
      <c r="F259">
        <v>179300</v>
      </c>
      <c r="G259">
        <v>874825</v>
      </c>
      <c r="H259">
        <v>6</v>
      </c>
      <c r="I259">
        <v>0</v>
      </c>
      <c r="J259">
        <v>6</v>
      </c>
      <c r="K259" t="b">
        <f>TrafficData[[#This Row],[disposedChallan]]+TrafficData[[#This Row],[pendingChallan]]=TrafficData[[#This Row],[totalChallan]]</f>
        <v>1</v>
      </c>
      <c r="L259" t="b">
        <f>TrafficData[[#This Row],[pendingAmount]]+TrafficData[[#This Row],[disposedAmount]]=TrafficData[[#This Row],[totalAmount]]</f>
        <v>1</v>
      </c>
      <c r="M259" t="b">
        <f>TrafficData[[#This Row],[pendingCourt]]+TrafficData[[#This Row],[disposedCourt]]=TrafficData[[#This Row],[totalCourt]]</f>
        <v>1</v>
      </c>
      <c r="N259" t="b">
        <f>AND(TrafficData[[#This Row],[disposedChallan]]&lt;=TrafficData[[#This Row],[totalChallan]],TrafficData[[#This Row],[pendingChallan]]&lt;=TrafficData[[#This Row],[totalChallan]])</f>
        <v>1</v>
      </c>
      <c r="O259" t="b">
        <f>AND(TrafficData[[#This Row],[pendingAmount]]&lt;=TrafficData[[#This Row],[totalAmount]],TrafficData[[#This Row],[disposedAmount]]&lt;=TrafficData[[#This Row],[totalAmount]])</f>
        <v>1</v>
      </c>
      <c r="P259" t="b">
        <f>AND(TrafficData[[#This Row],[pendingCourt]]&lt;=TrafficData[[#This Row],[totalCourt]],TrafficData[[#This Row],[disposedCourt]]&lt;=TrafficData[[#This Row],[totalCourt]])</f>
        <v>1</v>
      </c>
    </row>
    <row r="260" spans="1:16">
      <c r="A260" s="1">
        <v>42263</v>
      </c>
      <c r="B260">
        <v>98</v>
      </c>
      <c r="C260">
        <v>18</v>
      </c>
      <c r="D260">
        <v>80</v>
      </c>
      <c r="E260">
        <v>544156</v>
      </c>
      <c r="F260">
        <v>132720</v>
      </c>
      <c r="G260">
        <v>676876</v>
      </c>
      <c r="H260">
        <v>1</v>
      </c>
      <c r="I260">
        <v>1</v>
      </c>
      <c r="J260">
        <v>2</v>
      </c>
      <c r="K260" t="b">
        <f>TrafficData[[#This Row],[disposedChallan]]+TrafficData[[#This Row],[pendingChallan]]=TrafficData[[#This Row],[totalChallan]]</f>
        <v>1</v>
      </c>
      <c r="L260" t="b">
        <f>TrafficData[[#This Row],[pendingAmount]]+TrafficData[[#This Row],[disposedAmount]]=TrafficData[[#This Row],[totalAmount]]</f>
        <v>1</v>
      </c>
      <c r="M260" t="b">
        <f>TrafficData[[#This Row],[pendingCourt]]+TrafficData[[#This Row],[disposedCourt]]=TrafficData[[#This Row],[totalCourt]]</f>
        <v>1</v>
      </c>
      <c r="N260" t="b">
        <f>AND(TrafficData[[#This Row],[disposedChallan]]&lt;=TrafficData[[#This Row],[totalChallan]],TrafficData[[#This Row],[pendingChallan]]&lt;=TrafficData[[#This Row],[totalChallan]])</f>
        <v>1</v>
      </c>
      <c r="O260" t="b">
        <f>AND(TrafficData[[#This Row],[pendingAmount]]&lt;=TrafficData[[#This Row],[totalAmount]],TrafficData[[#This Row],[disposedAmount]]&lt;=TrafficData[[#This Row],[totalAmount]])</f>
        <v>1</v>
      </c>
      <c r="P260" t="b">
        <f>AND(TrafficData[[#This Row],[pendingCourt]]&lt;=TrafficData[[#This Row],[totalCourt]],TrafficData[[#This Row],[disposedCourt]]&lt;=TrafficData[[#This Row],[totalCourt]])</f>
        <v>1</v>
      </c>
    </row>
    <row r="261" spans="1:16">
      <c r="A261" s="1">
        <v>42264</v>
      </c>
      <c r="B261">
        <v>115</v>
      </c>
      <c r="C261">
        <v>27</v>
      </c>
      <c r="D261">
        <v>88</v>
      </c>
      <c r="E261">
        <v>388980</v>
      </c>
      <c r="F261">
        <v>138100</v>
      </c>
      <c r="G261">
        <v>527080</v>
      </c>
      <c r="H261">
        <v>1</v>
      </c>
      <c r="I261">
        <v>1</v>
      </c>
      <c r="J261">
        <v>2</v>
      </c>
      <c r="K261" t="b">
        <f>TrafficData[[#This Row],[disposedChallan]]+TrafficData[[#This Row],[pendingChallan]]=TrafficData[[#This Row],[totalChallan]]</f>
        <v>1</v>
      </c>
      <c r="L261" t="b">
        <f>TrafficData[[#This Row],[pendingAmount]]+TrafficData[[#This Row],[disposedAmount]]=TrafficData[[#This Row],[totalAmount]]</f>
        <v>1</v>
      </c>
      <c r="M261" t="b">
        <f>TrafficData[[#This Row],[pendingCourt]]+TrafficData[[#This Row],[disposedCourt]]=TrafficData[[#This Row],[totalCourt]]</f>
        <v>1</v>
      </c>
      <c r="N261" t="b">
        <f>AND(TrafficData[[#This Row],[disposedChallan]]&lt;=TrafficData[[#This Row],[totalChallan]],TrafficData[[#This Row],[pendingChallan]]&lt;=TrafficData[[#This Row],[totalChallan]])</f>
        <v>1</v>
      </c>
      <c r="O261" t="b">
        <f>AND(TrafficData[[#This Row],[pendingAmount]]&lt;=TrafficData[[#This Row],[totalAmount]],TrafficData[[#This Row],[disposedAmount]]&lt;=TrafficData[[#This Row],[totalAmount]])</f>
        <v>1</v>
      </c>
      <c r="P261" t="b">
        <f>AND(TrafficData[[#This Row],[pendingCourt]]&lt;=TrafficData[[#This Row],[totalCourt]],TrafficData[[#This Row],[disposedCourt]]&lt;=TrafficData[[#This Row],[totalCourt]])</f>
        <v>1</v>
      </c>
    </row>
    <row r="262" spans="1:16">
      <c r="A262" s="1">
        <v>42265</v>
      </c>
      <c r="B262">
        <v>93</v>
      </c>
      <c r="C262">
        <v>19</v>
      </c>
      <c r="D262">
        <v>74</v>
      </c>
      <c r="E262">
        <v>408950</v>
      </c>
      <c r="F262">
        <v>70700</v>
      </c>
      <c r="G262">
        <v>479650</v>
      </c>
      <c r="H262">
        <v>0</v>
      </c>
      <c r="I262">
        <v>1</v>
      </c>
      <c r="J262">
        <v>1</v>
      </c>
      <c r="K262" t="b">
        <f>TrafficData[[#This Row],[disposedChallan]]+TrafficData[[#This Row],[pendingChallan]]=TrafficData[[#This Row],[totalChallan]]</f>
        <v>1</v>
      </c>
      <c r="L262" t="b">
        <f>TrafficData[[#This Row],[pendingAmount]]+TrafficData[[#This Row],[disposedAmount]]=TrafficData[[#This Row],[totalAmount]]</f>
        <v>1</v>
      </c>
      <c r="M262" t="b">
        <f>TrafficData[[#This Row],[pendingCourt]]+TrafficData[[#This Row],[disposedCourt]]=TrafficData[[#This Row],[totalCourt]]</f>
        <v>1</v>
      </c>
      <c r="N262" t="b">
        <f>AND(TrafficData[[#This Row],[disposedChallan]]&lt;=TrafficData[[#This Row],[totalChallan]],TrafficData[[#This Row],[pendingChallan]]&lt;=TrafficData[[#This Row],[totalChallan]])</f>
        <v>1</v>
      </c>
      <c r="O262" t="b">
        <f>AND(TrafficData[[#This Row],[pendingAmount]]&lt;=TrafficData[[#This Row],[totalAmount]],TrafficData[[#This Row],[disposedAmount]]&lt;=TrafficData[[#This Row],[totalAmount]])</f>
        <v>1</v>
      </c>
      <c r="P262" t="b">
        <f>AND(TrafficData[[#This Row],[pendingCourt]]&lt;=TrafficData[[#This Row],[totalCourt]],TrafficData[[#This Row],[disposedCourt]]&lt;=TrafficData[[#This Row],[totalCourt]])</f>
        <v>1</v>
      </c>
    </row>
    <row r="263" spans="1:16">
      <c r="A263" s="1">
        <v>42266</v>
      </c>
      <c r="B263">
        <v>64</v>
      </c>
      <c r="C263">
        <v>22</v>
      </c>
      <c r="D263">
        <v>42</v>
      </c>
      <c r="E263">
        <v>278460</v>
      </c>
      <c r="F263">
        <v>52225</v>
      </c>
      <c r="G263">
        <v>330685</v>
      </c>
      <c r="H263">
        <v>2</v>
      </c>
      <c r="I263">
        <v>2</v>
      </c>
      <c r="J263">
        <v>4</v>
      </c>
      <c r="K263" t="b">
        <f>TrafficData[[#This Row],[disposedChallan]]+TrafficData[[#This Row],[pendingChallan]]=TrafficData[[#This Row],[totalChallan]]</f>
        <v>1</v>
      </c>
      <c r="L263" t="b">
        <f>TrafficData[[#This Row],[pendingAmount]]+TrafficData[[#This Row],[disposedAmount]]=TrafficData[[#This Row],[totalAmount]]</f>
        <v>1</v>
      </c>
      <c r="M263" t="b">
        <f>TrafficData[[#This Row],[pendingCourt]]+TrafficData[[#This Row],[disposedCourt]]=TrafficData[[#This Row],[totalCourt]]</f>
        <v>1</v>
      </c>
      <c r="N263" t="b">
        <f>AND(TrafficData[[#This Row],[disposedChallan]]&lt;=TrafficData[[#This Row],[totalChallan]],TrafficData[[#This Row],[pendingChallan]]&lt;=TrafficData[[#This Row],[totalChallan]])</f>
        <v>1</v>
      </c>
      <c r="O263" t="b">
        <f>AND(TrafficData[[#This Row],[pendingAmount]]&lt;=TrafficData[[#This Row],[totalAmount]],TrafficData[[#This Row],[disposedAmount]]&lt;=TrafficData[[#This Row],[totalAmount]])</f>
        <v>1</v>
      </c>
      <c r="P263" t="b">
        <f>AND(TrafficData[[#This Row],[pendingCourt]]&lt;=TrafficData[[#This Row],[totalCourt]],TrafficData[[#This Row],[disposedCourt]]&lt;=TrafficData[[#This Row],[totalCourt]])</f>
        <v>1</v>
      </c>
    </row>
    <row r="264" spans="1:16">
      <c r="A264" s="1">
        <v>42267</v>
      </c>
      <c r="B264">
        <v>44</v>
      </c>
      <c r="C264">
        <v>16</v>
      </c>
      <c r="D264">
        <v>28</v>
      </c>
      <c r="E264">
        <v>256300</v>
      </c>
      <c r="F264">
        <v>71350</v>
      </c>
      <c r="G264">
        <v>327650</v>
      </c>
      <c r="H264">
        <v>1</v>
      </c>
      <c r="I264">
        <v>0</v>
      </c>
      <c r="J264">
        <v>1</v>
      </c>
      <c r="K264" t="b">
        <f>TrafficData[[#This Row],[disposedChallan]]+TrafficData[[#This Row],[pendingChallan]]=TrafficData[[#This Row],[totalChallan]]</f>
        <v>1</v>
      </c>
      <c r="L264" t="b">
        <f>TrafficData[[#This Row],[pendingAmount]]+TrafficData[[#This Row],[disposedAmount]]=TrafficData[[#This Row],[totalAmount]]</f>
        <v>1</v>
      </c>
      <c r="M264" t="b">
        <f>TrafficData[[#This Row],[pendingCourt]]+TrafficData[[#This Row],[disposedCourt]]=TrafficData[[#This Row],[totalCourt]]</f>
        <v>1</v>
      </c>
      <c r="N264" t="b">
        <f>AND(TrafficData[[#This Row],[disposedChallan]]&lt;=TrafficData[[#This Row],[totalChallan]],TrafficData[[#This Row],[pendingChallan]]&lt;=TrafficData[[#This Row],[totalChallan]])</f>
        <v>1</v>
      </c>
      <c r="O264" t="b">
        <f>AND(TrafficData[[#This Row],[pendingAmount]]&lt;=TrafficData[[#This Row],[totalAmount]],TrafficData[[#This Row],[disposedAmount]]&lt;=TrafficData[[#This Row],[totalAmount]])</f>
        <v>1</v>
      </c>
      <c r="P264" t="b">
        <f>AND(TrafficData[[#This Row],[pendingCourt]]&lt;=TrafficData[[#This Row],[totalCourt]],TrafficData[[#This Row],[disposedCourt]]&lt;=TrafficData[[#This Row],[totalCourt]])</f>
        <v>1</v>
      </c>
    </row>
    <row r="265" spans="1:16">
      <c r="A265" s="1">
        <v>42268</v>
      </c>
      <c r="B265">
        <v>38</v>
      </c>
      <c r="C265">
        <v>11</v>
      </c>
      <c r="D265">
        <v>27</v>
      </c>
      <c r="E265">
        <v>247900</v>
      </c>
      <c r="F265">
        <v>51800</v>
      </c>
      <c r="G265">
        <v>299700</v>
      </c>
      <c r="H265">
        <v>2</v>
      </c>
      <c r="I265">
        <v>0</v>
      </c>
      <c r="J265">
        <v>2</v>
      </c>
      <c r="K265" t="b">
        <f>TrafficData[[#This Row],[disposedChallan]]+TrafficData[[#This Row],[pendingChallan]]=TrafficData[[#This Row],[totalChallan]]</f>
        <v>1</v>
      </c>
      <c r="L265" t="b">
        <f>TrafficData[[#This Row],[pendingAmount]]+TrafficData[[#This Row],[disposedAmount]]=TrafficData[[#This Row],[totalAmount]]</f>
        <v>1</v>
      </c>
      <c r="M265" t="b">
        <f>TrafficData[[#This Row],[pendingCourt]]+TrafficData[[#This Row],[disposedCourt]]=TrafficData[[#This Row],[totalCourt]]</f>
        <v>1</v>
      </c>
      <c r="N265" t="b">
        <f>AND(TrafficData[[#This Row],[disposedChallan]]&lt;=TrafficData[[#This Row],[totalChallan]],TrafficData[[#This Row],[pendingChallan]]&lt;=TrafficData[[#This Row],[totalChallan]])</f>
        <v>1</v>
      </c>
      <c r="O265" t="b">
        <f>AND(TrafficData[[#This Row],[pendingAmount]]&lt;=TrafficData[[#This Row],[totalAmount]],TrafficData[[#This Row],[disposedAmount]]&lt;=TrafficData[[#This Row],[totalAmount]])</f>
        <v>1</v>
      </c>
      <c r="P265" t="b">
        <f>AND(TrafficData[[#This Row],[pendingCourt]]&lt;=TrafficData[[#This Row],[totalCourt]],TrafficData[[#This Row],[disposedCourt]]&lt;=TrafficData[[#This Row],[totalCourt]])</f>
        <v>1</v>
      </c>
    </row>
    <row r="266" spans="1:16">
      <c r="A266" s="1">
        <v>42269</v>
      </c>
      <c r="B266">
        <v>57</v>
      </c>
      <c r="C266">
        <v>18</v>
      </c>
      <c r="D266">
        <v>39</v>
      </c>
      <c r="E266">
        <v>308300</v>
      </c>
      <c r="F266">
        <v>78825</v>
      </c>
      <c r="G266">
        <v>387125</v>
      </c>
      <c r="H266">
        <v>4</v>
      </c>
      <c r="I266">
        <v>0</v>
      </c>
      <c r="J266">
        <v>4</v>
      </c>
      <c r="K266" t="b">
        <f>TrafficData[[#This Row],[disposedChallan]]+TrafficData[[#This Row],[pendingChallan]]=TrafficData[[#This Row],[totalChallan]]</f>
        <v>1</v>
      </c>
      <c r="L266" t="b">
        <f>TrafficData[[#This Row],[pendingAmount]]+TrafficData[[#This Row],[disposedAmount]]=TrafficData[[#This Row],[totalAmount]]</f>
        <v>1</v>
      </c>
      <c r="M266" t="b">
        <f>TrafficData[[#This Row],[pendingCourt]]+TrafficData[[#This Row],[disposedCourt]]=TrafficData[[#This Row],[totalCourt]]</f>
        <v>1</v>
      </c>
      <c r="N266" t="b">
        <f>AND(TrafficData[[#This Row],[disposedChallan]]&lt;=TrafficData[[#This Row],[totalChallan]],TrafficData[[#This Row],[pendingChallan]]&lt;=TrafficData[[#This Row],[totalChallan]])</f>
        <v>1</v>
      </c>
      <c r="O266" t="b">
        <f>AND(TrafficData[[#This Row],[pendingAmount]]&lt;=TrafficData[[#This Row],[totalAmount]],TrafficData[[#This Row],[disposedAmount]]&lt;=TrafficData[[#This Row],[totalAmount]])</f>
        <v>1</v>
      </c>
      <c r="P266" t="b">
        <f>AND(TrafficData[[#This Row],[pendingCourt]]&lt;=TrafficData[[#This Row],[totalCourt]],TrafficData[[#This Row],[disposedCourt]]&lt;=TrafficData[[#This Row],[totalCourt]])</f>
        <v>1</v>
      </c>
    </row>
    <row r="267" spans="1:16">
      <c r="A267" s="1">
        <v>42270</v>
      </c>
      <c r="B267">
        <v>74</v>
      </c>
      <c r="C267">
        <v>25</v>
      </c>
      <c r="D267">
        <v>49</v>
      </c>
      <c r="E267">
        <v>345700</v>
      </c>
      <c r="F267">
        <v>145330</v>
      </c>
      <c r="G267">
        <v>491030</v>
      </c>
      <c r="H267">
        <v>3</v>
      </c>
      <c r="I267">
        <v>1</v>
      </c>
      <c r="J267">
        <v>4</v>
      </c>
      <c r="K267" t="b">
        <f>TrafficData[[#This Row],[disposedChallan]]+TrafficData[[#This Row],[pendingChallan]]=TrafficData[[#This Row],[totalChallan]]</f>
        <v>1</v>
      </c>
      <c r="L267" t="b">
        <f>TrafficData[[#This Row],[pendingAmount]]+TrafficData[[#This Row],[disposedAmount]]=TrafficData[[#This Row],[totalAmount]]</f>
        <v>1</v>
      </c>
      <c r="M267" t="b">
        <f>TrafficData[[#This Row],[pendingCourt]]+TrafficData[[#This Row],[disposedCourt]]=TrafficData[[#This Row],[totalCourt]]</f>
        <v>1</v>
      </c>
      <c r="N267" t="b">
        <f>AND(TrafficData[[#This Row],[disposedChallan]]&lt;=TrafficData[[#This Row],[totalChallan]],TrafficData[[#This Row],[pendingChallan]]&lt;=TrafficData[[#This Row],[totalChallan]])</f>
        <v>1</v>
      </c>
      <c r="O267" t="b">
        <f>AND(TrafficData[[#This Row],[pendingAmount]]&lt;=TrafficData[[#This Row],[totalAmount]],TrafficData[[#This Row],[disposedAmount]]&lt;=TrafficData[[#This Row],[totalAmount]])</f>
        <v>1</v>
      </c>
      <c r="P267" t="b">
        <f>AND(TrafficData[[#This Row],[pendingCourt]]&lt;=TrafficData[[#This Row],[totalCourt]],TrafficData[[#This Row],[disposedCourt]]&lt;=TrafficData[[#This Row],[totalCourt]])</f>
        <v>1</v>
      </c>
    </row>
    <row r="268" spans="1:16">
      <c r="A268" s="1">
        <v>42271</v>
      </c>
      <c r="B268">
        <v>73</v>
      </c>
      <c r="C268">
        <v>21</v>
      </c>
      <c r="D268">
        <v>52</v>
      </c>
      <c r="E268">
        <v>458675</v>
      </c>
      <c r="F268">
        <v>100050</v>
      </c>
      <c r="G268">
        <v>558725</v>
      </c>
      <c r="H268">
        <v>4</v>
      </c>
      <c r="I268">
        <v>0</v>
      </c>
      <c r="J268">
        <v>4</v>
      </c>
      <c r="K268" t="b">
        <f>TrafficData[[#This Row],[disposedChallan]]+TrafficData[[#This Row],[pendingChallan]]=TrafficData[[#This Row],[totalChallan]]</f>
        <v>1</v>
      </c>
      <c r="L268" t="b">
        <f>TrafficData[[#This Row],[pendingAmount]]+TrafficData[[#This Row],[disposedAmount]]=TrafficData[[#This Row],[totalAmount]]</f>
        <v>1</v>
      </c>
      <c r="M268" t="b">
        <f>TrafficData[[#This Row],[pendingCourt]]+TrafficData[[#This Row],[disposedCourt]]=TrafficData[[#This Row],[totalCourt]]</f>
        <v>1</v>
      </c>
      <c r="N268" t="b">
        <f>AND(TrafficData[[#This Row],[disposedChallan]]&lt;=TrafficData[[#This Row],[totalChallan]],TrafficData[[#This Row],[pendingChallan]]&lt;=TrafficData[[#This Row],[totalChallan]])</f>
        <v>1</v>
      </c>
      <c r="O268" t="b">
        <f>AND(TrafficData[[#This Row],[pendingAmount]]&lt;=TrafficData[[#This Row],[totalAmount]],TrafficData[[#This Row],[disposedAmount]]&lt;=TrafficData[[#This Row],[totalAmount]])</f>
        <v>1</v>
      </c>
      <c r="P268" t="b">
        <f>AND(TrafficData[[#This Row],[pendingCourt]]&lt;=TrafficData[[#This Row],[totalCourt]],TrafficData[[#This Row],[disposedCourt]]&lt;=TrafficData[[#This Row],[totalCourt]])</f>
        <v>1</v>
      </c>
    </row>
    <row r="269" spans="1:16">
      <c r="A269" s="1">
        <v>42272</v>
      </c>
      <c r="B269">
        <v>40</v>
      </c>
      <c r="C269">
        <v>10</v>
      </c>
      <c r="D269">
        <v>30</v>
      </c>
      <c r="E269">
        <v>283650</v>
      </c>
      <c r="F269">
        <v>68600</v>
      </c>
      <c r="G269">
        <v>352250</v>
      </c>
      <c r="H269">
        <v>4</v>
      </c>
      <c r="I269">
        <v>0</v>
      </c>
      <c r="J269">
        <v>4</v>
      </c>
      <c r="K269" t="b">
        <f>TrafficData[[#This Row],[disposedChallan]]+TrafficData[[#This Row],[pendingChallan]]=TrafficData[[#This Row],[totalChallan]]</f>
        <v>1</v>
      </c>
      <c r="L269" t="b">
        <f>TrafficData[[#This Row],[pendingAmount]]+TrafficData[[#This Row],[disposedAmount]]=TrafficData[[#This Row],[totalAmount]]</f>
        <v>1</v>
      </c>
      <c r="M269" t="b">
        <f>TrafficData[[#This Row],[pendingCourt]]+TrafficData[[#This Row],[disposedCourt]]=TrafficData[[#This Row],[totalCourt]]</f>
        <v>1</v>
      </c>
      <c r="N269" t="b">
        <f>AND(TrafficData[[#This Row],[disposedChallan]]&lt;=TrafficData[[#This Row],[totalChallan]],TrafficData[[#This Row],[pendingChallan]]&lt;=TrafficData[[#This Row],[totalChallan]])</f>
        <v>1</v>
      </c>
      <c r="O269" t="b">
        <f>AND(TrafficData[[#This Row],[pendingAmount]]&lt;=TrafficData[[#This Row],[totalAmount]],TrafficData[[#This Row],[disposedAmount]]&lt;=TrafficData[[#This Row],[totalAmount]])</f>
        <v>1</v>
      </c>
      <c r="P269" t="b">
        <f>AND(TrafficData[[#This Row],[pendingCourt]]&lt;=TrafficData[[#This Row],[totalCourt]],TrafficData[[#This Row],[disposedCourt]]&lt;=TrafficData[[#This Row],[totalCourt]])</f>
        <v>1</v>
      </c>
    </row>
    <row r="270" spans="1:16">
      <c r="A270" s="1">
        <v>42273</v>
      </c>
      <c r="B270">
        <v>62</v>
      </c>
      <c r="C270">
        <v>19</v>
      </c>
      <c r="D270">
        <v>43</v>
      </c>
      <c r="E270">
        <v>416149</v>
      </c>
      <c r="F270">
        <v>62500</v>
      </c>
      <c r="G270">
        <v>478649</v>
      </c>
      <c r="H270">
        <v>0</v>
      </c>
      <c r="I270">
        <v>2</v>
      </c>
      <c r="J270">
        <v>2</v>
      </c>
      <c r="K270" t="b">
        <f>TrafficData[[#This Row],[disposedChallan]]+TrafficData[[#This Row],[pendingChallan]]=TrafficData[[#This Row],[totalChallan]]</f>
        <v>1</v>
      </c>
      <c r="L270" t="b">
        <f>TrafficData[[#This Row],[pendingAmount]]+TrafficData[[#This Row],[disposedAmount]]=TrafficData[[#This Row],[totalAmount]]</f>
        <v>1</v>
      </c>
      <c r="M270" t="b">
        <f>TrafficData[[#This Row],[pendingCourt]]+TrafficData[[#This Row],[disposedCourt]]=TrafficData[[#This Row],[totalCourt]]</f>
        <v>1</v>
      </c>
      <c r="N270" t="b">
        <f>AND(TrafficData[[#This Row],[disposedChallan]]&lt;=TrafficData[[#This Row],[totalChallan]],TrafficData[[#This Row],[pendingChallan]]&lt;=TrafficData[[#This Row],[totalChallan]])</f>
        <v>1</v>
      </c>
      <c r="O270" t="b">
        <f>AND(TrafficData[[#This Row],[pendingAmount]]&lt;=TrafficData[[#This Row],[totalAmount]],TrafficData[[#This Row],[disposedAmount]]&lt;=TrafficData[[#This Row],[totalAmount]])</f>
        <v>1</v>
      </c>
      <c r="P270" t="b">
        <f>AND(TrafficData[[#This Row],[pendingCourt]]&lt;=TrafficData[[#This Row],[totalCourt]],TrafficData[[#This Row],[disposedCourt]]&lt;=TrafficData[[#This Row],[totalCourt]])</f>
        <v>1</v>
      </c>
    </row>
    <row r="271" spans="1:16">
      <c r="A271" s="1">
        <v>42274</v>
      </c>
      <c r="B271">
        <v>32</v>
      </c>
      <c r="C271">
        <v>10</v>
      </c>
      <c r="D271">
        <v>22</v>
      </c>
      <c r="E271">
        <v>166497</v>
      </c>
      <c r="F271">
        <v>46000</v>
      </c>
      <c r="G271">
        <v>212497</v>
      </c>
      <c r="H271">
        <v>1</v>
      </c>
      <c r="I271">
        <v>0</v>
      </c>
      <c r="J271">
        <v>1</v>
      </c>
      <c r="K271" t="b">
        <f>TrafficData[[#This Row],[disposedChallan]]+TrafficData[[#This Row],[pendingChallan]]=TrafficData[[#This Row],[totalChallan]]</f>
        <v>1</v>
      </c>
      <c r="L271" t="b">
        <f>TrafficData[[#This Row],[pendingAmount]]+TrafficData[[#This Row],[disposedAmount]]=TrafficData[[#This Row],[totalAmount]]</f>
        <v>1</v>
      </c>
      <c r="M271" t="b">
        <f>TrafficData[[#This Row],[pendingCourt]]+TrafficData[[#This Row],[disposedCourt]]=TrafficData[[#This Row],[totalCourt]]</f>
        <v>1</v>
      </c>
      <c r="N271" t="b">
        <f>AND(TrafficData[[#This Row],[disposedChallan]]&lt;=TrafficData[[#This Row],[totalChallan]],TrafficData[[#This Row],[pendingChallan]]&lt;=TrafficData[[#This Row],[totalChallan]])</f>
        <v>1</v>
      </c>
      <c r="O271" t="b">
        <f>AND(TrafficData[[#This Row],[pendingAmount]]&lt;=TrafficData[[#This Row],[totalAmount]],TrafficData[[#This Row],[disposedAmount]]&lt;=TrafficData[[#This Row],[totalAmount]])</f>
        <v>1</v>
      </c>
      <c r="P271" t="b">
        <f>AND(TrafficData[[#This Row],[pendingCourt]]&lt;=TrafficData[[#This Row],[totalCourt]],TrafficData[[#This Row],[disposedCourt]]&lt;=TrafficData[[#This Row],[totalCourt]])</f>
        <v>1</v>
      </c>
    </row>
    <row r="272" spans="1:16">
      <c r="A272" s="1">
        <v>42275</v>
      </c>
      <c r="B272">
        <v>201</v>
      </c>
      <c r="C272">
        <v>40</v>
      </c>
      <c r="D272">
        <v>161</v>
      </c>
      <c r="E272">
        <v>857600</v>
      </c>
      <c r="F272">
        <v>167600</v>
      </c>
      <c r="G272">
        <v>1025200</v>
      </c>
      <c r="H272">
        <v>2</v>
      </c>
      <c r="I272">
        <v>6</v>
      </c>
      <c r="J272">
        <v>8</v>
      </c>
      <c r="K272" t="b">
        <f>TrafficData[[#This Row],[disposedChallan]]+TrafficData[[#This Row],[pendingChallan]]=TrafficData[[#This Row],[totalChallan]]</f>
        <v>1</v>
      </c>
      <c r="L272" t="b">
        <f>TrafficData[[#This Row],[pendingAmount]]+TrafficData[[#This Row],[disposedAmount]]=TrafficData[[#This Row],[totalAmount]]</f>
        <v>1</v>
      </c>
      <c r="M272" t="b">
        <f>TrafficData[[#This Row],[pendingCourt]]+TrafficData[[#This Row],[disposedCourt]]=TrafficData[[#This Row],[totalCourt]]</f>
        <v>1</v>
      </c>
      <c r="N272" t="b">
        <f>AND(TrafficData[[#This Row],[disposedChallan]]&lt;=TrafficData[[#This Row],[totalChallan]],TrafficData[[#This Row],[pendingChallan]]&lt;=TrafficData[[#This Row],[totalChallan]])</f>
        <v>1</v>
      </c>
      <c r="O272" t="b">
        <f>AND(TrafficData[[#This Row],[pendingAmount]]&lt;=TrafficData[[#This Row],[totalAmount]],TrafficData[[#This Row],[disposedAmount]]&lt;=TrafficData[[#This Row],[totalAmount]])</f>
        <v>1</v>
      </c>
      <c r="P272" t="b">
        <f>AND(TrafficData[[#This Row],[pendingCourt]]&lt;=TrafficData[[#This Row],[totalCourt]],TrafficData[[#This Row],[disposedCourt]]&lt;=TrafficData[[#This Row],[totalCourt]])</f>
        <v>1</v>
      </c>
    </row>
    <row r="273" spans="1:16">
      <c r="A273" s="1">
        <v>42276</v>
      </c>
      <c r="B273">
        <v>296</v>
      </c>
      <c r="C273">
        <v>55</v>
      </c>
      <c r="D273">
        <v>241</v>
      </c>
      <c r="E273">
        <v>1354999</v>
      </c>
      <c r="F273">
        <v>178020</v>
      </c>
      <c r="G273">
        <v>1533019</v>
      </c>
      <c r="H273">
        <v>3</v>
      </c>
      <c r="I273">
        <v>11</v>
      </c>
      <c r="J273">
        <v>14</v>
      </c>
      <c r="K273" t="b">
        <f>TrafficData[[#This Row],[disposedChallan]]+TrafficData[[#This Row],[pendingChallan]]=TrafficData[[#This Row],[totalChallan]]</f>
        <v>1</v>
      </c>
      <c r="L273" t="b">
        <f>TrafficData[[#This Row],[pendingAmount]]+TrafficData[[#This Row],[disposedAmount]]=TrafficData[[#This Row],[totalAmount]]</f>
        <v>1</v>
      </c>
      <c r="M273" t="b">
        <f>TrafficData[[#This Row],[pendingCourt]]+TrafficData[[#This Row],[disposedCourt]]=TrafficData[[#This Row],[totalCourt]]</f>
        <v>1</v>
      </c>
      <c r="N273" t="b">
        <f>AND(TrafficData[[#This Row],[disposedChallan]]&lt;=TrafficData[[#This Row],[totalChallan]],TrafficData[[#This Row],[pendingChallan]]&lt;=TrafficData[[#This Row],[totalChallan]])</f>
        <v>1</v>
      </c>
      <c r="O273" t="b">
        <f>AND(TrafficData[[#This Row],[pendingAmount]]&lt;=TrafficData[[#This Row],[totalAmount]],TrafficData[[#This Row],[disposedAmount]]&lt;=TrafficData[[#This Row],[totalAmount]])</f>
        <v>1</v>
      </c>
      <c r="P273" t="b">
        <f>AND(TrafficData[[#This Row],[pendingCourt]]&lt;=TrafficData[[#This Row],[totalCourt]],TrafficData[[#This Row],[disposedCourt]]&lt;=TrafficData[[#This Row],[totalCourt]])</f>
        <v>1</v>
      </c>
    </row>
    <row r="274" spans="1:16">
      <c r="A274" s="1">
        <v>42277</v>
      </c>
      <c r="B274">
        <v>244</v>
      </c>
      <c r="C274">
        <v>63</v>
      </c>
      <c r="D274">
        <v>181</v>
      </c>
      <c r="E274">
        <v>1037360</v>
      </c>
      <c r="F274">
        <v>209100</v>
      </c>
      <c r="G274">
        <v>1246460</v>
      </c>
      <c r="H274">
        <v>5</v>
      </c>
      <c r="I274">
        <v>11</v>
      </c>
      <c r="J274">
        <v>16</v>
      </c>
      <c r="K274" t="b">
        <f>TrafficData[[#This Row],[disposedChallan]]+TrafficData[[#This Row],[pendingChallan]]=TrafficData[[#This Row],[totalChallan]]</f>
        <v>1</v>
      </c>
      <c r="L274" t="b">
        <f>TrafficData[[#This Row],[pendingAmount]]+TrafficData[[#This Row],[disposedAmount]]=TrafficData[[#This Row],[totalAmount]]</f>
        <v>1</v>
      </c>
      <c r="M274" t="b">
        <f>TrafficData[[#This Row],[pendingCourt]]+TrafficData[[#This Row],[disposedCourt]]=TrafficData[[#This Row],[totalCourt]]</f>
        <v>1</v>
      </c>
      <c r="N274" t="b">
        <f>AND(TrafficData[[#This Row],[disposedChallan]]&lt;=TrafficData[[#This Row],[totalChallan]],TrafficData[[#This Row],[pendingChallan]]&lt;=TrafficData[[#This Row],[totalChallan]])</f>
        <v>1</v>
      </c>
      <c r="O274" t="b">
        <f>AND(TrafficData[[#This Row],[pendingAmount]]&lt;=TrafficData[[#This Row],[totalAmount]],TrafficData[[#This Row],[disposedAmount]]&lt;=TrafficData[[#This Row],[totalAmount]])</f>
        <v>1</v>
      </c>
      <c r="P274" t="b">
        <f>AND(TrafficData[[#This Row],[pendingCourt]]&lt;=TrafficData[[#This Row],[totalCourt]],TrafficData[[#This Row],[disposedCourt]]&lt;=TrafficData[[#This Row],[totalCourt]])</f>
        <v>1</v>
      </c>
    </row>
    <row r="275" spans="1:16">
      <c r="A275" s="1">
        <v>42278</v>
      </c>
      <c r="B275">
        <v>1217</v>
      </c>
      <c r="C275">
        <v>47</v>
      </c>
      <c r="D275">
        <v>1170</v>
      </c>
      <c r="E275">
        <v>1088670</v>
      </c>
      <c r="F275">
        <v>138190</v>
      </c>
      <c r="G275">
        <v>1226860</v>
      </c>
      <c r="H275">
        <v>983</v>
      </c>
      <c r="I275">
        <v>11</v>
      </c>
      <c r="J275">
        <v>994</v>
      </c>
      <c r="K275" t="b">
        <f>TrafficData[[#This Row],[disposedChallan]]+TrafficData[[#This Row],[pendingChallan]]=TrafficData[[#This Row],[totalChallan]]</f>
        <v>1</v>
      </c>
      <c r="L275" t="b">
        <f>TrafficData[[#This Row],[pendingAmount]]+TrafficData[[#This Row],[disposedAmount]]=TrafficData[[#This Row],[totalAmount]]</f>
        <v>1</v>
      </c>
      <c r="M275" t="b">
        <f>TrafficData[[#This Row],[pendingCourt]]+TrafficData[[#This Row],[disposedCourt]]=TrafficData[[#This Row],[totalCourt]]</f>
        <v>1</v>
      </c>
      <c r="N275" t="b">
        <f>AND(TrafficData[[#This Row],[disposedChallan]]&lt;=TrafficData[[#This Row],[totalChallan]],TrafficData[[#This Row],[pendingChallan]]&lt;=TrafficData[[#This Row],[totalChallan]])</f>
        <v>1</v>
      </c>
      <c r="O275" t="b">
        <f>AND(TrafficData[[#This Row],[pendingAmount]]&lt;=TrafficData[[#This Row],[totalAmount]],TrafficData[[#This Row],[disposedAmount]]&lt;=TrafficData[[#This Row],[totalAmount]])</f>
        <v>1</v>
      </c>
      <c r="P275" t="b">
        <f>AND(TrafficData[[#This Row],[pendingCourt]]&lt;=TrafficData[[#This Row],[totalCourt]],TrafficData[[#This Row],[disposedCourt]]&lt;=TrafficData[[#This Row],[totalCourt]])</f>
        <v>1</v>
      </c>
    </row>
    <row r="276" spans="1:16">
      <c r="A276" s="1">
        <v>42279</v>
      </c>
      <c r="B276">
        <v>736</v>
      </c>
      <c r="C276">
        <v>62</v>
      </c>
      <c r="D276">
        <v>674</v>
      </c>
      <c r="E276">
        <v>844550</v>
      </c>
      <c r="F276">
        <v>250050</v>
      </c>
      <c r="G276">
        <v>1094600</v>
      </c>
      <c r="H276">
        <v>542</v>
      </c>
      <c r="I276">
        <v>7</v>
      </c>
      <c r="J276">
        <v>549</v>
      </c>
      <c r="K276" t="b">
        <f>TrafficData[[#This Row],[disposedChallan]]+TrafficData[[#This Row],[pendingChallan]]=TrafficData[[#This Row],[totalChallan]]</f>
        <v>1</v>
      </c>
      <c r="L276" t="b">
        <f>TrafficData[[#This Row],[pendingAmount]]+TrafficData[[#This Row],[disposedAmount]]=TrafficData[[#This Row],[totalAmount]]</f>
        <v>1</v>
      </c>
      <c r="M276" t="b">
        <f>TrafficData[[#This Row],[pendingCourt]]+TrafficData[[#This Row],[disposedCourt]]=TrafficData[[#This Row],[totalCourt]]</f>
        <v>1</v>
      </c>
      <c r="N276" t="b">
        <f>AND(TrafficData[[#This Row],[disposedChallan]]&lt;=TrafficData[[#This Row],[totalChallan]],TrafficData[[#This Row],[pendingChallan]]&lt;=TrafficData[[#This Row],[totalChallan]])</f>
        <v>1</v>
      </c>
      <c r="O276" t="b">
        <f>AND(TrafficData[[#This Row],[pendingAmount]]&lt;=TrafficData[[#This Row],[totalAmount]],TrafficData[[#This Row],[disposedAmount]]&lt;=TrafficData[[#This Row],[totalAmount]])</f>
        <v>1</v>
      </c>
      <c r="P276" t="b">
        <f>AND(TrafficData[[#This Row],[pendingCourt]]&lt;=TrafficData[[#This Row],[totalCourt]],TrafficData[[#This Row],[disposedCourt]]&lt;=TrafficData[[#This Row],[totalCourt]])</f>
        <v>1</v>
      </c>
    </row>
    <row r="277" spans="1:16">
      <c r="A277" s="1">
        <v>42280</v>
      </c>
      <c r="B277">
        <v>1157</v>
      </c>
      <c r="C277">
        <v>32</v>
      </c>
      <c r="D277">
        <v>1125</v>
      </c>
      <c r="E277">
        <v>729760</v>
      </c>
      <c r="F277">
        <v>76400</v>
      </c>
      <c r="G277">
        <v>806160</v>
      </c>
      <c r="H277">
        <v>1063</v>
      </c>
      <c r="I277">
        <v>3</v>
      </c>
      <c r="J277">
        <v>1066</v>
      </c>
      <c r="K277" t="b">
        <f>TrafficData[[#This Row],[disposedChallan]]+TrafficData[[#This Row],[pendingChallan]]=TrafficData[[#This Row],[totalChallan]]</f>
        <v>1</v>
      </c>
      <c r="L277" t="b">
        <f>TrafficData[[#This Row],[pendingAmount]]+TrafficData[[#This Row],[disposedAmount]]=TrafficData[[#This Row],[totalAmount]]</f>
        <v>1</v>
      </c>
      <c r="M277" t="b">
        <f>TrafficData[[#This Row],[pendingCourt]]+TrafficData[[#This Row],[disposedCourt]]=TrafficData[[#This Row],[totalCourt]]</f>
        <v>1</v>
      </c>
      <c r="N277" t="b">
        <f>AND(TrafficData[[#This Row],[disposedChallan]]&lt;=TrafficData[[#This Row],[totalChallan]],TrafficData[[#This Row],[pendingChallan]]&lt;=TrafficData[[#This Row],[totalChallan]])</f>
        <v>1</v>
      </c>
      <c r="O277" t="b">
        <f>AND(TrafficData[[#This Row],[pendingAmount]]&lt;=TrafficData[[#This Row],[totalAmount]],TrafficData[[#This Row],[disposedAmount]]&lt;=TrafficData[[#This Row],[totalAmount]])</f>
        <v>1</v>
      </c>
      <c r="P277" t="b">
        <f>AND(TrafficData[[#This Row],[pendingCourt]]&lt;=TrafficData[[#This Row],[totalCourt]],TrafficData[[#This Row],[disposedCourt]]&lt;=TrafficData[[#This Row],[totalCourt]])</f>
        <v>1</v>
      </c>
    </row>
    <row r="278" spans="1:16">
      <c r="A278" s="1">
        <v>42281</v>
      </c>
      <c r="B278">
        <v>659</v>
      </c>
      <c r="C278">
        <v>29</v>
      </c>
      <c r="D278">
        <v>630</v>
      </c>
      <c r="E278">
        <v>591100</v>
      </c>
      <c r="F278">
        <v>63400</v>
      </c>
      <c r="G278">
        <v>654500</v>
      </c>
      <c r="H278">
        <v>589</v>
      </c>
      <c r="I278">
        <v>7</v>
      </c>
      <c r="J278">
        <v>596</v>
      </c>
      <c r="K278" t="b">
        <f>TrafficData[[#This Row],[disposedChallan]]+TrafficData[[#This Row],[pendingChallan]]=TrafficData[[#This Row],[totalChallan]]</f>
        <v>1</v>
      </c>
      <c r="L278" t="b">
        <f>TrafficData[[#This Row],[pendingAmount]]+TrafficData[[#This Row],[disposedAmount]]=TrafficData[[#This Row],[totalAmount]]</f>
        <v>1</v>
      </c>
      <c r="M278" t="b">
        <f>TrafficData[[#This Row],[pendingCourt]]+TrafficData[[#This Row],[disposedCourt]]=TrafficData[[#This Row],[totalCourt]]</f>
        <v>1</v>
      </c>
      <c r="N278" t="b">
        <f>AND(TrafficData[[#This Row],[disposedChallan]]&lt;=TrafficData[[#This Row],[totalChallan]],TrafficData[[#This Row],[pendingChallan]]&lt;=TrafficData[[#This Row],[totalChallan]])</f>
        <v>1</v>
      </c>
      <c r="O278" t="b">
        <f>AND(TrafficData[[#This Row],[pendingAmount]]&lt;=TrafficData[[#This Row],[totalAmount]],TrafficData[[#This Row],[disposedAmount]]&lt;=TrafficData[[#This Row],[totalAmount]])</f>
        <v>1</v>
      </c>
      <c r="P278" t="b">
        <f>AND(TrafficData[[#This Row],[pendingCourt]]&lt;=TrafficData[[#This Row],[totalCourt]],TrafficData[[#This Row],[disposedCourt]]&lt;=TrafficData[[#This Row],[totalCourt]])</f>
        <v>1</v>
      </c>
    </row>
    <row r="279" spans="1:16">
      <c r="A279" s="1">
        <v>42282</v>
      </c>
      <c r="B279">
        <v>1174</v>
      </c>
      <c r="C279">
        <v>48</v>
      </c>
      <c r="D279">
        <v>1126</v>
      </c>
      <c r="E279">
        <v>814350</v>
      </c>
      <c r="F279">
        <v>249125</v>
      </c>
      <c r="G279">
        <v>1063475</v>
      </c>
      <c r="H279">
        <v>1038</v>
      </c>
      <c r="I279">
        <v>6</v>
      </c>
      <c r="J279">
        <v>1044</v>
      </c>
      <c r="K279" t="b">
        <f>TrafficData[[#This Row],[disposedChallan]]+TrafficData[[#This Row],[pendingChallan]]=TrafficData[[#This Row],[totalChallan]]</f>
        <v>1</v>
      </c>
      <c r="L279" t="b">
        <f>TrafficData[[#This Row],[pendingAmount]]+TrafficData[[#This Row],[disposedAmount]]=TrafficData[[#This Row],[totalAmount]]</f>
        <v>1</v>
      </c>
      <c r="M279" t="b">
        <f>TrafficData[[#This Row],[pendingCourt]]+TrafficData[[#This Row],[disposedCourt]]=TrafficData[[#This Row],[totalCourt]]</f>
        <v>1</v>
      </c>
      <c r="N279" t="b">
        <f>AND(TrafficData[[#This Row],[disposedChallan]]&lt;=TrafficData[[#This Row],[totalChallan]],TrafficData[[#This Row],[pendingChallan]]&lt;=TrafficData[[#This Row],[totalChallan]])</f>
        <v>1</v>
      </c>
      <c r="O279" t="b">
        <f>AND(TrafficData[[#This Row],[pendingAmount]]&lt;=TrafficData[[#This Row],[totalAmount]],TrafficData[[#This Row],[disposedAmount]]&lt;=TrafficData[[#This Row],[totalAmount]])</f>
        <v>1</v>
      </c>
      <c r="P279" t="b">
        <f>AND(TrafficData[[#This Row],[pendingCourt]]&lt;=TrafficData[[#This Row],[totalCourt]],TrafficData[[#This Row],[disposedCourt]]&lt;=TrafficData[[#This Row],[totalCourt]])</f>
        <v>1</v>
      </c>
    </row>
    <row r="280" spans="1:16">
      <c r="A280" s="1">
        <v>42283</v>
      </c>
      <c r="B280">
        <v>1311</v>
      </c>
      <c r="C280">
        <v>34</v>
      </c>
      <c r="D280">
        <v>1277</v>
      </c>
      <c r="E280">
        <v>1163240</v>
      </c>
      <c r="F280">
        <v>116750</v>
      </c>
      <c r="G280">
        <v>1279990</v>
      </c>
      <c r="H280">
        <v>1202</v>
      </c>
      <c r="I280">
        <v>10</v>
      </c>
      <c r="J280">
        <v>1212</v>
      </c>
      <c r="K280" t="b">
        <f>TrafficData[[#This Row],[disposedChallan]]+TrafficData[[#This Row],[pendingChallan]]=TrafficData[[#This Row],[totalChallan]]</f>
        <v>1</v>
      </c>
      <c r="L280" t="b">
        <f>TrafficData[[#This Row],[pendingAmount]]+TrafficData[[#This Row],[disposedAmount]]=TrafficData[[#This Row],[totalAmount]]</f>
        <v>1</v>
      </c>
      <c r="M280" t="b">
        <f>TrafficData[[#This Row],[pendingCourt]]+TrafficData[[#This Row],[disposedCourt]]=TrafficData[[#This Row],[totalCourt]]</f>
        <v>1</v>
      </c>
      <c r="N280" t="b">
        <f>AND(TrafficData[[#This Row],[disposedChallan]]&lt;=TrafficData[[#This Row],[totalChallan]],TrafficData[[#This Row],[pendingChallan]]&lt;=TrafficData[[#This Row],[totalChallan]])</f>
        <v>1</v>
      </c>
      <c r="O280" t="b">
        <f>AND(TrafficData[[#This Row],[pendingAmount]]&lt;=TrafficData[[#This Row],[totalAmount]],TrafficData[[#This Row],[disposedAmount]]&lt;=TrafficData[[#This Row],[totalAmount]])</f>
        <v>1</v>
      </c>
      <c r="P280" t="b">
        <f>AND(TrafficData[[#This Row],[pendingCourt]]&lt;=TrafficData[[#This Row],[totalCourt]],TrafficData[[#This Row],[disposedCourt]]&lt;=TrafficData[[#This Row],[totalCourt]])</f>
        <v>1</v>
      </c>
    </row>
    <row r="281" spans="1:16">
      <c r="A281" s="1">
        <v>42284</v>
      </c>
      <c r="B281">
        <v>1293</v>
      </c>
      <c r="C281">
        <v>46</v>
      </c>
      <c r="D281">
        <v>1247</v>
      </c>
      <c r="E281">
        <v>996450</v>
      </c>
      <c r="F281">
        <v>85900</v>
      </c>
      <c r="G281">
        <v>1082350</v>
      </c>
      <c r="H281">
        <v>1163</v>
      </c>
      <c r="I281">
        <v>3</v>
      </c>
      <c r="J281">
        <v>1166</v>
      </c>
      <c r="K281" t="b">
        <f>TrafficData[[#This Row],[disposedChallan]]+TrafficData[[#This Row],[pendingChallan]]=TrafficData[[#This Row],[totalChallan]]</f>
        <v>1</v>
      </c>
      <c r="L281" t="b">
        <f>TrafficData[[#This Row],[pendingAmount]]+TrafficData[[#This Row],[disposedAmount]]=TrafficData[[#This Row],[totalAmount]]</f>
        <v>1</v>
      </c>
      <c r="M281" t="b">
        <f>TrafficData[[#This Row],[pendingCourt]]+TrafficData[[#This Row],[disposedCourt]]=TrafficData[[#This Row],[totalCourt]]</f>
        <v>1</v>
      </c>
      <c r="N281" t="b">
        <f>AND(TrafficData[[#This Row],[disposedChallan]]&lt;=TrafficData[[#This Row],[totalChallan]],TrafficData[[#This Row],[pendingChallan]]&lt;=TrafficData[[#This Row],[totalChallan]])</f>
        <v>1</v>
      </c>
      <c r="O281" t="b">
        <f>AND(TrafficData[[#This Row],[pendingAmount]]&lt;=TrafficData[[#This Row],[totalAmount]],TrafficData[[#This Row],[disposedAmount]]&lt;=TrafficData[[#This Row],[totalAmount]])</f>
        <v>1</v>
      </c>
      <c r="P281" t="b">
        <f>AND(TrafficData[[#This Row],[pendingCourt]]&lt;=TrafficData[[#This Row],[totalCourt]],TrafficData[[#This Row],[disposedCourt]]&lt;=TrafficData[[#This Row],[totalCourt]])</f>
        <v>1</v>
      </c>
    </row>
    <row r="282" spans="1:16">
      <c r="A282" s="1">
        <v>42285</v>
      </c>
      <c r="B282">
        <v>1224</v>
      </c>
      <c r="C282">
        <v>53</v>
      </c>
      <c r="D282">
        <v>1171</v>
      </c>
      <c r="E282">
        <v>889375</v>
      </c>
      <c r="F282">
        <v>152500</v>
      </c>
      <c r="G282">
        <v>1041875</v>
      </c>
      <c r="H282">
        <v>1082</v>
      </c>
      <c r="I282">
        <v>6</v>
      </c>
      <c r="J282">
        <v>1088</v>
      </c>
      <c r="K282" t="b">
        <f>TrafficData[[#This Row],[disposedChallan]]+TrafficData[[#This Row],[pendingChallan]]=TrafficData[[#This Row],[totalChallan]]</f>
        <v>1</v>
      </c>
      <c r="L282" t="b">
        <f>TrafficData[[#This Row],[pendingAmount]]+TrafficData[[#This Row],[disposedAmount]]=TrafficData[[#This Row],[totalAmount]]</f>
        <v>1</v>
      </c>
      <c r="M282" t="b">
        <f>TrafficData[[#This Row],[pendingCourt]]+TrafficData[[#This Row],[disposedCourt]]=TrafficData[[#This Row],[totalCourt]]</f>
        <v>1</v>
      </c>
      <c r="N282" t="b">
        <f>AND(TrafficData[[#This Row],[disposedChallan]]&lt;=TrafficData[[#This Row],[totalChallan]],TrafficData[[#This Row],[pendingChallan]]&lt;=TrafficData[[#This Row],[totalChallan]])</f>
        <v>1</v>
      </c>
      <c r="O282" t="b">
        <f>AND(TrafficData[[#This Row],[pendingAmount]]&lt;=TrafficData[[#This Row],[totalAmount]],TrafficData[[#This Row],[disposedAmount]]&lt;=TrafficData[[#This Row],[totalAmount]])</f>
        <v>1</v>
      </c>
      <c r="P282" t="b">
        <f>AND(TrafficData[[#This Row],[pendingCourt]]&lt;=TrafficData[[#This Row],[totalCourt]],TrafficData[[#This Row],[disposedCourt]]&lt;=TrafficData[[#This Row],[totalCourt]])</f>
        <v>1</v>
      </c>
    </row>
    <row r="283" spans="1:16">
      <c r="A283" s="1">
        <v>42286</v>
      </c>
      <c r="B283">
        <v>1261</v>
      </c>
      <c r="C283">
        <v>50</v>
      </c>
      <c r="D283">
        <v>1211</v>
      </c>
      <c r="E283">
        <v>1065350</v>
      </c>
      <c r="F283">
        <v>197600</v>
      </c>
      <c r="G283">
        <v>1262950</v>
      </c>
      <c r="H283">
        <v>1122</v>
      </c>
      <c r="I283">
        <v>12</v>
      </c>
      <c r="J283">
        <v>1134</v>
      </c>
      <c r="K283" t="b">
        <f>TrafficData[[#This Row],[disposedChallan]]+TrafficData[[#This Row],[pendingChallan]]=TrafficData[[#This Row],[totalChallan]]</f>
        <v>1</v>
      </c>
      <c r="L283" t="b">
        <f>TrafficData[[#This Row],[pendingAmount]]+TrafficData[[#This Row],[disposedAmount]]=TrafficData[[#This Row],[totalAmount]]</f>
        <v>1</v>
      </c>
      <c r="M283" t="b">
        <f>TrafficData[[#This Row],[pendingCourt]]+TrafficData[[#This Row],[disposedCourt]]=TrafficData[[#This Row],[totalCourt]]</f>
        <v>1</v>
      </c>
      <c r="N283" t="b">
        <f>AND(TrafficData[[#This Row],[disposedChallan]]&lt;=TrafficData[[#This Row],[totalChallan]],TrafficData[[#This Row],[pendingChallan]]&lt;=TrafficData[[#This Row],[totalChallan]])</f>
        <v>1</v>
      </c>
      <c r="O283" t="b">
        <f>AND(TrafficData[[#This Row],[pendingAmount]]&lt;=TrafficData[[#This Row],[totalAmount]],TrafficData[[#This Row],[disposedAmount]]&lt;=TrafficData[[#This Row],[totalAmount]])</f>
        <v>1</v>
      </c>
      <c r="P283" t="b">
        <f>AND(TrafficData[[#This Row],[pendingCourt]]&lt;=TrafficData[[#This Row],[totalCourt]],TrafficData[[#This Row],[disposedCourt]]&lt;=TrafficData[[#This Row],[totalCourt]])</f>
        <v>1</v>
      </c>
    </row>
    <row r="284" spans="1:16">
      <c r="A284" s="1">
        <v>42287</v>
      </c>
      <c r="B284">
        <v>1317</v>
      </c>
      <c r="C284">
        <v>59</v>
      </c>
      <c r="D284">
        <v>1258</v>
      </c>
      <c r="E284">
        <v>1234380</v>
      </c>
      <c r="F284">
        <v>253540</v>
      </c>
      <c r="G284">
        <v>1487920</v>
      </c>
      <c r="H284">
        <v>1163</v>
      </c>
      <c r="I284">
        <v>12</v>
      </c>
      <c r="J284">
        <v>1175</v>
      </c>
      <c r="K284" t="b">
        <f>TrafficData[[#This Row],[disposedChallan]]+TrafficData[[#This Row],[pendingChallan]]=TrafficData[[#This Row],[totalChallan]]</f>
        <v>1</v>
      </c>
      <c r="L284" t="b">
        <f>TrafficData[[#This Row],[pendingAmount]]+TrafficData[[#This Row],[disposedAmount]]=TrafficData[[#This Row],[totalAmount]]</f>
        <v>1</v>
      </c>
      <c r="M284" t="b">
        <f>TrafficData[[#This Row],[pendingCourt]]+TrafficData[[#This Row],[disposedCourt]]=TrafficData[[#This Row],[totalCourt]]</f>
        <v>1</v>
      </c>
      <c r="N284" t="b">
        <f>AND(TrafficData[[#This Row],[disposedChallan]]&lt;=TrafficData[[#This Row],[totalChallan]],TrafficData[[#This Row],[pendingChallan]]&lt;=TrafficData[[#This Row],[totalChallan]])</f>
        <v>1</v>
      </c>
      <c r="O284" t="b">
        <f>AND(TrafficData[[#This Row],[pendingAmount]]&lt;=TrafficData[[#This Row],[totalAmount]],TrafficData[[#This Row],[disposedAmount]]&lt;=TrafficData[[#This Row],[totalAmount]])</f>
        <v>1</v>
      </c>
      <c r="P284" t="b">
        <f>AND(TrafficData[[#This Row],[pendingCourt]]&lt;=TrafficData[[#This Row],[totalCourt]],TrafficData[[#This Row],[disposedCourt]]&lt;=TrafficData[[#This Row],[totalCourt]])</f>
        <v>1</v>
      </c>
    </row>
    <row r="285" spans="1:16">
      <c r="A285" s="1">
        <v>42288</v>
      </c>
      <c r="B285">
        <v>736</v>
      </c>
      <c r="C285">
        <v>37</v>
      </c>
      <c r="D285">
        <v>699</v>
      </c>
      <c r="E285">
        <v>629950</v>
      </c>
      <c r="F285">
        <v>46100</v>
      </c>
      <c r="G285">
        <v>676050</v>
      </c>
      <c r="H285">
        <v>638</v>
      </c>
      <c r="I285">
        <v>17</v>
      </c>
      <c r="J285">
        <v>655</v>
      </c>
      <c r="K285" t="b">
        <f>TrafficData[[#This Row],[disposedChallan]]+TrafficData[[#This Row],[pendingChallan]]=TrafficData[[#This Row],[totalChallan]]</f>
        <v>1</v>
      </c>
      <c r="L285" t="b">
        <f>TrafficData[[#This Row],[pendingAmount]]+TrafficData[[#This Row],[disposedAmount]]=TrafficData[[#This Row],[totalAmount]]</f>
        <v>1</v>
      </c>
      <c r="M285" t="b">
        <f>TrafficData[[#This Row],[pendingCourt]]+TrafficData[[#This Row],[disposedCourt]]=TrafficData[[#This Row],[totalCourt]]</f>
        <v>1</v>
      </c>
      <c r="N285" t="b">
        <f>AND(TrafficData[[#This Row],[disposedChallan]]&lt;=TrafficData[[#This Row],[totalChallan]],TrafficData[[#This Row],[pendingChallan]]&lt;=TrafficData[[#This Row],[totalChallan]])</f>
        <v>1</v>
      </c>
      <c r="O285" t="b">
        <f>AND(TrafficData[[#This Row],[pendingAmount]]&lt;=TrafficData[[#This Row],[totalAmount]],TrafficData[[#This Row],[disposedAmount]]&lt;=TrafficData[[#This Row],[totalAmount]])</f>
        <v>1</v>
      </c>
      <c r="P285" t="b">
        <f>AND(TrafficData[[#This Row],[pendingCourt]]&lt;=TrafficData[[#This Row],[totalCourt]],TrafficData[[#This Row],[disposedCourt]]&lt;=TrafficData[[#This Row],[totalCourt]])</f>
        <v>1</v>
      </c>
    </row>
    <row r="286" spans="1:16">
      <c r="A286" s="1">
        <v>42289</v>
      </c>
      <c r="B286">
        <v>1334</v>
      </c>
      <c r="C286">
        <v>32</v>
      </c>
      <c r="D286">
        <v>1302</v>
      </c>
      <c r="E286">
        <v>533410</v>
      </c>
      <c r="F286">
        <v>116400</v>
      </c>
      <c r="G286">
        <v>649810</v>
      </c>
      <c r="H286">
        <v>1236</v>
      </c>
      <c r="I286">
        <v>5</v>
      </c>
      <c r="J286">
        <v>1241</v>
      </c>
      <c r="K286" t="b">
        <f>TrafficData[[#This Row],[disposedChallan]]+TrafficData[[#This Row],[pendingChallan]]=TrafficData[[#This Row],[totalChallan]]</f>
        <v>1</v>
      </c>
      <c r="L286" t="b">
        <f>TrafficData[[#This Row],[pendingAmount]]+TrafficData[[#This Row],[disposedAmount]]=TrafficData[[#This Row],[totalAmount]]</f>
        <v>1</v>
      </c>
      <c r="M286" t="b">
        <f>TrafficData[[#This Row],[pendingCourt]]+TrafficData[[#This Row],[disposedCourt]]=TrafficData[[#This Row],[totalCourt]]</f>
        <v>1</v>
      </c>
      <c r="N286" t="b">
        <f>AND(TrafficData[[#This Row],[disposedChallan]]&lt;=TrafficData[[#This Row],[totalChallan]],TrafficData[[#This Row],[pendingChallan]]&lt;=TrafficData[[#This Row],[totalChallan]])</f>
        <v>1</v>
      </c>
      <c r="O286" t="b">
        <f>AND(TrafficData[[#This Row],[pendingAmount]]&lt;=TrafficData[[#This Row],[totalAmount]],TrafficData[[#This Row],[disposedAmount]]&lt;=TrafficData[[#This Row],[totalAmount]])</f>
        <v>1</v>
      </c>
      <c r="P286" t="b">
        <f>AND(TrafficData[[#This Row],[pendingCourt]]&lt;=TrafficData[[#This Row],[totalCourt]],TrafficData[[#This Row],[disposedCourt]]&lt;=TrafficData[[#This Row],[totalCourt]])</f>
        <v>1</v>
      </c>
    </row>
    <row r="287" spans="1:16">
      <c r="A287" s="1">
        <v>42290</v>
      </c>
      <c r="B287">
        <v>1352</v>
      </c>
      <c r="C287">
        <v>65</v>
      </c>
      <c r="D287">
        <v>1287</v>
      </c>
      <c r="E287">
        <v>793450</v>
      </c>
      <c r="F287">
        <v>128050</v>
      </c>
      <c r="G287">
        <v>921500</v>
      </c>
      <c r="H287">
        <v>1218</v>
      </c>
      <c r="I287">
        <v>5</v>
      </c>
      <c r="J287">
        <v>1223</v>
      </c>
      <c r="K287" t="b">
        <f>TrafficData[[#This Row],[disposedChallan]]+TrafficData[[#This Row],[pendingChallan]]=TrafficData[[#This Row],[totalChallan]]</f>
        <v>1</v>
      </c>
      <c r="L287" t="b">
        <f>TrafficData[[#This Row],[pendingAmount]]+TrafficData[[#This Row],[disposedAmount]]=TrafficData[[#This Row],[totalAmount]]</f>
        <v>1</v>
      </c>
      <c r="M287" t="b">
        <f>TrafficData[[#This Row],[pendingCourt]]+TrafficData[[#This Row],[disposedCourt]]=TrafficData[[#This Row],[totalCourt]]</f>
        <v>1</v>
      </c>
      <c r="N287" t="b">
        <f>AND(TrafficData[[#This Row],[disposedChallan]]&lt;=TrafficData[[#This Row],[totalChallan]],TrafficData[[#This Row],[pendingChallan]]&lt;=TrafficData[[#This Row],[totalChallan]])</f>
        <v>1</v>
      </c>
      <c r="O287" t="b">
        <f>AND(TrafficData[[#This Row],[pendingAmount]]&lt;=TrafficData[[#This Row],[totalAmount]],TrafficData[[#This Row],[disposedAmount]]&lt;=TrafficData[[#This Row],[totalAmount]])</f>
        <v>1</v>
      </c>
      <c r="P287" t="b">
        <f>AND(TrafficData[[#This Row],[pendingCourt]]&lt;=TrafficData[[#This Row],[totalCourt]],TrafficData[[#This Row],[disposedCourt]]&lt;=TrafficData[[#This Row],[totalCourt]])</f>
        <v>1</v>
      </c>
    </row>
    <row r="288" spans="1:16">
      <c r="A288" s="1">
        <v>42291</v>
      </c>
      <c r="B288">
        <v>1540</v>
      </c>
      <c r="C288">
        <v>52</v>
      </c>
      <c r="D288">
        <v>1488</v>
      </c>
      <c r="E288">
        <v>1016650</v>
      </c>
      <c r="F288">
        <v>47800</v>
      </c>
      <c r="G288">
        <v>1064450</v>
      </c>
      <c r="H288">
        <v>1421</v>
      </c>
      <c r="I288">
        <v>24</v>
      </c>
      <c r="J288">
        <v>1445</v>
      </c>
      <c r="K288" t="b">
        <f>TrafficData[[#This Row],[disposedChallan]]+TrafficData[[#This Row],[pendingChallan]]=TrafficData[[#This Row],[totalChallan]]</f>
        <v>1</v>
      </c>
      <c r="L288" t="b">
        <f>TrafficData[[#This Row],[pendingAmount]]+TrafficData[[#This Row],[disposedAmount]]=TrafficData[[#This Row],[totalAmount]]</f>
        <v>1</v>
      </c>
      <c r="M288" t="b">
        <f>TrafficData[[#This Row],[pendingCourt]]+TrafficData[[#This Row],[disposedCourt]]=TrafficData[[#This Row],[totalCourt]]</f>
        <v>1</v>
      </c>
      <c r="N288" t="b">
        <f>AND(TrafficData[[#This Row],[disposedChallan]]&lt;=TrafficData[[#This Row],[totalChallan]],TrafficData[[#This Row],[pendingChallan]]&lt;=TrafficData[[#This Row],[totalChallan]])</f>
        <v>1</v>
      </c>
      <c r="O288" t="b">
        <f>AND(TrafficData[[#This Row],[pendingAmount]]&lt;=TrafficData[[#This Row],[totalAmount]],TrafficData[[#This Row],[disposedAmount]]&lt;=TrafficData[[#This Row],[totalAmount]])</f>
        <v>1</v>
      </c>
      <c r="P288" t="b">
        <f>AND(TrafficData[[#This Row],[pendingCourt]]&lt;=TrafficData[[#This Row],[totalCourt]],TrafficData[[#This Row],[disposedCourt]]&lt;=TrafficData[[#This Row],[totalCourt]])</f>
        <v>1</v>
      </c>
    </row>
    <row r="289" spans="1:16">
      <c r="A289" s="1">
        <v>42292</v>
      </c>
      <c r="B289">
        <v>1602</v>
      </c>
      <c r="C289">
        <v>47</v>
      </c>
      <c r="D289">
        <v>1555</v>
      </c>
      <c r="E289">
        <v>1111327</v>
      </c>
      <c r="F289">
        <v>116370</v>
      </c>
      <c r="G289">
        <v>1227697</v>
      </c>
      <c r="H289">
        <v>1451</v>
      </c>
      <c r="I289">
        <v>3</v>
      </c>
      <c r="J289">
        <v>1454</v>
      </c>
      <c r="K289" t="b">
        <f>TrafficData[[#This Row],[disposedChallan]]+TrafficData[[#This Row],[pendingChallan]]=TrafficData[[#This Row],[totalChallan]]</f>
        <v>1</v>
      </c>
      <c r="L289" t="b">
        <f>TrafficData[[#This Row],[pendingAmount]]+TrafficData[[#This Row],[disposedAmount]]=TrafficData[[#This Row],[totalAmount]]</f>
        <v>1</v>
      </c>
      <c r="M289" t="b">
        <f>TrafficData[[#This Row],[pendingCourt]]+TrafficData[[#This Row],[disposedCourt]]=TrafficData[[#This Row],[totalCourt]]</f>
        <v>1</v>
      </c>
      <c r="N289" t="b">
        <f>AND(TrafficData[[#This Row],[disposedChallan]]&lt;=TrafficData[[#This Row],[totalChallan]],TrafficData[[#This Row],[pendingChallan]]&lt;=TrafficData[[#This Row],[totalChallan]])</f>
        <v>1</v>
      </c>
      <c r="O289" t="b">
        <f>AND(TrafficData[[#This Row],[pendingAmount]]&lt;=TrafficData[[#This Row],[totalAmount]],TrafficData[[#This Row],[disposedAmount]]&lt;=TrafficData[[#This Row],[totalAmount]])</f>
        <v>1</v>
      </c>
      <c r="P289" t="b">
        <f>AND(TrafficData[[#This Row],[pendingCourt]]&lt;=TrafficData[[#This Row],[totalCourt]],TrafficData[[#This Row],[disposedCourt]]&lt;=TrafficData[[#This Row],[totalCourt]])</f>
        <v>1</v>
      </c>
    </row>
    <row r="290" spans="1:16">
      <c r="A290" s="1">
        <v>42293</v>
      </c>
      <c r="B290">
        <v>1512</v>
      </c>
      <c r="C290">
        <v>70</v>
      </c>
      <c r="D290">
        <v>1442</v>
      </c>
      <c r="E290">
        <v>1040610</v>
      </c>
      <c r="F290">
        <v>334095</v>
      </c>
      <c r="G290">
        <v>1374705</v>
      </c>
      <c r="H290">
        <v>1342</v>
      </c>
      <c r="I290">
        <v>7</v>
      </c>
      <c r="J290">
        <v>1349</v>
      </c>
      <c r="K290" t="b">
        <f>TrafficData[[#This Row],[disposedChallan]]+TrafficData[[#This Row],[pendingChallan]]=TrafficData[[#This Row],[totalChallan]]</f>
        <v>1</v>
      </c>
      <c r="L290" t="b">
        <f>TrafficData[[#This Row],[pendingAmount]]+TrafficData[[#This Row],[disposedAmount]]=TrafficData[[#This Row],[totalAmount]]</f>
        <v>1</v>
      </c>
      <c r="M290" t="b">
        <f>TrafficData[[#This Row],[pendingCourt]]+TrafficData[[#This Row],[disposedCourt]]=TrafficData[[#This Row],[totalCourt]]</f>
        <v>1</v>
      </c>
      <c r="N290" t="b">
        <f>AND(TrafficData[[#This Row],[disposedChallan]]&lt;=TrafficData[[#This Row],[totalChallan]],TrafficData[[#This Row],[pendingChallan]]&lt;=TrafficData[[#This Row],[totalChallan]])</f>
        <v>1</v>
      </c>
      <c r="O290" t="b">
        <f>AND(TrafficData[[#This Row],[pendingAmount]]&lt;=TrafficData[[#This Row],[totalAmount]],TrafficData[[#This Row],[disposedAmount]]&lt;=TrafficData[[#This Row],[totalAmount]])</f>
        <v>1</v>
      </c>
      <c r="P290" t="b">
        <f>AND(TrafficData[[#This Row],[pendingCourt]]&lt;=TrafficData[[#This Row],[totalCourt]],TrafficData[[#This Row],[disposedCourt]]&lt;=TrafficData[[#This Row],[totalCourt]])</f>
        <v>1</v>
      </c>
    </row>
    <row r="291" spans="1:16">
      <c r="A291" s="1">
        <v>42294</v>
      </c>
      <c r="B291">
        <v>1463</v>
      </c>
      <c r="C291">
        <v>61</v>
      </c>
      <c r="D291">
        <v>1402</v>
      </c>
      <c r="E291">
        <v>1093200</v>
      </c>
      <c r="F291">
        <v>594600</v>
      </c>
      <c r="G291">
        <v>1687800</v>
      </c>
      <c r="H291">
        <v>1298</v>
      </c>
      <c r="I291">
        <v>16</v>
      </c>
      <c r="J291">
        <v>1314</v>
      </c>
      <c r="K291" t="b">
        <f>TrafficData[[#This Row],[disposedChallan]]+TrafficData[[#This Row],[pendingChallan]]=TrafficData[[#This Row],[totalChallan]]</f>
        <v>1</v>
      </c>
      <c r="L291" t="b">
        <f>TrafficData[[#This Row],[pendingAmount]]+TrafficData[[#This Row],[disposedAmount]]=TrafficData[[#This Row],[totalAmount]]</f>
        <v>1</v>
      </c>
      <c r="M291" t="b">
        <f>TrafficData[[#This Row],[pendingCourt]]+TrafficData[[#This Row],[disposedCourt]]=TrafficData[[#This Row],[totalCourt]]</f>
        <v>1</v>
      </c>
      <c r="N291" t="b">
        <f>AND(TrafficData[[#This Row],[disposedChallan]]&lt;=TrafficData[[#This Row],[totalChallan]],TrafficData[[#This Row],[pendingChallan]]&lt;=TrafficData[[#This Row],[totalChallan]])</f>
        <v>1</v>
      </c>
      <c r="O291" t="b">
        <f>AND(TrafficData[[#This Row],[pendingAmount]]&lt;=TrafficData[[#This Row],[totalAmount]],TrafficData[[#This Row],[disposedAmount]]&lt;=TrafficData[[#This Row],[totalAmount]])</f>
        <v>1</v>
      </c>
      <c r="P291" t="b">
        <f>AND(TrafficData[[#This Row],[pendingCourt]]&lt;=TrafficData[[#This Row],[totalCourt]],TrafficData[[#This Row],[disposedCourt]]&lt;=TrafficData[[#This Row],[totalCourt]])</f>
        <v>1</v>
      </c>
    </row>
    <row r="292" spans="1:16">
      <c r="A292" s="1">
        <v>42295</v>
      </c>
      <c r="B292">
        <v>831</v>
      </c>
      <c r="C292">
        <v>18</v>
      </c>
      <c r="D292">
        <v>813</v>
      </c>
      <c r="E292">
        <v>489700</v>
      </c>
      <c r="F292">
        <v>30150</v>
      </c>
      <c r="G292">
        <v>519850</v>
      </c>
      <c r="H292">
        <v>763</v>
      </c>
      <c r="I292">
        <v>1</v>
      </c>
      <c r="J292">
        <v>764</v>
      </c>
      <c r="K292" t="b">
        <f>TrafficData[[#This Row],[disposedChallan]]+TrafficData[[#This Row],[pendingChallan]]=TrafficData[[#This Row],[totalChallan]]</f>
        <v>1</v>
      </c>
      <c r="L292" t="b">
        <f>TrafficData[[#This Row],[pendingAmount]]+TrafficData[[#This Row],[disposedAmount]]=TrafficData[[#This Row],[totalAmount]]</f>
        <v>1</v>
      </c>
      <c r="M292" t="b">
        <f>TrafficData[[#This Row],[pendingCourt]]+TrafficData[[#This Row],[disposedCourt]]=TrafficData[[#This Row],[totalCourt]]</f>
        <v>1</v>
      </c>
      <c r="N292" t="b">
        <f>AND(TrafficData[[#This Row],[disposedChallan]]&lt;=TrafficData[[#This Row],[totalChallan]],TrafficData[[#This Row],[pendingChallan]]&lt;=TrafficData[[#This Row],[totalChallan]])</f>
        <v>1</v>
      </c>
      <c r="O292" t="b">
        <f>AND(TrafficData[[#This Row],[pendingAmount]]&lt;=TrafficData[[#This Row],[totalAmount]],TrafficData[[#This Row],[disposedAmount]]&lt;=TrafficData[[#This Row],[totalAmount]])</f>
        <v>1</v>
      </c>
      <c r="P292" t="b">
        <f>AND(TrafficData[[#This Row],[pendingCourt]]&lt;=TrafficData[[#This Row],[totalCourt]],TrafficData[[#This Row],[disposedCourt]]&lt;=TrafficData[[#This Row],[totalCourt]])</f>
        <v>1</v>
      </c>
    </row>
    <row r="293" spans="1:16">
      <c r="A293" s="1">
        <v>42296</v>
      </c>
      <c r="B293">
        <v>1337</v>
      </c>
      <c r="C293">
        <v>38</v>
      </c>
      <c r="D293">
        <v>1299</v>
      </c>
      <c r="E293">
        <v>923860</v>
      </c>
      <c r="F293">
        <v>90650</v>
      </c>
      <c r="G293">
        <v>1014510</v>
      </c>
      <c r="H293">
        <v>1201</v>
      </c>
      <c r="I293">
        <v>14</v>
      </c>
      <c r="J293">
        <v>1215</v>
      </c>
      <c r="K293" t="b">
        <f>TrafficData[[#This Row],[disposedChallan]]+TrafficData[[#This Row],[pendingChallan]]=TrafficData[[#This Row],[totalChallan]]</f>
        <v>1</v>
      </c>
      <c r="L293" t="b">
        <f>TrafficData[[#This Row],[pendingAmount]]+TrafficData[[#This Row],[disposedAmount]]=TrafficData[[#This Row],[totalAmount]]</f>
        <v>1</v>
      </c>
      <c r="M293" t="b">
        <f>TrafficData[[#This Row],[pendingCourt]]+TrafficData[[#This Row],[disposedCourt]]=TrafficData[[#This Row],[totalCourt]]</f>
        <v>1</v>
      </c>
      <c r="N293" t="b">
        <f>AND(TrafficData[[#This Row],[disposedChallan]]&lt;=TrafficData[[#This Row],[totalChallan]],TrafficData[[#This Row],[pendingChallan]]&lt;=TrafficData[[#This Row],[totalChallan]])</f>
        <v>1</v>
      </c>
      <c r="O293" t="b">
        <f>AND(TrafficData[[#This Row],[pendingAmount]]&lt;=TrafficData[[#This Row],[totalAmount]],TrafficData[[#This Row],[disposedAmount]]&lt;=TrafficData[[#This Row],[totalAmount]])</f>
        <v>1</v>
      </c>
      <c r="P293" t="b">
        <f>AND(TrafficData[[#This Row],[pendingCourt]]&lt;=TrafficData[[#This Row],[totalCourt]],TrafficData[[#This Row],[disposedCourt]]&lt;=TrafficData[[#This Row],[totalCourt]])</f>
        <v>1</v>
      </c>
    </row>
    <row r="294" spans="1:16">
      <c r="A294" s="1">
        <v>42297</v>
      </c>
      <c r="B294">
        <v>1498</v>
      </c>
      <c r="C294">
        <v>46</v>
      </c>
      <c r="D294">
        <v>1452</v>
      </c>
      <c r="E294">
        <v>970250</v>
      </c>
      <c r="F294">
        <v>78850</v>
      </c>
      <c r="G294">
        <v>1049100</v>
      </c>
      <c r="H294">
        <v>1360</v>
      </c>
      <c r="I294">
        <v>5</v>
      </c>
      <c r="J294">
        <v>1365</v>
      </c>
      <c r="K294" t="b">
        <f>TrafficData[[#This Row],[disposedChallan]]+TrafficData[[#This Row],[pendingChallan]]=TrafficData[[#This Row],[totalChallan]]</f>
        <v>1</v>
      </c>
      <c r="L294" t="b">
        <f>TrafficData[[#This Row],[pendingAmount]]+TrafficData[[#This Row],[disposedAmount]]=TrafficData[[#This Row],[totalAmount]]</f>
        <v>1</v>
      </c>
      <c r="M294" t="b">
        <f>TrafficData[[#This Row],[pendingCourt]]+TrafficData[[#This Row],[disposedCourt]]=TrafficData[[#This Row],[totalCourt]]</f>
        <v>1</v>
      </c>
      <c r="N294" t="b">
        <f>AND(TrafficData[[#This Row],[disposedChallan]]&lt;=TrafficData[[#This Row],[totalChallan]],TrafficData[[#This Row],[pendingChallan]]&lt;=TrafficData[[#This Row],[totalChallan]])</f>
        <v>1</v>
      </c>
      <c r="O294" t="b">
        <f>AND(TrafficData[[#This Row],[pendingAmount]]&lt;=TrafficData[[#This Row],[totalAmount]],TrafficData[[#This Row],[disposedAmount]]&lt;=TrafficData[[#This Row],[totalAmount]])</f>
        <v>1</v>
      </c>
      <c r="P294" t="b">
        <f>AND(TrafficData[[#This Row],[pendingCourt]]&lt;=TrafficData[[#This Row],[totalCourt]],TrafficData[[#This Row],[disposedCourt]]&lt;=TrafficData[[#This Row],[totalCourt]])</f>
        <v>1</v>
      </c>
    </row>
    <row r="295" spans="1:16">
      <c r="A295" s="1">
        <v>42298</v>
      </c>
      <c r="B295">
        <v>1269</v>
      </c>
      <c r="C295">
        <v>39</v>
      </c>
      <c r="D295">
        <v>1230</v>
      </c>
      <c r="E295">
        <v>1238030</v>
      </c>
      <c r="F295">
        <v>106120</v>
      </c>
      <c r="G295">
        <v>1344150</v>
      </c>
      <c r="H295">
        <v>1151</v>
      </c>
      <c r="I295">
        <v>13</v>
      </c>
      <c r="J295">
        <v>1164</v>
      </c>
      <c r="K295" t="b">
        <f>TrafficData[[#This Row],[disposedChallan]]+TrafficData[[#This Row],[pendingChallan]]=TrafficData[[#This Row],[totalChallan]]</f>
        <v>1</v>
      </c>
      <c r="L295" t="b">
        <f>TrafficData[[#This Row],[pendingAmount]]+TrafficData[[#This Row],[disposedAmount]]=TrafficData[[#This Row],[totalAmount]]</f>
        <v>1</v>
      </c>
      <c r="M295" t="b">
        <f>TrafficData[[#This Row],[pendingCourt]]+TrafficData[[#This Row],[disposedCourt]]=TrafficData[[#This Row],[totalCourt]]</f>
        <v>1</v>
      </c>
      <c r="N295" t="b">
        <f>AND(TrafficData[[#This Row],[disposedChallan]]&lt;=TrafficData[[#This Row],[totalChallan]],TrafficData[[#This Row],[pendingChallan]]&lt;=TrafficData[[#This Row],[totalChallan]])</f>
        <v>1</v>
      </c>
      <c r="O295" t="b">
        <f>AND(TrafficData[[#This Row],[pendingAmount]]&lt;=TrafficData[[#This Row],[totalAmount]],TrafficData[[#This Row],[disposedAmount]]&lt;=TrafficData[[#This Row],[totalAmount]])</f>
        <v>1</v>
      </c>
      <c r="P295" t="b">
        <f>AND(TrafficData[[#This Row],[pendingCourt]]&lt;=TrafficData[[#This Row],[totalCourt]],TrafficData[[#This Row],[disposedCourt]]&lt;=TrafficData[[#This Row],[totalCourt]])</f>
        <v>1</v>
      </c>
    </row>
    <row r="296" spans="1:16">
      <c r="A296" s="1">
        <v>42299</v>
      </c>
      <c r="B296">
        <v>599</v>
      </c>
      <c r="C296">
        <v>23</v>
      </c>
      <c r="D296">
        <v>576</v>
      </c>
      <c r="E296">
        <v>336100</v>
      </c>
      <c r="F296">
        <v>75382</v>
      </c>
      <c r="G296">
        <v>411482</v>
      </c>
      <c r="H296">
        <v>545</v>
      </c>
      <c r="I296">
        <v>7</v>
      </c>
      <c r="J296">
        <v>552</v>
      </c>
      <c r="K296" t="b">
        <f>TrafficData[[#This Row],[disposedChallan]]+TrafficData[[#This Row],[pendingChallan]]=TrafficData[[#This Row],[totalChallan]]</f>
        <v>1</v>
      </c>
      <c r="L296" t="b">
        <f>TrafficData[[#This Row],[pendingAmount]]+TrafficData[[#This Row],[disposedAmount]]=TrafficData[[#This Row],[totalAmount]]</f>
        <v>1</v>
      </c>
      <c r="M296" t="b">
        <f>TrafficData[[#This Row],[pendingCourt]]+TrafficData[[#This Row],[disposedCourt]]=TrafficData[[#This Row],[totalCourt]]</f>
        <v>1</v>
      </c>
      <c r="N296" t="b">
        <f>AND(TrafficData[[#This Row],[disposedChallan]]&lt;=TrafficData[[#This Row],[totalChallan]],TrafficData[[#This Row],[pendingChallan]]&lt;=TrafficData[[#This Row],[totalChallan]])</f>
        <v>1</v>
      </c>
      <c r="O296" t="b">
        <f>AND(TrafficData[[#This Row],[pendingAmount]]&lt;=TrafficData[[#This Row],[totalAmount]],TrafficData[[#This Row],[disposedAmount]]&lt;=TrafficData[[#This Row],[totalAmount]])</f>
        <v>1</v>
      </c>
      <c r="P296" t="b">
        <f>AND(TrafficData[[#This Row],[pendingCourt]]&lt;=TrafficData[[#This Row],[totalCourt]],TrafficData[[#This Row],[disposedCourt]]&lt;=TrafficData[[#This Row],[totalCourt]])</f>
        <v>1</v>
      </c>
    </row>
    <row r="297" spans="1:16">
      <c r="A297" s="1">
        <v>42300</v>
      </c>
      <c r="B297">
        <v>1010</v>
      </c>
      <c r="C297">
        <v>41</v>
      </c>
      <c r="D297">
        <v>969</v>
      </c>
      <c r="E297">
        <v>623300</v>
      </c>
      <c r="F297">
        <v>152861</v>
      </c>
      <c r="G297">
        <v>776161</v>
      </c>
      <c r="H297">
        <v>898</v>
      </c>
      <c r="I297">
        <v>14</v>
      </c>
      <c r="J297">
        <v>912</v>
      </c>
      <c r="K297" t="b">
        <f>TrafficData[[#This Row],[disposedChallan]]+TrafficData[[#This Row],[pendingChallan]]=TrafficData[[#This Row],[totalChallan]]</f>
        <v>1</v>
      </c>
      <c r="L297" t="b">
        <f>TrafficData[[#This Row],[pendingAmount]]+TrafficData[[#This Row],[disposedAmount]]=TrafficData[[#This Row],[totalAmount]]</f>
        <v>1</v>
      </c>
      <c r="M297" t="b">
        <f>TrafficData[[#This Row],[pendingCourt]]+TrafficData[[#This Row],[disposedCourt]]=TrafficData[[#This Row],[totalCourt]]</f>
        <v>1</v>
      </c>
      <c r="N297" t="b">
        <f>AND(TrafficData[[#This Row],[disposedChallan]]&lt;=TrafficData[[#This Row],[totalChallan]],TrafficData[[#This Row],[pendingChallan]]&lt;=TrafficData[[#This Row],[totalChallan]])</f>
        <v>1</v>
      </c>
      <c r="O297" t="b">
        <f>AND(TrafficData[[#This Row],[pendingAmount]]&lt;=TrafficData[[#This Row],[totalAmount]],TrafficData[[#This Row],[disposedAmount]]&lt;=TrafficData[[#This Row],[totalAmount]])</f>
        <v>1</v>
      </c>
      <c r="P297" t="b">
        <f>AND(TrafficData[[#This Row],[pendingCourt]]&lt;=TrafficData[[#This Row],[totalCourt]],TrafficData[[#This Row],[disposedCourt]]&lt;=TrafficData[[#This Row],[totalCourt]])</f>
        <v>1</v>
      </c>
    </row>
    <row r="298" spans="1:16">
      <c r="A298" s="1">
        <v>42301</v>
      </c>
      <c r="B298">
        <v>506</v>
      </c>
      <c r="C298">
        <v>15</v>
      </c>
      <c r="D298">
        <v>491</v>
      </c>
      <c r="E298">
        <v>239300</v>
      </c>
      <c r="F298">
        <v>39150</v>
      </c>
      <c r="G298">
        <v>278450</v>
      </c>
      <c r="H298">
        <v>461</v>
      </c>
      <c r="I298">
        <v>3</v>
      </c>
      <c r="J298">
        <v>464</v>
      </c>
      <c r="K298" t="b">
        <f>TrafficData[[#This Row],[disposedChallan]]+TrafficData[[#This Row],[pendingChallan]]=TrafficData[[#This Row],[totalChallan]]</f>
        <v>1</v>
      </c>
      <c r="L298" t="b">
        <f>TrafficData[[#This Row],[pendingAmount]]+TrafficData[[#This Row],[disposedAmount]]=TrafficData[[#This Row],[totalAmount]]</f>
        <v>1</v>
      </c>
      <c r="M298" t="b">
        <f>TrafficData[[#This Row],[pendingCourt]]+TrafficData[[#This Row],[disposedCourt]]=TrafficData[[#This Row],[totalCourt]]</f>
        <v>1</v>
      </c>
      <c r="N298" t="b">
        <f>AND(TrafficData[[#This Row],[disposedChallan]]&lt;=TrafficData[[#This Row],[totalChallan]],TrafficData[[#This Row],[pendingChallan]]&lt;=TrafficData[[#This Row],[totalChallan]])</f>
        <v>1</v>
      </c>
      <c r="O298" t="b">
        <f>AND(TrafficData[[#This Row],[pendingAmount]]&lt;=TrafficData[[#This Row],[totalAmount]],TrafficData[[#This Row],[disposedAmount]]&lt;=TrafficData[[#This Row],[totalAmount]])</f>
        <v>1</v>
      </c>
      <c r="P298" t="b">
        <f>AND(TrafficData[[#This Row],[pendingCourt]]&lt;=TrafficData[[#This Row],[totalCourt]],TrafficData[[#This Row],[disposedCourt]]&lt;=TrafficData[[#This Row],[totalCourt]])</f>
        <v>1</v>
      </c>
    </row>
    <row r="299" spans="1:16">
      <c r="A299" s="1">
        <v>42302</v>
      </c>
      <c r="B299">
        <v>536</v>
      </c>
      <c r="C299">
        <v>42</v>
      </c>
      <c r="D299">
        <v>494</v>
      </c>
      <c r="E299">
        <v>649460</v>
      </c>
      <c r="F299">
        <v>142700</v>
      </c>
      <c r="G299">
        <v>792160</v>
      </c>
      <c r="H299">
        <v>418</v>
      </c>
      <c r="I299">
        <v>5</v>
      </c>
      <c r="J299">
        <v>423</v>
      </c>
      <c r="K299" t="b">
        <f>TrafficData[[#This Row],[disposedChallan]]+TrafficData[[#This Row],[pendingChallan]]=TrafficData[[#This Row],[totalChallan]]</f>
        <v>1</v>
      </c>
      <c r="L299" t="b">
        <f>TrafficData[[#This Row],[pendingAmount]]+TrafficData[[#This Row],[disposedAmount]]=TrafficData[[#This Row],[totalAmount]]</f>
        <v>1</v>
      </c>
      <c r="M299" t="b">
        <f>TrafficData[[#This Row],[pendingCourt]]+TrafficData[[#This Row],[disposedCourt]]=TrafficData[[#This Row],[totalCourt]]</f>
        <v>1</v>
      </c>
      <c r="N299" t="b">
        <f>AND(TrafficData[[#This Row],[disposedChallan]]&lt;=TrafficData[[#This Row],[totalChallan]],TrafficData[[#This Row],[pendingChallan]]&lt;=TrafficData[[#This Row],[totalChallan]])</f>
        <v>1</v>
      </c>
      <c r="O299" t="b">
        <f>AND(TrafficData[[#This Row],[pendingAmount]]&lt;=TrafficData[[#This Row],[totalAmount]],TrafficData[[#This Row],[disposedAmount]]&lt;=TrafficData[[#This Row],[totalAmount]])</f>
        <v>1</v>
      </c>
      <c r="P299" t="b">
        <f>AND(TrafficData[[#This Row],[pendingCourt]]&lt;=TrafficData[[#This Row],[totalCourt]],TrafficData[[#This Row],[disposedCourt]]&lt;=TrafficData[[#This Row],[totalCourt]])</f>
        <v>1</v>
      </c>
    </row>
    <row r="300" spans="1:16">
      <c r="A300" s="1">
        <v>42303</v>
      </c>
      <c r="B300">
        <v>726</v>
      </c>
      <c r="C300">
        <v>47</v>
      </c>
      <c r="D300">
        <v>679</v>
      </c>
      <c r="E300">
        <v>870210</v>
      </c>
      <c r="F300">
        <v>130300</v>
      </c>
      <c r="G300">
        <v>1000510</v>
      </c>
      <c r="H300">
        <v>550</v>
      </c>
      <c r="I300">
        <v>11</v>
      </c>
      <c r="J300">
        <v>561</v>
      </c>
      <c r="K300" t="b">
        <f>TrafficData[[#This Row],[disposedChallan]]+TrafficData[[#This Row],[pendingChallan]]=TrafficData[[#This Row],[totalChallan]]</f>
        <v>1</v>
      </c>
      <c r="L300" t="b">
        <f>TrafficData[[#This Row],[pendingAmount]]+TrafficData[[#This Row],[disposedAmount]]=TrafficData[[#This Row],[totalAmount]]</f>
        <v>1</v>
      </c>
      <c r="M300" t="b">
        <f>TrafficData[[#This Row],[pendingCourt]]+TrafficData[[#This Row],[disposedCourt]]=TrafficData[[#This Row],[totalCourt]]</f>
        <v>1</v>
      </c>
      <c r="N300" t="b">
        <f>AND(TrafficData[[#This Row],[disposedChallan]]&lt;=TrafficData[[#This Row],[totalChallan]],TrafficData[[#This Row],[pendingChallan]]&lt;=TrafficData[[#This Row],[totalChallan]])</f>
        <v>1</v>
      </c>
      <c r="O300" t="b">
        <f>AND(TrafficData[[#This Row],[pendingAmount]]&lt;=TrafficData[[#This Row],[totalAmount]],TrafficData[[#This Row],[disposedAmount]]&lt;=TrafficData[[#This Row],[totalAmount]])</f>
        <v>1</v>
      </c>
      <c r="P300" t="b">
        <f>AND(TrafficData[[#This Row],[pendingCourt]]&lt;=TrafficData[[#This Row],[totalCourt]],TrafficData[[#This Row],[disposedCourt]]&lt;=TrafficData[[#This Row],[totalCourt]])</f>
        <v>1</v>
      </c>
    </row>
    <row r="301" spans="1:16">
      <c r="A301" s="1">
        <v>42304</v>
      </c>
      <c r="B301">
        <v>805</v>
      </c>
      <c r="C301">
        <v>44</v>
      </c>
      <c r="D301">
        <v>761</v>
      </c>
      <c r="E301">
        <v>1358350</v>
      </c>
      <c r="F301">
        <v>247700</v>
      </c>
      <c r="G301">
        <v>1606050</v>
      </c>
      <c r="H301">
        <v>613</v>
      </c>
      <c r="I301">
        <v>6</v>
      </c>
      <c r="J301">
        <v>619</v>
      </c>
      <c r="K301" t="b">
        <f>TrafficData[[#This Row],[disposedChallan]]+TrafficData[[#This Row],[pendingChallan]]=TrafficData[[#This Row],[totalChallan]]</f>
        <v>1</v>
      </c>
      <c r="L301" t="b">
        <f>TrafficData[[#This Row],[pendingAmount]]+TrafficData[[#This Row],[disposedAmount]]=TrafficData[[#This Row],[totalAmount]]</f>
        <v>1</v>
      </c>
      <c r="M301" t="b">
        <f>TrafficData[[#This Row],[pendingCourt]]+TrafficData[[#This Row],[disposedCourt]]=TrafficData[[#This Row],[totalCourt]]</f>
        <v>1</v>
      </c>
      <c r="N301" t="b">
        <f>AND(TrafficData[[#This Row],[disposedChallan]]&lt;=TrafficData[[#This Row],[totalChallan]],TrafficData[[#This Row],[pendingChallan]]&lt;=TrafficData[[#This Row],[totalChallan]])</f>
        <v>1</v>
      </c>
      <c r="O301" t="b">
        <f>AND(TrafficData[[#This Row],[pendingAmount]]&lt;=TrafficData[[#This Row],[totalAmount]],TrafficData[[#This Row],[disposedAmount]]&lt;=TrafficData[[#This Row],[totalAmount]])</f>
        <v>1</v>
      </c>
      <c r="P301" t="b">
        <f>AND(TrafficData[[#This Row],[pendingCourt]]&lt;=TrafficData[[#This Row],[totalCourt]],TrafficData[[#This Row],[disposedCourt]]&lt;=TrafficData[[#This Row],[totalCourt]])</f>
        <v>1</v>
      </c>
    </row>
    <row r="302" spans="1:16">
      <c r="A302" s="1">
        <v>42305</v>
      </c>
      <c r="B302">
        <v>795</v>
      </c>
      <c r="C302">
        <v>94</v>
      </c>
      <c r="D302">
        <v>701</v>
      </c>
      <c r="E302">
        <v>1436210</v>
      </c>
      <c r="F302">
        <v>313750</v>
      </c>
      <c r="G302">
        <v>1749960</v>
      </c>
      <c r="H302">
        <v>557</v>
      </c>
      <c r="I302">
        <v>22</v>
      </c>
      <c r="J302">
        <v>579</v>
      </c>
      <c r="K302" t="b">
        <f>TrafficData[[#This Row],[disposedChallan]]+TrafficData[[#This Row],[pendingChallan]]=TrafficData[[#This Row],[totalChallan]]</f>
        <v>1</v>
      </c>
      <c r="L302" t="b">
        <f>TrafficData[[#This Row],[pendingAmount]]+TrafficData[[#This Row],[disposedAmount]]=TrafficData[[#This Row],[totalAmount]]</f>
        <v>1</v>
      </c>
      <c r="M302" t="b">
        <f>TrafficData[[#This Row],[pendingCourt]]+TrafficData[[#This Row],[disposedCourt]]=TrafficData[[#This Row],[totalCourt]]</f>
        <v>1</v>
      </c>
      <c r="N302" t="b">
        <f>AND(TrafficData[[#This Row],[disposedChallan]]&lt;=TrafficData[[#This Row],[totalChallan]],TrafficData[[#This Row],[pendingChallan]]&lt;=TrafficData[[#This Row],[totalChallan]])</f>
        <v>1</v>
      </c>
      <c r="O302" t="b">
        <f>AND(TrafficData[[#This Row],[pendingAmount]]&lt;=TrafficData[[#This Row],[totalAmount]],TrafficData[[#This Row],[disposedAmount]]&lt;=TrafficData[[#This Row],[totalAmount]])</f>
        <v>1</v>
      </c>
      <c r="P302" t="b">
        <f>AND(TrafficData[[#This Row],[pendingCourt]]&lt;=TrafficData[[#This Row],[totalCourt]],TrafficData[[#This Row],[disposedCourt]]&lt;=TrafficData[[#This Row],[totalCourt]])</f>
        <v>1</v>
      </c>
    </row>
    <row r="303" spans="1:16">
      <c r="A303" s="1">
        <v>42306</v>
      </c>
      <c r="B303">
        <v>717</v>
      </c>
      <c r="C303">
        <v>55</v>
      </c>
      <c r="D303">
        <v>662</v>
      </c>
      <c r="E303">
        <v>1955830</v>
      </c>
      <c r="F303">
        <v>229050</v>
      </c>
      <c r="G303">
        <v>2184880</v>
      </c>
      <c r="H303">
        <v>502</v>
      </c>
      <c r="I303">
        <v>5</v>
      </c>
      <c r="J303">
        <v>507</v>
      </c>
      <c r="K303" t="b">
        <f>TrafficData[[#This Row],[disposedChallan]]+TrafficData[[#This Row],[pendingChallan]]=TrafficData[[#This Row],[totalChallan]]</f>
        <v>1</v>
      </c>
      <c r="L303" t="b">
        <f>TrafficData[[#This Row],[pendingAmount]]+TrafficData[[#This Row],[disposedAmount]]=TrafficData[[#This Row],[totalAmount]]</f>
        <v>1</v>
      </c>
      <c r="M303" t="b">
        <f>TrafficData[[#This Row],[pendingCourt]]+TrafficData[[#This Row],[disposedCourt]]=TrafficData[[#This Row],[totalCourt]]</f>
        <v>1</v>
      </c>
      <c r="N303" t="b">
        <f>AND(TrafficData[[#This Row],[disposedChallan]]&lt;=TrafficData[[#This Row],[totalChallan]],TrafficData[[#This Row],[pendingChallan]]&lt;=TrafficData[[#This Row],[totalChallan]])</f>
        <v>1</v>
      </c>
      <c r="O303" t="b">
        <f>AND(TrafficData[[#This Row],[pendingAmount]]&lt;=TrafficData[[#This Row],[totalAmount]],TrafficData[[#This Row],[disposedAmount]]&lt;=TrafficData[[#This Row],[totalAmount]])</f>
        <v>1</v>
      </c>
      <c r="P303" t="b">
        <f>AND(TrafficData[[#This Row],[pendingCourt]]&lt;=TrafficData[[#This Row],[totalCourt]],TrafficData[[#This Row],[disposedCourt]]&lt;=TrafficData[[#This Row],[totalCourt]])</f>
        <v>1</v>
      </c>
    </row>
    <row r="304" spans="1:16">
      <c r="A304" s="1">
        <v>42307</v>
      </c>
      <c r="B304">
        <v>935</v>
      </c>
      <c r="C304">
        <v>42</v>
      </c>
      <c r="D304">
        <v>893</v>
      </c>
      <c r="E304">
        <v>1565850</v>
      </c>
      <c r="F304">
        <v>89050</v>
      </c>
      <c r="G304">
        <v>1654900</v>
      </c>
      <c r="H304">
        <v>755</v>
      </c>
      <c r="I304">
        <v>1</v>
      </c>
      <c r="J304">
        <v>756</v>
      </c>
      <c r="K304" t="b">
        <f>TrafficData[[#This Row],[disposedChallan]]+TrafficData[[#This Row],[pendingChallan]]=TrafficData[[#This Row],[totalChallan]]</f>
        <v>1</v>
      </c>
      <c r="L304" t="b">
        <f>TrafficData[[#This Row],[pendingAmount]]+TrafficData[[#This Row],[disposedAmount]]=TrafficData[[#This Row],[totalAmount]]</f>
        <v>1</v>
      </c>
      <c r="M304" t="b">
        <f>TrafficData[[#This Row],[pendingCourt]]+TrafficData[[#This Row],[disposedCourt]]=TrafficData[[#This Row],[totalCourt]]</f>
        <v>1</v>
      </c>
      <c r="N304" t="b">
        <f>AND(TrafficData[[#This Row],[disposedChallan]]&lt;=TrafficData[[#This Row],[totalChallan]],TrafficData[[#This Row],[pendingChallan]]&lt;=TrafficData[[#This Row],[totalChallan]])</f>
        <v>1</v>
      </c>
      <c r="O304" t="b">
        <f>AND(TrafficData[[#This Row],[pendingAmount]]&lt;=TrafficData[[#This Row],[totalAmount]],TrafficData[[#This Row],[disposedAmount]]&lt;=TrafficData[[#This Row],[totalAmount]])</f>
        <v>1</v>
      </c>
      <c r="P304" t="b">
        <f>AND(TrafficData[[#This Row],[pendingCourt]]&lt;=TrafficData[[#This Row],[totalCourt]],TrafficData[[#This Row],[disposedCourt]]&lt;=TrafficData[[#This Row],[totalCourt]])</f>
        <v>1</v>
      </c>
    </row>
    <row r="305" spans="1:16">
      <c r="A305" s="1">
        <v>42308</v>
      </c>
      <c r="B305">
        <v>991</v>
      </c>
      <c r="C305">
        <v>89</v>
      </c>
      <c r="D305">
        <v>902</v>
      </c>
      <c r="E305">
        <v>884591</v>
      </c>
      <c r="F305">
        <v>127130</v>
      </c>
      <c r="G305">
        <v>1011721</v>
      </c>
      <c r="H305">
        <v>811</v>
      </c>
      <c r="I305">
        <v>45</v>
      </c>
      <c r="J305">
        <v>856</v>
      </c>
      <c r="K305" t="b">
        <f>TrafficData[[#This Row],[disposedChallan]]+TrafficData[[#This Row],[pendingChallan]]=TrafficData[[#This Row],[totalChallan]]</f>
        <v>1</v>
      </c>
      <c r="L305" t="b">
        <f>TrafficData[[#This Row],[pendingAmount]]+TrafficData[[#This Row],[disposedAmount]]=TrafficData[[#This Row],[totalAmount]]</f>
        <v>1</v>
      </c>
      <c r="M305" t="b">
        <f>TrafficData[[#This Row],[pendingCourt]]+TrafficData[[#This Row],[disposedCourt]]=TrafficData[[#This Row],[totalCourt]]</f>
        <v>1</v>
      </c>
      <c r="N305" t="b">
        <f>AND(TrafficData[[#This Row],[disposedChallan]]&lt;=TrafficData[[#This Row],[totalChallan]],TrafficData[[#This Row],[pendingChallan]]&lt;=TrafficData[[#This Row],[totalChallan]])</f>
        <v>1</v>
      </c>
      <c r="O305" t="b">
        <f>AND(TrafficData[[#This Row],[pendingAmount]]&lt;=TrafficData[[#This Row],[totalAmount]],TrafficData[[#This Row],[disposedAmount]]&lt;=TrafficData[[#This Row],[totalAmount]])</f>
        <v>1</v>
      </c>
      <c r="P305" t="b">
        <f>AND(TrafficData[[#This Row],[pendingCourt]]&lt;=TrafficData[[#This Row],[totalCourt]],TrafficData[[#This Row],[disposedCourt]]&lt;=TrafficData[[#This Row],[totalCourt]])</f>
        <v>1</v>
      </c>
    </row>
    <row r="306" spans="1:16">
      <c r="A306" s="1">
        <v>42309</v>
      </c>
      <c r="B306">
        <v>635</v>
      </c>
      <c r="C306">
        <v>65</v>
      </c>
      <c r="D306">
        <v>570</v>
      </c>
      <c r="E306">
        <v>338300</v>
      </c>
      <c r="F306">
        <v>73500</v>
      </c>
      <c r="G306">
        <v>411800</v>
      </c>
      <c r="H306">
        <v>504</v>
      </c>
      <c r="I306">
        <v>13</v>
      </c>
      <c r="J306">
        <v>517</v>
      </c>
      <c r="K306" t="b">
        <f>TrafficData[[#This Row],[disposedChallan]]+TrafficData[[#This Row],[pendingChallan]]=TrafficData[[#This Row],[totalChallan]]</f>
        <v>1</v>
      </c>
      <c r="L306" t="b">
        <f>TrafficData[[#This Row],[pendingAmount]]+TrafficData[[#This Row],[disposedAmount]]=TrafficData[[#This Row],[totalAmount]]</f>
        <v>1</v>
      </c>
      <c r="M306" t="b">
        <f>TrafficData[[#This Row],[pendingCourt]]+TrafficData[[#This Row],[disposedCourt]]=TrafficData[[#This Row],[totalCourt]]</f>
        <v>1</v>
      </c>
      <c r="N306" t="b">
        <f>AND(TrafficData[[#This Row],[disposedChallan]]&lt;=TrafficData[[#This Row],[totalChallan]],TrafficData[[#This Row],[pendingChallan]]&lt;=TrafficData[[#This Row],[totalChallan]])</f>
        <v>1</v>
      </c>
      <c r="O306" t="b">
        <f>AND(TrafficData[[#This Row],[pendingAmount]]&lt;=TrafficData[[#This Row],[totalAmount]],TrafficData[[#This Row],[disposedAmount]]&lt;=TrafficData[[#This Row],[totalAmount]])</f>
        <v>1</v>
      </c>
      <c r="P306" t="b">
        <f>AND(TrafficData[[#This Row],[pendingCourt]]&lt;=TrafficData[[#This Row],[totalCourt]],TrafficData[[#This Row],[disposedCourt]]&lt;=TrafficData[[#This Row],[totalCourt]])</f>
        <v>1</v>
      </c>
    </row>
    <row r="307" spans="1:16">
      <c r="A307" s="1">
        <v>42310</v>
      </c>
      <c r="B307">
        <v>840</v>
      </c>
      <c r="C307">
        <v>85</v>
      </c>
      <c r="D307">
        <v>755</v>
      </c>
      <c r="E307">
        <v>600025</v>
      </c>
      <c r="F307">
        <v>202850</v>
      </c>
      <c r="G307">
        <v>802875</v>
      </c>
      <c r="H307">
        <v>698</v>
      </c>
      <c r="I307">
        <v>42</v>
      </c>
      <c r="J307">
        <v>740</v>
      </c>
      <c r="K307" t="b">
        <f>TrafficData[[#This Row],[disposedChallan]]+TrafficData[[#This Row],[pendingChallan]]=TrafficData[[#This Row],[totalChallan]]</f>
        <v>1</v>
      </c>
      <c r="L307" t="b">
        <f>TrafficData[[#This Row],[pendingAmount]]+TrafficData[[#This Row],[disposedAmount]]=TrafficData[[#This Row],[totalAmount]]</f>
        <v>1</v>
      </c>
      <c r="M307" t="b">
        <f>TrafficData[[#This Row],[pendingCourt]]+TrafficData[[#This Row],[disposedCourt]]=TrafficData[[#This Row],[totalCourt]]</f>
        <v>1</v>
      </c>
      <c r="N307" t="b">
        <f>AND(TrafficData[[#This Row],[disposedChallan]]&lt;=TrafficData[[#This Row],[totalChallan]],TrafficData[[#This Row],[pendingChallan]]&lt;=TrafficData[[#This Row],[totalChallan]])</f>
        <v>1</v>
      </c>
      <c r="O307" t="b">
        <f>AND(TrafficData[[#This Row],[pendingAmount]]&lt;=TrafficData[[#This Row],[totalAmount]],TrafficData[[#This Row],[disposedAmount]]&lt;=TrafficData[[#This Row],[totalAmount]])</f>
        <v>1</v>
      </c>
      <c r="P307" t="b">
        <f>AND(TrafficData[[#This Row],[pendingCourt]]&lt;=TrafficData[[#This Row],[totalCourt]],TrafficData[[#This Row],[disposedCourt]]&lt;=TrafficData[[#This Row],[totalCourt]])</f>
        <v>1</v>
      </c>
    </row>
    <row r="308" spans="1:16">
      <c r="A308" s="1">
        <v>42311</v>
      </c>
      <c r="B308">
        <v>1205</v>
      </c>
      <c r="C308">
        <v>133</v>
      </c>
      <c r="D308">
        <v>1072</v>
      </c>
      <c r="E308">
        <v>696448</v>
      </c>
      <c r="F308">
        <v>182950</v>
      </c>
      <c r="G308">
        <v>879398</v>
      </c>
      <c r="H308">
        <v>986</v>
      </c>
      <c r="I308">
        <v>27</v>
      </c>
      <c r="J308">
        <v>1013</v>
      </c>
      <c r="K308" t="b">
        <f>TrafficData[[#This Row],[disposedChallan]]+TrafficData[[#This Row],[pendingChallan]]=TrafficData[[#This Row],[totalChallan]]</f>
        <v>1</v>
      </c>
      <c r="L308" t="b">
        <f>TrafficData[[#This Row],[pendingAmount]]+TrafficData[[#This Row],[disposedAmount]]=TrafficData[[#This Row],[totalAmount]]</f>
        <v>1</v>
      </c>
      <c r="M308" t="b">
        <f>TrafficData[[#This Row],[pendingCourt]]+TrafficData[[#This Row],[disposedCourt]]=TrafficData[[#This Row],[totalCourt]]</f>
        <v>1</v>
      </c>
      <c r="N308" t="b">
        <f>AND(TrafficData[[#This Row],[disposedChallan]]&lt;=TrafficData[[#This Row],[totalChallan]],TrafficData[[#This Row],[pendingChallan]]&lt;=TrafficData[[#This Row],[totalChallan]])</f>
        <v>1</v>
      </c>
      <c r="O308" t="b">
        <f>AND(TrafficData[[#This Row],[pendingAmount]]&lt;=TrafficData[[#This Row],[totalAmount]],TrafficData[[#This Row],[disposedAmount]]&lt;=TrafficData[[#This Row],[totalAmount]])</f>
        <v>1</v>
      </c>
      <c r="P308" t="b">
        <f>AND(TrafficData[[#This Row],[pendingCourt]]&lt;=TrafficData[[#This Row],[totalCourt]],TrafficData[[#This Row],[disposedCourt]]&lt;=TrafficData[[#This Row],[totalCourt]])</f>
        <v>1</v>
      </c>
    </row>
    <row r="309" spans="1:16">
      <c r="A309" s="1">
        <v>42312</v>
      </c>
      <c r="B309">
        <v>1201</v>
      </c>
      <c r="C309">
        <v>125</v>
      </c>
      <c r="D309">
        <v>1076</v>
      </c>
      <c r="E309">
        <v>854875</v>
      </c>
      <c r="F309">
        <v>245040</v>
      </c>
      <c r="G309">
        <v>1099915</v>
      </c>
      <c r="H309">
        <v>1000</v>
      </c>
      <c r="I309">
        <v>28</v>
      </c>
      <c r="J309">
        <v>1028</v>
      </c>
      <c r="K309" t="b">
        <f>TrafficData[[#This Row],[disposedChallan]]+TrafficData[[#This Row],[pendingChallan]]=TrafficData[[#This Row],[totalChallan]]</f>
        <v>1</v>
      </c>
      <c r="L309" t="b">
        <f>TrafficData[[#This Row],[pendingAmount]]+TrafficData[[#This Row],[disposedAmount]]=TrafficData[[#This Row],[totalAmount]]</f>
        <v>1</v>
      </c>
      <c r="M309" t="b">
        <f>TrafficData[[#This Row],[pendingCourt]]+TrafficData[[#This Row],[disposedCourt]]=TrafficData[[#This Row],[totalCourt]]</f>
        <v>1</v>
      </c>
      <c r="N309" t="b">
        <f>AND(TrafficData[[#This Row],[disposedChallan]]&lt;=TrafficData[[#This Row],[totalChallan]],TrafficData[[#This Row],[pendingChallan]]&lt;=TrafficData[[#This Row],[totalChallan]])</f>
        <v>1</v>
      </c>
      <c r="O309" t="b">
        <f>AND(TrafficData[[#This Row],[pendingAmount]]&lt;=TrafficData[[#This Row],[totalAmount]],TrafficData[[#This Row],[disposedAmount]]&lt;=TrafficData[[#This Row],[totalAmount]])</f>
        <v>1</v>
      </c>
      <c r="P309" t="b">
        <f>AND(TrafficData[[#This Row],[pendingCourt]]&lt;=TrafficData[[#This Row],[totalCourt]],TrafficData[[#This Row],[disposedCourt]]&lt;=TrafficData[[#This Row],[totalCourt]])</f>
        <v>1</v>
      </c>
    </row>
    <row r="310" spans="1:16">
      <c r="A310" s="1">
        <v>42313</v>
      </c>
      <c r="B310">
        <v>1151</v>
      </c>
      <c r="C310">
        <v>141</v>
      </c>
      <c r="D310">
        <v>1010</v>
      </c>
      <c r="E310">
        <v>923550</v>
      </c>
      <c r="F310">
        <v>171550</v>
      </c>
      <c r="G310">
        <v>1095100</v>
      </c>
      <c r="H310">
        <v>903</v>
      </c>
      <c r="I310">
        <v>35</v>
      </c>
      <c r="J310">
        <v>938</v>
      </c>
      <c r="K310" t="b">
        <f>TrafficData[[#This Row],[disposedChallan]]+TrafficData[[#This Row],[pendingChallan]]=TrafficData[[#This Row],[totalChallan]]</f>
        <v>1</v>
      </c>
      <c r="L310" t="b">
        <f>TrafficData[[#This Row],[pendingAmount]]+TrafficData[[#This Row],[disposedAmount]]=TrafficData[[#This Row],[totalAmount]]</f>
        <v>1</v>
      </c>
      <c r="M310" t="b">
        <f>TrafficData[[#This Row],[pendingCourt]]+TrafficData[[#This Row],[disposedCourt]]=TrafficData[[#This Row],[totalCourt]]</f>
        <v>1</v>
      </c>
      <c r="N310" t="b">
        <f>AND(TrafficData[[#This Row],[disposedChallan]]&lt;=TrafficData[[#This Row],[totalChallan]],TrafficData[[#This Row],[pendingChallan]]&lt;=TrafficData[[#This Row],[totalChallan]])</f>
        <v>1</v>
      </c>
      <c r="O310" t="b">
        <f>AND(TrafficData[[#This Row],[pendingAmount]]&lt;=TrafficData[[#This Row],[totalAmount]],TrafficData[[#This Row],[disposedAmount]]&lt;=TrafficData[[#This Row],[totalAmount]])</f>
        <v>1</v>
      </c>
      <c r="P310" t="b">
        <f>AND(TrafficData[[#This Row],[pendingCourt]]&lt;=TrafficData[[#This Row],[totalCourt]],TrafficData[[#This Row],[disposedCourt]]&lt;=TrafficData[[#This Row],[totalCourt]])</f>
        <v>1</v>
      </c>
    </row>
    <row r="311" spans="1:16">
      <c r="A311" s="1">
        <v>42314</v>
      </c>
      <c r="B311">
        <v>1220</v>
      </c>
      <c r="C311">
        <v>143</v>
      </c>
      <c r="D311">
        <v>1077</v>
      </c>
      <c r="E311">
        <v>572600</v>
      </c>
      <c r="F311">
        <v>196490</v>
      </c>
      <c r="G311">
        <v>769090</v>
      </c>
      <c r="H311">
        <v>996</v>
      </c>
      <c r="I311">
        <v>25</v>
      </c>
      <c r="J311">
        <v>1021</v>
      </c>
      <c r="K311" t="b">
        <f>TrafficData[[#This Row],[disposedChallan]]+TrafficData[[#This Row],[pendingChallan]]=TrafficData[[#This Row],[totalChallan]]</f>
        <v>1</v>
      </c>
      <c r="L311" t="b">
        <f>TrafficData[[#This Row],[pendingAmount]]+TrafficData[[#This Row],[disposedAmount]]=TrafficData[[#This Row],[totalAmount]]</f>
        <v>1</v>
      </c>
      <c r="M311" t="b">
        <f>TrafficData[[#This Row],[pendingCourt]]+TrafficData[[#This Row],[disposedCourt]]=TrafficData[[#This Row],[totalCourt]]</f>
        <v>1</v>
      </c>
      <c r="N311" t="b">
        <f>AND(TrafficData[[#This Row],[disposedChallan]]&lt;=TrafficData[[#This Row],[totalChallan]],TrafficData[[#This Row],[pendingChallan]]&lt;=TrafficData[[#This Row],[totalChallan]])</f>
        <v>1</v>
      </c>
      <c r="O311" t="b">
        <f>AND(TrafficData[[#This Row],[pendingAmount]]&lt;=TrafficData[[#This Row],[totalAmount]],TrafficData[[#This Row],[disposedAmount]]&lt;=TrafficData[[#This Row],[totalAmount]])</f>
        <v>1</v>
      </c>
      <c r="P311" t="b">
        <f>AND(TrafficData[[#This Row],[pendingCourt]]&lt;=TrafficData[[#This Row],[totalCourt]],TrafficData[[#This Row],[disposedCourt]]&lt;=TrafficData[[#This Row],[totalCourt]])</f>
        <v>1</v>
      </c>
    </row>
    <row r="312" spans="1:16">
      <c r="A312" s="1">
        <v>42315</v>
      </c>
      <c r="B312">
        <v>1181</v>
      </c>
      <c r="C312">
        <v>127</v>
      </c>
      <c r="D312">
        <v>1054</v>
      </c>
      <c r="E312">
        <v>762175</v>
      </c>
      <c r="F312">
        <v>82781</v>
      </c>
      <c r="G312">
        <v>844956</v>
      </c>
      <c r="H312">
        <v>973</v>
      </c>
      <c r="I312">
        <v>28</v>
      </c>
      <c r="J312">
        <v>1001</v>
      </c>
      <c r="K312" t="b">
        <f>TrafficData[[#This Row],[disposedChallan]]+TrafficData[[#This Row],[pendingChallan]]=TrafficData[[#This Row],[totalChallan]]</f>
        <v>1</v>
      </c>
      <c r="L312" t="b">
        <f>TrafficData[[#This Row],[pendingAmount]]+TrafficData[[#This Row],[disposedAmount]]=TrafficData[[#This Row],[totalAmount]]</f>
        <v>1</v>
      </c>
      <c r="M312" t="b">
        <f>TrafficData[[#This Row],[pendingCourt]]+TrafficData[[#This Row],[disposedCourt]]=TrafficData[[#This Row],[totalCourt]]</f>
        <v>1</v>
      </c>
      <c r="N312" t="b">
        <f>AND(TrafficData[[#This Row],[disposedChallan]]&lt;=TrafficData[[#This Row],[totalChallan]],TrafficData[[#This Row],[pendingChallan]]&lt;=TrafficData[[#This Row],[totalChallan]])</f>
        <v>1</v>
      </c>
      <c r="O312" t="b">
        <f>AND(TrafficData[[#This Row],[pendingAmount]]&lt;=TrafficData[[#This Row],[totalAmount]],TrafficData[[#This Row],[disposedAmount]]&lt;=TrafficData[[#This Row],[totalAmount]])</f>
        <v>1</v>
      </c>
      <c r="P312" t="b">
        <f>AND(TrafficData[[#This Row],[pendingCourt]]&lt;=TrafficData[[#This Row],[totalCourt]],TrafficData[[#This Row],[disposedCourt]]&lt;=TrafficData[[#This Row],[totalCourt]])</f>
        <v>1</v>
      </c>
    </row>
    <row r="313" spans="1:16">
      <c r="A313" s="1">
        <v>42316</v>
      </c>
      <c r="B313">
        <v>974</v>
      </c>
      <c r="C313">
        <v>114</v>
      </c>
      <c r="D313">
        <v>860</v>
      </c>
      <c r="E313">
        <v>497050</v>
      </c>
      <c r="F313">
        <v>122930</v>
      </c>
      <c r="G313">
        <v>619980</v>
      </c>
      <c r="H313">
        <v>794</v>
      </c>
      <c r="I313">
        <v>52</v>
      </c>
      <c r="J313">
        <v>846</v>
      </c>
      <c r="K313" t="b">
        <f>TrafficData[[#This Row],[disposedChallan]]+TrafficData[[#This Row],[pendingChallan]]=TrafficData[[#This Row],[totalChallan]]</f>
        <v>1</v>
      </c>
      <c r="L313" t="b">
        <f>TrafficData[[#This Row],[pendingAmount]]+TrafficData[[#This Row],[disposedAmount]]=TrafficData[[#This Row],[totalAmount]]</f>
        <v>1</v>
      </c>
      <c r="M313" t="b">
        <f>TrafficData[[#This Row],[pendingCourt]]+TrafficData[[#This Row],[disposedCourt]]=TrafficData[[#This Row],[totalCourt]]</f>
        <v>1</v>
      </c>
      <c r="N313" t="b">
        <f>AND(TrafficData[[#This Row],[disposedChallan]]&lt;=TrafficData[[#This Row],[totalChallan]],TrafficData[[#This Row],[pendingChallan]]&lt;=TrafficData[[#This Row],[totalChallan]])</f>
        <v>1</v>
      </c>
      <c r="O313" t="b">
        <f>AND(TrafficData[[#This Row],[pendingAmount]]&lt;=TrafficData[[#This Row],[totalAmount]],TrafficData[[#This Row],[disposedAmount]]&lt;=TrafficData[[#This Row],[totalAmount]])</f>
        <v>1</v>
      </c>
      <c r="P313" t="b">
        <f>AND(TrafficData[[#This Row],[pendingCourt]]&lt;=TrafficData[[#This Row],[totalCourt]],TrafficData[[#This Row],[disposedCourt]]&lt;=TrafficData[[#This Row],[totalCourt]])</f>
        <v>1</v>
      </c>
    </row>
    <row r="314" spans="1:16">
      <c r="A314" s="1">
        <v>42317</v>
      </c>
      <c r="B314">
        <v>1229</v>
      </c>
      <c r="C314">
        <v>137</v>
      </c>
      <c r="D314">
        <v>1092</v>
      </c>
      <c r="E314">
        <v>1024400</v>
      </c>
      <c r="F314">
        <v>113860</v>
      </c>
      <c r="G314">
        <v>1138260</v>
      </c>
      <c r="H314">
        <v>1004</v>
      </c>
      <c r="I314">
        <v>31</v>
      </c>
      <c r="J314">
        <v>1035</v>
      </c>
      <c r="K314" t="b">
        <f>TrafficData[[#This Row],[disposedChallan]]+TrafficData[[#This Row],[pendingChallan]]=TrafficData[[#This Row],[totalChallan]]</f>
        <v>1</v>
      </c>
      <c r="L314" t="b">
        <f>TrafficData[[#This Row],[pendingAmount]]+TrafficData[[#This Row],[disposedAmount]]=TrafficData[[#This Row],[totalAmount]]</f>
        <v>1</v>
      </c>
      <c r="M314" t="b">
        <f>TrafficData[[#This Row],[pendingCourt]]+TrafficData[[#This Row],[disposedCourt]]=TrafficData[[#This Row],[totalCourt]]</f>
        <v>1</v>
      </c>
      <c r="N314" t="b">
        <f>AND(TrafficData[[#This Row],[disposedChallan]]&lt;=TrafficData[[#This Row],[totalChallan]],TrafficData[[#This Row],[pendingChallan]]&lt;=TrafficData[[#This Row],[totalChallan]])</f>
        <v>1</v>
      </c>
      <c r="O314" t="b">
        <f>AND(TrafficData[[#This Row],[pendingAmount]]&lt;=TrafficData[[#This Row],[totalAmount]],TrafficData[[#This Row],[disposedAmount]]&lt;=TrafficData[[#This Row],[totalAmount]])</f>
        <v>1</v>
      </c>
      <c r="P314" t="b">
        <f>AND(TrafficData[[#This Row],[pendingCourt]]&lt;=TrafficData[[#This Row],[totalCourt]],TrafficData[[#This Row],[disposedCourt]]&lt;=TrafficData[[#This Row],[totalCourt]])</f>
        <v>1</v>
      </c>
    </row>
    <row r="315" spans="1:16">
      <c r="A315" s="1">
        <v>42318</v>
      </c>
      <c r="B315">
        <v>857</v>
      </c>
      <c r="C315">
        <v>84</v>
      </c>
      <c r="D315">
        <v>773</v>
      </c>
      <c r="E315">
        <v>587800</v>
      </c>
      <c r="F315">
        <v>72800</v>
      </c>
      <c r="G315">
        <v>660600</v>
      </c>
      <c r="H315">
        <v>710</v>
      </c>
      <c r="I315">
        <v>17</v>
      </c>
      <c r="J315">
        <v>727</v>
      </c>
      <c r="K315" t="b">
        <f>TrafficData[[#This Row],[disposedChallan]]+TrafficData[[#This Row],[pendingChallan]]=TrafficData[[#This Row],[totalChallan]]</f>
        <v>1</v>
      </c>
      <c r="L315" t="b">
        <f>TrafficData[[#This Row],[pendingAmount]]+TrafficData[[#This Row],[disposedAmount]]=TrafficData[[#This Row],[totalAmount]]</f>
        <v>1</v>
      </c>
      <c r="M315" t="b">
        <f>TrafficData[[#This Row],[pendingCourt]]+TrafficData[[#This Row],[disposedCourt]]=TrafficData[[#This Row],[totalCourt]]</f>
        <v>1</v>
      </c>
      <c r="N315" t="b">
        <f>AND(TrafficData[[#This Row],[disposedChallan]]&lt;=TrafficData[[#This Row],[totalChallan]],TrafficData[[#This Row],[pendingChallan]]&lt;=TrafficData[[#This Row],[totalChallan]])</f>
        <v>1</v>
      </c>
      <c r="O315" t="b">
        <f>AND(TrafficData[[#This Row],[pendingAmount]]&lt;=TrafficData[[#This Row],[totalAmount]],TrafficData[[#This Row],[disposedAmount]]&lt;=TrafficData[[#This Row],[totalAmount]])</f>
        <v>1</v>
      </c>
      <c r="P315" t="b">
        <f>AND(TrafficData[[#This Row],[pendingCourt]]&lt;=TrafficData[[#This Row],[totalCourt]],TrafficData[[#This Row],[disposedCourt]]&lt;=TrafficData[[#This Row],[totalCourt]])</f>
        <v>1</v>
      </c>
    </row>
    <row r="316" spans="1:16">
      <c r="A316" s="1">
        <v>42319</v>
      </c>
      <c r="B316">
        <v>268</v>
      </c>
      <c r="C316">
        <v>29</v>
      </c>
      <c r="D316">
        <v>239</v>
      </c>
      <c r="E316">
        <v>101825</v>
      </c>
      <c r="F316">
        <v>35950</v>
      </c>
      <c r="G316">
        <v>137775</v>
      </c>
      <c r="H316">
        <v>196</v>
      </c>
      <c r="I316">
        <v>10</v>
      </c>
      <c r="J316">
        <v>206</v>
      </c>
      <c r="K316" t="b">
        <f>TrafficData[[#This Row],[disposedChallan]]+TrafficData[[#This Row],[pendingChallan]]=TrafficData[[#This Row],[totalChallan]]</f>
        <v>1</v>
      </c>
      <c r="L316" t="b">
        <f>TrafficData[[#This Row],[pendingAmount]]+TrafficData[[#This Row],[disposedAmount]]=TrafficData[[#This Row],[totalAmount]]</f>
        <v>1</v>
      </c>
      <c r="M316" t="b">
        <f>TrafficData[[#This Row],[pendingCourt]]+TrafficData[[#This Row],[disposedCourt]]=TrafficData[[#This Row],[totalCourt]]</f>
        <v>1</v>
      </c>
      <c r="N316" t="b">
        <f>AND(TrafficData[[#This Row],[disposedChallan]]&lt;=TrafficData[[#This Row],[totalChallan]],TrafficData[[#This Row],[pendingChallan]]&lt;=TrafficData[[#This Row],[totalChallan]])</f>
        <v>1</v>
      </c>
      <c r="O316" t="b">
        <f>AND(TrafficData[[#This Row],[pendingAmount]]&lt;=TrafficData[[#This Row],[totalAmount]],TrafficData[[#This Row],[disposedAmount]]&lt;=TrafficData[[#This Row],[totalAmount]])</f>
        <v>1</v>
      </c>
      <c r="P316" t="b">
        <f>AND(TrafficData[[#This Row],[pendingCourt]]&lt;=TrafficData[[#This Row],[totalCourt]],TrafficData[[#This Row],[disposedCourt]]&lt;=TrafficData[[#This Row],[totalCourt]])</f>
        <v>1</v>
      </c>
    </row>
    <row r="317" spans="1:16">
      <c r="A317" s="1">
        <v>42320</v>
      </c>
      <c r="B317">
        <v>557</v>
      </c>
      <c r="C317">
        <v>48</v>
      </c>
      <c r="D317">
        <v>509</v>
      </c>
      <c r="E317">
        <v>196900</v>
      </c>
      <c r="F317">
        <v>38750</v>
      </c>
      <c r="G317">
        <v>235650</v>
      </c>
      <c r="H317">
        <v>474</v>
      </c>
      <c r="I317">
        <v>14</v>
      </c>
      <c r="J317">
        <v>488</v>
      </c>
      <c r="K317" t="b">
        <f>TrafficData[[#This Row],[disposedChallan]]+TrafficData[[#This Row],[pendingChallan]]=TrafficData[[#This Row],[totalChallan]]</f>
        <v>1</v>
      </c>
      <c r="L317" t="b">
        <f>TrafficData[[#This Row],[pendingAmount]]+TrafficData[[#This Row],[disposedAmount]]=TrafficData[[#This Row],[totalAmount]]</f>
        <v>1</v>
      </c>
      <c r="M317" t="b">
        <f>TrafficData[[#This Row],[pendingCourt]]+TrafficData[[#This Row],[disposedCourt]]=TrafficData[[#This Row],[totalCourt]]</f>
        <v>1</v>
      </c>
      <c r="N317" t="b">
        <f>AND(TrafficData[[#This Row],[disposedChallan]]&lt;=TrafficData[[#This Row],[totalChallan]],TrafficData[[#This Row],[pendingChallan]]&lt;=TrafficData[[#This Row],[totalChallan]])</f>
        <v>1</v>
      </c>
      <c r="O317" t="b">
        <f>AND(TrafficData[[#This Row],[pendingAmount]]&lt;=TrafficData[[#This Row],[totalAmount]],TrafficData[[#This Row],[disposedAmount]]&lt;=TrafficData[[#This Row],[totalAmount]])</f>
        <v>1</v>
      </c>
      <c r="P317" t="b">
        <f>AND(TrafficData[[#This Row],[pendingCourt]]&lt;=TrafficData[[#This Row],[totalCourt]],TrafficData[[#This Row],[disposedCourt]]&lt;=TrafficData[[#This Row],[totalCourt]])</f>
        <v>1</v>
      </c>
    </row>
    <row r="318" spans="1:16">
      <c r="A318" s="1">
        <v>42321</v>
      </c>
      <c r="B318">
        <v>440</v>
      </c>
      <c r="C318">
        <v>48</v>
      </c>
      <c r="D318">
        <v>392</v>
      </c>
      <c r="E318">
        <v>176150</v>
      </c>
      <c r="F318">
        <v>19000</v>
      </c>
      <c r="G318">
        <v>195150</v>
      </c>
      <c r="H318">
        <v>358</v>
      </c>
      <c r="I318">
        <v>28</v>
      </c>
      <c r="J318">
        <v>386</v>
      </c>
      <c r="K318" t="b">
        <f>TrafficData[[#This Row],[disposedChallan]]+TrafficData[[#This Row],[pendingChallan]]=TrafficData[[#This Row],[totalChallan]]</f>
        <v>1</v>
      </c>
      <c r="L318" t="b">
        <f>TrafficData[[#This Row],[pendingAmount]]+TrafficData[[#This Row],[disposedAmount]]=TrafficData[[#This Row],[totalAmount]]</f>
        <v>1</v>
      </c>
      <c r="M318" t="b">
        <f>TrafficData[[#This Row],[pendingCourt]]+TrafficData[[#This Row],[disposedCourt]]=TrafficData[[#This Row],[totalCourt]]</f>
        <v>1</v>
      </c>
      <c r="N318" t="b">
        <f>AND(TrafficData[[#This Row],[disposedChallan]]&lt;=TrafficData[[#This Row],[totalChallan]],TrafficData[[#This Row],[pendingChallan]]&lt;=TrafficData[[#This Row],[totalChallan]])</f>
        <v>1</v>
      </c>
      <c r="O318" t="b">
        <f>AND(TrafficData[[#This Row],[pendingAmount]]&lt;=TrafficData[[#This Row],[totalAmount]],TrafficData[[#This Row],[disposedAmount]]&lt;=TrafficData[[#This Row],[totalAmount]])</f>
        <v>1</v>
      </c>
      <c r="P318" t="b">
        <f>AND(TrafficData[[#This Row],[pendingCourt]]&lt;=TrafficData[[#This Row],[totalCourt]],TrafficData[[#This Row],[disposedCourt]]&lt;=TrafficData[[#This Row],[totalCourt]])</f>
        <v>1</v>
      </c>
    </row>
    <row r="319" spans="1:16">
      <c r="A319" s="1">
        <v>42322</v>
      </c>
      <c r="B319">
        <v>193</v>
      </c>
      <c r="C319">
        <v>21</v>
      </c>
      <c r="D319">
        <v>172</v>
      </c>
      <c r="E319">
        <v>201948</v>
      </c>
      <c r="F319">
        <v>18870</v>
      </c>
      <c r="G319">
        <v>220818</v>
      </c>
      <c r="H319">
        <v>131</v>
      </c>
      <c r="I319">
        <v>7</v>
      </c>
      <c r="J319">
        <v>138</v>
      </c>
      <c r="K319" t="b">
        <f>TrafficData[[#This Row],[disposedChallan]]+TrafficData[[#This Row],[pendingChallan]]=TrafficData[[#This Row],[totalChallan]]</f>
        <v>1</v>
      </c>
      <c r="L319" t="b">
        <f>TrafficData[[#This Row],[pendingAmount]]+TrafficData[[#This Row],[disposedAmount]]=TrafficData[[#This Row],[totalAmount]]</f>
        <v>1</v>
      </c>
      <c r="M319" t="b">
        <f>TrafficData[[#This Row],[pendingCourt]]+TrafficData[[#This Row],[disposedCourt]]=TrafficData[[#This Row],[totalCourt]]</f>
        <v>1</v>
      </c>
      <c r="N319" t="b">
        <f>AND(TrafficData[[#This Row],[disposedChallan]]&lt;=TrafficData[[#This Row],[totalChallan]],TrafficData[[#This Row],[pendingChallan]]&lt;=TrafficData[[#This Row],[totalChallan]])</f>
        <v>1</v>
      </c>
      <c r="O319" t="b">
        <f>AND(TrafficData[[#This Row],[pendingAmount]]&lt;=TrafficData[[#This Row],[totalAmount]],TrafficData[[#This Row],[disposedAmount]]&lt;=TrafficData[[#This Row],[totalAmount]])</f>
        <v>1</v>
      </c>
      <c r="P319" t="b">
        <f>AND(TrafficData[[#This Row],[pendingCourt]]&lt;=TrafficData[[#This Row],[totalCourt]],TrafficData[[#This Row],[disposedCourt]]&lt;=TrafficData[[#This Row],[totalCourt]])</f>
        <v>1</v>
      </c>
    </row>
    <row r="320" spans="1:16">
      <c r="A320" s="1">
        <v>42323</v>
      </c>
      <c r="B320">
        <v>497</v>
      </c>
      <c r="C320">
        <v>57</v>
      </c>
      <c r="D320">
        <v>440</v>
      </c>
      <c r="E320">
        <v>381525</v>
      </c>
      <c r="F320">
        <v>94600</v>
      </c>
      <c r="G320">
        <v>476125</v>
      </c>
      <c r="H320">
        <v>373</v>
      </c>
      <c r="I320">
        <v>25</v>
      </c>
      <c r="J320">
        <v>398</v>
      </c>
      <c r="K320" t="b">
        <f>TrafficData[[#This Row],[disposedChallan]]+TrafficData[[#This Row],[pendingChallan]]=TrafficData[[#This Row],[totalChallan]]</f>
        <v>1</v>
      </c>
      <c r="L320" t="b">
        <f>TrafficData[[#This Row],[pendingAmount]]+TrafficData[[#This Row],[disposedAmount]]=TrafficData[[#This Row],[totalAmount]]</f>
        <v>1</v>
      </c>
      <c r="M320" t="b">
        <f>TrafficData[[#This Row],[pendingCourt]]+TrafficData[[#This Row],[disposedCourt]]=TrafficData[[#This Row],[totalCourt]]</f>
        <v>1</v>
      </c>
      <c r="N320" t="b">
        <f>AND(TrafficData[[#This Row],[disposedChallan]]&lt;=TrafficData[[#This Row],[totalChallan]],TrafficData[[#This Row],[pendingChallan]]&lt;=TrafficData[[#This Row],[totalChallan]])</f>
        <v>1</v>
      </c>
      <c r="O320" t="b">
        <f>AND(TrafficData[[#This Row],[pendingAmount]]&lt;=TrafficData[[#This Row],[totalAmount]],TrafficData[[#This Row],[disposedAmount]]&lt;=TrafficData[[#This Row],[totalAmount]])</f>
        <v>1</v>
      </c>
      <c r="P320" t="b">
        <f>AND(TrafficData[[#This Row],[pendingCourt]]&lt;=TrafficData[[#This Row],[totalCourt]],TrafficData[[#This Row],[disposedCourt]]&lt;=TrafficData[[#This Row],[totalCourt]])</f>
        <v>1</v>
      </c>
    </row>
    <row r="321" spans="1:16">
      <c r="A321" s="1">
        <v>42324</v>
      </c>
      <c r="B321">
        <v>812</v>
      </c>
      <c r="C321">
        <v>69</v>
      </c>
      <c r="D321">
        <v>743</v>
      </c>
      <c r="E321">
        <v>565449</v>
      </c>
      <c r="F321">
        <v>50370</v>
      </c>
      <c r="G321">
        <v>615819</v>
      </c>
      <c r="H321">
        <v>686</v>
      </c>
      <c r="I321">
        <v>17</v>
      </c>
      <c r="J321">
        <v>703</v>
      </c>
      <c r="K321" t="b">
        <f>TrafficData[[#This Row],[disposedChallan]]+TrafficData[[#This Row],[pendingChallan]]=TrafficData[[#This Row],[totalChallan]]</f>
        <v>1</v>
      </c>
      <c r="L321" t="b">
        <f>TrafficData[[#This Row],[pendingAmount]]+TrafficData[[#This Row],[disposedAmount]]=TrafficData[[#This Row],[totalAmount]]</f>
        <v>1</v>
      </c>
      <c r="M321" t="b">
        <f>TrafficData[[#This Row],[pendingCourt]]+TrafficData[[#This Row],[disposedCourt]]=TrafficData[[#This Row],[totalCourt]]</f>
        <v>1</v>
      </c>
      <c r="N321" t="b">
        <f>AND(TrafficData[[#This Row],[disposedChallan]]&lt;=TrafficData[[#This Row],[totalChallan]],TrafficData[[#This Row],[pendingChallan]]&lt;=TrafficData[[#This Row],[totalChallan]])</f>
        <v>1</v>
      </c>
      <c r="O321" t="b">
        <f>AND(TrafficData[[#This Row],[pendingAmount]]&lt;=TrafficData[[#This Row],[totalAmount]],TrafficData[[#This Row],[disposedAmount]]&lt;=TrafficData[[#This Row],[totalAmount]])</f>
        <v>1</v>
      </c>
      <c r="P321" t="b">
        <f>AND(TrafficData[[#This Row],[pendingCourt]]&lt;=TrafficData[[#This Row],[totalCourt]],TrafficData[[#This Row],[disposedCourt]]&lt;=TrafficData[[#This Row],[totalCourt]])</f>
        <v>1</v>
      </c>
    </row>
    <row r="322" spans="1:16">
      <c r="A322" s="1">
        <v>42325</v>
      </c>
      <c r="B322">
        <v>814</v>
      </c>
      <c r="C322">
        <v>72</v>
      </c>
      <c r="D322">
        <v>742</v>
      </c>
      <c r="E322">
        <v>532800</v>
      </c>
      <c r="F322">
        <v>62857</v>
      </c>
      <c r="G322">
        <v>595657</v>
      </c>
      <c r="H322">
        <v>658</v>
      </c>
      <c r="I322">
        <v>32</v>
      </c>
      <c r="J322">
        <v>690</v>
      </c>
      <c r="K322" t="b">
        <f>TrafficData[[#This Row],[disposedChallan]]+TrafficData[[#This Row],[pendingChallan]]=TrafficData[[#This Row],[totalChallan]]</f>
        <v>1</v>
      </c>
      <c r="L322" t="b">
        <f>TrafficData[[#This Row],[pendingAmount]]+TrafficData[[#This Row],[disposedAmount]]=TrafficData[[#This Row],[totalAmount]]</f>
        <v>1</v>
      </c>
      <c r="M322" t="b">
        <f>TrafficData[[#This Row],[pendingCourt]]+TrafficData[[#This Row],[disposedCourt]]=TrafficData[[#This Row],[totalCourt]]</f>
        <v>1</v>
      </c>
      <c r="N322" t="b">
        <f>AND(TrafficData[[#This Row],[disposedChallan]]&lt;=TrafficData[[#This Row],[totalChallan]],TrafficData[[#This Row],[pendingChallan]]&lt;=TrafficData[[#This Row],[totalChallan]])</f>
        <v>1</v>
      </c>
      <c r="O322" t="b">
        <f>AND(TrafficData[[#This Row],[pendingAmount]]&lt;=TrafficData[[#This Row],[totalAmount]],TrafficData[[#This Row],[disposedAmount]]&lt;=TrafficData[[#This Row],[totalAmount]])</f>
        <v>1</v>
      </c>
      <c r="P322" t="b">
        <f>AND(TrafficData[[#This Row],[pendingCourt]]&lt;=TrafficData[[#This Row],[totalCourt]],TrafficData[[#This Row],[disposedCourt]]&lt;=TrafficData[[#This Row],[totalCourt]])</f>
        <v>1</v>
      </c>
    </row>
    <row r="323" spans="1:16">
      <c r="A323" s="1">
        <v>42326</v>
      </c>
      <c r="B323">
        <v>552</v>
      </c>
      <c r="C323">
        <v>47</v>
      </c>
      <c r="D323">
        <v>505</v>
      </c>
      <c r="E323">
        <v>586613</v>
      </c>
      <c r="F323">
        <v>45480</v>
      </c>
      <c r="G323">
        <v>632093</v>
      </c>
      <c r="H323">
        <v>444</v>
      </c>
      <c r="I323">
        <v>3</v>
      </c>
      <c r="J323">
        <v>447</v>
      </c>
      <c r="K323" t="b">
        <f>TrafficData[[#This Row],[disposedChallan]]+TrafficData[[#This Row],[pendingChallan]]=TrafficData[[#This Row],[totalChallan]]</f>
        <v>1</v>
      </c>
      <c r="L323" t="b">
        <f>TrafficData[[#This Row],[pendingAmount]]+TrafficData[[#This Row],[disposedAmount]]=TrafficData[[#This Row],[totalAmount]]</f>
        <v>1</v>
      </c>
      <c r="M323" t="b">
        <f>TrafficData[[#This Row],[pendingCourt]]+TrafficData[[#This Row],[disposedCourt]]=TrafficData[[#This Row],[totalCourt]]</f>
        <v>1</v>
      </c>
      <c r="N323" t="b">
        <f>AND(TrafficData[[#This Row],[disposedChallan]]&lt;=TrafficData[[#This Row],[totalChallan]],TrafficData[[#This Row],[pendingChallan]]&lt;=TrafficData[[#This Row],[totalChallan]])</f>
        <v>1</v>
      </c>
      <c r="O323" t="b">
        <f>AND(TrafficData[[#This Row],[pendingAmount]]&lt;=TrafficData[[#This Row],[totalAmount]],TrafficData[[#This Row],[disposedAmount]]&lt;=TrafficData[[#This Row],[totalAmount]])</f>
        <v>1</v>
      </c>
      <c r="P323" t="b">
        <f>AND(TrafficData[[#This Row],[pendingCourt]]&lt;=TrafficData[[#This Row],[totalCourt]],TrafficData[[#This Row],[disposedCourt]]&lt;=TrafficData[[#This Row],[totalCourt]])</f>
        <v>1</v>
      </c>
    </row>
    <row r="324" spans="1:16">
      <c r="A324" s="1">
        <v>42327</v>
      </c>
      <c r="B324">
        <v>771</v>
      </c>
      <c r="C324">
        <v>85</v>
      </c>
      <c r="D324">
        <v>686</v>
      </c>
      <c r="E324">
        <v>694725</v>
      </c>
      <c r="F324">
        <v>202860</v>
      </c>
      <c r="G324">
        <v>897585</v>
      </c>
      <c r="H324">
        <v>608</v>
      </c>
      <c r="I324">
        <v>17</v>
      </c>
      <c r="J324">
        <v>625</v>
      </c>
      <c r="K324" t="b">
        <f>TrafficData[[#This Row],[disposedChallan]]+TrafficData[[#This Row],[pendingChallan]]=TrafficData[[#This Row],[totalChallan]]</f>
        <v>1</v>
      </c>
      <c r="L324" t="b">
        <f>TrafficData[[#This Row],[pendingAmount]]+TrafficData[[#This Row],[disposedAmount]]=TrafficData[[#This Row],[totalAmount]]</f>
        <v>1</v>
      </c>
      <c r="M324" t="b">
        <f>TrafficData[[#This Row],[pendingCourt]]+TrafficData[[#This Row],[disposedCourt]]=TrafficData[[#This Row],[totalCourt]]</f>
        <v>1</v>
      </c>
      <c r="N324" t="b">
        <f>AND(TrafficData[[#This Row],[disposedChallan]]&lt;=TrafficData[[#This Row],[totalChallan]],TrafficData[[#This Row],[pendingChallan]]&lt;=TrafficData[[#This Row],[totalChallan]])</f>
        <v>1</v>
      </c>
      <c r="O324" t="b">
        <f>AND(TrafficData[[#This Row],[pendingAmount]]&lt;=TrafficData[[#This Row],[totalAmount]],TrafficData[[#This Row],[disposedAmount]]&lt;=TrafficData[[#This Row],[totalAmount]])</f>
        <v>1</v>
      </c>
      <c r="P324" t="b">
        <f>AND(TrafficData[[#This Row],[pendingCourt]]&lt;=TrafficData[[#This Row],[totalCourt]],TrafficData[[#This Row],[disposedCourt]]&lt;=TrafficData[[#This Row],[totalCourt]])</f>
        <v>1</v>
      </c>
    </row>
    <row r="325" spans="1:16">
      <c r="A325" s="1">
        <v>42328</v>
      </c>
      <c r="B325">
        <v>667</v>
      </c>
      <c r="C325">
        <v>74</v>
      </c>
      <c r="D325">
        <v>593</v>
      </c>
      <c r="E325">
        <v>406050</v>
      </c>
      <c r="F325">
        <v>125589</v>
      </c>
      <c r="G325">
        <v>531639</v>
      </c>
      <c r="H325">
        <v>528</v>
      </c>
      <c r="I325">
        <v>35</v>
      </c>
      <c r="J325">
        <v>563</v>
      </c>
      <c r="K325" t="b">
        <f>TrafficData[[#This Row],[disposedChallan]]+TrafficData[[#This Row],[pendingChallan]]=TrafficData[[#This Row],[totalChallan]]</f>
        <v>1</v>
      </c>
      <c r="L325" t="b">
        <f>TrafficData[[#This Row],[pendingAmount]]+TrafficData[[#This Row],[disposedAmount]]=TrafficData[[#This Row],[totalAmount]]</f>
        <v>1</v>
      </c>
      <c r="M325" t="b">
        <f>TrafficData[[#This Row],[pendingCourt]]+TrafficData[[#This Row],[disposedCourt]]=TrafficData[[#This Row],[totalCourt]]</f>
        <v>1</v>
      </c>
      <c r="N325" t="b">
        <f>AND(TrafficData[[#This Row],[disposedChallan]]&lt;=TrafficData[[#This Row],[totalChallan]],TrafficData[[#This Row],[pendingChallan]]&lt;=TrafficData[[#This Row],[totalChallan]])</f>
        <v>1</v>
      </c>
      <c r="O325" t="b">
        <f>AND(TrafficData[[#This Row],[pendingAmount]]&lt;=TrafficData[[#This Row],[totalAmount]],TrafficData[[#This Row],[disposedAmount]]&lt;=TrafficData[[#This Row],[totalAmount]])</f>
        <v>1</v>
      </c>
      <c r="P325" t="b">
        <f>AND(TrafficData[[#This Row],[pendingCourt]]&lt;=TrafficData[[#This Row],[totalCourt]],TrafficData[[#This Row],[disposedCourt]]&lt;=TrafficData[[#This Row],[totalCourt]])</f>
        <v>1</v>
      </c>
    </row>
    <row r="326" spans="1:16">
      <c r="A326" s="1">
        <v>42329</v>
      </c>
      <c r="B326">
        <v>642</v>
      </c>
      <c r="C326">
        <v>74</v>
      </c>
      <c r="D326">
        <v>568</v>
      </c>
      <c r="E326">
        <v>322850</v>
      </c>
      <c r="F326">
        <v>42801</v>
      </c>
      <c r="G326">
        <v>365651</v>
      </c>
      <c r="H326">
        <v>507</v>
      </c>
      <c r="I326">
        <v>45</v>
      </c>
      <c r="J326">
        <v>552</v>
      </c>
      <c r="K326" t="b">
        <f>TrafficData[[#This Row],[disposedChallan]]+TrafficData[[#This Row],[pendingChallan]]=TrafficData[[#This Row],[totalChallan]]</f>
        <v>1</v>
      </c>
      <c r="L326" t="b">
        <f>TrafficData[[#This Row],[pendingAmount]]+TrafficData[[#This Row],[disposedAmount]]=TrafficData[[#This Row],[totalAmount]]</f>
        <v>1</v>
      </c>
      <c r="M326" t="b">
        <f>TrafficData[[#This Row],[pendingCourt]]+TrafficData[[#This Row],[disposedCourt]]=TrafficData[[#This Row],[totalCourt]]</f>
        <v>1</v>
      </c>
      <c r="N326" t="b">
        <f>AND(TrafficData[[#This Row],[disposedChallan]]&lt;=TrafficData[[#This Row],[totalChallan]],TrafficData[[#This Row],[pendingChallan]]&lt;=TrafficData[[#This Row],[totalChallan]])</f>
        <v>1</v>
      </c>
      <c r="O326" t="b">
        <f>AND(TrafficData[[#This Row],[pendingAmount]]&lt;=TrafficData[[#This Row],[totalAmount]],TrafficData[[#This Row],[disposedAmount]]&lt;=TrafficData[[#This Row],[totalAmount]])</f>
        <v>1</v>
      </c>
      <c r="P326" t="b">
        <f>AND(TrafficData[[#This Row],[pendingCourt]]&lt;=TrafficData[[#This Row],[totalCourt]],TrafficData[[#This Row],[disposedCourt]]&lt;=TrafficData[[#This Row],[totalCourt]])</f>
        <v>1</v>
      </c>
    </row>
    <row r="327" spans="1:16">
      <c r="A327" s="1">
        <v>42330</v>
      </c>
      <c r="B327">
        <v>498</v>
      </c>
      <c r="C327">
        <v>49</v>
      </c>
      <c r="D327">
        <v>449</v>
      </c>
      <c r="E327">
        <v>276900</v>
      </c>
      <c r="F327">
        <v>133054</v>
      </c>
      <c r="G327">
        <v>409954</v>
      </c>
      <c r="H327">
        <v>400</v>
      </c>
      <c r="I327">
        <v>7</v>
      </c>
      <c r="J327">
        <v>407</v>
      </c>
      <c r="K327" t="b">
        <f>TrafficData[[#This Row],[disposedChallan]]+TrafficData[[#This Row],[pendingChallan]]=TrafficData[[#This Row],[totalChallan]]</f>
        <v>1</v>
      </c>
      <c r="L327" t="b">
        <f>TrafficData[[#This Row],[pendingAmount]]+TrafficData[[#This Row],[disposedAmount]]=TrafficData[[#This Row],[totalAmount]]</f>
        <v>1</v>
      </c>
      <c r="M327" t="b">
        <f>TrafficData[[#This Row],[pendingCourt]]+TrafficData[[#This Row],[disposedCourt]]=TrafficData[[#This Row],[totalCourt]]</f>
        <v>1</v>
      </c>
      <c r="N327" t="b">
        <f>AND(TrafficData[[#This Row],[disposedChallan]]&lt;=TrafficData[[#This Row],[totalChallan]],TrafficData[[#This Row],[pendingChallan]]&lt;=TrafficData[[#This Row],[totalChallan]])</f>
        <v>1</v>
      </c>
      <c r="O327" t="b">
        <f>AND(TrafficData[[#This Row],[pendingAmount]]&lt;=TrafficData[[#This Row],[totalAmount]],TrafficData[[#This Row],[disposedAmount]]&lt;=TrafficData[[#This Row],[totalAmount]])</f>
        <v>1</v>
      </c>
      <c r="P327" t="b">
        <f>AND(TrafficData[[#This Row],[pendingCourt]]&lt;=TrafficData[[#This Row],[totalCourt]],TrafficData[[#This Row],[disposedCourt]]&lt;=TrafficData[[#This Row],[totalCourt]])</f>
        <v>1</v>
      </c>
    </row>
    <row r="328" spans="1:16">
      <c r="A328" s="1">
        <v>42331</v>
      </c>
      <c r="B328">
        <v>898</v>
      </c>
      <c r="C328">
        <v>76</v>
      </c>
      <c r="D328">
        <v>822</v>
      </c>
      <c r="E328">
        <v>430725</v>
      </c>
      <c r="F328">
        <v>65878</v>
      </c>
      <c r="G328">
        <v>496603</v>
      </c>
      <c r="H328">
        <v>766</v>
      </c>
      <c r="I328">
        <v>44</v>
      </c>
      <c r="J328">
        <v>810</v>
      </c>
      <c r="K328" t="b">
        <f>TrafficData[[#This Row],[disposedChallan]]+TrafficData[[#This Row],[pendingChallan]]=TrafficData[[#This Row],[totalChallan]]</f>
        <v>1</v>
      </c>
      <c r="L328" t="b">
        <f>TrafficData[[#This Row],[pendingAmount]]+TrafficData[[#This Row],[disposedAmount]]=TrafficData[[#This Row],[totalAmount]]</f>
        <v>1</v>
      </c>
      <c r="M328" t="b">
        <f>TrafficData[[#This Row],[pendingCourt]]+TrafficData[[#This Row],[disposedCourt]]=TrafficData[[#This Row],[totalCourt]]</f>
        <v>1</v>
      </c>
      <c r="N328" t="b">
        <f>AND(TrafficData[[#This Row],[disposedChallan]]&lt;=TrafficData[[#This Row],[totalChallan]],TrafficData[[#This Row],[pendingChallan]]&lt;=TrafficData[[#This Row],[totalChallan]])</f>
        <v>1</v>
      </c>
      <c r="O328" t="b">
        <f>AND(TrafficData[[#This Row],[pendingAmount]]&lt;=TrafficData[[#This Row],[totalAmount]],TrafficData[[#This Row],[disposedAmount]]&lt;=TrafficData[[#This Row],[totalAmount]])</f>
        <v>1</v>
      </c>
      <c r="P328" t="b">
        <f>AND(TrafficData[[#This Row],[pendingCourt]]&lt;=TrafficData[[#This Row],[totalCourt]],TrafficData[[#This Row],[disposedCourt]]&lt;=TrafficData[[#This Row],[totalCourt]])</f>
        <v>1</v>
      </c>
    </row>
    <row r="329" spans="1:16">
      <c r="A329" s="1">
        <v>42332</v>
      </c>
      <c r="B329">
        <v>626</v>
      </c>
      <c r="C329">
        <v>63</v>
      </c>
      <c r="D329">
        <v>563</v>
      </c>
      <c r="E329">
        <v>416100</v>
      </c>
      <c r="F329">
        <v>107290</v>
      </c>
      <c r="G329">
        <v>523390</v>
      </c>
      <c r="H329">
        <v>508</v>
      </c>
      <c r="I329">
        <v>12</v>
      </c>
      <c r="J329">
        <v>520</v>
      </c>
      <c r="K329" t="b">
        <f>TrafficData[[#This Row],[disposedChallan]]+TrafficData[[#This Row],[pendingChallan]]=TrafficData[[#This Row],[totalChallan]]</f>
        <v>1</v>
      </c>
      <c r="L329" t="b">
        <f>TrafficData[[#This Row],[pendingAmount]]+TrafficData[[#This Row],[disposedAmount]]=TrafficData[[#This Row],[totalAmount]]</f>
        <v>1</v>
      </c>
      <c r="M329" t="b">
        <f>TrafficData[[#This Row],[pendingCourt]]+TrafficData[[#This Row],[disposedCourt]]=TrafficData[[#This Row],[totalCourt]]</f>
        <v>1</v>
      </c>
      <c r="N329" t="b">
        <f>AND(TrafficData[[#This Row],[disposedChallan]]&lt;=TrafficData[[#This Row],[totalChallan]],TrafficData[[#This Row],[pendingChallan]]&lt;=TrafficData[[#This Row],[totalChallan]])</f>
        <v>1</v>
      </c>
      <c r="O329" t="b">
        <f>AND(TrafficData[[#This Row],[pendingAmount]]&lt;=TrafficData[[#This Row],[totalAmount]],TrafficData[[#This Row],[disposedAmount]]&lt;=TrafficData[[#This Row],[totalAmount]])</f>
        <v>1</v>
      </c>
      <c r="P329" t="b">
        <f>AND(TrafficData[[#This Row],[pendingCourt]]&lt;=TrafficData[[#This Row],[totalCourt]],TrafficData[[#This Row],[disposedCourt]]&lt;=TrafficData[[#This Row],[totalCourt]])</f>
        <v>1</v>
      </c>
    </row>
    <row r="330" spans="1:16">
      <c r="A330" s="1">
        <v>42333</v>
      </c>
      <c r="B330">
        <v>607</v>
      </c>
      <c r="C330">
        <v>46</v>
      </c>
      <c r="D330">
        <v>561</v>
      </c>
      <c r="E330">
        <v>419970</v>
      </c>
      <c r="F330">
        <v>79230</v>
      </c>
      <c r="G330">
        <v>499200</v>
      </c>
      <c r="H330">
        <v>515</v>
      </c>
      <c r="I330">
        <v>11</v>
      </c>
      <c r="J330">
        <v>526</v>
      </c>
      <c r="K330" t="b">
        <f>TrafficData[[#This Row],[disposedChallan]]+TrafficData[[#This Row],[pendingChallan]]=TrafficData[[#This Row],[totalChallan]]</f>
        <v>1</v>
      </c>
      <c r="L330" t="b">
        <f>TrafficData[[#This Row],[pendingAmount]]+TrafficData[[#This Row],[disposedAmount]]=TrafficData[[#This Row],[totalAmount]]</f>
        <v>1</v>
      </c>
      <c r="M330" t="b">
        <f>TrafficData[[#This Row],[pendingCourt]]+TrafficData[[#This Row],[disposedCourt]]=TrafficData[[#This Row],[totalCourt]]</f>
        <v>1</v>
      </c>
      <c r="N330" t="b">
        <f>AND(TrafficData[[#This Row],[disposedChallan]]&lt;=TrafficData[[#This Row],[totalChallan]],TrafficData[[#This Row],[pendingChallan]]&lt;=TrafficData[[#This Row],[totalChallan]])</f>
        <v>1</v>
      </c>
      <c r="O330" t="b">
        <f>AND(TrafficData[[#This Row],[pendingAmount]]&lt;=TrafficData[[#This Row],[totalAmount]],TrafficData[[#This Row],[disposedAmount]]&lt;=TrafficData[[#This Row],[totalAmount]])</f>
        <v>1</v>
      </c>
      <c r="P330" t="b">
        <f>AND(TrafficData[[#This Row],[pendingCourt]]&lt;=TrafficData[[#This Row],[totalCourt]],TrafficData[[#This Row],[disposedCourt]]&lt;=TrafficData[[#This Row],[totalCourt]])</f>
        <v>1</v>
      </c>
    </row>
    <row r="331" spans="1:16">
      <c r="A331" s="1">
        <v>42334</v>
      </c>
      <c r="B331">
        <v>775</v>
      </c>
      <c r="C331">
        <v>87</v>
      </c>
      <c r="D331">
        <v>688</v>
      </c>
      <c r="E331">
        <v>565747</v>
      </c>
      <c r="F331">
        <v>76850</v>
      </c>
      <c r="G331">
        <v>642597</v>
      </c>
      <c r="H331">
        <v>599</v>
      </c>
      <c r="I331">
        <v>44</v>
      </c>
      <c r="J331">
        <v>643</v>
      </c>
      <c r="K331" t="b">
        <f>TrafficData[[#This Row],[disposedChallan]]+TrafficData[[#This Row],[pendingChallan]]=TrafficData[[#This Row],[totalChallan]]</f>
        <v>1</v>
      </c>
      <c r="L331" t="b">
        <f>TrafficData[[#This Row],[pendingAmount]]+TrafficData[[#This Row],[disposedAmount]]=TrafficData[[#This Row],[totalAmount]]</f>
        <v>1</v>
      </c>
      <c r="M331" t="b">
        <f>TrafficData[[#This Row],[pendingCourt]]+TrafficData[[#This Row],[disposedCourt]]=TrafficData[[#This Row],[totalCourt]]</f>
        <v>1</v>
      </c>
      <c r="N331" t="b">
        <f>AND(TrafficData[[#This Row],[disposedChallan]]&lt;=TrafficData[[#This Row],[totalChallan]],TrafficData[[#This Row],[pendingChallan]]&lt;=TrafficData[[#This Row],[totalChallan]])</f>
        <v>1</v>
      </c>
      <c r="O331" t="b">
        <f>AND(TrafficData[[#This Row],[pendingAmount]]&lt;=TrafficData[[#This Row],[totalAmount]],TrafficData[[#This Row],[disposedAmount]]&lt;=TrafficData[[#This Row],[totalAmount]])</f>
        <v>1</v>
      </c>
      <c r="P331" t="b">
        <f>AND(TrafficData[[#This Row],[pendingCourt]]&lt;=TrafficData[[#This Row],[totalCourt]],TrafficData[[#This Row],[disposedCourt]]&lt;=TrafficData[[#This Row],[totalCourt]])</f>
        <v>1</v>
      </c>
    </row>
    <row r="332" spans="1:16">
      <c r="A332" s="1">
        <v>42335</v>
      </c>
      <c r="B332">
        <v>627</v>
      </c>
      <c r="C332">
        <v>71</v>
      </c>
      <c r="D332">
        <v>556</v>
      </c>
      <c r="E332">
        <v>528600</v>
      </c>
      <c r="F332">
        <v>50136</v>
      </c>
      <c r="G332">
        <v>578736</v>
      </c>
      <c r="H332">
        <v>492</v>
      </c>
      <c r="I332">
        <v>37</v>
      </c>
      <c r="J332">
        <v>529</v>
      </c>
      <c r="K332" t="b">
        <f>TrafficData[[#This Row],[disposedChallan]]+TrafficData[[#This Row],[pendingChallan]]=TrafficData[[#This Row],[totalChallan]]</f>
        <v>1</v>
      </c>
      <c r="L332" t="b">
        <f>TrafficData[[#This Row],[pendingAmount]]+TrafficData[[#This Row],[disposedAmount]]=TrafficData[[#This Row],[totalAmount]]</f>
        <v>1</v>
      </c>
      <c r="M332" t="b">
        <f>TrafficData[[#This Row],[pendingCourt]]+TrafficData[[#This Row],[disposedCourt]]=TrafficData[[#This Row],[totalCourt]]</f>
        <v>1</v>
      </c>
      <c r="N332" t="b">
        <f>AND(TrafficData[[#This Row],[disposedChallan]]&lt;=TrafficData[[#This Row],[totalChallan]],TrafficData[[#This Row],[pendingChallan]]&lt;=TrafficData[[#This Row],[totalChallan]])</f>
        <v>1</v>
      </c>
      <c r="O332" t="b">
        <f>AND(TrafficData[[#This Row],[pendingAmount]]&lt;=TrafficData[[#This Row],[totalAmount]],TrafficData[[#This Row],[disposedAmount]]&lt;=TrafficData[[#This Row],[totalAmount]])</f>
        <v>1</v>
      </c>
      <c r="P332" t="b">
        <f>AND(TrafficData[[#This Row],[pendingCourt]]&lt;=TrafficData[[#This Row],[totalCourt]],TrafficData[[#This Row],[disposedCourt]]&lt;=TrafficData[[#This Row],[totalCourt]])</f>
        <v>1</v>
      </c>
    </row>
    <row r="333" spans="1:16">
      <c r="A333" s="1">
        <v>42336</v>
      </c>
      <c r="B333">
        <v>658</v>
      </c>
      <c r="C333">
        <v>61</v>
      </c>
      <c r="D333">
        <v>597</v>
      </c>
      <c r="E333">
        <v>305400</v>
      </c>
      <c r="F333">
        <v>33350</v>
      </c>
      <c r="G333">
        <v>338750</v>
      </c>
      <c r="H333">
        <v>562</v>
      </c>
      <c r="I333">
        <v>23</v>
      </c>
      <c r="J333">
        <v>585</v>
      </c>
      <c r="K333" t="b">
        <f>TrafficData[[#This Row],[disposedChallan]]+TrafficData[[#This Row],[pendingChallan]]=TrafficData[[#This Row],[totalChallan]]</f>
        <v>1</v>
      </c>
      <c r="L333" t="b">
        <f>TrafficData[[#This Row],[pendingAmount]]+TrafficData[[#This Row],[disposedAmount]]=TrafficData[[#This Row],[totalAmount]]</f>
        <v>1</v>
      </c>
      <c r="M333" t="b">
        <f>TrafficData[[#This Row],[pendingCourt]]+TrafficData[[#This Row],[disposedCourt]]=TrafficData[[#This Row],[totalCourt]]</f>
        <v>1</v>
      </c>
      <c r="N333" t="b">
        <f>AND(TrafficData[[#This Row],[disposedChallan]]&lt;=TrafficData[[#This Row],[totalChallan]],TrafficData[[#This Row],[pendingChallan]]&lt;=TrafficData[[#This Row],[totalChallan]])</f>
        <v>1</v>
      </c>
      <c r="O333" t="b">
        <f>AND(TrafficData[[#This Row],[pendingAmount]]&lt;=TrafficData[[#This Row],[totalAmount]],TrafficData[[#This Row],[disposedAmount]]&lt;=TrafficData[[#This Row],[totalAmount]])</f>
        <v>1</v>
      </c>
      <c r="P333" t="b">
        <f>AND(TrafficData[[#This Row],[pendingCourt]]&lt;=TrafficData[[#This Row],[totalCourt]],TrafficData[[#This Row],[disposedCourt]]&lt;=TrafficData[[#This Row],[totalCourt]])</f>
        <v>1</v>
      </c>
    </row>
    <row r="334" spans="1:16">
      <c r="A334" s="1">
        <v>42337</v>
      </c>
      <c r="B334">
        <v>523</v>
      </c>
      <c r="C334">
        <v>56</v>
      </c>
      <c r="D334">
        <v>467</v>
      </c>
      <c r="E334">
        <v>275450</v>
      </c>
      <c r="F334">
        <v>35100</v>
      </c>
      <c r="G334">
        <v>310550</v>
      </c>
      <c r="H334">
        <v>429</v>
      </c>
      <c r="I334">
        <v>38</v>
      </c>
      <c r="J334">
        <v>467</v>
      </c>
      <c r="K334" t="b">
        <f>TrafficData[[#This Row],[disposedChallan]]+TrafficData[[#This Row],[pendingChallan]]=TrafficData[[#This Row],[totalChallan]]</f>
        <v>1</v>
      </c>
      <c r="L334" t="b">
        <f>TrafficData[[#This Row],[pendingAmount]]+TrafficData[[#This Row],[disposedAmount]]=TrafficData[[#This Row],[totalAmount]]</f>
        <v>1</v>
      </c>
      <c r="M334" t="b">
        <f>TrafficData[[#This Row],[pendingCourt]]+TrafficData[[#This Row],[disposedCourt]]=TrafficData[[#This Row],[totalCourt]]</f>
        <v>1</v>
      </c>
      <c r="N334" t="b">
        <f>AND(TrafficData[[#This Row],[disposedChallan]]&lt;=TrafficData[[#This Row],[totalChallan]],TrafficData[[#This Row],[pendingChallan]]&lt;=TrafficData[[#This Row],[totalChallan]])</f>
        <v>1</v>
      </c>
      <c r="O334" t="b">
        <f>AND(TrafficData[[#This Row],[pendingAmount]]&lt;=TrafficData[[#This Row],[totalAmount]],TrafficData[[#This Row],[disposedAmount]]&lt;=TrafficData[[#This Row],[totalAmount]])</f>
        <v>1</v>
      </c>
      <c r="P334" t="b">
        <f>AND(TrafficData[[#This Row],[pendingCourt]]&lt;=TrafficData[[#This Row],[totalCourt]],TrafficData[[#This Row],[disposedCourt]]&lt;=TrafficData[[#This Row],[totalCourt]])</f>
        <v>1</v>
      </c>
    </row>
    <row r="335" spans="1:16">
      <c r="A335" s="1">
        <v>42338</v>
      </c>
      <c r="B335">
        <v>915</v>
      </c>
      <c r="C335">
        <v>100</v>
      </c>
      <c r="D335">
        <v>815</v>
      </c>
      <c r="E335">
        <v>677550</v>
      </c>
      <c r="F335">
        <v>122520</v>
      </c>
      <c r="G335">
        <v>800070</v>
      </c>
      <c r="H335">
        <v>713</v>
      </c>
      <c r="I335">
        <v>50</v>
      </c>
      <c r="J335">
        <v>763</v>
      </c>
      <c r="K335" t="b">
        <f>TrafficData[[#This Row],[disposedChallan]]+TrafficData[[#This Row],[pendingChallan]]=TrafficData[[#This Row],[totalChallan]]</f>
        <v>1</v>
      </c>
      <c r="L335" t="b">
        <f>TrafficData[[#This Row],[pendingAmount]]+TrafficData[[#This Row],[disposedAmount]]=TrafficData[[#This Row],[totalAmount]]</f>
        <v>1</v>
      </c>
      <c r="M335" t="b">
        <f>TrafficData[[#This Row],[pendingCourt]]+TrafficData[[#This Row],[disposedCourt]]=TrafficData[[#This Row],[totalCourt]]</f>
        <v>1</v>
      </c>
      <c r="N335" t="b">
        <f>AND(TrafficData[[#This Row],[disposedChallan]]&lt;=TrafficData[[#This Row],[totalChallan]],TrafficData[[#This Row],[pendingChallan]]&lt;=TrafficData[[#This Row],[totalChallan]])</f>
        <v>1</v>
      </c>
      <c r="O335" t="b">
        <f>AND(TrafficData[[#This Row],[pendingAmount]]&lt;=TrafficData[[#This Row],[totalAmount]],TrafficData[[#This Row],[disposedAmount]]&lt;=TrafficData[[#This Row],[totalAmount]])</f>
        <v>1</v>
      </c>
      <c r="P335" t="b">
        <f>AND(TrafficData[[#This Row],[pendingCourt]]&lt;=TrafficData[[#This Row],[totalCourt]],TrafficData[[#This Row],[disposedCourt]]&lt;=TrafficData[[#This Row],[totalCourt]])</f>
        <v>1</v>
      </c>
    </row>
    <row r="336" spans="1:16">
      <c r="A336" s="1">
        <v>42339</v>
      </c>
      <c r="B336">
        <v>969</v>
      </c>
      <c r="C336">
        <v>102</v>
      </c>
      <c r="D336">
        <v>867</v>
      </c>
      <c r="E336">
        <v>648610</v>
      </c>
      <c r="F336">
        <v>147557</v>
      </c>
      <c r="G336">
        <v>796167</v>
      </c>
      <c r="H336">
        <v>795</v>
      </c>
      <c r="I336">
        <v>54</v>
      </c>
      <c r="J336">
        <v>849</v>
      </c>
      <c r="K336" t="b">
        <f>TrafficData[[#This Row],[disposedChallan]]+TrafficData[[#This Row],[pendingChallan]]=TrafficData[[#This Row],[totalChallan]]</f>
        <v>1</v>
      </c>
      <c r="L336" t="b">
        <f>TrafficData[[#This Row],[pendingAmount]]+TrafficData[[#This Row],[disposedAmount]]=TrafficData[[#This Row],[totalAmount]]</f>
        <v>1</v>
      </c>
      <c r="M336" t="b">
        <f>TrafficData[[#This Row],[pendingCourt]]+TrafficData[[#This Row],[disposedCourt]]=TrafficData[[#This Row],[totalCourt]]</f>
        <v>1</v>
      </c>
      <c r="N336" t="b">
        <f>AND(TrafficData[[#This Row],[disposedChallan]]&lt;=TrafficData[[#This Row],[totalChallan]],TrafficData[[#This Row],[pendingChallan]]&lt;=TrafficData[[#This Row],[totalChallan]])</f>
        <v>1</v>
      </c>
      <c r="O336" t="b">
        <f>AND(TrafficData[[#This Row],[pendingAmount]]&lt;=TrafficData[[#This Row],[totalAmount]],TrafficData[[#This Row],[disposedAmount]]&lt;=TrafficData[[#This Row],[totalAmount]])</f>
        <v>1</v>
      </c>
      <c r="P336" t="b">
        <f>AND(TrafficData[[#This Row],[pendingCourt]]&lt;=TrafficData[[#This Row],[totalCourt]],TrafficData[[#This Row],[disposedCourt]]&lt;=TrafficData[[#This Row],[totalCourt]])</f>
        <v>1</v>
      </c>
    </row>
    <row r="337" spans="1:16">
      <c r="A337" s="1">
        <v>42340</v>
      </c>
      <c r="B337">
        <v>989</v>
      </c>
      <c r="C337">
        <v>90</v>
      </c>
      <c r="D337">
        <v>899</v>
      </c>
      <c r="E337">
        <v>752230</v>
      </c>
      <c r="F337">
        <v>215910</v>
      </c>
      <c r="G337">
        <v>968140</v>
      </c>
      <c r="H337">
        <v>837</v>
      </c>
      <c r="I337">
        <v>18</v>
      </c>
      <c r="J337">
        <v>855</v>
      </c>
      <c r="K337" t="b">
        <f>TrafficData[[#This Row],[disposedChallan]]+TrafficData[[#This Row],[pendingChallan]]=TrafficData[[#This Row],[totalChallan]]</f>
        <v>1</v>
      </c>
      <c r="L337" t="b">
        <f>TrafficData[[#This Row],[pendingAmount]]+TrafficData[[#This Row],[disposedAmount]]=TrafficData[[#This Row],[totalAmount]]</f>
        <v>1</v>
      </c>
      <c r="M337" t="b">
        <f>TrafficData[[#This Row],[pendingCourt]]+TrafficData[[#This Row],[disposedCourt]]=TrafficData[[#This Row],[totalCourt]]</f>
        <v>1</v>
      </c>
      <c r="N337" t="b">
        <f>AND(TrafficData[[#This Row],[disposedChallan]]&lt;=TrafficData[[#This Row],[totalChallan]],TrafficData[[#This Row],[pendingChallan]]&lt;=TrafficData[[#This Row],[totalChallan]])</f>
        <v>1</v>
      </c>
      <c r="O337" t="b">
        <f>AND(TrafficData[[#This Row],[pendingAmount]]&lt;=TrafficData[[#This Row],[totalAmount]],TrafficData[[#This Row],[disposedAmount]]&lt;=TrafficData[[#This Row],[totalAmount]])</f>
        <v>1</v>
      </c>
      <c r="P337" t="b">
        <f>AND(TrafficData[[#This Row],[pendingCourt]]&lt;=TrafficData[[#This Row],[totalCourt]],TrafficData[[#This Row],[disposedCourt]]&lt;=TrafficData[[#This Row],[totalCourt]])</f>
        <v>1</v>
      </c>
    </row>
    <row r="338" spans="1:16">
      <c r="A338" s="1">
        <v>42341</v>
      </c>
      <c r="B338">
        <v>701</v>
      </c>
      <c r="C338">
        <v>82</v>
      </c>
      <c r="D338">
        <v>619</v>
      </c>
      <c r="E338">
        <v>678660</v>
      </c>
      <c r="F338">
        <v>134750</v>
      </c>
      <c r="G338">
        <v>813410</v>
      </c>
      <c r="H338">
        <v>496</v>
      </c>
      <c r="I338">
        <v>35</v>
      </c>
      <c r="J338">
        <v>531</v>
      </c>
      <c r="K338" t="b">
        <f>TrafficData[[#This Row],[disposedChallan]]+TrafficData[[#This Row],[pendingChallan]]=TrafficData[[#This Row],[totalChallan]]</f>
        <v>1</v>
      </c>
      <c r="L338" t="b">
        <f>TrafficData[[#This Row],[pendingAmount]]+TrafficData[[#This Row],[disposedAmount]]=TrafficData[[#This Row],[totalAmount]]</f>
        <v>1</v>
      </c>
      <c r="M338" t="b">
        <f>TrafficData[[#This Row],[pendingCourt]]+TrafficData[[#This Row],[disposedCourt]]=TrafficData[[#This Row],[totalCourt]]</f>
        <v>1</v>
      </c>
      <c r="N338" t="b">
        <f>AND(TrafficData[[#This Row],[disposedChallan]]&lt;=TrafficData[[#This Row],[totalChallan]],TrafficData[[#This Row],[pendingChallan]]&lt;=TrafficData[[#This Row],[totalChallan]])</f>
        <v>1</v>
      </c>
      <c r="O338" t="b">
        <f>AND(TrafficData[[#This Row],[pendingAmount]]&lt;=TrafficData[[#This Row],[totalAmount]],TrafficData[[#This Row],[disposedAmount]]&lt;=TrafficData[[#This Row],[totalAmount]])</f>
        <v>1</v>
      </c>
      <c r="P338" t="b">
        <f>AND(TrafficData[[#This Row],[pendingCourt]]&lt;=TrafficData[[#This Row],[totalCourt]],TrafficData[[#This Row],[disposedCourt]]&lt;=TrafficData[[#This Row],[totalCourt]])</f>
        <v>1</v>
      </c>
    </row>
    <row r="339" spans="1:16">
      <c r="A339" s="1">
        <v>42342</v>
      </c>
      <c r="B339">
        <v>545</v>
      </c>
      <c r="C339">
        <v>76</v>
      </c>
      <c r="D339">
        <v>469</v>
      </c>
      <c r="E339">
        <v>472850</v>
      </c>
      <c r="F339">
        <v>117260</v>
      </c>
      <c r="G339">
        <v>590110</v>
      </c>
      <c r="H339">
        <v>393</v>
      </c>
      <c r="I339">
        <v>35</v>
      </c>
      <c r="J339">
        <v>428</v>
      </c>
      <c r="K339" t="b">
        <f>TrafficData[[#This Row],[disposedChallan]]+TrafficData[[#This Row],[pendingChallan]]=TrafficData[[#This Row],[totalChallan]]</f>
        <v>1</v>
      </c>
      <c r="L339" t="b">
        <f>TrafficData[[#This Row],[pendingAmount]]+TrafficData[[#This Row],[disposedAmount]]=TrafficData[[#This Row],[totalAmount]]</f>
        <v>1</v>
      </c>
      <c r="M339" t="b">
        <f>TrafficData[[#This Row],[pendingCourt]]+TrafficData[[#This Row],[disposedCourt]]=TrafficData[[#This Row],[totalCourt]]</f>
        <v>1</v>
      </c>
      <c r="N339" t="b">
        <f>AND(TrafficData[[#This Row],[disposedChallan]]&lt;=TrafficData[[#This Row],[totalChallan]],TrafficData[[#This Row],[pendingChallan]]&lt;=TrafficData[[#This Row],[totalChallan]])</f>
        <v>1</v>
      </c>
      <c r="O339" t="b">
        <f>AND(TrafficData[[#This Row],[pendingAmount]]&lt;=TrafficData[[#This Row],[totalAmount]],TrafficData[[#This Row],[disposedAmount]]&lt;=TrafficData[[#This Row],[totalAmount]])</f>
        <v>1</v>
      </c>
      <c r="P339" t="b">
        <f>AND(TrafficData[[#This Row],[pendingCourt]]&lt;=TrafficData[[#This Row],[totalCourt]],TrafficData[[#This Row],[disposedCourt]]&lt;=TrafficData[[#This Row],[totalCourt]])</f>
        <v>1</v>
      </c>
    </row>
    <row r="340" spans="1:16">
      <c r="A340" s="1">
        <v>42343</v>
      </c>
      <c r="B340">
        <v>788</v>
      </c>
      <c r="C340">
        <v>79</v>
      </c>
      <c r="D340">
        <v>709</v>
      </c>
      <c r="E340">
        <v>889000</v>
      </c>
      <c r="F340">
        <v>264118</v>
      </c>
      <c r="G340">
        <v>1153118</v>
      </c>
      <c r="H340">
        <v>629</v>
      </c>
      <c r="I340">
        <v>32</v>
      </c>
      <c r="J340">
        <v>661</v>
      </c>
      <c r="K340" t="b">
        <f>TrafficData[[#This Row],[disposedChallan]]+TrafficData[[#This Row],[pendingChallan]]=TrafficData[[#This Row],[totalChallan]]</f>
        <v>1</v>
      </c>
      <c r="L340" t="b">
        <f>TrafficData[[#This Row],[pendingAmount]]+TrafficData[[#This Row],[disposedAmount]]=TrafficData[[#This Row],[totalAmount]]</f>
        <v>1</v>
      </c>
      <c r="M340" t="b">
        <f>TrafficData[[#This Row],[pendingCourt]]+TrafficData[[#This Row],[disposedCourt]]=TrafficData[[#This Row],[totalCourt]]</f>
        <v>1</v>
      </c>
      <c r="N340" t="b">
        <f>AND(TrafficData[[#This Row],[disposedChallan]]&lt;=TrafficData[[#This Row],[totalChallan]],TrafficData[[#This Row],[pendingChallan]]&lt;=TrafficData[[#This Row],[totalChallan]])</f>
        <v>1</v>
      </c>
      <c r="O340" t="b">
        <f>AND(TrafficData[[#This Row],[pendingAmount]]&lt;=TrafficData[[#This Row],[totalAmount]],TrafficData[[#This Row],[disposedAmount]]&lt;=TrafficData[[#This Row],[totalAmount]])</f>
        <v>1</v>
      </c>
      <c r="P340" t="b">
        <f>AND(TrafficData[[#This Row],[pendingCourt]]&lt;=TrafficData[[#This Row],[totalCourt]],TrafficData[[#This Row],[disposedCourt]]&lt;=TrafficData[[#This Row],[totalCourt]])</f>
        <v>1</v>
      </c>
    </row>
    <row r="341" spans="1:16">
      <c r="A341" s="1">
        <v>42344</v>
      </c>
      <c r="B341">
        <v>446</v>
      </c>
      <c r="C341">
        <v>60</v>
      </c>
      <c r="D341">
        <v>386</v>
      </c>
      <c r="E341">
        <v>300860</v>
      </c>
      <c r="F341">
        <v>110100</v>
      </c>
      <c r="G341">
        <v>410960</v>
      </c>
      <c r="H341">
        <v>342</v>
      </c>
      <c r="I341">
        <v>22</v>
      </c>
      <c r="J341">
        <v>364</v>
      </c>
      <c r="K341" t="b">
        <f>TrafficData[[#This Row],[disposedChallan]]+TrafficData[[#This Row],[pendingChallan]]=TrafficData[[#This Row],[totalChallan]]</f>
        <v>1</v>
      </c>
      <c r="L341" t="b">
        <f>TrafficData[[#This Row],[pendingAmount]]+TrafficData[[#This Row],[disposedAmount]]=TrafficData[[#This Row],[totalAmount]]</f>
        <v>1</v>
      </c>
      <c r="M341" t="b">
        <f>TrafficData[[#This Row],[pendingCourt]]+TrafficData[[#This Row],[disposedCourt]]=TrafficData[[#This Row],[totalCourt]]</f>
        <v>1</v>
      </c>
      <c r="N341" t="b">
        <f>AND(TrafficData[[#This Row],[disposedChallan]]&lt;=TrafficData[[#This Row],[totalChallan]],TrafficData[[#This Row],[pendingChallan]]&lt;=TrafficData[[#This Row],[totalChallan]])</f>
        <v>1</v>
      </c>
      <c r="O341" t="b">
        <f>AND(TrafficData[[#This Row],[pendingAmount]]&lt;=TrafficData[[#This Row],[totalAmount]],TrafficData[[#This Row],[disposedAmount]]&lt;=TrafficData[[#This Row],[totalAmount]])</f>
        <v>1</v>
      </c>
      <c r="P341" t="b">
        <f>AND(TrafficData[[#This Row],[pendingCourt]]&lt;=TrafficData[[#This Row],[totalCourt]],TrafficData[[#This Row],[disposedCourt]]&lt;=TrafficData[[#This Row],[totalCourt]])</f>
        <v>1</v>
      </c>
    </row>
    <row r="342" spans="1:16">
      <c r="A342" s="1">
        <v>42345</v>
      </c>
      <c r="B342">
        <v>705</v>
      </c>
      <c r="C342">
        <v>70</v>
      </c>
      <c r="D342">
        <v>635</v>
      </c>
      <c r="E342">
        <v>586450</v>
      </c>
      <c r="F342">
        <v>146560</v>
      </c>
      <c r="G342">
        <v>733010</v>
      </c>
      <c r="H342">
        <v>572</v>
      </c>
      <c r="I342">
        <v>13</v>
      </c>
      <c r="J342">
        <v>585</v>
      </c>
      <c r="K342" t="b">
        <f>TrafficData[[#This Row],[disposedChallan]]+TrafficData[[#This Row],[pendingChallan]]=TrafficData[[#This Row],[totalChallan]]</f>
        <v>1</v>
      </c>
      <c r="L342" t="b">
        <f>TrafficData[[#This Row],[pendingAmount]]+TrafficData[[#This Row],[disposedAmount]]=TrafficData[[#This Row],[totalAmount]]</f>
        <v>1</v>
      </c>
      <c r="M342" t="b">
        <f>TrafficData[[#This Row],[pendingCourt]]+TrafficData[[#This Row],[disposedCourt]]=TrafficData[[#This Row],[totalCourt]]</f>
        <v>1</v>
      </c>
      <c r="N342" t="b">
        <f>AND(TrafficData[[#This Row],[disposedChallan]]&lt;=TrafficData[[#This Row],[totalChallan]],TrafficData[[#This Row],[pendingChallan]]&lt;=TrafficData[[#This Row],[totalChallan]])</f>
        <v>1</v>
      </c>
      <c r="O342" t="b">
        <f>AND(TrafficData[[#This Row],[pendingAmount]]&lt;=TrafficData[[#This Row],[totalAmount]],TrafficData[[#This Row],[disposedAmount]]&lt;=TrafficData[[#This Row],[totalAmount]])</f>
        <v>1</v>
      </c>
      <c r="P342" t="b">
        <f>AND(TrafficData[[#This Row],[pendingCourt]]&lt;=TrafficData[[#This Row],[totalCourt]],TrafficData[[#This Row],[disposedCourt]]&lt;=TrafficData[[#This Row],[totalCourt]])</f>
        <v>1</v>
      </c>
    </row>
    <row r="343" spans="1:16">
      <c r="A343" s="1">
        <v>42346</v>
      </c>
      <c r="B343">
        <v>1104</v>
      </c>
      <c r="C343">
        <v>107</v>
      </c>
      <c r="D343">
        <v>997</v>
      </c>
      <c r="E343">
        <v>777860</v>
      </c>
      <c r="F343">
        <v>172025</v>
      </c>
      <c r="G343">
        <v>949885</v>
      </c>
      <c r="H343">
        <v>927</v>
      </c>
      <c r="I343">
        <v>19</v>
      </c>
      <c r="J343">
        <v>946</v>
      </c>
      <c r="K343" t="b">
        <f>TrafficData[[#This Row],[disposedChallan]]+TrafficData[[#This Row],[pendingChallan]]=TrafficData[[#This Row],[totalChallan]]</f>
        <v>1</v>
      </c>
      <c r="L343" t="b">
        <f>TrafficData[[#This Row],[pendingAmount]]+TrafficData[[#This Row],[disposedAmount]]=TrafficData[[#This Row],[totalAmount]]</f>
        <v>1</v>
      </c>
      <c r="M343" t="b">
        <f>TrafficData[[#This Row],[pendingCourt]]+TrafficData[[#This Row],[disposedCourt]]=TrafficData[[#This Row],[totalCourt]]</f>
        <v>1</v>
      </c>
      <c r="N343" t="b">
        <f>AND(TrafficData[[#This Row],[disposedChallan]]&lt;=TrafficData[[#This Row],[totalChallan]],TrafficData[[#This Row],[pendingChallan]]&lt;=TrafficData[[#This Row],[totalChallan]])</f>
        <v>1</v>
      </c>
      <c r="O343" t="b">
        <f>AND(TrafficData[[#This Row],[pendingAmount]]&lt;=TrafficData[[#This Row],[totalAmount]],TrafficData[[#This Row],[disposedAmount]]&lt;=TrafficData[[#This Row],[totalAmount]])</f>
        <v>1</v>
      </c>
      <c r="P343" t="b">
        <f>AND(TrafficData[[#This Row],[pendingCourt]]&lt;=TrafficData[[#This Row],[totalCourt]],TrafficData[[#This Row],[disposedCourt]]&lt;=TrafficData[[#This Row],[totalCourt]])</f>
        <v>1</v>
      </c>
    </row>
    <row r="344" spans="1:16">
      <c r="A344" s="1">
        <v>42347</v>
      </c>
      <c r="B344">
        <v>885</v>
      </c>
      <c r="C344">
        <v>122</v>
      </c>
      <c r="D344">
        <v>763</v>
      </c>
      <c r="E344">
        <v>785300</v>
      </c>
      <c r="F344">
        <v>285700</v>
      </c>
      <c r="G344">
        <v>1071000</v>
      </c>
      <c r="H344">
        <v>682</v>
      </c>
      <c r="I344">
        <v>49</v>
      </c>
      <c r="J344">
        <v>731</v>
      </c>
      <c r="K344" t="b">
        <f>TrafficData[[#This Row],[disposedChallan]]+TrafficData[[#This Row],[pendingChallan]]=TrafficData[[#This Row],[totalChallan]]</f>
        <v>1</v>
      </c>
      <c r="L344" t="b">
        <f>TrafficData[[#This Row],[pendingAmount]]+TrafficData[[#This Row],[disposedAmount]]=TrafficData[[#This Row],[totalAmount]]</f>
        <v>1</v>
      </c>
      <c r="M344" t="b">
        <f>TrafficData[[#This Row],[pendingCourt]]+TrafficData[[#This Row],[disposedCourt]]=TrafficData[[#This Row],[totalCourt]]</f>
        <v>1</v>
      </c>
      <c r="N344" t="b">
        <f>AND(TrafficData[[#This Row],[disposedChallan]]&lt;=TrafficData[[#This Row],[totalChallan]],TrafficData[[#This Row],[pendingChallan]]&lt;=TrafficData[[#This Row],[totalChallan]])</f>
        <v>1</v>
      </c>
      <c r="O344" t="b">
        <f>AND(TrafficData[[#This Row],[pendingAmount]]&lt;=TrafficData[[#This Row],[totalAmount]],TrafficData[[#This Row],[disposedAmount]]&lt;=TrafficData[[#This Row],[totalAmount]])</f>
        <v>1</v>
      </c>
      <c r="P344" t="b">
        <f>AND(TrafficData[[#This Row],[pendingCourt]]&lt;=TrafficData[[#This Row],[totalCourt]],TrafficData[[#This Row],[disposedCourt]]&lt;=TrafficData[[#This Row],[totalCourt]])</f>
        <v>1</v>
      </c>
    </row>
    <row r="345" spans="1:16">
      <c r="A345" s="1">
        <v>42348</v>
      </c>
      <c r="B345">
        <v>987</v>
      </c>
      <c r="C345">
        <v>101</v>
      </c>
      <c r="D345">
        <v>886</v>
      </c>
      <c r="E345">
        <v>768700</v>
      </c>
      <c r="F345">
        <v>114700</v>
      </c>
      <c r="G345">
        <v>883400</v>
      </c>
      <c r="H345">
        <v>781</v>
      </c>
      <c r="I345">
        <v>39</v>
      </c>
      <c r="J345">
        <v>820</v>
      </c>
      <c r="K345" t="b">
        <f>TrafficData[[#This Row],[disposedChallan]]+TrafficData[[#This Row],[pendingChallan]]=TrafficData[[#This Row],[totalChallan]]</f>
        <v>1</v>
      </c>
      <c r="L345" t="b">
        <f>TrafficData[[#This Row],[pendingAmount]]+TrafficData[[#This Row],[disposedAmount]]=TrafficData[[#This Row],[totalAmount]]</f>
        <v>1</v>
      </c>
      <c r="M345" t="b">
        <f>TrafficData[[#This Row],[pendingCourt]]+TrafficData[[#This Row],[disposedCourt]]=TrafficData[[#This Row],[totalCourt]]</f>
        <v>1</v>
      </c>
      <c r="N345" t="b">
        <f>AND(TrafficData[[#This Row],[disposedChallan]]&lt;=TrafficData[[#This Row],[totalChallan]],TrafficData[[#This Row],[pendingChallan]]&lt;=TrafficData[[#This Row],[totalChallan]])</f>
        <v>1</v>
      </c>
      <c r="O345" t="b">
        <f>AND(TrafficData[[#This Row],[pendingAmount]]&lt;=TrafficData[[#This Row],[totalAmount]],TrafficData[[#This Row],[disposedAmount]]&lt;=TrafficData[[#This Row],[totalAmount]])</f>
        <v>1</v>
      </c>
      <c r="P345" t="b">
        <f>AND(TrafficData[[#This Row],[pendingCourt]]&lt;=TrafficData[[#This Row],[totalCourt]],TrafficData[[#This Row],[disposedCourt]]&lt;=TrafficData[[#This Row],[totalCourt]])</f>
        <v>1</v>
      </c>
    </row>
    <row r="346" spans="1:16">
      <c r="A346" s="1">
        <v>42349</v>
      </c>
      <c r="B346">
        <v>1198</v>
      </c>
      <c r="C346">
        <v>113</v>
      </c>
      <c r="D346">
        <v>1085</v>
      </c>
      <c r="E346">
        <v>848350</v>
      </c>
      <c r="F346">
        <v>106650</v>
      </c>
      <c r="G346">
        <v>955000</v>
      </c>
      <c r="H346">
        <v>1028</v>
      </c>
      <c r="I346">
        <v>16</v>
      </c>
      <c r="J346">
        <v>1044</v>
      </c>
      <c r="K346" t="b">
        <f>TrafficData[[#This Row],[disposedChallan]]+TrafficData[[#This Row],[pendingChallan]]=TrafficData[[#This Row],[totalChallan]]</f>
        <v>1</v>
      </c>
      <c r="L346" t="b">
        <f>TrafficData[[#This Row],[pendingAmount]]+TrafficData[[#This Row],[disposedAmount]]=TrafficData[[#This Row],[totalAmount]]</f>
        <v>1</v>
      </c>
      <c r="M346" t="b">
        <f>TrafficData[[#This Row],[pendingCourt]]+TrafficData[[#This Row],[disposedCourt]]=TrafficData[[#This Row],[totalCourt]]</f>
        <v>1</v>
      </c>
      <c r="N346" t="b">
        <f>AND(TrafficData[[#This Row],[disposedChallan]]&lt;=TrafficData[[#This Row],[totalChallan]],TrafficData[[#This Row],[pendingChallan]]&lt;=TrafficData[[#This Row],[totalChallan]])</f>
        <v>1</v>
      </c>
      <c r="O346" t="b">
        <f>AND(TrafficData[[#This Row],[pendingAmount]]&lt;=TrafficData[[#This Row],[totalAmount]],TrafficData[[#This Row],[disposedAmount]]&lt;=TrafficData[[#This Row],[totalAmount]])</f>
        <v>1</v>
      </c>
      <c r="P346" t="b">
        <f>AND(TrafficData[[#This Row],[pendingCourt]]&lt;=TrafficData[[#This Row],[totalCourt]],TrafficData[[#This Row],[disposedCourt]]&lt;=TrafficData[[#This Row],[totalCourt]])</f>
        <v>1</v>
      </c>
    </row>
    <row r="347" spans="1:16">
      <c r="A347" s="1">
        <v>42350</v>
      </c>
      <c r="B347">
        <v>773</v>
      </c>
      <c r="C347">
        <v>81</v>
      </c>
      <c r="D347">
        <v>692</v>
      </c>
      <c r="E347">
        <v>527700</v>
      </c>
      <c r="F347">
        <v>63925</v>
      </c>
      <c r="G347">
        <v>591625</v>
      </c>
      <c r="H347">
        <v>632</v>
      </c>
      <c r="I347">
        <v>18</v>
      </c>
      <c r="J347">
        <v>650</v>
      </c>
      <c r="K347" t="b">
        <f>TrafficData[[#This Row],[disposedChallan]]+TrafficData[[#This Row],[pendingChallan]]=TrafficData[[#This Row],[totalChallan]]</f>
        <v>1</v>
      </c>
      <c r="L347" t="b">
        <f>TrafficData[[#This Row],[pendingAmount]]+TrafficData[[#This Row],[disposedAmount]]=TrafficData[[#This Row],[totalAmount]]</f>
        <v>1</v>
      </c>
      <c r="M347" t="b">
        <f>TrafficData[[#This Row],[pendingCourt]]+TrafficData[[#This Row],[disposedCourt]]=TrafficData[[#This Row],[totalCourt]]</f>
        <v>1</v>
      </c>
      <c r="N347" t="b">
        <f>AND(TrafficData[[#This Row],[disposedChallan]]&lt;=TrafficData[[#This Row],[totalChallan]],TrafficData[[#This Row],[pendingChallan]]&lt;=TrafficData[[#This Row],[totalChallan]])</f>
        <v>1</v>
      </c>
      <c r="O347" t="b">
        <f>AND(TrafficData[[#This Row],[pendingAmount]]&lt;=TrafficData[[#This Row],[totalAmount]],TrafficData[[#This Row],[disposedAmount]]&lt;=TrafficData[[#This Row],[totalAmount]])</f>
        <v>1</v>
      </c>
      <c r="P347" t="b">
        <f>AND(TrafficData[[#This Row],[pendingCourt]]&lt;=TrafficData[[#This Row],[totalCourt]],TrafficData[[#This Row],[disposedCourt]]&lt;=TrafficData[[#This Row],[totalCourt]])</f>
        <v>1</v>
      </c>
    </row>
    <row r="348" spans="1:16">
      <c r="A348" s="1">
        <v>42351</v>
      </c>
      <c r="B348">
        <v>560</v>
      </c>
      <c r="C348">
        <v>55</v>
      </c>
      <c r="D348">
        <v>505</v>
      </c>
      <c r="E348">
        <v>397300</v>
      </c>
      <c r="F348">
        <v>87550</v>
      </c>
      <c r="G348">
        <v>484850</v>
      </c>
      <c r="H348">
        <v>453</v>
      </c>
      <c r="I348">
        <v>18</v>
      </c>
      <c r="J348">
        <v>471</v>
      </c>
      <c r="K348" t="b">
        <f>TrafficData[[#This Row],[disposedChallan]]+TrafficData[[#This Row],[pendingChallan]]=TrafficData[[#This Row],[totalChallan]]</f>
        <v>1</v>
      </c>
      <c r="L348" t="b">
        <f>TrafficData[[#This Row],[pendingAmount]]+TrafficData[[#This Row],[disposedAmount]]=TrafficData[[#This Row],[totalAmount]]</f>
        <v>1</v>
      </c>
      <c r="M348" t="b">
        <f>TrafficData[[#This Row],[pendingCourt]]+TrafficData[[#This Row],[disposedCourt]]=TrafficData[[#This Row],[totalCourt]]</f>
        <v>1</v>
      </c>
      <c r="N348" t="b">
        <f>AND(TrafficData[[#This Row],[disposedChallan]]&lt;=TrafficData[[#This Row],[totalChallan]],TrafficData[[#This Row],[pendingChallan]]&lt;=TrafficData[[#This Row],[totalChallan]])</f>
        <v>1</v>
      </c>
      <c r="O348" t="b">
        <f>AND(TrafficData[[#This Row],[pendingAmount]]&lt;=TrafficData[[#This Row],[totalAmount]],TrafficData[[#This Row],[disposedAmount]]&lt;=TrafficData[[#This Row],[totalAmount]])</f>
        <v>1</v>
      </c>
      <c r="P348" t="b">
        <f>AND(TrafficData[[#This Row],[pendingCourt]]&lt;=TrafficData[[#This Row],[totalCourt]],TrafficData[[#This Row],[disposedCourt]]&lt;=TrafficData[[#This Row],[totalCourt]])</f>
        <v>1</v>
      </c>
    </row>
    <row r="349" spans="1:16">
      <c r="A349" s="1">
        <v>42352</v>
      </c>
      <c r="B349">
        <v>1112</v>
      </c>
      <c r="C349">
        <v>103</v>
      </c>
      <c r="D349">
        <v>1009</v>
      </c>
      <c r="E349">
        <v>752300</v>
      </c>
      <c r="F349">
        <v>66400</v>
      </c>
      <c r="G349">
        <v>818700</v>
      </c>
      <c r="H349">
        <v>945</v>
      </c>
      <c r="I349">
        <v>62</v>
      </c>
      <c r="J349">
        <v>1007</v>
      </c>
      <c r="K349" t="b">
        <f>TrafficData[[#This Row],[disposedChallan]]+TrafficData[[#This Row],[pendingChallan]]=TrafficData[[#This Row],[totalChallan]]</f>
        <v>1</v>
      </c>
      <c r="L349" t="b">
        <f>TrafficData[[#This Row],[pendingAmount]]+TrafficData[[#This Row],[disposedAmount]]=TrafficData[[#This Row],[totalAmount]]</f>
        <v>1</v>
      </c>
      <c r="M349" t="b">
        <f>TrafficData[[#This Row],[pendingCourt]]+TrafficData[[#This Row],[disposedCourt]]=TrafficData[[#This Row],[totalCourt]]</f>
        <v>1</v>
      </c>
      <c r="N349" t="b">
        <f>AND(TrafficData[[#This Row],[disposedChallan]]&lt;=TrafficData[[#This Row],[totalChallan]],TrafficData[[#This Row],[pendingChallan]]&lt;=TrafficData[[#This Row],[totalChallan]])</f>
        <v>1</v>
      </c>
      <c r="O349" t="b">
        <f>AND(TrafficData[[#This Row],[pendingAmount]]&lt;=TrafficData[[#This Row],[totalAmount]],TrafficData[[#This Row],[disposedAmount]]&lt;=TrafficData[[#This Row],[totalAmount]])</f>
        <v>1</v>
      </c>
      <c r="P349" t="b">
        <f>AND(TrafficData[[#This Row],[pendingCourt]]&lt;=TrafficData[[#This Row],[totalCourt]],TrafficData[[#This Row],[disposedCourt]]&lt;=TrafficData[[#This Row],[totalCourt]])</f>
        <v>1</v>
      </c>
    </row>
    <row r="350" spans="1:16">
      <c r="A350" s="1">
        <v>42353</v>
      </c>
      <c r="B350">
        <v>1034</v>
      </c>
      <c r="C350">
        <v>123</v>
      </c>
      <c r="D350">
        <v>911</v>
      </c>
      <c r="E350">
        <v>805650</v>
      </c>
      <c r="F350">
        <v>178650</v>
      </c>
      <c r="G350">
        <v>984300</v>
      </c>
      <c r="H350">
        <v>824</v>
      </c>
      <c r="I350">
        <v>67</v>
      </c>
      <c r="J350">
        <v>891</v>
      </c>
      <c r="K350" t="b">
        <f>TrafficData[[#This Row],[disposedChallan]]+TrafficData[[#This Row],[pendingChallan]]=TrafficData[[#This Row],[totalChallan]]</f>
        <v>1</v>
      </c>
      <c r="L350" t="b">
        <f>TrafficData[[#This Row],[pendingAmount]]+TrafficData[[#This Row],[disposedAmount]]=TrafficData[[#This Row],[totalAmount]]</f>
        <v>1</v>
      </c>
      <c r="M350" t="b">
        <f>TrafficData[[#This Row],[pendingCourt]]+TrafficData[[#This Row],[disposedCourt]]=TrafficData[[#This Row],[totalCourt]]</f>
        <v>1</v>
      </c>
      <c r="N350" t="b">
        <f>AND(TrafficData[[#This Row],[disposedChallan]]&lt;=TrafficData[[#This Row],[totalChallan]],TrafficData[[#This Row],[pendingChallan]]&lt;=TrafficData[[#This Row],[totalChallan]])</f>
        <v>1</v>
      </c>
      <c r="O350" t="b">
        <f>AND(TrafficData[[#This Row],[pendingAmount]]&lt;=TrafficData[[#This Row],[totalAmount]],TrafficData[[#This Row],[disposedAmount]]&lt;=TrafficData[[#This Row],[totalAmount]])</f>
        <v>1</v>
      </c>
      <c r="P350" t="b">
        <f>AND(TrafficData[[#This Row],[pendingCourt]]&lt;=TrafficData[[#This Row],[totalCourt]],TrafficData[[#This Row],[disposedCourt]]&lt;=TrafficData[[#This Row],[totalCourt]])</f>
        <v>1</v>
      </c>
    </row>
    <row r="351" spans="1:16">
      <c r="A351" s="1">
        <v>42354</v>
      </c>
      <c r="B351">
        <v>1010</v>
      </c>
      <c r="C351">
        <v>104</v>
      </c>
      <c r="D351">
        <v>906</v>
      </c>
      <c r="E351">
        <v>1168000</v>
      </c>
      <c r="F351">
        <v>162500</v>
      </c>
      <c r="G351">
        <v>1330500</v>
      </c>
      <c r="H351">
        <v>813</v>
      </c>
      <c r="I351">
        <v>17</v>
      </c>
      <c r="J351">
        <v>830</v>
      </c>
      <c r="K351" t="b">
        <f>TrafficData[[#This Row],[disposedChallan]]+TrafficData[[#This Row],[pendingChallan]]=TrafficData[[#This Row],[totalChallan]]</f>
        <v>1</v>
      </c>
      <c r="L351" t="b">
        <f>TrafficData[[#This Row],[pendingAmount]]+TrafficData[[#This Row],[disposedAmount]]=TrafficData[[#This Row],[totalAmount]]</f>
        <v>1</v>
      </c>
      <c r="M351" t="b">
        <f>TrafficData[[#This Row],[pendingCourt]]+TrafficData[[#This Row],[disposedCourt]]=TrafficData[[#This Row],[totalCourt]]</f>
        <v>1</v>
      </c>
      <c r="N351" t="b">
        <f>AND(TrafficData[[#This Row],[disposedChallan]]&lt;=TrafficData[[#This Row],[totalChallan]],TrafficData[[#This Row],[pendingChallan]]&lt;=TrafficData[[#This Row],[totalChallan]])</f>
        <v>1</v>
      </c>
      <c r="O351" t="b">
        <f>AND(TrafficData[[#This Row],[pendingAmount]]&lt;=TrafficData[[#This Row],[totalAmount]],TrafficData[[#This Row],[disposedAmount]]&lt;=TrafficData[[#This Row],[totalAmount]])</f>
        <v>1</v>
      </c>
      <c r="P351" t="b">
        <f>AND(TrafficData[[#This Row],[pendingCourt]]&lt;=TrafficData[[#This Row],[totalCourt]],TrafficData[[#This Row],[disposedCourt]]&lt;=TrafficData[[#This Row],[totalCourt]])</f>
        <v>1</v>
      </c>
    </row>
    <row r="352" spans="1:16">
      <c r="A352" s="1">
        <v>42355</v>
      </c>
      <c r="B352">
        <v>862</v>
      </c>
      <c r="C352">
        <v>100</v>
      </c>
      <c r="D352">
        <v>762</v>
      </c>
      <c r="E352">
        <v>1009720</v>
      </c>
      <c r="F352">
        <v>159960</v>
      </c>
      <c r="G352">
        <v>1169680</v>
      </c>
      <c r="H352">
        <v>658</v>
      </c>
      <c r="I352">
        <v>37</v>
      </c>
      <c r="J352">
        <v>695</v>
      </c>
      <c r="K352" t="b">
        <f>TrafficData[[#This Row],[disposedChallan]]+TrafficData[[#This Row],[pendingChallan]]=TrafficData[[#This Row],[totalChallan]]</f>
        <v>1</v>
      </c>
      <c r="L352" t="b">
        <f>TrafficData[[#This Row],[pendingAmount]]+TrafficData[[#This Row],[disposedAmount]]=TrafficData[[#This Row],[totalAmount]]</f>
        <v>1</v>
      </c>
      <c r="M352" t="b">
        <f>TrafficData[[#This Row],[pendingCourt]]+TrafficData[[#This Row],[disposedCourt]]=TrafficData[[#This Row],[totalCourt]]</f>
        <v>1</v>
      </c>
      <c r="N352" t="b">
        <f>AND(TrafficData[[#This Row],[disposedChallan]]&lt;=TrafficData[[#This Row],[totalChallan]],TrafficData[[#This Row],[pendingChallan]]&lt;=TrafficData[[#This Row],[totalChallan]])</f>
        <v>1</v>
      </c>
      <c r="O352" t="b">
        <f>AND(TrafficData[[#This Row],[pendingAmount]]&lt;=TrafficData[[#This Row],[totalAmount]],TrafficData[[#This Row],[disposedAmount]]&lt;=TrafficData[[#This Row],[totalAmount]])</f>
        <v>1</v>
      </c>
      <c r="P352" t="b">
        <f>AND(TrafficData[[#This Row],[pendingCourt]]&lt;=TrafficData[[#This Row],[totalCourt]],TrafficData[[#This Row],[disposedCourt]]&lt;=TrafficData[[#This Row],[totalCourt]])</f>
        <v>1</v>
      </c>
    </row>
    <row r="353" spans="1:16">
      <c r="A353" s="1">
        <v>42356</v>
      </c>
      <c r="B353">
        <v>1207</v>
      </c>
      <c r="C353">
        <v>165</v>
      </c>
      <c r="D353">
        <v>1042</v>
      </c>
      <c r="E353">
        <v>1377555</v>
      </c>
      <c r="F353">
        <v>335850</v>
      </c>
      <c r="G353">
        <v>1713405</v>
      </c>
      <c r="H353">
        <v>881</v>
      </c>
      <c r="I353">
        <v>61</v>
      </c>
      <c r="J353">
        <v>942</v>
      </c>
      <c r="K353" t="b">
        <f>TrafficData[[#This Row],[disposedChallan]]+TrafficData[[#This Row],[pendingChallan]]=TrafficData[[#This Row],[totalChallan]]</f>
        <v>1</v>
      </c>
      <c r="L353" t="b">
        <f>TrafficData[[#This Row],[pendingAmount]]+TrafficData[[#This Row],[disposedAmount]]=TrafficData[[#This Row],[totalAmount]]</f>
        <v>1</v>
      </c>
      <c r="M353" t="b">
        <f>TrafficData[[#This Row],[pendingCourt]]+TrafficData[[#This Row],[disposedCourt]]=TrafficData[[#This Row],[totalCourt]]</f>
        <v>1</v>
      </c>
      <c r="N353" t="b">
        <f>AND(TrafficData[[#This Row],[disposedChallan]]&lt;=TrafficData[[#This Row],[totalChallan]],TrafficData[[#This Row],[pendingChallan]]&lt;=TrafficData[[#This Row],[totalChallan]])</f>
        <v>1</v>
      </c>
      <c r="O353" t="b">
        <f>AND(TrafficData[[#This Row],[pendingAmount]]&lt;=TrafficData[[#This Row],[totalAmount]],TrafficData[[#This Row],[disposedAmount]]&lt;=TrafficData[[#This Row],[totalAmount]])</f>
        <v>1</v>
      </c>
      <c r="P353" t="b">
        <f>AND(TrafficData[[#This Row],[pendingCourt]]&lt;=TrafficData[[#This Row],[totalCourt]],TrafficData[[#This Row],[disposedCourt]]&lt;=TrafficData[[#This Row],[totalCourt]])</f>
        <v>1</v>
      </c>
    </row>
    <row r="354" spans="1:16">
      <c r="A354" s="1">
        <v>42357</v>
      </c>
      <c r="B354">
        <v>1052</v>
      </c>
      <c r="C354">
        <v>126</v>
      </c>
      <c r="D354">
        <v>926</v>
      </c>
      <c r="E354">
        <v>770040</v>
      </c>
      <c r="F354">
        <v>227550</v>
      </c>
      <c r="G354">
        <v>997590</v>
      </c>
      <c r="H354">
        <v>803</v>
      </c>
      <c r="I354">
        <v>27</v>
      </c>
      <c r="J354">
        <v>830</v>
      </c>
      <c r="K354" t="b">
        <f>TrafficData[[#This Row],[disposedChallan]]+TrafficData[[#This Row],[pendingChallan]]=TrafficData[[#This Row],[totalChallan]]</f>
        <v>1</v>
      </c>
      <c r="L354" t="b">
        <f>TrafficData[[#This Row],[pendingAmount]]+TrafficData[[#This Row],[disposedAmount]]=TrafficData[[#This Row],[totalAmount]]</f>
        <v>1</v>
      </c>
      <c r="M354" t="b">
        <f>TrafficData[[#This Row],[pendingCourt]]+TrafficData[[#This Row],[disposedCourt]]=TrafficData[[#This Row],[totalCourt]]</f>
        <v>1</v>
      </c>
      <c r="N354" t="b">
        <f>AND(TrafficData[[#This Row],[disposedChallan]]&lt;=TrafficData[[#This Row],[totalChallan]],TrafficData[[#This Row],[pendingChallan]]&lt;=TrafficData[[#This Row],[totalChallan]])</f>
        <v>1</v>
      </c>
      <c r="O354" t="b">
        <f>AND(TrafficData[[#This Row],[pendingAmount]]&lt;=TrafficData[[#This Row],[totalAmount]],TrafficData[[#This Row],[disposedAmount]]&lt;=TrafficData[[#This Row],[totalAmount]])</f>
        <v>1</v>
      </c>
      <c r="P354" t="b">
        <f>AND(TrafficData[[#This Row],[pendingCourt]]&lt;=TrafficData[[#This Row],[totalCourt]],TrafficData[[#This Row],[disposedCourt]]&lt;=TrafficData[[#This Row],[totalCourt]])</f>
        <v>1</v>
      </c>
    </row>
    <row r="355" spans="1:16">
      <c r="A355" s="1">
        <v>42358</v>
      </c>
      <c r="B355">
        <v>750</v>
      </c>
      <c r="C355">
        <v>80</v>
      </c>
      <c r="D355">
        <v>670</v>
      </c>
      <c r="E355">
        <v>353460</v>
      </c>
      <c r="F355">
        <v>91900</v>
      </c>
      <c r="G355">
        <v>445360</v>
      </c>
      <c r="H355">
        <v>629</v>
      </c>
      <c r="I355">
        <v>45</v>
      </c>
      <c r="J355">
        <v>674</v>
      </c>
      <c r="K355" t="b">
        <f>TrafficData[[#This Row],[disposedChallan]]+TrafficData[[#This Row],[pendingChallan]]=TrafficData[[#This Row],[totalChallan]]</f>
        <v>1</v>
      </c>
      <c r="L355" t="b">
        <f>TrafficData[[#This Row],[pendingAmount]]+TrafficData[[#This Row],[disposedAmount]]=TrafficData[[#This Row],[totalAmount]]</f>
        <v>1</v>
      </c>
      <c r="M355" t="b">
        <f>TrafficData[[#This Row],[pendingCourt]]+TrafficData[[#This Row],[disposedCourt]]=TrafficData[[#This Row],[totalCourt]]</f>
        <v>1</v>
      </c>
      <c r="N355" t="b">
        <f>AND(TrafficData[[#This Row],[disposedChallan]]&lt;=TrafficData[[#This Row],[totalChallan]],TrafficData[[#This Row],[pendingChallan]]&lt;=TrafficData[[#This Row],[totalChallan]])</f>
        <v>1</v>
      </c>
      <c r="O355" t="b">
        <f>AND(TrafficData[[#This Row],[pendingAmount]]&lt;=TrafficData[[#This Row],[totalAmount]],TrafficData[[#This Row],[disposedAmount]]&lt;=TrafficData[[#This Row],[totalAmount]])</f>
        <v>1</v>
      </c>
      <c r="P355" t="b">
        <f>AND(TrafficData[[#This Row],[pendingCourt]]&lt;=TrafficData[[#This Row],[totalCourt]],TrafficData[[#This Row],[disposedCourt]]&lt;=TrafficData[[#This Row],[totalCourt]])</f>
        <v>1</v>
      </c>
    </row>
    <row r="356" spans="1:16">
      <c r="A356" s="1">
        <v>42359</v>
      </c>
      <c r="B356">
        <v>1078</v>
      </c>
      <c r="C356">
        <v>101</v>
      </c>
      <c r="D356">
        <v>977</v>
      </c>
      <c r="E356">
        <v>614200</v>
      </c>
      <c r="F356">
        <v>110400</v>
      </c>
      <c r="G356">
        <v>724600</v>
      </c>
      <c r="H356">
        <v>872</v>
      </c>
      <c r="I356">
        <v>46</v>
      </c>
      <c r="J356">
        <v>918</v>
      </c>
      <c r="K356" t="b">
        <f>TrafficData[[#This Row],[disposedChallan]]+TrafficData[[#This Row],[pendingChallan]]=TrafficData[[#This Row],[totalChallan]]</f>
        <v>1</v>
      </c>
      <c r="L356" t="b">
        <f>TrafficData[[#This Row],[pendingAmount]]+TrafficData[[#This Row],[disposedAmount]]=TrafficData[[#This Row],[totalAmount]]</f>
        <v>1</v>
      </c>
      <c r="M356" t="b">
        <f>TrafficData[[#This Row],[pendingCourt]]+TrafficData[[#This Row],[disposedCourt]]=TrafficData[[#This Row],[totalCourt]]</f>
        <v>1</v>
      </c>
      <c r="N356" t="b">
        <f>AND(TrafficData[[#This Row],[disposedChallan]]&lt;=TrafficData[[#This Row],[totalChallan]],TrafficData[[#This Row],[pendingChallan]]&lt;=TrafficData[[#This Row],[totalChallan]])</f>
        <v>1</v>
      </c>
      <c r="O356" t="b">
        <f>AND(TrafficData[[#This Row],[pendingAmount]]&lt;=TrafficData[[#This Row],[totalAmount]],TrafficData[[#This Row],[disposedAmount]]&lt;=TrafficData[[#This Row],[totalAmount]])</f>
        <v>1</v>
      </c>
      <c r="P356" t="b">
        <f>AND(TrafficData[[#This Row],[pendingCourt]]&lt;=TrafficData[[#This Row],[totalCourt]],TrafficData[[#This Row],[disposedCourt]]&lt;=TrafficData[[#This Row],[totalCourt]])</f>
        <v>1</v>
      </c>
    </row>
    <row r="357" spans="1:16">
      <c r="A357" s="1">
        <v>42360</v>
      </c>
      <c r="B357">
        <v>1114</v>
      </c>
      <c r="C357">
        <v>141</v>
      </c>
      <c r="D357">
        <v>973</v>
      </c>
      <c r="E357">
        <v>834450</v>
      </c>
      <c r="F357">
        <v>284550</v>
      </c>
      <c r="G357">
        <v>1119000</v>
      </c>
      <c r="H357">
        <v>889</v>
      </c>
      <c r="I357">
        <v>17</v>
      </c>
      <c r="J357">
        <v>906</v>
      </c>
      <c r="K357" t="b">
        <f>TrafficData[[#This Row],[disposedChallan]]+TrafficData[[#This Row],[pendingChallan]]=TrafficData[[#This Row],[totalChallan]]</f>
        <v>1</v>
      </c>
      <c r="L357" t="b">
        <f>TrafficData[[#This Row],[pendingAmount]]+TrafficData[[#This Row],[disposedAmount]]=TrafficData[[#This Row],[totalAmount]]</f>
        <v>1</v>
      </c>
      <c r="M357" t="b">
        <f>TrafficData[[#This Row],[pendingCourt]]+TrafficData[[#This Row],[disposedCourt]]=TrafficData[[#This Row],[totalCourt]]</f>
        <v>1</v>
      </c>
      <c r="N357" t="b">
        <f>AND(TrafficData[[#This Row],[disposedChallan]]&lt;=TrafficData[[#This Row],[totalChallan]],TrafficData[[#This Row],[pendingChallan]]&lt;=TrafficData[[#This Row],[totalChallan]])</f>
        <v>1</v>
      </c>
      <c r="O357" t="b">
        <f>AND(TrafficData[[#This Row],[pendingAmount]]&lt;=TrafficData[[#This Row],[totalAmount]],TrafficData[[#This Row],[disposedAmount]]&lt;=TrafficData[[#This Row],[totalAmount]])</f>
        <v>1</v>
      </c>
      <c r="P357" t="b">
        <f>AND(TrafficData[[#This Row],[pendingCourt]]&lt;=TrafficData[[#This Row],[totalCourt]],TrafficData[[#This Row],[disposedCourt]]&lt;=TrafficData[[#This Row],[totalCourt]])</f>
        <v>1</v>
      </c>
    </row>
    <row r="358" spans="1:16">
      <c r="A358" s="1">
        <v>42361</v>
      </c>
      <c r="B358">
        <v>1109</v>
      </c>
      <c r="C358">
        <v>122</v>
      </c>
      <c r="D358">
        <v>987</v>
      </c>
      <c r="E358">
        <v>689245</v>
      </c>
      <c r="F358">
        <v>150850</v>
      </c>
      <c r="G358">
        <v>840095</v>
      </c>
      <c r="H358">
        <v>916</v>
      </c>
      <c r="I358">
        <v>21</v>
      </c>
      <c r="J358">
        <v>937</v>
      </c>
      <c r="K358" t="b">
        <f>TrafficData[[#This Row],[disposedChallan]]+TrafficData[[#This Row],[pendingChallan]]=TrafficData[[#This Row],[totalChallan]]</f>
        <v>1</v>
      </c>
      <c r="L358" t="b">
        <f>TrafficData[[#This Row],[pendingAmount]]+TrafficData[[#This Row],[disposedAmount]]=TrafficData[[#This Row],[totalAmount]]</f>
        <v>1</v>
      </c>
      <c r="M358" t="b">
        <f>TrafficData[[#This Row],[pendingCourt]]+TrafficData[[#This Row],[disposedCourt]]=TrafficData[[#This Row],[totalCourt]]</f>
        <v>1</v>
      </c>
      <c r="N358" t="b">
        <f>AND(TrafficData[[#This Row],[disposedChallan]]&lt;=TrafficData[[#This Row],[totalChallan]],TrafficData[[#This Row],[pendingChallan]]&lt;=TrafficData[[#This Row],[totalChallan]])</f>
        <v>1</v>
      </c>
      <c r="O358" t="b">
        <f>AND(TrafficData[[#This Row],[pendingAmount]]&lt;=TrafficData[[#This Row],[totalAmount]],TrafficData[[#This Row],[disposedAmount]]&lt;=TrafficData[[#This Row],[totalAmount]])</f>
        <v>1</v>
      </c>
      <c r="P358" t="b">
        <f>AND(TrafficData[[#This Row],[pendingCourt]]&lt;=TrafficData[[#This Row],[totalCourt]],TrafficData[[#This Row],[disposedCourt]]&lt;=TrafficData[[#This Row],[totalCourt]])</f>
        <v>1</v>
      </c>
    </row>
    <row r="359" spans="1:16">
      <c r="A359" s="1">
        <v>42362</v>
      </c>
      <c r="B359">
        <v>761</v>
      </c>
      <c r="C359">
        <v>92</v>
      </c>
      <c r="D359">
        <v>669</v>
      </c>
      <c r="E359">
        <v>458975</v>
      </c>
      <c r="F359">
        <v>109800</v>
      </c>
      <c r="G359">
        <v>568775</v>
      </c>
      <c r="H359">
        <v>613</v>
      </c>
      <c r="I359">
        <v>42</v>
      </c>
      <c r="J359">
        <v>655</v>
      </c>
      <c r="K359" t="b">
        <f>TrafficData[[#This Row],[disposedChallan]]+TrafficData[[#This Row],[pendingChallan]]=TrafficData[[#This Row],[totalChallan]]</f>
        <v>1</v>
      </c>
      <c r="L359" t="b">
        <f>TrafficData[[#This Row],[pendingAmount]]+TrafficData[[#This Row],[disposedAmount]]=TrafficData[[#This Row],[totalAmount]]</f>
        <v>1</v>
      </c>
      <c r="M359" t="b">
        <f>TrafficData[[#This Row],[pendingCourt]]+TrafficData[[#This Row],[disposedCourt]]=TrafficData[[#This Row],[totalCourt]]</f>
        <v>1</v>
      </c>
      <c r="N359" t="b">
        <f>AND(TrafficData[[#This Row],[disposedChallan]]&lt;=TrafficData[[#This Row],[totalChallan]],TrafficData[[#This Row],[pendingChallan]]&lt;=TrafficData[[#This Row],[totalChallan]])</f>
        <v>1</v>
      </c>
      <c r="O359" t="b">
        <f>AND(TrafficData[[#This Row],[pendingAmount]]&lt;=TrafficData[[#This Row],[totalAmount]],TrafficData[[#This Row],[disposedAmount]]&lt;=TrafficData[[#This Row],[totalAmount]])</f>
        <v>1</v>
      </c>
      <c r="P359" t="b">
        <f>AND(TrafficData[[#This Row],[pendingCourt]]&lt;=TrafficData[[#This Row],[totalCourt]],TrafficData[[#This Row],[disposedCourt]]&lt;=TrafficData[[#This Row],[totalCourt]])</f>
        <v>1</v>
      </c>
    </row>
    <row r="360" spans="1:16">
      <c r="A360" s="1">
        <v>42363</v>
      </c>
      <c r="B360">
        <v>804</v>
      </c>
      <c r="C360">
        <v>89</v>
      </c>
      <c r="D360">
        <v>715</v>
      </c>
      <c r="E360">
        <v>346550</v>
      </c>
      <c r="F360">
        <v>75700</v>
      </c>
      <c r="G360">
        <v>422250</v>
      </c>
      <c r="H360">
        <v>659</v>
      </c>
      <c r="I360">
        <v>47</v>
      </c>
      <c r="J360">
        <v>706</v>
      </c>
      <c r="K360" t="b">
        <f>TrafficData[[#This Row],[disposedChallan]]+TrafficData[[#This Row],[pendingChallan]]=TrafficData[[#This Row],[totalChallan]]</f>
        <v>1</v>
      </c>
      <c r="L360" t="b">
        <f>TrafficData[[#This Row],[pendingAmount]]+TrafficData[[#This Row],[disposedAmount]]=TrafficData[[#This Row],[totalAmount]]</f>
        <v>1</v>
      </c>
      <c r="M360" t="b">
        <f>TrafficData[[#This Row],[pendingCourt]]+TrafficData[[#This Row],[disposedCourt]]=TrafficData[[#This Row],[totalCourt]]</f>
        <v>1</v>
      </c>
      <c r="N360" t="b">
        <f>AND(TrafficData[[#This Row],[disposedChallan]]&lt;=TrafficData[[#This Row],[totalChallan]],TrafficData[[#This Row],[pendingChallan]]&lt;=TrafficData[[#This Row],[totalChallan]])</f>
        <v>1</v>
      </c>
      <c r="O360" t="b">
        <f>AND(TrafficData[[#This Row],[pendingAmount]]&lt;=TrafficData[[#This Row],[totalAmount]],TrafficData[[#This Row],[disposedAmount]]&lt;=TrafficData[[#This Row],[totalAmount]])</f>
        <v>1</v>
      </c>
      <c r="P360" t="b">
        <f>AND(TrafficData[[#This Row],[pendingCourt]]&lt;=TrafficData[[#This Row],[totalCourt]],TrafficData[[#This Row],[disposedCourt]]&lt;=TrafficData[[#This Row],[totalCourt]])</f>
        <v>1</v>
      </c>
    </row>
    <row r="361" spans="1:16">
      <c r="A361" s="1">
        <v>42364</v>
      </c>
      <c r="B361">
        <v>940</v>
      </c>
      <c r="C361">
        <v>110</v>
      </c>
      <c r="D361">
        <v>830</v>
      </c>
      <c r="E361">
        <v>814000</v>
      </c>
      <c r="F361">
        <v>84069</v>
      </c>
      <c r="G361">
        <v>898069</v>
      </c>
      <c r="H361">
        <v>771</v>
      </c>
      <c r="I361">
        <v>66</v>
      </c>
      <c r="J361">
        <v>837</v>
      </c>
      <c r="K361" t="b">
        <f>TrafficData[[#This Row],[disposedChallan]]+TrafficData[[#This Row],[pendingChallan]]=TrafficData[[#This Row],[totalChallan]]</f>
        <v>1</v>
      </c>
      <c r="L361" t="b">
        <f>TrafficData[[#This Row],[pendingAmount]]+TrafficData[[#This Row],[disposedAmount]]=TrafficData[[#This Row],[totalAmount]]</f>
        <v>1</v>
      </c>
      <c r="M361" t="b">
        <f>TrafficData[[#This Row],[pendingCourt]]+TrafficData[[#This Row],[disposedCourt]]=TrafficData[[#This Row],[totalCourt]]</f>
        <v>1</v>
      </c>
      <c r="N361" t="b">
        <f>AND(TrafficData[[#This Row],[disposedChallan]]&lt;=TrafficData[[#This Row],[totalChallan]],TrafficData[[#This Row],[pendingChallan]]&lt;=TrafficData[[#This Row],[totalChallan]])</f>
        <v>1</v>
      </c>
      <c r="O361" t="b">
        <f>AND(TrafficData[[#This Row],[pendingAmount]]&lt;=TrafficData[[#This Row],[totalAmount]],TrafficData[[#This Row],[disposedAmount]]&lt;=TrafficData[[#This Row],[totalAmount]])</f>
        <v>1</v>
      </c>
      <c r="P361" t="b">
        <f>AND(TrafficData[[#This Row],[pendingCourt]]&lt;=TrafficData[[#This Row],[totalCourt]],TrafficData[[#This Row],[disposedCourt]]&lt;=TrafficData[[#This Row],[totalCourt]])</f>
        <v>1</v>
      </c>
    </row>
    <row r="362" spans="1:16">
      <c r="A362" s="1">
        <v>42365</v>
      </c>
      <c r="B362">
        <v>667</v>
      </c>
      <c r="C362">
        <v>94</v>
      </c>
      <c r="D362">
        <v>573</v>
      </c>
      <c r="E362">
        <v>483100</v>
      </c>
      <c r="F362">
        <v>102627</v>
      </c>
      <c r="G362">
        <v>585727</v>
      </c>
      <c r="H362">
        <v>505</v>
      </c>
      <c r="I362">
        <v>20</v>
      </c>
      <c r="J362">
        <v>525</v>
      </c>
      <c r="K362" t="b">
        <f>TrafficData[[#This Row],[disposedChallan]]+TrafficData[[#This Row],[pendingChallan]]=TrafficData[[#This Row],[totalChallan]]</f>
        <v>1</v>
      </c>
      <c r="L362" t="b">
        <f>TrafficData[[#This Row],[pendingAmount]]+TrafficData[[#This Row],[disposedAmount]]=TrafficData[[#This Row],[totalAmount]]</f>
        <v>1</v>
      </c>
      <c r="M362" t="b">
        <f>TrafficData[[#This Row],[pendingCourt]]+TrafficData[[#This Row],[disposedCourt]]=TrafficData[[#This Row],[totalCourt]]</f>
        <v>1</v>
      </c>
      <c r="N362" t="b">
        <f>AND(TrafficData[[#This Row],[disposedChallan]]&lt;=TrafficData[[#This Row],[totalChallan]],TrafficData[[#This Row],[pendingChallan]]&lt;=TrafficData[[#This Row],[totalChallan]])</f>
        <v>1</v>
      </c>
      <c r="O362" t="b">
        <f>AND(TrafficData[[#This Row],[pendingAmount]]&lt;=TrafficData[[#This Row],[totalAmount]],TrafficData[[#This Row],[disposedAmount]]&lt;=TrafficData[[#This Row],[totalAmount]])</f>
        <v>1</v>
      </c>
      <c r="P362" t="b">
        <f>AND(TrafficData[[#This Row],[pendingCourt]]&lt;=TrafficData[[#This Row],[totalCourt]],TrafficData[[#This Row],[disposedCourt]]&lt;=TrafficData[[#This Row],[totalCourt]])</f>
        <v>1</v>
      </c>
    </row>
    <row r="363" spans="1:16">
      <c r="A363" s="1">
        <v>42366</v>
      </c>
      <c r="B363">
        <v>960</v>
      </c>
      <c r="C363">
        <v>112</v>
      </c>
      <c r="D363">
        <v>848</v>
      </c>
      <c r="E363">
        <v>786475</v>
      </c>
      <c r="F363">
        <v>157500</v>
      </c>
      <c r="G363">
        <v>943975</v>
      </c>
      <c r="H363">
        <v>749</v>
      </c>
      <c r="I363">
        <v>20</v>
      </c>
      <c r="J363">
        <v>769</v>
      </c>
      <c r="K363" t="b">
        <f>TrafficData[[#This Row],[disposedChallan]]+TrafficData[[#This Row],[pendingChallan]]=TrafficData[[#This Row],[totalChallan]]</f>
        <v>1</v>
      </c>
      <c r="L363" t="b">
        <f>TrafficData[[#This Row],[pendingAmount]]+TrafficData[[#This Row],[disposedAmount]]=TrafficData[[#This Row],[totalAmount]]</f>
        <v>1</v>
      </c>
      <c r="M363" t="b">
        <f>TrafficData[[#This Row],[pendingCourt]]+TrafficData[[#This Row],[disposedCourt]]=TrafficData[[#This Row],[totalCourt]]</f>
        <v>1</v>
      </c>
      <c r="N363" t="b">
        <f>AND(TrafficData[[#This Row],[disposedChallan]]&lt;=TrafficData[[#This Row],[totalChallan]],TrafficData[[#This Row],[pendingChallan]]&lt;=TrafficData[[#This Row],[totalChallan]])</f>
        <v>1</v>
      </c>
      <c r="O363" t="b">
        <f>AND(TrafficData[[#This Row],[pendingAmount]]&lt;=TrafficData[[#This Row],[totalAmount]],TrafficData[[#This Row],[disposedAmount]]&lt;=TrafficData[[#This Row],[totalAmount]])</f>
        <v>1</v>
      </c>
      <c r="P363" t="b">
        <f>AND(TrafficData[[#This Row],[pendingCourt]]&lt;=TrafficData[[#This Row],[totalCourt]],TrafficData[[#This Row],[disposedCourt]]&lt;=TrafficData[[#This Row],[totalCourt]])</f>
        <v>1</v>
      </c>
    </row>
    <row r="364" spans="1:16">
      <c r="A364" s="1">
        <v>42367</v>
      </c>
      <c r="B364">
        <v>887</v>
      </c>
      <c r="C364">
        <v>70</v>
      </c>
      <c r="D364">
        <v>817</v>
      </c>
      <c r="E364">
        <v>695025</v>
      </c>
      <c r="F364">
        <v>116894</v>
      </c>
      <c r="G364">
        <v>811919</v>
      </c>
      <c r="H364">
        <v>740</v>
      </c>
      <c r="I364">
        <v>36</v>
      </c>
      <c r="J364">
        <v>776</v>
      </c>
      <c r="K364" t="b">
        <f>TrafficData[[#This Row],[disposedChallan]]+TrafficData[[#This Row],[pendingChallan]]=TrafficData[[#This Row],[totalChallan]]</f>
        <v>1</v>
      </c>
      <c r="L364" t="b">
        <f>TrafficData[[#This Row],[pendingAmount]]+TrafficData[[#This Row],[disposedAmount]]=TrafficData[[#This Row],[totalAmount]]</f>
        <v>1</v>
      </c>
      <c r="M364" t="b">
        <f>TrafficData[[#This Row],[pendingCourt]]+TrafficData[[#This Row],[disposedCourt]]=TrafficData[[#This Row],[totalCourt]]</f>
        <v>1</v>
      </c>
      <c r="N364" t="b">
        <f>AND(TrafficData[[#This Row],[disposedChallan]]&lt;=TrafficData[[#This Row],[totalChallan]],TrafficData[[#This Row],[pendingChallan]]&lt;=TrafficData[[#This Row],[totalChallan]])</f>
        <v>1</v>
      </c>
      <c r="O364" t="b">
        <f>AND(TrafficData[[#This Row],[pendingAmount]]&lt;=TrafficData[[#This Row],[totalAmount]],TrafficData[[#This Row],[disposedAmount]]&lt;=TrafficData[[#This Row],[totalAmount]])</f>
        <v>1</v>
      </c>
      <c r="P364" t="b">
        <f>AND(TrafficData[[#This Row],[pendingCourt]]&lt;=TrafficData[[#This Row],[totalCourt]],TrafficData[[#This Row],[disposedCourt]]&lt;=TrafficData[[#This Row],[totalCourt]])</f>
        <v>1</v>
      </c>
    </row>
    <row r="365" spans="1:16">
      <c r="A365" s="1">
        <v>42368</v>
      </c>
      <c r="B365">
        <v>832</v>
      </c>
      <c r="C365">
        <v>124</v>
      </c>
      <c r="D365">
        <v>708</v>
      </c>
      <c r="E365">
        <v>548200</v>
      </c>
      <c r="F365">
        <v>186675</v>
      </c>
      <c r="G365">
        <v>734875</v>
      </c>
      <c r="H365">
        <v>627</v>
      </c>
      <c r="I365">
        <v>63</v>
      </c>
      <c r="J365">
        <v>690</v>
      </c>
      <c r="K365" t="b">
        <f>TrafficData[[#This Row],[disposedChallan]]+TrafficData[[#This Row],[pendingChallan]]=TrafficData[[#This Row],[totalChallan]]</f>
        <v>1</v>
      </c>
      <c r="L365" t="b">
        <f>TrafficData[[#This Row],[pendingAmount]]+TrafficData[[#This Row],[disposedAmount]]=TrafficData[[#This Row],[totalAmount]]</f>
        <v>1</v>
      </c>
      <c r="M365" t="b">
        <f>TrafficData[[#This Row],[pendingCourt]]+TrafficData[[#This Row],[disposedCourt]]=TrafficData[[#This Row],[totalCourt]]</f>
        <v>1</v>
      </c>
      <c r="N365" t="b">
        <f>AND(TrafficData[[#This Row],[disposedChallan]]&lt;=TrafficData[[#This Row],[totalChallan]],TrafficData[[#This Row],[pendingChallan]]&lt;=TrafficData[[#This Row],[totalChallan]])</f>
        <v>1</v>
      </c>
      <c r="O365" t="b">
        <f>AND(TrafficData[[#This Row],[pendingAmount]]&lt;=TrafficData[[#This Row],[totalAmount]],TrafficData[[#This Row],[disposedAmount]]&lt;=TrafficData[[#This Row],[totalAmount]])</f>
        <v>1</v>
      </c>
      <c r="P365" t="b">
        <f>AND(TrafficData[[#This Row],[pendingCourt]]&lt;=TrafficData[[#This Row],[totalCourt]],TrafficData[[#This Row],[disposedCourt]]&lt;=TrafficData[[#This Row],[totalCourt]])</f>
        <v>1</v>
      </c>
    </row>
    <row r="366" spans="1:16">
      <c r="A366" s="1">
        <v>42369</v>
      </c>
      <c r="B366">
        <v>667</v>
      </c>
      <c r="C366">
        <v>90</v>
      </c>
      <c r="D366">
        <v>577</v>
      </c>
      <c r="E366">
        <v>442800</v>
      </c>
      <c r="F366">
        <v>181050</v>
      </c>
      <c r="G366">
        <v>623850</v>
      </c>
      <c r="H366">
        <v>511</v>
      </c>
      <c r="I366">
        <v>31</v>
      </c>
      <c r="J366">
        <v>542</v>
      </c>
      <c r="K366" t="b">
        <f>TrafficData[[#This Row],[disposedChallan]]+TrafficData[[#This Row],[pendingChallan]]=TrafficData[[#This Row],[totalChallan]]</f>
        <v>1</v>
      </c>
      <c r="L366" t="b">
        <f>TrafficData[[#This Row],[pendingAmount]]+TrafficData[[#This Row],[disposedAmount]]=TrafficData[[#This Row],[totalAmount]]</f>
        <v>1</v>
      </c>
      <c r="M366" t="b">
        <f>TrafficData[[#This Row],[pendingCourt]]+TrafficData[[#This Row],[disposedCourt]]=TrafficData[[#This Row],[totalCourt]]</f>
        <v>1</v>
      </c>
      <c r="N366" t="b">
        <f>AND(TrafficData[[#This Row],[disposedChallan]]&lt;=TrafficData[[#This Row],[totalChallan]],TrafficData[[#This Row],[pendingChallan]]&lt;=TrafficData[[#This Row],[totalChallan]])</f>
        <v>1</v>
      </c>
      <c r="O366" t="b">
        <f>AND(TrafficData[[#This Row],[pendingAmount]]&lt;=TrafficData[[#This Row],[totalAmount]],TrafficData[[#This Row],[disposedAmount]]&lt;=TrafficData[[#This Row],[totalAmount]])</f>
        <v>1</v>
      </c>
      <c r="P366" t="b">
        <f>AND(TrafficData[[#This Row],[pendingCourt]]&lt;=TrafficData[[#This Row],[totalCourt]],TrafficData[[#This Row],[disposedCourt]]&lt;=TrafficData[[#This Row],[totalCourt]])</f>
        <v>1</v>
      </c>
    </row>
    <row r="367" spans="1:16">
      <c r="A367" s="1">
        <v>42370</v>
      </c>
      <c r="B367">
        <v>700</v>
      </c>
      <c r="C367">
        <v>122</v>
      </c>
      <c r="D367">
        <v>578</v>
      </c>
      <c r="E367">
        <v>692125</v>
      </c>
      <c r="F367">
        <v>265300</v>
      </c>
      <c r="G367">
        <v>957425</v>
      </c>
      <c r="H367">
        <v>398</v>
      </c>
      <c r="I367">
        <v>16</v>
      </c>
      <c r="J367">
        <v>414</v>
      </c>
      <c r="K367" t="b">
        <f>TrafficData[[#This Row],[disposedChallan]]+TrafficData[[#This Row],[pendingChallan]]=TrafficData[[#This Row],[totalChallan]]</f>
        <v>1</v>
      </c>
      <c r="L367" t="b">
        <f>TrafficData[[#This Row],[pendingAmount]]+TrafficData[[#This Row],[disposedAmount]]=TrafficData[[#This Row],[totalAmount]]</f>
        <v>1</v>
      </c>
      <c r="M367" t="b">
        <f>TrafficData[[#This Row],[pendingCourt]]+TrafficData[[#This Row],[disposedCourt]]=TrafficData[[#This Row],[totalCourt]]</f>
        <v>1</v>
      </c>
      <c r="N367" t="b">
        <f>AND(TrafficData[[#This Row],[disposedChallan]]&lt;=TrafficData[[#This Row],[totalChallan]],TrafficData[[#This Row],[pendingChallan]]&lt;=TrafficData[[#This Row],[totalChallan]])</f>
        <v>1</v>
      </c>
      <c r="O367" t="b">
        <f>AND(TrafficData[[#This Row],[pendingAmount]]&lt;=TrafficData[[#This Row],[totalAmount]],TrafficData[[#This Row],[disposedAmount]]&lt;=TrafficData[[#This Row],[totalAmount]])</f>
        <v>1</v>
      </c>
      <c r="P367" t="b">
        <f>AND(TrafficData[[#This Row],[pendingCourt]]&lt;=TrafficData[[#This Row],[totalCourt]],TrafficData[[#This Row],[disposedCourt]]&lt;=TrafficData[[#This Row],[totalCourt]])</f>
        <v>1</v>
      </c>
    </row>
    <row r="368" spans="1:16">
      <c r="A368" s="1">
        <v>42371</v>
      </c>
      <c r="B368">
        <v>922</v>
      </c>
      <c r="C368">
        <v>122</v>
      </c>
      <c r="D368">
        <v>800</v>
      </c>
      <c r="E368">
        <v>631630</v>
      </c>
      <c r="F368">
        <v>280950</v>
      </c>
      <c r="G368">
        <v>912580</v>
      </c>
      <c r="H368">
        <v>555</v>
      </c>
      <c r="I368">
        <v>17</v>
      </c>
      <c r="J368">
        <v>572</v>
      </c>
      <c r="K368" t="b">
        <f>TrafficData[[#This Row],[disposedChallan]]+TrafficData[[#This Row],[pendingChallan]]=TrafficData[[#This Row],[totalChallan]]</f>
        <v>1</v>
      </c>
      <c r="L368" t="b">
        <f>TrafficData[[#This Row],[pendingAmount]]+TrafficData[[#This Row],[disposedAmount]]=TrafficData[[#This Row],[totalAmount]]</f>
        <v>1</v>
      </c>
      <c r="M368" t="b">
        <f>TrafficData[[#This Row],[pendingCourt]]+TrafficData[[#This Row],[disposedCourt]]=TrafficData[[#This Row],[totalCourt]]</f>
        <v>1</v>
      </c>
      <c r="N368" t="b">
        <f>AND(TrafficData[[#This Row],[disposedChallan]]&lt;=TrafficData[[#This Row],[totalChallan]],TrafficData[[#This Row],[pendingChallan]]&lt;=TrafficData[[#This Row],[totalChallan]])</f>
        <v>1</v>
      </c>
      <c r="O368" t="b">
        <f>AND(TrafficData[[#This Row],[pendingAmount]]&lt;=TrafficData[[#This Row],[totalAmount]],TrafficData[[#This Row],[disposedAmount]]&lt;=TrafficData[[#This Row],[totalAmount]])</f>
        <v>1</v>
      </c>
      <c r="P368" t="b">
        <f>AND(TrafficData[[#This Row],[pendingCourt]]&lt;=TrafficData[[#This Row],[totalCourt]],TrafficData[[#This Row],[disposedCourt]]&lt;=TrafficData[[#This Row],[totalCourt]])</f>
        <v>1</v>
      </c>
    </row>
    <row r="369" spans="1:16">
      <c r="A369" s="1">
        <v>42372</v>
      </c>
      <c r="B369">
        <v>487</v>
      </c>
      <c r="C369">
        <v>70</v>
      </c>
      <c r="D369">
        <v>417</v>
      </c>
      <c r="E369">
        <v>316430</v>
      </c>
      <c r="F369">
        <v>152628</v>
      </c>
      <c r="G369">
        <v>469058</v>
      </c>
      <c r="H369">
        <v>297</v>
      </c>
      <c r="I369">
        <v>25</v>
      </c>
      <c r="J369">
        <v>322</v>
      </c>
      <c r="K369" t="b">
        <f>TrafficData[[#This Row],[disposedChallan]]+TrafficData[[#This Row],[pendingChallan]]=TrafficData[[#This Row],[totalChallan]]</f>
        <v>1</v>
      </c>
      <c r="L369" t="b">
        <f>TrafficData[[#This Row],[pendingAmount]]+TrafficData[[#This Row],[disposedAmount]]=TrafficData[[#This Row],[totalAmount]]</f>
        <v>1</v>
      </c>
      <c r="M369" t="b">
        <f>TrafficData[[#This Row],[pendingCourt]]+TrafficData[[#This Row],[disposedCourt]]=TrafficData[[#This Row],[totalCourt]]</f>
        <v>1</v>
      </c>
      <c r="N369" t="b">
        <f>AND(TrafficData[[#This Row],[disposedChallan]]&lt;=TrafficData[[#This Row],[totalChallan]],TrafficData[[#This Row],[pendingChallan]]&lt;=TrafficData[[#This Row],[totalChallan]])</f>
        <v>1</v>
      </c>
      <c r="O369" t="b">
        <f>AND(TrafficData[[#This Row],[pendingAmount]]&lt;=TrafficData[[#This Row],[totalAmount]],TrafficData[[#This Row],[disposedAmount]]&lt;=TrafficData[[#This Row],[totalAmount]])</f>
        <v>1</v>
      </c>
      <c r="P369" t="b">
        <f>AND(TrafficData[[#This Row],[pendingCourt]]&lt;=TrafficData[[#This Row],[totalCourt]],TrafficData[[#This Row],[disposedCourt]]&lt;=TrafficData[[#This Row],[totalCourt]])</f>
        <v>1</v>
      </c>
    </row>
    <row r="370" spans="1:16">
      <c r="A370" s="1">
        <v>42373</v>
      </c>
      <c r="B370">
        <v>777</v>
      </c>
      <c r="C370">
        <v>108</v>
      </c>
      <c r="D370">
        <v>669</v>
      </c>
      <c r="E370">
        <v>625480</v>
      </c>
      <c r="F370">
        <v>252755</v>
      </c>
      <c r="G370">
        <v>878235</v>
      </c>
      <c r="H370">
        <v>478</v>
      </c>
      <c r="I370">
        <v>31</v>
      </c>
      <c r="J370">
        <v>509</v>
      </c>
      <c r="K370" t="b">
        <f>TrafficData[[#This Row],[disposedChallan]]+TrafficData[[#This Row],[pendingChallan]]=TrafficData[[#This Row],[totalChallan]]</f>
        <v>1</v>
      </c>
      <c r="L370" t="b">
        <f>TrafficData[[#This Row],[pendingAmount]]+TrafficData[[#This Row],[disposedAmount]]=TrafficData[[#This Row],[totalAmount]]</f>
        <v>1</v>
      </c>
      <c r="M370" t="b">
        <f>TrafficData[[#This Row],[pendingCourt]]+TrafficData[[#This Row],[disposedCourt]]=TrafficData[[#This Row],[totalCourt]]</f>
        <v>1</v>
      </c>
      <c r="N370" t="b">
        <f>AND(TrafficData[[#This Row],[disposedChallan]]&lt;=TrafficData[[#This Row],[totalChallan]],TrafficData[[#This Row],[pendingChallan]]&lt;=TrafficData[[#This Row],[totalChallan]])</f>
        <v>1</v>
      </c>
      <c r="O370" t="b">
        <f>AND(TrafficData[[#This Row],[pendingAmount]]&lt;=TrafficData[[#This Row],[totalAmount]],TrafficData[[#This Row],[disposedAmount]]&lt;=TrafficData[[#This Row],[totalAmount]])</f>
        <v>1</v>
      </c>
      <c r="P370" t="b">
        <f>AND(TrafficData[[#This Row],[pendingCourt]]&lt;=TrafficData[[#This Row],[totalCourt]],TrafficData[[#This Row],[disposedCourt]]&lt;=TrafficData[[#This Row],[totalCourt]])</f>
        <v>1</v>
      </c>
    </row>
    <row r="371" spans="1:16">
      <c r="A371" s="1">
        <v>42374</v>
      </c>
      <c r="B371">
        <v>840</v>
      </c>
      <c r="C371">
        <v>130</v>
      </c>
      <c r="D371">
        <v>710</v>
      </c>
      <c r="E371">
        <v>1211370</v>
      </c>
      <c r="F371">
        <v>478560</v>
      </c>
      <c r="G371">
        <v>1689930</v>
      </c>
      <c r="H371">
        <v>482</v>
      </c>
      <c r="I371">
        <v>13</v>
      </c>
      <c r="J371">
        <v>495</v>
      </c>
      <c r="K371" t="b">
        <f>TrafficData[[#This Row],[disposedChallan]]+TrafficData[[#This Row],[pendingChallan]]=TrafficData[[#This Row],[totalChallan]]</f>
        <v>1</v>
      </c>
      <c r="L371" t="b">
        <f>TrafficData[[#This Row],[pendingAmount]]+TrafficData[[#This Row],[disposedAmount]]=TrafficData[[#This Row],[totalAmount]]</f>
        <v>1</v>
      </c>
      <c r="M371" t="b">
        <f>TrafficData[[#This Row],[pendingCourt]]+TrafficData[[#This Row],[disposedCourt]]=TrafficData[[#This Row],[totalCourt]]</f>
        <v>1</v>
      </c>
      <c r="N371" t="b">
        <f>AND(TrafficData[[#This Row],[disposedChallan]]&lt;=TrafficData[[#This Row],[totalChallan]],TrafficData[[#This Row],[pendingChallan]]&lt;=TrafficData[[#This Row],[totalChallan]])</f>
        <v>1</v>
      </c>
      <c r="O371" t="b">
        <f>AND(TrafficData[[#This Row],[pendingAmount]]&lt;=TrafficData[[#This Row],[totalAmount]],TrafficData[[#This Row],[disposedAmount]]&lt;=TrafficData[[#This Row],[totalAmount]])</f>
        <v>1</v>
      </c>
      <c r="P371" t="b">
        <f>AND(TrafficData[[#This Row],[pendingCourt]]&lt;=TrafficData[[#This Row],[totalCourt]],TrafficData[[#This Row],[disposedCourt]]&lt;=TrafficData[[#This Row],[totalCourt]])</f>
        <v>1</v>
      </c>
    </row>
    <row r="372" spans="1:16">
      <c r="A372" s="1">
        <v>42375</v>
      </c>
      <c r="B372">
        <v>1170</v>
      </c>
      <c r="C372">
        <v>179</v>
      </c>
      <c r="D372">
        <v>991</v>
      </c>
      <c r="E372">
        <v>1137138</v>
      </c>
      <c r="F372">
        <v>333731</v>
      </c>
      <c r="G372">
        <v>1470869</v>
      </c>
      <c r="H372">
        <v>717</v>
      </c>
      <c r="I372">
        <v>61</v>
      </c>
      <c r="J372">
        <v>778</v>
      </c>
      <c r="K372" t="b">
        <f>TrafficData[[#This Row],[disposedChallan]]+TrafficData[[#This Row],[pendingChallan]]=TrafficData[[#This Row],[totalChallan]]</f>
        <v>1</v>
      </c>
      <c r="L372" t="b">
        <f>TrafficData[[#This Row],[pendingAmount]]+TrafficData[[#This Row],[disposedAmount]]=TrafficData[[#This Row],[totalAmount]]</f>
        <v>1</v>
      </c>
      <c r="M372" t="b">
        <f>TrafficData[[#This Row],[pendingCourt]]+TrafficData[[#This Row],[disposedCourt]]=TrafficData[[#This Row],[totalCourt]]</f>
        <v>1</v>
      </c>
      <c r="N372" t="b">
        <f>AND(TrafficData[[#This Row],[disposedChallan]]&lt;=TrafficData[[#This Row],[totalChallan]],TrafficData[[#This Row],[pendingChallan]]&lt;=TrafficData[[#This Row],[totalChallan]])</f>
        <v>1</v>
      </c>
      <c r="O372" t="b">
        <f>AND(TrafficData[[#This Row],[pendingAmount]]&lt;=TrafficData[[#This Row],[totalAmount]],TrafficData[[#This Row],[disposedAmount]]&lt;=TrafficData[[#This Row],[totalAmount]])</f>
        <v>1</v>
      </c>
      <c r="P372" t="b">
        <f>AND(TrafficData[[#This Row],[pendingCourt]]&lt;=TrafficData[[#This Row],[totalCourt]],TrafficData[[#This Row],[disposedCourt]]&lt;=TrafficData[[#This Row],[totalCourt]])</f>
        <v>1</v>
      </c>
    </row>
    <row r="373" spans="1:16">
      <c r="A373" s="1">
        <v>42376</v>
      </c>
      <c r="B373">
        <v>1113</v>
      </c>
      <c r="C373">
        <v>156</v>
      </c>
      <c r="D373">
        <v>957</v>
      </c>
      <c r="E373">
        <v>830050</v>
      </c>
      <c r="F373">
        <v>402470</v>
      </c>
      <c r="G373">
        <v>1232520</v>
      </c>
      <c r="H373">
        <v>669</v>
      </c>
      <c r="I373">
        <v>11</v>
      </c>
      <c r="J373">
        <v>680</v>
      </c>
      <c r="K373" t="b">
        <f>TrafficData[[#This Row],[disposedChallan]]+TrafficData[[#This Row],[pendingChallan]]=TrafficData[[#This Row],[totalChallan]]</f>
        <v>1</v>
      </c>
      <c r="L373" t="b">
        <f>TrafficData[[#This Row],[pendingAmount]]+TrafficData[[#This Row],[disposedAmount]]=TrafficData[[#This Row],[totalAmount]]</f>
        <v>1</v>
      </c>
      <c r="M373" t="b">
        <f>TrafficData[[#This Row],[pendingCourt]]+TrafficData[[#This Row],[disposedCourt]]=TrafficData[[#This Row],[totalCourt]]</f>
        <v>1</v>
      </c>
      <c r="N373" t="b">
        <f>AND(TrafficData[[#This Row],[disposedChallan]]&lt;=TrafficData[[#This Row],[totalChallan]],TrafficData[[#This Row],[pendingChallan]]&lt;=TrafficData[[#This Row],[totalChallan]])</f>
        <v>1</v>
      </c>
      <c r="O373" t="b">
        <f>AND(TrafficData[[#This Row],[pendingAmount]]&lt;=TrafficData[[#This Row],[totalAmount]],TrafficData[[#This Row],[disposedAmount]]&lt;=TrafficData[[#This Row],[totalAmount]])</f>
        <v>1</v>
      </c>
      <c r="P373" t="b">
        <f>AND(TrafficData[[#This Row],[pendingCourt]]&lt;=TrafficData[[#This Row],[totalCourt]],TrafficData[[#This Row],[disposedCourt]]&lt;=TrafficData[[#This Row],[totalCourt]])</f>
        <v>1</v>
      </c>
    </row>
    <row r="374" spans="1:16">
      <c r="A374" s="1">
        <v>42377</v>
      </c>
      <c r="B374">
        <v>1081</v>
      </c>
      <c r="C374">
        <v>135</v>
      </c>
      <c r="D374">
        <v>946</v>
      </c>
      <c r="E374">
        <v>903555</v>
      </c>
      <c r="F374">
        <v>272090</v>
      </c>
      <c r="G374">
        <v>1175645</v>
      </c>
      <c r="H374">
        <v>686</v>
      </c>
      <c r="I374">
        <v>53</v>
      </c>
      <c r="J374">
        <v>739</v>
      </c>
      <c r="K374" t="b">
        <f>TrafficData[[#This Row],[disposedChallan]]+TrafficData[[#This Row],[pendingChallan]]=TrafficData[[#This Row],[totalChallan]]</f>
        <v>1</v>
      </c>
      <c r="L374" t="b">
        <f>TrafficData[[#This Row],[pendingAmount]]+TrafficData[[#This Row],[disposedAmount]]=TrafficData[[#This Row],[totalAmount]]</f>
        <v>1</v>
      </c>
      <c r="M374" t="b">
        <f>TrafficData[[#This Row],[pendingCourt]]+TrafficData[[#This Row],[disposedCourt]]=TrafficData[[#This Row],[totalCourt]]</f>
        <v>1</v>
      </c>
      <c r="N374" t="b">
        <f>AND(TrafficData[[#This Row],[disposedChallan]]&lt;=TrafficData[[#This Row],[totalChallan]],TrafficData[[#This Row],[pendingChallan]]&lt;=TrafficData[[#This Row],[totalChallan]])</f>
        <v>1</v>
      </c>
      <c r="O374" t="b">
        <f>AND(TrafficData[[#This Row],[pendingAmount]]&lt;=TrafficData[[#This Row],[totalAmount]],TrafficData[[#This Row],[disposedAmount]]&lt;=TrafficData[[#This Row],[totalAmount]])</f>
        <v>1</v>
      </c>
      <c r="P374" t="b">
        <f>AND(TrafficData[[#This Row],[pendingCourt]]&lt;=TrafficData[[#This Row],[totalCourt]],TrafficData[[#This Row],[disposedCourt]]&lt;=TrafficData[[#This Row],[totalCourt]])</f>
        <v>1</v>
      </c>
    </row>
    <row r="375" spans="1:16">
      <c r="A375" s="1">
        <v>42378</v>
      </c>
      <c r="B375">
        <v>863</v>
      </c>
      <c r="C375">
        <v>101</v>
      </c>
      <c r="D375">
        <v>762</v>
      </c>
      <c r="E375">
        <v>558950</v>
      </c>
      <c r="F375">
        <v>149685</v>
      </c>
      <c r="G375">
        <v>708635</v>
      </c>
      <c r="H375">
        <v>552</v>
      </c>
      <c r="I375">
        <v>38</v>
      </c>
      <c r="J375">
        <v>590</v>
      </c>
      <c r="K375" t="b">
        <f>TrafficData[[#This Row],[disposedChallan]]+TrafficData[[#This Row],[pendingChallan]]=TrafficData[[#This Row],[totalChallan]]</f>
        <v>1</v>
      </c>
      <c r="L375" t="b">
        <f>TrafficData[[#This Row],[pendingAmount]]+TrafficData[[#This Row],[disposedAmount]]=TrafficData[[#This Row],[totalAmount]]</f>
        <v>1</v>
      </c>
      <c r="M375" t="b">
        <f>TrafficData[[#This Row],[pendingCourt]]+TrafficData[[#This Row],[disposedCourt]]=TrafficData[[#This Row],[totalCourt]]</f>
        <v>1</v>
      </c>
      <c r="N375" t="b">
        <f>AND(TrafficData[[#This Row],[disposedChallan]]&lt;=TrafficData[[#This Row],[totalChallan]],TrafficData[[#This Row],[pendingChallan]]&lt;=TrafficData[[#This Row],[totalChallan]])</f>
        <v>1</v>
      </c>
      <c r="O375" t="b">
        <f>AND(TrafficData[[#This Row],[pendingAmount]]&lt;=TrafficData[[#This Row],[totalAmount]],TrafficData[[#This Row],[disposedAmount]]&lt;=TrafficData[[#This Row],[totalAmount]])</f>
        <v>1</v>
      </c>
      <c r="P375" t="b">
        <f>AND(TrafficData[[#This Row],[pendingCourt]]&lt;=TrafficData[[#This Row],[totalCourt]],TrafficData[[#This Row],[disposedCourt]]&lt;=TrafficData[[#This Row],[totalCourt]])</f>
        <v>1</v>
      </c>
    </row>
    <row r="376" spans="1:16">
      <c r="A376" s="1">
        <v>42379</v>
      </c>
      <c r="B376">
        <v>550</v>
      </c>
      <c r="C376">
        <v>72</v>
      </c>
      <c r="D376">
        <v>478</v>
      </c>
      <c r="E376">
        <v>711500</v>
      </c>
      <c r="F376">
        <v>190550</v>
      </c>
      <c r="G376">
        <v>902050</v>
      </c>
      <c r="H376">
        <v>336</v>
      </c>
      <c r="I376">
        <v>23</v>
      </c>
      <c r="J376">
        <v>359</v>
      </c>
      <c r="K376" t="b">
        <f>TrafficData[[#This Row],[disposedChallan]]+TrafficData[[#This Row],[pendingChallan]]=TrafficData[[#This Row],[totalChallan]]</f>
        <v>1</v>
      </c>
      <c r="L376" t="b">
        <f>TrafficData[[#This Row],[pendingAmount]]+TrafficData[[#This Row],[disposedAmount]]=TrafficData[[#This Row],[totalAmount]]</f>
        <v>1</v>
      </c>
      <c r="M376" t="b">
        <f>TrafficData[[#This Row],[pendingCourt]]+TrafficData[[#This Row],[disposedCourt]]=TrafficData[[#This Row],[totalCourt]]</f>
        <v>1</v>
      </c>
      <c r="N376" t="b">
        <f>AND(TrafficData[[#This Row],[disposedChallan]]&lt;=TrafficData[[#This Row],[totalChallan]],TrafficData[[#This Row],[pendingChallan]]&lt;=TrafficData[[#This Row],[totalChallan]])</f>
        <v>1</v>
      </c>
      <c r="O376" t="b">
        <f>AND(TrafficData[[#This Row],[pendingAmount]]&lt;=TrafficData[[#This Row],[totalAmount]],TrafficData[[#This Row],[disposedAmount]]&lt;=TrafficData[[#This Row],[totalAmount]])</f>
        <v>1</v>
      </c>
      <c r="P376" t="b">
        <f>AND(TrafficData[[#This Row],[pendingCourt]]&lt;=TrafficData[[#This Row],[totalCourt]],TrafficData[[#This Row],[disposedCourt]]&lt;=TrafficData[[#This Row],[totalCourt]])</f>
        <v>1</v>
      </c>
    </row>
    <row r="377" spans="1:16">
      <c r="A377" s="1">
        <v>42380</v>
      </c>
      <c r="B377">
        <v>746</v>
      </c>
      <c r="C377">
        <v>105</v>
      </c>
      <c r="D377">
        <v>641</v>
      </c>
      <c r="E377">
        <v>728050</v>
      </c>
      <c r="F377">
        <v>274325</v>
      </c>
      <c r="G377">
        <v>1002375</v>
      </c>
      <c r="H377">
        <v>424</v>
      </c>
      <c r="I377">
        <v>15</v>
      </c>
      <c r="J377">
        <v>439</v>
      </c>
      <c r="K377" t="b">
        <f>TrafficData[[#This Row],[disposedChallan]]+TrafficData[[#This Row],[pendingChallan]]=TrafficData[[#This Row],[totalChallan]]</f>
        <v>1</v>
      </c>
      <c r="L377" t="b">
        <f>TrafficData[[#This Row],[pendingAmount]]+TrafficData[[#This Row],[disposedAmount]]=TrafficData[[#This Row],[totalAmount]]</f>
        <v>1</v>
      </c>
      <c r="M377" t="b">
        <f>TrafficData[[#This Row],[pendingCourt]]+TrafficData[[#This Row],[disposedCourt]]=TrafficData[[#This Row],[totalCourt]]</f>
        <v>1</v>
      </c>
      <c r="N377" t="b">
        <f>AND(TrafficData[[#This Row],[disposedChallan]]&lt;=TrafficData[[#This Row],[totalChallan]],TrafficData[[#This Row],[pendingChallan]]&lt;=TrafficData[[#This Row],[totalChallan]])</f>
        <v>1</v>
      </c>
      <c r="O377" t="b">
        <f>AND(TrafficData[[#This Row],[pendingAmount]]&lt;=TrafficData[[#This Row],[totalAmount]],TrafficData[[#This Row],[disposedAmount]]&lt;=TrafficData[[#This Row],[totalAmount]])</f>
        <v>1</v>
      </c>
      <c r="P377" t="b">
        <f>AND(TrafficData[[#This Row],[pendingCourt]]&lt;=TrafficData[[#This Row],[totalCourt]],TrafficData[[#This Row],[disposedCourt]]&lt;=TrafficData[[#This Row],[totalCourt]])</f>
        <v>1</v>
      </c>
    </row>
    <row r="378" spans="1:16">
      <c r="A378" s="1">
        <v>42381</v>
      </c>
      <c r="B378">
        <v>748</v>
      </c>
      <c r="C378">
        <v>128</v>
      </c>
      <c r="D378">
        <v>620</v>
      </c>
      <c r="E378">
        <v>970790</v>
      </c>
      <c r="F378">
        <v>254288</v>
      </c>
      <c r="G378">
        <v>1225078</v>
      </c>
      <c r="H378">
        <v>396</v>
      </c>
      <c r="I378">
        <v>31</v>
      </c>
      <c r="J378">
        <v>427</v>
      </c>
      <c r="K378" t="b">
        <f>TrafficData[[#This Row],[disposedChallan]]+TrafficData[[#This Row],[pendingChallan]]=TrafficData[[#This Row],[totalChallan]]</f>
        <v>1</v>
      </c>
      <c r="L378" t="b">
        <f>TrafficData[[#This Row],[pendingAmount]]+TrafficData[[#This Row],[disposedAmount]]=TrafficData[[#This Row],[totalAmount]]</f>
        <v>1</v>
      </c>
      <c r="M378" t="b">
        <f>TrafficData[[#This Row],[pendingCourt]]+TrafficData[[#This Row],[disposedCourt]]=TrafficData[[#This Row],[totalCourt]]</f>
        <v>1</v>
      </c>
      <c r="N378" t="b">
        <f>AND(TrafficData[[#This Row],[disposedChallan]]&lt;=TrafficData[[#This Row],[totalChallan]],TrafficData[[#This Row],[pendingChallan]]&lt;=TrafficData[[#This Row],[totalChallan]])</f>
        <v>1</v>
      </c>
      <c r="O378" t="b">
        <f>AND(TrafficData[[#This Row],[pendingAmount]]&lt;=TrafficData[[#This Row],[totalAmount]],TrafficData[[#This Row],[disposedAmount]]&lt;=TrafficData[[#This Row],[totalAmount]])</f>
        <v>1</v>
      </c>
      <c r="P378" t="b">
        <f>AND(TrafficData[[#This Row],[pendingCourt]]&lt;=TrafficData[[#This Row],[totalCourt]],TrafficData[[#This Row],[disposedCourt]]&lt;=TrafficData[[#This Row],[totalCourt]])</f>
        <v>1</v>
      </c>
    </row>
    <row r="379" spans="1:16">
      <c r="A379" s="1">
        <v>42382</v>
      </c>
      <c r="B379">
        <v>1183</v>
      </c>
      <c r="C379">
        <v>163</v>
      </c>
      <c r="D379">
        <v>1020</v>
      </c>
      <c r="E379">
        <v>1519252</v>
      </c>
      <c r="F379">
        <v>322450</v>
      </c>
      <c r="G379">
        <v>1841702</v>
      </c>
      <c r="H379">
        <v>705</v>
      </c>
      <c r="I379">
        <v>22</v>
      </c>
      <c r="J379">
        <v>727</v>
      </c>
      <c r="K379" t="b">
        <f>TrafficData[[#This Row],[disposedChallan]]+TrafficData[[#This Row],[pendingChallan]]=TrafficData[[#This Row],[totalChallan]]</f>
        <v>1</v>
      </c>
      <c r="L379" t="b">
        <f>TrafficData[[#This Row],[pendingAmount]]+TrafficData[[#This Row],[disposedAmount]]=TrafficData[[#This Row],[totalAmount]]</f>
        <v>1</v>
      </c>
      <c r="M379" t="b">
        <f>TrafficData[[#This Row],[pendingCourt]]+TrafficData[[#This Row],[disposedCourt]]=TrafficData[[#This Row],[totalCourt]]</f>
        <v>1</v>
      </c>
      <c r="N379" t="b">
        <f>AND(TrafficData[[#This Row],[disposedChallan]]&lt;=TrafficData[[#This Row],[totalChallan]],TrafficData[[#This Row],[pendingChallan]]&lt;=TrafficData[[#This Row],[totalChallan]])</f>
        <v>1</v>
      </c>
      <c r="O379" t="b">
        <f>AND(TrafficData[[#This Row],[pendingAmount]]&lt;=TrafficData[[#This Row],[totalAmount]],TrafficData[[#This Row],[disposedAmount]]&lt;=TrafficData[[#This Row],[totalAmount]])</f>
        <v>1</v>
      </c>
      <c r="P379" t="b">
        <f>AND(TrafficData[[#This Row],[pendingCourt]]&lt;=TrafficData[[#This Row],[totalCourt]],TrafficData[[#This Row],[disposedCourt]]&lt;=TrafficData[[#This Row],[totalCourt]])</f>
        <v>1</v>
      </c>
    </row>
    <row r="380" spans="1:16">
      <c r="A380" s="1">
        <v>42383</v>
      </c>
      <c r="B380">
        <v>999</v>
      </c>
      <c r="C380">
        <v>121</v>
      </c>
      <c r="D380">
        <v>878</v>
      </c>
      <c r="E380">
        <v>869440</v>
      </c>
      <c r="F380">
        <v>124350</v>
      </c>
      <c r="G380">
        <v>993790</v>
      </c>
      <c r="H380">
        <v>639</v>
      </c>
      <c r="I380">
        <v>21</v>
      </c>
      <c r="J380">
        <v>660</v>
      </c>
      <c r="K380" t="b">
        <f>TrafficData[[#This Row],[disposedChallan]]+TrafficData[[#This Row],[pendingChallan]]=TrafficData[[#This Row],[totalChallan]]</f>
        <v>1</v>
      </c>
      <c r="L380" t="b">
        <f>TrafficData[[#This Row],[pendingAmount]]+TrafficData[[#This Row],[disposedAmount]]=TrafficData[[#This Row],[totalAmount]]</f>
        <v>1</v>
      </c>
      <c r="M380" t="b">
        <f>TrafficData[[#This Row],[pendingCourt]]+TrafficData[[#This Row],[disposedCourt]]=TrafficData[[#This Row],[totalCourt]]</f>
        <v>1</v>
      </c>
      <c r="N380" t="b">
        <f>AND(TrafficData[[#This Row],[disposedChallan]]&lt;=TrafficData[[#This Row],[totalChallan]],TrafficData[[#This Row],[pendingChallan]]&lt;=TrafficData[[#This Row],[totalChallan]])</f>
        <v>1</v>
      </c>
      <c r="O380" t="b">
        <f>AND(TrafficData[[#This Row],[pendingAmount]]&lt;=TrafficData[[#This Row],[totalAmount]],TrafficData[[#This Row],[disposedAmount]]&lt;=TrafficData[[#This Row],[totalAmount]])</f>
        <v>1</v>
      </c>
      <c r="P380" t="b">
        <f>AND(TrafficData[[#This Row],[pendingCourt]]&lt;=TrafficData[[#This Row],[totalCourt]],TrafficData[[#This Row],[disposedCourt]]&lt;=TrafficData[[#This Row],[totalCourt]])</f>
        <v>1</v>
      </c>
    </row>
    <row r="381" spans="1:16">
      <c r="A381" s="1">
        <v>42384</v>
      </c>
      <c r="B381">
        <v>999</v>
      </c>
      <c r="C381">
        <v>105</v>
      </c>
      <c r="D381">
        <v>894</v>
      </c>
      <c r="E381">
        <v>699280</v>
      </c>
      <c r="F381">
        <v>198050</v>
      </c>
      <c r="G381">
        <v>897330</v>
      </c>
      <c r="H381">
        <v>687</v>
      </c>
      <c r="I381">
        <v>53</v>
      </c>
      <c r="J381">
        <v>740</v>
      </c>
      <c r="K381" t="b">
        <f>TrafficData[[#This Row],[disposedChallan]]+TrafficData[[#This Row],[pendingChallan]]=TrafficData[[#This Row],[totalChallan]]</f>
        <v>1</v>
      </c>
      <c r="L381" t="b">
        <f>TrafficData[[#This Row],[pendingAmount]]+TrafficData[[#This Row],[disposedAmount]]=TrafficData[[#This Row],[totalAmount]]</f>
        <v>1</v>
      </c>
      <c r="M381" t="b">
        <f>TrafficData[[#This Row],[pendingCourt]]+TrafficData[[#This Row],[disposedCourt]]=TrafficData[[#This Row],[totalCourt]]</f>
        <v>1</v>
      </c>
      <c r="N381" t="b">
        <f>AND(TrafficData[[#This Row],[disposedChallan]]&lt;=TrafficData[[#This Row],[totalChallan]],TrafficData[[#This Row],[pendingChallan]]&lt;=TrafficData[[#This Row],[totalChallan]])</f>
        <v>1</v>
      </c>
      <c r="O381" t="b">
        <f>AND(TrafficData[[#This Row],[pendingAmount]]&lt;=TrafficData[[#This Row],[totalAmount]],TrafficData[[#This Row],[disposedAmount]]&lt;=TrafficData[[#This Row],[totalAmount]])</f>
        <v>1</v>
      </c>
      <c r="P381" t="b">
        <f>AND(TrafficData[[#This Row],[pendingCourt]]&lt;=TrafficData[[#This Row],[totalCourt]],TrafficData[[#This Row],[disposedCourt]]&lt;=TrafficData[[#This Row],[totalCourt]])</f>
        <v>1</v>
      </c>
    </row>
    <row r="382" spans="1:16">
      <c r="A382" s="1">
        <v>42385</v>
      </c>
      <c r="B382">
        <v>1140</v>
      </c>
      <c r="C382">
        <v>139</v>
      </c>
      <c r="D382">
        <v>1001</v>
      </c>
      <c r="E382">
        <v>1119700</v>
      </c>
      <c r="F382">
        <v>228075</v>
      </c>
      <c r="G382">
        <v>1347775</v>
      </c>
      <c r="H382">
        <v>668</v>
      </c>
      <c r="I382">
        <v>24</v>
      </c>
      <c r="J382">
        <v>692</v>
      </c>
      <c r="K382" t="b">
        <f>TrafficData[[#This Row],[disposedChallan]]+TrafficData[[#This Row],[pendingChallan]]=TrafficData[[#This Row],[totalChallan]]</f>
        <v>1</v>
      </c>
      <c r="L382" t="b">
        <f>TrafficData[[#This Row],[pendingAmount]]+TrafficData[[#This Row],[disposedAmount]]=TrafficData[[#This Row],[totalAmount]]</f>
        <v>1</v>
      </c>
      <c r="M382" t="b">
        <f>TrafficData[[#This Row],[pendingCourt]]+TrafficData[[#This Row],[disposedCourt]]=TrafficData[[#This Row],[totalCourt]]</f>
        <v>1</v>
      </c>
      <c r="N382" t="b">
        <f>AND(TrafficData[[#This Row],[disposedChallan]]&lt;=TrafficData[[#This Row],[totalChallan]],TrafficData[[#This Row],[pendingChallan]]&lt;=TrafficData[[#This Row],[totalChallan]])</f>
        <v>1</v>
      </c>
      <c r="O382" t="b">
        <f>AND(TrafficData[[#This Row],[pendingAmount]]&lt;=TrafficData[[#This Row],[totalAmount]],TrafficData[[#This Row],[disposedAmount]]&lt;=TrafficData[[#This Row],[totalAmount]])</f>
        <v>1</v>
      </c>
      <c r="P382" t="b">
        <f>AND(TrafficData[[#This Row],[pendingCourt]]&lt;=TrafficData[[#This Row],[totalCourt]],TrafficData[[#This Row],[disposedCourt]]&lt;=TrafficData[[#This Row],[totalCourt]])</f>
        <v>1</v>
      </c>
    </row>
    <row r="383" spans="1:16">
      <c r="A383" s="1">
        <v>42386</v>
      </c>
      <c r="B383">
        <v>552</v>
      </c>
      <c r="C383">
        <v>64</v>
      </c>
      <c r="D383">
        <v>488</v>
      </c>
      <c r="E383">
        <v>503200</v>
      </c>
      <c r="F383">
        <v>56475</v>
      </c>
      <c r="G383">
        <v>559675</v>
      </c>
      <c r="H383">
        <v>389</v>
      </c>
      <c r="I383">
        <v>35</v>
      </c>
      <c r="J383">
        <v>424</v>
      </c>
      <c r="K383" t="b">
        <f>TrafficData[[#This Row],[disposedChallan]]+TrafficData[[#This Row],[pendingChallan]]=TrafficData[[#This Row],[totalChallan]]</f>
        <v>1</v>
      </c>
      <c r="L383" t="b">
        <f>TrafficData[[#This Row],[pendingAmount]]+TrafficData[[#This Row],[disposedAmount]]=TrafficData[[#This Row],[totalAmount]]</f>
        <v>1</v>
      </c>
      <c r="M383" t="b">
        <f>TrafficData[[#This Row],[pendingCourt]]+TrafficData[[#This Row],[disposedCourt]]=TrafficData[[#This Row],[totalCourt]]</f>
        <v>1</v>
      </c>
      <c r="N383" t="b">
        <f>AND(TrafficData[[#This Row],[disposedChallan]]&lt;=TrafficData[[#This Row],[totalChallan]],TrafficData[[#This Row],[pendingChallan]]&lt;=TrafficData[[#This Row],[totalChallan]])</f>
        <v>1</v>
      </c>
      <c r="O383" t="b">
        <f>AND(TrafficData[[#This Row],[pendingAmount]]&lt;=TrafficData[[#This Row],[totalAmount]],TrafficData[[#This Row],[disposedAmount]]&lt;=TrafficData[[#This Row],[totalAmount]])</f>
        <v>1</v>
      </c>
      <c r="P383" t="b">
        <f>AND(TrafficData[[#This Row],[pendingCourt]]&lt;=TrafficData[[#This Row],[totalCourt]],TrafficData[[#This Row],[disposedCourt]]&lt;=TrafficData[[#This Row],[totalCourt]])</f>
        <v>1</v>
      </c>
    </row>
    <row r="384" spans="1:16">
      <c r="A384" s="1">
        <v>42387</v>
      </c>
      <c r="B384">
        <v>975</v>
      </c>
      <c r="C384">
        <v>121</v>
      </c>
      <c r="D384">
        <v>854</v>
      </c>
      <c r="E384">
        <v>916051</v>
      </c>
      <c r="F384">
        <v>231267</v>
      </c>
      <c r="G384">
        <v>1147318</v>
      </c>
      <c r="H384">
        <v>639</v>
      </c>
      <c r="I384">
        <v>38</v>
      </c>
      <c r="J384">
        <v>677</v>
      </c>
      <c r="K384" t="b">
        <f>TrafficData[[#This Row],[disposedChallan]]+TrafficData[[#This Row],[pendingChallan]]=TrafficData[[#This Row],[totalChallan]]</f>
        <v>1</v>
      </c>
      <c r="L384" t="b">
        <f>TrafficData[[#This Row],[pendingAmount]]+TrafficData[[#This Row],[disposedAmount]]=TrafficData[[#This Row],[totalAmount]]</f>
        <v>1</v>
      </c>
      <c r="M384" t="b">
        <f>TrafficData[[#This Row],[pendingCourt]]+TrafficData[[#This Row],[disposedCourt]]=TrafficData[[#This Row],[totalCourt]]</f>
        <v>1</v>
      </c>
      <c r="N384" t="b">
        <f>AND(TrafficData[[#This Row],[disposedChallan]]&lt;=TrafficData[[#This Row],[totalChallan]],TrafficData[[#This Row],[pendingChallan]]&lt;=TrafficData[[#This Row],[totalChallan]])</f>
        <v>1</v>
      </c>
      <c r="O384" t="b">
        <f>AND(TrafficData[[#This Row],[pendingAmount]]&lt;=TrafficData[[#This Row],[totalAmount]],TrafficData[[#This Row],[disposedAmount]]&lt;=TrafficData[[#This Row],[totalAmount]])</f>
        <v>1</v>
      </c>
      <c r="P384" t="b">
        <f>AND(TrafficData[[#This Row],[pendingCourt]]&lt;=TrafficData[[#This Row],[totalCourt]],TrafficData[[#This Row],[disposedCourt]]&lt;=TrafficData[[#This Row],[totalCourt]])</f>
        <v>1</v>
      </c>
    </row>
    <row r="385" spans="1:16">
      <c r="A385" s="1">
        <v>42388</v>
      </c>
      <c r="B385">
        <v>1396</v>
      </c>
      <c r="C385">
        <v>197</v>
      </c>
      <c r="D385">
        <v>1199</v>
      </c>
      <c r="E385">
        <v>1497600</v>
      </c>
      <c r="F385">
        <v>197150</v>
      </c>
      <c r="G385">
        <v>1694750</v>
      </c>
      <c r="H385">
        <v>885</v>
      </c>
      <c r="I385">
        <v>70</v>
      </c>
      <c r="J385">
        <v>955</v>
      </c>
      <c r="K385" t="b">
        <f>TrafficData[[#This Row],[disposedChallan]]+TrafficData[[#This Row],[pendingChallan]]=TrafficData[[#This Row],[totalChallan]]</f>
        <v>1</v>
      </c>
      <c r="L385" t="b">
        <f>TrafficData[[#This Row],[pendingAmount]]+TrafficData[[#This Row],[disposedAmount]]=TrafficData[[#This Row],[totalAmount]]</f>
        <v>1</v>
      </c>
      <c r="M385" t="b">
        <f>TrafficData[[#This Row],[pendingCourt]]+TrafficData[[#This Row],[disposedCourt]]=TrafficData[[#This Row],[totalCourt]]</f>
        <v>1</v>
      </c>
      <c r="N385" t="b">
        <f>AND(TrafficData[[#This Row],[disposedChallan]]&lt;=TrafficData[[#This Row],[totalChallan]],TrafficData[[#This Row],[pendingChallan]]&lt;=TrafficData[[#This Row],[totalChallan]])</f>
        <v>1</v>
      </c>
      <c r="O385" t="b">
        <f>AND(TrafficData[[#This Row],[pendingAmount]]&lt;=TrafficData[[#This Row],[totalAmount]],TrafficData[[#This Row],[disposedAmount]]&lt;=TrafficData[[#This Row],[totalAmount]])</f>
        <v>1</v>
      </c>
      <c r="P385" t="b">
        <f>AND(TrafficData[[#This Row],[pendingCourt]]&lt;=TrafficData[[#This Row],[totalCourt]],TrafficData[[#This Row],[disposedCourt]]&lt;=TrafficData[[#This Row],[totalCourt]])</f>
        <v>1</v>
      </c>
    </row>
    <row r="386" spans="1:16">
      <c r="A386" s="1">
        <v>42389</v>
      </c>
      <c r="B386">
        <v>1109</v>
      </c>
      <c r="C386">
        <v>191</v>
      </c>
      <c r="D386">
        <v>918</v>
      </c>
      <c r="E386">
        <v>1523480</v>
      </c>
      <c r="F386">
        <v>635478</v>
      </c>
      <c r="G386">
        <v>2158958</v>
      </c>
      <c r="H386">
        <v>622</v>
      </c>
      <c r="I386">
        <v>46</v>
      </c>
      <c r="J386">
        <v>668</v>
      </c>
      <c r="K386" t="b">
        <f>TrafficData[[#This Row],[disposedChallan]]+TrafficData[[#This Row],[pendingChallan]]=TrafficData[[#This Row],[totalChallan]]</f>
        <v>1</v>
      </c>
      <c r="L386" t="b">
        <f>TrafficData[[#This Row],[pendingAmount]]+TrafficData[[#This Row],[disposedAmount]]=TrafficData[[#This Row],[totalAmount]]</f>
        <v>1</v>
      </c>
      <c r="M386" t="b">
        <f>TrafficData[[#This Row],[pendingCourt]]+TrafficData[[#This Row],[disposedCourt]]=TrafficData[[#This Row],[totalCourt]]</f>
        <v>1</v>
      </c>
      <c r="N386" t="b">
        <f>AND(TrafficData[[#This Row],[disposedChallan]]&lt;=TrafficData[[#This Row],[totalChallan]],TrafficData[[#This Row],[pendingChallan]]&lt;=TrafficData[[#This Row],[totalChallan]])</f>
        <v>1</v>
      </c>
      <c r="O386" t="b">
        <f>AND(TrafficData[[#This Row],[pendingAmount]]&lt;=TrafficData[[#This Row],[totalAmount]],TrafficData[[#This Row],[disposedAmount]]&lt;=TrafficData[[#This Row],[totalAmount]])</f>
        <v>1</v>
      </c>
      <c r="P386" t="b">
        <f>AND(TrafficData[[#This Row],[pendingCourt]]&lt;=TrafficData[[#This Row],[totalCourt]],TrafficData[[#This Row],[disposedCourt]]&lt;=TrafficData[[#This Row],[totalCourt]])</f>
        <v>1</v>
      </c>
    </row>
    <row r="387" spans="1:16">
      <c r="A387" s="1">
        <v>42390</v>
      </c>
      <c r="B387">
        <v>981</v>
      </c>
      <c r="C387">
        <v>190</v>
      </c>
      <c r="D387">
        <v>791</v>
      </c>
      <c r="E387">
        <v>1560451</v>
      </c>
      <c r="F387">
        <v>592066</v>
      </c>
      <c r="G387">
        <v>2152517</v>
      </c>
      <c r="H387">
        <v>480</v>
      </c>
      <c r="I387">
        <v>43</v>
      </c>
      <c r="J387">
        <v>523</v>
      </c>
      <c r="K387" t="b">
        <f>TrafficData[[#This Row],[disposedChallan]]+TrafficData[[#This Row],[pendingChallan]]=TrafficData[[#This Row],[totalChallan]]</f>
        <v>1</v>
      </c>
      <c r="L387" t="b">
        <f>TrafficData[[#This Row],[pendingAmount]]+TrafficData[[#This Row],[disposedAmount]]=TrafficData[[#This Row],[totalAmount]]</f>
        <v>1</v>
      </c>
      <c r="M387" t="b">
        <f>TrafficData[[#This Row],[pendingCourt]]+TrafficData[[#This Row],[disposedCourt]]=TrafficData[[#This Row],[totalCourt]]</f>
        <v>1</v>
      </c>
      <c r="N387" t="b">
        <f>AND(TrafficData[[#This Row],[disposedChallan]]&lt;=TrafficData[[#This Row],[totalChallan]],TrafficData[[#This Row],[pendingChallan]]&lt;=TrafficData[[#This Row],[totalChallan]])</f>
        <v>1</v>
      </c>
      <c r="O387" t="b">
        <f>AND(TrafficData[[#This Row],[pendingAmount]]&lt;=TrafficData[[#This Row],[totalAmount]],TrafficData[[#This Row],[disposedAmount]]&lt;=TrafficData[[#This Row],[totalAmount]])</f>
        <v>1</v>
      </c>
      <c r="P387" t="b">
        <f>AND(TrafficData[[#This Row],[pendingCourt]]&lt;=TrafficData[[#This Row],[totalCourt]],TrafficData[[#This Row],[disposedCourt]]&lt;=TrafficData[[#This Row],[totalCourt]])</f>
        <v>1</v>
      </c>
    </row>
    <row r="388" spans="1:16">
      <c r="A388" s="1">
        <v>42391</v>
      </c>
      <c r="B388">
        <v>899</v>
      </c>
      <c r="C388">
        <v>139</v>
      </c>
      <c r="D388">
        <v>760</v>
      </c>
      <c r="E388">
        <v>1451320</v>
      </c>
      <c r="F388">
        <v>511440</v>
      </c>
      <c r="G388">
        <v>1962760</v>
      </c>
      <c r="H388">
        <v>481</v>
      </c>
      <c r="I388">
        <v>13</v>
      </c>
      <c r="J388">
        <v>494</v>
      </c>
      <c r="K388" t="b">
        <f>TrafficData[[#This Row],[disposedChallan]]+TrafficData[[#This Row],[pendingChallan]]=TrafficData[[#This Row],[totalChallan]]</f>
        <v>1</v>
      </c>
      <c r="L388" t="b">
        <f>TrafficData[[#This Row],[pendingAmount]]+TrafficData[[#This Row],[disposedAmount]]=TrafficData[[#This Row],[totalAmount]]</f>
        <v>1</v>
      </c>
      <c r="M388" t="b">
        <f>TrafficData[[#This Row],[pendingCourt]]+TrafficData[[#This Row],[disposedCourt]]=TrafficData[[#This Row],[totalCourt]]</f>
        <v>1</v>
      </c>
      <c r="N388" t="b">
        <f>AND(TrafficData[[#This Row],[disposedChallan]]&lt;=TrafficData[[#This Row],[totalChallan]],TrafficData[[#This Row],[pendingChallan]]&lt;=TrafficData[[#This Row],[totalChallan]])</f>
        <v>1</v>
      </c>
      <c r="O388" t="b">
        <f>AND(TrafficData[[#This Row],[pendingAmount]]&lt;=TrafficData[[#This Row],[totalAmount]],TrafficData[[#This Row],[disposedAmount]]&lt;=TrafficData[[#This Row],[totalAmount]])</f>
        <v>1</v>
      </c>
      <c r="P388" t="b">
        <f>AND(TrafficData[[#This Row],[pendingCourt]]&lt;=TrafficData[[#This Row],[totalCourt]],TrafficData[[#This Row],[disposedCourt]]&lt;=TrafficData[[#This Row],[totalCourt]])</f>
        <v>1</v>
      </c>
    </row>
    <row r="389" spans="1:16">
      <c r="A389" s="1">
        <v>42392</v>
      </c>
      <c r="B389">
        <v>610</v>
      </c>
      <c r="C389">
        <v>80</v>
      </c>
      <c r="D389">
        <v>530</v>
      </c>
      <c r="E389">
        <v>712300</v>
      </c>
      <c r="F389">
        <v>159000</v>
      </c>
      <c r="G389">
        <v>871300</v>
      </c>
      <c r="H389">
        <v>333</v>
      </c>
      <c r="I389">
        <v>29</v>
      </c>
      <c r="J389">
        <v>362</v>
      </c>
      <c r="K389" t="b">
        <f>TrafficData[[#This Row],[disposedChallan]]+TrafficData[[#This Row],[pendingChallan]]=TrafficData[[#This Row],[totalChallan]]</f>
        <v>1</v>
      </c>
      <c r="L389" t="b">
        <f>TrafficData[[#This Row],[pendingAmount]]+TrafficData[[#This Row],[disposedAmount]]=TrafficData[[#This Row],[totalAmount]]</f>
        <v>1</v>
      </c>
      <c r="M389" t="b">
        <f>TrafficData[[#This Row],[pendingCourt]]+TrafficData[[#This Row],[disposedCourt]]=TrafficData[[#This Row],[totalCourt]]</f>
        <v>1</v>
      </c>
      <c r="N389" t="b">
        <f>AND(TrafficData[[#This Row],[disposedChallan]]&lt;=TrafficData[[#This Row],[totalChallan]],TrafficData[[#This Row],[pendingChallan]]&lt;=TrafficData[[#This Row],[totalChallan]])</f>
        <v>1</v>
      </c>
      <c r="O389" t="b">
        <f>AND(TrafficData[[#This Row],[pendingAmount]]&lt;=TrafficData[[#This Row],[totalAmount]],TrafficData[[#This Row],[disposedAmount]]&lt;=TrafficData[[#This Row],[totalAmount]])</f>
        <v>1</v>
      </c>
      <c r="P389" t="b">
        <f>AND(TrafficData[[#This Row],[pendingCourt]]&lt;=TrafficData[[#This Row],[totalCourt]],TrafficData[[#This Row],[disposedCourt]]&lt;=TrafficData[[#This Row],[totalCourt]])</f>
        <v>1</v>
      </c>
    </row>
    <row r="390" spans="1:16">
      <c r="A390" s="1">
        <v>42393</v>
      </c>
      <c r="B390">
        <v>627</v>
      </c>
      <c r="C390">
        <v>82</v>
      </c>
      <c r="D390">
        <v>545</v>
      </c>
      <c r="E390">
        <v>365180</v>
      </c>
      <c r="F390">
        <v>188725</v>
      </c>
      <c r="G390">
        <v>553905</v>
      </c>
      <c r="H390">
        <v>415</v>
      </c>
      <c r="I390">
        <v>33</v>
      </c>
      <c r="J390">
        <v>448</v>
      </c>
      <c r="K390" t="b">
        <f>TrafficData[[#This Row],[disposedChallan]]+TrafficData[[#This Row],[pendingChallan]]=TrafficData[[#This Row],[totalChallan]]</f>
        <v>1</v>
      </c>
      <c r="L390" t="b">
        <f>TrafficData[[#This Row],[pendingAmount]]+TrafficData[[#This Row],[disposedAmount]]=TrafficData[[#This Row],[totalAmount]]</f>
        <v>1</v>
      </c>
      <c r="M390" t="b">
        <f>TrafficData[[#This Row],[pendingCourt]]+TrafficData[[#This Row],[disposedCourt]]=TrafficData[[#This Row],[totalCourt]]</f>
        <v>1</v>
      </c>
      <c r="N390" t="b">
        <f>AND(TrafficData[[#This Row],[disposedChallan]]&lt;=TrafficData[[#This Row],[totalChallan]],TrafficData[[#This Row],[pendingChallan]]&lt;=TrafficData[[#This Row],[totalChallan]])</f>
        <v>1</v>
      </c>
      <c r="O390" t="b">
        <f>AND(TrafficData[[#This Row],[pendingAmount]]&lt;=TrafficData[[#This Row],[totalAmount]],TrafficData[[#This Row],[disposedAmount]]&lt;=TrafficData[[#This Row],[totalAmount]])</f>
        <v>1</v>
      </c>
      <c r="P390" t="b">
        <f>AND(TrafficData[[#This Row],[pendingCourt]]&lt;=TrafficData[[#This Row],[totalCourt]],TrafficData[[#This Row],[disposedCourt]]&lt;=TrafficData[[#This Row],[totalCourt]])</f>
        <v>1</v>
      </c>
    </row>
    <row r="391" spans="1:16">
      <c r="A391" s="1">
        <v>42394</v>
      </c>
      <c r="B391">
        <v>785</v>
      </c>
      <c r="C391">
        <v>132</v>
      </c>
      <c r="D391">
        <v>653</v>
      </c>
      <c r="E391">
        <v>866500</v>
      </c>
      <c r="F391">
        <v>111150</v>
      </c>
      <c r="G391">
        <v>977650</v>
      </c>
      <c r="H391">
        <v>425</v>
      </c>
      <c r="I391">
        <v>34</v>
      </c>
      <c r="J391">
        <v>459</v>
      </c>
      <c r="K391" t="b">
        <f>TrafficData[[#This Row],[disposedChallan]]+TrafficData[[#This Row],[pendingChallan]]=TrafficData[[#This Row],[totalChallan]]</f>
        <v>1</v>
      </c>
      <c r="L391" t="b">
        <f>TrafficData[[#This Row],[pendingAmount]]+TrafficData[[#This Row],[disposedAmount]]=TrafficData[[#This Row],[totalAmount]]</f>
        <v>1</v>
      </c>
      <c r="M391" t="b">
        <f>TrafficData[[#This Row],[pendingCourt]]+TrafficData[[#This Row],[disposedCourt]]=TrafficData[[#This Row],[totalCourt]]</f>
        <v>1</v>
      </c>
      <c r="N391" t="b">
        <f>AND(TrafficData[[#This Row],[disposedChallan]]&lt;=TrafficData[[#This Row],[totalChallan]],TrafficData[[#This Row],[pendingChallan]]&lt;=TrafficData[[#This Row],[totalChallan]])</f>
        <v>1</v>
      </c>
      <c r="O391" t="b">
        <f>AND(TrafficData[[#This Row],[pendingAmount]]&lt;=TrafficData[[#This Row],[totalAmount]],TrafficData[[#This Row],[disposedAmount]]&lt;=TrafficData[[#This Row],[totalAmount]])</f>
        <v>1</v>
      </c>
      <c r="P391" t="b">
        <f>AND(TrafficData[[#This Row],[pendingCourt]]&lt;=TrafficData[[#This Row],[totalCourt]],TrafficData[[#This Row],[disposedCourt]]&lt;=TrafficData[[#This Row],[totalCourt]])</f>
        <v>1</v>
      </c>
    </row>
    <row r="392" spans="1:16">
      <c r="A392" s="1">
        <v>42395</v>
      </c>
      <c r="B392">
        <v>223</v>
      </c>
      <c r="C392">
        <v>39</v>
      </c>
      <c r="D392">
        <v>184</v>
      </c>
      <c r="E392">
        <v>409925</v>
      </c>
      <c r="F392">
        <v>222400</v>
      </c>
      <c r="G392">
        <v>632325</v>
      </c>
      <c r="H392">
        <v>103</v>
      </c>
      <c r="I392">
        <v>6</v>
      </c>
      <c r="J392">
        <v>109</v>
      </c>
      <c r="K392" t="b">
        <f>TrafficData[[#This Row],[disposedChallan]]+TrafficData[[#This Row],[pendingChallan]]=TrafficData[[#This Row],[totalChallan]]</f>
        <v>1</v>
      </c>
      <c r="L392" t="b">
        <f>TrafficData[[#This Row],[pendingAmount]]+TrafficData[[#This Row],[disposedAmount]]=TrafficData[[#This Row],[totalAmount]]</f>
        <v>1</v>
      </c>
      <c r="M392" t="b">
        <f>TrafficData[[#This Row],[pendingCourt]]+TrafficData[[#This Row],[disposedCourt]]=TrafficData[[#This Row],[totalCourt]]</f>
        <v>1</v>
      </c>
      <c r="N392" t="b">
        <f>AND(TrafficData[[#This Row],[disposedChallan]]&lt;=TrafficData[[#This Row],[totalChallan]],TrafficData[[#This Row],[pendingChallan]]&lt;=TrafficData[[#This Row],[totalChallan]])</f>
        <v>1</v>
      </c>
      <c r="O392" t="b">
        <f>AND(TrafficData[[#This Row],[pendingAmount]]&lt;=TrafficData[[#This Row],[totalAmount]],TrafficData[[#This Row],[disposedAmount]]&lt;=TrafficData[[#This Row],[totalAmount]])</f>
        <v>1</v>
      </c>
      <c r="P392" t="b">
        <f>AND(TrafficData[[#This Row],[pendingCourt]]&lt;=TrafficData[[#This Row],[totalCourt]],TrafficData[[#This Row],[disposedCourt]]&lt;=TrafficData[[#This Row],[totalCourt]])</f>
        <v>1</v>
      </c>
    </row>
    <row r="393" spans="1:16">
      <c r="A393" s="1">
        <v>42396</v>
      </c>
      <c r="B393">
        <v>1162</v>
      </c>
      <c r="C393">
        <v>158</v>
      </c>
      <c r="D393">
        <v>1004</v>
      </c>
      <c r="E393">
        <v>1353575</v>
      </c>
      <c r="F393">
        <v>225500</v>
      </c>
      <c r="G393">
        <v>1579075</v>
      </c>
      <c r="H393">
        <v>709</v>
      </c>
      <c r="I393">
        <v>44</v>
      </c>
      <c r="J393">
        <v>753</v>
      </c>
      <c r="K393" t="b">
        <f>TrafficData[[#This Row],[disposedChallan]]+TrafficData[[#This Row],[pendingChallan]]=TrafficData[[#This Row],[totalChallan]]</f>
        <v>1</v>
      </c>
      <c r="L393" t="b">
        <f>TrafficData[[#This Row],[pendingAmount]]+TrafficData[[#This Row],[disposedAmount]]=TrafficData[[#This Row],[totalAmount]]</f>
        <v>1</v>
      </c>
      <c r="M393" t="b">
        <f>TrafficData[[#This Row],[pendingCourt]]+TrafficData[[#This Row],[disposedCourt]]=TrafficData[[#This Row],[totalCourt]]</f>
        <v>1</v>
      </c>
      <c r="N393" t="b">
        <f>AND(TrafficData[[#This Row],[disposedChallan]]&lt;=TrafficData[[#This Row],[totalChallan]],TrafficData[[#This Row],[pendingChallan]]&lt;=TrafficData[[#This Row],[totalChallan]])</f>
        <v>1</v>
      </c>
      <c r="O393" t="b">
        <f>AND(TrafficData[[#This Row],[pendingAmount]]&lt;=TrafficData[[#This Row],[totalAmount]],TrafficData[[#This Row],[disposedAmount]]&lt;=TrafficData[[#This Row],[totalAmount]])</f>
        <v>1</v>
      </c>
      <c r="P393" t="b">
        <f>AND(TrafficData[[#This Row],[pendingCourt]]&lt;=TrafficData[[#This Row],[totalCourt]],TrafficData[[#This Row],[disposedCourt]]&lt;=TrafficData[[#This Row],[totalCourt]])</f>
        <v>1</v>
      </c>
    </row>
    <row r="394" spans="1:16">
      <c r="A394" s="1">
        <v>42397</v>
      </c>
      <c r="B394">
        <v>1028</v>
      </c>
      <c r="C394">
        <v>149</v>
      </c>
      <c r="D394">
        <v>879</v>
      </c>
      <c r="E394">
        <v>1048600</v>
      </c>
      <c r="F394">
        <v>250024</v>
      </c>
      <c r="G394">
        <v>1298624</v>
      </c>
      <c r="H394">
        <v>609</v>
      </c>
      <c r="I394">
        <v>47</v>
      </c>
      <c r="J394">
        <v>656</v>
      </c>
      <c r="K394" t="b">
        <f>TrafficData[[#This Row],[disposedChallan]]+TrafficData[[#This Row],[pendingChallan]]=TrafficData[[#This Row],[totalChallan]]</f>
        <v>1</v>
      </c>
      <c r="L394" t="b">
        <f>TrafficData[[#This Row],[pendingAmount]]+TrafficData[[#This Row],[disposedAmount]]=TrafficData[[#This Row],[totalAmount]]</f>
        <v>1</v>
      </c>
      <c r="M394" t="b">
        <f>TrafficData[[#This Row],[pendingCourt]]+TrafficData[[#This Row],[disposedCourt]]=TrafficData[[#This Row],[totalCourt]]</f>
        <v>1</v>
      </c>
      <c r="N394" t="b">
        <f>AND(TrafficData[[#This Row],[disposedChallan]]&lt;=TrafficData[[#This Row],[totalChallan]],TrafficData[[#This Row],[pendingChallan]]&lt;=TrafficData[[#This Row],[totalChallan]])</f>
        <v>1</v>
      </c>
      <c r="O394" t="b">
        <f>AND(TrafficData[[#This Row],[pendingAmount]]&lt;=TrafficData[[#This Row],[totalAmount]],TrafficData[[#This Row],[disposedAmount]]&lt;=TrafficData[[#This Row],[totalAmount]])</f>
        <v>1</v>
      </c>
      <c r="P394" t="b">
        <f>AND(TrafficData[[#This Row],[pendingCourt]]&lt;=TrafficData[[#This Row],[totalCourt]],TrafficData[[#This Row],[disposedCourt]]&lt;=TrafficData[[#This Row],[totalCourt]])</f>
        <v>1</v>
      </c>
    </row>
    <row r="395" spans="1:16">
      <c r="A395" s="1">
        <v>42398</v>
      </c>
      <c r="B395">
        <v>1240</v>
      </c>
      <c r="C395">
        <v>168</v>
      </c>
      <c r="D395">
        <v>1072</v>
      </c>
      <c r="E395">
        <v>714125</v>
      </c>
      <c r="F395">
        <v>538050</v>
      </c>
      <c r="G395">
        <v>1252175</v>
      </c>
      <c r="H395">
        <v>813</v>
      </c>
      <c r="I395">
        <v>39</v>
      </c>
      <c r="J395">
        <v>852</v>
      </c>
      <c r="K395" t="b">
        <f>TrafficData[[#This Row],[disposedChallan]]+TrafficData[[#This Row],[pendingChallan]]=TrafficData[[#This Row],[totalChallan]]</f>
        <v>1</v>
      </c>
      <c r="L395" t="b">
        <f>TrafficData[[#This Row],[pendingAmount]]+TrafficData[[#This Row],[disposedAmount]]=TrafficData[[#This Row],[totalAmount]]</f>
        <v>1</v>
      </c>
      <c r="M395" t="b">
        <f>TrafficData[[#This Row],[pendingCourt]]+TrafficData[[#This Row],[disposedCourt]]=TrafficData[[#This Row],[totalCourt]]</f>
        <v>1</v>
      </c>
      <c r="N395" t="b">
        <f>AND(TrafficData[[#This Row],[disposedChallan]]&lt;=TrafficData[[#This Row],[totalChallan]],TrafficData[[#This Row],[pendingChallan]]&lt;=TrafficData[[#This Row],[totalChallan]])</f>
        <v>1</v>
      </c>
      <c r="O395" t="b">
        <f>AND(TrafficData[[#This Row],[pendingAmount]]&lt;=TrafficData[[#This Row],[totalAmount]],TrafficData[[#This Row],[disposedAmount]]&lt;=TrafficData[[#This Row],[totalAmount]])</f>
        <v>1</v>
      </c>
      <c r="P395" t="b">
        <f>AND(TrafficData[[#This Row],[pendingCourt]]&lt;=TrafficData[[#This Row],[totalCourt]],TrafficData[[#This Row],[disposedCourt]]&lt;=TrafficData[[#This Row],[totalCourt]])</f>
        <v>1</v>
      </c>
    </row>
    <row r="396" spans="1:16">
      <c r="A396" s="1">
        <v>42399</v>
      </c>
      <c r="B396">
        <v>994</v>
      </c>
      <c r="C396">
        <v>168</v>
      </c>
      <c r="D396">
        <v>826</v>
      </c>
      <c r="E396">
        <v>1094568</v>
      </c>
      <c r="F396">
        <v>669450</v>
      </c>
      <c r="G396">
        <v>1764018</v>
      </c>
      <c r="H396">
        <v>599</v>
      </c>
      <c r="I396">
        <v>38</v>
      </c>
      <c r="J396">
        <v>637</v>
      </c>
      <c r="K396" t="b">
        <f>TrafficData[[#This Row],[disposedChallan]]+TrafficData[[#This Row],[pendingChallan]]=TrafficData[[#This Row],[totalChallan]]</f>
        <v>1</v>
      </c>
      <c r="L396" t="b">
        <f>TrafficData[[#This Row],[pendingAmount]]+TrafficData[[#This Row],[disposedAmount]]=TrafficData[[#This Row],[totalAmount]]</f>
        <v>1</v>
      </c>
      <c r="M396" t="b">
        <f>TrafficData[[#This Row],[pendingCourt]]+TrafficData[[#This Row],[disposedCourt]]=TrafficData[[#This Row],[totalCourt]]</f>
        <v>1</v>
      </c>
      <c r="N396" t="b">
        <f>AND(TrafficData[[#This Row],[disposedChallan]]&lt;=TrafficData[[#This Row],[totalChallan]],TrafficData[[#This Row],[pendingChallan]]&lt;=TrafficData[[#This Row],[totalChallan]])</f>
        <v>1</v>
      </c>
      <c r="O396" t="b">
        <f>AND(TrafficData[[#This Row],[pendingAmount]]&lt;=TrafficData[[#This Row],[totalAmount]],TrafficData[[#This Row],[disposedAmount]]&lt;=TrafficData[[#This Row],[totalAmount]])</f>
        <v>1</v>
      </c>
      <c r="P396" t="b">
        <f>AND(TrafficData[[#This Row],[pendingCourt]]&lt;=TrafficData[[#This Row],[totalCourt]],TrafficData[[#This Row],[disposedCourt]]&lt;=TrafficData[[#This Row],[totalCourt]])</f>
        <v>1</v>
      </c>
    </row>
    <row r="397" spans="1:16">
      <c r="A397" s="1">
        <v>42400</v>
      </c>
      <c r="B397">
        <v>730</v>
      </c>
      <c r="C397">
        <v>81</v>
      </c>
      <c r="D397">
        <v>649</v>
      </c>
      <c r="E397">
        <v>615199</v>
      </c>
      <c r="F397">
        <v>229325</v>
      </c>
      <c r="G397">
        <v>844524</v>
      </c>
      <c r="H397">
        <v>460</v>
      </c>
      <c r="I397">
        <v>21</v>
      </c>
      <c r="J397">
        <v>481</v>
      </c>
      <c r="K397" t="b">
        <f>TrafficData[[#This Row],[disposedChallan]]+TrafficData[[#This Row],[pendingChallan]]=TrafficData[[#This Row],[totalChallan]]</f>
        <v>1</v>
      </c>
      <c r="L397" t="b">
        <f>TrafficData[[#This Row],[pendingAmount]]+TrafficData[[#This Row],[disposedAmount]]=TrafficData[[#This Row],[totalAmount]]</f>
        <v>1</v>
      </c>
      <c r="M397" t="b">
        <f>TrafficData[[#This Row],[pendingCourt]]+TrafficData[[#This Row],[disposedCourt]]=TrafficData[[#This Row],[totalCourt]]</f>
        <v>1</v>
      </c>
      <c r="N397" t="b">
        <f>AND(TrafficData[[#This Row],[disposedChallan]]&lt;=TrafficData[[#This Row],[totalChallan]],TrafficData[[#This Row],[pendingChallan]]&lt;=TrafficData[[#This Row],[totalChallan]])</f>
        <v>1</v>
      </c>
      <c r="O397" t="b">
        <f>AND(TrafficData[[#This Row],[pendingAmount]]&lt;=TrafficData[[#This Row],[totalAmount]],TrafficData[[#This Row],[disposedAmount]]&lt;=TrafficData[[#This Row],[totalAmount]])</f>
        <v>1</v>
      </c>
      <c r="P397" t="b">
        <f>AND(TrafficData[[#This Row],[pendingCourt]]&lt;=TrafficData[[#This Row],[totalCourt]],TrafficData[[#This Row],[disposedCourt]]&lt;=TrafficData[[#This Row],[totalCourt]])</f>
        <v>1</v>
      </c>
    </row>
    <row r="398" spans="1:16">
      <c r="A398" s="1">
        <v>42401</v>
      </c>
      <c r="B398">
        <v>1298</v>
      </c>
      <c r="C398">
        <v>128</v>
      </c>
      <c r="D398">
        <v>1170</v>
      </c>
      <c r="E398">
        <v>870425</v>
      </c>
      <c r="F398">
        <v>164645</v>
      </c>
      <c r="G398">
        <v>1035070</v>
      </c>
      <c r="H398">
        <v>824</v>
      </c>
      <c r="I398">
        <v>41</v>
      </c>
      <c r="J398">
        <v>865</v>
      </c>
      <c r="K398" t="b">
        <f>TrafficData[[#This Row],[disposedChallan]]+TrafficData[[#This Row],[pendingChallan]]=TrafficData[[#This Row],[totalChallan]]</f>
        <v>1</v>
      </c>
      <c r="L398" t="b">
        <f>TrafficData[[#This Row],[pendingAmount]]+TrafficData[[#This Row],[disposedAmount]]=TrafficData[[#This Row],[totalAmount]]</f>
        <v>1</v>
      </c>
      <c r="M398" t="b">
        <f>TrafficData[[#This Row],[pendingCourt]]+TrafficData[[#This Row],[disposedCourt]]=TrafficData[[#This Row],[totalCourt]]</f>
        <v>1</v>
      </c>
      <c r="N398" t="b">
        <f>AND(TrafficData[[#This Row],[disposedChallan]]&lt;=TrafficData[[#This Row],[totalChallan]],TrafficData[[#This Row],[pendingChallan]]&lt;=TrafficData[[#This Row],[totalChallan]])</f>
        <v>1</v>
      </c>
      <c r="O398" t="b">
        <f>AND(TrafficData[[#This Row],[pendingAmount]]&lt;=TrafficData[[#This Row],[totalAmount]],TrafficData[[#This Row],[disposedAmount]]&lt;=TrafficData[[#This Row],[totalAmount]])</f>
        <v>1</v>
      </c>
      <c r="P398" t="b">
        <f>AND(TrafficData[[#This Row],[pendingCourt]]&lt;=TrafficData[[#This Row],[totalCourt]],TrafficData[[#This Row],[disposedCourt]]&lt;=TrafficData[[#This Row],[totalCourt]])</f>
        <v>1</v>
      </c>
    </row>
    <row r="399" spans="1:16">
      <c r="A399" s="1">
        <v>42402</v>
      </c>
      <c r="B399">
        <v>1387</v>
      </c>
      <c r="C399">
        <v>173</v>
      </c>
      <c r="D399">
        <v>1214</v>
      </c>
      <c r="E399">
        <v>1753849</v>
      </c>
      <c r="F399">
        <v>427452</v>
      </c>
      <c r="G399">
        <v>2181301</v>
      </c>
      <c r="H399">
        <v>838</v>
      </c>
      <c r="I399">
        <v>14</v>
      </c>
      <c r="J399">
        <v>852</v>
      </c>
      <c r="K399" t="b">
        <f>TrafficData[[#This Row],[disposedChallan]]+TrafficData[[#This Row],[pendingChallan]]=TrafficData[[#This Row],[totalChallan]]</f>
        <v>1</v>
      </c>
      <c r="L399" t="b">
        <f>TrafficData[[#This Row],[pendingAmount]]+TrafficData[[#This Row],[disposedAmount]]=TrafficData[[#This Row],[totalAmount]]</f>
        <v>1</v>
      </c>
      <c r="M399" t="b">
        <f>TrafficData[[#This Row],[pendingCourt]]+TrafficData[[#This Row],[disposedCourt]]=TrafficData[[#This Row],[totalCourt]]</f>
        <v>1</v>
      </c>
      <c r="N399" t="b">
        <f>AND(TrafficData[[#This Row],[disposedChallan]]&lt;=TrafficData[[#This Row],[totalChallan]],TrafficData[[#This Row],[pendingChallan]]&lt;=TrafficData[[#This Row],[totalChallan]])</f>
        <v>1</v>
      </c>
      <c r="O399" t="b">
        <f>AND(TrafficData[[#This Row],[pendingAmount]]&lt;=TrafficData[[#This Row],[totalAmount]],TrafficData[[#This Row],[disposedAmount]]&lt;=TrafficData[[#This Row],[totalAmount]])</f>
        <v>1</v>
      </c>
      <c r="P399" t="b">
        <f>AND(TrafficData[[#This Row],[pendingCourt]]&lt;=TrafficData[[#This Row],[totalCourt]],TrafficData[[#This Row],[disposedCourt]]&lt;=TrafficData[[#This Row],[totalCourt]])</f>
        <v>1</v>
      </c>
    </row>
    <row r="400" spans="1:16">
      <c r="A400" s="1">
        <v>42403</v>
      </c>
      <c r="B400">
        <v>1553</v>
      </c>
      <c r="C400">
        <v>203</v>
      </c>
      <c r="D400">
        <v>1350</v>
      </c>
      <c r="E400">
        <v>1266500</v>
      </c>
      <c r="F400">
        <v>632100</v>
      </c>
      <c r="G400">
        <v>1898600</v>
      </c>
      <c r="H400">
        <v>969</v>
      </c>
      <c r="I400">
        <v>24</v>
      </c>
      <c r="J400">
        <v>993</v>
      </c>
      <c r="K400" t="b">
        <f>TrafficData[[#This Row],[disposedChallan]]+TrafficData[[#This Row],[pendingChallan]]=TrafficData[[#This Row],[totalChallan]]</f>
        <v>1</v>
      </c>
      <c r="L400" t="b">
        <f>TrafficData[[#This Row],[pendingAmount]]+TrafficData[[#This Row],[disposedAmount]]=TrafficData[[#This Row],[totalAmount]]</f>
        <v>1</v>
      </c>
      <c r="M400" t="b">
        <f>TrafficData[[#This Row],[pendingCourt]]+TrafficData[[#This Row],[disposedCourt]]=TrafficData[[#This Row],[totalCourt]]</f>
        <v>1</v>
      </c>
      <c r="N400" t="b">
        <f>AND(TrafficData[[#This Row],[disposedChallan]]&lt;=TrafficData[[#This Row],[totalChallan]],TrafficData[[#This Row],[pendingChallan]]&lt;=TrafficData[[#This Row],[totalChallan]])</f>
        <v>1</v>
      </c>
      <c r="O400" t="b">
        <f>AND(TrafficData[[#This Row],[pendingAmount]]&lt;=TrafficData[[#This Row],[totalAmount]],TrafficData[[#This Row],[disposedAmount]]&lt;=TrafficData[[#This Row],[totalAmount]])</f>
        <v>1</v>
      </c>
      <c r="P400" t="b">
        <f>AND(TrafficData[[#This Row],[pendingCourt]]&lt;=TrafficData[[#This Row],[totalCourt]],TrafficData[[#This Row],[disposedCourt]]&lt;=TrafficData[[#This Row],[totalCourt]])</f>
        <v>1</v>
      </c>
    </row>
    <row r="401" spans="1:16">
      <c r="A401" s="1">
        <v>42404</v>
      </c>
      <c r="B401">
        <v>1492</v>
      </c>
      <c r="C401">
        <v>184</v>
      </c>
      <c r="D401">
        <v>1308</v>
      </c>
      <c r="E401">
        <v>1297770</v>
      </c>
      <c r="F401">
        <v>383073</v>
      </c>
      <c r="G401">
        <v>1680843</v>
      </c>
      <c r="H401">
        <v>981</v>
      </c>
      <c r="I401">
        <v>50</v>
      </c>
      <c r="J401">
        <v>1031</v>
      </c>
      <c r="K401" t="b">
        <f>TrafficData[[#This Row],[disposedChallan]]+TrafficData[[#This Row],[pendingChallan]]=TrafficData[[#This Row],[totalChallan]]</f>
        <v>1</v>
      </c>
      <c r="L401" t="b">
        <f>TrafficData[[#This Row],[pendingAmount]]+TrafficData[[#This Row],[disposedAmount]]=TrafficData[[#This Row],[totalAmount]]</f>
        <v>1</v>
      </c>
      <c r="M401" t="b">
        <f>TrafficData[[#This Row],[pendingCourt]]+TrafficData[[#This Row],[disposedCourt]]=TrafficData[[#This Row],[totalCourt]]</f>
        <v>1</v>
      </c>
      <c r="N401" t="b">
        <f>AND(TrafficData[[#This Row],[disposedChallan]]&lt;=TrafficData[[#This Row],[totalChallan]],TrafficData[[#This Row],[pendingChallan]]&lt;=TrafficData[[#This Row],[totalChallan]])</f>
        <v>1</v>
      </c>
      <c r="O401" t="b">
        <f>AND(TrafficData[[#This Row],[pendingAmount]]&lt;=TrafficData[[#This Row],[totalAmount]],TrafficData[[#This Row],[disposedAmount]]&lt;=TrafficData[[#This Row],[totalAmount]])</f>
        <v>1</v>
      </c>
      <c r="P401" t="b">
        <f>AND(TrafficData[[#This Row],[pendingCourt]]&lt;=TrafficData[[#This Row],[totalCourt]],TrafficData[[#This Row],[disposedCourt]]&lt;=TrafficData[[#This Row],[totalCourt]])</f>
        <v>1</v>
      </c>
    </row>
    <row r="402" spans="1:16">
      <c r="A402" s="1">
        <v>42405</v>
      </c>
      <c r="B402">
        <v>1566</v>
      </c>
      <c r="C402">
        <v>178</v>
      </c>
      <c r="D402">
        <v>1388</v>
      </c>
      <c r="E402">
        <v>1346385</v>
      </c>
      <c r="F402">
        <v>284297</v>
      </c>
      <c r="G402">
        <v>1630682</v>
      </c>
      <c r="H402">
        <v>1038</v>
      </c>
      <c r="I402">
        <v>74</v>
      </c>
      <c r="J402">
        <v>1112</v>
      </c>
      <c r="K402" t="b">
        <f>TrafficData[[#This Row],[disposedChallan]]+TrafficData[[#This Row],[pendingChallan]]=TrafficData[[#This Row],[totalChallan]]</f>
        <v>1</v>
      </c>
      <c r="L402" t="b">
        <f>TrafficData[[#This Row],[pendingAmount]]+TrafficData[[#This Row],[disposedAmount]]=TrafficData[[#This Row],[totalAmount]]</f>
        <v>1</v>
      </c>
      <c r="M402" t="b">
        <f>TrafficData[[#This Row],[pendingCourt]]+TrafficData[[#This Row],[disposedCourt]]=TrafficData[[#This Row],[totalCourt]]</f>
        <v>1</v>
      </c>
      <c r="N402" t="b">
        <f>AND(TrafficData[[#This Row],[disposedChallan]]&lt;=TrafficData[[#This Row],[totalChallan]],TrafficData[[#This Row],[pendingChallan]]&lt;=TrafficData[[#This Row],[totalChallan]])</f>
        <v>1</v>
      </c>
      <c r="O402" t="b">
        <f>AND(TrafficData[[#This Row],[pendingAmount]]&lt;=TrafficData[[#This Row],[totalAmount]],TrafficData[[#This Row],[disposedAmount]]&lt;=TrafficData[[#This Row],[totalAmount]])</f>
        <v>1</v>
      </c>
      <c r="P402" t="b">
        <f>AND(TrafficData[[#This Row],[pendingCourt]]&lt;=TrafficData[[#This Row],[totalCourt]],TrafficData[[#This Row],[disposedCourt]]&lt;=TrafficData[[#This Row],[totalCourt]])</f>
        <v>1</v>
      </c>
    </row>
    <row r="403" spans="1:16">
      <c r="A403" s="1">
        <v>42406</v>
      </c>
      <c r="B403">
        <v>1612</v>
      </c>
      <c r="C403">
        <v>182</v>
      </c>
      <c r="D403">
        <v>1430</v>
      </c>
      <c r="E403">
        <v>697974</v>
      </c>
      <c r="F403">
        <v>259925</v>
      </c>
      <c r="G403">
        <v>957899</v>
      </c>
      <c r="H403">
        <v>1146</v>
      </c>
      <c r="I403">
        <v>58</v>
      </c>
      <c r="J403">
        <v>1204</v>
      </c>
      <c r="K403" t="b">
        <f>TrafficData[[#This Row],[disposedChallan]]+TrafficData[[#This Row],[pendingChallan]]=TrafficData[[#This Row],[totalChallan]]</f>
        <v>1</v>
      </c>
      <c r="L403" t="b">
        <f>TrafficData[[#This Row],[pendingAmount]]+TrafficData[[#This Row],[disposedAmount]]=TrafficData[[#This Row],[totalAmount]]</f>
        <v>1</v>
      </c>
      <c r="M403" t="b">
        <f>TrafficData[[#This Row],[pendingCourt]]+TrafficData[[#This Row],[disposedCourt]]=TrafficData[[#This Row],[totalCourt]]</f>
        <v>1</v>
      </c>
      <c r="N403" t="b">
        <f>AND(TrafficData[[#This Row],[disposedChallan]]&lt;=TrafficData[[#This Row],[totalChallan]],TrafficData[[#This Row],[pendingChallan]]&lt;=TrafficData[[#This Row],[totalChallan]])</f>
        <v>1</v>
      </c>
      <c r="O403" t="b">
        <f>AND(TrafficData[[#This Row],[pendingAmount]]&lt;=TrafficData[[#This Row],[totalAmount]],TrafficData[[#This Row],[disposedAmount]]&lt;=TrafficData[[#This Row],[totalAmount]])</f>
        <v>1</v>
      </c>
      <c r="P403" t="b">
        <f>AND(TrafficData[[#This Row],[pendingCourt]]&lt;=TrafficData[[#This Row],[totalCourt]],TrafficData[[#This Row],[disposedCourt]]&lt;=TrafficData[[#This Row],[totalCourt]])</f>
        <v>1</v>
      </c>
    </row>
    <row r="404" spans="1:16">
      <c r="A404" s="1">
        <v>42407</v>
      </c>
      <c r="B404">
        <v>852</v>
      </c>
      <c r="C404">
        <v>80</v>
      </c>
      <c r="D404">
        <v>772</v>
      </c>
      <c r="E404">
        <v>666350</v>
      </c>
      <c r="F404">
        <v>138400</v>
      </c>
      <c r="G404">
        <v>804750</v>
      </c>
      <c r="H404">
        <v>579</v>
      </c>
      <c r="I404">
        <v>27</v>
      </c>
      <c r="J404">
        <v>606</v>
      </c>
      <c r="K404" t="b">
        <f>TrafficData[[#This Row],[disposedChallan]]+TrafficData[[#This Row],[pendingChallan]]=TrafficData[[#This Row],[totalChallan]]</f>
        <v>1</v>
      </c>
      <c r="L404" t="b">
        <f>TrafficData[[#This Row],[pendingAmount]]+TrafficData[[#This Row],[disposedAmount]]=TrafficData[[#This Row],[totalAmount]]</f>
        <v>1</v>
      </c>
      <c r="M404" t="b">
        <f>TrafficData[[#This Row],[pendingCourt]]+TrafficData[[#This Row],[disposedCourt]]=TrafficData[[#This Row],[totalCourt]]</f>
        <v>1</v>
      </c>
      <c r="N404" t="b">
        <f>AND(TrafficData[[#This Row],[disposedChallan]]&lt;=TrafficData[[#This Row],[totalChallan]],TrafficData[[#This Row],[pendingChallan]]&lt;=TrafficData[[#This Row],[totalChallan]])</f>
        <v>1</v>
      </c>
      <c r="O404" t="b">
        <f>AND(TrafficData[[#This Row],[pendingAmount]]&lt;=TrafficData[[#This Row],[totalAmount]],TrafficData[[#This Row],[disposedAmount]]&lt;=TrafficData[[#This Row],[totalAmount]])</f>
        <v>1</v>
      </c>
      <c r="P404" t="b">
        <f>AND(TrafficData[[#This Row],[pendingCourt]]&lt;=TrafficData[[#This Row],[totalCourt]],TrafficData[[#This Row],[disposedCourt]]&lt;=TrafficData[[#This Row],[totalCourt]])</f>
        <v>1</v>
      </c>
    </row>
    <row r="405" spans="1:16">
      <c r="A405" s="1">
        <v>42408</v>
      </c>
      <c r="B405">
        <v>1312</v>
      </c>
      <c r="C405">
        <v>139</v>
      </c>
      <c r="D405">
        <v>1173</v>
      </c>
      <c r="E405">
        <v>1037175</v>
      </c>
      <c r="F405">
        <v>159503</v>
      </c>
      <c r="G405">
        <v>1196678</v>
      </c>
      <c r="H405">
        <v>876</v>
      </c>
      <c r="I405">
        <v>60</v>
      </c>
      <c r="J405">
        <v>936</v>
      </c>
      <c r="K405" t="b">
        <f>TrafficData[[#This Row],[disposedChallan]]+TrafficData[[#This Row],[pendingChallan]]=TrafficData[[#This Row],[totalChallan]]</f>
        <v>1</v>
      </c>
      <c r="L405" t="b">
        <f>TrafficData[[#This Row],[pendingAmount]]+TrafficData[[#This Row],[disposedAmount]]=TrafficData[[#This Row],[totalAmount]]</f>
        <v>1</v>
      </c>
      <c r="M405" t="b">
        <f>TrafficData[[#This Row],[pendingCourt]]+TrafficData[[#This Row],[disposedCourt]]=TrafficData[[#This Row],[totalCourt]]</f>
        <v>1</v>
      </c>
      <c r="N405" t="b">
        <f>AND(TrafficData[[#This Row],[disposedChallan]]&lt;=TrafficData[[#This Row],[totalChallan]],TrafficData[[#This Row],[pendingChallan]]&lt;=TrafficData[[#This Row],[totalChallan]])</f>
        <v>1</v>
      </c>
      <c r="O405" t="b">
        <f>AND(TrafficData[[#This Row],[pendingAmount]]&lt;=TrafficData[[#This Row],[totalAmount]],TrafficData[[#This Row],[disposedAmount]]&lt;=TrafficData[[#This Row],[totalAmount]])</f>
        <v>1</v>
      </c>
      <c r="P405" t="b">
        <f>AND(TrafficData[[#This Row],[pendingCourt]]&lt;=TrafficData[[#This Row],[totalCourt]],TrafficData[[#This Row],[disposedCourt]]&lt;=TrafficData[[#This Row],[totalCourt]])</f>
        <v>1</v>
      </c>
    </row>
    <row r="406" spans="1:16">
      <c r="A406" s="1">
        <v>42409</v>
      </c>
      <c r="B406">
        <v>1855</v>
      </c>
      <c r="C406">
        <v>181</v>
      </c>
      <c r="D406">
        <v>1674</v>
      </c>
      <c r="E406">
        <v>1233023</v>
      </c>
      <c r="F406">
        <v>217000</v>
      </c>
      <c r="G406">
        <v>1450023</v>
      </c>
      <c r="H406">
        <v>1343</v>
      </c>
      <c r="I406">
        <v>74</v>
      </c>
      <c r="J406">
        <v>1417</v>
      </c>
      <c r="K406" t="b">
        <f>TrafficData[[#This Row],[disposedChallan]]+TrafficData[[#This Row],[pendingChallan]]=TrafficData[[#This Row],[totalChallan]]</f>
        <v>1</v>
      </c>
      <c r="L406" t="b">
        <f>TrafficData[[#This Row],[pendingAmount]]+TrafficData[[#This Row],[disposedAmount]]=TrafficData[[#This Row],[totalAmount]]</f>
        <v>1</v>
      </c>
      <c r="M406" t="b">
        <f>TrafficData[[#This Row],[pendingCourt]]+TrafficData[[#This Row],[disposedCourt]]=TrafficData[[#This Row],[totalCourt]]</f>
        <v>1</v>
      </c>
      <c r="N406" t="b">
        <f>AND(TrafficData[[#This Row],[disposedChallan]]&lt;=TrafficData[[#This Row],[totalChallan]],TrafficData[[#This Row],[pendingChallan]]&lt;=TrafficData[[#This Row],[totalChallan]])</f>
        <v>1</v>
      </c>
      <c r="O406" t="b">
        <f>AND(TrafficData[[#This Row],[pendingAmount]]&lt;=TrafficData[[#This Row],[totalAmount]],TrafficData[[#This Row],[disposedAmount]]&lt;=TrafficData[[#This Row],[totalAmount]])</f>
        <v>1</v>
      </c>
      <c r="P406" t="b">
        <f>AND(TrafficData[[#This Row],[pendingCourt]]&lt;=TrafficData[[#This Row],[totalCourt]],TrafficData[[#This Row],[disposedCourt]]&lt;=TrafficData[[#This Row],[totalCourt]])</f>
        <v>1</v>
      </c>
    </row>
    <row r="407" spans="1:16">
      <c r="A407" s="1">
        <v>42410</v>
      </c>
      <c r="B407">
        <v>1704</v>
      </c>
      <c r="C407">
        <v>177</v>
      </c>
      <c r="D407">
        <v>1527</v>
      </c>
      <c r="E407">
        <v>914000</v>
      </c>
      <c r="F407">
        <v>338010</v>
      </c>
      <c r="G407">
        <v>1252010</v>
      </c>
      <c r="H407">
        <v>1147</v>
      </c>
      <c r="I407">
        <v>66</v>
      </c>
      <c r="J407">
        <v>1213</v>
      </c>
      <c r="K407" t="b">
        <f>TrafficData[[#This Row],[disposedChallan]]+TrafficData[[#This Row],[pendingChallan]]=TrafficData[[#This Row],[totalChallan]]</f>
        <v>1</v>
      </c>
      <c r="L407" t="b">
        <f>TrafficData[[#This Row],[pendingAmount]]+TrafficData[[#This Row],[disposedAmount]]=TrafficData[[#This Row],[totalAmount]]</f>
        <v>1</v>
      </c>
      <c r="M407" t="b">
        <f>TrafficData[[#This Row],[pendingCourt]]+TrafficData[[#This Row],[disposedCourt]]=TrafficData[[#This Row],[totalCourt]]</f>
        <v>1</v>
      </c>
      <c r="N407" t="b">
        <f>AND(TrafficData[[#This Row],[disposedChallan]]&lt;=TrafficData[[#This Row],[totalChallan]],TrafficData[[#This Row],[pendingChallan]]&lt;=TrafficData[[#This Row],[totalChallan]])</f>
        <v>1</v>
      </c>
      <c r="O407" t="b">
        <f>AND(TrafficData[[#This Row],[pendingAmount]]&lt;=TrafficData[[#This Row],[totalAmount]],TrafficData[[#This Row],[disposedAmount]]&lt;=TrafficData[[#This Row],[totalAmount]])</f>
        <v>1</v>
      </c>
      <c r="P407" t="b">
        <f>AND(TrafficData[[#This Row],[pendingCourt]]&lt;=TrafficData[[#This Row],[totalCourt]],TrafficData[[#This Row],[disposedCourt]]&lt;=TrafficData[[#This Row],[totalCourt]])</f>
        <v>1</v>
      </c>
    </row>
    <row r="408" spans="1:16">
      <c r="A408" s="1">
        <v>42411</v>
      </c>
      <c r="B408">
        <v>2128</v>
      </c>
      <c r="C408">
        <v>244</v>
      </c>
      <c r="D408">
        <v>1884</v>
      </c>
      <c r="E408">
        <v>1242300</v>
      </c>
      <c r="F408">
        <v>410525</v>
      </c>
      <c r="G408">
        <v>1652825</v>
      </c>
      <c r="H408">
        <v>1418</v>
      </c>
      <c r="I408">
        <v>76</v>
      </c>
      <c r="J408">
        <v>1494</v>
      </c>
      <c r="K408" t="b">
        <f>TrafficData[[#This Row],[disposedChallan]]+TrafficData[[#This Row],[pendingChallan]]=TrafficData[[#This Row],[totalChallan]]</f>
        <v>1</v>
      </c>
      <c r="L408" t="b">
        <f>TrafficData[[#This Row],[pendingAmount]]+TrafficData[[#This Row],[disposedAmount]]=TrafficData[[#This Row],[totalAmount]]</f>
        <v>1</v>
      </c>
      <c r="M408" t="b">
        <f>TrafficData[[#This Row],[pendingCourt]]+TrafficData[[#This Row],[disposedCourt]]=TrafficData[[#This Row],[totalCourt]]</f>
        <v>1</v>
      </c>
      <c r="N408" t="b">
        <f>AND(TrafficData[[#This Row],[disposedChallan]]&lt;=TrafficData[[#This Row],[totalChallan]],TrafficData[[#This Row],[pendingChallan]]&lt;=TrafficData[[#This Row],[totalChallan]])</f>
        <v>1</v>
      </c>
      <c r="O408" t="b">
        <f>AND(TrafficData[[#This Row],[pendingAmount]]&lt;=TrafficData[[#This Row],[totalAmount]],TrafficData[[#This Row],[disposedAmount]]&lt;=TrafficData[[#This Row],[totalAmount]])</f>
        <v>1</v>
      </c>
      <c r="P408" t="b">
        <f>AND(TrafficData[[#This Row],[pendingCourt]]&lt;=TrafficData[[#This Row],[totalCourt]],TrafficData[[#This Row],[disposedCourt]]&lt;=TrafficData[[#This Row],[totalCourt]])</f>
        <v>1</v>
      </c>
    </row>
    <row r="409" spans="1:16">
      <c r="A409" s="1">
        <v>42412</v>
      </c>
      <c r="B409">
        <v>1794</v>
      </c>
      <c r="C409">
        <v>173</v>
      </c>
      <c r="D409">
        <v>1621</v>
      </c>
      <c r="E409">
        <v>1077990</v>
      </c>
      <c r="F409">
        <v>311643</v>
      </c>
      <c r="G409">
        <v>1389633</v>
      </c>
      <c r="H409">
        <v>1229</v>
      </c>
      <c r="I409">
        <v>53</v>
      </c>
      <c r="J409">
        <v>1282</v>
      </c>
      <c r="K409" t="b">
        <f>TrafficData[[#This Row],[disposedChallan]]+TrafficData[[#This Row],[pendingChallan]]=TrafficData[[#This Row],[totalChallan]]</f>
        <v>1</v>
      </c>
      <c r="L409" t="b">
        <f>TrafficData[[#This Row],[pendingAmount]]+TrafficData[[#This Row],[disposedAmount]]=TrafficData[[#This Row],[totalAmount]]</f>
        <v>1</v>
      </c>
      <c r="M409" t="b">
        <f>TrafficData[[#This Row],[pendingCourt]]+TrafficData[[#This Row],[disposedCourt]]=TrafficData[[#This Row],[totalCourt]]</f>
        <v>1</v>
      </c>
      <c r="N409" t="b">
        <f>AND(TrafficData[[#This Row],[disposedChallan]]&lt;=TrafficData[[#This Row],[totalChallan]],TrafficData[[#This Row],[pendingChallan]]&lt;=TrafficData[[#This Row],[totalChallan]])</f>
        <v>1</v>
      </c>
      <c r="O409" t="b">
        <f>AND(TrafficData[[#This Row],[pendingAmount]]&lt;=TrafficData[[#This Row],[totalAmount]],TrafficData[[#This Row],[disposedAmount]]&lt;=TrafficData[[#This Row],[totalAmount]])</f>
        <v>1</v>
      </c>
      <c r="P409" t="b">
        <f>AND(TrafficData[[#This Row],[pendingCourt]]&lt;=TrafficData[[#This Row],[totalCourt]],TrafficData[[#This Row],[disposedCourt]]&lt;=TrafficData[[#This Row],[totalCourt]])</f>
        <v>1</v>
      </c>
    </row>
    <row r="410" spans="1:16">
      <c r="A410" s="1">
        <v>42413</v>
      </c>
      <c r="B410">
        <v>1189</v>
      </c>
      <c r="C410">
        <v>109</v>
      </c>
      <c r="D410">
        <v>1080</v>
      </c>
      <c r="E410">
        <v>580525</v>
      </c>
      <c r="F410">
        <v>233325</v>
      </c>
      <c r="G410">
        <v>813850</v>
      </c>
      <c r="H410">
        <v>808</v>
      </c>
      <c r="I410">
        <v>30</v>
      </c>
      <c r="J410">
        <v>838</v>
      </c>
      <c r="K410" t="b">
        <f>TrafficData[[#This Row],[disposedChallan]]+TrafficData[[#This Row],[pendingChallan]]=TrafficData[[#This Row],[totalChallan]]</f>
        <v>1</v>
      </c>
      <c r="L410" t="b">
        <f>TrafficData[[#This Row],[pendingAmount]]+TrafficData[[#This Row],[disposedAmount]]=TrafficData[[#This Row],[totalAmount]]</f>
        <v>1</v>
      </c>
      <c r="M410" t="b">
        <f>TrafficData[[#This Row],[pendingCourt]]+TrafficData[[#This Row],[disposedCourt]]=TrafficData[[#This Row],[totalCourt]]</f>
        <v>1</v>
      </c>
      <c r="N410" t="b">
        <f>AND(TrafficData[[#This Row],[disposedChallan]]&lt;=TrafficData[[#This Row],[totalChallan]],TrafficData[[#This Row],[pendingChallan]]&lt;=TrafficData[[#This Row],[totalChallan]])</f>
        <v>1</v>
      </c>
      <c r="O410" t="b">
        <f>AND(TrafficData[[#This Row],[pendingAmount]]&lt;=TrafficData[[#This Row],[totalAmount]],TrafficData[[#This Row],[disposedAmount]]&lt;=TrafficData[[#This Row],[totalAmount]])</f>
        <v>1</v>
      </c>
      <c r="P410" t="b">
        <f>AND(TrafficData[[#This Row],[pendingCourt]]&lt;=TrafficData[[#This Row],[totalCourt]],TrafficData[[#This Row],[disposedCourt]]&lt;=TrafficData[[#This Row],[totalCourt]])</f>
        <v>1</v>
      </c>
    </row>
    <row r="411" spans="1:16">
      <c r="A411" s="1">
        <v>42414</v>
      </c>
      <c r="B411">
        <v>1171</v>
      </c>
      <c r="C411">
        <v>120</v>
      </c>
      <c r="D411">
        <v>1051</v>
      </c>
      <c r="E411">
        <v>450500</v>
      </c>
      <c r="F411">
        <v>210800</v>
      </c>
      <c r="G411">
        <v>661300</v>
      </c>
      <c r="H411">
        <v>813</v>
      </c>
      <c r="I411">
        <v>50</v>
      </c>
      <c r="J411">
        <v>863</v>
      </c>
      <c r="K411" t="b">
        <f>TrafficData[[#This Row],[disposedChallan]]+TrafficData[[#This Row],[pendingChallan]]=TrafficData[[#This Row],[totalChallan]]</f>
        <v>1</v>
      </c>
      <c r="L411" t="b">
        <f>TrafficData[[#This Row],[pendingAmount]]+TrafficData[[#This Row],[disposedAmount]]=TrafficData[[#This Row],[totalAmount]]</f>
        <v>1</v>
      </c>
      <c r="M411" t="b">
        <f>TrafficData[[#This Row],[pendingCourt]]+TrafficData[[#This Row],[disposedCourt]]=TrafficData[[#This Row],[totalCourt]]</f>
        <v>1</v>
      </c>
      <c r="N411" t="b">
        <f>AND(TrafficData[[#This Row],[disposedChallan]]&lt;=TrafficData[[#This Row],[totalChallan]],TrafficData[[#This Row],[pendingChallan]]&lt;=TrafficData[[#This Row],[totalChallan]])</f>
        <v>1</v>
      </c>
      <c r="O411" t="b">
        <f>AND(TrafficData[[#This Row],[pendingAmount]]&lt;=TrafficData[[#This Row],[totalAmount]],TrafficData[[#This Row],[disposedAmount]]&lt;=TrafficData[[#This Row],[totalAmount]])</f>
        <v>1</v>
      </c>
      <c r="P411" t="b">
        <f>AND(TrafficData[[#This Row],[pendingCourt]]&lt;=TrafficData[[#This Row],[totalCourt]],TrafficData[[#This Row],[disposedCourt]]&lt;=TrafficData[[#This Row],[totalCourt]])</f>
        <v>1</v>
      </c>
    </row>
    <row r="412" spans="1:16">
      <c r="A412" s="1">
        <v>42415</v>
      </c>
      <c r="B412">
        <v>1547</v>
      </c>
      <c r="C412">
        <v>148</v>
      </c>
      <c r="D412">
        <v>1399</v>
      </c>
      <c r="E412">
        <v>692550</v>
      </c>
      <c r="F412">
        <v>152500</v>
      </c>
      <c r="G412">
        <v>845050</v>
      </c>
      <c r="H412">
        <v>1019</v>
      </c>
      <c r="I412">
        <v>56</v>
      </c>
      <c r="J412">
        <v>1075</v>
      </c>
      <c r="K412" t="b">
        <f>TrafficData[[#This Row],[disposedChallan]]+TrafficData[[#This Row],[pendingChallan]]=TrafficData[[#This Row],[totalChallan]]</f>
        <v>1</v>
      </c>
      <c r="L412" t="b">
        <f>TrafficData[[#This Row],[pendingAmount]]+TrafficData[[#This Row],[disposedAmount]]=TrafficData[[#This Row],[totalAmount]]</f>
        <v>1</v>
      </c>
      <c r="M412" t="b">
        <f>TrafficData[[#This Row],[pendingCourt]]+TrafficData[[#This Row],[disposedCourt]]=TrafficData[[#This Row],[totalCourt]]</f>
        <v>1</v>
      </c>
      <c r="N412" t="b">
        <f>AND(TrafficData[[#This Row],[disposedChallan]]&lt;=TrafficData[[#This Row],[totalChallan]],TrafficData[[#This Row],[pendingChallan]]&lt;=TrafficData[[#This Row],[totalChallan]])</f>
        <v>1</v>
      </c>
      <c r="O412" t="b">
        <f>AND(TrafficData[[#This Row],[pendingAmount]]&lt;=TrafficData[[#This Row],[totalAmount]],TrafficData[[#This Row],[disposedAmount]]&lt;=TrafficData[[#This Row],[totalAmount]])</f>
        <v>1</v>
      </c>
      <c r="P412" t="b">
        <f>AND(TrafficData[[#This Row],[pendingCourt]]&lt;=TrafficData[[#This Row],[totalCourt]],TrafficData[[#This Row],[disposedCourt]]&lt;=TrafficData[[#This Row],[totalCourt]])</f>
        <v>1</v>
      </c>
    </row>
    <row r="413" spans="1:16">
      <c r="A413" s="1">
        <v>42416</v>
      </c>
      <c r="B413">
        <v>1526</v>
      </c>
      <c r="C413">
        <v>165</v>
      </c>
      <c r="D413">
        <v>1361</v>
      </c>
      <c r="E413">
        <v>950425</v>
      </c>
      <c r="F413">
        <v>176630</v>
      </c>
      <c r="G413">
        <v>1127055</v>
      </c>
      <c r="H413">
        <v>1007</v>
      </c>
      <c r="I413">
        <v>18</v>
      </c>
      <c r="J413">
        <v>1025</v>
      </c>
      <c r="K413" t="b">
        <f>TrafficData[[#This Row],[disposedChallan]]+TrafficData[[#This Row],[pendingChallan]]=TrafficData[[#This Row],[totalChallan]]</f>
        <v>1</v>
      </c>
      <c r="L413" t="b">
        <f>TrafficData[[#This Row],[pendingAmount]]+TrafficData[[#This Row],[disposedAmount]]=TrafficData[[#This Row],[totalAmount]]</f>
        <v>1</v>
      </c>
      <c r="M413" t="b">
        <f>TrafficData[[#This Row],[pendingCourt]]+TrafficData[[#This Row],[disposedCourt]]=TrafficData[[#This Row],[totalCourt]]</f>
        <v>1</v>
      </c>
      <c r="N413" t="b">
        <f>AND(TrafficData[[#This Row],[disposedChallan]]&lt;=TrafficData[[#This Row],[totalChallan]],TrafficData[[#This Row],[pendingChallan]]&lt;=TrafficData[[#This Row],[totalChallan]])</f>
        <v>1</v>
      </c>
      <c r="O413" t="b">
        <f>AND(TrafficData[[#This Row],[pendingAmount]]&lt;=TrafficData[[#This Row],[totalAmount]],TrafficData[[#This Row],[disposedAmount]]&lt;=TrafficData[[#This Row],[totalAmount]])</f>
        <v>1</v>
      </c>
      <c r="P413" t="b">
        <f>AND(TrafficData[[#This Row],[pendingCourt]]&lt;=TrafficData[[#This Row],[totalCourt]],TrafficData[[#This Row],[disposedCourt]]&lt;=TrafficData[[#This Row],[totalCourt]])</f>
        <v>1</v>
      </c>
    </row>
    <row r="414" spans="1:16">
      <c r="A414" s="1">
        <v>42417</v>
      </c>
      <c r="B414">
        <v>1797</v>
      </c>
      <c r="C414">
        <v>210</v>
      </c>
      <c r="D414">
        <v>1587</v>
      </c>
      <c r="E414">
        <v>985200</v>
      </c>
      <c r="F414">
        <v>485200</v>
      </c>
      <c r="G414">
        <v>1470400</v>
      </c>
      <c r="H414">
        <v>1157</v>
      </c>
      <c r="I414">
        <v>65</v>
      </c>
      <c r="J414">
        <v>1222</v>
      </c>
      <c r="K414" t="b">
        <f>TrafficData[[#This Row],[disposedChallan]]+TrafficData[[#This Row],[pendingChallan]]=TrafficData[[#This Row],[totalChallan]]</f>
        <v>1</v>
      </c>
      <c r="L414" t="b">
        <f>TrafficData[[#This Row],[pendingAmount]]+TrafficData[[#This Row],[disposedAmount]]=TrafficData[[#This Row],[totalAmount]]</f>
        <v>1</v>
      </c>
      <c r="M414" t="b">
        <f>TrafficData[[#This Row],[pendingCourt]]+TrafficData[[#This Row],[disposedCourt]]=TrafficData[[#This Row],[totalCourt]]</f>
        <v>1</v>
      </c>
      <c r="N414" t="b">
        <f>AND(TrafficData[[#This Row],[disposedChallan]]&lt;=TrafficData[[#This Row],[totalChallan]],TrafficData[[#This Row],[pendingChallan]]&lt;=TrafficData[[#This Row],[totalChallan]])</f>
        <v>1</v>
      </c>
      <c r="O414" t="b">
        <f>AND(TrafficData[[#This Row],[pendingAmount]]&lt;=TrafficData[[#This Row],[totalAmount]],TrafficData[[#This Row],[disposedAmount]]&lt;=TrafficData[[#This Row],[totalAmount]])</f>
        <v>1</v>
      </c>
      <c r="P414" t="b">
        <f>AND(TrafficData[[#This Row],[pendingCourt]]&lt;=TrafficData[[#This Row],[totalCourt]],TrafficData[[#This Row],[disposedCourt]]&lt;=TrafficData[[#This Row],[totalCourt]])</f>
        <v>1</v>
      </c>
    </row>
    <row r="415" spans="1:16">
      <c r="A415" s="1">
        <v>42418</v>
      </c>
      <c r="B415">
        <v>1622</v>
      </c>
      <c r="C415">
        <v>241</v>
      </c>
      <c r="D415">
        <v>1381</v>
      </c>
      <c r="E415">
        <v>794053</v>
      </c>
      <c r="F415">
        <v>421775</v>
      </c>
      <c r="G415">
        <v>1215828</v>
      </c>
      <c r="H415">
        <v>976</v>
      </c>
      <c r="I415">
        <v>57</v>
      </c>
      <c r="J415">
        <v>1033</v>
      </c>
      <c r="K415" t="b">
        <f>TrafficData[[#This Row],[disposedChallan]]+TrafficData[[#This Row],[pendingChallan]]=TrafficData[[#This Row],[totalChallan]]</f>
        <v>1</v>
      </c>
      <c r="L415" t="b">
        <f>TrafficData[[#This Row],[pendingAmount]]+TrafficData[[#This Row],[disposedAmount]]=TrafficData[[#This Row],[totalAmount]]</f>
        <v>1</v>
      </c>
      <c r="M415" t="b">
        <f>TrafficData[[#This Row],[pendingCourt]]+TrafficData[[#This Row],[disposedCourt]]=TrafficData[[#This Row],[totalCourt]]</f>
        <v>1</v>
      </c>
      <c r="N415" t="b">
        <f>AND(TrafficData[[#This Row],[disposedChallan]]&lt;=TrafficData[[#This Row],[totalChallan]],TrafficData[[#This Row],[pendingChallan]]&lt;=TrafficData[[#This Row],[totalChallan]])</f>
        <v>1</v>
      </c>
      <c r="O415" t="b">
        <f>AND(TrafficData[[#This Row],[pendingAmount]]&lt;=TrafficData[[#This Row],[totalAmount]],TrafficData[[#This Row],[disposedAmount]]&lt;=TrafficData[[#This Row],[totalAmount]])</f>
        <v>1</v>
      </c>
      <c r="P415" t="b">
        <f>AND(TrafficData[[#This Row],[pendingCourt]]&lt;=TrafficData[[#This Row],[totalCourt]],TrafficData[[#This Row],[disposedCourt]]&lt;=TrafficData[[#This Row],[totalCourt]])</f>
        <v>1</v>
      </c>
    </row>
    <row r="416" spans="1:16">
      <c r="A416" s="1">
        <v>42419</v>
      </c>
      <c r="B416">
        <v>1319</v>
      </c>
      <c r="C416">
        <v>157</v>
      </c>
      <c r="D416">
        <v>1162</v>
      </c>
      <c r="E416">
        <v>853100</v>
      </c>
      <c r="F416">
        <v>255100</v>
      </c>
      <c r="G416">
        <v>1108200</v>
      </c>
      <c r="H416">
        <v>845</v>
      </c>
      <c r="I416">
        <v>40</v>
      </c>
      <c r="J416">
        <v>885</v>
      </c>
      <c r="K416" t="b">
        <f>TrafficData[[#This Row],[disposedChallan]]+TrafficData[[#This Row],[pendingChallan]]=TrafficData[[#This Row],[totalChallan]]</f>
        <v>1</v>
      </c>
      <c r="L416" t="b">
        <f>TrafficData[[#This Row],[pendingAmount]]+TrafficData[[#This Row],[disposedAmount]]=TrafficData[[#This Row],[totalAmount]]</f>
        <v>1</v>
      </c>
      <c r="M416" t="b">
        <f>TrafficData[[#This Row],[pendingCourt]]+TrafficData[[#This Row],[disposedCourt]]=TrafficData[[#This Row],[totalCourt]]</f>
        <v>1</v>
      </c>
      <c r="N416" t="b">
        <f>AND(TrafficData[[#This Row],[disposedChallan]]&lt;=TrafficData[[#This Row],[totalChallan]],TrafficData[[#This Row],[pendingChallan]]&lt;=TrafficData[[#This Row],[totalChallan]])</f>
        <v>1</v>
      </c>
      <c r="O416" t="b">
        <f>AND(TrafficData[[#This Row],[pendingAmount]]&lt;=TrafficData[[#This Row],[totalAmount]],TrafficData[[#This Row],[disposedAmount]]&lt;=TrafficData[[#This Row],[totalAmount]])</f>
        <v>1</v>
      </c>
      <c r="P416" t="b">
        <f>AND(TrafficData[[#This Row],[pendingCourt]]&lt;=TrafficData[[#This Row],[totalCourt]],TrafficData[[#This Row],[disposedCourt]]&lt;=TrafficData[[#This Row],[totalCourt]])</f>
        <v>1</v>
      </c>
    </row>
    <row r="417" spans="1:16">
      <c r="A417" s="1">
        <v>42420</v>
      </c>
      <c r="B417">
        <v>1222</v>
      </c>
      <c r="C417">
        <v>115</v>
      </c>
      <c r="D417">
        <v>1107</v>
      </c>
      <c r="E417">
        <v>832900</v>
      </c>
      <c r="F417">
        <v>158350</v>
      </c>
      <c r="G417">
        <v>991250</v>
      </c>
      <c r="H417">
        <v>872</v>
      </c>
      <c r="I417">
        <v>38</v>
      </c>
      <c r="J417">
        <v>910</v>
      </c>
      <c r="K417" t="b">
        <f>TrafficData[[#This Row],[disposedChallan]]+TrafficData[[#This Row],[pendingChallan]]=TrafficData[[#This Row],[totalChallan]]</f>
        <v>1</v>
      </c>
      <c r="L417" t="b">
        <f>TrafficData[[#This Row],[pendingAmount]]+TrafficData[[#This Row],[disposedAmount]]=TrafficData[[#This Row],[totalAmount]]</f>
        <v>1</v>
      </c>
      <c r="M417" t="b">
        <f>TrafficData[[#This Row],[pendingCourt]]+TrafficData[[#This Row],[disposedCourt]]=TrafficData[[#This Row],[totalCourt]]</f>
        <v>1</v>
      </c>
      <c r="N417" t="b">
        <f>AND(TrafficData[[#This Row],[disposedChallan]]&lt;=TrafficData[[#This Row],[totalChallan]],TrafficData[[#This Row],[pendingChallan]]&lt;=TrafficData[[#This Row],[totalChallan]])</f>
        <v>1</v>
      </c>
      <c r="O417" t="b">
        <f>AND(TrafficData[[#This Row],[pendingAmount]]&lt;=TrafficData[[#This Row],[totalAmount]],TrafficData[[#This Row],[disposedAmount]]&lt;=TrafficData[[#This Row],[totalAmount]])</f>
        <v>1</v>
      </c>
      <c r="P417" t="b">
        <f>AND(TrafficData[[#This Row],[pendingCourt]]&lt;=TrafficData[[#This Row],[totalCourt]],TrafficData[[#This Row],[disposedCourt]]&lt;=TrafficData[[#This Row],[totalCourt]])</f>
        <v>1</v>
      </c>
    </row>
    <row r="418" spans="1:16">
      <c r="A418" s="1">
        <v>42421</v>
      </c>
      <c r="B418">
        <v>797</v>
      </c>
      <c r="C418">
        <v>92</v>
      </c>
      <c r="D418">
        <v>705</v>
      </c>
      <c r="E418">
        <v>372350</v>
      </c>
      <c r="F418">
        <v>168100</v>
      </c>
      <c r="G418">
        <v>540450</v>
      </c>
      <c r="H418">
        <v>571</v>
      </c>
      <c r="I418">
        <v>34</v>
      </c>
      <c r="J418">
        <v>605</v>
      </c>
      <c r="K418" t="b">
        <f>TrafficData[[#This Row],[disposedChallan]]+TrafficData[[#This Row],[pendingChallan]]=TrafficData[[#This Row],[totalChallan]]</f>
        <v>1</v>
      </c>
      <c r="L418" t="b">
        <f>TrafficData[[#This Row],[pendingAmount]]+TrafficData[[#This Row],[disposedAmount]]=TrafficData[[#This Row],[totalAmount]]</f>
        <v>1</v>
      </c>
      <c r="M418" t="b">
        <f>TrafficData[[#This Row],[pendingCourt]]+TrafficData[[#This Row],[disposedCourt]]=TrafficData[[#This Row],[totalCourt]]</f>
        <v>1</v>
      </c>
      <c r="N418" t="b">
        <f>AND(TrafficData[[#This Row],[disposedChallan]]&lt;=TrafficData[[#This Row],[totalChallan]],TrafficData[[#This Row],[pendingChallan]]&lt;=TrafficData[[#This Row],[totalChallan]])</f>
        <v>1</v>
      </c>
      <c r="O418" t="b">
        <f>AND(TrafficData[[#This Row],[pendingAmount]]&lt;=TrafficData[[#This Row],[totalAmount]],TrafficData[[#This Row],[disposedAmount]]&lt;=TrafficData[[#This Row],[totalAmount]])</f>
        <v>1</v>
      </c>
      <c r="P418" t="b">
        <f>AND(TrafficData[[#This Row],[pendingCourt]]&lt;=TrafficData[[#This Row],[totalCourt]],TrafficData[[#This Row],[disposedCourt]]&lt;=TrafficData[[#This Row],[totalCourt]])</f>
        <v>1</v>
      </c>
    </row>
    <row r="419" spans="1:16">
      <c r="A419" s="1">
        <v>42422</v>
      </c>
      <c r="B419">
        <v>1155</v>
      </c>
      <c r="C419">
        <v>114</v>
      </c>
      <c r="D419">
        <v>1041</v>
      </c>
      <c r="E419">
        <v>869250</v>
      </c>
      <c r="F419">
        <v>189785</v>
      </c>
      <c r="G419">
        <v>1059035</v>
      </c>
      <c r="H419">
        <v>772</v>
      </c>
      <c r="I419">
        <v>38</v>
      </c>
      <c r="J419">
        <v>810</v>
      </c>
      <c r="K419" t="b">
        <f>TrafficData[[#This Row],[disposedChallan]]+TrafficData[[#This Row],[pendingChallan]]=TrafficData[[#This Row],[totalChallan]]</f>
        <v>1</v>
      </c>
      <c r="L419" t="b">
        <f>TrafficData[[#This Row],[pendingAmount]]+TrafficData[[#This Row],[disposedAmount]]=TrafficData[[#This Row],[totalAmount]]</f>
        <v>1</v>
      </c>
      <c r="M419" t="b">
        <f>TrafficData[[#This Row],[pendingCourt]]+TrafficData[[#This Row],[disposedCourt]]=TrafficData[[#This Row],[totalCourt]]</f>
        <v>1</v>
      </c>
      <c r="N419" t="b">
        <f>AND(TrafficData[[#This Row],[disposedChallan]]&lt;=TrafficData[[#This Row],[totalChallan]],TrafficData[[#This Row],[pendingChallan]]&lt;=TrafficData[[#This Row],[totalChallan]])</f>
        <v>1</v>
      </c>
      <c r="O419" t="b">
        <f>AND(TrafficData[[#This Row],[pendingAmount]]&lt;=TrafficData[[#This Row],[totalAmount]],TrafficData[[#This Row],[disposedAmount]]&lt;=TrafficData[[#This Row],[totalAmount]])</f>
        <v>1</v>
      </c>
      <c r="P419" t="b">
        <f>AND(TrafficData[[#This Row],[pendingCourt]]&lt;=TrafficData[[#This Row],[totalCourt]],TrafficData[[#This Row],[disposedCourt]]&lt;=TrafficData[[#This Row],[totalCourt]])</f>
        <v>1</v>
      </c>
    </row>
    <row r="420" spans="1:16">
      <c r="A420" s="1">
        <v>42423</v>
      </c>
      <c r="B420">
        <v>1300</v>
      </c>
      <c r="C420">
        <v>142</v>
      </c>
      <c r="D420">
        <v>1158</v>
      </c>
      <c r="E420">
        <v>1249550</v>
      </c>
      <c r="F420">
        <v>227475</v>
      </c>
      <c r="G420">
        <v>1477025</v>
      </c>
      <c r="H420">
        <v>868</v>
      </c>
      <c r="I420">
        <v>49</v>
      </c>
      <c r="J420">
        <v>917</v>
      </c>
      <c r="K420" t="b">
        <f>TrafficData[[#This Row],[disposedChallan]]+TrafficData[[#This Row],[pendingChallan]]=TrafficData[[#This Row],[totalChallan]]</f>
        <v>1</v>
      </c>
      <c r="L420" t="b">
        <f>TrafficData[[#This Row],[pendingAmount]]+TrafficData[[#This Row],[disposedAmount]]=TrafficData[[#This Row],[totalAmount]]</f>
        <v>1</v>
      </c>
      <c r="M420" t="b">
        <f>TrafficData[[#This Row],[pendingCourt]]+TrafficData[[#This Row],[disposedCourt]]=TrafficData[[#This Row],[totalCourt]]</f>
        <v>1</v>
      </c>
      <c r="N420" t="b">
        <f>AND(TrafficData[[#This Row],[disposedChallan]]&lt;=TrafficData[[#This Row],[totalChallan]],TrafficData[[#This Row],[pendingChallan]]&lt;=TrafficData[[#This Row],[totalChallan]])</f>
        <v>1</v>
      </c>
      <c r="O420" t="b">
        <f>AND(TrafficData[[#This Row],[pendingAmount]]&lt;=TrafficData[[#This Row],[totalAmount]],TrafficData[[#This Row],[disposedAmount]]&lt;=TrafficData[[#This Row],[totalAmount]])</f>
        <v>1</v>
      </c>
      <c r="P420" t="b">
        <f>AND(TrafficData[[#This Row],[pendingCourt]]&lt;=TrafficData[[#This Row],[totalCourt]],TrafficData[[#This Row],[disposedCourt]]&lt;=TrafficData[[#This Row],[totalCourt]])</f>
        <v>1</v>
      </c>
    </row>
    <row r="421" spans="1:16">
      <c r="A421" s="1">
        <v>42424</v>
      </c>
      <c r="B421">
        <v>1561</v>
      </c>
      <c r="C421">
        <v>170</v>
      </c>
      <c r="D421">
        <v>1391</v>
      </c>
      <c r="E421">
        <v>1327851</v>
      </c>
      <c r="F421">
        <v>203650</v>
      </c>
      <c r="G421">
        <v>1531501</v>
      </c>
      <c r="H421">
        <v>1023</v>
      </c>
      <c r="I421">
        <v>52</v>
      </c>
      <c r="J421">
        <v>1075</v>
      </c>
      <c r="K421" t="b">
        <f>TrafficData[[#This Row],[disposedChallan]]+TrafficData[[#This Row],[pendingChallan]]=TrafficData[[#This Row],[totalChallan]]</f>
        <v>1</v>
      </c>
      <c r="L421" t="b">
        <f>TrafficData[[#This Row],[pendingAmount]]+TrafficData[[#This Row],[disposedAmount]]=TrafficData[[#This Row],[totalAmount]]</f>
        <v>1</v>
      </c>
      <c r="M421" t="b">
        <f>TrafficData[[#This Row],[pendingCourt]]+TrafficData[[#This Row],[disposedCourt]]=TrafficData[[#This Row],[totalCourt]]</f>
        <v>1</v>
      </c>
      <c r="N421" t="b">
        <f>AND(TrafficData[[#This Row],[disposedChallan]]&lt;=TrafficData[[#This Row],[totalChallan]],TrafficData[[#This Row],[pendingChallan]]&lt;=TrafficData[[#This Row],[totalChallan]])</f>
        <v>1</v>
      </c>
      <c r="O421" t="b">
        <f>AND(TrafficData[[#This Row],[pendingAmount]]&lt;=TrafficData[[#This Row],[totalAmount]],TrafficData[[#This Row],[disposedAmount]]&lt;=TrafficData[[#This Row],[totalAmount]])</f>
        <v>1</v>
      </c>
      <c r="P421" t="b">
        <f>AND(TrafficData[[#This Row],[pendingCourt]]&lt;=TrafficData[[#This Row],[totalCourt]],TrafficData[[#This Row],[disposedCourt]]&lt;=TrafficData[[#This Row],[totalCourt]])</f>
        <v>1</v>
      </c>
    </row>
    <row r="422" spans="1:16">
      <c r="A422" s="1">
        <v>42425</v>
      </c>
      <c r="B422">
        <v>1495</v>
      </c>
      <c r="C422">
        <v>153</v>
      </c>
      <c r="D422">
        <v>1342</v>
      </c>
      <c r="E422">
        <v>1076860</v>
      </c>
      <c r="F422">
        <v>506894</v>
      </c>
      <c r="G422">
        <v>1583754</v>
      </c>
      <c r="H422">
        <v>983</v>
      </c>
      <c r="I422">
        <v>58</v>
      </c>
      <c r="J422">
        <v>1041</v>
      </c>
      <c r="K422" t="b">
        <f>TrafficData[[#This Row],[disposedChallan]]+TrafficData[[#This Row],[pendingChallan]]=TrafficData[[#This Row],[totalChallan]]</f>
        <v>1</v>
      </c>
      <c r="L422" t="b">
        <f>TrafficData[[#This Row],[pendingAmount]]+TrafficData[[#This Row],[disposedAmount]]=TrafficData[[#This Row],[totalAmount]]</f>
        <v>1</v>
      </c>
      <c r="M422" t="b">
        <f>TrafficData[[#This Row],[pendingCourt]]+TrafficData[[#This Row],[disposedCourt]]=TrafficData[[#This Row],[totalCourt]]</f>
        <v>1</v>
      </c>
      <c r="N422" t="b">
        <f>AND(TrafficData[[#This Row],[disposedChallan]]&lt;=TrafficData[[#This Row],[totalChallan]],TrafficData[[#This Row],[pendingChallan]]&lt;=TrafficData[[#This Row],[totalChallan]])</f>
        <v>1</v>
      </c>
      <c r="O422" t="b">
        <f>AND(TrafficData[[#This Row],[pendingAmount]]&lt;=TrafficData[[#This Row],[totalAmount]],TrafficData[[#This Row],[disposedAmount]]&lt;=TrafficData[[#This Row],[totalAmount]])</f>
        <v>1</v>
      </c>
      <c r="P422" t="b">
        <f>AND(TrafficData[[#This Row],[pendingCourt]]&lt;=TrafficData[[#This Row],[totalCourt]],TrafficData[[#This Row],[disposedCourt]]&lt;=TrafficData[[#This Row],[totalCourt]])</f>
        <v>1</v>
      </c>
    </row>
    <row r="423" spans="1:16">
      <c r="A423" s="1">
        <v>42426</v>
      </c>
      <c r="B423">
        <v>1407</v>
      </c>
      <c r="C423">
        <v>154</v>
      </c>
      <c r="D423">
        <v>1253</v>
      </c>
      <c r="E423">
        <v>1022500</v>
      </c>
      <c r="F423">
        <v>256091</v>
      </c>
      <c r="G423">
        <v>1278591</v>
      </c>
      <c r="H423">
        <v>958</v>
      </c>
      <c r="I423">
        <v>29</v>
      </c>
      <c r="J423">
        <v>987</v>
      </c>
      <c r="K423" t="b">
        <f>TrafficData[[#This Row],[disposedChallan]]+TrafficData[[#This Row],[pendingChallan]]=TrafficData[[#This Row],[totalChallan]]</f>
        <v>1</v>
      </c>
      <c r="L423" t="b">
        <f>TrafficData[[#This Row],[pendingAmount]]+TrafficData[[#This Row],[disposedAmount]]=TrafficData[[#This Row],[totalAmount]]</f>
        <v>1</v>
      </c>
      <c r="M423" t="b">
        <f>TrafficData[[#This Row],[pendingCourt]]+TrafficData[[#This Row],[disposedCourt]]=TrafficData[[#This Row],[totalCourt]]</f>
        <v>1</v>
      </c>
      <c r="N423" t="b">
        <f>AND(TrafficData[[#This Row],[disposedChallan]]&lt;=TrafficData[[#This Row],[totalChallan]],TrafficData[[#This Row],[pendingChallan]]&lt;=TrafficData[[#This Row],[totalChallan]])</f>
        <v>1</v>
      </c>
      <c r="O423" t="b">
        <f>AND(TrafficData[[#This Row],[pendingAmount]]&lt;=TrafficData[[#This Row],[totalAmount]],TrafficData[[#This Row],[disposedAmount]]&lt;=TrafficData[[#This Row],[totalAmount]])</f>
        <v>1</v>
      </c>
      <c r="P423" t="b">
        <f>AND(TrafficData[[#This Row],[pendingCourt]]&lt;=TrafficData[[#This Row],[totalCourt]],TrafficData[[#This Row],[disposedCourt]]&lt;=TrafficData[[#This Row],[totalCourt]])</f>
        <v>1</v>
      </c>
    </row>
    <row r="424" spans="1:16">
      <c r="A424" s="1">
        <v>42427</v>
      </c>
      <c r="B424">
        <v>1088</v>
      </c>
      <c r="C424">
        <v>102</v>
      </c>
      <c r="D424">
        <v>986</v>
      </c>
      <c r="E424">
        <v>758050</v>
      </c>
      <c r="F424">
        <v>184750</v>
      </c>
      <c r="G424">
        <v>942800</v>
      </c>
      <c r="H424">
        <v>749</v>
      </c>
      <c r="I424">
        <v>19</v>
      </c>
      <c r="J424">
        <v>768</v>
      </c>
      <c r="K424" t="b">
        <f>TrafficData[[#This Row],[disposedChallan]]+TrafficData[[#This Row],[pendingChallan]]=TrafficData[[#This Row],[totalChallan]]</f>
        <v>1</v>
      </c>
      <c r="L424" t="b">
        <f>TrafficData[[#This Row],[pendingAmount]]+TrafficData[[#This Row],[disposedAmount]]=TrafficData[[#This Row],[totalAmount]]</f>
        <v>1</v>
      </c>
      <c r="M424" t="b">
        <f>TrafficData[[#This Row],[pendingCourt]]+TrafficData[[#This Row],[disposedCourt]]=TrafficData[[#This Row],[totalCourt]]</f>
        <v>1</v>
      </c>
      <c r="N424" t="b">
        <f>AND(TrafficData[[#This Row],[disposedChallan]]&lt;=TrafficData[[#This Row],[totalChallan]],TrafficData[[#This Row],[pendingChallan]]&lt;=TrafficData[[#This Row],[totalChallan]])</f>
        <v>1</v>
      </c>
      <c r="O424" t="b">
        <f>AND(TrafficData[[#This Row],[pendingAmount]]&lt;=TrafficData[[#This Row],[totalAmount]],TrafficData[[#This Row],[disposedAmount]]&lt;=TrafficData[[#This Row],[totalAmount]])</f>
        <v>1</v>
      </c>
      <c r="P424" t="b">
        <f>AND(TrafficData[[#This Row],[pendingCourt]]&lt;=TrafficData[[#This Row],[totalCourt]],TrafficData[[#This Row],[disposedCourt]]&lt;=TrafficData[[#This Row],[totalCourt]])</f>
        <v>1</v>
      </c>
    </row>
    <row r="425" spans="1:16">
      <c r="A425" s="1">
        <v>42428</v>
      </c>
      <c r="B425">
        <v>821</v>
      </c>
      <c r="C425">
        <v>97</v>
      </c>
      <c r="D425">
        <v>724</v>
      </c>
      <c r="E425">
        <v>519190</v>
      </c>
      <c r="F425">
        <v>148475</v>
      </c>
      <c r="G425">
        <v>667665</v>
      </c>
      <c r="H425">
        <v>571</v>
      </c>
      <c r="I425">
        <v>40</v>
      </c>
      <c r="J425">
        <v>611</v>
      </c>
      <c r="K425" t="b">
        <f>TrafficData[[#This Row],[disposedChallan]]+TrafficData[[#This Row],[pendingChallan]]=TrafficData[[#This Row],[totalChallan]]</f>
        <v>1</v>
      </c>
      <c r="L425" t="b">
        <f>TrafficData[[#This Row],[pendingAmount]]+TrafficData[[#This Row],[disposedAmount]]=TrafficData[[#This Row],[totalAmount]]</f>
        <v>1</v>
      </c>
      <c r="M425" t="b">
        <f>TrafficData[[#This Row],[pendingCourt]]+TrafficData[[#This Row],[disposedCourt]]=TrafficData[[#This Row],[totalCourt]]</f>
        <v>1</v>
      </c>
      <c r="N425" t="b">
        <f>AND(TrafficData[[#This Row],[disposedChallan]]&lt;=TrafficData[[#This Row],[totalChallan]],TrafficData[[#This Row],[pendingChallan]]&lt;=TrafficData[[#This Row],[totalChallan]])</f>
        <v>1</v>
      </c>
      <c r="O425" t="b">
        <f>AND(TrafficData[[#This Row],[pendingAmount]]&lt;=TrafficData[[#This Row],[totalAmount]],TrafficData[[#This Row],[disposedAmount]]&lt;=TrafficData[[#This Row],[totalAmount]])</f>
        <v>1</v>
      </c>
      <c r="P425" t="b">
        <f>AND(TrafficData[[#This Row],[pendingCourt]]&lt;=TrafficData[[#This Row],[totalCourt]],TrafficData[[#This Row],[disposedCourt]]&lt;=TrafficData[[#This Row],[totalCourt]])</f>
        <v>1</v>
      </c>
    </row>
    <row r="426" spans="1:16">
      <c r="A426" s="1">
        <v>42429</v>
      </c>
      <c r="B426">
        <v>1268</v>
      </c>
      <c r="C426">
        <v>100</v>
      </c>
      <c r="D426">
        <v>1168</v>
      </c>
      <c r="E426">
        <v>700330</v>
      </c>
      <c r="F426">
        <v>227381</v>
      </c>
      <c r="G426">
        <v>927711</v>
      </c>
      <c r="H426">
        <v>841</v>
      </c>
      <c r="I426">
        <v>46</v>
      </c>
      <c r="J426">
        <v>887</v>
      </c>
      <c r="K426" t="b">
        <f>TrafficData[[#This Row],[disposedChallan]]+TrafficData[[#This Row],[pendingChallan]]=TrafficData[[#This Row],[totalChallan]]</f>
        <v>1</v>
      </c>
      <c r="L426" t="b">
        <f>TrafficData[[#This Row],[pendingAmount]]+TrafficData[[#This Row],[disposedAmount]]=TrafficData[[#This Row],[totalAmount]]</f>
        <v>1</v>
      </c>
      <c r="M426" t="b">
        <f>TrafficData[[#This Row],[pendingCourt]]+TrafficData[[#This Row],[disposedCourt]]=TrafficData[[#This Row],[totalCourt]]</f>
        <v>1</v>
      </c>
      <c r="N426" t="b">
        <f>AND(TrafficData[[#This Row],[disposedChallan]]&lt;=TrafficData[[#This Row],[totalChallan]],TrafficData[[#This Row],[pendingChallan]]&lt;=TrafficData[[#This Row],[totalChallan]])</f>
        <v>1</v>
      </c>
      <c r="O426" t="b">
        <f>AND(TrafficData[[#This Row],[pendingAmount]]&lt;=TrafficData[[#This Row],[totalAmount]],TrafficData[[#This Row],[disposedAmount]]&lt;=TrafficData[[#This Row],[totalAmount]])</f>
        <v>1</v>
      </c>
      <c r="P426" t="b">
        <f>AND(TrafficData[[#This Row],[pendingCourt]]&lt;=TrafficData[[#This Row],[totalCourt]],TrafficData[[#This Row],[disposedCourt]]&lt;=TrafficData[[#This Row],[totalCourt]])</f>
        <v>1</v>
      </c>
    </row>
    <row r="427" spans="1:16">
      <c r="A427" s="1">
        <v>42430</v>
      </c>
      <c r="B427">
        <v>1478</v>
      </c>
      <c r="C427">
        <v>181</v>
      </c>
      <c r="D427">
        <v>1297</v>
      </c>
      <c r="E427">
        <v>1019300</v>
      </c>
      <c r="F427">
        <v>300100</v>
      </c>
      <c r="G427">
        <v>1319400</v>
      </c>
      <c r="H427">
        <v>960</v>
      </c>
      <c r="I427">
        <v>61</v>
      </c>
      <c r="J427">
        <v>1021</v>
      </c>
      <c r="K427" t="b">
        <f>TrafficData[[#This Row],[disposedChallan]]+TrafficData[[#This Row],[pendingChallan]]=TrafficData[[#This Row],[totalChallan]]</f>
        <v>1</v>
      </c>
      <c r="L427" t="b">
        <f>TrafficData[[#This Row],[pendingAmount]]+TrafficData[[#This Row],[disposedAmount]]=TrafficData[[#This Row],[totalAmount]]</f>
        <v>1</v>
      </c>
      <c r="M427" t="b">
        <f>TrafficData[[#This Row],[pendingCourt]]+TrafficData[[#This Row],[disposedCourt]]=TrafficData[[#This Row],[totalCourt]]</f>
        <v>1</v>
      </c>
      <c r="N427" t="b">
        <f>AND(TrafficData[[#This Row],[disposedChallan]]&lt;=TrafficData[[#This Row],[totalChallan]],TrafficData[[#This Row],[pendingChallan]]&lt;=TrafficData[[#This Row],[totalChallan]])</f>
        <v>1</v>
      </c>
      <c r="O427" t="b">
        <f>AND(TrafficData[[#This Row],[pendingAmount]]&lt;=TrafficData[[#This Row],[totalAmount]],TrafficData[[#This Row],[disposedAmount]]&lt;=TrafficData[[#This Row],[totalAmount]])</f>
        <v>1</v>
      </c>
      <c r="P427" t="b">
        <f>AND(TrafficData[[#This Row],[pendingCourt]]&lt;=TrafficData[[#This Row],[totalCourt]],TrafficData[[#This Row],[disposedCourt]]&lt;=TrafficData[[#This Row],[totalCourt]])</f>
        <v>1</v>
      </c>
    </row>
    <row r="428" spans="1:16">
      <c r="A428" s="1">
        <v>42431</v>
      </c>
      <c r="B428">
        <v>1634</v>
      </c>
      <c r="C428">
        <v>221</v>
      </c>
      <c r="D428">
        <v>1413</v>
      </c>
      <c r="E428">
        <v>1999862</v>
      </c>
      <c r="F428">
        <v>687150</v>
      </c>
      <c r="G428">
        <v>2687012</v>
      </c>
      <c r="H428">
        <v>975</v>
      </c>
      <c r="I428">
        <v>30</v>
      </c>
      <c r="J428">
        <v>1005</v>
      </c>
      <c r="K428" t="b">
        <f>TrafficData[[#This Row],[disposedChallan]]+TrafficData[[#This Row],[pendingChallan]]=TrafficData[[#This Row],[totalChallan]]</f>
        <v>1</v>
      </c>
      <c r="L428" t="b">
        <f>TrafficData[[#This Row],[pendingAmount]]+TrafficData[[#This Row],[disposedAmount]]=TrafficData[[#This Row],[totalAmount]]</f>
        <v>1</v>
      </c>
      <c r="M428" t="b">
        <f>TrafficData[[#This Row],[pendingCourt]]+TrafficData[[#This Row],[disposedCourt]]=TrafficData[[#This Row],[totalCourt]]</f>
        <v>1</v>
      </c>
      <c r="N428" t="b">
        <f>AND(TrafficData[[#This Row],[disposedChallan]]&lt;=TrafficData[[#This Row],[totalChallan]],TrafficData[[#This Row],[pendingChallan]]&lt;=TrafficData[[#This Row],[totalChallan]])</f>
        <v>1</v>
      </c>
      <c r="O428" t="b">
        <f>AND(TrafficData[[#This Row],[pendingAmount]]&lt;=TrafficData[[#This Row],[totalAmount]],TrafficData[[#This Row],[disposedAmount]]&lt;=TrafficData[[#This Row],[totalAmount]])</f>
        <v>1</v>
      </c>
      <c r="P428" t="b">
        <f>AND(TrafficData[[#This Row],[pendingCourt]]&lt;=TrafficData[[#This Row],[totalCourt]],TrafficData[[#This Row],[disposedCourt]]&lt;=TrafficData[[#This Row],[totalCourt]])</f>
        <v>1</v>
      </c>
    </row>
    <row r="429" spans="1:16">
      <c r="A429" s="1">
        <v>42432</v>
      </c>
      <c r="B429">
        <v>1435</v>
      </c>
      <c r="C429">
        <v>212</v>
      </c>
      <c r="D429">
        <v>1223</v>
      </c>
      <c r="E429">
        <v>1529240</v>
      </c>
      <c r="F429">
        <v>481325</v>
      </c>
      <c r="G429">
        <v>2010565</v>
      </c>
      <c r="H429">
        <v>903</v>
      </c>
      <c r="I429">
        <v>22</v>
      </c>
      <c r="J429">
        <v>925</v>
      </c>
      <c r="K429" t="b">
        <f>TrafficData[[#This Row],[disposedChallan]]+TrafficData[[#This Row],[pendingChallan]]=TrafficData[[#This Row],[totalChallan]]</f>
        <v>1</v>
      </c>
      <c r="L429" t="b">
        <f>TrafficData[[#This Row],[pendingAmount]]+TrafficData[[#This Row],[disposedAmount]]=TrafficData[[#This Row],[totalAmount]]</f>
        <v>1</v>
      </c>
      <c r="M429" t="b">
        <f>TrafficData[[#This Row],[pendingCourt]]+TrafficData[[#This Row],[disposedCourt]]=TrafficData[[#This Row],[totalCourt]]</f>
        <v>1</v>
      </c>
      <c r="N429" t="b">
        <f>AND(TrafficData[[#This Row],[disposedChallan]]&lt;=TrafficData[[#This Row],[totalChallan]],TrafficData[[#This Row],[pendingChallan]]&lt;=TrafficData[[#This Row],[totalChallan]])</f>
        <v>1</v>
      </c>
      <c r="O429" t="b">
        <f>AND(TrafficData[[#This Row],[pendingAmount]]&lt;=TrafficData[[#This Row],[totalAmount]],TrafficData[[#This Row],[disposedAmount]]&lt;=TrafficData[[#This Row],[totalAmount]])</f>
        <v>1</v>
      </c>
      <c r="P429" t="b">
        <f>AND(TrafficData[[#This Row],[pendingCourt]]&lt;=TrafficData[[#This Row],[totalCourt]],TrafficData[[#This Row],[disposedCourt]]&lt;=TrafficData[[#This Row],[totalCourt]])</f>
        <v>1</v>
      </c>
    </row>
    <row r="430" spans="1:16">
      <c r="A430" s="1">
        <v>42433</v>
      </c>
      <c r="B430">
        <v>1450</v>
      </c>
      <c r="C430">
        <v>168</v>
      </c>
      <c r="D430">
        <v>1282</v>
      </c>
      <c r="E430">
        <v>1159200</v>
      </c>
      <c r="F430">
        <v>267090</v>
      </c>
      <c r="G430">
        <v>1426290</v>
      </c>
      <c r="H430">
        <v>969</v>
      </c>
      <c r="I430">
        <v>27</v>
      </c>
      <c r="J430">
        <v>996</v>
      </c>
      <c r="K430" t="b">
        <f>TrafficData[[#This Row],[disposedChallan]]+TrafficData[[#This Row],[pendingChallan]]=TrafficData[[#This Row],[totalChallan]]</f>
        <v>1</v>
      </c>
      <c r="L430" t="b">
        <f>TrafficData[[#This Row],[pendingAmount]]+TrafficData[[#This Row],[disposedAmount]]=TrafficData[[#This Row],[totalAmount]]</f>
        <v>1</v>
      </c>
      <c r="M430" t="b">
        <f>TrafficData[[#This Row],[pendingCourt]]+TrafficData[[#This Row],[disposedCourt]]=TrafficData[[#This Row],[totalCourt]]</f>
        <v>1</v>
      </c>
      <c r="N430" t="b">
        <f>AND(TrafficData[[#This Row],[disposedChallan]]&lt;=TrafficData[[#This Row],[totalChallan]],TrafficData[[#This Row],[pendingChallan]]&lt;=TrafficData[[#This Row],[totalChallan]])</f>
        <v>1</v>
      </c>
      <c r="O430" t="b">
        <f>AND(TrafficData[[#This Row],[pendingAmount]]&lt;=TrafficData[[#This Row],[totalAmount]],TrafficData[[#This Row],[disposedAmount]]&lt;=TrafficData[[#This Row],[totalAmount]])</f>
        <v>1</v>
      </c>
      <c r="P430" t="b">
        <f>AND(TrafficData[[#This Row],[pendingCourt]]&lt;=TrafficData[[#This Row],[totalCourt]],TrafficData[[#This Row],[disposedCourt]]&lt;=TrafficData[[#This Row],[totalCourt]])</f>
        <v>1</v>
      </c>
    </row>
    <row r="431" spans="1:16">
      <c r="A431" s="1">
        <v>42434</v>
      </c>
      <c r="B431">
        <v>1096</v>
      </c>
      <c r="C431">
        <v>134</v>
      </c>
      <c r="D431">
        <v>962</v>
      </c>
      <c r="E431">
        <v>1137675</v>
      </c>
      <c r="F431">
        <v>271300</v>
      </c>
      <c r="G431">
        <v>1408975</v>
      </c>
      <c r="H431">
        <v>674</v>
      </c>
      <c r="I431">
        <v>40</v>
      </c>
      <c r="J431">
        <v>714</v>
      </c>
      <c r="K431" t="b">
        <f>TrafficData[[#This Row],[disposedChallan]]+TrafficData[[#This Row],[pendingChallan]]=TrafficData[[#This Row],[totalChallan]]</f>
        <v>1</v>
      </c>
      <c r="L431" t="b">
        <f>TrafficData[[#This Row],[pendingAmount]]+TrafficData[[#This Row],[disposedAmount]]=TrafficData[[#This Row],[totalAmount]]</f>
        <v>1</v>
      </c>
      <c r="M431" t="b">
        <f>TrafficData[[#This Row],[pendingCourt]]+TrafficData[[#This Row],[disposedCourt]]=TrafficData[[#This Row],[totalCourt]]</f>
        <v>1</v>
      </c>
      <c r="N431" t="b">
        <f>AND(TrafficData[[#This Row],[disposedChallan]]&lt;=TrafficData[[#This Row],[totalChallan]],TrafficData[[#This Row],[pendingChallan]]&lt;=TrafficData[[#This Row],[totalChallan]])</f>
        <v>1</v>
      </c>
      <c r="O431" t="b">
        <f>AND(TrafficData[[#This Row],[pendingAmount]]&lt;=TrafficData[[#This Row],[totalAmount]],TrafficData[[#This Row],[disposedAmount]]&lt;=TrafficData[[#This Row],[totalAmount]])</f>
        <v>1</v>
      </c>
      <c r="P431" t="b">
        <f>AND(TrafficData[[#This Row],[pendingCourt]]&lt;=TrafficData[[#This Row],[totalCourt]],TrafficData[[#This Row],[disposedCourt]]&lt;=TrafficData[[#This Row],[totalCourt]])</f>
        <v>1</v>
      </c>
    </row>
    <row r="432" spans="1:16">
      <c r="A432" s="1">
        <v>42435</v>
      </c>
      <c r="B432">
        <v>586</v>
      </c>
      <c r="C432">
        <v>88</v>
      </c>
      <c r="D432">
        <v>498</v>
      </c>
      <c r="E432">
        <v>575360</v>
      </c>
      <c r="F432">
        <v>98800</v>
      </c>
      <c r="G432">
        <v>674160</v>
      </c>
      <c r="H432">
        <v>365</v>
      </c>
      <c r="I432">
        <v>32</v>
      </c>
      <c r="J432">
        <v>397</v>
      </c>
      <c r="K432" t="b">
        <f>TrafficData[[#This Row],[disposedChallan]]+TrafficData[[#This Row],[pendingChallan]]=TrafficData[[#This Row],[totalChallan]]</f>
        <v>1</v>
      </c>
      <c r="L432" t="b">
        <f>TrafficData[[#This Row],[pendingAmount]]+TrafficData[[#This Row],[disposedAmount]]=TrafficData[[#This Row],[totalAmount]]</f>
        <v>1</v>
      </c>
      <c r="M432" t="b">
        <f>TrafficData[[#This Row],[pendingCourt]]+TrafficData[[#This Row],[disposedCourt]]=TrafficData[[#This Row],[totalCourt]]</f>
        <v>1</v>
      </c>
      <c r="N432" t="b">
        <f>AND(TrafficData[[#This Row],[disposedChallan]]&lt;=TrafficData[[#This Row],[totalChallan]],TrafficData[[#This Row],[pendingChallan]]&lt;=TrafficData[[#This Row],[totalChallan]])</f>
        <v>1</v>
      </c>
      <c r="O432" t="b">
        <f>AND(TrafficData[[#This Row],[pendingAmount]]&lt;=TrafficData[[#This Row],[totalAmount]],TrafficData[[#This Row],[disposedAmount]]&lt;=TrafficData[[#This Row],[totalAmount]])</f>
        <v>1</v>
      </c>
      <c r="P432" t="b">
        <f>AND(TrafficData[[#This Row],[pendingCourt]]&lt;=TrafficData[[#This Row],[totalCourt]],TrafficData[[#This Row],[disposedCourt]]&lt;=TrafficData[[#This Row],[totalCourt]])</f>
        <v>1</v>
      </c>
    </row>
    <row r="433" spans="1:16">
      <c r="A433" s="1">
        <v>42436</v>
      </c>
      <c r="B433">
        <v>898</v>
      </c>
      <c r="C433">
        <v>132</v>
      </c>
      <c r="D433">
        <v>766</v>
      </c>
      <c r="E433">
        <v>1232650</v>
      </c>
      <c r="F433">
        <v>836200</v>
      </c>
      <c r="G433">
        <v>2068850</v>
      </c>
      <c r="H433">
        <v>522</v>
      </c>
      <c r="I433">
        <v>39</v>
      </c>
      <c r="J433">
        <v>561</v>
      </c>
      <c r="K433" t="b">
        <f>TrafficData[[#This Row],[disposedChallan]]+TrafficData[[#This Row],[pendingChallan]]=TrafficData[[#This Row],[totalChallan]]</f>
        <v>1</v>
      </c>
      <c r="L433" t="b">
        <f>TrafficData[[#This Row],[pendingAmount]]+TrafficData[[#This Row],[disposedAmount]]=TrafficData[[#This Row],[totalAmount]]</f>
        <v>1</v>
      </c>
      <c r="M433" t="b">
        <f>TrafficData[[#This Row],[pendingCourt]]+TrafficData[[#This Row],[disposedCourt]]=TrafficData[[#This Row],[totalCourt]]</f>
        <v>1</v>
      </c>
      <c r="N433" t="b">
        <f>AND(TrafficData[[#This Row],[disposedChallan]]&lt;=TrafficData[[#This Row],[totalChallan]],TrafficData[[#This Row],[pendingChallan]]&lt;=TrafficData[[#This Row],[totalChallan]])</f>
        <v>1</v>
      </c>
      <c r="O433" t="b">
        <f>AND(TrafficData[[#This Row],[pendingAmount]]&lt;=TrafficData[[#This Row],[totalAmount]],TrafficData[[#This Row],[disposedAmount]]&lt;=TrafficData[[#This Row],[totalAmount]])</f>
        <v>1</v>
      </c>
      <c r="P433" t="b">
        <f>AND(TrafficData[[#This Row],[pendingCourt]]&lt;=TrafficData[[#This Row],[totalCourt]],TrafficData[[#This Row],[disposedCourt]]&lt;=TrafficData[[#This Row],[totalCourt]])</f>
        <v>1</v>
      </c>
    </row>
    <row r="434" spans="1:16">
      <c r="A434" s="1">
        <v>42437</v>
      </c>
      <c r="B434">
        <v>1552</v>
      </c>
      <c r="C434">
        <v>182</v>
      </c>
      <c r="D434">
        <v>1370</v>
      </c>
      <c r="E434">
        <v>1576371</v>
      </c>
      <c r="F434">
        <v>430540</v>
      </c>
      <c r="G434">
        <v>2006911</v>
      </c>
      <c r="H434">
        <v>1003</v>
      </c>
      <c r="I434">
        <v>72</v>
      </c>
      <c r="J434">
        <v>1075</v>
      </c>
      <c r="K434" t="b">
        <f>TrafficData[[#This Row],[disposedChallan]]+TrafficData[[#This Row],[pendingChallan]]=TrafficData[[#This Row],[totalChallan]]</f>
        <v>1</v>
      </c>
      <c r="L434" t="b">
        <f>TrafficData[[#This Row],[pendingAmount]]+TrafficData[[#This Row],[disposedAmount]]=TrafficData[[#This Row],[totalAmount]]</f>
        <v>1</v>
      </c>
      <c r="M434" t="b">
        <f>TrafficData[[#This Row],[pendingCourt]]+TrafficData[[#This Row],[disposedCourt]]=TrafficData[[#This Row],[totalCourt]]</f>
        <v>1</v>
      </c>
      <c r="N434" t="b">
        <f>AND(TrafficData[[#This Row],[disposedChallan]]&lt;=TrafficData[[#This Row],[totalChallan]],TrafficData[[#This Row],[pendingChallan]]&lt;=TrafficData[[#This Row],[totalChallan]])</f>
        <v>1</v>
      </c>
      <c r="O434" t="b">
        <f>AND(TrafficData[[#This Row],[pendingAmount]]&lt;=TrafficData[[#This Row],[totalAmount]],TrafficData[[#This Row],[disposedAmount]]&lt;=TrafficData[[#This Row],[totalAmount]])</f>
        <v>1</v>
      </c>
      <c r="P434" t="b">
        <f>AND(TrafficData[[#This Row],[pendingCourt]]&lt;=TrafficData[[#This Row],[totalCourt]],TrafficData[[#This Row],[disposedCourt]]&lt;=TrafficData[[#This Row],[totalCourt]])</f>
        <v>1</v>
      </c>
    </row>
    <row r="435" spans="1:16">
      <c r="A435" s="1">
        <v>42438</v>
      </c>
      <c r="B435">
        <v>1517</v>
      </c>
      <c r="C435">
        <v>196</v>
      </c>
      <c r="D435">
        <v>1321</v>
      </c>
      <c r="E435">
        <v>1435050</v>
      </c>
      <c r="F435">
        <v>478750</v>
      </c>
      <c r="G435">
        <v>1913800</v>
      </c>
      <c r="H435">
        <v>964</v>
      </c>
      <c r="I435">
        <v>67</v>
      </c>
      <c r="J435">
        <v>1031</v>
      </c>
      <c r="K435" t="b">
        <f>TrafficData[[#This Row],[disposedChallan]]+TrafficData[[#This Row],[pendingChallan]]=TrafficData[[#This Row],[totalChallan]]</f>
        <v>1</v>
      </c>
      <c r="L435" t="b">
        <f>TrafficData[[#This Row],[pendingAmount]]+TrafficData[[#This Row],[disposedAmount]]=TrafficData[[#This Row],[totalAmount]]</f>
        <v>1</v>
      </c>
      <c r="M435" t="b">
        <f>TrafficData[[#This Row],[pendingCourt]]+TrafficData[[#This Row],[disposedCourt]]=TrafficData[[#This Row],[totalCourt]]</f>
        <v>1</v>
      </c>
      <c r="N435" t="b">
        <f>AND(TrafficData[[#This Row],[disposedChallan]]&lt;=TrafficData[[#This Row],[totalChallan]],TrafficData[[#This Row],[pendingChallan]]&lt;=TrafficData[[#This Row],[totalChallan]])</f>
        <v>1</v>
      </c>
      <c r="O435" t="b">
        <f>AND(TrafficData[[#This Row],[pendingAmount]]&lt;=TrafficData[[#This Row],[totalAmount]],TrafficData[[#This Row],[disposedAmount]]&lt;=TrafficData[[#This Row],[totalAmount]])</f>
        <v>1</v>
      </c>
      <c r="P435" t="b">
        <f>AND(TrafficData[[#This Row],[pendingCourt]]&lt;=TrafficData[[#This Row],[totalCourt]],TrafficData[[#This Row],[disposedCourt]]&lt;=TrafficData[[#This Row],[totalCourt]])</f>
        <v>1</v>
      </c>
    </row>
    <row r="436" spans="1:16">
      <c r="A436" s="1">
        <v>42439</v>
      </c>
      <c r="B436">
        <v>1147</v>
      </c>
      <c r="C436">
        <v>133</v>
      </c>
      <c r="D436">
        <v>1014</v>
      </c>
      <c r="E436">
        <v>1443750</v>
      </c>
      <c r="F436">
        <v>375200</v>
      </c>
      <c r="G436">
        <v>1818950</v>
      </c>
      <c r="H436">
        <v>719</v>
      </c>
      <c r="I436">
        <v>25</v>
      </c>
      <c r="J436">
        <v>744</v>
      </c>
      <c r="K436" t="b">
        <f>TrafficData[[#This Row],[disposedChallan]]+TrafficData[[#This Row],[pendingChallan]]=TrafficData[[#This Row],[totalChallan]]</f>
        <v>1</v>
      </c>
      <c r="L436" t="b">
        <f>TrafficData[[#This Row],[pendingAmount]]+TrafficData[[#This Row],[disposedAmount]]=TrafficData[[#This Row],[totalAmount]]</f>
        <v>1</v>
      </c>
      <c r="M436" t="b">
        <f>TrafficData[[#This Row],[pendingCourt]]+TrafficData[[#This Row],[disposedCourt]]=TrafficData[[#This Row],[totalCourt]]</f>
        <v>1</v>
      </c>
      <c r="N436" t="b">
        <f>AND(TrafficData[[#This Row],[disposedChallan]]&lt;=TrafficData[[#This Row],[totalChallan]],TrafficData[[#This Row],[pendingChallan]]&lt;=TrafficData[[#This Row],[totalChallan]])</f>
        <v>1</v>
      </c>
      <c r="O436" t="b">
        <f>AND(TrafficData[[#This Row],[pendingAmount]]&lt;=TrafficData[[#This Row],[totalAmount]],TrafficData[[#This Row],[disposedAmount]]&lt;=TrafficData[[#This Row],[totalAmount]])</f>
        <v>1</v>
      </c>
      <c r="P436" t="b">
        <f>AND(TrafficData[[#This Row],[pendingCourt]]&lt;=TrafficData[[#This Row],[totalCourt]],TrafficData[[#This Row],[disposedCourt]]&lt;=TrafficData[[#This Row],[totalCourt]])</f>
        <v>1</v>
      </c>
    </row>
    <row r="437" spans="1:16">
      <c r="A437" s="1">
        <v>42440</v>
      </c>
      <c r="B437">
        <v>962</v>
      </c>
      <c r="C437">
        <v>125</v>
      </c>
      <c r="D437">
        <v>837</v>
      </c>
      <c r="E437">
        <v>1210225</v>
      </c>
      <c r="F437">
        <v>290345</v>
      </c>
      <c r="G437">
        <v>1500570</v>
      </c>
      <c r="H437">
        <v>545</v>
      </c>
      <c r="I437">
        <v>26</v>
      </c>
      <c r="J437">
        <v>571</v>
      </c>
      <c r="K437" t="b">
        <f>TrafficData[[#This Row],[disposedChallan]]+TrafficData[[#This Row],[pendingChallan]]=TrafficData[[#This Row],[totalChallan]]</f>
        <v>1</v>
      </c>
      <c r="L437" t="b">
        <f>TrafficData[[#This Row],[pendingAmount]]+TrafficData[[#This Row],[disposedAmount]]=TrafficData[[#This Row],[totalAmount]]</f>
        <v>1</v>
      </c>
      <c r="M437" t="b">
        <f>TrafficData[[#This Row],[pendingCourt]]+TrafficData[[#This Row],[disposedCourt]]=TrafficData[[#This Row],[totalCourt]]</f>
        <v>1</v>
      </c>
      <c r="N437" t="b">
        <f>AND(TrafficData[[#This Row],[disposedChallan]]&lt;=TrafficData[[#This Row],[totalChallan]],TrafficData[[#This Row],[pendingChallan]]&lt;=TrafficData[[#This Row],[totalChallan]])</f>
        <v>1</v>
      </c>
      <c r="O437" t="b">
        <f>AND(TrafficData[[#This Row],[pendingAmount]]&lt;=TrafficData[[#This Row],[totalAmount]],TrafficData[[#This Row],[disposedAmount]]&lt;=TrafficData[[#This Row],[totalAmount]])</f>
        <v>1</v>
      </c>
      <c r="P437" t="b">
        <f>AND(TrafficData[[#This Row],[pendingCourt]]&lt;=TrafficData[[#This Row],[totalCourt]],TrafficData[[#This Row],[disposedCourt]]&lt;=TrafficData[[#This Row],[totalCourt]])</f>
        <v>1</v>
      </c>
    </row>
    <row r="438" spans="1:16">
      <c r="A438" s="1">
        <v>42441</v>
      </c>
      <c r="B438">
        <v>725</v>
      </c>
      <c r="C438">
        <v>95</v>
      </c>
      <c r="D438">
        <v>630</v>
      </c>
      <c r="E438">
        <v>778800</v>
      </c>
      <c r="F438">
        <v>256850</v>
      </c>
      <c r="G438">
        <v>1035650</v>
      </c>
      <c r="H438">
        <v>443</v>
      </c>
      <c r="I438">
        <v>25</v>
      </c>
      <c r="J438">
        <v>468</v>
      </c>
      <c r="K438" t="b">
        <f>TrafficData[[#This Row],[disposedChallan]]+TrafficData[[#This Row],[pendingChallan]]=TrafficData[[#This Row],[totalChallan]]</f>
        <v>1</v>
      </c>
      <c r="L438" t="b">
        <f>TrafficData[[#This Row],[pendingAmount]]+TrafficData[[#This Row],[disposedAmount]]=TrafficData[[#This Row],[totalAmount]]</f>
        <v>1</v>
      </c>
      <c r="M438" t="b">
        <f>TrafficData[[#This Row],[pendingCourt]]+TrafficData[[#This Row],[disposedCourt]]=TrafficData[[#This Row],[totalCourt]]</f>
        <v>1</v>
      </c>
      <c r="N438" t="b">
        <f>AND(TrafficData[[#This Row],[disposedChallan]]&lt;=TrafficData[[#This Row],[totalChallan]],TrafficData[[#This Row],[pendingChallan]]&lt;=TrafficData[[#This Row],[totalChallan]])</f>
        <v>1</v>
      </c>
      <c r="O438" t="b">
        <f>AND(TrafficData[[#This Row],[pendingAmount]]&lt;=TrafficData[[#This Row],[totalAmount]],TrafficData[[#This Row],[disposedAmount]]&lt;=TrafficData[[#This Row],[totalAmount]])</f>
        <v>1</v>
      </c>
      <c r="P438" t="b">
        <f>AND(TrafficData[[#This Row],[pendingCourt]]&lt;=TrafficData[[#This Row],[totalCourt]],TrafficData[[#This Row],[disposedCourt]]&lt;=TrafficData[[#This Row],[totalCourt]])</f>
        <v>1</v>
      </c>
    </row>
    <row r="439" spans="1:16">
      <c r="A439" s="1">
        <v>42442</v>
      </c>
      <c r="B439">
        <v>777</v>
      </c>
      <c r="C439">
        <v>95</v>
      </c>
      <c r="D439">
        <v>682</v>
      </c>
      <c r="E439">
        <v>796000</v>
      </c>
      <c r="F439">
        <v>179340</v>
      </c>
      <c r="G439">
        <v>975340</v>
      </c>
      <c r="H439">
        <v>491</v>
      </c>
      <c r="I439">
        <v>31</v>
      </c>
      <c r="J439">
        <v>522</v>
      </c>
      <c r="K439" t="b">
        <f>TrafficData[[#This Row],[disposedChallan]]+TrafficData[[#This Row],[pendingChallan]]=TrafficData[[#This Row],[totalChallan]]</f>
        <v>1</v>
      </c>
      <c r="L439" t="b">
        <f>TrafficData[[#This Row],[pendingAmount]]+TrafficData[[#This Row],[disposedAmount]]=TrafficData[[#This Row],[totalAmount]]</f>
        <v>1</v>
      </c>
      <c r="M439" t="b">
        <f>TrafficData[[#This Row],[pendingCourt]]+TrafficData[[#This Row],[disposedCourt]]=TrafficData[[#This Row],[totalCourt]]</f>
        <v>1</v>
      </c>
      <c r="N439" t="b">
        <f>AND(TrafficData[[#This Row],[disposedChallan]]&lt;=TrafficData[[#This Row],[totalChallan]],TrafficData[[#This Row],[pendingChallan]]&lt;=TrafficData[[#This Row],[totalChallan]])</f>
        <v>1</v>
      </c>
      <c r="O439" t="b">
        <f>AND(TrafficData[[#This Row],[pendingAmount]]&lt;=TrafficData[[#This Row],[totalAmount]],TrafficData[[#This Row],[disposedAmount]]&lt;=TrafficData[[#This Row],[totalAmount]])</f>
        <v>1</v>
      </c>
      <c r="P439" t="b">
        <f>AND(TrafficData[[#This Row],[pendingCourt]]&lt;=TrafficData[[#This Row],[totalCourt]],TrafficData[[#This Row],[disposedCourt]]&lt;=TrafficData[[#This Row],[totalCourt]])</f>
        <v>1</v>
      </c>
    </row>
    <row r="440" spans="1:16">
      <c r="A440" s="1">
        <v>42443</v>
      </c>
      <c r="B440">
        <v>1265</v>
      </c>
      <c r="C440">
        <v>151</v>
      </c>
      <c r="D440">
        <v>1114</v>
      </c>
      <c r="E440">
        <v>1065848</v>
      </c>
      <c r="F440">
        <v>332850</v>
      </c>
      <c r="G440">
        <v>1398698</v>
      </c>
      <c r="H440">
        <v>807</v>
      </c>
      <c r="I440">
        <v>30</v>
      </c>
      <c r="J440">
        <v>837</v>
      </c>
      <c r="K440" t="b">
        <f>TrafficData[[#This Row],[disposedChallan]]+TrafficData[[#This Row],[pendingChallan]]=TrafficData[[#This Row],[totalChallan]]</f>
        <v>1</v>
      </c>
      <c r="L440" t="b">
        <f>TrafficData[[#This Row],[pendingAmount]]+TrafficData[[#This Row],[disposedAmount]]=TrafficData[[#This Row],[totalAmount]]</f>
        <v>1</v>
      </c>
      <c r="M440" t="b">
        <f>TrafficData[[#This Row],[pendingCourt]]+TrafficData[[#This Row],[disposedCourt]]=TrafficData[[#This Row],[totalCourt]]</f>
        <v>1</v>
      </c>
      <c r="N440" t="b">
        <f>AND(TrafficData[[#This Row],[disposedChallan]]&lt;=TrafficData[[#This Row],[totalChallan]],TrafficData[[#This Row],[pendingChallan]]&lt;=TrafficData[[#This Row],[totalChallan]])</f>
        <v>1</v>
      </c>
      <c r="O440" t="b">
        <f>AND(TrafficData[[#This Row],[pendingAmount]]&lt;=TrafficData[[#This Row],[totalAmount]],TrafficData[[#This Row],[disposedAmount]]&lt;=TrafficData[[#This Row],[totalAmount]])</f>
        <v>1</v>
      </c>
      <c r="P440" t="b">
        <f>AND(TrafficData[[#This Row],[pendingCourt]]&lt;=TrafficData[[#This Row],[totalCourt]],TrafficData[[#This Row],[disposedCourt]]&lt;=TrafficData[[#This Row],[totalCourt]])</f>
        <v>1</v>
      </c>
    </row>
    <row r="441" spans="1:16">
      <c r="A441" s="1">
        <v>42444</v>
      </c>
      <c r="B441">
        <v>1348</v>
      </c>
      <c r="C441">
        <v>171</v>
      </c>
      <c r="D441">
        <v>1177</v>
      </c>
      <c r="E441">
        <v>1160650</v>
      </c>
      <c r="F441">
        <v>289050</v>
      </c>
      <c r="G441">
        <v>1449700</v>
      </c>
      <c r="H441">
        <v>870</v>
      </c>
      <c r="I441">
        <v>17</v>
      </c>
      <c r="J441">
        <v>887</v>
      </c>
      <c r="K441" t="b">
        <f>TrafficData[[#This Row],[disposedChallan]]+TrafficData[[#This Row],[pendingChallan]]=TrafficData[[#This Row],[totalChallan]]</f>
        <v>1</v>
      </c>
      <c r="L441" t="b">
        <f>TrafficData[[#This Row],[pendingAmount]]+TrafficData[[#This Row],[disposedAmount]]=TrafficData[[#This Row],[totalAmount]]</f>
        <v>1</v>
      </c>
      <c r="M441" t="b">
        <f>TrafficData[[#This Row],[pendingCourt]]+TrafficData[[#This Row],[disposedCourt]]=TrafficData[[#This Row],[totalCourt]]</f>
        <v>1</v>
      </c>
      <c r="N441" t="b">
        <f>AND(TrafficData[[#This Row],[disposedChallan]]&lt;=TrafficData[[#This Row],[totalChallan]],TrafficData[[#This Row],[pendingChallan]]&lt;=TrafficData[[#This Row],[totalChallan]])</f>
        <v>1</v>
      </c>
      <c r="O441" t="b">
        <f>AND(TrafficData[[#This Row],[pendingAmount]]&lt;=TrafficData[[#This Row],[totalAmount]],TrafficData[[#This Row],[disposedAmount]]&lt;=TrafficData[[#This Row],[totalAmount]])</f>
        <v>1</v>
      </c>
      <c r="P441" t="b">
        <f>AND(TrafficData[[#This Row],[pendingCourt]]&lt;=TrafficData[[#This Row],[totalCourt]],TrafficData[[#This Row],[disposedCourt]]&lt;=TrafficData[[#This Row],[totalCourt]])</f>
        <v>1</v>
      </c>
    </row>
    <row r="442" spans="1:16">
      <c r="A442" s="1">
        <v>42445</v>
      </c>
      <c r="B442">
        <v>1579</v>
      </c>
      <c r="C442">
        <v>188</v>
      </c>
      <c r="D442">
        <v>1391</v>
      </c>
      <c r="E442">
        <v>1197396</v>
      </c>
      <c r="F442">
        <v>377590</v>
      </c>
      <c r="G442">
        <v>1574986</v>
      </c>
      <c r="H442">
        <v>1050</v>
      </c>
      <c r="I442">
        <v>51</v>
      </c>
      <c r="J442">
        <v>1101</v>
      </c>
      <c r="K442" t="b">
        <f>TrafficData[[#This Row],[disposedChallan]]+TrafficData[[#This Row],[pendingChallan]]=TrafficData[[#This Row],[totalChallan]]</f>
        <v>1</v>
      </c>
      <c r="L442" t="b">
        <f>TrafficData[[#This Row],[pendingAmount]]+TrafficData[[#This Row],[disposedAmount]]=TrafficData[[#This Row],[totalAmount]]</f>
        <v>1</v>
      </c>
      <c r="M442" t="b">
        <f>TrafficData[[#This Row],[pendingCourt]]+TrafficData[[#This Row],[disposedCourt]]=TrafficData[[#This Row],[totalCourt]]</f>
        <v>1</v>
      </c>
      <c r="N442" t="b">
        <f>AND(TrafficData[[#This Row],[disposedChallan]]&lt;=TrafficData[[#This Row],[totalChallan]],TrafficData[[#This Row],[pendingChallan]]&lt;=TrafficData[[#This Row],[totalChallan]])</f>
        <v>1</v>
      </c>
      <c r="O442" t="b">
        <f>AND(TrafficData[[#This Row],[pendingAmount]]&lt;=TrafficData[[#This Row],[totalAmount]],TrafficData[[#This Row],[disposedAmount]]&lt;=TrafficData[[#This Row],[totalAmount]])</f>
        <v>1</v>
      </c>
      <c r="P442" t="b">
        <f>AND(TrafficData[[#This Row],[pendingCourt]]&lt;=TrafficData[[#This Row],[totalCourt]],TrafficData[[#This Row],[disposedCourt]]&lt;=TrafficData[[#This Row],[totalCourt]])</f>
        <v>1</v>
      </c>
    </row>
    <row r="443" spans="1:16">
      <c r="A443" s="1">
        <v>42446</v>
      </c>
      <c r="B443">
        <v>1479</v>
      </c>
      <c r="C443">
        <v>166</v>
      </c>
      <c r="D443">
        <v>1313</v>
      </c>
      <c r="E443">
        <v>965600</v>
      </c>
      <c r="F443">
        <v>243010</v>
      </c>
      <c r="G443">
        <v>1208610</v>
      </c>
      <c r="H443">
        <v>1010</v>
      </c>
      <c r="I443">
        <v>63</v>
      </c>
      <c r="J443">
        <v>1073</v>
      </c>
      <c r="K443" t="b">
        <f>TrafficData[[#This Row],[disposedChallan]]+TrafficData[[#This Row],[pendingChallan]]=TrafficData[[#This Row],[totalChallan]]</f>
        <v>1</v>
      </c>
      <c r="L443" t="b">
        <f>TrafficData[[#This Row],[pendingAmount]]+TrafficData[[#This Row],[disposedAmount]]=TrafficData[[#This Row],[totalAmount]]</f>
        <v>1</v>
      </c>
      <c r="M443" t="b">
        <f>TrafficData[[#This Row],[pendingCourt]]+TrafficData[[#This Row],[disposedCourt]]=TrafficData[[#This Row],[totalCourt]]</f>
        <v>1</v>
      </c>
      <c r="N443" t="b">
        <f>AND(TrafficData[[#This Row],[disposedChallan]]&lt;=TrafficData[[#This Row],[totalChallan]],TrafficData[[#This Row],[pendingChallan]]&lt;=TrafficData[[#This Row],[totalChallan]])</f>
        <v>1</v>
      </c>
      <c r="O443" t="b">
        <f>AND(TrafficData[[#This Row],[pendingAmount]]&lt;=TrafficData[[#This Row],[totalAmount]],TrafficData[[#This Row],[disposedAmount]]&lt;=TrafficData[[#This Row],[totalAmount]])</f>
        <v>1</v>
      </c>
      <c r="P443" t="b">
        <f>AND(TrafficData[[#This Row],[pendingCourt]]&lt;=TrafficData[[#This Row],[totalCourt]],TrafficData[[#This Row],[disposedCourt]]&lt;=TrafficData[[#This Row],[totalCourt]])</f>
        <v>1</v>
      </c>
    </row>
    <row r="444" spans="1:16">
      <c r="A444" s="1">
        <v>42447</v>
      </c>
      <c r="B444">
        <v>1477</v>
      </c>
      <c r="C444">
        <v>161</v>
      </c>
      <c r="D444">
        <v>1316</v>
      </c>
      <c r="E444">
        <v>973050</v>
      </c>
      <c r="F444">
        <v>374948</v>
      </c>
      <c r="G444">
        <v>1347998</v>
      </c>
      <c r="H444">
        <v>1044</v>
      </c>
      <c r="I444">
        <v>29</v>
      </c>
      <c r="J444">
        <v>1073</v>
      </c>
      <c r="K444" t="b">
        <f>TrafficData[[#This Row],[disposedChallan]]+TrafficData[[#This Row],[pendingChallan]]=TrafficData[[#This Row],[totalChallan]]</f>
        <v>1</v>
      </c>
      <c r="L444" t="b">
        <f>TrafficData[[#This Row],[pendingAmount]]+TrafficData[[#This Row],[disposedAmount]]=TrafficData[[#This Row],[totalAmount]]</f>
        <v>1</v>
      </c>
      <c r="M444" t="b">
        <f>TrafficData[[#This Row],[pendingCourt]]+TrafficData[[#This Row],[disposedCourt]]=TrafficData[[#This Row],[totalCourt]]</f>
        <v>1</v>
      </c>
      <c r="N444" t="b">
        <f>AND(TrafficData[[#This Row],[disposedChallan]]&lt;=TrafficData[[#This Row],[totalChallan]],TrafficData[[#This Row],[pendingChallan]]&lt;=TrafficData[[#This Row],[totalChallan]])</f>
        <v>1</v>
      </c>
      <c r="O444" t="b">
        <f>AND(TrafficData[[#This Row],[pendingAmount]]&lt;=TrafficData[[#This Row],[totalAmount]],TrafficData[[#This Row],[disposedAmount]]&lt;=TrafficData[[#This Row],[totalAmount]])</f>
        <v>1</v>
      </c>
      <c r="P444" t="b">
        <f>AND(TrafficData[[#This Row],[pendingCourt]]&lt;=TrafficData[[#This Row],[totalCourt]],TrafficData[[#This Row],[disposedCourt]]&lt;=TrafficData[[#This Row],[totalCourt]])</f>
        <v>1</v>
      </c>
    </row>
    <row r="445" spans="1:16">
      <c r="A445" s="1">
        <v>42448</v>
      </c>
      <c r="B445">
        <v>961</v>
      </c>
      <c r="C445">
        <v>120</v>
      </c>
      <c r="D445">
        <v>841</v>
      </c>
      <c r="E445">
        <v>951430</v>
      </c>
      <c r="F445">
        <v>411400</v>
      </c>
      <c r="G445">
        <v>1362830</v>
      </c>
      <c r="H445">
        <v>597</v>
      </c>
      <c r="I445">
        <v>44</v>
      </c>
      <c r="J445">
        <v>641</v>
      </c>
      <c r="K445" t="b">
        <f>TrafficData[[#This Row],[disposedChallan]]+TrafficData[[#This Row],[pendingChallan]]=TrafficData[[#This Row],[totalChallan]]</f>
        <v>1</v>
      </c>
      <c r="L445" t="b">
        <f>TrafficData[[#This Row],[pendingAmount]]+TrafficData[[#This Row],[disposedAmount]]=TrafficData[[#This Row],[totalAmount]]</f>
        <v>1</v>
      </c>
      <c r="M445" t="b">
        <f>TrafficData[[#This Row],[pendingCourt]]+TrafficData[[#This Row],[disposedCourt]]=TrafficData[[#This Row],[totalCourt]]</f>
        <v>1</v>
      </c>
      <c r="N445" t="b">
        <f>AND(TrafficData[[#This Row],[disposedChallan]]&lt;=TrafficData[[#This Row],[totalChallan]],TrafficData[[#This Row],[pendingChallan]]&lt;=TrafficData[[#This Row],[totalChallan]])</f>
        <v>1</v>
      </c>
      <c r="O445" t="b">
        <f>AND(TrafficData[[#This Row],[pendingAmount]]&lt;=TrafficData[[#This Row],[totalAmount]],TrafficData[[#This Row],[disposedAmount]]&lt;=TrafficData[[#This Row],[totalAmount]])</f>
        <v>1</v>
      </c>
      <c r="P445" t="b">
        <f>AND(TrafficData[[#This Row],[pendingCourt]]&lt;=TrafficData[[#This Row],[totalCourt]],TrafficData[[#This Row],[disposedCourt]]&lt;=TrafficData[[#This Row],[totalCourt]])</f>
        <v>1</v>
      </c>
    </row>
    <row r="446" spans="1:16">
      <c r="A446" s="1">
        <v>42449</v>
      </c>
      <c r="B446">
        <v>945</v>
      </c>
      <c r="C446">
        <v>96</v>
      </c>
      <c r="D446">
        <v>849</v>
      </c>
      <c r="E446">
        <v>676138</v>
      </c>
      <c r="F446">
        <v>158634</v>
      </c>
      <c r="G446">
        <v>834772</v>
      </c>
      <c r="H446">
        <v>677</v>
      </c>
      <c r="I446">
        <v>33</v>
      </c>
      <c r="J446">
        <v>710</v>
      </c>
      <c r="K446" t="b">
        <f>TrafficData[[#This Row],[disposedChallan]]+TrafficData[[#This Row],[pendingChallan]]=TrafficData[[#This Row],[totalChallan]]</f>
        <v>1</v>
      </c>
      <c r="L446" t="b">
        <f>TrafficData[[#This Row],[pendingAmount]]+TrafficData[[#This Row],[disposedAmount]]=TrafficData[[#This Row],[totalAmount]]</f>
        <v>1</v>
      </c>
      <c r="M446" t="b">
        <f>TrafficData[[#This Row],[pendingCourt]]+TrafficData[[#This Row],[disposedCourt]]=TrafficData[[#This Row],[totalCourt]]</f>
        <v>1</v>
      </c>
      <c r="N446" t="b">
        <f>AND(TrafficData[[#This Row],[disposedChallan]]&lt;=TrafficData[[#This Row],[totalChallan]],TrafficData[[#This Row],[pendingChallan]]&lt;=TrafficData[[#This Row],[totalChallan]])</f>
        <v>1</v>
      </c>
      <c r="O446" t="b">
        <f>AND(TrafficData[[#This Row],[pendingAmount]]&lt;=TrafficData[[#This Row],[totalAmount]],TrafficData[[#This Row],[disposedAmount]]&lt;=TrafficData[[#This Row],[totalAmount]])</f>
        <v>1</v>
      </c>
      <c r="P446" t="b">
        <f>AND(TrafficData[[#This Row],[pendingCourt]]&lt;=TrafficData[[#This Row],[totalCourt]],TrafficData[[#This Row],[disposedCourt]]&lt;=TrafficData[[#This Row],[totalCourt]])</f>
        <v>1</v>
      </c>
    </row>
    <row r="447" spans="1:16">
      <c r="A447" s="1">
        <v>42450</v>
      </c>
      <c r="B447">
        <v>1340</v>
      </c>
      <c r="C447">
        <v>145</v>
      </c>
      <c r="D447">
        <v>1195</v>
      </c>
      <c r="E447">
        <v>1193900</v>
      </c>
      <c r="F447">
        <v>257855</v>
      </c>
      <c r="G447">
        <v>1451755</v>
      </c>
      <c r="H447">
        <v>893</v>
      </c>
      <c r="I447">
        <v>28</v>
      </c>
      <c r="J447">
        <v>921</v>
      </c>
      <c r="K447" t="b">
        <f>TrafficData[[#This Row],[disposedChallan]]+TrafficData[[#This Row],[pendingChallan]]=TrafficData[[#This Row],[totalChallan]]</f>
        <v>1</v>
      </c>
      <c r="L447" t="b">
        <f>TrafficData[[#This Row],[pendingAmount]]+TrafficData[[#This Row],[disposedAmount]]=TrafficData[[#This Row],[totalAmount]]</f>
        <v>1</v>
      </c>
      <c r="M447" t="b">
        <f>TrafficData[[#This Row],[pendingCourt]]+TrafficData[[#This Row],[disposedCourt]]=TrafficData[[#This Row],[totalCourt]]</f>
        <v>1</v>
      </c>
      <c r="N447" t="b">
        <f>AND(TrafficData[[#This Row],[disposedChallan]]&lt;=TrafficData[[#This Row],[totalChallan]],TrafficData[[#This Row],[pendingChallan]]&lt;=TrafficData[[#This Row],[totalChallan]])</f>
        <v>1</v>
      </c>
      <c r="O447" t="b">
        <f>AND(TrafficData[[#This Row],[pendingAmount]]&lt;=TrafficData[[#This Row],[totalAmount]],TrafficData[[#This Row],[disposedAmount]]&lt;=TrafficData[[#This Row],[totalAmount]])</f>
        <v>1</v>
      </c>
      <c r="P447" t="b">
        <f>AND(TrafficData[[#This Row],[pendingCourt]]&lt;=TrafficData[[#This Row],[totalCourt]],TrafficData[[#This Row],[disposedCourt]]&lt;=TrafficData[[#This Row],[totalCourt]])</f>
        <v>1</v>
      </c>
    </row>
    <row r="448" spans="1:16">
      <c r="A448" s="1">
        <v>42451</v>
      </c>
      <c r="B448">
        <v>1145</v>
      </c>
      <c r="C448">
        <v>115</v>
      </c>
      <c r="D448">
        <v>1030</v>
      </c>
      <c r="E448">
        <v>1077600</v>
      </c>
      <c r="F448">
        <v>150451</v>
      </c>
      <c r="G448">
        <v>1228051</v>
      </c>
      <c r="H448">
        <v>791</v>
      </c>
      <c r="I448">
        <v>41</v>
      </c>
      <c r="J448">
        <v>832</v>
      </c>
      <c r="K448" t="b">
        <f>TrafficData[[#This Row],[disposedChallan]]+TrafficData[[#This Row],[pendingChallan]]=TrafficData[[#This Row],[totalChallan]]</f>
        <v>1</v>
      </c>
      <c r="L448" t="b">
        <f>TrafficData[[#This Row],[pendingAmount]]+TrafficData[[#This Row],[disposedAmount]]=TrafficData[[#This Row],[totalAmount]]</f>
        <v>1</v>
      </c>
      <c r="M448" t="b">
        <f>TrafficData[[#This Row],[pendingCourt]]+TrafficData[[#This Row],[disposedCourt]]=TrafficData[[#This Row],[totalCourt]]</f>
        <v>1</v>
      </c>
      <c r="N448" t="b">
        <f>AND(TrafficData[[#This Row],[disposedChallan]]&lt;=TrafficData[[#This Row],[totalChallan]],TrafficData[[#This Row],[pendingChallan]]&lt;=TrafficData[[#This Row],[totalChallan]])</f>
        <v>1</v>
      </c>
      <c r="O448" t="b">
        <f>AND(TrafficData[[#This Row],[pendingAmount]]&lt;=TrafficData[[#This Row],[totalAmount]],TrafficData[[#This Row],[disposedAmount]]&lt;=TrafficData[[#This Row],[totalAmount]])</f>
        <v>1</v>
      </c>
      <c r="P448" t="b">
        <f>AND(TrafficData[[#This Row],[pendingCourt]]&lt;=TrafficData[[#This Row],[totalCourt]],TrafficData[[#This Row],[disposedCourt]]&lt;=TrafficData[[#This Row],[totalCourt]])</f>
        <v>1</v>
      </c>
    </row>
    <row r="449" spans="1:16">
      <c r="A449" s="1">
        <v>42452</v>
      </c>
      <c r="B449">
        <v>1142</v>
      </c>
      <c r="C449">
        <v>157</v>
      </c>
      <c r="D449">
        <v>985</v>
      </c>
      <c r="E449">
        <v>838300</v>
      </c>
      <c r="F449">
        <v>269249</v>
      </c>
      <c r="G449">
        <v>1107549</v>
      </c>
      <c r="H449">
        <v>774</v>
      </c>
      <c r="I449">
        <v>56</v>
      </c>
      <c r="J449">
        <v>830</v>
      </c>
      <c r="K449" t="b">
        <f>TrafficData[[#This Row],[disposedChallan]]+TrafficData[[#This Row],[pendingChallan]]=TrafficData[[#This Row],[totalChallan]]</f>
        <v>1</v>
      </c>
      <c r="L449" t="b">
        <f>TrafficData[[#This Row],[pendingAmount]]+TrafficData[[#This Row],[disposedAmount]]=TrafficData[[#This Row],[totalAmount]]</f>
        <v>1</v>
      </c>
      <c r="M449" t="b">
        <f>TrafficData[[#This Row],[pendingCourt]]+TrafficData[[#This Row],[disposedCourt]]=TrafficData[[#This Row],[totalCourt]]</f>
        <v>1</v>
      </c>
      <c r="N449" t="b">
        <f>AND(TrafficData[[#This Row],[disposedChallan]]&lt;=TrafficData[[#This Row],[totalChallan]],TrafficData[[#This Row],[pendingChallan]]&lt;=TrafficData[[#This Row],[totalChallan]])</f>
        <v>1</v>
      </c>
      <c r="O449" t="b">
        <f>AND(TrafficData[[#This Row],[pendingAmount]]&lt;=TrafficData[[#This Row],[totalAmount]],TrafficData[[#This Row],[disposedAmount]]&lt;=TrafficData[[#This Row],[totalAmount]])</f>
        <v>1</v>
      </c>
      <c r="P449" t="b">
        <f>AND(TrafficData[[#This Row],[pendingCourt]]&lt;=TrafficData[[#This Row],[totalCourt]],TrafficData[[#This Row],[disposedCourt]]&lt;=TrafficData[[#This Row],[totalCourt]])</f>
        <v>1</v>
      </c>
    </row>
    <row r="450" spans="1:16">
      <c r="A450" s="1">
        <v>42453</v>
      </c>
      <c r="B450">
        <v>776</v>
      </c>
      <c r="C450">
        <v>49</v>
      </c>
      <c r="D450">
        <v>727</v>
      </c>
      <c r="E450">
        <v>192500</v>
      </c>
      <c r="F450">
        <v>27200</v>
      </c>
      <c r="G450">
        <v>219700</v>
      </c>
      <c r="H450">
        <v>623</v>
      </c>
      <c r="I450">
        <v>11</v>
      </c>
      <c r="J450">
        <v>634</v>
      </c>
      <c r="K450" t="b">
        <f>TrafficData[[#This Row],[disposedChallan]]+TrafficData[[#This Row],[pendingChallan]]=TrafficData[[#This Row],[totalChallan]]</f>
        <v>1</v>
      </c>
      <c r="L450" t="b">
        <f>TrafficData[[#This Row],[pendingAmount]]+TrafficData[[#This Row],[disposedAmount]]=TrafficData[[#This Row],[totalAmount]]</f>
        <v>1</v>
      </c>
      <c r="M450" t="b">
        <f>TrafficData[[#This Row],[pendingCourt]]+TrafficData[[#This Row],[disposedCourt]]=TrafficData[[#This Row],[totalCourt]]</f>
        <v>1</v>
      </c>
      <c r="N450" t="b">
        <f>AND(TrafficData[[#This Row],[disposedChallan]]&lt;=TrafficData[[#This Row],[totalChallan]],TrafficData[[#This Row],[pendingChallan]]&lt;=TrafficData[[#This Row],[totalChallan]])</f>
        <v>1</v>
      </c>
      <c r="O450" t="b">
        <f>AND(TrafficData[[#This Row],[pendingAmount]]&lt;=TrafficData[[#This Row],[totalAmount]],TrafficData[[#This Row],[disposedAmount]]&lt;=TrafficData[[#This Row],[totalAmount]])</f>
        <v>1</v>
      </c>
      <c r="P450" t="b">
        <f>AND(TrafficData[[#This Row],[pendingCourt]]&lt;=TrafficData[[#This Row],[totalCourt]],TrafficData[[#This Row],[disposedCourt]]&lt;=TrafficData[[#This Row],[totalCourt]])</f>
        <v>1</v>
      </c>
    </row>
    <row r="451" spans="1:16">
      <c r="A451" s="1">
        <v>42454</v>
      </c>
      <c r="B451">
        <v>1540</v>
      </c>
      <c r="C451">
        <v>143</v>
      </c>
      <c r="D451">
        <v>1397</v>
      </c>
      <c r="E451">
        <v>1234000</v>
      </c>
      <c r="F451">
        <v>102100</v>
      </c>
      <c r="G451">
        <v>1336100</v>
      </c>
      <c r="H451">
        <v>1125</v>
      </c>
      <c r="I451">
        <v>78</v>
      </c>
      <c r="J451">
        <v>1203</v>
      </c>
      <c r="K451" t="b">
        <f>TrafficData[[#This Row],[disposedChallan]]+TrafficData[[#This Row],[pendingChallan]]=TrafficData[[#This Row],[totalChallan]]</f>
        <v>1</v>
      </c>
      <c r="L451" t="b">
        <f>TrafficData[[#This Row],[pendingAmount]]+TrafficData[[#This Row],[disposedAmount]]=TrafficData[[#This Row],[totalAmount]]</f>
        <v>1</v>
      </c>
      <c r="M451" t="b">
        <f>TrafficData[[#This Row],[pendingCourt]]+TrafficData[[#This Row],[disposedCourt]]=TrafficData[[#This Row],[totalCourt]]</f>
        <v>1</v>
      </c>
      <c r="N451" t="b">
        <f>AND(TrafficData[[#This Row],[disposedChallan]]&lt;=TrafficData[[#This Row],[totalChallan]],TrafficData[[#This Row],[pendingChallan]]&lt;=TrafficData[[#This Row],[totalChallan]])</f>
        <v>1</v>
      </c>
      <c r="O451" t="b">
        <f>AND(TrafficData[[#This Row],[pendingAmount]]&lt;=TrafficData[[#This Row],[totalAmount]],TrafficData[[#This Row],[disposedAmount]]&lt;=TrafficData[[#This Row],[totalAmount]])</f>
        <v>1</v>
      </c>
      <c r="P451" t="b">
        <f>AND(TrafficData[[#This Row],[pendingCourt]]&lt;=TrafficData[[#This Row],[totalCourt]],TrafficData[[#This Row],[disposedCourt]]&lt;=TrafficData[[#This Row],[totalCourt]])</f>
        <v>1</v>
      </c>
    </row>
    <row r="452" spans="1:16">
      <c r="A452" s="1">
        <v>42455</v>
      </c>
      <c r="B452">
        <v>1166</v>
      </c>
      <c r="C452">
        <v>140</v>
      </c>
      <c r="D452">
        <v>1026</v>
      </c>
      <c r="E452">
        <v>718150</v>
      </c>
      <c r="F452">
        <v>145100</v>
      </c>
      <c r="G452">
        <v>863250</v>
      </c>
      <c r="H452">
        <v>767</v>
      </c>
      <c r="I452">
        <v>54</v>
      </c>
      <c r="J452">
        <v>821</v>
      </c>
      <c r="K452" t="b">
        <f>TrafficData[[#This Row],[disposedChallan]]+TrafficData[[#This Row],[pendingChallan]]=TrafficData[[#This Row],[totalChallan]]</f>
        <v>1</v>
      </c>
      <c r="L452" t="b">
        <f>TrafficData[[#This Row],[pendingAmount]]+TrafficData[[#This Row],[disposedAmount]]=TrafficData[[#This Row],[totalAmount]]</f>
        <v>1</v>
      </c>
      <c r="M452" t="b">
        <f>TrafficData[[#This Row],[pendingCourt]]+TrafficData[[#This Row],[disposedCourt]]=TrafficData[[#This Row],[totalCourt]]</f>
        <v>1</v>
      </c>
      <c r="N452" t="b">
        <f>AND(TrafficData[[#This Row],[disposedChallan]]&lt;=TrafficData[[#This Row],[totalChallan]],TrafficData[[#This Row],[pendingChallan]]&lt;=TrafficData[[#This Row],[totalChallan]])</f>
        <v>1</v>
      </c>
      <c r="O452" t="b">
        <f>AND(TrafficData[[#This Row],[pendingAmount]]&lt;=TrafficData[[#This Row],[totalAmount]],TrafficData[[#This Row],[disposedAmount]]&lt;=TrafficData[[#This Row],[totalAmount]])</f>
        <v>1</v>
      </c>
      <c r="P452" t="b">
        <f>AND(TrafficData[[#This Row],[pendingCourt]]&lt;=TrafficData[[#This Row],[totalCourt]],TrafficData[[#This Row],[disposedCourt]]&lt;=TrafficData[[#This Row],[totalCourt]])</f>
        <v>1</v>
      </c>
    </row>
    <row r="453" spans="1:16">
      <c r="A453" s="1">
        <v>42456</v>
      </c>
      <c r="B453">
        <v>606</v>
      </c>
      <c r="C453">
        <v>87</v>
      </c>
      <c r="D453">
        <v>519</v>
      </c>
      <c r="E453">
        <v>677649</v>
      </c>
      <c r="F453">
        <v>143500</v>
      </c>
      <c r="G453">
        <v>821149</v>
      </c>
      <c r="H453">
        <v>355</v>
      </c>
      <c r="I453">
        <v>22</v>
      </c>
      <c r="J453">
        <v>377</v>
      </c>
      <c r="K453" t="b">
        <f>TrafficData[[#This Row],[disposedChallan]]+TrafficData[[#This Row],[pendingChallan]]=TrafficData[[#This Row],[totalChallan]]</f>
        <v>1</v>
      </c>
      <c r="L453" t="b">
        <f>TrafficData[[#This Row],[pendingAmount]]+TrafficData[[#This Row],[disposedAmount]]=TrafficData[[#This Row],[totalAmount]]</f>
        <v>1</v>
      </c>
      <c r="M453" t="b">
        <f>TrafficData[[#This Row],[pendingCourt]]+TrafficData[[#This Row],[disposedCourt]]=TrafficData[[#This Row],[totalCourt]]</f>
        <v>1</v>
      </c>
      <c r="N453" t="b">
        <f>AND(TrafficData[[#This Row],[disposedChallan]]&lt;=TrafficData[[#This Row],[totalChallan]],TrafficData[[#This Row],[pendingChallan]]&lt;=TrafficData[[#This Row],[totalChallan]])</f>
        <v>1</v>
      </c>
      <c r="O453" t="b">
        <f>AND(TrafficData[[#This Row],[pendingAmount]]&lt;=TrafficData[[#This Row],[totalAmount]],TrafficData[[#This Row],[disposedAmount]]&lt;=TrafficData[[#This Row],[totalAmount]])</f>
        <v>1</v>
      </c>
      <c r="P453" t="b">
        <f>AND(TrafficData[[#This Row],[pendingCourt]]&lt;=TrafficData[[#This Row],[totalCourt]],TrafficData[[#This Row],[disposedCourt]]&lt;=TrafficData[[#This Row],[totalCourt]])</f>
        <v>1</v>
      </c>
    </row>
    <row r="454" spans="1:16">
      <c r="A454" s="1">
        <v>42457</v>
      </c>
      <c r="B454">
        <v>1249</v>
      </c>
      <c r="C454">
        <v>163</v>
      </c>
      <c r="D454">
        <v>1086</v>
      </c>
      <c r="E454">
        <v>945800</v>
      </c>
      <c r="F454">
        <v>189400</v>
      </c>
      <c r="G454">
        <v>1135200</v>
      </c>
      <c r="H454">
        <v>823</v>
      </c>
      <c r="I454">
        <v>21</v>
      </c>
      <c r="J454">
        <v>844</v>
      </c>
      <c r="K454" t="b">
        <f>TrafficData[[#This Row],[disposedChallan]]+TrafficData[[#This Row],[pendingChallan]]=TrafficData[[#This Row],[totalChallan]]</f>
        <v>1</v>
      </c>
      <c r="L454" t="b">
        <f>TrafficData[[#This Row],[pendingAmount]]+TrafficData[[#This Row],[disposedAmount]]=TrafficData[[#This Row],[totalAmount]]</f>
        <v>1</v>
      </c>
      <c r="M454" t="b">
        <f>TrafficData[[#This Row],[pendingCourt]]+TrafficData[[#This Row],[disposedCourt]]=TrafficData[[#This Row],[totalCourt]]</f>
        <v>1</v>
      </c>
      <c r="N454" t="b">
        <f>AND(TrafficData[[#This Row],[disposedChallan]]&lt;=TrafficData[[#This Row],[totalChallan]],TrafficData[[#This Row],[pendingChallan]]&lt;=TrafficData[[#This Row],[totalChallan]])</f>
        <v>1</v>
      </c>
      <c r="O454" t="b">
        <f>AND(TrafficData[[#This Row],[pendingAmount]]&lt;=TrafficData[[#This Row],[totalAmount]],TrafficData[[#This Row],[disposedAmount]]&lt;=TrafficData[[#This Row],[totalAmount]])</f>
        <v>1</v>
      </c>
      <c r="P454" t="b">
        <f>AND(TrafficData[[#This Row],[pendingCourt]]&lt;=TrafficData[[#This Row],[totalCourt]],TrafficData[[#This Row],[disposedCourt]]&lt;=TrafficData[[#This Row],[totalCourt]])</f>
        <v>1</v>
      </c>
    </row>
    <row r="455" spans="1:16">
      <c r="A455" s="1">
        <v>42458</v>
      </c>
      <c r="B455">
        <v>1678</v>
      </c>
      <c r="C455">
        <v>216</v>
      </c>
      <c r="D455">
        <v>1462</v>
      </c>
      <c r="E455">
        <v>723900</v>
      </c>
      <c r="F455">
        <v>298860</v>
      </c>
      <c r="G455">
        <v>1022760</v>
      </c>
      <c r="H455">
        <v>1163</v>
      </c>
      <c r="I455">
        <v>78</v>
      </c>
      <c r="J455">
        <v>1241</v>
      </c>
      <c r="K455" t="b">
        <f>TrafficData[[#This Row],[disposedChallan]]+TrafficData[[#This Row],[pendingChallan]]=TrafficData[[#This Row],[totalChallan]]</f>
        <v>1</v>
      </c>
      <c r="L455" t="b">
        <f>TrafficData[[#This Row],[pendingAmount]]+TrafficData[[#This Row],[disposedAmount]]=TrafficData[[#This Row],[totalAmount]]</f>
        <v>1</v>
      </c>
      <c r="M455" t="b">
        <f>TrafficData[[#This Row],[pendingCourt]]+TrafficData[[#This Row],[disposedCourt]]=TrafficData[[#This Row],[totalCourt]]</f>
        <v>1</v>
      </c>
      <c r="N455" t="b">
        <f>AND(TrafficData[[#This Row],[disposedChallan]]&lt;=TrafficData[[#This Row],[totalChallan]],TrafficData[[#This Row],[pendingChallan]]&lt;=TrafficData[[#This Row],[totalChallan]])</f>
        <v>1</v>
      </c>
      <c r="O455" t="b">
        <f>AND(TrafficData[[#This Row],[pendingAmount]]&lt;=TrafficData[[#This Row],[totalAmount]],TrafficData[[#This Row],[disposedAmount]]&lt;=TrafficData[[#This Row],[totalAmount]])</f>
        <v>1</v>
      </c>
      <c r="P455" t="b">
        <f>AND(TrafficData[[#This Row],[pendingCourt]]&lt;=TrafficData[[#This Row],[totalCourt]],TrafficData[[#This Row],[disposedCourt]]&lt;=TrafficData[[#This Row],[totalCourt]])</f>
        <v>1</v>
      </c>
    </row>
    <row r="456" spans="1:16">
      <c r="A456" s="1">
        <v>42459</v>
      </c>
      <c r="B456">
        <v>1698</v>
      </c>
      <c r="C456">
        <v>251</v>
      </c>
      <c r="D456">
        <v>1447</v>
      </c>
      <c r="E456">
        <v>1135300</v>
      </c>
      <c r="F456">
        <v>573184</v>
      </c>
      <c r="G456">
        <v>1708484</v>
      </c>
      <c r="H456">
        <v>1161</v>
      </c>
      <c r="I456">
        <v>36</v>
      </c>
      <c r="J456">
        <v>1197</v>
      </c>
      <c r="K456" t="b">
        <f>TrafficData[[#This Row],[disposedChallan]]+TrafficData[[#This Row],[pendingChallan]]=TrafficData[[#This Row],[totalChallan]]</f>
        <v>1</v>
      </c>
      <c r="L456" t="b">
        <f>TrafficData[[#This Row],[pendingAmount]]+TrafficData[[#This Row],[disposedAmount]]=TrafficData[[#This Row],[totalAmount]]</f>
        <v>1</v>
      </c>
      <c r="M456" t="b">
        <f>TrafficData[[#This Row],[pendingCourt]]+TrafficData[[#This Row],[disposedCourt]]=TrafficData[[#This Row],[totalCourt]]</f>
        <v>1</v>
      </c>
      <c r="N456" t="b">
        <f>AND(TrafficData[[#This Row],[disposedChallan]]&lt;=TrafficData[[#This Row],[totalChallan]],TrafficData[[#This Row],[pendingChallan]]&lt;=TrafficData[[#This Row],[totalChallan]])</f>
        <v>1</v>
      </c>
      <c r="O456" t="b">
        <f>AND(TrafficData[[#This Row],[pendingAmount]]&lt;=TrafficData[[#This Row],[totalAmount]],TrafficData[[#This Row],[disposedAmount]]&lt;=TrafficData[[#This Row],[totalAmount]])</f>
        <v>1</v>
      </c>
      <c r="P456" t="b">
        <f>AND(TrafficData[[#This Row],[pendingCourt]]&lt;=TrafficData[[#This Row],[totalCourt]],TrafficData[[#This Row],[disposedCourt]]&lt;=TrafficData[[#This Row],[totalCourt]])</f>
        <v>1</v>
      </c>
    </row>
    <row r="457" spans="1:16">
      <c r="A457" s="1">
        <v>42460</v>
      </c>
      <c r="B457">
        <v>1725</v>
      </c>
      <c r="C457">
        <v>199</v>
      </c>
      <c r="D457">
        <v>1526</v>
      </c>
      <c r="E457">
        <v>1132750</v>
      </c>
      <c r="F457">
        <v>173700</v>
      </c>
      <c r="G457">
        <v>1306450</v>
      </c>
      <c r="H457">
        <v>1253</v>
      </c>
      <c r="I457">
        <v>29</v>
      </c>
      <c r="J457">
        <v>1282</v>
      </c>
      <c r="K457" t="b">
        <f>TrafficData[[#This Row],[disposedChallan]]+TrafficData[[#This Row],[pendingChallan]]=TrafficData[[#This Row],[totalChallan]]</f>
        <v>1</v>
      </c>
      <c r="L457" t="b">
        <f>TrafficData[[#This Row],[pendingAmount]]+TrafficData[[#This Row],[disposedAmount]]=TrafficData[[#This Row],[totalAmount]]</f>
        <v>1</v>
      </c>
      <c r="M457" t="b">
        <f>TrafficData[[#This Row],[pendingCourt]]+TrafficData[[#This Row],[disposedCourt]]=TrafficData[[#This Row],[totalCourt]]</f>
        <v>1</v>
      </c>
      <c r="N457" t="b">
        <f>AND(TrafficData[[#This Row],[disposedChallan]]&lt;=TrafficData[[#This Row],[totalChallan]],TrafficData[[#This Row],[pendingChallan]]&lt;=TrafficData[[#This Row],[totalChallan]])</f>
        <v>1</v>
      </c>
      <c r="O457" t="b">
        <f>AND(TrafficData[[#This Row],[pendingAmount]]&lt;=TrafficData[[#This Row],[totalAmount]],TrafficData[[#This Row],[disposedAmount]]&lt;=TrafficData[[#This Row],[totalAmount]])</f>
        <v>1</v>
      </c>
      <c r="P457" t="b">
        <f>AND(TrafficData[[#This Row],[pendingCourt]]&lt;=TrafficData[[#This Row],[totalCourt]],TrafficData[[#This Row],[disposedCourt]]&lt;=TrafficData[[#This Row],[totalCourt]])</f>
        <v>1</v>
      </c>
    </row>
    <row r="458" spans="1:16">
      <c r="A458" s="1">
        <v>42461</v>
      </c>
      <c r="B458">
        <v>1602</v>
      </c>
      <c r="C458">
        <v>168</v>
      </c>
      <c r="D458">
        <v>1434</v>
      </c>
      <c r="E458">
        <v>970150</v>
      </c>
      <c r="F458">
        <v>187150</v>
      </c>
      <c r="G458">
        <v>1157300</v>
      </c>
      <c r="H458">
        <v>1135</v>
      </c>
      <c r="I458">
        <v>83</v>
      </c>
      <c r="J458">
        <v>1218</v>
      </c>
      <c r="K458" t="b">
        <f>TrafficData[[#This Row],[disposedChallan]]+TrafficData[[#This Row],[pendingChallan]]=TrafficData[[#This Row],[totalChallan]]</f>
        <v>1</v>
      </c>
      <c r="L458" t="b">
        <f>TrafficData[[#This Row],[pendingAmount]]+TrafficData[[#This Row],[disposedAmount]]=TrafficData[[#This Row],[totalAmount]]</f>
        <v>1</v>
      </c>
      <c r="M458" t="b">
        <f>TrafficData[[#This Row],[pendingCourt]]+TrafficData[[#This Row],[disposedCourt]]=TrafficData[[#This Row],[totalCourt]]</f>
        <v>1</v>
      </c>
      <c r="N458" t="b">
        <f>AND(TrafficData[[#This Row],[disposedChallan]]&lt;=TrafficData[[#This Row],[totalChallan]],TrafficData[[#This Row],[pendingChallan]]&lt;=TrafficData[[#This Row],[totalChallan]])</f>
        <v>1</v>
      </c>
      <c r="O458" t="b">
        <f>AND(TrafficData[[#This Row],[pendingAmount]]&lt;=TrafficData[[#This Row],[totalAmount]],TrafficData[[#This Row],[disposedAmount]]&lt;=TrafficData[[#This Row],[totalAmount]])</f>
        <v>1</v>
      </c>
      <c r="P458" t="b">
        <f>AND(TrafficData[[#This Row],[pendingCourt]]&lt;=TrafficData[[#This Row],[totalCourt]],TrafficData[[#This Row],[disposedCourt]]&lt;=TrafficData[[#This Row],[totalCourt]])</f>
        <v>1</v>
      </c>
    </row>
    <row r="459" spans="1:16">
      <c r="A459" s="1">
        <v>42462</v>
      </c>
      <c r="B459">
        <v>1506</v>
      </c>
      <c r="C459">
        <v>163</v>
      </c>
      <c r="D459">
        <v>1343</v>
      </c>
      <c r="E459">
        <v>1257850</v>
      </c>
      <c r="F459">
        <v>294850</v>
      </c>
      <c r="G459">
        <v>1552700</v>
      </c>
      <c r="H459">
        <v>974</v>
      </c>
      <c r="I459">
        <v>54</v>
      </c>
      <c r="J459">
        <v>1028</v>
      </c>
      <c r="K459" t="b">
        <f>TrafficData[[#This Row],[disposedChallan]]+TrafficData[[#This Row],[pendingChallan]]=TrafficData[[#This Row],[totalChallan]]</f>
        <v>1</v>
      </c>
      <c r="L459" t="b">
        <f>TrafficData[[#This Row],[pendingAmount]]+TrafficData[[#This Row],[disposedAmount]]=TrafficData[[#This Row],[totalAmount]]</f>
        <v>1</v>
      </c>
      <c r="M459" t="b">
        <f>TrafficData[[#This Row],[pendingCourt]]+TrafficData[[#This Row],[disposedCourt]]=TrafficData[[#This Row],[totalCourt]]</f>
        <v>1</v>
      </c>
      <c r="N459" t="b">
        <f>AND(TrafficData[[#This Row],[disposedChallan]]&lt;=TrafficData[[#This Row],[totalChallan]],TrafficData[[#This Row],[pendingChallan]]&lt;=TrafficData[[#This Row],[totalChallan]])</f>
        <v>1</v>
      </c>
      <c r="O459" t="b">
        <f>AND(TrafficData[[#This Row],[pendingAmount]]&lt;=TrafficData[[#This Row],[totalAmount]],TrafficData[[#This Row],[disposedAmount]]&lt;=TrafficData[[#This Row],[totalAmount]])</f>
        <v>1</v>
      </c>
      <c r="P459" t="b">
        <f>AND(TrafficData[[#This Row],[pendingCourt]]&lt;=TrafficData[[#This Row],[totalCourt]],TrafficData[[#This Row],[disposedCourt]]&lt;=TrafficData[[#This Row],[totalCourt]])</f>
        <v>1</v>
      </c>
    </row>
    <row r="460" spans="1:16">
      <c r="A460" s="1">
        <v>42463</v>
      </c>
      <c r="B460">
        <v>703</v>
      </c>
      <c r="C460">
        <v>82</v>
      </c>
      <c r="D460">
        <v>621</v>
      </c>
      <c r="E460">
        <v>396075</v>
      </c>
      <c r="F460">
        <v>82450</v>
      </c>
      <c r="G460">
        <v>478525</v>
      </c>
      <c r="H460">
        <v>463</v>
      </c>
      <c r="I460">
        <v>32</v>
      </c>
      <c r="J460">
        <v>495</v>
      </c>
      <c r="K460" t="b">
        <f>TrafficData[[#This Row],[disposedChallan]]+TrafficData[[#This Row],[pendingChallan]]=TrafficData[[#This Row],[totalChallan]]</f>
        <v>1</v>
      </c>
      <c r="L460" t="b">
        <f>TrafficData[[#This Row],[pendingAmount]]+TrafficData[[#This Row],[disposedAmount]]=TrafficData[[#This Row],[totalAmount]]</f>
        <v>1</v>
      </c>
      <c r="M460" t="b">
        <f>TrafficData[[#This Row],[pendingCourt]]+TrafficData[[#This Row],[disposedCourt]]=TrafficData[[#This Row],[totalCourt]]</f>
        <v>1</v>
      </c>
      <c r="N460" t="b">
        <f>AND(TrafficData[[#This Row],[disposedChallan]]&lt;=TrafficData[[#This Row],[totalChallan]],TrafficData[[#This Row],[pendingChallan]]&lt;=TrafficData[[#This Row],[totalChallan]])</f>
        <v>1</v>
      </c>
      <c r="O460" t="b">
        <f>AND(TrafficData[[#This Row],[pendingAmount]]&lt;=TrafficData[[#This Row],[totalAmount]],TrafficData[[#This Row],[disposedAmount]]&lt;=TrafficData[[#This Row],[totalAmount]])</f>
        <v>1</v>
      </c>
      <c r="P460" t="b">
        <f>AND(TrafficData[[#This Row],[pendingCourt]]&lt;=TrafficData[[#This Row],[totalCourt]],TrafficData[[#This Row],[disposedCourt]]&lt;=TrafficData[[#This Row],[totalCourt]])</f>
        <v>1</v>
      </c>
    </row>
    <row r="461" spans="1:16">
      <c r="A461" s="1">
        <v>42464</v>
      </c>
      <c r="B461">
        <v>1302</v>
      </c>
      <c r="C461">
        <v>156</v>
      </c>
      <c r="D461">
        <v>1146</v>
      </c>
      <c r="E461">
        <v>1380648</v>
      </c>
      <c r="F461">
        <v>276021</v>
      </c>
      <c r="G461">
        <v>1656669</v>
      </c>
      <c r="H461">
        <v>795</v>
      </c>
      <c r="I461">
        <v>57</v>
      </c>
      <c r="J461">
        <v>852</v>
      </c>
      <c r="K461" t="b">
        <f>TrafficData[[#This Row],[disposedChallan]]+TrafficData[[#This Row],[pendingChallan]]=TrafficData[[#This Row],[totalChallan]]</f>
        <v>1</v>
      </c>
      <c r="L461" t="b">
        <f>TrafficData[[#This Row],[pendingAmount]]+TrafficData[[#This Row],[disposedAmount]]=TrafficData[[#This Row],[totalAmount]]</f>
        <v>1</v>
      </c>
      <c r="M461" t="b">
        <f>TrafficData[[#This Row],[pendingCourt]]+TrafficData[[#This Row],[disposedCourt]]=TrafficData[[#This Row],[totalCourt]]</f>
        <v>1</v>
      </c>
      <c r="N461" t="b">
        <f>AND(TrafficData[[#This Row],[disposedChallan]]&lt;=TrafficData[[#This Row],[totalChallan]],TrafficData[[#This Row],[pendingChallan]]&lt;=TrafficData[[#This Row],[totalChallan]])</f>
        <v>1</v>
      </c>
      <c r="O461" t="b">
        <f>AND(TrafficData[[#This Row],[pendingAmount]]&lt;=TrafficData[[#This Row],[totalAmount]],TrafficData[[#This Row],[disposedAmount]]&lt;=TrafficData[[#This Row],[totalAmount]])</f>
        <v>1</v>
      </c>
      <c r="P461" t="b">
        <f>AND(TrafficData[[#This Row],[pendingCourt]]&lt;=TrafficData[[#This Row],[totalCourt]],TrafficData[[#This Row],[disposedCourt]]&lt;=TrafficData[[#This Row],[totalCourt]])</f>
        <v>1</v>
      </c>
    </row>
    <row r="462" spans="1:16">
      <c r="A462" s="1">
        <v>42465</v>
      </c>
      <c r="B462">
        <v>1667</v>
      </c>
      <c r="C462">
        <v>186</v>
      </c>
      <c r="D462">
        <v>1481</v>
      </c>
      <c r="E462">
        <v>1637440</v>
      </c>
      <c r="F462">
        <v>184740</v>
      </c>
      <c r="G462">
        <v>1822180</v>
      </c>
      <c r="H462">
        <v>1147</v>
      </c>
      <c r="I462">
        <v>63</v>
      </c>
      <c r="J462">
        <v>1210</v>
      </c>
      <c r="K462" t="b">
        <f>TrafficData[[#This Row],[disposedChallan]]+TrafficData[[#This Row],[pendingChallan]]=TrafficData[[#This Row],[totalChallan]]</f>
        <v>1</v>
      </c>
      <c r="L462" t="b">
        <f>TrafficData[[#This Row],[pendingAmount]]+TrafficData[[#This Row],[disposedAmount]]=TrafficData[[#This Row],[totalAmount]]</f>
        <v>1</v>
      </c>
      <c r="M462" t="b">
        <f>TrafficData[[#This Row],[pendingCourt]]+TrafficData[[#This Row],[disposedCourt]]=TrafficData[[#This Row],[totalCourt]]</f>
        <v>1</v>
      </c>
      <c r="N462" t="b">
        <f>AND(TrafficData[[#This Row],[disposedChallan]]&lt;=TrafficData[[#This Row],[totalChallan]],TrafficData[[#This Row],[pendingChallan]]&lt;=TrafficData[[#This Row],[totalChallan]])</f>
        <v>1</v>
      </c>
      <c r="O462" t="b">
        <f>AND(TrafficData[[#This Row],[pendingAmount]]&lt;=TrafficData[[#This Row],[totalAmount]],TrafficData[[#This Row],[disposedAmount]]&lt;=TrafficData[[#This Row],[totalAmount]])</f>
        <v>1</v>
      </c>
      <c r="P462" t="b">
        <f>AND(TrafficData[[#This Row],[pendingCourt]]&lt;=TrafficData[[#This Row],[totalCourt]],TrafficData[[#This Row],[disposedCourt]]&lt;=TrafficData[[#This Row],[totalCourt]])</f>
        <v>1</v>
      </c>
    </row>
    <row r="463" spans="1:16">
      <c r="A463" s="1">
        <v>42466</v>
      </c>
      <c r="B463">
        <v>1735</v>
      </c>
      <c r="C463">
        <v>234</v>
      </c>
      <c r="D463">
        <v>1501</v>
      </c>
      <c r="E463">
        <v>1123400</v>
      </c>
      <c r="F463">
        <v>338300</v>
      </c>
      <c r="G463">
        <v>1461700</v>
      </c>
      <c r="H463">
        <v>1128</v>
      </c>
      <c r="I463">
        <v>28</v>
      </c>
      <c r="J463">
        <v>1156</v>
      </c>
      <c r="K463" t="b">
        <f>TrafficData[[#This Row],[disposedChallan]]+TrafficData[[#This Row],[pendingChallan]]=TrafficData[[#This Row],[totalChallan]]</f>
        <v>1</v>
      </c>
      <c r="L463" t="b">
        <f>TrafficData[[#This Row],[pendingAmount]]+TrafficData[[#This Row],[disposedAmount]]=TrafficData[[#This Row],[totalAmount]]</f>
        <v>1</v>
      </c>
      <c r="M463" t="b">
        <f>TrafficData[[#This Row],[pendingCourt]]+TrafficData[[#This Row],[disposedCourt]]=TrafficData[[#This Row],[totalCourt]]</f>
        <v>1</v>
      </c>
      <c r="N463" t="b">
        <f>AND(TrafficData[[#This Row],[disposedChallan]]&lt;=TrafficData[[#This Row],[totalChallan]],TrafficData[[#This Row],[pendingChallan]]&lt;=TrafficData[[#This Row],[totalChallan]])</f>
        <v>1</v>
      </c>
      <c r="O463" t="b">
        <f>AND(TrafficData[[#This Row],[pendingAmount]]&lt;=TrafficData[[#This Row],[totalAmount]],TrafficData[[#This Row],[disposedAmount]]&lt;=TrafficData[[#This Row],[totalAmount]])</f>
        <v>1</v>
      </c>
      <c r="P463" t="b">
        <f>AND(TrafficData[[#This Row],[pendingCourt]]&lt;=TrafficData[[#This Row],[totalCourt]],TrafficData[[#This Row],[disposedCourt]]&lt;=TrafficData[[#This Row],[totalCourt]])</f>
        <v>1</v>
      </c>
    </row>
    <row r="464" spans="1:16">
      <c r="A464" s="1">
        <v>42467</v>
      </c>
      <c r="B464">
        <v>2130</v>
      </c>
      <c r="C464">
        <v>223</v>
      </c>
      <c r="D464">
        <v>1907</v>
      </c>
      <c r="E464">
        <v>1441296</v>
      </c>
      <c r="F464">
        <v>290820</v>
      </c>
      <c r="G464">
        <v>1732116</v>
      </c>
      <c r="H464">
        <v>1552</v>
      </c>
      <c r="I464">
        <v>39</v>
      </c>
      <c r="J464">
        <v>1591</v>
      </c>
      <c r="K464" t="b">
        <f>TrafficData[[#This Row],[disposedChallan]]+TrafficData[[#This Row],[pendingChallan]]=TrafficData[[#This Row],[totalChallan]]</f>
        <v>1</v>
      </c>
      <c r="L464" t="b">
        <f>TrafficData[[#This Row],[pendingAmount]]+TrafficData[[#This Row],[disposedAmount]]=TrafficData[[#This Row],[totalAmount]]</f>
        <v>1</v>
      </c>
      <c r="M464" t="b">
        <f>TrafficData[[#This Row],[pendingCourt]]+TrafficData[[#This Row],[disposedCourt]]=TrafficData[[#This Row],[totalCourt]]</f>
        <v>1</v>
      </c>
      <c r="N464" t="b">
        <f>AND(TrafficData[[#This Row],[disposedChallan]]&lt;=TrafficData[[#This Row],[totalChallan]],TrafficData[[#This Row],[pendingChallan]]&lt;=TrafficData[[#This Row],[totalChallan]])</f>
        <v>1</v>
      </c>
      <c r="O464" t="b">
        <f>AND(TrafficData[[#This Row],[pendingAmount]]&lt;=TrafficData[[#This Row],[totalAmount]],TrafficData[[#This Row],[disposedAmount]]&lt;=TrafficData[[#This Row],[totalAmount]])</f>
        <v>1</v>
      </c>
      <c r="P464" t="b">
        <f>AND(TrafficData[[#This Row],[pendingCourt]]&lt;=TrafficData[[#This Row],[totalCourt]],TrafficData[[#This Row],[disposedCourt]]&lt;=TrafficData[[#This Row],[totalCourt]])</f>
        <v>1</v>
      </c>
    </row>
    <row r="465" spans="1:16">
      <c r="A465" s="1">
        <v>42468</v>
      </c>
      <c r="B465">
        <v>1470</v>
      </c>
      <c r="C465">
        <v>118</v>
      </c>
      <c r="D465">
        <v>1352</v>
      </c>
      <c r="E465">
        <v>794050</v>
      </c>
      <c r="F465">
        <v>115700</v>
      </c>
      <c r="G465">
        <v>909750</v>
      </c>
      <c r="H465">
        <v>1075</v>
      </c>
      <c r="I465">
        <v>44</v>
      </c>
      <c r="J465">
        <v>1119</v>
      </c>
      <c r="K465" t="b">
        <f>TrafficData[[#This Row],[disposedChallan]]+TrafficData[[#This Row],[pendingChallan]]=TrafficData[[#This Row],[totalChallan]]</f>
        <v>1</v>
      </c>
      <c r="L465" t="b">
        <f>TrafficData[[#This Row],[pendingAmount]]+TrafficData[[#This Row],[disposedAmount]]=TrafficData[[#This Row],[totalAmount]]</f>
        <v>1</v>
      </c>
      <c r="M465" t="b">
        <f>TrafficData[[#This Row],[pendingCourt]]+TrafficData[[#This Row],[disposedCourt]]=TrafficData[[#This Row],[totalCourt]]</f>
        <v>1</v>
      </c>
      <c r="N465" t="b">
        <f>AND(TrafficData[[#This Row],[disposedChallan]]&lt;=TrafficData[[#This Row],[totalChallan]],TrafficData[[#This Row],[pendingChallan]]&lt;=TrafficData[[#This Row],[totalChallan]])</f>
        <v>1</v>
      </c>
      <c r="O465" t="b">
        <f>AND(TrafficData[[#This Row],[pendingAmount]]&lt;=TrafficData[[#This Row],[totalAmount]],TrafficData[[#This Row],[disposedAmount]]&lt;=TrafficData[[#This Row],[totalAmount]])</f>
        <v>1</v>
      </c>
      <c r="P465" t="b">
        <f>AND(TrafficData[[#This Row],[pendingCourt]]&lt;=TrafficData[[#This Row],[totalCourt]],TrafficData[[#This Row],[disposedCourt]]&lt;=TrafficData[[#This Row],[totalCourt]])</f>
        <v>1</v>
      </c>
    </row>
    <row r="466" spans="1:16">
      <c r="A466" s="1">
        <v>42469</v>
      </c>
      <c r="B466">
        <v>1756</v>
      </c>
      <c r="C466">
        <v>222</v>
      </c>
      <c r="D466">
        <v>1534</v>
      </c>
      <c r="E466">
        <v>928450</v>
      </c>
      <c r="F466">
        <v>182460</v>
      </c>
      <c r="G466">
        <v>1110910</v>
      </c>
      <c r="H466">
        <v>1248</v>
      </c>
      <c r="I466">
        <v>101</v>
      </c>
      <c r="J466">
        <v>1349</v>
      </c>
      <c r="K466" t="b">
        <f>TrafficData[[#This Row],[disposedChallan]]+TrafficData[[#This Row],[pendingChallan]]=TrafficData[[#This Row],[totalChallan]]</f>
        <v>1</v>
      </c>
      <c r="L466" t="b">
        <f>TrafficData[[#This Row],[pendingAmount]]+TrafficData[[#This Row],[disposedAmount]]=TrafficData[[#This Row],[totalAmount]]</f>
        <v>1</v>
      </c>
      <c r="M466" t="b">
        <f>TrafficData[[#This Row],[pendingCourt]]+TrafficData[[#This Row],[disposedCourt]]=TrafficData[[#This Row],[totalCourt]]</f>
        <v>1</v>
      </c>
      <c r="N466" t="b">
        <f>AND(TrafficData[[#This Row],[disposedChallan]]&lt;=TrafficData[[#This Row],[totalChallan]],TrafficData[[#This Row],[pendingChallan]]&lt;=TrafficData[[#This Row],[totalChallan]])</f>
        <v>1</v>
      </c>
      <c r="O466" t="b">
        <f>AND(TrafficData[[#This Row],[pendingAmount]]&lt;=TrafficData[[#This Row],[totalAmount]],TrafficData[[#This Row],[disposedAmount]]&lt;=TrafficData[[#This Row],[totalAmount]])</f>
        <v>1</v>
      </c>
      <c r="P466" t="b">
        <f>AND(TrafficData[[#This Row],[pendingCourt]]&lt;=TrafficData[[#This Row],[totalCourt]],TrafficData[[#This Row],[disposedCourt]]&lt;=TrafficData[[#This Row],[totalCourt]])</f>
        <v>1</v>
      </c>
    </row>
    <row r="467" spans="1:16">
      <c r="A467" s="1">
        <v>42470</v>
      </c>
      <c r="B467">
        <v>861</v>
      </c>
      <c r="C467">
        <v>111</v>
      </c>
      <c r="D467">
        <v>750</v>
      </c>
      <c r="E467">
        <v>552270</v>
      </c>
      <c r="F467">
        <v>137900</v>
      </c>
      <c r="G467">
        <v>690170</v>
      </c>
      <c r="H467">
        <v>533</v>
      </c>
      <c r="I467">
        <v>25</v>
      </c>
      <c r="J467">
        <v>558</v>
      </c>
      <c r="K467" t="b">
        <f>TrafficData[[#This Row],[disposedChallan]]+TrafficData[[#This Row],[pendingChallan]]=TrafficData[[#This Row],[totalChallan]]</f>
        <v>1</v>
      </c>
      <c r="L467" t="b">
        <f>TrafficData[[#This Row],[pendingAmount]]+TrafficData[[#This Row],[disposedAmount]]=TrafficData[[#This Row],[totalAmount]]</f>
        <v>1</v>
      </c>
      <c r="M467" t="b">
        <f>TrafficData[[#This Row],[pendingCourt]]+TrafficData[[#This Row],[disposedCourt]]=TrafficData[[#This Row],[totalCourt]]</f>
        <v>1</v>
      </c>
      <c r="N467" t="b">
        <f>AND(TrafficData[[#This Row],[disposedChallan]]&lt;=TrafficData[[#This Row],[totalChallan]],TrafficData[[#This Row],[pendingChallan]]&lt;=TrafficData[[#This Row],[totalChallan]])</f>
        <v>1</v>
      </c>
      <c r="O467" t="b">
        <f>AND(TrafficData[[#This Row],[pendingAmount]]&lt;=TrafficData[[#This Row],[totalAmount]],TrafficData[[#This Row],[disposedAmount]]&lt;=TrafficData[[#This Row],[totalAmount]])</f>
        <v>1</v>
      </c>
      <c r="P467" t="b">
        <f>AND(TrafficData[[#This Row],[pendingCourt]]&lt;=TrafficData[[#This Row],[totalCourt]],TrafficData[[#This Row],[disposedCourt]]&lt;=TrafficData[[#This Row],[totalCourt]])</f>
        <v>1</v>
      </c>
    </row>
    <row r="468" spans="1:16">
      <c r="A468" s="1">
        <v>42471</v>
      </c>
      <c r="B468">
        <v>1562</v>
      </c>
      <c r="C468">
        <v>187</v>
      </c>
      <c r="D468">
        <v>1375</v>
      </c>
      <c r="E468">
        <v>1003900</v>
      </c>
      <c r="F468">
        <v>244200</v>
      </c>
      <c r="G468">
        <v>1248100</v>
      </c>
      <c r="H468">
        <v>983</v>
      </c>
      <c r="I468">
        <v>69</v>
      </c>
      <c r="J468">
        <v>1052</v>
      </c>
      <c r="K468" t="b">
        <f>TrafficData[[#This Row],[disposedChallan]]+TrafficData[[#This Row],[pendingChallan]]=TrafficData[[#This Row],[totalChallan]]</f>
        <v>1</v>
      </c>
      <c r="L468" t="b">
        <f>TrafficData[[#This Row],[pendingAmount]]+TrafficData[[#This Row],[disposedAmount]]=TrafficData[[#This Row],[totalAmount]]</f>
        <v>1</v>
      </c>
      <c r="M468" t="b">
        <f>TrafficData[[#This Row],[pendingCourt]]+TrafficData[[#This Row],[disposedCourt]]=TrafficData[[#This Row],[totalCourt]]</f>
        <v>1</v>
      </c>
      <c r="N468" t="b">
        <f>AND(TrafficData[[#This Row],[disposedChallan]]&lt;=TrafficData[[#This Row],[totalChallan]],TrafficData[[#This Row],[pendingChallan]]&lt;=TrafficData[[#This Row],[totalChallan]])</f>
        <v>1</v>
      </c>
      <c r="O468" t="b">
        <f>AND(TrafficData[[#This Row],[pendingAmount]]&lt;=TrafficData[[#This Row],[totalAmount]],TrafficData[[#This Row],[disposedAmount]]&lt;=TrafficData[[#This Row],[totalAmount]])</f>
        <v>1</v>
      </c>
      <c r="P468" t="b">
        <f>AND(TrafficData[[#This Row],[pendingCourt]]&lt;=TrafficData[[#This Row],[totalCourt]],TrafficData[[#This Row],[disposedCourt]]&lt;=TrafficData[[#This Row],[totalCourt]])</f>
        <v>1</v>
      </c>
    </row>
    <row r="469" spans="1:16">
      <c r="A469" s="1">
        <v>42472</v>
      </c>
      <c r="B469">
        <v>1717</v>
      </c>
      <c r="C469">
        <v>229</v>
      </c>
      <c r="D469">
        <v>1488</v>
      </c>
      <c r="E469">
        <v>1395700</v>
      </c>
      <c r="F469">
        <v>394925</v>
      </c>
      <c r="G469">
        <v>1790625</v>
      </c>
      <c r="H469">
        <v>1115</v>
      </c>
      <c r="I469">
        <v>88</v>
      </c>
      <c r="J469">
        <v>1203</v>
      </c>
      <c r="K469" t="b">
        <f>TrafficData[[#This Row],[disposedChallan]]+TrafficData[[#This Row],[pendingChallan]]=TrafficData[[#This Row],[totalChallan]]</f>
        <v>1</v>
      </c>
      <c r="L469" t="b">
        <f>TrafficData[[#This Row],[pendingAmount]]+TrafficData[[#This Row],[disposedAmount]]=TrafficData[[#This Row],[totalAmount]]</f>
        <v>1</v>
      </c>
      <c r="M469" t="b">
        <f>TrafficData[[#This Row],[pendingCourt]]+TrafficData[[#This Row],[disposedCourt]]=TrafficData[[#This Row],[totalCourt]]</f>
        <v>1</v>
      </c>
      <c r="N469" t="b">
        <f>AND(TrafficData[[#This Row],[disposedChallan]]&lt;=TrafficData[[#This Row],[totalChallan]],TrafficData[[#This Row],[pendingChallan]]&lt;=TrafficData[[#This Row],[totalChallan]])</f>
        <v>1</v>
      </c>
      <c r="O469" t="b">
        <f>AND(TrafficData[[#This Row],[pendingAmount]]&lt;=TrafficData[[#This Row],[totalAmount]],TrafficData[[#This Row],[disposedAmount]]&lt;=TrafficData[[#This Row],[totalAmount]])</f>
        <v>1</v>
      </c>
      <c r="P469" t="b">
        <f>AND(TrafficData[[#This Row],[pendingCourt]]&lt;=TrafficData[[#This Row],[totalCourt]],TrafficData[[#This Row],[disposedCourt]]&lt;=TrafficData[[#This Row],[totalCourt]])</f>
        <v>1</v>
      </c>
    </row>
    <row r="470" spans="1:16">
      <c r="A470" s="1">
        <v>42473</v>
      </c>
      <c r="B470">
        <v>1984</v>
      </c>
      <c r="C470">
        <v>203</v>
      </c>
      <c r="D470">
        <v>1781</v>
      </c>
      <c r="E470">
        <v>963150</v>
      </c>
      <c r="F470">
        <v>280000</v>
      </c>
      <c r="G470">
        <v>1243150</v>
      </c>
      <c r="H470">
        <v>1411</v>
      </c>
      <c r="I470">
        <v>88</v>
      </c>
      <c r="J470">
        <v>1499</v>
      </c>
      <c r="K470" t="b">
        <f>TrafficData[[#This Row],[disposedChallan]]+TrafficData[[#This Row],[pendingChallan]]=TrafficData[[#This Row],[totalChallan]]</f>
        <v>1</v>
      </c>
      <c r="L470" t="b">
        <f>TrafficData[[#This Row],[pendingAmount]]+TrafficData[[#This Row],[disposedAmount]]=TrafficData[[#This Row],[totalAmount]]</f>
        <v>1</v>
      </c>
      <c r="M470" t="b">
        <f>TrafficData[[#This Row],[pendingCourt]]+TrafficData[[#This Row],[disposedCourt]]=TrafficData[[#This Row],[totalCourt]]</f>
        <v>1</v>
      </c>
      <c r="N470" t="b">
        <f>AND(TrafficData[[#This Row],[disposedChallan]]&lt;=TrafficData[[#This Row],[totalChallan]],TrafficData[[#This Row],[pendingChallan]]&lt;=TrafficData[[#This Row],[totalChallan]])</f>
        <v>1</v>
      </c>
      <c r="O470" t="b">
        <f>AND(TrafficData[[#This Row],[pendingAmount]]&lt;=TrafficData[[#This Row],[totalAmount]],TrafficData[[#This Row],[disposedAmount]]&lt;=TrafficData[[#This Row],[totalAmount]])</f>
        <v>1</v>
      </c>
      <c r="P470" t="b">
        <f>AND(TrafficData[[#This Row],[pendingCourt]]&lt;=TrafficData[[#This Row],[totalCourt]],TrafficData[[#This Row],[disposedCourt]]&lt;=TrafficData[[#This Row],[totalCourt]])</f>
        <v>1</v>
      </c>
    </row>
    <row r="471" spans="1:16">
      <c r="A471" s="1">
        <v>42474</v>
      </c>
      <c r="B471">
        <v>1586</v>
      </c>
      <c r="C471">
        <v>146</v>
      </c>
      <c r="D471">
        <v>1440</v>
      </c>
      <c r="E471">
        <v>812527</v>
      </c>
      <c r="F471">
        <v>230450</v>
      </c>
      <c r="G471">
        <v>1042977</v>
      </c>
      <c r="H471">
        <v>1063</v>
      </c>
      <c r="I471">
        <v>50</v>
      </c>
      <c r="J471">
        <v>1113</v>
      </c>
      <c r="K471" t="b">
        <f>TrafficData[[#This Row],[disposedChallan]]+TrafficData[[#This Row],[pendingChallan]]=TrafficData[[#This Row],[totalChallan]]</f>
        <v>1</v>
      </c>
      <c r="L471" t="b">
        <f>TrafficData[[#This Row],[pendingAmount]]+TrafficData[[#This Row],[disposedAmount]]=TrafficData[[#This Row],[totalAmount]]</f>
        <v>1</v>
      </c>
      <c r="M471" t="b">
        <f>TrafficData[[#This Row],[pendingCourt]]+TrafficData[[#This Row],[disposedCourt]]=TrafficData[[#This Row],[totalCourt]]</f>
        <v>1</v>
      </c>
      <c r="N471" t="b">
        <f>AND(TrafficData[[#This Row],[disposedChallan]]&lt;=TrafficData[[#This Row],[totalChallan]],TrafficData[[#This Row],[pendingChallan]]&lt;=TrafficData[[#This Row],[totalChallan]])</f>
        <v>1</v>
      </c>
      <c r="O471" t="b">
        <f>AND(TrafficData[[#This Row],[pendingAmount]]&lt;=TrafficData[[#This Row],[totalAmount]],TrafficData[[#This Row],[disposedAmount]]&lt;=TrafficData[[#This Row],[totalAmount]])</f>
        <v>1</v>
      </c>
      <c r="P471" t="b">
        <f>AND(TrafficData[[#This Row],[pendingCourt]]&lt;=TrafficData[[#This Row],[totalCourt]],TrafficData[[#This Row],[disposedCourt]]&lt;=TrafficData[[#This Row],[totalCourt]])</f>
        <v>1</v>
      </c>
    </row>
    <row r="472" spans="1:16">
      <c r="A472" s="1">
        <v>42475</v>
      </c>
      <c r="B472">
        <v>1128</v>
      </c>
      <c r="C472">
        <v>146</v>
      </c>
      <c r="D472">
        <v>982</v>
      </c>
      <c r="E472">
        <v>652731</v>
      </c>
      <c r="F472">
        <v>202025</v>
      </c>
      <c r="G472">
        <v>854756</v>
      </c>
      <c r="H472">
        <v>727</v>
      </c>
      <c r="I472">
        <v>24</v>
      </c>
      <c r="J472">
        <v>751</v>
      </c>
      <c r="K472" t="b">
        <f>TrafficData[[#This Row],[disposedChallan]]+TrafficData[[#This Row],[pendingChallan]]=TrafficData[[#This Row],[totalChallan]]</f>
        <v>1</v>
      </c>
      <c r="L472" t="b">
        <f>TrafficData[[#This Row],[pendingAmount]]+TrafficData[[#This Row],[disposedAmount]]=TrafficData[[#This Row],[totalAmount]]</f>
        <v>1</v>
      </c>
      <c r="M472" t="b">
        <f>TrafficData[[#This Row],[pendingCourt]]+TrafficData[[#This Row],[disposedCourt]]=TrafficData[[#This Row],[totalCourt]]</f>
        <v>1</v>
      </c>
      <c r="N472" t="b">
        <f>AND(TrafficData[[#This Row],[disposedChallan]]&lt;=TrafficData[[#This Row],[totalChallan]],TrafficData[[#This Row],[pendingChallan]]&lt;=TrafficData[[#This Row],[totalChallan]])</f>
        <v>1</v>
      </c>
      <c r="O472" t="b">
        <f>AND(TrafficData[[#This Row],[pendingAmount]]&lt;=TrafficData[[#This Row],[totalAmount]],TrafficData[[#This Row],[disposedAmount]]&lt;=TrafficData[[#This Row],[totalAmount]])</f>
        <v>1</v>
      </c>
      <c r="P472" t="b">
        <f>AND(TrafficData[[#This Row],[pendingCourt]]&lt;=TrafficData[[#This Row],[totalCourt]],TrafficData[[#This Row],[disposedCourt]]&lt;=TrafficData[[#This Row],[totalCourt]])</f>
        <v>1</v>
      </c>
    </row>
    <row r="473" spans="1:16">
      <c r="A473" s="1">
        <v>42476</v>
      </c>
      <c r="B473">
        <v>1137</v>
      </c>
      <c r="C473">
        <v>121</v>
      </c>
      <c r="D473">
        <v>1016</v>
      </c>
      <c r="E473">
        <v>828300</v>
      </c>
      <c r="F473">
        <v>204500</v>
      </c>
      <c r="G473">
        <v>1032800</v>
      </c>
      <c r="H473">
        <v>803</v>
      </c>
      <c r="I473">
        <v>42</v>
      </c>
      <c r="J473">
        <v>845</v>
      </c>
      <c r="K473" t="b">
        <f>TrafficData[[#This Row],[disposedChallan]]+TrafficData[[#This Row],[pendingChallan]]=TrafficData[[#This Row],[totalChallan]]</f>
        <v>1</v>
      </c>
      <c r="L473" t="b">
        <f>TrafficData[[#This Row],[pendingAmount]]+TrafficData[[#This Row],[disposedAmount]]=TrafficData[[#This Row],[totalAmount]]</f>
        <v>1</v>
      </c>
      <c r="M473" t="b">
        <f>TrafficData[[#This Row],[pendingCourt]]+TrafficData[[#This Row],[disposedCourt]]=TrafficData[[#This Row],[totalCourt]]</f>
        <v>1</v>
      </c>
      <c r="N473" t="b">
        <f>AND(TrafficData[[#This Row],[disposedChallan]]&lt;=TrafficData[[#This Row],[totalChallan]],TrafficData[[#This Row],[pendingChallan]]&lt;=TrafficData[[#This Row],[totalChallan]])</f>
        <v>1</v>
      </c>
      <c r="O473" t="b">
        <f>AND(TrafficData[[#This Row],[pendingAmount]]&lt;=TrafficData[[#This Row],[totalAmount]],TrafficData[[#This Row],[disposedAmount]]&lt;=TrafficData[[#This Row],[totalAmount]])</f>
        <v>1</v>
      </c>
      <c r="P473" t="b">
        <f>AND(TrafficData[[#This Row],[pendingCourt]]&lt;=TrafficData[[#This Row],[totalCourt]],TrafficData[[#This Row],[disposedCourt]]&lt;=TrafficData[[#This Row],[totalCourt]])</f>
        <v>1</v>
      </c>
    </row>
    <row r="474" spans="1:16">
      <c r="A474" s="1">
        <v>42477</v>
      </c>
      <c r="B474">
        <v>867</v>
      </c>
      <c r="C474">
        <v>99</v>
      </c>
      <c r="D474">
        <v>768</v>
      </c>
      <c r="E474">
        <v>371019</v>
      </c>
      <c r="F474">
        <v>96677</v>
      </c>
      <c r="G474">
        <v>467696</v>
      </c>
      <c r="H474">
        <v>618</v>
      </c>
      <c r="I474">
        <v>45</v>
      </c>
      <c r="J474">
        <v>663</v>
      </c>
      <c r="K474" t="b">
        <f>TrafficData[[#This Row],[disposedChallan]]+TrafficData[[#This Row],[pendingChallan]]=TrafficData[[#This Row],[totalChallan]]</f>
        <v>1</v>
      </c>
      <c r="L474" t="b">
        <f>TrafficData[[#This Row],[pendingAmount]]+TrafficData[[#This Row],[disposedAmount]]=TrafficData[[#This Row],[totalAmount]]</f>
        <v>1</v>
      </c>
      <c r="M474" t="b">
        <f>TrafficData[[#This Row],[pendingCourt]]+TrafficData[[#This Row],[disposedCourt]]=TrafficData[[#This Row],[totalCourt]]</f>
        <v>1</v>
      </c>
      <c r="N474" t="b">
        <f>AND(TrafficData[[#This Row],[disposedChallan]]&lt;=TrafficData[[#This Row],[totalChallan]],TrafficData[[#This Row],[pendingChallan]]&lt;=TrafficData[[#This Row],[totalChallan]])</f>
        <v>1</v>
      </c>
      <c r="O474" t="b">
        <f>AND(TrafficData[[#This Row],[pendingAmount]]&lt;=TrafficData[[#This Row],[totalAmount]],TrafficData[[#This Row],[disposedAmount]]&lt;=TrafficData[[#This Row],[totalAmount]])</f>
        <v>1</v>
      </c>
      <c r="P474" t="b">
        <f>AND(TrafficData[[#This Row],[pendingCourt]]&lt;=TrafficData[[#This Row],[totalCourt]],TrafficData[[#This Row],[disposedCourt]]&lt;=TrafficData[[#This Row],[totalCourt]])</f>
        <v>1</v>
      </c>
    </row>
    <row r="475" spans="1:16">
      <c r="A475" s="1">
        <v>42478</v>
      </c>
      <c r="B475">
        <v>1195</v>
      </c>
      <c r="C475">
        <v>138</v>
      </c>
      <c r="D475">
        <v>1057</v>
      </c>
      <c r="E475">
        <v>620549</v>
      </c>
      <c r="F475">
        <v>299700</v>
      </c>
      <c r="G475">
        <v>920249</v>
      </c>
      <c r="H475">
        <v>764</v>
      </c>
      <c r="I475">
        <v>54</v>
      </c>
      <c r="J475">
        <v>818</v>
      </c>
      <c r="K475" t="b">
        <f>TrafficData[[#This Row],[disposedChallan]]+TrafficData[[#This Row],[pendingChallan]]=TrafficData[[#This Row],[totalChallan]]</f>
        <v>1</v>
      </c>
      <c r="L475" t="b">
        <f>TrafficData[[#This Row],[pendingAmount]]+TrafficData[[#This Row],[disposedAmount]]=TrafficData[[#This Row],[totalAmount]]</f>
        <v>1</v>
      </c>
      <c r="M475" t="b">
        <f>TrafficData[[#This Row],[pendingCourt]]+TrafficData[[#This Row],[disposedCourt]]=TrafficData[[#This Row],[totalCourt]]</f>
        <v>1</v>
      </c>
      <c r="N475" t="b">
        <f>AND(TrafficData[[#This Row],[disposedChallan]]&lt;=TrafficData[[#This Row],[totalChallan]],TrafficData[[#This Row],[pendingChallan]]&lt;=TrafficData[[#This Row],[totalChallan]])</f>
        <v>1</v>
      </c>
      <c r="O475" t="b">
        <f>AND(TrafficData[[#This Row],[pendingAmount]]&lt;=TrafficData[[#This Row],[totalAmount]],TrafficData[[#This Row],[disposedAmount]]&lt;=TrafficData[[#This Row],[totalAmount]])</f>
        <v>1</v>
      </c>
      <c r="P475" t="b">
        <f>AND(TrafficData[[#This Row],[pendingCourt]]&lt;=TrafficData[[#This Row],[totalCourt]],TrafficData[[#This Row],[disposedCourt]]&lt;=TrafficData[[#This Row],[totalCourt]])</f>
        <v>1</v>
      </c>
    </row>
    <row r="476" spans="1:16">
      <c r="A476" s="1">
        <v>42479</v>
      </c>
      <c r="B476">
        <v>1294</v>
      </c>
      <c r="C476">
        <v>175</v>
      </c>
      <c r="D476">
        <v>1119</v>
      </c>
      <c r="E476">
        <v>2798411</v>
      </c>
      <c r="F476">
        <v>202900</v>
      </c>
      <c r="G476">
        <v>3001311</v>
      </c>
      <c r="H476">
        <v>869</v>
      </c>
      <c r="I476">
        <v>31</v>
      </c>
      <c r="J476">
        <v>900</v>
      </c>
      <c r="K476" t="b">
        <f>TrafficData[[#This Row],[disposedChallan]]+TrafficData[[#This Row],[pendingChallan]]=TrafficData[[#This Row],[totalChallan]]</f>
        <v>1</v>
      </c>
      <c r="L476" t="b">
        <f>TrafficData[[#This Row],[pendingAmount]]+TrafficData[[#This Row],[disposedAmount]]=TrafficData[[#This Row],[totalAmount]]</f>
        <v>1</v>
      </c>
      <c r="M476" t="b">
        <f>TrafficData[[#This Row],[pendingCourt]]+TrafficData[[#This Row],[disposedCourt]]=TrafficData[[#This Row],[totalCourt]]</f>
        <v>1</v>
      </c>
      <c r="N476" t="b">
        <f>AND(TrafficData[[#This Row],[disposedChallan]]&lt;=TrafficData[[#This Row],[totalChallan]],TrafficData[[#This Row],[pendingChallan]]&lt;=TrafficData[[#This Row],[totalChallan]])</f>
        <v>1</v>
      </c>
      <c r="O476" t="b">
        <f>AND(TrafficData[[#This Row],[pendingAmount]]&lt;=TrafficData[[#This Row],[totalAmount]],TrafficData[[#This Row],[disposedAmount]]&lt;=TrafficData[[#This Row],[totalAmount]])</f>
        <v>1</v>
      </c>
      <c r="P476" t="b">
        <f>AND(TrafficData[[#This Row],[pendingCourt]]&lt;=TrafficData[[#This Row],[totalCourt]],TrafficData[[#This Row],[disposedCourt]]&lt;=TrafficData[[#This Row],[totalCourt]])</f>
        <v>1</v>
      </c>
    </row>
    <row r="477" spans="1:16">
      <c r="A477" s="1">
        <v>42480</v>
      </c>
      <c r="B477">
        <v>1338</v>
      </c>
      <c r="C477">
        <v>132</v>
      </c>
      <c r="D477">
        <v>1206</v>
      </c>
      <c r="E477">
        <v>1052750</v>
      </c>
      <c r="F477">
        <v>295201</v>
      </c>
      <c r="G477">
        <v>1347951</v>
      </c>
      <c r="H477">
        <v>906</v>
      </c>
      <c r="I477">
        <v>54</v>
      </c>
      <c r="J477">
        <v>960</v>
      </c>
      <c r="K477" t="b">
        <f>TrafficData[[#This Row],[disposedChallan]]+TrafficData[[#This Row],[pendingChallan]]=TrafficData[[#This Row],[totalChallan]]</f>
        <v>1</v>
      </c>
      <c r="L477" t="b">
        <f>TrafficData[[#This Row],[pendingAmount]]+TrafficData[[#This Row],[disposedAmount]]=TrafficData[[#This Row],[totalAmount]]</f>
        <v>1</v>
      </c>
      <c r="M477" t="b">
        <f>TrafficData[[#This Row],[pendingCourt]]+TrafficData[[#This Row],[disposedCourt]]=TrafficData[[#This Row],[totalCourt]]</f>
        <v>1</v>
      </c>
      <c r="N477" t="b">
        <f>AND(TrafficData[[#This Row],[disposedChallan]]&lt;=TrafficData[[#This Row],[totalChallan]],TrafficData[[#This Row],[pendingChallan]]&lt;=TrafficData[[#This Row],[totalChallan]])</f>
        <v>1</v>
      </c>
      <c r="O477" t="b">
        <f>AND(TrafficData[[#This Row],[pendingAmount]]&lt;=TrafficData[[#This Row],[totalAmount]],TrafficData[[#This Row],[disposedAmount]]&lt;=TrafficData[[#This Row],[totalAmount]])</f>
        <v>1</v>
      </c>
      <c r="P477" t="b">
        <f>AND(TrafficData[[#This Row],[pendingCourt]]&lt;=TrafficData[[#This Row],[totalCourt]],TrafficData[[#This Row],[disposedCourt]]&lt;=TrafficData[[#This Row],[totalCourt]])</f>
        <v>1</v>
      </c>
    </row>
    <row r="478" spans="1:16">
      <c r="A478" s="1">
        <v>42481</v>
      </c>
      <c r="B478">
        <v>1438</v>
      </c>
      <c r="C478">
        <v>160</v>
      </c>
      <c r="D478">
        <v>1278</v>
      </c>
      <c r="E478">
        <v>1022600</v>
      </c>
      <c r="F478">
        <v>371660</v>
      </c>
      <c r="G478">
        <v>1394260</v>
      </c>
      <c r="H478">
        <v>1006</v>
      </c>
      <c r="I478">
        <v>37</v>
      </c>
      <c r="J478">
        <v>1043</v>
      </c>
      <c r="K478" t="b">
        <f>TrafficData[[#This Row],[disposedChallan]]+TrafficData[[#This Row],[pendingChallan]]=TrafficData[[#This Row],[totalChallan]]</f>
        <v>1</v>
      </c>
      <c r="L478" t="b">
        <f>TrafficData[[#This Row],[pendingAmount]]+TrafficData[[#This Row],[disposedAmount]]=TrafficData[[#This Row],[totalAmount]]</f>
        <v>1</v>
      </c>
      <c r="M478" t="b">
        <f>TrafficData[[#This Row],[pendingCourt]]+TrafficData[[#This Row],[disposedCourt]]=TrafficData[[#This Row],[totalCourt]]</f>
        <v>1</v>
      </c>
      <c r="N478" t="b">
        <f>AND(TrafficData[[#This Row],[disposedChallan]]&lt;=TrafficData[[#This Row],[totalChallan]],TrafficData[[#This Row],[pendingChallan]]&lt;=TrafficData[[#This Row],[totalChallan]])</f>
        <v>1</v>
      </c>
      <c r="O478" t="b">
        <f>AND(TrafficData[[#This Row],[pendingAmount]]&lt;=TrafficData[[#This Row],[totalAmount]],TrafficData[[#This Row],[disposedAmount]]&lt;=TrafficData[[#This Row],[totalAmount]])</f>
        <v>1</v>
      </c>
      <c r="P478" t="b">
        <f>AND(TrafficData[[#This Row],[pendingCourt]]&lt;=TrafficData[[#This Row],[totalCourt]],TrafficData[[#This Row],[disposedCourt]]&lt;=TrafficData[[#This Row],[totalCourt]])</f>
        <v>1</v>
      </c>
    </row>
    <row r="479" spans="1:16">
      <c r="A479" s="1">
        <v>42482</v>
      </c>
      <c r="B479">
        <v>1608</v>
      </c>
      <c r="C479">
        <v>172</v>
      </c>
      <c r="D479">
        <v>1436</v>
      </c>
      <c r="E479">
        <v>963200</v>
      </c>
      <c r="F479">
        <v>241900</v>
      </c>
      <c r="G479">
        <v>1205100</v>
      </c>
      <c r="H479">
        <v>1129</v>
      </c>
      <c r="I479">
        <v>89</v>
      </c>
      <c r="J479">
        <v>1218</v>
      </c>
      <c r="K479" t="b">
        <f>TrafficData[[#This Row],[disposedChallan]]+TrafficData[[#This Row],[pendingChallan]]=TrafficData[[#This Row],[totalChallan]]</f>
        <v>1</v>
      </c>
      <c r="L479" t="b">
        <f>TrafficData[[#This Row],[pendingAmount]]+TrafficData[[#This Row],[disposedAmount]]=TrafficData[[#This Row],[totalAmount]]</f>
        <v>1</v>
      </c>
      <c r="M479" t="b">
        <f>TrafficData[[#This Row],[pendingCourt]]+TrafficData[[#This Row],[disposedCourt]]=TrafficData[[#This Row],[totalCourt]]</f>
        <v>1</v>
      </c>
      <c r="N479" t="b">
        <f>AND(TrafficData[[#This Row],[disposedChallan]]&lt;=TrafficData[[#This Row],[totalChallan]],TrafficData[[#This Row],[pendingChallan]]&lt;=TrafficData[[#This Row],[totalChallan]])</f>
        <v>1</v>
      </c>
      <c r="O479" t="b">
        <f>AND(TrafficData[[#This Row],[pendingAmount]]&lt;=TrafficData[[#This Row],[totalAmount]],TrafficData[[#This Row],[disposedAmount]]&lt;=TrafficData[[#This Row],[totalAmount]])</f>
        <v>1</v>
      </c>
      <c r="P479" t="b">
        <f>AND(TrafficData[[#This Row],[pendingCourt]]&lt;=TrafficData[[#This Row],[totalCourt]],TrafficData[[#This Row],[disposedCourt]]&lt;=TrafficData[[#This Row],[totalCourt]])</f>
        <v>1</v>
      </c>
    </row>
    <row r="480" spans="1:16">
      <c r="A480" s="1">
        <v>42483</v>
      </c>
      <c r="B480">
        <v>1299</v>
      </c>
      <c r="C480">
        <v>143</v>
      </c>
      <c r="D480">
        <v>1156</v>
      </c>
      <c r="E480">
        <v>808231</v>
      </c>
      <c r="F480">
        <v>375990</v>
      </c>
      <c r="G480">
        <v>1184221</v>
      </c>
      <c r="H480">
        <v>899</v>
      </c>
      <c r="I480">
        <v>36</v>
      </c>
      <c r="J480">
        <v>935</v>
      </c>
      <c r="K480" t="b">
        <f>TrafficData[[#This Row],[disposedChallan]]+TrafficData[[#This Row],[pendingChallan]]=TrafficData[[#This Row],[totalChallan]]</f>
        <v>1</v>
      </c>
      <c r="L480" t="b">
        <f>TrafficData[[#This Row],[pendingAmount]]+TrafficData[[#This Row],[disposedAmount]]=TrafficData[[#This Row],[totalAmount]]</f>
        <v>1</v>
      </c>
      <c r="M480" t="b">
        <f>TrafficData[[#This Row],[pendingCourt]]+TrafficData[[#This Row],[disposedCourt]]=TrafficData[[#This Row],[totalCourt]]</f>
        <v>1</v>
      </c>
      <c r="N480" t="b">
        <f>AND(TrafficData[[#This Row],[disposedChallan]]&lt;=TrafficData[[#This Row],[totalChallan]],TrafficData[[#This Row],[pendingChallan]]&lt;=TrafficData[[#This Row],[totalChallan]])</f>
        <v>1</v>
      </c>
      <c r="O480" t="b">
        <f>AND(TrafficData[[#This Row],[pendingAmount]]&lt;=TrafficData[[#This Row],[totalAmount]],TrafficData[[#This Row],[disposedAmount]]&lt;=TrafficData[[#This Row],[totalAmount]])</f>
        <v>1</v>
      </c>
      <c r="P480" t="b">
        <f>AND(TrafficData[[#This Row],[pendingCourt]]&lt;=TrafficData[[#This Row],[totalCourt]],TrafficData[[#This Row],[disposedCourt]]&lt;=TrafficData[[#This Row],[totalCourt]])</f>
        <v>1</v>
      </c>
    </row>
    <row r="481" spans="1:16">
      <c r="A481" s="1">
        <v>42484</v>
      </c>
      <c r="B481">
        <v>907</v>
      </c>
      <c r="C481">
        <v>92</v>
      </c>
      <c r="D481">
        <v>815</v>
      </c>
      <c r="E481">
        <v>612650</v>
      </c>
      <c r="F481">
        <v>204475</v>
      </c>
      <c r="G481">
        <v>817125</v>
      </c>
      <c r="H481">
        <v>659</v>
      </c>
      <c r="I481">
        <v>43</v>
      </c>
      <c r="J481">
        <v>702</v>
      </c>
      <c r="K481" t="b">
        <f>TrafficData[[#This Row],[disposedChallan]]+TrafficData[[#This Row],[pendingChallan]]=TrafficData[[#This Row],[totalChallan]]</f>
        <v>1</v>
      </c>
      <c r="L481" t="b">
        <f>TrafficData[[#This Row],[pendingAmount]]+TrafficData[[#This Row],[disposedAmount]]=TrafficData[[#This Row],[totalAmount]]</f>
        <v>1</v>
      </c>
      <c r="M481" t="b">
        <f>TrafficData[[#This Row],[pendingCourt]]+TrafficData[[#This Row],[disposedCourt]]=TrafficData[[#This Row],[totalCourt]]</f>
        <v>1</v>
      </c>
      <c r="N481" t="b">
        <f>AND(TrafficData[[#This Row],[disposedChallan]]&lt;=TrafficData[[#This Row],[totalChallan]],TrafficData[[#This Row],[pendingChallan]]&lt;=TrafficData[[#This Row],[totalChallan]])</f>
        <v>1</v>
      </c>
      <c r="O481" t="b">
        <f>AND(TrafficData[[#This Row],[pendingAmount]]&lt;=TrafficData[[#This Row],[totalAmount]],TrafficData[[#This Row],[disposedAmount]]&lt;=TrafficData[[#This Row],[totalAmount]])</f>
        <v>1</v>
      </c>
      <c r="P481" t="b">
        <f>AND(TrafficData[[#This Row],[pendingCourt]]&lt;=TrafficData[[#This Row],[totalCourt]],TrafficData[[#This Row],[disposedCourt]]&lt;=TrafficData[[#This Row],[totalCourt]])</f>
        <v>1</v>
      </c>
    </row>
    <row r="482" spans="1:16">
      <c r="A482" s="1">
        <v>42485</v>
      </c>
      <c r="B482">
        <v>1602</v>
      </c>
      <c r="C482">
        <v>232</v>
      </c>
      <c r="D482">
        <v>1370</v>
      </c>
      <c r="E482">
        <v>945300</v>
      </c>
      <c r="F482">
        <v>465510</v>
      </c>
      <c r="G482">
        <v>1410810</v>
      </c>
      <c r="H482">
        <v>1067</v>
      </c>
      <c r="I482">
        <v>37</v>
      </c>
      <c r="J482">
        <v>1104</v>
      </c>
      <c r="K482" t="b">
        <f>TrafficData[[#This Row],[disposedChallan]]+TrafficData[[#This Row],[pendingChallan]]=TrafficData[[#This Row],[totalChallan]]</f>
        <v>1</v>
      </c>
      <c r="L482" t="b">
        <f>TrafficData[[#This Row],[pendingAmount]]+TrafficData[[#This Row],[disposedAmount]]=TrafficData[[#This Row],[totalAmount]]</f>
        <v>1</v>
      </c>
      <c r="M482" t="b">
        <f>TrafficData[[#This Row],[pendingCourt]]+TrafficData[[#This Row],[disposedCourt]]=TrafficData[[#This Row],[totalCourt]]</f>
        <v>1</v>
      </c>
      <c r="N482" t="b">
        <f>AND(TrafficData[[#This Row],[disposedChallan]]&lt;=TrafficData[[#This Row],[totalChallan]],TrafficData[[#This Row],[pendingChallan]]&lt;=TrafficData[[#This Row],[totalChallan]])</f>
        <v>1</v>
      </c>
      <c r="O482" t="b">
        <f>AND(TrafficData[[#This Row],[pendingAmount]]&lt;=TrafficData[[#This Row],[totalAmount]],TrafficData[[#This Row],[disposedAmount]]&lt;=TrafficData[[#This Row],[totalAmount]])</f>
        <v>1</v>
      </c>
      <c r="P482" t="b">
        <f>AND(TrafficData[[#This Row],[pendingCourt]]&lt;=TrafficData[[#This Row],[totalCourt]],TrafficData[[#This Row],[disposedCourt]]&lt;=TrafficData[[#This Row],[totalCourt]])</f>
        <v>1</v>
      </c>
    </row>
    <row r="483" spans="1:16">
      <c r="A483" s="1">
        <v>42486</v>
      </c>
      <c r="B483">
        <v>1611</v>
      </c>
      <c r="C483">
        <v>184</v>
      </c>
      <c r="D483">
        <v>1427</v>
      </c>
      <c r="E483">
        <v>1011700</v>
      </c>
      <c r="F483">
        <v>318500</v>
      </c>
      <c r="G483">
        <v>1330200</v>
      </c>
      <c r="H483">
        <v>1093</v>
      </c>
      <c r="I483">
        <v>64</v>
      </c>
      <c r="J483">
        <v>1157</v>
      </c>
      <c r="K483" t="b">
        <f>TrafficData[[#This Row],[disposedChallan]]+TrafficData[[#This Row],[pendingChallan]]=TrafficData[[#This Row],[totalChallan]]</f>
        <v>1</v>
      </c>
      <c r="L483" t="b">
        <f>TrafficData[[#This Row],[pendingAmount]]+TrafficData[[#This Row],[disposedAmount]]=TrafficData[[#This Row],[totalAmount]]</f>
        <v>1</v>
      </c>
      <c r="M483" t="b">
        <f>TrafficData[[#This Row],[pendingCourt]]+TrafficData[[#This Row],[disposedCourt]]=TrafficData[[#This Row],[totalCourt]]</f>
        <v>1</v>
      </c>
      <c r="N483" t="b">
        <f>AND(TrafficData[[#This Row],[disposedChallan]]&lt;=TrafficData[[#This Row],[totalChallan]],TrafficData[[#This Row],[pendingChallan]]&lt;=TrafficData[[#This Row],[totalChallan]])</f>
        <v>1</v>
      </c>
      <c r="O483" t="b">
        <f>AND(TrafficData[[#This Row],[pendingAmount]]&lt;=TrafficData[[#This Row],[totalAmount]],TrafficData[[#This Row],[disposedAmount]]&lt;=TrafficData[[#This Row],[totalAmount]])</f>
        <v>1</v>
      </c>
      <c r="P483" t="b">
        <f>AND(TrafficData[[#This Row],[pendingCourt]]&lt;=TrafficData[[#This Row],[totalCourt]],TrafficData[[#This Row],[disposedCourt]]&lt;=TrafficData[[#This Row],[totalCourt]])</f>
        <v>1</v>
      </c>
    </row>
    <row r="484" spans="1:16">
      <c r="A484" s="1">
        <v>42487</v>
      </c>
      <c r="B484">
        <v>1464</v>
      </c>
      <c r="C484">
        <v>184</v>
      </c>
      <c r="D484">
        <v>1280</v>
      </c>
      <c r="E484">
        <v>1283500</v>
      </c>
      <c r="F484">
        <v>252000</v>
      </c>
      <c r="G484">
        <v>1535500</v>
      </c>
      <c r="H484">
        <v>909</v>
      </c>
      <c r="I484">
        <v>59</v>
      </c>
      <c r="J484">
        <v>968</v>
      </c>
      <c r="K484" t="b">
        <f>TrafficData[[#This Row],[disposedChallan]]+TrafficData[[#This Row],[pendingChallan]]=TrafficData[[#This Row],[totalChallan]]</f>
        <v>1</v>
      </c>
      <c r="L484" t="b">
        <f>TrafficData[[#This Row],[pendingAmount]]+TrafficData[[#This Row],[disposedAmount]]=TrafficData[[#This Row],[totalAmount]]</f>
        <v>1</v>
      </c>
      <c r="M484" t="b">
        <f>TrafficData[[#This Row],[pendingCourt]]+TrafficData[[#This Row],[disposedCourt]]=TrafficData[[#This Row],[totalCourt]]</f>
        <v>1</v>
      </c>
      <c r="N484" t="b">
        <f>AND(TrafficData[[#This Row],[disposedChallan]]&lt;=TrafficData[[#This Row],[totalChallan]],TrafficData[[#This Row],[pendingChallan]]&lt;=TrafficData[[#This Row],[totalChallan]])</f>
        <v>1</v>
      </c>
      <c r="O484" t="b">
        <f>AND(TrafficData[[#This Row],[pendingAmount]]&lt;=TrafficData[[#This Row],[totalAmount]],TrafficData[[#This Row],[disposedAmount]]&lt;=TrafficData[[#This Row],[totalAmount]])</f>
        <v>1</v>
      </c>
      <c r="P484" t="b">
        <f>AND(TrafficData[[#This Row],[pendingCourt]]&lt;=TrafficData[[#This Row],[totalCourt]],TrafficData[[#This Row],[disposedCourt]]&lt;=TrafficData[[#This Row],[totalCourt]])</f>
        <v>1</v>
      </c>
    </row>
    <row r="485" spans="1:16">
      <c r="A485" s="1">
        <v>42488</v>
      </c>
      <c r="B485">
        <v>1450</v>
      </c>
      <c r="C485">
        <v>206</v>
      </c>
      <c r="D485">
        <v>1244</v>
      </c>
      <c r="E485">
        <v>1160450</v>
      </c>
      <c r="F485">
        <v>468315</v>
      </c>
      <c r="G485">
        <v>1628765</v>
      </c>
      <c r="H485">
        <v>903</v>
      </c>
      <c r="I485">
        <v>55</v>
      </c>
      <c r="J485">
        <v>958</v>
      </c>
      <c r="K485" t="b">
        <f>TrafficData[[#This Row],[disposedChallan]]+TrafficData[[#This Row],[pendingChallan]]=TrafficData[[#This Row],[totalChallan]]</f>
        <v>1</v>
      </c>
      <c r="L485" t="b">
        <f>TrafficData[[#This Row],[pendingAmount]]+TrafficData[[#This Row],[disposedAmount]]=TrafficData[[#This Row],[totalAmount]]</f>
        <v>1</v>
      </c>
      <c r="M485" t="b">
        <f>TrafficData[[#This Row],[pendingCourt]]+TrafficData[[#This Row],[disposedCourt]]=TrafficData[[#This Row],[totalCourt]]</f>
        <v>1</v>
      </c>
      <c r="N485" t="b">
        <f>AND(TrafficData[[#This Row],[disposedChallan]]&lt;=TrafficData[[#This Row],[totalChallan]],TrafficData[[#This Row],[pendingChallan]]&lt;=TrafficData[[#This Row],[totalChallan]])</f>
        <v>1</v>
      </c>
      <c r="O485" t="b">
        <f>AND(TrafficData[[#This Row],[pendingAmount]]&lt;=TrafficData[[#This Row],[totalAmount]],TrafficData[[#This Row],[disposedAmount]]&lt;=TrafficData[[#This Row],[totalAmount]])</f>
        <v>1</v>
      </c>
      <c r="P485" t="b">
        <f>AND(TrafficData[[#This Row],[pendingCourt]]&lt;=TrafficData[[#This Row],[totalCourt]],TrafficData[[#This Row],[disposedCourt]]&lt;=TrafficData[[#This Row],[totalCourt]])</f>
        <v>1</v>
      </c>
    </row>
    <row r="486" spans="1:16">
      <c r="A486" s="1">
        <v>42489</v>
      </c>
      <c r="B486">
        <v>1236</v>
      </c>
      <c r="C486">
        <v>170</v>
      </c>
      <c r="D486">
        <v>1066</v>
      </c>
      <c r="E486">
        <v>1153040</v>
      </c>
      <c r="F486">
        <v>612132</v>
      </c>
      <c r="G486">
        <v>1765172</v>
      </c>
      <c r="H486">
        <v>673</v>
      </c>
      <c r="I486">
        <v>29</v>
      </c>
      <c r="J486">
        <v>702</v>
      </c>
      <c r="K486" t="b">
        <f>TrafficData[[#This Row],[disposedChallan]]+TrafficData[[#This Row],[pendingChallan]]=TrafficData[[#This Row],[totalChallan]]</f>
        <v>1</v>
      </c>
      <c r="L486" t="b">
        <f>TrafficData[[#This Row],[pendingAmount]]+TrafficData[[#This Row],[disposedAmount]]=TrafficData[[#This Row],[totalAmount]]</f>
        <v>1</v>
      </c>
      <c r="M486" t="b">
        <f>TrafficData[[#This Row],[pendingCourt]]+TrafficData[[#This Row],[disposedCourt]]=TrafficData[[#This Row],[totalCourt]]</f>
        <v>1</v>
      </c>
      <c r="N486" t="b">
        <f>AND(TrafficData[[#This Row],[disposedChallan]]&lt;=TrafficData[[#This Row],[totalChallan]],TrafficData[[#This Row],[pendingChallan]]&lt;=TrafficData[[#This Row],[totalChallan]])</f>
        <v>1</v>
      </c>
      <c r="O486" t="b">
        <f>AND(TrafficData[[#This Row],[pendingAmount]]&lt;=TrafficData[[#This Row],[totalAmount]],TrafficData[[#This Row],[disposedAmount]]&lt;=TrafficData[[#This Row],[totalAmount]])</f>
        <v>1</v>
      </c>
      <c r="P486" t="b">
        <f>AND(TrafficData[[#This Row],[pendingCourt]]&lt;=TrafficData[[#This Row],[totalCourt]],TrafficData[[#This Row],[disposedCourt]]&lt;=TrafficData[[#This Row],[totalCourt]])</f>
        <v>1</v>
      </c>
    </row>
    <row r="487" spans="1:16">
      <c r="A487" s="1">
        <v>42490</v>
      </c>
      <c r="B487">
        <v>1048</v>
      </c>
      <c r="C487">
        <v>117</v>
      </c>
      <c r="D487">
        <v>931</v>
      </c>
      <c r="E487">
        <v>649450</v>
      </c>
      <c r="F487">
        <v>175800</v>
      </c>
      <c r="G487">
        <v>825250</v>
      </c>
      <c r="H487">
        <v>653</v>
      </c>
      <c r="I487">
        <v>40</v>
      </c>
      <c r="J487">
        <v>693</v>
      </c>
      <c r="K487" t="b">
        <f>TrafficData[[#This Row],[disposedChallan]]+TrafficData[[#This Row],[pendingChallan]]=TrafficData[[#This Row],[totalChallan]]</f>
        <v>1</v>
      </c>
      <c r="L487" t="b">
        <f>TrafficData[[#This Row],[pendingAmount]]+TrafficData[[#This Row],[disposedAmount]]=TrafficData[[#This Row],[totalAmount]]</f>
        <v>1</v>
      </c>
      <c r="M487" t="b">
        <f>TrafficData[[#This Row],[pendingCourt]]+TrafficData[[#This Row],[disposedCourt]]=TrafficData[[#This Row],[totalCourt]]</f>
        <v>1</v>
      </c>
      <c r="N487" t="b">
        <f>AND(TrafficData[[#This Row],[disposedChallan]]&lt;=TrafficData[[#This Row],[totalChallan]],TrafficData[[#This Row],[pendingChallan]]&lt;=TrafficData[[#This Row],[totalChallan]])</f>
        <v>1</v>
      </c>
      <c r="O487" t="b">
        <f>AND(TrafficData[[#This Row],[pendingAmount]]&lt;=TrafficData[[#This Row],[totalAmount]],TrafficData[[#This Row],[disposedAmount]]&lt;=TrafficData[[#This Row],[totalAmount]])</f>
        <v>1</v>
      </c>
      <c r="P487" t="b">
        <f>AND(TrafficData[[#This Row],[pendingCourt]]&lt;=TrafficData[[#This Row],[totalCourt]],TrafficData[[#This Row],[disposedCourt]]&lt;=TrafficData[[#This Row],[totalCourt]])</f>
        <v>1</v>
      </c>
    </row>
    <row r="488" spans="1:16">
      <c r="A488" s="1">
        <v>42491</v>
      </c>
      <c r="B488">
        <v>555</v>
      </c>
      <c r="C488">
        <v>58</v>
      </c>
      <c r="D488">
        <v>497</v>
      </c>
      <c r="E488">
        <v>514500</v>
      </c>
      <c r="F488">
        <v>97600</v>
      </c>
      <c r="G488">
        <v>612100</v>
      </c>
      <c r="H488">
        <v>333</v>
      </c>
      <c r="I488">
        <v>7</v>
      </c>
      <c r="J488">
        <v>340</v>
      </c>
      <c r="K488" t="b">
        <f>TrafficData[[#This Row],[disposedChallan]]+TrafficData[[#This Row],[pendingChallan]]=TrafficData[[#This Row],[totalChallan]]</f>
        <v>1</v>
      </c>
      <c r="L488" t="b">
        <f>TrafficData[[#This Row],[pendingAmount]]+TrafficData[[#This Row],[disposedAmount]]=TrafficData[[#This Row],[totalAmount]]</f>
        <v>1</v>
      </c>
      <c r="M488" t="b">
        <f>TrafficData[[#This Row],[pendingCourt]]+TrafficData[[#This Row],[disposedCourt]]=TrafficData[[#This Row],[totalCourt]]</f>
        <v>1</v>
      </c>
      <c r="N488" t="b">
        <f>AND(TrafficData[[#This Row],[disposedChallan]]&lt;=TrafficData[[#This Row],[totalChallan]],TrafficData[[#This Row],[pendingChallan]]&lt;=TrafficData[[#This Row],[totalChallan]])</f>
        <v>1</v>
      </c>
      <c r="O488" t="b">
        <f>AND(TrafficData[[#This Row],[pendingAmount]]&lt;=TrafficData[[#This Row],[totalAmount]],TrafficData[[#This Row],[disposedAmount]]&lt;=TrafficData[[#This Row],[totalAmount]])</f>
        <v>1</v>
      </c>
      <c r="P488" t="b">
        <f>AND(TrafficData[[#This Row],[pendingCourt]]&lt;=TrafficData[[#This Row],[totalCourt]],TrafficData[[#This Row],[disposedCourt]]&lt;=TrafficData[[#This Row],[totalCourt]])</f>
        <v>1</v>
      </c>
    </row>
    <row r="489" spans="1:16">
      <c r="A489" s="1">
        <v>42492</v>
      </c>
      <c r="B489">
        <v>943</v>
      </c>
      <c r="C489">
        <v>107</v>
      </c>
      <c r="D489">
        <v>836</v>
      </c>
      <c r="E489">
        <v>787697</v>
      </c>
      <c r="F489">
        <v>238105</v>
      </c>
      <c r="G489">
        <v>1025802</v>
      </c>
      <c r="H489">
        <v>532</v>
      </c>
      <c r="I489">
        <v>45</v>
      </c>
      <c r="J489">
        <v>577</v>
      </c>
      <c r="K489" t="b">
        <f>TrafficData[[#This Row],[disposedChallan]]+TrafficData[[#This Row],[pendingChallan]]=TrafficData[[#This Row],[totalChallan]]</f>
        <v>1</v>
      </c>
      <c r="L489" t="b">
        <f>TrafficData[[#This Row],[pendingAmount]]+TrafficData[[#This Row],[disposedAmount]]=TrafficData[[#This Row],[totalAmount]]</f>
        <v>1</v>
      </c>
      <c r="M489" t="b">
        <f>TrafficData[[#This Row],[pendingCourt]]+TrafficData[[#This Row],[disposedCourt]]=TrafficData[[#This Row],[totalCourt]]</f>
        <v>1</v>
      </c>
      <c r="N489" t="b">
        <f>AND(TrafficData[[#This Row],[disposedChallan]]&lt;=TrafficData[[#This Row],[totalChallan]],TrafficData[[#This Row],[pendingChallan]]&lt;=TrafficData[[#This Row],[totalChallan]])</f>
        <v>1</v>
      </c>
      <c r="O489" t="b">
        <f>AND(TrafficData[[#This Row],[pendingAmount]]&lt;=TrafficData[[#This Row],[totalAmount]],TrafficData[[#This Row],[disposedAmount]]&lt;=TrafficData[[#This Row],[totalAmount]])</f>
        <v>1</v>
      </c>
      <c r="P489" t="b">
        <f>AND(TrafficData[[#This Row],[pendingCourt]]&lt;=TrafficData[[#This Row],[totalCourt]],TrafficData[[#This Row],[disposedCourt]]&lt;=TrafficData[[#This Row],[totalCourt]])</f>
        <v>1</v>
      </c>
    </row>
    <row r="490" spans="1:16">
      <c r="A490" s="1">
        <v>42493</v>
      </c>
      <c r="B490">
        <v>1278</v>
      </c>
      <c r="C490">
        <v>141</v>
      </c>
      <c r="D490">
        <v>1137</v>
      </c>
      <c r="E490">
        <v>866530</v>
      </c>
      <c r="F490">
        <v>255455</v>
      </c>
      <c r="G490">
        <v>1121985</v>
      </c>
      <c r="H490">
        <v>818</v>
      </c>
      <c r="I490">
        <v>46</v>
      </c>
      <c r="J490">
        <v>864</v>
      </c>
      <c r="K490" t="b">
        <f>TrafficData[[#This Row],[disposedChallan]]+TrafficData[[#This Row],[pendingChallan]]=TrafficData[[#This Row],[totalChallan]]</f>
        <v>1</v>
      </c>
      <c r="L490" t="b">
        <f>TrafficData[[#This Row],[pendingAmount]]+TrafficData[[#This Row],[disposedAmount]]=TrafficData[[#This Row],[totalAmount]]</f>
        <v>1</v>
      </c>
      <c r="M490" t="b">
        <f>TrafficData[[#This Row],[pendingCourt]]+TrafficData[[#This Row],[disposedCourt]]=TrafficData[[#This Row],[totalCourt]]</f>
        <v>1</v>
      </c>
      <c r="N490" t="b">
        <f>AND(TrafficData[[#This Row],[disposedChallan]]&lt;=TrafficData[[#This Row],[totalChallan]],TrafficData[[#This Row],[pendingChallan]]&lt;=TrafficData[[#This Row],[totalChallan]])</f>
        <v>1</v>
      </c>
      <c r="O490" t="b">
        <f>AND(TrafficData[[#This Row],[pendingAmount]]&lt;=TrafficData[[#This Row],[totalAmount]],TrafficData[[#This Row],[disposedAmount]]&lt;=TrafficData[[#This Row],[totalAmount]])</f>
        <v>1</v>
      </c>
      <c r="P490" t="b">
        <f>AND(TrafficData[[#This Row],[pendingCourt]]&lt;=TrafficData[[#This Row],[totalCourt]],TrafficData[[#This Row],[disposedCourt]]&lt;=TrafficData[[#This Row],[totalCourt]])</f>
        <v>1</v>
      </c>
    </row>
    <row r="491" spans="1:16">
      <c r="A491" s="1">
        <v>42494</v>
      </c>
      <c r="B491">
        <v>1515</v>
      </c>
      <c r="C491">
        <v>177</v>
      </c>
      <c r="D491">
        <v>1338</v>
      </c>
      <c r="E491">
        <v>1380350</v>
      </c>
      <c r="F491">
        <v>438030</v>
      </c>
      <c r="G491">
        <v>1818380</v>
      </c>
      <c r="H491">
        <v>993</v>
      </c>
      <c r="I491">
        <v>28</v>
      </c>
      <c r="J491">
        <v>1021</v>
      </c>
      <c r="K491" t="b">
        <f>TrafficData[[#This Row],[disposedChallan]]+TrafficData[[#This Row],[pendingChallan]]=TrafficData[[#This Row],[totalChallan]]</f>
        <v>1</v>
      </c>
      <c r="L491" t="b">
        <f>TrafficData[[#This Row],[pendingAmount]]+TrafficData[[#This Row],[disposedAmount]]=TrafficData[[#This Row],[totalAmount]]</f>
        <v>1</v>
      </c>
      <c r="M491" t="b">
        <f>TrafficData[[#This Row],[pendingCourt]]+TrafficData[[#This Row],[disposedCourt]]=TrafficData[[#This Row],[totalCourt]]</f>
        <v>1</v>
      </c>
      <c r="N491" t="b">
        <f>AND(TrafficData[[#This Row],[disposedChallan]]&lt;=TrafficData[[#This Row],[totalChallan]],TrafficData[[#This Row],[pendingChallan]]&lt;=TrafficData[[#This Row],[totalChallan]])</f>
        <v>1</v>
      </c>
      <c r="O491" t="b">
        <f>AND(TrafficData[[#This Row],[pendingAmount]]&lt;=TrafficData[[#This Row],[totalAmount]],TrafficData[[#This Row],[disposedAmount]]&lt;=TrafficData[[#This Row],[totalAmount]])</f>
        <v>1</v>
      </c>
      <c r="P491" t="b">
        <f>AND(TrafficData[[#This Row],[pendingCourt]]&lt;=TrafficData[[#This Row],[totalCourt]],TrafficData[[#This Row],[disposedCourt]]&lt;=TrafficData[[#This Row],[totalCourt]])</f>
        <v>1</v>
      </c>
    </row>
    <row r="492" spans="1:16">
      <c r="A492" s="1">
        <v>42495</v>
      </c>
      <c r="B492">
        <v>1564</v>
      </c>
      <c r="C492">
        <v>165</v>
      </c>
      <c r="D492">
        <v>1399</v>
      </c>
      <c r="E492">
        <v>1135190</v>
      </c>
      <c r="F492">
        <v>405690</v>
      </c>
      <c r="G492">
        <v>1540880</v>
      </c>
      <c r="H492">
        <v>1070</v>
      </c>
      <c r="I492">
        <v>55</v>
      </c>
      <c r="J492">
        <v>1125</v>
      </c>
      <c r="K492" t="b">
        <f>TrafficData[[#This Row],[disposedChallan]]+TrafficData[[#This Row],[pendingChallan]]=TrafficData[[#This Row],[totalChallan]]</f>
        <v>1</v>
      </c>
      <c r="L492" t="b">
        <f>TrafficData[[#This Row],[pendingAmount]]+TrafficData[[#This Row],[disposedAmount]]=TrafficData[[#This Row],[totalAmount]]</f>
        <v>1</v>
      </c>
      <c r="M492" t="b">
        <f>TrafficData[[#This Row],[pendingCourt]]+TrafficData[[#This Row],[disposedCourt]]=TrafficData[[#This Row],[totalCourt]]</f>
        <v>1</v>
      </c>
      <c r="N492" t="b">
        <f>AND(TrafficData[[#This Row],[disposedChallan]]&lt;=TrafficData[[#This Row],[totalChallan]],TrafficData[[#This Row],[pendingChallan]]&lt;=TrafficData[[#This Row],[totalChallan]])</f>
        <v>1</v>
      </c>
      <c r="O492" t="b">
        <f>AND(TrafficData[[#This Row],[pendingAmount]]&lt;=TrafficData[[#This Row],[totalAmount]],TrafficData[[#This Row],[disposedAmount]]&lt;=TrafficData[[#This Row],[totalAmount]])</f>
        <v>1</v>
      </c>
      <c r="P492" t="b">
        <f>AND(TrafficData[[#This Row],[pendingCourt]]&lt;=TrafficData[[#This Row],[totalCourt]],TrafficData[[#This Row],[disposedCourt]]&lt;=TrafficData[[#This Row],[totalCourt]])</f>
        <v>1</v>
      </c>
    </row>
    <row r="493" spans="1:16">
      <c r="A493" s="1">
        <v>42496</v>
      </c>
      <c r="B493">
        <v>1558</v>
      </c>
      <c r="C493">
        <v>156</v>
      </c>
      <c r="D493">
        <v>1402</v>
      </c>
      <c r="E493">
        <v>1377120</v>
      </c>
      <c r="F493">
        <v>283590</v>
      </c>
      <c r="G493">
        <v>1660710</v>
      </c>
      <c r="H493">
        <v>1015</v>
      </c>
      <c r="I493">
        <v>23</v>
      </c>
      <c r="J493">
        <v>1038</v>
      </c>
      <c r="K493" t="b">
        <f>TrafficData[[#This Row],[disposedChallan]]+TrafficData[[#This Row],[pendingChallan]]=TrafficData[[#This Row],[totalChallan]]</f>
        <v>1</v>
      </c>
      <c r="L493" t="b">
        <f>TrafficData[[#This Row],[pendingAmount]]+TrafficData[[#This Row],[disposedAmount]]=TrafficData[[#This Row],[totalAmount]]</f>
        <v>1</v>
      </c>
      <c r="M493" t="b">
        <f>TrafficData[[#This Row],[pendingCourt]]+TrafficData[[#This Row],[disposedCourt]]=TrafficData[[#This Row],[totalCourt]]</f>
        <v>1</v>
      </c>
      <c r="N493" t="b">
        <f>AND(TrafficData[[#This Row],[disposedChallan]]&lt;=TrafficData[[#This Row],[totalChallan]],TrafficData[[#This Row],[pendingChallan]]&lt;=TrafficData[[#This Row],[totalChallan]])</f>
        <v>1</v>
      </c>
      <c r="O493" t="b">
        <f>AND(TrafficData[[#This Row],[pendingAmount]]&lt;=TrafficData[[#This Row],[totalAmount]],TrafficData[[#This Row],[disposedAmount]]&lt;=TrafficData[[#This Row],[totalAmount]])</f>
        <v>1</v>
      </c>
      <c r="P493" t="b">
        <f>AND(TrafficData[[#This Row],[pendingCourt]]&lt;=TrafficData[[#This Row],[totalCourt]],TrafficData[[#This Row],[disposedCourt]]&lt;=TrafficData[[#This Row],[totalCourt]])</f>
        <v>1</v>
      </c>
    </row>
    <row r="494" spans="1:16">
      <c r="A494" s="1">
        <v>42497</v>
      </c>
      <c r="B494">
        <v>1233</v>
      </c>
      <c r="C494">
        <v>128</v>
      </c>
      <c r="D494">
        <v>1105</v>
      </c>
      <c r="E494">
        <v>892350</v>
      </c>
      <c r="F494">
        <v>217972</v>
      </c>
      <c r="G494">
        <v>1110322</v>
      </c>
      <c r="H494">
        <v>823</v>
      </c>
      <c r="I494">
        <v>18</v>
      </c>
      <c r="J494">
        <v>841</v>
      </c>
      <c r="K494" t="b">
        <f>TrafficData[[#This Row],[disposedChallan]]+TrafficData[[#This Row],[pendingChallan]]=TrafficData[[#This Row],[totalChallan]]</f>
        <v>1</v>
      </c>
      <c r="L494" t="b">
        <f>TrafficData[[#This Row],[pendingAmount]]+TrafficData[[#This Row],[disposedAmount]]=TrafficData[[#This Row],[totalAmount]]</f>
        <v>1</v>
      </c>
      <c r="M494" t="b">
        <f>TrafficData[[#This Row],[pendingCourt]]+TrafficData[[#This Row],[disposedCourt]]=TrafficData[[#This Row],[totalCourt]]</f>
        <v>1</v>
      </c>
      <c r="N494" t="b">
        <f>AND(TrafficData[[#This Row],[disposedChallan]]&lt;=TrafficData[[#This Row],[totalChallan]],TrafficData[[#This Row],[pendingChallan]]&lt;=TrafficData[[#This Row],[totalChallan]])</f>
        <v>1</v>
      </c>
      <c r="O494" t="b">
        <f>AND(TrafficData[[#This Row],[pendingAmount]]&lt;=TrafficData[[#This Row],[totalAmount]],TrafficData[[#This Row],[disposedAmount]]&lt;=TrafficData[[#This Row],[totalAmount]])</f>
        <v>1</v>
      </c>
      <c r="P494" t="b">
        <f>AND(TrafficData[[#This Row],[pendingCourt]]&lt;=TrafficData[[#This Row],[totalCourt]],TrafficData[[#This Row],[disposedCourt]]&lt;=TrafficData[[#This Row],[totalCourt]])</f>
        <v>1</v>
      </c>
    </row>
    <row r="495" spans="1:16">
      <c r="A495" s="1">
        <v>42498</v>
      </c>
      <c r="B495">
        <v>594</v>
      </c>
      <c r="C495">
        <v>52</v>
      </c>
      <c r="D495">
        <v>542</v>
      </c>
      <c r="E495">
        <v>369950</v>
      </c>
      <c r="F495">
        <v>154200</v>
      </c>
      <c r="G495">
        <v>524150</v>
      </c>
      <c r="H495">
        <v>377</v>
      </c>
      <c r="I495">
        <v>18</v>
      </c>
      <c r="J495">
        <v>395</v>
      </c>
      <c r="K495" t="b">
        <f>TrafficData[[#This Row],[disposedChallan]]+TrafficData[[#This Row],[pendingChallan]]=TrafficData[[#This Row],[totalChallan]]</f>
        <v>1</v>
      </c>
      <c r="L495" t="b">
        <f>TrafficData[[#This Row],[pendingAmount]]+TrafficData[[#This Row],[disposedAmount]]=TrafficData[[#This Row],[totalAmount]]</f>
        <v>1</v>
      </c>
      <c r="M495" t="b">
        <f>TrafficData[[#This Row],[pendingCourt]]+TrafficData[[#This Row],[disposedCourt]]=TrafficData[[#This Row],[totalCourt]]</f>
        <v>1</v>
      </c>
      <c r="N495" t="b">
        <f>AND(TrafficData[[#This Row],[disposedChallan]]&lt;=TrafficData[[#This Row],[totalChallan]],TrafficData[[#This Row],[pendingChallan]]&lt;=TrafficData[[#This Row],[totalChallan]])</f>
        <v>1</v>
      </c>
      <c r="O495" t="b">
        <f>AND(TrafficData[[#This Row],[pendingAmount]]&lt;=TrafficData[[#This Row],[totalAmount]],TrafficData[[#This Row],[disposedAmount]]&lt;=TrafficData[[#This Row],[totalAmount]])</f>
        <v>1</v>
      </c>
      <c r="P495" t="b">
        <f>AND(TrafficData[[#This Row],[pendingCourt]]&lt;=TrafficData[[#This Row],[totalCourt]],TrafficData[[#This Row],[disposedCourt]]&lt;=TrafficData[[#This Row],[totalCourt]])</f>
        <v>1</v>
      </c>
    </row>
    <row r="496" spans="1:16">
      <c r="A496" s="1">
        <v>42499</v>
      </c>
      <c r="B496">
        <v>1003</v>
      </c>
      <c r="C496">
        <v>103</v>
      </c>
      <c r="D496">
        <v>900</v>
      </c>
      <c r="E496">
        <v>661500</v>
      </c>
      <c r="F496">
        <v>93000</v>
      </c>
      <c r="G496">
        <v>754500</v>
      </c>
      <c r="H496">
        <v>592</v>
      </c>
      <c r="I496">
        <v>40</v>
      </c>
      <c r="J496">
        <v>632</v>
      </c>
      <c r="K496" t="b">
        <f>TrafficData[[#This Row],[disposedChallan]]+TrafficData[[#This Row],[pendingChallan]]=TrafficData[[#This Row],[totalChallan]]</f>
        <v>1</v>
      </c>
      <c r="L496" t="b">
        <f>TrafficData[[#This Row],[pendingAmount]]+TrafficData[[#This Row],[disposedAmount]]=TrafficData[[#This Row],[totalAmount]]</f>
        <v>1</v>
      </c>
      <c r="M496" t="b">
        <f>TrafficData[[#This Row],[pendingCourt]]+TrafficData[[#This Row],[disposedCourt]]=TrafficData[[#This Row],[totalCourt]]</f>
        <v>1</v>
      </c>
      <c r="N496" t="b">
        <f>AND(TrafficData[[#This Row],[disposedChallan]]&lt;=TrafficData[[#This Row],[totalChallan]],TrafficData[[#This Row],[pendingChallan]]&lt;=TrafficData[[#This Row],[totalChallan]])</f>
        <v>1</v>
      </c>
      <c r="O496" t="b">
        <f>AND(TrafficData[[#This Row],[pendingAmount]]&lt;=TrafficData[[#This Row],[totalAmount]],TrafficData[[#This Row],[disposedAmount]]&lt;=TrafficData[[#This Row],[totalAmount]])</f>
        <v>1</v>
      </c>
      <c r="P496" t="b">
        <f>AND(TrafficData[[#This Row],[pendingCourt]]&lt;=TrafficData[[#This Row],[totalCourt]],TrafficData[[#This Row],[disposedCourt]]&lt;=TrafficData[[#This Row],[totalCourt]])</f>
        <v>1</v>
      </c>
    </row>
    <row r="497" spans="1:16">
      <c r="A497" s="1">
        <v>42500</v>
      </c>
      <c r="B497">
        <v>1492</v>
      </c>
      <c r="C497">
        <v>175</v>
      </c>
      <c r="D497">
        <v>1317</v>
      </c>
      <c r="E497">
        <v>1125048</v>
      </c>
      <c r="F497">
        <v>216545</v>
      </c>
      <c r="G497">
        <v>1341593</v>
      </c>
      <c r="H497">
        <v>935</v>
      </c>
      <c r="I497">
        <v>21</v>
      </c>
      <c r="J497">
        <v>956</v>
      </c>
      <c r="K497" t="b">
        <f>TrafficData[[#This Row],[disposedChallan]]+TrafficData[[#This Row],[pendingChallan]]=TrafficData[[#This Row],[totalChallan]]</f>
        <v>1</v>
      </c>
      <c r="L497" t="b">
        <f>TrafficData[[#This Row],[pendingAmount]]+TrafficData[[#This Row],[disposedAmount]]=TrafficData[[#This Row],[totalAmount]]</f>
        <v>1</v>
      </c>
      <c r="M497" t="b">
        <f>TrafficData[[#This Row],[pendingCourt]]+TrafficData[[#This Row],[disposedCourt]]=TrafficData[[#This Row],[totalCourt]]</f>
        <v>1</v>
      </c>
      <c r="N497" t="b">
        <f>AND(TrafficData[[#This Row],[disposedChallan]]&lt;=TrafficData[[#This Row],[totalChallan]],TrafficData[[#This Row],[pendingChallan]]&lt;=TrafficData[[#This Row],[totalChallan]])</f>
        <v>1</v>
      </c>
      <c r="O497" t="b">
        <f>AND(TrafficData[[#This Row],[pendingAmount]]&lt;=TrafficData[[#This Row],[totalAmount]],TrafficData[[#This Row],[disposedAmount]]&lt;=TrafficData[[#This Row],[totalAmount]])</f>
        <v>1</v>
      </c>
      <c r="P497" t="b">
        <f>AND(TrafficData[[#This Row],[pendingCourt]]&lt;=TrafficData[[#This Row],[totalCourt]],TrafficData[[#This Row],[disposedCourt]]&lt;=TrafficData[[#This Row],[totalCourt]])</f>
        <v>1</v>
      </c>
    </row>
    <row r="498" spans="1:16">
      <c r="A498" s="1">
        <v>42501</v>
      </c>
      <c r="B498">
        <v>1437</v>
      </c>
      <c r="C498">
        <v>176</v>
      </c>
      <c r="D498">
        <v>1261</v>
      </c>
      <c r="E498">
        <v>1134100</v>
      </c>
      <c r="F498">
        <v>482880</v>
      </c>
      <c r="G498">
        <v>1616980</v>
      </c>
      <c r="H498">
        <v>844</v>
      </c>
      <c r="I498">
        <v>25</v>
      </c>
      <c r="J498">
        <v>869</v>
      </c>
      <c r="K498" t="b">
        <f>TrafficData[[#This Row],[disposedChallan]]+TrafficData[[#This Row],[pendingChallan]]=TrafficData[[#This Row],[totalChallan]]</f>
        <v>1</v>
      </c>
      <c r="L498" t="b">
        <f>TrafficData[[#This Row],[pendingAmount]]+TrafficData[[#This Row],[disposedAmount]]=TrafficData[[#This Row],[totalAmount]]</f>
        <v>1</v>
      </c>
      <c r="M498" t="b">
        <f>TrafficData[[#This Row],[pendingCourt]]+TrafficData[[#This Row],[disposedCourt]]=TrafficData[[#This Row],[totalCourt]]</f>
        <v>1</v>
      </c>
      <c r="N498" t="b">
        <f>AND(TrafficData[[#This Row],[disposedChallan]]&lt;=TrafficData[[#This Row],[totalChallan]],TrafficData[[#This Row],[pendingChallan]]&lt;=TrafficData[[#This Row],[totalChallan]])</f>
        <v>1</v>
      </c>
      <c r="O498" t="b">
        <f>AND(TrafficData[[#This Row],[pendingAmount]]&lt;=TrafficData[[#This Row],[totalAmount]],TrafficData[[#This Row],[disposedAmount]]&lt;=TrafficData[[#This Row],[totalAmount]])</f>
        <v>1</v>
      </c>
      <c r="P498" t="b">
        <f>AND(TrafficData[[#This Row],[pendingCourt]]&lt;=TrafficData[[#This Row],[totalCourt]],TrafficData[[#This Row],[disposedCourt]]&lt;=TrafficData[[#This Row],[totalCourt]])</f>
        <v>1</v>
      </c>
    </row>
    <row r="499" spans="1:16">
      <c r="A499" s="1">
        <v>42502</v>
      </c>
      <c r="B499">
        <v>1504</v>
      </c>
      <c r="C499">
        <v>166</v>
      </c>
      <c r="D499">
        <v>1338</v>
      </c>
      <c r="E499">
        <v>959150</v>
      </c>
      <c r="F499">
        <v>248735</v>
      </c>
      <c r="G499">
        <v>1207885</v>
      </c>
      <c r="H499">
        <v>932</v>
      </c>
      <c r="I499">
        <v>14</v>
      </c>
      <c r="J499">
        <v>946</v>
      </c>
      <c r="K499" t="b">
        <f>TrafficData[[#This Row],[disposedChallan]]+TrafficData[[#This Row],[pendingChallan]]=TrafficData[[#This Row],[totalChallan]]</f>
        <v>1</v>
      </c>
      <c r="L499" t="b">
        <f>TrafficData[[#This Row],[pendingAmount]]+TrafficData[[#This Row],[disposedAmount]]=TrafficData[[#This Row],[totalAmount]]</f>
        <v>1</v>
      </c>
      <c r="M499" t="b">
        <f>TrafficData[[#This Row],[pendingCourt]]+TrafficData[[#This Row],[disposedCourt]]=TrafficData[[#This Row],[totalCourt]]</f>
        <v>1</v>
      </c>
      <c r="N499" t="b">
        <f>AND(TrafficData[[#This Row],[disposedChallan]]&lt;=TrafficData[[#This Row],[totalChallan]],TrafficData[[#This Row],[pendingChallan]]&lt;=TrafficData[[#This Row],[totalChallan]])</f>
        <v>1</v>
      </c>
      <c r="O499" t="b">
        <f>AND(TrafficData[[#This Row],[pendingAmount]]&lt;=TrafficData[[#This Row],[totalAmount]],TrafficData[[#This Row],[disposedAmount]]&lt;=TrafficData[[#This Row],[totalAmount]])</f>
        <v>1</v>
      </c>
      <c r="P499" t="b">
        <f>AND(TrafficData[[#This Row],[pendingCourt]]&lt;=TrafficData[[#This Row],[totalCourt]],TrafficData[[#This Row],[disposedCourt]]&lt;=TrafficData[[#This Row],[totalCourt]])</f>
        <v>1</v>
      </c>
    </row>
    <row r="500" spans="1:16">
      <c r="A500" s="1">
        <v>42503</v>
      </c>
      <c r="B500">
        <v>1536</v>
      </c>
      <c r="C500">
        <v>163</v>
      </c>
      <c r="D500">
        <v>1373</v>
      </c>
      <c r="E500">
        <v>925900</v>
      </c>
      <c r="F500">
        <v>342064</v>
      </c>
      <c r="G500">
        <v>1267964</v>
      </c>
      <c r="H500">
        <v>1039</v>
      </c>
      <c r="I500">
        <v>51</v>
      </c>
      <c r="J500">
        <v>1090</v>
      </c>
      <c r="K500" t="b">
        <f>TrafficData[[#This Row],[disposedChallan]]+TrafficData[[#This Row],[pendingChallan]]=TrafficData[[#This Row],[totalChallan]]</f>
        <v>1</v>
      </c>
      <c r="L500" t="b">
        <f>TrafficData[[#This Row],[pendingAmount]]+TrafficData[[#This Row],[disposedAmount]]=TrafficData[[#This Row],[totalAmount]]</f>
        <v>1</v>
      </c>
      <c r="M500" t="b">
        <f>TrafficData[[#This Row],[pendingCourt]]+TrafficData[[#This Row],[disposedCourt]]=TrafficData[[#This Row],[totalCourt]]</f>
        <v>1</v>
      </c>
      <c r="N500" t="b">
        <f>AND(TrafficData[[#This Row],[disposedChallan]]&lt;=TrafficData[[#This Row],[totalChallan]],TrafficData[[#This Row],[pendingChallan]]&lt;=TrafficData[[#This Row],[totalChallan]])</f>
        <v>1</v>
      </c>
      <c r="O500" t="b">
        <f>AND(TrafficData[[#This Row],[pendingAmount]]&lt;=TrafficData[[#This Row],[totalAmount]],TrafficData[[#This Row],[disposedAmount]]&lt;=TrafficData[[#This Row],[totalAmount]])</f>
        <v>1</v>
      </c>
      <c r="P500" t="b">
        <f>AND(TrafficData[[#This Row],[pendingCourt]]&lt;=TrafficData[[#This Row],[totalCourt]],TrafficData[[#This Row],[disposedCourt]]&lt;=TrafficData[[#This Row],[totalCourt]])</f>
        <v>1</v>
      </c>
    </row>
    <row r="501" spans="1:16">
      <c r="A501" s="1">
        <v>42504</v>
      </c>
      <c r="B501">
        <v>1494</v>
      </c>
      <c r="C501">
        <v>128</v>
      </c>
      <c r="D501">
        <v>1366</v>
      </c>
      <c r="E501">
        <v>804835</v>
      </c>
      <c r="F501">
        <v>259535</v>
      </c>
      <c r="G501">
        <v>1064370</v>
      </c>
      <c r="H501">
        <v>965</v>
      </c>
      <c r="I501">
        <v>21</v>
      </c>
      <c r="J501">
        <v>986</v>
      </c>
      <c r="K501" t="b">
        <f>TrafficData[[#This Row],[disposedChallan]]+TrafficData[[#This Row],[pendingChallan]]=TrafficData[[#This Row],[totalChallan]]</f>
        <v>1</v>
      </c>
      <c r="L501" t="b">
        <f>TrafficData[[#This Row],[pendingAmount]]+TrafficData[[#This Row],[disposedAmount]]=TrafficData[[#This Row],[totalAmount]]</f>
        <v>1</v>
      </c>
      <c r="M501" t="b">
        <f>TrafficData[[#This Row],[pendingCourt]]+TrafficData[[#This Row],[disposedCourt]]=TrafficData[[#This Row],[totalCourt]]</f>
        <v>1</v>
      </c>
      <c r="N501" t="b">
        <f>AND(TrafficData[[#This Row],[disposedChallan]]&lt;=TrafficData[[#This Row],[totalChallan]],TrafficData[[#This Row],[pendingChallan]]&lt;=TrafficData[[#This Row],[totalChallan]])</f>
        <v>1</v>
      </c>
      <c r="O501" t="b">
        <f>AND(TrafficData[[#This Row],[pendingAmount]]&lt;=TrafficData[[#This Row],[totalAmount]],TrafficData[[#This Row],[disposedAmount]]&lt;=TrafficData[[#This Row],[totalAmount]])</f>
        <v>1</v>
      </c>
      <c r="P501" t="b">
        <f>AND(TrafficData[[#This Row],[pendingCourt]]&lt;=TrafficData[[#This Row],[totalCourt]],TrafficData[[#This Row],[disposedCourt]]&lt;=TrafficData[[#This Row],[totalCourt]])</f>
        <v>1</v>
      </c>
    </row>
    <row r="502" spans="1:16">
      <c r="A502" s="1">
        <v>42505</v>
      </c>
      <c r="B502">
        <v>863</v>
      </c>
      <c r="C502">
        <v>57</v>
      </c>
      <c r="D502">
        <v>806</v>
      </c>
      <c r="E502">
        <v>650300</v>
      </c>
      <c r="F502">
        <v>142700</v>
      </c>
      <c r="G502">
        <v>793000</v>
      </c>
      <c r="H502">
        <v>610</v>
      </c>
      <c r="I502">
        <v>13</v>
      </c>
      <c r="J502">
        <v>623</v>
      </c>
      <c r="K502" t="b">
        <f>TrafficData[[#This Row],[disposedChallan]]+TrafficData[[#This Row],[pendingChallan]]=TrafficData[[#This Row],[totalChallan]]</f>
        <v>1</v>
      </c>
      <c r="L502" t="b">
        <f>TrafficData[[#This Row],[pendingAmount]]+TrafficData[[#This Row],[disposedAmount]]=TrafficData[[#This Row],[totalAmount]]</f>
        <v>1</v>
      </c>
      <c r="M502" t="b">
        <f>TrafficData[[#This Row],[pendingCourt]]+TrafficData[[#This Row],[disposedCourt]]=TrafficData[[#This Row],[totalCourt]]</f>
        <v>1</v>
      </c>
      <c r="N502" t="b">
        <f>AND(TrafficData[[#This Row],[disposedChallan]]&lt;=TrafficData[[#This Row],[totalChallan]],TrafficData[[#This Row],[pendingChallan]]&lt;=TrafficData[[#This Row],[totalChallan]])</f>
        <v>1</v>
      </c>
      <c r="O502" t="b">
        <f>AND(TrafficData[[#This Row],[pendingAmount]]&lt;=TrafficData[[#This Row],[totalAmount]],TrafficData[[#This Row],[disposedAmount]]&lt;=TrafficData[[#This Row],[totalAmount]])</f>
        <v>1</v>
      </c>
      <c r="P502" t="b">
        <f>AND(TrafficData[[#This Row],[pendingCourt]]&lt;=TrafficData[[#This Row],[totalCourt]],TrafficData[[#This Row],[disposedCourt]]&lt;=TrafficData[[#This Row],[totalCourt]])</f>
        <v>1</v>
      </c>
    </row>
    <row r="503" spans="1:16">
      <c r="A503" s="1">
        <v>42506</v>
      </c>
      <c r="B503">
        <v>1274</v>
      </c>
      <c r="C503">
        <v>93</v>
      </c>
      <c r="D503">
        <v>1181</v>
      </c>
      <c r="E503">
        <v>977550</v>
      </c>
      <c r="F503">
        <v>248000</v>
      </c>
      <c r="G503">
        <v>1225550</v>
      </c>
      <c r="H503">
        <v>817</v>
      </c>
      <c r="I503">
        <v>8</v>
      </c>
      <c r="J503">
        <v>825</v>
      </c>
      <c r="K503" t="b">
        <f>TrafficData[[#This Row],[disposedChallan]]+TrafficData[[#This Row],[pendingChallan]]=TrafficData[[#This Row],[totalChallan]]</f>
        <v>1</v>
      </c>
      <c r="L503" t="b">
        <f>TrafficData[[#This Row],[pendingAmount]]+TrafficData[[#This Row],[disposedAmount]]=TrafficData[[#This Row],[totalAmount]]</f>
        <v>1</v>
      </c>
      <c r="M503" t="b">
        <f>TrafficData[[#This Row],[pendingCourt]]+TrafficData[[#This Row],[disposedCourt]]=TrafficData[[#This Row],[totalCourt]]</f>
        <v>1</v>
      </c>
      <c r="N503" t="b">
        <f>AND(TrafficData[[#This Row],[disposedChallan]]&lt;=TrafficData[[#This Row],[totalChallan]],TrafficData[[#This Row],[pendingChallan]]&lt;=TrafficData[[#This Row],[totalChallan]])</f>
        <v>1</v>
      </c>
      <c r="O503" t="b">
        <f>AND(TrafficData[[#This Row],[pendingAmount]]&lt;=TrafficData[[#This Row],[totalAmount]],TrafficData[[#This Row],[disposedAmount]]&lt;=TrafficData[[#This Row],[totalAmount]])</f>
        <v>1</v>
      </c>
      <c r="P503" t="b">
        <f>AND(TrafficData[[#This Row],[pendingCourt]]&lt;=TrafficData[[#This Row],[totalCourt]],TrafficData[[#This Row],[disposedCourt]]&lt;=TrafficData[[#This Row],[totalCourt]])</f>
        <v>1</v>
      </c>
    </row>
    <row r="504" spans="1:16">
      <c r="A504" s="1">
        <v>42507</v>
      </c>
      <c r="B504">
        <v>1521</v>
      </c>
      <c r="C504">
        <v>88</v>
      </c>
      <c r="D504">
        <v>1433</v>
      </c>
      <c r="E504">
        <v>3716605</v>
      </c>
      <c r="F504">
        <v>313125</v>
      </c>
      <c r="G504">
        <v>4029730</v>
      </c>
      <c r="H504">
        <v>1032</v>
      </c>
      <c r="I504">
        <v>7</v>
      </c>
      <c r="J504">
        <v>1039</v>
      </c>
      <c r="K504" t="b">
        <f>TrafficData[[#This Row],[disposedChallan]]+TrafficData[[#This Row],[pendingChallan]]=TrafficData[[#This Row],[totalChallan]]</f>
        <v>1</v>
      </c>
      <c r="L504" t="b">
        <f>TrafficData[[#This Row],[pendingAmount]]+TrafficData[[#This Row],[disposedAmount]]=TrafficData[[#This Row],[totalAmount]]</f>
        <v>1</v>
      </c>
      <c r="M504" t="b">
        <f>TrafficData[[#This Row],[pendingCourt]]+TrafficData[[#This Row],[disposedCourt]]=TrafficData[[#This Row],[totalCourt]]</f>
        <v>1</v>
      </c>
      <c r="N504" t="b">
        <f>AND(TrafficData[[#This Row],[disposedChallan]]&lt;=TrafficData[[#This Row],[totalChallan]],TrafficData[[#This Row],[pendingChallan]]&lt;=TrafficData[[#This Row],[totalChallan]])</f>
        <v>1</v>
      </c>
      <c r="O504" t="b">
        <f>AND(TrafficData[[#This Row],[pendingAmount]]&lt;=TrafficData[[#This Row],[totalAmount]],TrafficData[[#This Row],[disposedAmount]]&lt;=TrafficData[[#This Row],[totalAmount]])</f>
        <v>1</v>
      </c>
      <c r="P504" t="b">
        <f>AND(TrafficData[[#This Row],[pendingCourt]]&lt;=TrafficData[[#This Row],[totalCourt]],TrafficData[[#This Row],[disposedCourt]]&lt;=TrafficData[[#This Row],[totalCourt]])</f>
        <v>1</v>
      </c>
    </row>
    <row r="505" spans="1:16">
      <c r="A505" s="1">
        <v>42508</v>
      </c>
      <c r="B505">
        <v>1430</v>
      </c>
      <c r="C505">
        <v>112</v>
      </c>
      <c r="D505">
        <v>1318</v>
      </c>
      <c r="E505">
        <v>1084645</v>
      </c>
      <c r="F505">
        <v>369078</v>
      </c>
      <c r="G505">
        <v>1453723</v>
      </c>
      <c r="H505">
        <v>993</v>
      </c>
      <c r="I505">
        <v>31</v>
      </c>
      <c r="J505">
        <v>1024</v>
      </c>
      <c r="K505" t="b">
        <f>TrafficData[[#This Row],[disposedChallan]]+TrafficData[[#This Row],[pendingChallan]]=TrafficData[[#This Row],[totalChallan]]</f>
        <v>1</v>
      </c>
      <c r="L505" t="b">
        <f>TrafficData[[#This Row],[pendingAmount]]+TrafficData[[#This Row],[disposedAmount]]=TrafficData[[#This Row],[totalAmount]]</f>
        <v>1</v>
      </c>
      <c r="M505" t="b">
        <f>TrafficData[[#This Row],[pendingCourt]]+TrafficData[[#This Row],[disposedCourt]]=TrafficData[[#This Row],[totalCourt]]</f>
        <v>1</v>
      </c>
      <c r="N505" t="b">
        <f>AND(TrafficData[[#This Row],[disposedChallan]]&lt;=TrafficData[[#This Row],[totalChallan]],TrafficData[[#This Row],[pendingChallan]]&lt;=TrafficData[[#This Row],[totalChallan]])</f>
        <v>1</v>
      </c>
      <c r="O505" t="b">
        <f>AND(TrafficData[[#This Row],[pendingAmount]]&lt;=TrafficData[[#This Row],[totalAmount]],TrafficData[[#This Row],[disposedAmount]]&lt;=TrafficData[[#This Row],[totalAmount]])</f>
        <v>1</v>
      </c>
      <c r="P505" t="b">
        <f>AND(TrafficData[[#This Row],[pendingCourt]]&lt;=TrafficData[[#This Row],[totalCourt]],TrafficData[[#This Row],[disposedCourt]]&lt;=TrafficData[[#This Row],[totalCourt]])</f>
        <v>1</v>
      </c>
    </row>
    <row r="506" spans="1:16">
      <c r="A506" s="1">
        <v>42509</v>
      </c>
      <c r="B506">
        <v>1593</v>
      </c>
      <c r="C506">
        <v>71</v>
      </c>
      <c r="D506">
        <v>1522</v>
      </c>
      <c r="E506">
        <v>1222900</v>
      </c>
      <c r="F506">
        <v>224884</v>
      </c>
      <c r="G506">
        <v>1447784</v>
      </c>
      <c r="H506">
        <v>1143</v>
      </c>
      <c r="I506">
        <v>3</v>
      </c>
      <c r="J506">
        <v>1146</v>
      </c>
      <c r="K506" t="b">
        <f>TrafficData[[#This Row],[disposedChallan]]+TrafficData[[#This Row],[pendingChallan]]=TrafficData[[#This Row],[totalChallan]]</f>
        <v>1</v>
      </c>
      <c r="L506" t="b">
        <f>TrafficData[[#This Row],[pendingAmount]]+TrafficData[[#This Row],[disposedAmount]]=TrafficData[[#This Row],[totalAmount]]</f>
        <v>1</v>
      </c>
      <c r="M506" t="b">
        <f>TrafficData[[#This Row],[pendingCourt]]+TrafficData[[#This Row],[disposedCourt]]=TrafficData[[#This Row],[totalCourt]]</f>
        <v>1</v>
      </c>
      <c r="N506" t="b">
        <f>AND(TrafficData[[#This Row],[disposedChallan]]&lt;=TrafficData[[#This Row],[totalChallan]],TrafficData[[#This Row],[pendingChallan]]&lt;=TrafficData[[#This Row],[totalChallan]])</f>
        <v>1</v>
      </c>
      <c r="O506" t="b">
        <f>AND(TrafficData[[#This Row],[pendingAmount]]&lt;=TrafficData[[#This Row],[totalAmount]],TrafficData[[#This Row],[disposedAmount]]&lt;=TrafficData[[#This Row],[totalAmount]])</f>
        <v>1</v>
      </c>
      <c r="P506" t="b">
        <f>AND(TrafficData[[#This Row],[pendingCourt]]&lt;=TrafficData[[#This Row],[totalCourt]],TrafficData[[#This Row],[disposedCourt]]&lt;=TrafficData[[#This Row],[totalCourt]])</f>
        <v>1</v>
      </c>
    </row>
    <row r="507" spans="1:16">
      <c r="A507" s="1">
        <v>42510</v>
      </c>
      <c r="B507">
        <v>1325</v>
      </c>
      <c r="C507">
        <v>54</v>
      </c>
      <c r="D507">
        <v>1271</v>
      </c>
      <c r="E507">
        <v>924150</v>
      </c>
      <c r="F507">
        <v>204650</v>
      </c>
      <c r="G507">
        <v>1128800</v>
      </c>
      <c r="H507">
        <v>1004</v>
      </c>
      <c r="I507">
        <v>4</v>
      </c>
      <c r="J507">
        <v>1008</v>
      </c>
      <c r="K507" t="b">
        <f>TrafficData[[#This Row],[disposedChallan]]+TrafficData[[#This Row],[pendingChallan]]=TrafficData[[#This Row],[totalChallan]]</f>
        <v>1</v>
      </c>
      <c r="L507" t="b">
        <f>TrafficData[[#This Row],[pendingAmount]]+TrafficData[[#This Row],[disposedAmount]]=TrafficData[[#This Row],[totalAmount]]</f>
        <v>1</v>
      </c>
      <c r="M507" t="b">
        <f>TrafficData[[#This Row],[pendingCourt]]+TrafficData[[#This Row],[disposedCourt]]=TrafficData[[#This Row],[totalCourt]]</f>
        <v>1</v>
      </c>
      <c r="N507" t="b">
        <f>AND(TrafficData[[#This Row],[disposedChallan]]&lt;=TrafficData[[#This Row],[totalChallan]],TrafficData[[#This Row],[pendingChallan]]&lt;=TrafficData[[#This Row],[totalChallan]])</f>
        <v>1</v>
      </c>
      <c r="O507" t="b">
        <f>AND(TrafficData[[#This Row],[pendingAmount]]&lt;=TrafficData[[#This Row],[totalAmount]],TrafficData[[#This Row],[disposedAmount]]&lt;=TrafficData[[#This Row],[totalAmount]])</f>
        <v>1</v>
      </c>
      <c r="P507" t="b">
        <f>AND(TrafficData[[#This Row],[pendingCourt]]&lt;=TrafficData[[#This Row],[totalCourt]],TrafficData[[#This Row],[disposedCourt]]&lt;=TrafficData[[#This Row],[totalCourt]])</f>
        <v>1</v>
      </c>
    </row>
    <row r="508" spans="1:16">
      <c r="A508" s="1">
        <v>42511</v>
      </c>
      <c r="B508">
        <v>1153</v>
      </c>
      <c r="C508">
        <v>58</v>
      </c>
      <c r="D508">
        <v>1095</v>
      </c>
      <c r="E508">
        <v>731550</v>
      </c>
      <c r="F508">
        <v>223300</v>
      </c>
      <c r="G508">
        <v>954850</v>
      </c>
      <c r="H508">
        <v>872</v>
      </c>
      <c r="I508">
        <v>1</v>
      </c>
      <c r="J508">
        <v>873</v>
      </c>
      <c r="K508" t="b">
        <f>TrafficData[[#This Row],[disposedChallan]]+TrafficData[[#This Row],[pendingChallan]]=TrafficData[[#This Row],[totalChallan]]</f>
        <v>1</v>
      </c>
      <c r="L508" t="b">
        <f>TrafficData[[#This Row],[pendingAmount]]+TrafficData[[#This Row],[disposedAmount]]=TrafficData[[#This Row],[totalAmount]]</f>
        <v>1</v>
      </c>
      <c r="M508" t="b">
        <f>TrafficData[[#This Row],[pendingCourt]]+TrafficData[[#This Row],[disposedCourt]]=TrafficData[[#This Row],[totalCourt]]</f>
        <v>1</v>
      </c>
      <c r="N508" t="b">
        <f>AND(TrafficData[[#This Row],[disposedChallan]]&lt;=TrafficData[[#This Row],[totalChallan]],TrafficData[[#This Row],[pendingChallan]]&lt;=TrafficData[[#This Row],[totalChallan]])</f>
        <v>1</v>
      </c>
      <c r="O508" t="b">
        <f>AND(TrafficData[[#This Row],[pendingAmount]]&lt;=TrafficData[[#This Row],[totalAmount]],TrafficData[[#This Row],[disposedAmount]]&lt;=TrafficData[[#This Row],[totalAmount]])</f>
        <v>1</v>
      </c>
      <c r="P508" t="b">
        <f>AND(TrafficData[[#This Row],[pendingCourt]]&lt;=TrafficData[[#This Row],[totalCourt]],TrafficData[[#This Row],[disposedCourt]]&lt;=TrafficData[[#This Row],[totalCourt]])</f>
        <v>1</v>
      </c>
    </row>
    <row r="509" spans="1:16">
      <c r="A509" s="1">
        <v>42512</v>
      </c>
      <c r="B509">
        <v>1482</v>
      </c>
      <c r="C509">
        <v>39</v>
      </c>
      <c r="D509">
        <v>1443</v>
      </c>
      <c r="E509">
        <v>546950</v>
      </c>
      <c r="F509">
        <v>85875</v>
      </c>
      <c r="G509">
        <v>632825</v>
      </c>
      <c r="H509">
        <v>1306</v>
      </c>
      <c r="I509">
        <v>3</v>
      </c>
      <c r="J509">
        <v>1309</v>
      </c>
      <c r="K509" t="b">
        <f>TrafficData[[#This Row],[disposedChallan]]+TrafficData[[#This Row],[pendingChallan]]=TrafficData[[#This Row],[totalChallan]]</f>
        <v>1</v>
      </c>
      <c r="L509" t="b">
        <f>TrafficData[[#This Row],[pendingAmount]]+TrafficData[[#This Row],[disposedAmount]]=TrafficData[[#This Row],[totalAmount]]</f>
        <v>1</v>
      </c>
      <c r="M509" t="b">
        <f>TrafficData[[#This Row],[pendingCourt]]+TrafficData[[#This Row],[disposedCourt]]=TrafficData[[#This Row],[totalCourt]]</f>
        <v>1</v>
      </c>
      <c r="N509" t="b">
        <f>AND(TrafficData[[#This Row],[disposedChallan]]&lt;=TrafficData[[#This Row],[totalChallan]],TrafficData[[#This Row],[pendingChallan]]&lt;=TrafficData[[#This Row],[totalChallan]])</f>
        <v>1</v>
      </c>
      <c r="O509" t="b">
        <f>AND(TrafficData[[#This Row],[pendingAmount]]&lt;=TrafficData[[#This Row],[totalAmount]],TrafficData[[#This Row],[disposedAmount]]&lt;=TrafficData[[#This Row],[totalAmount]])</f>
        <v>1</v>
      </c>
      <c r="P509" t="b">
        <f>AND(TrafficData[[#This Row],[pendingCourt]]&lt;=TrafficData[[#This Row],[totalCourt]],TrafficData[[#This Row],[disposedCourt]]&lt;=TrafficData[[#This Row],[totalCourt]])</f>
        <v>1</v>
      </c>
    </row>
    <row r="510" spans="1:16">
      <c r="A510" s="1">
        <v>42513</v>
      </c>
      <c r="B510">
        <v>1793</v>
      </c>
      <c r="C510">
        <v>59</v>
      </c>
      <c r="D510">
        <v>1734</v>
      </c>
      <c r="E510">
        <v>690627</v>
      </c>
      <c r="F510">
        <v>139700</v>
      </c>
      <c r="G510">
        <v>830327</v>
      </c>
      <c r="H510">
        <v>1507</v>
      </c>
      <c r="I510">
        <v>14</v>
      </c>
      <c r="J510">
        <v>1521</v>
      </c>
      <c r="K510" t="b">
        <f>TrafficData[[#This Row],[disposedChallan]]+TrafficData[[#This Row],[pendingChallan]]=TrafficData[[#This Row],[totalChallan]]</f>
        <v>1</v>
      </c>
      <c r="L510" t="b">
        <f>TrafficData[[#This Row],[pendingAmount]]+TrafficData[[#This Row],[disposedAmount]]=TrafficData[[#This Row],[totalAmount]]</f>
        <v>1</v>
      </c>
      <c r="M510" t="b">
        <f>TrafficData[[#This Row],[pendingCourt]]+TrafficData[[#This Row],[disposedCourt]]=TrafficData[[#This Row],[totalCourt]]</f>
        <v>1</v>
      </c>
      <c r="N510" t="b">
        <f>AND(TrafficData[[#This Row],[disposedChallan]]&lt;=TrafficData[[#This Row],[totalChallan]],TrafficData[[#This Row],[pendingChallan]]&lt;=TrafficData[[#This Row],[totalChallan]])</f>
        <v>1</v>
      </c>
      <c r="O510" t="b">
        <f>AND(TrafficData[[#This Row],[pendingAmount]]&lt;=TrafficData[[#This Row],[totalAmount]],TrafficData[[#This Row],[disposedAmount]]&lt;=TrafficData[[#This Row],[totalAmount]])</f>
        <v>1</v>
      </c>
      <c r="P510" t="b">
        <f>AND(TrafficData[[#This Row],[pendingCourt]]&lt;=TrafficData[[#This Row],[totalCourt]],TrafficData[[#This Row],[disposedCourt]]&lt;=TrafficData[[#This Row],[totalCourt]])</f>
        <v>1</v>
      </c>
    </row>
    <row r="511" spans="1:16">
      <c r="A511" s="1">
        <v>42514</v>
      </c>
      <c r="B511">
        <v>1366</v>
      </c>
      <c r="C511">
        <v>80</v>
      </c>
      <c r="D511">
        <v>1286</v>
      </c>
      <c r="E511">
        <v>963700</v>
      </c>
      <c r="F511">
        <v>265575</v>
      </c>
      <c r="G511">
        <v>1229275</v>
      </c>
      <c r="H511">
        <v>969</v>
      </c>
      <c r="I511">
        <v>9</v>
      </c>
      <c r="J511">
        <v>978</v>
      </c>
      <c r="K511" t="b">
        <f>TrafficData[[#This Row],[disposedChallan]]+TrafficData[[#This Row],[pendingChallan]]=TrafficData[[#This Row],[totalChallan]]</f>
        <v>1</v>
      </c>
      <c r="L511" t="b">
        <f>TrafficData[[#This Row],[pendingAmount]]+TrafficData[[#This Row],[disposedAmount]]=TrafficData[[#This Row],[totalAmount]]</f>
        <v>1</v>
      </c>
      <c r="M511" t="b">
        <f>TrafficData[[#This Row],[pendingCourt]]+TrafficData[[#This Row],[disposedCourt]]=TrafficData[[#This Row],[totalCourt]]</f>
        <v>1</v>
      </c>
      <c r="N511" t="b">
        <f>AND(TrafficData[[#This Row],[disposedChallan]]&lt;=TrafficData[[#This Row],[totalChallan]],TrafficData[[#This Row],[pendingChallan]]&lt;=TrafficData[[#This Row],[totalChallan]])</f>
        <v>1</v>
      </c>
      <c r="O511" t="b">
        <f>AND(TrafficData[[#This Row],[pendingAmount]]&lt;=TrafficData[[#This Row],[totalAmount]],TrafficData[[#This Row],[disposedAmount]]&lt;=TrafficData[[#This Row],[totalAmount]])</f>
        <v>1</v>
      </c>
      <c r="P511" t="b">
        <f>AND(TrafficData[[#This Row],[pendingCourt]]&lt;=TrafficData[[#This Row],[totalCourt]],TrafficData[[#This Row],[disposedCourt]]&lt;=TrafficData[[#This Row],[totalCourt]])</f>
        <v>1</v>
      </c>
    </row>
    <row r="512" spans="1:16">
      <c r="A512" s="1">
        <v>42515</v>
      </c>
      <c r="B512">
        <v>1780</v>
      </c>
      <c r="C512">
        <v>77</v>
      </c>
      <c r="D512">
        <v>1703</v>
      </c>
      <c r="E512">
        <v>1013300</v>
      </c>
      <c r="F512">
        <v>345350</v>
      </c>
      <c r="G512">
        <v>1358650</v>
      </c>
      <c r="H512">
        <v>13</v>
      </c>
      <c r="I512">
        <v>6</v>
      </c>
      <c r="J512">
        <v>19</v>
      </c>
      <c r="K512" t="b">
        <f>TrafficData[[#This Row],[disposedChallan]]+TrafficData[[#This Row],[pendingChallan]]=TrafficData[[#This Row],[totalChallan]]</f>
        <v>1</v>
      </c>
      <c r="L512" t="b">
        <f>TrafficData[[#This Row],[pendingAmount]]+TrafficData[[#This Row],[disposedAmount]]=TrafficData[[#This Row],[totalAmount]]</f>
        <v>1</v>
      </c>
      <c r="M512" t="b">
        <f>TrafficData[[#This Row],[pendingCourt]]+TrafficData[[#This Row],[disposedCourt]]=TrafficData[[#This Row],[totalCourt]]</f>
        <v>1</v>
      </c>
      <c r="N512" t="b">
        <f>AND(TrafficData[[#This Row],[disposedChallan]]&lt;=TrafficData[[#This Row],[totalChallan]],TrafficData[[#This Row],[pendingChallan]]&lt;=TrafficData[[#This Row],[totalChallan]])</f>
        <v>1</v>
      </c>
      <c r="O512" t="b">
        <f>AND(TrafficData[[#This Row],[pendingAmount]]&lt;=TrafficData[[#This Row],[totalAmount]],TrafficData[[#This Row],[disposedAmount]]&lt;=TrafficData[[#This Row],[totalAmount]])</f>
        <v>1</v>
      </c>
      <c r="P512" t="b">
        <f>AND(TrafficData[[#This Row],[pendingCourt]]&lt;=TrafficData[[#This Row],[totalCourt]],TrafficData[[#This Row],[disposedCourt]]&lt;=TrafficData[[#This Row],[totalCourt]])</f>
        <v>1</v>
      </c>
    </row>
    <row r="513" spans="1:16">
      <c r="A513" s="1">
        <v>42516</v>
      </c>
      <c r="B513">
        <v>1430</v>
      </c>
      <c r="C513">
        <v>94</v>
      </c>
      <c r="D513">
        <v>1336</v>
      </c>
      <c r="E513">
        <v>794220</v>
      </c>
      <c r="F513">
        <v>353450</v>
      </c>
      <c r="G513">
        <v>1147670</v>
      </c>
      <c r="H513">
        <v>1015</v>
      </c>
      <c r="I513">
        <v>23</v>
      </c>
      <c r="J513">
        <v>1038</v>
      </c>
      <c r="K513" t="b">
        <f>TrafficData[[#This Row],[disposedChallan]]+TrafficData[[#This Row],[pendingChallan]]=TrafficData[[#This Row],[totalChallan]]</f>
        <v>1</v>
      </c>
      <c r="L513" t="b">
        <f>TrafficData[[#This Row],[pendingAmount]]+TrafficData[[#This Row],[disposedAmount]]=TrafficData[[#This Row],[totalAmount]]</f>
        <v>1</v>
      </c>
      <c r="M513" t="b">
        <f>TrafficData[[#This Row],[pendingCourt]]+TrafficData[[#This Row],[disposedCourt]]=TrafficData[[#This Row],[totalCourt]]</f>
        <v>1</v>
      </c>
      <c r="N513" t="b">
        <f>AND(TrafficData[[#This Row],[disposedChallan]]&lt;=TrafficData[[#This Row],[totalChallan]],TrafficData[[#This Row],[pendingChallan]]&lt;=TrafficData[[#This Row],[totalChallan]])</f>
        <v>1</v>
      </c>
      <c r="O513" t="b">
        <f>AND(TrafficData[[#This Row],[pendingAmount]]&lt;=TrafficData[[#This Row],[totalAmount]],TrafficData[[#This Row],[disposedAmount]]&lt;=TrafficData[[#This Row],[totalAmount]])</f>
        <v>1</v>
      </c>
      <c r="P513" t="b">
        <f>AND(TrafficData[[#This Row],[pendingCourt]]&lt;=TrafficData[[#This Row],[totalCourt]],TrafficData[[#This Row],[disposedCourt]]&lt;=TrafficData[[#This Row],[totalCourt]])</f>
        <v>1</v>
      </c>
    </row>
    <row r="514" spans="1:16">
      <c r="A514" s="1">
        <v>42517</v>
      </c>
      <c r="B514">
        <v>1460</v>
      </c>
      <c r="C514">
        <v>105</v>
      </c>
      <c r="D514">
        <v>1355</v>
      </c>
      <c r="E514">
        <v>935900</v>
      </c>
      <c r="F514">
        <v>299010</v>
      </c>
      <c r="G514">
        <v>1234910</v>
      </c>
      <c r="H514">
        <v>982</v>
      </c>
      <c r="I514">
        <v>4</v>
      </c>
      <c r="J514">
        <v>986</v>
      </c>
      <c r="K514" t="b">
        <f>TrafficData[[#This Row],[disposedChallan]]+TrafficData[[#This Row],[pendingChallan]]=TrafficData[[#This Row],[totalChallan]]</f>
        <v>1</v>
      </c>
      <c r="L514" t="b">
        <f>TrafficData[[#This Row],[pendingAmount]]+TrafficData[[#This Row],[disposedAmount]]=TrafficData[[#This Row],[totalAmount]]</f>
        <v>1</v>
      </c>
      <c r="M514" t="b">
        <f>TrafficData[[#This Row],[pendingCourt]]+TrafficData[[#This Row],[disposedCourt]]=TrafficData[[#This Row],[totalCourt]]</f>
        <v>1</v>
      </c>
      <c r="N514" t="b">
        <f>AND(TrafficData[[#This Row],[disposedChallan]]&lt;=TrafficData[[#This Row],[totalChallan]],TrafficData[[#This Row],[pendingChallan]]&lt;=TrafficData[[#This Row],[totalChallan]])</f>
        <v>1</v>
      </c>
      <c r="O514" t="b">
        <f>AND(TrafficData[[#This Row],[pendingAmount]]&lt;=TrafficData[[#This Row],[totalAmount]],TrafficData[[#This Row],[disposedAmount]]&lt;=TrafficData[[#This Row],[totalAmount]])</f>
        <v>1</v>
      </c>
      <c r="P514" t="b">
        <f>AND(TrafficData[[#This Row],[pendingCourt]]&lt;=TrafficData[[#This Row],[totalCourt]],TrafficData[[#This Row],[disposedCourt]]&lt;=TrafficData[[#This Row],[totalCourt]])</f>
        <v>1</v>
      </c>
    </row>
    <row r="515" spans="1:16">
      <c r="A515" s="1">
        <v>42518</v>
      </c>
      <c r="B515">
        <v>1411</v>
      </c>
      <c r="C515">
        <v>46</v>
      </c>
      <c r="D515">
        <v>1365</v>
      </c>
      <c r="E515">
        <v>851890</v>
      </c>
      <c r="F515">
        <v>94900</v>
      </c>
      <c r="G515">
        <v>946790</v>
      </c>
      <c r="H515">
        <v>977</v>
      </c>
      <c r="I515">
        <v>11</v>
      </c>
      <c r="J515">
        <v>988</v>
      </c>
      <c r="K515" t="b">
        <f>TrafficData[[#This Row],[disposedChallan]]+TrafficData[[#This Row],[pendingChallan]]=TrafficData[[#This Row],[totalChallan]]</f>
        <v>1</v>
      </c>
      <c r="L515" t="b">
        <f>TrafficData[[#This Row],[pendingAmount]]+TrafficData[[#This Row],[disposedAmount]]=TrafficData[[#This Row],[totalAmount]]</f>
        <v>1</v>
      </c>
      <c r="M515" t="b">
        <f>TrafficData[[#This Row],[pendingCourt]]+TrafficData[[#This Row],[disposedCourt]]=TrafficData[[#This Row],[totalCourt]]</f>
        <v>1</v>
      </c>
      <c r="N515" t="b">
        <f>AND(TrafficData[[#This Row],[disposedChallan]]&lt;=TrafficData[[#This Row],[totalChallan]],TrafficData[[#This Row],[pendingChallan]]&lt;=TrafficData[[#This Row],[totalChallan]])</f>
        <v>1</v>
      </c>
      <c r="O515" t="b">
        <f>AND(TrafficData[[#This Row],[pendingAmount]]&lt;=TrafficData[[#This Row],[totalAmount]],TrafficData[[#This Row],[disposedAmount]]&lt;=TrafficData[[#This Row],[totalAmount]])</f>
        <v>1</v>
      </c>
      <c r="P515" t="b">
        <f>AND(TrafficData[[#This Row],[pendingCourt]]&lt;=TrafficData[[#This Row],[totalCourt]],TrafficData[[#This Row],[disposedCourt]]&lt;=TrafficData[[#This Row],[totalCourt]])</f>
        <v>1</v>
      </c>
    </row>
    <row r="516" spans="1:16">
      <c r="A516" s="1">
        <v>42519</v>
      </c>
      <c r="B516">
        <v>822</v>
      </c>
      <c r="C516">
        <v>30</v>
      </c>
      <c r="D516">
        <v>792</v>
      </c>
      <c r="E516">
        <v>565870</v>
      </c>
      <c r="F516">
        <v>108800</v>
      </c>
      <c r="G516">
        <v>674670</v>
      </c>
      <c r="H516">
        <v>599</v>
      </c>
      <c r="I516">
        <v>3</v>
      </c>
      <c r="J516">
        <v>602</v>
      </c>
      <c r="K516" t="b">
        <f>TrafficData[[#This Row],[disposedChallan]]+TrafficData[[#This Row],[pendingChallan]]=TrafficData[[#This Row],[totalChallan]]</f>
        <v>1</v>
      </c>
      <c r="L516" t="b">
        <f>TrafficData[[#This Row],[pendingAmount]]+TrafficData[[#This Row],[disposedAmount]]=TrafficData[[#This Row],[totalAmount]]</f>
        <v>1</v>
      </c>
      <c r="M516" t="b">
        <f>TrafficData[[#This Row],[pendingCourt]]+TrafficData[[#This Row],[disposedCourt]]=TrafficData[[#This Row],[totalCourt]]</f>
        <v>1</v>
      </c>
      <c r="N516" t="b">
        <f>AND(TrafficData[[#This Row],[disposedChallan]]&lt;=TrafficData[[#This Row],[totalChallan]],TrafficData[[#This Row],[pendingChallan]]&lt;=TrafficData[[#This Row],[totalChallan]])</f>
        <v>1</v>
      </c>
      <c r="O516" t="b">
        <f>AND(TrafficData[[#This Row],[pendingAmount]]&lt;=TrafficData[[#This Row],[totalAmount]],TrafficData[[#This Row],[disposedAmount]]&lt;=TrafficData[[#This Row],[totalAmount]])</f>
        <v>1</v>
      </c>
      <c r="P516" t="b">
        <f>AND(TrafficData[[#This Row],[pendingCourt]]&lt;=TrafficData[[#This Row],[totalCourt]],TrafficData[[#This Row],[disposedCourt]]&lt;=TrafficData[[#This Row],[totalCourt]])</f>
        <v>1</v>
      </c>
    </row>
    <row r="517" spans="1:16">
      <c r="A517" s="1">
        <v>42520</v>
      </c>
      <c r="B517">
        <v>990</v>
      </c>
      <c r="C517">
        <v>69</v>
      </c>
      <c r="D517">
        <v>921</v>
      </c>
      <c r="E517">
        <v>686610</v>
      </c>
      <c r="F517">
        <v>162101</v>
      </c>
      <c r="G517">
        <v>848711</v>
      </c>
      <c r="H517">
        <v>647</v>
      </c>
      <c r="I517">
        <v>2</v>
      </c>
      <c r="J517">
        <v>649</v>
      </c>
      <c r="K517" t="b">
        <f>TrafficData[[#This Row],[disposedChallan]]+TrafficData[[#This Row],[pendingChallan]]=TrafficData[[#This Row],[totalChallan]]</f>
        <v>1</v>
      </c>
      <c r="L517" t="b">
        <f>TrafficData[[#This Row],[pendingAmount]]+TrafficData[[#This Row],[disposedAmount]]=TrafficData[[#This Row],[totalAmount]]</f>
        <v>1</v>
      </c>
      <c r="M517" t="b">
        <f>TrafficData[[#This Row],[pendingCourt]]+TrafficData[[#This Row],[disposedCourt]]=TrafficData[[#This Row],[totalCourt]]</f>
        <v>1</v>
      </c>
      <c r="N517" t="b">
        <f>AND(TrafficData[[#This Row],[disposedChallan]]&lt;=TrafficData[[#This Row],[totalChallan]],TrafficData[[#This Row],[pendingChallan]]&lt;=TrafficData[[#This Row],[totalChallan]])</f>
        <v>1</v>
      </c>
      <c r="O517" t="b">
        <f>AND(TrafficData[[#This Row],[pendingAmount]]&lt;=TrafficData[[#This Row],[totalAmount]],TrafficData[[#This Row],[disposedAmount]]&lt;=TrafficData[[#This Row],[totalAmount]])</f>
        <v>1</v>
      </c>
      <c r="P517" t="b">
        <f>AND(TrafficData[[#This Row],[pendingCourt]]&lt;=TrafficData[[#This Row],[totalCourt]],TrafficData[[#This Row],[disposedCourt]]&lt;=TrafficData[[#This Row],[totalCourt]])</f>
        <v>1</v>
      </c>
    </row>
    <row r="518" spans="1:16">
      <c r="A518" s="1">
        <v>42521</v>
      </c>
      <c r="B518">
        <v>1532</v>
      </c>
      <c r="C518">
        <v>74</v>
      </c>
      <c r="D518">
        <v>1458</v>
      </c>
      <c r="E518">
        <v>874250</v>
      </c>
      <c r="F518">
        <v>198450</v>
      </c>
      <c r="G518">
        <v>1072700</v>
      </c>
      <c r="H518">
        <v>1115</v>
      </c>
      <c r="I518">
        <v>4</v>
      </c>
      <c r="J518">
        <v>1119</v>
      </c>
      <c r="K518" t="b">
        <f>TrafficData[[#This Row],[disposedChallan]]+TrafficData[[#This Row],[pendingChallan]]=TrafficData[[#This Row],[totalChallan]]</f>
        <v>1</v>
      </c>
      <c r="L518" t="b">
        <f>TrafficData[[#This Row],[pendingAmount]]+TrafficData[[#This Row],[disposedAmount]]=TrafficData[[#This Row],[totalAmount]]</f>
        <v>1</v>
      </c>
      <c r="M518" t="b">
        <f>TrafficData[[#This Row],[pendingCourt]]+TrafficData[[#This Row],[disposedCourt]]=TrafficData[[#This Row],[totalCourt]]</f>
        <v>1</v>
      </c>
      <c r="N518" t="b">
        <f>AND(TrafficData[[#This Row],[disposedChallan]]&lt;=TrafficData[[#This Row],[totalChallan]],TrafficData[[#This Row],[pendingChallan]]&lt;=TrafficData[[#This Row],[totalChallan]])</f>
        <v>1</v>
      </c>
      <c r="O518" t="b">
        <f>AND(TrafficData[[#This Row],[pendingAmount]]&lt;=TrafficData[[#This Row],[totalAmount]],TrafficData[[#This Row],[disposedAmount]]&lt;=TrafficData[[#This Row],[totalAmount]])</f>
        <v>1</v>
      </c>
      <c r="P518" t="b">
        <f>AND(TrafficData[[#This Row],[pendingCourt]]&lt;=TrafficData[[#This Row],[totalCourt]],TrafficData[[#This Row],[disposedCourt]]&lt;=TrafficData[[#This Row],[totalCourt]])</f>
        <v>1</v>
      </c>
    </row>
    <row r="519" spans="1:16">
      <c r="A519" s="1">
        <v>42522</v>
      </c>
      <c r="B519">
        <v>1268</v>
      </c>
      <c r="C519">
        <v>101</v>
      </c>
      <c r="D519">
        <v>1167</v>
      </c>
      <c r="E519">
        <v>1253700</v>
      </c>
      <c r="F519">
        <v>243800</v>
      </c>
      <c r="G519">
        <v>1497500</v>
      </c>
      <c r="H519">
        <v>894</v>
      </c>
      <c r="I519">
        <v>14</v>
      </c>
      <c r="J519">
        <v>908</v>
      </c>
      <c r="K519" t="b">
        <f>TrafficData[[#This Row],[disposedChallan]]+TrafficData[[#This Row],[pendingChallan]]=TrafficData[[#This Row],[totalChallan]]</f>
        <v>1</v>
      </c>
      <c r="L519" t="b">
        <f>TrafficData[[#This Row],[pendingAmount]]+TrafficData[[#This Row],[disposedAmount]]=TrafficData[[#This Row],[totalAmount]]</f>
        <v>1</v>
      </c>
      <c r="M519" t="b">
        <f>TrafficData[[#This Row],[pendingCourt]]+TrafficData[[#This Row],[disposedCourt]]=TrafficData[[#This Row],[totalCourt]]</f>
        <v>1</v>
      </c>
      <c r="N519" t="b">
        <f>AND(TrafficData[[#This Row],[disposedChallan]]&lt;=TrafficData[[#This Row],[totalChallan]],TrafficData[[#This Row],[pendingChallan]]&lt;=TrafficData[[#This Row],[totalChallan]])</f>
        <v>1</v>
      </c>
      <c r="O519" t="b">
        <f>AND(TrafficData[[#This Row],[pendingAmount]]&lt;=TrafficData[[#This Row],[totalAmount]],TrafficData[[#This Row],[disposedAmount]]&lt;=TrafficData[[#This Row],[totalAmount]])</f>
        <v>1</v>
      </c>
      <c r="P519" t="b">
        <f>AND(TrafficData[[#This Row],[pendingCourt]]&lt;=TrafficData[[#This Row],[totalCourt]],TrafficData[[#This Row],[disposedCourt]]&lt;=TrafficData[[#This Row],[totalCourt]])</f>
        <v>1</v>
      </c>
    </row>
    <row r="520" spans="1:16">
      <c r="A520" s="1">
        <v>42523</v>
      </c>
      <c r="B520">
        <v>1313</v>
      </c>
      <c r="C520">
        <v>83</v>
      </c>
      <c r="D520">
        <v>1230</v>
      </c>
      <c r="E520">
        <v>1076800</v>
      </c>
      <c r="F520">
        <v>346650</v>
      </c>
      <c r="G520">
        <v>1423450</v>
      </c>
      <c r="H520">
        <v>900</v>
      </c>
      <c r="I520">
        <v>18</v>
      </c>
      <c r="J520">
        <v>918</v>
      </c>
      <c r="K520" t="b">
        <f>TrafficData[[#This Row],[disposedChallan]]+TrafficData[[#This Row],[pendingChallan]]=TrafficData[[#This Row],[totalChallan]]</f>
        <v>1</v>
      </c>
      <c r="L520" t="b">
        <f>TrafficData[[#This Row],[pendingAmount]]+TrafficData[[#This Row],[disposedAmount]]=TrafficData[[#This Row],[totalAmount]]</f>
        <v>1</v>
      </c>
      <c r="M520" t="b">
        <f>TrafficData[[#This Row],[pendingCourt]]+TrafficData[[#This Row],[disposedCourt]]=TrafficData[[#This Row],[totalCourt]]</f>
        <v>1</v>
      </c>
      <c r="N520" t="b">
        <f>AND(TrafficData[[#This Row],[disposedChallan]]&lt;=TrafficData[[#This Row],[totalChallan]],TrafficData[[#This Row],[pendingChallan]]&lt;=TrafficData[[#This Row],[totalChallan]])</f>
        <v>1</v>
      </c>
      <c r="O520" t="b">
        <f>AND(TrafficData[[#This Row],[pendingAmount]]&lt;=TrafficData[[#This Row],[totalAmount]],TrafficData[[#This Row],[disposedAmount]]&lt;=TrafficData[[#This Row],[totalAmount]])</f>
        <v>1</v>
      </c>
      <c r="P520" t="b">
        <f>AND(TrafficData[[#This Row],[pendingCourt]]&lt;=TrafficData[[#This Row],[totalCourt]],TrafficData[[#This Row],[disposedCourt]]&lt;=TrafficData[[#This Row],[totalCourt]])</f>
        <v>1</v>
      </c>
    </row>
    <row r="521" spans="1:16">
      <c r="A521" s="1">
        <v>42524</v>
      </c>
      <c r="B521">
        <v>1276</v>
      </c>
      <c r="C521">
        <v>100</v>
      </c>
      <c r="D521">
        <v>1176</v>
      </c>
      <c r="E521">
        <v>1514640</v>
      </c>
      <c r="F521">
        <v>287273</v>
      </c>
      <c r="G521">
        <v>1801913</v>
      </c>
      <c r="H521">
        <v>849</v>
      </c>
      <c r="I521">
        <v>15</v>
      </c>
      <c r="J521">
        <v>864</v>
      </c>
      <c r="K521" t="b">
        <f>TrafficData[[#This Row],[disposedChallan]]+TrafficData[[#This Row],[pendingChallan]]=TrafficData[[#This Row],[totalChallan]]</f>
        <v>1</v>
      </c>
      <c r="L521" t="b">
        <f>TrafficData[[#This Row],[pendingAmount]]+TrafficData[[#This Row],[disposedAmount]]=TrafficData[[#This Row],[totalAmount]]</f>
        <v>1</v>
      </c>
      <c r="M521" t="b">
        <f>TrafficData[[#This Row],[pendingCourt]]+TrafficData[[#This Row],[disposedCourt]]=TrafficData[[#This Row],[totalCourt]]</f>
        <v>1</v>
      </c>
      <c r="N521" t="b">
        <f>AND(TrafficData[[#This Row],[disposedChallan]]&lt;=TrafficData[[#This Row],[totalChallan]],TrafficData[[#This Row],[pendingChallan]]&lt;=TrafficData[[#This Row],[totalChallan]])</f>
        <v>1</v>
      </c>
      <c r="O521" t="b">
        <f>AND(TrafficData[[#This Row],[pendingAmount]]&lt;=TrafficData[[#This Row],[totalAmount]],TrafficData[[#This Row],[disposedAmount]]&lt;=TrafficData[[#This Row],[totalAmount]])</f>
        <v>1</v>
      </c>
      <c r="P521" t="b">
        <f>AND(TrafficData[[#This Row],[pendingCourt]]&lt;=TrafficData[[#This Row],[totalCourt]],TrafficData[[#This Row],[disposedCourt]]&lt;=TrafficData[[#This Row],[totalCourt]])</f>
        <v>1</v>
      </c>
    </row>
    <row r="522" spans="1:16">
      <c r="A522" s="1">
        <v>42525</v>
      </c>
      <c r="B522">
        <v>1310</v>
      </c>
      <c r="C522">
        <v>86</v>
      </c>
      <c r="D522">
        <v>1224</v>
      </c>
      <c r="E522">
        <v>1139147</v>
      </c>
      <c r="F522">
        <v>238100</v>
      </c>
      <c r="G522">
        <v>1377247</v>
      </c>
      <c r="H522">
        <v>843</v>
      </c>
      <c r="I522">
        <v>6</v>
      </c>
      <c r="J522">
        <v>849</v>
      </c>
      <c r="K522" t="b">
        <f>TrafficData[[#This Row],[disposedChallan]]+TrafficData[[#This Row],[pendingChallan]]=TrafficData[[#This Row],[totalChallan]]</f>
        <v>1</v>
      </c>
      <c r="L522" t="b">
        <f>TrafficData[[#This Row],[pendingAmount]]+TrafficData[[#This Row],[disposedAmount]]=TrafficData[[#This Row],[totalAmount]]</f>
        <v>1</v>
      </c>
      <c r="M522" t="b">
        <f>TrafficData[[#This Row],[pendingCourt]]+TrafficData[[#This Row],[disposedCourt]]=TrafficData[[#This Row],[totalCourt]]</f>
        <v>1</v>
      </c>
      <c r="N522" t="b">
        <f>AND(TrafficData[[#This Row],[disposedChallan]]&lt;=TrafficData[[#This Row],[totalChallan]],TrafficData[[#This Row],[pendingChallan]]&lt;=TrafficData[[#This Row],[totalChallan]])</f>
        <v>1</v>
      </c>
      <c r="O522" t="b">
        <f>AND(TrafficData[[#This Row],[pendingAmount]]&lt;=TrafficData[[#This Row],[totalAmount]],TrafficData[[#This Row],[disposedAmount]]&lt;=TrafficData[[#This Row],[totalAmount]])</f>
        <v>1</v>
      </c>
      <c r="P522" t="b">
        <f>AND(TrafficData[[#This Row],[pendingCourt]]&lt;=TrafficData[[#This Row],[totalCourt]],TrafficData[[#This Row],[disposedCourt]]&lt;=TrafficData[[#This Row],[totalCourt]])</f>
        <v>1</v>
      </c>
    </row>
    <row r="523" spans="1:16">
      <c r="A523" s="1">
        <v>42526</v>
      </c>
      <c r="B523">
        <v>591</v>
      </c>
      <c r="C523">
        <v>56</v>
      </c>
      <c r="D523">
        <v>535</v>
      </c>
      <c r="E523">
        <v>1022950</v>
      </c>
      <c r="F523">
        <v>130620</v>
      </c>
      <c r="G523">
        <v>1153570</v>
      </c>
      <c r="H523">
        <v>325</v>
      </c>
      <c r="I523">
        <v>12</v>
      </c>
      <c r="J523">
        <v>337</v>
      </c>
      <c r="K523" t="b">
        <f>TrafficData[[#This Row],[disposedChallan]]+TrafficData[[#This Row],[pendingChallan]]=TrafficData[[#This Row],[totalChallan]]</f>
        <v>1</v>
      </c>
      <c r="L523" t="b">
        <f>TrafficData[[#This Row],[pendingAmount]]+TrafficData[[#This Row],[disposedAmount]]=TrafficData[[#This Row],[totalAmount]]</f>
        <v>1</v>
      </c>
      <c r="M523" t="b">
        <f>TrafficData[[#This Row],[pendingCourt]]+TrafficData[[#This Row],[disposedCourt]]=TrafficData[[#This Row],[totalCourt]]</f>
        <v>1</v>
      </c>
      <c r="N523" t="b">
        <f>AND(TrafficData[[#This Row],[disposedChallan]]&lt;=TrafficData[[#This Row],[totalChallan]],TrafficData[[#This Row],[pendingChallan]]&lt;=TrafficData[[#This Row],[totalChallan]])</f>
        <v>1</v>
      </c>
      <c r="O523" t="b">
        <f>AND(TrafficData[[#This Row],[pendingAmount]]&lt;=TrafficData[[#This Row],[totalAmount]],TrafficData[[#This Row],[disposedAmount]]&lt;=TrafficData[[#This Row],[totalAmount]])</f>
        <v>1</v>
      </c>
      <c r="P523" t="b">
        <f>AND(TrafficData[[#This Row],[pendingCourt]]&lt;=TrafficData[[#This Row],[totalCourt]],TrafficData[[#This Row],[disposedCourt]]&lt;=TrafficData[[#This Row],[totalCourt]])</f>
        <v>1</v>
      </c>
    </row>
    <row r="524" spans="1:16">
      <c r="A524" s="1">
        <v>42527</v>
      </c>
      <c r="B524">
        <v>987</v>
      </c>
      <c r="C524">
        <v>136</v>
      </c>
      <c r="D524">
        <v>851</v>
      </c>
      <c r="E524">
        <v>1558250</v>
      </c>
      <c r="F524">
        <v>534350</v>
      </c>
      <c r="G524">
        <v>2092600</v>
      </c>
      <c r="H524">
        <v>503</v>
      </c>
      <c r="I524">
        <v>27</v>
      </c>
      <c r="J524">
        <v>530</v>
      </c>
      <c r="K524" t="b">
        <f>TrafficData[[#This Row],[disposedChallan]]+TrafficData[[#This Row],[pendingChallan]]=TrafficData[[#This Row],[totalChallan]]</f>
        <v>1</v>
      </c>
      <c r="L524" t="b">
        <f>TrafficData[[#This Row],[pendingAmount]]+TrafficData[[#This Row],[disposedAmount]]=TrafficData[[#This Row],[totalAmount]]</f>
        <v>1</v>
      </c>
      <c r="M524" t="b">
        <f>TrafficData[[#This Row],[pendingCourt]]+TrafficData[[#This Row],[disposedCourt]]=TrafficData[[#This Row],[totalCourt]]</f>
        <v>1</v>
      </c>
      <c r="N524" t="b">
        <f>AND(TrafficData[[#This Row],[disposedChallan]]&lt;=TrafficData[[#This Row],[totalChallan]],TrafficData[[#This Row],[pendingChallan]]&lt;=TrafficData[[#This Row],[totalChallan]])</f>
        <v>1</v>
      </c>
      <c r="O524" t="b">
        <f>AND(TrafficData[[#This Row],[pendingAmount]]&lt;=TrafficData[[#This Row],[totalAmount]],TrafficData[[#This Row],[disposedAmount]]&lt;=TrafficData[[#This Row],[totalAmount]])</f>
        <v>1</v>
      </c>
      <c r="P524" t="b">
        <f>AND(TrafficData[[#This Row],[pendingCourt]]&lt;=TrafficData[[#This Row],[totalCourt]],TrafficData[[#This Row],[disposedCourt]]&lt;=TrafficData[[#This Row],[totalCourt]])</f>
        <v>1</v>
      </c>
    </row>
    <row r="525" spans="1:16">
      <c r="A525" s="1">
        <v>42528</v>
      </c>
      <c r="B525">
        <v>1256</v>
      </c>
      <c r="C525">
        <v>158</v>
      </c>
      <c r="D525">
        <v>1098</v>
      </c>
      <c r="E525">
        <v>1162900</v>
      </c>
      <c r="F525">
        <v>254550</v>
      </c>
      <c r="G525">
        <v>1417450</v>
      </c>
      <c r="H525">
        <v>817</v>
      </c>
      <c r="I525">
        <v>53</v>
      </c>
      <c r="J525">
        <v>870</v>
      </c>
      <c r="K525" t="b">
        <f>TrafficData[[#This Row],[disposedChallan]]+TrafficData[[#This Row],[pendingChallan]]=TrafficData[[#This Row],[totalChallan]]</f>
        <v>1</v>
      </c>
      <c r="L525" t="b">
        <f>TrafficData[[#This Row],[pendingAmount]]+TrafficData[[#This Row],[disposedAmount]]=TrafficData[[#This Row],[totalAmount]]</f>
        <v>1</v>
      </c>
      <c r="M525" t="b">
        <f>TrafficData[[#This Row],[pendingCourt]]+TrafficData[[#This Row],[disposedCourt]]=TrafficData[[#This Row],[totalCourt]]</f>
        <v>1</v>
      </c>
      <c r="N525" t="b">
        <f>AND(TrafficData[[#This Row],[disposedChallan]]&lt;=TrafficData[[#This Row],[totalChallan]],TrafficData[[#This Row],[pendingChallan]]&lt;=TrafficData[[#This Row],[totalChallan]])</f>
        <v>1</v>
      </c>
      <c r="O525" t="b">
        <f>AND(TrafficData[[#This Row],[pendingAmount]]&lt;=TrafficData[[#This Row],[totalAmount]],TrafficData[[#This Row],[disposedAmount]]&lt;=TrafficData[[#This Row],[totalAmount]])</f>
        <v>1</v>
      </c>
      <c r="P525" t="b">
        <f>AND(TrafficData[[#This Row],[pendingCourt]]&lt;=TrafficData[[#This Row],[totalCourt]],TrafficData[[#This Row],[disposedCourt]]&lt;=TrafficData[[#This Row],[totalCourt]])</f>
        <v>1</v>
      </c>
    </row>
    <row r="526" spans="1:16">
      <c r="A526" s="1">
        <v>42529</v>
      </c>
      <c r="B526">
        <v>1179</v>
      </c>
      <c r="C526">
        <v>121</v>
      </c>
      <c r="D526">
        <v>1058</v>
      </c>
      <c r="E526">
        <v>1487410</v>
      </c>
      <c r="F526">
        <v>226200</v>
      </c>
      <c r="G526">
        <v>1713610</v>
      </c>
      <c r="H526">
        <v>749</v>
      </c>
      <c r="I526">
        <v>39</v>
      </c>
      <c r="J526">
        <v>788</v>
      </c>
      <c r="K526" t="b">
        <f>TrafficData[[#This Row],[disposedChallan]]+TrafficData[[#This Row],[pendingChallan]]=TrafficData[[#This Row],[totalChallan]]</f>
        <v>1</v>
      </c>
      <c r="L526" t="b">
        <f>TrafficData[[#This Row],[pendingAmount]]+TrafficData[[#This Row],[disposedAmount]]=TrafficData[[#This Row],[totalAmount]]</f>
        <v>1</v>
      </c>
      <c r="M526" t="b">
        <f>TrafficData[[#This Row],[pendingCourt]]+TrafficData[[#This Row],[disposedCourt]]=TrafficData[[#This Row],[totalCourt]]</f>
        <v>1</v>
      </c>
      <c r="N526" t="b">
        <f>AND(TrafficData[[#This Row],[disposedChallan]]&lt;=TrafficData[[#This Row],[totalChallan]],TrafficData[[#This Row],[pendingChallan]]&lt;=TrafficData[[#This Row],[totalChallan]])</f>
        <v>1</v>
      </c>
      <c r="O526" t="b">
        <f>AND(TrafficData[[#This Row],[pendingAmount]]&lt;=TrafficData[[#This Row],[totalAmount]],TrafficData[[#This Row],[disposedAmount]]&lt;=TrafficData[[#This Row],[totalAmount]])</f>
        <v>1</v>
      </c>
      <c r="P526" t="b">
        <f>AND(TrafficData[[#This Row],[pendingCourt]]&lt;=TrafficData[[#This Row],[totalCourt]],TrafficData[[#This Row],[disposedCourt]]&lt;=TrafficData[[#This Row],[totalCourt]])</f>
        <v>1</v>
      </c>
    </row>
    <row r="527" spans="1:16">
      <c r="A527" s="1">
        <v>42530</v>
      </c>
      <c r="B527">
        <v>994</v>
      </c>
      <c r="C527">
        <v>130</v>
      </c>
      <c r="D527">
        <v>864</v>
      </c>
      <c r="E527">
        <v>1132419</v>
      </c>
      <c r="F527">
        <v>287380</v>
      </c>
      <c r="G527">
        <v>1419799</v>
      </c>
      <c r="H527">
        <v>586</v>
      </c>
      <c r="I527">
        <v>33</v>
      </c>
      <c r="J527">
        <v>619</v>
      </c>
      <c r="K527" t="b">
        <f>TrafficData[[#This Row],[disposedChallan]]+TrafficData[[#This Row],[pendingChallan]]=TrafficData[[#This Row],[totalChallan]]</f>
        <v>1</v>
      </c>
      <c r="L527" t="b">
        <f>TrafficData[[#This Row],[pendingAmount]]+TrafficData[[#This Row],[disposedAmount]]=TrafficData[[#This Row],[totalAmount]]</f>
        <v>1</v>
      </c>
      <c r="M527" t="b">
        <f>TrafficData[[#This Row],[pendingCourt]]+TrafficData[[#This Row],[disposedCourt]]=TrafficData[[#This Row],[totalCourt]]</f>
        <v>1</v>
      </c>
      <c r="N527" t="b">
        <f>AND(TrafficData[[#This Row],[disposedChallan]]&lt;=TrafficData[[#This Row],[totalChallan]],TrafficData[[#This Row],[pendingChallan]]&lt;=TrafficData[[#This Row],[totalChallan]])</f>
        <v>1</v>
      </c>
      <c r="O527" t="b">
        <f>AND(TrafficData[[#This Row],[pendingAmount]]&lt;=TrafficData[[#This Row],[totalAmount]],TrafficData[[#This Row],[disposedAmount]]&lt;=TrafficData[[#This Row],[totalAmount]])</f>
        <v>1</v>
      </c>
      <c r="P527" t="b">
        <f>AND(TrafficData[[#This Row],[pendingCourt]]&lt;=TrafficData[[#This Row],[totalCourt]],TrafficData[[#This Row],[disposedCourt]]&lt;=TrafficData[[#This Row],[totalCourt]])</f>
        <v>1</v>
      </c>
    </row>
    <row r="528" spans="1:16">
      <c r="A528" s="1">
        <v>42531</v>
      </c>
      <c r="B528">
        <v>1088</v>
      </c>
      <c r="C528">
        <v>157</v>
      </c>
      <c r="D528">
        <v>931</v>
      </c>
      <c r="E528">
        <v>957250</v>
      </c>
      <c r="F528">
        <v>342350</v>
      </c>
      <c r="G528">
        <v>1299600</v>
      </c>
      <c r="H528">
        <v>663</v>
      </c>
      <c r="I528">
        <v>38</v>
      </c>
      <c r="J528">
        <v>701</v>
      </c>
      <c r="K528" t="b">
        <f>TrafficData[[#This Row],[disposedChallan]]+TrafficData[[#This Row],[pendingChallan]]=TrafficData[[#This Row],[totalChallan]]</f>
        <v>1</v>
      </c>
      <c r="L528" t="b">
        <f>TrafficData[[#This Row],[pendingAmount]]+TrafficData[[#This Row],[disposedAmount]]=TrafficData[[#This Row],[totalAmount]]</f>
        <v>1</v>
      </c>
      <c r="M528" t="b">
        <f>TrafficData[[#This Row],[pendingCourt]]+TrafficData[[#This Row],[disposedCourt]]=TrafficData[[#This Row],[totalCourt]]</f>
        <v>1</v>
      </c>
      <c r="N528" t="b">
        <f>AND(TrafficData[[#This Row],[disposedChallan]]&lt;=TrafficData[[#This Row],[totalChallan]],TrafficData[[#This Row],[pendingChallan]]&lt;=TrafficData[[#This Row],[totalChallan]])</f>
        <v>1</v>
      </c>
      <c r="O528" t="b">
        <f>AND(TrafficData[[#This Row],[pendingAmount]]&lt;=TrafficData[[#This Row],[totalAmount]],TrafficData[[#This Row],[disposedAmount]]&lt;=TrafficData[[#This Row],[totalAmount]])</f>
        <v>1</v>
      </c>
      <c r="P528" t="b">
        <f>AND(TrafficData[[#This Row],[pendingCourt]]&lt;=TrafficData[[#This Row],[totalCourt]],TrafficData[[#This Row],[disposedCourt]]&lt;=TrafficData[[#This Row],[totalCourt]])</f>
        <v>1</v>
      </c>
    </row>
    <row r="529" spans="1:16">
      <c r="A529" s="1">
        <v>42532</v>
      </c>
      <c r="B529">
        <v>922</v>
      </c>
      <c r="C529">
        <v>135</v>
      </c>
      <c r="D529">
        <v>787</v>
      </c>
      <c r="E529">
        <v>805550</v>
      </c>
      <c r="F529">
        <v>223550</v>
      </c>
      <c r="G529">
        <v>1029100</v>
      </c>
      <c r="H529">
        <v>585</v>
      </c>
      <c r="I529">
        <v>40</v>
      </c>
      <c r="J529">
        <v>625</v>
      </c>
      <c r="K529" t="b">
        <f>TrafficData[[#This Row],[disposedChallan]]+TrafficData[[#This Row],[pendingChallan]]=TrafficData[[#This Row],[totalChallan]]</f>
        <v>1</v>
      </c>
      <c r="L529" t="b">
        <f>TrafficData[[#This Row],[pendingAmount]]+TrafficData[[#This Row],[disposedAmount]]=TrafficData[[#This Row],[totalAmount]]</f>
        <v>1</v>
      </c>
      <c r="M529" t="b">
        <f>TrafficData[[#This Row],[pendingCourt]]+TrafficData[[#This Row],[disposedCourt]]=TrafficData[[#This Row],[totalCourt]]</f>
        <v>1</v>
      </c>
      <c r="N529" t="b">
        <f>AND(TrafficData[[#This Row],[disposedChallan]]&lt;=TrafficData[[#This Row],[totalChallan]],TrafficData[[#This Row],[pendingChallan]]&lt;=TrafficData[[#This Row],[totalChallan]])</f>
        <v>1</v>
      </c>
      <c r="O529" t="b">
        <f>AND(TrafficData[[#This Row],[pendingAmount]]&lt;=TrafficData[[#This Row],[totalAmount]],TrafficData[[#This Row],[disposedAmount]]&lt;=TrafficData[[#This Row],[totalAmount]])</f>
        <v>1</v>
      </c>
      <c r="P529" t="b">
        <f>AND(TrafficData[[#This Row],[pendingCourt]]&lt;=TrafficData[[#This Row],[totalCourt]],TrafficData[[#This Row],[disposedCourt]]&lt;=TrafficData[[#This Row],[totalCourt]])</f>
        <v>1</v>
      </c>
    </row>
    <row r="530" spans="1:16">
      <c r="A530" s="1">
        <v>42533</v>
      </c>
      <c r="B530">
        <v>742</v>
      </c>
      <c r="C530">
        <v>103</v>
      </c>
      <c r="D530">
        <v>639</v>
      </c>
      <c r="E530">
        <v>710850</v>
      </c>
      <c r="F530">
        <v>188150</v>
      </c>
      <c r="G530">
        <v>899000</v>
      </c>
      <c r="H530">
        <v>478</v>
      </c>
      <c r="I530">
        <v>14</v>
      </c>
      <c r="J530">
        <v>492</v>
      </c>
      <c r="K530" t="b">
        <f>TrafficData[[#This Row],[disposedChallan]]+TrafficData[[#This Row],[pendingChallan]]=TrafficData[[#This Row],[totalChallan]]</f>
        <v>1</v>
      </c>
      <c r="L530" t="b">
        <f>TrafficData[[#This Row],[pendingAmount]]+TrafficData[[#This Row],[disposedAmount]]=TrafficData[[#This Row],[totalAmount]]</f>
        <v>1</v>
      </c>
      <c r="M530" t="b">
        <f>TrafficData[[#This Row],[pendingCourt]]+TrafficData[[#This Row],[disposedCourt]]=TrafficData[[#This Row],[totalCourt]]</f>
        <v>1</v>
      </c>
      <c r="N530" t="b">
        <f>AND(TrafficData[[#This Row],[disposedChallan]]&lt;=TrafficData[[#This Row],[totalChallan]],TrafficData[[#This Row],[pendingChallan]]&lt;=TrafficData[[#This Row],[totalChallan]])</f>
        <v>1</v>
      </c>
      <c r="O530" t="b">
        <f>AND(TrafficData[[#This Row],[pendingAmount]]&lt;=TrafficData[[#This Row],[totalAmount]],TrafficData[[#This Row],[disposedAmount]]&lt;=TrafficData[[#This Row],[totalAmount]])</f>
        <v>1</v>
      </c>
      <c r="P530" t="b">
        <f>AND(TrafficData[[#This Row],[pendingCourt]]&lt;=TrafficData[[#This Row],[totalCourt]],TrafficData[[#This Row],[disposedCourt]]&lt;=TrafficData[[#This Row],[totalCourt]])</f>
        <v>1</v>
      </c>
    </row>
    <row r="531" spans="1:16">
      <c r="A531" s="1">
        <v>42534</v>
      </c>
      <c r="B531">
        <v>788</v>
      </c>
      <c r="C531">
        <v>89</v>
      </c>
      <c r="D531">
        <v>699</v>
      </c>
      <c r="E531">
        <v>1220500</v>
      </c>
      <c r="F531">
        <v>84700</v>
      </c>
      <c r="G531">
        <v>1305200</v>
      </c>
      <c r="H531">
        <v>453</v>
      </c>
      <c r="I531">
        <v>27</v>
      </c>
      <c r="J531">
        <v>480</v>
      </c>
      <c r="K531" t="b">
        <f>TrafficData[[#This Row],[disposedChallan]]+TrafficData[[#This Row],[pendingChallan]]=TrafficData[[#This Row],[totalChallan]]</f>
        <v>1</v>
      </c>
      <c r="L531" t="b">
        <f>TrafficData[[#This Row],[pendingAmount]]+TrafficData[[#This Row],[disposedAmount]]=TrafficData[[#This Row],[totalAmount]]</f>
        <v>1</v>
      </c>
      <c r="M531" t="b">
        <f>TrafficData[[#This Row],[pendingCourt]]+TrafficData[[#This Row],[disposedCourt]]=TrafficData[[#This Row],[totalCourt]]</f>
        <v>1</v>
      </c>
      <c r="N531" t="b">
        <f>AND(TrafficData[[#This Row],[disposedChallan]]&lt;=TrafficData[[#This Row],[totalChallan]],TrafficData[[#This Row],[pendingChallan]]&lt;=TrafficData[[#This Row],[totalChallan]])</f>
        <v>1</v>
      </c>
      <c r="O531" t="b">
        <f>AND(TrafficData[[#This Row],[pendingAmount]]&lt;=TrafficData[[#This Row],[totalAmount]],TrafficData[[#This Row],[disposedAmount]]&lt;=TrafficData[[#This Row],[totalAmount]])</f>
        <v>1</v>
      </c>
      <c r="P531" t="b">
        <f>AND(TrafficData[[#This Row],[pendingCourt]]&lt;=TrafficData[[#This Row],[totalCourt]],TrafficData[[#This Row],[disposedCourt]]&lt;=TrafficData[[#This Row],[totalCourt]])</f>
        <v>1</v>
      </c>
    </row>
    <row r="532" spans="1:16">
      <c r="A532" s="1">
        <v>42535</v>
      </c>
      <c r="B532">
        <v>1406</v>
      </c>
      <c r="C532">
        <v>177</v>
      </c>
      <c r="D532">
        <v>1229</v>
      </c>
      <c r="E532">
        <v>1496250</v>
      </c>
      <c r="F532">
        <v>388950</v>
      </c>
      <c r="G532">
        <v>1885200</v>
      </c>
      <c r="H532">
        <v>939</v>
      </c>
      <c r="I532">
        <v>30</v>
      </c>
      <c r="J532">
        <v>969</v>
      </c>
      <c r="K532" t="b">
        <f>TrafficData[[#This Row],[disposedChallan]]+TrafficData[[#This Row],[pendingChallan]]=TrafficData[[#This Row],[totalChallan]]</f>
        <v>1</v>
      </c>
      <c r="L532" t="b">
        <f>TrafficData[[#This Row],[pendingAmount]]+TrafficData[[#This Row],[disposedAmount]]=TrafficData[[#This Row],[totalAmount]]</f>
        <v>1</v>
      </c>
      <c r="M532" t="b">
        <f>TrafficData[[#This Row],[pendingCourt]]+TrafficData[[#This Row],[disposedCourt]]=TrafficData[[#This Row],[totalCourt]]</f>
        <v>1</v>
      </c>
      <c r="N532" t="b">
        <f>AND(TrafficData[[#This Row],[disposedChallan]]&lt;=TrafficData[[#This Row],[totalChallan]],TrafficData[[#This Row],[pendingChallan]]&lt;=TrafficData[[#This Row],[totalChallan]])</f>
        <v>1</v>
      </c>
      <c r="O532" t="b">
        <f>AND(TrafficData[[#This Row],[pendingAmount]]&lt;=TrafficData[[#This Row],[totalAmount]],TrafficData[[#This Row],[disposedAmount]]&lt;=TrafficData[[#This Row],[totalAmount]])</f>
        <v>1</v>
      </c>
      <c r="P532" t="b">
        <f>AND(TrafficData[[#This Row],[pendingCourt]]&lt;=TrafficData[[#This Row],[totalCourt]],TrafficData[[#This Row],[disposedCourt]]&lt;=TrafficData[[#This Row],[totalCourt]])</f>
        <v>1</v>
      </c>
    </row>
    <row r="533" spans="1:16">
      <c r="A533" s="1">
        <v>42536</v>
      </c>
      <c r="B533">
        <v>1182</v>
      </c>
      <c r="C533">
        <v>209</v>
      </c>
      <c r="D533">
        <v>973</v>
      </c>
      <c r="E533">
        <v>1294355</v>
      </c>
      <c r="F533">
        <v>396160</v>
      </c>
      <c r="G533">
        <v>1690515</v>
      </c>
      <c r="H533">
        <v>679</v>
      </c>
      <c r="I533">
        <v>28</v>
      </c>
      <c r="J533">
        <v>707</v>
      </c>
      <c r="K533" t="b">
        <f>TrafficData[[#This Row],[disposedChallan]]+TrafficData[[#This Row],[pendingChallan]]=TrafficData[[#This Row],[totalChallan]]</f>
        <v>1</v>
      </c>
      <c r="L533" t="b">
        <f>TrafficData[[#This Row],[pendingAmount]]+TrafficData[[#This Row],[disposedAmount]]=TrafficData[[#This Row],[totalAmount]]</f>
        <v>1</v>
      </c>
      <c r="M533" t="b">
        <f>TrafficData[[#This Row],[pendingCourt]]+TrafficData[[#This Row],[disposedCourt]]=TrafficData[[#This Row],[totalCourt]]</f>
        <v>1</v>
      </c>
      <c r="N533" t="b">
        <f>AND(TrafficData[[#This Row],[disposedChallan]]&lt;=TrafficData[[#This Row],[totalChallan]],TrafficData[[#This Row],[pendingChallan]]&lt;=TrafficData[[#This Row],[totalChallan]])</f>
        <v>1</v>
      </c>
      <c r="O533" t="b">
        <f>AND(TrafficData[[#This Row],[pendingAmount]]&lt;=TrafficData[[#This Row],[totalAmount]],TrafficData[[#This Row],[disposedAmount]]&lt;=TrafficData[[#This Row],[totalAmount]])</f>
        <v>1</v>
      </c>
      <c r="P533" t="b">
        <f>AND(TrafficData[[#This Row],[pendingCourt]]&lt;=TrafficData[[#This Row],[totalCourt]],TrafficData[[#This Row],[disposedCourt]]&lt;=TrafficData[[#This Row],[totalCourt]])</f>
        <v>1</v>
      </c>
    </row>
    <row r="534" spans="1:16">
      <c r="A534" s="1">
        <v>42537</v>
      </c>
      <c r="B534">
        <v>1364</v>
      </c>
      <c r="C534">
        <v>193</v>
      </c>
      <c r="D534">
        <v>1171</v>
      </c>
      <c r="E534">
        <v>1226350</v>
      </c>
      <c r="F534">
        <v>319824</v>
      </c>
      <c r="G534">
        <v>1546174</v>
      </c>
      <c r="H534">
        <v>915</v>
      </c>
      <c r="I534">
        <v>71</v>
      </c>
      <c r="J534">
        <v>986</v>
      </c>
      <c r="K534" t="b">
        <f>TrafficData[[#This Row],[disposedChallan]]+TrafficData[[#This Row],[pendingChallan]]=TrafficData[[#This Row],[totalChallan]]</f>
        <v>1</v>
      </c>
      <c r="L534" t="b">
        <f>TrafficData[[#This Row],[pendingAmount]]+TrafficData[[#This Row],[disposedAmount]]=TrafficData[[#This Row],[totalAmount]]</f>
        <v>1</v>
      </c>
      <c r="M534" t="b">
        <f>TrafficData[[#This Row],[pendingCourt]]+TrafficData[[#This Row],[disposedCourt]]=TrafficData[[#This Row],[totalCourt]]</f>
        <v>1</v>
      </c>
      <c r="N534" t="b">
        <f>AND(TrafficData[[#This Row],[disposedChallan]]&lt;=TrafficData[[#This Row],[totalChallan]],TrafficData[[#This Row],[pendingChallan]]&lt;=TrafficData[[#This Row],[totalChallan]])</f>
        <v>1</v>
      </c>
      <c r="O534" t="b">
        <f>AND(TrafficData[[#This Row],[pendingAmount]]&lt;=TrafficData[[#This Row],[totalAmount]],TrafficData[[#This Row],[disposedAmount]]&lt;=TrafficData[[#This Row],[totalAmount]])</f>
        <v>1</v>
      </c>
      <c r="P534" t="b">
        <f>AND(TrafficData[[#This Row],[pendingCourt]]&lt;=TrafficData[[#This Row],[totalCourt]],TrafficData[[#This Row],[disposedCourt]]&lt;=TrafficData[[#This Row],[totalCourt]])</f>
        <v>1</v>
      </c>
    </row>
    <row r="535" spans="1:16">
      <c r="A535" s="1">
        <v>42538</v>
      </c>
      <c r="B535">
        <v>1067</v>
      </c>
      <c r="C535">
        <v>142</v>
      </c>
      <c r="D535">
        <v>925</v>
      </c>
      <c r="E535">
        <v>1095900</v>
      </c>
      <c r="F535">
        <v>221800</v>
      </c>
      <c r="G535">
        <v>1317700</v>
      </c>
      <c r="H535">
        <v>677</v>
      </c>
      <c r="I535">
        <v>15</v>
      </c>
      <c r="J535">
        <v>692</v>
      </c>
      <c r="K535" t="b">
        <f>TrafficData[[#This Row],[disposedChallan]]+TrafficData[[#This Row],[pendingChallan]]=TrafficData[[#This Row],[totalChallan]]</f>
        <v>1</v>
      </c>
      <c r="L535" t="b">
        <f>TrafficData[[#This Row],[pendingAmount]]+TrafficData[[#This Row],[disposedAmount]]=TrafficData[[#This Row],[totalAmount]]</f>
        <v>1</v>
      </c>
      <c r="M535" t="b">
        <f>TrafficData[[#This Row],[pendingCourt]]+TrafficData[[#This Row],[disposedCourt]]=TrafficData[[#This Row],[totalCourt]]</f>
        <v>1</v>
      </c>
      <c r="N535" t="b">
        <f>AND(TrafficData[[#This Row],[disposedChallan]]&lt;=TrafficData[[#This Row],[totalChallan]],TrafficData[[#This Row],[pendingChallan]]&lt;=TrafficData[[#This Row],[totalChallan]])</f>
        <v>1</v>
      </c>
      <c r="O535" t="b">
        <f>AND(TrafficData[[#This Row],[pendingAmount]]&lt;=TrafficData[[#This Row],[totalAmount]],TrafficData[[#This Row],[disposedAmount]]&lt;=TrafficData[[#This Row],[totalAmount]])</f>
        <v>1</v>
      </c>
      <c r="P535" t="b">
        <f>AND(TrafficData[[#This Row],[pendingCourt]]&lt;=TrafficData[[#This Row],[totalCourt]],TrafficData[[#This Row],[disposedCourt]]&lt;=TrafficData[[#This Row],[totalCourt]])</f>
        <v>1</v>
      </c>
    </row>
    <row r="536" spans="1:16">
      <c r="A536" s="1">
        <v>42539</v>
      </c>
      <c r="B536">
        <v>841</v>
      </c>
      <c r="C536">
        <v>131</v>
      </c>
      <c r="D536">
        <v>710</v>
      </c>
      <c r="E536">
        <v>1218950</v>
      </c>
      <c r="F536">
        <v>410000</v>
      </c>
      <c r="G536">
        <v>1628950</v>
      </c>
      <c r="H536">
        <v>516</v>
      </c>
      <c r="I536">
        <v>13</v>
      </c>
      <c r="J536">
        <v>529</v>
      </c>
      <c r="K536" t="b">
        <f>TrafficData[[#This Row],[disposedChallan]]+TrafficData[[#This Row],[pendingChallan]]=TrafficData[[#This Row],[totalChallan]]</f>
        <v>1</v>
      </c>
      <c r="L536" t="b">
        <f>TrafficData[[#This Row],[pendingAmount]]+TrafficData[[#This Row],[disposedAmount]]=TrafficData[[#This Row],[totalAmount]]</f>
        <v>1</v>
      </c>
      <c r="M536" t="b">
        <f>TrafficData[[#This Row],[pendingCourt]]+TrafficData[[#This Row],[disposedCourt]]=TrafficData[[#This Row],[totalCourt]]</f>
        <v>1</v>
      </c>
      <c r="N536" t="b">
        <f>AND(TrafficData[[#This Row],[disposedChallan]]&lt;=TrafficData[[#This Row],[totalChallan]],TrafficData[[#This Row],[pendingChallan]]&lt;=TrafficData[[#This Row],[totalChallan]])</f>
        <v>1</v>
      </c>
      <c r="O536" t="b">
        <f>AND(TrafficData[[#This Row],[pendingAmount]]&lt;=TrafficData[[#This Row],[totalAmount]],TrafficData[[#This Row],[disposedAmount]]&lt;=TrafficData[[#This Row],[totalAmount]])</f>
        <v>1</v>
      </c>
      <c r="P536" t="b">
        <f>AND(TrafficData[[#This Row],[pendingCourt]]&lt;=TrafficData[[#This Row],[totalCourt]],TrafficData[[#This Row],[disposedCourt]]&lt;=TrafficData[[#This Row],[totalCourt]])</f>
        <v>1</v>
      </c>
    </row>
    <row r="537" spans="1:16">
      <c r="A537" s="1">
        <v>42540</v>
      </c>
      <c r="B537">
        <v>411</v>
      </c>
      <c r="C537">
        <v>61</v>
      </c>
      <c r="D537">
        <v>350</v>
      </c>
      <c r="E537">
        <v>601201</v>
      </c>
      <c r="F537">
        <v>189300</v>
      </c>
      <c r="G537">
        <v>790501</v>
      </c>
      <c r="H537">
        <v>247</v>
      </c>
      <c r="I537">
        <v>4</v>
      </c>
      <c r="J537">
        <v>251</v>
      </c>
      <c r="K537" t="b">
        <f>TrafficData[[#This Row],[disposedChallan]]+TrafficData[[#This Row],[pendingChallan]]=TrafficData[[#This Row],[totalChallan]]</f>
        <v>1</v>
      </c>
      <c r="L537" t="b">
        <f>TrafficData[[#This Row],[pendingAmount]]+TrafficData[[#This Row],[disposedAmount]]=TrafficData[[#This Row],[totalAmount]]</f>
        <v>1</v>
      </c>
      <c r="M537" t="b">
        <f>TrafficData[[#This Row],[pendingCourt]]+TrafficData[[#This Row],[disposedCourt]]=TrafficData[[#This Row],[totalCourt]]</f>
        <v>1</v>
      </c>
      <c r="N537" t="b">
        <f>AND(TrafficData[[#This Row],[disposedChallan]]&lt;=TrafficData[[#This Row],[totalChallan]],TrafficData[[#This Row],[pendingChallan]]&lt;=TrafficData[[#This Row],[totalChallan]])</f>
        <v>1</v>
      </c>
      <c r="O537" t="b">
        <f>AND(TrafficData[[#This Row],[pendingAmount]]&lt;=TrafficData[[#This Row],[totalAmount]],TrafficData[[#This Row],[disposedAmount]]&lt;=TrafficData[[#This Row],[totalAmount]])</f>
        <v>1</v>
      </c>
      <c r="P537" t="b">
        <f>AND(TrafficData[[#This Row],[pendingCourt]]&lt;=TrafficData[[#This Row],[totalCourt]],TrafficData[[#This Row],[disposedCourt]]&lt;=TrafficData[[#This Row],[totalCourt]])</f>
        <v>1</v>
      </c>
    </row>
    <row r="538" spans="1:16">
      <c r="A538" s="1">
        <v>42541</v>
      </c>
      <c r="B538">
        <v>672</v>
      </c>
      <c r="C538">
        <v>78</v>
      </c>
      <c r="D538">
        <v>594</v>
      </c>
      <c r="E538">
        <v>768625</v>
      </c>
      <c r="F538">
        <v>183975</v>
      </c>
      <c r="G538">
        <v>952600</v>
      </c>
      <c r="H538">
        <v>377</v>
      </c>
      <c r="I538">
        <v>5</v>
      </c>
      <c r="J538">
        <v>382</v>
      </c>
      <c r="K538" t="b">
        <f>TrafficData[[#This Row],[disposedChallan]]+TrafficData[[#This Row],[pendingChallan]]=TrafficData[[#This Row],[totalChallan]]</f>
        <v>1</v>
      </c>
      <c r="L538" t="b">
        <f>TrafficData[[#This Row],[pendingAmount]]+TrafficData[[#This Row],[disposedAmount]]=TrafficData[[#This Row],[totalAmount]]</f>
        <v>1</v>
      </c>
      <c r="M538" t="b">
        <f>TrafficData[[#This Row],[pendingCourt]]+TrafficData[[#This Row],[disposedCourt]]=TrafficData[[#This Row],[totalCourt]]</f>
        <v>1</v>
      </c>
      <c r="N538" t="b">
        <f>AND(TrafficData[[#This Row],[disposedChallan]]&lt;=TrafficData[[#This Row],[totalChallan]],TrafficData[[#This Row],[pendingChallan]]&lt;=TrafficData[[#This Row],[totalChallan]])</f>
        <v>1</v>
      </c>
      <c r="O538" t="b">
        <f>AND(TrafficData[[#This Row],[pendingAmount]]&lt;=TrafficData[[#This Row],[totalAmount]],TrafficData[[#This Row],[disposedAmount]]&lt;=TrafficData[[#This Row],[totalAmount]])</f>
        <v>1</v>
      </c>
      <c r="P538" t="b">
        <f>AND(TrafficData[[#This Row],[pendingCourt]]&lt;=TrafficData[[#This Row],[totalCourt]],TrafficData[[#This Row],[disposedCourt]]&lt;=TrafficData[[#This Row],[totalCourt]])</f>
        <v>1</v>
      </c>
    </row>
    <row r="539" spans="1:16">
      <c r="A539" s="1">
        <v>42542</v>
      </c>
      <c r="B539">
        <v>916</v>
      </c>
      <c r="C539">
        <v>132</v>
      </c>
      <c r="D539">
        <v>784</v>
      </c>
      <c r="E539">
        <v>950300</v>
      </c>
      <c r="F539">
        <v>355340</v>
      </c>
      <c r="G539">
        <v>1305640</v>
      </c>
      <c r="H539">
        <v>520</v>
      </c>
      <c r="I539">
        <v>11</v>
      </c>
      <c r="J539">
        <v>531</v>
      </c>
      <c r="K539" t="b">
        <f>TrafficData[[#This Row],[disposedChallan]]+TrafficData[[#This Row],[pendingChallan]]=TrafficData[[#This Row],[totalChallan]]</f>
        <v>1</v>
      </c>
      <c r="L539" t="b">
        <f>TrafficData[[#This Row],[pendingAmount]]+TrafficData[[#This Row],[disposedAmount]]=TrafficData[[#This Row],[totalAmount]]</f>
        <v>1</v>
      </c>
      <c r="M539" t="b">
        <f>TrafficData[[#This Row],[pendingCourt]]+TrafficData[[#This Row],[disposedCourt]]=TrafficData[[#This Row],[totalCourt]]</f>
        <v>1</v>
      </c>
      <c r="N539" t="b">
        <f>AND(TrafficData[[#This Row],[disposedChallan]]&lt;=TrafficData[[#This Row],[totalChallan]],TrafficData[[#This Row],[pendingChallan]]&lt;=TrafficData[[#This Row],[totalChallan]])</f>
        <v>1</v>
      </c>
      <c r="O539" t="b">
        <f>AND(TrafficData[[#This Row],[pendingAmount]]&lt;=TrafficData[[#This Row],[totalAmount]],TrafficData[[#This Row],[disposedAmount]]&lt;=TrafficData[[#This Row],[totalAmount]])</f>
        <v>1</v>
      </c>
      <c r="P539" t="b">
        <f>AND(TrafficData[[#This Row],[pendingCourt]]&lt;=TrafficData[[#This Row],[totalCourt]],TrafficData[[#This Row],[disposedCourt]]&lt;=TrafficData[[#This Row],[totalCourt]])</f>
        <v>1</v>
      </c>
    </row>
    <row r="540" spans="1:16">
      <c r="A540" s="1">
        <v>42543</v>
      </c>
      <c r="B540">
        <v>1349</v>
      </c>
      <c r="C540">
        <v>127</v>
      </c>
      <c r="D540">
        <v>1222</v>
      </c>
      <c r="E540">
        <v>1270150</v>
      </c>
      <c r="F540">
        <v>267708</v>
      </c>
      <c r="G540">
        <v>1537858</v>
      </c>
      <c r="H540">
        <v>837</v>
      </c>
      <c r="I540">
        <v>36</v>
      </c>
      <c r="J540">
        <v>873</v>
      </c>
      <c r="K540" t="b">
        <f>TrafficData[[#This Row],[disposedChallan]]+TrafficData[[#This Row],[pendingChallan]]=TrafficData[[#This Row],[totalChallan]]</f>
        <v>1</v>
      </c>
      <c r="L540" t="b">
        <f>TrafficData[[#This Row],[pendingAmount]]+TrafficData[[#This Row],[disposedAmount]]=TrafficData[[#This Row],[totalAmount]]</f>
        <v>1</v>
      </c>
      <c r="M540" t="b">
        <f>TrafficData[[#This Row],[pendingCourt]]+TrafficData[[#This Row],[disposedCourt]]=TrafficData[[#This Row],[totalCourt]]</f>
        <v>1</v>
      </c>
      <c r="N540" t="b">
        <f>AND(TrafficData[[#This Row],[disposedChallan]]&lt;=TrafficData[[#This Row],[totalChallan]],TrafficData[[#This Row],[pendingChallan]]&lt;=TrafficData[[#This Row],[totalChallan]])</f>
        <v>1</v>
      </c>
      <c r="O540" t="b">
        <f>AND(TrafficData[[#This Row],[pendingAmount]]&lt;=TrafficData[[#This Row],[totalAmount]],TrafficData[[#This Row],[disposedAmount]]&lt;=TrafficData[[#This Row],[totalAmount]])</f>
        <v>1</v>
      </c>
      <c r="P540" t="b">
        <f>AND(TrafficData[[#This Row],[pendingCourt]]&lt;=TrafficData[[#This Row],[totalCourt]],TrafficData[[#This Row],[disposedCourt]]&lt;=TrafficData[[#This Row],[totalCourt]])</f>
        <v>1</v>
      </c>
    </row>
    <row r="541" spans="1:16">
      <c r="A541" s="1">
        <v>42544</v>
      </c>
      <c r="B541">
        <v>1503</v>
      </c>
      <c r="C541">
        <v>142</v>
      </c>
      <c r="D541">
        <v>1361</v>
      </c>
      <c r="E541">
        <v>1165850</v>
      </c>
      <c r="F541">
        <v>311814</v>
      </c>
      <c r="G541">
        <v>1477664</v>
      </c>
      <c r="H541">
        <v>1038</v>
      </c>
      <c r="I541">
        <v>16</v>
      </c>
      <c r="J541">
        <v>1054</v>
      </c>
      <c r="K541" t="b">
        <f>TrafficData[[#This Row],[disposedChallan]]+TrafficData[[#This Row],[pendingChallan]]=TrafficData[[#This Row],[totalChallan]]</f>
        <v>1</v>
      </c>
      <c r="L541" t="b">
        <f>TrafficData[[#This Row],[pendingAmount]]+TrafficData[[#This Row],[disposedAmount]]=TrafficData[[#This Row],[totalAmount]]</f>
        <v>1</v>
      </c>
      <c r="M541" t="b">
        <f>TrafficData[[#This Row],[pendingCourt]]+TrafficData[[#This Row],[disposedCourt]]=TrafficData[[#This Row],[totalCourt]]</f>
        <v>1</v>
      </c>
      <c r="N541" t="b">
        <f>AND(TrafficData[[#This Row],[disposedChallan]]&lt;=TrafficData[[#This Row],[totalChallan]],TrafficData[[#This Row],[pendingChallan]]&lt;=TrafficData[[#This Row],[totalChallan]])</f>
        <v>1</v>
      </c>
      <c r="O541" t="b">
        <f>AND(TrafficData[[#This Row],[pendingAmount]]&lt;=TrafficData[[#This Row],[totalAmount]],TrafficData[[#This Row],[disposedAmount]]&lt;=TrafficData[[#This Row],[totalAmount]])</f>
        <v>1</v>
      </c>
      <c r="P541" t="b">
        <f>AND(TrafficData[[#This Row],[pendingCourt]]&lt;=TrafficData[[#This Row],[totalCourt]],TrafficData[[#This Row],[disposedCourt]]&lt;=TrafficData[[#This Row],[totalCourt]])</f>
        <v>1</v>
      </c>
    </row>
    <row r="542" spans="1:16">
      <c r="A542" s="1">
        <v>42545</v>
      </c>
      <c r="B542">
        <v>1301</v>
      </c>
      <c r="C542">
        <v>88</v>
      </c>
      <c r="D542">
        <v>1213</v>
      </c>
      <c r="E542">
        <v>917100</v>
      </c>
      <c r="F542">
        <v>293770</v>
      </c>
      <c r="G542">
        <v>1210870</v>
      </c>
      <c r="H542">
        <v>969</v>
      </c>
      <c r="I542">
        <v>20</v>
      </c>
      <c r="J542">
        <v>989</v>
      </c>
      <c r="K542" t="b">
        <f>TrafficData[[#This Row],[disposedChallan]]+TrafficData[[#This Row],[pendingChallan]]=TrafficData[[#This Row],[totalChallan]]</f>
        <v>1</v>
      </c>
      <c r="L542" t="b">
        <f>TrafficData[[#This Row],[pendingAmount]]+TrafficData[[#This Row],[disposedAmount]]=TrafficData[[#This Row],[totalAmount]]</f>
        <v>1</v>
      </c>
      <c r="M542" t="b">
        <f>TrafficData[[#This Row],[pendingCourt]]+TrafficData[[#This Row],[disposedCourt]]=TrafficData[[#This Row],[totalCourt]]</f>
        <v>1</v>
      </c>
      <c r="N542" t="b">
        <f>AND(TrafficData[[#This Row],[disposedChallan]]&lt;=TrafficData[[#This Row],[totalChallan]],TrafficData[[#This Row],[pendingChallan]]&lt;=TrafficData[[#This Row],[totalChallan]])</f>
        <v>1</v>
      </c>
      <c r="O542" t="b">
        <f>AND(TrafficData[[#This Row],[pendingAmount]]&lt;=TrafficData[[#This Row],[totalAmount]],TrafficData[[#This Row],[disposedAmount]]&lt;=TrafficData[[#This Row],[totalAmount]])</f>
        <v>1</v>
      </c>
      <c r="P542" t="b">
        <f>AND(TrafficData[[#This Row],[pendingCourt]]&lt;=TrafficData[[#This Row],[totalCourt]],TrafficData[[#This Row],[disposedCourt]]&lt;=TrafficData[[#This Row],[totalCourt]])</f>
        <v>1</v>
      </c>
    </row>
    <row r="543" spans="1:16">
      <c r="A543" s="1">
        <v>42546</v>
      </c>
      <c r="B543">
        <v>1026</v>
      </c>
      <c r="C543">
        <v>72</v>
      </c>
      <c r="D543">
        <v>954</v>
      </c>
      <c r="E543">
        <v>898450</v>
      </c>
      <c r="F543">
        <v>258050</v>
      </c>
      <c r="G543">
        <v>1156500</v>
      </c>
      <c r="H543">
        <v>708</v>
      </c>
      <c r="I543">
        <v>7</v>
      </c>
      <c r="J543">
        <v>715</v>
      </c>
      <c r="K543" t="b">
        <f>TrafficData[[#This Row],[disposedChallan]]+TrafficData[[#This Row],[pendingChallan]]=TrafficData[[#This Row],[totalChallan]]</f>
        <v>1</v>
      </c>
      <c r="L543" t="b">
        <f>TrafficData[[#This Row],[pendingAmount]]+TrafficData[[#This Row],[disposedAmount]]=TrafficData[[#This Row],[totalAmount]]</f>
        <v>1</v>
      </c>
      <c r="M543" t="b">
        <f>TrafficData[[#This Row],[pendingCourt]]+TrafficData[[#This Row],[disposedCourt]]=TrafficData[[#This Row],[totalCourt]]</f>
        <v>1</v>
      </c>
      <c r="N543" t="b">
        <f>AND(TrafficData[[#This Row],[disposedChallan]]&lt;=TrafficData[[#This Row],[totalChallan]],TrafficData[[#This Row],[pendingChallan]]&lt;=TrafficData[[#This Row],[totalChallan]])</f>
        <v>1</v>
      </c>
      <c r="O543" t="b">
        <f>AND(TrafficData[[#This Row],[pendingAmount]]&lt;=TrafficData[[#This Row],[totalAmount]],TrafficData[[#This Row],[disposedAmount]]&lt;=TrafficData[[#This Row],[totalAmount]])</f>
        <v>1</v>
      </c>
      <c r="P543" t="b">
        <f>AND(TrafficData[[#This Row],[pendingCourt]]&lt;=TrafficData[[#This Row],[totalCourt]],TrafficData[[#This Row],[disposedCourt]]&lt;=TrafficData[[#This Row],[totalCourt]])</f>
        <v>1</v>
      </c>
    </row>
    <row r="544" spans="1:16">
      <c r="A544" s="1">
        <v>42547</v>
      </c>
      <c r="B544">
        <v>883</v>
      </c>
      <c r="C544">
        <v>66</v>
      </c>
      <c r="D544">
        <v>817</v>
      </c>
      <c r="E544">
        <v>728750</v>
      </c>
      <c r="F544">
        <v>252350</v>
      </c>
      <c r="G544">
        <v>981100</v>
      </c>
      <c r="H544">
        <v>611</v>
      </c>
      <c r="I544">
        <v>7</v>
      </c>
      <c r="J544">
        <v>618</v>
      </c>
      <c r="K544" t="b">
        <f>TrafficData[[#This Row],[disposedChallan]]+TrafficData[[#This Row],[pendingChallan]]=TrafficData[[#This Row],[totalChallan]]</f>
        <v>1</v>
      </c>
      <c r="L544" t="b">
        <f>TrafficData[[#This Row],[pendingAmount]]+TrafficData[[#This Row],[disposedAmount]]=TrafficData[[#This Row],[totalAmount]]</f>
        <v>1</v>
      </c>
      <c r="M544" t="b">
        <f>TrafficData[[#This Row],[pendingCourt]]+TrafficData[[#This Row],[disposedCourt]]=TrafficData[[#This Row],[totalCourt]]</f>
        <v>1</v>
      </c>
      <c r="N544" t="b">
        <f>AND(TrafficData[[#This Row],[disposedChallan]]&lt;=TrafficData[[#This Row],[totalChallan]],TrafficData[[#This Row],[pendingChallan]]&lt;=TrafficData[[#This Row],[totalChallan]])</f>
        <v>1</v>
      </c>
      <c r="O544" t="b">
        <f>AND(TrafficData[[#This Row],[pendingAmount]]&lt;=TrafficData[[#This Row],[totalAmount]],TrafficData[[#This Row],[disposedAmount]]&lt;=TrafficData[[#This Row],[totalAmount]])</f>
        <v>1</v>
      </c>
      <c r="P544" t="b">
        <f>AND(TrafficData[[#This Row],[pendingCourt]]&lt;=TrafficData[[#This Row],[totalCourt]],TrafficData[[#This Row],[disposedCourt]]&lt;=TrafficData[[#This Row],[totalCourt]])</f>
        <v>1</v>
      </c>
    </row>
    <row r="545" spans="1:16">
      <c r="A545" s="1">
        <v>42548</v>
      </c>
      <c r="B545">
        <v>1075</v>
      </c>
      <c r="C545">
        <v>61</v>
      </c>
      <c r="D545">
        <v>1014</v>
      </c>
      <c r="E545">
        <v>861300</v>
      </c>
      <c r="F545">
        <v>123860</v>
      </c>
      <c r="G545">
        <v>985160</v>
      </c>
      <c r="H545">
        <v>723</v>
      </c>
      <c r="I545">
        <v>5</v>
      </c>
      <c r="J545">
        <v>728</v>
      </c>
      <c r="K545" t="b">
        <f>TrafficData[[#This Row],[disposedChallan]]+TrafficData[[#This Row],[pendingChallan]]=TrafficData[[#This Row],[totalChallan]]</f>
        <v>1</v>
      </c>
      <c r="L545" t="b">
        <f>TrafficData[[#This Row],[pendingAmount]]+TrafficData[[#This Row],[disposedAmount]]=TrafficData[[#This Row],[totalAmount]]</f>
        <v>1</v>
      </c>
      <c r="M545" t="b">
        <f>TrafficData[[#This Row],[pendingCourt]]+TrafficData[[#This Row],[disposedCourt]]=TrafficData[[#This Row],[totalCourt]]</f>
        <v>1</v>
      </c>
      <c r="N545" t="b">
        <f>AND(TrafficData[[#This Row],[disposedChallan]]&lt;=TrafficData[[#This Row],[totalChallan]],TrafficData[[#This Row],[pendingChallan]]&lt;=TrafficData[[#This Row],[totalChallan]])</f>
        <v>1</v>
      </c>
      <c r="O545" t="b">
        <f>AND(TrafficData[[#This Row],[pendingAmount]]&lt;=TrafficData[[#This Row],[totalAmount]],TrafficData[[#This Row],[disposedAmount]]&lt;=TrafficData[[#This Row],[totalAmount]])</f>
        <v>1</v>
      </c>
      <c r="P545" t="b">
        <f>AND(TrafficData[[#This Row],[pendingCourt]]&lt;=TrafficData[[#This Row],[totalCourt]],TrafficData[[#This Row],[disposedCourt]]&lt;=TrafficData[[#This Row],[totalCourt]])</f>
        <v>1</v>
      </c>
    </row>
    <row r="546" spans="1:16">
      <c r="A546" s="1">
        <v>42549</v>
      </c>
      <c r="B546">
        <v>1509</v>
      </c>
      <c r="C546">
        <v>72</v>
      </c>
      <c r="D546">
        <v>1437</v>
      </c>
      <c r="E546">
        <v>1066700</v>
      </c>
      <c r="F546">
        <v>356936</v>
      </c>
      <c r="G546">
        <v>1423636</v>
      </c>
      <c r="H546">
        <v>1153</v>
      </c>
      <c r="I546">
        <v>6</v>
      </c>
      <c r="J546">
        <v>1159</v>
      </c>
      <c r="K546" t="b">
        <f>TrafficData[[#This Row],[disposedChallan]]+TrafficData[[#This Row],[pendingChallan]]=TrafficData[[#This Row],[totalChallan]]</f>
        <v>1</v>
      </c>
      <c r="L546" t="b">
        <f>TrafficData[[#This Row],[pendingAmount]]+TrafficData[[#This Row],[disposedAmount]]=TrafficData[[#This Row],[totalAmount]]</f>
        <v>1</v>
      </c>
      <c r="M546" t="b">
        <f>TrafficData[[#This Row],[pendingCourt]]+TrafficData[[#This Row],[disposedCourt]]=TrafficData[[#This Row],[totalCourt]]</f>
        <v>1</v>
      </c>
      <c r="N546" t="b">
        <f>AND(TrafficData[[#This Row],[disposedChallan]]&lt;=TrafficData[[#This Row],[totalChallan]],TrafficData[[#This Row],[pendingChallan]]&lt;=TrafficData[[#This Row],[totalChallan]])</f>
        <v>1</v>
      </c>
      <c r="O546" t="b">
        <f>AND(TrafficData[[#This Row],[pendingAmount]]&lt;=TrafficData[[#This Row],[totalAmount]],TrafficData[[#This Row],[disposedAmount]]&lt;=TrafficData[[#This Row],[totalAmount]])</f>
        <v>1</v>
      </c>
      <c r="P546" t="b">
        <f>AND(TrafficData[[#This Row],[pendingCourt]]&lt;=TrafficData[[#This Row],[totalCourt]],TrafficData[[#This Row],[disposedCourt]]&lt;=TrafficData[[#This Row],[totalCourt]])</f>
        <v>1</v>
      </c>
    </row>
    <row r="547" spans="1:16">
      <c r="A547" s="1">
        <v>42550</v>
      </c>
      <c r="B547">
        <v>1180</v>
      </c>
      <c r="C547">
        <v>74</v>
      </c>
      <c r="D547">
        <v>1106</v>
      </c>
      <c r="E547">
        <v>1206590</v>
      </c>
      <c r="F547">
        <v>197600</v>
      </c>
      <c r="G547">
        <v>1404190</v>
      </c>
      <c r="H547">
        <v>827</v>
      </c>
      <c r="I547">
        <v>3</v>
      </c>
      <c r="J547">
        <v>830</v>
      </c>
      <c r="K547" t="b">
        <f>TrafficData[[#This Row],[disposedChallan]]+TrafficData[[#This Row],[pendingChallan]]=TrafficData[[#This Row],[totalChallan]]</f>
        <v>1</v>
      </c>
      <c r="L547" t="b">
        <f>TrafficData[[#This Row],[pendingAmount]]+TrafficData[[#This Row],[disposedAmount]]=TrafficData[[#This Row],[totalAmount]]</f>
        <v>1</v>
      </c>
      <c r="M547" t="b">
        <f>TrafficData[[#This Row],[pendingCourt]]+TrafficData[[#This Row],[disposedCourt]]=TrafficData[[#This Row],[totalCourt]]</f>
        <v>1</v>
      </c>
      <c r="N547" t="b">
        <f>AND(TrafficData[[#This Row],[disposedChallan]]&lt;=TrafficData[[#This Row],[totalChallan]],TrafficData[[#This Row],[pendingChallan]]&lt;=TrafficData[[#This Row],[totalChallan]])</f>
        <v>1</v>
      </c>
      <c r="O547" t="b">
        <f>AND(TrafficData[[#This Row],[pendingAmount]]&lt;=TrafficData[[#This Row],[totalAmount]],TrafficData[[#This Row],[disposedAmount]]&lt;=TrafficData[[#This Row],[totalAmount]])</f>
        <v>1</v>
      </c>
      <c r="P547" t="b">
        <f>AND(TrafficData[[#This Row],[pendingCourt]]&lt;=TrafficData[[#This Row],[totalCourt]],TrafficData[[#This Row],[disposedCourt]]&lt;=TrafficData[[#This Row],[totalCourt]])</f>
        <v>1</v>
      </c>
    </row>
    <row r="548" spans="1:16">
      <c r="A548" s="1">
        <v>42551</v>
      </c>
      <c r="B548">
        <v>863</v>
      </c>
      <c r="C548">
        <v>72</v>
      </c>
      <c r="D548">
        <v>791</v>
      </c>
      <c r="E548">
        <v>836900</v>
      </c>
      <c r="F548">
        <v>276921</v>
      </c>
      <c r="G548">
        <v>1113821</v>
      </c>
      <c r="H548">
        <v>514</v>
      </c>
      <c r="I548">
        <v>6</v>
      </c>
      <c r="J548">
        <v>520</v>
      </c>
      <c r="K548" t="b">
        <f>TrafficData[[#This Row],[disposedChallan]]+TrafficData[[#This Row],[pendingChallan]]=TrafficData[[#This Row],[totalChallan]]</f>
        <v>1</v>
      </c>
      <c r="L548" t="b">
        <f>TrafficData[[#This Row],[pendingAmount]]+TrafficData[[#This Row],[disposedAmount]]=TrafficData[[#This Row],[totalAmount]]</f>
        <v>1</v>
      </c>
      <c r="M548" t="b">
        <f>TrafficData[[#This Row],[pendingCourt]]+TrafficData[[#This Row],[disposedCourt]]=TrafficData[[#This Row],[totalCourt]]</f>
        <v>1</v>
      </c>
      <c r="N548" t="b">
        <f>AND(TrafficData[[#This Row],[disposedChallan]]&lt;=TrafficData[[#This Row],[totalChallan]],TrafficData[[#This Row],[pendingChallan]]&lt;=TrafficData[[#This Row],[totalChallan]])</f>
        <v>1</v>
      </c>
      <c r="O548" t="b">
        <f>AND(TrafficData[[#This Row],[pendingAmount]]&lt;=TrafficData[[#This Row],[totalAmount]],TrafficData[[#This Row],[disposedAmount]]&lt;=TrafficData[[#This Row],[totalAmount]])</f>
        <v>1</v>
      </c>
      <c r="P548" t="b">
        <f>AND(TrafficData[[#This Row],[pendingCourt]]&lt;=TrafficData[[#This Row],[totalCourt]],TrafficData[[#This Row],[disposedCourt]]&lt;=TrafficData[[#This Row],[totalCourt]])</f>
        <v>1</v>
      </c>
    </row>
    <row r="549" spans="1:16">
      <c r="A549" s="1">
        <v>42552</v>
      </c>
      <c r="B549">
        <v>1057</v>
      </c>
      <c r="C549">
        <v>52</v>
      </c>
      <c r="D549">
        <v>1005</v>
      </c>
      <c r="E549">
        <v>998150</v>
      </c>
      <c r="F549">
        <v>154500</v>
      </c>
      <c r="G549">
        <v>1152650</v>
      </c>
      <c r="H549">
        <v>739</v>
      </c>
      <c r="I549">
        <v>2</v>
      </c>
      <c r="J549">
        <v>741</v>
      </c>
      <c r="K549" t="b">
        <f>TrafficData[[#This Row],[disposedChallan]]+TrafficData[[#This Row],[pendingChallan]]=TrafficData[[#This Row],[totalChallan]]</f>
        <v>1</v>
      </c>
      <c r="L549" t="b">
        <f>TrafficData[[#This Row],[pendingAmount]]+TrafficData[[#This Row],[disposedAmount]]=TrafficData[[#This Row],[totalAmount]]</f>
        <v>1</v>
      </c>
      <c r="M549" t="b">
        <f>TrafficData[[#This Row],[pendingCourt]]+TrafficData[[#This Row],[disposedCourt]]=TrafficData[[#This Row],[totalCourt]]</f>
        <v>1</v>
      </c>
      <c r="N549" t="b">
        <f>AND(TrafficData[[#This Row],[disposedChallan]]&lt;=TrafficData[[#This Row],[totalChallan]],TrafficData[[#This Row],[pendingChallan]]&lt;=TrafficData[[#This Row],[totalChallan]])</f>
        <v>1</v>
      </c>
      <c r="O549" t="b">
        <f>AND(TrafficData[[#This Row],[pendingAmount]]&lt;=TrafficData[[#This Row],[totalAmount]],TrafficData[[#This Row],[disposedAmount]]&lt;=TrafficData[[#This Row],[totalAmount]])</f>
        <v>1</v>
      </c>
      <c r="P549" t="b">
        <f>AND(TrafficData[[#This Row],[pendingCourt]]&lt;=TrafficData[[#This Row],[totalCourt]],TrafficData[[#This Row],[disposedCourt]]&lt;=TrafficData[[#This Row],[totalCourt]])</f>
        <v>1</v>
      </c>
    </row>
    <row r="550" spans="1:16">
      <c r="A550" s="1">
        <v>42553</v>
      </c>
      <c r="B550">
        <v>989</v>
      </c>
      <c r="C550">
        <v>71</v>
      </c>
      <c r="D550">
        <v>918</v>
      </c>
      <c r="E550">
        <v>979100</v>
      </c>
      <c r="F550">
        <v>158200</v>
      </c>
      <c r="G550">
        <v>1137300</v>
      </c>
      <c r="H550">
        <v>682</v>
      </c>
      <c r="I550">
        <v>8</v>
      </c>
      <c r="J550">
        <v>690</v>
      </c>
      <c r="K550" t="b">
        <f>TrafficData[[#This Row],[disposedChallan]]+TrafficData[[#This Row],[pendingChallan]]=TrafficData[[#This Row],[totalChallan]]</f>
        <v>1</v>
      </c>
      <c r="L550" t="b">
        <f>TrafficData[[#This Row],[pendingAmount]]+TrafficData[[#This Row],[disposedAmount]]=TrafficData[[#This Row],[totalAmount]]</f>
        <v>1</v>
      </c>
      <c r="M550" t="b">
        <f>TrafficData[[#This Row],[pendingCourt]]+TrafficData[[#This Row],[disposedCourt]]=TrafficData[[#This Row],[totalCourt]]</f>
        <v>1</v>
      </c>
      <c r="N550" t="b">
        <f>AND(TrafficData[[#This Row],[disposedChallan]]&lt;=TrafficData[[#This Row],[totalChallan]],TrafficData[[#This Row],[pendingChallan]]&lt;=TrafficData[[#This Row],[totalChallan]])</f>
        <v>1</v>
      </c>
      <c r="O550" t="b">
        <f>AND(TrafficData[[#This Row],[pendingAmount]]&lt;=TrafficData[[#This Row],[totalAmount]],TrafficData[[#This Row],[disposedAmount]]&lt;=TrafficData[[#This Row],[totalAmount]])</f>
        <v>1</v>
      </c>
      <c r="P550" t="b">
        <f>AND(TrafficData[[#This Row],[pendingCourt]]&lt;=TrafficData[[#This Row],[totalCourt]],TrafficData[[#This Row],[disposedCourt]]&lt;=TrafficData[[#This Row],[totalCourt]])</f>
        <v>1</v>
      </c>
    </row>
    <row r="551" spans="1:16">
      <c r="A551" s="1">
        <v>42554</v>
      </c>
      <c r="B551">
        <v>607</v>
      </c>
      <c r="C551">
        <v>40</v>
      </c>
      <c r="D551">
        <v>567</v>
      </c>
      <c r="E551">
        <v>441325</v>
      </c>
      <c r="F551">
        <v>94800</v>
      </c>
      <c r="G551">
        <v>536125</v>
      </c>
      <c r="H551">
        <v>459</v>
      </c>
      <c r="I551">
        <v>8</v>
      </c>
      <c r="J551">
        <v>467</v>
      </c>
      <c r="K551" t="b">
        <f>TrafficData[[#This Row],[disposedChallan]]+TrafficData[[#This Row],[pendingChallan]]=TrafficData[[#This Row],[totalChallan]]</f>
        <v>1</v>
      </c>
      <c r="L551" t="b">
        <f>TrafficData[[#This Row],[pendingAmount]]+TrafficData[[#This Row],[disposedAmount]]=TrafficData[[#This Row],[totalAmount]]</f>
        <v>1</v>
      </c>
      <c r="M551" t="b">
        <f>TrafficData[[#This Row],[pendingCourt]]+TrafficData[[#This Row],[disposedCourt]]=TrafficData[[#This Row],[totalCourt]]</f>
        <v>1</v>
      </c>
      <c r="N551" t="b">
        <f>AND(TrafficData[[#This Row],[disposedChallan]]&lt;=TrafficData[[#This Row],[totalChallan]],TrafficData[[#This Row],[pendingChallan]]&lt;=TrafficData[[#This Row],[totalChallan]])</f>
        <v>1</v>
      </c>
      <c r="O551" t="b">
        <f>AND(TrafficData[[#This Row],[pendingAmount]]&lt;=TrafficData[[#This Row],[totalAmount]],TrafficData[[#This Row],[disposedAmount]]&lt;=TrafficData[[#This Row],[totalAmount]])</f>
        <v>1</v>
      </c>
      <c r="P551" t="b">
        <f>AND(TrafficData[[#This Row],[pendingCourt]]&lt;=TrafficData[[#This Row],[totalCourt]],TrafficData[[#This Row],[disposedCourt]]&lt;=TrafficData[[#This Row],[totalCourt]])</f>
        <v>1</v>
      </c>
    </row>
    <row r="552" spans="1:16">
      <c r="A552" s="1">
        <v>42555</v>
      </c>
      <c r="B552">
        <v>963</v>
      </c>
      <c r="C552">
        <v>81</v>
      </c>
      <c r="D552">
        <v>882</v>
      </c>
      <c r="E552">
        <v>784525</v>
      </c>
      <c r="F552">
        <v>191507</v>
      </c>
      <c r="G552">
        <v>976032</v>
      </c>
      <c r="H552">
        <v>634</v>
      </c>
      <c r="I552">
        <v>14</v>
      </c>
      <c r="J552">
        <v>648</v>
      </c>
      <c r="K552" t="b">
        <f>TrafficData[[#This Row],[disposedChallan]]+TrafficData[[#This Row],[pendingChallan]]=TrafficData[[#This Row],[totalChallan]]</f>
        <v>1</v>
      </c>
      <c r="L552" t="b">
        <f>TrafficData[[#This Row],[pendingAmount]]+TrafficData[[#This Row],[disposedAmount]]=TrafficData[[#This Row],[totalAmount]]</f>
        <v>1</v>
      </c>
      <c r="M552" t="b">
        <f>TrafficData[[#This Row],[pendingCourt]]+TrafficData[[#This Row],[disposedCourt]]=TrafficData[[#This Row],[totalCourt]]</f>
        <v>1</v>
      </c>
      <c r="N552" t="b">
        <f>AND(TrafficData[[#This Row],[disposedChallan]]&lt;=TrafficData[[#This Row],[totalChallan]],TrafficData[[#This Row],[pendingChallan]]&lt;=TrafficData[[#This Row],[totalChallan]])</f>
        <v>1</v>
      </c>
      <c r="O552" t="b">
        <f>AND(TrafficData[[#This Row],[pendingAmount]]&lt;=TrafficData[[#This Row],[totalAmount]],TrafficData[[#This Row],[disposedAmount]]&lt;=TrafficData[[#This Row],[totalAmount]])</f>
        <v>1</v>
      </c>
      <c r="P552" t="b">
        <f>AND(TrafficData[[#This Row],[pendingCourt]]&lt;=TrafficData[[#This Row],[totalCourt]],TrafficData[[#This Row],[disposedCourt]]&lt;=TrafficData[[#This Row],[totalCourt]])</f>
        <v>1</v>
      </c>
    </row>
    <row r="553" spans="1:16">
      <c r="A553" s="1">
        <v>42556</v>
      </c>
      <c r="B553">
        <v>1053</v>
      </c>
      <c r="C553">
        <v>70</v>
      </c>
      <c r="D553">
        <v>983</v>
      </c>
      <c r="E553">
        <v>759485</v>
      </c>
      <c r="F553">
        <v>426050</v>
      </c>
      <c r="G553">
        <v>1185535</v>
      </c>
      <c r="H553">
        <v>738</v>
      </c>
      <c r="I553">
        <v>17</v>
      </c>
      <c r="J553">
        <v>755</v>
      </c>
      <c r="K553" t="b">
        <f>TrafficData[[#This Row],[disposedChallan]]+TrafficData[[#This Row],[pendingChallan]]=TrafficData[[#This Row],[totalChallan]]</f>
        <v>1</v>
      </c>
      <c r="L553" t="b">
        <f>TrafficData[[#This Row],[pendingAmount]]+TrafficData[[#This Row],[disposedAmount]]=TrafficData[[#This Row],[totalAmount]]</f>
        <v>1</v>
      </c>
      <c r="M553" t="b">
        <f>TrafficData[[#This Row],[pendingCourt]]+TrafficData[[#This Row],[disposedCourt]]=TrafficData[[#This Row],[totalCourt]]</f>
        <v>1</v>
      </c>
      <c r="N553" t="b">
        <f>AND(TrafficData[[#This Row],[disposedChallan]]&lt;=TrafficData[[#This Row],[totalChallan]],TrafficData[[#This Row],[pendingChallan]]&lt;=TrafficData[[#This Row],[totalChallan]])</f>
        <v>1</v>
      </c>
      <c r="O553" t="b">
        <f>AND(TrafficData[[#This Row],[pendingAmount]]&lt;=TrafficData[[#This Row],[totalAmount]],TrafficData[[#This Row],[disposedAmount]]&lt;=TrafficData[[#This Row],[totalAmount]])</f>
        <v>1</v>
      </c>
      <c r="P553" t="b">
        <f>AND(TrafficData[[#This Row],[pendingCourt]]&lt;=TrafficData[[#This Row],[totalCourt]],TrafficData[[#This Row],[disposedCourt]]&lt;=TrafficData[[#This Row],[totalCourt]])</f>
        <v>1</v>
      </c>
    </row>
    <row r="554" spans="1:16">
      <c r="A554" s="1">
        <v>42557</v>
      </c>
      <c r="B554">
        <v>1235</v>
      </c>
      <c r="C554">
        <v>63</v>
      </c>
      <c r="D554">
        <v>1172</v>
      </c>
      <c r="E554">
        <v>780950</v>
      </c>
      <c r="F554">
        <v>241950</v>
      </c>
      <c r="G554">
        <v>1022900</v>
      </c>
      <c r="H554">
        <v>879</v>
      </c>
      <c r="I554">
        <v>2</v>
      </c>
      <c r="J554">
        <v>881</v>
      </c>
      <c r="K554" t="b">
        <f>TrafficData[[#This Row],[disposedChallan]]+TrafficData[[#This Row],[pendingChallan]]=TrafficData[[#This Row],[totalChallan]]</f>
        <v>1</v>
      </c>
      <c r="L554" t="b">
        <f>TrafficData[[#This Row],[pendingAmount]]+TrafficData[[#This Row],[disposedAmount]]=TrafficData[[#This Row],[totalAmount]]</f>
        <v>1</v>
      </c>
      <c r="M554" t="b">
        <f>TrafficData[[#This Row],[pendingCourt]]+TrafficData[[#This Row],[disposedCourt]]=TrafficData[[#This Row],[totalCourt]]</f>
        <v>1</v>
      </c>
      <c r="N554" t="b">
        <f>AND(TrafficData[[#This Row],[disposedChallan]]&lt;=TrafficData[[#This Row],[totalChallan]],TrafficData[[#This Row],[pendingChallan]]&lt;=TrafficData[[#This Row],[totalChallan]])</f>
        <v>1</v>
      </c>
      <c r="O554" t="b">
        <f>AND(TrafficData[[#This Row],[pendingAmount]]&lt;=TrafficData[[#This Row],[totalAmount]],TrafficData[[#This Row],[disposedAmount]]&lt;=TrafficData[[#This Row],[totalAmount]])</f>
        <v>1</v>
      </c>
      <c r="P554" t="b">
        <f>AND(TrafficData[[#This Row],[pendingCourt]]&lt;=TrafficData[[#This Row],[totalCourt]],TrafficData[[#This Row],[disposedCourt]]&lt;=TrafficData[[#This Row],[totalCourt]])</f>
        <v>1</v>
      </c>
    </row>
    <row r="555" spans="1:16">
      <c r="A555" s="1">
        <v>42558</v>
      </c>
      <c r="B555">
        <v>1137</v>
      </c>
      <c r="C555">
        <v>51</v>
      </c>
      <c r="D555">
        <v>1086</v>
      </c>
      <c r="E555">
        <v>769500</v>
      </c>
      <c r="F555">
        <v>295800</v>
      </c>
      <c r="G555">
        <v>1065300</v>
      </c>
      <c r="H555">
        <v>810</v>
      </c>
      <c r="I555">
        <v>1</v>
      </c>
      <c r="J555">
        <v>811</v>
      </c>
      <c r="K555" t="b">
        <f>TrafficData[[#This Row],[disposedChallan]]+TrafficData[[#This Row],[pendingChallan]]=TrafficData[[#This Row],[totalChallan]]</f>
        <v>1</v>
      </c>
      <c r="L555" t="b">
        <f>TrafficData[[#This Row],[pendingAmount]]+TrafficData[[#This Row],[disposedAmount]]=TrafficData[[#This Row],[totalAmount]]</f>
        <v>1</v>
      </c>
      <c r="M555" t="b">
        <f>TrafficData[[#This Row],[pendingCourt]]+TrafficData[[#This Row],[disposedCourt]]=TrafficData[[#This Row],[totalCourt]]</f>
        <v>1</v>
      </c>
      <c r="N555" t="b">
        <f>AND(TrafficData[[#This Row],[disposedChallan]]&lt;=TrafficData[[#This Row],[totalChallan]],TrafficData[[#This Row],[pendingChallan]]&lt;=TrafficData[[#This Row],[totalChallan]])</f>
        <v>1</v>
      </c>
      <c r="O555" t="b">
        <f>AND(TrafficData[[#This Row],[pendingAmount]]&lt;=TrafficData[[#This Row],[totalAmount]],TrafficData[[#This Row],[disposedAmount]]&lt;=TrafficData[[#This Row],[totalAmount]])</f>
        <v>1</v>
      </c>
      <c r="P555" t="b">
        <f>AND(TrafficData[[#This Row],[pendingCourt]]&lt;=TrafficData[[#This Row],[totalCourt]],TrafficData[[#This Row],[disposedCourt]]&lt;=TrafficData[[#This Row],[totalCourt]])</f>
        <v>1</v>
      </c>
    </row>
    <row r="556" spans="1:16">
      <c r="A556" s="1">
        <v>42559</v>
      </c>
      <c r="B556">
        <v>1597</v>
      </c>
      <c r="C556">
        <v>81</v>
      </c>
      <c r="D556">
        <v>1516</v>
      </c>
      <c r="E556">
        <v>883650</v>
      </c>
      <c r="F556">
        <v>191200</v>
      </c>
      <c r="G556">
        <v>1074850</v>
      </c>
      <c r="H556">
        <v>1191</v>
      </c>
      <c r="I556">
        <v>17</v>
      </c>
      <c r="J556">
        <v>1208</v>
      </c>
      <c r="K556" t="b">
        <f>TrafficData[[#This Row],[disposedChallan]]+TrafficData[[#This Row],[pendingChallan]]=TrafficData[[#This Row],[totalChallan]]</f>
        <v>1</v>
      </c>
      <c r="L556" t="b">
        <f>TrafficData[[#This Row],[pendingAmount]]+TrafficData[[#This Row],[disposedAmount]]=TrafficData[[#This Row],[totalAmount]]</f>
        <v>1</v>
      </c>
      <c r="M556" t="b">
        <f>TrafficData[[#This Row],[pendingCourt]]+TrafficData[[#This Row],[disposedCourt]]=TrafficData[[#This Row],[totalCourt]]</f>
        <v>1</v>
      </c>
      <c r="N556" t="b">
        <f>AND(TrafficData[[#This Row],[disposedChallan]]&lt;=TrafficData[[#This Row],[totalChallan]],TrafficData[[#This Row],[pendingChallan]]&lt;=TrafficData[[#This Row],[totalChallan]])</f>
        <v>1</v>
      </c>
      <c r="O556" t="b">
        <f>AND(TrafficData[[#This Row],[pendingAmount]]&lt;=TrafficData[[#This Row],[totalAmount]],TrafficData[[#This Row],[disposedAmount]]&lt;=TrafficData[[#This Row],[totalAmount]])</f>
        <v>1</v>
      </c>
      <c r="P556" t="b">
        <f>AND(TrafficData[[#This Row],[pendingCourt]]&lt;=TrafficData[[#This Row],[totalCourt]],TrafficData[[#This Row],[disposedCourt]]&lt;=TrafficData[[#This Row],[totalCourt]])</f>
        <v>1</v>
      </c>
    </row>
    <row r="557" spans="1:16">
      <c r="A557" s="1">
        <v>42560</v>
      </c>
      <c r="B557">
        <v>1392</v>
      </c>
      <c r="C557">
        <v>62</v>
      </c>
      <c r="D557">
        <v>1330</v>
      </c>
      <c r="E557">
        <v>805225</v>
      </c>
      <c r="F557">
        <v>189100</v>
      </c>
      <c r="G557">
        <v>994325</v>
      </c>
      <c r="H557">
        <v>1143</v>
      </c>
      <c r="I557">
        <v>3</v>
      </c>
      <c r="J557">
        <v>1146</v>
      </c>
      <c r="K557" t="b">
        <f>TrafficData[[#This Row],[disposedChallan]]+TrafficData[[#This Row],[pendingChallan]]=TrafficData[[#This Row],[totalChallan]]</f>
        <v>1</v>
      </c>
      <c r="L557" t="b">
        <f>TrafficData[[#This Row],[pendingAmount]]+TrafficData[[#This Row],[disposedAmount]]=TrafficData[[#This Row],[totalAmount]]</f>
        <v>1</v>
      </c>
      <c r="M557" t="b">
        <f>TrafficData[[#This Row],[pendingCourt]]+TrafficData[[#This Row],[disposedCourt]]=TrafficData[[#This Row],[totalCourt]]</f>
        <v>1</v>
      </c>
      <c r="N557" t="b">
        <f>AND(TrafficData[[#This Row],[disposedChallan]]&lt;=TrafficData[[#This Row],[totalChallan]],TrafficData[[#This Row],[pendingChallan]]&lt;=TrafficData[[#This Row],[totalChallan]])</f>
        <v>1</v>
      </c>
      <c r="O557" t="b">
        <f>AND(TrafficData[[#This Row],[pendingAmount]]&lt;=TrafficData[[#This Row],[totalAmount]],TrafficData[[#This Row],[disposedAmount]]&lt;=TrafficData[[#This Row],[totalAmount]])</f>
        <v>1</v>
      </c>
      <c r="P557" t="b">
        <f>AND(TrafficData[[#This Row],[pendingCourt]]&lt;=TrafficData[[#This Row],[totalCourt]],TrafficData[[#This Row],[disposedCourt]]&lt;=TrafficData[[#This Row],[totalCourt]])</f>
        <v>1</v>
      </c>
    </row>
    <row r="558" spans="1:16">
      <c r="A558" s="1">
        <v>42561</v>
      </c>
      <c r="B558">
        <v>754</v>
      </c>
      <c r="C558">
        <v>45</v>
      </c>
      <c r="D558">
        <v>709</v>
      </c>
      <c r="E558">
        <v>540050</v>
      </c>
      <c r="F558">
        <v>190070</v>
      </c>
      <c r="G558">
        <v>730120</v>
      </c>
      <c r="H558">
        <v>556</v>
      </c>
      <c r="I558">
        <v>7</v>
      </c>
      <c r="J558">
        <v>563</v>
      </c>
      <c r="K558" t="b">
        <f>TrafficData[[#This Row],[disposedChallan]]+TrafficData[[#This Row],[pendingChallan]]=TrafficData[[#This Row],[totalChallan]]</f>
        <v>1</v>
      </c>
      <c r="L558" t="b">
        <f>TrafficData[[#This Row],[pendingAmount]]+TrafficData[[#This Row],[disposedAmount]]=TrafficData[[#This Row],[totalAmount]]</f>
        <v>1</v>
      </c>
      <c r="M558" t="b">
        <f>TrafficData[[#This Row],[pendingCourt]]+TrafficData[[#This Row],[disposedCourt]]=TrafficData[[#This Row],[totalCourt]]</f>
        <v>1</v>
      </c>
      <c r="N558" t="b">
        <f>AND(TrafficData[[#This Row],[disposedChallan]]&lt;=TrafficData[[#This Row],[totalChallan]],TrafficData[[#This Row],[pendingChallan]]&lt;=TrafficData[[#This Row],[totalChallan]])</f>
        <v>1</v>
      </c>
      <c r="O558" t="b">
        <f>AND(TrafficData[[#This Row],[pendingAmount]]&lt;=TrafficData[[#This Row],[totalAmount]],TrafficData[[#This Row],[disposedAmount]]&lt;=TrafficData[[#This Row],[totalAmount]])</f>
        <v>1</v>
      </c>
      <c r="P558" t="b">
        <f>AND(TrafficData[[#This Row],[pendingCourt]]&lt;=TrafficData[[#This Row],[totalCourt]],TrafficData[[#This Row],[disposedCourt]]&lt;=TrafficData[[#This Row],[totalCourt]])</f>
        <v>1</v>
      </c>
    </row>
    <row r="559" spans="1:16">
      <c r="A559" s="1">
        <v>42562</v>
      </c>
      <c r="B559">
        <v>1181</v>
      </c>
      <c r="C559">
        <v>88</v>
      </c>
      <c r="D559">
        <v>1093</v>
      </c>
      <c r="E559">
        <v>1075400</v>
      </c>
      <c r="F559">
        <v>491100</v>
      </c>
      <c r="G559">
        <v>1566500</v>
      </c>
      <c r="H559">
        <v>902</v>
      </c>
      <c r="I559">
        <v>5</v>
      </c>
      <c r="J559">
        <v>907</v>
      </c>
      <c r="K559" t="b">
        <f>TrafficData[[#This Row],[disposedChallan]]+TrafficData[[#This Row],[pendingChallan]]=TrafficData[[#This Row],[totalChallan]]</f>
        <v>1</v>
      </c>
      <c r="L559" t="b">
        <f>TrafficData[[#This Row],[pendingAmount]]+TrafficData[[#This Row],[disposedAmount]]=TrafficData[[#This Row],[totalAmount]]</f>
        <v>1</v>
      </c>
      <c r="M559" t="b">
        <f>TrafficData[[#This Row],[pendingCourt]]+TrafficData[[#This Row],[disposedCourt]]=TrafficData[[#This Row],[totalCourt]]</f>
        <v>1</v>
      </c>
      <c r="N559" t="b">
        <f>AND(TrafficData[[#This Row],[disposedChallan]]&lt;=TrafficData[[#This Row],[totalChallan]],TrafficData[[#This Row],[pendingChallan]]&lt;=TrafficData[[#This Row],[totalChallan]])</f>
        <v>1</v>
      </c>
      <c r="O559" t="b">
        <f>AND(TrafficData[[#This Row],[pendingAmount]]&lt;=TrafficData[[#This Row],[totalAmount]],TrafficData[[#This Row],[disposedAmount]]&lt;=TrafficData[[#This Row],[totalAmount]])</f>
        <v>1</v>
      </c>
      <c r="P559" t="b">
        <f>AND(TrafficData[[#This Row],[pendingCourt]]&lt;=TrafficData[[#This Row],[totalCourt]],TrafficData[[#This Row],[disposedCourt]]&lt;=TrafficData[[#This Row],[totalCourt]])</f>
        <v>1</v>
      </c>
    </row>
    <row r="560" spans="1:16">
      <c r="A560" s="1">
        <v>42563</v>
      </c>
      <c r="B560">
        <v>1435</v>
      </c>
      <c r="C560">
        <v>94</v>
      </c>
      <c r="D560">
        <v>1341</v>
      </c>
      <c r="E560">
        <v>1051550</v>
      </c>
      <c r="F560">
        <v>450191</v>
      </c>
      <c r="G560">
        <v>1501741</v>
      </c>
      <c r="H560">
        <v>1068</v>
      </c>
      <c r="I560">
        <v>17</v>
      </c>
      <c r="J560">
        <v>1085</v>
      </c>
      <c r="K560" t="b">
        <f>TrafficData[[#This Row],[disposedChallan]]+TrafficData[[#This Row],[pendingChallan]]=TrafficData[[#This Row],[totalChallan]]</f>
        <v>1</v>
      </c>
      <c r="L560" t="b">
        <f>TrafficData[[#This Row],[pendingAmount]]+TrafficData[[#This Row],[disposedAmount]]=TrafficData[[#This Row],[totalAmount]]</f>
        <v>1</v>
      </c>
      <c r="M560" t="b">
        <f>TrafficData[[#This Row],[pendingCourt]]+TrafficData[[#This Row],[disposedCourt]]=TrafficData[[#This Row],[totalCourt]]</f>
        <v>1</v>
      </c>
      <c r="N560" t="b">
        <f>AND(TrafficData[[#This Row],[disposedChallan]]&lt;=TrafficData[[#This Row],[totalChallan]],TrafficData[[#This Row],[pendingChallan]]&lt;=TrafficData[[#This Row],[totalChallan]])</f>
        <v>1</v>
      </c>
      <c r="O560" t="b">
        <f>AND(TrafficData[[#This Row],[pendingAmount]]&lt;=TrafficData[[#This Row],[totalAmount]],TrafficData[[#This Row],[disposedAmount]]&lt;=TrafficData[[#This Row],[totalAmount]])</f>
        <v>1</v>
      </c>
      <c r="P560" t="b">
        <f>AND(TrafficData[[#This Row],[pendingCourt]]&lt;=TrafficData[[#This Row],[totalCourt]],TrafficData[[#This Row],[disposedCourt]]&lt;=TrafficData[[#This Row],[totalCourt]])</f>
        <v>1</v>
      </c>
    </row>
    <row r="561" spans="1:16">
      <c r="A561" s="1">
        <v>42564</v>
      </c>
      <c r="B561">
        <v>1509</v>
      </c>
      <c r="C561">
        <v>110</v>
      </c>
      <c r="D561">
        <v>1399</v>
      </c>
      <c r="E561">
        <v>919725</v>
      </c>
      <c r="F561">
        <v>359375</v>
      </c>
      <c r="G561">
        <v>1279100</v>
      </c>
      <c r="H561">
        <v>1075</v>
      </c>
      <c r="I561">
        <v>4</v>
      </c>
      <c r="J561">
        <v>1079</v>
      </c>
      <c r="K561" t="b">
        <f>TrafficData[[#This Row],[disposedChallan]]+TrafficData[[#This Row],[pendingChallan]]=TrafficData[[#This Row],[totalChallan]]</f>
        <v>1</v>
      </c>
      <c r="L561" t="b">
        <f>TrafficData[[#This Row],[pendingAmount]]+TrafficData[[#This Row],[disposedAmount]]=TrafficData[[#This Row],[totalAmount]]</f>
        <v>1</v>
      </c>
      <c r="M561" t="b">
        <f>TrafficData[[#This Row],[pendingCourt]]+TrafficData[[#This Row],[disposedCourt]]=TrafficData[[#This Row],[totalCourt]]</f>
        <v>1</v>
      </c>
      <c r="N561" t="b">
        <f>AND(TrafficData[[#This Row],[disposedChallan]]&lt;=TrafficData[[#This Row],[totalChallan]],TrafficData[[#This Row],[pendingChallan]]&lt;=TrafficData[[#This Row],[totalChallan]])</f>
        <v>1</v>
      </c>
      <c r="O561" t="b">
        <f>AND(TrafficData[[#This Row],[pendingAmount]]&lt;=TrafficData[[#This Row],[totalAmount]],TrafficData[[#This Row],[disposedAmount]]&lt;=TrafficData[[#This Row],[totalAmount]])</f>
        <v>1</v>
      </c>
      <c r="P561" t="b">
        <f>AND(TrafficData[[#This Row],[pendingCourt]]&lt;=TrafficData[[#This Row],[totalCourt]],TrafficData[[#This Row],[disposedCourt]]&lt;=TrafficData[[#This Row],[totalCourt]])</f>
        <v>1</v>
      </c>
    </row>
    <row r="562" spans="1:16">
      <c r="A562" s="1">
        <v>42565</v>
      </c>
      <c r="B562">
        <v>1026</v>
      </c>
      <c r="C562">
        <v>84</v>
      </c>
      <c r="D562">
        <v>942</v>
      </c>
      <c r="E562">
        <v>1219700</v>
      </c>
      <c r="F562">
        <v>359050</v>
      </c>
      <c r="G562">
        <v>1578750</v>
      </c>
      <c r="H562">
        <v>656</v>
      </c>
      <c r="I562">
        <v>13</v>
      </c>
      <c r="J562">
        <v>669</v>
      </c>
      <c r="K562" t="b">
        <f>TrafficData[[#This Row],[disposedChallan]]+TrafficData[[#This Row],[pendingChallan]]=TrafficData[[#This Row],[totalChallan]]</f>
        <v>1</v>
      </c>
      <c r="L562" t="b">
        <f>TrafficData[[#This Row],[pendingAmount]]+TrafficData[[#This Row],[disposedAmount]]=TrafficData[[#This Row],[totalAmount]]</f>
        <v>1</v>
      </c>
      <c r="M562" t="b">
        <f>TrafficData[[#This Row],[pendingCourt]]+TrafficData[[#This Row],[disposedCourt]]=TrafficData[[#This Row],[totalCourt]]</f>
        <v>1</v>
      </c>
      <c r="N562" t="b">
        <f>AND(TrafficData[[#This Row],[disposedChallan]]&lt;=TrafficData[[#This Row],[totalChallan]],TrafficData[[#This Row],[pendingChallan]]&lt;=TrafficData[[#This Row],[totalChallan]])</f>
        <v>1</v>
      </c>
      <c r="O562" t="b">
        <f>AND(TrafficData[[#This Row],[pendingAmount]]&lt;=TrafficData[[#This Row],[totalAmount]],TrafficData[[#This Row],[disposedAmount]]&lt;=TrafficData[[#This Row],[totalAmount]])</f>
        <v>1</v>
      </c>
      <c r="P562" t="b">
        <f>AND(TrafficData[[#This Row],[pendingCourt]]&lt;=TrafficData[[#This Row],[totalCourt]],TrafficData[[#This Row],[disposedCourt]]&lt;=TrafficData[[#This Row],[totalCourt]])</f>
        <v>1</v>
      </c>
    </row>
    <row r="563" spans="1:16">
      <c r="A563" s="1">
        <v>42566</v>
      </c>
      <c r="B563">
        <v>1411</v>
      </c>
      <c r="C563">
        <v>71</v>
      </c>
      <c r="D563">
        <v>1340</v>
      </c>
      <c r="E563">
        <v>1101614</v>
      </c>
      <c r="F563">
        <v>146849</v>
      </c>
      <c r="G563">
        <v>1248463</v>
      </c>
      <c r="H563">
        <v>991</v>
      </c>
      <c r="I563">
        <v>9</v>
      </c>
      <c r="J563">
        <v>1000</v>
      </c>
      <c r="K563" t="b">
        <f>TrafficData[[#This Row],[disposedChallan]]+TrafficData[[#This Row],[pendingChallan]]=TrafficData[[#This Row],[totalChallan]]</f>
        <v>1</v>
      </c>
      <c r="L563" t="b">
        <f>TrafficData[[#This Row],[pendingAmount]]+TrafficData[[#This Row],[disposedAmount]]=TrafficData[[#This Row],[totalAmount]]</f>
        <v>1</v>
      </c>
      <c r="M563" t="b">
        <f>TrafficData[[#This Row],[pendingCourt]]+TrafficData[[#This Row],[disposedCourt]]=TrafficData[[#This Row],[totalCourt]]</f>
        <v>1</v>
      </c>
      <c r="N563" t="b">
        <f>AND(TrafficData[[#This Row],[disposedChallan]]&lt;=TrafficData[[#This Row],[totalChallan]],TrafficData[[#This Row],[pendingChallan]]&lt;=TrafficData[[#This Row],[totalChallan]])</f>
        <v>1</v>
      </c>
      <c r="O563" t="b">
        <f>AND(TrafficData[[#This Row],[pendingAmount]]&lt;=TrafficData[[#This Row],[totalAmount]],TrafficData[[#This Row],[disposedAmount]]&lt;=TrafficData[[#This Row],[totalAmount]])</f>
        <v>1</v>
      </c>
      <c r="P563" t="b">
        <f>AND(TrafficData[[#This Row],[pendingCourt]]&lt;=TrafficData[[#This Row],[totalCourt]],TrafficData[[#This Row],[disposedCourt]]&lt;=TrafficData[[#This Row],[totalCourt]])</f>
        <v>1</v>
      </c>
    </row>
    <row r="564" spans="1:16">
      <c r="A564" s="1">
        <v>42567</v>
      </c>
      <c r="B564">
        <v>928</v>
      </c>
      <c r="C564">
        <v>64</v>
      </c>
      <c r="D564">
        <v>864</v>
      </c>
      <c r="E564">
        <v>1099100</v>
      </c>
      <c r="F564">
        <v>318650</v>
      </c>
      <c r="G564">
        <v>1417750</v>
      </c>
      <c r="H564">
        <v>607</v>
      </c>
      <c r="I564">
        <v>2</v>
      </c>
      <c r="J564">
        <v>609</v>
      </c>
      <c r="K564" t="b">
        <f>TrafficData[[#This Row],[disposedChallan]]+TrafficData[[#This Row],[pendingChallan]]=TrafficData[[#This Row],[totalChallan]]</f>
        <v>1</v>
      </c>
      <c r="L564" t="b">
        <f>TrafficData[[#This Row],[pendingAmount]]+TrafficData[[#This Row],[disposedAmount]]=TrafficData[[#This Row],[totalAmount]]</f>
        <v>1</v>
      </c>
      <c r="M564" t="b">
        <f>TrafficData[[#This Row],[pendingCourt]]+TrafficData[[#This Row],[disposedCourt]]=TrafficData[[#This Row],[totalCourt]]</f>
        <v>1</v>
      </c>
      <c r="N564" t="b">
        <f>AND(TrafficData[[#This Row],[disposedChallan]]&lt;=TrafficData[[#This Row],[totalChallan]],TrafficData[[#This Row],[pendingChallan]]&lt;=TrafficData[[#This Row],[totalChallan]])</f>
        <v>1</v>
      </c>
      <c r="O564" t="b">
        <f>AND(TrafficData[[#This Row],[pendingAmount]]&lt;=TrafficData[[#This Row],[totalAmount]],TrafficData[[#This Row],[disposedAmount]]&lt;=TrafficData[[#This Row],[totalAmount]])</f>
        <v>1</v>
      </c>
      <c r="P564" t="b">
        <f>AND(TrafficData[[#This Row],[pendingCourt]]&lt;=TrafficData[[#This Row],[totalCourt]],TrafficData[[#This Row],[disposedCourt]]&lt;=TrafficData[[#This Row],[totalCourt]])</f>
        <v>1</v>
      </c>
    </row>
    <row r="565" spans="1:16">
      <c r="A565" s="1">
        <v>42568</v>
      </c>
      <c r="B565">
        <v>773</v>
      </c>
      <c r="C565">
        <v>68</v>
      </c>
      <c r="D565">
        <v>705</v>
      </c>
      <c r="E565">
        <v>733550</v>
      </c>
      <c r="F565">
        <v>198150</v>
      </c>
      <c r="G565">
        <v>931700</v>
      </c>
      <c r="H565">
        <v>524</v>
      </c>
      <c r="I565">
        <v>14</v>
      </c>
      <c r="J565">
        <v>538</v>
      </c>
      <c r="K565" t="b">
        <f>TrafficData[[#This Row],[disposedChallan]]+TrafficData[[#This Row],[pendingChallan]]=TrafficData[[#This Row],[totalChallan]]</f>
        <v>1</v>
      </c>
      <c r="L565" t="b">
        <f>TrafficData[[#This Row],[pendingAmount]]+TrafficData[[#This Row],[disposedAmount]]=TrafficData[[#This Row],[totalAmount]]</f>
        <v>1</v>
      </c>
      <c r="M565" t="b">
        <f>TrafficData[[#This Row],[pendingCourt]]+TrafficData[[#This Row],[disposedCourt]]=TrafficData[[#This Row],[totalCourt]]</f>
        <v>1</v>
      </c>
      <c r="N565" t="b">
        <f>AND(TrafficData[[#This Row],[disposedChallan]]&lt;=TrafficData[[#This Row],[totalChallan]],TrafficData[[#This Row],[pendingChallan]]&lt;=TrafficData[[#This Row],[totalChallan]])</f>
        <v>1</v>
      </c>
      <c r="O565" t="b">
        <f>AND(TrafficData[[#This Row],[pendingAmount]]&lt;=TrafficData[[#This Row],[totalAmount]],TrafficData[[#This Row],[disposedAmount]]&lt;=TrafficData[[#This Row],[totalAmount]])</f>
        <v>1</v>
      </c>
      <c r="P565" t="b">
        <f>AND(TrafficData[[#This Row],[pendingCourt]]&lt;=TrafficData[[#This Row],[totalCourt]],TrafficData[[#This Row],[disposedCourt]]&lt;=TrafficData[[#This Row],[totalCourt]])</f>
        <v>1</v>
      </c>
    </row>
    <row r="566" spans="1:16">
      <c r="A566" s="1">
        <v>42569</v>
      </c>
      <c r="B566">
        <v>983</v>
      </c>
      <c r="C566">
        <v>75</v>
      </c>
      <c r="D566">
        <v>908</v>
      </c>
      <c r="E566">
        <v>1213150</v>
      </c>
      <c r="F566">
        <v>451849</v>
      </c>
      <c r="G566">
        <v>1664999</v>
      </c>
      <c r="H566">
        <v>673</v>
      </c>
      <c r="I566">
        <v>4</v>
      </c>
      <c r="J566">
        <v>677</v>
      </c>
      <c r="K566" t="b">
        <f>TrafficData[[#This Row],[disposedChallan]]+TrafficData[[#This Row],[pendingChallan]]=TrafficData[[#This Row],[totalChallan]]</f>
        <v>1</v>
      </c>
      <c r="L566" t="b">
        <f>TrafficData[[#This Row],[pendingAmount]]+TrafficData[[#This Row],[disposedAmount]]=TrafficData[[#This Row],[totalAmount]]</f>
        <v>1</v>
      </c>
      <c r="M566" t="b">
        <f>TrafficData[[#This Row],[pendingCourt]]+TrafficData[[#This Row],[disposedCourt]]=TrafficData[[#This Row],[totalCourt]]</f>
        <v>1</v>
      </c>
      <c r="N566" t="b">
        <f>AND(TrafficData[[#This Row],[disposedChallan]]&lt;=TrafficData[[#This Row],[totalChallan]],TrafficData[[#This Row],[pendingChallan]]&lt;=TrafficData[[#This Row],[totalChallan]])</f>
        <v>1</v>
      </c>
      <c r="O566" t="b">
        <f>AND(TrafficData[[#This Row],[pendingAmount]]&lt;=TrafficData[[#This Row],[totalAmount]],TrafficData[[#This Row],[disposedAmount]]&lt;=TrafficData[[#This Row],[totalAmount]])</f>
        <v>1</v>
      </c>
      <c r="P566" t="b">
        <f>AND(TrafficData[[#This Row],[pendingCourt]]&lt;=TrafficData[[#This Row],[totalCourt]],TrafficData[[#This Row],[disposedCourt]]&lt;=TrafficData[[#This Row],[totalCourt]])</f>
        <v>1</v>
      </c>
    </row>
    <row r="567" spans="1:16">
      <c r="A567" s="1">
        <v>42570</v>
      </c>
      <c r="B567">
        <v>1251</v>
      </c>
      <c r="C567">
        <v>96</v>
      </c>
      <c r="D567">
        <v>1155</v>
      </c>
      <c r="E567">
        <v>1086696</v>
      </c>
      <c r="F567">
        <v>216627</v>
      </c>
      <c r="G567">
        <v>1303323</v>
      </c>
      <c r="H567">
        <v>906</v>
      </c>
      <c r="I567">
        <v>31</v>
      </c>
      <c r="J567">
        <v>937</v>
      </c>
      <c r="K567" t="b">
        <f>TrafficData[[#This Row],[disposedChallan]]+TrafficData[[#This Row],[pendingChallan]]=TrafficData[[#This Row],[totalChallan]]</f>
        <v>1</v>
      </c>
      <c r="L567" t="b">
        <f>TrafficData[[#This Row],[pendingAmount]]+TrafficData[[#This Row],[disposedAmount]]=TrafficData[[#This Row],[totalAmount]]</f>
        <v>1</v>
      </c>
      <c r="M567" t="b">
        <f>TrafficData[[#This Row],[pendingCourt]]+TrafficData[[#This Row],[disposedCourt]]=TrafficData[[#This Row],[totalCourt]]</f>
        <v>1</v>
      </c>
      <c r="N567" t="b">
        <f>AND(TrafficData[[#This Row],[disposedChallan]]&lt;=TrafficData[[#This Row],[totalChallan]],TrafficData[[#This Row],[pendingChallan]]&lt;=TrafficData[[#This Row],[totalChallan]])</f>
        <v>1</v>
      </c>
      <c r="O567" t="b">
        <f>AND(TrafficData[[#This Row],[pendingAmount]]&lt;=TrafficData[[#This Row],[totalAmount]],TrafficData[[#This Row],[disposedAmount]]&lt;=TrafficData[[#This Row],[totalAmount]])</f>
        <v>1</v>
      </c>
      <c r="P567" t="b">
        <f>AND(TrafficData[[#This Row],[pendingCourt]]&lt;=TrafficData[[#This Row],[totalCourt]],TrafficData[[#This Row],[disposedCourt]]&lt;=TrafficData[[#This Row],[totalCourt]])</f>
        <v>1</v>
      </c>
    </row>
    <row r="568" spans="1:16">
      <c r="A568" s="1">
        <v>42571</v>
      </c>
      <c r="B568">
        <v>1211</v>
      </c>
      <c r="C568">
        <v>124</v>
      </c>
      <c r="D568">
        <v>1087</v>
      </c>
      <c r="E568">
        <v>1178040</v>
      </c>
      <c r="F568">
        <v>307575</v>
      </c>
      <c r="G568">
        <v>1485615</v>
      </c>
      <c r="H568">
        <v>796</v>
      </c>
      <c r="I568">
        <v>12</v>
      </c>
      <c r="J568">
        <v>808</v>
      </c>
      <c r="K568" t="b">
        <f>TrafficData[[#This Row],[disposedChallan]]+TrafficData[[#This Row],[pendingChallan]]=TrafficData[[#This Row],[totalChallan]]</f>
        <v>1</v>
      </c>
      <c r="L568" t="b">
        <f>TrafficData[[#This Row],[pendingAmount]]+TrafficData[[#This Row],[disposedAmount]]=TrafficData[[#This Row],[totalAmount]]</f>
        <v>1</v>
      </c>
      <c r="M568" t="b">
        <f>TrafficData[[#This Row],[pendingCourt]]+TrafficData[[#This Row],[disposedCourt]]=TrafficData[[#This Row],[totalCourt]]</f>
        <v>1</v>
      </c>
      <c r="N568" t="b">
        <f>AND(TrafficData[[#This Row],[disposedChallan]]&lt;=TrafficData[[#This Row],[totalChallan]],TrafficData[[#This Row],[pendingChallan]]&lt;=TrafficData[[#This Row],[totalChallan]])</f>
        <v>1</v>
      </c>
      <c r="O568" t="b">
        <f>AND(TrafficData[[#This Row],[pendingAmount]]&lt;=TrafficData[[#This Row],[totalAmount]],TrafficData[[#This Row],[disposedAmount]]&lt;=TrafficData[[#This Row],[totalAmount]])</f>
        <v>1</v>
      </c>
      <c r="P568" t="b">
        <f>AND(TrafficData[[#This Row],[pendingCourt]]&lt;=TrafficData[[#This Row],[totalCourt]],TrafficData[[#This Row],[disposedCourt]]&lt;=TrafficData[[#This Row],[totalCourt]])</f>
        <v>1</v>
      </c>
    </row>
    <row r="569" spans="1:16">
      <c r="A569" s="1">
        <v>42572</v>
      </c>
      <c r="B569">
        <v>1363</v>
      </c>
      <c r="C569">
        <v>91</v>
      </c>
      <c r="D569">
        <v>1272</v>
      </c>
      <c r="E569">
        <v>1185610</v>
      </c>
      <c r="F569">
        <v>375800</v>
      </c>
      <c r="G569">
        <v>1561410</v>
      </c>
      <c r="H569">
        <v>871</v>
      </c>
      <c r="I569">
        <v>19</v>
      </c>
      <c r="J569">
        <v>890</v>
      </c>
      <c r="K569" t="b">
        <f>TrafficData[[#This Row],[disposedChallan]]+TrafficData[[#This Row],[pendingChallan]]=TrafficData[[#This Row],[totalChallan]]</f>
        <v>1</v>
      </c>
      <c r="L569" t="b">
        <f>TrafficData[[#This Row],[pendingAmount]]+TrafficData[[#This Row],[disposedAmount]]=TrafficData[[#This Row],[totalAmount]]</f>
        <v>1</v>
      </c>
      <c r="M569" t="b">
        <f>TrafficData[[#This Row],[pendingCourt]]+TrafficData[[#This Row],[disposedCourt]]=TrafficData[[#This Row],[totalCourt]]</f>
        <v>1</v>
      </c>
      <c r="N569" t="b">
        <f>AND(TrafficData[[#This Row],[disposedChallan]]&lt;=TrafficData[[#This Row],[totalChallan]],TrafficData[[#This Row],[pendingChallan]]&lt;=TrafficData[[#This Row],[totalChallan]])</f>
        <v>1</v>
      </c>
      <c r="O569" t="b">
        <f>AND(TrafficData[[#This Row],[pendingAmount]]&lt;=TrafficData[[#This Row],[totalAmount]],TrafficData[[#This Row],[disposedAmount]]&lt;=TrafficData[[#This Row],[totalAmount]])</f>
        <v>1</v>
      </c>
      <c r="P569" t="b">
        <f>AND(TrafficData[[#This Row],[pendingCourt]]&lt;=TrafficData[[#This Row],[totalCourt]],TrafficData[[#This Row],[disposedCourt]]&lt;=TrafficData[[#This Row],[totalCourt]])</f>
        <v>1</v>
      </c>
    </row>
    <row r="570" spans="1:16">
      <c r="A570" s="1">
        <v>42573</v>
      </c>
      <c r="B570">
        <v>1263</v>
      </c>
      <c r="C570">
        <v>99</v>
      </c>
      <c r="D570">
        <v>1164</v>
      </c>
      <c r="E570">
        <v>999150</v>
      </c>
      <c r="F570">
        <v>347550</v>
      </c>
      <c r="G570">
        <v>1346700</v>
      </c>
      <c r="H570">
        <v>880</v>
      </c>
      <c r="I570">
        <v>5</v>
      </c>
      <c r="J570">
        <v>885</v>
      </c>
      <c r="K570" t="b">
        <f>TrafficData[[#This Row],[disposedChallan]]+TrafficData[[#This Row],[pendingChallan]]=TrafficData[[#This Row],[totalChallan]]</f>
        <v>1</v>
      </c>
      <c r="L570" t="b">
        <f>TrafficData[[#This Row],[pendingAmount]]+TrafficData[[#This Row],[disposedAmount]]=TrafficData[[#This Row],[totalAmount]]</f>
        <v>1</v>
      </c>
      <c r="M570" t="b">
        <f>TrafficData[[#This Row],[pendingCourt]]+TrafficData[[#This Row],[disposedCourt]]=TrafficData[[#This Row],[totalCourt]]</f>
        <v>1</v>
      </c>
      <c r="N570" t="b">
        <f>AND(TrafficData[[#This Row],[disposedChallan]]&lt;=TrafficData[[#This Row],[totalChallan]],TrafficData[[#This Row],[pendingChallan]]&lt;=TrafficData[[#This Row],[totalChallan]])</f>
        <v>1</v>
      </c>
      <c r="O570" t="b">
        <f>AND(TrafficData[[#This Row],[pendingAmount]]&lt;=TrafficData[[#This Row],[totalAmount]],TrafficData[[#This Row],[disposedAmount]]&lt;=TrafficData[[#This Row],[totalAmount]])</f>
        <v>1</v>
      </c>
      <c r="P570" t="b">
        <f>AND(TrafficData[[#This Row],[pendingCourt]]&lt;=TrafficData[[#This Row],[totalCourt]],TrafficData[[#This Row],[disposedCourt]]&lt;=TrafficData[[#This Row],[totalCourt]])</f>
        <v>1</v>
      </c>
    </row>
    <row r="571" spans="1:16">
      <c r="A571" s="1">
        <v>42574</v>
      </c>
      <c r="B571">
        <v>1005</v>
      </c>
      <c r="C571">
        <v>63</v>
      </c>
      <c r="D571">
        <v>942</v>
      </c>
      <c r="E571">
        <v>827250</v>
      </c>
      <c r="F571">
        <v>389825</v>
      </c>
      <c r="G571">
        <v>1217075</v>
      </c>
      <c r="H571">
        <v>722</v>
      </c>
      <c r="I571">
        <v>8</v>
      </c>
      <c r="J571">
        <v>730</v>
      </c>
      <c r="K571" t="b">
        <f>TrafficData[[#This Row],[disposedChallan]]+TrafficData[[#This Row],[pendingChallan]]=TrafficData[[#This Row],[totalChallan]]</f>
        <v>1</v>
      </c>
      <c r="L571" t="b">
        <f>TrafficData[[#This Row],[pendingAmount]]+TrafficData[[#This Row],[disposedAmount]]=TrafficData[[#This Row],[totalAmount]]</f>
        <v>1</v>
      </c>
      <c r="M571" t="b">
        <f>TrafficData[[#This Row],[pendingCourt]]+TrafficData[[#This Row],[disposedCourt]]=TrafficData[[#This Row],[totalCourt]]</f>
        <v>1</v>
      </c>
      <c r="N571" t="b">
        <f>AND(TrafficData[[#This Row],[disposedChallan]]&lt;=TrafficData[[#This Row],[totalChallan]],TrafficData[[#This Row],[pendingChallan]]&lt;=TrafficData[[#This Row],[totalChallan]])</f>
        <v>1</v>
      </c>
      <c r="O571" t="b">
        <f>AND(TrafficData[[#This Row],[pendingAmount]]&lt;=TrafficData[[#This Row],[totalAmount]],TrafficData[[#This Row],[disposedAmount]]&lt;=TrafficData[[#This Row],[totalAmount]])</f>
        <v>1</v>
      </c>
      <c r="P571" t="b">
        <f>AND(TrafficData[[#This Row],[pendingCourt]]&lt;=TrafficData[[#This Row],[totalCourt]],TrafficData[[#This Row],[disposedCourt]]&lt;=TrafficData[[#This Row],[totalCourt]])</f>
        <v>1</v>
      </c>
    </row>
    <row r="572" spans="1:16">
      <c r="A572" s="1">
        <v>42575</v>
      </c>
      <c r="B572">
        <v>753</v>
      </c>
      <c r="C572">
        <v>43</v>
      </c>
      <c r="D572">
        <v>710</v>
      </c>
      <c r="E572">
        <v>559810</v>
      </c>
      <c r="F572">
        <v>226659</v>
      </c>
      <c r="G572">
        <v>786469</v>
      </c>
      <c r="H572">
        <v>580</v>
      </c>
      <c r="I572">
        <v>6</v>
      </c>
      <c r="J572">
        <v>586</v>
      </c>
      <c r="K572" t="b">
        <f>TrafficData[[#This Row],[disposedChallan]]+TrafficData[[#This Row],[pendingChallan]]=TrafficData[[#This Row],[totalChallan]]</f>
        <v>1</v>
      </c>
      <c r="L572" t="b">
        <f>TrafficData[[#This Row],[pendingAmount]]+TrafficData[[#This Row],[disposedAmount]]=TrafficData[[#This Row],[totalAmount]]</f>
        <v>1</v>
      </c>
      <c r="M572" t="b">
        <f>TrafficData[[#This Row],[pendingCourt]]+TrafficData[[#This Row],[disposedCourt]]=TrafficData[[#This Row],[totalCourt]]</f>
        <v>1</v>
      </c>
      <c r="N572" t="b">
        <f>AND(TrafficData[[#This Row],[disposedChallan]]&lt;=TrafficData[[#This Row],[totalChallan]],TrafficData[[#This Row],[pendingChallan]]&lt;=TrafficData[[#This Row],[totalChallan]])</f>
        <v>1</v>
      </c>
      <c r="O572" t="b">
        <f>AND(TrafficData[[#This Row],[pendingAmount]]&lt;=TrafficData[[#This Row],[totalAmount]],TrafficData[[#This Row],[disposedAmount]]&lt;=TrafficData[[#This Row],[totalAmount]])</f>
        <v>1</v>
      </c>
      <c r="P572" t="b">
        <f>AND(TrafficData[[#This Row],[pendingCourt]]&lt;=TrafficData[[#This Row],[totalCourt]],TrafficData[[#This Row],[disposedCourt]]&lt;=TrafficData[[#This Row],[totalCourt]])</f>
        <v>1</v>
      </c>
    </row>
    <row r="573" spans="1:16">
      <c r="A573" s="1">
        <v>42576</v>
      </c>
      <c r="B573">
        <v>1049</v>
      </c>
      <c r="C573">
        <v>67</v>
      </c>
      <c r="D573">
        <v>982</v>
      </c>
      <c r="E573">
        <v>1112700</v>
      </c>
      <c r="F573">
        <v>260300</v>
      </c>
      <c r="G573">
        <v>1373000</v>
      </c>
      <c r="H573">
        <v>727</v>
      </c>
      <c r="I573">
        <v>13</v>
      </c>
      <c r="J573">
        <v>740</v>
      </c>
      <c r="K573" t="b">
        <f>TrafficData[[#This Row],[disposedChallan]]+TrafficData[[#This Row],[pendingChallan]]=TrafficData[[#This Row],[totalChallan]]</f>
        <v>1</v>
      </c>
      <c r="L573" t="b">
        <f>TrafficData[[#This Row],[pendingAmount]]+TrafficData[[#This Row],[disposedAmount]]=TrafficData[[#This Row],[totalAmount]]</f>
        <v>1</v>
      </c>
      <c r="M573" t="b">
        <f>TrafficData[[#This Row],[pendingCourt]]+TrafficData[[#This Row],[disposedCourt]]=TrafficData[[#This Row],[totalCourt]]</f>
        <v>1</v>
      </c>
      <c r="N573" t="b">
        <f>AND(TrafficData[[#This Row],[disposedChallan]]&lt;=TrafficData[[#This Row],[totalChallan]],TrafficData[[#This Row],[pendingChallan]]&lt;=TrafficData[[#This Row],[totalChallan]])</f>
        <v>1</v>
      </c>
      <c r="O573" t="b">
        <f>AND(TrafficData[[#This Row],[pendingAmount]]&lt;=TrafficData[[#This Row],[totalAmount]],TrafficData[[#This Row],[disposedAmount]]&lt;=TrafficData[[#This Row],[totalAmount]])</f>
        <v>1</v>
      </c>
      <c r="P573" t="b">
        <f>AND(TrafficData[[#This Row],[pendingCourt]]&lt;=TrafficData[[#This Row],[totalCourt]],TrafficData[[#This Row],[disposedCourt]]&lt;=TrafficData[[#This Row],[totalCourt]])</f>
        <v>1</v>
      </c>
    </row>
    <row r="574" spans="1:16">
      <c r="A574" s="1">
        <v>42577</v>
      </c>
      <c r="B574">
        <v>1557</v>
      </c>
      <c r="C574">
        <v>99</v>
      </c>
      <c r="D574">
        <v>1458</v>
      </c>
      <c r="E574">
        <v>812845</v>
      </c>
      <c r="F574">
        <v>255450</v>
      </c>
      <c r="G574">
        <v>1068295</v>
      </c>
      <c r="H574">
        <v>1175</v>
      </c>
      <c r="I574">
        <v>5</v>
      </c>
      <c r="J574">
        <v>1180</v>
      </c>
      <c r="K574" t="b">
        <f>TrafficData[[#This Row],[disposedChallan]]+TrafficData[[#This Row],[pendingChallan]]=TrafficData[[#This Row],[totalChallan]]</f>
        <v>1</v>
      </c>
      <c r="L574" t="b">
        <f>TrafficData[[#This Row],[pendingAmount]]+TrafficData[[#This Row],[disposedAmount]]=TrafficData[[#This Row],[totalAmount]]</f>
        <v>1</v>
      </c>
      <c r="M574" t="b">
        <f>TrafficData[[#This Row],[pendingCourt]]+TrafficData[[#This Row],[disposedCourt]]=TrafficData[[#This Row],[totalCourt]]</f>
        <v>1</v>
      </c>
      <c r="N574" t="b">
        <f>AND(TrafficData[[#This Row],[disposedChallan]]&lt;=TrafficData[[#This Row],[totalChallan]],TrafficData[[#This Row],[pendingChallan]]&lt;=TrafficData[[#This Row],[totalChallan]])</f>
        <v>1</v>
      </c>
      <c r="O574" t="b">
        <f>AND(TrafficData[[#This Row],[pendingAmount]]&lt;=TrafficData[[#This Row],[totalAmount]],TrafficData[[#This Row],[disposedAmount]]&lt;=TrafficData[[#This Row],[totalAmount]])</f>
        <v>1</v>
      </c>
      <c r="P574" t="b">
        <f>AND(TrafficData[[#This Row],[pendingCourt]]&lt;=TrafficData[[#This Row],[totalCourt]],TrafficData[[#This Row],[disposedCourt]]&lt;=TrafficData[[#This Row],[totalCourt]])</f>
        <v>1</v>
      </c>
    </row>
    <row r="575" spans="1:16">
      <c r="A575" s="1">
        <v>42578</v>
      </c>
      <c r="B575">
        <v>1477</v>
      </c>
      <c r="C575">
        <v>116</v>
      </c>
      <c r="D575">
        <v>1361</v>
      </c>
      <c r="E575">
        <v>1178000</v>
      </c>
      <c r="F575">
        <v>469290</v>
      </c>
      <c r="G575">
        <v>1647290</v>
      </c>
      <c r="H575">
        <v>1053</v>
      </c>
      <c r="I575">
        <v>8</v>
      </c>
      <c r="J575">
        <v>1061</v>
      </c>
      <c r="K575" t="b">
        <f>TrafficData[[#This Row],[disposedChallan]]+TrafficData[[#This Row],[pendingChallan]]=TrafficData[[#This Row],[totalChallan]]</f>
        <v>1</v>
      </c>
      <c r="L575" t="b">
        <f>TrafficData[[#This Row],[pendingAmount]]+TrafficData[[#This Row],[disposedAmount]]=TrafficData[[#This Row],[totalAmount]]</f>
        <v>1</v>
      </c>
      <c r="M575" t="b">
        <f>TrafficData[[#This Row],[pendingCourt]]+TrafficData[[#This Row],[disposedCourt]]=TrafficData[[#This Row],[totalCourt]]</f>
        <v>1</v>
      </c>
      <c r="N575" t="b">
        <f>AND(TrafficData[[#This Row],[disposedChallan]]&lt;=TrafficData[[#This Row],[totalChallan]],TrafficData[[#This Row],[pendingChallan]]&lt;=TrafficData[[#This Row],[totalChallan]])</f>
        <v>1</v>
      </c>
      <c r="O575" t="b">
        <f>AND(TrafficData[[#This Row],[pendingAmount]]&lt;=TrafficData[[#This Row],[totalAmount]],TrafficData[[#This Row],[disposedAmount]]&lt;=TrafficData[[#This Row],[totalAmount]])</f>
        <v>1</v>
      </c>
      <c r="P575" t="b">
        <f>AND(TrafficData[[#This Row],[pendingCourt]]&lt;=TrafficData[[#This Row],[totalCourt]],TrafficData[[#This Row],[disposedCourt]]&lt;=TrafficData[[#This Row],[totalCourt]])</f>
        <v>1</v>
      </c>
    </row>
    <row r="576" spans="1:16">
      <c r="A576" s="1">
        <v>42579</v>
      </c>
      <c r="B576">
        <v>1135</v>
      </c>
      <c r="C576">
        <v>76</v>
      </c>
      <c r="D576">
        <v>1059</v>
      </c>
      <c r="E576">
        <v>903700</v>
      </c>
      <c r="F576">
        <v>305400</v>
      </c>
      <c r="G576">
        <v>1209100</v>
      </c>
      <c r="H576">
        <v>762</v>
      </c>
      <c r="I576">
        <v>16</v>
      </c>
      <c r="J576">
        <v>778</v>
      </c>
      <c r="K576" t="b">
        <f>TrafficData[[#This Row],[disposedChallan]]+TrafficData[[#This Row],[pendingChallan]]=TrafficData[[#This Row],[totalChallan]]</f>
        <v>1</v>
      </c>
      <c r="L576" t="b">
        <f>TrafficData[[#This Row],[pendingAmount]]+TrafficData[[#This Row],[disposedAmount]]=TrafficData[[#This Row],[totalAmount]]</f>
        <v>1</v>
      </c>
      <c r="M576" t="b">
        <f>TrafficData[[#This Row],[pendingCourt]]+TrafficData[[#This Row],[disposedCourt]]=TrafficData[[#This Row],[totalCourt]]</f>
        <v>1</v>
      </c>
      <c r="N576" t="b">
        <f>AND(TrafficData[[#This Row],[disposedChallan]]&lt;=TrafficData[[#This Row],[totalChallan]],TrafficData[[#This Row],[pendingChallan]]&lt;=TrafficData[[#This Row],[totalChallan]])</f>
        <v>1</v>
      </c>
      <c r="O576" t="b">
        <f>AND(TrafficData[[#This Row],[pendingAmount]]&lt;=TrafficData[[#This Row],[totalAmount]],TrafficData[[#This Row],[disposedAmount]]&lt;=TrafficData[[#This Row],[totalAmount]])</f>
        <v>1</v>
      </c>
      <c r="P576" t="b">
        <f>AND(TrafficData[[#This Row],[pendingCourt]]&lt;=TrafficData[[#This Row],[totalCourt]],TrafficData[[#This Row],[disposedCourt]]&lt;=TrafficData[[#This Row],[totalCourt]])</f>
        <v>1</v>
      </c>
    </row>
    <row r="577" spans="1:16">
      <c r="A577" s="1">
        <v>42580</v>
      </c>
      <c r="B577">
        <v>1109</v>
      </c>
      <c r="C577">
        <v>80</v>
      </c>
      <c r="D577">
        <v>1029</v>
      </c>
      <c r="E577">
        <v>1097335</v>
      </c>
      <c r="F577">
        <v>319150</v>
      </c>
      <c r="G577">
        <v>1416485</v>
      </c>
      <c r="H577">
        <v>720</v>
      </c>
      <c r="I577">
        <v>7</v>
      </c>
      <c r="J577">
        <v>727</v>
      </c>
      <c r="K577" t="b">
        <f>TrafficData[[#This Row],[disposedChallan]]+TrafficData[[#This Row],[pendingChallan]]=TrafficData[[#This Row],[totalChallan]]</f>
        <v>1</v>
      </c>
      <c r="L577" t="b">
        <f>TrafficData[[#This Row],[pendingAmount]]+TrafficData[[#This Row],[disposedAmount]]=TrafficData[[#This Row],[totalAmount]]</f>
        <v>1</v>
      </c>
      <c r="M577" t="b">
        <f>TrafficData[[#This Row],[pendingCourt]]+TrafficData[[#This Row],[disposedCourt]]=TrafficData[[#This Row],[totalCourt]]</f>
        <v>1</v>
      </c>
      <c r="N577" t="b">
        <f>AND(TrafficData[[#This Row],[disposedChallan]]&lt;=TrafficData[[#This Row],[totalChallan]],TrafficData[[#This Row],[pendingChallan]]&lt;=TrafficData[[#This Row],[totalChallan]])</f>
        <v>1</v>
      </c>
      <c r="O577" t="b">
        <f>AND(TrafficData[[#This Row],[pendingAmount]]&lt;=TrafficData[[#This Row],[totalAmount]],TrafficData[[#This Row],[disposedAmount]]&lt;=TrafficData[[#This Row],[totalAmount]])</f>
        <v>1</v>
      </c>
      <c r="P577" t="b">
        <f>AND(TrafficData[[#This Row],[pendingCourt]]&lt;=TrafficData[[#This Row],[totalCourt]],TrafficData[[#This Row],[disposedCourt]]&lt;=TrafficData[[#This Row],[totalCourt]])</f>
        <v>1</v>
      </c>
    </row>
    <row r="578" spans="1:16">
      <c r="A578" s="1">
        <v>42581</v>
      </c>
      <c r="B578">
        <v>1379</v>
      </c>
      <c r="C578">
        <v>72</v>
      </c>
      <c r="D578">
        <v>1307</v>
      </c>
      <c r="E578">
        <v>836371</v>
      </c>
      <c r="F578">
        <v>181940</v>
      </c>
      <c r="G578">
        <v>1018311</v>
      </c>
      <c r="H578">
        <v>1080</v>
      </c>
      <c r="I578">
        <v>8</v>
      </c>
      <c r="J578">
        <v>1088</v>
      </c>
      <c r="K578" t="b">
        <f>TrafficData[[#This Row],[disposedChallan]]+TrafficData[[#This Row],[pendingChallan]]=TrafficData[[#This Row],[totalChallan]]</f>
        <v>1</v>
      </c>
      <c r="L578" t="b">
        <f>TrafficData[[#This Row],[pendingAmount]]+TrafficData[[#This Row],[disposedAmount]]=TrafficData[[#This Row],[totalAmount]]</f>
        <v>1</v>
      </c>
      <c r="M578" t="b">
        <f>TrafficData[[#This Row],[pendingCourt]]+TrafficData[[#This Row],[disposedCourt]]=TrafficData[[#This Row],[totalCourt]]</f>
        <v>1</v>
      </c>
      <c r="N578" t="b">
        <f>AND(TrafficData[[#This Row],[disposedChallan]]&lt;=TrafficData[[#This Row],[totalChallan]],TrafficData[[#This Row],[pendingChallan]]&lt;=TrafficData[[#This Row],[totalChallan]])</f>
        <v>1</v>
      </c>
      <c r="O578" t="b">
        <f>AND(TrafficData[[#This Row],[pendingAmount]]&lt;=TrafficData[[#This Row],[totalAmount]],TrafficData[[#This Row],[disposedAmount]]&lt;=TrafficData[[#This Row],[totalAmount]])</f>
        <v>1</v>
      </c>
      <c r="P578" t="b">
        <f>AND(TrafficData[[#This Row],[pendingCourt]]&lt;=TrafficData[[#This Row],[totalCourt]],TrafficData[[#This Row],[disposedCourt]]&lt;=TrafficData[[#This Row],[totalCourt]])</f>
        <v>1</v>
      </c>
    </row>
    <row r="579" spans="1:16">
      <c r="A579" s="1">
        <v>42582</v>
      </c>
      <c r="B579">
        <v>1098</v>
      </c>
      <c r="C579">
        <v>30</v>
      </c>
      <c r="D579">
        <v>1068</v>
      </c>
      <c r="E579">
        <v>505410</v>
      </c>
      <c r="F579">
        <v>77900</v>
      </c>
      <c r="G579">
        <v>583310</v>
      </c>
      <c r="H579">
        <v>865</v>
      </c>
      <c r="I579">
        <v>5</v>
      </c>
      <c r="J579">
        <v>870</v>
      </c>
      <c r="K579" t="b">
        <f>TrafficData[[#This Row],[disposedChallan]]+TrafficData[[#This Row],[pendingChallan]]=TrafficData[[#This Row],[totalChallan]]</f>
        <v>1</v>
      </c>
      <c r="L579" t="b">
        <f>TrafficData[[#This Row],[pendingAmount]]+TrafficData[[#This Row],[disposedAmount]]=TrafficData[[#This Row],[totalAmount]]</f>
        <v>1</v>
      </c>
      <c r="M579" t="b">
        <f>TrafficData[[#This Row],[pendingCourt]]+TrafficData[[#This Row],[disposedCourt]]=TrafficData[[#This Row],[totalCourt]]</f>
        <v>1</v>
      </c>
      <c r="N579" t="b">
        <f>AND(TrafficData[[#This Row],[disposedChallan]]&lt;=TrafficData[[#This Row],[totalChallan]],TrafficData[[#This Row],[pendingChallan]]&lt;=TrafficData[[#This Row],[totalChallan]])</f>
        <v>1</v>
      </c>
      <c r="O579" t="b">
        <f>AND(TrafficData[[#This Row],[pendingAmount]]&lt;=TrafficData[[#This Row],[totalAmount]],TrafficData[[#This Row],[disposedAmount]]&lt;=TrafficData[[#This Row],[totalAmount]])</f>
        <v>1</v>
      </c>
      <c r="P579" t="b">
        <f>AND(TrafficData[[#This Row],[pendingCourt]]&lt;=TrafficData[[#This Row],[totalCourt]],TrafficData[[#This Row],[disposedCourt]]&lt;=TrafficData[[#This Row],[totalCourt]])</f>
        <v>1</v>
      </c>
    </row>
    <row r="580" spans="1:16">
      <c r="A580" s="1">
        <v>42583</v>
      </c>
      <c r="B580">
        <v>884</v>
      </c>
      <c r="C580">
        <v>92</v>
      </c>
      <c r="D580">
        <v>792</v>
      </c>
      <c r="E580">
        <v>870400</v>
      </c>
      <c r="F580">
        <v>281550</v>
      </c>
      <c r="G580">
        <v>1151950</v>
      </c>
      <c r="H580">
        <v>556</v>
      </c>
      <c r="I580">
        <v>15</v>
      </c>
      <c r="J580">
        <v>571</v>
      </c>
      <c r="K580" t="b">
        <f>TrafficData[[#This Row],[disposedChallan]]+TrafficData[[#This Row],[pendingChallan]]=TrafficData[[#This Row],[totalChallan]]</f>
        <v>1</v>
      </c>
      <c r="L580" t="b">
        <f>TrafficData[[#This Row],[pendingAmount]]+TrafficData[[#This Row],[disposedAmount]]=TrafficData[[#This Row],[totalAmount]]</f>
        <v>1</v>
      </c>
      <c r="M580" t="b">
        <f>TrafficData[[#This Row],[pendingCourt]]+TrafficData[[#This Row],[disposedCourt]]=TrafficData[[#This Row],[totalCourt]]</f>
        <v>1</v>
      </c>
      <c r="N580" t="b">
        <f>AND(TrafficData[[#This Row],[disposedChallan]]&lt;=TrafficData[[#This Row],[totalChallan]],TrafficData[[#This Row],[pendingChallan]]&lt;=TrafficData[[#This Row],[totalChallan]])</f>
        <v>1</v>
      </c>
      <c r="O580" t="b">
        <f>AND(TrafficData[[#This Row],[pendingAmount]]&lt;=TrafficData[[#This Row],[totalAmount]],TrafficData[[#This Row],[disposedAmount]]&lt;=TrafficData[[#This Row],[totalAmount]])</f>
        <v>1</v>
      </c>
      <c r="P580" t="b">
        <f>AND(TrafficData[[#This Row],[pendingCourt]]&lt;=TrafficData[[#This Row],[totalCourt]],TrafficData[[#This Row],[disposedCourt]]&lt;=TrafficData[[#This Row],[totalCourt]])</f>
        <v>1</v>
      </c>
    </row>
    <row r="581" spans="1:16">
      <c r="A581" s="1">
        <v>42584</v>
      </c>
      <c r="B581">
        <v>1365</v>
      </c>
      <c r="C581">
        <v>124</v>
      </c>
      <c r="D581">
        <v>1241</v>
      </c>
      <c r="E581">
        <v>1180650</v>
      </c>
      <c r="F581">
        <v>390810</v>
      </c>
      <c r="G581">
        <v>1571460</v>
      </c>
      <c r="H581">
        <v>949</v>
      </c>
      <c r="I581">
        <v>6</v>
      </c>
      <c r="J581">
        <v>955</v>
      </c>
      <c r="K581" t="b">
        <f>TrafficData[[#This Row],[disposedChallan]]+TrafficData[[#This Row],[pendingChallan]]=TrafficData[[#This Row],[totalChallan]]</f>
        <v>1</v>
      </c>
      <c r="L581" t="b">
        <f>TrafficData[[#This Row],[pendingAmount]]+TrafficData[[#This Row],[disposedAmount]]=TrafficData[[#This Row],[totalAmount]]</f>
        <v>1</v>
      </c>
      <c r="M581" t="b">
        <f>TrafficData[[#This Row],[pendingCourt]]+TrafficData[[#This Row],[disposedCourt]]=TrafficData[[#This Row],[totalCourt]]</f>
        <v>1</v>
      </c>
      <c r="N581" t="b">
        <f>AND(TrafficData[[#This Row],[disposedChallan]]&lt;=TrafficData[[#This Row],[totalChallan]],TrafficData[[#This Row],[pendingChallan]]&lt;=TrafficData[[#This Row],[totalChallan]])</f>
        <v>1</v>
      </c>
      <c r="O581" t="b">
        <f>AND(TrafficData[[#This Row],[pendingAmount]]&lt;=TrafficData[[#This Row],[totalAmount]],TrafficData[[#This Row],[disposedAmount]]&lt;=TrafficData[[#This Row],[totalAmount]])</f>
        <v>1</v>
      </c>
      <c r="P581" t="b">
        <f>AND(TrafficData[[#This Row],[pendingCourt]]&lt;=TrafficData[[#This Row],[totalCourt]],TrafficData[[#This Row],[disposedCourt]]&lt;=TrafficData[[#This Row],[totalCourt]])</f>
        <v>1</v>
      </c>
    </row>
    <row r="582" spans="1:16">
      <c r="A582" s="1">
        <v>42585</v>
      </c>
      <c r="B582">
        <v>1674</v>
      </c>
      <c r="C582">
        <v>84</v>
      </c>
      <c r="D582">
        <v>1590</v>
      </c>
      <c r="E582">
        <v>830425</v>
      </c>
      <c r="F582">
        <v>259500</v>
      </c>
      <c r="G582">
        <v>1089925</v>
      </c>
      <c r="H582">
        <v>1308</v>
      </c>
      <c r="I582">
        <v>25</v>
      </c>
      <c r="J582">
        <v>1333</v>
      </c>
      <c r="K582" t="b">
        <f>TrafficData[[#This Row],[disposedChallan]]+TrafficData[[#This Row],[pendingChallan]]=TrafficData[[#This Row],[totalChallan]]</f>
        <v>1</v>
      </c>
      <c r="L582" t="b">
        <f>TrafficData[[#This Row],[pendingAmount]]+TrafficData[[#This Row],[disposedAmount]]=TrafficData[[#This Row],[totalAmount]]</f>
        <v>1</v>
      </c>
      <c r="M582" t="b">
        <f>TrafficData[[#This Row],[pendingCourt]]+TrafficData[[#This Row],[disposedCourt]]=TrafficData[[#This Row],[totalCourt]]</f>
        <v>1</v>
      </c>
      <c r="N582" t="b">
        <f>AND(TrafficData[[#This Row],[disposedChallan]]&lt;=TrafficData[[#This Row],[totalChallan]],TrafficData[[#This Row],[pendingChallan]]&lt;=TrafficData[[#This Row],[totalChallan]])</f>
        <v>1</v>
      </c>
      <c r="O582" t="b">
        <f>AND(TrafficData[[#This Row],[pendingAmount]]&lt;=TrafficData[[#This Row],[totalAmount]],TrafficData[[#This Row],[disposedAmount]]&lt;=TrafficData[[#This Row],[totalAmount]])</f>
        <v>1</v>
      </c>
      <c r="P582" t="b">
        <f>AND(TrafficData[[#This Row],[pendingCourt]]&lt;=TrafficData[[#This Row],[totalCourt]],TrafficData[[#This Row],[disposedCourt]]&lt;=TrafficData[[#This Row],[totalCourt]])</f>
        <v>1</v>
      </c>
    </row>
    <row r="583" spans="1:16">
      <c r="A583" s="1">
        <v>42586</v>
      </c>
      <c r="B583">
        <v>1775</v>
      </c>
      <c r="C583">
        <v>97</v>
      </c>
      <c r="D583">
        <v>1678</v>
      </c>
      <c r="E583">
        <v>979310</v>
      </c>
      <c r="F583">
        <v>398070</v>
      </c>
      <c r="G583">
        <v>1377380</v>
      </c>
      <c r="H583">
        <v>1381</v>
      </c>
      <c r="I583">
        <v>5</v>
      </c>
      <c r="J583">
        <v>1386</v>
      </c>
      <c r="K583" t="b">
        <f>TrafficData[[#This Row],[disposedChallan]]+TrafficData[[#This Row],[pendingChallan]]=TrafficData[[#This Row],[totalChallan]]</f>
        <v>1</v>
      </c>
      <c r="L583" t="b">
        <f>TrafficData[[#This Row],[pendingAmount]]+TrafficData[[#This Row],[disposedAmount]]=TrafficData[[#This Row],[totalAmount]]</f>
        <v>1</v>
      </c>
      <c r="M583" t="b">
        <f>TrafficData[[#This Row],[pendingCourt]]+TrafficData[[#This Row],[disposedCourt]]=TrafficData[[#This Row],[totalCourt]]</f>
        <v>1</v>
      </c>
      <c r="N583" t="b">
        <f>AND(TrafficData[[#This Row],[disposedChallan]]&lt;=TrafficData[[#This Row],[totalChallan]],TrafficData[[#This Row],[pendingChallan]]&lt;=TrafficData[[#This Row],[totalChallan]])</f>
        <v>1</v>
      </c>
      <c r="O583" t="b">
        <f>AND(TrafficData[[#This Row],[pendingAmount]]&lt;=TrafficData[[#This Row],[totalAmount]],TrafficData[[#This Row],[disposedAmount]]&lt;=TrafficData[[#This Row],[totalAmount]])</f>
        <v>1</v>
      </c>
      <c r="P583" t="b">
        <f>AND(TrafficData[[#This Row],[pendingCourt]]&lt;=TrafficData[[#This Row],[totalCourt]],TrafficData[[#This Row],[disposedCourt]]&lt;=TrafficData[[#This Row],[totalCourt]])</f>
        <v>1</v>
      </c>
    </row>
    <row r="584" spans="1:16">
      <c r="A584" s="1">
        <v>42587</v>
      </c>
      <c r="B584">
        <v>1501</v>
      </c>
      <c r="C584">
        <v>75</v>
      </c>
      <c r="D584">
        <v>1426</v>
      </c>
      <c r="E584">
        <v>1115852</v>
      </c>
      <c r="F584">
        <v>264150</v>
      </c>
      <c r="G584">
        <v>1380002</v>
      </c>
      <c r="H584">
        <v>1167</v>
      </c>
      <c r="I584">
        <v>4</v>
      </c>
      <c r="J584">
        <v>1171</v>
      </c>
      <c r="K584" t="b">
        <f>TrafficData[[#This Row],[disposedChallan]]+TrafficData[[#This Row],[pendingChallan]]=TrafficData[[#This Row],[totalChallan]]</f>
        <v>1</v>
      </c>
      <c r="L584" t="b">
        <f>TrafficData[[#This Row],[pendingAmount]]+TrafficData[[#This Row],[disposedAmount]]=TrafficData[[#This Row],[totalAmount]]</f>
        <v>1</v>
      </c>
      <c r="M584" t="b">
        <f>TrafficData[[#This Row],[pendingCourt]]+TrafficData[[#This Row],[disposedCourt]]=TrafficData[[#This Row],[totalCourt]]</f>
        <v>1</v>
      </c>
      <c r="N584" t="b">
        <f>AND(TrafficData[[#This Row],[disposedChallan]]&lt;=TrafficData[[#This Row],[totalChallan]],TrafficData[[#This Row],[pendingChallan]]&lt;=TrafficData[[#This Row],[totalChallan]])</f>
        <v>1</v>
      </c>
      <c r="O584" t="b">
        <f>AND(TrafficData[[#This Row],[pendingAmount]]&lt;=TrafficData[[#This Row],[totalAmount]],TrafficData[[#This Row],[disposedAmount]]&lt;=TrafficData[[#This Row],[totalAmount]])</f>
        <v>1</v>
      </c>
      <c r="P584" t="b">
        <f>AND(TrafficData[[#This Row],[pendingCourt]]&lt;=TrafficData[[#This Row],[totalCourt]],TrafficData[[#This Row],[disposedCourt]]&lt;=TrafficData[[#This Row],[totalCourt]])</f>
        <v>1</v>
      </c>
    </row>
    <row r="585" spans="1:16">
      <c r="A585" s="1">
        <v>42588</v>
      </c>
      <c r="B585">
        <v>1447</v>
      </c>
      <c r="C585">
        <v>91</v>
      </c>
      <c r="D585">
        <v>1356</v>
      </c>
      <c r="E585">
        <v>732100</v>
      </c>
      <c r="F585">
        <v>215550</v>
      </c>
      <c r="G585">
        <v>947650</v>
      </c>
      <c r="H585">
        <v>1091</v>
      </c>
      <c r="I585">
        <v>5</v>
      </c>
      <c r="J585">
        <v>1096</v>
      </c>
      <c r="K585" t="b">
        <f>TrafficData[[#This Row],[disposedChallan]]+TrafficData[[#This Row],[pendingChallan]]=TrafficData[[#This Row],[totalChallan]]</f>
        <v>1</v>
      </c>
      <c r="L585" t="b">
        <f>TrafficData[[#This Row],[pendingAmount]]+TrafficData[[#This Row],[disposedAmount]]=TrafficData[[#This Row],[totalAmount]]</f>
        <v>1</v>
      </c>
      <c r="M585" t="b">
        <f>TrafficData[[#This Row],[pendingCourt]]+TrafficData[[#This Row],[disposedCourt]]=TrafficData[[#This Row],[totalCourt]]</f>
        <v>1</v>
      </c>
      <c r="N585" t="b">
        <f>AND(TrafficData[[#This Row],[disposedChallan]]&lt;=TrafficData[[#This Row],[totalChallan]],TrafficData[[#This Row],[pendingChallan]]&lt;=TrafficData[[#This Row],[totalChallan]])</f>
        <v>1</v>
      </c>
      <c r="O585" t="b">
        <f>AND(TrafficData[[#This Row],[pendingAmount]]&lt;=TrafficData[[#This Row],[totalAmount]],TrafficData[[#This Row],[disposedAmount]]&lt;=TrafficData[[#This Row],[totalAmount]])</f>
        <v>1</v>
      </c>
      <c r="P585" t="b">
        <f>AND(TrafficData[[#This Row],[pendingCourt]]&lt;=TrafficData[[#This Row],[totalCourt]],TrafficData[[#This Row],[disposedCourt]]&lt;=TrafficData[[#This Row],[totalCourt]])</f>
        <v>1</v>
      </c>
    </row>
    <row r="586" spans="1:16">
      <c r="A586" s="1">
        <v>42589</v>
      </c>
      <c r="B586">
        <v>937</v>
      </c>
      <c r="C586">
        <v>73</v>
      </c>
      <c r="D586">
        <v>864</v>
      </c>
      <c r="E586">
        <v>790300</v>
      </c>
      <c r="F586">
        <v>205550</v>
      </c>
      <c r="G586">
        <v>995850</v>
      </c>
      <c r="H586">
        <v>669</v>
      </c>
      <c r="I586">
        <v>7</v>
      </c>
      <c r="J586">
        <v>676</v>
      </c>
      <c r="K586" t="b">
        <f>TrafficData[[#This Row],[disposedChallan]]+TrafficData[[#This Row],[pendingChallan]]=TrafficData[[#This Row],[totalChallan]]</f>
        <v>1</v>
      </c>
      <c r="L586" t="b">
        <f>TrafficData[[#This Row],[pendingAmount]]+TrafficData[[#This Row],[disposedAmount]]=TrafficData[[#This Row],[totalAmount]]</f>
        <v>1</v>
      </c>
      <c r="M586" t="b">
        <f>TrafficData[[#This Row],[pendingCourt]]+TrafficData[[#This Row],[disposedCourt]]=TrafficData[[#This Row],[totalCourt]]</f>
        <v>1</v>
      </c>
      <c r="N586" t="b">
        <f>AND(TrafficData[[#This Row],[disposedChallan]]&lt;=TrafficData[[#This Row],[totalChallan]],TrafficData[[#This Row],[pendingChallan]]&lt;=TrafficData[[#This Row],[totalChallan]])</f>
        <v>1</v>
      </c>
      <c r="O586" t="b">
        <f>AND(TrafficData[[#This Row],[pendingAmount]]&lt;=TrafficData[[#This Row],[totalAmount]],TrafficData[[#This Row],[disposedAmount]]&lt;=TrafficData[[#This Row],[totalAmount]])</f>
        <v>1</v>
      </c>
      <c r="P586" t="b">
        <f>AND(TrafficData[[#This Row],[pendingCourt]]&lt;=TrafficData[[#This Row],[totalCourt]],TrafficData[[#This Row],[disposedCourt]]&lt;=TrafficData[[#This Row],[totalCourt]])</f>
        <v>1</v>
      </c>
    </row>
    <row r="587" spans="1:16">
      <c r="A587" s="1">
        <v>42590</v>
      </c>
      <c r="B587">
        <v>1543</v>
      </c>
      <c r="C587">
        <v>96</v>
      </c>
      <c r="D587">
        <v>1447</v>
      </c>
      <c r="E587">
        <v>852660</v>
      </c>
      <c r="F587">
        <v>137850</v>
      </c>
      <c r="G587">
        <v>990510</v>
      </c>
      <c r="H587">
        <v>1140</v>
      </c>
      <c r="I587">
        <v>7</v>
      </c>
      <c r="J587">
        <v>1147</v>
      </c>
      <c r="K587" t="b">
        <f>TrafficData[[#This Row],[disposedChallan]]+TrafficData[[#This Row],[pendingChallan]]=TrafficData[[#This Row],[totalChallan]]</f>
        <v>1</v>
      </c>
      <c r="L587" t="b">
        <f>TrafficData[[#This Row],[pendingAmount]]+TrafficData[[#This Row],[disposedAmount]]=TrafficData[[#This Row],[totalAmount]]</f>
        <v>1</v>
      </c>
      <c r="M587" t="b">
        <f>TrafficData[[#This Row],[pendingCourt]]+TrafficData[[#This Row],[disposedCourt]]=TrafficData[[#This Row],[totalCourt]]</f>
        <v>1</v>
      </c>
      <c r="N587" t="b">
        <f>AND(TrafficData[[#This Row],[disposedChallan]]&lt;=TrafficData[[#This Row],[totalChallan]],TrafficData[[#This Row],[pendingChallan]]&lt;=TrafficData[[#This Row],[totalChallan]])</f>
        <v>1</v>
      </c>
      <c r="O587" t="b">
        <f>AND(TrafficData[[#This Row],[pendingAmount]]&lt;=TrafficData[[#This Row],[totalAmount]],TrafficData[[#This Row],[disposedAmount]]&lt;=TrafficData[[#This Row],[totalAmount]])</f>
        <v>1</v>
      </c>
      <c r="P587" t="b">
        <f>AND(TrafficData[[#This Row],[pendingCourt]]&lt;=TrafficData[[#This Row],[totalCourt]],TrafficData[[#This Row],[disposedCourt]]&lt;=TrafficData[[#This Row],[totalCourt]])</f>
        <v>1</v>
      </c>
    </row>
    <row r="588" spans="1:16">
      <c r="A588" s="1">
        <v>42591</v>
      </c>
      <c r="B588">
        <v>1603</v>
      </c>
      <c r="C588">
        <v>111</v>
      </c>
      <c r="D588">
        <v>1492</v>
      </c>
      <c r="E588">
        <v>987450</v>
      </c>
      <c r="F588">
        <v>426750</v>
      </c>
      <c r="G588">
        <v>1414200</v>
      </c>
      <c r="H588">
        <v>1218</v>
      </c>
      <c r="I588">
        <v>3</v>
      </c>
      <c r="J588">
        <v>1221</v>
      </c>
      <c r="K588" t="b">
        <f>TrafficData[[#This Row],[disposedChallan]]+TrafficData[[#This Row],[pendingChallan]]=TrafficData[[#This Row],[totalChallan]]</f>
        <v>1</v>
      </c>
      <c r="L588" t="b">
        <f>TrafficData[[#This Row],[pendingAmount]]+TrafficData[[#This Row],[disposedAmount]]=TrafficData[[#This Row],[totalAmount]]</f>
        <v>1</v>
      </c>
      <c r="M588" t="b">
        <f>TrafficData[[#This Row],[pendingCourt]]+TrafficData[[#This Row],[disposedCourt]]=TrafficData[[#This Row],[totalCourt]]</f>
        <v>1</v>
      </c>
      <c r="N588" t="b">
        <f>AND(TrafficData[[#This Row],[disposedChallan]]&lt;=TrafficData[[#This Row],[totalChallan]],TrafficData[[#This Row],[pendingChallan]]&lt;=TrafficData[[#This Row],[totalChallan]])</f>
        <v>1</v>
      </c>
      <c r="O588" t="b">
        <f>AND(TrafficData[[#This Row],[pendingAmount]]&lt;=TrafficData[[#This Row],[totalAmount]],TrafficData[[#This Row],[disposedAmount]]&lt;=TrafficData[[#This Row],[totalAmount]])</f>
        <v>1</v>
      </c>
      <c r="P588" t="b">
        <f>AND(TrafficData[[#This Row],[pendingCourt]]&lt;=TrafficData[[#This Row],[totalCourt]],TrafficData[[#This Row],[disposedCourt]]&lt;=TrafficData[[#This Row],[totalCourt]])</f>
        <v>1</v>
      </c>
    </row>
    <row r="589" spans="1:16">
      <c r="A589" s="1">
        <v>42592</v>
      </c>
      <c r="B589">
        <v>1684</v>
      </c>
      <c r="C589">
        <v>112</v>
      </c>
      <c r="D589">
        <v>1572</v>
      </c>
      <c r="E589">
        <v>1175475</v>
      </c>
      <c r="F589">
        <v>356500</v>
      </c>
      <c r="G589">
        <v>1531975</v>
      </c>
      <c r="H589">
        <v>1238</v>
      </c>
      <c r="I589">
        <v>5</v>
      </c>
      <c r="J589">
        <v>1243</v>
      </c>
      <c r="K589" t="b">
        <f>TrafficData[[#This Row],[disposedChallan]]+TrafficData[[#This Row],[pendingChallan]]=TrafficData[[#This Row],[totalChallan]]</f>
        <v>1</v>
      </c>
      <c r="L589" t="b">
        <f>TrafficData[[#This Row],[pendingAmount]]+TrafficData[[#This Row],[disposedAmount]]=TrafficData[[#This Row],[totalAmount]]</f>
        <v>1</v>
      </c>
      <c r="M589" t="b">
        <f>TrafficData[[#This Row],[pendingCourt]]+TrafficData[[#This Row],[disposedCourt]]=TrafficData[[#This Row],[totalCourt]]</f>
        <v>1</v>
      </c>
      <c r="N589" t="b">
        <f>AND(TrafficData[[#This Row],[disposedChallan]]&lt;=TrafficData[[#This Row],[totalChallan]],TrafficData[[#This Row],[pendingChallan]]&lt;=TrafficData[[#This Row],[totalChallan]])</f>
        <v>1</v>
      </c>
      <c r="O589" t="b">
        <f>AND(TrafficData[[#This Row],[pendingAmount]]&lt;=TrafficData[[#This Row],[totalAmount]],TrafficData[[#This Row],[disposedAmount]]&lt;=TrafficData[[#This Row],[totalAmount]])</f>
        <v>1</v>
      </c>
      <c r="P589" t="b">
        <f>AND(TrafficData[[#This Row],[pendingCourt]]&lt;=TrafficData[[#This Row],[totalCourt]],TrafficData[[#This Row],[disposedCourt]]&lt;=TrafficData[[#This Row],[totalCourt]])</f>
        <v>1</v>
      </c>
    </row>
    <row r="590" spans="1:16">
      <c r="A590" s="1">
        <v>42593</v>
      </c>
      <c r="B590">
        <v>1017</v>
      </c>
      <c r="C590">
        <v>100</v>
      </c>
      <c r="D590">
        <v>917</v>
      </c>
      <c r="E590">
        <v>848310</v>
      </c>
      <c r="F590">
        <v>313076</v>
      </c>
      <c r="G590">
        <v>1161386</v>
      </c>
      <c r="H590">
        <v>661</v>
      </c>
      <c r="I590">
        <v>11</v>
      </c>
      <c r="J590">
        <v>672</v>
      </c>
      <c r="K590" t="b">
        <f>TrafficData[[#This Row],[disposedChallan]]+TrafficData[[#This Row],[pendingChallan]]=TrafficData[[#This Row],[totalChallan]]</f>
        <v>1</v>
      </c>
      <c r="L590" t="b">
        <f>TrafficData[[#This Row],[pendingAmount]]+TrafficData[[#This Row],[disposedAmount]]=TrafficData[[#This Row],[totalAmount]]</f>
        <v>1</v>
      </c>
      <c r="M590" t="b">
        <f>TrafficData[[#This Row],[pendingCourt]]+TrafficData[[#This Row],[disposedCourt]]=TrafficData[[#This Row],[totalCourt]]</f>
        <v>1</v>
      </c>
      <c r="N590" t="b">
        <f>AND(TrafficData[[#This Row],[disposedChallan]]&lt;=TrafficData[[#This Row],[totalChallan]],TrafficData[[#This Row],[pendingChallan]]&lt;=TrafficData[[#This Row],[totalChallan]])</f>
        <v>1</v>
      </c>
      <c r="O590" t="b">
        <f>AND(TrafficData[[#This Row],[pendingAmount]]&lt;=TrafficData[[#This Row],[totalAmount]],TrafficData[[#This Row],[disposedAmount]]&lt;=TrafficData[[#This Row],[totalAmount]])</f>
        <v>1</v>
      </c>
      <c r="P590" t="b">
        <f>AND(TrafficData[[#This Row],[pendingCourt]]&lt;=TrafficData[[#This Row],[totalCourt]],TrafficData[[#This Row],[disposedCourt]]&lt;=TrafficData[[#This Row],[totalCourt]])</f>
        <v>1</v>
      </c>
    </row>
    <row r="591" spans="1:16">
      <c r="A591" s="1">
        <v>42594</v>
      </c>
      <c r="B591">
        <v>1399</v>
      </c>
      <c r="C591">
        <v>130</v>
      </c>
      <c r="D591">
        <v>1269</v>
      </c>
      <c r="E591">
        <v>746952</v>
      </c>
      <c r="F591">
        <v>416900</v>
      </c>
      <c r="G591">
        <v>1163852</v>
      </c>
      <c r="H591">
        <v>880</v>
      </c>
      <c r="I591">
        <v>31</v>
      </c>
      <c r="J591">
        <v>911</v>
      </c>
      <c r="K591" t="b">
        <f>TrafficData[[#This Row],[disposedChallan]]+TrafficData[[#This Row],[pendingChallan]]=TrafficData[[#This Row],[totalChallan]]</f>
        <v>1</v>
      </c>
      <c r="L591" t="b">
        <f>TrafficData[[#This Row],[pendingAmount]]+TrafficData[[#This Row],[disposedAmount]]=TrafficData[[#This Row],[totalAmount]]</f>
        <v>1</v>
      </c>
      <c r="M591" t="b">
        <f>TrafficData[[#This Row],[pendingCourt]]+TrafficData[[#This Row],[disposedCourt]]=TrafficData[[#This Row],[totalCourt]]</f>
        <v>1</v>
      </c>
      <c r="N591" t="b">
        <f>AND(TrafficData[[#This Row],[disposedChallan]]&lt;=TrafficData[[#This Row],[totalChallan]],TrafficData[[#This Row],[pendingChallan]]&lt;=TrafficData[[#This Row],[totalChallan]])</f>
        <v>1</v>
      </c>
      <c r="O591" t="b">
        <f>AND(TrafficData[[#This Row],[pendingAmount]]&lt;=TrafficData[[#This Row],[totalAmount]],TrafficData[[#This Row],[disposedAmount]]&lt;=TrafficData[[#This Row],[totalAmount]])</f>
        <v>1</v>
      </c>
      <c r="P591" t="b">
        <f>AND(TrafficData[[#This Row],[pendingCourt]]&lt;=TrafficData[[#This Row],[totalCourt]],TrafficData[[#This Row],[disposedCourt]]&lt;=TrafficData[[#This Row],[totalCourt]])</f>
        <v>1</v>
      </c>
    </row>
    <row r="592" spans="1:16">
      <c r="A592" s="1">
        <v>42595</v>
      </c>
      <c r="B592">
        <v>700</v>
      </c>
      <c r="C592">
        <v>64</v>
      </c>
      <c r="D592">
        <v>636</v>
      </c>
      <c r="E592">
        <v>453100</v>
      </c>
      <c r="F592">
        <v>177800</v>
      </c>
      <c r="G592">
        <v>630900</v>
      </c>
      <c r="H592">
        <v>475</v>
      </c>
      <c r="I592">
        <v>7</v>
      </c>
      <c r="J592">
        <v>482</v>
      </c>
      <c r="K592" t="b">
        <f>TrafficData[[#This Row],[disposedChallan]]+TrafficData[[#This Row],[pendingChallan]]=TrafficData[[#This Row],[totalChallan]]</f>
        <v>1</v>
      </c>
      <c r="L592" t="b">
        <f>TrafficData[[#This Row],[pendingAmount]]+TrafficData[[#This Row],[disposedAmount]]=TrafficData[[#This Row],[totalAmount]]</f>
        <v>1</v>
      </c>
      <c r="M592" t="b">
        <f>TrafficData[[#This Row],[pendingCourt]]+TrafficData[[#This Row],[disposedCourt]]=TrafficData[[#This Row],[totalCourt]]</f>
        <v>1</v>
      </c>
      <c r="N592" t="b">
        <f>AND(TrafficData[[#This Row],[disposedChallan]]&lt;=TrafficData[[#This Row],[totalChallan]],TrafficData[[#This Row],[pendingChallan]]&lt;=TrafficData[[#This Row],[totalChallan]])</f>
        <v>1</v>
      </c>
      <c r="O592" t="b">
        <f>AND(TrafficData[[#This Row],[pendingAmount]]&lt;=TrafficData[[#This Row],[totalAmount]],TrafficData[[#This Row],[disposedAmount]]&lt;=TrafficData[[#This Row],[totalAmount]])</f>
        <v>1</v>
      </c>
      <c r="P592" t="b">
        <f>AND(TrafficData[[#This Row],[pendingCourt]]&lt;=TrafficData[[#This Row],[totalCourt]],TrafficData[[#This Row],[disposedCourt]]&lt;=TrafficData[[#This Row],[totalCourt]])</f>
        <v>1</v>
      </c>
    </row>
    <row r="593" spans="1:16">
      <c r="A593" s="1">
        <v>42596</v>
      </c>
      <c r="B593">
        <v>525</v>
      </c>
      <c r="C593">
        <v>41</v>
      </c>
      <c r="D593">
        <v>484</v>
      </c>
      <c r="E593">
        <v>286400</v>
      </c>
      <c r="F593">
        <v>90640</v>
      </c>
      <c r="G593">
        <v>377040</v>
      </c>
      <c r="H593">
        <v>346</v>
      </c>
      <c r="I593">
        <v>10</v>
      </c>
      <c r="J593">
        <v>356</v>
      </c>
      <c r="K593" t="b">
        <f>TrafficData[[#This Row],[disposedChallan]]+TrafficData[[#This Row],[pendingChallan]]=TrafficData[[#This Row],[totalChallan]]</f>
        <v>1</v>
      </c>
      <c r="L593" t="b">
        <f>TrafficData[[#This Row],[pendingAmount]]+TrafficData[[#This Row],[disposedAmount]]=TrafficData[[#This Row],[totalAmount]]</f>
        <v>1</v>
      </c>
      <c r="M593" t="b">
        <f>TrafficData[[#This Row],[pendingCourt]]+TrafficData[[#This Row],[disposedCourt]]=TrafficData[[#This Row],[totalCourt]]</f>
        <v>1</v>
      </c>
      <c r="N593" t="b">
        <f>AND(TrafficData[[#This Row],[disposedChallan]]&lt;=TrafficData[[#This Row],[totalChallan]],TrafficData[[#This Row],[pendingChallan]]&lt;=TrafficData[[#This Row],[totalChallan]])</f>
        <v>1</v>
      </c>
      <c r="O593" t="b">
        <f>AND(TrafficData[[#This Row],[pendingAmount]]&lt;=TrafficData[[#This Row],[totalAmount]],TrafficData[[#This Row],[disposedAmount]]&lt;=TrafficData[[#This Row],[totalAmount]])</f>
        <v>1</v>
      </c>
      <c r="P593" t="b">
        <f>AND(TrafficData[[#This Row],[pendingCourt]]&lt;=TrafficData[[#This Row],[totalCourt]],TrafficData[[#This Row],[disposedCourt]]&lt;=TrafficData[[#This Row],[totalCourt]])</f>
        <v>1</v>
      </c>
    </row>
    <row r="594" spans="1:16">
      <c r="A594" s="1">
        <v>42597</v>
      </c>
      <c r="B594">
        <v>153</v>
      </c>
      <c r="C594">
        <v>34</v>
      </c>
      <c r="D594">
        <v>119</v>
      </c>
      <c r="E594">
        <v>121100</v>
      </c>
      <c r="F594">
        <v>202800</v>
      </c>
      <c r="G594">
        <v>323900</v>
      </c>
      <c r="H594">
        <v>50</v>
      </c>
      <c r="I594">
        <v>7</v>
      </c>
      <c r="J594">
        <v>57</v>
      </c>
      <c r="K594" t="b">
        <f>TrafficData[[#This Row],[disposedChallan]]+TrafficData[[#This Row],[pendingChallan]]=TrafficData[[#This Row],[totalChallan]]</f>
        <v>1</v>
      </c>
      <c r="L594" t="b">
        <f>TrafficData[[#This Row],[pendingAmount]]+TrafficData[[#This Row],[disposedAmount]]=TrafficData[[#This Row],[totalAmount]]</f>
        <v>1</v>
      </c>
      <c r="M594" t="b">
        <f>TrafficData[[#This Row],[pendingCourt]]+TrafficData[[#This Row],[disposedCourt]]=TrafficData[[#This Row],[totalCourt]]</f>
        <v>1</v>
      </c>
      <c r="N594" t="b">
        <f>AND(TrafficData[[#This Row],[disposedChallan]]&lt;=TrafficData[[#This Row],[totalChallan]],TrafficData[[#This Row],[pendingChallan]]&lt;=TrafficData[[#This Row],[totalChallan]])</f>
        <v>1</v>
      </c>
      <c r="O594" t="b">
        <f>AND(TrafficData[[#This Row],[pendingAmount]]&lt;=TrafficData[[#This Row],[totalAmount]],TrafficData[[#This Row],[disposedAmount]]&lt;=TrafficData[[#This Row],[totalAmount]])</f>
        <v>1</v>
      </c>
      <c r="P594" t="b">
        <f>AND(TrafficData[[#This Row],[pendingCourt]]&lt;=TrafficData[[#This Row],[totalCourt]],TrafficData[[#This Row],[disposedCourt]]&lt;=TrafficData[[#This Row],[totalCourt]])</f>
        <v>1</v>
      </c>
    </row>
    <row r="595" spans="1:16">
      <c r="A595" s="1">
        <v>42598</v>
      </c>
      <c r="B595">
        <v>1324</v>
      </c>
      <c r="C595">
        <v>112</v>
      </c>
      <c r="D595">
        <v>1212</v>
      </c>
      <c r="E595">
        <v>995100</v>
      </c>
      <c r="F595">
        <v>160524</v>
      </c>
      <c r="G595">
        <v>1155624</v>
      </c>
      <c r="H595">
        <v>1019</v>
      </c>
      <c r="I595">
        <v>5</v>
      </c>
      <c r="J595">
        <v>1024</v>
      </c>
      <c r="K595" t="b">
        <f>TrafficData[[#This Row],[disposedChallan]]+TrafficData[[#This Row],[pendingChallan]]=TrafficData[[#This Row],[totalChallan]]</f>
        <v>1</v>
      </c>
      <c r="L595" t="b">
        <f>TrafficData[[#This Row],[pendingAmount]]+TrafficData[[#This Row],[disposedAmount]]=TrafficData[[#This Row],[totalAmount]]</f>
        <v>1</v>
      </c>
      <c r="M595" t="b">
        <f>TrafficData[[#This Row],[pendingCourt]]+TrafficData[[#This Row],[disposedCourt]]=TrafficData[[#This Row],[totalCourt]]</f>
        <v>1</v>
      </c>
      <c r="N595" t="b">
        <f>AND(TrafficData[[#This Row],[disposedChallan]]&lt;=TrafficData[[#This Row],[totalChallan]],TrafficData[[#This Row],[pendingChallan]]&lt;=TrafficData[[#This Row],[totalChallan]])</f>
        <v>1</v>
      </c>
      <c r="O595" t="b">
        <f>AND(TrafficData[[#This Row],[pendingAmount]]&lt;=TrafficData[[#This Row],[totalAmount]],TrafficData[[#This Row],[disposedAmount]]&lt;=TrafficData[[#This Row],[totalAmount]])</f>
        <v>1</v>
      </c>
      <c r="P595" t="b">
        <f>AND(TrafficData[[#This Row],[pendingCourt]]&lt;=TrafficData[[#This Row],[totalCourt]],TrafficData[[#This Row],[disposedCourt]]&lt;=TrafficData[[#This Row],[totalCourt]])</f>
        <v>1</v>
      </c>
    </row>
    <row r="596" spans="1:16">
      <c r="A596" s="1">
        <v>42599</v>
      </c>
      <c r="B596">
        <v>1462</v>
      </c>
      <c r="C596">
        <v>129</v>
      </c>
      <c r="D596">
        <v>1333</v>
      </c>
      <c r="E596">
        <v>920000</v>
      </c>
      <c r="F596">
        <v>224204</v>
      </c>
      <c r="G596">
        <v>1144204</v>
      </c>
      <c r="H596">
        <v>1141</v>
      </c>
      <c r="I596">
        <v>11</v>
      </c>
      <c r="J596">
        <v>1152</v>
      </c>
      <c r="K596" t="b">
        <f>TrafficData[[#This Row],[disposedChallan]]+TrafficData[[#This Row],[pendingChallan]]=TrafficData[[#This Row],[totalChallan]]</f>
        <v>1</v>
      </c>
      <c r="L596" t="b">
        <f>TrafficData[[#This Row],[pendingAmount]]+TrafficData[[#This Row],[disposedAmount]]=TrafficData[[#This Row],[totalAmount]]</f>
        <v>1</v>
      </c>
      <c r="M596" t="b">
        <f>TrafficData[[#This Row],[pendingCourt]]+TrafficData[[#This Row],[disposedCourt]]=TrafficData[[#This Row],[totalCourt]]</f>
        <v>1</v>
      </c>
      <c r="N596" t="b">
        <f>AND(TrafficData[[#This Row],[disposedChallan]]&lt;=TrafficData[[#This Row],[totalChallan]],TrafficData[[#This Row],[pendingChallan]]&lt;=TrafficData[[#This Row],[totalChallan]])</f>
        <v>1</v>
      </c>
      <c r="O596" t="b">
        <f>AND(TrafficData[[#This Row],[pendingAmount]]&lt;=TrafficData[[#This Row],[totalAmount]],TrafficData[[#This Row],[disposedAmount]]&lt;=TrafficData[[#This Row],[totalAmount]])</f>
        <v>1</v>
      </c>
      <c r="P596" t="b">
        <f>AND(TrafficData[[#This Row],[pendingCourt]]&lt;=TrafficData[[#This Row],[totalCourt]],TrafficData[[#This Row],[disposedCourt]]&lt;=TrafficData[[#This Row],[totalCourt]])</f>
        <v>1</v>
      </c>
    </row>
    <row r="597" spans="1:16">
      <c r="A597" s="1">
        <v>42600</v>
      </c>
      <c r="B597">
        <v>671</v>
      </c>
      <c r="C597">
        <v>35</v>
      </c>
      <c r="D597">
        <v>636</v>
      </c>
      <c r="E597">
        <v>527350</v>
      </c>
      <c r="F597">
        <v>43850</v>
      </c>
      <c r="G597">
        <v>571200</v>
      </c>
      <c r="H597">
        <v>476</v>
      </c>
      <c r="I597">
        <v>1</v>
      </c>
      <c r="J597">
        <v>477</v>
      </c>
      <c r="K597" t="b">
        <f>TrafficData[[#This Row],[disposedChallan]]+TrafficData[[#This Row],[pendingChallan]]=TrafficData[[#This Row],[totalChallan]]</f>
        <v>1</v>
      </c>
      <c r="L597" t="b">
        <f>TrafficData[[#This Row],[pendingAmount]]+TrafficData[[#This Row],[disposedAmount]]=TrafficData[[#This Row],[totalAmount]]</f>
        <v>1</v>
      </c>
      <c r="M597" t="b">
        <f>TrafficData[[#This Row],[pendingCourt]]+TrafficData[[#This Row],[disposedCourt]]=TrafficData[[#This Row],[totalCourt]]</f>
        <v>1</v>
      </c>
      <c r="N597" t="b">
        <f>AND(TrafficData[[#This Row],[disposedChallan]]&lt;=TrafficData[[#This Row],[totalChallan]],TrafficData[[#This Row],[pendingChallan]]&lt;=TrafficData[[#This Row],[totalChallan]])</f>
        <v>1</v>
      </c>
      <c r="O597" t="b">
        <f>AND(TrafficData[[#This Row],[pendingAmount]]&lt;=TrafficData[[#This Row],[totalAmount]],TrafficData[[#This Row],[disposedAmount]]&lt;=TrafficData[[#This Row],[totalAmount]])</f>
        <v>1</v>
      </c>
      <c r="P597" t="b">
        <f>AND(TrafficData[[#This Row],[pendingCourt]]&lt;=TrafficData[[#This Row],[totalCourt]],TrafficData[[#This Row],[disposedCourt]]&lt;=TrafficData[[#This Row],[totalCourt]])</f>
        <v>1</v>
      </c>
    </row>
    <row r="598" spans="1:16">
      <c r="A598" s="1">
        <v>42601</v>
      </c>
      <c r="B598">
        <v>1649</v>
      </c>
      <c r="C598">
        <v>125</v>
      </c>
      <c r="D598">
        <v>1524</v>
      </c>
      <c r="E598">
        <v>812050</v>
      </c>
      <c r="F598">
        <v>261275</v>
      </c>
      <c r="G598">
        <v>1073325</v>
      </c>
      <c r="H598">
        <v>1309</v>
      </c>
      <c r="I598">
        <v>7</v>
      </c>
      <c r="J598">
        <v>1316</v>
      </c>
      <c r="K598" t="b">
        <f>TrafficData[[#This Row],[disposedChallan]]+TrafficData[[#This Row],[pendingChallan]]=TrafficData[[#This Row],[totalChallan]]</f>
        <v>1</v>
      </c>
      <c r="L598" t="b">
        <f>TrafficData[[#This Row],[pendingAmount]]+TrafficData[[#This Row],[disposedAmount]]=TrafficData[[#This Row],[totalAmount]]</f>
        <v>1</v>
      </c>
      <c r="M598" t="b">
        <f>TrafficData[[#This Row],[pendingCourt]]+TrafficData[[#This Row],[disposedCourt]]=TrafficData[[#This Row],[totalCourt]]</f>
        <v>1</v>
      </c>
      <c r="N598" t="b">
        <f>AND(TrafficData[[#This Row],[disposedChallan]]&lt;=TrafficData[[#This Row],[totalChallan]],TrafficData[[#This Row],[pendingChallan]]&lt;=TrafficData[[#This Row],[totalChallan]])</f>
        <v>1</v>
      </c>
      <c r="O598" t="b">
        <f>AND(TrafficData[[#This Row],[pendingAmount]]&lt;=TrafficData[[#This Row],[totalAmount]],TrafficData[[#This Row],[disposedAmount]]&lt;=TrafficData[[#This Row],[totalAmount]])</f>
        <v>1</v>
      </c>
      <c r="P598" t="b">
        <f>AND(TrafficData[[#This Row],[pendingCourt]]&lt;=TrafficData[[#This Row],[totalCourt]],TrafficData[[#This Row],[disposedCourt]]&lt;=TrafficData[[#This Row],[totalCourt]])</f>
        <v>1</v>
      </c>
    </row>
    <row r="599" spans="1:16">
      <c r="A599" s="1">
        <v>42602</v>
      </c>
      <c r="B599">
        <v>1221</v>
      </c>
      <c r="C599">
        <v>87</v>
      </c>
      <c r="D599">
        <v>1134</v>
      </c>
      <c r="E599">
        <v>1173670</v>
      </c>
      <c r="F599">
        <v>254750</v>
      </c>
      <c r="G599">
        <v>1428420</v>
      </c>
      <c r="H599">
        <v>916</v>
      </c>
      <c r="I599">
        <v>4</v>
      </c>
      <c r="J599">
        <v>920</v>
      </c>
      <c r="K599" t="b">
        <f>TrafficData[[#This Row],[disposedChallan]]+TrafficData[[#This Row],[pendingChallan]]=TrafficData[[#This Row],[totalChallan]]</f>
        <v>1</v>
      </c>
      <c r="L599" t="b">
        <f>TrafficData[[#This Row],[pendingAmount]]+TrafficData[[#This Row],[disposedAmount]]=TrafficData[[#This Row],[totalAmount]]</f>
        <v>1</v>
      </c>
      <c r="M599" t="b">
        <f>TrafficData[[#This Row],[pendingCourt]]+TrafficData[[#This Row],[disposedCourt]]=TrafficData[[#This Row],[totalCourt]]</f>
        <v>1</v>
      </c>
      <c r="N599" t="b">
        <f>AND(TrafficData[[#This Row],[disposedChallan]]&lt;=TrafficData[[#This Row],[totalChallan]],TrafficData[[#This Row],[pendingChallan]]&lt;=TrafficData[[#This Row],[totalChallan]])</f>
        <v>1</v>
      </c>
      <c r="O599" t="b">
        <f>AND(TrafficData[[#This Row],[pendingAmount]]&lt;=TrafficData[[#This Row],[totalAmount]],TrafficData[[#This Row],[disposedAmount]]&lt;=TrafficData[[#This Row],[totalAmount]])</f>
        <v>1</v>
      </c>
      <c r="P599" t="b">
        <f>AND(TrafficData[[#This Row],[pendingCourt]]&lt;=TrafficData[[#This Row],[totalCourt]],TrafficData[[#This Row],[disposedCourt]]&lt;=TrafficData[[#This Row],[totalCourt]])</f>
        <v>1</v>
      </c>
    </row>
    <row r="600" spans="1:16">
      <c r="A600" s="1">
        <v>42603</v>
      </c>
      <c r="B600">
        <v>643</v>
      </c>
      <c r="C600">
        <v>57</v>
      </c>
      <c r="D600">
        <v>586</v>
      </c>
      <c r="E600">
        <v>449600</v>
      </c>
      <c r="F600">
        <v>114570</v>
      </c>
      <c r="G600">
        <v>564170</v>
      </c>
      <c r="H600">
        <v>480</v>
      </c>
      <c r="I600">
        <v>10</v>
      </c>
      <c r="J600">
        <v>490</v>
      </c>
      <c r="K600" t="b">
        <f>TrafficData[[#This Row],[disposedChallan]]+TrafficData[[#This Row],[pendingChallan]]=TrafficData[[#This Row],[totalChallan]]</f>
        <v>1</v>
      </c>
      <c r="L600" t="b">
        <f>TrafficData[[#This Row],[pendingAmount]]+TrafficData[[#This Row],[disposedAmount]]=TrafficData[[#This Row],[totalAmount]]</f>
        <v>1</v>
      </c>
      <c r="M600" t="b">
        <f>TrafficData[[#This Row],[pendingCourt]]+TrafficData[[#This Row],[disposedCourt]]=TrafficData[[#This Row],[totalCourt]]</f>
        <v>1</v>
      </c>
      <c r="N600" t="b">
        <f>AND(TrafficData[[#This Row],[disposedChallan]]&lt;=TrafficData[[#This Row],[totalChallan]],TrafficData[[#This Row],[pendingChallan]]&lt;=TrafficData[[#This Row],[totalChallan]])</f>
        <v>1</v>
      </c>
      <c r="O600" t="b">
        <f>AND(TrafficData[[#This Row],[pendingAmount]]&lt;=TrafficData[[#This Row],[totalAmount]],TrafficData[[#This Row],[disposedAmount]]&lt;=TrafficData[[#This Row],[totalAmount]])</f>
        <v>1</v>
      </c>
      <c r="P600" t="b">
        <f>AND(TrafficData[[#This Row],[pendingCourt]]&lt;=TrafficData[[#This Row],[totalCourt]],TrafficData[[#This Row],[disposedCourt]]&lt;=TrafficData[[#This Row],[totalCourt]])</f>
        <v>1</v>
      </c>
    </row>
    <row r="601" spans="1:16">
      <c r="A601" s="1">
        <v>42604</v>
      </c>
      <c r="B601">
        <v>1499</v>
      </c>
      <c r="C601">
        <v>109</v>
      </c>
      <c r="D601">
        <v>1390</v>
      </c>
      <c r="E601">
        <v>1222050</v>
      </c>
      <c r="F601">
        <v>383850</v>
      </c>
      <c r="G601">
        <v>1605900</v>
      </c>
      <c r="H601">
        <v>1170</v>
      </c>
      <c r="I601">
        <v>9</v>
      </c>
      <c r="J601">
        <v>1179</v>
      </c>
      <c r="K601" t="b">
        <f>TrafficData[[#This Row],[disposedChallan]]+TrafficData[[#This Row],[pendingChallan]]=TrafficData[[#This Row],[totalChallan]]</f>
        <v>1</v>
      </c>
      <c r="L601" t="b">
        <f>TrafficData[[#This Row],[pendingAmount]]+TrafficData[[#This Row],[disposedAmount]]=TrafficData[[#This Row],[totalAmount]]</f>
        <v>1</v>
      </c>
      <c r="M601" t="b">
        <f>TrafficData[[#This Row],[pendingCourt]]+TrafficData[[#This Row],[disposedCourt]]=TrafficData[[#This Row],[totalCourt]]</f>
        <v>1</v>
      </c>
      <c r="N601" t="b">
        <f>AND(TrafficData[[#This Row],[disposedChallan]]&lt;=TrafficData[[#This Row],[totalChallan]],TrafficData[[#This Row],[pendingChallan]]&lt;=TrafficData[[#This Row],[totalChallan]])</f>
        <v>1</v>
      </c>
      <c r="O601" t="b">
        <f>AND(TrafficData[[#This Row],[pendingAmount]]&lt;=TrafficData[[#This Row],[totalAmount]],TrafficData[[#This Row],[disposedAmount]]&lt;=TrafficData[[#This Row],[totalAmount]])</f>
        <v>1</v>
      </c>
      <c r="P601" t="b">
        <f>AND(TrafficData[[#This Row],[pendingCourt]]&lt;=TrafficData[[#This Row],[totalCourt]],TrafficData[[#This Row],[disposedCourt]]&lt;=TrafficData[[#This Row],[totalCourt]])</f>
        <v>1</v>
      </c>
    </row>
    <row r="602" spans="1:16">
      <c r="A602" s="1">
        <v>42605</v>
      </c>
      <c r="B602">
        <v>1812</v>
      </c>
      <c r="C602">
        <v>116</v>
      </c>
      <c r="D602">
        <v>1696</v>
      </c>
      <c r="E602">
        <v>916579</v>
      </c>
      <c r="F602">
        <v>413940</v>
      </c>
      <c r="G602">
        <v>1330519</v>
      </c>
      <c r="H602">
        <v>1446</v>
      </c>
      <c r="I602">
        <v>12</v>
      </c>
      <c r="J602">
        <v>1458</v>
      </c>
      <c r="K602" t="b">
        <f>TrafficData[[#This Row],[disposedChallan]]+TrafficData[[#This Row],[pendingChallan]]=TrafficData[[#This Row],[totalChallan]]</f>
        <v>1</v>
      </c>
      <c r="L602" t="b">
        <f>TrafficData[[#This Row],[pendingAmount]]+TrafficData[[#This Row],[disposedAmount]]=TrafficData[[#This Row],[totalAmount]]</f>
        <v>1</v>
      </c>
      <c r="M602" t="b">
        <f>TrafficData[[#This Row],[pendingCourt]]+TrafficData[[#This Row],[disposedCourt]]=TrafficData[[#This Row],[totalCourt]]</f>
        <v>1</v>
      </c>
      <c r="N602" t="b">
        <f>AND(TrafficData[[#This Row],[disposedChallan]]&lt;=TrafficData[[#This Row],[totalChallan]],TrafficData[[#This Row],[pendingChallan]]&lt;=TrafficData[[#This Row],[totalChallan]])</f>
        <v>1</v>
      </c>
      <c r="O602" t="b">
        <f>AND(TrafficData[[#This Row],[pendingAmount]]&lt;=TrafficData[[#This Row],[totalAmount]],TrafficData[[#This Row],[disposedAmount]]&lt;=TrafficData[[#This Row],[totalAmount]])</f>
        <v>1</v>
      </c>
      <c r="P602" t="b">
        <f>AND(TrafficData[[#This Row],[pendingCourt]]&lt;=TrafficData[[#This Row],[totalCourt]],TrafficData[[#This Row],[disposedCourt]]&lt;=TrafficData[[#This Row],[totalCourt]])</f>
        <v>1</v>
      </c>
    </row>
    <row r="603" spans="1:16">
      <c r="A603" s="1">
        <v>42606</v>
      </c>
      <c r="B603">
        <v>1521</v>
      </c>
      <c r="C603">
        <v>88</v>
      </c>
      <c r="D603">
        <v>1433</v>
      </c>
      <c r="E603">
        <v>965000</v>
      </c>
      <c r="F603">
        <v>381380</v>
      </c>
      <c r="G603">
        <v>1346380</v>
      </c>
      <c r="H603">
        <v>1151</v>
      </c>
      <c r="I603">
        <v>9</v>
      </c>
      <c r="J603">
        <v>1160</v>
      </c>
      <c r="K603" t="b">
        <f>TrafficData[[#This Row],[disposedChallan]]+TrafficData[[#This Row],[pendingChallan]]=TrafficData[[#This Row],[totalChallan]]</f>
        <v>1</v>
      </c>
      <c r="L603" t="b">
        <f>TrafficData[[#This Row],[pendingAmount]]+TrafficData[[#This Row],[disposedAmount]]=TrafficData[[#This Row],[totalAmount]]</f>
        <v>1</v>
      </c>
      <c r="M603" t="b">
        <f>TrafficData[[#This Row],[pendingCourt]]+TrafficData[[#This Row],[disposedCourt]]=TrafficData[[#This Row],[totalCourt]]</f>
        <v>1</v>
      </c>
      <c r="N603" t="b">
        <f>AND(TrafficData[[#This Row],[disposedChallan]]&lt;=TrafficData[[#This Row],[totalChallan]],TrafficData[[#This Row],[pendingChallan]]&lt;=TrafficData[[#This Row],[totalChallan]])</f>
        <v>1</v>
      </c>
      <c r="O603" t="b">
        <f>AND(TrafficData[[#This Row],[pendingAmount]]&lt;=TrafficData[[#This Row],[totalAmount]],TrafficData[[#This Row],[disposedAmount]]&lt;=TrafficData[[#This Row],[totalAmount]])</f>
        <v>1</v>
      </c>
      <c r="P603" t="b">
        <f>AND(TrafficData[[#This Row],[pendingCourt]]&lt;=TrafficData[[#This Row],[totalCourt]],TrafficData[[#This Row],[disposedCourt]]&lt;=TrafficData[[#This Row],[totalCourt]])</f>
        <v>1</v>
      </c>
    </row>
    <row r="604" spans="1:16">
      <c r="A604" s="1">
        <v>42607</v>
      </c>
      <c r="B604">
        <v>1131</v>
      </c>
      <c r="C604">
        <v>49</v>
      </c>
      <c r="D604">
        <v>1082</v>
      </c>
      <c r="E604">
        <v>659750</v>
      </c>
      <c r="F604">
        <v>170700</v>
      </c>
      <c r="G604">
        <v>830450</v>
      </c>
      <c r="H604">
        <v>928</v>
      </c>
      <c r="I604">
        <v>19</v>
      </c>
      <c r="J604">
        <v>947</v>
      </c>
      <c r="K604" t="b">
        <f>TrafficData[[#This Row],[disposedChallan]]+TrafficData[[#This Row],[pendingChallan]]=TrafficData[[#This Row],[totalChallan]]</f>
        <v>1</v>
      </c>
      <c r="L604" t="b">
        <f>TrafficData[[#This Row],[pendingAmount]]+TrafficData[[#This Row],[disposedAmount]]=TrafficData[[#This Row],[totalAmount]]</f>
        <v>1</v>
      </c>
      <c r="M604" t="b">
        <f>TrafficData[[#This Row],[pendingCourt]]+TrafficData[[#This Row],[disposedCourt]]=TrafficData[[#This Row],[totalCourt]]</f>
        <v>1</v>
      </c>
      <c r="N604" t="b">
        <f>AND(TrafficData[[#This Row],[disposedChallan]]&lt;=TrafficData[[#This Row],[totalChallan]],TrafficData[[#This Row],[pendingChallan]]&lt;=TrafficData[[#This Row],[totalChallan]])</f>
        <v>1</v>
      </c>
      <c r="O604" t="b">
        <f>AND(TrafficData[[#This Row],[pendingAmount]]&lt;=TrafficData[[#This Row],[totalAmount]],TrafficData[[#This Row],[disposedAmount]]&lt;=TrafficData[[#This Row],[totalAmount]])</f>
        <v>1</v>
      </c>
      <c r="P604" t="b">
        <f>AND(TrafficData[[#This Row],[pendingCourt]]&lt;=TrafficData[[#This Row],[totalCourt]],TrafficData[[#This Row],[disposedCourt]]&lt;=TrafficData[[#This Row],[totalCourt]])</f>
        <v>1</v>
      </c>
    </row>
    <row r="605" spans="1:16">
      <c r="A605" s="1">
        <v>42608</v>
      </c>
      <c r="B605">
        <v>1322</v>
      </c>
      <c r="C605">
        <v>80</v>
      </c>
      <c r="D605">
        <v>1242</v>
      </c>
      <c r="E605">
        <v>821650</v>
      </c>
      <c r="F605">
        <v>196300</v>
      </c>
      <c r="G605">
        <v>1017950</v>
      </c>
      <c r="H605">
        <v>1033</v>
      </c>
      <c r="I605">
        <v>28</v>
      </c>
      <c r="J605">
        <v>1061</v>
      </c>
      <c r="K605" t="b">
        <f>TrafficData[[#This Row],[disposedChallan]]+TrafficData[[#This Row],[pendingChallan]]=TrafficData[[#This Row],[totalChallan]]</f>
        <v>1</v>
      </c>
      <c r="L605" t="b">
        <f>TrafficData[[#This Row],[pendingAmount]]+TrafficData[[#This Row],[disposedAmount]]=TrafficData[[#This Row],[totalAmount]]</f>
        <v>1</v>
      </c>
      <c r="M605" t="b">
        <f>TrafficData[[#This Row],[pendingCourt]]+TrafficData[[#This Row],[disposedCourt]]=TrafficData[[#This Row],[totalCourt]]</f>
        <v>1</v>
      </c>
      <c r="N605" t="b">
        <f>AND(TrafficData[[#This Row],[disposedChallan]]&lt;=TrafficData[[#This Row],[totalChallan]],TrafficData[[#This Row],[pendingChallan]]&lt;=TrafficData[[#This Row],[totalChallan]])</f>
        <v>1</v>
      </c>
      <c r="O605" t="b">
        <f>AND(TrafficData[[#This Row],[pendingAmount]]&lt;=TrafficData[[#This Row],[totalAmount]],TrafficData[[#This Row],[disposedAmount]]&lt;=TrafficData[[#This Row],[totalAmount]])</f>
        <v>1</v>
      </c>
      <c r="P605" t="b">
        <f>AND(TrafficData[[#This Row],[pendingCourt]]&lt;=TrafficData[[#This Row],[totalCourt]],TrafficData[[#This Row],[disposedCourt]]&lt;=TrafficData[[#This Row],[totalCourt]])</f>
        <v>1</v>
      </c>
    </row>
    <row r="606" spans="1:16">
      <c r="A606" s="1">
        <v>42609</v>
      </c>
      <c r="B606">
        <v>1478</v>
      </c>
      <c r="C606">
        <v>88</v>
      </c>
      <c r="D606">
        <v>1390</v>
      </c>
      <c r="E606">
        <v>983384</v>
      </c>
      <c r="F606">
        <v>224765</v>
      </c>
      <c r="G606">
        <v>1208149</v>
      </c>
      <c r="H606">
        <v>1071</v>
      </c>
      <c r="I606">
        <v>7</v>
      </c>
      <c r="J606">
        <v>1078</v>
      </c>
      <c r="K606" t="b">
        <f>TrafficData[[#This Row],[disposedChallan]]+TrafficData[[#This Row],[pendingChallan]]=TrafficData[[#This Row],[totalChallan]]</f>
        <v>1</v>
      </c>
      <c r="L606" t="b">
        <f>TrafficData[[#This Row],[pendingAmount]]+TrafficData[[#This Row],[disposedAmount]]=TrafficData[[#This Row],[totalAmount]]</f>
        <v>1</v>
      </c>
      <c r="M606" t="b">
        <f>TrafficData[[#This Row],[pendingCourt]]+TrafficData[[#This Row],[disposedCourt]]=TrafficData[[#This Row],[totalCourt]]</f>
        <v>1</v>
      </c>
      <c r="N606" t="b">
        <f>AND(TrafficData[[#This Row],[disposedChallan]]&lt;=TrafficData[[#This Row],[totalChallan]],TrafficData[[#This Row],[pendingChallan]]&lt;=TrafficData[[#This Row],[totalChallan]])</f>
        <v>1</v>
      </c>
      <c r="O606" t="b">
        <f>AND(TrafficData[[#This Row],[pendingAmount]]&lt;=TrafficData[[#This Row],[totalAmount]],TrafficData[[#This Row],[disposedAmount]]&lt;=TrafficData[[#This Row],[totalAmount]])</f>
        <v>1</v>
      </c>
      <c r="P606" t="b">
        <f>AND(TrafficData[[#This Row],[pendingCourt]]&lt;=TrafficData[[#This Row],[totalCourt]],TrafficData[[#This Row],[disposedCourt]]&lt;=TrafficData[[#This Row],[totalCourt]])</f>
        <v>1</v>
      </c>
    </row>
    <row r="607" spans="1:16">
      <c r="A607" s="1">
        <v>42610</v>
      </c>
      <c r="B607">
        <v>821</v>
      </c>
      <c r="C607">
        <v>69</v>
      </c>
      <c r="D607">
        <v>752</v>
      </c>
      <c r="E607">
        <v>448350</v>
      </c>
      <c r="F607">
        <v>221430</v>
      </c>
      <c r="G607">
        <v>669780</v>
      </c>
      <c r="H607">
        <v>591</v>
      </c>
      <c r="I607">
        <v>7</v>
      </c>
      <c r="J607">
        <v>598</v>
      </c>
      <c r="K607" t="b">
        <f>TrafficData[[#This Row],[disposedChallan]]+TrafficData[[#This Row],[pendingChallan]]=TrafficData[[#This Row],[totalChallan]]</f>
        <v>1</v>
      </c>
      <c r="L607" t="b">
        <f>TrafficData[[#This Row],[pendingAmount]]+TrafficData[[#This Row],[disposedAmount]]=TrafficData[[#This Row],[totalAmount]]</f>
        <v>1</v>
      </c>
      <c r="M607" t="b">
        <f>TrafficData[[#This Row],[pendingCourt]]+TrafficData[[#This Row],[disposedCourt]]=TrafficData[[#This Row],[totalCourt]]</f>
        <v>1</v>
      </c>
      <c r="N607" t="b">
        <f>AND(TrafficData[[#This Row],[disposedChallan]]&lt;=TrafficData[[#This Row],[totalChallan]],TrafficData[[#This Row],[pendingChallan]]&lt;=TrafficData[[#This Row],[totalChallan]])</f>
        <v>1</v>
      </c>
      <c r="O607" t="b">
        <f>AND(TrafficData[[#This Row],[pendingAmount]]&lt;=TrafficData[[#This Row],[totalAmount]],TrafficData[[#This Row],[disposedAmount]]&lt;=TrafficData[[#This Row],[totalAmount]])</f>
        <v>1</v>
      </c>
      <c r="P607" t="b">
        <f>AND(TrafficData[[#This Row],[pendingCourt]]&lt;=TrafficData[[#This Row],[totalCourt]],TrafficData[[#This Row],[disposedCourt]]&lt;=TrafficData[[#This Row],[totalCourt]])</f>
        <v>1</v>
      </c>
    </row>
    <row r="608" spans="1:16">
      <c r="A608" s="1">
        <v>42611</v>
      </c>
      <c r="B608">
        <v>1160</v>
      </c>
      <c r="C608">
        <v>88</v>
      </c>
      <c r="D608">
        <v>1072</v>
      </c>
      <c r="E608">
        <v>977200</v>
      </c>
      <c r="F608">
        <v>334597</v>
      </c>
      <c r="G608">
        <v>1311797</v>
      </c>
      <c r="H608">
        <v>793</v>
      </c>
      <c r="I608">
        <v>2</v>
      </c>
      <c r="J608">
        <v>795</v>
      </c>
      <c r="K608" t="b">
        <f>TrafficData[[#This Row],[disposedChallan]]+TrafficData[[#This Row],[pendingChallan]]=TrafficData[[#This Row],[totalChallan]]</f>
        <v>1</v>
      </c>
      <c r="L608" t="b">
        <f>TrafficData[[#This Row],[pendingAmount]]+TrafficData[[#This Row],[disposedAmount]]=TrafficData[[#This Row],[totalAmount]]</f>
        <v>1</v>
      </c>
      <c r="M608" t="b">
        <f>TrafficData[[#This Row],[pendingCourt]]+TrafficData[[#This Row],[disposedCourt]]=TrafficData[[#This Row],[totalCourt]]</f>
        <v>1</v>
      </c>
      <c r="N608" t="b">
        <f>AND(TrafficData[[#This Row],[disposedChallan]]&lt;=TrafficData[[#This Row],[totalChallan]],TrafficData[[#This Row],[pendingChallan]]&lt;=TrafficData[[#This Row],[totalChallan]])</f>
        <v>1</v>
      </c>
      <c r="O608" t="b">
        <f>AND(TrafficData[[#This Row],[pendingAmount]]&lt;=TrafficData[[#This Row],[totalAmount]],TrafficData[[#This Row],[disposedAmount]]&lt;=TrafficData[[#This Row],[totalAmount]])</f>
        <v>1</v>
      </c>
      <c r="P608" t="b">
        <f>AND(TrafficData[[#This Row],[pendingCourt]]&lt;=TrafficData[[#This Row],[totalCourt]],TrafficData[[#This Row],[disposedCourt]]&lt;=TrafficData[[#This Row],[totalCourt]])</f>
        <v>1</v>
      </c>
    </row>
    <row r="609" spans="1:16">
      <c r="A609" s="1">
        <v>42612</v>
      </c>
      <c r="B609">
        <v>1515</v>
      </c>
      <c r="C609">
        <v>115</v>
      </c>
      <c r="D609">
        <v>1400</v>
      </c>
      <c r="E609">
        <v>898550</v>
      </c>
      <c r="F609">
        <v>433404</v>
      </c>
      <c r="G609">
        <v>1331954</v>
      </c>
      <c r="H609">
        <v>1063</v>
      </c>
      <c r="I609">
        <v>8</v>
      </c>
      <c r="J609">
        <v>1071</v>
      </c>
      <c r="K609" t="b">
        <f>TrafficData[[#This Row],[disposedChallan]]+TrafficData[[#This Row],[pendingChallan]]=TrafficData[[#This Row],[totalChallan]]</f>
        <v>1</v>
      </c>
      <c r="L609" t="b">
        <f>TrafficData[[#This Row],[pendingAmount]]+TrafficData[[#This Row],[disposedAmount]]=TrafficData[[#This Row],[totalAmount]]</f>
        <v>1</v>
      </c>
      <c r="M609" t="b">
        <f>TrafficData[[#This Row],[pendingCourt]]+TrafficData[[#This Row],[disposedCourt]]=TrafficData[[#This Row],[totalCourt]]</f>
        <v>1</v>
      </c>
      <c r="N609" t="b">
        <f>AND(TrafficData[[#This Row],[disposedChallan]]&lt;=TrafficData[[#This Row],[totalChallan]],TrafficData[[#This Row],[pendingChallan]]&lt;=TrafficData[[#This Row],[totalChallan]])</f>
        <v>1</v>
      </c>
      <c r="O609" t="b">
        <f>AND(TrafficData[[#This Row],[pendingAmount]]&lt;=TrafficData[[#This Row],[totalAmount]],TrafficData[[#This Row],[disposedAmount]]&lt;=TrafficData[[#This Row],[totalAmount]])</f>
        <v>1</v>
      </c>
      <c r="P609" t="b">
        <f>AND(TrafficData[[#This Row],[pendingCourt]]&lt;=TrafficData[[#This Row],[totalCourt]],TrafficData[[#This Row],[disposedCourt]]&lt;=TrafficData[[#This Row],[totalCourt]])</f>
        <v>1</v>
      </c>
    </row>
    <row r="610" spans="1:16">
      <c r="A610" s="1">
        <v>42613</v>
      </c>
      <c r="B610">
        <v>914</v>
      </c>
      <c r="C610">
        <v>78</v>
      </c>
      <c r="D610">
        <v>836</v>
      </c>
      <c r="E610">
        <v>727900</v>
      </c>
      <c r="F610">
        <v>300350</v>
      </c>
      <c r="G610">
        <v>1028250</v>
      </c>
      <c r="H610">
        <v>637</v>
      </c>
      <c r="I610">
        <v>13</v>
      </c>
      <c r="J610">
        <v>650</v>
      </c>
      <c r="K610" t="b">
        <f>TrafficData[[#This Row],[disposedChallan]]+TrafficData[[#This Row],[pendingChallan]]=TrafficData[[#This Row],[totalChallan]]</f>
        <v>1</v>
      </c>
      <c r="L610" t="b">
        <f>TrafficData[[#This Row],[pendingAmount]]+TrafficData[[#This Row],[disposedAmount]]=TrafficData[[#This Row],[totalAmount]]</f>
        <v>1</v>
      </c>
      <c r="M610" t="b">
        <f>TrafficData[[#This Row],[pendingCourt]]+TrafficData[[#This Row],[disposedCourt]]=TrafficData[[#This Row],[totalCourt]]</f>
        <v>1</v>
      </c>
      <c r="N610" t="b">
        <f>AND(TrafficData[[#This Row],[disposedChallan]]&lt;=TrafficData[[#This Row],[totalChallan]],TrafficData[[#This Row],[pendingChallan]]&lt;=TrafficData[[#This Row],[totalChallan]])</f>
        <v>1</v>
      </c>
      <c r="O610" t="b">
        <f>AND(TrafficData[[#This Row],[pendingAmount]]&lt;=TrafficData[[#This Row],[totalAmount]],TrafficData[[#This Row],[disposedAmount]]&lt;=TrafficData[[#This Row],[totalAmount]])</f>
        <v>1</v>
      </c>
      <c r="P610" t="b">
        <f>AND(TrafficData[[#This Row],[pendingCourt]]&lt;=TrafficData[[#This Row],[totalCourt]],TrafficData[[#This Row],[disposedCourt]]&lt;=TrafficData[[#This Row],[totalCourt]])</f>
        <v>1</v>
      </c>
    </row>
    <row r="611" spans="1:16">
      <c r="A611" s="1">
        <v>42614</v>
      </c>
      <c r="B611">
        <v>1231</v>
      </c>
      <c r="C611">
        <v>96</v>
      </c>
      <c r="D611">
        <v>1135</v>
      </c>
      <c r="E611">
        <v>1045400</v>
      </c>
      <c r="F611">
        <v>273760</v>
      </c>
      <c r="G611">
        <v>1319160</v>
      </c>
      <c r="H611">
        <v>899</v>
      </c>
      <c r="I611">
        <v>2</v>
      </c>
      <c r="J611">
        <v>901</v>
      </c>
      <c r="K611" t="b">
        <f>TrafficData[[#This Row],[disposedChallan]]+TrafficData[[#This Row],[pendingChallan]]=TrafficData[[#This Row],[totalChallan]]</f>
        <v>1</v>
      </c>
      <c r="L611" t="b">
        <f>TrafficData[[#This Row],[pendingAmount]]+TrafficData[[#This Row],[disposedAmount]]=TrafficData[[#This Row],[totalAmount]]</f>
        <v>1</v>
      </c>
      <c r="M611" t="b">
        <f>TrafficData[[#This Row],[pendingCourt]]+TrafficData[[#This Row],[disposedCourt]]=TrafficData[[#This Row],[totalCourt]]</f>
        <v>1</v>
      </c>
      <c r="N611" t="b">
        <f>AND(TrafficData[[#This Row],[disposedChallan]]&lt;=TrafficData[[#This Row],[totalChallan]],TrafficData[[#This Row],[pendingChallan]]&lt;=TrafficData[[#This Row],[totalChallan]])</f>
        <v>1</v>
      </c>
      <c r="O611" t="b">
        <f>AND(TrafficData[[#This Row],[pendingAmount]]&lt;=TrafficData[[#This Row],[totalAmount]],TrafficData[[#This Row],[disposedAmount]]&lt;=TrafficData[[#This Row],[totalAmount]])</f>
        <v>1</v>
      </c>
      <c r="P611" t="b">
        <f>AND(TrafficData[[#This Row],[pendingCourt]]&lt;=TrafficData[[#This Row],[totalCourt]],TrafficData[[#This Row],[disposedCourt]]&lt;=TrafficData[[#This Row],[totalCourt]])</f>
        <v>1</v>
      </c>
    </row>
    <row r="612" spans="1:16">
      <c r="A612" s="1">
        <v>42615</v>
      </c>
      <c r="B612">
        <v>947</v>
      </c>
      <c r="C612">
        <v>79</v>
      </c>
      <c r="D612">
        <v>868</v>
      </c>
      <c r="E612">
        <v>813300</v>
      </c>
      <c r="F612">
        <v>400326</v>
      </c>
      <c r="G612">
        <v>1213626</v>
      </c>
      <c r="H612">
        <v>704</v>
      </c>
      <c r="I612">
        <v>22</v>
      </c>
      <c r="J612">
        <v>726</v>
      </c>
      <c r="K612" t="b">
        <f>TrafficData[[#This Row],[disposedChallan]]+TrafficData[[#This Row],[pendingChallan]]=TrafficData[[#This Row],[totalChallan]]</f>
        <v>1</v>
      </c>
      <c r="L612" t="b">
        <f>TrafficData[[#This Row],[pendingAmount]]+TrafficData[[#This Row],[disposedAmount]]=TrafficData[[#This Row],[totalAmount]]</f>
        <v>1</v>
      </c>
      <c r="M612" t="b">
        <f>TrafficData[[#This Row],[pendingCourt]]+TrafficData[[#This Row],[disposedCourt]]=TrafficData[[#This Row],[totalCourt]]</f>
        <v>1</v>
      </c>
      <c r="N612" t="b">
        <f>AND(TrafficData[[#This Row],[disposedChallan]]&lt;=TrafficData[[#This Row],[totalChallan]],TrafficData[[#This Row],[pendingChallan]]&lt;=TrafficData[[#This Row],[totalChallan]])</f>
        <v>1</v>
      </c>
      <c r="O612" t="b">
        <f>AND(TrafficData[[#This Row],[pendingAmount]]&lt;=TrafficData[[#This Row],[totalAmount]],TrafficData[[#This Row],[disposedAmount]]&lt;=TrafficData[[#This Row],[totalAmount]])</f>
        <v>1</v>
      </c>
      <c r="P612" t="b">
        <f>AND(TrafficData[[#This Row],[pendingCourt]]&lt;=TrafficData[[#This Row],[totalCourt]],TrafficData[[#This Row],[disposedCourt]]&lt;=TrafficData[[#This Row],[totalCourt]])</f>
        <v>1</v>
      </c>
    </row>
    <row r="613" spans="1:16">
      <c r="A613" s="1">
        <v>42616</v>
      </c>
      <c r="B613">
        <v>1087</v>
      </c>
      <c r="C613">
        <v>60</v>
      </c>
      <c r="D613">
        <v>1027</v>
      </c>
      <c r="E613">
        <v>1164400</v>
      </c>
      <c r="F613">
        <v>238880</v>
      </c>
      <c r="G613">
        <v>1403280</v>
      </c>
      <c r="H613">
        <v>813</v>
      </c>
      <c r="I613">
        <v>9</v>
      </c>
      <c r="J613">
        <v>822</v>
      </c>
      <c r="K613" t="b">
        <f>TrafficData[[#This Row],[disposedChallan]]+TrafficData[[#This Row],[pendingChallan]]=TrafficData[[#This Row],[totalChallan]]</f>
        <v>1</v>
      </c>
      <c r="L613" t="b">
        <f>TrafficData[[#This Row],[pendingAmount]]+TrafficData[[#This Row],[disposedAmount]]=TrafficData[[#This Row],[totalAmount]]</f>
        <v>1</v>
      </c>
      <c r="M613" t="b">
        <f>TrafficData[[#This Row],[pendingCourt]]+TrafficData[[#This Row],[disposedCourt]]=TrafficData[[#This Row],[totalCourt]]</f>
        <v>1</v>
      </c>
      <c r="N613" t="b">
        <f>AND(TrafficData[[#This Row],[disposedChallan]]&lt;=TrafficData[[#This Row],[totalChallan]],TrafficData[[#This Row],[pendingChallan]]&lt;=TrafficData[[#This Row],[totalChallan]])</f>
        <v>1</v>
      </c>
      <c r="O613" t="b">
        <f>AND(TrafficData[[#This Row],[pendingAmount]]&lt;=TrafficData[[#This Row],[totalAmount]],TrafficData[[#This Row],[disposedAmount]]&lt;=TrafficData[[#This Row],[totalAmount]])</f>
        <v>1</v>
      </c>
      <c r="P613" t="b">
        <f>AND(TrafficData[[#This Row],[pendingCourt]]&lt;=TrafficData[[#This Row],[totalCourt]],TrafficData[[#This Row],[disposedCourt]]&lt;=TrafficData[[#This Row],[totalCourt]])</f>
        <v>1</v>
      </c>
    </row>
    <row r="614" spans="1:16">
      <c r="A614" s="1">
        <v>42617</v>
      </c>
      <c r="B614">
        <v>859</v>
      </c>
      <c r="C614">
        <v>53</v>
      </c>
      <c r="D614">
        <v>806</v>
      </c>
      <c r="E614">
        <v>572385</v>
      </c>
      <c r="F614">
        <v>49385</v>
      </c>
      <c r="G614">
        <v>621770</v>
      </c>
      <c r="H614">
        <v>622</v>
      </c>
      <c r="I614">
        <v>1</v>
      </c>
      <c r="J614">
        <v>623</v>
      </c>
      <c r="K614" t="b">
        <f>TrafficData[[#This Row],[disposedChallan]]+TrafficData[[#This Row],[pendingChallan]]=TrafficData[[#This Row],[totalChallan]]</f>
        <v>1</v>
      </c>
      <c r="L614" t="b">
        <f>TrafficData[[#This Row],[pendingAmount]]+TrafficData[[#This Row],[disposedAmount]]=TrafficData[[#This Row],[totalAmount]]</f>
        <v>1</v>
      </c>
      <c r="M614" t="b">
        <f>TrafficData[[#This Row],[pendingCourt]]+TrafficData[[#This Row],[disposedCourt]]=TrafficData[[#This Row],[totalCourt]]</f>
        <v>1</v>
      </c>
      <c r="N614" t="b">
        <f>AND(TrafficData[[#This Row],[disposedChallan]]&lt;=TrafficData[[#This Row],[totalChallan]],TrafficData[[#This Row],[pendingChallan]]&lt;=TrafficData[[#This Row],[totalChallan]])</f>
        <v>1</v>
      </c>
      <c r="O614" t="b">
        <f>AND(TrafficData[[#This Row],[pendingAmount]]&lt;=TrafficData[[#This Row],[totalAmount]],TrafficData[[#This Row],[disposedAmount]]&lt;=TrafficData[[#This Row],[totalAmount]])</f>
        <v>1</v>
      </c>
      <c r="P614" t="b">
        <f>AND(TrafficData[[#This Row],[pendingCourt]]&lt;=TrafficData[[#This Row],[totalCourt]],TrafficData[[#This Row],[disposedCourt]]&lt;=TrafficData[[#This Row],[totalCourt]])</f>
        <v>1</v>
      </c>
    </row>
    <row r="615" spans="1:16">
      <c r="A615" s="1">
        <v>42618</v>
      </c>
      <c r="B615">
        <v>721</v>
      </c>
      <c r="C615">
        <v>64</v>
      </c>
      <c r="D615">
        <v>657</v>
      </c>
      <c r="E615">
        <v>595200</v>
      </c>
      <c r="F615">
        <v>130100</v>
      </c>
      <c r="G615">
        <v>725300</v>
      </c>
      <c r="H615">
        <v>483</v>
      </c>
      <c r="I615">
        <v>17</v>
      </c>
      <c r="J615">
        <v>500</v>
      </c>
      <c r="K615" t="b">
        <f>TrafficData[[#This Row],[disposedChallan]]+TrafficData[[#This Row],[pendingChallan]]=TrafficData[[#This Row],[totalChallan]]</f>
        <v>1</v>
      </c>
      <c r="L615" t="b">
        <f>TrafficData[[#This Row],[pendingAmount]]+TrafficData[[#This Row],[disposedAmount]]=TrafficData[[#This Row],[totalAmount]]</f>
        <v>1</v>
      </c>
      <c r="M615" t="b">
        <f>TrafficData[[#This Row],[pendingCourt]]+TrafficData[[#This Row],[disposedCourt]]=TrafficData[[#This Row],[totalCourt]]</f>
        <v>1</v>
      </c>
      <c r="N615" t="b">
        <f>AND(TrafficData[[#This Row],[disposedChallan]]&lt;=TrafficData[[#This Row],[totalChallan]],TrafficData[[#This Row],[pendingChallan]]&lt;=TrafficData[[#This Row],[totalChallan]])</f>
        <v>1</v>
      </c>
      <c r="O615" t="b">
        <f>AND(TrafficData[[#This Row],[pendingAmount]]&lt;=TrafficData[[#This Row],[totalAmount]],TrafficData[[#This Row],[disposedAmount]]&lt;=TrafficData[[#This Row],[totalAmount]])</f>
        <v>1</v>
      </c>
      <c r="P615" t="b">
        <f>AND(TrafficData[[#This Row],[pendingCourt]]&lt;=TrafficData[[#This Row],[totalCourt]],TrafficData[[#This Row],[disposedCourt]]&lt;=TrafficData[[#This Row],[totalCourt]])</f>
        <v>1</v>
      </c>
    </row>
    <row r="616" spans="1:16">
      <c r="A616" s="1">
        <v>42619</v>
      </c>
      <c r="B616">
        <v>1056</v>
      </c>
      <c r="C616">
        <v>92</v>
      </c>
      <c r="D616">
        <v>964</v>
      </c>
      <c r="E616">
        <v>1264200</v>
      </c>
      <c r="F616">
        <v>253275</v>
      </c>
      <c r="G616">
        <v>1517475</v>
      </c>
      <c r="H616">
        <v>711</v>
      </c>
      <c r="I616">
        <v>21</v>
      </c>
      <c r="J616">
        <v>732</v>
      </c>
      <c r="K616" t="b">
        <f>TrafficData[[#This Row],[disposedChallan]]+TrafficData[[#This Row],[pendingChallan]]=TrafficData[[#This Row],[totalChallan]]</f>
        <v>1</v>
      </c>
      <c r="L616" t="b">
        <f>TrafficData[[#This Row],[pendingAmount]]+TrafficData[[#This Row],[disposedAmount]]=TrafficData[[#This Row],[totalAmount]]</f>
        <v>1</v>
      </c>
      <c r="M616" t="b">
        <f>TrafficData[[#This Row],[pendingCourt]]+TrafficData[[#This Row],[disposedCourt]]=TrafficData[[#This Row],[totalCourt]]</f>
        <v>1</v>
      </c>
      <c r="N616" t="b">
        <f>AND(TrafficData[[#This Row],[disposedChallan]]&lt;=TrafficData[[#This Row],[totalChallan]],TrafficData[[#This Row],[pendingChallan]]&lt;=TrafficData[[#This Row],[totalChallan]])</f>
        <v>1</v>
      </c>
      <c r="O616" t="b">
        <f>AND(TrafficData[[#This Row],[pendingAmount]]&lt;=TrafficData[[#This Row],[totalAmount]],TrafficData[[#This Row],[disposedAmount]]&lt;=TrafficData[[#This Row],[totalAmount]])</f>
        <v>1</v>
      </c>
      <c r="P616" t="b">
        <f>AND(TrafficData[[#This Row],[pendingCourt]]&lt;=TrafficData[[#This Row],[totalCourt]],TrafficData[[#This Row],[disposedCourt]]&lt;=TrafficData[[#This Row],[totalCourt]])</f>
        <v>1</v>
      </c>
    </row>
    <row r="617" spans="1:16">
      <c r="A617" s="1">
        <v>42620</v>
      </c>
      <c r="B617">
        <v>1187</v>
      </c>
      <c r="C617">
        <v>118</v>
      </c>
      <c r="D617">
        <v>1069</v>
      </c>
      <c r="E617">
        <v>1295845</v>
      </c>
      <c r="F617">
        <v>494939</v>
      </c>
      <c r="G617">
        <v>1790784</v>
      </c>
      <c r="H617">
        <v>832</v>
      </c>
      <c r="I617">
        <v>8</v>
      </c>
      <c r="J617">
        <v>840</v>
      </c>
      <c r="K617" t="b">
        <f>TrafficData[[#This Row],[disposedChallan]]+TrafficData[[#This Row],[pendingChallan]]=TrafficData[[#This Row],[totalChallan]]</f>
        <v>1</v>
      </c>
      <c r="L617" t="b">
        <f>TrafficData[[#This Row],[pendingAmount]]+TrafficData[[#This Row],[disposedAmount]]=TrafficData[[#This Row],[totalAmount]]</f>
        <v>1</v>
      </c>
      <c r="M617" t="b">
        <f>TrafficData[[#This Row],[pendingCourt]]+TrafficData[[#This Row],[disposedCourt]]=TrafficData[[#This Row],[totalCourt]]</f>
        <v>1</v>
      </c>
      <c r="N617" t="b">
        <f>AND(TrafficData[[#This Row],[disposedChallan]]&lt;=TrafficData[[#This Row],[totalChallan]],TrafficData[[#This Row],[pendingChallan]]&lt;=TrafficData[[#This Row],[totalChallan]])</f>
        <v>1</v>
      </c>
      <c r="O617" t="b">
        <f>AND(TrafficData[[#This Row],[pendingAmount]]&lt;=TrafficData[[#This Row],[totalAmount]],TrafficData[[#This Row],[disposedAmount]]&lt;=TrafficData[[#This Row],[totalAmount]])</f>
        <v>1</v>
      </c>
      <c r="P617" t="b">
        <f>AND(TrafficData[[#This Row],[pendingCourt]]&lt;=TrafficData[[#This Row],[totalCourt]],TrafficData[[#This Row],[disposedCourt]]&lt;=TrafficData[[#This Row],[totalCourt]])</f>
        <v>1</v>
      </c>
    </row>
    <row r="618" spans="1:16">
      <c r="A618" s="1">
        <v>42621</v>
      </c>
      <c r="B618">
        <v>1143</v>
      </c>
      <c r="C618">
        <v>72</v>
      </c>
      <c r="D618">
        <v>1071</v>
      </c>
      <c r="E618">
        <v>1125500</v>
      </c>
      <c r="F618">
        <v>179200</v>
      </c>
      <c r="G618">
        <v>1304700</v>
      </c>
      <c r="H618">
        <v>829</v>
      </c>
      <c r="I618">
        <v>8</v>
      </c>
      <c r="J618">
        <v>837</v>
      </c>
      <c r="K618" t="b">
        <f>TrafficData[[#This Row],[disposedChallan]]+TrafficData[[#This Row],[pendingChallan]]=TrafficData[[#This Row],[totalChallan]]</f>
        <v>1</v>
      </c>
      <c r="L618" t="b">
        <f>TrafficData[[#This Row],[pendingAmount]]+TrafficData[[#This Row],[disposedAmount]]=TrafficData[[#This Row],[totalAmount]]</f>
        <v>1</v>
      </c>
      <c r="M618" t="b">
        <f>TrafficData[[#This Row],[pendingCourt]]+TrafficData[[#This Row],[disposedCourt]]=TrafficData[[#This Row],[totalCourt]]</f>
        <v>1</v>
      </c>
      <c r="N618" t="b">
        <f>AND(TrafficData[[#This Row],[disposedChallan]]&lt;=TrafficData[[#This Row],[totalChallan]],TrafficData[[#This Row],[pendingChallan]]&lt;=TrafficData[[#This Row],[totalChallan]])</f>
        <v>1</v>
      </c>
      <c r="O618" t="b">
        <f>AND(TrafficData[[#This Row],[pendingAmount]]&lt;=TrafficData[[#This Row],[totalAmount]],TrafficData[[#This Row],[disposedAmount]]&lt;=TrafficData[[#This Row],[totalAmount]])</f>
        <v>1</v>
      </c>
      <c r="P618" t="b">
        <f>AND(TrafficData[[#This Row],[pendingCourt]]&lt;=TrafficData[[#This Row],[totalCourt]],TrafficData[[#This Row],[disposedCourt]]&lt;=TrafficData[[#This Row],[totalCourt]])</f>
        <v>1</v>
      </c>
    </row>
    <row r="619" spans="1:16">
      <c r="A619" s="1">
        <v>42622</v>
      </c>
      <c r="B619">
        <v>1191</v>
      </c>
      <c r="C619">
        <v>115</v>
      </c>
      <c r="D619">
        <v>1076</v>
      </c>
      <c r="E619">
        <v>888350</v>
      </c>
      <c r="F619">
        <v>461175</v>
      </c>
      <c r="G619">
        <v>1349525</v>
      </c>
      <c r="H619">
        <v>826</v>
      </c>
      <c r="I619">
        <v>5</v>
      </c>
      <c r="J619">
        <v>831</v>
      </c>
      <c r="K619" t="b">
        <f>TrafficData[[#This Row],[disposedChallan]]+TrafficData[[#This Row],[pendingChallan]]=TrafficData[[#This Row],[totalChallan]]</f>
        <v>1</v>
      </c>
      <c r="L619" t="b">
        <f>TrafficData[[#This Row],[pendingAmount]]+TrafficData[[#This Row],[disposedAmount]]=TrafficData[[#This Row],[totalAmount]]</f>
        <v>1</v>
      </c>
      <c r="M619" t="b">
        <f>TrafficData[[#This Row],[pendingCourt]]+TrafficData[[#This Row],[disposedCourt]]=TrafficData[[#This Row],[totalCourt]]</f>
        <v>1</v>
      </c>
      <c r="N619" t="b">
        <f>AND(TrafficData[[#This Row],[disposedChallan]]&lt;=TrafficData[[#This Row],[totalChallan]],TrafficData[[#This Row],[pendingChallan]]&lt;=TrafficData[[#This Row],[totalChallan]])</f>
        <v>1</v>
      </c>
      <c r="O619" t="b">
        <f>AND(TrafficData[[#This Row],[pendingAmount]]&lt;=TrafficData[[#This Row],[totalAmount]],TrafficData[[#This Row],[disposedAmount]]&lt;=TrafficData[[#This Row],[totalAmount]])</f>
        <v>1</v>
      </c>
      <c r="P619" t="b">
        <f>AND(TrafficData[[#This Row],[pendingCourt]]&lt;=TrafficData[[#This Row],[totalCourt]],TrafficData[[#This Row],[disposedCourt]]&lt;=TrafficData[[#This Row],[totalCourt]])</f>
        <v>1</v>
      </c>
    </row>
    <row r="620" spans="1:16">
      <c r="A620" s="1">
        <v>42623</v>
      </c>
      <c r="B620">
        <v>900</v>
      </c>
      <c r="C620">
        <v>119</v>
      </c>
      <c r="D620">
        <v>781</v>
      </c>
      <c r="E620">
        <v>900330</v>
      </c>
      <c r="F620">
        <v>450900</v>
      </c>
      <c r="G620">
        <v>1351230</v>
      </c>
      <c r="H620">
        <v>611</v>
      </c>
      <c r="I620">
        <v>12</v>
      </c>
      <c r="J620">
        <v>623</v>
      </c>
      <c r="K620" t="b">
        <f>TrafficData[[#This Row],[disposedChallan]]+TrafficData[[#This Row],[pendingChallan]]=TrafficData[[#This Row],[totalChallan]]</f>
        <v>1</v>
      </c>
      <c r="L620" t="b">
        <f>TrafficData[[#This Row],[pendingAmount]]+TrafficData[[#This Row],[disposedAmount]]=TrafficData[[#This Row],[totalAmount]]</f>
        <v>1</v>
      </c>
      <c r="M620" t="b">
        <f>TrafficData[[#This Row],[pendingCourt]]+TrafficData[[#This Row],[disposedCourt]]=TrafficData[[#This Row],[totalCourt]]</f>
        <v>1</v>
      </c>
      <c r="N620" t="b">
        <f>AND(TrafficData[[#This Row],[disposedChallan]]&lt;=TrafficData[[#This Row],[totalChallan]],TrafficData[[#This Row],[pendingChallan]]&lt;=TrafficData[[#This Row],[totalChallan]])</f>
        <v>1</v>
      </c>
      <c r="O620" t="b">
        <f>AND(TrafficData[[#This Row],[pendingAmount]]&lt;=TrafficData[[#This Row],[totalAmount]],TrafficData[[#This Row],[disposedAmount]]&lt;=TrafficData[[#This Row],[totalAmount]])</f>
        <v>1</v>
      </c>
      <c r="P620" t="b">
        <f>AND(TrafficData[[#This Row],[pendingCourt]]&lt;=TrafficData[[#This Row],[totalCourt]],TrafficData[[#This Row],[disposedCourt]]&lt;=TrafficData[[#This Row],[totalCourt]])</f>
        <v>1</v>
      </c>
    </row>
    <row r="621" spans="1:16">
      <c r="A621" s="1">
        <v>42624</v>
      </c>
      <c r="B621">
        <v>561</v>
      </c>
      <c r="C621">
        <v>50</v>
      </c>
      <c r="D621">
        <v>511</v>
      </c>
      <c r="E621">
        <v>514150</v>
      </c>
      <c r="F621">
        <v>100100</v>
      </c>
      <c r="G621">
        <v>614250</v>
      </c>
      <c r="H621">
        <v>426</v>
      </c>
      <c r="I621">
        <v>16</v>
      </c>
      <c r="J621">
        <v>442</v>
      </c>
      <c r="K621" t="b">
        <f>TrafficData[[#This Row],[disposedChallan]]+TrafficData[[#This Row],[pendingChallan]]=TrafficData[[#This Row],[totalChallan]]</f>
        <v>1</v>
      </c>
      <c r="L621" t="b">
        <f>TrafficData[[#This Row],[pendingAmount]]+TrafficData[[#This Row],[disposedAmount]]=TrafficData[[#This Row],[totalAmount]]</f>
        <v>1</v>
      </c>
      <c r="M621" t="b">
        <f>TrafficData[[#This Row],[pendingCourt]]+TrafficData[[#This Row],[disposedCourt]]=TrafficData[[#This Row],[totalCourt]]</f>
        <v>1</v>
      </c>
      <c r="N621" t="b">
        <f>AND(TrafficData[[#This Row],[disposedChallan]]&lt;=TrafficData[[#This Row],[totalChallan]],TrafficData[[#This Row],[pendingChallan]]&lt;=TrafficData[[#This Row],[totalChallan]])</f>
        <v>1</v>
      </c>
      <c r="O621" t="b">
        <f>AND(TrafficData[[#This Row],[pendingAmount]]&lt;=TrafficData[[#This Row],[totalAmount]],TrafficData[[#This Row],[disposedAmount]]&lt;=TrafficData[[#This Row],[totalAmount]])</f>
        <v>1</v>
      </c>
      <c r="P621" t="b">
        <f>AND(TrafficData[[#This Row],[pendingCourt]]&lt;=TrafficData[[#This Row],[totalCourt]],TrafficData[[#This Row],[disposedCourt]]&lt;=TrafficData[[#This Row],[totalCourt]])</f>
        <v>1</v>
      </c>
    </row>
    <row r="622" spans="1:16">
      <c r="A622" s="1">
        <v>42625</v>
      </c>
      <c r="B622">
        <v>730</v>
      </c>
      <c r="C622">
        <v>47</v>
      </c>
      <c r="D622">
        <v>683</v>
      </c>
      <c r="E622">
        <v>513400</v>
      </c>
      <c r="F622">
        <v>87650</v>
      </c>
      <c r="G622">
        <v>601050</v>
      </c>
      <c r="H622">
        <v>526</v>
      </c>
      <c r="I622">
        <v>13</v>
      </c>
      <c r="J622">
        <v>539</v>
      </c>
      <c r="K622" t="b">
        <f>TrafficData[[#This Row],[disposedChallan]]+TrafficData[[#This Row],[pendingChallan]]=TrafficData[[#This Row],[totalChallan]]</f>
        <v>1</v>
      </c>
      <c r="L622" t="b">
        <f>TrafficData[[#This Row],[pendingAmount]]+TrafficData[[#This Row],[disposedAmount]]=TrafficData[[#This Row],[totalAmount]]</f>
        <v>1</v>
      </c>
      <c r="M622" t="b">
        <f>TrafficData[[#This Row],[pendingCourt]]+TrafficData[[#This Row],[disposedCourt]]=TrafficData[[#This Row],[totalCourt]]</f>
        <v>1</v>
      </c>
      <c r="N622" t="b">
        <f>AND(TrafficData[[#This Row],[disposedChallan]]&lt;=TrafficData[[#This Row],[totalChallan]],TrafficData[[#This Row],[pendingChallan]]&lt;=TrafficData[[#This Row],[totalChallan]])</f>
        <v>1</v>
      </c>
      <c r="O622" t="b">
        <f>AND(TrafficData[[#This Row],[pendingAmount]]&lt;=TrafficData[[#This Row],[totalAmount]],TrafficData[[#This Row],[disposedAmount]]&lt;=TrafficData[[#This Row],[totalAmount]])</f>
        <v>1</v>
      </c>
      <c r="P622" t="b">
        <f>AND(TrafficData[[#This Row],[pendingCourt]]&lt;=TrafficData[[#This Row],[totalCourt]],TrafficData[[#This Row],[disposedCourt]]&lt;=TrafficData[[#This Row],[totalCourt]])</f>
        <v>1</v>
      </c>
    </row>
    <row r="623" spans="1:16">
      <c r="A623" s="1">
        <v>42626</v>
      </c>
      <c r="B623">
        <v>713</v>
      </c>
      <c r="C623">
        <v>35</v>
      </c>
      <c r="D623">
        <v>678</v>
      </c>
      <c r="E623">
        <v>450500</v>
      </c>
      <c r="F623">
        <v>104725</v>
      </c>
      <c r="G623">
        <v>555225</v>
      </c>
      <c r="H623">
        <v>518</v>
      </c>
      <c r="I623">
        <v>9</v>
      </c>
      <c r="J623">
        <v>527</v>
      </c>
      <c r="K623" t="b">
        <f>TrafficData[[#This Row],[disposedChallan]]+TrafficData[[#This Row],[pendingChallan]]=TrafficData[[#This Row],[totalChallan]]</f>
        <v>1</v>
      </c>
      <c r="L623" t="b">
        <f>TrafficData[[#This Row],[pendingAmount]]+TrafficData[[#This Row],[disposedAmount]]=TrafficData[[#This Row],[totalAmount]]</f>
        <v>1</v>
      </c>
      <c r="M623" t="b">
        <f>TrafficData[[#This Row],[pendingCourt]]+TrafficData[[#This Row],[disposedCourt]]=TrafficData[[#This Row],[totalCourt]]</f>
        <v>1</v>
      </c>
      <c r="N623" t="b">
        <f>AND(TrafficData[[#This Row],[disposedChallan]]&lt;=TrafficData[[#This Row],[totalChallan]],TrafficData[[#This Row],[pendingChallan]]&lt;=TrafficData[[#This Row],[totalChallan]])</f>
        <v>1</v>
      </c>
      <c r="O623" t="b">
        <f>AND(TrafficData[[#This Row],[pendingAmount]]&lt;=TrafficData[[#This Row],[totalAmount]],TrafficData[[#This Row],[disposedAmount]]&lt;=TrafficData[[#This Row],[totalAmount]])</f>
        <v>1</v>
      </c>
      <c r="P623" t="b">
        <f>AND(TrafficData[[#This Row],[pendingCourt]]&lt;=TrafficData[[#This Row],[totalCourt]],TrafficData[[#This Row],[disposedCourt]]&lt;=TrafficData[[#This Row],[totalCourt]])</f>
        <v>1</v>
      </c>
    </row>
    <row r="624" spans="1:16">
      <c r="A624" s="1">
        <v>42627</v>
      </c>
      <c r="B624">
        <v>851</v>
      </c>
      <c r="C624">
        <v>72</v>
      </c>
      <c r="D624">
        <v>779</v>
      </c>
      <c r="E624">
        <v>687750</v>
      </c>
      <c r="F624">
        <v>213369</v>
      </c>
      <c r="G624">
        <v>901119</v>
      </c>
      <c r="H624">
        <v>551</v>
      </c>
      <c r="I624">
        <v>22</v>
      </c>
      <c r="J624">
        <v>573</v>
      </c>
      <c r="K624" t="b">
        <f>TrafficData[[#This Row],[disposedChallan]]+TrafficData[[#This Row],[pendingChallan]]=TrafficData[[#This Row],[totalChallan]]</f>
        <v>1</v>
      </c>
      <c r="L624" t="b">
        <f>TrafficData[[#This Row],[pendingAmount]]+TrafficData[[#This Row],[disposedAmount]]=TrafficData[[#This Row],[totalAmount]]</f>
        <v>1</v>
      </c>
      <c r="M624" t="b">
        <f>TrafficData[[#This Row],[pendingCourt]]+TrafficData[[#This Row],[disposedCourt]]=TrafficData[[#This Row],[totalCourt]]</f>
        <v>1</v>
      </c>
      <c r="N624" t="b">
        <f>AND(TrafficData[[#This Row],[disposedChallan]]&lt;=TrafficData[[#This Row],[totalChallan]],TrafficData[[#This Row],[pendingChallan]]&lt;=TrafficData[[#This Row],[totalChallan]])</f>
        <v>1</v>
      </c>
      <c r="O624" t="b">
        <f>AND(TrafficData[[#This Row],[pendingAmount]]&lt;=TrafficData[[#This Row],[totalAmount]],TrafficData[[#This Row],[disposedAmount]]&lt;=TrafficData[[#This Row],[totalAmount]])</f>
        <v>1</v>
      </c>
      <c r="P624" t="b">
        <f>AND(TrafficData[[#This Row],[pendingCourt]]&lt;=TrafficData[[#This Row],[totalCourt]],TrafficData[[#This Row],[disposedCourt]]&lt;=TrafficData[[#This Row],[totalCourt]])</f>
        <v>1</v>
      </c>
    </row>
    <row r="625" spans="1:16">
      <c r="A625" s="1">
        <v>42628</v>
      </c>
      <c r="B625">
        <v>1149</v>
      </c>
      <c r="C625">
        <v>80</v>
      </c>
      <c r="D625">
        <v>1069</v>
      </c>
      <c r="E625">
        <v>775698</v>
      </c>
      <c r="F625">
        <v>279310</v>
      </c>
      <c r="G625">
        <v>1055008</v>
      </c>
      <c r="H625">
        <v>865</v>
      </c>
      <c r="I625">
        <v>15</v>
      </c>
      <c r="J625">
        <v>880</v>
      </c>
      <c r="K625" t="b">
        <f>TrafficData[[#This Row],[disposedChallan]]+TrafficData[[#This Row],[pendingChallan]]=TrafficData[[#This Row],[totalChallan]]</f>
        <v>1</v>
      </c>
      <c r="L625" t="b">
        <f>TrafficData[[#This Row],[pendingAmount]]+TrafficData[[#This Row],[disposedAmount]]=TrafficData[[#This Row],[totalAmount]]</f>
        <v>1</v>
      </c>
      <c r="M625" t="b">
        <f>TrafficData[[#This Row],[pendingCourt]]+TrafficData[[#This Row],[disposedCourt]]=TrafficData[[#This Row],[totalCourt]]</f>
        <v>1</v>
      </c>
      <c r="N625" t="b">
        <f>AND(TrafficData[[#This Row],[disposedChallan]]&lt;=TrafficData[[#This Row],[totalChallan]],TrafficData[[#This Row],[pendingChallan]]&lt;=TrafficData[[#This Row],[totalChallan]])</f>
        <v>1</v>
      </c>
      <c r="O625" t="b">
        <f>AND(TrafficData[[#This Row],[pendingAmount]]&lt;=TrafficData[[#This Row],[totalAmount]],TrafficData[[#This Row],[disposedAmount]]&lt;=TrafficData[[#This Row],[totalAmount]])</f>
        <v>1</v>
      </c>
      <c r="P625" t="b">
        <f>AND(TrafficData[[#This Row],[pendingCourt]]&lt;=TrafficData[[#This Row],[totalCourt]],TrafficData[[#This Row],[disposedCourt]]&lt;=TrafficData[[#This Row],[totalCourt]])</f>
        <v>1</v>
      </c>
    </row>
    <row r="626" spans="1:16">
      <c r="A626" s="1">
        <v>42629</v>
      </c>
      <c r="B626">
        <v>1007</v>
      </c>
      <c r="C626">
        <v>56</v>
      </c>
      <c r="D626">
        <v>951</v>
      </c>
      <c r="E626">
        <v>921250</v>
      </c>
      <c r="F626">
        <v>179050</v>
      </c>
      <c r="G626">
        <v>1100300</v>
      </c>
      <c r="H626">
        <v>762</v>
      </c>
      <c r="I626">
        <v>3</v>
      </c>
      <c r="J626">
        <v>765</v>
      </c>
      <c r="K626" t="b">
        <f>TrafficData[[#This Row],[disposedChallan]]+TrafficData[[#This Row],[pendingChallan]]=TrafficData[[#This Row],[totalChallan]]</f>
        <v>1</v>
      </c>
      <c r="L626" t="b">
        <f>TrafficData[[#This Row],[pendingAmount]]+TrafficData[[#This Row],[disposedAmount]]=TrafficData[[#This Row],[totalAmount]]</f>
        <v>1</v>
      </c>
      <c r="M626" t="b">
        <f>TrafficData[[#This Row],[pendingCourt]]+TrafficData[[#This Row],[disposedCourt]]=TrafficData[[#This Row],[totalCourt]]</f>
        <v>1</v>
      </c>
      <c r="N626" t="b">
        <f>AND(TrafficData[[#This Row],[disposedChallan]]&lt;=TrafficData[[#This Row],[totalChallan]],TrafficData[[#This Row],[pendingChallan]]&lt;=TrafficData[[#This Row],[totalChallan]])</f>
        <v>1</v>
      </c>
      <c r="O626" t="b">
        <f>AND(TrafficData[[#This Row],[pendingAmount]]&lt;=TrafficData[[#This Row],[totalAmount]],TrafficData[[#This Row],[disposedAmount]]&lt;=TrafficData[[#This Row],[totalAmount]])</f>
        <v>1</v>
      </c>
      <c r="P626" t="b">
        <f>AND(TrafficData[[#This Row],[pendingCourt]]&lt;=TrafficData[[#This Row],[totalCourt]],TrafficData[[#This Row],[disposedCourt]]&lt;=TrafficData[[#This Row],[totalCourt]])</f>
        <v>1</v>
      </c>
    </row>
    <row r="627" spans="1:16">
      <c r="A627" s="1">
        <v>42630</v>
      </c>
      <c r="B627">
        <v>1043</v>
      </c>
      <c r="C627">
        <v>78</v>
      </c>
      <c r="D627">
        <v>965</v>
      </c>
      <c r="E627">
        <v>737499</v>
      </c>
      <c r="F627">
        <v>382700</v>
      </c>
      <c r="G627">
        <v>1120199</v>
      </c>
      <c r="H627">
        <v>790</v>
      </c>
      <c r="I627">
        <v>27</v>
      </c>
      <c r="J627">
        <v>817</v>
      </c>
      <c r="K627" t="b">
        <f>TrafficData[[#This Row],[disposedChallan]]+TrafficData[[#This Row],[pendingChallan]]=TrafficData[[#This Row],[totalChallan]]</f>
        <v>1</v>
      </c>
      <c r="L627" t="b">
        <f>TrafficData[[#This Row],[pendingAmount]]+TrafficData[[#This Row],[disposedAmount]]=TrafficData[[#This Row],[totalAmount]]</f>
        <v>1</v>
      </c>
      <c r="M627" t="b">
        <f>TrafficData[[#This Row],[pendingCourt]]+TrafficData[[#This Row],[disposedCourt]]=TrafficData[[#This Row],[totalCourt]]</f>
        <v>1</v>
      </c>
      <c r="N627" t="b">
        <f>AND(TrafficData[[#This Row],[disposedChallan]]&lt;=TrafficData[[#This Row],[totalChallan]],TrafficData[[#This Row],[pendingChallan]]&lt;=TrafficData[[#This Row],[totalChallan]])</f>
        <v>1</v>
      </c>
      <c r="O627" t="b">
        <f>AND(TrafficData[[#This Row],[pendingAmount]]&lt;=TrafficData[[#This Row],[totalAmount]],TrafficData[[#This Row],[disposedAmount]]&lt;=TrafficData[[#This Row],[totalAmount]])</f>
        <v>1</v>
      </c>
      <c r="P627" t="b">
        <f>AND(TrafficData[[#This Row],[pendingCourt]]&lt;=TrafficData[[#This Row],[totalCourt]],TrafficData[[#This Row],[disposedCourt]]&lt;=TrafficData[[#This Row],[totalCourt]])</f>
        <v>1</v>
      </c>
    </row>
    <row r="628" spans="1:16">
      <c r="A628" s="1">
        <v>42631</v>
      </c>
      <c r="B628">
        <v>422</v>
      </c>
      <c r="C628">
        <v>50</v>
      </c>
      <c r="D628">
        <v>372</v>
      </c>
      <c r="E628">
        <v>294200</v>
      </c>
      <c r="F628">
        <v>102400</v>
      </c>
      <c r="G628">
        <v>396600</v>
      </c>
      <c r="H628">
        <v>227</v>
      </c>
      <c r="I628">
        <v>10</v>
      </c>
      <c r="J628">
        <v>237</v>
      </c>
      <c r="K628" t="b">
        <f>TrafficData[[#This Row],[disposedChallan]]+TrafficData[[#This Row],[pendingChallan]]=TrafficData[[#This Row],[totalChallan]]</f>
        <v>1</v>
      </c>
      <c r="L628" t="b">
        <f>TrafficData[[#This Row],[pendingAmount]]+TrafficData[[#This Row],[disposedAmount]]=TrafficData[[#This Row],[totalAmount]]</f>
        <v>1</v>
      </c>
      <c r="M628" t="b">
        <f>TrafficData[[#This Row],[pendingCourt]]+TrafficData[[#This Row],[disposedCourt]]=TrafficData[[#This Row],[totalCourt]]</f>
        <v>1</v>
      </c>
      <c r="N628" t="b">
        <f>AND(TrafficData[[#This Row],[disposedChallan]]&lt;=TrafficData[[#This Row],[totalChallan]],TrafficData[[#This Row],[pendingChallan]]&lt;=TrafficData[[#This Row],[totalChallan]])</f>
        <v>1</v>
      </c>
      <c r="O628" t="b">
        <f>AND(TrafficData[[#This Row],[pendingAmount]]&lt;=TrafficData[[#This Row],[totalAmount]],TrafficData[[#This Row],[disposedAmount]]&lt;=TrafficData[[#This Row],[totalAmount]])</f>
        <v>1</v>
      </c>
      <c r="P628" t="b">
        <f>AND(TrafficData[[#This Row],[pendingCourt]]&lt;=TrafficData[[#This Row],[totalCourt]],TrafficData[[#This Row],[disposedCourt]]&lt;=TrafficData[[#This Row],[totalCourt]])</f>
        <v>1</v>
      </c>
    </row>
    <row r="629" spans="1:16">
      <c r="A629" s="1">
        <v>42632</v>
      </c>
      <c r="B629">
        <v>980</v>
      </c>
      <c r="C629">
        <v>72</v>
      </c>
      <c r="D629">
        <v>908</v>
      </c>
      <c r="E629">
        <v>875100</v>
      </c>
      <c r="F629">
        <v>209350</v>
      </c>
      <c r="G629">
        <v>1084450</v>
      </c>
      <c r="H629">
        <v>642</v>
      </c>
      <c r="I629">
        <v>24</v>
      </c>
      <c r="J629">
        <v>666</v>
      </c>
      <c r="K629" t="b">
        <f>TrafficData[[#This Row],[disposedChallan]]+TrafficData[[#This Row],[pendingChallan]]=TrafficData[[#This Row],[totalChallan]]</f>
        <v>1</v>
      </c>
      <c r="L629" t="b">
        <f>TrafficData[[#This Row],[pendingAmount]]+TrafficData[[#This Row],[disposedAmount]]=TrafficData[[#This Row],[totalAmount]]</f>
        <v>1</v>
      </c>
      <c r="M629" t="b">
        <f>TrafficData[[#This Row],[pendingCourt]]+TrafficData[[#This Row],[disposedCourt]]=TrafficData[[#This Row],[totalCourt]]</f>
        <v>1</v>
      </c>
      <c r="N629" t="b">
        <f>AND(TrafficData[[#This Row],[disposedChallan]]&lt;=TrafficData[[#This Row],[totalChallan]],TrafficData[[#This Row],[pendingChallan]]&lt;=TrafficData[[#This Row],[totalChallan]])</f>
        <v>1</v>
      </c>
      <c r="O629" t="b">
        <f>AND(TrafficData[[#This Row],[pendingAmount]]&lt;=TrafficData[[#This Row],[totalAmount]],TrafficData[[#This Row],[disposedAmount]]&lt;=TrafficData[[#This Row],[totalAmount]])</f>
        <v>1</v>
      </c>
      <c r="P629" t="b">
        <f>AND(TrafficData[[#This Row],[pendingCourt]]&lt;=TrafficData[[#This Row],[totalCourt]],TrafficData[[#This Row],[disposedCourt]]&lt;=TrafficData[[#This Row],[totalCourt]])</f>
        <v>1</v>
      </c>
    </row>
    <row r="630" spans="1:16">
      <c r="A630" s="1">
        <v>42633</v>
      </c>
      <c r="B630">
        <v>1293</v>
      </c>
      <c r="C630">
        <v>107</v>
      </c>
      <c r="D630">
        <v>1186</v>
      </c>
      <c r="E630">
        <v>1022501</v>
      </c>
      <c r="F630">
        <v>264152</v>
      </c>
      <c r="G630">
        <v>1286653</v>
      </c>
      <c r="H630">
        <v>894</v>
      </c>
      <c r="I630">
        <v>11</v>
      </c>
      <c r="J630">
        <v>905</v>
      </c>
      <c r="K630" t="b">
        <f>TrafficData[[#This Row],[disposedChallan]]+TrafficData[[#This Row],[pendingChallan]]=TrafficData[[#This Row],[totalChallan]]</f>
        <v>1</v>
      </c>
      <c r="L630" t="b">
        <f>TrafficData[[#This Row],[pendingAmount]]+TrafficData[[#This Row],[disposedAmount]]=TrafficData[[#This Row],[totalAmount]]</f>
        <v>1</v>
      </c>
      <c r="M630" t="b">
        <f>TrafficData[[#This Row],[pendingCourt]]+TrafficData[[#This Row],[disposedCourt]]=TrafficData[[#This Row],[totalCourt]]</f>
        <v>1</v>
      </c>
      <c r="N630" t="b">
        <f>AND(TrafficData[[#This Row],[disposedChallan]]&lt;=TrafficData[[#This Row],[totalChallan]],TrafficData[[#This Row],[pendingChallan]]&lt;=TrafficData[[#This Row],[totalChallan]])</f>
        <v>1</v>
      </c>
      <c r="O630" t="b">
        <f>AND(TrafficData[[#This Row],[pendingAmount]]&lt;=TrafficData[[#This Row],[totalAmount]],TrafficData[[#This Row],[disposedAmount]]&lt;=TrafficData[[#This Row],[totalAmount]])</f>
        <v>1</v>
      </c>
      <c r="P630" t="b">
        <f>AND(TrafficData[[#This Row],[pendingCourt]]&lt;=TrafficData[[#This Row],[totalCourt]],TrafficData[[#This Row],[disposedCourt]]&lt;=TrafficData[[#This Row],[totalCourt]])</f>
        <v>1</v>
      </c>
    </row>
    <row r="631" spans="1:16">
      <c r="A631" s="1">
        <v>42634</v>
      </c>
      <c r="B631">
        <v>1196</v>
      </c>
      <c r="C631">
        <v>93</v>
      </c>
      <c r="D631">
        <v>1103</v>
      </c>
      <c r="E631">
        <v>1084400</v>
      </c>
      <c r="F631">
        <v>303400</v>
      </c>
      <c r="G631">
        <v>1387800</v>
      </c>
      <c r="H631">
        <v>837</v>
      </c>
      <c r="I631">
        <v>8</v>
      </c>
      <c r="J631">
        <v>845</v>
      </c>
      <c r="K631" t="b">
        <f>TrafficData[[#This Row],[disposedChallan]]+TrafficData[[#This Row],[pendingChallan]]=TrafficData[[#This Row],[totalChallan]]</f>
        <v>1</v>
      </c>
      <c r="L631" t="b">
        <f>TrafficData[[#This Row],[pendingAmount]]+TrafficData[[#This Row],[disposedAmount]]=TrafficData[[#This Row],[totalAmount]]</f>
        <v>1</v>
      </c>
      <c r="M631" t="b">
        <f>TrafficData[[#This Row],[pendingCourt]]+TrafficData[[#This Row],[disposedCourt]]=TrafficData[[#This Row],[totalCourt]]</f>
        <v>1</v>
      </c>
      <c r="N631" t="b">
        <f>AND(TrafficData[[#This Row],[disposedChallan]]&lt;=TrafficData[[#This Row],[totalChallan]],TrafficData[[#This Row],[pendingChallan]]&lt;=TrafficData[[#This Row],[totalChallan]])</f>
        <v>1</v>
      </c>
      <c r="O631" t="b">
        <f>AND(TrafficData[[#This Row],[pendingAmount]]&lt;=TrafficData[[#This Row],[totalAmount]],TrafficData[[#This Row],[disposedAmount]]&lt;=TrafficData[[#This Row],[totalAmount]])</f>
        <v>1</v>
      </c>
      <c r="P631" t="b">
        <f>AND(TrafficData[[#This Row],[pendingCourt]]&lt;=TrafficData[[#This Row],[totalCourt]],TrafficData[[#This Row],[disposedCourt]]&lt;=TrafficData[[#This Row],[totalCourt]])</f>
        <v>1</v>
      </c>
    </row>
    <row r="632" spans="1:16">
      <c r="A632" s="1">
        <v>42635</v>
      </c>
      <c r="B632">
        <v>1253</v>
      </c>
      <c r="C632">
        <v>87</v>
      </c>
      <c r="D632">
        <v>1166</v>
      </c>
      <c r="E632">
        <v>1050549</v>
      </c>
      <c r="F632">
        <v>358590</v>
      </c>
      <c r="G632">
        <v>1409139</v>
      </c>
      <c r="H632">
        <v>914</v>
      </c>
      <c r="I632">
        <v>25</v>
      </c>
      <c r="J632">
        <v>939</v>
      </c>
      <c r="K632" t="b">
        <f>TrafficData[[#This Row],[disposedChallan]]+TrafficData[[#This Row],[pendingChallan]]=TrafficData[[#This Row],[totalChallan]]</f>
        <v>1</v>
      </c>
      <c r="L632" t="b">
        <f>TrafficData[[#This Row],[pendingAmount]]+TrafficData[[#This Row],[disposedAmount]]=TrafficData[[#This Row],[totalAmount]]</f>
        <v>1</v>
      </c>
      <c r="M632" t="b">
        <f>TrafficData[[#This Row],[pendingCourt]]+TrafficData[[#This Row],[disposedCourt]]=TrafficData[[#This Row],[totalCourt]]</f>
        <v>1</v>
      </c>
      <c r="N632" t="b">
        <f>AND(TrafficData[[#This Row],[disposedChallan]]&lt;=TrafficData[[#This Row],[totalChallan]],TrafficData[[#This Row],[pendingChallan]]&lt;=TrafficData[[#This Row],[totalChallan]])</f>
        <v>1</v>
      </c>
      <c r="O632" t="b">
        <f>AND(TrafficData[[#This Row],[pendingAmount]]&lt;=TrafficData[[#This Row],[totalAmount]],TrafficData[[#This Row],[disposedAmount]]&lt;=TrafficData[[#This Row],[totalAmount]])</f>
        <v>1</v>
      </c>
      <c r="P632" t="b">
        <f>AND(TrafficData[[#This Row],[pendingCourt]]&lt;=TrafficData[[#This Row],[totalCourt]],TrafficData[[#This Row],[disposedCourt]]&lt;=TrafficData[[#This Row],[totalCourt]])</f>
        <v>1</v>
      </c>
    </row>
    <row r="633" spans="1:16">
      <c r="A633" s="1">
        <v>42636</v>
      </c>
      <c r="B633">
        <v>1055</v>
      </c>
      <c r="C633">
        <v>117</v>
      </c>
      <c r="D633">
        <v>938</v>
      </c>
      <c r="E633">
        <v>852400</v>
      </c>
      <c r="F633">
        <v>531250</v>
      </c>
      <c r="G633">
        <v>1383650</v>
      </c>
      <c r="H633">
        <v>659</v>
      </c>
      <c r="I633">
        <v>6</v>
      </c>
      <c r="J633">
        <v>665</v>
      </c>
      <c r="K633" t="b">
        <f>TrafficData[[#This Row],[disposedChallan]]+TrafficData[[#This Row],[pendingChallan]]=TrafficData[[#This Row],[totalChallan]]</f>
        <v>1</v>
      </c>
      <c r="L633" t="b">
        <f>TrafficData[[#This Row],[pendingAmount]]+TrafficData[[#This Row],[disposedAmount]]=TrafficData[[#This Row],[totalAmount]]</f>
        <v>1</v>
      </c>
      <c r="M633" t="b">
        <f>TrafficData[[#This Row],[pendingCourt]]+TrafficData[[#This Row],[disposedCourt]]=TrafficData[[#This Row],[totalCourt]]</f>
        <v>1</v>
      </c>
      <c r="N633" t="b">
        <f>AND(TrafficData[[#This Row],[disposedChallan]]&lt;=TrafficData[[#This Row],[totalChallan]],TrafficData[[#This Row],[pendingChallan]]&lt;=TrafficData[[#This Row],[totalChallan]])</f>
        <v>1</v>
      </c>
      <c r="O633" t="b">
        <f>AND(TrafficData[[#This Row],[pendingAmount]]&lt;=TrafficData[[#This Row],[totalAmount]],TrafficData[[#This Row],[disposedAmount]]&lt;=TrafficData[[#This Row],[totalAmount]])</f>
        <v>1</v>
      </c>
      <c r="P633" t="b">
        <f>AND(TrafficData[[#This Row],[pendingCourt]]&lt;=TrafficData[[#This Row],[totalCourt]],TrafficData[[#This Row],[disposedCourt]]&lt;=TrafficData[[#This Row],[totalCourt]])</f>
        <v>1</v>
      </c>
    </row>
    <row r="634" spans="1:16">
      <c r="A634" s="1">
        <v>42637</v>
      </c>
      <c r="B634">
        <v>940</v>
      </c>
      <c r="C634">
        <v>85</v>
      </c>
      <c r="D634">
        <v>855</v>
      </c>
      <c r="E634">
        <v>735442</v>
      </c>
      <c r="F634">
        <v>260650</v>
      </c>
      <c r="G634">
        <v>996092</v>
      </c>
      <c r="H634">
        <v>621</v>
      </c>
      <c r="I634">
        <v>4</v>
      </c>
      <c r="J634">
        <v>625</v>
      </c>
      <c r="K634" t="b">
        <f>TrafficData[[#This Row],[disposedChallan]]+TrafficData[[#This Row],[pendingChallan]]=TrafficData[[#This Row],[totalChallan]]</f>
        <v>1</v>
      </c>
      <c r="L634" t="b">
        <f>TrafficData[[#This Row],[pendingAmount]]+TrafficData[[#This Row],[disposedAmount]]=TrafficData[[#This Row],[totalAmount]]</f>
        <v>1</v>
      </c>
      <c r="M634" t="b">
        <f>TrafficData[[#This Row],[pendingCourt]]+TrafficData[[#This Row],[disposedCourt]]=TrafficData[[#This Row],[totalCourt]]</f>
        <v>1</v>
      </c>
      <c r="N634" t="b">
        <f>AND(TrafficData[[#This Row],[disposedChallan]]&lt;=TrafficData[[#This Row],[totalChallan]],TrafficData[[#This Row],[pendingChallan]]&lt;=TrafficData[[#This Row],[totalChallan]])</f>
        <v>1</v>
      </c>
      <c r="O634" t="b">
        <f>AND(TrafficData[[#This Row],[pendingAmount]]&lt;=TrafficData[[#This Row],[totalAmount]],TrafficData[[#This Row],[disposedAmount]]&lt;=TrafficData[[#This Row],[totalAmount]])</f>
        <v>1</v>
      </c>
      <c r="P634" t="b">
        <f>AND(TrafficData[[#This Row],[pendingCourt]]&lt;=TrafficData[[#This Row],[totalCourt]],TrafficData[[#This Row],[disposedCourt]]&lt;=TrafficData[[#This Row],[totalCourt]])</f>
        <v>1</v>
      </c>
    </row>
    <row r="635" spans="1:16">
      <c r="A635" s="1">
        <v>42638</v>
      </c>
      <c r="B635">
        <v>804</v>
      </c>
      <c r="C635">
        <v>48</v>
      </c>
      <c r="D635">
        <v>756</v>
      </c>
      <c r="E635">
        <v>759900</v>
      </c>
      <c r="F635">
        <v>110500</v>
      </c>
      <c r="G635">
        <v>870400</v>
      </c>
      <c r="H635">
        <v>567</v>
      </c>
      <c r="I635">
        <v>1</v>
      </c>
      <c r="J635">
        <v>568</v>
      </c>
      <c r="K635" t="b">
        <f>TrafficData[[#This Row],[disposedChallan]]+TrafficData[[#This Row],[pendingChallan]]=TrafficData[[#This Row],[totalChallan]]</f>
        <v>1</v>
      </c>
      <c r="L635" t="b">
        <f>TrafficData[[#This Row],[pendingAmount]]+TrafficData[[#This Row],[disposedAmount]]=TrafficData[[#This Row],[totalAmount]]</f>
        <v>1</v>
      </c>
      <c r="M635" t="b">
        <f>TrafficData[[#This Row],[pendingCourt]]+TrafficData[[#This Row],[disposedCourt]]=TrafficData[[#This Row],[totalCourt]]</f>
        <v>1</v>
      </c>
      <c r="N635" t="b">
        <f>AND(TrafficData[[#This Row],[disposedChallan]]&lt;=TrafficData[[#This Row],[totalChallan]],TrafficData[[#This Row],[pendingChallan]]&lt;=TrafficData[[#This Row],[totalChallan]])</f>
        <v>1</v>
      </c>
      <c r="O635" t="b">
        <f>AND(TrafficData[[#This Row],[pendingAmount]]&lt;=TrafficData[[#This Row],[totalAmount]],TrafficData[[#This Row],[disposedAmount]]&lt;=TrafficData[[#This Row],[totalAmount]])</f>
        <v>1</v>
      </c>
      <c r="P635" t="b">
        <f>AND(TrafficData[[#This Row],[pendingCourt]]&lt;=TrafficData[[#This Row],[totalCourt]],TrafficData[[#This Row],[disposedCourt]]&lt;=TrafficData[[#This Row],[totalCourt]])</f>
        <v>1</v>
      </c>
    </row>
    <row r="636" spans="1:16">
      <c r="A636" s="1">
        <v>42639</v>
      </c>
      <c r="B636">
        <v>918</v>
      </c>
      <c r="C636">
        <v>58</v>
      </c>
      <c r="D636">
        <v>860</v>
      </c>
      <c r="E636">
        <v>706320</v>
      </c>
      <c r="F636">
        <v>145150</v>
      </c>
      <c r="G636">
        <v>851470</v>
      </c>
      <c r="H636">
        <v>613</v>
      </c>
      <c r="I636">
        <v>5</v>
      </c>
      <c r="J636">
        <v>618</v>
      </c>
      <c r="K636" t="b">
        <f>TrafficData[[#This Row],[disposedChallan]]+TrafficData[[#This Row],[pendingChallan]]=TrafficData[[#This Row],[totalChallan]]</f>
        <v>1</v>
      </c>
      <c r="L636" t="b">
        <f>TrafficData[[#This Row],[pendingAmount]]+TrafficData[[#This Row],[disposedAmount]]=TrafficData[[#This Row],[totalAmount]]</f>
        <v>1</v>
      </c>
      <c r="M636" t="b">
        <f>TrafficData[[#This Row],[pendingCourt]]+TrafficData[[#This Row],[disposedCourt]]=TrafficData[[#This Row],[totalCourt]]</f>
        <v>1</v>
      </c>
      <c r="N636" t="b">
        <f>AND(TrafficData[[#This Row],[disposedChallan]]&lt;=TrafficData[[#This Row],[totalChallan]],TrafficData[[#This Row],[pendingChallan]]&lt;=TrafficData[[#This Row],[totalChallan]])</f>
        <v>1</v>
      </c>
      <c r="O636" t="b">
        <f>AND(TrafficData[[#This Row],[pendingAmount]]&lt;=TrafficData[[#This Row],[totalAmount]],TrafficData[[#This Row],[disposedAmount]]&lt;=TrafficData[[#This Row],[totalAmount]])</f>
        <v>1</v>
      </c>
      <c r="P636" t="b">
        <f>AND(TrafficData[[#This Row],[pendingCourt]]&lt;=TrafficData[[#This Row],[totalCourt]],TrafficData[[#This Row],[disposedCourt]]&lt;=TrafficData[[#This Row],[totalCourt]])</f>
        <v>1</v>
      </c>
    </row>
    <row r="637" spans="1:16">
      <c r="A637" s="1">
        <v>42640</v>
      </c>
      <c r="B637">
        <v>1088</v>
      </c>
      <c r="C637">
        <v>83</v>
      </c>
      <c r="D637">
        <v>1005</v>
      </c>
      <c r="E637">
        <v>1054754</v>
      </c>
      <c r="F637">
        <v>334701</v>
      </c>
      <c r="G637">
        <v>1389455</v>
      </c>
      <c r="H637">
        <v>760</v>
      </c>
      <c r="I637">
        <v>15</v>
      </c>
      <c r="J637">
        <v>775</v>
      </c>
      <c r="K637" t="b">
        <f>TrafficData[[#This Row],[disposedChallan]]+TrafficData[[#This Row],[pendingChallan]]=TrafficData[[#This Row],[totalChallan]]</f>
        <v>1</v>
      </c>
      <c r="L637" t="b">
        <f>TrafficData[[#This Row],[pendingAmount]]+TrafficData[[#This Row],[disposedAmount]]=TrafficData[[#This Row],[totalAmount]]</f>
        <v>1</v>
      </c>
      <c r="M637" t="b">
        <f>TrafficData[[#This Row],[pendingCourt]]+TrafficData[[#This Row],[disposedCourt]]=TrafficData[[#This Row],[totalCourt]]</f>
        <v>1</v>
      </c>
      <c r="N637" t="b">
        <f>AND(TrafficData[[#This Row],[disposedChallan]]&lt;=TrafficData[[#This Row],[totalChallan]],TrafficData[[#This Row],[pendingChallan]]&lt;=TrafficData[[#This Row],[totalChallan]])</f>
        <v>1</v>
      </c>
      <c r="O637" t="b">
        <f>AND(TrafficData[[#This Row],[pendingAmount]]&lt;=TrafficData[[#This Row],[totalAmount]],TrafficData[[#This Row],[disposedAmount]]&lt;=TrafficData[[#This Row],[totalAmount]])</f>
        <v>1</v>
      </c>
      <c r="P637" t="b">
        <f>AND(TrafficData[[#This Row],[pendingCourt]]&lt;=TrafficData[[#This Row],[totalCourt]],TrafficData[[#This Row],[disposedCourt]]&lt;=TrafficData[[#This Row],[totalCourt]])</f>
        <v>1</v>
      </c>
    </row>
    <row r="638" spans="1:16">
      <c r="A638" s="1">
        <v>42641</v>
      </c>
      <c r="B638">
        <v>1170</v>
      </c>
      <c r="C638">
        <v>96</v>
      </c>
      <c r="D638">
        <v>1074</v>
      </c>
      <c r="E638">
        <v>1065850</v>
      </c>
      <c r="F638">
        <v>1090851</v>
      </c>
      <c r="G638">
        <v>2156701</v>
      </c>
      <c r="H638">
        <v>849</v>
      </c>
      <c r="I638">
        <v>18</v>
      </c>
      <c r="J638">
        <v>867</v>
      </c>
      <c r="K638" t="b">
        <f>TrafficData[[#This Row],[disposedChallan]]+TrafficData[[#This Row],[pendingChallan]]=TrafficData[[#This Row],[totalChallan]]</f>
        <v>1</v>
      </c>
      <c r="L638" t="b">
        <f>TrafficData[[#This Row],[pendingAmount]]+TrafficData[[#This Row],[disposedAmount]]=TrafficData[[#This Row],[totalAmount]]</f>
        <v>1</v>
      </c>
      <c r="M638" t="b">
        <f>TrafficData[[#This Row],[pendingCourt]]+TrafficData[[#This Row],[disposedCourt]]=TrafficData[[#This Row],[totalCourt]]</f>
        <v>1</v>
      </c>
      <c r="N638" t="b">
        <f>AND(TrafficData[[#This Row],[disposedChallan]]&lt;=TrafficData[[#This Row],[totalChallan]],TrafficData[[#This Row],[pendingChallan]]&lt;=TrafficData[[#This Row],[totalChallan]])</f>
        <v>1</v>
      </c>
      <c r="O638" t="b">
        <f>AND(TrafficData[[#This Row],[pendingAmount]]&lt;=TrafficData[[#This Row],[totalAmount]],TrafficData[[#This Row],[disposedAmount]]&lt;=TrafficData[[#This Row],[totalAmount]])</f>
        <v>1</v>
      </c>
      <c r="P638" t="b">
        <f>AND(TrafficData[[#This Row],[pendingCourt]]&lt;=TrafficData[[#This Row],[totalCourt]],TrafficData[[#This Row],[disposedCourt]]&lt;=TrafficData[[#This Row],[totalCourt]])</f>
        <v>1</v>
      </c>
    </row>
    <row r="639" spans="1:16">
      <c r="A639" s="1">
        <v>42642</v>
      </c>
      <c r="B639">
        <v>1079</v>
      </c>
      <c r="C639">
        <v>112</v>
      </c>
      <c r="D639">
        <v>967</v>
      </c>
      <c r="E639">
        <v>1278735</v>
      </c>
      <c r="F639">
        <v>337310</v>
      </c>
      <c r="G639">
        <v>1616045</v>
      </c>
      <c r="H639">
        <v>721</v>
      </c>
      <c r="I639">
        <v>7</v>
      </c>
      <c r="J639">
        <v>728</v>
      </c>
      <c r="K639" t="b">
        <f>TrafficData[[#This Row],[disposedChallan]]+TrafficData[[#This Row],[pendingChallan]]=TrafficData[[#This Row],[totalChallan]]</f>
        <v>1</v>
      </c>
      <c r="L639" t="b">
        <f>TrafficData[[#This Row],[pendingAmount]]+TrafficData[[#This Row],[disposedAmount]]=TrafficData[[#This Row],[totalAmount]]</f>
        <v>1</v>
      </c>
      <c r="M639" t="b">
        <f>TrafficData[[#This Row],[pendingCourt]]+TrafficData[[#This Row],[disposedCourt]]=TrafficData[[#This Row],[totalCourt]]</f>
        <v>1</v>
      </c>
      <c r="N639" t="b">
        <f>AND(TrafficData[[#This Row],[disposedChallan]]&lt;=TrafficData[[#This Row],[totalChallan]],TrafficData[[#This Row],[pendingChallan]]&lt;=TrafficData[[#This Row],[totalChallan]])</f>
        <v>1</v>
      </c>
      <c r="O639" t="b">
        <f>AND(TrafficData[[#This Row],[pendingAmount]]&lt;=TrafficData[[#This Row],[totalAmount]],TrafficData[[#This Row],[disposedAmount]]&lt;=TrafficData[[#This Row],[totalAmount]])</f>
        <v>1</v>
      </c>
      <c r="P639" t="b">
        <f>AND(TrafficData[[#This Row],[pendingCourt]]&lt;=TrafficData[[#This Row],[totalCourt]],TrafficData[[#This Row],[disposedCourt]]&lt;=TrafficData[[#This Row],[totalCourt]])</f>
        <v>1</v>
      </c>
    </row>
    <row r="640" spans="1:16">
      <c r="A640" s="1">
        <v>42643</v>
      </c>
      <c r="B640">
        <v>907</v>
      </c>
      <c r="C640">
        <v>50</v>
      </c>
      <c r="D640">
        <v>857</v>
      </c>
      <c r="E640">
        <v>392200</v>
      </c>
      <c r="F640">
        <v>88100</v>
      </c>
      <c r="G640">
        <v>480300</v>
      </c>
      <c r="H640">
        <v>676</v>
      </c>
      <c r="I640">
        <v>10</v>
      </c>
      <c r="J640">
        <v>686</v>
      </c>
      <c r="K640" t="b">
        <f>TrafficData[[#This Row],[disposedChallan]]+TrafficData[[#This Row],[pendingChallan]]=TrafficData[[#This Row],[totalChallan]]</f>
        <v>1</v>
      </c>
      <c r="L640" t="b">
        <f>TrafficData[[#This Row],[pendingAmount]]+TrafficData[[#This Row],[disposedAmount]]=TrafficData[[#This Row],[totalAmount]]</f>
        <v>1</v>
      </c>
      <c r="M640" t="b">
        <f>TrafficData[[#This Row],[pendingCourt]]+TrafficData[[#This Row],[disposedCourt]]=TrafficData[[#This Row],[totalCourt]]</f>
        <v>1</v>
      </c>
      <c r="N640" t="b">
        <f>AND(TrafficData[[#This Row],[disposedChallan]]&lt;=TrafficData[[#This Row],[totalChallan]],TrafficData[[#This Row],[pendingChallan]]&lt;=TrafficData[[#This Row],[totalChallan]])</f>
        <v>1</v>
      </c>
      <c r="O640" t="b">
        <f>AND(TrafficData[[#This Row],[pendingAmount]]&lt;=TrafficData[[#This Row],[totalAmount]],TrafficData[[#This Row],[disposedAmount]]&lt;=TrafficData[[#This Row],[totalAmount]])</f>
        <v>1</v>
      </c>
      <c r="P640" t="b">
        <f>AND(TrafficData[[#This Row],[pendingCourt]]&lt;=TrafficData[[#This Row],[totalCourt]],TrafficData[[#This Row],[disposedCourt]]&lt;=TrafficData[[#This Row],[totalCourt]])</f>
        <v>1</v>
      </c>
    </row>
    <row r="641" spans="1:16">
      <c r="A641" s="1">
        <v>42644</v>
      </c>
      <c r="B641">
        <v>1181</v>
      </c>
      <c r="C641">
        <v>72</v>
      </c>
      <c r="D641">
        <v>1109</v>
      </c>
      <c r="E641">
        <v>1283700</v>
      </c>
      <c r="F641">
        <v>166950</v>
      </c>
      <c r="G641">
        <v>1450650</v>
      </c>
      <c r="H641">
        <v>906</v>
      </c>
      <c r="I641">
        <v>8</v>
      </c>
      <c r="J641">
        <v>914</v>
      </c>
      <c r="K641" t="b">
        <f>TrafficData[[#This Row],[disposedChallan]]+TrafficData[[#This Row],[pendingChallan]]=TrafficData[[#This Row],[totalChallan]]</f>
        <v>1</v>
      </c>
      <c r="L641" t="b">
        <f>TrafficData[[#This Row],[pendingAmount]]+TrafficData[[#This Row],[disposedAmount]]=TrafficData[[#This Row],[totalAmount]]</f>
        <v>1</v>
      </c>
      <c r="M641" t="b">
        <f>TrafficData[[#This Row],[pendingCourt]]+TrafficData[[#This Row],[disposedCourt]]=TrafficData[[#This Row],[totalCourt]]</f>
        <v>1</v>
      </c>
      <c r="N641" t="b">
        <f>AND(TrafficData[[#This Row],[disposedChallan]]&lt;=TrafficData[[#This Row],[totalChallan]],TrafficData[[#This Row],[pendingChallan]]&lt;=TrafficData[[#This Row],[totalChallan]])</f>
        <v>1</v>
      </c>
      <c r="O641" t="b">
        <f>AND(TrafficData[[#This Row],[pendingAmount]]&lt;=TrafficData[[#This Row],[totalAmount]],TrafficData[[#This Row],[disposedAmount]]&lt;=TrafficData[[#This Row],[totalAmount]])</f>
        <v>1</v>
      </c>
      <c r="P641" t="b">
        <f>AND(TrafficData[[#This Row],[pendingCourt]]&lt;=TrafficData[[#This Row],[totalCourt]],TrafficData[[#This Row],[disposedCourt]]&lt;=TrafficData[[#This Row],[totalCourt]])</f>
        <v>1</v>
      </c>
    </row>
    <row r="642" spans="1:16">
      <c r="A642" s="1">
        <v>42645</v>
      </c>
      <c r="B642">
        <v>427</v>
      </c>
      <c r="C642">
        <v>39</v>
      </c>
      <c r="D642">
        <v>388</v>
      </c>
      <c r="E642">
        <v>670340</v>
      </c>
      <c r="F642">
        <v>99100</v>
      </c>
      <c r="G642">
        <v>769440</v>
      </c>
      <c r="H642">
        <v>258</v>
      </c>
      <c r="I642">
        <v>1</v>
      </c>
      <c r="J642">
        <v>259</v>
      </c>
      <c r="K642" t="b">
        <f>TrafficData[[#This Row],[disposedChallan]]+TrafficData[[#This Row],[pendingChallan]]=TrafficData[[#This Row],[totalChallan]]</f>
        <v>1</v>
      </c>
      <c r="L642" t="b">
        <f>TrafficData[[#This Row],[pendingAmount]]+TrafficData[[#This Row],[disposedAmount]]=TrafficData[[#This Row],[totalAmount]]</f>
        <v>1</v>
      </c>
      <c r="M642" t="b">
        <f>TrafficData[[#This Row],[pendingCourt]]+TrafficData[[#This Row],[disposedCourt]]=TrafficData[[#This Row],[totalCourt]]</f>
        <v>1</v>
      </c>
      <c r="N642" t="b">
        <f>AND(TrafficData[[#This Row],[disposedChallan]]&lt;=TrafficData[[#This Row],[totalChallan]],TrafficData[[#This Row],[pendingChallan]]&lt;=TrafficData[[#This Row],[totalChallan]])</f>
        <v>1</v>
      </c>
      <c r="O642" t="b">
        <f>AND(TrafficData[[#This Row],[pendingAmount]]&lt;=TrafficData[[#This Row],[totalAmount]],TrafficData[[#This Row],[disposedAmount]]&lt;=TrafficData[[#This Row],[totalAmount]])</f>
        <v>1</v>
      </c>
      <c r="P642" t="b">
        <f>AND(TrafficData[[#This Row],[pendingCourt]]&lt;=TrafficData[[#This Row],[totalCourt]],TrafficData[[#This Row],[disposedCourt]]&lt;=TrafficData[[#This Row],[totalCourt]])</f>
        <v>1</v>
      </c>
    </row>
    <row r="643" spans="1:16">
      <c r="A643" s="1">
        <v>42646</v>
      </c>
      <c r="B643">
        <v>1031</v>
      </c>
      <c r="C643">
        <v>86</v>
      </c>
      <c r="D643">
        <v>945</v>
      </c>
      <c r="E643">
        <v>704300</v>
      </c>
      <c r="F643">
        <v>188150</v>
      </c>
      <c r="G643">
        <v>892450</v>
      </c>
      <c r="H643">
        <v>782</v>
      </c>
      <c r="I643">
        <v>20</v>
      </c>
      <c r="J643">
        <v>802</v>
      </c>
      <c r="K643" t="b">
        <f>TrafficData[[#This Row],[disposedChallan]]+TrafficData[[#This Row],[pendingChallan]]=TrafficData[[#This Row],[totalChallan]]</f>
        <v>1</v>
      </c>
      <c r="L643" t="b">
        <f>TrafficData[[#This Row],[pendingAmount]]+TrafficData[[#This Row],[disposedAmount]]=TrafficData[[#This Row],[totalAmount]]</f>
        <v>1</v>
      </c>
      <c r="M643" t="b">
        <f>TrafficData[[#This Row],[pendingCourt]]+TrafficData[[#This Row],[disposedCourt]]=TrafficData[[#This Row],[totalCourt]]</f>
        <v>1</v>
      </c>
      <c r="N643" t="b">
        <f>AND(TrafficData[[#This Row],[disposedChallan]]&lt;=TrafficData[[#This Row],[totalChallan]],TrafficData[[#This Row],[pendingChallan]]&lt;=TrafficData[[#This Row],[totalChallan]])</f>
        <v>1</v>
      </c>
      <c r="O643" t="b">
        <f>AND(TrafficData[[#This Row],[pendingAmount]]&lt;=TrafficData[[#This Row],[totalAmount]],TrafficData[[#This Row],[disposedAmount]]&lt;=TrafficData[[#This Row],[totalAmount]])</f>
        <v>1</v>
      </c>
      <c r="P643" t="b">
        <f>AND(TrafficData[[#This Row],[pendingCourt]]&lt;=TrafficData[[#This Row],[totalCourt]],TrafficData[[#This Row],[disposedCourt]]&lt;=TrafficData[[#This Row],[totalCourt]])</f>
        <v>1</v>
      </c>
    </row>
    <row r="644" spans="1:16">
      <c r="A644" s="1">
        <v>42647</v>
      </c>
      <c r="B644">
        <v>819</v>
      </c>
      <c r="C644">
        <v>60</v>
      </c>
      <c r="D644">
        <v>759</v>
      </c>
      <c r="E644">
        <v>801101</v>
      </c>
      <c r="F644">
        <v>117400</v>
      </c>
      <c r="G644">
        <v>918501</v>
      </c>
      <c r="H644">
        <v>585</v>
      </c>
      <c r="I644">
        <v>20</v>
      </c>
      <c r="J644">
        <v>605</v>
      </c>
      <c r="K644" t="b">
        <f>TrafficData[[#This Row],[disposedChallan]]+TrafficData[[#This Row],[pendingChallan]]=TrafficData[[#This Row],[totalChallan]]</f>
        <v>1</v>
      </c>
      <c r="L644" t="b">
        <f>TrafficData[[#This Row],[pendingAmount]]+TrafficData[[#This Row],[disposedAmount]]=TrafficData[[#This Row],[totalAmount]]</f>
        <v>1</v>
      </c>
      <c r="M644" t="b">
        <f>TrafficData[[#This Row],[pendingCourt]]+TrafficData[[#This Row],[disposedCourt]]=TrafficData[[#This Row],[totalCourt]]</f>
        <v>1</v>
      </c>
      <c r="N644" t="b">
        <f>AND(TrafficData[[#This Row],[disposedChallan]]&lt;=TrafficData[[#This Row],[totalChallan]],TrafficData[[#This Row],[pendingChallan]]&lt;=TrafficData[[#This Row],[totalChallan]])</f>
        <v>1</v>
      </c>
      <c r="O644" t="b">
        <f>AND(TrafficData[[#This Row],[pendingAmount]]&lt;=TrafficData[[#This Row],[totalAmount]],TrafficData[[#This Row],[disposedAmount]]&lt;=TrafficData[[#This Row],[totalAmount]])</f>
        <v>1</v>
      </c>
      <c r="P644" t="b">
        <f>AND(TrafficData[[#This Row],[pendingCourt]]&lt;=TrafficData[[#This Row],[totalCourt]],TrafficData[[#This Row],[disposedCourt]]&lt;=TrafficData[[#This Row],[totalCourt]])</f>
        <v>1</v>
      </c>
    </row>
    <row r="645" spans="1:16">
      <c r="A645" s="1">
        <v>42648</v>
      </c>
      <c r="B645">
        <v>1158</v>
      </c>
      <c r="C645">
        <v>96</v>
      </c>
      <c r="D645">
        <v>1062</v>
      </c>
      <c r="E645">
        <v>1059460</v>
      </c>
      <c r="F645">
        <v>271750</v>
      </c>
      <c r="G645">
        <v>1331210</v>
      </c>
      <c r="H645">
        <v>822</v>
      </c>
      <c r="I645">
        <v>5</v>
      </c>
      <c r="J645">
        <v>827</v>
      </c>
      <c r="K645" t="b">
        <f>TrafficData[[#This Row],[disposedChallan]]+TrafficData[[#This Row],[pendingChallan]]=TrafficData[[#This Row],[totalChallan]]</f>
        <v>1</v>
      </c>
      <c r="L645" t="b">
        <f>TrafficData[[#This Row],[pendingAmount]]+TrafficData[[#This Row],[disposedAmount]]=TrafficData[[#This Row],[totalAmount]]</f>
        <v>1</v>
      </c>
      <c r="M645" t="b">
        <f>TrafficData[[#This Row],[pendingCourt]]+TrafficData[[#This Row],[disposedCourt]]=TrafficData[[#This Row],[totalCourt]]</f>
        <v>1</v>
      </c>
      <c r="N645" t="b">
        <f>AND(TrafficData[[#This Row],[disposedChallan]]&lt;=TrafficData[[#This Row],[totalChallan]],TrafficData[[#This Row],[pendingChallan]]&lt;=TrafficData[[#This Row],[totalChallan]])</f>
        <v>1</v>
      </c>
      <c r="O645" t="b">
        <f>AND(TrafficData[[#This Row],[pendingAmount]]&lt;=TrafficData[[#This Row],[totalAmount]],TrafficData[[#This Row],[disposedAmount]]&lt;=TrafficData[[#This Row],[totalAmount]])</f>
        <v>1</v>
      </c>
      <c r="P645" t="b">
        <f>AND(TrafficData[[#This Row],[pendingCourt]]&lt;=TrafficData[[#This Row],[totalCourt]],TrafficData[[#This Row],[disposedCourt]]&lt;=TrafficData[[#This Row],[totalCourt]])</f>
        <v>1</v>
      </c>
    </row>
    <row r="646" spans="1:16">
      <c r="A646" s="1">
        <v>42649</v>
      </c>
      <c r="B646">
        <v>958</v>
      </c>
      <c r="C646">
        <v>76</v>
      </c>
      <c r="D646">
        <v>882</v>
      </c>
      <c r="E646">
        <v>1037650</v>
      </c>
      <c r="F646">
        <v>227850</v>
      </c>
      <c r="G646">
        <v>1265500</v>
      </c>
      <c r="H646">
        <v>676</v>
      </c>
      <c r="I646">
        <v>15</v>
      </c>
      <c r="J646">
        <v>691</v>
      </c>
      <c r="K646" t="b">
        <f>TrafficData[[#This Row],[disposedChallan]]+TrafficData[[#This Row],[pendingChallan]]=TrafficData[[#This Row],[totalChallan]]</f>
        <v>1</v>
      </c>
      <c r="L646" t="b">
        <f>TrafficData[[#This Row],[pendingAmount]]+TrafficData[[#This Row],[disposedAmount]]=TrafficData[[#This Row],[totalAmount]]</f>
        <v>1</v>
      </c>
      <c r="M646" t="b">
        <f>TrafficData[[#This Row],[pendingCourt]]+TrafficData[[#This Row],[disposedCourt]]=TrafficData[[#This Row],[totalCourt]]</f>
        <v>1</v>
      </c>
      <c r="N646" t="b">
        <f>AND(TrafficData[[#This Row],[disposedChallan]]&lt;=TrafficData[[#This Row],[totalChallan]],TrafficData[[#This Row],[pendingChallan]]&lt;=TrafficData[[#This Row],[totalChallan]])</f>
        <v>1</v>
      </c>
      <c r="O646" t="b">
        <f>AND(TrafficData[[#This Row],[pendingAmount]]&lt;=TrafficData[[#This Row],[totalAmount]],TrafficData[[#This Row],[disposedAmount]]&lt;=TrafficData[[#This Row],[totalAmount]])</f>
        <v>1</v>
      </c>
      <c r="P646" t="b">
        <f>AND(TrafficData[[#This Row],[pendingCourt]]&lt;=TrafficData[[#This Row],[totalCourt]],TrafficData[[#This Row],[disposedCourt]]&lt;=TrafficData[[#This Row],[totalCourt]])</f>
        <v>1</v>
      </c>
    </row>
    <row r="647" spans="1:16">
      <c r="A647" s="1">
        <v>42650</v>
      </c>
      <c r="B647">
        <v>1210</v>
      </c>
      <c r="C647">
        <v>74</v>
      </c>
      <c r="D647">
        <v>1136</v>
      </c>
      <c r="E647">
        <v>1269651</v>
      </c>
      <c r="F647">
        <v>225495</v>
      </c>
      <c r="G647">
        <v>1495146</v>
      </c>
      <c r="H647">
        <v>893</v>
      </c>
      <c r="I647">
        <v>8</v>
      </c>
      <c r="J647">
        <v>901</v>
      </c>
      <c r="K647" t="b">
        <f>TrafficData[[#This Row],[disposedChallan]]+TrafficData[[#This Row],[pendingChallan]]=TrafficData[[#This Row],[totalChallan]]</f>
        <v>1</v>
      </c>
      <c r="L647" t="b">
        <f>TrafficData[[#This Row],[pendingAmount]]+TrafficData[[#This Row],[disposedAmount]]=TrafficData[[#This Row],[totalAmount]]</f>
        <v>1</v>
      </c>
      <c r="M647" t="b">
        <f>TrafficData[[#This Row],[pendingCourt]]+TrafficData[[#This Row],[disposedCourt]]=TrafficData[[#This Row],[totalCourt]]</f>
        <v>1</v>
      </c>
      <c r="N647" t="b">
        <f>AND(TrafficData[[#This Row],[disposedChallan]]&lt;=TrafficData[[#This Row],[totalChallan]],TrafficData[[#This Row],[pendingChallan]]&lt;=TrafficData[[#This Row],[totalChallan]])</f>
        <v>1</v>
      </c>
      <c r="O647" t="b">
        <f>AND(TrafficData[[#This Row],[pendingAmount]]&lt;=TrafficData[[#This Row],[totalAmount]],TrafficData[[#This Row],[disposedAmount]]&lt;=TrafficData[[#This Row],[totalAmount]])</f>
        <v>1</v>
      </c>
      <c r="P647" t="b">
        <f>AND(TrafficData[[#This Row],[pendingCourt]]&lt;=TrafficData[[#This Row],[totalCourt]],TrafficData[[#This Row],[disposedCourt]]&lt;=TrafficData[[#This Row],[totalCourt]])</f>
        <v>1</v>
      </c>
    </row>
    <row r="648" spans="1:16">
      <c r="A648" s="1">
        <v>42651</v>
      </c>
      <c r="B648">
        <v>1018</v>
      </c>
      <c r="C648">
        <v>61</v>
      </c>
      <c r="D648">
        <v>957</v>
      </c>
      <c r="E648">
        <v>836150</v>
      </c>
      <c r="F648">
        <v>192750</v>
      </c>
      <c r="G648">
        <v>1028900</v>
      </c>
      <c r="H648">
        <v>778</v>
      </c>
      <c r="I648">
        <v>3</v>
      </c>
      <c r="J648">
        <v>781</v>
      </c>
      <c r="K648" t="b">
        <f>TrafficData[[#This Row],[disposedChallan]]+TrafficData[[#This Row],[pendingChallan]]=TrafficData[[#This Row],[totalChallan]]</f>
        <v>1</v>
      </c>
      <c r="L648" t="b">
        <f>TrafficData[[#This Row],[pendingAmount]]+TrafficData[[#This Row],[disposedAmount]]=TrafficData[[#This Row],[totalAmount]]</f>
        <v>1</v>
      </c>
      <c r="M648" t="b">
        <f>TrafficData[[#This Row],[pendingCourt]]+TrafficData[[#This Row],[disposedCourt]]=TrafficData[[#This Row],[totalCourt]]</f>
        <v>1</v>
      </c>
      <c r="N648" t="b">
        <f>AND(TrafficData[[#This Row],[disposedChallan]]&lt;=TrafficData[[#This Row],[totalChallan]],TrafficData[[#This Row],[pendingChallan]]&lt;=TrafficData[[#This Row],[totalChallan]])</f>
        <v>1</v>
      </c>
      <c r="O648" t="b">
        <f>AND(TrafficData[[#This Row],[pendingAmount]]&lt;=TrafficData[[#This Row],[totalAmount]],TrafficData[[#This Row],[disposedAmount]]&lt;=TrafficData[[#This Row],[totalAmount]])</f>
        <v>1</v>
      </c>
      <c r="P648" t="b">
        <f>AND(TrafficData[[#This Row],[pendingCourt]]&lt;=TrafficData[[#This Row],[totalCourt]],TrafficData[[#This Row],[disposedCourt]]&lt;=TrafficData[[#This Row],[totalCourt]])</f>
        <v>1</v>
      </c>
    </row>
    <row r="649" spans="1:16">
      <c r="A649" s="1">
        <v>42652</v>
      </c>
      <c r="B649">
        <v>523</v>
      </c>
      <c r="C649">
        <v>52</v>
      </c>
      <c r="D649">
        <v>471</v>
      </c>
      <c r="E649">
        <v>666650</v>
      </c>
      <c r="F649">
        <v>300300</v>
      </c>
      <c r="G649">
        <v>966950</v>
      </c>
      <c r="H649">
        <v>331</v>
      </c>
      <c r="I649">
        <v>7</v>
      </c>
      <c r="J649">
        <v>338</v>
      </c>
      <c r="K649" t="b">
        <f>TrafficData[[#This Row],[disposedChallan]]+TrafficData[[#This Row],[pendingChallan]]=TrafficData[[#This Row],[totalChallan]]</f>
        <v>1</v>
      </c>
      <c r="L649" t="b">
        <f>TrafficData[[#This Row],[pendingAmount]]+TrafficData[[#This Row],[disposedAmount]]=TrafficData[[#This Row],[totalAmount]]</f>
        <v>1</v>
      </c>
      <c r="M649" t="b">
        <f>TrafficData[[#This Row],[pendingCourt]]+TrafficData[[#This Row],[disposedCourt]]=TrafficData[[#This Row],[totalCourt]]</f>
        <v>1</v>
      </c>
      <c r="N649" t="b">
        <f>AND(TrafficData[[#This Row],[disposedChallan]]&lt;=TrafficData[[#This Row],[totalChallan]],TrafficData[[#This Row],[pendingChallan]]&lt;=TrafficData[[#This Row],[totalChallan]])</f>
        <v>1</v>
      </c>
      <c r="O649" t="b">
        <f>AND(TrafficData[[#This Row],[pendingAmount]]&lt;=TrafficData[[#This Row],[totalAmount]],TrafficData[[#This Row],[disposedAmount]]&lt;=TrafficData[[#This Row],[totalAmount]])</f>
        <v>1</v>
      </c>
      <c r="P649" t="b">
        <f>AND(TrafficData[[#This Row],[pendingCourt]]&lt;=TrafficData[[#This Row],[totalCourt]],TrafficData[[#This Row],[disposedCourt]]&lt;=TrafficData[[#This Row],[totalCourt]])</f>
        <v>1</v>
      </c>
    </row>
    <row r="650" spans="1:16">
      <c r="A650" s="1">
        <v>42653</v>
      </c>
      <c r="B650">
        <v>959</v>
      </c>
      <c r="C650">
        <v>88</v>
      </c>
      <c r="D650">
        <v>871</v>
      </c>
      <c r="E650">
        <v>768050</v>
      </c>
      <c r="F650">
        <v>122725</v>
      </c>
      <c r="G650">
        <v>890775</v>
      </c>
      <c r="H650">
        <v>711</v>
      </c>
      <c r="I650">
        <v>7</v>
      </c>
      <c r="J650">
        <v>718</v>
      </c>
      <c r="K650" t="b">
        <f>TrafficData[[#This Row],[disposedChallan]]+TrafficData[[#This Row],[pendingChallan]]=TrafficData[[#This Row],[totalChallan]]</f>
        <v>1</v>
      </c>
      <c r="L650" t="b">
        <f>TrafficData[[#This Row],[pendingAmount]]+TrafficData[[#This Row],[disposedAmount]]=TrafficData[[#This Row],[totalAmount]]</f>
        <v>1</v>
      </c>
      <c r="M650" t="b">
        <f>TrafficData[[#This Row],[pendingCourt]]+TrafficData[[#This Row],[disposedCourt]]=TrafficData[[#This Row],[totalCourt]]</f>
        <v>1</v>
      </c>
      <c r="N650" t="b">
        <f>AND(TrafficData[[#This Row],[disposedChallan]]&lt;=TrafficData[[#This Row],[totalChallan]],TrafficData[[#This Row],[pendingChallan]]&lt;=TrafficData[[#This Row],[totalChallan]])</f>
        <v>1</v>
      </c>
      <c r="O650" t="b">
        <f>AND(TrafficData[[#This Row],[pendingAmount]]&lt;=TrafficData[[#This Row],[totalAmount]],TrafficData[[#This Row],[disposedAmount]]&lt;=TrafficData[[#This Row],[totalAmount]])</f>
        <v>1</v>
      </c>
      <c r="P650" t="b">
        <f>AND(TrafficData[[#This Row],[pendingCourt]]&lt;=TrafficData[[#This Row],[totalCourt]],TrafficData[[#This Row],[disposedCourt]]&lt;=TrafficData[[#This Row],[totalCourt]])</f>
        <v>1</v>
      </c>
    </row>
    <row r="651" spans="1:16">
      <c r="A651" s="1">
        <v>42654</v>
      </c>
      <c r="B651">
        <v>760</v>
      </c>
      <c r="C651">
        <v>27</v>
      </c>
      <c r="D651">
        <v>733</v>
      </c>
      <c r="E651">
        <v>422820</v>
      </c>
      <c r="F651">
        <v>71700</v>
      </c>
      <c r="G651">
        <v>494520</v>
      </c>
      <c r="H651">
        <v>658</v>
      </c>
      <c r="I651">
        <v>3</v>
      </c>
      <c r="J651">
        <v>661</v>
      </c>
      <c r="K651" t="b">
        <f>TrafficData[[#This Row],[disposedChallan]]+TrafficData[[#This Row],[pendingChallan]]=TrafficData[[#This Row],[totalChallan]]</f>
        <v>1</v>
      </c>
      <c r="L651" t="b">
        <f>TrafficData[[#This Row],[pendingAmount]]+TrafficData[[#This Row],[disposedAmount]]=TrafficData[[#This Row],[totalAmount]]</f>
        <v>1</v>
      </c>
      <c r="M651" t="b">
        <f>TrafficData[[#This Row],[pendingCourt]]+TrafficData[[#This Row],[disposedCourt]]=TrafficData[[#This Row],[totalCourt]]</f>
        <v>1</v>
      </c>
      <c r="N651" t="b">
        <f>AND(TrafficData[[#This Row],[disposedChallan]]&lt;=TrafficData[[#This Row],[totalChallan]],TrafficData[[#This Row],[pendingChallan]]&lt;=TrafficData[[#This Row],[totalChallan]])</f>
        <v>1</v>
      </c>
      <c r="O651" t="b">
        <f>AND(TrafficData[[#This Row],[pendingAmount]]&lt;=TrafficData[[#This Row],[totalAmount]],TrafficData[[#This Row],[disposedAmount]]&lt;=TrafficData[[#This Row],[totalAmount]])</f>
        <v>1</v>
      </c>
      <c r="P651" t="b">
        <f>AND(TrafficData[[#This Row],[pendingCourt]]&lt;=TrafficData[[#This Row],[totalCourt]],TrafficData[[#This Row],[disposedCourt]]&lt;=TrafficData[[#This Row],[totalCourt]])</f>
        <v>1</v>
      </c>
    </row>
    <row r="652" spans="1:16">
      <c r="A652" s="1">
        <v>42655</v>
      </c>
      <c r="B652">
        <v>843</v>
      </c>
      <c r="C652">
        <v>40</v>
      </c>
      <c r="D652">
        <v>803</v>
      </c>
      <c r="E652">
        <v>806800</v>
      </c>
      <c r="F652">
        <v>69650</v>
      </c>
      <c r="G652">
        <v>876450</v>
      </c>
      <c r="H652">
        <v>692</v>
      </c>
      <c r="I652">
        <v>1</v>
      </c>
      <c r="J652">
        <v>693</v>
      </c>
      <c r="K652" t="b">
        <f>TrafficData[[#This Row],[disposedChallan]]+TrafficData[[#This Row],[pendingChallan]]=TrafficData[[#This Row],[totalChallan]]</f>
        <v>1</v>
      </c>
      <c r="L652" t="b">
        <f>TrafficData[[#This Row],[pendingAmount]]+TrafficData[[#This Row],[disposedAmount]]=TrafficData[[#This Row],[totalAmount]]</f>
        <v>1</v>
      </c>
      <c r="M652" t="b">
        <f>TrafficData[[#This Row],[pendingCourt]]+TrafficData[[#This Row],[disposedCourt]]=TrafficData[[#This Row],[totalCourt]]</f>
        <v>1</v>
      </c>
      <c r="N652" t="b">
        <f>AND(TrafficData[[#This Row],[disposedChallan]]&lt;=TrafficData[[#This Row],[totalChallan]],TrafficData[[#This Row],[pendingChallan]]&lt;=TrafficData[[#This Row],[totalChallan]])</f>
        <v>1</v>
      </c>
      <c r="O652" t="b">
        <f>AND(TrafficData[[#This Row],[pendingAmount]]&lt;=TrafficData[[#This Row],[totalAmount]],TrafficData[[#This Row],[disposedAmount]]&lt;=TrafficData[[#This Row],[totalAmount]])</f>
        <v>1</v>
      </c>
      <c r="P652" t="b">
        <f>AND(TrafficData[[#This Row],[pendingCourt]]&lt;=TrafficData[[#This Row],[totalCourt]],TrafficData[[#This Row],[disposedCourt]]&lt;=TrafficData[[#This Row],[totalCourt]])</f>
        <v>1</v>
      </c>
    </row>
    <row r="653" spans="1:16">
      <c r="A653" s="1">
        <v>42656</v>
      </c>
      <c r="B653">
        <v>1284</v>
      </c>
      <c r="C653">
        <v>87</v>
      </c>
      <c r="D653">
        <v>1197</v>
      </c>
      <c r="E653">
        <v>1035501</v>
      </c>
      <c r="F653">
        <v>171850</v>
      </c>
      <c r="G653">
        <v>1207351</v>
      </c>
      <c r="H653">
        <v>1042</v>
      </c>
      <c r="I653">
        <v>24</v>
      </c>
      <c r="J653">
        <v>1066</v>
      </c>
      <c r="K653" t="b">
        <f>TrafficData[[#This Row],[disposedChallan]]+TrafficData[[#This Row],[pendingChallan]]=TrafficData[[#This Row],[totalChallan]]</f>
        <v>1</v>
      </c>
      <c r="L653" t="b">
        <f>TrafficData[[#This Row],[pendingAmount]]+TrafficData[[#This Row],[disposedAmount]]=TrafficData[[#This Row],[totalAmount]]</f>
        <v>1</v>
      </c>
      <c r="M653" t="b">
        <f>TrafficData[[#This Row],[pendingCourt]]+TrafficData[[#This Row],[disposedCourt]]=TrafficData[[#This Row],[totalCourt]]</f>
        <v>1</v>
      </c>
      <c r="N653" t="b">
        <f>AND(TrafficData[[#This Row],[disposedChallan]]&lt;=TrafficData[[#This Row],[totalChallan]],TrafficData[[#This Row],[pendingChallan]]&lt;=TrafficData[[#This Row],[totalChallan]])</f>
        <v>1</v>
      </c>
      <c r="O653" t="b">
        <f>AND(TrafficData[[#This Row],[pendingAmount]]&lt;=TrafficData[[#This Row],[totalAmount]],TrafficData[[#This Row],[disposedAmount]]&lt;=TrafficData[[#This Row],[totalAmount]])</f>
        <v>1</v>
      </c>
      <c r="P653" t="b">
        <f>AND(TrafficData[[#This Row],[pendingCourt]]&lt;=TrafficData[[#This Row],[totalCourt]],TrafficData[[#This Row],[disposedCourt]]&lt;=TrafficData[[#This Row],[totalCourt]])</f>
        <v>1</v>
      </c>
    </row>
    <row r="654" spans="1:16">
      <c r="A654" s="1">
        <v>42657</v>
      </c>
      <c r="B654">
        <v>853</v>
      </c>
      <c r="C654">
        <v>101</v>
      </c>
      <c r="D654">
        <v>752</v>
      </c>
      <c r="E654">
        <v>1054610</v>
      </c>
      <c r="F654">
        <v>175300</v>
      </c>
      <c r="G654">
        <v>1229910</v>
      </c>
      <c r="H654">
        <v>570</v>
      </c>
      <c r="I654">
        <v>4</v>
      </c>
      <c r="J654">
        <v>574</v>
      </c>
      <c r="K654" t="b">
        <f>TrafficData[[#This Row],[disposedChallan]]+TrafficData[[#This Row],[pendingChallan]]=TrafficData[[#This Row],[totalChallan]]</f>
        <v>1</v>
      </c>
      <c r="L654" t="b">
        <f>TrafficData[[#This Row],[pendingAmount]]+TrafficData[[#This Row],[disposedAmount]]=TrafficData[[#This Row],[totalAmount]]</f>
        <v>1</v>
      </c>
      <c r="M654" t="b">
        <f>TrafficData[[#This Row],[pendingCourt]]+TrafficData[[#This Row],[disposedCourt]]=TrafficData[[#This Row],[totalCourt]]</f>
        <v>1</v>
      </c>
      <c r="N654" t="b">
        <f>AND(TrafficData[[#This Row],[disposedChallan]]&lt;=TrafficData[[#This Row],[totalChallan]],TrafficData[[#This Row],[pendingChallan]]&lt;=TrafficData[[#This Row],[totalChallan]])</f>
        <v>1</v>
      </c>
      <c r="O654" t="b">
        <f>AND(TrafficData[[#This Row],[pendingAmount]]&lt;=TrafficData[[#This Row],[totalAmount]],TrafficData[[#This Row],[disposedAmount]]&lt;=TrafficData[[#This Row],[totalAmount]])</f>
        <v>1</v>
      </c>
      <c r="P654" t="b">
        <f>AND(TrafficData[[#This Row],[pendingCourt]]&lt;=TrafficData[[#This Row],[totalCourt]],TrafficData[[#This Row],[disposedCourt]]&lt;=TrafficData[[#This Row],[totalCourt]])</f>
        <v>1</v>
      </c>
    </row>
    <row r="655" spans="1:16">
      <c r="A655" s="1">
        <v>42658</v>
      </c>
      <c r="B655">
        <v>994</v>
      </c>
      <c r="C655">
        <v>139</v>
      </c>
      <c r="D655">
        <v>855</v>
      </c>
      <c r="E655">
        <v>1034340</v>
      </c>
      <c r="F655">
        <v>466950</v>
      </c>
      <c r="G655">
        <v>1501290</v>
      </c>
      <c r="H655">
        <v>736</v>
      </c>
      <c r="I655">
        <v>28</v>
      </c>
      <c r="J655">
        <v>764</v>
      </c>
      <c r="K655" t="b">
        <f>TrafficData[[#This Row],[disposedChallan]]+TrafficData[[#This Row],[pendingChallan]]=TrafficData[[#This Row],[totalChallan]]</f>
        <v>1</v>
      </c>
      <c r="L655" t="b">
        <f>TrafficData[[#This Row],[pendingAmount]]+TrafficData[[#This Row],[disposedAmount]]=TrafficData[[#This Row],[totalAmount]]</f>
        <v>1</v>
      </c>
      <c r="M655" t="b">
        <f>TrafficData[[#This Row],[pendingCourt]]+TrafficData[[#This Row],[disposedCourt]]=TrafficData[[#This Row],[totalCourt]]</f>
        <v>1</v>
      </c>
      <c r="N655" t="b">
        <f>AND(TrafficData[[#This Row],[disposedChallan]]&lt;=TrafficData[[#This Row],[totalChallan]],TrafficData[[#This Row],[pendingChallan]]&lt;=TrafficData[[#This Row],[totalChallan]])</f>
        <v>1</v>
      </c>
      <c r="O655" t="b">
        <f>AND(TrafficData[[#This Row],[pendingAmount]]&lt;=TrafficData[[#This Row],[totalAmount]],TrafficData[[#This Row],[disposedAmount]]&lt;=TrafficData[[#This Row],[totalAmount]])</f>
        <v>1</v>
      </c>
      <c r="P655" t="b">
        <f>AND(TrafficData[[#This Row],[pendingCourt]]&lt;=TrafficData[[#This Row],[totalCourt]],TrafficData[[#This Row],[disposedCourt]]&lt;=TrafficData[[#This Row],[totalCourt]])</f>
        <v>1</v>
      </c>
    </row>
    <row r="656" spans="1:16">
      <c r="A656" s="1">
        <v>42659</v>
      </c>
      <c r="B656">
        <v>723</v>
      </c>
      <c r="C656">
        <v>98</v>
      </c>
      <c r="D656">
        <v>625</v>
      </c>
      <c r="E656">
        <v>569450</v>
      </c>
      <c r="F656">
        <v>365260</v>
      </c>
      <c r="G656">
        <v>934710</v>
      </c>
      <c r="H656">
        <v>540</v>
      </c>
      <c r="I656">
        <v>18</v>
      </c>
      <c r="J656">
        <v>558</v>
      </c>
      <c r="K656" t="b">
        <f>TrafficData[[#This Row],[disposedChallan]]+TrafficData[[#This Row],[pendingChallan]]=TrafficData[[#This Row],[totalChallan]]</f>
        <v>1</v>
      </c>
      <c r="L656" t="b">
        <f>TrafficData[[#This Row],[pendingAmount]]+TrafficData[[#This Row],[disposedAmount]]=TrafficData[[#This Row],[totalAmount]]</f>
        <v>1</v>
      </c>
      <c r="M656" t="b">
        <f>TrafficData[[#This Row],[pendingCourt]]+TrafficData[[#This Row],[disposedCourt]]=TrafficData[[#This Row],[totalCourt]]</f>
        <v>1</v>
      </c>
      <c r="N656" t="b">
        <f>AND(TrafficData[[#This Row],[disposedChallan]]&lt;=TrafficData[[#This Row],[totalChallan]],TrafficData[[#This Row],[pendingChallan]]&lt;=TrafficData[[#This Row],[totalChallan]])</f>
        <v>1</v>
      </c>
      <c r="O656" t="b">
        <f>AND(TrafficData[[#This Row],[pendingAmount]]&lt;=TrafficData[[#This Row],[totalAmount]],TrafficData[[#This Row],[disposedAmount]]&lt;=TrafficData[[#This Row],[totalAmount]])</f>
        <v>1</v>
      </c>
      <c r="P656" t="b">
        <f>AND(TrafficData[[#This Row],[pendingCourt]]&lt;=TrafficData[[#This Row],[totalCourt]],TrafficData[[#This Row],[disposedCourt]]&lt;=TrafficData[[#This Row],[totalCourt]])</f>
        <v>1</v>
      </c>
    </row>
    <row r="657" spans="1:16">
      <c r="A657" s="1">
        <v>42660</v>
      </c>
      <c r="B657">
        <v>1037</v>
      </c>
      <c r="C657">
        <v>116</v>
      </c>
      <c r="D657">
        <v>921</v>
      </c>
      <c r="E657">
        <v>1143280</v>
      </c>
      <c r="F657">
        <v>384850</v>
      </c>
      <c r="G657">
        <v>1528130</v>
      </c>
      <c r="H657">
        <v>769</v>
      </c>
      <c r="I657">
        <v>17</v>
      </c>
      <c r="J657">
        <v>786</v>
      </c>
      <c r="K657" t="b">
        <f>TrafficData[[#This Row],[disposedChallan]]+TrafficData[[#This Row],[pendingChallan]]=TrafficData[[#This Row],[totalChallan]]</f>
        <v>1</v>
      </c>
      <c r="L657" t="b">
        <f>TrafficData[[#This Row],[pendingAmount]]+TrafficData[[#This Row],[disposedAmount]]=TrafficData[[#This Row],[totalAmount]]</f>
        <v>1</v>
      </c>
      <c r="M657" t="b">
        <f>TrafficData[[#This Row],[pendingCourt]]+TrafficData[[#This Row],[disposedCourt]]=TrafficData[[#This Row],[totalCourt]]</f>
        <v>1</v>
      </c>
      <c r="N657" t="b">
        <f>AND(TrafficData[[#This Row],[disposedChallan]]&lt;=TrafficData[[#This Row],[totalChallan]],TrafficData[[#This Row],[pendingChallan]]&lt;=TrafficData[[#This Row],[totalChallan]])</f>
        <v>1</v>
      </c>
      <c r="O657" t="b">
        <f>AND(TrafficData[[#This Row],[pendingAmount]]&lt;=TrafficData[[#This Row],[totalAmount]],TrafficData[[#This Row],[disposedAmount]]&lt;=TrafficData[[#This Row],[totalAmount]])</f>
        <v>1</v>
      </c>
      <c r="P657" t="b">
        <f>AND(TrafficData[[#This Row],[pendingCourt]]&lt;=TrafficData[[#This Row],[totalCourt]],TrafficData[[#This Row],[disposedCourt]]&lt;=TrafficData[[#This Row],[totalCourt]])</f>
        <v>1</v>
      </c>
    </row>
    <row r="658" spans="1:16">
      <c r="A658" s="1">
        <v>42661</v>
      </c>
      <c r="B658">
        <v>1054</v>
      </c>
      <c r="C658">
        <v>107</v>
      </c>
      <c r="D658">
        <v>947</v>
      </c>
      <c r="E658">
        <v>910502</v>
      </c>
      <c r="F658">
        <v>414650</v>
      </c>
      <c r="G658">
        <v>1325152</v>
      </c>
      <c r="H658">
        <v>806</v>
      </c>
      <c r="I658">
        <v>19</v>
      </c>
      <c r="J658">
        <v>825</v>
      </c>
      <c r="K658" t="b">
        <f>TrafficData[[#This Row],[disposedChallan]]+TrafficData[[#This Row],[pendingChallan]]=TrafficData[[#This Row],[totalChallan]]</f>
        <v>1</v>
      </c>
      <c r="L658" t="b">
        <f>TrafficData[[#This Row],[pendingAmount]]+TrafficData[[#This Row],[disposedAmount]]=TrafficData[[#This Row],[totalAmount]]</f>
        <v>1</v>
      </c>
      <c r="M658" t="b">
        <f>TrafficData[[#This Row],[pendingCourt]]+TrafficData[[#This Row],[disposedCourt]]=TrafficData[[#This Row],[totalCourt]]</f>
        <v>1</v>
      </c>
      <c r="N658" t="b">
        <f>AND(TrafficData[[#This Row],[disposedChallan]]&lt;=TrafficData[[#This Row],[totalChallan]],TrafficData[[#This Row],[pendingChallan]]&lt;=TrafficData[[#This Row],[totalChallan]])</f>
        <v>1</v>
      </c>
      <c r="O658" t="b">
        <f>AND(TrafficData[[#This Row],[pendingAmount]]&lt;=TrafficData[[#This Row],[totalAmount]],TrafficData[[#This Row],[disposedAmount]]&lt;=TrafficData[[#This Row],[totalAmount]])</f>
        <v>1</v>
      </c>
      <c r="P658" t="b">
        <f>AND(TrafficData[[#This Row],[pendingCourt]]&lt;=TrafficData[[#This Row],[totalCourt]],TrafficData[[#This Row],[disposedCourt]]&lt;=TrafficData[[#This Row],[totalCourt]])</f>
        <v>1</v>
      </c>
    </row>
    <row r="659" spans="1:16">
      <c r="A659" s="1">
        <v>42662</v>
      </c>
      <c r="B659">
        <v>934</v>
      </c>
      <c r="C659">
        <v>92</v>
      </c>
      <c r="D659">
        <v>842</v>
      </c>
      <c r="E659">
        <v>1214250</v>
      </c>
      <c r="F659">
        <v>324250</v>
      </c>
      <c r="G659">
        <v>1538500</v>
      </c>
      <c r="H659">
        <v>695</v>
      </c>
      <c r="I659">
        <v>12</v>
      </c>
      <c r="J659">
        <v>707</v>
      </c>
      <c r="K659" t="b">
        <f>TrafficData[[#This Row],[disposedChallan]]+TrafficData[[#This Row],[pendingChallan]]=TrafficData[[#This Row],[totalChallan]]</f>
        <v>1</v>
      </c>
      <c r="L659" t="b">
        <f>TrafficData[[#This Row],[pendingAmount]]+TrafficData[[#This Row],[disposedAmount]]=TrafficData[[#This Row],[totalAmount]]</f>
        <v>1</v>
      </c>
      <c r="M659" t="b">
        <f>TrafficData[[#This Row],[pendingCourt]]+TrafficData[[#This Row],[disposedCourt]]=TrafficData[[#This Row],[totalCourt]]</f>
        <v>1</v>
      </c>
      <c r="N659" t="b">
        <f>AND(TrafficData[[#This Row],[disposedChallan]]&lt;=TrafficData[[#This Row],[totalChallan]],TrafficData[[#This Row],[pendingChallan]]&lt;=TrafficData[[#This Row],[totalChallan]])</f>
        <v>1</v>
      </c>
      <c r="O659" t="b">
        <f>AND(TrafficData[[#This Row],[pendingAmount]]&lt;=TrafficData[[#This Row],[totalAmount]],TrafficData[[#This Row],[disposedAmount]]&lt;=TrafficData[[#This Row],[totalAmount]])</f>
        <v>1</v>
      </c>
      <c r="P659" t="b">
        <f>AND(TrafficData[[#This Row],[pendingCourt]]&lt;=TrafficData[[#This Row],[totalCourt]],TrafficData[[#This Row],[disposedCourt]]&lt;=TrafficData[[#This Row],[totalCourt]])</f>
        <v>1</v>
      </c>
    </row>
    <row r="660" spans="1:16">
      <c r="A660" s="1">
        <v>42663</v>
      </c>
      <c r="B660">
        <v>1242</v>
      </c>
      <c r="C660">
        <v>89</v>
      </c>
      <c r="D660">
        <v>1153</v>
      </c>
      <c r="E660">
        <v>838152</v>
      </c>
      <c r="F660">
        <v>234950</v>
      </c>
      <c r="G660">
        <v>1073102</v>
      </c>
      <c r="H660">
        <v>1018</v>
      </c>
      <c r="I660">
        <v>25</v>
      </c>
      <c r="J660">
        <v>1043</v>
      </c>
      <c r="K660" t="b">
        <f>TrafficData[[#This Row],[disposedChallan]]+TrafficData[[#This Row],[pendingChallan]]=TrafficData[[#This Row],[totalChallan]]</f>
        <v>1</v>
      </c>
      <c r="L660" t="b">
        <f>TrafficData[[#This Row],[pendingAmount]]+TrafficData[[#This Row],[disposedAmount]]=TrafficData[[#This Row],[totalAmount]]</f>
        <v>1</v>
      </c>
      <c r="M660" t="b">
        <f>TrafficData[[#This Row],[pendingCourt]]+TrafficData[[#This Row],[disposedCourt]]=TrafficData[[#This Row],[totalCourt]]</f>
        <v>1</v>
      </c>
      <c r="N660" t="b">
        <f>AND(TrafficData[[#This Row],[disposedChallan]]&lt;=TrafficData[[#This Row],[totalChallan]],TrafficData[[#This Row],[pendingChallan]]&lt;=TrafficData[[#This Row],[totalChallan]])</f>
        <v>1</v>
      </c>
      <c r="O660" t="b">
        <f>AND(TrafficData[[#This Row],[pendingAmount]]&lt;=TrafficData[[#This Row],[totalAmount]],TrafficData[[#This Row],[disposedAmount]]&lt;=TrafficData[[#This Row],[totalAmount]])</f>
        <v>1</v>
      </c>
      <c r="P660" t="b">
        <f>AND(TrafficData[[#This Row],[pendingCourt]]&lt;=TrafficData[[#This Row],[totalCourt]],TrafficData[[#This Row],[disposedCourt]]&lt;=TrafficData[[#This Row],[totalCourt]])</f>
        <v>1</v>
      </c>
    </row>
    <row r="661" spans="1:16">
      <c r="A661" s="1">
        <v>42664</v>
      </c>
      <c r="B661">
        <v>1095</v>
      </c>
      <c r="C661">
        <v>109</v>
      </c>
      <c r="D661">
        <v>986</v>
      </c>
      <c r="E661">
        <v>1008050</v>
      </c>
      <c r="F661">
        <v>221325</v>
      </c>
      <c r="G661">
        <v>1229375</v>
      </c>
      <c r="H661">
        <v>818</v>
      </c>
      <c r="I661">
        <v>16</v>
      </c>
      <c r="J661">
        <v>834</v>
      </c>
      <c r="K661" t="b">
        <f>TrafficData[[#This Row],[disposedChallan]]+TrafficData[[#This Row],[pendingChallan]]=TrafficData[[#This Row],[totalChallan]]</f>
        <v>1</v>
      </c>
      <c r="L661" t="b">
        <f>TrafficData[[#This Row],[pendingAmount]]+TrafficData[[#This Row],[disposedAmount]]=TrafficData[[#This Row],[totalAmount]]</f>
        <v>1</v>
      </c>
      <c r="M661" t="b">
        <f>TrafficData[[#This Row],[pendingCourt]]+TrafficData[[#This Row],[disposedCourt]]=TrafficData[[#This Row],[totalCourt]]</f>
        <v>1</v>
      </c>
      <c r="N661" t="b">
        <f>AND(TrafficData[[#This Row],[disposedChallan]]&lt;=TrafficData[[#This Row],[totalChallan]],TrafficData[[#This Row],[pendingChallan]]&lt;=TrafficData[[#This Row],[totalChallan]])</f>
        <v>1</v>
      </c>
      <c r="O661" t="b">
        <f>AND(TrafficData[[#This Row],[pendingAmount]]&lt;=TrafficData[[#This Row],[totalAmount]],TrafficData[[#This Row],[disposedAmount]]&lt;=TrafficData[[#This Row],[totalAmount]])</f>
        <v>1</v>
      </c>
      <c r="P661" t="b">
        <f>AND(TrafficData[[#This Row],[pendingCourt]]&lt;=TrafficData[[#This Row],[totalCourt]],TrafficData[[#This Row],[disposedCourt]]&lt;=TrafficData[[#This Row],[totalCourt]])</f>
        <v>1</v>
      </c>
    </row>
    <row r="662" spans="1:16">
      <c r="A662" s="1">
        <v>42665</v>
      </c>
      <c r="B662">
        <v>1132</v>
      </c>
      <c r="C662">
        <v>111</v>
      </c>
      <c r="D662">
        <v>1021</v>
      </c>
      <c r="E662">
        <v>762650</v>
      </c>
      <c r="F662">
        <v>250940</v>
      </c>
      <c r="G662">
        <v>1013590</v>
      </c>
      <c r="H662">
        <v>901</v>
      </c>
      <c r="I662">
        <v>28</v>
      </c>
      <c r="J662">
        <v>929</v>
      </c>
      <c r="K662" t="b">
        <f>TrafficData[[#This Row],[disposedChallan]]+TrafficData[[#This Row],[pendingChallan]]=TrafficData[[#This Row],[totalChallan]]</f>
        <v>1</v>
      </c>
      <c r="L662" t="b">
        <f>TrafficData[[#This Row],[pendingAmount]]+TrafficData[[#This Row],[disposedAmount]]=TrafficData[[#This Row],[totalAmount]]</f>
        <v>1</v>
      </c>
      <c r="M662" t="b">
        <f>TrafficData[[#This Row],[pendingCourt]]+TrafficData[[#This Row],[disposedCourt]]=TrafficData[[#This Row],[totalCourt]]</f>
        <v>1</v>
      </c>
      <c r="N662" t="b">
        <f>AND(TrafficData[[#This Row],[disposedChallan]]&lt;=TrafficData[[#This Row],[totalChallan]],TrafficData[[#This Row],[pendingChallan]]&lt;=TrafficData[[#This Row],[totalChallan]])</f>
        <v>1</v>
      </c>
      <c r="O662" t="b">
        <f>AND(TrafficData[[#This Row],[pendingAmount]]&lt;=TrafficData[[#This Row],[totalAmount]],TrafficData[[#This Row],[disposedAmount]]&lt;=TrafficData[[#This Row],[totalAmount]])</f>
        <v>1</v>
      </c>
      <c r="P662" t="b">
        <f>AND(TrafficData[[#This Row],[pendingCourt]]&lt;=TrafficData[[#This Row],[totalCourt]],TrafficData[[#This Row],[disposedCourt]]&lt;=TrafficData[[#This Row],[totalCourt]])</f>
        <v>1</v>
      </c>
    </row>
    <row r="663" spans="1:16">
      <c r="A663" s="1">
        <v>42666</v>
      </c>
      <c r="B663">
        <v>829</v>
      </c>
      <c r="C663">
        <v>59</v>
      </c>
      <c r="D663">
        <v>770</v>
      </c>
      <c r="E663">
        <v>261300</v>
      </c>
      <c r="F663">
        <v>190170</v>
      </c>
      <c r="G663">
        <v>451470</v>
      </c>
      <c r="H663">
        <v>636</v>
      </c>
      <c r="I663">
        <v>1</v>
      </c>
      <c r="J663">
        <v>637</v>
      </c>
      <c r="K663" t="b">
        <f>TrafficData[[#This Row],[disposedChallan]]+TrafficData[[#This Row],[pendingChallan]]=TrafficData[[#This Row],[totalChallan]]</f>
        <v>1</v>
      </c>
      <c r="L663" t="b">
        <f>TrafficData[[#This Row],[pendingAmount]]+TrafficData[[#This Row],[disposedAmount]]=TrafficData[[#This Row],[totalAmount]]</f>
        <v>1</v>
      </c>
      <c r="M663" t="b">
        <f>TrafficData[[#This Row],[pendingCourt]]+TrafficData[[#This Row],[disposedCourt]]=TrafficData[[#This Row],[totalCourt]]</f>
        <v>1</v>
      </c>
      <c r="N663" t="b">
        <f>AND(TrafficData[[#This Row],[disposedChallan]]&lt;=TrafficData[[#This Row],[totalChallan]],TrafficData[[#This Row],[pendingChallan]]&lt;=TrafficData[[#This Row],[totalChallan]])</f>
        <v>1</v>
      </c>
      <c r="O663" t="b">
        <f>AND(TrafficData[[#This Row],[pendingAmount]]&lt;=TrafficData[[#This Row],[totalAmount]],TrafficData[[#This Row],[disposedAmount]]&lt;=TrafficData[[#This Row],[totalAmount]])</f>
        <v>1</v>
      </c>
      <c r="P663" t="b">
        <f>AND(TrafficData[[#This Row],[pendingCourt]]&lt;=TrafficData[[#This Row],[totalCourt]],TrafficData[[#This Row],[disposedCourt]]&lt;=TrafficData[[#This Row],[totalCourt]])</f>
        <v>1</v>
      </c>
    </row>
    <row r="664" spans="1:16">
      <c r="A664" s="1">
        <v>42667</v>
      </c>
      <c r="B664">
        <v>883</v>
      </c>
      <c r="C664">
        <v>58</v>
      </c>
      <c r="D664">
        <v>825</v>
      </c>
      <c r="E664">
        <v>796600</v>
      </c>
      <c r="F664">
        <v>227650</v>
      </c>
      <c r="G664">
        <v>1024250</v>
      </c>
      <c r="H664">
        <v>693</v>
      </c>
      <c r="I664">
        <v>3</v>
      </c>
      <c r="J664">
        <v>696</v>
      </c>
      <c r="K664" t="b">
        <f>TrafficData[[#This Row],[disposedChallan]]+TrafficData[[#This Row],[pendingChallan]]=TrafficData[[#This Row],[totalChallan]]</f>
        <v>1</v>
      </c>
      <c r="L664" t="b">
        <f>TrafficData[[#This Row],[pendingAmount]]+TrafficData[[#This Row],[disposedAmount]]=TrafficData[[#This Row],[totalAmount]]</f>
        <v>1</v>
      </c>
      <c r="M664" t="b">
        <f>TrafficData[[#This Row],[pendingCourt]]+TrafficData[[#This Row],[disposedCourt]]=TrafficData[[#This Row],[totalCourt]]</f>
        <v>1</v>
      </c>
      <c r="N664" t="b">
        <f>AND(TrafficData[[#This Row],[disposedChallan]]&lt;=TrafficData[[#This Row],[totalChallan]],TrafficData[[#This Row],[pendingChallan]]&lt;=TrafficData[[#This Row],[totalChallan]])</f>
        <v>1</v>
      </c>
      <c r="O664" t="b">
        <f>AND(TrafficData[[#This Row],[pendingAmount]]&lt;=TrafficData[[#This Row],[totalAmount]],TrafficData[[#This Row],[disposedAmount]]&lt;=TrafficData[[#This Row],[totalAmount]])</f>
        <v>1</v>
      </c>
      <c r="P664" t="b">
        <f>AND(TrafficData[[#This Row],[pendingCourt]]&lt;=TrafficData[[#This Row],[totalCourt]],TrafficData[[#This Row],[disposedCourt]]&lt;=TrafficData[[#This Row],[totalCourt]])</f>
        <v>1</v>
      </c>
    </row>
    <row r="665" spans="1:16">
      <c r="A665" s="1">
        <v>42668</v>
      </c>
      <c r="B665">
        <v>1122</v>
      </c>
      <c r="C665">
        <v>97</v>
      </c>
      <c r="D665">
        <v>1025</v>
      </c>
      <c r="E665">
        <v>1236449</v>
      </c>
      <c r="F665">
        <v>242150</v>
      </c>
      <c r="G665">
        <v>1478599</v>
      </c>
      <c r="H665">
        <v>38</v>
      </c>
      <c r="I665">
        <v>29</v>
      </c>
      <c r="J665">
        <v>67</v>
      </c>
      <c r="K665" t="b">
        <f>TrafficData[[#This Row],[disposedChallan]]+TrafficData[[#This Row],[pendingChallan]]=TrafficData[[#This Row],[totalChallan]]</f>
        <v>1</v>
      </c>
      <c r="L665" t="b">
        <f>TrafficData[[#This Row],[pendingAmount]]+TrafficData[[#This Row],[disposedAmount]]=TrafficData[[#This Row],[totalAmount]]</f>
        <v>1</v>
      </c>
      <c r="M665" t="b">
        <f>TrafficData[[#This Row],[pendingCourt]]+TrafficData[[#This Row],[disposedCourt]]=TrafficData[[#This Row],[totalCourt]]</f>
        <v>1</v>
      </c>
      <c r="N665" t="b">
        <f>AND(TrafficData[[#This Row],[disposedChallan]]&lt;=TrafficData[[#This Row],[totalChallan]],TrafficData[[#This Row],[pendingChallan]]&lt;=TrafficData[[#This Row],[totalChallan]])</f>
        <v>1</v>
      </c>
      <c r="O665" t="b">
        <f>AND(TrafficData[[#This Row],[pendingAmount]]&lt;=TrafficData[[#This Row],[totalAmount]],TrafficData[[#This Row],[disposedAmount]]&lt;=TrafficData[[#This Row],[totalAmount]])</f>
        <v>1</v>
      </c>
      <c r="P665" t="b">
        <f>AND(TrafficData[[#This Row],[pendingCourt]]&lt;=TrafficData[[#This Row],[totalCourt]],TrafficData[[#This Row],[disposedCourt]]&lt;=TrafficData[[#This Row],[totalCourt]])</f>
        <v>1</v>
      </c>
    </row>
    <row r="666" spans="1:16">
      <c r="A666" s="1">
        <v>42669</v>
      </c>
      <c r="B666">
        <v>1109</v>
      </c>
      <c r="C666">
        <v>98</v>
      </c>
      <c r="D666">
        <v>1011</v>
      </c>
      <c r="E666">
        <v>1458200</v>
      </c>
      <c r="F666">
        <v>543600</v>
      </c>
      <c r="G666">
        <v>2001800</v>
      </c>
      <c r="H666">
        <v>856</v>
      </c>
      <c r="I666">
        <v>3</v>
      </c>
      <c r="J666">
        <v>859</v>
      </c>
      <c r="K666" t="b">
        <f>TrafficData[[#This Row],[disposedChallan]]+TrafficData[[#This Row],[pendingChallan]]=TrafficData[[#This Row],[totalChallan]]</f>
        <v>1</v>
      </c>
      <c r="L666" t="b">
        <f>TrafficData[[#This Row],[pendingAmount]]+TrafficData[[#This Row],[disposedAmount]]=TrafficData[[#This Row],[totalAmount]]</f>
        <v>1</v>
      </c>
      <c r="M666" t="b">
        <f>TrafficData[[#This Row],[pendingCourt]]+TrafficData[[#This Row],[disposedCourt]]=TrafficData[[#This Row],[totalCourt]]</f>
        <v>1</v>
      </c>
      <c r="N666" t="b">
        <f>AND(TrafficData[[#This Row],[disposedChallan]]&lt;=TrafficData[[#This Row],[totalChallan]],TrafficData[[#This Row],[pendingChallan]]&lt;=TrafficData[[#This Row],[totalChallan]])</f>
        <v>1</v>
      </c>
      <c r="O666" t="b">
        <f>AND(TrafficData[[#This Row],[pendingAmount]]&lt;=TrafficData[[#This Row],[totalAmount]],TrafficData[[#This Row],[disposedAmount]]&lt;=TrafficData[[#This Row],[totalAmount]])</f>
        <v>1</v>
      </c>
      <c r="P666" t="b">
        <f>AND(TrafficData[[#This Row],[pendingCourt]]&lt;=TrafficData[[#This Row],[totalCourt]],TrafficData[[#This Row],[disposedCourt]]&lt;=TrafficData[[#This Row],[totalCourt]])</f>
        <v>1</v>
      </c>
    </row>
    <row r="667" spans="1:16">
      <c r="A667" s="1">
        <v>42670</v>
      </c>
      <c r="B667">
        <v>959</v>
      </c>
      <c r="C667">
        <v>53</v>
      </c>
      <c r="D667">
        <v>906</v>
      </c>
      <c r="E667">
        <v>766350</v>
      </c>
      <c r="F667">
        <v>149450</v>
      </c>
      <c r="G667">
        <v>915800</v>
      </c>
      <c r="H667">
        <v>808</v>
      </c>
      <c r="I667">
        <v>8</v>
      </c>
      <c r="J667">
        <v>816</v>
      </c>
      <c r="K667" t="b">
        <f>TrafficData[[#This Row],[disposedChallan]]+TrafficData[[#This Row],[pendingChallan]]=TrafficData[[#This Row],[totalChallan]]</f>
        <v>1</v>
      </c>
      <c r="L667" t="b">
        <f>TrafficData[[#This Row],[pendingAmount]]+TrafficData[[#This Row],[disposedAmount]]=TrafficData[[#This Row],[totalAmount]]</f>
        <v>1</v>
      </c>
      <c r="M667" t="b">
        <f>TrafficData[[#This Row],[pendingCourt]]+TrafficData[[#This Row],[disposedCourt]]=TrafficData[[#This Row],[totalCourt]]</f>
        <v>1</v>
      </c>
      <c r="N667" t="b">
        <f>AND(TrafficData[[#This Row],[disposedChallan]]&lt;=TrafficData[[#This Row],[totalChallan]],TrafficData[[#This Row],[pendingChallan]]&lt;=TrafficData[[#This Row],[totalChallan]])</f>
        <v>1</v>
      </c>
      <c r="O667" t="b">
        <f>AND(TrafficData[[#This Row],[pendingAmount]]&lt;=TrafficData[[#This Row],[totalAmount]],TrafficData[[#This Row],[disposedAmount]]&lt;=TrafficData[[#This Row],[totalAmount]])</f>
        <v>1</v>
      </c>
      <c r="P667" t="b">
        <f>AND(TrafficData[[#This Row],[pendingCourt]]&lt;=TrafficData[[#This Row],[totalCourt]],TrafficData[[#This Row],[disposedCourt]]&lt;=TrafficData[[#This Row],[totalCourt]])</f>
        <v>1</v>
      </c>
    </row>
    <row r="668" spans="1:16">
      <c r="A668" s="1">
        <v>42671</v>
      </c>
      <c r="B668">
        <v>1023</v>
      </c>
      <c r="C668">
        <v>87</v>
      </c>
      <c r="D668">
        <v>936</v>
      </c>
      <c r="E668">
        <v>535000</v>
      </c>
      <c r="F668">
        <v>192404</v>
      </c>
      <c r="G668">
        <v>727404</v>
      </c>
      <c r="H668">
        <v>828</v>
      </c>
      <c r="I668">
        <v>34</v>
      </c>
      <c r="J668">
        <v>862</v>
      </c>
      <c r="K668" t="b">
        <f>TrafficData[[#This Row],[disposedChallan]]+TrafficData[[#This Row],[pendingChallan]]=TrafficData[[#This Row],[totalChallan]]</f>
        <v>1</v>
      </c>
      <c r="L668" t="b">
        <f>TrafficData[[#This Row],[pendingAmount]]+TrafficData[[#This Row],[disposedAmount]]=TrafficData[[#This Row],[totalAmount]]</f>
        <v>1</v>
      </c>
      <c r="M668" t="b">
        <f>TrafficData[[#This Row],[pendingCourt]]+TrafficData[[#This Row],[disposedCourt]]=TrafficData[[#This Row],[totalCourt]]</f>
        <v>1</v>
      </c>
      <c r="N668" t="b">
        <f>AND(TrafficData[[#This Row],[disposedChallan]]&lt;=TrafficData[[#This Row],[totalChallan]],TrafficData[[#This Row],[pendingChallan]]&lt;=TrafficData[[#This Row],[totalChallan]])</f>
        <v>1</v>
      </c>
      <c r="O668" t="b">
        <f>AND(TrafficData[[#This Row],[pendingAmount]]&lt;=TrafficData[[#This Row],[totalAmount]],TrafficData[[#This Row],[disposedAmount]]&lt;=TrafficData[[#This Row],[totalAmount]])</f>
        <v>1</v>
      </c>
      <c r="P668" t="b">
        <f>AND(TrafficData[[#This Row],[pendingCourt]]&lt;=TrafficData[[#This Row],[totalCourt]],TrafficData[[#This Row],[disposedCourt]]&lt;=TrafficData[[#This Row],[totalCourt]])</f>
        <v>1</v>
      </c>
    </row>
    <row r="669" spans="1:16">
      <c r="A669" s="1">
        <v>42672</v>
      </c>
      <c r="B669">
        <v>563</v>
      </c>
      <c r="C669">
        <v>28</v>
      </c>
      <c r="D669">
        <v>535</v>
      </c>
      <c r="E669">
        <v>375050</v>
      </c>
      <c r="F669">
        <v>57750</v>
      </c>
      <c r="G669">
        <v>432800</v>
      </c>
      <c r="H669">
        <v>443</v>
      </c>
      <c r="I669">
        <v>0</v>
      </c>
      <c r="J669">
        <v>443</v>
      </c>
      <c r="K669" t="b">
        <f>TrafficData[[#This Row],[disposedChallan]]+TrafficData[[#This Row],[pendingChallan]]=TrafficData[[#This Row],[totalChallan]]</f>
        <v>1</v>
      </c>
      <c r="L669" t="b">
        <f>TrafficData[[#This Row],[pendingAmount]]+TrafficData[[#This Row],[disposedAmount]]=TrafficData[[#This Row],[totalAmount]]</f>
        <v>1</v>
      </c>
      <c r="M669" t="b">
        <f>TrafficData[[#This Row],[pendingCourt]]+TrafficData[[#This Row],[disposedCourt]]=TrafficData[[#This Row],[totalCourt]]</f>
        <v>1</v>
      </c>
      <c r="N669" t="b">
        <f>AND(TrafficData[[#This Row],[disposedChallan]]&lt;=TrafficData[[#This Row],[totalChallan]],TrafficData[[#This Row],[pendingChallan]]&lt;=TrafficData[[#This Row],[totalChallan]])</f>
        <v>1</v>
      </c>
      <c r="O669" t="b">
        <f>AND(TrafficData[[#This Row],[pendingAmount]]&lt;=TrafficData[[#This Row],[totalAmount]],TrafficData[[#This Row],[disposedAmount]]&lt;=TrafficData[[#This Row],[totalAmount]])</f>
        <v>1</v>
      </c>
      <c r="P669" t="b">
        <f>AND(TrafficData[[#This Row],[pendingCourt]]&lt;=TrafficData[[#This Row],[totalCourt]],TrafficData[[#This Row],[disposedCourt]]&lt;=TrafficData[[#This Row],[totalCourt]])</f>
        <v>1</v>
      </c>
    </row>
    <row r="670" spans="1:16">
      <c r="A670" s="1">
        <v>42673</v>
      </c>
      <c r="B670">
        <v>215</v>
      </c>
      <c r="C670">
        <v>11</v>
      </c>
      <c r="D670">
        <v>204</v>
      </c>
      <c r="E670">
        <v>159500</v>
      </c>
      <c r="F670">
        <v>18400</v>
      </c>
      <c r="G670">
        <v>177900</v>
      </c>
      <c r="H670">
        <v>139</v>
      </c>
      <c r="I670">
        <v>2</v>
      </c>
      <c r="J670">
        <v>141</v>
      </c>
      <c r="K670" t="b">
        <f>TrafficData[[#This Row],[disposedChallan]]+TrafficData[[#This Row],[pendingChallan]]=TrafficData[[#This Row],[totalChallan]]</f>
        <v>1</v>
      </c>
      <c r="L670" t="b">
        <f>TrafficData[[#This Row],[pendingAmount]]+TrafficData[[#This Row],[disposedAmount]]=TrafficData[[#This Row],[totalAmount]]</f>
        <v>1</v>
      </c>
      <c r="M670" t="b">
        <f>TrafficData[[#This Row],[pendingCourt]]+TrafficData[[#This Row],[disposedCourt]]=TrafficData[[#This Row],[totalCourt]]</f>
        <v>1</v>
      </c>
      <c r="N670" t="b">
        <f>AND(TrafficData[[#This Row],[disposedChallan]]&lt;=TrafficData[[#This Row],[totalChallan]],TrafficData[[#This Row],[pendingChallan]]&lt;=TrafficData[[#This Row],[totalChallan]])</f>
        <v>1</v>
      </c>
      <c r="O670" t="b">
        <f>AND(TrafficData[[#This Row],[pendingAmount]]&lt;=TrafficData[[#This Row],[totalAmount]],TrafficData[[#This Row],[disposedAmount]]&lt;=TrafficData[[#This Row],[totalAmount]])</f>
        <v>1</v>
      </c>
      <c r="P670" t="b">
        <f>AND(TrafficData[[#This Row],[pendingCourt]]&lt;=TrafficData[[#This Row],[totalCourt]],TrafficData[[#This Row],[disposedCourt]]&lt;=TrafficData[[#This Row],[totalCourt]])</f>
        <v>1</v>
      </c>
    </row>
    <row r="671" spans="1:16">
      <c r="A671" s="1">
        <v>42674</v>
      </c>
      <c r="B671">
        <v>278</v>
      </c>
      <c r="C671">
        <v>22</v>
      </c>
      <c r="D671">
        <v>256</v>
      </c>
      <c r="E671">
        <v>111350</v>
      </c>
      <c r="F671">
        <v>6700</v>
      </c>
      <c r="G671">
        <v>118050</v>
      </c>
      <c r="H671">
        <v>204</v>
      </c>
      <c r="I671">
        <v>8</v>
      </c>
      <c r="J671">
        <v>212</v>
      </c>
      <c r="K671" t="b">
        <f>TrafficData[[#This Row],[disposedChallan]]+TrafficData[[#This Row],[pendingChallan]]=TrafficData[[#This Row],[totalChallan]]</f>
        <v>1</v>
      </c>
      <c r="L671" t="b">
        <f>TrafficData[[#This Row],[pendingAmount]]+TrafficData[[#This Row],[disposedAmount]]=TrafficData[[#This Row],[totalAmount]]</f>
        <v>1</v>
      </c>
      <c r="M671" t="b">
        <f>TrafficData[[#This Row],[pendingCourt]]+TrafficData[[#This Row],[disposedCourt]]=TrafficData[[#This Row],[totalCourt]]</f>
        <v>1</v>
      </c>
      <c r="N671" t="b">
        <f>AND(TrafficData[[#This Row],[disposedChallan]]&lt;=TrafficData[[#This Row],[totalChallan]],TrafficData[[#This Row],[pendingChallan]]&lt;=TrafficData[[#This Row],[totalChallan]])</f>
        <v>1</v>
      </c>
      <c r="O671" t="b">
        <f>AND(TrafficData[[#This Row],[pendingAmount]]&lt;=TrafficData[[#This Row],[totalAmount]],TrafficData[[#This Row],[disposedAmount]]&lt;=TrafficData[[#This Row],[totalAmount]])</f>
        <v>1</v>
      </c>
      <c r="P671" t="b">
        <f>AND(TrafficData[[#This Row],[pendingCourt]]&lt;=TrafficData[[#This Row],[totalCourt]],TrafficData[[#This Row],[disposedCourt]]&lt;=TrafficData[[#This Row],[totalCourt]])</f>
        <v>1</v>
      </c>
    </row>
    <row r="672" spans="1:16">
      <c r="A672" s="1">
        <v>42675</v>
      </c>
      <c r="B672">
        <v>584</v>
      </c>
      <c r="C672">
        <v>34</v>
      </c>
      <c r="D672">
        <v>550</v>
      </c>
      <c r="E672">
        <v>314000</v>
      </c>
      <c r="F672">
        <v>35400</v>
      </c>
      <c r="G672">
        <v>349400</v>
      </c>
      <c r="H672">
        <v>503</v>
      </c>
      <c r="I672">
        <v>15</v>
      </c>
      <c r="J672">
        <v>518</v>
      </c>
      <c r="K672" t="b">
        <f>TrafficData[[#This Row],[disposedChallan]]+TrafficData[[#This Row],[pendingChallan]]=TrafficData[[#This Row],[totalChallan]]</f>
        <v>1</v>
      </c>
      <c r="L672" t="b">
        <f>TrafficData[[#This Row],[pendingAmount]]+TrafficData[[#This Row],[disposedAmount]]=TrafficData[[#This Row],[totalAmount]]</f>
        <v>1</v>
      </c>
      <c r="M672" t="b">
        <f>TrafficData[[#This Row],[pendingCourt]]+TrafficData[[#This Row],[disposedCourt]]=TrafficData[[#This Row],[totalCourt]]</f>
        <v>1</v>
      </c>
      <c r="N672" t="b">
        <f>AND(TrafficData[[#This Row],[disposedChallan]]&lt;=TrafficData[[#This Row],[totalChallan]],TrafficData[[#This Row],[pendingChallan]]&lt;=TrafficData[[#This Row],[totalChallan]])</f>
        <v>1</v>
      </c>
      <c r="O672" t="b">
        <f>AND(TrafficData[[#This Row],[pendingAmount]]&lt;=TrafficData[[#This Row],[totalAmount]],TrafficData[[#This Row],[disposedAmount]]&lt;=TrafficData[[#This Row],[totalAmount]])</f>
        <v>1</v>
      </c>
      <c r="P672" t="b">
        <f>AND(TrafficData[[#This Row],[pendingCourt]]&lt;=TrafficData[[#This Row],[totalCourt]],TrafficData[[#This Row],[disposedCourt]]&lt;=TrafficData[[#This Row],[totalCourt]])</f>
        <v>1</v>
      </c>
    </row>
    <row r="673" spans="1:16">
      <c r="A673" s="1">
        <v>42676</v>
      </c>
      <c r="B673">
        <v>696</v>
      </c>
      <c r="C673">
        <v>50</v>
      </c>
      <c r="D673">
        <v>646</v>
      </c>
      <c r="E673">
        <v>652500</v>
      </c>
      <c r="F673">
        <v>64500</v>
      </c>
      <c r="G673">
        <v>717000</v>
      </c>
      <c r="H673">
        <v>563</v>
      </c>
      <c r="I673">
        <v>19</v>
      </c>
      <c r="J673">
        <v>582</v>
      </c>
      <c r="K673" t="b">
        <f>TrafficData[[#This Row],[disposedChallan]]+TrafficData[[#This Row],[pendingChallan]]=TrafficData[[#This Row],[totalChallan]]</f>
        <v>1</v>
      </c>
      <c r="L673" t="b">
        <f>TrafficData[[#This Row],[pendingAmount]]+TrafficData[[#This Row],[disposedAmount]]=TrafficData[[#This Row],[totalAmount]]</f>
        <v>1</v>
      </c>
      <c r="M673" t="b">
        <f>TrafficData[[#This Row],[pendingCourt]]+TrafficData[[#This Row],[disposedCourt]]=TrafficData[[#This Row],[totalCourt]]</f>
        <v>1</v>
      </c>
      <c r="N673" t="b">
        <f>AND(TrafficData[[#This Row],[disposedChallan]]&lt;=TrafficData[[#This Row],[totalChallan]],TrafficData[[#This Row],[pendingChallan]]&lt;=TrafficData[[#This Row],[totalChallan]])</f>
        <v>1</v>
      </c>
      <c r="O673" t="b">
        <f>AND(TrafficData[[#This Row],[pendingAmount]]&lt;=TrafficData[[#This Row],[totalAmount]],TrafficData[[#This Row],[disposedAmount]]&lt;=TrafficData[[#This Row],[totalAmount]])</f>
        <v>1</v>
      </c>
      <c r="P673" t="b">
        <f>AND(TrafficData[[#This Row],[pendingCourt]]&lt;=TrafficData[[#This Row],[totalCourt]],TrafficData[[#This Row],[disposedCourt]]&lt;=TrafficData[[#This Row],[totalCourt]])</f>
        <v>1</v>
      </c>
    </row>
    <row r="674" spans="1:16">
      <c r="A674" s="1">
        <v>42677</v>
      </c>
      <c r="B674">
        <v>643</v>
      </c>
      <c r="C674">
        <v>56</v>
      </c>
      <c r="D674">
        <v>587</v>
      </c>
      <c r="E674">
        <v>703500</v>
      </c>
      <c r="F674">
        <v>189546</v>
      </c>
      <c r="G674">
        <v>893046</v>
      </c>
      <c r="H674">
        <v>486</v>
      </c>
      <c r="I674">
        <v>4</v>
      </c>
      <c r="J674">
        <v>490</v>
      </c>
      <c r="K674" t="b">
        <f>TrafficData[[#This Row],[disposedChallan]]+TrafficData[[#This Row],[pendingChallan]]=TrafficData[[#This Row],[totalChallan]]</f>
        <v>1</v>
      </c>
      <c r="L674" t="b">
        <f>TrafficData[[#This Row],[pendingAmount]]+TrafficData[[#This Row],[disposedAmount]]=TrafficData[[#This Row],[totalAmount]]</f>
        <v>1</v>
      </c>
      <c r="M674" t="b">
        <f>TrafficData[[#This Row],[pendingCourt]]+TrafficData[[#This Row],[disposedCourt]]=TrafficData[[#This Row],[totalCourt]]</f>
        <v>1</v>
      </c>
      <c r="N674" t="b">
        <f>AND(TrafficData[[#This Row],[disposedChallan]]&lt;=TrafficData[[#This Row],[totalChallan]],TrafficData[[#This Row],[pendingChallan]]&lt;=TrafficData[[#This Row],[totalChallan]])</f>
        <v>1</v>
      </c>
      <c r="O674" t="b">
        <f>AND(TrafficData[[#This Row],[pendingAmount]]&lt;=TrafficData[[#This Row],[totalAmount]],TrafficData[[#This Row],[disposedAmount]]&lt;=TrafficData[[#This Row],[totalAmount]])</f>
        <v>1</v>
      </c>
      <c r="P674" t="b">
        <f>AND(TrafficData[[#This Row],[pendingCourt]]&lt;=TrafficData[[#This Row],[totalCourt]],TrafficData[[#This Row],[disposedCourt]]&lt;=TrafficData[[#This Row],[totalCourt]])</f>
        <v>1</v>
      </c>
    </row>
    <row r="675" spans="1:16">
      <c r="A675" s="1">
        <v>42678</v>
      </c>
      <c r="B675">
        <v>704</v>
      </c>
      <c r="C675">
        <v>53</v>
      </c>
      <c r="D675">
        <v>651</v>
      </c>
      <c r="E675">
        <v>479950</v>
      </c>
      <c r="F675">
        <v>189510</v>
      </c>
      <c r="G675">
        <v>669460</v>
      </c>
      <c r="H675">
        <v>548</v>
      </c>
      <c r="I675">
        <v>10</v>
      </c>
      <c r="J675">
        <v>558</v>
      </c>
      <c r="K675" t="b">
        <f>TrafficData[[#This Row],[disposedChallan]]+TrafficData[[#This Row],[pendingChallan]]=TrafficData[[#This Row],[totalChallan]]</f>
        <v>1</v>
      </c>
      <c r="L675" t="b">
        <f>TrafficData[[#This Row],[pendingAmount]]+TrafficData[[#This Row],[disposedAmount]]=TrafficData[[#This Row],[totalAmount]]</f>
        <v>1</v>
      </c>
      <c r="M675" t="b">
        <f>TrafficData[[#This Row],[pendingCourt]]+TrafficData[[#This Row],[disposedCourt]]=TrafficData[[#This Row],[totalCourt]]</f>
        <v>1</v>
      </c>
      <c r="N675" t="b">
        <f>AND(TrafficData[[#This Row],[disposedChallan]]&lt;=TrafficData[[#This Row],[totalChallan]],TrafficData[[#This Row],[pendingChallan]]&lt;=TrafficData[[#This Row],[totalChallan]])</f>
        <v>1</v>
      </c>
      <c r="O675" t="b">
        <f>AND(TrafficData[[#This Row],[pendingAmount]]&lt;=TrafficData[[#This Row],[totalAmount]],TrafficData[[#This Row],[disposedAmount]]&lt;=TrafficData[[#This Row],[totalAmount]])</f>
        <v>1</v>
      </c>
      <c r="P675" t="b">
        <f>AND(TrafficData[[#This Row],[pendingCourt]]&lt;=TrafficData[[#This Row],[totalCourt]],TrafficData[[#This Row],[disposedCourt]]&lt;=TrafficData[[#This Row],[totalCourt]])</f>
        <v>1</v>
      </c>
    </row>
    <row r="676" spans="1:16">
      <c r="A676" s="1">
        <v>42679</v>
      </c>
      <c r="B676">
        <v>760</v>
      </c>
      <c r="C676">
        <v>71</v>
      </c>
      <c r="D676">
        <v>689</v>
      </c>
      <c r="E676">
        <v>756629</v>
      </c>
      <c r="F676">
        <v>232100</v>
      </c>
      <c r="G676">
        <v>988729</v>
      </c>
      <c r="H676">
        <v>566</v>
      </c>
      <c r="I676">
        <v>11</v>
      </c>
      <c r="J676">
        <v>577</v>
      </c>
      <c r="K676" t="b">
        <f>TrafficData[[#This Row],[disposedChallan]]+TrafficData[[#This Row],[pendingChallan]]=TrafficData[[#This Row],[totalChallan]]</f>
        <v>1</v>
      </c>
      <c r="L676" t="b">
        <f>TrafficData[[#This Row],[pendingAmount]]+TrafficData[[#This Row],[disposedAmount]]=TrafficData[[#This Row],[totalAmount]]</f>
        <v>1</v>
      </c>
      <c r="M676" t="b">
        <f>TrafficData[[#This Row],[pendingCourt]]+TrafficData[[#This Row],[disposedCourt]]=TrafficData[[#This Row],[totalCourt]]</f>
        <v>1</v>
      </c>
      <c r="N676" t="b">
        <f>AND(TrafficData[[#This Row],[disposedChallan]]&lt;=TrafficData[[#This Row],[totalChallan]],TrafficData[[#This Row],[pendingChallan]]&lt;=TrafficData[[#This Row],[totalChallan]])</f>
        <v>1</v>
      </c>
      <c r="O676" t="b">
        <f>AND(TrafficData[[#This Row],[pendingAmount]]&lt;=TrafficData[[#This Row],[totalAmount]],TrafficData[[#This Row],[disposedAmount]]&lt;=TrafficData[[#This Row],[totalAmount]])</f>
        <v>1</v>
      </c>
      <c r="P676" t="b">
        <f>AND(TrafficData[[#This Row],[pendingCourt]]&lt;=TrafficData[[#This Row],[totalCourt]],TrafficData[[#This Row],[disposedCourt]]&lt;=TrafficData[[#This Row],[totalCourt]])</f>
        <v>1</v>
      </c>
    </row>
    <row r="677" spans="1:16">
      <c r="A677" s="1">
        <v>42680</v>
      </c>
      <c r="B677">
        <v>449</v>
      </c>
      <c r="C677">
        <v>31</v>
      </c>
      <c r="D677">
        <v>418</v>
      </c>
      <c r="E677">
        <v>475750</v>
      </c>
      <c r="F677">
        <v>91201</v>
      </c>
      <c r="G677">
        <v>566951</v>
      </c>
      <c r="H677">
        <v>323</v>
      </c>
      <c r="I677">
        <v>3</v>
      </c>
      <c r="J677">
        <v>326</v>
      </c>
      <c r="K677" t="b">
        <f>TrafficData[[#This Row],[disposedChallan]]+TrafficData[[#This Row],[pendingChallan]]=TrafficData[[#This Row],[totalChallan]]</f>
        <v>1</v>
      </c>
      <c r="L677" t="b">
        <f>TrafficData[[#This Row],[pendingAmount]]+TrafficData[[#This Row],[disposedAmount]]=TrafficData[[#This Row],[totalAmount]]</f>
        <v>1</v>
      </c>
      <c r="M677" t="b">
        <f>TrafficData[[#This Row],[pendingCourt]]+TrafficData[[#This Row],[disposedCourt]]=TrafficData[[#This Row],[totalCourt]]</f>
        <v>1</v>
      </c>
      <c r="N677" t="b">
        <f>AND(TrafficData[[#This Row],[disposedChallan]]&lt;=TrafficData[[#This Row],[totalChallan]],TrafficData[[#This Row],[pendingChallan]]&lt;=TrafficData[[#This Row],[totalChallan]])</f>
        <v>1</v>
      </c>
      <c r="O677" t="b">
        <f>AND(TrafficData[[#This Row],[pendingAmount]]&lt;=TrafficData[[#This Row],[totalAmount]],TrafficData[[#This Row],[disposedAmount]]&lt;=TrafficData[[#This Row],[totalAmount]])</f>
        <v>1</v>
      </c>
      <c r="P677" t="b">
        <f>AND(TrafficData[[#This Row],[pendingCourt]]&lt;=TrafficData[[#This Row],[totalCourt]],TrafficData[[#This Row],[disposedCourt]]&lt;=TrafficData[[#This Row],[totalCourt]])</f>
        <v>1</v>
      </c>
    </row>
    <row r="678" spans="1:16">
      <c r="A678" s="1">
        <v>42681</v>
      </c>
      <c r="B678">
        <v>941</v>
      </c>
      <c r="C678">
        <v>81</v>
      </c>
      <c r="D678">
        <v>860</v>
      </c>
      <c r="E678">
        <v>828450</v>
      </c>
      <c r="F678">
        <v>154154</v>
      </c>
      <c r="G678">
        <v>982604</v>
      </c>
      <c r="H678">
        <v>644</v>
      </c>
      <c r="I678">
        <v>8</v>
      </c>
      <c r="J678">
        <v>652</v>
      </c>
      <c r="K678" t="b">
        <f>TrafficData[[#This Row],[disposedChallan]]+TrafficData[[#This Row],[pendingChallan]]=TrafficData[[#This Row],[totalChallan]]</f>
        <v>1</v>
      </c>
      <c r="L678" t="b">
        <f>TrafficData[[#This Row],[pendingAmount]]+TrafficData[[#This Row],[disposedAmount]]=TrafficData[[#This Row],[totalAmount]]</f>
        <v>1</v>
      </c>
      <c r="M678" t="b">
        <f>TrafficData[[#This Row],[pendingCourt]]+TrafficData[[#This Row],[disposedCourt]]=TrafficData[[#This Row],[totalCourt]]</f>
        <v>1</v>
      </c>
      <c r="N678" t="b">
        <f>AND(TrafficData[[#This Row],[disposedChallan]]&lt;=TrafficData[[#This Row],[totalChallan]],TrafficData[[#This Row],[pendingChallan]]&lt;=TrafficData[[#This Row],[totalChallan]])</f>
        <v>1</v>
      </c>
      <c r="O678" t="b">
        <f>AND(TrafficData[[#This Row],[pendingAmount]]&lt;=TrafficData[[#This Row],[totalAmount]],TrafficData[[#This Row],[disposedAmount]]&lt;=TrafficData[[#This Row],[totalAmount]])</f>
        <v>1</v>
      </c>
      <c r="P678" t="b">
        <f>AND(TrafficData[[#This Row],[pendingCourt]]&lt;=TrafficData[[#This Row],[totalCourt]],TrafficData[[#This Row],[disposedCourt]]&lt;=TrafficData[[#This Row],[totalCourt]])</f>
        <v>1</v>
      </c>
    </row>
    <row r="679" spans="1:16">
      <c r="A679" s="1">
        <v>42682</v>
      </c>
      <c r="B679">
        <v>903</v>
      </c>
      <c r="C679">
        <v>119</v>
      </c>
      <c r="D679">
        <v>784</v>
      </c>
      <c r="E679">
        <v>1117433</v>
      </c>
      <c r="F679">
        <v>359902</v>
      </c>
      <c r="G679">
        <v>1477335</v>
      </c>
      <c r="H679">
        <v>616</v>
      </c>
      <c r="I679">
        <v>11</v>
      </c>
      <c r="J679">
        <v>627</v>
      </c>
      <c r="K679" t="b">
        <f>TrafficData[[#This Row],[disposedChallan]]+TrafficData[[#This Row],[pendingChallan]]=TrafficData[[#This Row],[totalChallan]]</f>
        <v>1</v>
      </c>
      <c r="L679" t="b">
        <f>TrafficData[[#This Row],[pendingAmount]]+TrafficData[[#This Row],[disposedAmount]]=TrafficData[[#This Row],[totalAmount]]</f>
        <v>1</v>
      </c>
      <c r="M679" t="b">
        <f>TrafficData[[#This Row],[pendingCourt]]+TrafficData[[#This Row],[disposedCourt]]=TrafficData[[#This Row],[totalCourt]]</f>
        <v>1</v>
      </c>
      <c r="N679" t="b">
        <f>AND(TrafficData[[#This Row],[disposedChallan]]&lt;=TrafficData[[#This Row],[totalChallan]],TrafficData[[#This Row],[pendingChallan]]&lt;=TrafficData[[#This Row],[totalChallan]])</f>
        <v>1</v>
      </c>
      <c r="O679" t="b">
        <f>AND(TrafficData[[#This Row],[pendingAmount]]&lt;=TrafficData[[#This Row],[totalAmount]],TrafficData[[#This Row],[disposedAmount]]&lt;=TrafficData[[#This Row],[totalAmount]])</f>
        <v>1</v>
      </c>
      <c r="P679" t="b">
        <f>AND(TrafficData[[#This Row],[pendingCourt]]&lt;=TrafficData[[#This Row],[totalCourt]],TrafficData[[#This Row],[disposedCourt]]&lt;=TrafficData[[#This Row],[totalCourt]])</f>
        <v>1</v>
      </c>
    </row>
    <row r="680" spans="1:16">
      <c r="A680" s="1">
        <v>42683</v>
      </c>
      <c r="B680">
        <v>935</v>
      </c>
      <c r="C680">
        <v>113</v>
      </c>
      <c r="D680">
        <v>822</v>
      </c>
      <c r="E680">
        <v>623348</v>
      </c>
      <c r="F680">
        <v>404500</v>
      </c>
      <c r="G680">
        <v>1027848</v>
      </c>
      <c r="H680">
        <v>688</v>
      </c>
      <c r="I680">
        <v>22</v>
      </c>
      <c r="J680">
        <v>710</v>
      </c>
      <c r="K680" t="b">
        <f>TrafficData[[#This Row],[disposedChallan]]+TrafficData[[#This Row],[pendingChallan]]=TrafficData[[#This Row],[totalChallan]]</f>
        <v>1</v>
      </c>
      <c r="L680" t="b">
        <f>TrafficData[[#This Row],[pendingAmount]]+TrafficData[[#This Row],[disposedAmount]]=TrafficData[[#This Row],[totalAmount]]</f>
        <v>1</v>
      </c>
      <c r="M680" t="b">
        <f>TrafficData[[#This Row],[pendingCourt]]+TrafficData[[#This Row],[disposedCourt]]=TrafficData[[#This Row],[totalCourt]]</f>
        <v>1</v>
      </c>
      <c r="N680" t="b">
        <f>AND(TrafficData[[#This Row],[disposedChallan]]&lt;=TrafficData[[#This Row],[totalChallan]],TrafficData[[#This Row],[pendingChallan]]&lt;=TrafficData[[#This Row],[totalChallan]])</f>
        <v>1</v>
      </c>
      <c r="O680" t="b">
        <f>AND(TrafficData[[#This Row],[pendingAmount]]&lt;=TrafficData[[#This Row],[totalAmount]],TrafficData[[#This Row],[disposedAmount]]&lt;=TrafficData[[#This Row],[totalAmount]])</f>
        <v>1</v>
      </c>
      <c r="P680" t="b">
        <f>AND(TrafficData[[#This Row],[pendingCourt]]&lt;=TrafficData[[#This Row],[totalCourt]],TrafficData[[#This Row],[disposedCourt]]&lt;=TrafficData[[#This Row],[totalCourt]])</f>
        <v>1</v>
      </c>
    </row>
    <row r="681" spans="1:16">
      <c r="A681" s="1">
        <v>42684</v>
      </c>
      <c r="B681">
        <v>644</v>
      </c>
      <c r="C681">
        <v>75</v>
      </c>
      <c r="D681">
        <v>569</v>
      </c>
      <c r="E681">
        <v>662800</v>
      </c>
      <c r="F681">
        <v>275899</v>
      </c>
      <c r="G681">
        <v>938699</v>
      </c>
      <c r="H681">
        <v>434</v>
      </c>
      <c r="I681">
        <v>7</v>
      </c>
      <c r="J681">
        <v>441</v>
      </c>
      <c r="K681" t="b">
        <f>TrafficData[[#This Row],[disposedChallan]]+TrafficData[[#This Row],[pendingChallan]]=TrafficData[[#This Row],[totalChallan]]</f>
        <v>1</v>
      </c>
      <c r="L681" t="b">
        <f>TrafficData[[#This Row],[pendingAmount]]+TrafficData[[#This Row],[disposedAmount]]=TrafficData[[#This Row],[totalAmount]]</f>
        <v>1</v>
      </c>
      <c r="M681" t="b">
        <f>TrafficData[[#This Row],[pendingCourt]]+TrafficData[[#This Row],[disposedCourt]]=TrafficData[[#This Row],[totalCourt]]</f>
        <v>1</v>
      </c>
      <c r="N681" t="b">
        <f>AND(TrafficData[[#This Row],[disposedChallan]]&lt;=TrafficData[[#This Row],[totalChallan]],TrafficData[[#This Row],[pendingChallan]]&lt;=TrafficData[[#This Row],[totalChallan]])</f>
        <v>1</v>
      </c>
      <c r="O681" t="b">
        <f>AND(TrafficData[[#This Row],[pendingAmount]]&lt;=TrafficData[[#This Row],[totalAmount]],TrafficData[[#This Row],[disposedAmount]]&lt;=TrafficData[[#This Row],[totalAmount]])</f>
        <v>1</v>
      </c>
      <c r="P681" t="b">
        <f>AND(TrafficData[[#This Row],[pendingCourt]]&lt;=TrafficData[[#This Row],[totalCourt]],TrafficData[[#This Row],[disposedCourt]]&lt;=TrafficData[[#This Row],[totalCourt]])</f>
        <v>1</v>
      </c>
    </row>
    <row r="682" spans="1:16">
      <c r="A682" s="1">
        <v>42685</v>
      </c>
      <c r="B682">
        <v>645</v>
      </c>
      <c r="C682">
        <v>116</v>
      </c>
      <c r="D682">
        <v>529</v>
      </c>
      <c r="E682">
        <v>602700</v>
      </c>
      <c r="F682">
        <v>542919</v>
      </c>
      <c r="G682">
        <v>1145619</v>
      </c>
      <c r="H682">
        <v>379</v>
      </c>
      <c r="I682">
        <v>13</v>
      </c>
      <c r="J682">
        <v>392</v>
      </c>
      <c r="K682" t="b">
        <f>TrafficData[[#This Row],[disposedChallan]]+TrafficData[[#This Row],[pendingChallan]]=TrafficData[[#This Row],[totalChallan]]</f>
        <v>1</v>
      </c>
      <c r="L682" t="b">
        <f>TrafficData[[#This Row],[pendingAmount]]+TrafficData[[#This Row],[disposedAmount]]=TrafficData[[#This Row],[totalAmount]]</f>
        <v>1</v>
      </c>
      <c r="M682" t="b">
        <f>TrafficData[[#This Row],[pendingCourt]]+TrafficData[[#This Row],[disposedCourt]]=TrafficData[[#This Row],[totalCourt]]</f>
        <v>1</v>
      </c>
      <c r="N682" t="b">
        <f>AND(TrafficData[[#This Row],[disposedChallan]]&lt;=TrafficData[[#This Row],[totalChallan]],TrafficData[[#This Row],[pendingChallan]]&lt;=TrafficData[[#This Row],[totalChallan]])</f>
        <v>1</v>
      </c>
      <c r="O682" t="b">
        <f>AND(TrafficData[[#This Row],[pendingAmount]]&lt;=TrafficData[[#This Row],[totalAmount]],TrafficData[[#This Row],[disposedAmount]]&lt;=TrafficData[[#This Row],[totalAmount]])</f>
        <v>1</v>
      </c>
      <c r="P682" t="b">
        <f>AND(TrafficData[[#This Row],[pendingCourt]]&lt;=TrafficData[[#This Row],[totalCourt]],TrafficData[[#This Row],[disposedCourt]]&lt;=TrafficData[[#This Row],[totalCourt]])</f>
        <v>1</v>
      </c>
    </row>
    <row r="683" spans="1:16">
      <c r="A683" s="1">
        <v>42686</v>
      </c>
      <c r="B683">
        <v>628</v>
      </c>
      <c r="C683">
        <v>86</v>
      </c>
      <c r="D683">
        <v>542</v>
      </c>
      <c r="E683">
        <v>461948</v>
      </c>
      <c r="F683">
        <v>320750</v>
      </c>
      <c r="G683">
        <v>782698</v>
      </c>
      <c r="H683">
        <v>432</v>
      </c>
      <c r="I683">
        <v>19</v>
      </c>
      <c r="J683">
        <v>451</v>
      </c>
      <c r="K683" t="b">
        <f>TrafficData[[#This Row],[disposedChallan]]+TrafficData[[#This Row],[pendingChallan]]=TrafficData[[#This Row],[totalChallan]]</f>
        <v>1</v>
      </c>
      <c r="L683" t="b">
        <f>TrafficData[[#This Row],[pendingAmount]]+TrafficData[[#This Row],[disposedAmount]]=TrafficData[[#This Row],[totalAmount]]</f>
        <v>1</v>
      </c>
      <c r="M683" t="b">
        <f>TrafficData[[#This Row],[pendingCourt]]+TrafficData[[#This Row],[disposedCourt]]=TrafficData[[#This Row],[totalCourt]]</f>
        <v>1</v>
      </c>
      <c r="N683" t="b">
        <f>AND(TrafficData[[#This Row],[disposedChallan]]&lt;=TrafficData[[#This Row],[totalChallan]],TrafficData[[#This Row],[pendingChallan]]&lt;=TrafficData[[#This Row],[totalChallan]])</f>
        <v>1</v>
      </c>
      <c r="O683" t="b">
        <f>AND(TrafficData[[#This Row],[pendingAmount]]&lt;=TrafficData[[#This Row],[totalAmount]],TrafficData[[#This Row],[disposedAmount]]&lt;=TrafficData[[#This Row],[totalAmount]])</f>
        <v>1</v>
      </c>
      <c r="P683" t="b">
        <f>AND(TrafficData[[#This Row],[pendingCourt]]&lt;=TrafficData[[#This Row],[totalCourt]],TrafficData[[#This Row],[disposedCourt]]&lt;=TrafficData[[#This Row],[totalCourt]])</f>
        <v>1</v>
      </c>
    </row>
    <row r="684" spans="1:16">
      <c r="A684" s="1">
        <v>42687</v>
      </c>
      <c r="B684">
        <v>554</v>
      </c>
      <c r="C684">
        <v>101</v>
      </c>
      <c r="D684">
        <v>453</v>
      </c>
      <c r="E684">
        <v>280950</v>
      </c>
      <c r="F684">
        <v>471450</v>
      </c>
      <c r="G684">
        <v>752400</v>
      </c>
      <c r="H684">
        <v>317</v>
      </c>
      <c r="I684">
        <v>18</v>
      </c>
      <c r="J684">
        <v>335</v>
      </c>
      <c r="K684" t="b">
        <f>TrafficData[[#This Row],[disposedChallan]]+TrafficData[[#This Row],[pendingChallan]]=TrafficData[[#This Row],[totalChallan]]</f>
        <v>1</v>
      </c>
      <c r="L684" t="b">
        <f>TrafficData[[#This Row],[pendingAmount]]+TrafficData[[#This Row],[disposedAmount]]=TrafficData[[#This Row],[totalAmount]]</f>
        <v>1</v>
      </c>
      <c r="M684" t="b">
        <f>TrafficData[[#This Row],[pendingCourt]]+TrafficData[[#This Row],[disposedCourt]]=TrafficData[[#This Row],[totalCourt]]</f>
        <v>1</v>
      </c>
      <c r="N684" t="b">
        <f>AND(TrafficData[[#This Row],[disposedChallan]]&lt;=TrafficData[[#This Row],[totalChallan]],TrafficData[[#This Row],[pendingChallan]]&lt;=TrafficData[[#This Row],[totalChallan]])</f>
        <v>1</v>
      </c>
      <c r="O684" t="b">
        <f>AND(TrafficData[[#This Row],[pendingAmount]]&lt;=TrafficData[[#This Row],[totalAmount]],TrafficData[[#This Row],[disposedAmount]]&lt;=TrafficData[[#This Row],[totalAmount]])</f>
        <v>1</v>
      </c>
      <c r="P684" t="b">
        <f>AND(TrafficData[[#This Row],[pendingCourt]]&lt;=TrafficData[[#This Row],[totalCourt]],TrafficData[[#This Row],[disposedCourt]]&lt;=TrafficData[[#This Row],[totalCourt]])</f>
        <v>1</v>
      </c>
    </row>
    <row r="685" spans="1:16">
      <c r="A685" s="1">
        <v>42688</v>
      </c>
      <c r="B685">
        <v>482</v>
      </c>
      <c r="C685">
        <v>79</v>
      </c>
      <c r="D685">
        <v>403</v>
      </c>
      <c r="E685">
        <v>370850</v>
      </c>
      <c r="F685">
        <v>330250</v>
      </c>
      <c r="G685">
        <v>701100</v>
      </c>
      <c r="H685">
        <v>275</v>
      </c>
      <c r="I685">
        <v>11</v>
      </c>
      <c r="J685">
        <v>286</v>
      </c>
      <c r="K685" t="b">
        <f>TrafficData[[#This Row],[disposedChallan]]+TrafficData[[#This Row],[pendingChallan]]=TrafficData[[#This Row],[totalChallan]]</f>
        <v>1</v>
      </c>
      <c r="L685" t="b">
        <f>TrafficData[[#This Row],[pendingAmount]]+TrafficData[[#This Row],[disposedAmount]]=TrafficData[[#This Row],[totalAmount]]</f>
        <v>1</v>
      </c>
      <c r="M685" t="b">
        <f>TrafficData[[#This Row],[pendingCourt]]+TrafficData[[#This Row],[disposedCourt]]=TrafficData[[#This Row],[totalCourt]]</f>
        <v>1</v>
      </c>
      <c r="N685" t="b">
        <f>AND(TrafficData[[#This Row],[disposedChallan]]&lt;=TrafficData[[#This Row],[totalChallan]],TrafficData[[#This Row],[pendingChallan]]&lt;=TrafficData[[#This Row],[totalChallan]])</f>
        <v>1</v>
      </c>
      <c r="O685" t="b">
        <f>AND(TrafficData[[#This Row],[pendingAmount]]&lt;=TrafficData[[#This Row],[totalAmount]],TrafficData[[#This Row],[disposedAmount]]&lt;=TrafficData[[#This Row],[totalAmount]])</f>
        <v>1</v>
      </c>
      <c r="P685" t="b">
        <f>AND(TrafficData[[#This Row],[pendingCourt]]&lt;=TrafficData[[#This Row],[totalCourt]],TrafficData[[#This Row],[disposedCourt]]&lt;=TrafficData[[#This Row],[totalCourt]])</f>
        <v>1</v>
      </c>
    </row>
    <row r="686" spans="1:16">
      <c r="A686" s="1">
        <v>42689</v>
      </c>
      <c r="B686">
        <v>829</v>
      </c>
      <c r="C686">
        <v>87</v>
      </c>
      <c r="D686">
        <v>742</v>
      </c>
      <c r="E686">
        <v>629349</v>
      </c>
      <c r="F686">
        <v>138050</v>
      </c>
      <c r="G686">
        <v>767399</v>
      </c>
      <c r="H686">
        <v>527</v>
      </c>
      <c r="I686">
        <v>13</v>
      </c>
      <c r="J686">
        <v>540</v>
      </c>
      <c r="K686" t="b">
        <f>TrafficData[[#This Row],[disposedChallan]]+TrafficData[[#This Row],[pendingChallan]]=TrafficData[[#This Row],[totalChallan]]</f>
        <v>1</v>
      </c>
      <c r="L686" t="b">
        <f>TrafficData[[#This Row],[pendingAmount]]+TrafficData[[#This Row],[disposedAmount]]=TrafficData[[#This Row],[totalAmount]]</f>
        <v>1</v>
      </c>
      <c r="M686" t="b">
        <f>TrafficData[[#This Row],[pendingCourt]]+TrafficData[[#This Row],[disposedCourt]]=TrafficData[[#This Row],[totalCourt]]</f>
        <v>1</v>
      </c>
      <c r="N686" t="b">
        <f>AND(TrafficData[[#This Row],[disposedChallan]]&lt;=TrafficData[[#This Row],[totalChallan]],TrafficData[[#This Row],[pendingChallan]]&lt;=TrafficData[[#This Row],[totalChallan]])</f>
        <v>1</v>
      </c>
      <c r="O686" t="b">
        <f>AND(TrafficData[[#This Row],[pendingAmount]]&lt;=TrafficData[[#This Row],[totalAmount]],TrafficData[[#This Row],[disposedAmount]]&lt;=TrafficData[[#This Row],[totalAmount]])</f>
        <v>1</v>
      </c>
      <c r="P686" t="b">
        <f>AND(TrafficData[[#This Row],[pendingCourt]]&lt;=TrafficData[[#This Row],[totalCourt]],TrafficData[[#This Row],[disposedCourt]]&lt;=TrafficData[[#This Row],[totalCourt]])</f>
        <v>1</v>
      </c>
    </row>
    <row r="687" spans="1:16">
      <c r="A687" s="1">
        <v>42690</v>
      </c>
      <c r="B687">
        <v>874</v>
      </c>
      <c r="C687">
        <v>107</v>
      </c>
      <c r="D687">
        <v>767</v>
      </c>
      <c r="E687">
        <v>670600</v>
      </c>
      <c r="F687">
        <v>286250</v>
      </c>
      <c r="G687">
        <v>956850</v>
      </c>
      <c r="H687">
        <v>567</v>
      </c>
      <c r="I687">
        <v>37</v>
      </c>
      <c r="J687">
        <v>604</v>
      </c>
      <c r="K687" t="b">
        <f>TrafficData[[#This Row],[disposedChallan]]+TrafficData[[#This Row],[pendingChallan]]=TrafficData[[#This Row],[totalChallan]]</f>
        <v>1</v>
      </c>
      <c r="L687" t="b">
        <f>TrafficData[[#This Row],[pendingAmount]]+TrafficData[[#This Row],[disposedAmount]]=TrafficData[[#This Row],[totalAmount]]</f>
        <v>1</v>
      </c>
      <c r="M687" t="b">
        <f>TrafficData[[#This Row],[pendingCourt]]+TrafficData[[#This Row],[disposedCourt]]=TrafficData[[#This Row],[totalCourt]]</f>
        <v>1</v>
      </c>
      <c r="N687" t="b">
        <f>AND(TrafficData[[#This Row],[disposedChallan]]&lt;=TrafficData[[#This Row],[totalChallan]],TrafficData[[#This Row],[pendingChallan]]&lt;=TrafficData[[#This Row],[totalChallan]])</f>
        <v>1</v>
      </c>
      <c r="O687" t="b">
        <f>AND(TrafficData[[#This Row],[pendingAmount]]&lt;=TrafficData[[#This Row],[totalAmount]],TrafficData[[#This Row],[disposedAmount]]&lt;=TrafficData[[#This Row],[totalAmount]])</f>
        <v>1</v>
      </c>
      <c r="P687" t="b">
        <f>AND(TrafficData[[#This Row],[pendingCourt]]&lt;=TrafficData[[#This Row],[totalCourt]],TrafficData[[#This Row],[disposedCourt]]&lt;=TrafficData[[#This Row],[totalCourt]])</f>
        <v>1</v>
      </c>
    </row>
    <row r="688" spans="1:16">
      <c r="A688" s="1">
        <v>42691</v>
      </c>
      <c r="B688">
        <v>662</v>
      </c>
      <c r="C688">
        <v>100</v>
      </c>
      <c r="D688">
        <v>562</v>
      </c>
      <c r="E688">
        <v>710350</v>
      </c>
      <c r="F688">
        <v>266210</v>
      </c>
      <c r="G688">
        <v>976560</v>
      </c>
      <c r="H688">
        <v>385</v>
      </c>
      <c r="I688">
        <v>22</v>
      </c>
      <c r="J688">
        <v>407</v>
      </c>
      <c r="K688" t="b">
        <f>TrafficData[[#This Row],[disposedChallan]]+TrafficData[[#This Row],[pendingChallan]]=TrafficData[[#This Row],[totalChallan]]</f>
        <v>1</v>
      </c>
      <c r="L688" t="b">
        <f>TrafficData[[#This Row],[pendingAmount]]+TrafficData[[#This Row],[disposedAmount]]=TrafficData[[#This Row],[totalAmount]]</f>
        <v>1</v>
      </c>
      <c r="M688" t="b">
        <f>TrafficData[[#This Row],[pendingCourt]]+TrafficData[[#This Row],[disposedCourt]]=TrafficData[[#This Row],[totalCourt]]</f>
        <v>1</v>
      </c>
      <c r="N688" t="b">
        <f>AND(TrafficData[[#This Row],[disposedChallan]]&lt;=TrafficData[[#This Row],[totalChallan]],TrafficData[[#This Row],[pendingChallan]]&lt;=TrafficData[[#This Row],[totalChallan]])</f>
        <v>1</v>
      </c>
      <c r="O688" t="b">
        <f>AND(TrafficData[[#This Row],[pendingAmount]]&lt;=TrafficData[[#This Row],[totalAmount]],TrafficData[[#This Row],[disposedAmount]]&lt;=TrafficData[[#This Row],[totalAmount]])</f>
        <v>1</v>
      </c>
      <c r="P688" t="b">
        <f>AND(TrafficData[[#This Row],[pendingCourt]]&lt;=TrafficData[[#This Row],[totalCourt]],TrafficData[[#This Row],[disposedCourt]]&lt;=TrafficData[[#This Row],[totalCourt]])</f>
        <v>1</v>
      </c>
    </row>
    <row r="689" spans="1:16">
      <c r="A689" s="1">
        <v>42692</v>
      </c>
      <c r="B689">
        <v>668</v>
      </c>
      <c r="C689">
        <v>106</v>
      </c>
      <c r="D689">
        <v>562</v>
      </c>
      <c r="E689">
        <v>665400</v>
      </c>
      <c r="F689">
        <v>359810</v>
      </c>
      <c r="G689">
        <v>1025210</v>
      </c>
      <c r="H689">
        <v>395</v>
      </c>
      <c r="I689">
        <v>17</v>
      </c>
      <c r="J689">
        <v>412</v>
      </c>
      <c r="K689" t="b">
        <f>TrafficData[[#This Row],[disposedChallan]]+TrafficData[[#This Row],[pendingChallan]]=TrafficData[[#This Row],[totalChallan]]</f>
        <v>1</v>
      </c>
      <c r="L689" t="b">
        <f>TrafficData[[#This Row],[pendingAmount]]+TrafficData[[#This Row],[disposedAmount]]=TrafficData[[#This Row],[totalAmount]]</f>
        <v>1</v>
      </c>
      <c r="M689" t="b">
        <f>TrafficData[[#This Row],[pendingCourt]]+TrafficData[[#This Row],[disposedCourt]]=TrafficData[[#This Row],[totalCourt]]</f>
        <v>1</v>
      </c>
      <c r="N689" t="b">
        <f>AND(TrafficData[[#This Row],[disposedChallan]]&lt;=TrafficData[[#This Row],[totalChallan]],TrafficData[[#This Row],[pendingChallan]]&lt;=TrafficData[[#This Row],[totalChallan]])</f>
        <v>1</v>
      </c>
      <c r="O689" t="b">
        <f>AND(TrafficData[[#This Row],[pendingAmount]]&lt;=TrafficData[[#This Row],[totalAmount]],TrafficData[[#This Row],[disposedAmount]]&lt;=TrafficData[[#This Row],[totalAmount]])</f>
        <v>1</v>
      </c>
      <c r="P689" t="b">
        <f>AND(TrafficData[[#This Row],[pendingCourt]]&lt;=TrafficData[[#This Row],[totalCourt]],TrafficData[[#This Row],[disposedCourt]]&lt;=TrafficData[[#This Row],[totalCourt]])</f>
        <v>1</v>
      </c>
    </row>
    <row r="690" spans="1:16">
      <c r="A690" s="1">
        <v>42693</v>
      </c>
      <c r="B690">
        <v>804</v>
      </c>
      <c r="C690">
        <v>114</v>
      </c>
      <c r="D690">
        <v>690</v>
      </c>
      <c r="E690">
        <v>556900</v>
      </c>
      <c r="F690">
        <v>192900</v>
      </c>
      <c r="G690">
        <v>749800</v>
      </c>
      <c r="H690">
        <v>521</v>
      </c>
      <c r="I690">
        <v>35</v>
      </c>
      <c r="J690">
        <v>556</v>
      </c>
      <c r="K690" t="b">
        <f>TrafficData[[#This Row],[disposedChallan]]+TrafficData[[#This Row],[pendingChallan]]=TrafficData[[#This Row],[totalChallan]]</f>
        <v>1</v>
      </c>
      <c r="L690" t="b">
        <f>TrafficData[[#This Row],[pendingAmount]]+TrafficData[[#This Row],[disposedAmount]]=TrafficData[[#This Row],[totalAmount]]</f>
        <v>1</v>
      </c>
      <c r="M690" t="b">
        <f>TrafficData[[#This Row],[pendingCourt]]+TrafficData[[#This Row],[disposedCourt]]=TrafficData[[#This Row],[totalCourt]]</f>
        <v>1</v>
      </c>
      <c r="N690" t="b">
        <f>AND(TrafficData[[#This Row],[disposedChallan]]&lt;=TrafficData[[#This Row],[totalChallan]],TrafficData[[#This Row],[pendingChallan]]&lt;=TrafficData[[#This Row],[totalChallan]])</f>
        <v>1</v>
      </c>
      <c r="O690" t="b">
        <f>AND(TrafficData[[#This Row],[pendingAmount]]&lt;=TrafficData[[#This Row],[totalAmount]],TrafficData[[#This Row],[disposedAmount]]&lt;=TrafficData[[#This Row],[totalAmount]])</f>
        <v>1</v>
      </c>
      <c r="P690" t="b">
        <f>AND(TrafficData[[#This Row],[pendingCourt]]&lt;=TrafficData[[#This Row],[totalCourt]],TrafficData[[#This Row],[disposedCourt]]&lt;=TrafficData[[#This Row],[totalCourt]])</f>
        <v>1</v>
      </c>
    </row>
    <row r="691" spans="1:16">
      <c r="A691" s="1">
        <v>42694</v>
      </c>
      <c r="B691">
        <v>474</v>
      </c>
      <c r="C691">
        <v>81</v>
      </c>
      <c r="D691">
        <v>393</v>
      </c>
      <c r="E691">
        <v>525450</v>
      </c>
      <c r="F691">
        <v>135015</v>
      </c>
      <c r="G691">
        <v>660465</v>
      </c>
      <c r="H691">
        <v>247</v>
      </c>
      <c r="I691">
        <v>16</v>
      </c>
      <c r="J691">
        <v>263</v>
      </c>
      <c r="K691" t="b">
        <f>TrafficData[[#This Row],[disposedChallan]]+TrafficData[[#This Row],[pendingChallan]]=TrafficData[[#This Row],[totalChallan]]</f>
        <v>1</v>
      </c>
      <c r="L691" t="b">
        <f>TrafficData[[#This Row],[pendingAmount]]+TrafficData[[#This Row],[disposedAmount]]=TrafficData[[#This Row],[totalAmount]]</f>
        <v>1</v>
      </c>
      <c r="M691" t="b">
        <f>TrafficData[[#This Row],[pendingCourt]]+TrafficData[[#This Row],[disposedCourt]]=TrafficData[[#This Row],[totalCourt]]</f>
        <v>1</v>
      </c>
      <c r="N691" t="b">
        <f>AND(TrafficData[[#This Row],[disposedChallan]]&lt;=TrafficData[[#This Row],[totalChallan]],TrafficData[[#This Row],[pendingChallan]]&lt;=TrafficData[[#This Row],[totalChallan]])</f>
        <v>1</v>
      </c>
      <c r="O691" t="b">
        <f>AND(TrafficData[[#This Row],[pendingAmount]]&lt;=TrafficData[[#This Row],[totalAmount]],TrafficData[[#This Row],[disposedAmount]]&lt;=TrafficData[[#This Row],[totalAmount]])</f>
        <v>1</v>
      </c>
      <c r="P691" t="b">
        <f>AND(TrafficData[[#This Row],[pendingCourt]]&lt;=TrafficData[[#This Row],[totalCourt]],TrafficData[[#This Row],[disposedCourt]]&lt;=TrafficData[[#This Row],[totalCourt]])</f>
        <v>1</v>
      </c>
    </row>
    <row r="692" spans="1:16">
      <c r="A692" s="1">
        <v>42695</v>
      </c>
      <c r="B692">
        <v>979</v>
      </c>
      <c r="C692">
        <v>114</v>
      </c>
      <c r="D692">
        <v>865</v>
      </c>
      <c r="E692">
        <v>753390</v>
      </c>
      <c r="F692">
        <v>159600</v>
      </c>
      <c r="G692">
        <v>912990</v>
      </c>
      <c r="H692">
        <v>670</v>
      </c>
      <c r="I692">
        <v>38</v>
      </c>
      <c r="J692">
        <v>708</v>
      </c>
      <c r="K692" t="b">
        <f>TrafficData[[#This Row],[disposedChallan]]+TrafficData[[#This Row],[pendingChallan]]=TrafficData[[#This Row],[totalChallan]]</f>
        <v>1</v>
      </c>
      <c r="L692" t="b">
        <f>TrafficData[[#This Row],[pendingAmount]]+TrafficData[[#This Row],[disposedAmount]]=TrafficData[[#This Row],[totalAmount]]</f>
        <v>1</v>
      </c>
      <c r="M692" t="b">
        <f>TrafficData[[#This Row],[pendingCourt]]+TrafficData[[#This Row],[disposedCourt]]=TrafficData[[#This Row],[totalCourt]]</f>
        <v>1</v>
      </c>
      <c r="N692" t="b">
        <f>AND(TrafficData[[#This Row],[disposedChallan]]&lt;=TrafficData[[#This Row],[totalChallan]],TrafficData[[#This Row],[pendingChallan]]&lt;=TrafficData[[#This Row],[totalChallan]])</f>
        <v>1</v>
      </c>
      <c r="O692" t="b">
        <f>AND(TrafficData[[#This Row],[pendingAmount]]&lt;=TrafficData[[#This Row],[totalAmount]],TrafficData[[#This Row],[disposedAmount]]&lt;=TrafficData[[#This Row],[totalAmount]])</f>
        <v>1</v>
      </c>
      <c r="P692" t="b">
        <f>AND(TrafficData[[#This Row],[pendingCourt]]&lt;=TrafficData[[#This Row],[totalCourt]],TrafficData[[#This Row],[disposedCourt]]&lt;=TrafficData[[#This Row],[totalCourt]])</f>
        <v>1</v>
      </c>
    </row>
    <row r="693" spans="1:16">
      <c r="A693" s="1">
        <v>42696</v>
      </c>
      <c r="B693">
        <v>672</v>
      </c>
      <c r="C693">
        <v>110</v>
      </c>
      <c r="D693">
        <v>562</v>
      </c>
      <c r="E693">
        <v>1054450</v>
      </c>
      <c r="F693">
        <v>285560</v>
      </c>
      <c r="G693">
        <v>1340010</v>
      </c>
      <c r="H693">
        <v>354</v>
      </c>
      <c r="I693">
        <v>21</v>
      </c>
      <c r="J693">
        <v>375</v>
      </c>
      <c r="K693" t="b">
        <f>TrafficData[[#This Row],[disposedChallan]]+TrafficData[[#This Row],[pendingChallan]]=TrafficData[[#This Row],[totalChallan]]</f>
        <v>1</v>
      </c>
      <c r="L693" t="b">
        <f>TrafficData[[#This Row],[pendingAmount]]+TrafficData[[#This Row],[disposedAmount]]=TrafficData[[#This Row],[totalAmount]]</f>
        <v>1</v>
      </c>
      <c r="M693" t="b">
        <f>TrafficData[[#This Row],[pendingCourt]]+TrafficData[[#This Row],[disposedCourt]]=TrafficData[[#This Row],[totalCourt]]</f>
        <v>1</v>
      </c>
      <c r="N693" t="b">
        <f>AND(TrafficData[[#This Row],[disposedChallan]]&lt;=TrafficData[[#This Row],[totalChallan]],TrafficData[[#This Row],[pendingChallan]]&lt;=TrafficData[[#This Row],[totalChallan]])</f>
        <v>1</v>
      </c>
      <c r="O693" t="b">
        <f>AND(TrafficData[[#This Row],[pendingAmount]]&lt;=TrafficData[[#This Row],[totalAmount]],TrafficData[[#This Row],[disposedAmount]]&lt;=TrafficData[[#This Row],[totalAmount]])</f>
        <v>1</v>
      </c>
      <c r="P693" t="b">
        <f>AND(TrafficData[[#This Row],[pendingCourt]]&lt;=TrafficData[[#This Row],[totalCourt]],TrafficData[[#This Row],[disposedCourt]]&lt;=TrafficData[[#This Row],[totalCourt]])</f>
        <v>1</v>
      </c>
    </row>
    <row r="694" spans="1:16">
      <c r="A694" s="1">
        <v>42697</v>
      </c>
      <c r="B694">
        <v>671</v>
      </c>
      <c r="C694">
        <v>129</v>
      </c>
      <c r="D694">
        <v>542</v>
      </c>
      <c r="E694">
        <v>816200</v>
      </c>
      <c r="F694">
        <v>295150</v>
      </c>
      <c r="G694">
        <v>1111350</v>
      </c>
      <c r="H694">
        <v>342</v>
      </c>
      <c r="I694">
        <v>32</v>
      </c>
      <c r="J694">
        <v>374</v>
      </c>
      <c r="K694" t="b">
        <f>TrafficData[[#This Row],[disposedChallan]]+TrafficData[[#This Row],[pendingChallan]]=TrafficData[[#This Row],[totalChallan]]</f>
        <v>1</v>
      </c>
      <c r="L694" t="b">
        <f>TrafficData[[#This Row],[pendingAmount]]+TrafficData[[#This Row],[disposedAmount]]=TrafficData[[#This Row],[totalAmount]]</f>
        <v>1</v>
      </c>
      <c r="M694" t="b">
        <f>TrafficData[[#This Row],[pendingCourt]]+TrafficData[[#This Row],[disposedCourt]]=TrafficData[[#This Row],[totalCourt]]</f>
        <v>1</v>
      </c>
      <c r="N694" t="b">
        <f>AND(TrafficData[[#This Row],[disposedChallan]]&lt;=TrafficData[[#This Row],[totalChallan]],TrafficData[[#This Row],[pendingChallan]]&lt;=TrafficData[[#This Row],[totalChallan]])</f>
        <v>1</v>
      </c>
      <c r="O694" t="b">
        <f>AND(TrafficData[[#This Row],[pendingAmount]]&lt;=TrafficData[[#This Row],[totalAmount]],TrafficData[[#This Row],[disposedAmount]]&lt;=TrafficData[[#This Row],[totalAmount]])</f>
        <v>1</v>
      </c>
      <c r="P694" t="b">
        <f>AND(TrafficData[[#This Row],[pendingCourt]]&lt;=TrafficData[[#This Row],[totalCourt]],TrafficData[[#This Row],[disposedCourt]]&lt;=TrafficData[[#This Row],[totalCourt]])</f>
        <v>1</v>
      </c>
    </row>
    <row r="695" spans="1:16">
      <c r="A695" s="1">
        <v>42698</v>
      </c>
      <c r="B695">
        <v>731</v>
      </c>
      <c r="C695">
        <v>109</v>
      </c>
      <c r="D695">
        <v>622</v>
      </c>
      <c r="E695">
        <v>751300</v>
      </c>
      <c r="F695">
        <v>233650</v>
      </c>
      <c r="G695">
        <v>984950</v>
      </c>
      <c r="H695">
        <v>458</v>
      </c>
      <c r="I695">
        <v>24</v>
      </c>
      <c r="J695">
        <v>482</v>
      </c>
      <c r="K695" t="b">
        <f>TrafficData[[#This Row],[disposedChallan]]+TrafficData[[#This Row],[pendingChallan]]=TrafficData[[#This Row],[totalChallan]]</f>
        <v>1</v>
      </c>
      <c r="L695" t="b">
        <f>TrafficData[[#This Row],[pendingAmount]]+TrafficData[[#This Row],[disposedAmount]]=TrafficData[[#This Row],[totalAmount]]</f>
        <v>1</v>
      </c>
      <c r="M695" t="b">
        <f>TrafficData[[#This Row],[pendingCourt]]+TrafficData[[#This Row],[disposedCourt]]=TrafficData[[#This Row],[totalCourt]]</f>
        <v>1</v>
      </c>
      <c r="N695" t="b">
        <f>AND(TrafficData[[#This Row],[disposedChallan]]&lt;=TrafficData[[#This Row],[totalChallan]],TrafficData[[#This Row],[pendingChallan]]&lt;=TrafficData[[#This Row],[totalChallan]])</f>
        <v>1</v>
      </c>
      <c r="O695" t="b">
        <f>AND(TrafficData[[#This Row],[pendingAmount]]&lt;=TrafficData[[#This Row],[totalAmount]],TrafficData[[#This Row],[disposedAmount]]&lt;=TrafficData[[#This Row],[totalAmount]])</f>
        <v>1</v>
      </c>
      <c r="P695" t="b">
        <f>AND(TrafficData[[#This Row],[pendingCourt]]&lt;=TrafficData[[#This Row],[totalCourt]],TrafficData[[#This Row],[disposedCourt]]&lt;=TrafficData[[#This Row],[totalCourt]])</f>
        <v>1</v>
      </c>
    </row>
    <row r="696" spans="1:16">
      <c r="A696" s="1">
        <v>42699</v>
      </c>
      <c r="B696">
        <v>534</v>
      </c>
      <c r="C696">
        <v>95</v>
      </c>
      <c r="D696">
        <v>439</v>
      </c>
      <c r="E696">
        <v>847650</v>
      </c>
      <c r="F696">
        <v>281650</v>
      </c>
      <c r="G696">
        <v>1129300</v>
      </c>
      <c r="H696">
        <v>260</v>
      </c>
      <c r="I696">
        <v>22</v>
      </c>
      <c r="J696">
        <v>282</v>
      </c>
      <c r="K696" t="b">
        <f>TrafficData[[#This Row],[disposedChallan]]+TrafficData[[#This Row],[pendingChallan]]=TrafficData[[#This Row],[totalChallan]]</f>
        <v>1</v>
      </c>
      <c r="L696" t="b">
        <f>TrafficData[[#This Row],[pendingAmount]]+TrafficData[[#This Row],[disposedAmount]]=TrafficData[[#This Row],[totalAmount]]</f>
        <v>1</v>
      </c>
      <c r="M696" t="b">
        <f>TrafficData[[#This Row],[pendingCourt]]+TrafficData[[#This Row],[disposedCourt]]=TrafficData[[#This Row],[totalCourt]]</f>
        <v>1</v>
      </c>
      <c r="N696" t="b">
        <f>AND(TrafficData[[#This Row],[disposedChallan]]&lt;=TrafficData[[#This Row],[totalChallan]],TrafficData[[#This Row],[pendingChallan]]&lt;=TrafficData[[#This Row],[totalChallan]])</f>
        <v>1</v>
      </c>
      <c r="O696" t="b">
        <f>AND(TrafficData[[#This Row],[pendingAmount]]&lt;=TrafficData[[#This Row],[totalAmount]],TrafficData[[#This Row],[disposedAmount]]&lt;=TrafficData[[#This Row],[totalAmount]])</f>
        <v>1</v>
      </c>
      <c r="P696" t="b">
        <f>AND(TrafficData[[#This Row],[pendingCourt]]&lt;=TrafficData[[#This Row],[totalCourt]],TrafficData[[#This Row],[disposedCourt]]&lt;=TrafficData[[#This Row],[totalCourt]])</f>
        <v>1</v>
      </c>
    </row>
    <row r="697" spans="1:16">
      <c r="A697" s="1">
        <v>42700</v>
      </c>
      <c r="B697">
        <v>714</v>
      </c>
      <c r="C697">
        <v>98</v>
      </c>
      <c r="D697">
        <v>616</v>
      </c>
      <c r="E697">
        <v>988250</v>
      </c>
      <c r="F697">
        <v>150550</v>
      </c>
      <c r="G697">
        <v>1138800</v>
      </c>
      <c r="H697">
        <v>424</v>
      </c>
      <c r="I697">
        <v>16</v>
      </c>
      <c r="J697">
        <v>440</v>
      </c>
      <c r="K697" t="b">
        <f>TrafficData[[#This Row],[disposedChallan]]+TrafficData[[#This Row],[pendingChallan]]=TrafficData[[#This Row],[totalChallan]]</f>
        <v>1</v>
      </c>
      <c r="L697" t="b">
        <f>TrafficData[[#This Row],[pendingAmount]]+TrafficData[[#This Row],[disposedAmount]]=TrafficData[[#This Row],[totalAmount]]</f>
        <v>1</v>
      </c>
      <c r="M697" t="b">
        <f>TrafficData[[#This Row],[pendingCourt]]+TrafficData[[#This Row],[disposedCourt]]=TrafficData[[#This Row],[totalCourt]]</f>
        <v>1</v>
      </c>
      <c r="N697" t="b">
        <f>AND(TrafficData[[#This Row],[disposedChallan]]&lt;=TrafficData[[#This Row],[totalChallan]],TrafficData[[#This Row],[pendingChallan]]&lt;=TrafficData[[#This Row],[totalChallan]])</f>
        <v>1</v>
      </c>
      <c r="O697" t="b">
        <f>AND(TrafficData[[#This Row],[pendingAmount]]&lt;=TrafficData[[#This Row],[totalAmount]],TrafficData[[#This Row],[disposedAmount]]&lt;=TrafficData[[#This Row],[totalAmount]])</f>
        <v>1</v>
      </c>
      <c r="P697" t="b">
        <f>AND(TrafficData[[#This Row],[pendingCourt]]&lt;=TrafficData[[#This Row],[totalCourt]],TrafficData[[#This Row],[disposedCourt]]&lt;=TrafficData[[#This Row],[totalCourt]])</f>
        <v>1</v>
      </c>
    </row>
    <row r="698" spans="1:16">
      <c r="A698" s="1">
        <v>42701</v>
      </c>
      <c r="B698">
        <v>391</v>
      </c>
      <c r="C698">
        <v>58</v>
      </c>
      <c r="D698">
        <v>333</v>
      </c>
      <c r="E698">
        <v>394750</v>
      </c>
      <c r="F698">
        <v>335700</v>
      </c>
      <c r="G698">
        <v>730450</v>
      </c>
      <c r="H698">
        <v>212</v>
      </c>
      <c r="I698">
        <v>14</v>
      </c>
      <c r="J698">
        <v>226</v>
      </c>
      <c r="K698" t="b">
        <f>TrafficData[[#This Row],[disposedChallan]]+TrafficData[[#This Row],[pendingChallan]]=TrafficData[[#This Row],[totalChallan]]</f>
        <v>1</v>
      </c>
      <c r="L698" t="b">
        <f>TrafficData[[#This Row],[pendingAmount]]+TrafficData[[#This Row],[disposedAmount]]=TrafficData[[#This Row],[totalAmount]]</f>
        <v>1</v>
      </c>
      <c r="M698" t="b">
        <f>TrafficData[[#This Row],[pendingCourt]]+TrafficData[[#This Row],[disposedCourt]]=TrafficData[[#This Row],[totalCourt]]</f>
        <v>1</v>
      </c>
      <c r="N698" t="b">
        <f>AND(TrafficData[[#This Row],[disposedChallan]]&lt;=TrafficData[[#This Row],[totalChallan]],TrafficData[[#This Row],[pendingChallan]]&lt;=TrafficData[[#This Row],[totalChallan]])</f>
        <v>1</v>
      </c>
      <c r="O698" t="b">
        <f>AND(TrafficData[[#This Row],[pendingAmount]]&lt;=TrafficData[[#This Row],[totalAmount]],TrafficData[[#This Row],[disposedAmount]]&lt;=TrafficData[[#This Row],[totalAmount]])</f>
        <v>1</v>
      </c>
      <c r="P698" t="b">
        <f>AND(TrafficData[[#This Row],[pendingCourt]]&lt;=TrafficData[[#This Row],[totalCourt]],TrafficData[[#This Row],[disposedCourt]]&lt;=TrafficData[[#This Row],[totalCourt]])</f>
        <v>1</v>
      </c>
    </row>
    <row r="699" spans="1:16">
      <c r="A699" s="1">
        <v>42702</v>
      </c>
      <c r="B699">
        <v>738</v>
      </c>
      <c r="C699">
        <v>161</v>
      </c>
      <c r="D699">
        <v>577</v>
      </c>
      <c r="E699">
        <v>875508</v>
      </c>
      <c r="F699">
        <v>295375</v>
      </c>
      <c r="G699">
        <v>1170883</v>
      </c>
      <c r="H699">
        <v>399</v>
      </c>
      <c r="I699">
        <v>15</v>
      </c>
      <c r="J699">
        <v>414</v>
      </c>
      <c r="K699" t="b">
        <f>TrafficData[[#This Row],[disposedChallan]]+TrafficData[[#This Row],[pendingChallan]]=TrafficData[[#This Row],[totalChallan]]</f>
        <v>1</v>
      </c>
      <c r="L699" t="b">
        <f>TrafficData[[#This Row],[pendingAmount]]+TrafficData[[#This Row],[disposedAmount]]=TrafficData[[#This Row],[totalAmount]]</f>
        <v>1</v>
      </c>
      <c r="M699" t="b">
        <f>TrafficData[[#This Row],[pendingCourt]]+TrafficData[[#This Row],[disposedCourt]]=TrafficData[[#This Row],[totalCourt]]</f>
        <v>1</v>
      </c>
      <c r="N699" t="b">
        <f>AND(TrafficData[[#This Row],[disposedChallan]]&lt;=TrafficData[[#This Row],[totalChallan]],TrafficData[[#This Row],[pendingChallan]]&lt;=TrafficData[[#This Row],[totalChallan]])</f>
        <v>1</v>
      </c>
      <c r="O699" t="b">
        <f>AND(TrafficData[[#This Row],[pendingAmount]]&lt;=TrafficData[[#This Row],[totalAmount]],TrafficData[[#This Row],[disposedAmount]]&lt;=TrafficData[[#This Row],[totalAmount]])</f>
        <v>1</v>
      </c>
      <c r="P699" t="b">
        <f>AND(TrafficData[[#This Row],[pendingCourt]]&lt;=TrafficData[[#This Row],[totalCourt]],TrafficData[[#This Row],[disposedCourt]]&lt;=TrafficData[[#This Row],[totalCourt]])</f>
        <v>1</v>
      </c>
    </row>
    <row r="700" spans="1:16">
      <c r="A700" s="1">
        <v>42703</v>
      </c>
      <c r="B700">
        <v>825</v>
      </c>
      <c r="C700">
        <v>186</v>
      </c>
      <c r="D700">
        <v>639</v>
      </c>
      <c r="E700">
        <v>812950</v>
      </c>
      <c r="F700">
        <v>397100</v>
      </c>
      <c r="G700">
        <v>1210050</v>
      </c>
      <c r="H700">
        <v>486</v>
      </c>
      <c r="I700">
        <v>36</v>
      </c>
      <c r="J700">
        <v>522</v>
      </c>
      <c r="K700" t="b">
        <f>TrafficData[[#This Row],[disposedChallan]]+TrafficData[[#This Row],[pendingChallan]]=TrafficData[[#This Row],[totalChallan]]</f>
        <v>1</v>
      </c>
      <c r="L700" t="b">
        <f>TrafficData[[#This Row],[pendingAmount]]+TrafficData[[#This Row],[disposedAmount]]=TrafficData[[#This Row],[totalAmount]]</f>
        <v>1</v>
      </c>
      <c r="M700" t="b">
        <f>TrafficData[[#This Row],[pendingCourt]]+TrafficData[[#This Row],[disposedCourt]]=TrafficData[[#This Row],[totalCourt]]</f>
        <v>1</v>
      </c>
      <c r="N700" t="b">
        <f>AND(TrafficData[[#This Row],[disposedChallan]]&lt;=TrafficData[[#This Row],[totalChallan]],TrafficData[[#This Row],[pendingChallan]]&lt;=TrafficData[[#This Row],[totalChallan]])</f>
        <v>1</v>
      </c>
      <c r="O700" t="b">
        <f>AND(TrafficData[[#This Row],[pendingAmount]]&lt;=TrafficData[[#This Row],[totalAmount]],TrafficData[[#This Row],[disposedAmount]]&lt;=TrafficData[[#This Row],[totalAmount]])</f>
        <v>1</v>
      </c>
      <c r="P700" t="b">
        <f>AND(TrafficData[[#This Row],[pendingCourt]]&lt;=TrafficData[[#This Row],[totalCourt]],TrafficData[[#This Row],[disposedCourt]]&lt;=TrafficData[[#This Row],[totalCourt]])</f>
        <v>1</v>
      </c>
    </row>
    <row r="701" spans="1:16">
      <c r="A701" s="1">
        <v>42704</v>
      </c>
      <c r="B701">
        <v>796</v>
      </c>
      <c r="C701">
        <v>144</v>
      </c>
      <c r="D701">
        <v>652</v>
      </c>
      <c r="E701">
        <v>946250</v>
      </c>
      <c r="F701">
        <v>205791</v>
      </c>
      <c r="G701">
        <v>1152041</v>
      </c>
      <c r="H701">
        <v>459</v>
      </c>
      <c r="I701">
        <v>34</v>
      </c>
      <c r="J701">
        <v>493</v>
      </c>
      <c r="K701" t="b">
        <f>TrafficData[[#This Row],[disposedChallan]]+TrafficData[[#This Row],[pendingChallan]]=TrafficData[[#This Row],[totalChallan]]</f>
        <v>1</v>
      </c>
      <c r="L701" t="b">
        <f>TrafficData[[#This Row],[pendingAmount]]+TrafficData[[#This Row],[disposedAmount]]=TrafficData[[#This Row],[totalAmount]]</f>
        <v>1</v>
      </c>
      <c r="M701" t="b">
        <f>TrafficData[[#This Row],[pendingCourt]]+TrafficData[[#This Row],[disposedCourt]]=TrafficData[[#This Row],[totalCourt]]</f>
        <v>1</v>
      </c>
      <c r="N701" t="b">
        <f>AND(TrafficData[[#This Row],[disposedChallan]]&lt;=TrafficData[[#This Row],[totalChallan]],TrafficData[[#This Row],[pendingChallan]]&lt;=TrafficData[[#This Row],[totalChallan]])</f>
        <v>1</v>
      </c>
      <c r="O701" t="b">
        <f>AND(TrafficData[[#This Row],[pendingAmount]]&lt;=TrafficData[[#This Row],[totalAmount]],TrafficData[[#This Row],[disposedAmount]]&lt;=TrafficData[[#This Row],[totalAmount]])</f>
        <v>1</v>
      </c>
      <c r="P701" t="b">
        <f>AND(TrafficData[[#This Row],[pendingCourt]]&lt;=TrafficData[[#This Row],[totalCourt]],TrafficData[[#This Row],[disposedCourt]]&lt;=TrafficData[[#This Row],[totalCourt]])</f>
        <v>1</v>
      </c>
    </row>
    <row r="702" spans="1:16">
      <c r="A702" s="1">
        <v>42705</v>
      </c>
      <c r="B702">
        <v>888</v>
      </c>
      <c r="C702">
        <v>141</v>
      </c>
      <c r="D702">
        <v>747</v>
      </c>
      <c r="E702">
        <v>1115650</v>
      </c>
      <c r="F702">
        <v>361881</v>
      </c>
      <c r="G702">
        <v>1477531</v>
      </c>
      <c r="H702">
        <v>528</v>
      </c>
      <c r="I702">
        <v>46</v>
      </c>
      <c r="J702">
        <v>574</v>
      </c>
      <c r="K702" t="b">
        <f>TrafficData[[#This Row],[disposedChallan]]+TrafficData[[#This Row],[pendingChallan]]=TrafficData[[#This Row],[totalChallan]]</f>
        <v>1</v>
      </c>
      <c r="L702" t="b">
        <f>TrafficData[[#This Row],[pendingAmount]]+TrafficData[[#This Row],[disposedAmount]]=TrafficData[[#This Row],[totalAmount]]</f>
        <v>1</v>
      </c>
      <c r="M702" t="b">
        <f>TrafficData[[#This Row],[pendingCourt]]+TrafficData[[#This Row],[disposedCourt]]=TrafficData[[#This Row],[totalCourt]]</f>
        <v>1</v>
      </c>
      <c r="N702" t="b">
        <f>AND(TrafficData[[#This Row],[disposedChallan]]&lt;=TrafficData[[#This Row],[totalChallan]],TrafficData[[#This Row],[pendingChallan]]&lt;=TrafficData[[#This Row],[totalChallan]])</f>
        <v>1</v>
      </c>
      <c r="O702" t="b">
        <f>AND(TrafficData[[#This Row],[pendingAmount]]&lt;=TrafficData[[#This Row],[totalAmount]],TrafficData[[#This Row],[disposedAmount]]&lt;=TrafficData[[#This Row],[totalAmount]])</f>
        <v>1</v>
      </c>
      <c r="P702" t="b">
        <f>AND(TrafficData[[#This Row],[pendingCourt]]&lt;=TrafficData[[#This Row],[totalCourt]],TrafficData[[#This Row],[disposedCourt]]&lt;=TrafficData[[#This Row],[totalCourt]])</f>
        <v>1</v>
      </c>
    </row>
    <row r="703" spans="1:16">
      <c r="A703" s="1">
        <v>42706</v>
      </c>
      <c r="B703">
        <v>851</v>
      </c>
      <c r="C703">
        <v>113</v>
      </c>
      <c r="D703">
        <v>738</v>
      </c>
      <c r="E703">
        <v>1025160</v>
      </c>
      <c r="F703">
        <v>282965</v>
      </c>
      <c r="G703">
        <v>1308125</v>
      </c>
      <c r="H703">
        <v>534</v>
      </c>
      <c r="I703">
        <v>32</v>
      </c>
      <c r="J703">
        <v>566</v>
      </c>
      <c r="K703" t="b">
        <f>TrafficData[[#This Row],[disposedChallan]]+TrafficData[[#This Row],[pendingChallan]]=TrafficData[[#This Row],[totalChallan]]</f>
        <v>1</v>
      </c>
      <c r="L703" t="b">
        <f>TrafficData[[#This Row],[pendingAmount]]+TrafficData[[#This Row],[disposedAmount]]=TrafficData[[#This Row],[totalAmount]]</f>
        <v>1</v>
      </c>
      <c r="M703" t="b">
        <f>TrafficData[[#This Row],[pendingCourt]]+TrafficData[[#This Row],[disposedCourt]]=TrafficData[[#This Row],[totalCourt]]</f>
        <v>1</v>
      </c>
      <c r="N703" t="b">
        <f>AND(TrafficData[[#This Row],[disposedChallan]]&lt;=TrafficData[[#This Row],[totalChallan]],TrafficData[[#This Row],[pendingChallan]]&lt;=TrafficData[[#This Row],[totalChallan]])</f>
        <v>1</v>
      </c>
      <c r="O703" t="b">
        <f>AND(TrafficData[[#This Row],[pendingAmount]]&lt;=TrafficData[[#This Row],[totalAmount]],TrafficData[[#This Row],[disposedAmount]]&lt;=TrafficData[[#This Row],[totalAmount]])</f>
        <v>1</v>
      </c>
      <c r="P703" t="b">
        <f>AND(TrafficData[[#This Row],[pendingCourt]]&lt;=TrafficData[[#This Row],[totalCourt]],TrafficData[[#This Row],[disposedCourt]]&lt;=TrafficData[[#This Row],[totalCourt]])</f>
        <v>1</v>
      </c>
    </row>
    <row r="704" spans="1:16">
      <c r="A704" s="1">
        <v>42707</v>
      </c>
      <c r="B704">
        <v>715</v>
      </c>
      <c r="C704">
        <v>111</v>
      </c>
      <c r="D704">
        <v>604</v>
      </c>
      <c r="E704">
        <v>1023800</v>
      </c>
      <c r="F704">
        <v>360545</v>
      </c>
      <c r="G704">
        <v>1384345</v>
      </c>
      <c r="H704">
        <v>422</v>
      </c>
      <c r="I704">
        <v>22</v>
      </c>
      <c r="J704">
        <v>444</v>
      </c>
      <c r="K704" t="b">
        <f>TrafficData[[#This Row],[disposedChallan]]+TrafficData[[#This Row],[pendingChallan]]=TrafficData[[#This Row],[totalChallan]]</f>
        <v>1</v>
      </c>
      <c r="L704" t="b">
        <f>TrafficData[[#This Row],[pendingAmount]]+TrafficData[[#This Row],[disposedAmount]]=TrafficData[[#This Row],[totalAmount]]</f>
        <v>1</v>
      </c>
      <c r="M704" t="b">
        <f>TrafficData[[#This Row],[pendingCourt]]+TrafficData[[#This Row],[disposedCourt]]=TrafficData[[#This Row],[totalCourt]]</f>
        <v>1</v>
      </c>
      <c r="N704" t="b">
        <f>AND(TrafficData[[#This Row],[disposedChallan]]&lt;=TrafficData[[#This Row],[totalChallan]],TrafficData[[#This Row],[pendingChallan]]&lt;=TrafficData[[#This Row],[totalChallan]])</f>
        <v>1</v>
      </c>
      <c r="O704" t="b">
        <f>AND(TrafficData[[#This Row],[pendingAmount]]&lt;=TrafficData[[#This Row],[totalAmount]],TrafficData[[#This Row],[disposedAmount]]&lt;=TrafficData[[#This Row],[totalAmount]])</f>
        <v>1</v>
      </c>
      <c r="P704" t="b">
        <f>AND(TrafficData[[#This Row],[pendingCourt]]&lt;=TrafficData[[#This Row],[totalCourt]],TrafficData[[#This Row],[disposedCourt]]&lt;=TrafficData[[#This Row],[totalCourt]])</f>
        <v>1</v>
      </c>
    </row>
    <row r="705" spans="1:16">
      <c r="A705" s="1">
        <v>42708</v>
      </c>
      <c r="B705">
        <v>621</v>
      </c>
      <c r="C705">
        <v>91</v>
      </c>
      <c r="D705">
        <v>530</v>
      </c>
      <c r="E705">
        <v>631400</v>
      </c>
      <c r="F705">
        <v>138938</v>
      </c>
      <c r="G705">
        <v>770338</v>
      </c>
      <c r="H705">
        <v>427</v>
      </c>
      <c r="I705">
        <v>28</v>
      </c>
      <c r="J705">
        <v>455</v>
      </c>
      <c r="K705" t="b">
        <f>TrafficData[[#This Row],[disposedChallan]]+TrafficData[[#This Row],[pendingChallan]]=TrafficData[[#This Row],[totalChallan]]</f>
        <v>1</v>
      </c>
      <c r="L705" t="b">
        <f>TrafficData[[#This Row],[pendingAmount]]+TrafficData[[#This Row],[disposedAmount]]=TrafficData[[#This Row],[totalAmount]]</f>
        <v>1</v>
      </c>
      <c r="M705" t="b">
        <f>TrafficData[[#This Row],[pendingCourt]]+TrafficData[[#This Row],[disposedCourt]]=TrafficData[[#This Row],[totalCourt]]</f>
        <v>1</v>
      </c>
      <c r="N705" t="b">
        <f>AND(TrafficData[[#This Row],[disposedChallan]]&lt;=TrafficData[[#This Row],[totalChallan]],TrafficData[[#This Row],[pendingChallan]]&lt;=TrafficData[[#This Row],[totalChallan]])</f>
        <v>1</v>
      </c>
      <c r="O705" t="b">
        <f>AND(TrafficData[[#This Row],[pendingAmount]]&lt;=TrafficData[[#This Row],[totalAmount]],TrafficData[[#This Row],[disposedAmount]]&lt;=TrafficData[[#This Row],[totalAmount]])</f>
        <v>1</v>
      </c>
      <c r="P705" t="b">
        <f>AND(TrafficData[[#This Row],[pendingCourt]]&lt;=TrafficData[[#This Row],[totalCourt]],TrafficData[[#This Row],[disposedCourt]]&lt;=TrafficData[[#This Row],[totalCourt]])</f>
        <v>1</v>
      </c>
    </row>
    <row r="706" spans="1:16">
      <c r="A706" s="1">
        <v>42709</v>
      </c>
      <c r="B706">
        <v>1030</v>
      </c>
      <c r="C706">
        <v>145</v>
      </c>
      <c r="D706">
        <v>885</v>
      </c>
      <c r="E706">
        <v>906548</v>
      </c>
      <c r="F706">
        <v>260651</v>
      </c>
      <c r="G706">
        <v>1167199</v>
      </c>
      <c r="H706">
        <v>642</v>
      </c>
      <c r="I706">
        <v>54</v>
      </c>
      <c r="J706">
        <v>696</v>
      </c>
      <c r="K706" t="b">
        <f>TrafficData[[#This Row],[disposedChallan]]+TrafficData[[#This Row],[pendingChallan]]=TrafficData[[#This Row],[totalChallan]]</f>
        <v>1</v>
      </c>
      <c r="L706" t="b">
        <f>TrafficData[[#This Row],[pendingAmount]]+TrafficData[[#This Row],[disposedAmount]]=TrafficData[[#This Row],[totalAmount]]</f>
        <v>1</v>
      </c>
      <c r="M706" t="b">
        <f>TrafficData[[#This Row],[pendingCourt]]+TrafficData[[#This Row],[disposedCourt]]=TrafficData[[#This Row],[totalCourt]]</f>
        <v>1</v>
      </c>
      <c r="N706" t="b">
        <f>AND(TrafficData[[#This Row],[disposedChallan]]&lt;=TrafficData[[#This Row],[totalChallan]],TrafficData[[#This Row],[pendingChallan]]&lt;=TrafficData[[#This Row],[totalChallan]])</f>
        <v>1</v>
      </c>
      <c r="O706" t="b">
        <f>AND(TrafficData[[#This Row],[pendingAmount]]&lt;=TrafficData[[#This Row],[totalAmount]],TrafficData[[#This Row],[disposedAmount]]&lt;=TrafficData[[#This Row],[totalAmount]])</f>
        <v>1</v>
      </c>
      <c r="P706" t="b">
        <f>AND(TrafficData[[#This Row],[pendingCourt]]&lt;=TrafficData[[#This Row],[totalCourt]],TrafficData[[#This Row],[disposedCourt]]&lt;=TrafficData[[#This Row],[totalCourt]])</f>
        <v>1</v>
      </c>
    </row>
    <row r="707" spans="1:16">
      <c r="A707" s="1">
        <v>42710</v>
      </c>
      <c r="B707">
        <v>1011</v>
      </c>
      <c r="C707">
        <v>120</v>
      </c>
      <c r="D707">
        <v>891</v>
      </c>
      <c r="E707">
        <v>871150</v>
      </c>
      <c r="F707">
        <v>187300</v>
      </c>
      <c r="G707">
        <v>1058450</v>
      </c>
      <c r="H707">
        <v>697</v>
      </c>
      <c r="I707">
        <v>19</v>
      </c>
      <c r="J707">
        <v>716</v>
      </c>
      <c r="K707" t="b">
        <f>TrafficData[[#This Row],[disposedChallan]]+TrafficData[[#This Row],[pendingChallan]]=TrafficData[[#This Row],[totalChallan]]</f>
        <v>1</v>
      </c>
      <c r="L707" t="b">
        <f>TrafficData[[#This Row],[pendingAmount]]+TrafficData[[#This Row],[disposedAmount]]=TrafficData[[#This Row],[totalAmount]]</f>
        <v>1</v>
      </c>
      <c r="M707" t="b">
        <f>TrafficData[[#This Row],[pendingCourt]]+TrafficData[[#This Row],[disposedCourt]]=TrafficData[[#This Row],[totalCourt]]</f>
        <v>1</v>
      </c>
      <c r="N707" t="b">
        <f>AND(TrafficData[[#This Row],[disposedChallan]]&lt;=TrafficData[[#This Row],[totalChallan]],TrafficData[[#This Row],[pendingChallan]]&lt;=TrafficData[[#This Row],[totalChallan]])</f>
        <v>1</v>
      </c>
      <c r="O707" t="b">
        <f>AND(TrafficData[[#This Row],[pendingAmount]]&lt;=TrafficData[[#This Row],[totalAmount]],TrafficData[[#This Row],[disposedAmount]]&lt;=TrafficData[[#This Row],[totalAmount]])</f>
        <v>1</v>
      </c>
      <c r="P707" t="b">
        <f>AND(TrafficData[[#This Row],[pendingCourt]]&lt;=TrafficData[[#This Row],[totalCourt]],TrafficData[[#This Row],[disposedCourt]]&lt;=TrafficData[[#This Row],[totalCourt]])</f>
        <v>1</v>
      </c>
    </row>
    <row r="708" spans="1:16">
      <c r="A708" s="1">
        <v>42711</v>
      </c>
      <c r="B708">
        <v>1160</v>
      </c>
      <c r="C708">
        <v>165</v>
      </c>
      <c r="D708">
        <v>995</v>
      </c>
      <c r="E708">
        <v>1073699</v>
      </c>
      <c r="F708">
        <v>268425</v>
      </c>
      <c r="G708">
        <v>1342124</v>
      </c>
      <c r="H708">
        <v>750</v>
      </c>
      <c r="I708">
        <v>44</v>
      </c>
      <c r="J708">
        <v>794</v>
      </c>
      <c r="K708" t="b">
        <f>TrafficData[[#This Row],[disposedChallan]]+TrafficData[[#This Row],[pendingChallan]]=TrafficData[[#This Row],[totalChallan]]</f>
        <v>1</v>
      </c>
      <c r="L708" t="b">
        <f>TrafficData[[#This Row],[pendingAmount]]+TrafficData[[#This Row],[disposedAmount]]=TrafficData[[#This Row],[totalAmount]]</f>
        <v>1</v>
      </c>
      <c r="M708" t="b">
        <f>TrafficData[[#This Row],[pendingCourt]]+TrafficData[[#This Row],[disposedCourt]]=TrafficData[[#This Row],[totalCourt]]</f>
        <v>1</v>
      </c>
      <c r="N708" t="b">
        <f>AND(TrafficData[[#This Row],[disposedChallan]]&lt;=TrafficData[[#This Row],[totalChallan]],TrafficData[[#This Row],[pendingChallan]]&lt;=TrafficData[[#This Row],[totalChallan]])</f>
        <v>1</v>
      </c>
      <c r="O708" t="b">
        <f>AND(TrafficData[[#This Row],[pendingAmount]]&lt;=TrafficData[[#This Row],[totalAmount]],TrafficData[[#This Row],[disposedAmount]]&lt;=TrafficData[[#This Row],[totalAmount]])</f>
        <v>1</v>
      </c>
      <c r="P708" t="b">
        <f>AND(TrafficData[[#This Row],[pendingCourt]]&lt;=TrafficData[[#This Row],[totalCourt]],TrafficData[[#This Row],[disposedCourt]]&lt;=TrafficData[[#This Row],[totalCourt]])</f>
        <v>1</v>
      </c>
    </row>
    <row r="709" spans="1:16">
      <c r="A709" s="1">
        <v>42712</v>
      </c>
      <c r="B709">
        <v>1096</v>
      </c>
      <c r="C709">
        <v>200</v>
      </c>
      <c r="D709">
        <v>896</v>
      </c>
      <c r="E709">
        <v>911801</v>
      </c>
      <c r="F709">
        <v>403610</v>
      </c>
      <c r="G709">
        <v>1315411</v>
      </c>
      <c r="H709">
        <v>700</v>
      </c>
      <c r="I709">
        <v>63</v>
      </c>
      <c r="J709">
        <v>763</v>
      </c>
      <c r="K709" t="b">
        <f>TrafficData[[#This Row],[disposedChallan]]+TrafficData[[#This Row],[pendingChallan]]=TrafficData[[#This Row],[totalChallan]]</f>
        <v>1</v>
      </c>
      <c r="L709" t="b">
        <f>TrafficData[[#This Row],[pendingAmount]]+TrafficData[[#This Row],[disposedAmount]]=TrafficData[[#This Row],[totalAmount]]</f>
        <v>1</v>
      </c>
      <c r="M709" t="b">
        <f>TrafficData[[#This Row],[pendingCourt]]+TrafficData[[#This Row],[disposedCourt]]=TrafficData[[#This Row],[totalCourt]]</f>
        <v>1</v>
      </c>
      <c r="N709" t="b">
        <f>AND(TrafficData[[#This Row],[disposedChallan]]&lt;=TrafficData[[#This Row],[totalChallan]],TrafficData[[#This Row],[pendingChallan]]&lt;=TrafficData[[#This Row],[totalChallan]])</f>
        <v>1</v>
      </c>
      <c r="O709" t="b">
        <f>AND(TrafficData[[#This Row],[pendingAmount]]&lt;=TrafficData[[#This Row],[totalAmount]],TrafficData[[#This Row],[disposedAmount]]&lt;=TrafficData[[#This Row],[totalAmount]])</f>
        <v>1</v>
      </c>
      <c r="P709" t="b">
        <f>AND(TrafficData[[#This Row],[pendingCourt]]&lt;=TrafficData[[#This Row],[totalCourt]],TrafficData[[#This Row],[disposedCourt]]&lt;=TrafficData[[#This Row],[totalCourt]])</f>
        <v>1</v>
      </c>
    </row>
    <row r="710" spans="1:16">
      <c r="A710" s="1">
        <v>42713</v>
      </c>
      <c r="B710">
        <v>1354</v>
      </c>
      <c r="C710">
        <v>200</v>
      </c>
      <c r="D710">
        <v>1154</v>
      </c>
      <c r="E710">
        <v>765670</v>
      </c>
      <c r="F710">
        <v>315950</v>
      </c>
      <c r="G710">
        <v>1081620</v>
      </c>
      <c r="H710">
        <v>1006</v>
      </c>
      <c r="I710">
        <v>71</v>
      </c>
      <c r="J710">
        <v>1077</v>
      </c>
      <c r="K710" t="b">
        <f>TrafficData[[#This Row],[disposedChallan]]+TrafficData[[#This Row],[pendingChallan]]=TrafficData[[#This Row],[totalChallan]]</f>
        <v>1</v>
      </c>
      <c r="L710" t="b">
        <f>TrafficData[[#This Row],[pendingAmount]]+TrafficData[[#This Row],[disposedAmount]]=TrafficData[[#This Row],[totalAmount]]</f>
        <v>1</v>
      </c>
      <c r="M710" t="b">
        <f>TrafficData[[#This Row],[pendingCourt]]+TrafficData[[#This Row],[disposedCourt]]=TrafficData[[#This Row],[totalCourt]]</f>
        <v>1</v>
      </c>
      <c r="N710" t="b">
        <f>AND(TrafficData[[#This Row],[disposedChallan]]&lt;=TrafficData[[#This Row],[totalChallan]],TrafficData[[#This Row],[pendingChallan]]&lt;=TrafficData[[#This Row],[totalChallan]])</f>
        <v>1</v>
      </c>
      <c r="O710" t="b">
        <f>AND(TrafficData[[#This Row],[pendingAmount]]&lt;=TrafficData[[#This Row],[totalAmount]],TrafficData[[#This Row],[disposedAmount]]&lt;=TrafficData[[#This Row],[totalAmount]])</f>
        <v>1</v>
      </c>
      <c r="P710" t="b">
        <f>AND(TrafficData[[#This Row],[pendingCourt]]&lt;=TrafficData[[#This Row],[totalCourt]],TrafficData[[#This Row],[disposedCourt]]&lt;=TrafficData[[#This Row],[totalCourt]])</f>
        <v>1</v>
      </c>
    </row>
    <row r="711" spans="1:16">
      <c r="A711" s="1">
        <v>42714</v>
      </c>
      <c r="B711">
        <v>804</v>
      </c>
      <c r="C711">
        <v>119</v>
      </c>
      <c r="D711">
        <v>685</v>
      </c>
      <c r="E711">
        <v>707704</v>
      </c>
      <c r="F711">
        <v>232595</v>
      </c>
      <c r="G711">
        <v>940299</v>
      </c>
      <c r="H711">
        <v>545</v>
      </c>
      <c r="I711">
        <v>33</v>
      </c>
      <c r="J711">
        <v>578</v>
      </c>
      <c r="K711" t="b">
        <f>TrafficData[[#This Row],[disposedChallan]]+TrafficData[[#This Row],[pendingChallan]]=TrafficData[[#This Row],[totalChallan]]</f>
        <v>1</v>
      </c>
      <c r="L711" t="b">
        <f>TrafficData[[#This Row],[pendingAmount]]+TrafficData[[#This Row],[disposedAmount]]=TrafficData[[#This Row],[totalAmount]]</f>
        <v>1</v>
      </c>
      <c r="M711" t="b">
        <f>TrafficData[[#This Row],[pendingCourt]]+TrafficData[[#This Row],[disposedCourt]]=TrafficData[[#This Row],[totalCourt]]</f>
        <v>1</v>
      </c>
      <c r="N711" t="b">
        <f>AND(TrafficData[[#This Row],[disposedChallan]]&lt;=TrafficData[[#This Row],[totalChallan]],TrafficData[[#This Row],[pendingChallan]]&lt;=TrafficData[[#This Row],[totalChallan]])</f>
        <v>1</v>
      </c>
      <c r="O711" t="b">
        <f>AND(TrafficData[[#This Row],[pendingAmount]]&lt;=TrafficData[[#This Row],[totalAmount]],TrafficData[[#This Row],[disposedAmount]]&lt;=TrafficData[[#This Row],[totalAmount]])</f>
        <v>1</v>
      </c>
      <c r="P711" t="b">
        <f>AND(TrafficData[[#This Row],[pendingCourt]]&lt;=TrafficData[[#This Row],[totalCourt]],TrafficData[[#This Row],[disposedCourt]]&lt;=TrafficData[[#This Row],[totalCourt]])</f>
        <v>1</v>
      </c>
    </row>
    <row r="712" spans="1:16">
      <c r="A712" s="1">
        <v>42715</v>
      </c>
      <c r="B712">
        <v>631</v>
      </c>
      <c r="C712">
        <v>93</v>
      </c>
      <c r="D712">
        <v>538</v>
      </c>
      <c r="E712">
        <v>521600</v>
      </c>
      <c r="F712">
        <v>145290</v>
      </c>
      <c r="G712">
        <v>666890</v>
      </c>
      <c r="H712">
        <v>412</v>
      </c>
      <c r="I712">
        <v>27</v>
      </c>
      <c r="J712">
        <v>439</v>
      </c>
      <c r="K712" t="b">
        <f>TrafficData[[#This Row],[disposedChallan]]+TrafficData[[#This Row],[pendingChallan]]=TrafficData[[#This Row],[totalChallan]]</f>
        <v>1</v>
      </c>
      <c r="L712" t="b">
        <f>TrafficData[[#This Row],[pendingAmount]]+TrafficData[[#This Row],[disposedAmount]]=TrafficData[[#This Row],[totalAmount]]</f>
        <v>1</v>
      </c>
      <c r="M712" t="b">
        <f>TrafficData[[#This Row],[pendingCourt]]+TrafficData[[#This Row],[disposedCourt]]=TrafficData[[#This Row],[totalCourt]]</f>
        <v>1</v>
      </c>
      <c r="N712" t="b">
        <f>AND(TrafficData[[#This Row],[disposedChallan]]&lt;=TrafficData[[#This Row],[totalChallan]],TrafficData[[#This Row],[pendingChallan]]&lt;=TrafficData[[#This Row],[totalChallan]])</f>
        <v>1</v>
      </c>
      <c r="O712" t="b">
        <f>AND(TrafficData[[#This Row],[pendingAmount]]&lt;=TrafficData[[#This Row],[totalAmount]],TrafficData[[#This Row],[disposedAmount]]&lt;=TrafficData[[#This Row],[totalAmount]])</f>
        <v>1</v>
      </c>
      <c r="P712" t="b">
        <f>AND(TrafficData[[#This Row],[pendingCourt]]&lt;=TrafficData[[#This Row],[totalCourt]],TrafficData[[#This Row],[disposedCourt]]&lt;=TrafficData[[#This Row],[totalCourt]])</f>
        <v>1</v>
      </c>
    </row>
    <row r="713" spans="1:16">
      <c r="A713" s="1">
        <v>42716</v>
      </c>
      <c r="B713">
        <v>818</v>
      </c>
      <c r="C713">
        <v>146</v>
      </c>
      <c r="D713">
        <v>672</v>
      </c>
      <c r="E713">
        <v>650850</v>
      </c>
      <c r="F713">
        <v>416300</v>
      </c>
      <c r="G713">
        <v>1067150</v>
      </c>
      <c r="H713">
        <v>529</v>
      </c>
      <c r="I713">
        <v>40</v>
      </c>
      <c r="J713">
        <v>569</v>
      </c>
      <c r="K713" t="b">
        <f>TrafficData[[#This Row],[disposedChallan]]+TrafficData[[#This Row],[pendingChallan]]=TrafficData[[#This Row],[totalChallan]]</f>
        <v>1</v>
      </c>
      <c r="L713" t="b">
        <f>TrafficData[[#This Row],[pendingAmount]]+TrafficData[[#This Row],[disposedAmount]]=TrafficData[[#This Row],[totalAmount]]</f>
        <v>1</v>
      </c>
      <c r="M713" t="b">
        <f>TrafficData[[#This Row],[pendingCourt]]+TrafficData[[#This Row],[disposedCourt]]=TrafficData[[#This Row],[totalCourt]]</f>
        <v>1</v>
      </c>
      <c r="N713" t="b">
        <f>AND(TrafficData[[#This Row],[disposedChallan]]&lt;=TrafficData[[#This Row],[totalChallan]],TrafficData[[#This Row],[pendingChallan]]&lt;=TrafficData[[#This Row],[totalChallan]])</f>
        <v>1</v>
      </c>
      <c r="O713" t="b">
        <f>AND(TrafficData[[#This Row],[pendingAmount]]&lt;=TrafficData[[#This Row],[totalAmount]],TrafficData[[#This Row],[disposedAmount]]&lt;=TrafficData[[#This Row],[totalAmount]])</f>
        <v>1</v>
      </c>
      <c r="P713" t="b">
        <f>AND(TrafficData[[#This Row],[pendingCourt]]&lt;=TrafficData[[#This Row],[totalCourt]],TrafficData[[#This Row],[disposedCourt]]&lt;=TrafficData[[#This Row],[totalCourt]])</f>
        <v>1</v>
      </c>
    </row>
    <row r="714" spans="1:16">
      <c r="A714" s="1">
        <v>42717</v>
      </c>
      <c r="B714">
        <v>965</v>
      </c>
      <c r="C714">
        <v>185</v>
      </c>
      <c r="D714">
        <v>780</v>
      </c>
      <c r="E714">
        <v>1082879</v>
      </c>
      <c r="F714">
        <v>408535</v>
      </c>
      <c r="G714">
        <v>1491414</v>
      </c>
      <c r="H714">
        <v>593</v>
      </c>
      <c r="I714">
        <v>52</v>
      </c>
      <c r="J714">
        <v>645</v>
      </c>
      <c r="K714" t="b">
        <f>TrafficData[[#This Row],[disposedChallan]]+TrafficData[[#This Row],[pendingChallan]]=TrafficData[[#This Row],[totalChallan]]</f>
        <v>1</v>
      </c>
      <c r="L714" t="b">
        <f>TrafficData[[#This Row],[pendingAmount]]+TrafficData[[#This Row],[disposedAmount]]=TrafficData[[#This Row],[totalAmount]]</f>
        <v>1</v>
      </c>
      <c r="M714" t="b">
        <f>TrafficData[[#This Row],[pendingCourt]]+TrafficData[[#This Row],[disposedCourt]]=TrafficData[[#This Row],[totalCourt]]</f>
        <v>1</v>
      </c>
      <c r="N714" t="b">
        <f>AND(TrafficData[[#This Row],[disposedChallan]]&lt;=TrafficData[[#This Row],[totalChallan]],TrafficData[[#This Row],[pendingChallan]]&lt;=TrafficData[[#This Row],[totalChallan]])</f>
        <v>1</v>
      </c>
      <c r="O714" t="b">
        <f>AND(TrafficData[[#This Row],[pendingAmount]]&lt;=TrafficData[[#This Row],[totalAmount]],TrafficData[[#This Row],[disposedAmount]]&lt;=TrafficData[[#This Row],[totalAmount]])</f>
        <v>1</v>
      </c>
      <c r="P714" t="b">
        <f>AND(TrafficData[[#This Row],[pendingCourt]]&lt;=TrafficData[[#This Row],[totalCourt]],TrafficData[[#This Row],[disposedCourt]]&lt;=TrafficData[[#This Row],[totalCourt]])</f>
        <v>1</v>
      </c>
    </row>
    <row r="715" spans="1:16">
      <c r="A715" s="1">
        <v>42718</v>
      </c>
      <c r="B715">
        <v>1092</v>
      </c>
      <c r="C715">
        <v>233</v>
      </c>
      <c r="D715">
        <v>859</v>
      </c>
      <c r="E715">
        <v>958200</v>
      </c>
      <c r="F715">
        <v>400090</v>
      </c>
      <c r="G715">
        <v>1358290</v>
      </c>
      <c r="H715">
        <v>623</v>
      </c>
      <c r="I715">
        <v>66</v>
      </c>
      <c r="J715">
        <v>689</v>
      </c>
      <c r="K715" t="b">
        <f>TrafficData[[#This Row],[disposedChallan]]+TrafficData[[#This Row],[pendingChallan]]=TrafficData[[#This Row],[totalChallan]]</f>
        <v>1</v>
      </c>
      <c r="L715" t="b">
        <f>TrafficData[[#This Row],[pendingAmount]]+TrafficData[[#This Row],[disposedAmount]]=TrafficData[[#This Row],[totalAmount]]</f>
        <v>1</v>
      </c>
      <c r="M715" t="b">
        <f>TrafficData[[#This Row],[pendingCourt]]+TrafficData[[#This Row],[disposedCourt]]=TrafficData[[#This Row],[totalCourt]]</f>
        <v>1</v>
      </c>
      <c r="N715" t="b">
        <f>AND(TrafficData[[#This Row],[disposedChallan]]&lt;=TrafficData[[#This Row],[totalChallan]],TrafficData[[#This Row],[pendingChallan]]&lt;=TrafficData[[#This Row],[totalChallan]])</f>
        <v>1</v>
      </c>
      <c r="O715" t="b">
        <f>AND(TrafficData[[#This Row],[pendingAmount]]&lt;=TrafficData[[#This Row],[totalAmount]],TrafficData[[#This Row],[disposedAmount]]&lt;=TrafficData[[#This Row],[totalAmount]])</f>
        <v>1</v>
      </c>
      <c r="P715" t="b">
        <f>AND(TrafficData[[#This Row],[pendingCourt]]&lt;=TrafficData[[#This Row],[totalCourt]],TrafficData[[#This Row],[disposedCourt]]&lt;=TrafficData[[#This Row],[totalCourt]])</f>
        <v>1</v>
      </c>
    </row>
    <row r="716" spans="1:16">
      <c r="A716" s="1">
        <v>42719</v>
      </c>
      <c r="B716">
        <v>1425</v>
      </c>
      <c r="C716">
        <v>294</v>
      </c>
      <c r="D716">
        <v>1131</v>
      </c>
      <c r="E716">
        <v>1365600</v>
      </c>
      <c r="F716">
        <v>478245</v>
      </c>
      <c r="G716">
        <v>1843845</v>
      </c>
      <c r="H716">
        <v>901</v>
      </c>
      <c r="I716">
        <v>49</v>
      </c>
      <c r="J716">
        <v>950</v>
      </c>
      <c r="K716" t="b">
        <f>TrafficData[[#This Row],[disposedChallan]]+TrafficData[[#This Row],[pendingChallan]]=TrafficData[[#This Row],[totalChallan]]</f>
        <v>1</v>
      </c>
      <c r="L716" t="b">
        <f>TrafficData[[#This Row],[pendingAmount]]+TrafficData[[#This Row],[disposedAmount]]=TrafficData[[#This Row],[totalAmount]]</f>
        <v>1</v>
      </c>
      <c r="M716" t="b">
        <f>TrafficData[[#This Row],[pendingCourt]]+TrafficData[[#This Row],[disposedCourt]]=TrafficData[[#This Row],[totalCourt]]</f>
        <v>1</v>
      </c>
      <c r="N716" t="b">
        <f>AND(TrafficData[[#This Row],[disposedChallan]]&lt;=TrafficData[[#This Row],[totalChallan]],TrafficData[[#This Row],[pendingChallan]]&lt;=TrafficData[[#This Row],[totalChallan]])</f>
        <v>1</v>
      </c>
      <c r="O716" t="b">
        <f>AND(TrafficData[[#This Row],[pendingAmount]]&lt;=TrafficData[[#This Row],[totalAmount]],TrafficData[[#This Row],[disposedAmount]]&lt;=TrafficData[[#This Row],[totalAmount]])</f>
        <v>1</v>
      </c>
      <c r="P716" t="b">
        <f>AND(TrafficData[[#This Row],[pendingCourt]]&lt;=TrafficData[[#This Row],[totalCourt]],TrafficData[[#This Row],[disposedCourt]]&lt;=TrafficData[[#This Row],[totalCourt]])</f>
        <v>1</v>
      </c>
    </row>
    <row r="717" spans="1:16">
      <c r="A717" s="1">
        <v>42720</v>
      </c>
      <c r="B717">
        <v>1274</v>
      </c>
      <c r="C717">
        <v>235</v>
      </c>
      <c r="D717">
        <v>1039</v>
      </c>
      <c r="E717">
        <v>1217100</v>
      </c>
      <c r="F717">
        <v>573699</v>
      </c>
      <c r="G717">
        <v>1790799</v>
      </c>
      <c r="H717">
        <v>790</v>
      </c>
      <c r="I717">
        <v>48</v>
      </c>
      <c r="J717">
        <v>838</v>
      </c>
      <c r="K717" t="b">
        <f>TrafficData[[#This Row],[disposedChallan]]+TrafficData[[#This Row],[pendingChallan]]=TrafficData[[#This Row],[totalChallan]]</f>
        <v>1</v>
      </c>
      <c r="L717" t="b">
        <f>TrafficData[[#This Row],[pendingAmount]]+TrafficData[[#This Row],[disposedAmount]]=TrafficData[[#This Row],[totalAmount]]</f>
        <v>1</v>
      </c>
      <c r="M717" t="b">
        <f>TrafficData[[#This Row],[pendingCourt]]+TrafficData[[#This Row],[disposedCourt]]=TrafficData[[#This Row],[totalCourt]]</f>
        <v>1</v>
      </c>
      <c r="N717" t="b">
        <f>AND(TrafficData[[#This Row],[disposedChallan]]&lt;=TrafficData[[#This Row],[totalChallan]],TrafficData[[#This Row],[pendingChallan]]&lt;=TrafficData[[#This Row],[totalChallan]])</f>
        <v>1</v>
      </c>
      <c r="O717" t="b">
        <f>AND(TrafficData[[#This Row],[pendingAmount]]&lt;=TrafficData[[#This Row],[totalAmount]],TrafficData[[#This Row],[disposedAmount]]&lt;=TrafficData[[#This Row],[totalAmount]])</f>
        <v>1</v>
      </c>
      <c r="P717" t="b">
        <f>AND(TrafficData[[#This Row],[pendingCourt]]&lt;=TrafficData[[#This Row],[totalCourt]],TrafficData[[#This Row],[disposedCourt]]&lt;=TrafficData[[#This Row],[totalCourt]])</f>
        <v>1</v>
      </c>
    </row>
    <row r="718" spans="1:16">
      <c r="A718" s="1">
        <v>42721</v>
      </c>
      <c r="B718">
        <v>1065</v>
      </c>
      <c r="C718">
        <v>225</v>
      </c>
      <c r="D718">
        <v>840</v>
      </c>
      <c r="E718">
        <v>1854130</v>
      </c>
      <c r="F718">
        <v>667810</v>
      </c>
      <c r="G718">
        <v>2521940</v>
      </c>
      <c r="H718">
        <v>598</v>
      </c>
      <c r="I718">
        <v>40</v>
      </c>
      <c r="J718">
        <v>638</v>
      </c>
      <c r="K718" t="b">
        <f>TrafficData[[#This Row],[disposedChallan]]+TrafficData[[#This Row],[pendingChallan]]=TrafficData[[#This Row],[totalChallan]]</f>
        <v>1</v>
      </c>
      <c r="L718" t="b">
        <f>TrafficData[[#This Row],[pendingAmount]]+TrafficData[[#This Row],[disposedAmount]]=TrafficData[[#This Row],[totalAmount]]</f>
        <v>1</v>
      </c>
      <c r="M718" t="b">
        <f>TrafficData[[#This Row],[pendingCourt]]+TrafficData[[#This Row],[disposedCourt]]=TrafficData[[#This Row],[totalCourt]]</f>
        <v>1</v>
      </c>
      <c r="N718" t="b">
        <f>AND(TrafficData[[#This Row],[disposedChallan]]&lt;=TrafficData[[#This Row],[totalChallan]],TrafficData[[#This Row],[pendingChallan]]&lt;=TrafficData[[#This Row],[totalChallan]])</f>
        <v>1</v>
      </c>
      <c r="O718" t="b">
        <f>AND(TrafficData[[#This Row],[pendingAmount]]&lt;=TrafficData[[#This Row],[totalAmount]],TrafficData[[#This Row],[disposedAmount]]&lt;=TrafficData[[#This Row],[totalAmount]])</f>
        <v>1</v>
      </c>
      <c r="P718" t="b">
        <f>AND(TrafficData[[#This Row],[pendingCourt]]&lt;=TrafficData[[#This Row],[totalCourt]],TrafficData[[#This Row],[disposedCourt]]&lt;=TrafficData[[#This Row],[totalCourt]])</f>
        <v>1</v>
      </c>
    </row>
    <row r="719" spans="1:16">
      <c r="A719" s="1">
        <v>42722</v>
      </c>
      <c r="B719">
        <v>770</v>
      </c>
      <c r="C719">
        <v>137</v>
      </c>
      <c r="D719">
        <v>633</v>
      </c>
      <c r="E719">
        <v>749200</v>
      </c>
      <c r="F719">
        <v>192090</v>
      </c>
      <c r="G719">
        <v>941290</v>
      </c>
      <c r="H719">
        <v>507</v>
      </c>
      <c r="I719">
        <v>22</v>
      </c>
      <c r="J719">
        <v>529</v>
      </c>
      <c r="K719" t="b">
        <f>TrafficData[[#This Row],[disposedChallan]]+TrafficData[[#This Row],[pendingChallan]]=TrafficData[[#This Row],[totalChallan]]</f>
        <v>1</v>
      </c>
      <c r="L719" t="b">
        <f>TrafficData[[#This Row],[pendingAmount]]+TrafficData[[#This Row],[disposedAmount]]=TrafficData[[#This Row],[totalAmount]]</f>
        <v>1</v>
      </c>
      <c r="M719" t="b">
        <f>TrafficData[[#This Row],[pendingCourt]]+TrafficData[[#This Row],[disposedCourt]]=TrafficData[[#This Row],[totalCourt]]</f>
        <v>1</v>
      </c>
      <c r="N719" t="b">
        <f>AND(TrafficData[[#This Row],[disposedChallan]]&lt;=TrafficData[[#This Row],[totalChallan]],TrafficData[[#This Row],[pendingChallan]]&lt;=TrafficData[[#This Row],[totalChallan]])</f>
        <v>1</v>
      </c>
      <c r="O719" t="b">
        <f>AND(TrafficData[[#This Row],[pendingAmount]]&lt;=TrafficData[[#This Row],[totalAmount]],TrafficData[[#This Row],[disposedAmount]]&lt;=TrafficData[[#This Row],[totalAmount]])</f>
        <v>1</v>
      </c>
      <c r="P719" t="b">
        <f>AND(TrafficData[[#This Row],[pendingCourt]]&lt;=TrafficData[[#This Row],[totalCourt]],TrafficData[[#This Row],[disposedCourt]]&lt;=TrafficData[[#This Row],[totalCourt]])</f>
        <v>1</v>
      </c>
    </row>
    <row r="720" spans="1:16">
      <c r="A720" s="1">
        <v>42723</v>
      </c>
      <c r="B720">
        <v>860</v>
      </c>
      <c r="C720">
        <v>196</v>
      </c>
      <c r="D720">
        <v>664</v>
      </c>
      <c r="E720">
        <v>1676350</v>
      </c>
      <c r="F720">
        <v>422170</v>
      </c>
      <c r="G720">
        <v>2098520</v>
      </c>
      <c r="H720">
        <v>393</v>
      </c>
      <c r="I720">
        <v>46</v>
      </c>
      <c r="J720">
        <v>439</v>
      </c>
      <c r="K720" t="b">
        <f>TrafficData[[#This Row],[disposedChallan]]+TrafficData[[#This Row],[pendingChallan]]=TrafficData[[#This Row],[totalChallan]]</f>
        <v>1</v>
      </c>
      <c r="L720" t="b">
        <f>TrafficData[[#This Row],[pendingAmount]]+TrafficData[[#This Row],[disposedAmount]]=TrafficData[[#This Row],[totalAmount]]</f>
        <v>1</v>
      </c>
      <c r="M720" t="b">
        <f>TrafficData[[#This Row],[pendingCourt]]+TrafficData[[#This Row],[disposedCourt]]=TrafficData[[#This Row],[totalCourt]]</f>
        <v>1</v>
      </c>
      <c r="N720" t="b">
        <f>AND(TrafficData[[#This Row],[disposedChallan]]&lt;=TrafficData[[#This Row],[totalChallan]],TrafficData[[#This Row],[pendingChallan]]&lt;=TrafficData[[#This Row],[totalChallan]])</f>
        <v>1</v>
      </c>
      <c r="O720" t="b">
        <f>AND(TrafficData[[#This Row],[pendingAmount]]&lt;=TrafficData[[#This Row],[totalAmount]],TrafficData[[#This Row],[disposedAmount]]&lt;=TrafficData[[#This Row],[totalAmount]])</f>
        <v>1</v>
      </c>
      <c r="P720" t="b">
        <f>AND(TrafficData[[#This Row],[pendingCourt]]&lt;=TrafficData[[#This Row],[totalCourt]],TrafficData[[#This Row],[disposedCourt]]&lt;=TrafficData[[#This Row],[totalCourt]])</f>
        <v>1</v>
      </c>
    </row>
    <row r="721" spans="1:16">
      <c r="A721" s="1">
        <v>42724</v>
      </c>
      <c r="B721">
        <v>1203</v>
      </c>
      <c r="C721">
        <v>235</v>
      </c>
      <c r="D721">
        <v>968</v>
      </c>
      <c r="E721">
        <v>1790600</v>
      </c>
      <c r="F721">
        <v>751583</v>
      </c>
      <c r="G721">
        <v>2542183</v>
      </c>
      <c r="H721">
        <v>722</v>
      </c>
      <c r="I721">
        <v>71</v>
      </c>
      <c r="J721">
        <v>793</v>
      </c>
      <c r="K721" t="b">
        <f>TrafficData[[#This Row],[disposedChallan]]+TrafficData[[#This Row],[pendingChallan]]=TrafficData[[#This Row],[totalChallan]]</f>
        <v>1</v>
      </c>
      <c r="L721" t="b">
        <f>TrafficData[[#This Row],[pendingAmount]]+TrafficData[[#This Row],[disposedAmount]]=TrafficData[[#This Row],[totalAmount]]</f>
        <v>1</v>
      </c>
      <c r="M721" t="b">
        <f>TrafficData[[#This Row],[pendingCourt]]+TrafficData[[#This Row],[disposedCourt]]=TrafficData[[#This Row],[totalCourt]]</f>
        <v>1</v>
      </c>
      <c r="N721" t="b">
        <f>AND(TrafficData[[#This Row],[disposedChallan]]&lt;=TrafficData[[#This Row],[totalChallan]],TrafficData[[#This Row],[pendingChallan]]&lt;=TrafficData[[#This Row],[totalChallan]])</f>
        <v>1</v>
      </c>
      <c r="O721" t="b">
        <f>AND(TrafficData[[#This Row],[pendingAmount]]&lt;=TrafficData[[#This Row],[totalAmount]],TrafficData[[#This Row],[disposedAmount]]&lt;=TrafficData[[#This Row],[totalAmount]])</f>
        <v>1</v>
      </c>
      <c r="P721" t="b">
        <f>AND(TrafficData[[#This Row],[pendingCourt]]&lt;=TrafficData[[#This Row],[totalCourt]],TrafficData[[#This Row],[disposedCourt]]&lt;=TrafficData[[#This Row],[totalCourt]])</f>
        <v>1</v>
      </c>
    </row>
    <row r="722" spans="1:16">
      <c r="A722" s="1">
        <v>42725</v>
      </c>
      <c r="B722">
        <v>1067</v>
      </c>
      <c r="C722">
        <v>244</v>
      </c>
      <c r="D722">
        <v>823</v>
      </c>
      <c r="E722">
        <v>1633150</v>
      </c>
      <c r="F722">
        <v>606270</v>
      </c>
      <c r="G722">
        <v>2239420</v>
      </c>
      <c r="H722">
        <v>572</v>
      </c>
      <c r="I722">
        <v>71</v>
      </c>
      <c r="J722">
        <v>643</v>
      </c>
      <c r="K722" t="b">
        <f>TrafficData[[#This Row],[disposedChallan]]+TrafficData[[#This Row],[pendingChallan]]=TrafficData[[#This Row],[totalChallan]]</f>
        <v>1</v>
      </c>
      <c r="L722" t="b">
        <f>TrafficData[[#This Row],[pendingAmount]]+TrafficData[[#This Row],[disposedAmount]]=TrafficData[[#This Row],[totalAmount]]</f>
        <v>1</v>
      </c>
      <c r="M722" t="b">
        <f>TrafficData[[#This Row],[pendingCourt]]+TrafficData[[#This Row],[disposedCourt]]=TrafficData[[#This Row],[totalCourt]]</f>
        <v>1</v>
      </c>
      <c r="N722" t="b">
        <f>AND(TrafficData[[#This Row],[disposedChallan]]&lt;=TrafficData[[#This Row],[totalChallan]],TrafficData[[#This Row],[pendingChallan]]&lt;=TrafficData[[#This Row],[totalChallan]])</f>
        <v>1</v>
      </c>
      <c r="O722" t="b">
        <f>AND(TrafficData[[#This Row],[pendingAmount]]&lt;=TrafficData[[#This Row],[totalAmount]],TrafficData[[#This Row],[disposedAmount]]&lt;=TrafficData[[#This Row],[totalAmount]])</f>
        <v>1</v>
      </c>
      <c r="P722" t="b">
        <f>AND(TrafficData[[#This Row],[pendingCourt]]&lt;=TrafficData[[#This Row],[totalCourt]],TrafficData[[#This Row],[disposedCourt]]&lt;=TrafficData[[#This Row],[totalCourt]])</f>
        <v>1</v>
      </c>
    </row>
    <row r="723" spans="1:16">
      <c r="A723" s="1">
        <v>42726</v>
      </c>
      <c r="B723">
        <v>1036</v>
      </c>
      <c r="C723">
        <v>190</v>
      </c>
      <c r="D723">
        <v>846</v>
      </c>
      <c r="E723">
        <v>1277240</v>
      </c>
      <c r="F723">
        <v>438892</v>
      </c>
      <c r="G723">
        <v>1716132</v>
      </c>
      <c r="H723">
        <v>611</v>
      </c>
      <c r="I723">
        <v>50</v>
      </c>
      <c r="J723">
        <v>661</v>
      </c>
      <c r="K723" t="b">
        <f>TrafficData[[#This Row],[disposedChallan]]+TrafficData[[#This Row],[pendingChallan]]=TrafficData[[#This Row],[totalChallan]]</f>
        <v>1</v>
      </c>
      <c r="L723" t="b">
        <f>TrafficData[[#This Row],[pendingAmount]]+TrafficData[[#This Row],[disposedAmount]]=TrafficData[[#This Row],[totalAmount]]</f>
        <v>1</v>
      </c>
      <c r="M723" t="b">
        <f>TrafficData[[#This Row],[pendingCourt]]+TrafficData[[#This Row],[disposedCourt]]=TrafficData[[#This Row],[totalCourt]]</f>
        <v>1</v>
      </c>
      <c r="N723" t="b">
        <f>AND(TrafficData[[#This Row],[disposedChallan]]&lt;=TrafficData[[#This Row],[totalChallan]],TrafficData[[#This Row],[pendingChallan]]&lt;=TrafficData[[#This Row],[totalChallan]])</f>
        <v>1</v>
      </c>
      <c r="O723" t="b">
        <f>AND(TrafficData[[#This Row],[pendingAmount]]&lt;=TrafficData[[#This Row],[totalAmount]],TrafficData[[#This Row],[disposedAmount]]&lt;=TrafficData[[#This Row],[totalAmount]])</f>
        <v>1</v>
      </c>
      <c r="P723" t="b">
        <f>AND(TrafficData[[#This Row],[pendingCourt]]&lt;=TrafficData[[#This Row],[totalCourt]],TrafficData[[#This Row],[disposedCourt]]&lt;=TrafficData[[#This Row],[totalCourt]])</f>
        <v>1</v>
      </c>
    </row>
    <row r="724" spans="1:16">
      <c r="A724" s="1">
        <v>42727</v>
      </c>
      <c r="B724">
        <v>867</v>
      </c>
      <c r="C724">
        <v>197</v>
      </c>
      <c r="D724">
        <v>670</v>
      </c>
      <c r="E724">
        <v>1114510</v>
      </c>
      <c r="F724">
        <v>376001</v>
      </c>
      <c r="G724">
        <v>1490511</v>
      </c>
      <c r="H724">
        <v>473</v>
      </c>
      <c r="I724">
        <v>71</v>
      </c>
      <c r="J724">
        <v>544</v>
      </c>
      <c r="K724" t="b">
        <f>TrafficData[[#This Row],[disposedChallan]]+TrafficData[[#This Row],[pendingChallan]]=TrafficData[[#This Row],[totalChallan]]</f>
        <v>1</v>
      </c>
      <c r="L724" t="b">
        <f>TrafficData[[#This Row],[pendingAmount]]+TrafficData[[#This Row],[disposedAmount]]=TrafficData[[#This Row],[totalAmount]]</f>
        <v>1</v>
      </c>
      <c r="M724" t="b">
        <f>TrafficData[[#This Row],[pendingCourt]]+TrafficData[[#This Row],[disposedCourt]]=TrafficData[[#This Row],[totalCourt]]</f>
        <v>1</v>
      </c>
      <c r="N724" t="b">
        <f>AND(TrafficData[[#This Row],[disposedChallan]]&lt;=TrafficData[[#This Row],[totalChallan]],TrafficData[[#This Row],[pendingChallan]]&lt;=TrafficData[[#This Row],[totalChallan]])</f>
        <v>1</v>
      </c>
      <c r="O724" t="b">
        <f>AND(TrafficData[[#This Row],[pendingAmount]]&lt;=TrafficData[[#This Row],[totalAmount]],TrafficData[[#This Row],[disposedAmount]]&lt;=TrafficData[[#This Row],[totalAmount]])</f>
        <v>1</v>
      </c>
      <c r="P724" t="b">
        <f>AND(TrafficData[[#This Row],[pendingCourt]]&lt;=TrafficData[[#This Row],[totalCourt]],TrafficData[[#This Row],[disposedCourt]]&lt;=TrafficData[[#This Row],[totalCourt]])</f>
        <v>1</v>
      </c>
    </row>
    <row r="725" spans="1:16">
      <c r="A725" s="1">
        <v>42728</v>
      </c>
      <c r="B725">
        <v>976</v>
      </c>
      <c r="C725">
        <v>232</v>
      </c>
      <c r="D725">
        <v>744</v>
      </c>
      <c r="E725">
        <v>977800</v>
      </c>
      <c r="F725">
        <v>417700</v>
      </c>
      <c r="G725">
        <v>1395500</v>
      </c>
      <c r="H725">
        <v>551</v>
      </c>
      <c r="I725">
        <v>49</v>
      </c>
      <c r="J725">
        <v>600</v>
      </c>
      <c r="K725" t="b">
        <f>TrafficData[[#This Row],[disposedChallan]]+TrafficData[[#This Row],[pendingChallan]]=TrafficData[[#This Row],[totalChallan]]</f>
        <v>1</v>
      </c>
      <c r="L725" t="b">
        <f>TrafficData[[#This Row],[pendingAmount]]+TrafficData[[#This Row],[disposedAmount]]=TrafficData[[#This Row],[totalAmount]]</f>
        <v>1</v>
      </c>
      <c r="M725" t="b">
        <f>TrafficData[[#This Row],[pendingCourt]]+TrafficData[[#This Row],[disposedCourt]]=TrafficData[[#This Row],[totalCourt]]</f>
        <v>1</v>
      </c>
      <c r="N725" t="b">
        <f>AND(TrafficData[[#This Row],[disposedChallan]]&lt;=TrafficData[[#This Row],[totalChallan]],TrafficData[[#This Row],[pendingChallan]]&lt;=TrafficData[[#This Row],[totalChallan]])</f>
        <v>1</v>
      </c>
      <c r="O725" t="b">
        <f>AND(TrafficData[[#This Row],[pendingAmount]]&lt;=TrafficData[[#This Row],[totalAmount]],TrafficData[[#This Row],[disposedAmount]]&lt;=TrafficData[[#This Row],[totalAmount]])</f>
        <v>1</v>
      </c>
      <c r="P725" t="b">
        <f>AND(TrafficData[[#This Row],[pendingCourt]]&lt;=TrafficData[[#This Row],[totalCourt]],TrafficData[[#This Row],[disposedCourt]]&lt;=TrafficData[[#This Row],[totalCourt]])</f>
        <v>1</v>
      </c>
    </row>
    <row r="726" spans="1:16">
      <c r="A726" s="1">
        <v>42729</v>
      </c>
      <c r="B726">
        <v>1002</v>
      </c>
      <c r="C726">
        <v>194</v>
      </c>
      <c r="D726">
        <v>808</v>
      </c>
      <c r="E726">
        <v>887550</v>
      </c>
      <c r="F726">
        <v>324076</v>
      </c>
      <c r="G726">
        <v>1211626</v>
      </c>
      <c r="H726">
        <v>590</v>
      </c>
      <c r="I726">
        <v>58</v>
      </c>
      <c r="J726">
        <v>648</v>
      </c>
      <c r="K726" t="b">
        <f>TrafficData[[#This Row],[disposedChallan]]+TrafficData[[#This Row],[pendingChallan]]=TrafficData[[#This Row],[totalChallan]]</f>
        <v>1</v>
      </c>
      <c r="L726" t="b">
        <f>TrafficData[[#This Row],[pendingAmount]]+TrafficData[[#This Row],[disposedAmount]]=TrafficData[[#This Row],[totalAmount]]</f>
        <v>1</v>
      </c>
      <c r="M726" t="b">
        <f>TrafficData[[#This Row],[pendingCourt]]+TrafficData[[#This Row],[disposedCourt]]=TrafficData[[#This Row],[totalCourt]]</f>
        <v>1</v>
      </c>
      <c r="N726" t="b">
        <f>AND(TrafficData[[#This Row],[disposedChallan]]&lt;=TrafficData[[#This Row],[totalChallan]],TrafficData[[#This Row],[pendingChallan]]&lt;=TrafficData[[#This Row],[totalChallan]])</f>
        <v>1</v>
      </c>
      <c r="O726" t="b">
        <f>AND(TrafficData[[#This Row],[pendingAmount]]&lt;=TrafficData[[#This Row],[totalAmount]],TrafficData[[#This Row],[disposedAmount]]&lt;=TrafficData[[#This Row],[totalAmount]])</f>
        <v>1</v>
      </c>
      <c r="P726" t="b">
        <f>AND(TrafficData[[#This Row],[pendingCourt]]&lt;=TrafficData[[#This Row],[totalCourt]],TrafficData[[#This Row],[disposedCourt]]&lt;=TrafficData[[#This Row],[totalCourt]])</f>
        <v>1</v>
      </c>
    </row>
    <row r="727" spans="1:16">
      <c r="A727" s="1">
        <v>42730</v>
      </c>
      <c r="B727">
        <v>830</v>
      </c>
      <c r="C727">
        <v>177</v>
      </c>
      <c r="D727">
        <v>653</v>
      </c>
      <c r="E727">
        <v>1126850</v>
      </c>
      <c r="F727">
        <v>402250</v>
      </c>
      <c r="G727">
        <v>1529100</v>
      </c>
      <c r="H727">
        <v>441</v>
      </c>
      <c r="I727">
        <v>42</v>
      </c>
      <c r="J727">
        <v>483</v>
      </c>
      <c r="K727" t="b">
        <f>TrafficData[[#This Row],[disposedChallan]]+TrafficData[[#This Row],[pendingChallan]]=TrafficData[[#This Row],[totalChallan]]</f>
        <v>1</v>
      </c>
      <c r="L727" t="b">
        <f>TrafficData[[#This Row],[pendingAmount]]+TrafficData[[#This Row],[disposedAmount]]=TrafficData[[#This Row],[totalAmount]]</f>
        <v>1</v>
      </c>
      <c r="M727" t="b">
        <f>TrafficData[[#This Row],[pendingCourt]]+TrafficData[[#This Row],[disposedCourt]]=TrafficData[[#This Row],[totalCourt]]</f>
        <v>1</v>
      </c>
      <c r="N727" t="b">
        <f>AND(TrafficData[[#This Row],[disposedChallan]]&lt;=TrafficData[[#This Row],[totalChallan]],TrafficData[[#This Row],[pendingChallan]]&lt;=TrafficData[[#This Row],[totalChallan]])</f>
        <v>1</v>
      </c>
      <c r="O727" t="b">
        <f>AND(TrafficData[[#This Row],[pendingAmount]]&lt;=TrafficData[[#This Row],[totalAmount]],TrafficData[[#This Row],[disposedAmount]]&lt;=TrafficData[[#This Row],[totalAmount]])</f>
        <v>1</v>
      </c>
      <c r="P727" t="b">
        <f>AND(TrafficData[[#This Row],[pendingCourt]]&lt;=TrafficData[[#This Row],[totalCourt]],TrafficData[[#This Row],[disposedCourt]]&lt;=TrafficData[[#This Row],[totalCourt]])</f>
        <v>1</v>
      </c>
    </row>
    <row r="728" spans="1:16">
      <c r="A728" s="1">
        <v>42731</v>
      </c>
      <c r="B728">
        <v>1093</v>
      </c>
      <c r="C728">
        <v>250</v>
      </c>
      <c r="D728">
        <v>843</v>
      </c>
      <c r="E728">
        <v>1001565</v>
      </c>
      <c r="F728">
        <v>942195</v>
      </c>
      <c r="G728">
        <v>1943760</v>
      </c>
      <c r="H728">
        <v>668</v>
      </c>
      <c r="I728">
        <v>26</v>
      </c>
      <c r="J728">
        <v>694</v>
      </c>
      <c r="K728" t="b">
        <f>TrafficData[[#This Row],[disposedChallan]]+TrafficData[[#This Row],[pendingChallan]]=TrafficData[[#This Row],[totalChallan]]</f>
        <v>1</v>
      </c>
      <c r="L728" t="b">
        <f>TrafficData[[#This Row],[pendingAmount]]+TrafficData[[#This Row],[disposedAmount]]=TrafficData[[#This Row],[totalAmount]]</f>
        <v>1</v>
      </c>
      <c r="M728" t="b">
        <f>TrafficData[[#This Row],[pendingCourt]]+TrafficData[[#This Row],[disposedCourt]]=TrafficData[[#This Row],[totalCourt]]</f>
        <v>1</v>
      </c>
      <c r="N728" t="b">
        <f>AND(TrafficData[[#This Row],[disposedChallan]]&lt;=TrafficData[[#This Row],[totalChallan]],TrafficData[[#This Row],[pendingChallan]]&lt;=TrafficData[[#This Row],[totalChallan]])</f>
        <v>1</v>
      </c>
      <c r="O728" t="b">
        <f>AND(TrafficData[[#This Row],[pendingAmount]]&lt;=TrafficData[[#This Row],[totalAmount]],TrafficData[[#This Row],[disposedAmount]]&lt;=TrafficData[[#This Row],[totalAmount]])</f>
        <v>1</v>
      </c>
      <c r="P728" t="b">
        <f>AND(TrafficData[[#This Row],[pendingCourt]]&lt;=TrafficData[[#This Row],[totalCourt]],TrafficData[[#This Row],[disposedCourt]]&lt;=TrafficData[[#This Row],[totalCourt]])</f>
        <v>1</v>
      </c>
    </row>
    <row r="729" spans="1:16">
      <c r="A729" s="1">
        <v>42732</v>
      </c>
      <c r="B729">
        <v>714</v>
      </c>
      <c r="C729">
        <v>245</v>
      </c>
      <c r="D729">
        <v>469</v>
      </c>
      <c r="E729">
        <v>1434150</v>
      </c>
      <c r="F729">
        <v>635296</v>
      </c>
      <c r="G729">
        <v>2069446</v>
      </c>
      <c r="H729">
        <v>306</v>
      </c>
      <c r="I729">
        <v>42</v>
      </c>
      <c r="J729">
        <v>348</v>
      </c>
      <c r="K729" t="b">
        <f>TrafficData[[#This Row],[disposedChallan]]+TrafficData[[#This Row],[pendingChallan]]=TrafficData[[#This Row],[totalChallan]]</f>
        <v>1</v>
      </c>
      <c r="L729" t="b">
        <f>TrafficData[[#This Row],[pendingAmount]]+TrafficData[[#This Row],[disposedAmount]]=TrafficData[[#This Row],[totalAmount]]</f>
        <v>1</v>
      </c>
      <c r="M729" t="b">
        <f>TrafficData[[#This Row],[pendingCourt]]+TrafficData[[#This Row],[disposedCourt]]=TrafficData[[#This Row],[totalCourt]]</f>
        <v>1</v>
      </c>
      <c r="N729" t="b">
        <f>AND(TrafficData[[#This Row],[disposedChallan]]&lt;=TrafficData[[#This Row],[totalChallan]],TrafficData[[#This Row],[pendingChallan]]&lt;=TrafficData[[#This Row],[totalChallan]])</f>
        <v>1</v>
      </c>
      <c r="O729" t="b">
        <f>AND(TrafficData[[#This Row],[pendingAmount]]&lt;=TrafficData[[#This Row],[totalAmount]],TrafficData[[#This Row],[disposedAmount]]&lt;=TrafficData[[#This Row],[totalAmount]])</f>
        <v>1</v>
      </c>
      <c r="P729" t="b">
        <f>AND(TrafficData[[#This Row],[pendingCourt]]&lt;=TrafficData[[#This Row],[totalCourt]],TrafficData[[#This Row],[disposedCourt]]&lt;=TrafficData[[#This Row],[totalCourt]])</f>
        <v>1</v>
      </c>
    </row>
    <row r="730" spans="1:16">
      <c r="A730" s="1">
        <v>42733</v>
      </c>
      <c r="B730">
        <v>928</v>
      </c>
      <c r="C730">
        <v>242</v>
      </c>
      <c r="D730">
        <v>686</v>
      </c>
      <c r="E730">
        <v>1330675</v>
      </c>
      <c r="F730">
        <v>485400</v>
      </c>
      <c r="G730">
        <v>1816075</v>
      </c>
      <c r="H730">
        <v>516</v>
      </c>
      <c r="I730">
        <v>71</v>
      </c>
      <c r="J730">
        <v>587</v>
      </c>
      <c r="K730" t="b">
        <f>TrafficData[[#This Row],[disposedChallan]]+TrafficData[[#This Row],[pendingChallan]]=TrafficData[[#This Row],[totalChallan]]</f>
        <v>1</v>
      </c>
      <c r="L730" t="b">
        <f>TrafficData[[#This Row],[pendingAmount]]+TrafficData[[#This Row],[disposedAmount]]=TrafficData[[#This Row],[totalAmount]]</f>
        <v>1</v>
      </c>
      <c r="M730" t="b">
        <f>TrafficData[[#This Row],[pendingCourt]]+TrafficData[[#This Row],[disposedCourt]]=TrafficData[[#This Row],[totalCourt]]</f>
        <v>1</v>
      </c>
      <c r="N730" t="b">
        <f>AND(TrafficData[[#This Row],[disposedChallan]]&lt;=TrafficData[[#This Row],[totalChallan]],TrafficData[[#This Row],[pendingChallan]]&lt;=TrafficData[[#This Row],[totalChallan]])</f>
        <v>1</v>
      </c>
      <c r="O730" t="b">
        <f>AND(TrafficData[[#This Row],[pendingAmount]]&lt;=TrafficData[[#This Row],[totalAmount]],TrafficData[[#This Row],[disposedAmount]]&lt;=TrafficData[[#This Row],[totalAmount]])</f>
        <v>1</v>
      </c>
      <c r="P730" t="b">
        <f>AND(TrafficData[[#This Row],[pendingCourt]]&lt;=TrafficData[[#This Row],[totalCourt]],TrafficData[[#This Row],[disposedCourt]]&lt;=TrafficData[[#This Row],[totalCourt]])</f>
        <v>1</v>
      </c>
    </row>
    <row r="731" spans="1:16">
      <c r="A731" s="1">
        <v>42734</v>
      </c>
      <c r="B731">
        <v>759</v>
      </c>
      <c r="C731">
        <v>233</v>
      </c>
      <c r="D731">
        <v>526</v>
      </c>
      <c r="E731">
        <v>687100</v>
      </c>
      <c r="F731">
        <v>251952</v>
      </c>
      <c r="G731">
        <v>939052</v>
      </c>
      <c r="H731">
        <v>401</v>
      </c>
      <c r="I731">
        <v>47</v>
      </c>
      <c r="J731">
        <v>448</v>
      </c>
      <c r="K731" t="b">
        <f>TrafficData[[#This Row],[disposedChallan]]+TrafficData[[#This Row],[pendingChallan]]=TrafficData[[#This Row],[totalChallan]]</f>
        <v>1</v>
      </c>
      <c r="L731" t="b">
        <f>TrafficData[[#This Row],[pendingAmount]]+TrafficData[[#This Row],[disposedAmount]]=TrafficData[[#This Row],[totalAmount]]</f>
        <v>1</v>
      </c>
      <c r="M731" t="b">
        <f>TrafficData[[#This Row],[pendingCourt]]+TrafficData[[#This Row],[disposedCourt]]=TrafficData[[#This Row],[totalCourt]]</f>
        <v>1</v>
      </c>
      <c r="N731" t="b">
        <f>AND(TrafficData[[#This Row],[disposedChallan]]&lt;=TrafficData[[#This Row],[totalChallan]],TrafficData[[#This Row],[pendingChallan]]&lt;=TrafficData[[#This Row],[totalChallan]])</f>
        <v>1</v>
      </c>
      <c r="O731" t="b">
        <f>AND(TrafficData[[#This Row],[pendingAmount]]&lt;=TrafficData[[#This Row],[totalAmount]],TrafficData[[#This Row],[disposedAmount]]&lt;=TrafficData[[#This Row],[totalAmount]])</f>
        <v>1</v>
      </c>
      <c r="P731" t="b">
        <f>AND(TrafficData[[#This Row],[pendingCourt]]&lt;=TrafficData[[#This Row],[totalCourt]],TrafficData[[#This Row],[disposedCourt]]&lt;=TrafficData[[#This Row],[totalCourt]])</f>
        <v>1</v>
      </c>
    </row>
    <row r="732" spans="1:16">
      <c r="A732" s="1">
        <v>42735</v>
      </c>
      <c r="B732">
        <v>644</v>
      </c>
      <c r="C732">
        <v>194</v>
      </c>
      <c r="D732">
        <v>450</v>
      </c>
      <c r="E732">
        <v>975220</v>
      </c>
      <c r="F732">
        <v>594565</v>
      </c>
      <c r="G732">
        <v>1569785</v>
      </c>
      <c r="H732">
        <v>282</v>
      </c>
      <c r="I732">
        <v>43</v>
      </c>
      <c r="J732">
        <v>325</v>
      </c>
      <c r="K732" t="b">
        <f>TrafficData[[#This Row],[disposedChallan]]+TrafficData[[#This Row],[pendingChallan]]=TrafficData[[#This Row],[totalChallan]]</f>
        <v>1</v>
      </c>
      <c r="L732" t="b">
        <f>TrafficData[[#This Row],[pendingAmount]]+TrafficData[[#This Row],[disposedAmount]]=TrafficData[[#This Row],[totalAmount]]</f>
        <v>1</v>
      </c>
      <c r="M732" t="b">
        <f>TrafficData[[#This Row],[pendingCourt]]+TrafficData[[#This Row],[disposedCourt]]=TrafficData[[#This Row],[totalCourt]]</f>
        <v>1</v>
      </c>
      <c r="N732" t="b">
        <f>AND(TrafficData[[#This Row],[disposedChallan]]&lt;=TrafficData[[#This Row],[totalChallan]],TrafficData[[#This Row],[pendingChallan]]&lt;=TrafficData[[#This Row],[totalChallan]])</f>
        <v>1</v>
      </c>
      <c r="O732" t="b">
        <f>AND(TrafficData[[#This Row],[pendingAmount]]&lt;=TrafficData[[#This Row],[totalAmount]],TrafficData[[#This Row],[disposedAmount]]&lt;=TrafficData[[#This Row],[totalAmount]])</f>
        <v>1</v>
      </c>
      <c r="P732" t="b">
        <f>AND(TrafficData[[#This Row],[pendingCourt]]&lt;=TrafficData[[#This Row],[totalCourt]],TrafficData[[#This Row],[disposedCourt]]&lt;=TrafficData[[#This Row],[totalCourt]])</f>
        <v>1</v>
      </c>
    </row>
    <row r="733" spans="1:16">
      <c r="A733" s="1">
        <v>42736</v>
      </c>
      <c r="B733">
        <v>361</v>
      </c>
      <c r="C733">
        <v>77</v>
      </c>
      <c r="D733">
        <v>284</v>
      </c>
      <c r="E733">
        <v>585970</v>
      </c>
      <c r="F733">
        <v>143850</v>
      </c>
      <c r="G733">
        <v>729820</v>
      </c>
      <c r="H733">
        <v>155</v>
      </c>
      <c r="I733">
        <v>11</v>
      </c>
      <c r="J733">
        <v>166</v>
      </c>
      <c r="K733" t="b">
        <f>TrafficData[[#This Row],[disposedChallan]]+TrafficData[[#This Row],[pendingChallan]]=TrafficData[[#This Row],[totalChallan]]</f>
        <v>1</v>
      </c>
      <c r="L733" t="b">
        <f>TrafficData[[#This Row],[pendingAmount]]+TrafficData[[#This Row],[disposedAmount]]=TrafficData[[#This Row],[totalAmount]]</f>
        <v>1</v>
      </c>
      <c r="M733" t="b">
        <f>TrafficData[[#This Row],[pendingCourt]]+TrafficData[[#This Row],[disposedCourt]]=TrafficData[[#This Row],[totalCourt]]</f>
        <v>1</v>
      </c>
      <c r="N733" t="b">
        <f>AND(TrafficData[[#This Row],[disposedChallan]]&lt;=TrafficData[[#This Row],[totalChallan]],TrafficData[[#This Row],[pendingChallan]]&lt;=TrafficData[[#This Row],[totalChallan]])</f>
        <v>1</v>
      </c>
      <c r="O733" t="b">
        <f>AND(TrafficData[[#This Row],[pendingAmount]]&lt;=TrafficData[[#This Row],[totalAmount]],TrafficData[[#This Row],[disposedAmount]]&lt;=TrafficData[[#This Row],[totalAmount]])</f>
        <v>1</v>
      </c>
      <c r="P733" t="b">
        <f>AND(TrafficData[[#This Row],[pendingCourt]]&lt;=TrafficData[[#This Row],[totalCourt]],TrafficData[[#This Row],[disposedCourt]]&lt;=TrafficData[[#This Row],[totalCourt]])</f>
        <v>1</v>
      </c>
    </row>
    <row r="734" spans="1:16">
      <c r="A734" s="1">
        <v>42737</v>
      </c>
      <c r="B734">
        <v>663</v>
      </c>
      <c r="C734">
        <v>109</v>
      </c>
      <c r="D734">
        <v>554</v>
      </c>
      <c r="E734">
        <v>1249980</v>
      </c>
      <c r="F734">
        <v>110950</v>
      </c>
      <c r="G734">
        <v>1360930</v>
      </c>
      <c r="H734">
        <v>357</v>
      </c>
      <c r="I734">
        <v>31</v>
      </c>
      <c r="J734">
        <v>388</v>
      </c>
      <c r="K734" t="b">
        <f>TrafficData[[#This Row],[disposedChallan]]+TrafficData[[#This Row],[pendingChallan]]=TrafficData[[#This Row],[totalChallan]]</f>
        <v>1</v>
      </c>
      <c r="L734" t="b">
        <f>TrafficData[[#This Row],[pendingAmount]]+TrafficData[[#This Row],[disposedAmount]]=TrafficData[[#This Row],[totalAmount]]</f>
        <v>1</v>
      </c>
      <c r="M734" t="b">
        <f>TrafficData[[#This Row],[pendingCourt]]+TrafficData[[#This Row],[disposedCourt]]=TrafficData[[#This Row],[totalCourt]]</f>
        <v>1</v>
      </c>
      <c r="N734" t="b">
        <f>AND(TrafficData[[#This Row],[disposedChallan]]&lt;=TrafficData[[#This Row],[totalChallan]],TrafficData[[#This Row],[pendingChallan]]&lt;=TrafficData[[#This Row],[totalChallan]])</f>
        <v>1</v>
      </c>
      <c r="O734" t="b">
        <f>AND(TrafficData[[#This Row],[pendingAmount]]&lt;=TrafficData[[#This Row],[totalAmount]],TrafficData[[#This Row],[disposedAmount]]&lt;=TrafficData[[#This Row],[totalAmount]])</f>
        <v>1</v>
      </c>
      <c r="P734" t="b">
        <f>AND(TrafficData[[#This Row],[pendingCourt]]&lt;=TrafficData[[#This Row],[totalCourt]],TrafficData[[#This Row],[disposedCourt]]&lt;=TrafficData[[#This Row],[totalCourt]])</f>
        <v>1</v>
      </c>
    </row>
    <row r="735" spans="1:16">
      <c r="A735" s="1">
        <v>42738</v>
      </c>
      <c r="B735">
        <v>882</v>
      </c>
      <c r="C735">
        <v>169</v>
      </c>
      <c r="D735">
        <v>713</v>
      </c>
      <c r="E735">
        <v>1601800</v>
      </c>
      <c r="F735">
        <v>400800</v>
      </c>
      <c r="G735">
        <v>2002600</v>
      </c>
      <c r="H735">
        <v>525</v>
      </c>
      <c r="I735">
        <v>45</v>
      </c>
      <c r="J735">
        <v>570</v>
      </c>
      <c r="K735" t="b">
        <f>TrafficData[[#This Row],[disposedChallan]]+TrafficData[[#This Row],[pendingChallan]]=TrafficData[[#This Row],[totalChallan]]</f>
        <v>1</v>
      </c>
      <c r="L735" t="b">
        <f>TrafficData[[#This Row],[pendingAmount]]+TrafficData[[#This Row],[disposedAmount]]=TrafficData[[#This Row],[totalAmount]]</f>
        <v>1</v>
      </c>
      <c r="M735" t="b">
        <f>TrafficData[[#This Row],[pendingCourt]]+TrafficData[[#This Row],[disposedCourt]]=TrafficData[[#This Row],[totalCourt]]</f>
        <v>1</v>
      </c>
      <c r="N735" t="b">
        <f>AND(TrafficData[[#This Row],[disposedChallan]]&lt;=TrafficData[[#This Row],[totalChallan]],TrafficData[[#This Row],[pendingChallan]]&lt;=TrafficData[[#This Row],[totalChallan]])</f>
        <v>1</v>
      </c>
      <c r="O735" t="b">
        <f>AND(TrafficData[[#This Row],[pendingAmount]]&lt;=TrafficData[[#This Row],[totalAmount]],TrafficData[[#This Row],[disposedAmount]]&lt;=TrafficData[[#This Row],[totalAmount]])</f>
        <v>1</v>
      </c>
      <c r="P735" t="b">
        <f>AND(TrafficData[[#This Row],[pendingCourt]]&lt;=TrafficData[[#This Row],[totalCourt]],TrafficData[[#This Row],[disposedCourt]]&lt;=TrafficData[[#This Row],[totalCourt]])</f>
        <v>1</v>
      </c>
    </row>
    <row r="736" spans="1:16">
      <c r="A736" s="1">
        <v>42739</v>
      </c>
      <c r="B736">
        <v>928</v>
      </c>
      <c r="C736">
        <v>142</v>
      </c>
      <c r="D736">
        <v>786</v>
      </c>
      <c r="E736">
        <v>1170409</v>
      </c>
      <c r="F736">
        <v>381770</v>
      </c>
      <c r="G736">
        <v>1552179</v>
      </c>
      <c r="H736">
        <v>563</v>
      </c>
      <c r="I736">
        <v>43</v>
      </c>
      <c r="J736">
        <v>606</v>
      </c>
      <c r="K736" t="b">
        <f>TrafficData[[#This Row],[disposedChallan]]+TrafficData[[#This Row],[pendingChallan]]=TrafficData[[#This Row],[totalChallan]]</f>
        <v>1</v>
      </c>
      <c r="L736" t="b">
        <f>TrafficData[[#This Row],[pendingAmount]]+TrafficData[[#This Row],[disposedAmount]]=TrafficData[[#This Row],[totalAmount]]</f>
        <v>1</v>
      </c>
      <c r="M736" t="b">
        <f>TrafficData[[#This Row],[pendingCourt]]+TrafficData[[#This Row],[disposedCourt]]=TrafficData[[#This Row],[totalCourt]]</f>
        <v>1</v>
      </c>
      <c r="N736" t="b">
        <f>AND(TrafficData[[#This Row],[disposedChallan]]&lt;=TrafficData[[#This Row],[totalChallan]],TrafficData[[#This Row],[pendingChallan]]&lt;=TrafficData[[#This Row],[totalChallan]])</f>
        <v>1</v>
      </c>
      <c r="O736" t="b">
        <f>AND(TrafficData[[#This Row],[pendingAmount]]&lt;=TrafficData[[#This Row],[totalAmount]],TrafficData[[#This Row],[disposedAmount]]&lt;=TrafficData[[#This Row],[totalAmount]])</f>
        <v>1</v>
      </c>
      <c r="P736" t="b">
        <f>AND(TrafficData[[#This Row],[pendingCourt]]&lt;=TrafficData[[#This Row],[totalCourt]],TrafficData[[#This Row],[disposedCourt]]&lt;=TrafficData[[#This Row],[totalCourt]])</f>
        <v>1</v>
      </c>
    </row>
    <row r="737" spans="1:16">
      <c r="A737" s="1">
        <v>42740</v>
      </c>
      <c r="B737">
        <v>894</v>
      </c>
      <c r="C737">
        <v>157</v>
      </c>
      <c r="D737">
        <v>737</v>
      </c>
      <c r="E737">
        <v>1562351</v>
      </c>
      <c r="F737">
        <v>441975</v>
      </c>
      <c r="G737">
        <v>2004326</v>
      </c>
      <c r="H737">
        <v>531</v>
      </c>
      <c r="I737">
        <v>37</v>
      </c>
      <c r="J737">
        <v>568</v>
      </c>
      <c r="K737" t="b">
        <f>TrafficData[[#This Row],[disposedChallan]]+TrafficData[[#This Row],[pendingChallan]]=TrafficData[[#This Row],[totalChallan]]</f>
        <v>1</v>
      </c>
      <c r="L737" t="b">
        <f>TrafficData[[#This Row],[pendingAmount]]+TrafficData[[#This Row],[disposedAmount]]=TrafficData[[#This Row],[totalAmount]]</f>
        <v>1</v>
      </c>
      <c r="M737" t="b">
        <f>TrafficData[[#This Row],[pendingCourt]]+TrafficData[[#This Row],[disposedCourt]]=TrafficData[[#This Row],[totalCourt]]</f>
        <v>1</v>
      </c>
      <c r="N737" t="b">
        <f>AND(TrafficData[[#This Row],[disposedChallan]]&lt;=TrafficData[[#This Row],[totalChallan]],TrafficData[[#This Row],[pendingChallan]]&lt;=TrafficData[[#This Row],[totalChallan]])</f>
        <v>1</v>
      </c>
      <c r="O737" t="b">
        <f>AND(TrafficData[[#This Row],[pendingAmount]]&lt;=TrafficData[[#This Row],[totalAmount]],TrafficData[[#This Row],[disposedAmount]]&lt;=TrafficData[[#This Row],[totalAmount]])</f>
        <v>1</v>
      </c>
      <c r="P737" t="b">
        <f>AND(TrafficData[[#This Row],[pendingCourt]]&lt;=TrafficData[[#This Row],[totalCourt]],TrafficData[[#This Row],[disposedCourt]]&lt;=TrafficData[[#This Row],[totalCourt]])</f>
        <v>1</v>
      </c>
    </row>
    <row r="738" spans="1:16">
      <c r="A738" s="1">
        <v>42741</v>
      </c>
      <c r="B738">
        <v>880</v>
      </c>
      <c r="C738">
        <v>174</v>
      </c>
      <c r="D738">
        <v>706</v>
      </c>
      <c r="E738">
        <v>2062456</v>
      </c>
      <c r="F738">
        <v>581390</v>
      </c>
      <c r="G738">
        <v>2643846</v>
      </c>
      <c r="H738">
        <v>461</v>
      </c>
      <c r="I738">
        <v>23</v>
      </c>
      <c r="J738">
        <v>484</v>
      </c>
      <c r="K738" t="b">
        <f>TrafficData[[#This Row],[disposedChallan]]+TrafficData[[#This Row],[pendingChallan]]=TrafficData[[#This Row],[totalChallan]]</f>
        <v>1</v>
      </c>
      <c r="L738" t="b">
        <f>TrafficData[[#This Row],[pendingAmount]]+TrafficData[[#This Row],[disposedAmount]]=TrafficData[[#This Row],[totalAmount]]</f>
        <v>1</v>
      </c>
      <c r="M738" t="b">
        <f>TrafficData[[#This Row],[pendingCourt]]+TrafficData[[#This Row],[disposedCourt]]=TrafficData[[#This Row],[totalCourt]]</f>
        <v>1</v>
      </c>
      <c r="N738" t="b">
        <f>AND(TrafficData[[#This Row],[disposedChallan]]&lt;=TrafficData[[#This Row],[totalChallan]],TrafficData[[#This Row],[pendingChallan]]&lt;=TrafficData[[#This Row],[totalChallan]])</f>
        <v>1</v>
      </c>
      <c r="O738" t="b">
        <f>AND(TrafficData[[#This Row],[pendingAmount]]&lt;=TrafficData[[#This Row],[totalAmount]],TrafficData[[#This Row],[disposedAmount]]&lt;=TrafficData[[#This Row],[totalAmount]])</f>
        <v>1</v>
      </c>
      <c r="P738" t="b">
        <f>AND(TrafficData[[#This Row],[pendingCourt]]&lt;=TrafficData[[#This Row],[totalCourt]],TrafficData[[#This Row],[disposedCourt]]&lt;=TrafficData[[#This Row],[totalCourt]])</f>
        <v>1</v>
      </c>
    </row>
    <row r="739" spans="1:16">
      <c r="A739" s="1">
        <v>42742</v>
      </c>
      <c r="B739">
        <v>811</v>
      </c>
      <c r="C739">
        <v>194</v>
      </c>
      <c r="D739">
        <v>617</v>
      </c>
      <c r="E739">
        <v>1134250</v>
      </c>
      <c r="F739">
        <v>547490</v>
      </c>
      <c r="G739">
        <v>1681740</v>
      </c>
      <c r="H739">
        <v>419</v>
      </c>
      <c r="I739">
        <v>38</v>
      </c>
      <c r="J739">
        <v>457</v>
      </c>
      <c r="K739" t="b">
        <f>TrafficData[[#This Row],[disposedChallan]]+TrafficData[[#This Row],[pendingChallan]]=TrafficData[[#This Row],[totalChallan]]</f>
        <v>1</v>
      </c>
      <c r="L739" t="b">
        <f>TrafficData[[#This Row],[pendingAmount]]+TrafficData[[#This Row],[disposedAmount]]=TrafficData[[#This Row],[totalAmount]]</f>
        <v>1</v>
      </c>
      <c r="M739" t="b">
        <f>TrafficData[[#This Row],[pendingCourt]]+TrafficData[[#This Row],[disposedCourt]]=TrafficData[[#This Row],[totalCourt]]</f>
        <v>1</v>
      </c>
      <c r="N739" t="b">
        <f>AND(TrafficData[[#This Row],[disposedChallan]]&lt;=TrafficData[[#This Row],[totalChallan]],TrafficData[[#This Row],[pendingChallan]]&lt;=TrafficData[[#This Row],[totalChallan]])</f>
        <v>1</v>
      </c>
      <c r="O739" t="b">
        <f>AND(TrafficData[[#This Row],[pendingAmount]]&lt;=TrafficData[[#This Row],[totalAmount]],TrafficData[[#This Row],[disposedAmount]]&lt;=TrafficData[[#This Row],[totalAmount]])</f>
        <v>1</v>
      </c>
      <c r="P739" t="b">
        <f>AND(TrafficData[[#This Row],[pendingCourt]]&lt;=TrafficData[[#This Row],[totalCourt]],TrafficData[[#This Row],[disposedCourt]]&lt;=TrafficData[[#This Row],[totalCourt]])</f>
        <v>1</v>
      </c>
    </row>
    <row r="740" spans="1:16">
      <c r="A740" s="1">
        <v>42743</v>
      </c>
      <c r="B740">
        <v>588</v>
      </c>
      <c r="C740">
        <v>132</v>
      </c>
      <c r="D740">
        <v>456</v>
      </c>
      <c r="E740">
        <v>505951</v>
      </c>
      <c r="F740">
        <v>286235</v>
      </c>
      <c r="G740">
        <v>792186</v>
      </c>
      <c r="H740">
        <v>273</v>
      </c>
      <c r="I740">
        <v>22</v>
      </c>
      <c r="J740">
        <v>295</v>
      </c>
      <c r="K740" t="b">
        <f>TrafficData[[#This Row],[disposedChallan]]+TrafficData[[#This Row],[pendingChallan]]=TrafficData[[#This Row],[totalChallan]]</f>
        <v>1</v>
      </c>
      <c r="L740" t="b">
        <f>TrafficData[[#This Row],[pendingAmount]]+TrafficData[[#This Row],[disposedAmount]]=TrafficData[[#This Row],[totalAmount]]</f>
        <v>1</v>
      </c>
      <c r="M740" t="b">
        <f>TrafficData[[#This Row],[pendingCourt]]+TrafficData[[#This Row],[disposedCourt]]=TrafficData[[#This Row],[totalCourt]]</f>
        <v>1</v>
      </c>
      <c r="N740" t="b">
        <f>AND(TrafficData[[#This Row],[disposedChallan]]&lt;=TrafficData[[#This Row],[totalChallan]],TrafficData[[#This Row],[pendingChallan]]&lt;=TrafficData[[#This Row],[totalChallan]])</f>
        <v>1</v>
      </c>
      <c r="O740" t="b">
        <f>AND(TrafficData[[#This Row],[pendingAmount]]&lt;=TrafficData[[#This Row],[totalAmount]],TrafficData[[#This Row],[disposedAmount]]&lt;=TrafficData[[#This Row],[totalAmount]])</f>
        <v>1</v>
      </c>
      <c r="P740" t="b">
        <f>AND(TrafficData[[#This Row],[pendingCourt]]&lt;=TrafficData[[#This Row],[totalCourt]],TrafficData[[#This Row],[disposedCourt]]&lt;=TrafficData[[#This Row],[totalCourt]])</f>
        <v>1</v>
      </c>
    </row>
    <row r="741" spans="1:16">
      <c r="A741" s="1">
        <v>42744</v>
      </c>
      <c r="B741">
        <v>580</v>
      </c>
      <c r="C741">
        <v>110</v>
      </c>
      <c r="D741">
        <v>470</v>
      </c>
      <c r="E741">
        <v>654000</v>
      </c>
      <c r="F741">
        <v>243651</v>
      </c>
      <c r="G741">
        <v>897651</v>
      </c>
      <c r="H741">
        <v>288</v>
      </c>
      <c r="I741">
        <v>24</v>
      </c>
      <c r="J741">
        <v>312</v>
      </c>
      <c r="K741" t="b">
        <f>TrafficData[[#This Row],[disposedChallan]]+TrafficData[[#This Row],[pendingChallan]]=TrafficData[[#This Row],[totalChallan]]</f>
        <v>1</v>
      </c>
      <c r="L741" t="b">
        <f>TrafficData[[#This Row],[pendingAmount]]+TrafficData[[#This Row],[disposedAmount]]=TrafficData[[#This Row],[totalAmount]]</f>
        <v>1</v>
      </c>
      <c r="M741" t="b">
        <f>TrafficData[[#This Row],[pendingCourt]]+TrafficData[[#This Row],[disposedCourt]]=TrafficData[[#This Row],[totalCourt]]</f>
        <v>1</v>
      </c>
      <c r="N741" t="b">
        <f>AND(TrafficData[[#This Row],[disposedChallan]]&lt;=TrafficData[[#This Row],[totalChallan]],TrafficData[[#This Row],[pendingChallan]]&lt;=TrafficData[[#This Row],[totalChallan]])</f>
        <v>1</v>
      </c>
      <c r="O741" t="b">
        <f>AND(TrafficData[[#This Row],[pendingAmount]]&lt;=TrafficData[[#This Row],[totalAmount]],TrafficData[[#This Row],[disposedAmount]]&lt;=TrafficData[[#This Row],[totalAmount]])</f>
        <v>1</v>
      </c>
      <c r="P741" t="b">
        <f>AND(TrafficData[[#This Row],[pendingCourt]]&lt;=TrafficData[[#This Row],[totalCourt]],TrafficData[[#This Row],[disposedCourt]]&lt;=TrafficData[[#This Row],[totalCourt]])</f>
        <v>1</v>
      </c>
    </row>
    <row r="742" spans="1:16">
      <c r="A742" s="1">
        <v>42745</v>
      </c>
      <c r="B742">
        <v>903</v>
      </c>
      <c r="C742">
        <v>197</v>
      </c>
      <c r="D742">
        <v>706</v>
      </c>
      <c r="E742">
        <v>900100</v>
      </c>
      <c r="F742">
        <v>235930</v>
      </c>
      <c r="G742">
        <v>1136030</v>
      </c>
      <c r="H742">
        <v>505</v>
      </c>
      <c r="I742">
        <v>40</v>
      </c>
      <c r="J742">
        <v>545</v>
      </c>
      <c r="K742" t="b">
        <f>TrafficData[[#This Row],[disposedChallan]]+TrafficData[[#This Row],[pendingChallan]]=TrafficData[[#This Row],[totalChallan]]</f>
        <v>1</v>
      </c>
      <c r="L742" t="b">
        <f>TrafficData[[#This Row],[pendingAmount]]+TrafficData[[#This Row],[disposedAmount]]=TrafficData[[#This Row],[totalAmount]]</f>
        <v>1</v>
      </c>
      <c r="M742" t="b">
        <f>TrafficData[[#This Row],[pendingCourt]]+TrafficData[[#This Row],[disposedCourt]]=TrafficData[[#This Row],[totalCourt]]</f>
        <v>1</v>
      </c>
      <c r="N742" t="b">
        <f>AND(TrafficData[[#This Row],[disposedChallan]]&lt;=TrafficData[[#This Row],[totalChallan]],TrafficData[[#This Row],[pendingChallan]]&lt;=TrafficData[[#This Row],[totalChallan]])</f>
        <v>1</v>
      </c>
      <c r="O742" t="b">
        <f>AND(TrafficData[[#This Row],[pendingAmount]]&lt;=TrafficData[[#This Row],[totalAmount]],TrafficData[[#This Row],[disposedAmount]]&lt;=TrafficData[[#This Row],[totalAmount]])</f>
        <v>1</v>
      </c>
      <c r="P742" t="b">
        <f>AND(TrafficData[[#This Row],[pendingCourt]]&lt;=TrafficData[[#This Row],[totalCourt]],TrafficData[[#This Row],[disposedCourt]]&lt;=TrafficData[[#This Row],[totalCourt]])</f>
        <v>1</v>
      </c>
    </row>
    <row r="743" spans="1:16">
      <c r="A743" s="1">
        <v>42746</v>
      </c>
      <c r="B743">
        <v>809</v>
      </c>
      <c r="C743">
        <v>164</v>
      </c>
      <c r="D743">
        <v>645</v>
      </c>
      <c r="E743">
        <v>1201810</v>
      </c>
      <c r="F743">
        <v>254300</v>
      </c>
      <c r="G743">
        <v>1456110</v>
      </c>
      <c r="H743">
        <v>444</v>
      </c>
      <c r="I743">
        <v>40</v>
      </c>
      <c r="J743">
        <v>484</v>
      </c>
      <c r="K743" t="b">
        <f>TrafficData[[#This Row],[disposedChallan]]+TrafficData[[#This Row],[pendingChallan]]=TrafficData[[#This Row],[totalChallan]]</f>
        <v>1</v>
      </c>
      <c r="L743" t="b">
        <f>TrafficData[[#This Row],[pendingAmount]]+TrafficData[[#This Row],[disposedAmount]]=TrafficData[[#This Row],[totalAmount]]</f>
        <v>1</v>
      </c>
      <c r="M743" t="b">
        <f>TrafficData[[#This Row],[pendingCourt]]+TrafficData[[#This Row],[disposedCourt]]=TrafficData[[#This Row],[totalCourt]]</f>
        <v>1</v>
      </c>
      <c r="N743" t="b">
        <f>AND(TrafficData[[#This Row],[disposedChallan]]&lt;=TrafficData[[#This Row],[totalChallan]],TrafficData[[#This Row],[pendingChallan]]&lt;=TrafficData[[#This Row],[totalChallan]])</f>
        <v>1</v>
      </c>
      <c r="O743" t="b">
        <f>AND(TrafficData[[#This Row],[pendingAmount]]&lt;=TrafficData[[#This Row],[totalAmount]],TrafficData[[#This Row],[disposedAmount]]&lt;=TrafficData[[#This Row],[totalAmount]])</f>
        <v>1</v>
      </c>
      <c r="P743" t="b">
        <f>AND(TrafficData[[#This Row],[pendingCourt]]&lt;=TrafficData[[#This Row],[totalCourt]],TrafficData[[#This Row],[disposedCourt]]&lt;=TrafficData[[#This Row],[totalCourt]])</f>
        <v>1</v>
      </c>
    </row>
    <row r="744" spans="1:16">
      <c r="A744" s="1">
        <v>42747</v>
      </c>
      <c r="B744">
        <v>844</v>
      </c>
      <c r="C744">
        <v>188</v>
      </c>
      <c r="D744">
        <v>656</v>
      </c>
      <c r="E744">
        <v>1409600</v>
      </c>
      <c r="F744">
        <v>239700</v>
      </c>
      <c r="G744">
        <v>1649300</v>
      </c>
      <c r="H744">
        <v>428</v>
      </c>
      <c r="I744">
        <v>56</v>
      </c>
      <c r="J744">
        <v>484</v>
      </c>
      <c r="K744" t="b">
        <f>TrafficData[[#This Row],[disposedChallan]]+TrafficData[[#This Row],[pendingChallan]]=TrafficData[[#This Row],[totalChallan]]</f>
        <v>1</v>
      </c>
      <c r="L744" t="b">
        <f>TrafficData[[#This Row],[pendingAmount]]+TrafficData[[#This Row],[disposedAmount]]=TrafficData[[#This Row],[totalAmount]]</f>
        <v>1</v>
      </c>
      <c r="M744" t="b">
        <f>TrafficData[[#This Row],[pendingCourt]]+TrafficData[[#This Row],[disposedCourt]]=TrafficData[[#This Row],[totalCourt]]</f>
        <v>1</v>
      </c>
      <c r="N744" t="b">
        <f>AND(TrafficData[[#This Row],[disposedChallan]]&lt;=TrafficData[[#This Row],[totalChallan]],TrafficData[[#This Row],[pendingChallan]]&lt;=TrafficData[[#This Row],[totalChallan]])</f>
        <v>1</v>
      </c>
      <c r="O744" t="b">
        <f>AND(TrafficData[[#This Row],[pendingAmount]]&lt;=TrafficData[[#This Row],[totalAmount]],TrafficData[[#This Row],[disposedAmount]]&lt;=TrafficData[[#This Row],[totalAmount]])</f>
        <v>1</v>
      </c>
      <c r="P744" t="b">
        <f>AND(TrafficData[[#This Row],[pendingCourt]]&lt;=TrafficData[[#This Row],[totalCourt]],TrafficData[[#This Row],[disposedCourt]]&lt;=TrafficData[[#This Row],[totalCourt]])</f>
        <v>1</v>
      </c>
    </row>
    <row r="745" spans="1:16">
      <c r="A745" s="1">
        <v>42748</v>
      </c>
      <c r="B745">
        <v>930</v>
      </c>
      <c r="C745">
        <v>217</v>
      </c>
      <c r="D745">
        <v>713</v>
      </c>
      <c r="E745">
        <v>845350</v>
      </c>
      <c r="F745">
        <v>390740</v>
      </c>
      <c r="G745">
        <v>1236090</v>
      </c>
      <c r="H745">
        <v>554</v>
      </c>
      <c r="I745">
        <v>58</v>
      </c>
      <c r="J745">
        <v>612</v>
      </c>
      <c r="K745" t="b">
        <f>TrafficData[[#This Row],[disposedChallan]]+TrafficData[[#This Row],[pendingChallan]]=TrafficData[[#This Row],[totalChallan]]</f>
        <v>1</v>
      </c>
      <c r="L745" t="b">
        <f>TrafficData[[#This Row],[pendingAmount]]+TrafficData[[#This Row],[disposedAmount]]=TrafficData[[#This Row],[totalAmount]]</f>
        <v>1</v>
      </c>
      <c r="M745" t="b">
        <f>TrafficData[[#This Row],[pendingCourt]]+TrafficData[[#This Row],[disposedCourt]]=TrafficData[[#This Row],[totalCourt]]</f>
        <v>1</v>
      </c>
      <c r="N745" t="b">
        <f>AND(TrafficData[[#This Row],[disposedChallan]]&lt;=TrafficData[[#This Row],[totalChallan]],TrafficData[[#This Row],[pendingChallan]]&lt;=TrafficData[[#This Row],[totalChallan]])</f>
        <v>1</v>
      </c>
      <c r="O745" t="b">
        <f>AND(TrafficData[[#This Row],[pendingAmount]]&lt;=TrafficData[[#This Row],[totalAmount]],TrafficData[[#This Row],[disposedAmount]]&lt;=TrafficData[[#This Row],[totalAmount]])</f>
        <v>1</v>
      </c>
      <c r="P745" t="b">
        <f>AND(TrafficData[[#This Row],[pendingCourt]]&lt;=TrafficData[[#This Row],[totalCourt]],TrafficData[[#This Row],[disposedCourt]]&lt;=TrafficData[[#This Row],[totalCourt]])</f>
        <v>1</v>
      </c>
    </row>
    <row r="746" spans="1:16">
      <c r="A746" s="1">
        <v>42749</v>
      </c>
      <c r="B746">
        <v>740</v>
      </c>
      <c r="C746">
        <v>143</v>
      </c>
      <c r="D746">
        <v>597</v>
      </c>
      <c r="E746">
        <v>480000</v>
      </c>
      <c r="F746">
        <v>199500</v>
      </c>
      <c r="G746">
        <v>679500</v>
      </c>
      <c r="H746">
        <v>473</v>
      </c>
      <c r="I746">
        <v>56</v>
      </c>
      <c r="J746">
        <v>529</v>
      </c>
      <c r="K746" t="b">
        <f>TrafficData[[#This Row],[disposedChallan]]+TrafficData[[#This Row],[pendingChallan]]=TrafficData[[#This Row],[totalChallan]]</f>
        <v>1</v>
      </c>
      <c r="L746" t="b">
        <f>TrafficData[[#This Row],[pendingAmount]]+TrafficData[[#This Row],[disposedAmount]]=TrafficData[[#This Row],[totalAmount]]</f>
        <v>1</v>
      </c>
      <c r="M746" t="b">
        <f>TrafficData[[#This Row],[pendingCourt]]+TrafficData[[#This Row],[disposedCourt]]=TrafficData[[#This Row],[totalCourt]]</f>
        <v>1</v>
      </c>
      <c r="N746" t="b">
        <f>AND(TrafficData[[#This Row],[disposedChallan]]&lt;=TrafficData[[#This Row],[totalChallan]],TrafficData[[#This Row],[pendingChallan]]&lt;=TrafficData[[#This Row],[totalChallan]])</f>
        <v>1</v>
      </c>
      <c r="O746" t="b">
        <f>AND(TrafficData[[#This Row],[pendingAmount]]&lt;=TrafficData[[#This Row],[totalAmount]],TrafficData[[#This Row],[disposedAmount]]&lt;=TrafficData[[#This Row],[totalAmount]])</f>
        <v>1</v>
      </c>
      <c r="P746" t="b">
        <f>AND(TrafficData[[#This Row],[pendingCourt]]&lt;=TrafficData[[#This Row],[totalCourt]],TrafficData[[#This Row],[disposedCourt]]&lt;=TrafficData[[#This Row],[totalCourt]])</f>
        <v>1</v>
      </c>
    </row>
    <row r="747" spans="1:16">
      <c r="A747" s="1">
        <v>42750</v>
      </c>
      <c r="B747">
        <v>767</v>
      </c>
      <c r="C747">
        <v>124</v>
      </c>
      <c r="D747">
        <v>643</v>
      </c>
      <c r="E747">
        <v>652750</v>
      </c>
      <c r="F747">
        <v>211160</v>
      </c>
      <c r="G747">
        <v>863910</v>
      </c>
      <c r="H747">
        <v>501</v>
      </c>
      <c r="I747">
        <v>45</v>
      </c>
      <c r="J747">
        <v>546</v>
      </c>
      <c r="K747" t="b">
        <f>TrafficData[[#This Row],[disposedChallan]]+TrafficData[[#This Row],[pendingChallan]]=TrafficData[[#This Row],[totalChallan]]</f>
        <v>1</v>
      </c>
      <c r="L747" t="b">
        <f>TrafficData[[#This Row],[pendingAmount]]+TrafficData[[#This Row],[disposedAmount]]=TrafficData[[#This Row],[totalAmount]]</f>
        <v>1</v>
      </c>
      <c r="M747" t="b">
        <f>TrafficData[[#This Row],[pendingCourt]]+TrafficData[[#This Row],[disposedCourt]]=TrafficData[[#This Row],[totalCourt]]</f>
        <v>1</v>
      </c>
      <c r="N747" t="b">
        <f>AND(TrafficData[[#This Row],[disposedChallan]]&lt;=TrafficData[[#This Row],[totalChallan]],TrafficData[[#This Row],[pendingChallan]]&lt;=TrafficData[[#This Row],[totalChallan]])</f>
        <v>1</v>
      </c>
      <c r="O747" t="b">
        <f>AND(TrafficData[[#This Row],[pendingAmount]]&lt;=TrafficData[[#This Row],[totalAmount]],TrafficData[[#This Row],[disposedAmount]]&lt;=TrafficData[[#This Row],[totalAmount]])</f>
        <v>1</v>
      </c>
      <c r="P747" t="b">
        <f>AND(TrafficData[[#This Row],[pendingCourt]]&lt;=TrafficData[[#This Row],[totalCourt]],TrafficData[[#This Row],[disposedCourt]]&lt;=TrafficData[[#This Row],[totalCourt]])</f>
        <v>1</v>
      </c>
    </row>
    <row r="748" spans="1:16">
      <c r="A748" s="1">
        <v>42751</v>
      </c>
      <c r="B748">
        <v>920</v>
      </c>
      <c r="C748">
        <v>200</v>
      </c>
      <c r="D748">
        <v>720</v>
      </c>
      <c r="E748">
        <v>867151</v>
      </c>
      <c r="F748">
        <v>358525</v>
      </c>
      <c r="G748">
        <v>1225676</v>
      </c>
      <c r="H748">
        <v>513</v>
      </c>
      <c r="I748">
        <v>28</v>
      </c>
      <c r="J748">
        <v>541</v>
      </c>
      <c r="K748" t="b">
        <f>TrafficData[[#This Row],[disposedChallan]]+TrafficData[[#This Row],[pendingChallan]]=TrafficData[[#This Row],[totalChallan]]</f>
        <v>1</v>
      </c>
      <c r="L748" t="b">
        <f>TrafficData[[#This Row],[pendingAmount]]+TrafficData[[#This Row],[disposedAmount]]=TrafficData[[#This Row],[totalAmount]]</f>
        <v>1</v>
      </c>
      <c r="M748" t="b">
        <f>TrafficData[[#This Row],[pendingCourt]]+TrafficData[[#This Row],[disposedCourt]]=TrafficData[[#This Row],[totalCourt]]</f>
        <v>1</v>
      </c>
      <c r="N748" t="b">
        <f>AND(TrafficData[[#This Row],[disposedChallan]]&lt;=TrafficData[[#This Row],[totalChallan]],TrafficData[[#This Row],[pendingChallan]]&lt;=TrafficData[[#This Row],[totalChallan]])</f>
        <v>1</v>
      </c>
      <c r="O748" t="b">
        <f>AND(TrafficData[[#This Row],[pendingAmount]]&lt;=TrafficData[[#This Row],[totalAmount]],TrafficData[[#This Row],[disposedAmount]]&lt;=TrafficData[[#This Row],[totalAmount]])</f>
        <v>1</v>
      </c>
      <c r="P748" t="b">
        <f>AND(TrafficData[[#This Row],[pendingCourt]]&lt;=TrafficData[[#This Row],[totalCourt]],TrafficData[[#This Row],[disposedCourt]]&lt;=TrafficData[[#This Row],[totalCourt]])</f>
        <v>1</v>
      </c>
    </row>
    <row r="749" spans="1:16">
      <c r="A749" s="1">
        <v>42752</v>
      </c>
      <c r="B749">
        <v>993</v>
      </c>
      <c r="C749">
        <v>223</v>
      </c>
      <c r="D749">
        <v>770</v>
      </c>
      <c r="E749">
        <v>1256200</v>
      </c>
      <c r="F749">
        <v>371700</v>
      </c>
      <c r="G749">
        <v>1627900</v>
      </c>
      <c r="H749">
        <v>562</v>
      </c>
      <c r="I749">
        <v>50</v>
      </c>
      <c r="J749">
        <v>612</v>
      </c>
      <c r="K749" t="b">
        <f>TrafficData[[#This Row],[disposedChallan]]+TrafficData[[#This Row],[pendingChallan]]=TrafficData[[#This Row],[totalChallan]]</f>
        <v>1</v>
      </c>
      <c r="L749" t="b">
        <f>TrafficData[[#This Row],[pendingAmount]]+TrafficData[[#This Row],[disposedAmount]]=TrafficData[[#This Row],[totalAmount]]</f>
        <v>1</v>
      </c>
      <c r="M749" t="b">
        <f>TrafficData[[#This Row],[pendingCourt]]+TrafficData[[#This Row],[disposedCourt]]=TrafficData[[#This Row],[totalCourt]]</f>
        <v>1</v>
      </c>
      <c r="N749" t="b">
        <f>AND(TrafficData[[#This Row],[disposedChallan]]&lt;=TrafficData[[#This Row],[totalChallan]],TrafficData[[#This Row],[pendingChallan]]&lt;=TrafficData[[#This Row],[totalChallan]])</f>
        <v>1</v>
      </c>
      <c r="O749" t="b">
        <f>AND(TrafficData[[#This Row],[pendingAmount]]&lt;=TrafficData[[#This Row],[totalAmount]],TrafficData[[#This Row],[disposedAmount]]&lt;=TrafficData[[#This Row],[totalAmount]])</f>
        <v>1</v>
      </c>
      <c r="P749" t="b">
        <f>AND(TrafficData[[#This Row],[pendingCourt]]&lt;=TrafficData[[#This Row],[totalCourt]],TrafficData[[#This Row],[disposedCourt]]&lt;=TrafficData[[#This Row],[totalCourt]])</f>
        <v>1</v>
      </c>
    </row>
    <row r="750" spans="1:16">
      <c r="A750" s="1">
        <v>42753</v>
      </c>
      <c r="B750">
        <v>779</v>
      </c>
      <c r="C750">
        <v>190</v>
      </c>
      <c r="D750">
        <v>589</v>
      </c>
      <c r="E750">
        <v>1212190</v>
      </c>
      <c r="F750">
        <v>226850</v>
      </c>
      <c r="G750">
        <v>1439040</v>
      </c>
      <c r="H750">
        <v>431</v>
      </c>
      <c r="I750">
        <v>45</v>
      </c>
      <c r="J750">
        <v>476</v>
      </c>
      <c r="K750" t="b">
        <f>TrafficData[[#This Row],[disposedChallan]]+TrafficData[[#This Row],[pendingChallan]]=TrafficData[[#This Row],[totalChallan]]</f>
        <v>1</v>
      </c>
      <c r="L750" t="b">
        <f>TrafficData[[#This Row],[pendingAmount]]+TrafficData[[#This Row],[disposedAmount]]=TrafficData[[#This Row],[totalAmount]]</f>
        <v>1</v>
      </c>
      <c r="M750" t="b">
        <f>TrafficData[[#This Row],[pendingCourt]]+TrafficData[[#This Row],[disposedCourt]]=TrafficData[[#This Row],[totalCourt]]</f>
        <v>1</v>
      </c>
      <c r="N750" t="b">
        <f>AND(TrafficData[[#This Row],[disposedChallan]]&lt;=TrafficData[[#This Row],[totalChallan]],TrafficData[[#This Row],[pendingChallan]]&lt;=TrafficData[[#This Row],[totalChallan]])</f>
        <v>1</v>
      </c>
      <c r="O750" t="b">
        <f>AND(TrafficData[[#This Row],[pendingAmount]]&lt;=TrafficData[[#This Row],[totalAmount]],TrafficData[[#This Row],[disposedAmount]]&lt;=TrafficData[[#This Row],[totalAmount]])</f>
        <v>1</v>
      </c>
      <c r="P750" t="b">
        <f>AND(TrafficData[[#This Row],[pendingCourt]]&lt;=TrafficData[[#This Row],[totalCourt]],TrafficData[[#This Row],[disposedCourt]]&lt;=TrafficData[[#This Row],[totalCourt]])</f>
        <v>1</v>
      </c>
    </row>
    <row r="751" spans="1:16">
      <c r="A751" s="1">
        <v>42754</v>
      </c>
      <c r="B751">
        <v>914</v>
      </c>
      <c r="C751">
        <v>223</v>
      </c>
      <c r="D751">
        <v>691</v>
      </c>
      <c r="E751">
        <v>1021100</v>
      </c>
      <c r="F751">
        <v>420900</v>
      </c>
      <c r="G751">
        <v>1442000</v>
      </c>
      <c r="H751">
        <v>512</v>
      </c>
      <c r="I751">
        <v>57</v>
      </c>
      <c r="J751">
        <v>569</v>
      </c>
      <c r="K751" t="b">
        <f>TrafficData[[#This Row],[disposedChallan]]+TrafficData[[#This Row],[pendingChallan]]=TrafficData[[#This Row],[totalChallan]]</f>
        <v>1</v>
      </c>
      <c r="L751" t="b">
        <f>TrafficData[[#This Row],[pendingAmount]]+TrafficData[[#This Row],[disposedAmount]]=TrafficData[[#This Row],[totalAmount]]</f>
        <v>1</v>
      </c>
      <c r="M751" t="b">
        <f>TrafficData[[#This Row],[pendingCourt]]+TrafficData[[#This Row],[disposedCourt]]=TrafficData[[#This Row],[totalCourt]]</f>
        <v>1</v>
      </c>
      <c r="N751" t="b">
        <f>AND(TrafficData[[#This Row],[disposedChallan]]&lt;=TrafficData[[#This Row],[totalChallan]],TrafficData[[#This Row],[pendingChallan]]&lt;=TrafficData[[#This Row],[totalChallan]])</f>
        <v>1</v>
      </c>
      <c r="O751" t="b">
        <f>AND(TrafficData[[#This Row],[pendingAmount]]&lt;=TrafficData[[#This Row],[totalAmount]],TrafficData[[#This Row],[disposedAmount]]&lt;=TrafficData[[#This Row],[totalAmount]])</f>
        <v>1</v>
      </c>
      <c r="P751" t="b">
        <f>AND(TrafficData[[#This Row],[pendingCourt]]&lt;=TrafficData[[#This Row],[totalCourt]],TrafficData[[#This Row],[disposedCourt]]&lt;=TrafficData[[#This Row],[totalCourt]])</f>
        <v>1</v>
      </c>
    </row>
    <row r="752" spans="1:16">
      <c r="A752" s="1">
        <v>42755</v>
      </c>
      <c r="B752">
        <v>764</v>
      </c>
      <c r="C752">
        <v>212</v>
      </c>
      <c r="D752">
        <v>552</v>
      </c>
      <c r="E752">
        <v>1300995</v>
      </c>
      <c r="F752">
        <v>559291</v>
      </c>
      <c r="G752">
        <v>1860286</v>
      </c>
      <c r="H752">
        <v>343</v>
      </c>
      <c r="I752">
        <v>47</v>
      </c>
      <c r="J752">
        <v>390</v>
      </c>
      <c r="K752" t="b">
        <f>TrafficData[[#This Row],[disposedChallan]]+TrafficData[[#This Row],[pendingChallan]]=TrafficData[[#This Row],[totalChallan]]</f>
        <v>1</v>
      </c>
      <c r="L752" t="b">
        <f>TrafficData[[#This Row],[pendingAmount]]+TrafficData[[#This Row],[disposedAmount]]=TrafficData[[#This Row],[totalAmount]]</f>
        <v>1</v>
      </c>
      <c r="M752" t="b">
        <f>TrafficData[[#This Row],[pendingCourt]]+TrafficData[[#This Row],[disposedCourt]]=TrafficData[[#This Row],[totalCourt]]</f>
        <v>1</v>
      </c>
      <c r="N752" t="b">
        <f>AND(TrafficData[[#This Row],[disposedChallan]]&lt;=TrafficData[[#This Row],[totalChallan]],TrafficData[[#This Row],[pendingChallan]]&lt;=TrafficData[[#This Row],[totalChallan]])</f>
        <v>1</v>
      </c>
      <c r="O752" t="b">
        <f>AND(TrafficData[[#This Row],[pendingAmount]]&lt;=TrafficData[[#This Row],[totalAmount]],TrafficData[[#This Row],[disposedAmount]]&lt;=TrafficData[[#This Row],[totalAmount]])</f>
        <v>1</v>
      </c>
      <c r="P752" t="b">
        <f>AND(TrafficData[[#This Row],[pendingCourt]]&lt;=TrafficData[[#This Row],[totalCourt]],TrafficData[[#This Row],[disposedCourt]]&lt;=TrafficData[[#This Row],[totalCourt]])</f>
        <v>1</v>
      </c>
    </row>
    <row r="753" spans="1:16">
      <c r="A753" s="1">
        <v>42756</v>
      </c>
      <c r="B753">
        <v>939</v>
      </c>
      <c r="C753">
        <v>243</v>
      </c>
      <c r="D753">
        <v>696</v>
      </c>
      <c r="E753">
        <v>1161550</v>
      </c>
      <c r="F753">
        <v>503100</v>
      </c>
      <c r="G753">
        <v>1664650</v>
      </c>
      <c r="H753">
        <v>504</v>
      </c>
      <c r="I753">
        <v>64</v>
      </c>
      <c r="J753">
        <v>568</v>
      </c>
      <c r="K753" t="b">
        <f>TrafficData[[#This Row],[disposedChallan]]+TrafficData[[#This Row],[pendingChallan]]=TrafficData[[#This Row],[totalChallan]]</f>
        <v>1</v>
      </c>
      <c r="L753" t="b">
        <f>TrafficData[[#This Row],[pendingAmount]]+TrafficData[[#This Row],[disposedAmount]]=TrafficData[[#This Row],[totalAmount]]</f>
        <v>1</v>
      </c>
      <c r="M753" t="b">
        <f>TrafficData[[#This Row],[pendingCourt]]+TrafficData[[#This Row],[disposedCourt]]=TrafficData[[#This Row],[totalCourt]]</f>
        <v>1</v>
      </c>
      <c r="N753" t="b">
        <f>AND(TrafficData[[#This Row],[disposedChallan]]&lt;=TrafficData[[#This Row],[totalChallan]],TrafficData[[#This Row],[pendingChallan]]&lt;=TrafficData[[#This Row],[totalChallan]])</f>
        <v>1</v>
      </c>
      <c r="O753" t="b">
        <f>AND(TrafficData[[#This Row],[pendingAmount]]&lt;=TrafficData[[#This Row],[totalAmount]],TrafficData[[#This Row],[disposedAmount]]&lt;=TrafficData[[#This Row],[totalAmount]])</f>
        <v>1</v>
      </c>
      <c r="P753" t="b">
        <f>AND(TrafficData[[#This Row],[pendingCourt]]&lt;=TrafficData[[#This Row],[totalCourt]],TrafficData[[#This Row],[disposedCourt]]&lt;=TrafficData[[#This Row],[totalCourt]])</f>
        <v>1</v>
      </c>
    </row>
    <row r="754" spans="1:16">
      <c r="A754" s="1">
        <v>42757</v>
      </c>
      <c r="B754">
        <v>730</v>
      </c>
      <c r="C754">
        <v>144</v>
      </c>
      <c r="D754">
        <v>586</v>
      </c>
      <c r="E754">
        <v>560100</v>
      </c>
      <c r="F754">
        <v>200750</v>
      </c>
      <c r="G754">
        <v>760850</v>
      </c>
      <c r="H754">
        <v>437</v>
      </c>
      <c r="I754">
        <v>51</v>
      </c>
      <c r="J754">
        <v>488</v>
      </c>
      <c r="K754" t="b">
        <f>TrafficData[[#This Row],[disposedChallan]]+TrafficData[[#This Row],[pendingChallan]]=TrafficData[[#This Row],[totalChallan]]</f>
        <v>1</v>
      </c>
      <c r="L754" t="b">
        <f>TrafficData[[#This Row],[pendingAmount]]+TrafficData[[#This Row],[disposedAmount]]=TrafficData[[#This Row],[totalAmount]]</f>
        <v>1</v>
      </c>
      <c r="M754" t="b">
        <f>TrafficData[[#This Row],[pendingCourt]]+TrafficData[[#This Row],[disposedCourt]]=TrafficData[[#This Row],[totalCourt]]</f>
        <v>1</v>
      </c>
      <c r="N754" t="b">
        <f>AND(TrafficData[[#This Row],[disposedChallan]]&lt;=TrafficData[[#This Row],[totalChallan]],TrafficData[[#This Row],[pendingChallan]]&lt;=TrafficData[[#This Row],[totalChallan]])</f>
        <v>1</v>
      </c>
      <c r="O754" t="b">
        <f>AND(TrafficData[[#This Row],[pendingAmount]]&lt;=TrafficData[[#This Row],[totalAmount]],TrafficData[[#This Row],[disposedAmount]]&lt;=TrafficData[[#This Row],[totalAmount]])</f>
        <v>1</v>
      </c>
      <c r="P754" t="b">
        <f>AND(TrafficData[[#This Row],[pendingCourt]]&lt;=TrafficData[[#This Row],[totalCourt]],TrafficData[[#This Row],[disposedCourt]]&lt;=TrafficData[[#This Row],[totalCourt]])</f>
        <v>1</v>
      </c>
    </row>
    <row r="755" spans="1:16">
      <c r="A755" s="1">
        <v>42758</v>
      </c>
      <c r="B755">
        <v>583</v>
      </c>
      <c r="C755">
        <v>165</v>
      </c>
      <c r="D755">
        <v>418</v>
      </c>
      <c r="E755">
        <v>942075</v>
      </c>
      <c r="F755">
        <v>328050</v>
      </c>
      <c r="G755">
        <v>1270125</v>
      </c>
      <c r="H755">
        <v>207</v>
      </c>
      <c r="I755">
        <v>24</v>
      </c>
      <c r="J755">
        <v>231</v>
      </c>
      <c r="K755" t="b">
        <f>TrafficData[[#This Row],[disposedChallan]]+TrafficData[[#This Row],[pendingChallan]]=TrafficData[[#This Row],[totalChallan]]</f>
        <v>1</v>
      </c>
      <c r="L755" t="b">
        <f>TrafficData[[#This Row],[pendingAmount]]+TrafficData[[#This Row],[disposedAmount]]=TrafficData[[#This Row],[totalAmount]]</f>
        <v>1</v>
      </c>
      <c r="M755" t="b">
        <f>TrafficData[[#This Row],[pendingCourt]]+TrafficData[[#This Row],[disposedCourt]]=TrafficData[[#This Row],[totalCourt]]</f>
        <v>1</v>
      </c>
      <c r="N755" t="b">
        <f>AND(TrafficData[[#This Row],[disposedChallan]]&lt;=TrafficData[[#This Row],[totalChallan]],TrafficData[[#This Row],[pendingChallan]]&lt;=TrafficData[[#This Row],[totalChallan]])</f>
        <v>1</v>
      </c>
      <c r="O755" t="b">
        <f>AND(TrafficData[[#This Row],[pendingAmount]]&lt;=TrafficData[[#This Row],[totalAmount]],TrafficData[[#This Row],[disposedAmount]]&lt;=TrafficData[[#This Row],[totalAmount]])</f>
        <v>1</v>
      </c>
      <c r="P755" t="b">
        <f>AND(TrafficData[[#This Row],[pendingCourt]]&lt;=TrafficData[[#This Row],[totalCourt]],TrafficData[[#This Row],[disposedCourt]]&lt;=TrafficData[[#This Row],[totalCourt]])</f>
        <v>1</v>
      </c>
    </row>
    <row r="756" spans="1:16">
      <c r="A756" s="1">
        <v>42759</v>
      </c>
      <c r="B756">
        <v>651</v>
      </c>
      <c r="C756">
        <v>172</v>
      </c>
      <c r="D756">
        <v>479</v>
      </c>
      <c r="E756">
        <v>1159835</v>
      </c>
      <c r="F756">
        <v>605950</v>
      </c>
      <c r="G756">
        <v>1765785</v>
      </c>
      <c r="H756">
        <v>287</v>
      </c>
      <c r="I756">
        <v>28</v>
      </c>
      <c r="J756">
        <v>315</v>
      </c>
      <c r="K756" t="b">
        <f>TrafficData[[#This Row],[disposedChallan]]+TrafficData[[#This Row],[pendingChallan]]=TrafficData[[#This Row],[totalChallan]]</f>
        <v>1</v>
      </c>
      <c r="L756" t="b">
        <f>TrafficData[[#This Row],[pendingAmount]]+TrafficData[[#This Row],[disposedAmount]]=TrafficData[[#This Row],[totalAmount]]</f>
        <v>1</v>
      </c>
      <c r="M756" t="b">
        <f>TrafficData[[#This Row],[pendingCourt]]+TrafficData[[#This Row],[disposedCourt]]=TrafficData[[#This Row],[totalCourt]]</f>
        <v>1</v>
      </c>
      <c r="N756" t="b">
        <f>AND(TrafficData[[#This Row],[disposedChallan]]&lt;=TrafficData[[#This Row],[totalChallan]],TrafficData[[#This Row],[pendingChallan]]&lt;=TrafficData[[#This Row],[totalChallan]])</f>
        <v>1</v>
      </c>
      <c r="O756" t="b">
        <f>AND(TrafficData[[#This Row],[pendingAmount]]&lt;=TrafficData[[#This Row],[totalAmount]],TrafficData[[#This Row],[disposedAmount]]&lt;=TrafficData[[#This Row],[totalAmount]])</f>
        <v>1</v>
      </c>
      <c r="P756" t="b">
        <f>AND(TrafficData[[#This Row],[pendingCourt]]&lt;=TrafficData[[#This Row],[totalCourt]],TrafficData[[#This Row],[disposedCourt]]&lt;=TrafficData[[#This Row],[totalCourt]])</f>
        <v>1</v>
      </c>
    </row>
    <row r="757" spans="1:16">
      <c r="A757" s="1">
        <v>42760</v>
      </c>
      <c r="B757">
        <v>1051</v>
      </c>
      <c r="C757">
        <v>219</v>
      </c>
      <c r="D757">
        <v>832</v>
      </c>
      <c r="E757">
        <v>904400</v>
      </c>
      <c r="F757">
        <v>583705</v>
      </c>
      <c r="G757">
        <v>1488105</v>
      </c>
      <c r="H757">
        <v>670</v>
      </c>
      <c r="I757">
        <v>14</v>
      </c>
      <c r="J757">
        <v>684</v>
      </c>
      <c r="K757" t="b">
        <f>TrafficData[[#This Row],[disposedChallan]]+TrafficData[[#This Row],[pendingChallan]]=TrafficData[[#This Row],[totalChallan]]</f>
        <v>1</v>
      </c>
      <c r="L757" t="b">
        <f>TrafficData[[#This Row],[pendingAmount]]+TrafficData[[#This Row],[disposedAmount]]=TrafficData[[#This Row],[totalAmount]]</f>
        <v>1</v>
      </c>
      <c r="M757" t="b">
        <f>TrafficData[[#This Row],[pendingCourt]]+TrafficData[[#This Row],[disposedCourt]]=TrafficData[[#This Row],[totalCourt]]</f>
        <v>1</v>
      </c>
      <c r="N757" t="b">
        <f>AND(TrafficData[[#This Row],[disposedChallan]]&lt;=TrafficData[[#This Row],[totalChallan]],TrafficData[[#This Row],[pendingChallan]]&lt;=TrafficData[[#This Row],[totalChallan]])</f>
        <v>1</v>
      </c>
      <c r="O757" t="b">
        <f>AND(TrafficData[[#This Row],[pendingAmount]]&lt;=TrafficData[[#This Row],[totalAmount]],TrafficData[[#This Row],[disposedAmount]]&lt;=TrafficData[[#This Row],[totalAmount]])</f>
        <v>1</v>
      </c>
      <c r="P757" t="b">
        <f>AND(TrafficData[[#This Row],[pendingCourt]]&lt;=TrafficData[[#This Row],[totalCourt]],TrafficData[[#This Row],[disposedCourt]]&lt;=TrafficData[[#This Row],[totalCourt]])</f>
        <v>1</v>
      </c>
    </row>
    <row r="758" spans="1:16">
      <c r="A758" s="1">
        <v>42761</v>
      </c>
      <c r="B758">
        <v>319</v>
      </c>
      <c r="C758">
        <v>50</v>
      </c>
      <c r="D758">
        <v>269</v>
      </c>
      <c r="E758">
        <v>314200</v>
      </c>
      <c r="F758">
        <v>191250</v>
      </c>
      <c r="G758">
        <v>505450</v>
      </c>
      <c r="H758">
        <v>149</v>
      </c>
      <c r="I758">
        <v>5</v>
      </c>
      <c r="J758">
        <v>154</v>
      </c>
      <c r="K758" t="b">
        <f>TrafficData[[#This Row],[disposedChallan]]+TrafficData[[#This Row],[pendingChallan]]=TrafficData[[#This Row],[totalChallan]]</f>
        <v>1</v>
      </c>
      <c r="L758" t="b">
        <f>TrafficData[[#This Row],[pendingAmount]]+TrafficData[[#This Row],[disposedAmount]]=TrafficData[[#This Row],[totalAmount]]</f>
        <v>1</v>
      </c>
      <c r="M758" t="b">
        <f>TrafficData[[#This Row],[pendingCourt]]+TrafficData[[#This Row],[disposedCourt]]=TrafficData[[#This Row],[totalCourt]]</f>
        <v>1</v>
      </c>
      <c r="N758" t="b">
        <f>AND(TrafficData[[#This Row],[disposedChallan]]&lt;=TrafficData[[#This Row],[totalChallan]],TrafficData[[#This Row],[pendingChallan]]&lt;=TrafficData[[#This Row],[totalChallan]])</f>
        <v>1</v>
      </c>
      <c r="O758" t="b">
        <f>AND(TrafficData[[#This Row],[pendingAmount]]&lt;=TrafficData[[#This Row],[totalAmount]],TrafficData[[#This Row],[disposedAmount]]&lt;=TrafficData[[#This Row],[totalAmount]])</f>
        <v>1</v>
      </c>
      <c r="P758" t="b">
        <f>AND(TrafficData[[#This Row],[pendingCourt]]&lt;=TrafficData[[#This Row],[totalCourt]],TrafficData[[#This Row],[disposedCourt]]&lt;=TrafficData[[#This Row],[totalCourt]])</f>
        <v>1</v>
      </c>
    </row>
    <row r="759" spans="1:16">
      <c r="A759" s="1">
        <v>42762</v>
      </c>
      <c r="B759">
        <v>710</v>
      </c>
      <c r="C759">
        <v>308</v>
      </c>
      <c r="D759">
        <v>402</v>
      </c>
      <c r="E759">
        <v>928709</v>
      </c>
      <c r="F759">
        <v>596910</v>
      </c>
      <c r="G759">
        <v>1525619</v>
      </c>
      <c r="H759">
        <v>266</v>
      </c>
      <c r="I759">
        <v>30</v>
      </c>
      <c r="J759">
        <v>296</v>
      </c>
      <c r="K759" t="b">
        <f>TrafficData[[#This Row],[disposedChallan]]+TrafficData[[#This Row],[pendingChallan]]=TrafficData[[#This Row],[totalChallan]]</f>
        <v>1</v>
      </c>
      <c r="L759" t="b">
        <f>TrafficData[[#This Row],[pendingAmount]]+TrafficData[[#This Row],[disposedAmount]]=TrafficData[[#This Row],[totalAmount]]</f>
        <v>1</v>
      </c>
      <c r="M759" t="b">
        <f>TrafficData[[#This Row],[pendingCourt]]+TrafficData[[#This Row],[disposedCourt]]=TrafficData[[#This Row],[totalCourt]]</f>
        <v>1</v>
      </c>
      <c r="N759" t="b">
        <f>AND(TrafficData[[#This Row],[disposedChallan]]&lt;=TrafficData[[#This Row],[totalChallan]],TrafficData[[#This Row],[pendingChallan]]&lt;=TrafficData[[#This Row],[totalChallan]])</f>
        <v>1</v>
      </c>
      <c r="O759" t="b">
        <f>AND(TrafficData[[#This Row],[pendingAmount]]&lt;=TrafficData[[#This Row],[totalAmount]],TrafficData[[#This Row],[disposedAmount]]&lt;=TrafficData[[#This Row],[totalAmount]])</f>
        <v>1</v>
      </c>
      <c r="P759" t="b">
        <f>AND(TrafficData[[#This Row],[pendingCourt]]&lt;=TrafficData[[#This Row],[totalCourt]],TrafficData[[#This Row],[disposedCourt]]&lt;=TrafficData[[#This Row],[totalCourt]])</f>
        <v>1</v>
      </c>
    </row>
    <row r="760" spans="1:16">
      <c r="A760" s="1">
        <v>42763</v>
      </c>
      <c r="B760">
        <v>693</v>
      </c>
      <c r="C760">
        <v>222</v>
      </c>
      <c r="D760">
        <v>471</v>
      </c>
      <c r="E760">
        <v>1129950</v>
      </c>
      <c r="F760">
        <v>436480</v>
      </c>
      <c r="G760">
        <v>1566430</v>
      </c>
      <c r="H760">
        <v>328</v>
      </c>
      <c r="I760">
        <v>48</v>
      </c>
      <c r="J760">
        <v>376</v>
      </c>
      <c r="K760" t="b">
        <f>TrafficData[[#This Row],[disposedChallan]]+TrafficData[[#This Row],[pendingChallan]]=TrafficData[[#This Row],[totalChallan]]</f>
        <v>1</v>
      </c>
      <c r="L760" t="b">
        <f>TrafficData[[#This Row],[pendingAmount]]+TrafficData[[#This Row],[disposedAmount]]=TrafficData[[#This Row],[totalAmount]]</f>
        <v>1</v>
      </c>
      <c r="M760" t="b">
        <f>TrafficData[[#This Row],[pendingCourt]]+TrafficData[[#This Row],[disposedCourt]]=TrafficData[[#This Row],[totalCourt]]</f>
        <v>1</v>
      </c>
      <c r="N760" t="b">
        <f>AND(TrafficData[[#This Row],[disposedChallan]]&lt;=TrafficData[[#This Row],[totalChallan]],TrafficData[[#This Row],[pendingChallan]]&lt;=TrafficData[[#This Row],[totalChallan]])</f>
        <v>1</v>
      </c>
      <c r="O760" t="b">
        <f>AND(TrafficData[[#This Row],[pendingAmount]]&lt;=TrafficData[[#This Row],[totalAmount]],TrafficData[[#This Row],[disposedAmount]]&lt;=TrafficData[[#This Row],[totalAmount]])</f>
        <v>1</v>
      </c>
      <c r="P760" t="b">
        <f>AND(TrafficData[[#This Row],[pendingCourt]]&lt;=TrafficData[[#This Row],[totalCourt]],TrafficData[[#This Row],[disposedCourt]]&lt;=TrafficData[[#This Row],[totalCourt]])</f>
        <v>1</v>
      </c>
    </row>
    <row r="761" spans="1:16">
      <c r="A761" s="1">
        <v>42764</v>
      </c>
      <c r="B761">
        <v>789</v>
      </c>
      <c r="C761">
        <v>265</v>
      </c>
      <c r="D761">
        <v>524</v>
      </c>
      <c r="E761">
        <v>1059050</v>
      </c>
      <c r="F761">
        <v>783378</v>
      </c>
      <c r="G761">
        <v>1842428</v>
      </c>
      <c r="H761">
        <v>414</v>
      </c>
      <c r="I761">
        <v>33</v>
      </c>
      <c r="J761">
        <v>447</v>
      </c>
      <c r="K761" t="b">
        <f>TrafficData[[#This Row],[disposedChallan]]+TrafficData[[#This Row],[pendingChallan]]=TrafficData[[#This Row],[totalChallan]]</f>
        <v>1</v>
      </c>
      <c r="L761" t="b">
        <f>TrafficData[[#This Row],[pendingAmount]]+TrafficData[[#This Row],[disposedAmount]]=TrafficData[[#This Row],[totalAmount]]</f>
        <v>1</v>
      </c>
      <c r="M761" t="b">
        <f>TrafficData[[#This Row],[pendingCourt]]+TrafficData[[#This Row],[disposedCourt]]=TrafficData[[#This Row],[totalCourt]]</f>
        <v>1</v>
      </c>
      <c r="N761" t="b">
        <f>AND(TrafficData[[#This Row],[disposedChallan]]&lt;=TrafficData[[#This Row],[totalChallan]],TrafficData[[#This Row],[pendingChallan]]&lt;=TrafficData[[#This Row],[totalChallan]])</f>
        <v>1</v>
      </c>
      <c r="O761" t="b">
        <f>AND(TrafficData[[#This Row],[pendingAmount]]&lt;=TrafficData[[#This Row],[totalAmount]],TrafficData[[#This Row],[disposedAmount]]&lt;=TrafficData[[#This Row],[totalAmount]])</f>
        <v>1</v>
      </c>
      <c r="P761" t="b">
        <f>AND(TrafficData[[#This Row],[pendingCourt]]&lt;=TrafficData[[#This Row],[totalCourt]],TrafficData[[#This Row],[disposedCourt]]&lt;=TrafficData[[#This Row],[totalCourt]])</f>
        <v>1</v>
      </c>
    </row>
    <row r="762" spans="1:16">
      <c r="A762" s="1">
        <v>42765</v>
      </c>
      <c r="B762">
        <v>807</v>
      </c>
      <c r="C762">
        <v>286</v>
      </c>
      <c r="D762">
        <v>521</v>
      </c>
      <c r="E762">
        <v>1250050</v>
      </c>
      <c r="F762">
        <v>791760</v>
      </c>
      <c r="G762">
        <v>2041810</v>
      </c>
      <c r="H762">
        <v>318</v>
      </c>
      <c r="I762">
        <v>52</v>
      </c>
      <c r="J762">
        <v>370</v>
      </c>
      <c r="K762" t="b">
        <f>TrafficData[[#This Row],[disposedChallan]]+TrafficData[[#This Row],[pendingChallan]]=TrafficData[[#This Row],[totalChallan]]</f>
        <v>1</v>
      </c>
      <c r="L762" t="b">
        <f>TrafficData[[#This Row],[pendingAmount]]+TrafficData[[#This Row],[disposedAmount]]=TrafficData[[#This Row],[totalAmount]]</f>
        <v>1</v>
      </c>
      <c r="M762" t="b">
        <f>TrafficData[[#This Row],[pendingCourt]]+TrafficData[[#This Row],[disposedCourt]]=TrafficData[[#This Row],[totalCourt]]</f>
        <v>1</v>
      </c>
      <c r="N762" t="b">
        <f>AND(TrafficData[[#This Row],[disposedChallan]]&lt;=TrafficData[[#This Row],[totalChallan]],TrafficData[[#This Row],[pendingChallan]]&lt;=TrafficData[[#This Row],[totalChallan]])</f>
        <v>1</v>
      </c>
      <c r="O762" t="b">
        <f>AND(TrafficData[[#This Row],[pendingAmount]]&lt;=TrafficData[[#This Row],[totalAmount]],TrafficData[[#This Row],[disposedAmount]]&lt;=TrafficData[[#This Row],[totalAmount]])</f>
        <v>1</v>
      </c>
      <c r="P762" t="b">
        <f>AND(TrafficData[[#This Row],[pendingCourt]]&lt;=TrafficData[[#This Row],[totalCourt]],TrafficData[[#This Row],[disposedCourt]]&lt;=TrafficData[[#This Row],[totalCourt]])</f>
        <v>1</v>
      </c>
    </row>
    <row r="763" spans="1:16">
      <c r="A763" s="1">
        <v>42766</v>
      </c>
      <c r="B763">
        <v>797</v>
      </c>
      <c r="C763">
        <v>221</v>
      </c>
      <c r="D763">
        <v>576</v>
      </c>
      <c r="E763">
        <v>766900</v>
      </c>
      <c r="F763">
        <v>357350</v>
      </c>
      <c r="G763">
        <v>1124250</v>
      </c>
      <c r="H763">
        <v>349</v>
      </c>
      <c r="I763">
        <v>41</v>
      </c>
      <c r="J763">
        <v>390</v>
      </c>
      <c r="K763" t="b">
        <f>TrafficData[[#This Row],[disposedChallan]]+TrafficData[[#This Row],[pendingChallan]]=TrafficData[[#This Row],[totalChallan]]</f>
        <v>1</v>
      </c>
      <c r="L763" t="b">
        <f>TrafficData[[#This Row],[pendingAmount]]+TrafficData[[#This Row],[disposedAmount]]=TrafficData[[#This Row],[totalAmount]]</f>
        <v>1</v>
      </c>
      <c r="M763" t="b">
        <f>TrafficData[[#This Row],[pendingCourt]]+TrafficData[[#This Row],[disposedCourt]]=TrafficData[[#This Row],[totalCourt]]</f>
        <v>1</v>
      </c>
      <c r="N763" t="b">
        <f>AND(TrafficData[[#This Row],[disposedChallan]]&lt;=TrafficData[[#This Row],[totalChallan]],TrafficData[[#This Row],[pendingChallan]]&lt;=TrafficData[[#This Row],[totalChallan]])</f>
        <v>1</v>
      </c>
      <c r="O763" t="b">
        <f>AND(TrafficData[[#This Row],[pendingAmount]]&lt;=TrafficData[[#This Row],[totalAmount]],TrafficData[[#This Row],[disposedAmount]]&lt;=TrafficData[[#This Row],[totalAmount]])</f>
        <v>1</v>
      </c>
      <c r="P763" t="b">
        <f>AND(TrafficData[[#This Row],[pendingCourt]]&lt;=TrafficData[[#This Row],[totalCourt]],TrafficData[[#This Row],[disposedCourt]]&lt;=TrafficData[[#This Row],[totalCourt]])</f>
        <v>1</v>
      </c>
    </row>
    <row r="764" spans="1:16">
      <c r="A764" s="1">
        <v>42767</v>
      </c>
      <c r="B764">
        <v>765</v>
      </c>
      <c r="C764">
        <v>111</v>
      </c>
      <c r="D764">
        <v>654</v>
      </c>
      <c r="E764">
        <v>1654900</v>
      </c>
      <c r="F764">
        <v>526065</v>
      </c>
      <c r="G764">
        <v>2180965</v>
      </c>
      <c r="H764">
        <v>476</v>
      </c>
      <c r="I764">
        <v>12</v>
      </c>
      <c r="J764">
        <v>488</v>
      </c>
      <c r="K764" t="b">
        <f>TrafficData[[#This Row],[disposedChallan]]+TrafficData[[#This Row],[pendingChallan]]=TrafficData[[#This Row],[totalChallan]]</f>
        <v>1</v>
      </c>
      <c r="L764" t="b">
        <f>TrafficData[[#This Row],[pendingAmount]]+TrafficData[[#This Row],[disposedAmount]]=TrafficData[[#This Row],[totalAmount]]</f>
        <v>1</v>
      </c>
      <c r="M764" t="b">
        <f>TrafficData[[#This Row],[pendingCourt]]+TrafficData[[#This Row],[disposedCourt]]=TrafficData[[#This Row],[totalCourt]]</f>
        <v>1</v>
      </c>
      <c r="N764" t="b">
        <f>AND(TrafficData[[#This Row],[disposedChallan]]&lt;=TrafficData[[#This Row],[totalChallan]],TrafficData[[#This Row],[pendingChallan]]&lt;=TrafficData[[#This Row],[totalChallan]])</f>
        <v>1</v>
      </c>
      <c r="O764" t="b">
        <f>AND(TrafficData[[#This Row],[pendingAmount]]&lt;=TrafficData[[#This Row],[totalAmount]],TrafficData[[#This Row],[disposedAmount]]&lt;=TrafficData[[#This Row],[totalAmount]])</f>
        <v>1</v>
      </c>
      <c r="P764" t="b">
        <f>AND(TrafficData[[#This Row],[pendingCourt]]&lt;=TrafficData[[#This Row],[totalCourt]],TrafficData[[#This Row],[disposedCourt]]&lt;=TrafficData[[#This Row],[totalCourt]])</f>
        <v>1</v>
      </c>
    </row>
    <row r="765" spans="1:16">
      <c r="A765" s="1">
        <v>42768</v>
      </c>
      <c r="B765">
        <v>800</v>
      </c>
      <c r="C765">
        <v>141</v>
      </c>
      <c r="D765">
        <v>659</v>
      </c>
      <c r="E765">
        <v>822200</v>
      </c>
      <c r="F765">
        <v>354063</v>
      </c>
      <c r="G765">
        <v>1176263</v>
      </c>
      <c r="H765">
        <v>434</v>
      </c>
      <c r="I765">
        <v>34</v>
      </c>
      <c r="J765">
        <v>468</v>
      </c>
      <c r="K765" t="b">
        <f>TrafficData[[#This Row],[disposedChallan]]+TrafficData[[#This Row],[pendingChallan]]=TrafficData[[#This Row],[totalChallan]]</f>
        <v>1</v>
      </c>
      <c r="L765" t="b">
        <f>TrafficData[[#This Row],[pendingAmount]]+TrafficData[[#This Row],[disposedAmount]]=TrafficData[[#This Row],[totalAmount]]</f>
        <v>1</v>
      </c>
      <c r="M765" t="b">
        <f>TrafficData[[#This Row],[pendingCourt]]+TrafficData[[#This Row],[disposedCourt]]=TrafficData[[#This Row],[totalCourt]]</f>
        <v>1</v>
      </c>
      <c r="N765" t="b">
        <f>AND(TrafficData[[#This Row],[disposedChallan]]&lt;=TrafficData[[#This Row],[totalChallan]],TrafficData[[#This Row],[pendingChallan]]&lt;=TrafficData[[#This Row],[totalChallan]])</f>
        <v>1</v>
      </c>
      <c r="O765" t="b">
        <f>AND(TrafficData[[#This Row],[pendingAmount]]&lt;=TrafficData[[#This Row],[totalAmount]],TrafficData[[#This Row],[disposedAmount]]&lt;=TrafficData[[#This Row],[totalAmount]])</f>
        <v>1</v>
      </c>
      <c r="P765" t="b">
        <f>AND(TrafficData[[#This Row],[pendingCourt]]&lt;=TrafficData[[#This Row],[totalCourt]],TrafficData[[#This Row],[disposedCourt]]&lt;=TrafficData[[#This Row],[totalCourt]])</f>
        <v>1</v>
      </c>
    </row>
    <row r="766" spans="1:16">
      <c r="A766" s="1">
        <v>42769</v>
      </c>
      <c r="B766">
        <v>910</v>
      </c>
      <c r="C766">
        <v>164</v>
      </c>
      <c r="D766">
        <v>746</v>
      </c>
      <c r="E766">
        <v>1477000</v>
      </c>
      <c r="F766">
        <v>346300</v>
      </c>
      <c r="G766">
        <v>1823300</v>
      </c>
      <c r="H766">
        <v>461</v>
      </c>
      <c r="I766">
        <v>32</v>
      </c>
      <c r="J766">
        <v>493</v>
      </c>
      <c r="K766" t="b">
        <f>TrafficData[[#This Row],[disposedChallan]]+TrafficData[[#This Row],[pendingChallan]]=TrafficData[[#This Row],[totalChallan]]</f>
        <v>1</v>
      </c>
      <c r="L766" t="b">
        <f>TrafficData[[#This Row],[pendingAmount]]+TrafficData[[#This Row],[disposedAmount]]=TrafficData[[#This Row],[totalAmount]]</f>
        <v>1</v>
      </c>
      <c r="M766" t="b">
        <f>TrafficData[[#This Row],[pendingCourt]]+TrafficData[[#This Row],[disposedCourt]]=TrafficData[[#This Row],[totalCourt]]</f>
        <v>1</v>
      </c>
      <c r="N766" t="b">
        <f>AND(TrafficData[[#This Row],[disposedChallan]]&lt;=TrafficData[[#This Row],[totalChallan]],TrafficData[[#This Row],[pendingChallan]]&lt;=TrafficData[[#This Row],[totalChallan]])</f>
        <v>1</v>
      </c>
      <c r="O766" t="b">
        <f>AND(TrafficData[[#This Row],[pendingAmount]]&lt;=TrafficData[[#This Row],[totalAmount]],TrafficData[[#This Row],[disposedAmount]]&lt;=TrafficData[[#This Row],[totalAmount]])</f>
        <v>1</v>
      </c>
      <c r="P766" t="b">
        <f>AND(TrafficData[[#This Row],[pendingCourt]]&lt;=TrafficData[[#This Row],[totalCourt]],TrafficData[[#This Row],[disposedCourt]]&lt;=TrafficData[[#This Row],[totalCourt]])</f>
        <v>1</v>
      </c>
    </row>
    <row r="767" spans="1:16">
      <c r="A767" s="1">
        <v>42770</v>
      </c>
      <c r="B767">
        <v>872</v>
      </c>
      <c r="C767">
        <v>123</v>
      </c>
      <c r="D767">
        <v>749</v>
      </c>
      <c r="E767">
        <v>657100</v>
      </c>
      <c r="F767">
        <v>276151</v>
      </c>
      <c r="G767">
        <v>933251</v>
      </c>
      <c r="H767">
        <v>572</v>
      </c>
      <c r="I767">
        <v>22</v>
      </c>
      <c r="J767">
        <v>594</v>
      </c>
      <c r="K767" t="b">
        <f>TrafficData[[#This Row],[disposedChallan]]+TrafficData[[#This Row],[pendingChallan]]=TrafficData[[#This Row],[totalChallan]]</f>
        <v>1</v>
      </c>
      <c r="L767" t="b">
        <f>TrafficData[[#This Row],[pendingAmount]]+TrafficData[[#This Row],[disposedAmount]]=TrafficData[[#This Row],[totalAmount]]</f>
        <v>1</v>
      </c>
      <c r="M767" t="b">
        <f>TrafficData[[#This Row],[pendingCourt]]+TrafficData[[#This Row],[disposedCourt]]=TrafficData[[#This Row],[totalCourt]]</f>
        <v>1</v>
      </c>
      <c r="N767" t="b">
        <f>AND(TrafficData[[#This Row],[disposedChallan]]&lt;=TrafficData[[#This Row],[totalChallan]],TrafficData[[#This Row],[pendingChallan]]&lt;=TrafficData[[#This Row],[totalChallan]])</f>
        <v>1</v>
      </c>
      <c r="O767" t="b">
        <f>AND(TrafficData[[#This Row],[pendingAmount]]&lt;=TrafficData[[#This Row],[totalAmount]],TrafficData[[#This Row],[disposedAmount]]&lt;=TrafficData[[#This Row],[totalAmount]])</f>
        <v>1</v>
      </c>
      <c r="P767" t="b">
        <f>AND(TrafficData[[#This Row],[pendingCourt]]&lt;=TrafficData[[#This Row],[totalCourt]],TrafficData[[#This Row],[disposedCourt]]&lt;=TrafficData[[#This Row],[totalCourt]])</f>
        <v>1</v>
      </c>
    </row>
    <row r="768" spans="1:16">
      <c r="A768" s="1">
        <v>42771</v>
      </c>
      <c r="B768">
        <v>612</v>
      </c>
      <c r="C768">
        <v>92</v>
      </c>
      <c r="D768">
        <v>520</v>
      </c>
      <c r="E768">
        <v>867920</v>
      </c>
      <c r="F768">
        <v>142150</v>
      </c>
      <c r="G768">
        <v>1010070</v>
      </c>
      <c r="H768">
        <v>385</v>
      </c>
      <c r="I768">
        <v>24</v>
      </c>
      <c r="J768">
        <v>409</v>
      </c>
      <c r="K768" t="b">
        <f>TrafficData[[#This Row],[disposedChallan]]+TrafficData[[#This Row],[pendingChallan]]=TrafficData[[#This Row],[totalChallan]]</f>
        <v>1</v>
      </c>
      <c r="L768" t="b">
        <f>TrafficData[[#This Row],[pendingAmount]]+TrafficData[[#This Row],[disposedAmount]]=TrafficData[[#This Row],[totalAmount]]</f>
        <v>1</v>
      </c>
      <c r="M768" t="b">
        <f>TrafficData[[#This Row],[pendingCourt]]+TrafficData[[#This Row],[disposedCourt]]=TrafficData[[#This Row],[totalCourt]]</f>
        <v>1</v>
      </c>
      <c r="N768" t="b">
        <f>AND(TrafficData[[#This Row],[disposedChallan]]&lt;=TrafficData[[#This Row],[totalChallan]],TrafficData[[#This Row],[pendingChallan]]&lt;=TrafficData[[#This Row],[totalChallan]])</f>
        <v>1</v>
      </c>
      <c r="O768" t="b">
        <f>AND(TrafficData[[#This Row],[pendingAmount]]&lt;=TrafficData[[#This Row],[totalAmount]],TrafficData[[#This Row],[disposedAmount]]&lt;=TrafficData[[#This Row],[totalAmount]])</f>
        <v>1</v>
      </c>
      <c r="P768" t="b">
        <f>AND(TrafficData[[#This Row],[pendingCourt]]&lt;=TrafficData[[#This Row],[totalCourt]],TrafficData[[#This Row],[disposedCourt]]&lt;=TrafficData[[#This Row],[totalCourt]])</f>
        <v>1</v>
      </c>
    </row>
    <row r="769" spans="1:16">
      <c r="A769" s="1">
        <v>42772</v>
      </c>
      <c r="B769">
        <v>923</v>
      </c>
      <c r="C769">
        <v>187</v>
      </c>
      <c r="D769">
        <v>736</v>
      </c>
      <c r="E769">
        <v>772400</v>
      </c>
      <c r="F769">
        <v>457590</v>
      </c>
      <c r="G769">
        <v>1229990</v>
      </c>
      <c r="H769">
        <v>508</v>
      </c>
      <c r="I769">
        <v>39</v>
      </c>
      <c r="J769">
        <v>547</v>
      </c>
      <c r="K769" t="b">
        <f>TrafficData[[#This Row],[disposedChallan]]+TrafficData[[#This Row],[pendingChallan]]=TrafficData[[#This Row],[totalChallan]]</f>
        <v>1</v>
      </c>
      <c r="L769" t="b">
        <f>TrafficData[[#This Row],[pendingAmount]]+TrafficData[[#This Row],[disposedAmount]]=TrafficData[[#This Row],[totalAmount]]</f>
        <v>1</v>
      </c>
      <c r="M769" t="b">
        <f>TrafficData[[#This Row],[pendingCourt]]+TrafficData[[#This Row],[disposedCourt]]=TrafficData[[#This Row],[totalCourt]]</f>
        <v>1</v>
      </c>
      <c r="N769" t="b">
        <f>AND(TrafficData[[#This Row],[disposedChallan]]&lt;=TrafficData[[#This Row],[totalChallan]],TrafficData[[#This Row],[pendingChallan]]&lt;=TrafficData[[#This Row],[totalChallan]])</f>
        <v>1</v>
      </c>
      <c r="O769" t="b">
        <f>AND(TrafficData[[#This Row],[pendingAmount]]&lt;=TrafficData[[#This Row],[totalAmount]],TrafficData[[#This Row],[disposedAmount]]&lt;=TrafficData[[#This Row],[totalAmount]])</f>
        <v>1</v>
      </c>
      <c r="P769" t="b">
        <f>AND(TrafficData[[#This Row],[pendingCourt]]&lt;=TrafficData[[#This Row],[totalCourt]],TrafficData[[#This Row],[disposedCourt]]&lt;=TrafficData[[#This Row],[totalCourt]])</f>
        <v>1</v>
      </c>
    </row>
    <row r="770" spans="1:16">
      <c r="A770" s="1">
        <v>42773</v>
      </c>
      <c r="B770">
        <v>1050</v>
      </c>
      <c r="C770">
        <v>185</v>
      </c>
      <c r="D770">
        <v>865</v>
      </c>
      <c r="E770">
        <v>1112250</v>
      </c>
      <c r="F770">
        <v>457325</v>
      </c>
      <c r="G770">
        <v>1569575</v>
      </c>
      <c r="H770">
        <v>635</v>
      </c>
      <c r="I770">
        <v>34</v>
      </c>
      <c r="J770">
        <v>669</v>
      </c>
      <c r="K770" t="b">
        <f>TrafficData[[#This Row],[disposedChallan]]+TrafficData[[#This Row],[pendingChallan]]=TrafficData[[#This Row],[totalChallan]]</f>
        <v>1</v>
      </c>
      <c r="L770" t="b">
        <f>TrafficData[[#This Row],[pendingAmount]]+TrafficData[[#This Row],[disposedAmount]]=TrafficData[[#This Row],[totalAmount]]</f>
        <v>1</v>
      </c>
      <c r="M770" t="b">
        <f>TrafficData[[#This Row],[pendingCourt]]+TrafficData[[#This Row],[disposedCourt]]=TrafficData[[#This Row],[totalCourt]]</f>
        <v>1</v>
      </c>
      <c r="N770" t="b">
        <f>AND(TrafficData[[#This Row],[disposedChallan]]&lt;=TrafficData[[#This Row],[totalChallan]],TrafficData[[#This Row],[pendingChallan]]&lt;=TrafficData[[#This Row],[totalChallan]])</f>
        <v>1</v>
      </c>
      <c r="O770" t="b">
        <f>AND(TrafficData[[#This Row],[pendingAmount]]&lt;=TrafficData[[#This Row],[totalAmount]],TrafficData[[#This Row],[disposedAmount]]&lt;=TrafficData[[#This Row],[totalAmount]])</f>
        <v>1</v>
      </c>
      <c r="P770" t="b">
        <f>AND(TrafficData[[#This Row],[pendingCourt]]&lt;=TrafficData[[#This Row],[totalCourt]],TrafficData[[#This Row],[disposedCourt]]&lt;=TrafficData[[#This Row],[totalCourt]])</f>
        <v>1</v>
      </c>
    </row>
    <row r="771" spans="1:16">
      <c r="A771" s="1">
        <v>42774</v>
      </c>
      <c r="B771">
        <v>1132</v>
      </c>
      <c r="C771">
        <v>226</v>
      </c>
      <c r="D771">
        <v>906</v>
      </c>
      <c r="E771">
        <v>1628700</v>
      </c>
      <c r="F771">
        <v>417250</v>
      </c>
      <c r="G771">
        <v>2045950</v>
      </c>
      <c r="H771">
        <v>612</v>
      </c>
      <c r="I771">
        <v>62</v>
      </c>
      <c r="J771">
        <v>674</v>
      </c>
      <c r="K771" t="b">
        <f>TrafficData[[#This Row],[disposedChallan]]+TrafficData[[#This Row],[pendingChallan]]=TrafficData[[#This Row],[totalChallan]]</f>
        <v>1</v>
      </c>
      <c r="L771" t="b">
        <f>TrafficData[[#This Row],[pendingAmount]]+TrafficData[[#This Row],[disposedAmount]]=TrafficData[[#This Row],[totalAmount]]</f>
        <v>1</v>
      </c>
      <c r="M771" t="b">
        <f>TrafficData[[#This Row],[pendingCourt]]+TrafficData[[#This Row],[disposedCourt]]=TrafficData[[#This Row],[totalCourt]]</f>
        <v>1</v>
      </c>
      <c r="N771" t="b">
        <f>AND(TrafficData[[#This Row],[disposedChallan]]&lt;=TrafficData[[#This Row],[totalChallan]],TrafficData[[#This Row],[pendingChallan]]&lt;=TrafficData[[#This Row],[totalChallan]])</f>
        <v>1</v>
      </c>
      <c r="O771" t="b">
        <f>AND(TrafficData[[#This Row],[pendingAmount]]&lt;=TrafficData[[#This Row],[totalAmount]],TrafficData[[#This Row],[disposedAmount]]&lt;=TrafficData[[#This Row],[totalAmount]])</f>
        <v>1</v>
      </c>
      <c r="P771" t="b">
        <f>AND(TrafficData[[#This Row],[pendingCourt]]&lt;=TrafficData[[#This Row],[totalCourt]],TrafficData[[#This Row],[disposedCourt]]&lt;=TrafficData[[#This Row],[totalCourt]])</f>
        <v>1</v>
      </c>
    </row>
    <row r="772" spans="1:16">
      <c r="A772" s="1">
        <v>42775</v>
      </c>
      <c r="B772">
        <v>756</v>
      </c>
      <c r="C772">
        <v>143</v>
      </c>
      <c r="D772">
        <v>613</v>
      </c>
      <c r="E772">
        <v>1009250</v>
      </c>
      <c r="F772">
        <v>405450</v>
      </c>
      <c r="G772">
        <v>1414700</v>
      </c>
      <c r="H772">
        <v>390</v>
      </c>
      <c r="I772">
        <v>19</v>
      </c>
      <c r="J772">
        <v>409</v>
      </c>
      <c r="K772" t="b">
        <f>TrafficData[[#This Row],[disposedChallan]]+TrafficData[[#This Row],[pendingChallan]]=TrafficData[[#This Row],[totalChallan]]</f>
        <v>1</v>
      </c>
      <c r="L772" t="b">
        <f>TrafficData[[#This Row],[pendingAmount]]+TrafficData[[#This Row],[disposedAmount]]=TrafficData[[#This Row],[totalAmount]]</f>
        <v>1</v>
      </c>
      <c r="M772" t="b">
        <f>TrafficData[[#This Row],[pendingCourt]]+TrafficData[[#This Row],[disposedCourt]]=TrafficData[[#This Row],[totalCourt]]</f>
        <v>1</v>
      </c>
      <c r="N772" t="b">
        <f>AND(TrafficData[[#This Row],[disposedChallan]]&lt;=TrafficData[[#This Row],[totalChallan]],TrafficData[[#This Row],[pendingChallan]]&lt;=TrafficData[[#This Row],[totalChallan]])</f>
        <v>1</v>
      </c>
      <c r="O772" t="b">
        <f>AND(TrafficData[[#This Row],[pendingAmount]]&lt;=TrafficData[[#This Row],[totalAmount]],TrafficData[[#This Row],[disposedAmount]]&lt;=TrafficData[[#This Row],[totalAmount]])</f>
        <v>1</v>
      </c>
      <c r="P772" t="b">
        <f>AND(TrafficData[[#This Row],[pendingCourt]]&lt;=TrafficData[[#This Row],[totalCourt]],TrafficData[[#This Row],[disposedCourt]]&lt;=TrafficData[[#This Row],[totalCourt]])</f>
        <v>1</v>
      </c>
    </row>
    <row r="773" spans="1:16">
      <c r="A773" s="1">
        <v>42776</v>
      </c>
      <c r="B773">
        <v>821</v>
      </c>
      <c r="C773">
        <v>144</v>
      </c>
      <c r="D773">
        <v>677</v>
      </c>
      <c r="E773">
        <v>635400</v>
      </c>
      <c r="F773">
        <v>170600</v>
      </c>
      <c r="G773">
        <v>806000</v>
      </c>
      <c r="H773">
        <v>455</v>
      </c>
      <c r="I773">
        <v>16</v>
      </c>
      <c r="J773">
        <v>471</v>
      </c>
      <c r="K773" t="b">
        <f>TrafficData[[#This Row],[disposedChallan]]+TrafficData[[#This Row],[pendingChallan]]=TrafficData[[#This Row],[totalChallan]]</f>
        <v>1</v>
      </c>
      <c r="L773" t="b">
        <f>TrafficData[[#This Row],[pendingAmount]]+TrafficData[[#This Row],[disposedAmount]]=TrafficData[[#This Row],[totalAmount]]</f>
        <v>1</v>
      </c>
      <c r="M773" t="b">
        <f>TrafficData[[#This Row],[pendingCourt]]+TrafficData[[#This Row],[disposedCourt]]=TrafficData[[#This Row],[totalCourt]]</f>
        <v>1</v>
      </c>
      <c r="N773" t="b">
        <f>AND(TrafficData[[#This Row],[disposedChallan]]&lt;=TrafficData[[#This Row],[totalChallan]],TrafficData[[#This Row],[pendingChallan]]&lt;=TrafficData[[#This Row],[totalChallan]])</f>
        <v>1</v>
      </c>
      <c r="O773" t="b">
        <f>AND(TrafficData[[#This Row],[pendingAmount]]&lt;=TrafficData[[#This Row],[totalAmount]],TrafficData[[#This Row],[disposedAmount]]&lt;=TrafficData[[#This Row],[totalAmount]])</f>
        <v>1</v>
      </c>
      <c r="P773" t="b">
        <f>AND(TrafficData[[#This Row],[pendingCourt]]&lt;=TrafficData[[#This Row],[totalCourt]],TrafficData[[#This Row],[disposedCourt]]&lt;=TrafficData[[#This Row],[totalCourt]])</f>
        <v>1</v>
      </c>
    </row>
    <row r="774" spans="1:16">
      <c r="A774" s="1">
        <v>42777</v>
      </c>
      <c r="B774">
        <v>754</v>
      </c>
      <c r="C774">
        <v>126</v>
      </c>
      <c r="D774">
        <v>628</v>
      </c>
      <c r="E774">
        <v>555800</v>
      </c>
      <c r="F774">
        <v>391050</v>
      </c>
      <c r="G774">
        <v>946850</v>
      </c>
      <c r="H774">
        <v>400</v>
      </c>
      <c r="I774">
        <v>31</v>
      </c>
      <c r="J774">
        <v>431</v>
      </c>
      <c r="K774" t="b">
        <f>TrafficData[[#This Row],[disposedChallan]]+TrafficData[[#This Row],[pendingChallan]]=TrafficData[[#This Row],[totalChallan]]</f>
        <v>1</v>
      </c>
      <c r="L774" t="b">
        <f>TrafficData[[#This Row],[pendingAmount]]+TrafficData[[#This Row],[disposedAmount]]=TrafficData[[#This Row],[totalAmount]]</f>
        <v>1</v>
      </c>
      <c r="M774" t="b">
        <f>TrafficData[[#This Row],[pendingCourt]]+TrafficData[[#This Row],[disposedCourt]]=TrafficData[[#This Row],[totalCourt]]</f>
        <v>1</v>
      </c>
      <c r="N774" t="b">
        <f>AND(TrafficData[[#This Row],[disposedChallan]]&lt;=TrafficData[[#This Row],[totalChallan]],TrafficData[[#This Row],[pendingChallan]]&lt;=TrafficData[[#This Row],[totalChallan]])</f>
        <v>1</v>
      </c>
      <c r="O774" t="b">
        <f>AND(TrafficData[[#This Row],[pendingAmount]]&lt;=TrafficData[[#This Row],[totalAmount]],TrafficData[[#This Row],[disposedAmount]]&lt;=TrafficData[[#This Row],[totalAmount]])</f>
        <v>1</v>
      </c>
      <c r="P774" t="b">
        <f>AND(TrafficData[[#This Row],[pendingCourt]]&lt;=TrafficData[[#This Row],[totalCourt]],TrafficData[[#This Row],[disposedCourt]]&lt;=TrafficData[[#This Row],[totalCourt]])</f>
        <v>1</v>
      </c>
    </row>
    <row r="775" spans="1:16">
      <c r="A775" s="1">
        <v>42778</v>
      </c>
      <c r="B775">
        <v>398</v>
      </c>
      <c r="C775">
        <v>77</v>
      </c>
      <c r="D775">
        <v>321</v>
      </c>
      <c r="E775">
        <v>798000</v>
      </c>
      <c r="F775">
        <v>127125</v>
      </c>
      <c r="G775">
        <v>925125</v>
      </c>
      <c r="H775">
        <v>172</v>
      </c>
      <c r="I775">
        <v>13</v>
      </c>
      <c r="J775">
        <v>185</v>
      </c>
      <c r="K775" t="b">
        <f>TrafficData[[#This Row],[disposedChallan]]+TrafficData[[#This Row],[pendingChallan]]=TrafficData[[#This Row],[totalChallan]]</f>
        <v>1</v>
      </c>
      <c r="L775" t="b">
        <f>TrafficData[[#This Row],[pendingAmount]]+TrafficData[[#This Row],[disposedAmount]]=TrafficData[[#This Row],[totalAmount]]</f>
        <v>1</v>
      </c>
      <c r="M775" t="b">
        <f>TrafficData[[#This Row],[pendingCourt]]+TrafficData[[#This Row],[disposedCourt]]=TrafficData[[#This Row],[totalCourt]]</f>
        <v>1</v>
      </c>
      <c r="N775" t="b">
        <f>AND(TrafficData[[#This Row],[disposedChallan]]&lt;=TrafficData[[#This Row],[totalChallan]],TrafficData[[#This Row],[pendingChallan]]&lt;=TrafficData[[#This Row],[totalChallan]])</f>
        <v>1</v>
      </c>
      <c r="O775" t="b">
        <f>AND(TrafficData[[#This Row],[pendingAmount]]&lt;=TrafficData[[#This Row],[totalAmount]],TrafficData[[#This Row],[disposedAmount]]&lt;=TrafficData[[#This Row],[totalAmount]])</f>
        <v>1</v>
      </c>
      <c r="P775" t="b">
        <f>AND(TrafficData[[#This Row],[pendingCourt]]&lt;=TrafficData[[#This Row],[totalCourt]],TrafficData[[#This Row],[disposedCourt]]&lt;=TrafficData[[#This Row],[totalCourt]])</f>
        <v>1</v>
      </c>
    </row>
    <row r="776" spans="1:16">
      <c r="A776" s="1">
        <v>42779</v>
      </c>
      <c r="B776">
        <v>743</v>
      </c>
      <c r="C776">
        <v>115</v>
      </c>
      <c r="D776">
        <v>628</v>
      </c>
      <c r="E776">
        <v>1045099</v>
      </c>
      <c r="F776">
        <v>151500</v>
      </c>
      <c r="G776">
        <v>1196599</v>
      </c>
      <c r="H776">
        <v>398</v>
      </c>
      <c r="I776">
        <v>6</v>
      </c>
      <c r="J776">
        <v>404</v>
      </c>
      <c r="K776" t="b">
        <f>TrafficData[[#This Row],[disposedChallan]]+TrafficData[[#This Row],[pendingChallan]]=TrafficData[[#This Row],[totalChallan]]</f>
        <v>1</v>
      </c>
      <c r="L776" t="b">
        <f>TrafficData[[#This Row],[pendingAmount]]+TrafficData[[#This Row],[disposedAmount]]=TrafficData[[#This Row],[totalAmount]]</f>
        <v>1</v>
      </c>
      <c r="M776" t="b">
        <f>TrafficData[[#This Row],[pendingCourt]]+TrafficData[[#This Row],[disposedCourt]]=TrafficData[[#This Row],[totalCourt]]</f>
        <v>1</v>
      </c>
      <c r="N776" t="b">
        <f>AND(TrafficData[[#This Row],[disposedChallan]]&lt;=TrafficData[[#This Row],[totalChallan]],TrafficData[[#This Row],[pendingChallan]]&lt;=TrafficData[[#This Row],[totalChallan]])</f>
        <v>1</v>
      </c>
      <c r="O776" t="b">
        <f>AND(TrafficData[[#This Row],[pendingAmount]]&lt;=TrafficData[[#This Row],[totalAmount]],TrafficData[[#This Row],[disposedAmount]]&lt;=TrafficData[[#This Row],[totalAmount]])</f>
        <v>1</v>
      </c>
      <c r="P776" t="b">
        <f>AND(TrafficData[[#This Row],[pendingCourt]]&lt;=TrafficData[[#This Row],[totalCourt]],TrafficData[[#This Row],[disposedCourt]]&lt;=TrafficData[[#This Row],[totalCourt]])</f>
        <v>1</v>
      </c>
    </row>
    <row r="777" spans="1:16">
      <c r="A777" s="1">
        <v>42780</v>
      </c>
      <c r="B777">
        <v>1377</v>
      </c>
      <c r="C777">
        <v>222</v>
      </c>
      <c r="D777">
        <v>1155</v>
      </c>
      <c r="E777">
        <v>1290750</v>
      </c>
      <c r="F777">
        <v>363350</v>
      </c>
      <c r="G777">
        <v>1654100</v>
      </c>
      <c r="H777">
        <v>809</v>
      </c>
      <c r="I777">
        <v>27</v>
      </c>
      <c r="J777">
        <v>836</v>
      </c>
      <c r="K777" t="b">
        <f>TrafficData[[#This Row],[disposedChallan]]+TrafficData[[#This Row],[pendingChallan]]=TrafficData[[#This Row],[totalChallan]]</f>
        <v>1</v>
      </c>
      <c r="L777" t="b">
        <f>TrafficData[[#This Row],[pendingAmount]]+TrafficData[[#This Row],[disposedAmount]]=TrafficData[[#This Row],[totalAmount]]</f>
        <v>1</v>
      </c>
      <c r="M777" t="b">
        <f>TrafficData[[#This Row],[pendingCourt]]+TrafficData[[#This Row],[disposedCourt]]=TrafficData[[#This Row],[totalCourt]]</f>
        <v>1</v>
      </c>
      <c r="N777" t="b">
        <f>AND(TrafficData[[#This Row],[disposedChallan]]&lt;=TrafficData[[#This Row],[totalChallan]],TrafficData[[#This Row],[pendingChallan]]&lt;=TrafficData[[#This Row],[totalChallan]])</f>
        <v>1</v>
      </c>
      <c r="O777" t="b">
        <f>AND(TrafficData[[#This Row],[pendingAmount]]&lt;=TrafficData[[#This Row],[totalAmount]],TrafficData[[#This Row],[disposedAmount]]&lt;=TrafficData[[#This Row],[totalAmount]])</f>
        <v>1</v>
      </c>
      <c r="P777" t="b">
        <f>AND(TrafficData[[#This Row],[pendingCourt]]&lt;=TrafficData[[#This Row],[totalCourt]],TrafficData[[#This Row],[disposedCourt]]&lt;=TrafficData[[#This Row],[totalCourt]])</f>
        <v>1</v>
      </c>
    </row>
    <row r="778" spans="1:16">
      <c r="A778" s="1">
        <v>42781</v>
      </c>
      <c r="B778">
        <v>1255</v>
      </c>
      <c r="C778">
        <v>209</v>
      </c>
      <c r="D778">
        <v>1046</v>
      </c>
      <c r="E778">
        <v>1025550</v>
      </c>
      <c r="F778">
        <v>295110</v>
      </c>
      <c r="G778">
        <v>1320660</v>
      </c>
      <c r="H778">
        <v>721</v>
      </c>
      <c r="I778">
        <v>57</v>
      </c>
      <c r="J778">
        <v>778</v>
      </c>
      <c r="K778" t="b">
        <f>TrafficData[[#This Row],[disposedChallan]]+TrafficData[[#This Row],[pendingChallan]]=TrafficData[[#This Row],[totalChallan]]</f>
        <v>1</v>
      </c>
      <c r="L778" t="b">
        <f>TrafficData[[#This Row],[pendingAmount]]+TrafficData[[#This Row],[disposedAmount]]=TrafficData[[#This Row],[totalAmount]]</f>
        <v>1</v>
      </c>
      <c r="M778" t="b">
        <f>TrafficData[[#This Row],[pendingCourt]]+TrafficData[[#This Row],[disposedCourt]]=TrafficData[[#This Row],[totalCourt]]</f>
        <v>1</v>
      </c>
      <c r="N778" t="b">
        <f>AND(TrafficData[[#This Row],[disposedChallan]]&lt;=TrafficData[[#This Row],[totalChallan]],TrafficData[[#This Row],[pendingChallan]]&lt;=TrafficData[[#This Row],[totalChallan]])</f>
        <v>1</v>
      </c>
      <c r="O778" t="b">
        <f>AND(TrafficData[[#This Row],[pendingAmount]]&lt;=TrafficData[[#This Row],[totalAmount]],TrafficData[[#This Row],[disposedAmount]]&lt;=TrafficData[[#This Row],[totalAmount]])</f>
        <v>1</v>
      </c>
      <c r="P778" t="b">
        <f>AND(TrafficData[[#This Row],[pendingCourt]]&lt;=TrafficData[[#This Row],[totalCourt]],TrafficData[[#This Row],[disposedCourt]]&lt;=TrafficData[[#This Row],[totalCourt]])</f>
        <v>1</v>
      </c>
    </row>
    <row r="779" spans="1:16">
      <c r="A779" s="1">
        <v>42782</v>
      </c>
      <c r="B779">
        <v>837</v>
      </c>
      <c r="C779">
        <v>204</v>
      </c>
      <c r="D779">
        <v>633</v>
      </c>
      <c r="E779">
        <v>823850</v>
      </c>
      <c r="F779">
        <v>326250</v>
      </c>
      <c r="G779">
        <v>1150100</v>
      </c>
      <c r="H779">
        <v>394</v>
      </c>
      <c r="I779">
        <v>44</v>
      </c>
      <c r="J779">
        <v>438</v>
      </c>
      <c r="K779" t="b">
        <f>TrafficData[[#This Row],[disposedChallan]]+TrafficData[[#This Row],[pendingChallan]]=TrafficData[[#This Row],[totalChallan]]</f>
        <v>1</v>
      </c>
      <c r="L779" t="b">
        <f>TrafficData[[#This Row],[pendingAmount]]+TrafficData[[#This Row],[disposedAmount]]=TrafficData[[#This Row],[totalAmount]]</f>
        <v>1</v>
      </c>
      <c r="M779" t="b">
        <f>TrafficData[[#This Row],[pendingCourt]]+TrafficData[[#This Row],[disposedCourt]]=TrafficData[[#This Row],[totalCourt]]</f>
        <v>1</v>
      </c>
      <c r="N779" t="b">
        <f>AND(TrafficData[[#This Row],[disposedChallan]]&lt;=TrafficData[[#This Row],[totalChallan]],TrafficData[[#This Row],[pendingChallan]]&lt;=TrafficData[[#This Row],[totalChallan]])</f>
        <v>1</v>
      </c>
      <c r="O779" t="b">
        <f>AND(TrafficData[[#This Row],[pendingAmount]]&lt;=TrafficData[[#This Row],[totalAmount]],TrafficData[[#This Row],[disposedAmount]]&lt;=TrafficData[[#This Row],[totalAmount]])</f>
        <v>1</v>
      </c>
      <c r="P779" t="b">
        <f>AND(TrafficData[[#This Row],[pendingCourt]]&lt;=TrafficData[[#This Row],[totalCourt]],TrafficData[[#This Row],[disposedCourt]]&lt;=TrafficData[[#This Row],[totalCourt]])</f>
        <v>1</v>
      </c>
    </row>
    <row r="780" spans="1:16">
      <c r="A780" s="1">
        <v>42783</v>
      </c>
      <c r="B780">
        <v>1089</v>
      </c>
      <c r="C780">
        <v>234</v>
      </c>
      <c r="D780">
        <v>855</v>
      </c>
      <c r="E780">
        <v>1067100</v>
      </c>
      <c r="F780">
        <v>622300</v>
      </c>
      <c r="G780">
        <v>1689400</v>
      </c>
      <c r="H780">
        <v>584</v>
      </c>
      <c r="I780">
        <v>16</v>
      </c>
      <c r="J780">
        <v>600</v>
      </c>
      <c r="K780" t="b">
        <f>TrafficData[[#This Row],[disposedChallan]]+TrafficData[[#This Row],[pendingChallan]]=TrafficData[[#This Row],[totalChallan]]</f>
        <v>1</v>
      </c>
      <c r="L780" t="b">
        <f>TrafficData[[#This Row],[pendingAmount]]+TrafficData[[#This Row],[disposedAmount]]=TrafficData[[#This Row],[totalAmount]]</f>
        <v>1</v>
      </c>
      <c r="M780" t="b">
        <f>TrafficData[[#This Row],[pendingCourt]]+TrafficData[[#This Row],[disposedCourt]]=TrafficData[[#This Row],[totalCourt]]</f>
        <v>1</v>
      </c>
      <c r="N780" t="b">
        <f>AND(TrafficData[[#This Row],[disposedChallan]]&lt;=TrafficData[[#This Row],[totalChallan]],TrafficData[[#This Row],[pendingChallan]]&lt;=TrafficData[[#This Row],[totalChallan]])</f>
        <v>1</v>
      </c>
      <c r="O780" t="b">
        <f>AND(TrafficData[[#This Row],[pendingAmount]]&lt;=TrafficData[[#This Row],[totalAmount]],TrafficData[[#This Row],[disposedAmount]]&lt;=TrafficData[[#This Row],[totalAmount]])</f>
        <v>1</v>
      </c>
      <c r="P780" t="b">
        <f>AND(TrafficData[[#This Row],[pendingCourt]]&lt;=TrafficData[[#This Row],[totalCourt]],TrafficData[[#This Row],[disposedCourt]]&lt;=TrafficData[[#This Row],[totalCourt]])</f>
        <v>1</v>
      </c>
    </row>
    <row r="781" spans="1:16">
      <c r="A781" s="1">
        <v>42784</v>
      </c>
      <c r="B781">
        <v>841</v>
      </c>
      <c r="C781">
        <v>211</v>
      </c>
      <c r="D781">
        <v>630</v>
      </c>
      <c r="E781">
        <v>672050</v>
      </c>
      <c r="F781">
        <v>321001</v>
      </c>
      <c r="G781">
        <v>993051</v>
      </c>
      <c r="H781">
        <v>358</v>
      </c>
      <c r="I781">
        <v>10</v>
      </c>
      <c r="J781">
        <v>368</v>
      </c>
      <c r="K781" t="b">
        <f>TrafficData[[#This Row],[disposedChallan]]+TrafficData[[#This Row],[pendingChallan]]=TrafficData[[#This Row],[totalChallan]]</f>
        <v>1</v>
      </c>
      <c r="L781" t="b">
        <f>TrafficData[[#This Row],[pendingAmount]]+TrafficData[[#This Row],[disposedAmount]]=TrafficData[[#This Row],[totalAmount]]</f>
        <v>1</v>
      </c>
      <c r="M781" t="b">
        <f>TrafficData[[#This Row],[pendingCourt]]+TrafficData[[#This Row],[disposedCourt]]=TrafficData[[#This Row],[totalCourt]]</f>
        <v>1</v>
      </c>
      <c r="N781" t="b">
        <f>AND(TrafficData[[#This Row],[disposedChallan]]&lt;=TrafficData[[#This Row],[totalChallan]],TrafficData[[#This Row],[pendingChallan]]&lt;=TrafficData[[#This Row],[totalChallan]])</f>
        <v>1</v>
      </c>
      <c r="O781" t="b">
        <f>AND(TrafficData[[#This Row],[pendingAmount]]&lt;=TrafficData[[#This Row],[totalAmount]],TrafficData[[#This Row],[disposedAmount]]&lt;=TrafficData[[#This Row],[totalAmount]])</f>
        <v>1</v>
      </c>
      <c r="P781" t="b">
        <f>AND(TrafficData[[#This Row],[pendingCourt]]&lt;=TrafficData[[#This Row],[totalCourt]],TrafficData[[#This Row],[disposedCourt]]&lt;=TrafficData[[#This Row],[totalCourt]])</f>
        <v>1</v>
      </c>
    </row>
    <row r="782" spans="1:16">
      <c r="A782" s="1">
        <v>42785</v>
      </c>
      <c r="B782">
        <v>678</v>
      </c>
      <c r="C782">
        <v>163</v>
      </c>
      <c r="D782">
        <v>515</v>
      </c>
      <c r="E782">
        <v>502000</v>
      </c>
      <c r="F782">
        <v>165300</v>
      </c>
      <c r="G782">
        <v>667300</v>
      </c>
      <c r="H782">
        <v>339</v>
      </c>
      <c r="I782">
        <v>15</v>
      </c>
      <c r="J782">
        <v>354</v>
      </c>
      <c r="K782" t="b">
        <f>TrafficData[[#This Row],[disposedChallan]]+TrafficData[[#This Row],[pendingChallan]]=TrafficData[[#This Row],[totalChallan]]</f>
        <v>1</v>
      </c>
      <c r="L782" t="b">
        <f>TrafficData[[#This Row],[pendingAmount]]+TrafficData[[#This Row],[disposedAmount]]=TrafficData[[#This Row],[totalAmount]]</f>
        <v>1</v>
      </c>
      <c r="M782" t="b">
        <f>TrafficData[[#This Row],[pendingCourt]]+TrafficData[[#This Row],[disposedCourt]]=TrafficData[[#This Row],[totalCourt]]</f>
        <v>1</v>
      </c>
      <c r="N782" t="b">
        <f>AND(TrafficData[[#This Row],[disposedChallan]]&lt;=TrafficData[[#This Row],[totalChallan]],TrafficData[[#This Row],[pendingChallan]]&lt;=TrafficData[[#This Row],[totalChallan]])</f>
        <v>1</v>
      </c>
      <c r="O782" t="b">
        <f>AND(TrafficData[[#This Row],[pendingAmount]]&lt;=TrafficData[[#This Row],[totalAmount]],TrafficData[[#This Row],[disposedAmount]]&lt;=TrafficData[[#This Row],[totalAmount]])</f>
        <v>1</v>
      </c>
      <c r="P782" t="b">
        <f>AND(TrafficData[[#This Row],[pendingCourt]]&lt;=TrafficData[[#This Row],[totalCourt]],TrafficData[[#This Row],[disposedCourt]]&lt;=TrafficData[[#This Row],[totalCourt]])</f>
        <v>1</v>
      </c>
    </row>
    <row r="783" spans="1:16">
      <c r="A783" s="1">
        <v>42786</v>
      </c>
      <c r="B783">
        <v>861</v>
      </c>
      <c r="C783">
        <v>179</v>
      </c>
      <c r="D783">
        <v>682</v>
      </c>
      <c r="E783">
        <v>1045750</v>
      </c>
      <c r="F783">
        <v>307660</v>
      </c>
      <c r="G783">
        <v>1353410</v>
      </c>
      <c r="H783">
        <v>405</v>
      </c>
      <c r="I783">
        <v>48</v>
      </c>
      <c r="J783">
        <v>453</v>
      </c>
      <c r="K783" t="b">
        <f>TrafficData[[#This Row],[disposedChallan]]+TrafficData[[#This Row],[pendingChallan]]=TrafficData[[#This Row],[totalChallan]]</f>
        <v>1</v>
      </c>
      <c r="L783" t="b">
        <f>TrafficData[[#This Row],[pendingAmount]]+TrafficData[[#This Row],[disposedAmount]]=TrafficData[[#This Row],[totalAmount]]</f>
        <v>1</v>
      </c>
      <c r="M783" t="b">
        <f>TrafficData[[#This Row],[pendingCourt]]+TrafficData[[#This Row],[disposedCourt]]=TrafficData[[#This Row],[totalCourt]]</f>
        <v>1</v>
      </c>
      <c r="N783" t="b">
        <f>AND(TrafficData[[#This Row],[disposedChallan]]&lt;=TrafficData[[#This Row],[totalChallan]],TrafficData[[#This Row],[pendingChallan]]&lt;=TrafficData[[#This Row],[totalChallan]])</f>
        <v>1</v>
      </c>
      <c r="O783" t="b">
        <f>AND(TrafficData[[#This Row],[pendingAmount]]&lt;=TrafficData[[#This Row],[totalAmount]],TrafficData[[#This Row],[disposedAmount]]&lt;=TrafficData[[#This Row],[totalAmount]])</f>
        <v>1</v>
      </c>
      <c r="P783" t="b">
        <f>AND(TrafficData[[#This Row],[pendingCourt]]&lt;=TrafficData[[#This Row],[totalCourt]],TrafficData[[#This Row],[disposedCourt]]&lt;=TrafficData[[#This Row],[totalCourt]])</f>
        <v>1</v>
      </c>
    </row>
    <row r="784" spans="1:16">
      <c r="A784" s="1">
        <v>42787</v>
      </c>
      <c r="B784">
        <v>1021</v>
      </c>
      <c r="C784">
        <v>213</v>
      </c>
      <c r="D784">
        <v>808</v>
      </c>
      <c r="E784">
        <v>1438650</v>
      </c>
      <c r="F784">
        <v>290551</v>
      </c>
      <c r="G784">
        <v>1729201</v>
      </c>
      <c r="H784">
        <v>486</v>
      </c>
      <c r="I784">
        <v>50</v>
      </c>
      <c r="J784">
        <v>536</v>
      </c>
      <c r="K784" t="b">
        <f>TrafficData[[#This Row],[disposedChallan]]+TrafficData[[#This Row],[pendingChallan]]=TrafficData[[#This Row],[totalChallan]]</f>
        <v>1</v>
      </c>
      <c r="L784" t="b">
        <f>TrafficData[[#This Row],[pendingAmount]]+TrafficData[[#This Row],[disposedAmount]]=TrafficData[[#This Row],[totalAmount]]</f>
        <v>1</v>
      </c>
      <c r="M784" t="b">
        <f>TrafficData[[#This Row],[pendingCourt]]+TrafficData[[#This Row],[disposedCourt]]=TrafficData[[#This Row],[totalCourt]]</f>
        <v>1</v>
      </c>
      <c r="N784" t="b">
        <f>AND(TrafficData[[#This Row],[disposedChallan]]&lt;=TrafficData[[#This Row],[totalChallan]],TrafficData[[#This Row],[pendingChallan]]&lt;=TrafficData[[#This Row],[totalChallan]])</f>
        <v>1</v>
      </c>
      <c r="O784" t="b">
        <f>AND(TrafficData[[#This Row],[pendingAmount]]&lt;=TrafficData[[#This Row],[totalAmount]],TrafficData[[#This Row],[disposedAmount]]&lt;=TrafficData[[#This Row],[totalAmount]])</f>
        <v>1</v>
      </c>
      <c r="P784" t="b">
        <f>AND(TrafficData[[#This Row],[pendingCourt]]&lt;=TrafficData[[#This Row],[totalCourt]],TrafficData[[#This Row],[disposedCourt]]&lt;=TrafficData[[#This Row],[totalCourt]])</f>
        <v>1</v>
      </c>
    </row>
    <row r="785" spans="1:16">
      <c r="A785" s="1">
        <v>42788</v>
      </c>
      <c r="B785">
        <v>1165</v>
      </c>
      <c r="C785">
        <v>261</v>
      </c>
      <c r="D785">
        <v>904</v>
      </c>
      <c r="E785">
        <v>1315590</v>
      </c>
      <c r="F785">
        <v>648748</v>
      </c>
      <c r="G785">
        <v>1964338</v>
      </c>
      <c r="H785">
        <v>644</v>
      </c>
      <c r="I785">
        <v>19</v>
      </c>
      <c r="J785">
        <v>663</v>
      </c>
      <c r="K785" t="b">
        <f>TrafficData[[#This Row],[disposedChallan]]+TrafficData[[#This Row],[pendingChallan]]=TrafficData[[#This Row],[totalChallan]]</f>
        <v>1</v>
      </c>
      <c r="L785" t="b">
        <f>TrafficData[[#This Row],[pendingAmount]]+TrafficData[[#This Row],[disposedAmount]]=TrafficData[[#This Row],[totalAmount]]</f>
        <v>1</v>
      </c>
      <c r="M785" t="b">
        <f>TrafficData[[#This Row],[pendingCourt]]+TrafficData[[#This Row],[disposedCourt]]=TrafficData[[#This Row],[totalCourt]]</f>
        <v>1</v>
      </c>
      <c r="N785" t="b">
        <f>AND(TrafficData[[#This Row],[disposedChallan]]&lt;=TrafficData[[#This Row],[totalChallan]],TrafficData[[#This Row],[pendingChallan]]&lt;=TrafficData[[#This Row],[totalChallan]])</f>
        <v>1</v>
      </c>
      <c r="O785" t="b">
        <f>AND(TrafficData[[#This Row],[pendingAmount]]&lt;=TrafficData[[#This Row],[totalAmount]],TrafficData[[#This Row],[disposedAmount]]&lt;=TrafficData[[#This Row],[totalAmount]])</f>
        <v>1</v>
      </c>
      <c r="P785" t="b">
        <f>AND(TrafficData[[#This Row],[pendingCourt]]&lt;=TrafficData[[#This Row],[totalCourt]],TrafficData[[#This Row],[disposedCourt]]&lt;=TrafficData[[#This Row],[totalCourt]])</f>
        <v>1</v>
      </c>
    </row>
    <row r="786" spans="1:16">
      <c r="A786" s="1">
        <v>42789</v>
      </c>
      <c r="B786">
        <v>835</v>
      </c>
      <c r="C786">
        <v>203</v>
      </c>
      <c r="D786">
        <v>632</v>
      </c>
      <c r="E786">
        <v>830700</v>
      </c>
      <c r="F786">
        <v>448591</v>
      </c>
      <c r="G786">
        <v>1279291</v>
      </c>
      <c r="H786">
        <v>421</v>
      </c>
      <c r="I786">
        <v>56</v>
      </c>
      <c r="J786">
        <v>477</v>
      </c>
      <c r="K786" t="b">
        <f>TrafficData[[#This Row],[disposedChallan]]+TrafficData[[#This Row],[pendingChallan]]=TrafficData[[#This Row],[totalChallan]]</f>
        <v>1</v>
      </c>
      <c r="L786" t="b">
        <f>TrafficData[[#This Row],[pendingAmount]]+TrafficData[[#This Row],[disposedAmount]]=TrafficData[[#This Row],[totalAmount]]</f>
        <v>1</v>
      </c>
      <c r="M786" t="b">
        <f>TrafficData[[#This Row],[pendingCourt]]+TrafficData[[#This Row],[disposedCourt]]=TrafficData[[#This Row],[totalCourt]]</f>
        <v>1</v>
      </c>
      <c r="N786" t="b">
        <f>AND(TrafficData[[#This Row],[disposedChallan]]&lt;=TrafficData[[#This Row],[totalChallan]],TrafficData[[#This Row],[pendingChallan]]&lt;=TrafficData[[#This Row],[totalChallan]])</f>
        <v>1</v>
      </c>
      <c r="O786" t="b">
        <f>AND(TrafficData[[#This Row],[pendingAmount]]&lt;=TrafficData[[#This Row],[totalAmount]],TrafficData[[#This Row],[disposedAmount]]&lt;=TrafficData[[#This Row],[totalAmount]])</f>
        <v>1</v>
      </c>
      <c r="P786" t="b">
        <f>AND(TrafficData[[#This Row],[pendingCourt]]&lt;=TrafficData[[#This Row],[totalCourt]],TrafficData[[#This Row],[disposedCourt]]&lt;=TrafficData[[#This Row],[totalCourt]])</f>
        <v>1</v>
      </c>
    </row>
    <row r="787" spans="1:16">
      <c r="A787" s="1">
        <v>42790</v>
      </c>
      <c r="B787">
        <v>709</v>
      </c>
      <c r="C787">
        <v>221</v>
      </c>
      <c r="D787">
        <v>488</v>
      </c>
      <c r="E787">
        <v>655800</v>
      </c>
      <c r="F787">
        <v>341350</v>
      </c>
      <c r="G787">
        <v>997150</v>
      </c>
      <c r="H787">
        <v>320</v>
      </c>
      <c r="I787">
        <v>74</v>
      </c>
      <c r="J787">
        <v>394</v>
      </c>
      <c r="K787" t="b">
        <f>TrafficData[[#This Row],[disposedChallan]]+TrafficData[[#This Row],[pendingChallan]]=TrafficData[[#This Row],[totalChallan]]</f>
        <v>1</v>
      </c>
      <c r="L787" t="b">
        <f>TrafficData[[#This Row],[pendingAmount]]+TrafficData[[#This Row],[disposedAmount]]=TrafficData[[#This Row],[totalAmount]]</f>
        <v>1</v>
      </c>
      <c r="M787" t="b">
        <f>TrafficData[[#This Row],[pendingCourt]]+TrafficData[[#This Row],[disposedCourt]]=TrafficData[[#This Row],[totalCourt]]</f>
        <v>1</v>
      </c>
      <c r="N787" t="b">
        <f>AND(TrafficData[[#This Row],[disposedChallan]]&lt;=TrafficData[[#This Row],[totalChallan]],TrafficData[[#This Row],[pendingChallan]]&lt;=TrafficData[[#This Row],[totalChallan]])</f>
        <v>1</v>
      </c>
      <c r="O787" t="b">
        <f>AND(TrafficData[[#This Row],[pendingAmount]]&lt;=TrafficData[[#This Row],[totalAmount]],TrafficData[[#This Row],[disposedAmount]]&lt;=TrafficData[[#This Row],[totalAmount]])</f>
        <v>1</v>
      </c>
      <c r="P787" t="b">
        <f>AND(TrafficData[[#This Row],[pendingCourt]]&lt;=TrafficData[[#This Row],[totalCourt]],TrafficData[[#This Row],[disposedCourt]]&lt;=TrafficData[[#This Row],[totalCourt]])</f>
        <v>1</v>
      </c>
    </row>
    <row r="788" spans="1:16">
      <c r="A788" s="1">
        <v>42791</v>
      </c>
      <c r="B788">
        <v>741</v>
      </c>
      <c r="C788">
        <v>243</v>
      </c>
      <c r="D788">
        <v>498</v>
      </c>
      <c r="E788">
        <v>736750</v>
      </c>
      <c r="F788">
        <v>338300</v>
      </c>
      <c r="G788">
        <v>1075050</v>
      </c>
      <c r="H788">
        <v>291</v>
      </c>
      <c r="I788">
        <v>27</v>
      </c>
      <c r="J788">
        <v>318</v>
      </c>
      <c r="K788" t="b">
        <f>TrafficData[[#This Row],[disposedChallan]]+TrafficData[[#This Row],[pendingChallan]]=TrafficData[[#This Row],[totalChallan]]</f>
        <v>1</v>
      </c>
      <c r="L788" t="b">
        <f>TrafficData[[#This Row],[pendingAmount]]+TrafficData[[#This Row],[disposedAmount]]=TrafficData[[#This Row],[totalAmount]]</f>
        <v>1</v>
      </c>
      <c r="M788" t="b">
        <f>TrafficData[[#This Row],[pendingCourt]]+TrafficData[[#This Row],[disposedCourt]]=TrafficData[[#This Row],[totalCourt]]</f>
        <v>1</v>
      </c>
      <c r="N788" t="b">
        <f>AND(TrafficData[[#This Row],[disposedChallan]]&lt;=TrafficData[[#This Row],[totalChallan]],TrafficData[[#This Row],[pendingChallan]]&lt;=TrafficData[[#This Row],[totalChallan]])</f>
        <v>1</v>
      </c>
      <c r="O788" t="b">
        <f>AND(TrafficData[[#This Row],[pendingAmount]]&lt;=TrafficData[[#This Row],[totalAmount]],TrafficData[[#This Row],[disposedAmount]]&lt;=TrafficData[[#This Row],[totalAmount]])</f>
        <v>1</v>
      </c>
      <c r="P788" t="b">
        <f>AND(TrafficData[[#This Row],[pendingCourt]]&lt;=TrafficData[[#This Row],[totalCourt]],TrafficData[[#This Row],[disposedCourt]]&lt;=TrafficData[[#This Row],[totalCourt]])</f>
        <v>1</v>
      </c>
    </row>
    <row r="789" spans="1:16">
      <c r="A789" s="1">
        <v>42792</v>
      </c>
      <c r="B789">
        <v>545</v>
      </c>
      <c r="C789">
        <v>183</v>
      </c>
      <c r="D789">
        <v>362</v>
      </c>
      <c r="E789">
        <v>504600</v>
      </c>
      <c r="F789">
        <v>328295</v>
      </c>
      <c r="G789">
        <v>832895</v>
      </c>
      <c r="H789">
        <v>209</v>
      </c>
      <c r="I789">
        <v>29</v>
      </c>
      <c r="J789">
        <v>238</v>
      </c>
      <c r="K789" t="b">
        <f>TrafficData[[#This Row],[disposedChallan]]+TrafficData[[#This Row],[pendingChallan]]=TrafficData[[#This Row],[totalChallan]]</f>
        <v>1</v>
      </c>
      <c r="L789" t="b">
        <f>TrafficData[[#This Row],[pendingAmount]]+TrafficData[[#This Row],[disposedAmount]]=TrafficData[[#This Row],[totalAmount]]</f>
        <v>1</v>
      </c>
      <c r="M789" t="b">
        <f>TrafficData[[#This Row],[pendingCourt]]+TrafficData[[#This Row],[disposedCourt]]=TrafficData[[#This Row],[totalCourt]]</f>
        <v>1</v>
      </c>
      <c r="N789" t="b">
        <f>AND(TrafficData[[#This Row],[disposedChallan]]&lt;=TrafficData[[#This Row],[totalChallan]],TrafficData[[#This Row],[pendingChallan]]&lt;=TrafficData[[#This Row],[totalChallan]])</f>
        <v>1</v>
      </c>
      <c r="O789" t="b">
        <f>AND(TrafficData[[#This Row],[pendingAmount]]&lt;=TrafficData[[#This Row],[totalAmount]],TrafficData[[#This Row],[disposedAmount]]&lt;=TrafficData[[#This Row],[totalAmount]])</f>
        <v>1</v>
      </c>
      <c r="P789" t="b">
        <f>AND(TrafficData[[#This Row],[pendingCourt]]&lt;=TrafficData[[#This Row],[totalCourt]],TrafficData[[#This Row],[disposedCourt]]&lt;=TrafficData[[#This Row],[totalCourt]])</f>
        <v>1</v>
      </c>
    </row>
    <row r="790" spans="1:16">
      <c r="A790" s="1">
        <v>42793</v>
      </c>
      <c r="B790">
        <v>835</v>
      </c>
      <c r="C790">
        <v>248</v>
      </c>
      <c r="D790">
        <v>587</v>
      </c>
      <c r="E790">
        <v>912150</v>
      </c>
      <c r="F790">
        <v>355770</v>
      </c>
      <c r="G790">
        <v>1267920</v>
      </c>
      <c r="H790">
        <v>362</v>
      </c>
      <c r="I790">
        <v>62</v>
      </c>
      <c r="J790">
        <v>424</v>
      </c>
      <c r="K790" t="b">
        <f>TrafficData[[#This Row],[disposedChallan]]+TrafficData[[#This Row],[pendingChallan]]=TrafficData[[#This Row],[totalChallan]]</f>
        <v>1</v>
      </c>
      <c r="L790" t="b">
        <f>TrafficData[[#This Row],[pendingAmount]]+TrafficData[[#This Row],[disposedAmount]]=TrafficData[[#This Row],[totalAmount]]</f>
        <v>1</v>
      </c>
      <c r="M790" t="b">
        <f>TrafficData[[#This Row],[pendingCourt]]+TrafficData[[#This Row],[disposedCourt]]=TrafficData[[#This Row],[totalCourt]]</f>
        <v>1</v>
      </c>
      <c r="N790" t="b">
        <f>AND(TrafficData[[#This Row],[disposedChallan]]&lt;=TrafficData[[#This Row],[totalChallan]],TrafficData[[#This Row],[pendingChallan]]&lt;=TrafficData[[#This Row],[totalChallan]])</f>
        <v>1</v>
      </c>
      <c r="O790" t="b">
        <f>AND(TrafficData[[#This Row],[pendingAmount]]&lt;=TrafficData[[#This Row],[totalAmount]],TrafficData[[#This Row],[disposedAmount]]&lt;=TrafficData[[#This Row],[totalAmount]])</f>
        <v>1</v>
      </c>
      <c r="P790" t="b">
        <f>AND(TrafficData[[#This Row],[pendingCourt]]&lt;=TrafficData[[#This Row],[totalCourt]],TrafficData[[#This Row],[disposedCourt]]&lt;=TrafficData[[#This Row],[totalCourt]])</f>
        <v>1</v>
      </c>
    </row>
    <row r="791" spans="1:16">
      <c r="A791" s="1">
        <v>42794</v>
      </c>
      <c r="B791">
        <v>1256</v>
      </c>
      <c r="C791">
        <v>271</v>
      </c>
      <c r="D791">
        <v>985</v>
      </c>
      <c r="E791">
        <v>1001650</v>
      </c>
      <c r="F791">
        <v>504925</v>
      </c>
      <c r="G791">
        <v>1506575</v>
      </c>
      <c r="H791">
        <v>697</v>
      </c>
      <c r="I791">
        <v>63</v>
      </c>
      <c r="J791">
        <v>760</v>
      </c>
      <c r="K791" t="b">
        <f>TrafficData[[#This Row],[disposedChallan]]+TrafficData[[#This Row],[pendingChallan]]=TrafficData[[#This Row],[totalChallan]]</f>
        <v>1</v>
      </c>
      <c r="L791" t="b">
        <f>TrafficData[[#This Row],[pendingAmount]]+TrafficData[[#This Row],[disposedAmount]]=TrafficData[[#This Row],[totalAmount]]</f>
        <v>1</v>
      </c>
      <c r="M791" t="b">
        <f>TrafficData[[#This Row],[pendingCourt]]+TrafficData[[#This Row],[disposedCourt]]=TrafficData[[#This Row],[totalCourt]]</f>
        <v>1</v>
      </c>
      <c r="N791" t="b">
        <f>AND(TrafficData[[#This Row],[disposedChallan]]&lt;=TrafficData[[#This Row],[totalChallan]],TrafficData[[#This Row],[pendingChallan]]&lt;=TrafficData[[#This Row],[totalChallan]])</f>
        <v>1</v>
      </c>
      <c r="O791" t="b">
        <f>AND(TrafficData[[#This Row],[pendingAmount]]&lt;=TrafficData[[#This Row],[totalAmount]],TrafficData[[#This Row],[disposedAmount]]&lt;=TrafficData[[#This Row],[totalAmount]])</f>
        <v>1</v>
      </c>
      <c r="P791" t="b">
        <f>AND(TrafficData[[#This Row],[pendingCourt]]&lt;=TrafficData[[#This Row],[totalCourt]],TrafficData[[#This Row],[disposedCourt]]&lt;=TrafficData[[#This Row],[totalCourt]])</f>
        <v>1</v>
      </c>
    </row>
    <row r="792" spans="1:16">
      <c r="A792" s="1">
        <v>42795</v>
      </c>
      <c r="B792">
        <v>1015</v>
      </c>
      <c r="C792">
        <v>282</v>
      </c>
      <c r="D792">
        <v>733</v>
      </c>
      <c r="E792">
        <v>1531110</v>
      </c>
      <c r="F792">
        <v>955740</v>
      </c>
      <c r="G792">
        <v>2486850</v>
      </c>
      <c r="H792">
        <v>406</v>
      </c>
      <c r="I792">
        <v>44</v>
      </c>
      <c r="J792">
        <v>450</v>
      </c>
      <c r="K792" t="b">
        <f>TrafficData[[#This Row],[disposedChallan]]+TrafficData[[#This Row],[pendingChallan]]=TrafficData[[#This Row],[totalChallan]]</f>
        <v>1</v>
      </c>
      <c r="L792" t="b">
        <f>TrafficData[[#This Row],[pendingAmount]]+TrafficData[[#This Row],[disposedAmount]]=TrafficData[[#This Row],[totalAmount]]</f>
        <v>1</v>
      </c>
      <c r="M792" t="b">
        <f>TrafficData[[#This Row],[pendingCourt]]+TrafficData[[#This Row],[disposedCourt]]=TrafficData[[#This Row],[totalCourt]]</f>
        <v>1</v>
      </c>
      <c r="N792" t="b">
        <f>AND(TrafficData[[#This Row],[disposedChallan]]&lt;=TrafficData[[#This Row],[totalChallan]],TrafficData[[#This Row],[pendingChallan]]&lt;=TrafficData[[#This Row],[totalChallan]])</f>
        <v>1</v>
      </c>
      <c r="O792" t="b">
        <f>AND(TrafficData[[#This Row],[pendingAmount]]&lt;=TrafficData[[#This Row],[totalAmount]],TrafficData[[#This Row],[disposedAmount]]&lt;=TrafficData[[#This Row],[totalAmount]])</f>
        <v>1</v>
      </c>
      <c r="P792" t="b">
        <f>AND(TrafficData[[#This Row],[pendingCourt]]&lt;=TrafficData[[#This Row],[totalCourt]],TrafficData[[#This Row],[disposedCourt]]&lt;=TrafficData[[#This Row],[totalCourt]])</f>
        <v>1</v>
      </c>
    </row>
    <row r="793" spans="1:16">
      <c r="A793" s="1">
        <v>42796</v>
      </c>
      <c r="B793">
        <v>1059</v>
      </c>
      <c r="C793">
        <v>275</v>
      </c>
      <c r="D793">
        <v>784</v>
      </c>
      <c r="E793">
        <v>1628500</v>
      </c>
      <c r="F793">
        <v>697060</v>
      </c>
      <c r="G793">
        <v>2325560</v>
      </c>
      <c r="H793">
        <v>449</v>
      </c>
      <c r="I793">
        <v>74</v>
      </c>
      <c r="J793">
        <v>523</v>
      </c>
      <c r="K793" t="b">
        <f>TrafficData[[#This Row],[disposedChallan]]+TrafficData[[#This Row],[pendingChallan]]=TrafficData[[#This Row],[totalChallan]]</f>
        <v>1</v>
      </c>
      <c r="L793" t="b">
        <f>TrafficData[[#This Row],[pendingAmount]]+TrafficData[[#This Row],[disposedAmount]]=TrafficData[[#This Row],[totalAmount]]</f>
        <v>1</v>
      </c>
      <c r="M793" t="b">
        <f>TrafficData[[#This Row],[pendingCourt]]+TrafficData[[#This Row],[disposedCourt]]=TrafficData[[#This Row],[totalCourt]]</f>
        <v>1</v>
      </c>
      <c r="N793" t="b">
        <f>AND(TrafficData[[#This Row],[disposedChallan]]&lt;=TrafficData[[#This Row],[totalChallan]],TrafficData[[#This Row],[pendingChallan]]&lt;=TrafficData[[#This Row],[totalChallan]])</f>
        <v>1</v>
      </c>
      <c r="O793" t="b">
        <f>AND(TrafficData[[#This Row],[pendingAmount]]&lt;=TrafficData[[#This Row],[totalAmount]],TrafficData[[#This Row],[disposedAmount]]&lt;=TrafficData[[#This Row],[totalAmount]])</f>
        <v>1</v>
      </c>
      <c r="P793" t="b">
        <f>AND(TrafficData[[#This Row],[pendingCourt]]&lt;=TrafficData[[#This Row],[totalCourt]],TrafficData[[#This Row],[disposedCourt]]&lt;=TrafficData[[#This Row],[totalCourt]])</f>
        <v>1</v>
      </c>
    </row>
    <row r="794" spans="1:16">
      <c r="A794" s="1">
        <v>42797</v>
      </c>
      <c r="B794">
        <v>1087</v>
      </c>
      <c r="C794">
        <v>271</v>
      </c>
      <c r="D794">
        <v>816</v>
      </c>
      <c r="E794">
        <v>1297550</v>
      </c>
      <c r="F794">
        <v>682581</v>
      </c>
      <c r="G794">
        <v>1980131</v>
      </c>
      <c r="H794">
        <v>431</v>
      </c>
      <c r="I794">
        <v>37</v>
      </c>
      <c r="J794">
        <v>468</v>
      </c>
      <c r="K794" t="b">
        <f>TrafficData[[#This Row],[disposedChallan]]+TrafficData[[#This Row],[pendingChallan]]=TrafficData[[#This Row],[totalChallan]]</f>
        <v>1</v>
      </c>
      <c r="L794" t="b">
        <f>TrafficData[[#This Row],[pendingAmount]]+TrafficData[[#This Row],[disposedAmount]]=TrafficData[[#This Row],[totalAmount]]</f>
        <v>1</v>
      </c>
      <c r="M794" t="b">
        <f>TrafficData[[#This Row],[pendingCourt]]+TrafficData[[#This Row],[disposedCourt]]=TrafficData[[#This Row],[totalCourt]]</f>
        <v>1</v>
      </c>
      <c r="N794" t="b">
        <f>AND(TrafficData[[#This Row],[disposedChallan]]&lt;=TrafficData[[#This Row],[totalChallan]],TrafficData[[#This Row],[pendingChallan]]&lt;=TrafficData[[#This Row],[totalChallan]])</f>
        <v>1</v>
      </c>
      <c r="O794" t="b">
        <f>AND(TrafficData[[#This Row],[pendingAmount]]&lt;=TrafficData[[#This Row],[totalAmount]],TrafficData[[#This Row],[disposedAmount]]&lt;=TrafficData[[#This Row],[totalAmount]])</f>
        <v>1</v>
      </c>
      <c r="P794" t="b">
        <f>AND(TrafficData[[#This Row],[pendingCourt]]&lt;=TrafficData[[#This Row],[totalCourt]],TrafficData[[#This Row],[disposedCourt]]&lt;=TrafficData[[#This Row],[totalCourt]])</f>
        <v>1</v>
      </c>
    </row>
    <row r="795" spans="1:16">
      <c r="A795" s="1">
        <v>42798</v>
      </c>
      <c r="B795">
        <v>1032</v>
      </c>
      <c r="C795">
        <v>211</v>
      </c>
      <c r="D795">
        <v>821</v>
      </c>
      <c r="E795">
        <v>1429500</v>
      </c>
      <c r="F795">
        <v>544000</v>
      </c>
      <c r="G795">
        <v>1973500</v>
      </c>
      <c r="H795">
        <v>550</v>
      </c>
      <c r="I795">
        <v>48</v>
      </c>
      <c r="J795">
        <v>598</v>
      </c>
      <c r="K795" t="b">
        <f>TrafficData[[#This Row],[disposedChallan]]+TrafficData[[#This Row],[pendingChallan]]=TrafficData[[#This Row],[totalChallan]]</f>
        <v>1</v>
      </c>
      <c r="L795" t="b">
        <f>TrafficData[[#This Row],[pendingAmount]]+TrafficData[[#This Row],[disposedAmount]]=TrafficData[[#This Row],[totalAmount]]</f>
        <v>1</v>
      </c>
      <c r="M795" t="b">
        <f>TrafficData[[#This Row],[pendingCourt]]+TrafficData[[#This Row],[disposedCourt]]=TrafficData[[#This Row],[totalCourt]]</f>
        <v>1</v>
      </c>
      <c r="N795" t="b">
        <f>AND(TrafficData[[#This Row],[disposedChallan]]&lt;=TrafficData[[#This Row],[totalChallan]],TrafficData[[#This Row],[pendingChallan]]&lt;=TrafficData[[#This Row],[totalChallan]])</f>
        <v>1</v>
      </c>
      <c r="O795" t="b">
        <f>AND(TrafficData[[#This Row],[pendingAmount]]&lt;=TrafficData[[#This Row],[totalAmount]],TrafficData[[#This Row],[disposedAmount]]&lt;=TrafficData[[#This Row],[totalAmount]])</f>
        <v>1</v>
      </c>
      <c r="P795" t="b">
        <f>AND(TrafficData[[#This Row],[pendingCourt]]&lt;=TrafficData[[#This Row],[totalCourt]],TrafficData[[#This Row],[disposedCourt]]&lt;=TrafficData[[#This Row],[totalCourt]])</f>
        <v>1</v>
      </c>
    </row>
    <row r="796" spans="1:16">
      <c r="A796" s="1">
        <v>42799</v>
      </c>
      <c r="B796">
        <v>480</v>
      </c>
      <c r="C796">
        <v>98</v>
      </c>
      <c r="D796">
        <v>382</v>
      </c>
      <c r="E796">
        <v>525650</v>
      </c>
      <c r="F796">
        <v>246400</v>
      </c>
      <c r="G796">
        <v>772050</v>
      </c>
      <c r="H796">
        <v>164</v>
      </c>
      <c r="I796">
        <v>13</v>
      </c>
      <c r="J796">
        <v>177</v>
      </c>
      <c r="K796" t="b">
        <f>TrafficData[[#This Row],[disposedChallan]]+TrafficData[[#This Row],[pendingChallan]]=TrafficData[[#This Row],[totalChallan]]</f>
        <v>1</v>
      </c>
      <c r="L796" t="b">
        <f>TrafficData[[#This Row],[pendingAmount]]+TrafficData[[#This Row],[disposedAmount]]=TrafficData[[#This Row],[totalAmount]]</f>
        <v>1</v>
      </c>
      <c r="M796" t="b">
        <f>TrafficData[[#This Row],[pendingCourt]]+TrafficData[[#This Row],[disposedCourt]]=TrafficData[[#This Row],[totalCourt]]</f>
        <v>1</v>
      </c>
      <c r="N796" t="b">
        <f>AND(TrafficData[[#This Row],[disposedChallan]]&lt;=TrafficData[[#This Row],[totalChallan]],TrafficData[[#This Row],[pendingChallan]]&lt;=TrafficData[[#This Row],[totalChallan]])</f>
        <v>1</v>
      </c>
      <c r="O796" t="b">
        <f>AND(TrafficData[[#This Row],[pendingAmount]]&lt;=TrafficData[[#This Row],[totalAmount]],TrafficData[[#This Row],[disposedAmount]]&lt;=TrafficData[[#This Row],[totalAmount]])</f>
        <v>1</v>
      </c>
      <c r="P796" t="b">
        <f>AND(TrafficData[[#This Row],[pendingCourt]]&lt;=TrafficData[[#This Row],[totalCourt]],TrafficData[[#This Row],[disposedCourt]]&lt;=TrafficData[[#This Row],[totalCourt]])</f>
        <v>1</v>
      </c>
    </row>
    <row r="797" spans="1:16">
      <c r="A797" s="1">
        <v>42800</v>
      </c>
      <c r="B797">
        <v>946</v>
      </c>
      <c r="C797">
        <v>238</v>
      </c>
      <c r="D797">
        <v>708</v>
      </c>
      <c r="E797">
        <v>1051850</v>
      </c>
      <c r="F797">
        <v>851934</v>
      </c>
      <c r="G797">
        <v>1903784</v>
      </c>
      <c r="H797">
        <v>429</v>
      </c>
      <c r="I797">
        <v>32</v>
      </c>
      <c r="J797">
        <v>461</v>
      </c>
      <c r="K797" t="b">
        <f>TrafficData[[#This Row],[disposedChallan]]+TrafficData[[#This Row],[pendingChallan]]=TrafficData[[#This Row],[totalChallan]]</f>
        <v>1</v>
      </c>
      <c r="L797" t="b">
        <f>TrafficData[[#This Row],[pendingAmount]]+TrafficData[[#This Row],[disposedAmount]]=TrafficData[[#This Row],[totalAmount]]</f>
        <v>1</v>
      </c>
      <c r="M797" t="b">
        <f>TrafficData[[#This Row],[pendingCourt]]+TrafficData[[#This Row],[disposedCourt]]=TrafficData[[#This Row],[totalCourt]]</f>
        <v>1</v>
      </c>
      <c r="N797" t="b">
        <f>AND(TrafficData[[#This Row],[disposedChallan]]&lt;=TrafficData[[#This Row],[totalChallan]],TrafficData[[#This Row],[pendingChallan]]&lt;=TrafficData[[#This Row],[totalChallan]])</f>
        <v>1</v>
      </c>
      <c r="O797" t="b">
        <f>AND(TrafficData[[#This Row],[pendingAmount]]&lt;=TrafficData[[#This Row],[totalAmount]],TrafficData[[#This Row],[disposedAmount]]&lt;=TrafficData[[#This Row],[totalAmount]])</f>
        <v>1</v>
      </c>
      <c r="P797" t="b">
        <f>AND(TrafficData[[#This Row],[pendingCourt]]&lt;=TrafficData[[#This Row],[totalCourt]],TrafficData[[#This Row],[disposedCourt]]&lt;=TrafficData[[#This Row],[totalCourt]])</f>
        <v>1</v>
      </c>
    </row>
    <row r="798" spans="1:16">
      <c r="A798" s="1">
        <v>42801</v>
      </c>
      <c r="B798">
        <v>1090</v>
      </c>
      <c r="C798">
        <v>244</v>
      </c>
      <c r="D798">
        <v>846</v>
      </c>
      <c r="E798">
        <v>1225900</v>
      </c>
      <c r="F798">
        <v>535420</v>
      </c>
      <c r="G798">
        <v>1761320</v>
      </c>
      <c r="H798">
        <v>545</v>
      </c>
      <c r="I798">
        <v>33</v>
      </c>
      <c r="J798">
        <v>578</v>
      </c>
      <c r="K798" t="b">
        <f>TrafficData[[#This Row],[disposedChallan]]+TrafficData[[#This Row],[pendingChallan]]=TrafficData[[#This Row],[totalChallan]]</f>
        <v>1</v>
      </c>
      <c r="L798" t="b">
        <f>TrafficData[[#This Row],[pendingAmount]]+TrafficData[[#This Row],[disposedAmount]]=TrafficData[[#This Row],[totalAmount]]</f>
        <v>1</v>
      </c>
      <c r="M798" t="b">
        <f>TrafficData[[#This Row],[pendingCourt]]+TrafficData[[#This Row],[disposedCourt]]=TrafficData[[#This Row],[totalCourt]]</f>
        <v>1</v>
      </c>
      <c r="N798" t="b">
        <f>AND(TrafficData[[#This Row],[disposedChallan]]&lt;=TrafficData[[#This Row],[totalChallan]],TrafficData[[#This Row],[pendingChallan]]&lt;=TrafficData[[#This Row],[totalChallan]])</f>
        <v>1</v>
      </c>
      <c r="O798" t="b">
        <f>AND(TrafficData[[#This Row],[pendingAmount]]&lt;=TrafficData[[#This Row],[totalAmount]],TrafficData[[#This Row],[disposedAmount]]&lt;=TrafficData[[#This Row],[totalAmount]])</f>
        <v>1</v>
      </c>
      <c r="P798" t="b">
        <f>AND(TrafficData[[#This Row],[pendingCourt]]&lt;=TrafficData[[#This Row],[totalCourt]],TrafficData[[#This Row],[disposedCourt]]&lt;=TrafficData[[#This Row],[totalCourt]])</f>
        <v>1</v>
      </c>
    </row>
    <row r="799" spans="1:16">
      <c r="A799" s="1">
        <v>42802</v>
      </c>
      <c r="B799">
        <v>884</v>
      </c>
      <c r="C799">
        <v>251</v>
      </c>
      <c r="D799">
        <v>633</v>
      </c>
      <c r="E799">
        <v>979100</v>
      </c>
      <c r="F799">
        <v>622850</v>
      </c>
      <c r="G799">
        <v>1601950</v>
      </c>
      <c r="H799">
        <v>395</v>
      </c>
      <c r="I799">
        <v>42</v>
      </c>
      <c r="J799">
        <v>437</v>
      </c>
      <c r="K799" t="b">
        <f>TrafficData[[#This Row],[disposedChallan]]+TrafficData[[#This Row],[pendingChallan]]=TrafficData[[#This Row],[totalChallan]]</f>
        <v>1</v>
      </c>
      <c r="L799" t="b">
        <f>TrafficData[[#This Row],[pendingAmount]]+TrafficData[[#This Row],[disposedAmount]]=TrafficData[[#This Row],[totalAmount]]</f>
        <v>1</v>
      </c>
      <c r="M799" t="b">
        <f>TrafficData[[#This Row],[pendingCourt]]+TrafficData[[#This Row],[disposedCourt]]=TrafficData[[#This Row],[totalCourt]]</f>
        <v>1</v>
      </c>
      <c r="N799" t="b">
        <f>AND(TrafficData[[#This Row],[disposedChallan]]&lt;=TrafficData[[#This Row],[totalChallan]],TrafficData[[#This Row],[pendingChallan]]&lt;=TrafficData[[#This Row],[totalChallan]])</f>
        <v>1</v>
      </c>
      <c r="O799" t="b">
        <f>AND(TrafficData[[#This Row],[pendingAmount]]&lt;=TrafficData[[#This Row],[totalAmount]],TrafficData[[#This Row],[disposedAmount]]&lt;=TrafficData[[#This Row],[totalAmount]])</f>
        <v>1</v>
      </c>
      <c r="P799" t="b">
        <f>AND(TrafficData[[#This Row],[pendingCourt]]&lt;=TrafficData[[#This Row],[totalCourt]],TrafficData[[#This Row],[disposedCourt]]&lt;=TrafficData[[#This Row],[totalCourt]])</f>
        <v>1</v>
      </c>
    </row>
    <row r="800" spans="1:16">
      <c r="A800" s="1">
        <v>42803</v>
      </c>
      <c r="B800">
        <v>1075</v>
      </c>
      <c r="C800">
        <v>313</v>
      </c>
      <c r="D800">
        <v>762</v>
      </c>
      <c r="E800">
        <v>1249550</v>
      </c>
      <c r="F800">
        <v>651238</v>
      </c>
      <c r="G800">
        <v>1900788</v>
      </c>
      <c r="H800">
        <v>421</v>
      </c>
      <c r="I800">
        <v>67</v>
      </c>
      <c r="J800">
        <v>488</v>
      </c>
      <c r="K800" t="b">
        <f>TrafficData[[#This Row],[disposedChallan]]+TrafficData[[#This Row],[pendingChallan]]=TrafficData[[#This Row],[totalChallan]]</f>
        <v>1</v>
      </c>
      <c r="L800" t="b">
        <f>TrafficData[[#This Row],[pendingAmount]]+TrafficData[[#This Row],[disposedAmount]]=TrafficData[[#This Row],[totalAmount]]</f>
        <v>1</v>
      </c>
      <c r="M800" t="b">
        <f>TrafficData[[#This Row],[pendingCourt]]+TrafficData[[#This Row],[disposedCourt]]=TrafficData[[#This Row],[totalCourt]]</f>
        <v>1</v>
      </c>
      <c r="N800" t="b">
        <f>AND(TrafficData[[#This Row],[disposedChallan]]&lt;=TrafficData[[#This Row],[totalChallan]],TrafficData[[#This Row],[pendingChallan]]&lt;=TrafficData[[#This Row],[totalChallan]])</f>
        <v>1</v>
      </c>
      <c r="O800" t="b">
        <f>AND(TrafficData[[#This Row],[pendingAmount]]&lt;=TrafficData[[#This Row],[totalAmount]],TrafficData[[#This Row],[disposedAmount]]&lt;=TrafficData[[#This Row],[totalAmount]])</f>
        <v>1</v>
      </c>
      <c r="P800" t="b">
        <f>AND(TrafficData[[#This Row],[pendingCourt]]&lt;=TrafficData[[#This Row],[totalCourt]],TrafficData[[#This Row],[disposedCourt]]&lt;=TrafficData[[#This Row],[totalCourt]])</f>
        <v>1</v>
      </c>
    </row>
    <row r="801" spans="1:16">
      <c r="A801" s="1">
        <v>42804</v>
      </c>
      <c r="B801">
        <v>1211</v>
      </c>
      <c r="C801">
        <v>322</v>
      </c>
      <c r="D801">
        <v>889</v>
      </c>
      <c r="E801">
        <v>920630</v>
      </c>
      <c r="F801">
        <v>395900</v>
      </c>
      <c r="G801">
        <v>1316530</v>
      </c>
      <c r="H801">
        <v>537</v>
      </c>
      <c r="I801">
        <v>60</v>
      </c>
      <c r="J801">
        <v>597</v>
      </c>
      <c r="K801" t="b">
        <f>TrafficData[[#This Row],[disposedChallan]]+TrafficData[[#This Row],[pendingChallan]]=TrafficData[[#This Row],[totalChallan]]</f>
        <v>1</v>
      </c>
      <c r="L801" t="b">
        <f>TrafficData[[#This Row],[pendingAmount]]+TrafficData[[#This Row],[disposedAmount]]=TrafficData[[#This Row],[totalAmount]]</f>
        <v>1</v>
      </c>
      <c r="M801" t="b">
        <f>TrafficData[[#This Row],[pendingCourt]]+TrafficData[[#This Row],[disposedCourt]]=TrafficData[[#This Row],[totalCourt]]</f>
        <v>1</v>
      </c>
      <c r="N801" t="b">
        <f>AND(TrafficData[[#This Row],[disposedChallan]]&lt;=TrafficData[[#This Row],[totalChallan]],TrafficData[[#This Row],[pendingChallan]]&lt;=TrafficData[[#This Row],[totalChallan]])</f>
        <v>1</v>
      </c>
      <c r="O801" t="b">
        <f>AND(TrafficData[[#This Row],[pendingAmount]]&lt;=TrafficData[[#This Row],[totalAmount]],TrafficData[[#This Row],[disposedAmount]]&lt;=TrafficData[[#This Row],[totalAmount]])</f>
        <v>1</v>
      </c>
      <c r="P801" t="b">
        <f>AND(TrafficData[[#This Row],[pendingCourt]]&lt;=TrafficData[[#This Row],[totalCourt]],TrafficData[[#This Row],[disposedCourt]]&lt;=TrafficData[[#This Row],[totalCourt]])</f>
        <v>1</v>
      </c>
    </row>
    <row r="802" spans="1:16">
      <c r="A802" s="1">
        <v>42805</v>
      </c>
      <c r="B802">
        <v>775</v>
      </c>
      <c r="C802">
        <v>154</v>
      </c>
      <c r="D802">
        <v>621</v>
      </c>
      <c r="E802">
        <v>657250</v>
      </c>
      <c r="F802">
        <v>229100</v>
      </c>
      <c r="G802">
        <v>886350</v>
      </c>
      <c r="H802">
        <v>368</v>
      </c>
      <c r="I802">
        <v>31</v>
      </c>
      <c r="J802">
        <v>399</v>
      </c>
      <c r="K802" t="b">
        <f>TrafficData[[#This Row],[disposedChallan]]+TrafficData[[#This Row],[pendingChallan]]=TrafficData[[#This Row],[totalChallan]]</f>
        <v>1</v>
      </c>
      <c r="L802" t="b">
        <f>TrafficData[[#This Row],[pendingAmount]]+TrafficData[[#This Row],[disposedAmount]]=TrafficData[[#This Row],[totalAmount]]</f>
        <v>1</v>
      </c>
      <c r="M802" t="b">
        <f>TrafficData[[#This Row],[pendingCourt]]+TrafficData[[#This Row],[disposedCourt]]=TrafficData[[#This Row],[totalCourt]]</f>
        <v>1</v>
      </c>
      <c r="N802" t="b">
        <f>AND(TrafficData[[#This Row],[disposedChallan]]&lt;=TrafficData[[#This Row],[totalChallan]],TrafficData[[#This Row],[pendingChallan]]&lt;=TrafficData[[#This Row],[totalChallan]])</f>
        <v>1</v>
      </c>
      <c r="O802" t="b">
        <f>AND(TrafficData[[#This Row],[pendingAmount]]&lt;=TrafficData[[#This Row],[totalAmount]],TrafficData[[#This Row],[disposedAmount]]&lt;=TrafficData[[#This Row],[totalAmount]])</f>
        <v>1</v>
      </c>
      <c r="P802" t="b">
        <f>AND(TrafficData[[#This Row],[pendingCourt]]&lt;=TrafficData[[#This Row],[totalCourt]],TrafficData[[#This Row],[disposedCourt]]&lt;=TrafficData[[#This Row],[totalCourt]])</f>
        <v>1</v>
      </c>
    </row>
    <row r="803" spans="1:16">
      <c r="A803" s="1">
        <v>42806</v>
      </c>
      <c r="B803">
        <v>476</v>
      </c>
      <c r="C803">
        <v>98</v>
      </c>
      <c r="D803">
        <v>378</v>
      </c>
      <c r="E803">
        <v>315800</v>
      </c>
      <c r="F803">
        <v>84625</v>
      </c>
      <c r="G803">
        <v>400425</v>
      </c>
      <c r="H803">
        <v>170</v>
      </c>
      <c r="I803">
        <v>6</v>
      </c>
      <c r="J803">
        <v>176</v>
      </c>
      <c r="K803" t="b">
        <f>TrafficData[[#This Row],[disposedChallan]]+TrafficData[[#This Row],[pendingChallan]]=TrafficData[[#This Row],[totalChallan]]</f>
        <v>1</v>
      </c>
      <c r="L803" t="b">
        <f>TrafficData[[#This Row],[pendingAmount]]+TrafficData[[#This Row],[disposedAmount]]=TrafficData[[#This Row],[totalAmount]]</f>
        <v>1</v>
      </c>
      <c r="M803" t="b">
        <f>TrafficData[[#This Row],[pendingCourt]]+TrafficData[[#This Row],[disposedCourt]]=TrafficData[[#This Row],[totalCourt]]</f>
        <v>1</v>
      </c>
      <c r="N803" t="b">
        <f>AND(TrafficData[[#This Row],[disposedChallan]]&lt;=TrafficData[[#This Row],[totalChallan]],TrafficData[[#This Row],[pendingChallan]]&lt;=TrafficData[[#This Row],[totalChallan]])</f>
        <v>1</v>
      </c>
      <c r="O803" t="b">
        <f>AND(TrafficData[[#This Row],[pendingAmount]]&lt;=TrafficData[[#This Row],[totalAmount]],TrafficData[[#This Row],[disposedAmount]]&lt;=TrafficData[[#This Row],[totalAmount]])</f>
        <v>1</v>
      </c>
      <c r="P803" t="b">
        <f>AND(TrafficData[[#This Row],[pendingCourt]]&lt;=TrafficData[[#This Row],[totalCourt]],TrafficData[[#This Row],[disposedCourt]]&lt;=TrafficData[[#This Row],[totalCourt]])</f>
        <v>1</v>
      </c>
    </row>
    <row r="804" spans="1:16">
      <c r="A804" s="1">
        <v>42807</v>
      </c>
      <c r="B804">
        <v>270</v>
      </c>
      <c r="C804">
        <v>35</v>
      </c>
      <c r="D804">
        <v>235</v>
      </c>
      <c r="E804">
        <v>93100</v>
      </c>
      <c r="F804">
        <v>36675</v>
      </c>
      <c r="G804">
        <v>129775</v>
      </c>
      <c r="H804">
        <v>145</v>
      </c>
      <c r="I804">
        <v>8</v>
      </c>
      <c r="J804">
        <v>153</v>
      </c>
      <c r="K804" t="b">
        <f>TrafficData[[#This Row],[disposedChallan]]+TrafficData[[#This Row],[pendingChallan]]=TrafficData[[#This Row],[totalChallan]]</f>
        <v>1</v>
      </c>
      <c r="L804" t="b">
        <f>TrafficData[[#This Row],[pendingAmount]]+TrafficData[[#This Row],[disposedAmount]]=TrafficData[[#This Row],[totalAmount]]</f>
        <v>1</v>
      </c>
      <c r="M804" t="b">
        <f>TrafficData[[#This Row],[pendingCourt]]+TrafficData[[#This Row],[disposedCourt]]=TrafficData[[#This Row],[totalCourt]]</f>
        <v>1</v>
      </c>
      <c r="N804" t="b">
        <f>AND(TrafficData[[#This Row],[disposedChallan]]&lt;=TrafficData[[#This Row],[totalChallan]],TrafficData[[#This Row],[pendingChallan]]&lt;=TrafficData[[#This Row],[totalChallan]])</f>
        <v>1</v>
      </c>
      <c r="O804" t="b">
        <f>AND(TrafficData[[#This Row],[pendingAmount]]&lt;=TrafficData[[#This Row],[totalAmount]],TrafficData[[#This Row],[disposedAmount]]&lt;=TrafficData[[#This Row],[totalAmount]])</f>
        <v>1</v>
      </c>
      <c r="P804" t="b">
        <f>AND(TrafficData[[#This Row],[pendingCourt]]&lt;=TrafficData[[#This Row],[totalCourt]],TrafficData[[#This Row],[disposedCourt]]&lt;=TrafficData[[#This Row],[totalCourt]])</f>
        <v>1</v>
      </c>
    </row>
    <row r="805" spans="1:16">
      <c r="A805" s="1">
        <v>42808</v>
      </c>
      <c r="B805">
        <v>796</v>
      </c>
      <c r="C805">
        <v>111</v>
      </c>
      <c r="D805">
        <v>685</v>
      </c>
      <c r="E805">
        <v>654700</v>
      </c>
      <c r="F805">
        <v>180000</v>
      </c>
      <c r="G805">
        <v>834700</v>
      </c>
      <c r="H805">
        <v>423</v>
      </c>
      <c r="I805">
        <v>4</v>
      </c>
      <c r="J805">
        <v>427</v>
      </c>
      <c r="K805" t="b">
        <f>TrafficData[[#This Row],[disposedChallan]]+TrafficData[[#This Row],[pendingChallan]]=TrafficData[[#This Row],[totalChallan]]</f>
        <v>1</v>
      </c>
      <c r="L805" t="b">
        <f>TrafficData[[#This Row],[pendingAmount]]+TrafficData[[#This Row],[disposedAmount]]=TrafficData[[#This Row],[totalAmount]]</f>
        <v>1</v>
      </c>
      <c r="M805" t="b">
        <f>TrafficData[[#This Row],[pendingCourt]]+TrafficData[[#This Row],[disposedCourt]]=TrafficData[[#This Row],[totalCourt]]</f>
        <v>1</v>
      </c>
      <c r="N805" t="b">
        <f>AND(TrafficData[[#This Row],[disposedChallan]]&lt;=TrafficData[[#This Row],[totalChallan]],TrafficData[[#This Row],[pendingChallan]]&lt;=TrafficData[[#This Row],[totalChallan]])</f>
        <v>1</v>
      </c>
      <c r="O805" t="b">
        <f>AND(TrafficData[[#This Row],[pendingAmount]]&lt;=TrafficData[[#This Row],[totalAmount]],TrafficData[[#This Row],[disposedAmount]]&lt;=TrafficData[[#This Row],[totalAmount]])</f>
        <v>1</v>
      </c>
      <c r="P805" t="b">
        <f>AND(TrafficData[[#This Row],[pendingCourt]]&lt;=TrafficData[[#This Row],[totalCourt]],TrafficData[[#This Row],[disposedCourt]]&lt;=TrafficData[[#This Row],[totalCourt]])</f>
        <v>1</v>
      </c>
    </row>
    <row r="806" spans="1:16">
      <c r="A806" s="1">
        <v>42809</v>
      </c>
      <c r="B806">
        <v>1134</v>
      </c>
      <c r="C806">
        <v>190</v>
      </c>
      <c r="D806">
        <v>944</v>
      </c>
      <c r="E806">
        <v>596850</v>
      </c>
      <c r="F806">
        <v>395887</v>
      </c>
      <c r="G806">
        <v>992737</v>
      </c>
      <c r="H806">
        <v>619</v>
      </c>
      <c r="I806">
        <v>18</v>
      </c>
      <c r="J806">
        <v>637</v>
      </c>
      <c r="K806" t="b">
        <f>TrafficData[[#This Row],[disposedChallan]]+TrafficData[[#This Row],[pendingChallan]]=TrafficData[[#This Row],[totalChallan]]</f>
        <v>1</v>
      </c>
      <c r="L806" t="b">
        <f>TrafficData[[#This Row],[pendingAmount]]+TrafficData[[#This Row],[disposedAmount]]=TrafficData[[#This Row],[totalAmount]]</f>
        <v>1</v>
      </c>
      <c r="M806" t="b">
        <f>TrafficData[[#This Row],[pendingCourt]]+TrafficData[[#This Row],[disposedCourt]]=TrafficData[[#This Row],[totalCourt]]</f>
        <v>1</v>
      </c>
      <c r="N806" t="b">
        <f>AND(TrafficData[[#This Row],[disposedChallan]]&lt;=TrafficData[[#This Row],[totalChallan]],TrafficData[[#This Row],[pendingChallan]]&lt;=TrafficData[[#This Row],[totalChallan]])</f>
        <v>1</v>
      </c>
      <c r="O806" t="b">
        <f>AND(TrafficData[[#This Row],[pendingAmount]]&lt;=TrafficData[[#This Row],[totalAmount]],TrafficData[[#This Row],[disposedAmount]]&lt;=TrafficData[[#This Row],[totalAmount]])</f>
        <v>1</v>
      </c>
      <c r="P806" t="b">
        <f>AND(TrafficData[[#This Row],[pendingCourt]]&lt;=TrafficData[[#This Row],[totalCourt]],TrafficData[[#This Row],[disposedCourt]]&lt;=TrafficData[[#This Row],[totalCourt]])</f>
        <v>1</v>
      </c>
    </row>
    <row r="807" spans="1:16">
      <c r="A807" s="1">
        <v>42810</v>
      </c>
      <c r="B807">
        <v>1159</v>
      </c>
      <c r="C807">
        <v>292</v>
      </c>
      <c r="D807">
        <v>867</v>
      </c>
      <c r="E807">
        <v>922340</v>
      </c>
      <c r="F807">
        <v>752865</v>
      </c>
      <c r="G807">
        <v>1675205</v>
      </c>
      <c r="H807">
        <v>546</v>
      </c>
      <c r="I807">
        <v>50</v>
      </c>
      <c r="J807">
        <v>596</v>
      </c>
      <c r="K807" t="b">
        <f>TrafficData[[#This Row],[disposedChallan]]+TrafficData[[#This Row],[pendingChallan]]=TrafficData[[#This Row],[totalChallan]]</f>
        <v>1</v>
      </c>
      <c r="L807" t="b">
        <f>TrafficData[[#This Row],[pendingAmount]]+TrafficData[[#This Row],[disposedAmount]]=TrafficData[[#This Row],[totalAmount]]</f>
        <v>1</v>
      </c>
      <c r="M807" t="b">
        <f>TrafficData[[#This Row],[pendingCourt]]+TrafficData[[#This Row],[disposedCourt]]=TrafficData[[#This Row],[totalCourt]]</f>
        <v>1</v>
      </c>
      <c r="N807" t="b">
        <f>AND(TrafficData[[#This Row],[disposedChallan]]&lt;=TrafficData[[#This Row],[totalChallan]],TrafficData[[#This Row],[pendingChallan]]&lt;=TrafficData[[#This Row],[totalChallan]])</f>
        <v>1</v>
      </c>
      <c r="O807" t="b">
        <f>AND(TrafficData[[#This Row],[pendingAmount]]&lt;=TrafficData[[#This Row],[totalAmount]],TrafficData[[#This Row],[disposedAmount]]&lt;=TrafficData[[#This Row],[totalAmount]])</f>
        <v>1</v>
      </c>
      <c r="P807" t="b">
        <f>AND(TrafficData[[#This Row],[pendingCourt]]&lt;=TrafficData[[#This Row],[totalCourt]],TrafficData[[#This Row],[disposedCourt]]&lt;=TrafficData[[#This Row],[totalCourt]])</f>
        <v>1</v>
      </c>
    </row>
    <row r="808" spans="1:16">
      <c r="A808" s="1">
        <v>42811</v>
      </c>
      <c r="B808">
        <v>1037</v>
      </c>
      <c r="C808">
        <v>259</v>
      </c>
      <c r="D808">
        <v>778</v>
      </c>
      <c r="E808">
        <v>988899</v>
      </c>
      <c r="F808">
        <v>507350</v>
      </c>
      <c r="G808">
        <v>1496249</v>
      </c>
      <c r="H808">
        <v>456</v>
      </c>
      <c r="I808">
        <v>56</v>
      </c>
      <c r="J808">
        <v>512</v>
      </c>
      <c r="K808" t="b">
        <f>TrafficData[[#This Row],[disposedChallan]]+TrafficData[[#This Row],[pendingChallan]]=TrafficData[[#This Row],[totalChallan]]</f>
        <v>1</v>
      </c>
      <c r="L808" t="b">
        <f>TrafficData[[#This Row],[pendingAmount]]+TrafficData[[#This Row],[disposedAmount]]=TrafficData[[#This Row],[totalAmount]]</f>
        <v>1</v>
      </c>
      <c r="M808" t="b">
        <f>TrafficData[[#This Row],[pendingCourt]]+TrafficData[[#This Row],[disposedCourt]]=TrafficData[[#This Row],[totalCourt]]</f>
        <v>1</v>
      </c>
      <c r="N808" t="b">
        <f>AND(TrafficData[[#This Row],[disposedChallan]]&lt;=TrafficData[[#This Row],[totalChallan]],TrafficData[[#This Row],[pendingChallan]]&lt;=TrafficData[[#This Row],[totalChallan]])</f>
        <v>1</v>
      </c>
      <c r="O808" t="b">
        <f>AND(TrafficData[[#This Row],[pendingAmount]]&lt;=TrafficData[[#This Row],[totalAmount]],TrafficData[[#This Row],[disposedAmount]]&lt;=TrafficData[[#This Row],[totalAmount]])</f>
        <v>1</v>
      </c>
      <c r="P808" t="b">
        <f>AND(TrafficData[[#This Row],[pendingCourt]]&lt;=TrafficData[[#This Row],[totalCourt]],TrafficData[[#This Row],[disposedCourt]]&lt;=TrafficData[[#This Row],[totalCourt]])</f>
        <v>1</v>
      </c>
    </row>
    <row r="809" spans="1:16">
      <c r="A809" s="1">
        <v>42812</v>
      </c>
      <c r="B809">
        <v>1169</v>
      </c>
      <c r="C809">
        <v>262</v>
      </c>
      <c r="D809">
        <v>907</v>
      </c>
      <c r="E809">
        <v>1058260</v>
      </c>
      <c r="F809">
        <v>977950</v>
      </c>
      <c r="G809">
        <v>2036210</v>
      </c>
      <c r="H809">
        <v>548</v>
      </c>
      <c r="I809">
        <v>64</v>
      </c>
      <c r="J809">
        <v>612</v>
      </c>
      <c r="K809" t="b">
        <f>TrafficData[[#This Row],[disposedChallan]]+TrafficData[[#This Row],[pendingChallan]]=TrafficData[[#This Row],[totalChallan]]</f>
        <v>1</v>
      </c>
      <c r="L809" t="b">
        <f>TrafficData[[#This Row],[pendingAmount]]+TrafficData[[#This Row],[disposedAmount]]=TrafficData[[#This Row],[totalAmount]]</f>
        <v>1</v>
      </c>
      <c r="M809" t="b">
        <f>TrafficData[[#This Row],[pendingCourt]]+TrafficData[[#This Row],[disposedCourt]]=TrafficData[[#This Row],[totalCourt]]</f>
        <v>1</v>
      </c>
      <c r="N809" t="b">
        <f>AND(TrafficData[[#This Row],[disposedChallan]]&lt;=TrafficData[[#This Row],[totalChallan]],TrafficData[[#This Row],[pendingChallan]]&lt;=TrafficData[[#This Row],[totalChallan]])</f>
        <v>1</v>
      </c>
      <c r="O809" t="b">
        <f>AND(TrafficData[[#This Row],[pendingAmount]]&lt;=TrafficData[[#This Row],[totalAmount]],TrafficData[[#This Row],[disposedAmount]]&lt;=TrafficData[[#This Row],[totalAmount]])</f>
        <v>1</v>
      </c>
      <c r="P809" t="b">
        <f>AND(TrafficData[[#This Row],[pendingCourt]]&lt;=TrafficData[[#This Row],[totalCourt]],TrafficData[[#This Row],[disposedCourt]]&lt;=TrafficData[[#This Row],[totalCourt]])</f>
        <v>1</v>
      </c>
    </row>
    <row r="810" spans="1:16">
      <c r="A810" s="1">
        <v>42813</v>
      </c>
      <c r="B810">
        <v>602</v>
      </c>
      <c r="C810">
        <v>154</v>
      </c>
      <c r="D810">
        <v>448</v>
      </c>
      <c r="E810">
        <v>644300</v>
      </c>
      <c r="F810">
        <v>569906</v>
      </c>
      <c r="G810">
        <v>1214206</v>
      </c>
      <c r="H810">
        <v>219</v>
      </c>
      <c r="I810">
        <v>17</v>
      </c>
      <c r="J810">
        <v>236</v>
      </c>
      <c r="K810" t="b">
        <f>TrafficData[[#This Row],[disposedChallan]]+TrafficData[[#This Row],[pendingChallan]]=TrafficData[[#This Row],[totalChallan]]</f>
        <v>1</v>
      </c>
      <c r="L810" t="b">
        <f>TrafficData[[#This Row],[pendingAmount]]+TrafficData[[#This Row],[disposedAmount]]=TrafficData[[#This Row],[totalAmount]]</f>
        <v>1</v>
      </c>
      <c r="M810" t="b">
        <f>TrafficData[[#This Row],[pendingCourt]]+TrafficData[[#This Row],[disposedCourt]]=TrafficData[[#This Row],[totalCourt]]</f>
        <v>1</v>
      </c>
      <c r="N810" t="b">
        <f>AND(TrafficData[[#This Row],[disposedChallan]]&lt;=TrafficData[[#This Row],[totalChallan]],TrafficData[[#This Row],[pendingChallan]]&lt;=TrafficData[[#This Row],[totalChallan]])</f>
        <v>1</v>
      </c>
      <c r="O810" t="b">
        <f>AND(TrafficData[[#This Row],[pendingAmount]]&lt;=TrafficData[[#This Row],[totalAmount]],TrafficData[[#This Row],[disposedAmount]]&lt;=TrafficData[[#This Row],[totalAmount]])</f>
        <v>1</v>
      </c>
      <c r="P810" t="b">
        <f>AND(TrafficData[[#This Row],[pendingCourt]]&lt;=TrafficData[[#This Row],[totalCourt]],TrafficData[[#This Row],[disposedCourt]]&lt;=TrafficData[[#This Row],[totalCourt]])</f>
        <v>1</v>
      </c>
    </row>
    <row r="811" spans="1:16">
      <c r="A811" s="1">
        <v>42814</v>
      </c>
      <c r="B811">
        <v>978</v>
      </c>
      <c r="C811">
        <v>209</v>
      </c>
      <c r="D811">
        <v>769</v>
      </c>
      <c r="E811">
        <v>830150</v>
      </c>
      <c r="F811">
        <v>621250</v>
      </c>
      <c r="G811">
        <v>1451400</v>
      </c>
      <c r="H811">
        <v>452</v>
      </c>
      <c r="I811">
        <v>38</v>
      </c>
      <c r="J811">
        <v>490</v>
      </c>
      <c r="K811" t="b">
        <f>TrafficData[[#This Row],[disposedChallan]]+TrafficData[[#This Row],[pendingChallan]]=TrafficData[[#This Row],[totalChallan]]</f>
        <v>1</v>
      </c>
      <c r="L811" t="b">
        <f>TrafficData[[#This Row],[pendingAmount]]+TrafficData[[#This Row],[disposedAmount]]=TrafficData[[#This Row],[totalAmount]]</f>
        <v>1</v>
      </c>
      <c r="M811" t="b">
        <f>TrafficData[[#This Row],[pendingCourt]]+TrafficData[[#This Row],[disposedCourt]]=TrafficData[[#This Row],[totalCourt]]</f>
        <v>1</v>
      </c>
      <c r="N811" t="b">
        <f>AND(TrafficData[[#This Row],[disposedChallan]]&lt;=TrafficData[[#This Row],[totalChallan]],TrafficData[[#This Row],[pendingChallan]]&lt;=TrafficData[[#This Row],[totalChallan]])</f>
        <v>1</v>
      </c>
      <c r="O811" t="b">
        <f>AND(TrafficData[[#This Row],[pendingAmount]]&lt;=TrafficData[[#This Row],[totalAmount]],TrafficData[[#This Row],[disposedAmount]]&lt;=TrafficData[[#This Row],[totalAmount]])</f>
        <v>1</v>
      </c>
      <c r="P811" t="b">
        <f>AND(TrafficData[[#This Row],[pendingCourt]]&lt;=TrafficData[[#This Row],[totalCourt]],TrafficData[[#This Row],[disposedCourt]]&lt;=TrafficData[[#This Row],[totalCourt]])</f>
        <v>1</v>
      </c>
    </row>
    <row r="812" spans="1:16">
      <c r="A812" s="1">
        <v>42815</v>
      </c>
      <c r="B812">
        <v>1177</v>
      </c>
      <c r="C812">
        <v>302</v>
      </c>
      <c r="D812">
        <v>875</v>
      </c>
      <c r="E812">
        <v>1455752</v>
      </c>
      <c r="F812">
        <v>1056085</v>
      </c>
      <c r="G812">
        <v>2511837</v>
      </c>
      <c r="H812">
        <v>580</v>
      </c>
      <c r="I812">
        <v>72</v>
      </c>
      <c r="J812">
        <v>652</v>
      </c>
      <c r="K812" t="b">
        <f>TrafficData[[#This Row],[disposedChallan]]+TrafficData[[#This Row],[pendingChallan]]=TrafficData[[#This Row],[totalChallan]]</f>
        <v>1</v>
      </c>
      <c r="L812" t="b">
        <f>TrafficData[[#This Row],[pendingAmount]]+TrafficData[[#This Row],[disposedAmount]]=TrafficData[[#This Row],[totalAmount]]</f>
        <v>1</v>
      </c>
      <c r="M812" t="b">
        <f>TrafficData[[#This Row],[pendingCourt]]+TrafficData[[#This Row],[disposedCourt]]=TrafficData[[#This Row],[totalCourt]]</f>
        <v>1</v>
      </c>
      <c r="N812" t="b">
        <f>AND(TrafficData[[#This Row],[disposedChallan]]&lt;=TrafficData[[#This Row],[totalChallan]],TrafficData[[#This Row],[pendingChallan]]&lt;=TrafficData[[#This Row],[totalChallan]])</f>
        <v>1</v>
      </c>
      <c r="O812" t="b">
        <f>AND(TrafficData[[#This Row],[pendingAmount]]&lt;=TrafficData[[#This Row],[totalAmount]],TrafficData[[#This Row],[disposedAmount]]&lt;=TrafficData[[#This Row],[totalAmount]])</f>
        <v>1</v>
      </c>
      <c r="P812" t="b">
        <f>AND(TrafficData[[#This Row],[pendingCourt]]&lt;=TrafficData[[#This Row],[totalCourt]],TrafficData[[#This Row],[disposedCourt]]&lt;=TrafficData[[#This Row],[totalCourt]])</f>
        <v>1</v>
      </c>
    </row>
    <row r="813" spans="1:16">
      <c r="A813" s="1">
        <v>42816</v>
      </c>
      <c r="B813">
        <v>1242</v>
      </c>
      <c r="C813">
        <v>407</v>
      </c>
      <c r="D813">
        <v>835</v>
      </c>
      <c r="E813">
        <v>1341251</v>
      </c>
      <c r="F813">
        <v>1116505</v>
      </c>
      <c r="G813">
        <v>2457756</v>
      </c>
      <c r="H813">
        <v>537</v>
      </c>
      <c r="I813">
        <v>69</v>
      </c>
      <c r="J813">
        <v>606</v>
      </c>
      <c r="K813" t="b">
        <f>TrafficData[[#This Row],[disposedChallan]]+TrafficData[[#This Row],[pendingChallan]]=TrafficData[[#This Row],[totalChallan]]</f>
        <v>1</v>
      </c>
      <c r="L813" t="b">
        <f>TrafficData[[#This Row],[pendingAmount]]+TrafficData[[#This Row],[disposedAmount]]=TrafficData[[#This Row],[totalAmount]]</f>
        <v>1</v>
      </c>
      <c r="M813" t="b">
        <f>TrafficData[[#This Row],[pendingCourt]]+TrafficData[[#This Row],[disposedCourt]]=TrafficData[[#This Row],[totalCourt]]</f>
        <v>1</v>
      </c>
      <c r="N813" t="b">
        <f>AND(TrafficData[[#This Row],[disposedChallan]]&lt;=TrafficData[[#This Row],[totalChallan]],TrafficData[[#This Row],[pendingChallan]]&lt;=TrafficData[[#This Row],[totalChallan]])</f>
        <v>1</v>
      </c>
      <c r="O813" t="b">
        <f>AND(TrafficData[[#This Row],[pendingAmount]]&lt;=TrafficData[[#This Row],[totalAmount]],TrafficData[[#This Row],[disposedAmount]]&lt;=TrafficData[[#This Row],[totalAmount]])</f>
        <v>1</v>
      </c>
      <c r="P813" t="b">
        <f>AND(TrafficData[[#This Row],[pendingCourt]]&lt;=TrafficData[[#This Row],[totalCourt]],TrafficData[[#This Row],[disposedCourt]]&lt;=TrafficData[[#This Row],[totalCourt]])</f>
        <v>1</v>
      </c>
    </row>
    <row r="814" spans="1:16">
      <c r="A814" s="1">
        <v>42817</v>
      </c>
      <c r="B814">
        <v>1174</v>
      </c>
      <c r="C814">
        <v>342</v>
      </c>
      <c r="D814">
        <v>832</v>
      </c>
      <c r="E814">
        <v>2386665</v>
      </c>
      <c r="F814">
        <v>1007960</v>
      </c>
      <c r="G814">
        <v>3394625</v>
      </c>
      <c r="H814">
        <v>552</v>
      </c>
      <c r="I814">
        <v>32</v>
      </c>
      <c r="J814">
        <v>584</v>
      </c>
      <c r="K814" t="b">
        <f>TrafficData[[#This Row],[disposedChallan]]+TrafficData[[#This Row],[pendingChallan]]=TrafficData[[#This Row],[totalChallan]]</f>
        <v>1</v>
      </c>
      <c r="L814" t="b">
        <f>TrafficData[[#This Row],[pendingAmount]]+TrafficData[[#This Row],[disposedAmount]]=TrafficData[[#This Row],[totalAmount]]</f>
        <v>1</v>
      </c>
      <c r="M814" t="b">
        <f>TrafficData[[#This Row],[pendingCourt]]+TrafficData[[#This Row],[disposedCourt]]=TrafficData[[#This Row],[totalCourt]]</f>
        <v>1</v>
      </c>
      <c r="N814" t="b">
        <f>AND(TrafficData[[#This Row],[disposedChallan]]&lt;=TrafficData[[#This Row],[totalChallan]],TrafficData[[#This Row],[pendingChallan]]&lt;=TrafficData[[#This Row],[totalChallan]])</f>
        <v>1</v>
      </c>
      <c r="O814" t="b">
        <f>AND(TrafficData[[#This Row],[pendingAmount]]&lt;=TrafficData[[#This Row],[totalAmount]],TrafficData[[#This Row],[disposedAmount]]&lt;=TrafficData[[#This Row],[totalAmount]])</f>
        <v>1</v>
      </c>
      <c r="P814" t="b">
        <f>AND(TrafficData[[#This Row],[pendingCourt]]&lt;=TrafficData[[#This Row],[totalCourt]],TrafficData[[#This Row],[disposedCourt]]&lt;=TrafficData[[#This Row],[totalCourt]])</f>
        <v>1</v>
      </c>
    </row>
    <row r="815" spans="1:16">
      <c r="A815" s="1">
        <v>42818</v>
      </c>
      <c r="B815">
        <v>1067</v>
      </c>
      <c r="C815">
        <v>378</v>
      </c>
      <c r="D815">
        <v>689</v>
      </c>
      <c r="E815">
        <v>955850</v>
      </c>
      <c r="F815">
        <v>1499930</v>
      </c>
      <c r="G815">
        <v>2455780</v>
      </c>
      <c r="H815">
        <v>397</v>
      </c>
      <c r="I815">
        <v>48</v>
      </c>
      <c r="J815">
        <v>445</v>
      </c>
      <c r="K815" t="b">
        <f>TrafficData[[#This Row],[disposedChallan]]+TrafficData[[#This Row],[pendingChallan]]=TrafficData[[#This Row],[totalChallan]]</f>
        <v>1</v>
      </c>
      <c r="L815" t="b">
        <f>TrafficData[[#This Row],[pendingAmount]]+TrafficData[[#This Row],[disposedAmount]]=TrafficData[[#This Row],[totalAmount]]</f>
        <v>1</v>
      </c>
      <c r="M815" t="b">
        <f>TrafficData[[#This Row],[pendingCourt]]+TrafficData[[#This Row],[disposedCourt]]=TrafficData[[#This Row],[totalCourt]]</f>
        <v>1</v>
      </c>
      <c r="N815" t="b">
        <f>AND(TrafficData[[#This Row],[disposedChallan]]&lt;=TrafficData[[#This Row],[totalChallan]],TrafficData[[#This Row],[pendingChallan]]&lt;=TrafficData[[#This Row],[totalChallan]])</f>
        <v>1</v>
      </c>
      <c r="O815" t="b">
        <f>AND(TrafficData[[#This Row],[pendingAmount]]&lt;=TrafficData[[#This Row],[totalAmount]],TrafficData[[#This Row],[disposedAmount]]&lt;=TrafficData[[#This Row],[totalAmount]])</f>
        <v>1</v>
      </c>
      <c r="P815" t="b">
        <f>AND(TrafficData[[#This Row],[pendingCourt]]&lt;=TrafficData[[#This Row],[totalCourt]],TrafficData[[#This Row],[disposedCourt]]&lt;=TrafficData[[#This Row],[totalCourt]])</f>
        <v>1</v>
      </c>
    </row>
    <row r="816" spans="1:16">
      <c r="A816" s="1">
        <v>42819</v>
      </c>
      <c r="B816">
        <v>1116</v>
      </c>
      <c r="C816">
        <v>392</v>
      </c>
      <c r="D816">
        <v>724</v>
      </c>
      <c r="E816">
        <v>1003650</v>
      </c>
      <c r="F816">
        <v>2702678</v>
      </c>
      <c r="G816">
        <v>3706328</v>
      </c>
      <c r="H816">
        <v>434</v>
      </c>
      <c r="I816">
        <v>58</v>
      </c>
      <c r="J816">
        <v>492</v>
      </c>
      <c r="K816" t="b">
        <f>TrafficData[[#This Row],[disposedChallan]]+TrafficData[[#This Row],[pendingChallan]]=TrafficData[[#This Row],[totalChallan]]</f>
        <v>1</v>
      </c>
      <c r="L816" t="b">
        <f>TrafficData[[#This Row],[pendingAmount]]+TrafficData[[#This Row],[disposedAmount]]=TrafficData[[#This Row],[totalAmount]]</f>
        <v>1</v>
      </c>
      <c r="M816" t="b">
        <f>TrafficData[[#This Row],[pendingCourt]]+TrafficData[[#This Row],[disposedCourt]]=TrafficData[[#This Row],[totalCourt]]</f>
        <v>1</v>
      </c>
      <c r="N816" t="b">
        <f>AND(TrafficData[[#This Row],[disposedChallan]]&lt;=TrafficData[[#This Row],[totalChallan]],TrafficData[[#This Row],[pendingChallan]]&lt;=TrafficData[[#This Row],[totalChallan]])</f>
        <v>1</v>
      </c>
      <c r="O816" t="b">
        <f>AND(TrafficData[[#This Row],[pendingAmount]]&lt;=TrafficData[[#This Row],[totalAmount]],TrafficData[[#This Row],[disposedAmount]]&lt;=TrafficData[[#This Row],[totalAmount]])</f>
        <v>1</v>
      </c>
      <c r="P816" t="b">
        <f>AND(TrafficData[[#This Row],[pendingCourt]]&lt;=TrafficData[[#This Row],[totalCourt]],TrafficData[[#This Row],[disposedCourt]]&lt;=TrafficData[[#This Row],[totalCourt]])</f>
        <v>1</v>
      </c>
    </row>
    <row r="817" spans="1:16">
      <c r="A817" s="1">
        <v>42820</v>
      </c>
      <c r="B817">
        <v>675</v>
      </c>
      <c r="C817">
        <v>222</v>
      </c>
      <c r="D817">
        <v>453</v>
      </c>
      <c r="E817">
        <v>495400</v>
      </c>
      <c r="F817">
        <v>980080</v>
      </c>
      <c r="G817">
        <v>1475480</v>
      </c>
      <c r="H817">
        <v>225</v>
      </c>
      <c r="I817">
        <v>35</v>
      </c>
      <c r="J817">
        <v>260</v>
      </c>
      <c r="K817" t="b">
        <f>TrafficData[[#This Row],[disposedChallan]]+TrafficData[[#This Row],[pendingChallan]]=TrafficData[[#This Row],[totalChallan]]</f>
        <v>1</v>
      </c>
      <c r="L817" t="b">
        <f>TrafficData[[#This Row],[pendingAmount]]+TrafficData[[#This Row],[disposedAmount]]=TrafficData[[#This Row],[totalAmount]]</f>
        <v>1</v>
      </c>
      <c r="M817" t="b">
        <f>TrafficData[[#This Row],[pendingCourt]]+TrafficData[[#This Row],[disposedCourt]]=TrafficData[[#This Row],[totalCourt]]</f>
        <v>1</v>
      </c>
      <c r="N817" t="b">
        <f>AND(TrafficData[[#This Row],[disposedChallan]]&lt;=TrafficData[[#This Row],[totalChallan]],TrafficData[[#This Row],[pendingChallan]]&lt;=TrafficData[[#This Row],[totalChallan]])</f>
        <v>1</v>
      </c>
      <c r="O817" t="b">
        <f>AND(TrafficData[[#This Row],[pendingAmount]]&lt;=TrafficData[[#This Row],[totalAmount]],TrafficData[[#This Row],[disposedAmount]]&lt;=TrafficData[[#This Row],[totalAmount]])</f>
        <v>1</v>
      </c>
      <c r="P817" t="b">
        <f>AND(TrafficData[[#This Row],[pendingCourt]]&lt;=TrafficData[[#This Row],[totalCourt]],TrafficData[[#This Row],[disposedCourt]]&lt;=TrafficData[[#This Row],[totalCourt]])</f>
        <v>1</v>
      </c>
    </row>
    <row r="818" spans="1:16">
      <c r="A818" s="1">
        <v>42821</v>
      </c>
      <c r="B818">
        <v>1160</v>
      </c>
      <c r="C818">
        <v>354</v>
      </c>
      <c r="D818">
        <v>806</v>
      </c>
      <c r="E818">
        <v>916600</v>
      </c>
      <c r="F818">
        <v>1365041</v>
      </c>
      <c r="G818">
        <v>2281641</v>
      </c>
      <c r="H818">
        <v>512</v>
      </c>
      <c r="I818">
        <v>83</v>
      </c>
      <c r="J818">
        <v>595</v>
      </c>
      <c r="K818" t="b">
        <f>TrafficData[[#This Row],[disposedChallan]]+TrafficData[[#This Row],[pendingChallan]]=TrafficData[[#This Row],[totalChallan]]</f>
        <v>1</v>
      </c>
      <c r="L818" t="b">
        <f>TrafficData[[#This Row],[pendingAmount]]+TrafficData[[#This Row],[disposedAmount]]=TrafficData[[#This Row],[totalAmount]]</f>
        <v>1</v>
      </c>
      <c r="M818" t="b">
        <f>TrafficData[[#This Row],[pendingCourt]]+TrafficData[[#This Row],[disposedCourt]]=TrafficData[[#This Row],[totalCourt]]</f>
        <v>1</v>
      </c>
      <c r="N818" t="b">
        <f>AND(TrafficData[[#This Row],[disposedChallan]]&lt;=TrafficData[[#This Row],[totalChallan]],TrafficData[[#This Row],[pendingChallan]]&lt;=TrafficData[[#This Row],[totalChallan]])</f>
        <v>1</v>
      </c>
      <c r="O818" t="b">
        <f>AND(TrafficData[[#This Row],[pendingAmount]]&lt;=TrafficData[[#This Row],[totalAmount]],TrafficData[[#This Row],[disposedAmount]]&lt;=TrafficData[[#This Row],[totalAmount]])</f>
        <v>1</v>
      </c>
      <c r="P818" t="b">
        <f>AND(TrafficData[[#This Row],[pendingCourt]]&lt;=TrafficData[[#This Row],[totalCourt]],TrafficData[[#This Row],[disposedCourt]]&lt;=TrafficData[[#This Row],[totalCourt]])</f>
        <v>1</v>
      </c>
    </row>
    <row r="819" spans="1:16">
      <c r="A819" s="1">
        <v>42822</v>
      </c>
      <c r="B819">
        <v>1322</v>
      </c>
      <c r="C819">
        <v>349</v>
      </c>
      <c r="D819">
        <v>973</v>
      </c>
      <c r="E819">
        <v>1232350</v>
      </c>
      <c r="F819">
        <v>996020</v>
      </c>
      <c r="G819">
        <v>2228370</v>
      </c>
      <c r="H819">
        <v>664</v>
      </c>
      <c r="I819">
        <v>78</v>
      </c>
      <c r="J819">
        <v>742</v>
      </c>
      <c r="K819" t="b">
        <f>TrafficData[[#This Row],[disposedChallan]]+TrafficData[[#This Row],[pendingChallan]]=TrafficData[[#This Row],[totalChallan]]</f>
        <v>1</v>
      </c>
      <c r="L819" t="b">
        <f>TrafficData[[#This Row],[pendingAmount]]+TrafficData[[#This Row],[disposedAmount]]=TrafficData[[#This Row],[totalAmount]]</f>
        <v>1</v>
      </c>
      <c r="M819" t="b">
        <f>TrafficData[[#This Row],[pendingCourt]]+TrafficData[[#This Row],[disposedCourt]]=TrafficData[[#This Row],[totalCourt]]</f>
        <v>1</v>
      </c>
      <c r="N819" t="b">
        <f>AND(TrafficData[[#This Row],[disposedChallan]]&lt;=TrafficData[[#This Row],[totalChallan]],TrafficData[[#This Row],[pendingChallan]]&lt;=TrafficData[[#This Row],[totalChallan]])</f>
        <v>1</v>
      </c>
      <c r="O819" t="b">
        <f>AND(TrafficData[[#This Row],[pendingAmount]]&lt;=TrafficData[[#This Row],[totalAmount]],TrafficData[[#This Row],[disposedAmount]]&lt;=TrafficData[[#This Row],[totalAmount]])</f>
        <v>1</v>
      </c>
      <c r="P819" t="b">
        <f>AND(TrafficData[[#This Row],[pendingCourt]]&lt;=TrafficData[[#This Row],[totalCourt]],TrafficData[[#This Row],[disposedCourt]]&lt;=TrafficData[[#This Row],[totalCourt]])</f>
        <v>1</v>
      </c>
    </row>
    <row r="820" spans="1:16">
      <c r="A820" s="1">
        <v>42823</v>
      </c>
      <c r="B820">
        <v>1469</v>
      </c>
      <c r="C820">
        <v>422</v>
      </c>
      <c r="D820">
        <v>1047</v>
      </c>
      <c r="E820">
        <v>1030900</v>
      </c>
      <c r="F820">
        <v>1353705</v>
      </c>
      <c r="G820">
        <v>2384605</v>
      </c>
      <c r="H820">
        <v>738</v>
      </c>
      <c r="I820">
        <v>65</v>
      </c>
      <c r="J820">
        <v>803</v>
      </c>
      <c r="K820" t="b">
        <f>TrafficData[[#This Row],[disposedChallan]]+TrafficData[[#This Row],[pendingChallan]]=TrafficData[[#This Row],[totalChallan]]</f>
        <v>1</v>
      </c>
      <c r="L820" t="b">
        <f>TrafficData[[#This Row],[pendingAmount]]+TrafficData[[#This Row],[disposedAmount]]=TrafficData[[#This Row],[totalAmount]]</f>
        <v>1</v>
      </c>
      <c r="M820" t="b">
        <f>TrafficData[[#This Row],[pendingCourt]]+TrafficData[[#This Row],[disposedCourt]]=TrafficData[[#This Row],[totalCourt]]</f>
        <v>1</v>
      </c>
      <c r="N820" t="b">
        <f>AND(TrafficData[[#This Row],[disposedChallan]]&lt;=TrafficData[[#This Row],[totalChallan]],TrafficData[[#This Row],[pendingChallan]]&lt;=TrafficData[[#This Row],[totalChallan]])</f>
        <v>1</v>
      </c>
      <c r="O820" t="b">
        <f>AND(TrafficData[[#This Row],[pendingAmount]]&lt;=TrafficData[[#This Row],[totalAmount]],TrafficData[[#This Row],[disposedAmount]]&lt;=TrafficData[[#This Row],[totalAmount]])</f>
        <v>1</v>
      </c>
      <c r="P820" t="b">
        <f>AND(TrafficData[[#This Row],[pendingCourt]]&lt;=TrafficData[[#This Row],[totalCourt]],TrafficData[[#This Row],[disposedCourt]]&lt;=TrafficData[[#This Row],[totalCourt]])</f>
        <v>1</v>
      </c>
    </row>
    <row r="821" spans="1:16">
      <c r="A821" s="1">
        <v>42824</v>
      </c>
      <c r="B821">
        <v>1418</v>
      </c>
      <c r="C821">
        <v>409</v>
      </c>
      <c r="D821">
        <v>1009</v>
      </c>
      <c r="E821">
        <v>906490</v>
      </c>
      <c r="F821">
        <v>731610</v>
      </c>
      <c r="G821">
        <v>1638100</v>
      </c>
      <c r="H821">
        <v>643</v>
      </c>
      <c r="I821">
        <v>77</v>
      </c>
      <c r="J821">
        <v>720</v>
      </c>
      <c r="K821" t="b">
        <f>TrafficData[[#This Row],[disposedChallan]]+TrafficData[[#This Row],[pendingChallan]]=TrafficData[[#This Row],[totalChallan]]</f>
        <v>1</v>
      </c>
      <c r="L821" t="b">
        <f>TrafficData[[#This Row],[pendingAmount]]+TrafficData[[#This Row],[disposedAmount]]=TrafficData[[#This Row],[totalAmount]]</f>
        <v>1</v>
      </c>
      <c r="M821" t="b">
        <f>TrafficData[[#This Row],[pendingCourt]]+TrafficData[[#This Row],[disposedCourt]]=TrafficData[[#This Row],[totalCourt]]</f>
        <v>1</v>
      </c>
      <c r="N821" t="b">
        <f>AND(TrafficData[[#This Row],[disposedChallan]]&lt;=TrafficData[[#This Row],[totalChallan]],TrafficData[[#This Row],[pendingChallan]]&lt;=TrafficData[[#This Row],[totalChallan]])</f>
        <v>1</v>
      </c>
      <c r="O821" t="b">
        <f>AND(TrafficData[[#This Row],[pendingAmount]]&lt;=TrafficData[[#This Row],[totalAmount]],TrafficData[[#This Row],[disposedAmount]]&lt;=TrafficData[[#This Row],[totalAmount]])</f>
        <v>1</v>
      </c>
      <c r="P821" t="b">
        <f>AND(TrafficData[[#This Row],[pendingCourt]]&lt;=TrafficData[[#This Row],[totalCourt]],TrafficData[[#This Row],[disposedCourt]]&lt;=TrafficData[[#This Row],[totalCourt]])</f>
        <v>1</v>
      </c>
    </row>
    <row r="822" spans="1:16">
      <c r="A822" s="1">
        <v>42825</v>
      </c>
      <c r="B822">
        <v>1599</v>
      </c>
      <c r="C822">
        <v>485</v>
      </c>
      <c r="D822">
        <v>1114</v>
      </c>
      <c r="E822">
        <v>1043000</v>
      </c>
      <c r="F822">
        <v>751880</v>
      </c>
      <c r="G822">
        <v>1794880</v>
      </c>
      <c r="H822">
        <v>666</v>
      </c>
      <c r="I822">
        <v>61</v>
      </c>
      <c r="J822">
        <v>727</v>
      </c>
      <c r="K822" t="b">
        <f>TrafficData[[#This Row],[disposedChallan]]+TrafficData[[#This Row],[pendingChallan]]=TrafficData[[#This Row],[totalChallan]]</f>
        <v>1</v>
      </c>
      <c r="L822" t="b">
        <f>TrafficData[[#This Row],[pendingAmount]]+TrafficData[[#This Row],[disposedAmount]]=TrafficData[[#This Row],[totalAmount]]</f>
        <v>1</v>
      </c>
      <c r="M822" t="b">
        <f>TrafficData[[#This Row],[pendingCourt]]+TrafficData[[#This Row],[disposedCourt]]=TrafficData[[#This Row],[totalCourt]]</f>
        <v>1</v>
      </c>
      <c r="N822" t="b">
        <f>AND(TrafficData[[#This Row],[disposedChallan]]&lt;=TrafficData[[#This Row],[totalChallan]],TrafficData[[#This Row],[pendingChallan]]&lt;=TrafficData[[#This Row],[totalChallan]])</f>
        <v>1</v>
      </c>
      <c r="O822" t="b">
        <f>AND(TrafficData[[#This Row],[pendingAmount]]&lt;=TrafficData[[#This Row],[totalAmount]],TrafficData[[#This Row],[disposedAmount]]&lt;=TrafficData[[#This Row],[totalAmount]])</f>
        <v>1</v>
      </c>
      <c r="P822" t="b">
        <f>AND(TrafficData[[#This Row],[pendingCourt]]&lt;=TrafficData[[#This Row],[totalCourt]],TrafficData[[#This Row],[disposedCourt]]&lt;=TrafficData[[#This Row],[totalCourt]])</f>
        <v>1</v>
      </c>
    </row>
    <row r="823" spans="1:16">
      <c r="A823" s="1">
        <v>42826</v>
      </c>
      <c r="B823">
        <v>967</v>
      </c>
      <c r="C823">
        <v>257</v>
      </c>
      <c r="D823">
        <v>710</v>
      </c>
      <c r="E823">
        <v>31478850</v>
      </c>
      <c r="F823">
        <v>734210</v>
      </c>
      <c r="G823">
        <v>32213060</v>
      </c>
      <c r="H823">
        <v>351</v>
      </c>
      <c r="I823">
        <v>28</v>
      </c>
      <c r="J823">
        <v>379</v>
      </c>
      <c r="K823" t="b">
        <f>TrafficData[[#This Row],[disposedChallan]]+TrafficData[[#This Row],[pendingChallan]]=TrafficData[[#This Row],[totalChallan]]</f>
        <v>1</v>
      </c>
      <c r="L823" t="b">
        <f>TrafficData[[#This Row],[pendingAmount]]+TrafficData[[#This Row],[disposedAmount]]=TrafficData[[#This Row],[totalAmount]]</f>
        <v>1</v>
      </c>
      <c r="M823" t="b">
        <f>TrafficData[[#This Row],[pendingCourt]]+TrafficData[[#This Row],[disposedCourt]]=TrafficData[[#This Row],[totalCourt]]</f>
        <v>1</v>
      </c>
      <c r="N823" t="b">
        <f>AND(TrafficData[[#This Row],[disposedChallan]]&lt;=TrafficData[[#This Row],[totalChallan]],TrafficData[[#This Row],[pendingChallan]]&lt;=TrafficData[[#This Row],[totalChallan]])</f>
        <v>1</v>
      </c>
      <c r="O823" t="b">
        <f>AND(TrafficData[[#This Row],[pendingAmount]]&lt;=TrafficData[[#This Row],[totalAmount]],TrafficData[[#This Row],[disposedAmount]]&lt;=TrafficData[[#This Row],[totalAmount]])</f>
        <v>1</v>
      </c>
      <c r="P823" t="b">
        <f>AND(TrafficData[[#This Row],[pendingCourt]]&lt;=TrafficData[[#This Row],[totalCourt]],TrafficData[[#This Row],[disposedCourt]]&lt;=TrafficData[[#This Row],[totalCourt]])</f>
        <v>1</v>
      </c>
    </row>
    <row r="824" spans="1:16">
      <c r="A824" s="1">
        <v>42827</v>
      </c>
      <c r="B824">
        <v>788</v>
      </c>
      <c r="C824">
        <v>213</v>
      </c>
      <c r="D824">
        <v>575</v>
      </c>
      <c r="E824">
        <v>800500</v>
      </c>
      <c r="F824">
        <v>516935</v>
      </c>
      <c r="G824">
        <v>1317435</v>
      </c>
      <c r="H824">
        <v>314</v>
      </c>
      <c r="I824">
        <v>36</v>
      </c>
      <c r="J824">
        <v>350</v>
      </c>
      <c r="K824" t="b">
        <f>TrafficData[[#This Row],[disposedChallan]]+TrafficData[[#This Row],[pendingChallan]]=TrafficData[[#This Row],[totalChallan]]</f>
        <v>1</v>
      </c>
      <c r="L824" t="b">
        <f>TrafficData[[#This Row],[pendingAmount]]+TrafficData[[#This Row],[disposedAmount]]=TrafficData[[#This Row],[totalAmount]]</f>
        <v>1</v>
      </c>
      <c r="M824" t="b">
        <f>TrafficData[[#This Row],[pendingCourt]]+TrafficData[[#This Row],[disposedCourt]]=TrafficData[[#This Row],[totalCourt]]</f>
        <v>1</v>
      </c>
      <c r="N824" t="b">
        <f>AND(TrafficData[[#This Row],[disposedChallan]]&lt;=TrafficData[[#This Row],[totalChallan]],TrafficData[[#This Row],[pendingChallan]]&lt;=TrafficData[[#This Row],[totalChallan]])</f>
        <v>1</v>
      </c>
      <c r="O824" t="b">
        <f>AND(TrafficData[[#This Row],[pendingAmount]]&lt;=TrafficData[[#This Row],[totalAmount]],TrafficData[[#This Row],[disposedAmount]]&lt;=TrafficData[[#This Row],[totalAmount]])</f>
        <v>1</v>
      </c>
      <c r="P824" t="b">
        <f>AND(TrafficData[[#This Row],[pendingCourt]]&lt;=TrafficData[[#This Row],[totalCourt]],TrafficData[[#This Row],[disposedCourt]]&lt;=TrafficData[[#This Row],[totalCourt]])</f>
        <v>1</v>
      </c>
    </row>
    <row r="825" spans="1:16">
      <c r="A825" s="1">
        <v>42828</v>
      </c>
      <c r="B825">
        <v>921</v>
      </c>
      <c r="C825">
        <v>276</v>
      </c>
      <c r="D825">
        <v>645</v>
      </c>
      <c r="E825">
        <v>1004850</v>
      </c>
      <c r="F825">
        <v>1096456</v>
      </c>
      <c r="G825">
        <v>2101306</v>
      </c>
      <c r="H825">
        <v>344</v>
      </c>
      <c r="I825">
        <v>53</v>
      </c>
      <c r="J825">
        <v>397</v>
      </c>
      <c r="K825" t="b">
        <f>TrafficData[[#This Row],[disposedChallan]]+TrafficData[[#This Row],[pendingChallan]]=TrafficData[[#This Row],[totalChallan]]</f>
        <v>1</v>
      </c>
      <c r="L825" t="b">
        <f>TrafficData[[#This Row],[pendingAmount]]+TrafficData[[#This Row],[disposedAmount]]=TrafficData[[#This Row],[totalAmount]]</f>
        <v>1</v>
      </c>
      <c r="M825" t="b">
        <f>TrafficData[[#This Row],[pendingCourt]]+TrafficData[[#This Row],[disposedCourt]]=TrafficData[[#This Row],[totalCourt]]</f>
        <v>1</v>
      </c>
      <c r="N825" t="b">
        <f>AND(TrafficData[[#This Row],[disposedChallan]]&lt;=TrafficData[[#This Row],[totalChallan]],TrafficData[[#This Row],[pendingChallan]]&lt;=TrafficData[[#This Row],[totalChallan]])</f>
        <v>1</v>
      </c>
      <c r="O825" t="b">
        <f>AND(TrafficData[[#This Row],[pendingAmount]]&lt;=TrafficData[[#This Row],[totalAmount]],TrafficData[[#This Row],[disposedAmount]]&lt;=TrafficData[[#This Row],[totalAmount]])</f>
        <v>1</v>
      </c>
      <c r="P825" t="b">
        <f>AND(TrafficData[[#This Row],[pendingCourt]]&lt;=TrafficData[[#This Row],[totalCourt]],TrafficData[[#This Row],[disposedCourt]]&lt;=TrafficData[[#This Row],[totalCourt]])</f>
        <v>1</v>
      </c>
    </row>
    <row r="826" spans="1:16">
      <c r="A826" s="1">
        <v>42829</v>
      </c>
      <c r="B826">
        <v>1020</v>
      </c>
      <c r="C826">
        <v>276</v>
      </c>
      <c r="D826">
        <v>744</v>
      </c>
      <c r="E826">
        <v>1325150</v>
      </c>
      <c r="F826">
        <v>1032670</v>
      </c>
      <c r="G826">
        <v>2357820</v>
      </c>
      <c r="H826">
        <v>395</v>
      </c>
      <c r="I826">
        <v>51</v>
      </c>
      <c r="J826">
        <v>446</v>
      </c>
      <c r="K826" t="b">
        <f>TrafficData[[#This Row],[disposedChallan]]+TrafficData[[#This Row],[pendingChallan]]=TrafficData[[#This Row],[totalChallan]]</f>
        <v>1</v>
      </c>
      <c r="L826" t="b">
        <f>TrafficData[[#This Row],[pendingAmount]]+TrafficData[[#This Row],[disposedAmount]]=TrafficData[[#This Row],[totalAmount]]</f>
        <v>1</v>
      </c>
      <c r="M826" t="b">
        <f>TrafficData[[#This Row],[pendingCourt]]+TrafficData[[#This Row],[disposedCourt]]=TrafficData[[#This Row],[totalCourt]]</f>
        <v>1</v>
      </c>
      <c r="N826" t="b">
        <f>AND(TrafficData[[#This Row],[disposedChallan]]&lt;=TrafficData[[#This Row],[totalChallan]],TrafficData[[#This Row],[pendingChallan]]&lt;=TrafficData[[#This Row],[totalChallan]])</f>
        <v>1</v>
      </c>
      <c r="O826" t="b">
        <f>AND(TrafficData[[#This Row],[pendingAmount]]&lt;=TrafficData[[#This Row],[totalAmount]],TrafficData[[#This Row],[disposedAmount]]&lt;=TrafficData[[#This Row],[totalAmount]])</f>
        <v>1</v>
      </c>
      <c r="P826" t="b">
        <f>AND(TrafficData[[#This Row],[pendingCourt]]&lt;=TrafficData[[#This Row],[totalCourt]],TrafficData[[#This Row],[disposedCourt]]&lt;=TrafficData[[#This Row],[totalCourt]])</f>
        <v>1</v>
      </c>
    </row>
    <row r="827" spans="1:16">
      <c r="A827" s="1">
        <v>42830</v>
      </c>
      <c r="B827">
        <v>1334</v>
      </c>
      <c r="C827">
        <v>258</v>
      </c>
      <c r="D827">
        <v>1076</v>
      </c>
      <c r="E827">
        <v>1080760</v>
      </c>
      <c r="F827">
        <v>608210</v>
      </c>
      <c r="G827">
        <v>1688970</v>
      </c>
      <c r="H827">
        <v>685</v>
      </c>
      <c r="I827">
        <v>68</v>
      </c>
      <c r="J827">
        <v>753</v>
      </c>
      <c r="K827" t="b">
        <f>TrafficData[[#This Row],[disposedChallan]]+TrafficData[[#This Row],[pendingChallan]]=TrafficData[[#This Row],[totalChallan]]</f>
        <v>1</v>
      </c>
      <c r="L827" t="b">
        <f>TrafficData[[#This Row],[pendingAmount]]+TrafficData[[#This Row],[disposedAmount]]=TrafficData[[#This Row],[totalAmount]]</f>
        <v>1</v>
      </c>
      <c r="M827" t="b">
        <f>TrafficData[[#This Row],[pendingCourt]]+TrafficData[[#This Row],[disposedCourt]]=TrafficData[[#This Row],[totalCourt]]</f>
        <v>1</v>
      </c>
      <c r="N827" t="b">
        <f>AND(TrafficData[[#This Row],[disposedChallan]]&lt;=TrafficData[[#This Row],[totalChallan]],TrafficData[[#This Row],[pendingChallan]]&lt;=TrafficData[[#This Row],[totalChallan]])</f>
        <v>1</v>
      </c>
      <c r="O827" t="b">
        <f>AND(TrafficData[[#This Row],[pendingAmount]]&lt;=TrafficData[[#This Row],[totalAmount]],TrafficData[[#This Row],[disposedAmount]]&lt;=TrafficData[[#This Row],[totalAmount]])</f>
        <v>1</v>
      </c>
      <c r="P827" t="b">
        <f>AND(TrafficData[[#This Row],[pendingCourt]]&lt;=TrafficData[[#This Row],[totalCourt]],TrafficData[[#This Row],[disposedCourt]]&lt;=TrafficData[[#This Row],[totalCourt]])</f>
        <v>1</v>
      </c>
    </row>
    <row r="828" spans="1:16">
      <c r="A828" s="1">
        <v>42831</v>
      </c>
      <c r="B828">
        <v>1501</v>
      </c>
      <c r="C828">
        <v>303</v>
      </c>
      <c r="D828">
        <v>1198</v>
      </c>
      <c r="E828">
        <v>910149</v>
      </c>
      <c r="F828">
        <v>692011</v>
      </c>
      <c r="G828">
        <v>1602160</v>
      </c>
      <c r="H828">
        <v>785</v>
      </c>
      <c r="I828">
        <v>79</v>
      </c>
      <c r="J828">
        <v>864</v>
      </c>
      <c r="K828" t="b">
        <f>TrafficData[[#This Row],[disposedChallan]]+TrafficData[[#This Row],[pendingChallan]]=TrafficData[[#This Row],[totalChallan]]</f>
        <v>1</v>
      </c>
      <c r="L828" t="b">
        <f>TrafficData[[#This Row],[pendingAmount]]+TrafficData[[#This Row],[disposedAmount]]=TrafficData[[#This Row],[totalAmount]]</f>
        <v>1</v>
      </c>
      <c r="M828" t="b">
        <f>TrafficData[[#This Row],[pendingCourt]]+TrafficData[[#This Row],[disposedCourt]]=TrafficData[[#This Row],[totalCourt]]</f>
        <v>1</v>
      </c>
      <c r="N828" t="b">
        <f>AND(TrafficData[[#This Row],[disposedChallan]]&lt;=TrafficData[[#This Row],[totalChallan]],TrafficData[[#This Row],[pendingChallan]]&lt;=TrafficData[[#This Row],[totalChallan]])</f>
        <v>1</v>
      </c>
      <c r="O828" t="b">
        <f>AND(TrafficData[[#This Row],[pendingAmount]]&lt;=TrafficData[[#This Row],[totalAmount]],TrafficData[[#This Row],[disposedAmount]]&lt;=TrafficData[[#This Row],[totalAmount]])</f>
        <v>1</v>
      </c>
      <c r="P828" t="b">
        <f>AND(TrafficData[[#This Row],[pendingCourt]]&lt;=TrafficData[[#This Row],[totalCourt]],TrafficData[[#This Row],[disposedCourt]]&lt;=TrafficData[[#This Row],[totalCourt]])</f>
        <v>1</v>
      </c>
    </row>
    <row r="829" spans="1:16">
      <c r="A829" s="1">
        <v>42832</v>
      </c>
      <c r="B829">
        <v>1542</v>
      </c>
      <c r="C829">
        <v>349</v>
      </c>
      <c r="D829">
        <v>1193</v>
      </c>
      <c r="E829">
        <v>1179590</v>
      </c>
      <c r="F829">
        <v>1152402</v>
      </c>
      <c r="G829">
        <v>2331992</v>
      </c>
      <c r="H829">
        <v>762</v>
      </c>
      <c r="I829">
        <v>40</v>
      </c>
      <c r="J829">
        <v>802</v>
      </c>
      <c r="K829" t="b">
        <f>TrafficData[[#This Row],[disposedChallan]]+TrafficData[[#This Row],[pendingChallan]]=TrafficData[[#This Row],[totalChallan]]</f>
        <v>1</v>
      </c>
      <c r="L829" t="b">
        <f>TrafficData[[#This Row],[pendingAmount]]+TrafficData[[#This Row],[disposedAmount]]=TrafficData[[#This Row],[totalAmount]]</f>
        <v>1</v>
      </c>
      <c r="M829" t="b">
        <f>TrafficData[[#This Row],[pendingCourt]]+TrafficData[[#This Row],[disposedCourt]]=TrafficData[[#This Row],[totalCourt]]</f>
        <v>1</v>
      </c>
      <c r="N829" t="b">
        <f>AND(TrafficData[[#This Row],[disposedChallan]]&lt;=TrafficData[[#This Row],[totalChallan]],TrafficData[[#This Row],[pendingChallan]]&lt;=TrafficData[[#This Row],[totalChallan]])</f>
        <v>1</v>
      </c>
      <c r="O829" t="b">
        <f>AND(TrafficData[[#This Row],[pendingAmount]]&lt;=TrafficData[[#This Row],[totalAmount]],TrafficData[[#This Row],[disposedAmount]]&lt;=TrafficData[[#This Row],[totalAmount]])</f>
        <v>1</v>
      </c>
      <c r="P829" t="b">
        <f>AND(TrafficData[[#This Row],[pendingCourt]]&lt;=TrafficData[[#This Row],[totalCourt]],TrafficData[[#This Row],[disposedCourt]]&lt;=TrafficData[[#This Row],[totalCourt]])</f>
        <v>1</v>
      </c>
    </row>
    <row r="830" spans="1:16">
      <c r="A830" s="1">
        <v>42833</v>
      </c>
      <c r="B830">
        <v>1516</v>
      </c>
      <c r="C830">
        <v>411</v>
      </c>
      <c r="D830">
        <v>1105</v>
      </c>
      <c r="E830">
        <v>989000</v>
      </c>
      <c r="F830">
        <v>1325710</v>
      </c>
      <c r="G830">
        <v>2314710</v>
      </c>
      <c r="H830">
        <v>699</v>
      </c>
      <c r="I830">
        <v>37</v>
      </c>
      <c r="J830">
        <v>736</v>
      </c>
      <c r="K830" t="b">
        <f>TrafficData[[#This Row],[disposedChallan]]+TrafficData[[#This Row],[pendingChallan]]=TrafficData[[#This Row],[totalChallan]]</f>
        <v>1</v>
      </c>
      <c r="L830" t="b">
        <f>TrafficData[[#This Row],[pendingAmount]]+TrafficData[[#This Row],[disposedAmount]]=TrafficData[[#This Row],[totalAmount]]</f>
        <v>1</v>
      </c>
      <c r="M830" t="b">
        <f>TrafficData[[#This Row],[pendingCourt]]+TrafficData[[#This Row],[disposedCourt]]=TrafficData[[#This Row],[totalCourt]]</f>
        <v>1</v>
      </c>
      <c r="N830" t="b">
        <f>AND(TrafficData[[#This Row],[disposedChallan]]&lt;=TrafficData[[#This Row],[totalChallan]],TrafficData[[#This Row],[pendingChallan]]&lt;=TrafficData[[#This Row],[totalChallan]])</f>
        <v>1</v>
      </c>
      <c r="O830" t="b">
        <f>AND(TrafficData[[#This Row],[pendingAmount]]&lt;=TrafficData[[#This Row],[totalAmount]],TrafficData[[#This Row],[disposedAmount]]&lt;=TrafficData[[#This Row],[totalAmount]])</f>
        <v>1</v>
      </c>
      <c r="P830" t="b">
        <f>AND(TrafficData[[#This Row],[pendingCourt]]&lt;=TrafficData[[#This Row],[totalCourt]],TrafficData[[#This Row],[disposedCourt]]&lt;=TrafficData[[#This Row],[totalCourt]])</f>
        <v>1</v>
      </c>
    </row>
    <row r="831" spans="1:16">
      <c r="A831" s="1">
        <v>42834</v>
      </c>
      <c r="B831">
        <v>781</v>
      </c>
      <c r="C831">
        <v>200</v>
      </c>
      <c r="D831">
        <v>581</v>
      </c>
      <c r="E831">
        <v>463550</v>
      </c>
      <c r="F831">
        <v>516450</v>
      </c>
      <c r="G831">
        <v>980000</v>
      </c>
      <c r="H831">
        <v>350</v>
      </c>
      <c r="I831">
        <v>50</v>
      </c>
      <c r="J831">
        <v>400</v>
      </c>
      <c r="K831" t="b">
        <f>TrafficData[[#This Row],[disposedChallan]]+TrafficData[[#This Row],[pendingChallan]]=TrafficData[[#This Row],[totalChallan]]</f>
        <v>1</v>
      </c>
      <c r="L831" t="b">
        <f>TrafficData[[#This Row],[pendingAmount]]+TrafficData[[#This Row],[disposedAmount]]=TrafficData[[#This Row],[totalAmount]]</f>
        <v>1</v>
      </c>
      <c r="M831" t="b">
        <f>TrafficData[[#This Row],[pendingCourt]]+TrafficData[[#This Row],[disposedCourt]]=TrafficData[[#This Row],[totalCourt]]</f>
        <v>1</v>
      </c>
      <c r="N831" t="b">
        <f>AND(TrafficData[[#This Row],[disposedChallan]]&lt;=TrafficData[[#This Row],[totalChallan]],TrafficData[[#This Row],[pendingChallan]]&lt;=TrafficData[[#This Row],[totalChallan]])</f>
        <v>1</v>
      </c>
      <c r="O831" t="b">
        <f>AND(TrafficData[[#This Row],[pendingAmount]]&lt;=TrafficData[[#This Row],[totalAmount]],TrafficData[[#This Row],[disposedAmount]]&lt;=TrafficData[[#This Row],[totalAmount]])</f>
        <v>1</v>
      </c>
      <c r="P831" t="b">
        <f>AND(TrafficData[[#This Row],[pendingCourt]]&lt;=TrafficData[[#This Row],[totalCourt]],TrafficData[[#This Row],[disposedCourt]]&lt;=TrafficData[[#This Row],[totalCourt]])</f>
        <v>1</v>
      </c>
    </row>
    <row r="832" spans="1:16">
      <c r="A832" s="1">
        <v>42835</v>
      </c>
      <c r="B832">
        <v>1335</v>
      </c>
      <c r="C832">
        <v>325</v>
      </c>
      <c r="D832">
        <v>1010</v>
      </c>
      <c r="E832">
        <v>1204500</v>
      </c>
      <c r="F832">
        <v>952060</v>
      </c>
      <c r="G832">
        <v>2156560</v>
      </c>
      <c r="H832">
        <v>630</v>
      </c>
      <c r="I832">
        <v>64</v>
      </c>
      <c r="J832">
        <v>694</v>
      </c>
      <c r="K832" t="b">
        <f>TrafficData[[#This Row],[disposedChallan]]+TrafficData[[#This Row],[pendingChallan]]=TrafficData[[#This Row],[totalChallan]]</f>
        <v>1</v>
      </c>
      <c r="L832" t="b">
        <f>TrafficData[[#This Row],[pendingAmount]]+TrafficData[[#This Row],[disposedAmount]]=TrafficData[[#This Row],[totalAmount]]</f>
        <v>1</v>
      </c>
      <c r="M832" t="b">
        <f>TrafficData[[#This Row],[pendingCourt]]+TrafficData[[#This Row],[disposedCourt]]=TrafficData[[#This Row],[totalCourt]]</f>
        <v>1</v>
      </c>
      <c r="N832" t="b">
        <f>AND(TrafficData[[#This Row],[disposedChallan]]&lt;=TrafficData[[#This Row],[totalChallan]],TrafficData[[#This Row],[pendingChallan]]&lt;=TrafficData[[#This Row],[totalChallan]])</f>
        <v>1</v>
      </c>
      <c r="O832" t="b">
        <f>AND(TrafficData[[#This Row],[pendingAmount]]&lt;=TrafficData[[#This Row],[totalAmount]],TrafficData[[#This Row],[disposedAmount]]&lt;=TrafficData[[#This Row],[totalAmount]])</f>
        <v>1</v>
      </c>
      <c r="P832" t="b">
        <f>AND(TrafficData[[#This Row],[pendingCourt]]&lt;=TrafficData[[#This Row],[totalCourt]],TrafficData[[#This Row],[disposedCourt]]&lt;=TrafficData[[#This Row],[totalCourt]])</f>
        <v>1</v>
      </c>
    </row>
    <row r="833" spans="1:16">
      <c r="A833" s="1">
        <v>42836</v>
      </c>
      <c r="B833">
        <v>1324</v>
      </c>
      <c r="C833">
        <v>297</v>
      </c>
      <c r="D833">
        <v>1027</v>
      </c>
      <c r="E833">
        <v>1110051</v>
      </c>
      <c r="F833">
        <v>818266</v>
      </c>
      <c r="G833">
        <v>1928317</v>
      </c>
      <c r="H833">
        <v>687</v>
      </c>
      <c r="I833">
        <v>27</v>
      </c>
      <c r="J833">
        <v>714</v>
      </c>
      <c r="K833" t="b">
        <f>TrafficData[[#This Row],[disposedChallan]]+TrafficData[[#This Row],[pendingChallan]]=TrafficData[[#This Row],[totalChallan]]</f>
        <v>1</v>
      </c>
      <c r="L833" t="b">
        <f>TrafficData[[#This Row],[pendingAmount]]+TrafficData[[#This Row],[disposedAmount]]=TrafficData[[#This Row],[totalAmount]]</f>
        <v>1</v>
      </c>
      <c r="M833" t="b">
        <f>TrafficData[[#This Row],[pendingCourt]]+TrafficData[[#This Row],[disposedCourt]]=TrafficData[[#This Row],[totalCourt]]</f>
        <v>1</v>
      </c>
      <c r="N833" t="b">
        <f>AND(TrafficData[[#This Row],[disposedChallan]]&lt;=TrafficData[[#This Row],[totalChallan]],TrafficData[[#This Row],[pendingChallan]]&lt;=TrafficData[[#This Row],[totalChallan]])</f>
        <v>1</v>
      </c>
      <c r="O833" t="b">
        <f>AND(TrafficData[[#This Row],[pendingAmount]]&lt;=TrafficData[[#This Row],[totalAmount]],TrafficData[[#This Row],[disposedAmount]]&lt;=TrafficData[[#This Row],[totalAmount]])</f>
        <v>1</v>
      </c>
      <c r="P833" t="b">
        <f>AND(TrafficData[[#This Row],[pendingCourt]]&lt;=TrafficData[[#This Row],[totalCourt]],TrafficData[[#This Row],[disposedCourt]]&lt;=TrafficData[[#This Row],[totalCourt]])</f>
        <v>1</v>
      </c>
    </row>
    <row r="834" spans="1:16">
      <c r="A834" s="1">
        <v>42837</v>
      </c>
      <c r="B834">
        <v>1611</v>
      </c>
      <c r="C834">
        <v>493</v>
      </c>
      <c r="D834">
        <v>1118</v>
      </c>
      <c r="E834">
        <v>1337700</v>
      </c>
      <c r="F834">
        <v>1377630</v>
      </c>
      <c r="G834">
        <v>2715330</v>
      </c>
      <c r="H834">
        <v>750</v>
      </c>
      <c r="I834">
        <v>72</v>
      </c>
      <c r="J834">
        <v>822</v>
      </c>
      <c r="K834" t="b">
        <f>TrafficData[[#This Row],[disposedChallan]]+TrafficData[[#This Row],[pendingChallan]]=TrafficData[[#This Row],[totalChallan]]</f>
        <v>1</v>
      </c>
      <c r="L834" t="b">
        <f>TrafficData[[#This Row],[pendingAmount]]+TrafficData[[#This Row],[disposedAmount]]=TrafficData[[#This Row],[totalAmount]]</f>
        <v>1</v>
      </c>
      <c r="M834" t="b">
        <f>TrafficData[[#This Row],[pendingCourt]]+TrafficData[[#This Row],[disposedCourt]]=TrafficData[[#This Row],[totalCourt]]</f>
        <v>1</v>
      </c>
      <c r="N834" t="b">
        <f>AND(TrafficData[[#This Row],[disposedChallan]]&lt;=TrafficData[[#This Row],[totalChallan]],TrafficData[[#This Row],[pendingChallan]]&lt;=TrafficData[[#This Row],[totalChallan]])</f>
        <v>1</v>
      </c>
      <c r="O834" t="b">
        <f>AND(TrafficData[[#This Row],[pendingAmount]]&lt;=TrafficData[[#This Row],[totalAmount]],TrafficData[[#This Row],[disposedAmount]]&lt;=TrafficData[[#This Row],[totalAmount]])</f>
        <v>1</v>
      </c>
      <c r="P834" t="b">
        <f>AND(TrafficData[[#This Row],[pendingCourt]]&lt;=TrafficData[[#This Row],[totalCourt]],TrafficData[[#This Row],[disposedCourt]]&lt;=TrafficData[[#This Row],[totalCourt]])</f>
        <v>1</v>
      </c>
    </row>
    <row r="835" spans="1:16">
      <c r="A835" s="1">
        <v>42838</v>
      </c>
      <c r="B835">
        <v>1312</v>
      </c>
      <c r="C835">
        <v>466</v>
      </c>
      <c r="D835">
        <v>846</v>
      </c>
      <c r="E835">
        <v>1431550</v>
      </c>
      <c r="F835">
        <v>1617270</v>
      </c>
      <c r="G835">
        <v>3048820</v>
      </c>
      <c r="H835">
        <v>508</v>
      </c>
      <c r="I835">
        <v>55</v>
      </c>
      <c r="J835">
        <v>563</v>
      </c>
      <c r="K835" t="b">
        <f>TrafficData[[#This Row],[disposedChallan]]+TrafficData[[#This Row],[pendingChallan]]=TrafficData[[#This Row],[totalChallan]]</f>
        <v>1</v>
      </c>
      <c r="L835" t="b">
        <f>TrafficData[[#This Row],[pendingAmount]]+TrafficData[[#This Row],[disposedAmount]]=TrafficData[[#This Row],[totalAmount]]</f>
        <v>1</v>
      </c>
      <c r="M835" t="b">
        <f>TrafficData[[#This Row],[pendingCourt]]+TrafficData[[#This Row],[disposedCourt]]=TrafficData[[#This Row],[totalCourt]]</f>
        <v>1</v>
      </c>
      <c r="N835" t="b">
        <f>AND(TrafficData[[#This Row],[disposedChallan]]&lt;=TrafficData[[#This Row],[totalChallan]],TrafficData[[#This Row],[pendingChallan]]&lt;=TrafficData[[#This Row],[totalChallan]])</f>
        <v>1</v>
      </c>
      <c r="O835" t="b">
        <f>AND(TrafficData[[#This Row],[pendingAmount]]&lt;=TrafficData[[#This Row],[totalAmount]],TrafficData[[#This Row],[disposedAmount]]&lt;=TrafficData[[#This Row],[totalAmount]])</f>
        <v>1</v>
      </c>
      <c r="P835" t="b">
        <f>AND(TrafficData[[#This Row],[pendingCourt]]&lt;=TrafficData[[#This Row],[totalCourt]],TrafficData[[#This Row],[disposedCourt]]&lt;=TrafficData[[#This Row],[totalCourt]])</f>
        <v>1</v>
      </c>
    </row>
    <row r="836" spans="1:16">
      <c r="A836" s="1">
        <v>42839</v>
      </c>
      <c r="B836">
        <v>1287</v>
      </c>
      <c r="C836">
        <v>448</v>
      </c>
      <c r="D836">
        <v>839</v>
      </c>
      <c r="E836">
        <v>1062950</v>
      </c>
      <c r="F836">
        <v>1149095</v>
      </c>
      <c r="G836">
        <v>2212045</v>
      </c>
      <c r="H836">
        <v>572</v>
      </c>
      <c r="I836">
        <v>77</v>
      </c>
      <c r="J836">
        <v>649</v>
      </c>
      <c r="K836" t="b">
        <f>TrafficData[[#This Row],[disposedChallan]]+TrafficData[[#This Row],[pendingChallan]]=TrafficData[[#This Row],[totalChallan]]</f>
        <v>1</v>
      </c>
      <c r="L836" t="b">
        <f>TrafficData[[#This Row],[pendingAmount]]+TrafficData[[#This Row],[disposedAmount]]=TrafficData[[#This Row],[totalAmount]]</f>
        <v>1</v>
      </c>
      <c r="M836" t="b">
        <f>TrafficData[[#This Row],[pendingCourt]]+TrafficData[[#This Row],[disposedCourt]]=TrafficData[[#This Row],[totalCourt]]</f>
        <v>1</v>
      </c>
      <c r="N836" t="b">
        <f>AND(TrafficData[[#This Row],[disposedChallan]]&lt;=TrafficData[[#This Row],[totalChallan]],TrafficData[[#This Row],[pendingChallan]]&lt;=TrafficData[[#This Row],[totalChallan]])</f>
        <v>1</v>
      </c>
      <c r="O836" t="b">
        <f>AND(TrafficData[[#This Row],[pendingAmount]]&lt;=TrafficData[[#This Row],[totalAmount]],TrafficData[[#This Row],[disposedAmount]]&lt;=TrafficData[[#This Row],[totalAmount]])</f>
        <v>1</v>
      </c>
      <c r="P836" t="b">
        <f>AND(TrafficData[[#This Row],[pendingCourt]]&lt;=TrafficData[[#This Row],[totalCourt]],TrafficData[[#This Row],[disposedCourt]]&lt;=TrafficData[[#This Row],[totalCourt]])</f>
        <v>1</v>
      </c>
    </row>
    <row r="837" spans="1:16">
      <c r="A837" s="1">
        <v>42840</v>
      </c>
      <c r="B837">
        <v>1316</v>
      </c>
      <c r="C837">
        <v>425</v>
      </c>
      <c r="D837">
        <v>891</v>
      </c>
      <c r="E837">
        <v>1015160</v>
      </c>
      <c r="F837">
        <v>1134720</v>
      </c>
      <c r="G837">
        <v>2149880</v>
      </c>
      <c r="H837">
        <v>545</v>
      </c>
      <c r="I837">
        <v>76</v>
      </c>
      <c r="J837">
        <v>621</v>
      </c>
      <c r="K837" t="b">
        <f>TrafficData[[#This Row],[disposedChallan]]+TrafficData[[#This Row],[pendingChallan]]=TrafficData[[#This Row],[totalChallan]]</f>
        <v>1</v>
      </c>
      <c r="L837" t="b">
        <f>TrafficData[[#This Row],[pendingAmount]]+TrafficData[[#This Row],[disposedAmount]]=TrafficData[[#This Row],[totalAmount]]</f>
        <v>1</v>
      </c>
      <c r="M837" t="b">
        <f>TrafficData[[#This Row],[pendingCourt]]+TrafficData[[#This Row],[disposedCourt]]=TrafficData[[#This Row],[totalCourt]]</f>
        <v>1</v>
      </c>
      <c r="N837" t="b">
        <f>AND(TrafficData[[#This Row],[disposedChallan]]&lt;=TrafficData[[#This Row],[totalChallan]],TrafficData[[#This Row],[pendingChallan]]&lt;=TrafficData[[#This Row],[totalChallan]])</f>
        <v>1</v>
      </c>
      <c r="O837" t="b">
        <f>AND(TrafficData[[#This Row],[pendingAmount]]&lt;=TrafficData[[#This Row],[totalAmount]],TrafficData[[#This Row],[disposedAmount]]&lt;=TrafficData[[#This Row],[totalAmount]])</f>
        <v>1</v>
      </c>
      <c r="P837" t="b">
        <f>AND(TrafficData[[#This Row],[pendingCourt]]&lt;=TrafficData[[#This Row],[totalCourt]],TrafficData[[#This Row],[disposedCourt]]&lt;=TrafficData[[#This Row],[totalCourt]])</f>
        <v>1</v>
      </c>
    </row>
    <row r="838" spans="1:16">
      <c r="A838" s="1">
        <v>42841</v>
      </c>
      <c r="B838">
        <v>850</v>
      </c>
      <c r="C838">
        <v>345</v>
      </c>
      <c r="D838">
        <v>505</v>
      </c>
      <c r="E838">
        <v>563250</v>
      </c>
      <c r="F838">
        <v>662660</v>
      </c>
      <c r="G838">
        <v>1225910</v>
      </c>
      <c r="H838">
        <v>218</v>
      </c>
      <c r="I838">
        <v>33</v>
      </c>
      <c r="J838">
        <v>251</v>
      </c>
      <c r="K838" t="b">
        <f>TrafficData[[#This Row],[disposedChallan]]+TrafficData[[#This Row],[pendingChallan]]=TrafficData[[#This Row],[totalChallan]]</f>
        <v>1</v>
      </c>
      <c r="L838" t="b">
        <f>TrafficData[[#This Row],[pendingAmount]]+TrafficData[[#This Row],[disposedAmount]]=TrafficData[[#This Row],[totalAmount]]</f>
        <v>1</v>
      </c>
      <c r="M838" t="b">
        <f>TrafficData[[#This Row],[pendingCourt]]+TrafficData[[#This Row],[disposedCourt]]=TrafficData[[#This Row],[totalCourt]]</f>
        <v>1</v>
      </c>
      <c r="N838" t="b">
        <f>AND(TrafficData[[#This Row],[disposedChallan]]&lt;=TrafficData[[#This Row],[totalChallan]],TrafficData[[#This Row],[pendingChallan]]&lt;=TrafficData[[#This Row],[totalChallan]])</f>
        <v>1</v>
      </c>
      <c r="O838" t="b">
        <f>AND(TrafficData[[#This Row],[pendingAmount]]&lt;=TrafficData[[#This Row],[totalAmount]],TrafficData[[#This Row],[disposedAmount]]&lt;=TrafficData[[#This Row],[totalAmount]])</f>
        <v>1</v>
      </c>
      <c r="P838" t="b">
        <f>AND(TrafficData[[#This Row],[pendingCourt]]&lt;=TrafficData[[#This Row],[totalCourt]],TrafficData[[#This Row],[disposedCourt]]&lt;=TrafficData[[#This Row],[totalCourt]])</f>
        <v>1</v>
      </c>
    </row>
    <row r="839" spans="1:16">
      <c r="A839" s="1">
        <v>42842</v>
      </c>
      <c r="B839">
        <v>1598</v>
      </c>
      <c r="C839">
        <v>494</v>
      </c>
      <c r="D839">
        <v>1104</v>
      </c>
      <c r="E839">
        <v>1276150</v>
      </c>
      <c r="F839">
        <v>1320420</v>
      </c>
      <c r="G839">
        <v>2596570</v>
      </c>
      <c r="H839">
        <v>693</v>
      </c>
      <c r="I839">
        <v>45</v>
      </c>
      <c r="J839">
        <v>738</v>
      </c>
      <c r="K839" t="b">
        <f>TrafficData[[#This Row],[disposedChallan]]+TrafficData[[#This Row],[pendingChallan]]=TrafficData[[#This Row],[totalChallan]]</f>
        <v>1</v>
      </c>
      <c r="L839" t="b">
        <f>TrafficData[[#This Row],[pendingAmount]]+TrafficData[[#This Row],[disposedAmount]]=TrafficData[[#This Row],[totalAmount]]</f>
        <v>1</v>
      </c>
      <c r="M839" t="b">
        <f>TrafficData[[#This Row],[pendingCourt]]+TrafficData[[#This Row],[disposedCourt]]=TrafficData[[#This Row],[totalCourt]]</f>
        <v>1</v>
      </c>
      <c r="N839" t="b">
        <f>AND(TrafficData[[#This Row],[disposedChallan]]&lt;=TrafficData[[#This Row],[totalChallan]],TrafficData[[#This Row],[pendingChallan]]&lt;=TrafficData[[#This Row],[totalChallan]])</f>
        <v>1</v>
      </c>
      <c r="O839" t="b">
        <f>AND(TrafficData[[#This Row],[pendingAmount]]&lt;=TrafficData[[#This Row],[totalAmount]],TrafficData[[#This Row],[disposedAmount]]&lt;=TrafficData[[#This Row],[totalAmount]])</f>
        <v>1</v>
      </c>
      <c r="P839" t="b">
        <f>AND(TrafficData[[#This Row],[pendingCourt]]&lt;=TrafficData[[#This Row],[totalCourt]],TrafficData[[#This Row],[disposedCourt]]&lt;=TrafficData[[#This Row],[totalCourt]])</f>
        <v>1</v>
      </c>
    </row>
    <row r="840" spans="1:16">
      <c r="A840" s="1">
        <v>42843</v>
      </c>
      <c r="B840">
        <v>1292</v>
      </c>
      <c r="C840">
        <v>455</v>
      </c>
      <c r="D840">
        <v>837</v>
      </c>
      <c r="E840">
        <v>1439041</v>
      </c>
      <c r="F840">
        <v>1387004</v>
      </c>
      <c r="G840">
        <v>2826045</v>
      </c>
      <c r="H840">
        <v>484</v>
      </c>
      <c r="I840">
        <v>103</v>
      </c>
      <c r="J840">
        <v>587</v>
      </c>
      <c r="K840" t="b">
        <f>TrafficData[[#This Row],[disposedChallan]]+TrafficData[[#This Row],[pendingChallan]]=TrafficData[[#This Row],[totalChallan]]</f>
        <v>1</v>
      </c>
      <c r="L840" t="b">
        <f>TrafficData[[#This Row],[pendingAmount]]+TrafficData[[#This Row],[disposedAmount]]=TrafficData[[#This Row],[totalAmount]]</f>
        <v>1</v>
      </c>
      <c r="M840" t="b">
        <f>TrafficData[[#This Row],[pendingCourt]]+TrafficData[[#This Row],[disposedCourt]]=TrafficData[[#This Row],[totalCourt]]</f>
        <v>1</v>
      </c>
      <c r="N840" t="b">
        <f>AND(TrafficData[[#This Row],[disposedChallan]]&lt;=TrafficData[[#This Row],[totalChallan]],TrafficData[[#This Row],[pendingChallan]]&lt;=TrafficData[[#This Row],[totalChallan]])</f>
        <v>1</v>
      </c>
      <c r="O840" t="b">
        <f>AND(TrafficData[[#This Row],[pendingAmount]]&lt;=TrafficData[[#This Row],[totalAmount]],TrafficData[[#This Row],[disposedAmount]]&lt;=TrafficData[[#This Row],[totalAmount]])</f>
        <v>1</v>
      </c>
      <c r="P840" t="b">
        <f>AND(TrafficData[[#This Row],[pendingCourt]]&lt;=TrafficData[[#This Row],[totalCourt]],TrafficData[[#This Row],[disposedCourt]]&lt;=TrafficData[[#This Row],[totalCourt]])</f>
        <v>1</v>
      </c>
    </row>
    <row r="841" spans="1:16">
      <c r="A841" s="1">
        <v>42844</v>
      </c>
      <c r="B841">
        <v>1306</v>
      </c>
      <c r="C841">
        <v>514</v>
      </c>
      <c r="D841">
        <v>792</v>
      </c>
      <c r="E841">
        <v>1154018</v>
      </c>
      <c r="F841">
        <v>1539915</v>
      </c>
      <c r="G841">
        <v>2693933</v>
      </c>
      <c r="H841">
        <v>497</v>
      </c>
      <c r="I841">
        <v>48</v>
      </c>
      <c r="J841">
        <v>545</v>
      </c>
      <c r="K841" t="b">
        <f>TrafficData[[#This Row],[disposedChallan]]+TrafficData[[#This Row],[pendingChallan]]=TrafficData[[#This Row],[totalChallan]]</f>
        <v>1</v>
      </c>
      <c r="L841" t="b">
        <f>TrafficData[[#This Row],[pendingAmount]]+TrafficData[[#This Row],[disposedAmount]]=TrafficData[[#This Row],[totalAmount]]</f>
        <v>1</v>
      </c>
      <c r="M841" t="b">
        <f>TrafficData[[#This Row],[pendingCourt]]+TrafficData[[#This Row],[disposedCourt]]=TrafficData[[#This Row],[totalCourt]]</f>
        <v>1</v>
      </c>
      <c r="N841" t="b">
        <f>AND(TrafficData[[#This Row],[disposedChallan]]&lt;=TrafficData[[#This Row],[totalChallan]],TrafficData[[#This Row],[pendingChallan]]&lt;=TrafficData[[#This Row],[totalChallan]])</f>
        <v>1</v>
      </c>
      <c r="O841" t="b">
        <f>AND(TrafficData[[#This Row],[pendingAmount]]&lt;=TrafficData[[#This Row],[totalAmount]],TrafficData[[#This Row],[disposedAmount]]&lt;=TrafficData[[#This Row],[totalAmount]])</f>
        <v>1</v>
      </c>
      <c r="P841" t="b">
        <f>AND(TrafficData[[#This Row],[pendingCourt]]&lt;=TrafficData[[#This Row],[totalCourt]],TrafficData[[#This Row],[disposedCourt]]&lt;=TrafficData[[#This Row],[totalCourt]])</f>
        <v>1</v>
      </c>
    </row>
    <row r="842" spans="1:16">
      <c r="A842" s="1">
        <v>42845</v>
      </c>
      <c r="B842">
        <v>1248</v>
      </c>
      <c r="C842">
        <v>469</v>
      </c>
      <c r="D842">
        <v>779</v>
      </c>
      <c r="E842">
        <v>1556345</v>
      </c>
      <c r="F842">
        <v>1719832</v>
      </c>
      <c r="G842">
        <v>3276177</v>
      </c>
      <c r="H842">
        <v>495</v>
      </c>
      <c r="I842">
        <v>63</v>
      </c>
      <c r="J842">
        <v>558</v>
      </c>
      <c r="K842" t="b">
        <f>TrafficData[[#This Row],[disposedChallan]]+TrafficData[[#This Row],[pendingChallan]]=TrafficData[[#This Row],[totalChallan]]</f>
        <v>1</v>
      </c>
      <c r="L842" t="b">
        <f>TrafficData[[#This Row],[pendingAmount]]+TrafficData[[#This Row],[disposedAmount]]=TrafficData[[#This Row],[totalAmount]]</f>
        <v>1</v>
      </c>
      <c r="M842" t="b">
        <f>TrafficData[[#This Row],[pendingCourt]]+TrafficData[[#This Row],[disposedCourt]]=TrafficData[[#This Row],[totalCourt]]</f>
        <v>1</v>
      </c>
      <c r="N842" t="b">
        <f>AND(TrafficData[[#This Row],[disposedChallan]]&lt;=TrafficData[[#This Row],[totalChallan]],TrafficData[[#This Row],[pendingChallan]]&lt;=TrafficData[[#This Row],[totalChallan]])</f>
        <v>1</v>
      </c>
      <c r="O842" t="b">
        <f>AND(TrafficData[[#This Row],[pendingAmount]]&lt;=TrafficData[[#This Row],[totalAmount]],TrafficData[[#This Row],[disposedAmount]]&lt;=TrafficData[[#This Row],[totalAmount]])</f>
        <v>1</v>
      </c>
      <c r="P842" t="b">
        <f>AND(TrafficData[[#This Row],[pendingCourt]]&lt;=TrafficData[[#This Row],[totalCourt]],TrafficData[[#This Row],[disposedCourt]]&lt;=TrafficData[[#This Row],[totalCourt]])</f>
        <v>1</v>
      </c>
    </row>
    <row r="843" spans="1:16">
      <c r="A843" s="1">
        <v>42846</v>
      </c>
      <c r="B843">
        <v>1126</v>
      </c>
      <c r="C843">
        <v>401</v>
      </c>
      <c r="D843">
        <v>725</v>
      </c>
      <c r="E843">
        <v>1250447</v>
      </c>
      <c r="F843">
        <v>1355095</v>
      </c>
      <c r="G843">
        <v>2605542</v>
      </c>
      <c r="H843">
        <v>344</v>
      </c>
      <c r="I843">
        <v>54</v>
      </c>
      <c r="J843">
        <v>398</v>
      </c>
      <c r="K843" t="b">
        <f>TrafficData[[#This Row],[disposedChallan]]+TrafficData[[#This Row],[pendingChallan]]=TrafficData[[#This Row],[totalChallan]]</f>
        <v>1</v>
      </c>
      <c r="L843" t="b">
        <f>TrafficData[[#This Row],[pendingAmount]]+TrafficData[[#This Row],[disposedAmount]]=TrafficData[[#This Row],[totalAmount]]</f>
        <v>1</v>
      </c>
      <c r="M843" t="b">
        <f>TrafficData[[#This Row],[pendingCourt]]+TrafficData[[#This Row],[disposedCourt]]=TrafficData[[#This Row],[totalCourt]]</f>
        <v>1</v>
      </c>
      <c r="N843" t="b">
        <f>AND(TrafficData[[#This Row],[disposedChallan]]&lt;=TrafficData[[#This Row],[totalChallan]],TrafficData[[#This Row],[pendingChallan]]&lt;=TrafficData[[#This Row],[totalChallan]])</f>
        <v>1</v>
      </c>
      <c r="O843" t="b">
        <f>AND(TrafficData[[#This Row],[pendingAmount]]&lt;=TrafficData[[#This Row],[totalAmount]],TrafficData[[#This Row],[disposedAmount]]&lt;=TrafficData[[#This Row],[totalAmount]])</f>
        <v>1</v>
      </c>
      <c r="P843" t="b">
        <f>AND(TrafficData[[#This Row],[pendingCourt]]&lt;=TrafficData[[#This Row],[totalCourt]],TrafficData[[#This Row],[disposedCourt]]&lt;=TrafficData[[#This Row],[totalCourt]])</f>
        <v>1</v>
      </c>
    </row>
    <row r="844" spans="1:16">
      <c r="A844" s="1">
        <v>42847</v>
      </c>
      <c r="B844">
        <v>1052</v>
      </c>
      <c r="C844">
        <v>420</v>
      </c>
      <c r="D844">
        <v>632</v>
      </c>
      <c r="E844">
        <v>1022250</v>
      </c>
      <c r="F844">
        <v>1437760</v>
      </c>
      <c r="G844">
        <v>2460010</v>
      </c>
      <c r="H844">
        <v>351</v>
      </c>
      <c r="I844">
        <v>49</v>
      </c>
      <c r="J844">
        <v>400</v>
      </c>
      <c r="K844" t="b">
        <f>TrafficData[[#This Row],[disposedChallan]]+TrafficData[[#This Row],[pendingChallan]]=TrafficData[[#This Row],[totalChallan]]</f>
        <v>1</v>
      </c>
      <c r="L844" t="b">
        <f>TrafficData[[#This Row],[pendingAmount]]+TrafficData[[#This Row],[disposedAmount]]=TrafficData[[#This Row],[totalAmount]]</f>
        <v>1</v>
      </c>
      <c r="M844" t="b">
        <f>TrafficData[[#This Row],[pendingCourt]]+TrafficData[[#This Row],[disposedCourt]]=TrafficData[[#This Row],[totalCourt]]</f>
        <v>1</v>
      </c>
      <c r="N844" t="b">
        <f>AND(TrafficData[[#This Row],[disposedChallan]]&lt;=TrafficData[[#This Row],[totalChallan]],TrafficData[[#This Row],[pendingChallan]]&lt;=TrafficData[[#This Row],[totalChallan]])</f>
        <v>1</v>
      </c>
      <c r="O844" t="b">
        <f>AND(TrafficData[[#This Row],[pendingAmount]]&lt;=TrafficData[[#This Row],[totalAmount]],TrafficData[[#This Row],[disposedAmount]]&lt;=TrafficData[[#This Row],[totalAmount]])</f>
        <v>1</v>
      </c>
      <c r="P844" t="b">
        <f>AND(TrafficData[[#This Row],[pendingCourt]]&lt;=TrafficData[[#This Row],[totalCourt]],TrafficData[[#This Row],[disposedCourt]]&lt;=TrafficData[[#This Row],[totalCourt]])</f>
        <v>1</v>
      </c>
    </row>
    <row r="845" spans="1:16">
      <c r="A845" s="1">
        <v>42848</v>
      </c>
      <c r="B845">
        <v>522</v>
      </c>
      <c r="C845">
        <v>198</v>
      </c>
      <c r="D845">
        <v>324</v>
      </c>
      <c r="E845">
        <v>445800</v>
      </c>
      <c r="F845">
        <v>522350</v>
      </c>
      <c r="G845">
        <v>968150</v>
      </c>
      <c r="H845">
        <v>105</v>
      </c>
      <c r="I845">
        <v>35</v>
      </c>
      <c r="J845">
        <v>140</v>
      </c>
      <c r="K845" t="b">
        <f>TrafficData[[#This Row],[disposedChallan]]+TrafficData[[#This Row],[pendingChallan]]=TrafficData[[#This Row],[totalChallan]]</f>
        <v>1</v>
      </c>
      <c r="L845" t="b">
        <f>TrafficData[[#This Row],[pendingAmount]]+TrafficData[[#This Row],[disposedAmount]]=TrafficData[[#This Row],[totalAmount]]</f>
        <v>1</v>
      </c>
      <c r="M845" t="b">
        <f>TrafficData[[#This Row],[pendingCourt]]+TrafficData[[#This Row],[disposedCourt]]=TrafficData[[#This Row],[totalCourt]]</f>
        <v>1</v>
      </c>
      <c r="N845" t="b">
        <f>AND(TrafficData[[#This Row],[disposedChallan]]&lt;=TrafficData[[#This Row],[totalChallan]],TrafficData[[#This Row],[pendingChallan]]&lt;=TrafficData[[#This Row],[totalChallan]])</f>
        <v>1</v>
      </c>
      <c r="O845" t="b">
        <f>AND(TrafficData[[#This Row],[pendingAmount]]&lt;=TrafficData[[#This Row],[totalAmount]],TrafficData[[#This Row],[disposedAmount]]&lt;=TrafficData[[#This Row],[totalAmount]])</f>
        <v>1</v>
      </c>
      <c r="P845" t="b">
        <f>AND(TrafficData[[#This Row],[pendingCourt]]&lt;=TrafficData[[#This Row],[totalCourt]],TrafficData[[#This Row],[disposedCourt]]&lt;=TrafficData[[#This Row],[totalCourt]])</f>
        <v>1</v>
      </c>
    </row>
    <row r="846" spans="1:16">
      <c r="A846" s="1">
        <v>42849</v>
      </c>
      <c r="B846">
        <v>1240</v>
      </c>
      <c r="C846">
        <v>469</v>
      </c>
      <c r="D846">
        <v>771</v>
      </c>
      <c r="E846">
        <v>1545835</v>
      </c>
      <c r="F846">
        <v>1262475</v>
      </c>
      <c r="G846">
        <v>2808310</v>
      </c>
      <c r="H846">
        <v>430</v>
      </c>
      <c r="I846">
        <v>60</v>
      </c>
      <c r="J846">
        <v>490</v>
      </c>
      <c r="K846" t="b">
        <f>TrafficData[[#This Row],[disposedChallan]]+TrafficData[[#This Row],[pendingChallan]]=TrafficData[[#This Row],[totalChallan]]</f>
        <v>1</v>
      </c>
      <c r="L846" t="b">
        <f>TrafficData[[#This Row],[pendingAmount]]+TrafficData[[#This Row],[disposedAmount]]=TrafficData[[#This Row],[totalAmount]]</f>
        <v>1</v>
      </c>
      <c r="M846" t="b">
        <f>TrafficData[[#This Row],[pendingCourt]]+TrafficData[[#This Row],[disposedCourt]]=TrafficData[[#This Row],[totalCourt]]</f>
        <v>1</v>
      </c>
      <c r="N846" t="b">
        <f>AND(TrafficData[[#This Row],[disposedChallan]]&lt;=TrafficData[[#This Row],[totalChallan]],TrafficData[[#This Row],[pendingChallan]]&lt;=TrafficData[[#This Row],[totalChallan]])</f>
        <v>1</v>
      </c>
      <c r="O846" t="b">
        <f>AND(TrafficData[[#This Row],[pendingAmount]]&lt;=TrafficData[[#This Row],[totalAmount]],TrafficData[[#This Row],[disposedAmount]]&lt;=TrafficData[[#This Row],[totalAmount]])</f>
        <v>1</v>
      </c>
      <c r="P846" t="b">
        <f>AND(TrafficData[[#This Row],[pendingCourt]]&lt;=TrafficData[[#This Row],[totalCourt]],TrafficData[[#This Row],[disposedCourt]]&lt;=TrafficData[[#This Row],[totalCourt]])</f>
        <v>1</v>
      </c>
    </row>
    <row r="847" spans="1:16">
      <c r="A847" s="1">
        <v>42850</v>
      </c>
      <c r="B847">
        <v>1887</v>
      </c>
      <c r="C847">
        <v>742</v>
      </c>
      <c r="D847">
        <v>1145</v>
      </c>
      <c r="E847">
        <v>1316600</v>
      </c>
      <c r="F847">
        <v>2145595</v>
      </c>
      <c r="G847">
        <v>3462195</v>
      </c>
      <c r="H847">
        <v>796</v>
      </c>
      <c r="I847">
        <v>117</v>
      </c>
      <c r="J847">
        <v>913</v>
      </c>
      <c r="K847" t="b">
        <f>TrafficData[[#This Row],[disposedChallan]]+TrafficData[[#This Row],[pendingChallan]]=TrafficData[[#This Row],[totalChallan]]</f>
        <v>1</v>
      </c>
      <c r="L847" t="b">
        <f>TrafficData[[#This Row],[pendingAmount]]+TrafficData[[#This Row],[disposedAmount]]=TrafficData[[#This Row],[totalAmount]]</f>
        <v>1</v>
      </c>
      <c r="M847" t="b">
        <f>TrafficData[[#This Row],[pendingCourt]]+TrafficData[[#This Row],[disposedCourt]]=TrafficData[[#This Row],[totalCourt]]</f>
        <v>1</v>
      </c>
      <c r="N847" t="b">
        <f>AND(TrafficData[[#This Row],[disposedChallan]]&lt;=TrafficData[[#This Row],[totalChallan]],TrafficData[[#This Row],[pendingChallan]]&lt;=TrafficData[[#This Row],[totalChallan]])</f>
        <v>1</v>
      </c>
      <c r="O847" t="b">
        <f>AND(TrafficData[[#This Row],[pendingAmount]]&lt;=TrafficData[[#This Row],[totalAmount]],TrafficData[[#This Row],[disposedAmount]]&lt;=TrafficData[[#This Row],[totalAmount]])</f>
        <v>1</v>
      </c>
      <c r="P847" t="b">
        <f>AND(TrafficData[[#This Row],[pendingCourt]]&lt;=TrafficData[[#This Row],[totalCourt]],TrafficData[[#This Row],[disposedCourt]]&lt;=TrafficData[[#This Row],[totalCourt]])</f>
        <v>1</v>
      </c>
    </row>
    <row r="848" spans="1:16">
      <c r="A848" s="1">
        <v>42851</v>
      </c>
      <c r="B848">
        <v>1729</v>
      </c>
      <c r="C848">
        <v>609</v>
      </c>
      <c r="D848">
        <v>1120</v>
      </c>
      <c r="E848">
        <v>1491600</v>
      </c>
      <c r="F848">
        <v>1725445</v>
      </c>
      <c r="G848">
        <v>3217045</v>
      </c>
      <c r="H848">
        <v>707</v>
      </c>
      <c r="I848">
        <v>51</v>
      </c>
      <c r="J848">
        <v>758</v>
      </c>
      <c r="K848" t="b">
        <f>TrafficData[[#This Row],[disposedChallan]]+TrafficData[[#This Row],[pendingChallan]]=TrafficData[[#This Row],[totalChallan]]</f>
        <v>1</v>
      </c>
      <c r="L848" t="b">
        <f>TrafficData[[#This Row],[pendingAmount]]+TrafficData[[#This Row],[disposedAmount]]=TrafficData[[#This Row],[totalAmount]]</f>
        <v>1</v>
      </c>
      <c r="M848" t="b">
        <f>TrafficData[[#This Row],[pendingCourt]]+TrafficData[[#This Row],[disposedCourt]]=TrafficData[[#This Row],[totalCourt]]</f>
        <v>1</v>
      </c>
      <c r="N848" t="b">
        <f>AND(TrafficData[[#This Row],[disposedChallan]]&lt;=TrafficData[[#This Row],[totalChallan]],TrafficData[[#This Row],[pendingChallan]]&lt;=TrafficData[[#This Row],[totalChallan]])</f>
        <v>1</v>
      </c>
      <c r="O848" t="b">
        <f>AND(TrafficData[[#This Row],[pendingAmount]]&lt;=TrafficData[[#This Row],[totalAmount]],TrafficData[[#This Row],[disposedAmount]]&lt;=TrafficData[[#This Row],[totalAmount]])</f>
        <v>1</v>
      </c>
      <c r="P848" t="b">
        <f>AND(TrafficData[[#This Row],[pendingCourt]]&lt;=TrafficData[[#This Row],[totalCourt]],TrafficData[[#This Row],[disposedCourt]]&lt;=TrafficData[[#This Row],[totalCourt]])</f>
        <v>1</v>
      </c>
    </row>
    <row r="849" spans="1:16">
      <c r="A849" s="1">
        <v>42852</v>
      </c>
      <c r="B849">
        <v>1664</v>
      </c>
      <c r="C849">
        <v>652</v>
      </c>
      <c r="D849">
        <v>1012</v>
      </c>
      <c r="E849">
        <v>1028200</v>
      </c>
      <c r="F849">
        <v>1663652</v>
      </c>
      <c r="G849">
        <v>2691852</v>
      </c>
      <c r="H849">
        <v>623</v>
      </c>
      <c r="I849">
        <v>98</v>
      </c>
      <c r="J849">
        <v>721</v>
      </c>
      <c r="K849" t="b">
        <f>TrafficData[[#This Row],[disposedChallan]]+TrafficData[[#This Row],[pendingChallan]]=TrafficData[[#This Row],[totalChallan]]</f>
        <v>1</v>
      </c>
      <c r="L849" t="b">
        <f>TrafficData[[#This Row],[pendingAmount]]+TrafficData[[#This Row],[disposedAmount]]=TrafficData[[#This Row],[totalAmount]]</f>
        <v>1</v>
      </c>
      <c r="M849" t="b">
        <f>TrafficData[[#This Row],[pendingCourt]]+TrafficData[[#This Row],[disposedCourt]]=TrafficData[[#This Row],[totalCourt]]</f>
        <v>1</v>
      </c>
      <c r="N849" t="b">
        <f>AND(TrafficData[[#This Row],[disposedChallan]]&lt;=TrafficData[[#This Row],[totalChallan]],TrafficData[[#This Row],[pendingChallan]]&lt;=TrafficData[[#This Row],[totalChallan]])</f>
        <v>1</v>
      </c>
      <c r="O849" t="b">
        <f>AND(TrafficData[[#This Row],[pendingAmount]]&lt;=TrafficData[[#This Row],[totalAmount]],TrafficData[[#This Row],[disposedAmount]]&lt;=TrafficData[[#This Row],[totalAmount]])</f>
        <v>1</v>
      </c>
      <c r="P849" t="b">
        <f>AND(TrafficData[[#This Row],[pendingCourt]]&lt;=TrafficData[[#This Row],[totalCourt]],TrafficData[[#This Row],[disposedCourt]]&lt;=TrafficData[[#This Row],[totalCourt]])</f>
        <v>1</v>
      </c>
    </row>
    <row r="850" spans="1:16">
      <c r="A850" s="1">
        <v>42853</v>
      </c>
      <c r="B850">
        <v>1815</v>
      </c>
      <c r="C850">
        <v>619</v>
      </c>
      <c r="D850">
        <v>1196</v>
      </c>
      <c r="E850">
        <v>1302899</v>
      </c>
      <c r="F850">
        <v>1157422</v>
      </c>
      <c r="G850">
        <v>2460321</v>
      </c>
      <c r="H850">
        <v>789</v>
      </c>
      <c r="I850">
        <v>93</v>
      </c>
      <c r="J850">
        <v>882</v>
      </c>
      <c r="K850" t="b">
        <f>TrafficData[[#This Row],[disposedChallan]]+TrafficData[[#This Row],[pendingChallan]]=TrafficData[[#This Row],[totalChallan]]</f>
        <v>1</v>
      </c>
      <c r="L850" t="b">
        <f>TrafficData[[#This Row],[pendingAmount]]+TrafficData[[#This Row],[disposedAmount]]=TrafficData[[#This Row],[totalAmount]]</f>
        <v>1</v>
      </c>
      <c r="M850" t="b">
        <f>TrafficData[[#This Row],[pendingCourt]]+TrafficData[[#This Row],[disposedCourt]]=TrafficData[[#This Row],[totalCourt]]</f>
        <v>1</v>
      </c>
      <c r="N850" t="b">
        <f>AND(TrafficData[[#This Row],[disposedChallan]]&lt;=TrafficData[[#This Row],[totalChallan]],TrafficData[[#This Row],[pendingChallan]]&lt;=TrafficData[[#This Row],[totalChallan]])</f>
        <v>1</v>
      </c>
      <c r="O850" t="b">
        <f>AND(TrafficData[[#This Row],[pendingAmount]]&lt;=TrafficData[[#This Row],[totalAmount]],TrafficData[[#This Row],[disposedAmount]]&lt;=TrafficData[[#This Row],[totalAmount]])</f>
        <v>1</v>
      </c>
      <c r="P850" t="b">
        <f>AND(TrafficData[[#This Row],[pendingCourt]]&lt;=TrafficData[[#This Row],[totalCourt]],TrafficData[[#This Row],[disposedCourt]]&lt;=TrafficData[[#This Row],[totalCourt]])</f>
        <v>1</v>
      </c>
    </row>
    <row r="851" spans="1:16">
      <c r="A851" s="1">
        <v>42854</v>
      </c>
      <c r="B851">
        <v>1571</v>
      </c>
      <c r="C851">
        <v>669</v>
      </c>
      <c r="D851">
        <v>902</v>
      </c>
      <c r="E851">
        <v>902602</v>
      </c>
      <c r="F851">
        <v>1499787</v>
      </c>
      <c r="G851">
        <v>2402389</v>
      </c>
      <c r="H851">
        <v>530</v>
      </c>
      <c r="I851">
        <v>73</v>
      </c>
      <c r="J851">
        <v>603</v>
      </c>
      <c r="K851" t="b">
        <f>TrafficData[[#This Row],[disposedChallan]]+TrafficData[[#This Row],[pendingChallan]]=TrafficData[[#This Row],[totalChallan]]</f>
        <v>1</v>
      </c>
      <c r="L851" t="b">
        <f>TrafficData[[#This Row],[pendingAmount]]+TrafficData[[#This Row],[disposedAmount]]=TrafficData[[#This Row],[totalAmount]]</f>
        <v>1</v>
      </c>
      <c r="M851" t="b">
        <f>TrafficData[[#This Row],[pendingCourt]]+TrafficData[[#This Row],[disposedCourt]]=TrafficData[[#This Row],[totalCourt]]</f>
        <v>1</v>
      </c>
      <c r="N851" t="b">
        <f>AND(TrafficData[[#This Row],[disposedChallan]]&lt;=TrafficData[[#This Row],[totalChallan]],TrafficData[[#This Row],[pendingChallan]]&lt;=TrafficData[[#This Row],[totalChallan]])</f>
        <v>1</v>
      </c>
      <c r="O851" t="b">
        <f>AND(TrafficData[[#This Row],[pendingAmount]]&lt;=TrafficData[[#This Row],[totalAmount]],TrafficData[[#This Row],[disposedAmount]]&lt;=TrafficData[[#This Row],[totalAmount]])</f>
        <v>1</v>
      </c>
      <c r="P851" t="b">
        <f>AND(TrafficData[[#This Row],[pendingCourt]]&lt;=TrafficData[[#This Row],[totalCourt]],TrafficData[[#This Row],[disposedCourt]]&lt;=TrafficData[[#This Row],[totalCourt]])</f>
        <v>1</v>
      </c>
    </row>
    <row r="852" spans="1:16">
      <c r="A852" s="1">
        <v>42855</v>
      </c>
      <c r="B852">
        <v>762</v>
      </c>
      <c r="C852">
        <v>326</v>
      </c>
      <c r="D852">
        <v>436</v>
      </c>
      <c r="E852">
        <v>665755</v>
      </c>
      <c r="F852">
        <v>555340</v>
      </c>
      <c r="G852">
        <v>1221095</v>
      </c>
      <c r="H852">
        <v>209</v>
      </c>
      <c r="I852">
        <v>30</v>
      </c>
      <c r="J852">
        <v>239</v>
      </c>
      <c r="K852" t="b">
        <f>TrafficData[[#This Row],[disposedChallan]]+TrafficData[[#This Row],[pendingChallan]]=TrafficData[[#This Row],[totalChallan]]</f>
        <v>1</v>
      </c>
      <c r="L852" t="b">
        <f>TrafficData[[#This Row],[pendingAmount]]+TrafficData[[#This Row],[disposedAmount]]=TrafficData[[#This Row],[totalAmount]]</f>
        <v>1</v>
      </c>
      <c r="M852" t="b">
        <f>TrafficData[[#This Row],[pendingCourt]]+TrafficData[[#This Row],[disposedCourt]]=TrafficData[[#This Row],[totalCourt]]</f>
        <v>1</v>
      </c>
      <c r="N852" t="b">
        <f>AND(TrafficData[[#This Row],[disposedChallan]]&lt;=TrafficData[[#This Row],[totalChallan]],TrafficData[[#This Row],[pendingChallan]]&lt;=TrafficData[[#This Row],[totalChallan]])</f>
        <v>1</v>
      </c>
      <c r="O852" t="b">
        <f>AND(TrafficData[[#This Row],[pendingAmount]]&lt;=TrafficData[[#This Row],[totalAmount]],TrafficData[[#This Row],[disposedAmount]]&lt;=TrafficData[[#This Row],[totalAmount]])</f>
        <v>1</v>
      </c>
      <c r="P852" t="b">
        <f>AND(TrafficData[[#This Row],[pendingCourt]]&lt;=TrafficData[[#This Row],[totalCourt]],TrafficData[[#This Row],[disposedCourt]]&lt;=TrafficData[[#This Row],[totalCourt]])</f>
        <v>1</v>
      </c>
    </row>
    <row r="853" spans="1:16">
      <c r="A853" s="1">
        <v>42856</v>
      </c>
      <c r="B853">
        <v>1184</v>
      </c>
      <c r="C853">
        <v>446</v>
      </c>
      <c r="D853">
        <v>738</v>
      </c>
      <c r="E853">
        <v>1458000</v>
      </c>
      <c r="F853">
        <v>1763220</v>
      </c>
      <c r="G853">
        <v>3221220</v>
      </c>
      <c r="H853">
        <v>460</v>
      </c>
      <c r="I853">
        <v>56</v>
      </c>
      <c r="J853">
        <v>516</v>
      </c>
      <c r="K853" t="b">
        <f>TrafficData[[#This Row],[disposedChallan]]+TrafficData[[#This Row],[pendingChallan]]=TrafficData[[#This Row],[totalChallan]]</f>
        <v>1</v>
      </c>
      <c r="L853" t="b">
        <f>TrafficData[[#This Row],[pendingAmount]]+TrafficData[[#This Row],[disposedAmount]]=TrafficData[[#This Row],[totalAmount]]</f>
        <v>1</v>
      </c>
      <c r="M853" t="b">
        <f>TrafficData[[#This Row],[pendingCourt]]+TrafficData[[#This Row],[disposedCourt]]=TrafficData[[#This Row],[totalCourt]]</f>
        <v>1</v>
      </c>
      <c r="N853" t="b">
        <f>AND(TrafficData[[#This Row],[disposedChallan]]&lt;=TrafficData[[#This Row],[totalChallan]],TrafficData[[#This Row],[pendingChallan]]&lt;=TrafficData[[#This Row],[totalChallan]])</f>
        <v>1</v>
      </c>
      <c r="O853" t="b">
        <f>AND(TrafficData[[#This Row],[pendingAmount]]&lt;=TrafficData[[#This Row],[totalAmount]],TrafficData[[#This Row],[disposedAmount]]&lt;=TrafficData[[#This Row],[totalAmount]])</f>
        <v>1</v>
      </c>
      <c r="P853" t="b">
        <f>AND(TrafficData[[#This Row],[pendingCourt]]&lt;=TrafficData[[#This Row],[totalCourt]],TrafficData[[#This Row],[disposedCourt]]&lt;=TrafficData[[#This Row],[totalCourt]])</f>
        <v>1</v>
      </c>
    </row>
    <row r="854" spans="1:16">
      <c r="A854" s="1">
        <v>42857</v>
      </c>
      <c r="B854">
        <v>1402</v>
      </c>
      <c r="C854">
        <v>541</v>
      </c>
      <c r="D854">
        <v>861</v>
      </c>
      <c r="E854">
        <v>1200800</v>
      </c>
      <c r="F854">
        <v>2157428</v>
      </c>
      <c r="G854">
        <v>3358228</v>
      </c>
      <c r="H854">
        <v>504</v>
      </c>
      <c r="I854">
        <v>73</v>
      </c>
      <c r="J854">
        <v>577</v>
      </c>
      <c r="K854" t="b">
        <f>TrafficData[[#This Row],[disposedChallan]]+TrafficData[[#This Row],[pendingChallan]]=TrafficData[[#This Row],[totalChallan]]</f>
        <v>1</v>
      </c>
      <c r="L854" t="b">
        <f>TrafficData[[#This Row],[pendingAmount]]+TrafficData[[#This Row],[disposedAmount]]=TrafficData[[#This Row],[totalAmount]]</f>
        <v>1</v>
      </c>
      <c r="M854" t="b">
        <f>TrafficData[[#This Row],[pendingCourt]]+TrafficData[[#This Row],[disposedCourt]]=TrafficData[[#This Row],[totalCourt]]</f>
        <v>1</v>
      </c>
      <c r="N854" t="b">
        <f>AND(TrafficData[[#This Row],[disposedChallan]]&lt;=TrafficData[[#This Row],[totalChallan]],TrafficData[[#This Row],[pendingChallan]]&lt;=TrafficData[[#This Row],[totalChallan]])</f>
        <v>1</v>
      </c>
      <c r="O854" t="b">
        <f>AND(TrafficData[[#This Row],[pendingAmount]]&lt;=TrafficData[[#This Row],[totalAmount]],TrafficData[[#This Row],[disposedAmount]]&lt;=TrafficData[[#This Row],[totalAmount]])</f>
        <v>1</v>
      </c>
      <c r="P854" t="b">
        <f>AND(TrafficData[[#This Row],[pendingCourt]]&lt;=TrafficData[[#This Row],[totalCourt]],TrafficData[[#This Row],[disposedCourt]]&lt;=TrafficData[[#This Row],[totalCourt]])</f>
        <v>1</v>
      </c>
    </row>
    <row r="855" spans="1:16">
      <c r="A855" s="1">
        <v>42858</v>
      </c>
      <c r="B855">
        <v>1391</v>
      </c>
      <c r="C855">
        <v>611</v>
      </c>
      <c r="D855">
        <v>780</v>
      </c>
      <c r="E855">
        <v>1677932</v>
      </c>
      <c r="F855">
        <v>2548617</v>
      </c>
      <c r="G855">
        <v>4226549</v>
      </c>
      <c r="H855">
        <v>477</v>
      </c>
      <c r="I855">
        <v>80</v>
      </c>
      <c r="J855">
        <v>557</v>
      </c>
      <c r="K855" t="b">
        <f>TrafficData[[#This Row],[disposedChallan]]+TrafficData[[#This Row],[pendingChallan]]=TrafficData[[#This Row],[totalChallan]]</f>
        <v>1</v>
      </c>
      <c r="L855" t="b">
        <f>TrafficData[[#This Row],[pendingAmount]]+TrafficData[[#This Row],[disposedAmount]]=TrafficData[[#This Row],[totalAmount]]</f>
        <v>1</v>
      </c>
      <c r="M855" t="b">
        <f>TrafficData[[#This Row],[pendingCourt]]+TrafficData[[#This Row],[disposedCourt]]=TrafficData[[#This Row],[totalCourt]]</f>
        <v>1</v>
      </c>
      <c r="N855" t="b">
        <f>AND(TrafficData[[#This Row],[disposedChallan]]&lt;=TrafficData[[#This Row],[totalChallan]],TrafficData[[#This Row],[pendingChallan]]&lt;=TrafficData[[#This Row],[totalChallan]])</f>
        <v>1</v>
      </c>
      <c r="O855" t="b">
        <f>AND(TrafficData[[#This Row],[pendingAmount]]&lt;=TrafficData[[#This Row],[totalAmount]],TrafficData[[#This Row],[disposedAmount]]&lt;=TrafficData[[#This Row],[totalAmount]])</f>
        <v>1</v>
      </c>
      <c r="P855" t="b">
        <f>AND(TrafficData[[#This Row],[pendingCourt]]&lt;=TrafficData[[#This Row],[totalCourt]],TrafficData[[#This Row],[disposedCourt]]&lt;=TrafficData[[#This Row],[totalCourt]])</f>
        <v>1</v>
      </c>
    </row>
    <row r="856" spans="1:16">
      <c r="A856" s="1">
        <v>42859</v>
      </c>
      <c r="B856">
        <v>1420</v>
      </c>
      <c r="C856">
        <v>549</v>
      </c>
      <c r="D856">
        <v>871</v>
      </c>
      <c r="E856">
        <v>1280500</v>
      </c>
      <c r="F856">
        <v>1962590</v>
      </c>
      <c r="G856">
        <v>3243090</v>
      </c>
      <c r="H856">
        <v>591</v>
      </c>
      <c r="I856">
        <v>52</v>
      </c>
      <c r="J856">
        <v>643</v>
      </c>
      <c r="K856" t="b">
        <f>TrafficData[[#This Row],[disposedChallan]]+TrafficData[[#This Row],[pendingChallan]]=TrafficData[[#This Row],[totalChallan]]</f>
        <v>1</v>
      </c>
      <c r="L856" t="b">
        <f>TrafficData[[#This Row],[pendingAmount]]+TrafficData[[#This Row],[disposedAmount]]=TrafficData[[#This Row],[totalAmount]]</f>
        <v>1</v>
      </c>
      <c r="M856" t="b">
        <f>TrafficData[[#This Row],[pendingCourt]]+TrafficData[[#This Row],[disposedCourt]]=TrafficData[[#This Row],[totalCourt]]</f>
        <v>1</v>
      </c>
      <c r="N856" t="b">
        <f>AND(TrafficData[[#This Row],[disposedChallan]]&lt;=TrafficData[[#This Row],[totalChallan]],TrafficData[[#This Row],[pendingChallan]]&lt;=TrafficData[[#This Row],[totalChallan]])</f>
        <v>1</v>
      </c>
      <c r="O856" t="b">
        <f>AND(TrafficData[[#This Row],[pendingAmount]]&lt;=TrafficData[[#This Row],[totalAmount]],TrafficData[[#This Row],[disposedAmount]]&lt;=TrafficData[[#This Row],[totalAmount]])</f>
        <v>1</v>
      </c>
      <c r="P856" t="b">
        <f>AND(TrafficData[[#This Row],[pendingCourt]]&lt;=TrafficData[[#This Row],[totalCourt]],TrafficData[[#This Row],[disposedCourt]]&lt;=TrafficData[[#This Row],[totalCourt]])</f>
        <v>1</v>
      </c>
    </row>
    <row r="857" spans="1:16">
      <c r="A857" s="1">
        <v>42860</v>
      </c>
      <c r="B857">
        <v>1487</v>
      </c>
      <c r="C857">
        <v>594</v>
      </c>
      <c r="D857">
        <v>893</v>
      </c>
      <c r="E857">
        <v>1418099</v>
      </c>
      <c r="F857">
        <v>2373746</v>
      </c>
      <c r="G857">
        <v>3791845</v>
      </c>
      <c r="H857">
        <v>652</v>
      </c>
      <c r="I857">
        <v>103</v>
      </c>
      <c r="J857">
        <v>755</v>
      </c>
      <c r="K857" t="b">
        <f>TrafficData[[#This Row],[disposedChallan]]+TrafficData[[#This Row],[pendingChallan]]=TrafficData[[#This Row],[totalChallan]]</f>
        <v>1</v>
      </c>
      <c r="L857" t="b">
        <f>TrafficData[[#This Row],[pendingAmount]]+TrafficData[[#This Row],[disposedAmount]]=TrafficData[[#This Row],[totalAmount]]</f>
        <v>1</v>
      </c>
      <c r="M857" t="b">
        <f>TrafficData[[#This Row],[pendingCourt]]+TrafficData[[#This Row],[disposedCourt]]=TrafficData[[#This Row],[totalCourt]]</f>
        <v>1</v>
      </c>
      <c r="N857" t="b">
        <f>AND(TrafficData[[#This Row],[disposedChallan]]&lt;=TrafficData[[#This Row],[totalChallan]],TrafficData[[#This Row],[pendingChallan]]&lt;=TrafficData[[#This Row],[totalChallan]])</f>
        <v>1</v>
      </c>
      <c r="O857" t="b">
        <f>AND(TrafficData[[#This Row],[pendingAmount]]&lt;=TrafficData[[#This Row],[totalAmount]],TrafficData[[#This Row],[disposedAmount]]&lt;=TrafficData[[#This Row],[totalAmount]])</f>
        <v>1</v>
      </c>
      <c r="P857" t="b">
        <f>AND(TrafficData[[#This Row],[pendingCourt]]&lt;=TrafficData[[#This Row],[totalCourt]],TrafficData[[#This Row],[disposedCourt]]&lt;=TrafficData[[#This Row],[totalCourt]])</f>
        <v>1</v>
      </c>
    </row>
    <row r="858" spans="1:16">
      <c r="A858" s="1">
        <v>42861</v>
      </c>
      <c r="B858">
        <v>1291</v>
      </c>
      <c r="C858">
        <v>589</v>
      </c>
      <c r="D858">
        <v>702</v>
      </c>
      <c r="E858">
        <v>1116900</v>
      </c>
      <c r="F858">
        <v>2099050</v>
      </c>
      <c r="G858">
        <v>3215950</v>
      </c>
      <c r="H858">
        <v>499</v>
      </c>
      <c r="I858">
        <v>97</v>
      </c>
      <c r="J858">
        <v>596</v>
      </c>
      <c r="K858" t="b">
        <f>TrafficData[[#This Row],[disposedChallan]]+TrafficData[[#This Row],[pendingChallan]]=TrafficData[[#This Row],[totalChallan]]</f>
        <v>1</v>
      </c>
      <c r="L858" t="b">
        <f>TrafficData[[#This Row],[pendingAmount]]+TrafficData[[#This Row],[disposedAmount]]=TrafficData[[#This Row],[totalAmount]]</f>
        <v>1</v>
      </c>
      <c r="M858" t="b">
        <f>TrafficData[[#This Row],[pendingCourt]]+TrafficData[[#This Row],[disposedCourt]]=TrafficData[[#This Row],[totalCourt]]</f>
        <v>1</v>
      </c>
      <c r="N858" t="b">
        <f>AND(TrafficData[[#This Row],[disposedChallan]]&lt;=TrafficData[[#This Row],[totalChallan]],TrafficData[[#This Row],[pendingChallan]]&lt;=TrafficData[[#This Row],[totalChallan]])</f>
        <v>1</v>
      </c>
      <c r="O858" t="b">
        <f>AND(TrafficData[[#This Row],[pendingAmount]]&lt;=TrafficData[[#This Row],[totalAmount]],TrafficData[[#This Row],[disposedAmount]]&lt;=TrafficData[[#This Row],[totalAmount]])</f>
        <v>1</v>
      </c>
      <c r="P858" t="b">
        <f>AND(TrafficData[[#This Row],[pendingCourt]]&lt;=TrafficData[[#This Row],[totalCourt]],TrafficData[[#This Row],[disposedCourt]]&lt;=TrafficData[[#This Row],[totalCourt]])</f>
        <v>1</v>
      </c>
    </row>
    <row r="859" spans="1:16">
      <c r="A859" s="1">
        <v>42862</v>
      </c>
      <c r="B859">
        <v>474</v>
      </c>
      <c r="C859">
        <v>180</v>
      </c>
      <c r="D859">
        <v>294</v>
      </c>
      <c r="E859">
        <v>537200</v>
      </c>
      <c r="F859">
        <v>572525</v>
      </c>
      <c r="G859">
        <v>1109725</v>
      </c>
      <c r="H859">
        <v>148</v>
      </c>
      <c r="I859">
        <v>17</v>
      </c>
      <c r="J859">
        <v>165</v>
      </c>
      <c r="K859" t="b">
        <f>TrafficData[[#This Row],[disposedChallan]]+TrafficData[[#This Row],[pendingChallan]]=TrafficData[[#This Row],[totalChallan]]</f>
        <v>1</v>
      </c>
      <c r="L859" t="b">
        <f>TrafficData[[#This Row],[pendingAmount]]+TrafficData[[#This Row],[disposedAmount]]=TrafficData[[#This Row],[totalAmount]]</f>
        <v>1</v>
      </c>
      <c r="M859" t="b">
        <f>TrafficData[[#This Row],[pendingCourt]]+TrafficData[[#This Row],[disposedCourt]]=TrafficData[[#This Row],[totalCourt]]</f>
        <v>1</v>
      </c>
      <c r="N859" t="b">
        <f>AND(TrafficData[[#This Row],[disposedChallan]]&lt;=TrafficData[[#This Row],[totalChallan]],TrafficData[[#This Row],[pendingChallan]]&lt;=TrafficData[[#This Row],[totalChallan]])</f>
        <v>1</v>
      </c>
      <c r="O859" t="b">
        <f>AND(TrafficData[[#This Row],[pendingAmount]]&lt;=TrafficData[[#This Row],[totalAmount]],TrafficData[[#This Row],[disposedAmount]]&lt;=TrafficData[[#This Row],[totalAmount]])</f>
        <v>1</v>
      </c>
      <c r="P859" t="b">
        <f>AND(TrafficData[[#This Row],[pendingCourt]]&lt;=TrafficData[[#This Row],[totalCourt]],TrafficData[[#This Row],[disposedCourt]]&lt;=TrafficData[[#This Row],[totalCourt]])</f>
        <v>1</v>
      </c>
    </row>
    <row r="860" spans="1:16">
      <c r="A860" s="1">
        <v>42863</v>
      </c>
      <c r="B860">
        <v>1799</v>
      </c>
      <c r="C860">
        <v>665</v>
      </c>
      <c r="D860">
        <v>1134</v>
      </c>
      <c r="E860">
        <v>1422150</v>
      </c>
      <c r="F860">
        <v>2197860</v>
      </c>
      <c r="G860">
        <v>3620010</v>
      </c>
      <c r="H860">
        <v>929</v>
      </c>
      <c r="I860">
        <v>88</v>
      </c>
      <c r="J860">
        <v>1017</v>
      </c>
      <c r="K860" t="b">
        <f>TrafficData[[#This Row],[disposedChallan]]+TrafficData[[#This Row],[pendingChallan]]=TrafficData[[#This Row],[totalChallan]]</f>
        <v>1</v>
      </c>
      <c r="L860" t="b">
        <f>TrafficData[[#This Row],[pendingAmount]]+TrafficData[[#This Row],[disposedAmount]]=TrafficData[[#This Row],[totalAmount]]</f>
        <v>1</v>
      </c>
      <c r="M860" t="b">
        <f>TrafficData[[#This Row],[pendingCourt]]+TrafficData[[#This Row],[disposedCourt]]=TrafficData[[#This Row],[totalCourt]]</f>
        <v>1</v>
      </c>
      <c r="N860" t="b">
        <f>AND(TrafficData[[#This Row],[disposedChallan]]&lt;=TrafficData[[#This Row],[totalChallan]],TrafficData[[#This Row],[pendingChallan]]&lt;=TrafficData[[#This Row],[totalChallan]])</f>
        <v>1</v>
      </c>
      <c r="O860" t="b">
        <f>AND(TrafficData[[#This Row],[pendingAmount]]&lt;=TrafficData[[#This Row],[totalAmount]],TrafficData[[#This Row],[disposedAmount]]&lt;=TrafficData[[#This Row],[totalAmount]])</f>
        <v>1</v>
      </c>
      <c r="P860" t="b">
        <f>AND(TrafficData[[#This Row],[pendingCourt]]&lt;=TrafficData[[#This Row],[totalCourt]],TrafficData[[#This Row],[disposedCourt]]&lt;=TrafficData[[#This Row],[totalCourt]])</f>
        <v>1</v>
      </c>
    </row>
    <row r="861" spans="1:16">
      <c r="A861" s="1">
        <v>42864</v>
      </c>
      <c r="B861">
        <v>1417</v>
      </c>
      <c r="C861">
        <v>660</v>
      </c>
      <c r="D861">
        <v>757</v>
      </c>
      <c r="E861">
        <v>1206950</v>
      </c>
      <c r="F861">
        <v>2294653</v>
      </c>
      <c r="G861">
        <v>3501603</v>
      </c>
      <c r="H861">
        <v>599</v>
      </c>
      <c r="I861">
        <v>110</v>
      </c>
      <c r="J861">
        <v>709</v>
      </c>
      <c r="K861" t="b">
        <f>TrafficData[[#This Row],[disposedChallan]]+TrafficData[[#This Row],[pendingChallan]]=TrafficData[[#This Row],[totalChallan]]</f>
        <v>1</v>
      </c>
      <c r="L861" t="b">
        <f>TrafficData[[#This Row],[pendingAmount]]+TrafficData[[#This Row],[disposedAmount]]=TrafficData[[#This Row],[totalAmount]]</f>
        <v>1</v>
      </c>
      <c r="M861" t="b">
        <f>TrafficData[[#This Row],[pendingCourt]]+TrafficData[[#This Row],[disposedCourt]]=TrafficData[[#This Row],[totalCourt]]</f>
        <v>1</v>
      </c>
      <c r="N861" t="b">
        <f>AND(TrafficData[[#This Row],[disposedChallan]]&lt;=TrafficData[[#This Row],[totalChallan]],TrafficData[[#This Row],[pendingChallan]]&lt;=TrafficData[[#This Row],[totalChallan]])</f>
        <v>1</v>
      </c>
      <c r="O861" t="b">
        <f>AND(TrafficData[[#This Row],[pendingAmount]]&lt;=TrafficData[[#This Row],[totalAmount]],TrafficData[[#This Row],[disposedAmount]]&lt;=TrafficData[[#This Row],[totalAmount]])</f>
        <v>1</v>
      </c>
      <c r="P861" t="b">
        <f>AND(TrafficData[[#This Row],[pendingCourt]]&lt;=TrafficData[[#This Row],[totalCourt]],TrafficData[[#This Row],[disposedCourt]]&lt;=TrafficData[[#This Row],[totalCourt]])</f>
        <v>1</v>
      </c>
    </row>
    <row r="862" spans="1:16">
      <c r="A862" s="1">
        <v>42865</v>
      </c>
      <c r="B862">
        <v>1170</v>
      </c>
      <c r="C862">
        <v>521</v>
      </c>
      <c r="D862">
        <v>649</v>
      </c>
      <c r="E862">
        <v>930000</v>
      </c>
      <c r="F862">
        <v>2134958</v>
      </c>
      <c r="G862">
        <v>3064958</v>
      </c>
      <c r="H862">
        <v>463</v>
      </c>
      <c r="I862">
        <v>96</v>
      </c>
      <c r="J862">
        <v>559</v>
      </c>
      <c r="K862" t="b">
        <f>TrafficData[[#This Row],[disposedChallan]]+TrafficData[[#This Row],[pendingChallan]]=TrafficData[[#This Row],[totalChallan]]</f>
        <v>1</v>
      </c>
      <c r="L862" t="b">
        <f>TrafficData[[#This Row],[pendingAmount]]+TrafficData[[#This Row],[disposedAmount]]=TrafficData[[#This Row],[totalAmount]]</f>
        <v>1</v>
      </c>
      <c r="M862" t="b">
        <f>TrafficData[[#This Row],[pendingCourt]]+TrafficData[[#This Row],[disposedCourt]]=TrafficData[[#This Row],[totalCourt]]</f>
        <v>1</v>
      </c>
      <c r="N862" t="b">
        <f>AND(TrafficData[[#This Row],[disposedChallan]]&lt;=TrafficData[[#This Row],[totalChallan]],TrafficData[[#This Row],[pendingChallan]]&lt;=TrafficData[[#This Row],[totalChallan]])</f>
        <v>1</v>
      </c>
      <c r="O862" t="b">
        <f>AND(TrafficData[[#This Row],[pendingAmount]]&lt;=TrafficData[[#This Row],[totalAmount]],TrafficData[[#This Row],[disposedAmount]]&lt;=TrafficData[[#This Row],[totalAmount]])</f>
        <v>1</v>
      </c>
      <c r="P862" t="b">
        <f>AND(TrafficData[[#This Row],[pendingCourt]]&lt;=TrafficData[[#This Row],[totalCourt]],TrafficData[[#This Row],[disposedCourt]]&lt;=TrafficData[[#This Row],[totalCourt]])</f>
        <v>1</v>
      </c>
    </row>
    <row r="863" spans="1:16">
      <c r="A863" s="1">
        <v>42866</v>
      </c>
      <c r="B863">
        <v>1480</v>
      </c>
      <c r="C863">
        <v>600</v>
      </c>
      <c r="D863">
        <v>880</v>
      </c>
      <c r="E863">
        <v>1223500</v>
      </c>
      <c r="F863">
        <v>2283455</v>
      </c>
      <c r="G863">
        <v>3506955</v>
      </c>
      <c r="H863">
        <v>608</v>
      </c>
      <c r="I863">
        <v>76</v>
      </c>
      <c r="J863">
        <v>684</v>
      </c>
      <c r="K863" t="b">
        <f>TrafficData[[#This Row],[disposedChallan]]+TrafficData[[#This Row],[pendingChallan]]=TrafficData[[#This Row],[totalChallan]]</f>
        <v>1</v>
      </c>
      <c r="L863" t="b">
        <f>TrafficData[[#This Row],[pendingAmount]]+TrafficData[[#This Row],[disposedAmount]]=TrafficData[[#This Row],[totalAmount]]</f>
        <v>1</v>
      </c>
      <c r="M863" t="b">
        <f>TrafficData[[#This Row],[pendingCourt]]+TrafficData[[#This Row],[disposedCourt]]=TrafficData[[#This Row],[totalCourt]]</f>
        <v>1</v>
      </c>
      <c r="N863" t="b">
        <f>AND(TrafficData[[#This Row],[disposedChallan]]&lt;=TrafficData[[#This Row],[totalChallan]],TrafficData[[#This Row],[pendingChallan]]&lt;=TrafficData[[#This Row],[totalChallan]])</f>
        <v>1</v>
      </c>
      <c r="O863" t="b">
        <f>AND(TrafficData[[#This Row],[pendingAmount]]&lt;=TrafficData[[#This Row],[totalAmount]],TrafficData[[#This Row],[disposedAmount]]&lt;=TrafficData[[#This Row],[totalAmount]])</f>
        <v>1</v>
      </c>
      <c r="P863" t="b">
        <f>AND(TrafficData[[#This Row],[pendingCourt]]&lt;=TrafficData[[#This Row],[totalCourt]],TrafficData[[#This Row],[disposedCourt]]&lt;=TrafficData[[#This Row],[totalCourt]])</f>
        <v>1</v>
      </c>
    </row>
    <row r="864" spans="1:16">
      <c r="A864" s="1">
        <v>42867</v>
      </c>
      <c r="B864">
        <v>1480</v>
      </c>
      <c r="C864">
        <v>670</v>
      </c>
      <c r="D864">
        <v>810</v>
      </c>
      <c r="E864">
        <v>1254500</v>
      </c>
      <c r="F864">
        <v>2798710</v>
      </c>
      <c r="G864">
        <v>4053210</v>
      </c>
      <c r="H864">
        <v>617</v>
      </c>
      <c r="I864">
        <v>86</v>
      </c>
      <c r="J864">
        <v>703</v>
      </c>
      <c r="K864" t="b">
        <f>TrafficData[[#This Row],[disposedChallan]]+TrafficData[[#This Row],[pendingChallan]]=TrafficData[[#This Row],[totalChallan]]</f>
        <v>1</v>
      </c>
      <c r="L864" t="b">
        <f>TrafficData[[#This Row],[pendingAmount]]+TrafficData[[#This Row],[disposedAmount]]=TrafficData[[#This Row],[totalAmount]]</f>
        <v>1</v>
      </c>
      <c r="M864" t="b">
        <f>TrafficData[[#This Row],[pendingCourt]]+TrafficData[[#This Row],[disposedCourt]]=TrafficData[[#This Row],[totalCourt]]</f>
        <v>1</v>
      </c>
      <c r="N864" t="b">
        <f>AND(TrafficData[[#This Row],[disposedChallan]]&lt;=TrafficData[[#This Row],[totalChallan]],TrafficData[[#This Row],[pendingChallan]]&lt;=TrafficData[[#This Row],[totalChallan]])</f>
        <v>1</v>
      </c>
      <c r="O864" t="b">
        <f>AND(TrafficData[[#This Row],[pendingAmount]]&lt;=TrafficData[[#This Row],[totalAmount]],TrafficData[[#This Row],[disposedAmount]]&lt;=TrafficData[[#This Row],[totalAmount]])</f>
        <v>1</v>
      </c>
      <c r="P864" t="b">
        <f>AND(TrafficData[[#This Row],[pendingCourt]]&lt;=TrafficData[[#This Row],[totalCourt]],TrafficData[[#This Row],[disposedCourt]]&lt;=TrafficData[[#This Row],[totalCourt]])</f>
        <v>1</v>
      </c>
    </row>
    <row r="865" spans="1:16">
      <c r="A865" s="1">
        <v>42868</v>
      </c>
      <c r="B865">
        <v>1339</v>
      </c>
      <c r="C865">
        <v>634</v>
      </c>
      <c r="D865">
        <v>705</v>
      </c>
      <c r="E865">
        <v>1448925</v>
      </c>
      <c r="F865">
        <v>2728095</v>
      </c>
      <c r="G865">
        <v>4177020</v>
      </c>
      <c r="H865">
        <v>490</v>
      </c>
      <c r="I865">
        <v>108</v>
      </c>
      <c r="J865">
        <v>598</v>
      </c>
      <c r="K865" t="b">
        <f>TrafficData[[#This Row],[disposedChallan]]+TrafficData[[#This Row],[pendingChallan]]=TrafficData[[#This Row],[totalChallan]]</f>
        <v>1</v>
      </c>
      <c r="L865" t="b">
        <f>TrafficData[[#This Row],[pendingAmount]]+TrafficData[[#This Row],[disposedAmount]]=TrafficData[[#This Row],[totalAmount]]</f>
        <v>1</v>
      </c>
      <c r="M865" t="b">
        <f>TrafficData[[#This Row],[pendingCourt]]+TrafficData[[#This Row],[disposedCourt]]=TrafficData[[#This Row],[totalCourt]]</f>
        <v>1</v>
      </c>
      <c r="N865" t="b">
        <f>AND(TrafficData[[#This Row],[disposedChallan]]&lt;=TrafficData[[#This Row],[totalChallan]],TrafficData[[#This Row],[pendingChallan]]&lt;=TrafficData[[#This Row],[totalChallan]])</f>
        <v>1</v>
      </c>
      <c r="O865" t="b">
        <f>AND(TrafficData[[#This Row],[pendingAmount]]&lt;=TrafficData[[#This Row],[totalAmount]],TrafficData[[#This Row],[disposedAmount]]&lt;=TrafficData[[#This Row],[totalAmount]])</f>
        <v>1</v>
      </c>
      <c r="P865" t="b">
        <f>AND(TrafficData[[#This Row],[pendingCourt]]&lt;=TrafficData[[#This Row],[totalCourt]],TrafficData[[#This Row],[disposedCourt]]&lt;=TrafficData[[#This Row],[totalCourt]])</f>
        <v>1</v>
      </c>
    </row>
    <row r="866" spans="1:16">
      <c r="A866" s="1">
        <v>42869</v>
      </c>
      <c r="B866">
        <v>769</v>
      </c>
      <c r="C866">
        <v>269</v>
      </c>
      <c r="D866">
        <v>500</v>
      </c>
      <c r="E866">
        <v>739780</v>
      </c>
      <c r="F866">
        <v>807760</v>
      </c>
      <c r="G866">
        <v>1547540</v>
      </c>
      <c r="H866">
        <v>367</v>
      </c>
      <c r="I866">
        <v>39</v>
      </c>
      <c r="J866">
        <v>406</v>
      </c>
      <c r="K866" t="b">
        <f>TrafficData[[#This Row],[disposedChallan]]+TrafficData[[#This Row],[pendingChallan]]=TrafficData[[#This Row],[totalChallan]]</f>
        <v>1</v>
      </c>
      <c r="L866" t="b">
        <f>TrafficData[[#This Row],[pendingAmount]]+TrafficData[[#This Row],[disposedAmount]]=TrafficData[[#This Row],[totalAmount]]</f>
        <v>1</v>
      </c>
      <c r="M866" t="b">
        <f>TrafficData[[#This Row],[pendingCourt]]+TrafficData[[#This Row],[disposedCourt]]=TrafficData[[#This Row],[totalCourt]]</f>
        <v>1</v>
      </c>
      <c r="N866" t="b">
        <f>AND(TrafficData[[#This Row],[disposedChallan]]&lt;=TrafficData[[#This Row],[totalChallan]],TrafficData[[#This Row],[pendingChallan]]&lt;=TrafficData[[#This Row],[totalChallan]])</f>
        <v>1</v>
      </c>
      <c r="O866" t="b">
        <f>AND(TrafficData[[#This Row],[pendingAmount]]&lt;=TrafficData[[#This Row],[totalAmount]],TrafficData[[#This Row],[disposedAmount]]&lt;=TrafficData[[#This Row],[totalAmount]])</f>
        <v>1</v>
      </c>
      <c r="P866" t="b">
        <f>AND(TrafficData[[#This Row],[pendingCourt]]&lt;=TrafficData[[#This Row],[totalCourt]],TrafficData[[#This Row],[disposedCourt]]&lt;=TrafficData[[#This Row],[totalCourt]])</f>
        <v>1</v>
      </c>
    </row>
    <row r="867" spans="1:16">
      <c r="A867" s="1">
        <v>42870</v>
      </c>
      <c r="B867">
        <v>1441</v>
      </c>
      <c r="C867">
        <v>574</v>
      </c>
      <c r="D867">
        <v>867</v>
      </c>
      <c r="E867">
        <v>1248000</v>
      </c>
      <c r="F867">
        <v>1778255</v>
      </c>
      <c r="G867">
        <v>3026255</v>
      </c>
      <c r="H867">
        <v>674</v>
      </c>
      <c r="I867">
        <v>82</v>
      </c>
      <c r="J867">
        <v>756</v>
      </c>
      <c r="K867" t="b">
        <f>TrafficData[[#This Row],[disposedChallan]]+TrafficData[[#This Row],[pendingChallan]]=TrafficData[[#This Row],[totalChallan]]</f>
        <v>1</v>
      </c>
      <c r="L867" t="b">
        <f>TrafficData[[#This Row],[pendingAmount]]+TrafficData[[#This Row],[disposedAmount]]=TrafficData[[#This Row],[totalAmount]]</f>
        <v>1</v>
      </c>
      <c r="M867" t="b">
        <f>TrafficData[[#This Row],[pendingCourt]]+TrafficData[[#This Row],[disposedCourt]]=TrafficData[[#This Row],[totalCourt]]</f>
        <v>1</v>
      </c>
      <c r="N867" t="b">
        <f>AND(TrafficData[[#This Row],[disposedChallan]]&lt;=TrafficData[[#This Row],[totalChallan]],TrafficData[[#This Row],[pendingChallan]]&lt;=TrafficData[[#This Row],[totalChallan]])</f>
        <v>1</v>
      </c>
      <c r="O867" t="b">
        <f>AND(TrafficData[[#This Row],[pendingAmount]]&lt;=TrafficData[[#This Row],[totalAmount]],TrafficData[[#This Row],[disposedAmount]]&lt;=TrafficData[[#This Row],[totalAmount]])</f>
        <v>1</v>
      </c>
      <c r="P867" t="b">
        <f>AND(TrafficData[[#This Row],[pendingCourt]]&lt;=TrafficData[[#This Row],[totalCourt]],TrafficData[[#This Row],[disposedCourt]]&lt;=TrafficData[[#This Row],[totalCourt]])</f>
        <v>1</v>
      </c>
    </row>
    <row r="868" spans="1:16">
      <c r="A868" s="1">
        <v>42871</v>
      </c>
      <c r="B868">
        <v>1577</v>
      </c>
      <c r="C868">
        <v>752</v>
      </c>
      <c r="D868">
        <v>825</v>
      </c>
      <c r="E868">
        <v>1394051</v>
      </c>
      <c r="F868">
        <v>2301652</v>
      </c>
      <c r="G868">
        <v>3695703</v>
      </c>
      <c r="H868">
        <v>642</v>
      </c>
      <c r="I868">
        <v>64</v>
      </c>
      <c r="J868">
        <v>706</v>
      </c>
      <c r="K868" t="b">
        <f>TrafficData[[#This Row],[disposedChallan]]+TrafficData[[#This Row],[pendingChallan]]=TrafficData[[#This Row],[totalChallan]]</f>
        <v>1</v>
      </c>
      <c r="L868" t="b">
        <f>TrafficData[[#This Row],[pendingAmount]]+TrafficData[[#This Row],[disposedAmount]]=TrafficData[[#This Row],[totalAmount]]</f>
        <v>1</v>
      </c>
      <c r="M868" t="b">
        <f>TrafficData[[#This Row],[pendingCourt]]+TrafficData[[#This Row],[disposedCourt]]=TrafficData[[#This Row],[totalCourt]]</f>
        <v>1</v>
      </c>
      <c r="N868" t="b">
        <f>AND(TrafficData[[#This Row],[disposedChallan]]&lt;=TrafficData[[#This Row],[totalChallan]],TrafficData[[#This Row],[pendingChallan]]&lt;=TrafficData[[#This Row],[totalChallan]])</f>
        <v>1</v>
      </c>
      <c r="O868" t="b">
        <f>AND(TrafficData[[#This Row],[pendingAmount]]&lt;=TrafficData[[#This Row],[totalAmount]],TrafficData[[#This Row],[disposedAmount]]&lt;=TrafficData[[#This Row],[totalAmount]])</f>
        <v>1</v>
      </c>
      <c r="P868" t="b">
        <f>AND(TrafficData[[#This Row],[pendingCourt]]&lt;=TrafficData[[#This Row],[totalCourt]],TrafficData[[#This Row],[disposedCourt]]&lt;=TrafficData[[#This Row],[totalCourt]])</f>
        <v>1</v>
      </c>
    </row>
    <row r="869" spans="1:16">
      <c r="A869" s="1">
        <v>42872</v>
      </c>
      <c r="B869">
        <v>2593</v>
      </c>
      <c r="C869">
        <v>1464</v>
      </c>
      <c r="D869">
        <v>1129</v>
      </c>
      <c r="E869">
        <v>1694212</v>
      </c>
      <c r="F869">
        <v>3691966</v>
      </c>
      <c r="G869">
        <v>5386178</v>
      </c>
      <c r="H869">
        <v>919</v>
      </c>
      <c r="I869">
        <v>159</v>
      </c>
      <c r="J869">
        <v>1078</v>
      </c>
      <c r="K869" t="b">
        <f>TrafficData[[#This Row],[disposedChallan]]+TrafficData[[#This Row],[pendingChallan]]=TrafficData[[#This Row],[totalChallan]]</f>
        <v>1</v>
      </c>
      <c r="L869" t="b">
        <f>TrafficData[[#This Row],[pendingAmount]]+TrafficData[[#This Row],[disposedAmount]]=TrafficData[[#This Row],[totalAmount]]</f>
        <v>1</v>
      </c>
      <c r="M869" t="b">
        <f>TrafficData[[#This Row],[pendingCourt]]+TrafficData[[#This Row],[disposedCourt]]=TrafficData[[#This Row],[totalCourt]]</f>
        <v>1</v>
      </c>
      <c r="N869" t="b">
        <f>AND(TrafficData[[#This Row],[disposedChallan]]&lt;=TrafficData[[#This Row],[totalChallan]],TrafficData[[#This Row],[pendingChallan]]&lt;=TrafficData[[#This Row],[totalChallan]])</f>
        <v>1</v>
      </c>
      <c r="O869" t="b">
        <f>AND(TrafficData[[#This Row],[pendingAmount]]&lt;=TrafficData[[#This Row],[totalAmount]],TrafficData[[#This Row],[disposedAmount]]&lt;=TrafficData[[#This Row],[totalAmount]])</f>
        <v>1</v>
      </c>
      <c r="P869" t="b">
        <f>AND(TrafficData[[#This Row],[pendingCourt]]&lt;=TrafficData[[#This Row],[totalCourt]],TrafficData[[#This Row],[disposedCourt]]&lt;=TrafficData[[#This Row],[totalCourt]])</f>
        <v>1</v>
      </c>
    </row>
    <row r="870" spans="1:16">
      <c r="A870" s="1">
        <v>42873</v>
      </c>
      <c r="B870">
        <v>2026</v>
      </c>
      <c r="C870">
        <v>1034</v>
      </c>
      <c r="D870">
        <v>992</v>
      </c>
      <c r="E870">
        <v>1901904</v>
      </c>
      <c r="F870">
        <v>3075652</v>
      </c>
      <c r="G870">
        <v>4977556</v>
      </c>
      <c r="H870">
        <v>801</v>
      </c>
      <c r="I870">
        <v>131</v>
      </c>
      <c r="J870">
        <v>932</v>
      </c>
      <c r="K870" t="b">
        <f>TrafficData[[#This Row],[disposedChallan]]+TrafficData[[#This Row],[pendingChallan]]=TrafficData[[#This Row],[totalChallan]]</f>
        <v>1</v>
      </c>
      <c r="L870" t="b">
        <f>TrafficData[[#This Row],[pendingAmount]]+TrafficData[[#This Row],[disposedAmount]]=TrafficData[[#This Row],[totalAmount]]</f>
        <v>1</v>
      </c>
      <c r="M870" t="b">
        <f>TrafficData[[#This Row],[pendingCourt]]+TrafficData[[#This Row],[disposedCourt]]=TrafficData[[#This Row],[totalCourt]]</f>
        <v>1</v>
      </c>
      <c r="N870" t="b">
        <f>AND(TrafficData[[#This Row],[disposedChallan]]&lt;=TrafficData[[#This Row],[totalChallan]],TrafficData[[#This Row],[pendingChallan]]&lt;=TrafficData[[#This Row],[totalChallan]])</f>
        <v>1</v>
      </c>
      <c r="O870" t="b">
        <f>AND(TrafficData[[#This Row],[pendingAmount]]&lt;=TrafficData[[#This Row],[totalAmount]],TrafficData[[#This Row],[disposedAmount]]&lt;=TrafficData[[#This Row],[totalAmount]])</f>
        <v>1</v>
      </c>
      <c r="P870" t="b">
        <f>AND(TrafficData[[#This Row],[pendingCourt]]&lt;=TrafficData[[#This Row],[totalCourt]],TrafficData[[#This Row],[disposedCourt]]&lt;=TrafficData[[#This Row],[totalCourt]])</f>
        <v>1</v>
      </c>
    </row>
    <row r="871" spans="1:16">
      <c r="A871" s="1">
        <v>42874</v>
      </c>
      <c r="B871">
        <v>2029</v>
      </c>
      <c r="C871">
        <v>1096</v>
      </c>
      <c r="D871">
        <v>933</v>
      </c>
      <c r="E871">
        <v>1744340</v>
      </c>
      <c r="F871">
        <v>3754512</v>
      </c>
      <c r="G871">
        <v>5498852</v>
      </c>
      <c r="H871">
        <v>738</v>
      </c>
      <c r="I871">
        <v>153</v>
      </c>
      <c r="J871">
        <v>891</v>
      </c>
      <c r="K871" t="b">
        <f>TrafficData[[#This Row],[disposedChallan]]+TrafficData[[#This Row],[pendingChallan]]=TrafficData[[#This Row],[totalChallan]]</f>
        <v>1</v>
      </c>
      <c r="L871" t="b">
        <f>TrafficData[[#This Row],[pendingAmount]]+TrafficData[[#This Row],[disposedAmount]]=TrafficData[[#This Row],[totalAmount]]</f>
        <v>1</v>
      </c>
      <c r="M871" t="b">
        <f>TrafficData[[#This Row],[pendingCourt]]+TrafficData[[#This Row],[disposedCourt]]=TrafficData[[#This Row],[totalCourt]]</f>
        <v>1</v>
      </c>
      <c r="N871" t="b">
        <f>AND(TrafficData[[#This Row],[disposedChallan]]&lt;=TrafficData[[#This Row],[totalChallan]],TrafficData[[#This Row],[pendingChallan]]&lt;=TrafficData[[#This Row],[totalChallan]])</f>
        <v>1</v>
      </c>
      <c r="O871" t="b">
        <f>AND(TrafficData[[#This Row],[pendingAmount]]&lt;=TrafficData[[#This Row],[totalAmount]],TrafficData[[#This Row],[disposedAmount]]&lt;=TrafficData[[#This Row],[totalAmount]])</f>
        <v>1</v>
      </c>
      <c r="P871" t="b">
        <f>AND(TrafficData[[#This Row],[pendingCourt]]&lt;=TrafficData[[#This Row],[totalCourt]],TrafficData[[#This Row],[disposedCourt]]&lt;=TrafficData[[#This Row],[totalCourt]])</f>
        <v>1</v>
      </c>
    </row>
    <row r="872" spans="1:16">
      <c r="A872" s="1">
        <v>42875</v>
      </c>
      <c r="B872">
        <v>1867</v>
      </c>
      <c r="C872">
        <v>972</v>
      </c>
      <c r="D872">
        <v>895</v>
      </c>
      <c r="E872">
        <v>1958002</v>
      </c>
      <c r="F872">
        <v>3633636</v>
      </c>
      <c r="G872">
        <v>5591638</v>
      </c>
      <c r="H872">
        <v>724</v>
      </c>
      <c r="I872">
        <v>170</v>
      </c>
      <c r="J872">
        <v>894</v>
      </c>
      <c r="K872" t="b">
        <f>TrafficData[[#This Row],[disposedChallan]]+TrafficData[[#This Row],[pendingChallan]]=TrafficData[[#This Row],[totalChallan]]</f>
        <v>1</v>
      </c>
      <c r="L872" t="b">
        <f>TrafficData[[#This Row],[pendingAmount]]+TrafficData[[#This Row],[disposedAmount]]=TrafficData[[#This Row],[totalAmount]]</f>
        <v>1</v>
      </c>
      <c r="M872" t="b">
        <f>TrafficData[[#This Row],[pendingCourt]]+TrafficData[[#This Row],[disposedCourt]]=TrafficData[[#This Row],[totalCourt]]</f>
        <v>1</v>
      </c>
      <c r="N872" t="b">
        <f>AND(TrafficData[[#This Row],[disposedChallan]]&lt;=TrafficData[[#This Row],[totalChallan]],TrafficData[[#This Row],[pendingChallan]]&lt;=TrafficData[[#This Row],[totalChallan]])</f>
        <v>1</v>
      </c>
      <c r="O872" t="b">
        <f>AND(TrafficData[[#This Row],[pendingAmount]]&lt;=TrafficData[[#This Row],[totalAmount]],TrafficData[[#This Row],[disposedAmount]]&lt;=TrafficData[[#This Row],[totalAmount]])</f>
        <v>1</v>
      </c>
      <c r="P872" t="b">
        <f>AND(TrafficData[[#This Row],[pendingCourt]]&lt;=TrafficData[[#This Row],[totalCourt]],TrafficData[[#This Row],[disposedCourt]]&lt;=TrafficData[[#This Row],[totalCourt]])</f>
        <v>1</v>
      </c>
    </row>
    <row r="873" spans="1:16">
      <c r="A873" s="1">
        <v>42876</v>
      </c>
      <c r="B873">
        <v>1092</v>
      </c>
      <c r="C873">
        <v>558</v>
      </c>
      <c r="D873">
        <v>534</v>
      </c>
      <c r="E873">
        <v>788900</v>
      </c>
      <c r="F873">
        <v>2250200</v>
      </c>
      <c r="G873">
        <v>3039100</v>
      </c>
      <c r="H873">
        <v>416</v>
      </c>
      <c r="I873">
        <v>61</v>
      </c>
      <c r="J873">
        <v>477</v>
      </c>
      <c r="K873" t="b">
        <f>TrafficData[[#This Row],[disposedChallan]]+TrafficData[[#This Row],[pendingChallan]]=TrafficData[[#This Row],[totalChallan]]</f>
        <v>1</v>
      </c>
      <c r="L873" t="b">
        <f>TrafficData[[#This Row],[pendingAmount]]+TrafficData[[#This Row],[disposedAmount]]=TrafficData[[#This Row],[totalAmount]]</f>
        <v>1</v>
      </c>
      <c r="M873" t="b">
        <f>TrafficData[[#This Row],[pendingCourt]]+TrafficData[[#This Row],[disposedCourt]]=TrafficData[[#This Row],[totalCourt]]</f>
        <v>1</v>
      </c>
      <c r="N873" t="b">
        <f>AND(TrafficData[[#This Row],[disposedChallan]]&lt;=TrafficData[[#This Row],[totalChallan]],TrafficData[[#This Row],[pendingChallan]]&lt;=TrafficData[[#This Row],[totalChallan]])</f>
        <v>1</v>
      </c>
      <c r="O873" t="b">
        <f>AND(TrafficData[[#This Row],[pendingAmount]]&lt;=TrafficData[[#This Row],[totalAmount]],TrafficData[[#This Row],[disposedAmount]]&lt;=TrafficData[[#This Row],[totalAmount]])</f>
        <v>1</v>
      </c>
      <c r="P873" t="b">
        <f>AND(TrafficData[[#This Row],[pendingCourt]]&lt;=TrafficData[[#This Row],[totalCourt]],TrafficData[[#This Row],[disposedCourt]]&lt;=TrafficData[[#This Row],[totalCourt]])</f>
        <v>1</v>
      </c>
    </row>
    <row r="874" spans="1:16">
      <c r="A874" s="1">
        <v>42877</v>
      </c>
      <c r="B874">
        <v>1843</v>
      </c>
      <c r="C874">
        <v>976</v>
      </c>
      <c r="D874">
        <v>867</v>
      </c>
      <c r="E874">
        <v>6085955</v>
      </c>
      <c r="F874">
        <v>2900450</v>
      </c>
      <c r="G874">
        <v>8986405</v>
      </c>
      <c r="H874">
        <v>692</v>
      </c>
      <c r="I874">
        <v>165</v>
      </c>
      <c r="J874">
        <v>857</v>
      </c>
      <c r="K874" t="b">
        <f>TrafficData[[#This Row],[disposedChallan]]+TrafficData[[#This Row],[pendingChallan]]=TrafficData[[#This Row],[totalChallan]]</f>
        <v>1</v>
      </c>
      <c r="L874" t="b">
        <f>TrafficData[[#This Row],[pendingAmount]]+TrafficData[[#This Row],[disposedAmount]]=TrafficData[[#This Row],[totalAmount]]</f>
        <v>1</v>
      </c>
      <c r="M874" t="b">
        <f>TrafficData[[#This Row],[pendingCourt]]+TrafficData[[#This Row],[disposedCourt]]=TrafficData[[#This Row],[totalCourt]]</f>
        <v>1</v>
      </c>
      <c r="N874" t="b">
        <f>AND(TrafficData[[#This Row],[disposedChallan]]&lt;=TrafficData[[#This Row],[totalChallan]],TrafficData[[#This Row],[pendingChallan]]&lt;=TrafficData[[#This Row],[totalChallan]])</f>
        <v>1</v>
      </c>
      <c r="O874" t="b">
        <f>AND(TrafficData[[#This Row],[pendingAmount]]&lt;=TrafficData[[#This Row],[totalAmount]],TrafficData[[#This Row],[disposedAmount]]&lt;=TrafficData[[#This Row],[totalAmount]])</f>
        <v>1</v>
      </c>
      <c r="P874" t="b">
        <f>AND(TrafficData[[#This Row],[pendingCourt]]&lt;=TrafficData[[#This Row],[totalCourt]],TrafficData[[#This Row],[disposedCourt]]&lt;=TrafficData[[#This Row],[totalCourt]])</f>
        <v>1</v>
      </c>
    </row>
    <row r="875" spans="1:16">
      <c r="A875" s="1">
        <v>42878</v>
      </c>
      <c r="B875">
        <v>1126</v>
      </c>
      <c r="C875">
        <v>348</v>
      </c>
      <c r="D875">
        <v>778</v>
      </c>
      <c r="E875">
        <v>1025050</v>
      </c>
      <c r="F875">
        <v>1052260</v>
      </c>
      <c r="G875">
        <v>2077310</v>
      </c>
      <c r="H875">
        <v>589</v>
      </c>
      <c r="I875">
        <v>79</v>
      </c>
      <c r="J875">
        <v>668</v>
      </c>
      <c r="K875" t="b">
        <f>TrafficData[[#This Row],[disposedChallan]]+TrafficData[[#This Row],[pendingChallan]]=TrafficData[[#This Row],[totalChallan]]</f>
        <v>1</v>
      </c>
      <c r="L875" t="b">
        <f>TrafficData[[#This Row],[pendingAmount]]+TrafficData[[#This Row],[disposedAmount]]=TrafficData[[#This Row],[totalAmount]]</f>
        <v>1</v>
      </c>
      <c r="M875" t="b">
        <f>TrafficData[[#This Row],[pendingCourt]]+TrafficData[[#This Row],[disposedCourt]]=TrafficData[[#This Row],[totalCourt]]</f>
        <v>1</v>
      </c>
      <c r="N875" t="b">
        <f>AND(TrafficData[[#This Row],[disposedChallan]]&lt;=TrafficData[[#This Row],[totalChallan]],TrafficData[[#This Row],[pendingChallan]]&lt;=TrafficData[[#This Row],[totalChallan]])</f>
        <v>1</v>
      </c>
      <c r="O875" t="b">
        <f>AND(TrafficData[[#This Row],[pendingAmount]]&lt;=TrafficData[[#This Row],[totalAmount]],TrafficData[[#This Row],[disposedAmount]]&lt;=TrafficData[[#This Row],[totalAmount]])</f>
        <v>1</v>
      </c>
      <c r="P875" t="b">
        <f>AND(TrafficData[[#This Row],[pendingCourt]]&lt;=TrafficData[[#This Row],[totalCourt]],TrafficData[[#This Row],[disposedCourt]]&lt;=TrafficData[[#This Row],[totalCourt]])</f>
        <v>1</v>
      </c>
    </row>
    <row r="876" spans="1:16">
      <c r="A876" s="1">
        <v>42879</v>
      </c>
      <c r="B876">
        <v>1052</v>
      </c>
      <c r="C876">
        <v>228</v>
      </c>
      <c r="D876">
        <v>824</v>
      </c>
      <c r="E876">
        <v>1070850</v>
      </c>
      <c r="F876">
        <v>474590</v>
      </c>
      <c r="G876">
        <v>1545440</v>
      </c>
      <c r="H876">
        <v>675</v>
      </c>
      <c r="I876">
        <v>28</v>
      </c>
      <c r="J876">
        <v>703</v>
      </c>
      <c r="K876" t="b">
        <f>TrafficData[[#This Row],[disposedChallan]]+TrafficData[[#This Row],[pendingChallan]]=TrafficData[[#This Row],[totalChallan]]</f>
        <v>1</v>
      </c>
      <c r="L876" t="b">
        <f>TrafficData[[#This Row],[pendingAmount]]+TrafficData[[#This Row],[disposedAmount]]=TrafficData[[#This Row],[totalAmount]]</f>
        <v>1</v>
      </c>
      <c r="M876" t="b">
        <f>TrafficData[[#This Row],[pendingCourt]]+TrafficData[[#This Row],[disposedCourt]]=TrafficData[[#This Row],[totalCourt]]</f>
        <v>1</v>
      </c>
      <c r="N876" t="b">
        <f>AND(TrafficData[[#This Row],[disposedChallan]]&lt;=TrafficData[[#This Row],[totalChallan]],TrafficData[[#This Row],[pendingChallan]]&lt;=TrafficData[[#This Row],[totalChallan]])</f>
        <v>1</v>
      </c>
      <c r="O876" t="b">
        <f>AND(TrafficData[[#This Row],[pendingAmount]]&lt;=TrafficData[[#This Row],[totalAmount]],TrafficData[[#This Row],[disposedAmount]]&lt;=TrafficData[[#This Row],[totalAmount]])</f>
        <v>1</v>
      </c>
      <c r="P876" t="b">
        <f>AND(TrafficData[[#This Row],[pendingCourt]]&lt;=TrafficData[[#This Row],[totalCourt]],TrafficData[[#This Row],[disposedCourt]]&lt;=TrafficData[[#This Row],[totalCourt]])</f>
        <v>1</v>
      </c>
    </row>
    <row r="877" spans="1:16">
      <c r="A877" s="1">
        <v>42880</v>
      </c>
      <c r="B877">
        <v>1004</v>
      </c>
      <c r="C877">
        <v>207</v>
      </c>
      <c r="D877">
        <v>797</v>
      </c>
      <c r="E877">
        <v>1022450</v>
      </c>
      <c r="F877">
        <v>388200</v>
      </c>
      <c r="G877">
        <v>1410650</v>
      </c>
      <c r="H877">
        <v>562</v>
      </c>
      <c r="I877">
        <v>55</v>
      </c>
      <c r="J877">
        <v>617</v>
      </c>
      <c r="K877" t="b">
        <f>TrafficData[[#This Row],[disposedChallan]]+TrafficData[[#This Row],[pendingChallan]]=TrafficData[[#This Row],[totalChallan]]</f>
        <v>1</v>
      </c>
      <c r="L877" t="b">
        <f>TrafficData[[#This Row],[pendingAmount]]+TrafficData[[#This Row],[disposedAmount]]=TrafficData[[#This Row],[totalAmount]]</f>
        <v>1</v>
      </c>
      <c r="M877" t="b">
        <f>TrafficData[[#This Row],[pendingCourt]]+TrafficData[[#This Row],[disposedCourt]]=TrafficData[[#This Row],[totalCourt]]</f>
        <v>1</v>
      </c>
      <c r="N877" t="b">
        <f>AND(TrafficData[[#This Row],[disposedChallan]]&lt;=TrafficData[[#This Row],[totalChallan]],TrafficData[[#This Row],[pendingChallan]]&lt;=TrafficData[[#This Row],[totalChallan]])</f>
        <v>1</v>
      </c>
      <c r="O877" t="b">
        <f>AND(TrafficData[[#This Row],[pendingAmount]]&lt;=TrafficData[[#This Row],[totalAmount]],TrafficData[[#This Row],[disposedAmount]]&lt;=TrafficData[[#This Row],[totalAmount]])</f>
        <v>1</v>
      </c>
      <c r="P877" t="b">
        <f>AND(TrafficData[[#This Row],[pendingCourt]]&lt;=TrafficData[[#This Row],[totalCourt]],TrafficData[[#This Row],[disposedCourt]]&lt;=TrafficData[[#This Row],[totalCourt]])</f>
        <v>1</v>
      </c>
    </row>
    <row r="878" spans="1:16">
      <c r="A878" s="1">
        <v>42881</v>
      </c>
      <c r="B878">
        <v>1474</v>
      </c>
      <c r="C878">
        <v>699</v>
      </c>
      <c r="D878">
        <v>775</v>
      </c>
      <c r="E878">
        <v>1280650</v>
      </c>
      <c r="F878">
        <v>1999075</v>
      </c>
      <c r="G878">
        <v>3279725</v>
      </c>
      <c r="H878">
        <v>526</v>
      </c>
      <c r="I878">
        <v>64</v>
      </c>
      <c r="J878">
        <v>590</v>
      </c>
      <c r="K878" t="b">
        <f>TrafficData[[#This Row],[disposedChallan]]+TrafficData[[#This Row],[pendingChallan]]=TrafficData[[#This Row],[totalChallan]]</f>
        <v>1</v>
      </c>
      <c r="L878" t="b">
        <f>TrafficData[[#This Row],[pendingAmount]]+TrafficData[[#This Row],[disposedAmount]]=TrafficData[[#This Row],[totalAmount]]</f>
        <v>1</v>
      </c>
      <c r="M878" t="b">
        <f>TrafficData[[#This Row],[pendingCourt]]+TrafficData[[#This Row],[disposedCourt]]=TrafficData[[#This Row],[totalCourt]]</f>
        <v>1</v>
      </c>
      <c r="N878" t="b">
        <f>AND(TrafficData[[#This Row],[disposedChallan]]&lt;=TrafficData[[#This Row],[totalChallan]],TrafficData[[#This Row],[pendingChallan]]&lt;=TrafficData[[#This Row],[totalChallan]])</f>
        <v>1</v>
      </c>
      <c r="O878" t="b">
        <f>AND(TrafficData[[#This Row],[pendingAmount]]&lt;=TrafficData[[#This Row],[totalAmount]],TrafficData[[#This Row],[disposedAmount]]&lt;=TrafficData[[#This Row],[totalAmount]])</f>
        <v>1</v>
      </c>
      <c r="P878" t="b">
        <f>AND(TrafficData[[#This Row],[pendingCourt]]&lt;=TrafficData[[#This Row],[totalCourt]],TrafficData[[#This Row],[disposedCourt]]&lt;=TrafficData[[#This Row],[totalCourt]])</f>
        <v>1</v>
      </c>
    </row>
    <row r="879" spans="1:16">
      <c r="A879" s="1">
        <v>42882</v>
      </c>
      <c r="B879">
        <v>1638</v>
      </c>
      <c r="C879">
        <v>975</v>
      </c>
      <c r="D879">
        <v>663</v>
      </c>
      <c r="E879">
        <v>1164800</v>
      </c>
      <c r="F879">
        <v>2521712</v>
      </c>
      <c r="G879">
        <v>3686512</v>
      </c>
      <c r="H879">
        <v>516</v>
      </c>
      <c r="I879">
        <v>122</v>
      </c>
      <c r="J879">
        <v>638</v>
      </c>
      <c r="K879" t="b">
        <f>TrafficData[[#This Row],[disposedChallan]]+TrafficData[[#This Row],[pendingChallan]]=TrafficData[[#This Row],[totalChallan]]</f>
        <v>1</v>
      </c>
      <c r="L879" t="b">
        <f>TrafficData[[#This Row],[pendingAmount]]+TrafficData[[#This Row],[disposedAmount]]=TrafficData[[#This Row],[totalAmount]]</f>
        <v>1</v>
      </c>
      <c r="M879" t="b">
        <f>TrafficData[[#This Row],[pendingCourt]]+TrafficData[[#This Row],[disposedCourt]]=TrafficData[[#This Row],[totalCourt]]</f>
        <v>1</v>
      </c>
      <c r="N879" t="b">
        <f>AND(TrafficData[[#This Row],[disposedChallan]]&lt;=TrafficData[[#This Row],[totalChallan]],TrafficData[[#This Row],[pendingChallan]]&lt;=TrafficData[[#This Row],[totalChallan]])</f>
        <v>1</v>
      </c>
      <c r="O879" t="b">
        <f>AND(TrafficData[[#This Row],[pendingAmount]]&lt;=TrafficData[[#This Row],[totalAmount]],TrafficData[[#This Row],[disposedAmount]]&lt;=TrafficData[[#This Row],[totalAmount]])</f>
        <v>1</v>
      </c>
      <c r="P879" t="b">
        <f>AND(TrafficData[[#This Row],[pendingCourt]]&lt;=TrafficData[[#This Row],[totalCourt]],TrafficData[[#This Row],[disposedCourt]]&lt;=TrafficData[[#This Row],[totalCourt]])</f>
        <v>1</v>
      </c>
    </row>
    <row r="880" spans="1:16">
      <c r="A880" s="1">
        <v>42883</v>
      </c>
      <c r="B880">
        <v>975</v>
      </c>
      <c r="C880">
        <v>590</v>
      </c>
      <c r="D880">
        <v>385</v>
      </c>
      <c r="E880">
        <v>1123096</v>
      </c>
      <c r="F880">
        <v>1664299</v>
      </c>
      <c r="G880">
        <v>2787395</v>
      </c>
      <c r="H880">
        <v>290</v>
      </c>
      <c r="I880">
        <v>78</v>
      </c>
      <c r="J880">
        <v>368</v>
      </c>
      <c r="K880" t="b">
        <f>TrafficData[[#This Row],[disposedChallan]]+TrafficData[[#This Row],[pendingChallan]]=TrafficData[[#This Row],[totalChallan]]</f>
        <v>1</v>
      </c>
      <c r="L880" t="b">
        <f>TrafficData[[#This Row],[pendingAmount]]+TrafficData[[#This Row],[disposedAmount]]=TrafficData[[#This Row],[totalAmount]]</f>
        <v>1</v>
      </c>
      <c r="M880" t="b">
        <f>TrafficData[[#This Row],[pendingCourt]]+TrafficData[[#This Row],[disposedCourt]]=TrafficData[[#This Row],[totalCourt]]</f>
        <v>1</v>
      </c>
      <c r="N880" t="b">
        <f>AND(TrafficData[[#This Row],[disposedChallan]]&lt;=TrafficData[[#This Row],[totalChallan]],TrafficData[[#This Row],[pendingChallan]]&lt;=TrafficData[[#This Row],[totalChallan]])</f>
        <v>1</v>
      </c>
      <c r="O880" t="b">
        <f>AND(TrafficData[[#This Row],[pendingAmount]]&lt;=TrafficData[[#This Row],[totalAmount]],TrafficData[[#This Row],[disposedAmount]]&lt;=TrafficData[[#This Row],[totalAmount]])</f>
        <v>1</v>
      </c>
      <c r="P880" t="b">
        <f>AND(TrafficData[[#This Row],[pendingCourt]]&lt;=TrafficData[[#This Row],[totalCourt]],TrafficData[[#This Row],[disposedCourt]]&lt;=TrafficData[[#This Row],[totalCourt]])</f>
        <v>1</v>
      </c>
    </row>
    <row r="881" spans="1:16">
      <c r="A881" s="1">
        <v>42884</v>
      </c>
      <c r="B881">
        <v>2073</v>
      </c>
      <c r="C881">
        <v>1230</v>
      </c>
      <c r="D881">
        <v>843</v>
      </c>
      <c r="E881">
        <v>1640835</v>
      </c>
      <c r="F881">
        <v>2781940</v>
      </c>
      <c r="G881">
        <v>4422775</v>
      </c>
      <c r="H881">
        <v>642</v>
      </c>
      <c r="I881">
        <v>141</v>
      </c>
      <c r="J881">
        <v>783</v>
      </c>
      <c r="K881" t="b">
        <f>TrafficData[[#This Row],[disposedChallan]]+TrafficData[[#This Row],[pendingChallan]]=TrafficData[[#This Row],[totalChallan]]</f>
        <v>1</v>
      </c>
      <c r="L881" t="b">
        <f>TrafficData[[#This Row],[pendingAmount]]+TrafficData[[#This Row],[disposedAmount]]=TrafficData[[#This Row],[totalAmount]]</f>
        <v>1</v>
      </c>
      <c r="M881" t="b">
        <f>TrafficData[[#This Row],[pendingCourt]]+TrafficData[[#This Row],[disposedCourt]]=TrafficData[[#This Row],[totalCourt]]</f>
        <v>1</v>
      </c>
      <c r="N881" t="b">
        <f>AND(TrafficData[[#This Row],[disposedChallan]]&lt;=TrafficData[[#This Row],[totalChallan]],TrafficData[[#This Row],[pendingChallan]]&lt;=TrafficData[[#This Row],[totalChallan]])</f>
        <v>1</v>
      </c>
      <c r="O881" t="b">
        <f>AND(TrafficData[[#This Row],[pendingAmount]]&lt;=TrafficData[[#This Row],[totalAmount]],TrafficData[[#This Row],[disposedAmount]]&lt;=TrafficData[[#This Row],[totalAmount]])</f>
        <v>1</v>
      </c>
      <c r="P881" t="b">
        <f>AND(TrafficData[[#This Row],[pendingCourt]]&lt;=TrafficData[[#This Row],[totalCourt]],TrafficData[[#This Row],[disposedCourt]]&lt;=TrafficData[[#This Row],[totalCourt]])</f>
        <v>1</v>
      </c>
    </row>
    <row r="882" spans="1:16">
      <c r="A882" s="1">
        <v>42885</v>
      </c>
      <c r="B882">
        <v>2435</v>
      </c>
      <c r="C882">
        <v>1298</v>
      </c>
      <c r="D882">
        <v>1137</v>
      </c>
      <c r="E882">
        <v>1609780</v>
      </c>
      <c r="F882">
        <v>3597782</v>
      </c>
      <c r="G882">
        <v>5207562</v>
      </c>
      <c r="H882">
        <v>916</v>
      </c>
      <c r="I882">
        <v>124</v>
      </c>
      <c r="J882">
        <v>1040</v>
      </c>
      <c r="K882" t="b">
        <f>TrafficData[[#This Row],[disposedChallan]]+TrafficData[[#This Row],[pendingChallan]]=TrafficData[[#This Row],[totalChallan]]</f>
        <v>1</v>
      </c>
      <c r="L882" t="b">
        <f>TrafficData[[#This Row],[pendingAmount]]+TrafficData[[#This Row],[disposedAmount]]=TrafficData[[#This Row],[totalAmount]]</f>
        <v>1</v>
      </c>
      <c r="M882" t="b">
        <f>TrafficData[[#This Row],[pendingCourt]]+TrafficData[[#This Row],[disposedCourt]]=TrafficData[[#This Row],[totalCourt]]</f>
        <v>1</v>
      </c>
      <c r="N882" t="b">
        <f>AND(TrafficData[[#This Row],[disposedChallan]]&lt;=TrafficData[[#This Row],[totalChallan]],TrafficData[[#This Row],[pendingChallan]]&lt;=TrafficData[[#This Row],[totalChallan]])</f>
        <v>1</v>
      </c>
      <c r="O882" t="b">
        <f>AND(TrafficData[[#This Row],[pendingAmount]]&lt;=TrafficData[[#This Row],[totalAmount]],TrafficData[[#This Row],[disposedAmount]]&lt;=TrafficData[[#This Row],[totalAmount]])</f>
        <v>1</v>
      </c>
      <c r="P882" t="b">
        <f>AND(TrafficData[[#This Row],[pendingCourt]]&lt;=TrafficData[[#This Row],[totalCourt]],TrafficData[[#This Row],[disposedCourt]]&lt;=TrafficData[[#This Row],[totalCourt]])</f>
        <v>1</v>
      </c>
    </row>
    <row r="883" spans="1:16">
      <c r="A883" s="1">
        <v>42886</v>
      </c>
      <c r="B883">
        <v>2348</v>
      </c>
      <c r="C883">
        <v>1539</v>
      </c>
      <c r="D883">
        <v>809</v>
      </c>
      <c r="E883">
        <v>2037868</v>
      </c>
      <c r="F883">
        <v>3734875</v>
      </c>
      <c r="G883">
        <v>5772743</v>
      </c>
      <c r="H883">
        <v>671</v>
      </c>
      <c r="I883">
        <v>142</v>
      </c>
      <c r="J883">
        <v>813</v>
      </c>
      <c r="K883" t="b">
        <f>TrafficData[[#This Row],[disposedChallan]]+TrafficData[[#This Row],[pendingChallan]]=TrafficData[[#This Row],[totalChallan]]</f>
        <v>1</v>
      </c>
      <c r="L883" t="b">
        <f>TrafficData[[#This Row],[pendingAmount]]+TrafficData[[#This Row],[disposedAmount]]=TrafficData[[#This Row],[totalAmount]]</f>
        <v>1</v>
      </c>
      <c r="M883" t="b">
        <f>TrafficData[[#This Row],[pendingCourt]]+TrafficData[[#This Row],[disposedCourt]]=TrafficData[[#This Row],[totalCourt]]</f>
        <v>1</v>
      </c>
      <c r="N883" t="b">
        <f>AND(TrafficData[[#This Row],[disposedChallan]]&lt;=TrafficData[[#This Row],[totalChallan]],TrafficData[[#This Row],[pendingChallan]]&lt;=TrafficData[[#This Row],[totalChallan]])</f>
        <v>1</v>
      </c>
      <c r="O883" t="b">
        <f>AND(TrafficData[[#This Row],[pendingAmount]]&lt;=TrafficData[[#This Row],[totalAmount]],TrafficData[[#This Row],[disposedAmount]]&lt;=TrafficData[[#This Row],[totalAmount]])</f>
        <v>1</v>
      </c>
      <c r="P883" t="b">
        <f>AND(TrafficData[[#This Row],[pendingCourt]]&lt;=TrafficData[[#This Row],[totalCourt]],TrafficData[[#This Row],[disposedCourt]]&lt;=TrafficData[[#This Row],[totalCourt]])</f>
        <v>1</v>
      </c>
    </row>
    <row r="884" spans="1:16">
      <c r="A884" s="1">
        <v>42887</v>
      </c>
      <c r="B884">
        <v>1699</v>
      </c>
      <c r="C884">
        <v>870</v>
      </c>
      <c r="D884">
        <v>829</v>
      </c>
      <c r="E884">
        <v>1456750</v>
      </c>
      <c r="F884">
        <v>4898823</v>
      </c>
      <c r="G884">
        <v>6355573</v>
      </c>
      <c r="H884">
        <v>663</v>
      </c>
      <c r="I884">
        <v>130</v>
      </c>
      <c r="J884">
        <v>793</v>
      </c>
      <c r="K884" t="b">
        <f>TrafficData[[#This Row],[disposedChallan]]+TrafficData[[#This Row],[pendingChallan]]=TrafficData[[#This Row],[totalChallan]]</f>
        <v>1</v>
      </c>
      <c r="L884" t="b">
        <f>TrafficData[[#This Row],[pendingAmount]]+TrafficData[[#This Row],[disposedAmount]]=TrafficData[[#This Row],[totalAmount]]</f>
        <v>1</v>
      </c>
      <c r="M884" t="b">
        <f>TrafficData[[#This Row],[pendingCourt]]+TrafficData[[#This Row],[disposedCourt]]=TrafficData[[#This Row],[totalCourt]]</f>
        <v>1</v>
      </c>
      <c r="N884" t="b">
        <f>AND(TrafficData[[#This Row],[disposedChallan]]&lt;=TrafficData[[#This Row],[totalChallan]],TrafficData[[#This Row],[pendingChallan]]&lt;=TrafficData[[#This Row],[totalChallan]])</f>
        <v>1</v>
      </c>
      <c r="O884" t="b">
        <f>AND(TrafficData[[#This Row],[pendingAmount]]&lt;=TrafficData[[#This Row],[totalAmount]],TrafficData[[#This Row],[disposedAmount]]&lt;=TrafficData[[#This Row],[totalAmount]])</f>
        <v>1</v>
      </c>
      <c r="P884" t="b">
        <f>AND(TrafficData[[#This Row],[pendingCourt]]&lt;=TrafficData[[#This Row],[totalCourt]],TrafficData[[#This Row],[disposedCourt]]&lt;=TrafficData[[#This Row],[totalCourt]])</f>
        <v>1</v>
      </c>
    </row>
    <row r="885" spans="1:16">
      <c r="A885" s="1">
        <v>42888</v>
      </c>
      <c r="B885">
        <v>1533</v>
      </c>
      <c r="C885">
        <v>869</v>
      </c>
      <c r="D885">
        <v>664</v>
      </c>
      <c r="E885">
        <v>1641804</v>
      </c>
      <c r="F885">
        <v>4150980</v>
      </c>
      <c r="G885">
        <v>5792784</v>
      </c>
      <c r="H885">
        <v>517</v>
      </c>
      <c r="I885">
        <v>128</v>
      </c>
      <c r="J885">
        <v>645</v>
      </c>
      <c r="K885" t="b">
        <f>TrafficData[[#This Row],[disposedChallan]]+TrafficData[[#This Row],[pendingChallan]]=TrafficData[[#This Row],[totalChallan]]</f>
        <v>1</v>
      </c>
      <c r="L885" t="b">
        <f>TrafficData[[#This Row],[pendingAmount]]+TrafficData[[#This Row],[disposedAmount]]=TrafficData[[#This Row],[totalAmount]]</f>
        <v>1</v>
      </c>
      <c r="M885" t="b">
        <f>TrafficData[[#This Row],[pendingCourt]]+TrafficData[[#This Row],[disposedCourt]]=TrafficData[[#This Row],[totalCourt]]</f>
        <v>1</v>
      </c>
      <c r="N885" t="b">
        <f>AND(TrafficData[[#This Row],[disposedChallan]]&lt;=TrafficData[[#This Row],[totalChallan]],TrafficData[[#This Row],[pendingChallan]]&lt;=TrafficData[[#This Row],[totalChallan]])</f>
        <v>1</v>
      </c>
      <c r="O885" t="b">
        <f>AND(TrafficData[[#This Row],[pendingAmount]]&lt;=TrafficData[[#This Row],[totalAmount]],TrafficData[[#This Row],[disposedAmount]]&lt;=TrafficData[[#This Row],[totalAmount]])</f>
        <v>1</v>
      </c>
      <c r="P885" t="b">
        <f>AND(TrafficData[[#This Row],[pendingCourt]]&lt;=TrafficData[[#This Row],[totalCourt]],TrafficData[[#This Row],[disposedCourt]]&lt;=TrafficData[[#This Row],[totalCourt]])</f>
        <v>1</v>
      </c>
    </row>
    <row r="886" spans="1:16">
      <c r="A886" s="1">
        <v>42889</v>
      </c>
      <c r="B886">
        <v>1599</v>
      </c>
      <c r="C886">
        <v>872</v>
      </c>
      <c r="D886">
        <v>727</v>
      </c>
      <c r="E886">
        <v>1761946</v>
      </c>
      <c r="F886">
        <v>4129636</v>
      </c>
      <c r="G886">
        <v>5891582</v>
      </c>
      <c r="H886">
        <v>543</v>
      </c>
      <c r="I886">
        <v>137</v>
      </c>
      <c r="J886">
        <v>680</v>
      </c>
      <c r="K886" t="b">
        <f>TrafficData[[#This Row],[disposedChallan]]+TrafficData[[#This Row],[pendingChallan]]=TrafficData[[#This Row],[totalChallan]]</f>
        <v>1</v>
      </c>
      <c r="L886" t="b">
        <f>TrafficData[[#This Row],[pendingAmount]]+TrafficData[[#This Row],[disposedAmount]]=TrafficData[[#This Row],[totalAmount]]</f>
        <v>1</v>
      </c>
      <c r="M886" t="b">
        <f>TrafficData[[#This Row],[pendingCourt]]+TrafficData[[#This Row],[disposedCourt]]=TrafficData[[#This Row],[totalCourt]]</f>
        <v>1</v>
      </c>
      <c r="N886" t="b">
        <f>AND(TrafficData[[#This Row],[disposedChallan]]&lt;=TrafficData[[#This Row],[totalChallan]],TrafficData[[#This Row],[pendingChallan]]&lt;=TrafficData[[#This Row],[totalChallan]])</f>
        <v>1</v>
      </c>
      <c r="O886" t="b">
        <f>AND(TrafficData[[#This Row],[pendingAmount]]&lt;=TrafficData[[#This Row],[totalAmount]],TrafficData[[#This Row],[disposedAmount]]&lt;=TrafficData[[#This Row],[totalAmount]])</f>
        <v>1</v>
      </c>
      <c r="P886" t="b">
        <f>AND(TrafficData[[#This Row],[pendingCourt]]&lt;=TrafficData[[#This Row],[totalCourt]],TrafficData[[#This Row],[disposedCourt]]&lt;=TrafficData[[#This Row],[totalCourt]])</f>
        <v>1</v>
      </c>
    </row>
    <row r="887" spans="1:16">
      <c r="A887" s="1">
        <v>42890</v>
      </c>
      <c r="B887">
        <v>701</v>
      </c>
      <c r="C887">
        <v>375</v>
      </c>
      <c r="D887">
        <v>326</v>
      </c>
      <c r="E887">
        <v>812330</v>
      </c>
      <c r="F887">
        <v>2333760</v>
      </c>
      <c r="G887">
        <v>3146090</v>
      </c>
      <c r="H887">
        <v>245</v>
      </c>
      <c r="I887">
        <v>36</v>
      </c>
      <c r="J887">
        <v>281</v>
      </c>
      <c r="K887" t="b">
        <f>TrafficData[[#This Row],[disposedChallan]]+TrafficData[[#This Row],[pendingChallan]]=TrafficData[[#This Row],[totalChallan]]</f>
        <v>1</v>
      </c>
      <c r="L887" t="b">
        <f>TrafficData[[#This Row],[pendingAmount]]+TrafficData[[#This Row],[disposedAmount]]=TrafficData[[#This Row],[totalAmount]]</f>
        <v>1</v>
      </c>
      <c r="M887" t="b">
        <f>TrafficData[[#This Row],[pendingCourt]]+TrafficData[[#This Row],[disposedCourt]]=TrafficData[[#This Row],[totalCourt]]</f>
        <v>1</v>
      </c>
      <c r="N887" t="b">
        <f>AND(TrafficData[[#This Row],[disposedChallan]]&lt;=TrafficData[[#This Row],[totalChallan]],TrafficData[[#This Row],[pendingChallan]]&lt;=TrafficData[[#This Row],[totalChallan]])</f>
        <v>1</v>
      </c>
      <c r="O887" t="b">
        <f>AND(TrafficData[[#This Row],[pendingAmount]]&lt;=TrafficData[[#This Row],[totalAmount]],TrafficData[[#This Row],[disposedAmount]]&lt;=TrafficData[[#This Row],[totalAmount]])</f>
        <v>1</v>
      </c>
      <c r="P887" t="b">
        <f>AND(TrafficData[[#This Row],[pendingCourt]]&lt;=TrafficData[[#This Row],[totalCourt]],TrafficData[[#This Row],[disposedCourt]]&lt;=TrafficData[[#This Row],[totalCourt]])</f>
        <v>1</v>
      </c>
    </row>
    <row r="888" spans="1:16">
      <c r="A888" s="1">
        <v>42891</v>
      </c>
      <c r="B888">
        <v>1746</v>
      </c>
      <c r="C888">
        <v>966</v>
      </c>
      <c r="D888">
        <v>780</v>
      </c>
      <c r="E888">
        <v>1358050</v>
      </c>
      <c r="F888">
        <v>5828830</v>
      </c>
      <c r="G888">
        <v>7186880</v>
      </c>
      <c r="H888">
        <v>589</v>
      </c>
      <c r="I888">
        <v>114</v>
      </c>
      <c r="J888">
        <v>703</v>
      </c>
      <c r="K888" t="b">
        <f>TrafficData[[#This Row],[disposedChallan]]+TrafficData[[#This Row],[pendingChallan]]=TrafficData[[#This Row],[totalChallan]]</f>
        <v>1</v>
      </c>
      <c r="L888" t="b">
        <f>TrafficData[[#This Row],[pendingAmount]]+TrafficData[[#This Row],[disposedAmount]]=TrafficData[[#This Row],[totalAmount]]</f>
        <v>1</v>
      </c>
      <c r="M888" t="b">
        <f>TrafficData[[#This Row],[pendingCourt]]+TrafficData[[#This Row],[disposedCourt]]=TrafficData[[#This Row],[totalCourt]]</f>
        <v>1</v>
      </c>
      <c r="N888" t="b">
        <f>AND(TrafficData[[#This Row],[disposedChallan]]&lt;=TrafficData[[#This Row],[totalChallan]],TrafficData[[#This Row],[pendingChallan]]&lt;=TrafficData[[#This Row],[totalChallan]])</f>
        <v>1</v>
      </c>
      <c r="O888" t="b">
        <f>AND(TrafficData[[#This Row],[pendingAmount]]&lt;=TrafficData[[#This Row],[totalAmount]],TrafficData[[#This Row],[disposedAmount]]&lt;=TrafficData[[#This Row],[totalAmount]])</f>
        <v>1</v>
      </c>
      <c r="P888" t="b">
        <f>AND(TrafficData[[#This Row],[pendingCourt]]&lt;=TrafficData[[#This Row],[totalCourt]],TrafficData[[#This Row],[disposedCourt]]&lt;=TrafficData[[#This Row],[totalCourt]])</f>
        <v>1</v>
      </c>
    </row>
    <row r="889" spans="1:16">
      <c r="A889" s="1">
        <v>42892</v>
      </c>
      <c r="B889">
        <v>1735</v>
      </c>
      <c r="C889">
        <v>952</v>
      </c>
      <c r="D889">
        <v>783</v>
      </c>
      <c r="E889">
        <v>1964886</v>
      </c>
      <c r="F889">
        <v>4538130</v>
      </c>
      <c r="G889">
        <v>6503016</v>
      </c>
      <c r="H889">
        <v>573</v>
      </c>
      <c r="I889">
        <v>136</v>
      </c>
      <c r="J889">
        <v>709</v>
      </c>
      <c r="K889" t="b">
        <f>TrafficData[[#This Row],[disposedChallan]]+TrafficData[[#This Row],[pendingChallan]]=TrafficData[[#This Row],[totalChallan]]</f>
        <v>1</v>
      </c>
      <c r="L889" t="b">
        <f>TrafficData[[#This Row],[pendingAmount]]+TrafficData[[#This Row],[disposedAmount]]=TrafficData[[#This Row],[totalAmount]]</f>
        <v>1</v>
      </c>
      <c r="M889" t="b">
        <f>TrafficData[[#This Row],[pendingCourt]]+TrafficData[[#This Row],[disposedCourt]]=TrafficData[[#This Row],[totalCourt]]</f>
        <v>1</v>
      </c>
      <c r="N889" t="b">
        <f>AND(TrafficData[[#This Row],[disposedChallan]]&lt;=TrafficData[[#This Row],[totalChallan]],TrafficData[[#This Row],[pendingChallan]]&lt;=TrafficData[[#This Row],[totalChallan]])</f>
        <v>1</v>
      </c>
      <c r="O889" t="b">
        <f>AND(TrafficData[[#This Row],[pendingAmount]]&lt;=TrafficData[[#This Row],[totalAmount]],TrafficData[[#This Row],[disposedAmount]]&lt;=TrafficData[[#This Row],[totalAmount]])</f>
        <v>1</v>
      </c>
      <c r="P889" t="b">
        <f>AND(TrafficData[[#This Row],[pendingCourt]]&lt;=TrafficData[[#This Row],[totalCourt]],TrafficData[[#This Row],[disposedCourt]]&lt;=TrafficData[[#This Row],[totalCourt]])</f>
        <v>1</v>
      </c>
    </row>
    <row r="890" spans="1:16">
      <c r="A890" s="1">
        <v>42893</v>
      </c>
      <c r="B890">
        <v>2148</v>
      </c>
      <c r="C890">
        <v>1143</v>
      </c>
      <c r="D890">
        <v>1005</v>
      </c>
      <c r="E890">
        <v>1951980</v>
      </c>
      <c r="F890">
        <v>5587265</v>
      </c>
      <c r="G890">
        <v>7539245</v>
      </c>
      <c r="H890">
        <v>787</v>
      </c>
      <c r="I890">
        <v>127</v>
      </c>
      <c r="J890">
        <v>914</v>
      </c>
      <c r="K890" t="b">
        <f>TrafficData[[#This Row],[disposedChallan]]+TrafficData[[#This Row],[pendingChallan]]=TrafficData[[#This Row],[totalChallan]]</f>
        <v>1</v>
      </c>
      <c r="L890" t="b">
        <f>TrafficData[[#This Row],[pendingAmount]]+TrafficData[[#This Row],[disposedAmount]]=TrafficData[[#This Row],[totalAmount]]</f>
        <v>1</v>
      </c>
      <c r="M890" t="b">
        <f>TrafficData[[#This Row],[pendingCourt]]+TrafficData[[#This Row],[disposedCourt]]=TrafficData[[#This Row],[totalCourt]]</f>
        <v>1</v>
      </c>
      <c r="N890" t="b">
        <f>AND(TrafficData[[#This Row],[disposedChallan]]&lt;=TrafficData[[#This Row],[totalChallan]],TrafficData[[#This Row],[pendingChallan]]&lt;=TrafficData[[#This Row],[totalChallan]])</f>
        <v>1</v>
      </c>
      <c r="O890" t="b">
        <f>AND(TrafficData[[#This Row],[pendingAmount]]&lt;=TrafficData[[#This Row],[totalAmount]],TrafficData[[#This Row],[disposedAmount]]&lt;=TrafficData[[#This Row],[totalAmount]])</f>
        <v>1</v>
      </c>
      <c r="P890" t="b">
        <f>AND(TrafficData[[#This Row],[pendingCourt]]&lt;=TrafficData[[#This Row],[totalCourt]],TrafficData[[#This Row],[disposedCourt]]&lt;=TrafficData[[#This Row],[totalCourt]])</f>
        <v>1</v>
      </c>
    </row>
    <row r="891" spans="1:16">
      <c r="A891" s="1">
        <v>42894</v>
      </c>
      <c r="B891">
        <v>1827</v>
      </c>
      <c r="C891">
        <v>1090</v>
      </c>
      <c r="D891">
        <v>737</v>
      </c>
      <c r="E891">
        <v>1722341</v>
      </c>
      <c r="F891">
        <v>5608185</v>
      </c>
      <c r="G891">
        <v>7330526</v>
      </c>
      <c r="H891">
        <v>585</v>
      </c>
      <c r="I891">
        <v>126</v>
      </c>
      <c r="J891">
        <v>711</v>
      </c>
      <c r="K891" t="b">
        <f>TrafficData[[#This Row],[disposedChallan]]+TrafficData[[#This Row],[pendingChallan]]=TrafficData[[#This Row],[totalChallan]]</f>
        <v>1</v>
      </c>
      <c r="L891" t="b">
        <f>TrafficData[[#This Row],[pendingAmount]]+TrafficData[[#This Row],[disposedAmount]]=TrafficData[[#This Row],[totalAmount]]</f>
        <v>1</v>
      </c>
      <c r="M891" t="b">
        <f>TrafficData[[#This Row],[pendingCourt]]+TrafficData[[#This Row],[disposedCourt]]=TrafficData[[#This Row],[totalCourt]]</f>
        <v>1</v>
      </c>
      <c r="N891" t="b">
        <f>AND(TrafficData[[#This Row],[disposedChallan]]&lt;=TrafficData[[#This Row],[totalChallan]],TrafficData[[#This Row],[pendingChallan]]&lt;=TrafficData[[#This Row],[totalChallan]])</f>
        <v>1</v>
      </c>
      <c r="O891" t="b">
        <f>AND(TrafficData[[#This Row],[pendingAmount]]&lt;=TrafficData[[#This Row],[totalAmount]],TrafficData[[#This Row],[disposedAmount]]&lt;=TrafficData[[#This Row],[totalAmount]])</f>
        <v>1</v>
      </c>
      <c r="P891" t="b">
        <f>AND(TrafficData[[#This Row],[pendingCourt]]&lt;=TrafficData[[#This Row],[totalCourt]],TrafficData[[#This Row],[disposedCourt]]&lt;=TrafficData[[#This Row],[totalCourt]])</f>
        <v>1</v>
      </c>
    </row>
    <row r="892" spans="1:16">
      <c r="A892" s="1">
        <v>42895</v>
      </c>
      <c r="B892">
        <v>1864</v>
      </c>
      <c r="C892">
        <v>1031</v>
      </c>
      <c r="D892">
        <v>833</v>
      </c>
      <c r="E892">
        <v>1997060</v>
      </c>
      <c r="F892">
        <v>6078943</v>
      </c>
      <c r="G892">
        <v>8076003</v>
      </c>
      <c r="H892">
        <v>655</v>
      </c>
      <c r="I892">
        <v>106</v>
      </c>
      <c r="J892">
        <v>761</v>
      </c>
      <c r="K892" t="b">
        <f>TrafficData[[#This Row],[disposedChallan]]+TrafficData[[#This Row],[pendingChallan]]=TrafficData[[#This Row],[totalChallan]]</f>
        <v>1</v>
      </c>
      <c r="L892" t="b">
        <f>TrafficData[[#This Row],[pendingAmount]]+TrafficData[[#This Row],[disposedAmount]]=TrafficData[[#This Row],[totalAmount]]</f>
        <v>1</v>
      </c>
      <c r="M892" t="b">
        <f>TrafficData[[#This Row],[pendingCourt]]+TrafficData[[#This Row],[disposedCourt]]=TrafficData[[#This Row],[totalCourt]]</f>
        <v>1</v>
      </c>
      <c r="N892" t="b">
        <f>AND(TrafficData[[#This Row],[disposedChallan]]&lt;=TrafficData[[#This Row],[totalChallan]],TrafficData[[#This Row],[pendingChallan]]&lt;=TrafficData[[#This Row],[totalChallan]])</f>
        <v>1</v>
      </c>
      <c r="O892" t="b">
        <f>AND(TrafficData[[#This Row],[pendingAmount]]&lt;=TrafficData[[#This Row],[totalAmount]],TrafficData[[#This Row],[disposedAmount]]&lt;=TrafficData[[#This Row],[totalAmount]])</f>
        <v>1</v>
      </c>
      <c r="P892" t="b">
        <f>AND(TrafficData[[#This Row],[pendingCourt]]&lt;=TrafficData[[#This Row],[totalCourt]],TrafficData[[#This Row],[disposedCourt]]&lt;=TrafficData[[#This Row],[totalCourt]])</f>
        <v>1</v>
      </c>
    </row>
    <row r="893" spans="1:16">
      <c r="A893" s="1">
        <v>42896</v>
      </c>
      <c r="B893">
        <v>1457</v>
      </c>
      <c r="C893">
        <v>769</v>
      </c>
      <c r="D893">
        <v>688</v>
      </c>
      <c r="E893">
        <v>1094600</v>
      </c>
      <c r="F893">
        <v>4044610</v>
      </c>
      <c r="G893">
        <v>5139210</v>
      </c>
      <c r="H893">
        <v>528</v>
      </c>
      <c r="I893">
        <v>89</v>
      </c>
      <c r="J893">
        <v>617</v>
      </c>
      <c r="K893" t="b">
        <f>TrafficData[[#This Row],[disposedChallan]]+TrafficData[[#This Row],[pendingChallan]]=TrafficData[[#This Row],[totalChallan]]</f>
        <v>1</v>
      </c>
      <c r="L893" t="b">
        <f>TrafficData[[#This Row],[pendingAmount]]+TrafficData[[#This Row],[disposedAmount]]=TrafficData[[#This Row],[totalAmount]]</f>
        <v>1</v>
      </c>
      <c r="M893" t="b">
        <f>TrafficData[[#This Row],[pendingCourt]]+TrafficData[[#This Row],[disposedCourt]]=TrafficData[[#This Row],[totalCourt]]</f>
        <v>1</v>
      </c>
      <c r="N893" t="b">
        <f>AND(TrafficData[[#This Row],[disposedChallan]]&lt;=TrafficData[[#This Row],[totalChallan]],TrafficData[[#This Row],[pendingChallan]]&lt;=TrafficData[[#This Row],[totalChallan]])</f>
        <v>1</v>
      </c>
      <c r="O893" t="b">
        <f>AND(TrafficData[[#This Row],[pendingAmount]]&lt;=TrafficData[[#This Row],[totalAmount]],TrafficData[[#This Row],[disposedAmount]]&lt;=TrafficData[[#This Row],[totalAmount]])</f>
        <v>1</v>
      </c>
      <c r="P893" t="b">
        <f>AND(TrafficData[[#This Row],[pendingCourt]]&lt;=TrafficData[[#This Row],[totalCourt]],TrafficData[[#This Row],[disposedCourt]]&lt;=TrafficData[[#This Row],[totalCourt]])</f>
        <v>1</v>
      </c>
    </row>
    <row r="894" spans="1:16">
      <c r="A894" s="1">
        <v>42897</v>
      </c>
      <c r="B894">
        <v>809</v>
      </c>
      <c r="C894">
        <v>488</v>
      </c>
      <c r="D894">
        <v>321</v>
      </c>
      <c r="E894">
        <v>851930</v>
      </c>
      <c r="F894">
        <v>2692663</v>
      </c>
      <c r="G894">
        <v>3544593</v>
      </c>
      <c r="H894">
        <v>217</v>
      </c>
      <c r="I894">
        <v>51</v>
      </c>
      <c r="J894">
        <v>268</v>
      </c>
      <c r="K894" t="b">
        <f>TrafficData[[#This Row],[disposedChallan]]+TrafficData[[#This Row],[pendingChallan]]=TrafficData[[#This Row],[totalChallan]]</f>
        <v>1</v>
      </c>
      <c r="L894" t="b">
        <f>TrafficData[[#This Row],[pendingAmount]]+TrafficData[[#This Row],[disposedAmount]]=TrafficData[[#This Row],[totalAmount]]</f>
        <v>1</v>
      </c>
      <c r="M894" t="b">
        <f>TrafficData[[#This Row],[pendingCourt]]+TrafficData[[#This Row],[disposedCourt]]=TrafficData[[#This Row],[totalCourt]]</f>
        <v>1</v>
      </c>
      <c r="N894" t="b">
        <f>AND(TrafficData[[#This Row],[disposedChallan]]&lt;=TrafficData[[#This Row],[totalChallan]],TrafficData[[#This Row],[pendingChallan]]&lt;=TrafficData[[#This Row],[totalChallan]])</f>
        <v>1</v>
      </c>
      <c r="O894" t="b">
        <f>AND(TrafficData[[#This Row],[pendingAmount]]&lt;=TrafficData[[#This Row],[totalAmount]],TrafficData[[#This Row],[disposedAmount]]&lt;=TrafficData[[#This Row],[totalAmount]])</f>
        <v>1</v>
      </c>
      <c r="P894" t="b">
        <f>AND(TrafficData[[#This Row],[pendingCourt]]&lt;=TrafficData[[#This Row],[totalCourt]],TrafficData[[#This Row],[disposedCourt]]&lt;=TrafficData[[#This Row],[totalCourt]])</f>
        <v>1</v>
      </c>
    </row>
    <row r="895" spans="1:16">
      <c r="A895" s="1">
        <v>42898</v>
      </c>
      <c r="B895">
        <v>1780</v>
      </c>
      <c r="C895">
        <v>943</v>
      </c>
      <c r="D895">
        <v>837</v>
      </c>
      <c r="E895">
        <v>1434300</v>
      </c>
      <c r="F895">
        <v>5062826</v>
      </c>
      <c r="G895">
        <v>6497126</v>
      </c>
      <c r="H895">
        <v>628</v>
      </c>
      <c r="I895">
        <v>129</v>
      </c>
      <c r="J895">
        <v>757</v>
      </c>
      <c r="K895" t="b">
        <f>TrafficData[[#This Row],[disposedChallan]]+TrafficData[[#This Row],[pendingChallan]]=TrafficData[[#This Row],[totalChallan]]</f>
        <v>1</v>
      </c>
      <c r="L895" t="b">
        <f>TrafficData[[#This Row],[pendingAmount]]+TrafficData[[#This Row],[disposedAmount]]=TrafficData[[#This Row],[totalAmount]]</f>
        <v>1</v>
      </c>
      <c r="M895" t="b">
        <f>TrafficData[[#This Row],[pendingCourt]]+TrafficData[[#This Row],[disposedCourt]]=TrafficData[[#This Row],[totalCourt]]</f>
        <v>1</v>
      </c>
      <c r="N895" t="b">
        <f>AND(TrafficData[[#This Row],[disposedChallan]]&lt;=TrafficData[[#This Row],[totalChallan]],TrafficData[[#This Row],[pendingChallan]]&lt;=TrafficData[[#This Row],[totalChallan]])</f>
        <v>1</v>
      </c>
      <c r="O895" t="b">
        <f>AND(TrafficData[[#This Row],[pendingAmount]]&lt;=TrafficData[[#This Row],[totalAmount]],TrafficData[[#This Row],[disposedAmount]]&lt;=TrafficData[[#This Row],[totalAmount]])</f>
        <v>1</v>
      </c>
      <c r="P895" t="b">
        <f>AND(TrafficData[[#This Row],[pendingCourt]]&lt;=TrafficData[[#This Row],[totalCourt]],TrafficData[[#This Row],[disposedCourt]]&lt;=TrafficData[[#This Row],[totalCourt]])</f>
        <v>1</v>
      </c>
    </row>
    <row r="896" spans="1:16">
      <c r="A896" s="1">
        <v>42899</v>
      </c>
      <c r="B896">
        <v>2017</v>
      </c>
      <c r="C896">
        <v>1110</v>
      </c>
      <c r="D896">
        <v>907</v>
      </c>
      <c r="E896">
        <v>1711800</v>
      </c>
      <c r="F896">
        <v>6604064</v>
      </c>
      <c r="G896">
        <v>8315864</v>
      </c>
      <c r="H896">
        <v>705</v>
      </c>
      <c r="I896">
        <v>119</v>
      </c>
      <c r="J896">
        <v>824</v>
      </c>
      <c r="K896" t="b">
        <f>TrafficData[[#This Row],[disposedChallan]]+TrafficData[[#This Row],[pendingChallan]]=TrafficData[[#This Row],[totalChallan]]</f>
        <v>1</v>
      </c>
      <c r="L896" t="b">
        <f>TrafficData[[#This Row],[pendingAmount]]+TrafficData[[#This Row],[disposedAmount]]=TrafficData[[#This Row],[totalAmount]]</f>
        <v>1</v>
      </c>
      <c r="M896" t="b">
        <f>TrafficData[[#This Row],[pendingCourt]]+TrafficData[[#This Row],[disposedCourt]]=TrafficData[[#This Row],[totalCourt]]</f>
        <v>1</v>
      </c>
      <c r="N896" t="b">
        <f>AND(TrafficData[[#This Row],[disposedChallan]]&lt;=TrafficData[[#This Row],[totalChallan]],TrafficData[[#This Row],[pendingChallan]]&lt;=TrafficData[[#This Row],[totalChallan]])</f>
        <v>1</v>
      </c>
      <c r="O896" t="b">
        <f>AND(TrafficData[[#This Row],[pendingAmount]]&lt;=TrafficData[[#This Row],[totalAmount]],TrafficData[[#This Row],[disposedAmount]]&lt;=TrafficData[[#This Row],[totalAmount]])</f>
        <v>1</v>
      </c>
      <c r="P896" t="b">
        <f>AND(TrafficData[[#This Row],[pendingCourt]]&lt;=TrafficData[[#This Row],[totalCourt]],TrafficData[[#This Row],[disposedCourt]]&lt;=TrafficData[[#This Row],[totalCourt]])</f>
        <v>1</v>
      </c>
    </row>
    <row r="897" spans="1:16">
      <c r="A897" s="1">
        <v>42900</v>
      </c>
      <c r="B897">
        <v>1791</v>
      </c>
      <c r="C897">
        <v>999</v>
      </c>
      <c r="D897">
        <v>792</v>
      </c>
      <c r="E897">
        <v>1979250</v>
      </c>
      <c r="F897">
        <v>5243893</v>
      </c>
      <c r="G897">
        <v>7223143</v>
      </c>
      <c r="H897">
        <v>556</v>
      </c>
      <c r="I897">
        <v>112</v>
      </c>
      <c r="J897">
        <v>668</v>
      </c>
      <c r="K897" t="b">
        <f>TrafficData[[#This Row],[disposedChallan]]+TrafficData[[#This Row],[pendingChallan]]=TrafficData[[#This Row],[totalChallan]]</f>
        <v>1</v>
      </c>
      <c r="L897" t="b">
        <f>TrafficData[[#This Row],[pendingAmount]]+TrafficData[[#This Row],[disposedAmount]]=TrafficData[[#This Row],[totalAmount]]</f>
        <v>1</v>
      </c>
      <c r="M897" t="b">
        <f>TrafficData[[#This Row],[pendingCourt]]+TrafficData[[#This Row],[disposedCourt]]=TrafficData[[#This Row],[totalCourt]]</f>
        <v>1</v>
      </c>
      <c r="N897" t="b">
        <f>AND(TrafficData[[#This Row],[disposedChallan]]&lt;=TrafficData[[#This Row],[totalChallan]],TrafficData[[#This Row],[pendingChallan]]&lt;=TrafficData[[#This Row],[totalChallan]])</f>
        <v>1</v>
      </c>
      <c r="O897" t="b">
        <f>AND(TrafficData[[#This Row],[pendingAmount]]&lt;=TrafficData[[#This Row],[totalAmount]],TrafficData[[#This Row],[disposedAmount]]&lt;=TrafficData[[#This Row],[totalAmount]])</f>
        <v>1</v>
      </c>
      <c r="P897" t="b">
        <f>AND(TrafficData[[#This Row],[pendingCourt]]&lt;=TrafficData[[#This Row],[totalCourt]],TrafficData[[#This Row],[disposedCourt]]&lt;=TrafficData[[#This Row],[totalCourt]])</f>
        <v>1</v>
      </c>
    </row>
    <row r="898" spans="1:16">
      <c r="A898" s="1">
        <v>42901</v>
      </c>
      <c r="B898">
        <v>1929</v>
      </c>
      <c r="C898">
        <v>1143</v>
      </c>
      <c r="D898">
        <v>786</v>
      </c>
      <c r="E898">
        <v>1927140</v>
      </c>
      <c r="F898">
        <v>6112900</v>
      </c>
      <c r="G898">
        <v>8040040</v>
      </c>
      <c r="H898">
        <v>558</v>
      </c>
      <c r="I898">
        <v>101</v>
      </c>
      <c r="J898">
        <v>659</v>
      </c>
      <c r="K898" t="b">
        <f>TrafficData[[#This Row],[disposedChallan]]+TrafficData[[#This Row],[pendingChallan]]=TrafficData[[#This Row],[totalChallan]]</f>
        <v>1</v>
      </c>
      <c r="L898" t="b">
        <f>TrafficData[[#This Row],[pendingAmount]]+TrafficData[[#This Row],[disposedAmount]]=TrafficData[[#This Row],[totalAmount]]</f>
        <v>1</v>
      </c>
      <c r="M898" t="b">
        <f>TrafficData[[#This Row],[pendingCourt]]+TrafficData[[#This Row],[disposedCourt]]=TrafficData[[#This Row],[totalCourt]]</f>
        <v>1</v>
      </c>
      <c r="N898" t="b">
        <f>AND(TrafficData[[#This Row],[disposedChallan]]&lt;=TrafficData[[#This Row],[totalChallan]],TrafficData[[#This Row],[pendingChallan]]&lt;=TrafficData[[#This Row],[totalChallan]])</f>
        <v>1</v>
      </c>
      <c r="O898" t="b">
        <f>AND(TrafficData[[#This Row],[pendingAmount]]&lt;=TrafficData[[#This Row],[totalAmount]],TrafficData[[#This Row],[disposedAmount]]&lt;=TrafficData[[#This Row],[totalAmount]])</f>
        <v>1</v>
      </c>
      <c r="P898" t="b">
        <f>AND(TrafficData[[#This Row],[pendingCourt]]&lt;=TrafficData[[#This Row],[totalCourt]],TrafficData[[#This Row],[disposedCourt]]&lt;=TrafficData[[#This Row],[totalCourt]])</f>
        <v>1</v>
      </c>
    </row>
    <row r="899" spans="1:16">
      <c r="A899" s="1">
        <v>42902</v>
      </c>
      <c r="B899">
        <v>1732</v>
      </c>
      <c r="C899">
        <v>1036</v>
      </c>
      <c r="D899">
        <v>696</v>
      </c>
      <c r="E899">
        <v>1598350</v>
      </c>
      <c r="F899">
        <v>5584870</v>
      </c>
      <c r="G899">
        <v>7183220</v>
      </c>
      <c r="H899">
        <v>501</v>
      </c>
      <c r="I899">
        <v>99</v>
      </c>
      <c r="J899">
        <v>600</v>
      </c>
      <c r="K899" t="b">
        <f>TrafficData[[#This Row],[disposedChallan]]+TrafficData[[#This Row],[pendingChallan]]=TrafficData[[#This Row],[totalChallan]]</f>
        <v>1</v>
      </c>
      <c r="L899" t="b">
        <f>TrafficData[[#This Row],[pendingAmount]]+TrafficData[[#This Row],[disposedAmount]]=TrafficData[[#This Row],[totalAmount]]</f>
        <v>1</v>
      </c>
      <c r="M899" t="b">
        <f>TrafficData[[#This Row],[pendingCourt]]+TrafficData[[#This Row],[disposedCourt]]=TrafficData[[#This Row],[totalCourt]]</f>
        <v>1</v>
      </c>
      <c r="N899" t="b">
        <f>AND(TrafficData[[#This Row],[disposedChallan]]&lt;=TrafficData[[#This Row],[totalChallan]],TrafficData[[#This Row],[pendingChallan]]&lt;=TrafficData[[#This Row],[totalChallan]])</f>
        <v>1</v>
      </c>
      <c r="O899" t="b">
        <f>AND(TrafficData[[#This Row],[pendingAmount]]&lt;=TrafficData[[#This Row],[totalAmount]],TrafficData[[#This Row],[disposedAmount]]&lt;=TrafficData[[#This Row],[totalAmount]])</f>
        <v>1</v>
      </c>
      <c r="P899" t="b">
        <f>AND(TrafficData[[#This Row],[pendingCourt]]&lt;=TrafficData[[#This Row],[totalCourt]],TrafficData[[#This Row],[disposedCourt]]&lt;=TrafficData[[#This Row],[totalCourt]])</f>
        <v>1</v>
      </c>
    </row>
    <row r="900" spans="1:16">
      <c r="A900" s="1">
        <v>42903</v>
      </c>
      <c r="B900">
        <v>1689</v>
      </c>
      <c r="C900">
        <v>918</v>
      </c>
      <c r="D900">
        <v>771</v>
      </c>
      <c r="E900">
        <v>2018872</v>
      </c>
      <c r="F900">
        <v>4733145</v>
      </c>
      <c r="G900">
        <v>6752017</v>
      </c>
      <c r="H900">
        <v>542</v>
      </c>
      <c r="I900">
        <v>97</v>
      </c>
      <c r="J900">
        <v>639</v>
      </c>
      <c r="K900" t="b">
        <f>TrafficData[[#This Row],[disposedChallan]]+TrafficData[[#This Row],[pendingChallan]]=TrafficData[[#This Row],[totalChallan]]</f>
        <v>1</v>
      </c>
      <c r="L900" t="b">
        <f>TrafficData[[#This Row],[pendingAmount]]+TrafficData[[#This Row],[disposedAmount]]=TrafficData[[#This Row],[totalAmount]]</f>
        <v>1</v>
      </c>
      <c r="M900" t="b">
        <f>TrafficData[[#This Row],[pendingCourt]]+TrafficData[[#This Row],[disposedCourt]]=TrafficData[[#This Row],[totalCourt]]</f>
        <v>1</v>
      </c>
      <c r="N900" t="b">
        <f>AND(TrafficData[[#This Row],[disposedChallan]]&lt;=TrafficData[[#This Row],[totalChallan]],TrafficData[[#This Row],[pendingChallan]]&lt;=TrafficData[[#This Row],[totalChallan]])</f>
        <v>1</v>
      </c>
      <c r="O900" t="b">
        <f>AND(TrafficData[[#This Row],[pendingAmount]]&lt;=TrafficData[[#This Row],[totalAmount]],TrafficData[[#This Row],[disposedAmount]]&lt;=TrafficData[[#This Row],[totalAmount]])</f>
        <v>1</v>
      </c>
      <c r="P900" t="b">
        <f>AND(TrafficData[[#This Row],[pendingCourt]]&lt;=TrafficData[[#This Row],[totalCourt]],TrafficData[[#This Row],[disposedCourt]]&lt;=TrafficData[[#This Row],[totalCourt]])</f>
        <v>1</v>
      </c>
    </row>
    <row r="901" spans="1:16">
      <c r="A901" s="1">
        <v>42904</v>
      </c>
      <c r="B901">
        <v>370</v>
      </c>
      <c r="C901">
        <v>144</v>
      </c>
      <c r="D901">
        <v>226</v>
      </c>
      <c r="E901">
        <v>982852</v>
      </c>
      <c r="F901">
        <v>1410500</v>
      </c>
      <c r="G901">
        <v>2393352</v>
      </c>
      <c r="H901">
        <v>146</v>
      </c>
      <c r="I901">
        <v>10</v>
      </c>
      <c r="J901">
        <v>156</v>
      </c>
      <c r="K901" t="b">
        <f>TrafficData[[#This Row],[disposedChallan]]+TrafficData[[#This Row],[pendingChallan]]=TrafficData[[#This Row],[totalChallan]]</f>
        <v>1</v>
      </c>
      <c r="L901" t="b">
        <f>TrafficData[[#This Row],[pendingAmount]]+TrafficData[[#This Row],[disposedAmount]]=TrafficData[[#This Row],[totalAmount]]</f>
        <v>1</v>
      </c>
      <c r="M901" t="b">
        <f>TrafficData[[#This Row],[pendingCourt]]+TrafficData[[#This Row],[disposedCourt]]=TrafficData[[#This Row],[totalCourt]]</f>
        <v>1</v>
      </c>
      <c r="N901" t="b">
        <f>AND(TrafficData[[#This Row],[disposedChallan]]&lt;=TrafficData[[#This Row],[totalChallan]],TrafficData[[#This Row],[pendingChallan]]&lt;=TrafficData[[#This Row],[totalChallan]])</f>
        <v>1</v>
      </c>
      <c r="O901" t="b">
        <f>AND(TrafficData[[#This Row],[pendingAmount]]&lt;=TrafficData[[#This Row],[totalAmount]],TrafficData[[#This Row],[disposedAmount]]&lt;=TrafficData[[#This Row],[totalAmount]])</f>
        <v>1</v>
      </c>
      <c r="P901" t="b">
        <f>AND(TrafficData[[#This Row],[pendingCourt]]&lt;=TrafficData[[#This Row],[totalCourt]],TrafficData[[#This Row],[disposedCourt]]&lt;=TrafficData[[#This Row],[totalCourt]])</f>
        <v>1</v>
      </c>
    </row>
    <row r="902" spans="1:16">
      <c r="A902" s="1">
        <v>42905</v>
      </c>
      <c r="B902">
        <v>1070</v>
      </c>
      <c r="C902">
        <v>486</v>
      </c>
      <c r="D902">
        <v>584</v>
      </c>
      <c r="E902">
        <v>929200</v>
      </c>
      <c r="F902">
        <v>1685505</v>
      </c>
      <c r="G902">
        <v>2614705</v>
      </c>
      <c r="H902">
        <v>418</v>
      </c>
      <c r="I902">
        <v>43</v>
      </c>
      <c r="J902">
        <v>461</v>
      </c>
      <c r="K902" t="b">
        <f>TrafficData[[#This Row],[disposedChallan]]+TrafficData[[#This Row],[pendingChallan]]=TrafficData[[#This Row],[totalChallan]]</f>
        <v>1</v>
      </c>
      <c r="L902" t="b">
        <f>TrafficData[[#This Row],[pendingAmount]]+TrafficData[[#This Row],[disposedAmount]]=TrafficData[[#This Row],[totalAmount]]</f>
        <v>1</v>
      </c>
      <c r="M902" t="b">
        <f>TrafficData[[#This Row],[pendingCourt]]+TrafficData[[#This Row],[disposedCourt]]=TrafficData[[#This Row],[totalCourt]]</f>
        <v>1</v>
      </c>
      <c r="N902" t="b">
        <f>AND(TrafficData[[#This Row],[disposedChallan]]&lt;=TrafficData[[#This Row],[totalChallan]],TrafficData[[#This Row],[pendingChallan]]&lt;=TrafficData[[#This Row],[totalChallan]])</f>
        <v>1</v>
      </c>
      <c r="O902" t="b">
        <f>AND(TrafficData[[#This Row],[pendingAmount]]&lt;=TrafficData[[#This Row],[totalAmount]],TrafficData[[#This Row],[disposedAmount]]&lt;=TrafficData[[#This Row],[totalAmount]])</f>
        <v>1</v>
      </c>
      <c r="P902" t="b">
        <f>AND(TrafficData[[#This Row],[pendingCourt]]&lt;=TrafficData[[#This Row],[totalCourt]],TrafficData[[#This Row],[disposedCourt]]&lt;=TrafficData[[#This Row],[totalCourt]])</f>
        <v>1</v>
      </c>
    </row>
    <row r="903" spans="1:16">
      <c r="A903" s="1">
        <v>42906</v>
      </c>
      <c r="B903">
        <v>1149</v>
      </c>
      <c r="C903">
        <v>439</v>
      </c>
      <c r="D903">
        <v>710</v>
      </c>
      <c r="E903">
        <v>1399300</v>
      </c>
      <c r="F903">
        <v>1791850</v>
      </c>
      <c r="G903">
        <v>3191150</v>
      </c>
      <c r="H903">
        <v>506</v>
      </c>
      <c r="I903">
        <v>60</v>
      </c>
      <c r="J903">
        <v>566</v>
      </c>
      <c r="K903" t="b">
        <f>TrafficData[[#This Row],[disposedChallan]]+TrafficData[[#This Row],[pendingChallan]]=TrafficData[[#This Row],[totalChallan]]</f>
        <v>1</v>
      </c>
      <c r="L903" t="b">
        <f>TrafficData[[#This Row],[pendingAmount]]+TrafficData[[#This Row],[disposedAmount]]=TrafficData[[#This Row],[totalAmount]]</f>
        <v>1</v>
      </c>
      <c r="M903" t="b">
        <f>TrafficData[[#This Row],[pendingCourt]]+TrafficData[[#This Row],[disposedCourt]]=TrafficData[[#This Row],[totalCourt]]</f>
        <v>1</v>
      </c>
      <c r="N903" t="b">
        <f>AND(TrafficData[[#This Row],[disposedChallan]]&lt;=TrafficData[[#This Row],[totalChallan]],TrafficData[[#This Row],[pendingChallan]]&lt;=TrafficData[[#This Row],[totalChallan]])</f>
        <v>1</v>
      </c>
      <c r="O903" t="b">
        <f>AND(TrafficData[[#This Row],[pendingAmount]]&lt;=TrafficData[[#This Row],[totalAmount]],TrafficData[[#This Row],[disposedAmount]]&lt;=TrafficData[[#This Row],[totalAmount]])</f>
        <v>1</v>
      </c>
      <c r="P903" t="b">
        <f>AND(TrafficData[[#This Row],[pendingCourt]]&lt;=TrafficData[[#This Row],[totalCourt]],TrafficData[[#This Row],[disposedCourt]]&lt;=TrafficData[[#This Row],[totalCourt]])</f>
        <v>1</v>
      </c>
    </row>
    <row r="904" spans="1:16">
      <c r="A904" s="1">
        <v>42907</v>
      </c>
      <c r="B904">
        <v>1009</v>
      </c>
      <c r="C904">
        <v>388</v>
      </c>
      <c r="D904">
        <v>621</v>
      </c>
      <c r="E904">
        <v>1230550</v>
      </c>
      <c r="F904">
        <v>1771789</v>
      </c>
      <c r="G904">
        <v>3002339</v>
      </c>
      <c r="H904">
        <v>459</v>
      </c>
      <c r="I904">
        <v>75</v>
      </c>
      <c r="J904">
        <v>534</v>
      </c>
      <c r="K904" t="b">
        <f>TrafficData[[#This Row],[disposedChallan]]+TrafficData[[#This Row],[pendingChallan]]=TrafficData[[#This Row],[totalChallan]]</f>
        <v>1</v>
      </c>
      <c r="L904" t="b">
        <f>TrafficData[[#This Row],[pendingAmount]]+TrafficData[[#This Row],[disposedAmount]]=TrafficData[[#This Row],[totalAmount]]</f>
        <v>1</v>
      </c>
      <c r="M904" t="b">
        <f>TrafficData[[#This Row],[pendingCourt]]+TrafficData[[#This Row],[disposedCourt]]=TrafficData[[#This Row],[totalCourt]]</f>
        <v>1</v>
      </c>
      <c r="N904" t="b">
        <f>AND(TrafficData[[#This Row],[disposedChallan]]&lt;=TrafficData[[#This Row],[totalChallan]],TrafficData[[#This Row],[pendingChallan]]&lt;=TrafficData[[#This Row],[totalChallan]])</f>
        <v>1</v>
      </c>
      <c r="O904" t="b">
        <f>AND(TrafficData[[#This Row],[pendingAmount]]&lt;=TrafficData[[#This Row],[totalAmount]],TrafficData[[#This Row],[disposedAmount]]&lt;=TrafficData[[#This Row],[totalAmount]])</f>
        <v>1</v>
      </c>
      <c r="P904" t="b">
        <f>AND(TrafficData[[#This Row],[pendingCourt]]&lt;=TrafficData[[#This Row],[totalCourt]],TrafficData[[#This Row],[disposedCourt]]&lt;=TrafficData[[#This Row],[totalCourt]])</f>
        <v>1</v>
      </c>
    </row>
    <row r="905" spans="1:16">
      <c r="A905" s="1">
        <v>42908</v>
      </c>
      <c r="B905">
        <v>1728</v>
      </c>
      <c r="C905">
        <v>875</v>
      </c>
      <c r="D905">
        <v>853</v>
      </c>
      <c r="E905">
        <v>1405200</v>
      </c>
      <c r="F905">
        <v>3072714</v>
      </c>
      <c r="G905">
        <v>4477914</v>
      </c>
      <c r="H905">
        <v>661</v>
      </c>
      <c r="I905">
        <v>119</v>
      </c>
      <c r="J905">
        <v>780</v>
      </c>
      <c r="K905" t="b">
        <f>TrafficData[[#This Row],[disposedChallan]]+TrafficData[[#This Row],[pendingChallan]]=TrafficData[[#This Row],[totalChallan]]</f>
        <v>1</v>
      </c>
      <c r="L905" t="b">
        <f>TrafficData[[#This Row],[pendingAmount]]+TrafficData[[#This Row],[disposedAmount]]=TrafficData[[#This Row],[totalAmount]]</f>
        <v>1</v>
      </c>
      <c r="M905" t="b">
        <f>TrafficData[[#This Row],[pendingCourt]]+TrafficData[[#This Row],[disposedCourt]]=TrafficData[[#This Row],[totalCourt]]</f>
        <v>1</v>
      </c>
      <c r="N905" t="b">
        <f>AND(TrafficData[[#This Row],[disposedChallan]]&lt;=TrafficData[[#This Row],[totalChallan]],TrafficData[[#This Row],[pendingChallan]]&lt;=TrafficData[[#This Row],[totalChallan]])</f>
        <v>1</v>
      </c>
      <c r="O905" t="b">
        <f>AND(TrafficData[[#This Row],[pendingAmount]]&lt;=TrafficData[[#This Row],[totalAmount]],TrafficData[[#This Row],[disposedAmount]]&lt;=TrafficData[[#This Row],[totalAmount]])</f>
        <v>1</v>
      </c>
      <c r="P905" t="b">
        <f>AND(TrafficData[[#This Row],[pendingCourt]]&lt;=TrafficData[[#This Row],[totalCourt]],TrafficData[[#This Row],[disposedCourt]]&lt;=TrafficData[[#This Row],[totalCourt]])</f>
        <v>1</v>
      </c>
    </row>
    <row r="906" spans="1:16">
      <c r="A906" s="1">
        <v>42909</v>
      </c>
      <c r="B906">
        <v>1742</v>
      </c>
      <c r="C906">
        <v>1016</v>
      </c>
      <c r="D906">
        <v>726</v>
      </c>
      <c r="E906">
        <v>1780560</v>
      </c>
      <c r="F906">
        <v>4903115</v>
      </c>
      <c r="G906">
        <v>6683675</v>
      </c>
      <c r="H906">
        <v>569</v>
      </c>
      <c r="I906">
        <v>106</v>
      </c>
      <c r="J906">
        <v>675</v>
      </c>
      <c r="K906" t="b">
        <f>TrafficData[[#This Row],[disposedChallan]]+TrafficData[[#This Row],[pendingChallan]]=TrafficData[[#This Row],[totalChallan]]</f>
        <v>1</v>
      </c>
      <c r="L906" t="b">
        <f>TrafficData[[#This Row],[pendingAmount]]+TrafficData[[#This Row],[disposedAmount]]=TrafficData[[#This Row],[totalAmount]]</f>
        <v>1</v>
      </c>
      <c r="M906" t="b">
        <f>TrafficData[[#This Row],[pendingCourt]]+TrafficData[[#This Row],[disposedCourt]]=TrafficData[[#This Row],[totalCourt]]</f>
        <v>1</v>
      </c>
      <c r="N906" t="b">
        <f>AND(TrafficData[[#This Row],[disposedChallan]]&lt;=TrafficData[[#This Row],[totalChallan]],TrafficData[[#This Row],[pendingChallan]]&lt;=TrafficData[[#This Row],[totalChallan]])</f>
        <v>1</v>
      </c>
      <c r="O906" t="b">
        <f>AND(TrafficData[[#This Row],[pendingAmount]]&lt;=TrafficData[[#This Row],[totalAmount]],TrafficData[[#This Row],[disposedAmount]]&lt;=TrafficData[[#This Row],[totalAmount]])</f>
        <v>1</v>
      </c>
      <c r="P906" t="b">
        <f>AND(TrafficData[[#This Row],[pendingCourt]]&lt;=TrafficData[[#This Row],[totalCourt]],TrafficData[[#This Row],[disposedCourt]]&lt;=TrafficData[[#This Row],[totalCourt]])</f>
        <v>1</v>
      </c>
    </row>
    <row r="907" spans="1:16">
      <c r="A907" s="1">
        <v>42910</v>
      </c>
      <c r="B907">
        <v>1797</v>
      </c>
      <c r="C907">
        <v>1178</v>
      </c>
      <c r="D907">
        <v>619</v>
      </c>
      <c r="E907">
        <v>2066727</v>
      </c>
      <c r="F907">
        <v>7901806</v>
      </c>
      <c r="G907">
        <v>9968533</v>
      </c>
      <c r="H907">
        <v>484</v>
      </c>
      <c r="I907">
        <v>128</v>
      </c>
      <c r="J907">
        <v>612</v>
      </c>
      <c r="K907" t="b">
        <f>TrafficData[[#This Row],[disposedChallan]]+TrafficData[[#This Row],[pendingChallan]]=TrafficData[[#This Row],[totalChallan]]</f>
        <v>1</v>
      </c>
      <c r="L907" t="b">
        <f>TrafficData[[#This Row],[pendingAmount]]+TrafficData[[#This Row],[disposedAmount]]=TrafficData[[#This Row],[totalAmount]]</f>
        <v>1</v>
      </c>
      <c r="M907" t="b">
        <f>TrafficData[[#This Row],[pendingCourt]]+TrafficData[[#This Row],[disposedCourt]]=TrafficData[[#This Row],[totalCourt]]</f>
        <v>1</v>
      </c>
      <c r="N907" t="b">
        <f>AND(TrafficData[[#This Row],[disposedChallan]]&lt;=TrafficData[[#This Row],[totalChallan]],TrafficData[[#This Row],[pendingChallan]]&lt;=TrafficData[[#This Row],[totalChallan]])</f>
        <v>1</v>
      </c>
      <c r="O907" t="b">
        <f>AND(TrafficData[[#This Row],[pendingAmount]]&lt;=TrafficData[[#This Row],[totalAmount]],TrafficData[[#This Row],[disposedAmount]]&lt;=TrafficData[[#This Row],[totalAmount]])</f>
        <v>1</v>
      </c>
      <c r="P907" t="b">
        <f>AND(TrafficData[[#This Row],[pendingCourt]]&lt;=TrafficData[[#This Row],[totalCourt]],TrafficData[[#This Row],[disposedCourt]]&lt;=TrafficData[[#This Row],[totalCourt]])</f>
        <v>1</v>
      </c>
    </row>
    <row r="908" spans="1:16">
      <c r="A908" s="1">
        <v>42911</v>
      </c>
      <c r="B908">
        <v>1003</v>
      </c>
      <c r="C908">
        <v>760</v>
      </c>
      <c r="D908">
        <v>243</v>
      </c>
      <c r="E908">
        <v>818000</v>
      </c>
      <c r="F908">
        <v>5445735</v>
      </c>
      <c r="G908">
        <v>6263735</v>
      </c>
      <c r="H908">
        <v>191</v>
      </c>
      <c r="I908">
        <v>84</v>
      </c>
      <c r="J908">
        <v>275</v>
      </c>
      <c r="K908" t="b">
        <f>TrafficData[[#This Row],[disposedChallan]]+TrafficData[[#This Row],[pendingChallan]]=TrafficData[[#This Row],[totalChallan]]</f>
        <v>1</v>
      </c>
      <c r="L908" t="b">
        <f>TrafficData[[#This Row],[pendingAmount]]+TrafficData[[#This Row],[disposedAmount]]=TrafficData[[#This Row],[totalAmount]]</f>
        <v>1</v>
      </c>
      <c r="M908" t="b">
        <f>TrafficData[[#This Row],[pendingCourt]]+TrafficData[[#This Row],[disposedCourt]]=TrafficData[[#This Row],[totalCourt]]</f>
        <v>1</v>
      </c>
      <c r="N908" t="b">
        <f>AND(TrafficData[[#This Row],[disposedChallan]]&lt;=TrafficData[[#This Row],[totalChallan]],TrafficData[[#This Row],[pendingChallan]]&lt;=TrafficData[[#This Row],[totalChallan]])</f>
        <v>1</v>
      </c>
      <c r="O908" t="b">
        <f>AND(TrafficData[[#This Row],[pendingAmount]]&lt;=TrafficData[[#This Row],[totalAmount]],TrafficData[[#This Row],[disposedAmount]]&lt;=TrafficData[[#This Row],[totalAmount]])</f>
        <v>1</v>
      </c>
      <c r="P908" t="b">
        <f>AND(TrafficData[[#This Row],[pendingCourt]]&lt;=TrafficData[[#This Row],[totalCourt]],TrafficData[[#This Row],[disposedCourt]]&lt;=TrafficData[[#This Row],[totalCourt]])</f>
        <v>1</v>
      </c>
    </row>
    <row r="909" spans="1:16">
      <c r="A909" s="1">
        <v>42912</v>
      </c>
      <c r="B909">
        <v>739</v>
      </c>
      <c r="C909">
        <v>371</v>
      </c>
      <c r="D909">
        <v>368</v>
      </c>
      <c r="E909">
        <v>898151</v>
      </c>
      <c r="F909">
        <v>2088410</v>
      </c>
      <c r="G909">
        <v>2986561</v>
      </c>
      <c r="H909">
        <v>247</v>
      </c>
      <c r="I909">
        <v>42</v>
      </c>
      <c r="J909">
        <v>289</v>
      </c>
      <c r="K909" t="b">
        <f>TrafficData[[#This Row],[disposedChallan]]+TrafficData[[#This Row],[pendingChallan]]=TrafficData[[#This Row],[totalChallan]]</f>
        <v>1</v>
      </c>
      <c r="L909" t="b">
        <f>TrafficData[[#This Row],[pendingAmount]]+TrafficData[[#This Row],[disposedAmount]]=TrafficData[[#This Row],[totalAmount]]</f>
        <v>1</v>
      </c>
      <c r="M909" t="b">
        <f>TrafficData[[#This Row],[pendingCourt]]+TrafficData[[#This Row],[disposedCourt]]=TrafficData[[#This Row],[totalCourt]]</f>
        <v>1</v>
      </c>
      <c r="N909" t="b">
        <f>AND(TrafficData[[#This Row],[disposedChallan]]&lt;=TrafficData[[#This Row],[totalChallan]],TrafficData[[#This Row],[pendingChallan]]&lt;=TrafficData[[#This Row],[totalChallan]])</f>
        <v>1</v>
      </c>
      <c r="O909" t="b">
        <f>AND(TrafficData[[#This Row],[pendingAmount]]&lt;=TrafficData[[#This Row],[totalAmount]],TrafficData[[#This Row],[disposedAmount]]&lt;=TrafficData[[#This Row],[totalAmount]])</f>
        <v>1</v>
      </c>
      <c r="P909" t="b">
        <f>AND(TrafficData[[#This Row],[pendingCourt]]&lt;=TrafficData[[#This Row],[totalCourt]],TrafficData[[#This Row],[disposedCourt]]&lt;=TrafficData[[#This Row],[totalCourt]])</f>
        <v>1</v>
      </c>
    </row>
    <row r="910" spans="1:16">
      <c r="A910" s="1">
        <v>42913</v>
      </c>
      <c r="B910">
        <v>1739</v>
      </c>
      <c r="C910">
        <v>1022</v>
      </c>
      <c r="D910">
        <v>717</v>
      </c>
      <c r="E910">
        <v>1446150</v>
      </c>
      <c r="F910">
        <v>5011802</v>
      </c>
      <c r="G910">
        <v>6457952</v>
      </c>
      <c r="H910">
        <v>569</v>
      </c>
      <c r="I910">
        <v>161</v>
      </c>
      <c r="J910">
        <v>730</v>
      </c>
      <c r="K910" t="b">
        <f>TrafficData[[#This Row],[disposedChallan]]+TrafficData[[#This Row],[pendingChallan]]=TrafficData[[#This Row],[totalChallan]]</f>
        <v>1</v>
      </c>
      <c r="L910" t="b">
        <f>TrafficData[[#This Row],[pendingAmount]]+TrafficData[[#This Row],[disposedAmount]]=TrafficData[[#This Row],[totalAmount]]</f>
        <v>1</v>
      </c>
      <c r="M910" t="b">
        <f>TrafficData[[#This Row],[pendingCourt]]+TrafficData[[#This Row],[disposedCourt]]=TrafficData[[#This Row],[totalCourt]]</f>
        <v>1</v>
      </c>
      <c r="N910" t="b">
        <f>AND(TrafficData[[#This Row],[disposedChallan]]&lt;=TrafficData[[#This Row],[totalChallan]],TrafficData[[#This Row],[pendingChallan]]&lt;=TrafficData[[#This Row],[totalChallan]])</f>
        <v>1</v>
      </c>
      <c r="O910" t="b">
        <f>AND(TrafficData[[#This Row],[pendingAmount]]&lt;=TrafficData[[#This Row],[totalAmount]],TrafficData[[#This Row],[disposedAmount]]&lt;=TrafficData[[#This Row],[totalAmount]])</f>
        <v>1</v>
      </c>
      <c r="P910" t="b">
        <f>AND(TrafficData[[#This Row],[pendingCourt]]&lt;=TrafficData[[#This Row],[totalCourt]],TrafficData[[#This Row],[disposedCourt]]&lt;=TrafficData[[#This Row],[totalCourt]])</f>
        <v>1</v>
      </c>
    </row>
    <row r="911" spans="1:16">
      <c r="A911" s="1">
        <v>42914</v>
      </c>
      <c r="B911">
        <v>2245</v>
      </c>
      <c r="C911">
        <v>1442</v>
      </c>
      <c r="D911">
        <v>803</v>
      </c>
      <c r="E911">
        <v>1708460</v>
      </c>
      <c r="F911">
        <v>6835777</v>
      </c>
      <c r="G911">
        <v>8544237</v>
      </c>
      <c r="H911">
        <v>627</v>
      </c>
      <c r="I911">
        <v>112</v>
      </c>
      <c r="J911">
        <v>739</v>
      </c>
      <c r="K911" t="b">
        <f>TrafficData[[#This Row],[disposedChallan]]+TrafficData[[#This Row],[pendingChallan]]=TrafficData[[#This Row],[totalChallan]]</f>
        <v>1</v>
      </c>
      <c r="L911" t="b">
        <f>TrafficData[[#This Row],[pendingAmount]]+TrafficData[[#This Row],[disposedAmount]]=TrafficData[[#This Row],[totalAmount]]</f>
        <v>1</v>
      </c>
      <c r="M911" t="b">
        <f>TrafficData[[#This Row],[pendingCourt]]+TrafficData[[#This Row],[disposedCourt]]=TrafficData[[#This Row],[totalCourt]]</f>
        <v>1</v>
      </c>
      <c r="N911" t="b">
        <f>AND(TrafficData[[#This Row],[disposedChallan]]&lt;=TrafficData[[#This Row],[totalChallan]],TrafficData[[#This Row],[pendingChallan]]&lt;=TrafficData[[#This Row],[totalChallan]])</f>
        <v>1</v>
      </c>
      <c r="O911" t="b">
        <f>AND(TrafficData[[#This Row],[pendingAmount]]&lt;=TrafficData[[#This Row],[totalAmount]],TrafficData[[#This Row],[disposedAmount]]&lt;=TrafficData[[#This Row],[totalAmount]])</f>
        <v>1</v>
      </c>
      <c r="P911" t="b">
        <f>AND(TrafficData[[#This Row],[pendingCourt]]&lt;=TrafficData[[#This Row],[totalCourt]],TrafficData[[#This Row],[disposedCourt]]&lt;=TrafficData[[#This Row],[totalCourt]])</f>
        <v>1</v>
      </c>
    </row>
    <row r="912" spans="1:16">
      <c r="A912" s="1">
        <v>42915</v>
      </c>
      <c r="B912">
        <v>2090</v>
      </c>
      <c r="C912">
        <v>1190</v>
      </c>
      <c r="D912">
        <v>900</v>
      </c>
      <c r="E912">
        <v>1960292</v>
      </c>
      <c r="F912">
        <v>6625160</v>
      </c>
      <c r="G912">
        <v>8585452</v>
      </c>
      <c r="H912">
        <v>746</v>
      </c>
      <c r="I912">
        <v>163</v>
      </c>
      <c r="J912">
        <v>909</v>
      </c>
      <c r="K912" t="b">
        <f>TrafficData[[#This Row],[disposedChallan]]+TrafficData[[#This Row],[pendingChallan]]=TrafficData[[#This Row],[totalChallan]]</f>
        <v>1</v>
      </c>
      <c r="L912" t="b">
        <f>TrafficData[[#This Row],[pendingAmount]]+TrafficData[[#This Row],[disposedAmount]]=TrafficData[[#This Row],[totalAmount]]</f>
        <v>1</v>
      </c>
      <c r="M912" t="b">
        <f>TrafficData[[#This Row],[pendingCourt]]+TrafficData[[#This Row],[disposedCourt]]=TrafficData[[#This Row],[totalCourt]]</f>
        <v>1</v>
      </c>
      <c r="N912" t="b">
        <f>AND(TrafficData[[#This Row],[disposedChallan]]&lt;=TrafficData[[#This Row],[totalChallan]],TrafficData[[#This Row],[pendingChallan]]&lt;=TrafficData[[#This Row],[totalChallan]])</f>
        <v>1</v>
      </c>
      <c r="O912" t="b">
        <f>AND(TrafficData[[#This Row],[pendingAmount]]&lt;=TrafficData[[#This Row],[totalAmount]],TrafficData[[#This Row],[disposedAmount]]&lt;=TrafficData[[#This Row],[totalAmount]])</f>
        <v>1</v>
      </c>
      <c r="P912" t="b">
        <f>AND(TrafficData[[#This Row],[pendingCourt]]&lt;=TrafficData[[#This Row],[totalCourt]],TrafficData[[#This Row],[disposedCourt]]&lt;=TrafficData[[#This Row],[totalCourt]])</f>
        <v>1</v>
      </c>
    </row>
    <row r="913" spans="1:16">
      <c r="A913" s="1">
        <v>42916</v>
      </c>
      <c r="B913">
        <v>1966</v>
      </c>
      <c r="C913">
        <v>1305</v>
      </c>
      <c r="D913">
        <v>661</v>
      </c>
      <c r="E913">
        <v>1903150</v>
      </c>
      <c r="F913">
        <v>5546413</v>
      </c>
      <c r="G913">
        <v>7449563</v>
      </c>
      <c r="H913">
        <v>548</v>
      </c>
      <c r="I913">
        <v>184</v>
      </c>
      <c r="J913">
        <v>732</v>
      </c>
      <c r="K913" t="b">
        <f>TrafficData[[#This Row],[disposedChallan]]+TrafficData[[#This Row],[pendingChallan]]=TrafficData[[#This Row],[totalChallan]]</f>
        <v>1</v>
      </c>
      <c r="L913" t="b">
        <f>TrafficData[[#This Row],[pendingAmount]]+TrafficData[[#This Row],[disposedAmount]]=TrafficData[[#This Row],[totalAmount]]</f>
        <v>1</v>
      </c>
      <c r="M913" t="b">
        <f>TrafficData[[#This Row],[pendingCourt]]+TrafficData[[#This Row],[disposedCourt]]=TrafficData[[#This Row],[totalCourt]]</f>
        <v>1</v>
      </c>
      <c r="N913" t="b">
        <f>AND(TrafficData[[#This Row],[disposedChallan]]&lt;=TrafficData[[#This Row],[totalChallan]],TrafficData[[#This Row],[pendingChallan]]&lt;=TrafficData[[#This Row],[totalChallan]])</f>
        <v>1</v>
      </c>
      <c r="O913" t="b">
        <f>AND(TrafficData[[#This Row],[pendingAmount]]&lt;=TrafficData[[#This Row],[totalAmount]],TrafficData[[#This Row],[disposedAmount]]&lt;=TrafficData[[#This Row],[totalAmount]])</f>
        <v>1</v>
      </c>
      <c r="P913" t="b">
        <f>AND(TrafficData[[#This Row],[pendingCourt]]&lt;=TrafficData[[#This Row],[totalCourt]],TrafficData[[#This Row],[disposedCourt]]&lt;=TrafficData[[#This Row],[totalCourt]])</f>
        <v>1</v>
      </c>
    </row>
    <row r="914" spans="1:16">
      <c r="A914" s="1">
        <v>42917</v>
      </c>
      <c r="B914">
        <v>746</v>
      </c>
      <c r="C914">
        <v>426</v>
      </c>
      <c r="D914">
        <v>320</v>
      </c>
      <c r="E914">
        <v>1622550</v>
      </c>
      <c r="F914">
        <v>4398520</v>
      </c>
      <c r="G914">
        <v>6021070</v>
      </c>
      <c r="H914">
        <v>178</v>
      </c>
      <c r="I914">
        <v>49</v>
      </c>
      <c r="J914">
        <v>227</v>
      </c>
      <c r="K914" t="b">
        <f>TrafficData[[#This Row],[disposedChallan]]+TrafficData[[#This Row],[pendingChallan]]=TrafficData[[#This Row],[totalChallan]]</f>
        <v>1</v>
      </c>
      <c r="L914" t="b">
        <f>TrafficData[[#This Row],[pendingAmount]]+TrafficData[[#This Row],[disposedAmount]]=TrafficData[[#This Row],[totalAmount]]</f>
        <v>1</v>
      </c>
      <c r="M914" t="b">
        <f>TrafficData[[#This Row],[pendingCourt]]+TrafficData[[#This Row],[disposedCourt]]=TrafficData[[#This Row],[totalCourt]]</f>
        <v>1</v>
      </c>
      <c r="N914" t="b">
        <f>AND(TrafficData[[#This Row],[disposedChallan]]&lt;=TrafficData[[#This Row],[totalChallan]],TrafficData[[#This Row],[pendingChallan]]&lt;=TrafficData[[#This Row],[totalChallan]])</f>
        <v>1</v>
      </c>
      <c r="O914" t="b">
        <f>AND(TrafficData[[#This Row],[pendingAmount]]&lt;=TrafficData[[#This Row],[totalAmount]],TrafficData[[#This Row],[disposedAmount]]&lt;=TrafficData[[#This Row],[totalAmount]])</f>
        <v>1</v>
      </c>
      <c r="P914" t="b">
        <f>AND(TrafficData[[#This Row],[pendingCourt]]&lt;=TrafficData[[#This Row],[totalCourt]],TrafficData[[#This Row],[disposedCourt]]&lt;=TrafficData[[#This Row],[totalCourt]])</f>
        <v>1</v>
      </c>
    </row>
    <row r="915" spans="1:16">
      <c r="A915" s="1">
        <v>42918</v>
      </c>
      <c r="B915">
        <v>452</v>
      </c>
      <c r="C915">
        <v>229</v>
      </c>
      <c r="D915">
        <v>223</v>
      </c>
      <c r="E915">
        <v>847146</v>
      </c>
      <c r="F915">
        <v>1565460</v>
      </c>
      <c r="G915">
        <v>2412606</v>
      </c>
      <c r="H915">
        <v>138</v>
      </c>
      <c r="I915">
        <v>30</v>
      </c>
      <c r="J915">
        <v>168</v>
      </c>
      <c r="K915" t="b">
        <f>TrafficData[[#This Row],[disposedChallan]]+TrafficData[[#This Row],[pendingChallan]]=TrafficData[[#This Row],[totalChallan]]</f>
        <v>1</v>
      </c>
      <c r="L915" t="b">
        <f>TrafficData[[#This Row],[pendingAmount]]+TrafficData[[#This Row],[disposedAmount]]=TrafficData[[#This Row],[totalAmount]]</f>
        <v>1</v>
      </c>
      <c r="M915" t="b">
        <f>TrafficData[[#This Row],[pendingCourt]]+TrafficData[[#This Row],[disposedCourt]]=TrafficData[[#This Row],[totalCourt]]</f>
        <v>1</v>
      </c>
      <c r="N915" t="b">
        <f>AND(TrafficData[[#This Row],[disposedChallan]]&lt;=TrafficData[[#This Row],[totalChallan]],TrafficData[[#This Row],[pendingChallan]]&lt;=TrafficData[[#This Row],[totalChallan]])</f>
        <v>1</v>
      </c>
      <c r="O915" t="b">
        <f>AND(TrafficData[[#This Row],[pendingAmount]]&lt;=TrafficData[[#This Row],[totalAmount]],TrafficData[[#This Row],[disposedAmount]]&lt;=TrafficData[[#This Row],[totalAmount]])</f>
        <v>1</v>
      </c>
      <c r="P915" t="b">
        <f>AND(TrafficData[[#This Row],[pendingCourt]]&lt;=TrafficData[[#This Row],[totalCourt]],TrafficData[[#This Row],[disposedCourt]]&lt;=TrafficData[[#This Row],[totalCourt]])</f>
        <v>1</v>
      </c>
    </row>
    <row r="916" spans="1:16">
      <c r="A916" s="1">
        <v>42919</v>
      </c>
      <c r="B916">
        <v>1385</v>
      </c>
      <c r="C916">
        <v>667</v>
      </c>
      <c r="D916">
        <v>718</v>
      </c>
      <c r="E916">
        <v>1424700</v>
      </c>
      <c r="F916">
        <v>4280339</v>
      </c>
      <c r="G916">
        <v>5705039</v>
      </c>
      <c r="H916">
        <v>519</v>
      </c>
      <c r="I916">
        <v>83</v>
      </c>
      <c r="J916">
        <v>602</v>
      </c>
      <c r="K916" t="b">
        <f>TrafficData[[#This Row],[disposedChallan]]+TrafficData[[#This Row],[pendingChallan]]=TrafficData[[#This Row],[totalChallan]]</f>
        <v>1</v>
      </c>
      <c r="L916" t="b">
        <f>TrafficData[[#This Row],[pendingAmount]]+TrafficData[[#This Row],[disposedAmount]]=TrafficData[[#This Row],[totalAmount]]</f>
        <v>1</v>
      </c>
      <c r="M916" t="b">
        <f>TrafficData[[#This Row],[pendingCourt]]+TrafficData[[#This Row],[disposedCourt]]=TrafficData[[#This Row],[totalCourt]]</f>
        <v>1</v>
      </c>
      <c r="N916" t="b">
        <f>AND(TrafficData[[#This Row],[disposedChallan]]&lt;=TrafficData[[#This Row],[totalChallan]],TrafficData[[#This Row],[pendingChallan]]&lt;=TrafficData[[#This Row],[totalChallan]])</f>
        <v>1</v>
      </c>
      <c r="O916" t="b">
        <f>AND(TrafficData[[#This Row],[pendingAmount]]&lt;=TrafficData[[#This Row],[totalAmount]],TrafficData[[#This Row],[disposedAmount]]&lt;=TrafficData[[#This Row],[totalAmount]])</f>
        <v>1</v>
      </c>
      <c r="P916" t="b">
        <f>AND(TrafficData[[#This Row],[pendingCourt]]&lt;=TrafficData[[#This Row],[totalCourt]],TrafficData[[#This Row],[disposedCourt]]&lt;=TrafficData[[#This Row],[totalCourt]])</f>
        <v>1</v>
      </c>
    </row>
    <row r="917" spans="1:16">
      <c r="A917" s="1">
        <v>42920</v>
      </c>
      <c r="B917">
        <v>1461</v>
      </c>
      <c r="C917">
        <v>765</v>
      </c>
      <c r="D917">
        <v>696</v>
      </c>
      <c r="E917">
        <v>1891357</v>
      </c>
      <c r="F917">
        <v>4962161</v>
      </c>
      <c r="G917">
        <v>6853518</v>
      </c>
      <c r="H917">
        <v>539</v>
      </c>
      <c r="I917">
        <v>100</v>
      </c>
      <c r="J917">
        <v>639</v>
      </c>
      <c r="K917" t="b">
        <f>TrafficData[[#This Row],[disposedChallan]]+TrafficData[[#This Row],[pendingChallan]]=TrafficData[[#This Row],[totalChallan]]</f>
        <v>1</v>
      </c>
      <c r="L917" t="b">
        <f>TrafficData[[#This Row],[pendingAmount]]+TrafficData[[#This Row],[disposedAmount]]=TrafficData[[#This Row],[totalAmount]]</f>
        <v>1</v>
      </c>
      <c r="M917" t="b">
        <f>TrafficData[[#This Row],[pendingCourt]]+TrafficData[[#This Row],[disposedCourt]]=TrafficData[[#This Row],[totalCourt]]</f>
        <v>1</v>
      </c>
      <c r="N917" t="b">
        <f>AND(TrafficData[[#This Row],[disposedChallan]]&lt;=TrafficData[[#This Row],[totalChallan]],TrafficData[[#This Row],[pendingChallan]]&lt;=TrafficData[[#This Row],[totalChallan]])</f>
        <v>1</v>
      </c>
      <c r="O917" t="b">
        <f>AND(TrafficData[[#This Row],[pendingAmount]]&lt;=TrafficData[[#This Row],[totalAmount]],TrafficData[[#This Row],[disposedAmount]]&lt;=TrafficData[[#This Row],[totalAmount]])</f>
        <v>1</v>
      </c>
      <c r="P917" t="b">
        <f>AND(TrafficData[[#This Row],[pendingCourt]]&lt;=TrafficData[[#This Row],[totalCourt]],TrafficData[[#This Row],[disposedCourt]]&lt;=TrafficData[[#This Row],[totalCourt]])</f>
        <v>1</v>
      </c>
    </row>
    <row r="918" spans="1:16">
      <c r="A918" s="1">
        <v>42921</v>
      </c>
      <c r="B918">
        <v>1532</v>
      </c>
      <c r="C918">
        <v>759</v>
      </c>
      <c r="D918">
        <v>773</v>
      </c>
      <c r="E918">
        <v>1567300</v>
      </c>
      <c r="F918">
        <v>4720736</v>
      </c>
      <c r="G918">
        <v>6288036</v>
      </c>
      <c r="H918">
        <v>546</v>
      </c>
      <c r="I918">
        <v>86</v>
      </c>
      <c r="J918">
        <v>632</v>
      </c>
      <c r="K918" t="b">
        <f>TrafficData[[#This Row],[disposedChallan]]+TrafficData[[#This Row],[pendingChallan]]=TrafficData[[#This Row],[totalChallan]]</f>
        <v>1</v>
      </c>
      <c r="L918" t="b">
        <f>TrafficData[[#This Row],[pendingAmount]]+TrafficData[[#This Row],[disposedAmount]]=TrafficData[[#This Row],[totalAmount]]</f>
        <v>1</v>
      </c>
      <c r="M918" t="b">
        <f>TrafficData[[#This Row],[pendingCourt]]+TrafficData[[#This Row],[disposedCourt]]=TrafficData[[#This Row],[totalCourt]]</f>
        <v>1</v>
      </c>
      <c r="N918" t="b">
        <f>AND(TrafficData[[#This Row],[disposedChallan]]&lt;=TrafficData[[#This Row],[totalChallan]],TrafficData[[#This Row],[pendingChallan]]&lt;=TrafficData[[#This Row],[totalChallan]])</f>
        <v>1</v>
      </c>
      <c r="O918" t="b">
        <f>AND(TrafficData[[#This Row],[pendingAmount]]&lt;=TrafficData[[#This Row],[totalAmount]],TrafficData[[#This Row],[disposedAmount]]&lt;=TrafficData[[#This Row],[totalAmount]])</f>
        <v>1</v>
      </c>
      <c r="P918" t="b">
        <f>AND(TrafficData[[#This Row],[pendingCourt]]&lt;=TrafficData[[#This Row],[totalCourt]],TrafficData[[#This Row],[disposedCourt]]&lt;=TrafficData[[#This Row],[totalCourt]])</f>
        <v>1</v>
      </c>
    </row>
    <row r="919" spans="1:16">
      <c r="A919" s="1">
        <v>42922</v>
      </c>
      <c r="B919">
        <v>1719</v>
      </c>
      <c r="C919">
        <v>926</v>
      </c>
      <c r="D919">
        <v>793</v>
      </c>
      <c r="E919">
        <v>1943800</v>
      </c>
      <c r="F919">
        <v>5191885</v>
      </c>
      <c r="G919">
        <v>7135685</v>
      </c>
      <c r="H919">
        <v>581</v>
      </c>
      <c r="I919">
        <v>112</v>
      </c>
      <c r="J919">
        <v>693</v>
      </c>
      <c r="K919" t="b">
        <f>TrafficData[[#This Row],[disposedChallan]]+TrafficData[[#This Row],[pendingChallan]]=TrafficData[[#This Row],[totalChallan]]</f>
        <v>1</v>
      </c>
      <c r="L919" t="b">
        <f>TrafficData[[#This Row],[pendingAmount]]+TrafficData[[#This Row],[disposedAmount]]=TrafficData[[#This Row],[totalAmount]]</f>
        <v>1</v>
      </c>
      <c r="M919" t="b">
        <f>TrafficData[[#This Row],[pendingCourt]]+TrafficData[[#This Row],[disposedCourt]]=TrafficData[[#This Row],[totalCourt]]</f>
        <v>1</v>
      </c>
      <c r="N919" t="b">
        <f>AND(TrafficData[[#This Row],[disposedChallan]]&lt;=TrafficData[[#This Row],[totalChallan]],TrafficData[[#This Row],[pendingChallan]]&lt;=TrafficData[[#This Row],[totalChallan]])</f>
        <v>1</v>
      </c>
      <c r="O919" t="b">
        <f>AND(TrafficData[[#This Row],[pendingAmount]]&lt;=TrafficData[[#This Row],[totalAmount]],TrafficData[[#This Row],[disposedAmount]]&lt;=TrafficData[[#This Row],[totalAmount]])</f>
        <v>1</v>
      </c>
      <c r="P919" t="b">
        <f>AND(TrafficData[[#This Row],[pendingCourt]]&lt;=TrafficData[[#This Row],[totalCourt]],TrafficData[[#This Row],[disposedCourt]]&lt;=TrafficData[[#This Row],[totalCourt]])</f>
        <v>1</v>
      </c>
    </row>
    <row r="920" spans="1:16">
      <c r="A920" s="1">
        <v>42923</v>
      </c>
      <c r="B920">
        <v>1967</v>
      </c>
      <c r="C920">
        <v>1107</v>
      </c>
      <c r="D920">
        <v>860</v>
      </c>
      <c r="E920">
        <v>2011554</v>
      </c>
      <c r="F920">
        <v>6953154</v>
      </c>
      <c r="G920">
        <v>8964708</v>
      </c>
      <c r="H920">
        <v>609</v>
      </c>
      <c r="I920">
        <v>154</v>
      </c>
      <c r="J920">
        <v>763</v>
      </c>
      <c r="K920" t="b">
        <f>TrafficData[[#This Row],[disposedChallan]]+TrafficData[[#This Row],[pendingChallan]]=TrafficData[[#This Row],[totalChallan]]</f>
        <v>1</v>
      </c>
      <c r="L920" t="b">
        <f>TrafficData[[#This Row],[pendingAmount]]+TrafficData[[#This Row],[disposedAmount]]=TrafficData[[#This Row],[totalAmount]]</f>
        <v>1</v>
      </c>
      <c r="M920" t="b">
        <f>TrafficData[[#This Row],[pendingCourt]]+TrafficData[[#This Row],[disposedCourt]]=TrafficData[[#This Row],[totalCourt]]</f>
        <v>1</v>
      </c>
      <c r="N920" t="b">
        <f>AND(TrafficData[[#This Row],[disposedChallan]]&lt;=TrafficData[[#This Row],[totalChallan]],TrafficData[[#This Row],[pendingChallan]]&lt;=TrafficData[[#This Row],[totalChallan]])</f>
        <v>1</v>
      </c>
      <c r="O920" t="b">
        <f>AND(TrafficData[[#This Row],[pendingAmount]]&lt;=TrafficData[[#This Row],[totalAmount]],TrafficData[[#This Row],[disposedAmount]]&lt;=TrafficData[[#This Row],[totalAmount]])</f>
        <v>1</v>
      </c>
      <c r="P920" t="b">
        <f>AND(TrafficData[[#This Row],[pendingCourt]]&lt;=TrafficData[[#This Row],[totalCourt]],TrafficData[[#This Row],[disposedCourt]]&lt;=TrafficData[[#This Row],[totalCourt]])</f>
        <v>1</v>
      </c>
    </row>
    <row r="921" spans="1:16">
      <c r="A921" s="1">
        <v>42924</v>
      </c>
      <c r="B921">
        <v>1477</v>
      </c>
      <c r="C921">
        <v>705</v>
      </c>
      <c r="D921">
        <v>772</v>
      </c>
      <c r="E921">
        <v>1333650</v>
      </c>
      <c r="F921">
        <v>3900270</v>
      </c>
      <c r="G921">
        <v>5233920</v>
      </c>
      <c r="H921">
        <v>553</v>
      </c>
      <c r="I921">
        <v>131</v>
      </c>
      <c r="J921">
        <v>684</v>
      </c>
      <c r="K921" t="b">
        <f>TrafficData[[#This Row],[disposedChallan]]+TrafficData[[#This Row],[pendingChallan]]=TrafficData[[#This Row],[totalChallan]]</f>
        <v>1</v>
      </c>
      <c r="L921" t="b">
        <f>TrafficData[[#This Row],[pendingAmount]]+TrafficData[[#This Row],[disposedAmount]]=TrafficData[[#This Row],[totalAmount]]</f>
        <v>1</v>
      </c>
      <c r="M921" t="b">
        <f>TrafficData[[#This Row],[pendingCourt]]+TrafficData[[#This Row],[disposedCourt]]=TrafficData[[#This Row],[totalCourt]]</f>
        <v>1</v>
      </c>
      <c r="N921" t="b">
        <f>AND(TrafficData[[#This Row],[disposedChallan]]&lt;=TrafficData[[#This Row],[totalChallan]],TrafficData[[#This Row],[pendingChallan]]&lt;=TrafficData[[#This Row],[totalChallan]])</f>
        <v>1</v>
      </c>
      <c r="O921" t="b">
        <f>AND(TrafficData[[#This Row],[pendingAmount]]&lt;=TrafficData[[#This Row],[totalAmount]],TrafficData[[#This Row],[disposedAmount]]&lt;=TrafficData[[#This Row],[totalAmount]])</f>
        <v>1</v>
      </c>
      <c r="P921" t="b">
        <f>AND(TrafficData[[#This Row],[pendingCourt]]&lt;=TrafficData[[#This Row],[totalCourt]],TrafficData[[#This Row],[disposedCourt]]&lt;=TrafficData[[#This Row],[totalCourt]])</f>
        <v>1</v>
      </c>
    </row>
    <row r="922" spans="1:16">
      <c r="A922" s="1">
        <v>42925</v>
      </c>
      <c r="B922">
        <v>619</v>
      </c>
      <c r="C922">
        <v>281</v>
      </c>
      <c r="D922">
        <v>338</v>
      </c>
      <c r="E922">
        <v>981470</v>
      </c>
      <c r="F922">
        <v>1604945</v>
      </c>
      <c r="G922">
        <v>2586415</v>
      </c>
      <c r="H922">
        <v>195</v>
      </c>
      <c r="I922">
        <v>42</v>
      </c>
      <c r="J922">
        <v>237</v>
      </c>
      <c r="K922" t="b">
        <f>TrafficData[[#This Row],[disposedChallan]]+TrafficData[[#This Row],[pendingChallan]]=TrafficData[[#This Row],[totalChallan]]</f>
        <v>1</v>
      </c>
      <c r="L922" t="b">
        <f>TrafficData[[#This Row],[pendingAmount]]+TrafficData[[#This Row],[disposedAmount]]=TrafficData[[#This Row],[totalAmount]]</f>
        <v>1</v>
      </c>
      <c r="M922" t="b">
        <f>TrafficData[[#This Row],[pendingCourt]]+TrafficData[[#This Row],[disposedCourt]]=TrafficData[[#This Row],[totalCourt]]</f>
        <v>1</v>
      </c>
      <c r="N922" t="b">
        <f>AND(TrafficData[[#This Row],[disposedChallan]]&lt;=TrafficData[[#This Row],[totalChallan]],TrafficData[[#This Row],[pendingChallan]]&lt;=TrafficData[[#This Row],[totalChallan]])</f>
        <v>1</v>
      </c>
      <c r="O922" t="b">
        <f>AND(TrafficData[[#This Row],[pendingAmount]]&lt;=TrafficData[[#This Row],[totalAmount]],TrafficData[[#This Row],[disposedAmount]]&lt;=TrafficData[[#This Row],[totalAmount]])</f>
        <v>1</v>
      </c>
      <c r="P922" t="b">
        <f>AND(TrafficData[[#This Row],[pendingCourt]]&lt;=TrafficData[[#This Row],[totalCourt]],TrafficData[[#This Row],[disposedCourt]]&lt;=TrafficData[[#This Row],[totalCourt]])</f>
        <v>1</v>
      </c>
    </row>
    <row r="923" spans="1:16">
      <c r="A923" s="1">
        <v>42926</v>
      </c>
      <c r="B923">
        <v>1468</v>
      </c>
      <c r="C923">
        <v>736</v>
      </c>
      <c r="D923">
        <v>732</v>
      </c>
      <c r="E923">
        <v>1697350</v>
      </c>
      <c r="F923">
        <v>3990375</v>
      </c>
      <c r="G923">
        <v>5687725</v>
      </c>
      <c r="H923">
        <v>497</v>
      </c>
      <c r="I923">
        <v>66</v>
      </c>
      <c r="J923">
        <v>563</v>
      </c>
      <c r="K923" t="b">
        <f>TrafficData[[#This Row],[disposedChallan]]+TrafficData[[#This Row],[pendingChallan]]=TrafficData[[#This Row],[totalChallan]]</f>
        <v>1</v>
      </c>
      <c r="L923" t="b">
        <f>TrafficData[[#This Row],[pendingAmount]]+TrafficData[[#This Row],[disposedAmount]]=TrafficData[[#This Row],[totalAmount]]</f>
        <v>1</v>
      </c>
      <c r="M923" t="b">
        <f>TrafficData[[#This Row],[pendingCourt]]+TrafficData[[#This Row],[disposedCourt]]=TrafficData[[#This Row],[totalCourt]]</f>
        <v>1</v>
      </c>
      <c r="N923" t="b">
        <f>AND(TrafficData[[#This Row],[disposedChallan]]&lt;=TrafficData[[#This Row],[totalChallan]],TrafficData[[#This Row],[pendingChallan]]&lt;=TrafficData[[#This Row],[totalChallan]])</f>
        <v>1</v>
      </c>
      <c r="O923" t="b">
        <f>AND(TrafficData[[#This Row],[pendingAmount]]&lt;=TrafficData[[#This Row],[totalAmount]],TrafficData[[#This Row],[disposedAmount]]&lt;=TrafficData[[#This Row],[totalAmount]])</f>
        <v>1</v>
      </c>
      <c r="P923" t="b">
        <f>AND(TrafficData[[#This Row],[pendingCourt]]&lt;=TrafficData[[#This Row],[totalCourt]],TrafficData[[#This Row],[disposedCourt]]&lt;=TrafficData[[#This Row],[totalCourt]])</f>
        <v>1</v>
      </c>
    </row>
    <row r="924" spans="1:16">
      <c r="A924" s="1">
        <v>42927</v>
      </c>
      <c r="B924">
        <v>1894</v>
      </c>
      <c r="C924">
        <v>1032</v>
      </c>
      <c r="D924">
        <v>862</v>
      </c>
      <c r="E924">
        <v>1428680</v>
      </c>
      <c r="F924">
        <v>6238004</v>
      </c>
      <c r="G924">
        <v>7666684</v>
      </c>
      <c r="H924">
        <v>656</v>
      </c>
      <c r="I924">
        <v>116</v>
      </c>
      <c r="J924">
        <v>772</v>
      </c>
      <c r="K924" t="b">
        <f>TrafficData[[#This Row],[disposedChallan]]+TrafficData[[#This Row],[pendingChallan]]=TrafficData[[#This Row],[totalChallan]]</f>
        <v>1</v>
      </c>
      <c r="L924" t="b">
        <f>TrafficData[[#This Row],[pendingAmount]]+TrafficData[[#This Row],[disposedAmount]]=TrafficData[[#This Row],[totalAmount]]</f>
        <v>1</v>
      </c>
      <c r="M924" t="b">
        <f>TrafficData[[#This Row],[pendingCourt]]+TrafficData[[#This Row],[disposedCourt]]=TrafficData[[#This Row],[totalCourt]]</f>
        <v>1</v>
      </c>
      <c r="N924" t="b">
        <f>AND(TrafficData[[#This Row],[disposedChallan]]&lt;=TrafficData[[#This Row],[totalChallan]],TrafficData[[#This Row],[pendingChallan]]&lt;=TrafficData[[#This Row],[totalChallan]])</f>
        <v>1</v>
      </c>
      <c r="O924" t="b">
        <f>AND(TrafficData[[#This Row],[pendingAmount]]&lt;=TrafficData[[#This Row],[totalAmount]],TrafficData[[#This Row],[disposedAmount]]&lt;=TrafficData[[#This Row],[totalAmount]])</f>
        <v>1</v>
      </c>
      <c r="P924" t="b">
        <f>AND(TrafficData[[#This Row],[pendingCourt]]&lt;=TrafficData[[#This Row],[totalCourt]],TrafficData[[#This Row],[disposedCourt]]&lt;=TrafficData[[#This Row],[totalCourt]])</f>
        <v>1</v>
      </c>
    </row>
    <row r="925" spans="1:16">
      <c r="A925" s="1">
        <v>42928</v>
      </c>
      <c r="B925">
        <v>2214</v>
      </c>
      <c r="C925">
        <v>1106</v>
      </c>
      <c r="D925">
        <v>1108</v>
      </c>
      <c r="E925">
        <v>2019350</v>
      </c>
      <c r="F925">
        <v>5782158</v>
      </c>
      <c r="G925">
        <v>7801508</v>
      </c>
      <c r="H925">
        <v>847</v>
      </c>
      <c r="I925">
        <v>143</v>
      </c>
      <c r="J925">
        <v>990</v>
      </c>
      <c r="K925" t="b">
        <f>TrafficData[[#This Row],[disposedChallan]]+TrafficData[[#This Row],[pendingChallan]]=TrafficData[[#This Row],[totalChallan]]</f>
        <v>1</v>
      </c>
      <c r="L925" t="b">
        <f>TrafficData[[#This Row],[pendingAmount]]+TrafficData[[#This Row],[disposedAmount]]=TrafficData[[#This Row],[totalAmount]]</f>
        <v>1</v>
      </c>
      <c r="M925" t="b">
        <f>TrafficData[[#This Row],[pendingCourt]]+TrafficData[[#This Row],[disposedCourt]]=TrafficData[[#This Row],[totalCourt]]</f>
        <v>1</v>
      </c>
      <c r="N925" t="b">
        <f>AND(TrafficData[[#This Row],[disposedChallan]]&lt;=TrafficData[[#This Row],[totalChallan]],TrafficData[[#This Row],[pendingChallan]]&lt;=TrafficData[[#This Row],[totalChallan]])</f>
        <v>1</v>
      </c>
      <c r="O925" t="b">
        <f>AND(TrafficData[[#This Row],[pendingAmount]]&lt;=TrafficData[[#This Row],[totalAmount]],TrafficData[[#This Row],[disposedAmount]]&lt;=TrafficData[[#This Row],[totalAmount]])</f>
        <v>1</v>
      </c>
      <c r="P925" t="b">
        <f>AND(TrafficData[[#This Row],[pendingCourt]]&lt;=TrafficData[[#This Row],[totalCourt]],TrafficData[[#This Row],[disposedCourt]]&lt;=TrafficData[[#This Row],[totalCourt]])</f>
        <v>1</v>
      </c>
    </row>
    <row r="926" spans="1:16">
      <c r="A926" s="1">
        <v>42929</v>
      </c>
      <c r="B926">
        <v>2206</v>
      </c>
      <c r="C926">
        <v>1228</v>
      </c>
      <c r="D926">
        <v>978</v>
      </c>
      <c r="E926">
        <v>2063150</v>
      </c>
      <c r="F926">
        <v>6608948</v>
      </c>
      <c r="G926">
        <v>8672098</v>
      </c>
      <c r="H926">
        <v>743</v>
      </c>
      <c r="I926">
        <v>175</v>
      </c>
      <c r="J926">
        <v>918</v>
      </c>
      <c r="K926" t="b">
        <f>TrafficData[[#This Row],[disposedChallan]]+TrafficData[[#This Row],[pendingChallan]]=TrafficData[[#This Row],[totalChallan]]</f>
        <v>1</v>
      </c>
      <c r="L926" t="b">
        <f>TrafficData[[#This Row],[pendingAmount]]+TrafficData[[#This Row],[disposedAmount]]=TrafficData[[#This Row],[totalAmount]]</f>
        <v>1</v>
      </c>
      <c r="M926" t="b">
        <f>TrafficData[[#This Row],[pendingCourt]]+TrafficData[[#This Row],[disposedCourt]]=TrafficData[[#This Row],[totalCourt]]</f>
        <v>1</v>
      </c>
      <c r="N926" t="b">
        <f>AND(TrafficData[[#This Row],[disposedChallan]]&lt;=TrafficData[[#This Row],[totalChallan]],TrafficData[[#This Row],[pendingChallan]]&lt;=TrafficData[[#This Row],[totalChallan]])</f>
        <v>1</v>
      </c>
      <c r="O926" t="b">
        <f>AND(TrafficData[[#This Row],[pendingAmount]]&lt;=TrafficData[[#This Row],[totalAmount]],TrafficData[[#This Row],[disposedAmount]]&lt;=TrafficData[[#This Row],[totalAmount]])</f>
        <v>1</v>
      </c>
      <c r="P926" t="b">
        <f>AND(TrafficData[[#This Row],[pendingCourt]]&lt;=TrafficData[[#This Row],[totalCourt]],TrafficData[[#This Row],[disposedCourt]]&lt;=TrafficData[[#This Row],[totalCourt]])</f>
        <v>1</v>
      </c>
    </row>
    <row r="927" spans="1:16">
      <c r="A927" s="1">
        <v>42930</v>
      </c>
      <c r="B927">
        <v>1959</v>
      </c>
      <c r="C927">
        <v>1110</v>
      </c>
      <c r="D927">
        <v>849</v>
      </c>
      <c r="E927">
        <v>2299631</v>
      </c>
      <c r="F927">
        <v>6984097</v>
      </c>
      <c r="G927">
        <v>9283728</v>
      </c>
      <c r="H927">
        <v>566</v>
      </c>
      <c r="I927">
        <v>148</v>
      </c>
      <c r="J927">
        <v>714</v>
      </c>
      <c r="K927" t="b">
        <f>TrafficData[[#This Row],[disposedChallan]]+TrafficData[[#This Row],[pendingChallan]]=TrafficData[[#This Row],[totalChallan]]</f>
        <v>1</v>
      </c>
      <c r="L927" t="b">
        <f>TrafficData[[#This Row],[pendingAmount]]+TrafficData[[#This Row],[disposedAmount]]=TrafficData[[#This Row],[totalAmount]]</f>
        <v>1</v>
      </c>
      <c r="M927" t="b">
        <f>TrafficData[[#This Row],[pendingCourt]]+TrafficData[[#This Row],[disposedCourt]]=TrafficData[[#This Row],[totalCourt]]</f>
        <v>1</v>
      </c>
      <c r="N927" t="b">
        <f>AND(TrafficData[[#This Row],[disposedChallan]]&lt;=TrafficData[[#This Row],[totalChallan]],TrafficData[[#This Row],[pendingChallan]]&lt;=TrafficData[[#This Row],[totalChallan]])</f>
        <v>1</v>
      </c>
      <c r="O927" t="b">
        <f>AND(TrafficData[[#This Row],[pendingAmount]]&lt;=TrafficData[[#This Row],[totalAmount]],TrafficData[[#This Row],[disposedAmount]]&lt;=TrafficData[[#This Row],[totalAmount]])</f>
        <v>1</v>
      </c>
      <c r="P927" t="b">
        <f>AND(TrafficData[[#This Row],[pendingCourt]]&lt;=TrafficData[[#This Row],[totalCourt]],TrafficData[[#This Row],[disposedCourt]]&lt;=TrafficData[[#This Row],[totalCourt]])</f>
        <v>1</v>
      </c>
    </row>
    <row r="928" spans="1:16">
      <c r="A928" s="1">
        <v>42931</v>
      </c>
      <c r="B928">
        <v>2313</v>
      </c>
      <c r="C928">
        <v>1372</v>
      </c>
      <c r="D928">
        <v>941</v>
      </c>
      <c r="E928">
        <v>1953880</v>
      </c>
      <c r="F928">
        <v>5436191</v>
      </c>
      <c r="G928">
        <v>7390071</v>
      </c>
      <c r="H928">
        <v>736</v>
      </c>
      <c r="I928">
        <v>167</v>
      </c>
      <c r="J928">
        <v>903</v>
      </c>
      <c r="K928" t="b">
        <f>TrafficData[[#This Row],[disposedChallan]]+TrafficData[[#This Row],[pendingChallan]]=TrafficData[[#This Row],[totalChallan]]</f>
        <v>1</v>
      </c>
      <c r="L928" t="b">
        <f>TrafficData[[#This Row],[pendingAmount]]+TrafficData[[#This Row],[disposedAmount]]=TrafficData[[#This Row],[totalAmount]]</f>
        <v>1</v>
      </c>
      <c r="M928" t="b">
        <f>TrafficData[[#This Row],[pendingCourt]]+TrafficData[[#This Row],[disposedCourt]]=TrafficData[[#This Row],[totalCourt]]</f>
        <v>1</v>
      </c>
      <c r="N928" t="b">
        <f>AND(TrafficData[[#This Row],[disposedChallan]]&lt;=TrafficData[[#This Row],[totalChallan]],TrafficData[[#This Row],[pendingChallan]]&lt;=TrafficData[[#This Row],[totalChallan]])</f>
        <v>1</v>
      </c>
      <c r="O928" t="b">
        <f>AND(TrafficData[[#This Row],[pendingAmount]]&lt;=TrafficData[[#This Row],[totalAmount]],TrafficData[[#This Row],[disposedAmount]]&lt;=TrafficData[[#This Row],[totalAmount]])</f>
        <v>1</v>
      </c>
      <c r="P928" t="b">
        <f>AND(TrafficData[[#This Row],[pendingCourt]]&lt;=TrafficData[[#This Row],[totalCourt]],TrafficData[[#This Row],[disposedCourt]]&lt;=TrafficData[[#This Row],[totalCourt]])</f>
        <v>1</v>
      </c>
    </row>
    <row r="929" spans="1:16">
      <c r="A929" s="1">
        <v>42932</v>
      </c>
      <c r="B929">
        <v>1143</v>
      </c>
      <c r="C929">
        <v>736</v>
      </c>
      <c r="D929">
        <v>407</v>
      </c>
      <c r="E929">
        <v>1073850</v>
      </c>
      <c r="F929">
        <v>3037216</v>
      </c>
      <c r="G929">
        <v>4111066</v>
      </c>
      <c r="H929">
        <v>286</v>
      </c>
      <c r="I929">
        <v>112</v>
      </c>
      <c r="J929">
        <v>398</v>
      </c>
      <c r="K929" t="b">
        <f>TrafficData[[#This Row],[disposedChallan]]+TrafficData[[#This Row],[pendingChallan]]=TrafficData[[#This Row],[totalChallan]]</f>
        <v>1</v>
      </c>
      <c r="L929" t="b">
        <f>TrafficData[[#This Row],[pendingAmount]]+TrafficData[[#This Row],[disposedAmount]]=TrafficData[[#This Row],[totalAmount]]</f>
        <v>1</v>
      </c>
      <c r="M929" t="b">
        <f>TrafficData[[#This Row],[pendingCourt]]+TrafficData[[#This Row],[disposedCourt]]=TrafficData[[#This Row],[totalCourt]]</f>
        <v>1</v>
      </c>
      <c r="N929" t="b">
        <f>AND(TrafficData[[#This Row],[disposedChallan]]&lt;=TrafficData[[#This Row],[totalChallan]],TrafficData[[#This Row],[pendingChallan]]&lt;=TrafficData[[#This Row],[totalChallan]])</f>
        <v>1</v>
      </c>
      <c r="O929" t="b">
        <f>AND(TrafficData[[#This Row],[pendingAmount]]&lt;=TrafficData[[#This Row],[totalAmount]],TrafficData[[#This Row],[disposedAmount]]&lt;=TrafficData[[#This Row],[totalAmount]])</f>
        <v>1</v>
      </c>
      <c r="P929" t="b">
        <f>AND(TrafficData[[#This Row],[pendingCourt]]&lt;=TrafficData[[#This Row],[totalCourt]],TrafficData[[#This Row],[disposedCourt]]&lt;=TrafficData[[#This Row],[totalCourt]])</f>
        <v>1</v>
      </c>
    </row>
    <row r="930" spans="1:16">
      <c r="A930" s="1">
        <v>42933</v>
      </c>
      <c r="B930">
        <v>2282</v>
      </c>
      <c r="C930">
        <v>1312</v>
      </c>
      <c r="D930">
        <v>970</v>
      </c>
      <c r="E930">
        <v>2067700</v>
      </c>
      <c r="F930">
        <v>4539970</v>
      </c>
      <c r="G930">
        <v>6607670</v>
      </c>
      <c r="H930">
        <v>737</v>
      </c>
      <c r="I930">
        <v>161</v>
      </c>
      <c r="J930">
        <v>898</v>
      </c>
      <c r="K930" t="b">
        <f>TrafficData[[#This Row],[disposedChallan]]+TrafficData[[#This Row],[pendingChallan]]=TrafficData[[#This Row],[totalChallan]]</f>
        <v>1</v>
      </c>
      <c r="L930" t="b">
        <f>TrafficData[[#This Row],[pendingAmount]]+TrafficData[[#This Row],[disposedAmount]]=TrafficData[[#This Row],[totalAmount]]</f>
        <v>1</v>
      </c>
      <c r="M930" t="b">
        <f>TrafficData[[#This Row],[pendingCourt]]+TrafficData[[#This Row],[disposedCourt]]=TrafficData[[#This Row],[totalCourt]]</f>
        <v>1</v>
      </c>
      <c r="N930" t="b">
        <f>AND(TrafficData[[#This Row],[disposedChallan]]&lt;=TrafficData[[#This Row],[totalChallan]],TrafficData[[#This Row],[pendingChallan]]&lt;=TrafficData[[#This Row],[totalChallan]])</f>
        <v>1</v>
      </c>
      <c r="O930" t="b">
        <f>AND(TrafficData[[#This Row],[pendingAmount]]&lt;=TrafficData[[#This Row],[totalAmount]],TrafficData[[#This Row],[disposedAmount]]&lt;=TrafficData[[#This Row],[totalAmount]])</f>
        <v>1</v>
      </c>
      <c r="P930" t="b">
        <f>AND(TrafficData[[#This Row],[pendingCourt]]&lt;=TrafficData[[#This Row],[totalCourt]],TrafficData[[#This Row],[disposedCourt]]&lt;=TrafficData[[#This Row],[totalCourt]])</f>
        <v>1</v>
      </c>
    </row>
    <row r="931" spans="1:16">
      <c r="A931" s="1">
        <v>42934</v>
      </c>
      <c r="B931">
        <v>2672</v>
      </c>
      <c r="C931">
        <v>1419</v>
      </c>
      <c r="D931">
        <v>1253</v>
      </c>
      <c r="E931">
        <v>2690800</v>
      </c>
      <c r="F931">
        <v>6857802</v>
      </c>
      <c r="G931">
        <v>9548602</v>
      </c>
      <c r="H931">
        <v>950</v>
      </c>
      <c r="I931">
        <v>170</v>
      </c>
      <c r="J931">
        <v>1120</v>
      </c>
      <c r="K931" t="b">
        <f>TrafficData[[#This Row],[disposedChallan]]+TrafficData[[#This Row],[pendingChallan]]=TrafficData[[#This Row],[totalChallan]]</f>
        <v>1</v>
      </c>
      <c r="L931" t="b">
        <f>TrafficData[[#This Row],[pendingAmount]]+TrafficData[[#This Row],[disposedAmount]]=TrafficData[[#This Row],[totalAmount]]</f>
        <v>1</v>
      </c>
      <c r="M931" t="b">
        <f>TrafficData[[#This Row],[pendingCourt]]+TrafficData[[#This Row],[disposedCourt]]=TrafficData[[#This Row],[totalCourt]]</f>
        <v>1</v>
      </c>
      <c r="N931" t="b">
        <f>AND(TrafficData[[#This Row],[disposedChallan]]&lt;=TrafficData[[#This Row],[totalChallan]],TrafficData[[#This Row],[pendingChallan]]&lt;=TrafficData[[#This Row],[totalChallan]])</f>
        <v>1</v>
      </c>
      <c r="O931" t="b">
        <f>AND(TrafficData[[#This Row],[pendingAmount]]&lt;=TrafficData[[#This Row],[totalAmount]],TrafficData[[#This Row],[disposedAmount]]&lt;=TrafficData[[#This Row],[totalAmount]])</f>
        <v>1</v>
      </c>
      <c r="P931" t="b">
        <f>AND(TrafficData[[#This Row],[pendingCourt]]&lt;=TrafficData[[#This Row],[totalCourt]],TrafficData[[#This Row],[disposedCourt]]&lt;=TrafficData[[#This Row],[totalCourt]])</f>
        <v>1</v>
      </c>
    </row>
    <row r="932" spans="1:16">
      <c r="A932" s="1">
        <v>42935</v>
      </c>
      <c r="B932">
        <v>2142</v>
      </c>
      <c r="C932">
        <v>1087</v>
      </c>
      <c r="D932">
        <v>1055</v>
      </c>
      <c r="E932">
        <v>2371650</v>
      </c>
      <c r="F932">
        <v>4503945</v>
      </c>
      <c r="G932">
        <v>6875595</v>
      </c>
      <c r="H932">
        <v>789</v>
      </c>
      <c r="I932">
        <v>142</v>
      </c>
      <c r="J932">
        <v>931</v>
      </c>
      <c r="K932" t="b">
        <f>TrafficData[[#This Row],[disposedChallan]]+TrafficData[[#This Row],[pendingChallan]]=TrafficData[[#This Row],[totalChallan]]</f>
        <v>1</v>
      </c>
      <c r="L932" t="b">
        <f>TrafficData[[#This Row],[pendingAmount]]+TrafficData[[#This Row],[disposedAmount]]=TrafficData[[#This Row],[totalAmount]]</f>
        <v>1</v>
      </c>
      <c r="M932" t="b">
        <f>TrafficData[[#This Row],[pendingCourt]]+TrafficData[[#This Row],[disposedCourt]]=TrafficData[[#This Row],[totalCourt]]</f>
        <v>1</v>
      </c>
      <c r="N932" t="b">
        <f>AND(TrafficData[[#This Row],[disposedChallan]]&lt;=TrafficData[[#This Row],[totalChallan]],TrafficData[[#This Row],[pendingChallan]]&lt;=TrafficData[[#This Row],[totalChallan]])</f>
        <v>1</v>
      </c>
      <c r="O932" t="b">
        <f>AND(TrafficData[[#This Row],[pendingAmount]]&lt;=TrafficData[[#This Row],[totalAmount]],TrafficData[[#This Row],[disposedAmount]]&lt;=TrafficData[[#This Row],[totalAmount]])</f>
        <v>1</v>
      </c>
      <c r="P932" t="b">
        <f>AND(TrafficData[[#This Row],[pendingCourt]]&lt;=TrafficData[[#This Row],[totalCourt]],TrafficData[[#This Row],[disposedCourt]]&lt;=TrafficData[[#This Row],[totalCourt]])</f>
        <v>1</v>
      </c>
    </row>
    <row r="933" spans="1:16">
      <c r="A933" s="1">
        <v>42936</v>
      </c>
      <c r="B933">
        <v>2110</v>
      </c>
      <c r="C933">
        <v>1077</v>
      </c>
      <c r="D933">
        <v>1033</v>
      </c>
      <c r="E933">
        <v>2060761</v>
      </c>
      <c r="F933">
        <v>3975607</v>
      </c>
      <c r="G933">
        <v>6036368</v>
      </c>
      <c r="H933">
        <v>786</v>
      </c>
      <c r="I933">
        <v>148</v>
      </c>
      <c r="J933">
        <v>934</v>
      </c>
      <c r="K933" t="b">
        <f>TrafficData[[#This Row],[disposedChallan]]+TrafficData[[#This Row],[pendingChallan]]=TrafficData[[#This Row],[totalChallan]]</f>
        <v>1</v>
      </c>
      <c r="L933" t="b">
        <f>TrafficData[[#This Row],[pendingAmount]]+TrafficData[[#This Row],[disposedAmount]]=TrafficData[[#This Row],[totalAmount]]</f>
        <v>1</v>
      </c>
      <c r="M933" t="b">
        <f>TrafficData[[#This Row],[pendingCourt]]+TrafficData[[#This Row],[disposedCourt]]=TrafficData[[#This Row],[totalCourt]]</f>
        <v>1</v>
      </c>
      <c r="N933" t="b">
        <f>AND(TrafficData[[#This Row],[disposedChallan]]&lt;=TrafficData[[#This Row],[totalChallan]],TrafficData[[#This Row],[pendingChallan]]&lt;=TrafficData[[#This Row],[totalChallan]])</f>
        <v>1</v>
      </c>
      <c r="O933" t="b">
        <f>AND(TrafficData[[#This Row],[pendingAmount]]&lt;=TrafficData[[#This Row],[totalAmount]],TrafficData[[#This Row],[disposedAmount]]&lt;=TrafficData[[#This Row],[totalAmount]])</f>
        <v>1</v>
      </c>
      <c r="P933" t="b">
        <f>AND(TrafficData[[#This Row],[pendingCourt]]&lt;=TrafficData[[#This Row],[totalCourt]],TrafficData[[#This Row],[disposedCourt]]&lt;=TrafficData[[#This Row],[totalCourt]])</f>
        <v>1</v>
      </c>
    </row>
    <row r="934" spans="1:16">
      <c r="A934" s="1">
        <v>42937</v>
      </c>
      <c r="B934">
        <v>1844</v>
      </c>
      <c r="C934">
        <v>990</v>
      </c>
      <c r="D934">
        <v>854</v>
      </c>
      <c r="E934">
        <v>1978190</v>
      </c>
      <c r="F934">
        <v>3819602</v>
      </c>
      <c r="G934">
        <v>5797792</v>
      </c>
      <c r="H934">
        <v>654</v>
      </c>
      <c r="I934">
        <v>152</v>
      </c>
      <c r="J934">
        <v>806</v>
      </c>
      <c r="K934" t="b">
        <f>TrafficData[[#This Row],[disposedChallan]]+TrafficData[[#This Row],[pendingChallan]]=TrafficData[[#This Row],[totalChallan]]</f>
        <v>1</v>
      </c>
      <c r="L934" t="b">
        <f>TrafficData[[#This Row],[pendingAmount]]+TrafficData[[#This Row],[disposedAmount]]=TrafficData[[#This Row],[totalAmount]]</f>
        <v>1</v>
      </c>
      <c r="M934" t="b">
        <f>TrafficData[[#This Row],[pendingCourt]]+TrafficData[[#This Row],[disposedCourt]]=TrafficData[[#This Row],[totalCourt]]</f>
        <v>1</v>
      </c>
      <c r="N934" t="b">
        <f>AND(TrafficData[[#This Row],[disposedChallan]]&lt;=TrafficData[[#This Row],[totalChallan]],TrafficData[[#This Row],[pendingChallan]]&lt;=TrafficData[[#This Row],[totalChallan]])</f>
        <v>1</v>
      </c>
      <c r="O934" t="b">
        <f>AND(TrafficData[[#This Row],[pendingAmount]]&lt;=TrafficData[[#This Row],[totalAmount]],TrafficData[[#This Row],[disposedAmount]]&lt;=TrafficData[[#This Row],[totalAmount]])</f>
        <v>1</v>
      </c>
      <c r="P934" t="b">
        <f>AND(TrafficData[[#This Row],[pendingCourt]]&lt;=TrafficData[[#This Row],[totalCourt]],TrafficData[[#This Row],[disposedCourt]]&lt;=TrafficData[[#This Row],[totalCourt]])</f>
        <v>1</v>
      </c>
    </row>
    <row r="935" spans="1:16">
      <c r="A935" s="1">
        <v>42938</v>
      </c>
      <c r="B935">
        <v>2026</v>
      </c>
      <c r="C935">
        <v>1087</v>
      </c>
      <c r="D935">
        <v>939</v>
      </c>
      <c r="E935">
        <v>2238762</v>
      </c>
      <c r="F935">
        <v>4824807</v>
      </c>
      <c r="G935">
        <v>7063569</v>
      </c>
      <c r="H935">
        <v>708</v>
      </c>
      <c r="I935">
        <v>139</v>
      </c>
      <c r="J935">
        <v>847</v>
      </c>
      <c r="K935" t="b">
        <f>TrafficData[[#This Row],[disposedChallan]]+TrafficData[[#This Row],[pendingChallan]]=TrafficData[[#This Row],[totalChallan]]</f>
        <v>1</v>
      </c>
      <c r="L935" t="b">
        <f>TrafficData[[#This Row],[pendingAmount]]+TrafficData[[#This Row],[disposedAmount]]=TrafficData[[#This Row],[totalAmount]]</f>
        <v>1</v>
      </c>
      <c r="M935" t="b">
        <f>TrafficData[[#This Row],[pendingCourt]]+TrafficData[[#This Row],[disposedCourt]]=TrafficData[[#This Row],[totalCourt]]</f>
        <v>1</v>
      </c>
      <c r="N935" t="b">
        <f>AND(TrafficData[[#This Row],[disposedChallan]]&lt;=TrafficData[[#This Row],[totalChallan]],TrafficData[[#This Row],[pendingChallan]]&lt;=TrafficData[[#This Row],[totalChallan]])</f>
        <v>1</v>
      </c>
      <c r="O935" t="b">
        <f>AND(TrafficData[[#This Row],[pendingAmount]]&lt;=TrafficData[[#This Row],[totalAmount]],TrafficData[[#This Row],[disposedAmount]]&lt;=TrafficData[[#This Row],[totalAmount]])</f>
        <v>1</v>
      </c>
      <c r="P935" t="b">
        <f>AND(TrafficData[[#This Row],[pendingCourt]]&lt;=TrafficData[[#This Row],[totalCourt]],TrafficData[[#This Row],[disposedCourt]]&lt;=TrafficData[[#This Row],[totalCourt]])</f>
        <v>1</v>
      </c>
    </row>
    <row r="936" spans="1:16">
      <c r="A936" s="1">
        <v>42939</v>
      </c>
      <c r="B936">
        <v>728</v>
      </c>
      <c r="C936">
        <v>401</v>
      </c>
      <c r="D936">
        <v>327</v>
      </c>
      <c r="E936">
        <v>521400</v>
      </c>
      <c r="F936">
        <v>2305170</v>
      </c>
      <c r="G936">
        <v>2826570</v>
      </c>
      <c r="H936">
        <v>269</v>
      </c>
      <c r="I936">
        <v>62</v>
      </c>
      <c r="J936">
        <v>331</v>
      </c>
      <c r="K936" t="b">
        <f>TrafficData[[#This Row],[disposedChallan]]+TrafficData[[#This Row],[pendingChallan]]=TrafficData[[#This Row],[totalChallan]]</f>
        <v>1</v>
      </c>
      <c r="L936" t="b">
        <f>TrafficData[[#This Row],[pendingAmount]]+TrafficData[[#This Row],[disposedAmount]]=TrafficData[[#This Row],[totalAmount]]</f>
        <v>1</v>
      </c>
      <c r="M936" t="b">
        <f>TrafficData[[#This Row],[pendingCourt]]+TrafficData[[#This Row],[disposedCourt]]=TrafficData[[#This Row],[totalCourt]]</f>
        <v>1</v>
      </c>
      <c r="N936" t="b">
        <f>AND(TrafficData[[#This Row],[disposedChallan]]&lt;=TrafficData[[#This Row],[totalChallan]],TrafficData[[#This Row],[pendingChallan]]&lt;=TrafficData[[#This Row],[totalChallan]])</f>
        <v>1</v>
      </c>
      <c r="O936" t="b">
        <f>AND(TrafficData[[#This Row],[pendingAmount]]&lt;=TrafficData[[#This Row],[totalAmount]],TrafficData[[#This Row],[disposedAmount]]&lt;=TrafficData[[#This Row],[totalAmount]])</f>
        <v>1</v>
      </c>
      <c r="P936" t="b">
        <f>AND(TrafficData[[#This Row],[pendingCourt]]&lt;=TrafficData[[#This Row],[totalCourt]],TrafficData[[#This Row],[disposedCourt]]&lt;=TrafficData[[#This Row],[totalCourt]])</f>
        <v>1</v>
      </c>
    </row>
    <row r="937" spans="1:16">
      <c r="A937" s="1">
        <v>42940</v>
      </c>
      <c r="B937">
        <v>1868</v>
      </c>
      <c r="C937">
        <v>894</v>
      </c>
      <c r="D937">
        <v>974</v>
      </c>
      <c r="E937">
        <v>1577833</v>
      </c>
      <c r="F937">
        <v>3772743</v>
      </c>
      <c r="G937">
        <v>5350576</v>
      </c>
      <c r="H937">
        <v>772</v>
      </c>
      <c r="I937">
        <v>100</v>
      </c>
      <c r="J937">
        <v>872</v>
      </c>
      <c r="K937" t="b">
        <f>TrafficData[[#This Row],[disposedChallan]]+TrafficData[[#This Row],[pendingChallan]]=TrafficData[[#This Row],[totalChallan]]</f>
        <v>1</v>
      </c>
      <c r="L937" t="b">
        <f>TrafficData[[#This Row],[pendingAmount]]+TrafficData[[#This Row],[disposedAmount]]=TrafficData[[#This Row],[totalAmount]]</f>
        <v>1</v>
      </c>
      <c r="M937" t="b">
        <f>TrafficData[[#This Row],[pendingCourt]]+TrafficData[[#This Row],[disposedCourt]]=TrafficData[[#This Row],[totalCourt]]</f>
        <v>1</v>
      </c>
      <c r="N937" t="b">
        <f>AND(TrafficData[[#This Row],[disposedChallan]]&lt;=TrafficData[[#This Row],[totalChallan]],TrafficData[[#This Row],[pendingChallan]]&lt;=TrafficData[[#This Row],[totalChallan]])</f>
        <v>1</v>
      </c>
      <c r="O937" t="b">
        <f>AND(TrafficData[[#This Row],[pendingAmount]]&lt;=TrafficData[[#This Row],[totalAmount]],TrafficData[[#This Row],[disposedAmount]]&lt;=TrafficData[[#This Row],[totalAmount]])</f>
        <v>1</v>
      </c>
      <c r="P937" t="b">
        <f>AND(TrafficData[[#This Row],[pendingCourt]]&lt;=TrafficData[[#This Row],[totalCourt]],TrafficData[[#This Row],[disposedCourt]]&lt;=TrafficData[[#This Row],[totalCourt]])</f>
        <v>1</v>
      </c>
    </row>
    <row r="938" spans="1:16">
      <c r="A938" s="1">
        <v>42941</v>
      </c>
      <c r="B938">
        <v>2059</v>
      </c>
      <c r="C938">
        <v>1127</v>
      </c>
      <c r="D938">
        <v>932</v>
      </c>
      <c r="E938">
        <v>1465178</v>
      </c>
      <c r="F938">
        <v>6044226</v>
      </c>
      <c r="G938">
        <v>7509404</v>
      </c>
      <c r="H938">
        <v>744</v>
      </c>
      <c r="I938">
        <v>119</v>
      </c>
      <c r="J938">
        <v>863</v>
      </c>
      <c r="K938" t="b">
        <f>TrafficData[[#This Row],[disposedChallan]]+TrafficData[[#This Row],[pendingChallan]]=TrafficData[[#This Row],[totalChallan]]</f>
        <v>1</v>
      </c>
      <c r="L938" t="b">
        <f>TrafficData[[#This Row],[pendingAmount]]+TrafficData[[#This Row],[disposedAmount]]=TrafficData[[#This Row],[totalAmount]]</f>
        <v>1</v>
      </c>
      <c r="M938" t="b">
        <f>TrafficData[[#This Row],[pendingCourt]]+TrafficData[[#This Row],[disposedCourt]]=TrafficData[[#This Row],[totalCourt]]</f>
        <v>1</v>
      </c>
      <c r="N938" t="b">
        <f>AND(TrafficData[[#This Row],[disposedChallan]]&lt;=TrafficData[[#This Row],[totalChallan]],TrafficData[[#This Row],[pendingChallan]]&lt;=TrafficData[[#This Row],[totalChallan]])</f>
        <v>1</v>
      </c>
      <c r="O938" t="b">
        <f>AND(TrafficData[[#This Row],[pendingAmount]]&lt;=TrafficData[[#This Row],[totalAmount]],TrafficData[[#This Row],[disposedAmount]]&lt;=TrafficData[[#This Row],[totalAmount]])</f>
        <v>1</v>
      </c>
      <c r="P938" t="b">
        <f>AND(TrafficData[[#This Row],[pendingCourt]]&lt;=TrafficData[[#This Row],[totalCourt]],TrafficData[[#This Row],[disposedCourt]]&lt;=TrafficData[[#This Row],[totalCourt]])</f>
        <v>1</v>
      </c>
    </row>
    <row r="939" spans="1:16">
      <c r="A939" s="1">
        <v>42942</v>
      </c>
      <c r="B939">
        <v>3051</v>
      </c>
      <c r="C939">
        <v>1761</v>
      </c>
      <c r="D939">
        <v>1290</v>
      </c>
      <c r="E939">
        <v>3056800</v>
      </c>
      <c r="F939">
        <v>7006651</v>
      </c>
      <c r="G939">
        <v>10063451</v>
      </c>
      <c r="H939">
        <v>990</v>
      </c>
      <c r="I939">
        <v>204</v>
      </c>
      <c r="J939">
        <v>1194</v>
      </c>
      <c r="K939" t="b">
        <f>TrafficData[[#This Row],[disposedChallan]]+TrafficData[[#This Row],[pendingChallan]]=TrafficData[[#This Row],[totalChallan]]</f>
        <v>1</v>
      </c>
      <c r="L939" t="b">
        <f>TrafficData[[#This Row],[pendingAmount]]+TrafficData[[#This Row],[disposedAmount]]=TrafficData[[#This Row],[totalAmount]]</f>
        <v>1</v>
      </c>
      <c r="M939" t="b">
        <f>TrafficData[[#This Row],[pendingCourt]]+TrafficData[[#This Row],[disposedCourt]]=TrafficData[[#This Row],[totalCourt]]</f>
        <v>1</v>
      </c>
      <c r="N939" t="b">
        <f>AND(TrafficData[[#This Row],[disposedChallan]]&lt;=TrafficData[[#This Row],[totalChallan]],TrafficData[[#This Row],[pendingChallan]]&lt;=TrafficData[[#This Row],[totalChallan]])</f>
        <v>1</v>
      </c>
      <c r="O939" t="b">
        <f>AND(TrafficData[[#This Row],[pendingAmount]]&lt;=TrafficData[[#This Row],[totalAmount]],TrafficData[[#This Row],[disposedAmount]]&lt;=TrafficData[[#This Row],[totalAmount]])</f>
        <v>1</v>
      </c>
      <c r="P939" t="b">
        <f>AND(TrafficData[[#This Row],[pendingCourt]]&lt;=TrafficData[[#This Row],[totalCourt]],TrafficData[[#This Row],[disposedCourt]]&lt;=TrafficData[[#This Row],[totalCourt]])</f>
        <v>1</v>
      </c>
    </row>
    <row r="940" spans="1:16">
      <c r="A940" s="1">
        <v>42943</v>
      </c>
      <c r="B940">
        <v>2522</v>
      </c>
      <c r="C940">
        <v>1438</v>
      </c>
      <c r="D940">
        <v>1084</v>
      </c>
      <c r="E940">
        <v>1867430</v>
      </c>
      <c r="F940">
        <v>6817058</v>
      </c>
      <c r="G940">
        <v>8684488</v>
      </c>
      <c r="H940">
        <v>898</v>
      </c>
      <c r="I940">
        <v>199</v>
      </c>
      <c r="J940">
        <v>1097</v>
      </c>
      <c r="K940" t="b">
        <f>TrafficData[[#This Row],[disposedChallan]]+TrafficData[[#This Row],[pendingChallan]]=TrafficData[[#This Row],[totalChallan]]</f>
        <v>1</v>
      </c>
      <c r="L940" t="b">
        <f>TrafficData[[#This Row],[pendingAmount]]+TrafficData[[#This Row],[disposedAmount]]=TrafficData[[#This Row],[totalAmount]]</f>
        <v>1</v>
      </c>
      <c r="M940" t="b">
        <f>TrafficData[[#This Row],[pendingCourt]]+TrafficData[[#This Row],[disposedCourt]]=TrafficData[[#This Row],[totalCourt]]</f>
        <v>1</v>
      </c>
      <c r="N940" t="b">
        <f>AND(TrafficData[[#This Row],[disposedChallan]]&lt;=TrafficData[[#This Row],[totalChallan]],TrafficData[[#This Row],[pendingChallan]]&lt;=TrafficData[[#This Row],[totalChallan]])</f>
        <v>1</v>
      </c>
      <c r="O940" t="b">
        <f>AND(TrafficData[[#This Row],[pendingAmount]]&lt;=TrafficData[[#This Row],[totalAmount]],TrafficData[[#This Row],[disposedAmount]]&lt;=TrafficData[[#This Row],[totalAmount]])</f>
        <v>1</v>
      </c>
      <c r="P940" t="b">
        <f>AND(TrafficData[[#This Row],[pendingCourt]]&lt;=TrafficData[[#This Row],[totalCourt]],TrafficData[[#This Row],[disposedCourt]]&lt;=TrafficData[[#This Row],[totalCourt]])</f>
        <v>1</v>
      </c>
    </row>
    <row r="941" spans="1:16">
      <c r="A941" s="1">
        <v>42944</v>
      </c>
      <c r="B941">
        <v>2853</v>
      </c>
      <c r="C941">
        <v>1638</v>
      </c>
      <c r="D941">
        <v>1215</v>
      </c>
      <c r="E941">
        <v>1965600</v>
      </c>
      <c r="F941">
        <v>6821035</v>
      </c>
      <c r="G941">
        <v>8786635</v>
      </c>
      <c r="H941">
        <v>962</v>
      </c>
      <c r="I941">
        <v>204</v>
      </c>
      <c r="J941">
        <v>1166</v>
      </c>
      <c r="K941" t="b">
        <f>TrafficData[[#This Row],[disposedChallan]]+TrafficData[[#This Row],[pendingChallan]]=TrafficData[[#This Row],[totalChallan]]</f>
        <v>1</v>
      </c>
      <c r="L941" t="b">
        <f>TrafficData[[#This Row],[pendingAmount]]+TrafficData[[#This Row],[disposedAmount]]=TrafficData[[#This Row],[totalAmount]]</f>
        <v>1</v>
      </c>
      <c r="M941" t="b">
        <f>TrafficData[[#This Row],[pendingCourt]]+TrafficData[[#This Row],[disposedCourt]]=TrafficData[[#This Row],[totalCourt]]</f>
        <v>1</v>
      </c>
      <c r="N941" t="b">
        <f>AND(TrafficData[[#This Row],[disposedChallan]]&lt;=TrafficData[[#This Row],[totalChallan]],TrafficData[[#This Row],[pendingChallan]]&lt;=TrafficData[[#This Row],[totalChallan]])</f>
        <v>1</v>
      </c>
      <c r="O941" t="b">
        <f>AND(TrafficData[[#This Row],[pendingAmount]]&lt;=TrafficData[[#This Row],[totalAmount]],TrafficData[[#This Row],[disposedAmount]]&lt;=TrafficData[[#This Row],[totalAmount]])</f>
        <v>1</v>
      </c>
      <c r="P941" t="b">
        <f>AND(TrafficData[[#This Row],[pendingCourt]]&lt;=TrafficData[[#This Row],[totalCourt]],TrafficData[[#This Row],[disposedCourt]]&lt;=TrafficData[[#This Row],[totalCourt]])</f>
        <v>1</v>
      </c>
    </row>
    <row r="942" spans="1:16">
      <c r="A942" s="1">
        <v>42945</v>
      </c>
      <c r="B942">
        <v>2846</v>
      </c>
      <c r="C942">
        <v>1529</v>
      </c>
      <c r="D942">
        <v>1317</v>
      </c>
      <c r="E942">
        <v>1912250</v>
      </c>
      <c r="F942">
        <v>5383223</v>
      </c>
      <c r="G942">
        <v>7295473</v>
      </c>
      <c r="H942">
        <v>1004</v>
      </c>
      <c r="I942">
        <v>197</v>
      </c>
      <c r="J942">
        <v>1201</v>
      </c>
      <c r="K942" t="b">
        <f>TrafficData[[#This Row],[disposedChallan]]+TrafficData[[#This Row],[pendingChallan]]=TrafficData[[#This Row],[totalChallan]]</f>
        <v>1</v>
      </c>
      <c r="L942" t="b">
        <f>TrafficData[[#This Row],[pendingAmount]]+TrafficData[[#This Row],[disposedAmount]]=TrafficData[[#This Row],[totalAmount]]</f>
        <v>1</v>
      </c>
      <c r="M942" t="b">
        <f>TrafficData[[#This Row],[pendingCourt]]+TrafficData[[#This Row],[disposedCourt]]=TrafficData[[#This Row],[totalCourt]]</f>
        <v>1</v>
      </c>
      <c r="N942" t="b">
        <f>AND(TrafficData[[#This Row],[disposedChallan]]&lt;=TrafficData[[#This Row],[totalChallan]],TrafficData[[#This Row],[pendingChallan]]&lt;=TrafficData[[#This Row],[totalChallan]])</f>
        <v>1</v>
      </c>
      <c r="O942" t="b">
        <f>AND(TrafficData[[#This Row],[pendingAmount]]&lt;=TrafficData[[#This Row],[totalAmount]],TrafficData[[#This Row],[disposedAmount]]&lt;=TrafficData[[#This Row],[totalAmount]])</f>
        <v>1</v>
      </c>
      <c r="P942" t="b">
        <f>AND(TrafficData[[#This Row],[pendingCourt]]&lt;=TrafficData[[#This Row],[totalCourt]],TrafficData[[#This Row],[disposedCourt]]&lt;=TrafficData[[#This Row],[totalCourt]])</f>
        <v>1</v>
      </c>
    </row>
    <row r="943" spans="1:16">
      <c r="A943" s="1">
        <v>42946</v>
      </c>
      <c r="B943">
        <v>1251</v>
      </c>
      <c r="C943">
        <v>742</v>
      </c>
      <c r="D943">
        <v>509</v>
      </c>
      <c r="E943">
        <v>1147700</v>
      </c>
      <c r="F943">
        <v>2476682</v>
      </c>
      <c r="G943">
        <v>3624382</v>
      </c>
      <c r="H943">
        <v>366</v>
      </c>
      <c r="I943">
        <v>88</v>
      </c>
      <c r="J943">
        <v>454</v>
      </c>
      <c r="K943" t="b">
        <f>TrafficData[[#This Row],[disposedChallan]]+TrafficData[[#This Row],[pendingChallan]]=TrafficData[[#This Row],[totalChallan]]</f>
        <v>1</v>
      </c>
      <c r="L943" t="b">
        <f>TrafficData[[#This Row],[pendingAmount]]+TrafficData[[#This Row],[disposedAmount]]=TrafficData[[#This Row],[totalAmount]]</f>
        <v>1</v>
      </c>
      <c r="M943" t="b">
        <f>TrafficData[[#This Row],[pendingCourt]]+TrafficData[[#This Row],[disposedCourt]]=TrafficData[[#This Row],[totalCourt]]</f>
        <v>1</v>
      </c>
      <c r="N943" t="b">
        <f>AND(TrafficData[[#This Row],[disposedChallan]]&lt;=TrafficData[[#This Row],[totalChallan]],TrafficData[[#This Row],[pendingChallan]]&lt;=TrafficData[[#This Row],[totalChallan]])</f>
        <v>1</v>
      </c>
      <c r="O943" t="b">
        <f>AND(TrafficData[[#This Row],[pendingAmount]]&lt;=TrafficData[[#This Row],[totalAmount]],TrafficData[[#This Row],[disposedAmount]]&lt;=TrafficData[[#This Row],[totalAmount]])</f>
        <v>1</v>
      </c>
      <c r="P943" t="b">
        <f>AND(TrafficData[[#This Row],[pendingCourt]]&lt;=TrafficData[[#This Row],[totalCourt]],TrafficData[[#This Row],[disposedCourt]]&lt;=TrafficData[[#This Row],[totalCourt]])</f>
        <v>1</v>
      </c>
    </row>
    <row r="944" spans="1:16">
      <c r="A944" s="1">
        <v>42947</v>
      </c>
      <c r="B944">
        <v>1740</v>
      </c>
      <c r="C944">
        <v>1005</v>
      </c>
      <c r="D944">
        <v>735</v>
      </c>
      <c r="E944">
        <v>1522850</v>
      </c>
      <c r="F944">
        <v>5399364</v>
      </c>
      <c r="G944">
        <v>6922214</v>
      </c>
      <c r="H944">
        <v>569</v>
      </c>
      <c r="I944">
        <v>134</v>
      </c>
      <c r="J944">
        <v>703</v>
      </c>
      <c r="K944" t="b">
        <f>TrafficData[[#This Row],[disposedChallan]]+TrafficData[[#This Row],[pendingChallan]]=TrafficData[[#This Row],[totalChallan]]</f>
        <v>1</v>
      </c>
      <c r="L944" t="b">
        <f>TrafficData[[#This Row],[pendingAmount]]+TrafficData[[#This Row],[disposedAmount]]=TrafficData[[#This Row],[totalAmount]]</f>
        <v>1</v>
      </c>
      <c r="M944" t="b">
        <f>TrafficData[[#This Row],[pendingCourt]]+TrafficData[[#This Row],[disposedCourt]]=TrafficData[[#This Row],[totalCourt]]</f>
        <v>1</v>
      </c>
      <c r="N944" t="b">
        <f>AND(TrafficData[[#This Row],[disposedChallan]]&lt;=TrafficData[[#This Row],[totalChallan]],TrafficData[[#This Row],[pendingChallan]]&lt;=TrafficData[[#This Row],[totalChallan]])</f>
        <v>1</v>
      </c>
      <c r="O944" t="b">
        <f>AND(TrafficData[[#This Row],[pendingAmount]]&lt;=TrafficData[[#This Row],[totalAmount]],TrafficData[[#This Row],[disposedAmount]]&lt;=TrafficData[[#This Row],[totalAmount]])</f>
        <v>1</v>
      </c>
      <c r="P944" t="b">
        <f>AND(TrafficData[[#This Row],[pendingCourt]]&lt;=TrafficData[[#This Row],[totalCourt]],TrafficData[[#This Row],[disposedCourt]]&lt;=TrafficData[[#This Row],[totalCourt]])</f>
        <v>1</v>
      </c>
    </row>
    <row r="945" spans="1:16">
      <c r="A945" s="1">
        <v>42948</v>
      </c>
      <c r="B945">
        <v>2079</v>
      </c>
      <c r="C945">
        <v>920</v>
      </c>
      <c r="D945">
        <v>1159</v>
      </c>
      <c r="E945">
        <v>1921850</v>
      </c>
      <c r="F945">
        <v>6324202</v>
      </c>
      <c r="G945">
        <v>8246052</v>
      </c>
      <c r="H945">
        <v>908</v>
      </c>
      <c r="I945">
        <v>141</v>
      </c>
      <c r="J945">
        <v>1049</v>
      </c>
      <c r="K945" t="b">
        <f>TrafficData[[#This Row],[disposedChallan]]+TrafficData[[#This Row],[pendingChallan]]=TrafficData[[#This Row],[totalChallan]]</f>
        <v>1</v>
      </c>
      <c r="L945" t="b">
        <f>TrafficData[[#This Row],[pendingAmount]]+TrafficData[[#This Row],[disposedAmount]]=TrafficData[[#This Row],[totalAmount]]</f>
        <v>1</v>
      </c>
      <c r="M945" t="b">
        <f>TrafficData[[#This Row],[pendingCourt]]+TrafficData[[#This Row],[disposedCourt]]=TrafficData[[#This Row],[totalCourt]]</f>
        <v>1</v>
      </c>
      <c r="N945" t="b">
        <f>AND(TrafficData[[#This Row],[disposedChallan]]&lt;=TrafficData[[#This Row],[totalChallan]],TrafficData[[#This Row],[pendingChallan]]&lt;=TrafficData[[#This Row],[totalChallan]])</f>
        <v>1</v>
      </c>
      <c r="O945" t="b">
        <f>AND(TrafficData[[#This Row],[pendingAmount]]&lt;=TrafficData[[#This Row],[totalAmount]],TrafficData[[#This Row],[disposedAmount]]&lt;=TrafficData[[#This Row],[totalAmount]])</f>
        <v>1</v>
      </c>
      <c r="P945" t="b">
        <f>AND(TrafficData[[#This Row],[pendingCourt]]&lt;=TrafficData[[#This Row],[totalCourt]],TrafficData[[#This Row],[disposedCourt]]&lt;=TrafficData[[#This Row],[totalCourt]])</f>
        <v>1</v>
      </c>
    </row>
    <row r="946" spans="1:16">
      <c r="A946" s="1">
        <v>42949</v>
      </c>
      <c r="B946">
        <v>3234</v>
      </c>
      <c r="C946">
        <v>2018</v>
      </c>
      <c r="D946">
        <v>1216</v>
      </c>
      <c r="E946">
        <v>2820940</v>
      </c>
      <c r="F946">
        <v>6340507</v>
      </c>
      <c r="G946">
        <v>9161447</v>
      </c>
      <c r="H946">
        <v>953</v>
      </c>
      <c r="I946">
        <v>271</v>
      </c>
      <c r="J946">
        <v>1224</v>
      </c>
      <c r="K946" t="b">
        <f>TrafficData[[#This Row],[disposedChallan]]+TrafficData[[#This Row],[pendingChallan]]=TrafficData[[#This Row],[totalChallan]]</f>
        <v>1</v>
      </c>
      <c r="L946" t="b">
        <f>TrafficData[[#This Row],[pendingAmount]]+TrafficData[[#This Row],[disposedAmount]]=TrafficData[[#This Row],[totalAmount]]</f>
        <v>1</v>
      </c>
      <c r="M946" t="b">
        <f>TrafficData[[#This Row],[pendingCourt]]+TrafficData[[#This Row],[disposedCourt]]=TrafficData[[#This Row],[totalCourt]]</f>
        <v>1</v>
      </c>
      <c r="N946" t="b">
        <f>AND(TrafficData[[#This Row],[disposedChallan]]&lt;=TrafficData[[#This Row],[totalChallan]],TrafficData[[#This Row],[pendingChallan]]&lt;=TrafficData[[#This Row],[totalChallan]])</f>
        <v>1</v>
      </c>
      <c r="O946" t="b">
        <f>AND(TrafficData[[#This Row],[pendingAmount]]&lt;=TrafficData[[#This Row],[totalAmount]],TrafficData[[#This Row],[disposedAmount]]&lt;=TrafficData[[#This Row],[totalAmount]])</f>
        <v>1</v>
      </c>
      <c r="P946" t="b">
        <f>AND(TrafficData[[#This Row],[pendingCourt]]&lt;=TrafficData[[#This Row],[totalCourt]],TrafficData[[#This Row],[disposedCourt]]&lt;=TrafficData[[#This Row],[totalCourt]])</f>
        <v>1</v>
      </c>
    </row>
    <row r="947" spans="1:16">
      <c r="A947" s="1">
        <v>42950</v>
      </c>
      <c r="B947">
        <v>2353</v>
      </c>
      <c r="C947">
        <v>1147</v>
      </c>
      <c r="D947">
        <v>1206</v>
      </c>
      <c r="E947">
        <v>1975100</v>
      </c>
      <c r="F947">
        <v>5748269</v>
      </c>
      <c r="G947">
        <v>7723369</v>
      </c>
      <c r="H947">
        <v>922</v>
      </c>
      <c r="I947">
        <v>184</v>
      </c>
      <c r="J947">
        <v>1106</v>
      </c>
      <c r="K947" t="b">
        <f>TrafficData[[#This Row],[disposedChallan]]+TrafficData[[#This Row],[pendingChallan]]=TrafficData[[#This Row],[totalChallan]]</f>
        <v>1</v>
      </c>
      <c r="L947" t="b">
        <f>TrafficData[[#This Row],[pendingAmount]]+TrafficData[[#This Row],[disposedAmount]]=TrafficData[[#This Row],[totalAmount]]</f>
        <v>1</v>
      </c>
      <c r="M947" t="b">
        <f>TrafficData[[#This Row],[pendingCourt]]+TrafficData[[#This Row],[disposedCourt]]=TrafficData[[#This Row],[totalCourt]]</f>
        <v>1</v>
      </c>
      <c r="N947" t="b">
        <f>AND(TrafficData[[#This Row],[disposedChallan]]&lt;=TrafficData[[#This Row],[totalChallan]],TrafficData[[#This Row],[pendingChallan]]&lt;=TrafficData[[#This Row],[totalChallan]])</f>
        <v>1</v>
      </c>
      <c r="O947" t="b">
        <f>AND(TrafficData[[#This Row],[pendingAmount]]&lt;=TrafficData[[#This Row],[totalAmount]],TrafficData[[#This Row],[disposedAmount]]&lt;=TrafficData[[#This Row],[totalAmount]])</f>
        <v>1</v>
      </c>
      <c r="P947" t="b">
        <f>AND(TrafficData[[#This Row],[pendingCourt]]&lt;=TrafficData[[#This Row],[totalCourt]],TrafficData[[#This Row],[disposedCourt]]&lt;=TrafficData[[#This Row],[totalCourt]])</f>
        <v>1</v>
      </c>
    </row>
    <row r="948" spans="1:16">
      <c r="A948" s="1">
        <v>42951</v>
      </c>
      <c r="B948">
        <v>2417</v>
      </c>
      <c r="C948">
        <v>1138</v>
      </c>
      <c r="D948">
        <v>1279</v>
      </c>
      <c r="E948">
        <v>1819700</v>
      </c>
      <c r="F948">
        <v>5830849</v>
      </c>
      <c r="G948">
        <v>7650549</v>
      </c>
      <c r="H948">
        <v>1036</v>
      </c>
      <c r="I948">
        <v>165</v>
      </c>
      <c r="J948">
        <v>1201</v>
      </c>
      <c r="K948" t="b">
        <f>TrafficData[[#This Row],[disposedChallan]]+TrafficData[[#This Row],[pendingChallan]]=TrafficData[[#This Row],[totalChallan]]</f>
        <v>1</v>
      </c>
      <c r="L948" t="b">
        <f>TrafficData[[#This Row],[pendingAmount]]+TrafficData[[#This Row],[disposedAmount]]=TrafficData[[#This Row],[totalAmount]]</f>
        <v>1</v>
      </c>
      <c r="M948" t="b">
        <f>TrafficData[[#This Row],[pendingCourt]]+TrafficData[[#This Row],[disposedCourt]]=TrafficData[[#This Row],[totalCourt]]</f>
        <v>1</v>
      </c>
      <c r="N948" t="b">
        <f>AND(TrafficData[[#This Row],[disposedChallan]]&lt;=TrafficData[[#This Row],[totalChallan]],TrafficData[[#This Row],[pendingChallan]]&lt;=TrafficData[[#This Row],[totalChallan]])</f>
        <v>1</v>
      </c>
      <c r="O948" t="b">
        <f>AND(TrafficData[[#This Row],[pendingAmount]]&lt;=TrafficData[[#This Row],[totalAmount]],TrafficData[[#This Row],[disposedAmount]]&lt;=TrafficData[[#This Row],[totalAmount]])</f>
        <v>1</v>
      </c>
      <c r="P948" t="b">
        <f>AND(TrafficData[[#This Row],[pendingCourt]]&lt;=TrafficData[[#This Row],[totalCourt]],TrafficData[[#This Row],[disposedCourt]]&lt;=TrafficData[[#This Row],[totalCourt]])</f>
        <v>1</v>
      </c>
    </row>
    <row r="949" spans="1:16">
      <c r="A949" s="1">
        <v>42952</v>
      </c>
      <c r="B949">
        <v>1934</v>
      </c>
      <c r="C949">
        <v>930</v>
      </c>
      <c r="D949">
        <v>1004</v>
      </c>
      <c r="E949">
        <v>1704618</v>
      </c>
      <c r="F949">
        <v>5856623</v>
      </c>
      <c r="G949">
        <v>7561241</v>
      </c>
      <c r="H949">
        <v>745</v>
      </c>
      <c r="I949">
        <v>153</v>
      </c>
      <c r="J949">
        <v>898</v>
      </c>
      <c r="K949" t="b">
        <f>TrafficData[[#This Row],[disposedChallan]]+TrafficData[[#This Row],[pendingChallan]]=TrafficData[[#This Row],[totalChallan]]</f>
        <v>1</v>
      </c>
      <c r="L949" t="b">
        <f>TrafficData[[#This Row],[pendingAmount]]+TrafficData[[#This Row],[disposedAmount]]=TrafficData[[#This Row],[totalAmount]]</f>
        <v>1</v>
      </c>
      <c r="M949" t="b">
        <f>TrafficData[[#This Row],[pendingCourt]]+TrafficData[[#This Row],[disposedCourt]]=TrafficData[[#This Row],[totalCourt]]</f>
        <v>1</v>
      </c>
      <c r="N949" t="b">
        <f>AND(TrafficData[[#This Row],[disposedChallan]]&lt;=TrafficData[[#This Row],[totalChallan]],TrafficData[[#This Row],[pendingChallan]]&lt;=TrafficData[[#This Row],[totalChallan]])</f>
        <v>1</v>
      </c>
      <c r="O949" t="b">
        <f>AND(TrafficData[[#This Row],[pendingAmount]]&lt;=TrafficData[[#This Row],[totalAmount]],TrafficData[[#This Row],[disposedAmount]]&lt;=TrafficData[[#This Row],[totalAmount]])</f>
        <v>1</v>
      </c>
      <c r="P949" t="b">
        <f>AND(TrafficData[[#This Row],[pendingCourt]]&lt;=TrafficData[[#This Row],[totalCourt]],TrafficData[[#This Row],[disposedCourt]]&lt;=TrafficData[[#This Row],[totalCourt]])</f>
        <v>1</v>
      </c>
    </row>
    <row r="950" spans="1:16">
      <c r="A950" s="1">
        <v>42953</v>
      </c>
      <c r="B950">
        <v>624</v>
      </c>
      <c r="C950">
        <v>278</v>
      </c>
      <c r="D950">
        <v>346</v>
      </c>
      <c r="E950">
        <v>785150</v>
      </c>
      <c r="F950">
        <v>1364140</v>
      </c>
      <c r="G950">
        <v>2149290</v>
      </c>
      <c r="H950">
        <v>223</v>
      </c>
      <c r="I950">
        <v>31</v>
      </c>
      <c r="J950">
        <v>254</v>
      </c>
      <c r="K950" t="b">
        <f>TrafficData[[#This Row],[disposedChallan]]+TrafficData[[#This Row],[pendingChallan]]=TrafficData[[#This Row],[totalChallan]]</f>
        <v>1</v>
      </c>
      <c r="L950" t="b">
        <f>TrafficData[[#This Row],[pendingAmount]]+TrafficData[[#This Row],[disposedAmount]]=TrafficData[[#This Row],[totalAmount]]</f>
        <v>1</v>
      </c>
      <c r="M950" t="b">
        <f>TrafficData[[#This Row],[pendingCourt]]+TrafficData[[#This Row],[disposedCourt]]=TrafficData[[#This Row],[totalCourt]]</f>
        <v>1</v>
      </c>
      <c r="N950" t="b">
        <f>AND(TrafficData[[#This Row],[disposedChallan]]&lt;=TrafficData[[#This Row],[totalChallan]],TrafficData[[#This Row],[pendingChallan]]&lt;=TrafficData[[#This Row],[totalChallan]])</f>
        <v>1</v>
      </c>
      <c r="O950" t="b">
        <f>AND(TrafficData[[#This Row],[pendingAmount]]&lt;=TrafficData[[#This Row],[totalAmount]],TrafficData[[#This Row],[disposedAmount]]&lt;=TrafficData[[#This Row],[totalAmount]])</f>
        <v>1</v>
      </c>
      <c r="P950" t="b">
        <f>AND(TrafficData[[#This Row],[pendingCourt]]&lt;=TrafficData[[#This Row],[totalCourt]],TrafficData[[#This Row],[disposedCourt]]&lt;=TrafficData[[#This Row],[totalCourt]])</f>
        <v>1</v>
      </c>
    </row>
    <row r="951" spans="1:16">
      <c r="A951" s="1">
        <v>42954</v>
      </c>
      <c r="B951">
        <v>644</v>
      </c>
      <c r="C951">
        <v>109</v>
      </c>
      <c r="D951">
        <v>535</v>
      </c>
      <c r="E951">
        <v>502100</v>
      </c>
      <c r="F951">
        <v>160590</v>
      </c>
      <c r="G951">
        <v>662690</v>
      </c>
      <c r="H951">
        <v>379</v>
      </c>
      <c r="I951">
        <v>20</v>
      </c>
      <c r="J951">
        <v>399</v>
      </c>
      <c r="K951" t="b">
        <f>TrafficData[[#This Row],[disposedChallan]]+TrafficData[[#This Row],[pendingChallan]]=TrafficData[[#This Row],[totalChallan]]</f>
        <v>1</v>
      </c>
      <c r="L951" t="b">
        <f>TrafficData[[#This Row],[pendingAmount]]+TrafficData[[#This Row],[disposedAmount]]=TrafficData[[#This Row],[totalAmount]]</f>
        <v>1</v>
      </c>
      <c r="M951" t="b">
        <f>TrafficData[[#This Row],[pendingCourt]]+TrafficData[[#This Row],[disposedCourt]]=TrafficData[[#This Row],[totalCourt]]</f>
        <v>1</v>
      </c>
      <c r="N951" t="b">
        <f>AND(TrafficData[[#This Row],[disposedChallan]]&lt;=TrafficData[[#This Row],[totalChallan]],TrafficData[[#This Row],[pendingChallan]]&lt;=TrafficData[[#This Row],[totalChallan]])</f>
        <v>1</v>
      </c>
      <c r="O951" t="b">
        <f>AND(TrafficData[[#This Row],[pendingAmount]]&lt;=TrafficData[[#This Row],[totalAmount]],TrafficData[[#This Row],[disposedAmount]]&lt;=TrafficData[[#This Row],[totalAmount]])</f>
        <v>1</v>
      </c>
      <c r="P951" t="b">
        <f>AND(TrafficData[[#This Row],[pendingCourt]]&lt;=TrafficData[[#This Row],[totalCourt]],TrafficData[[#This Row],[disposedCourt]]&lt;=TrafficData[[#This Row],[totalCourt]])</f>
        <v>1</v>
      </c>
    </row>
    <row r="952" spans="1:16">
      <c r="A952" s="1">
        <v>42955</v>
      </c>
      <c r="B952">
        <v>2185</v>
      </c>
      <c r="C952">
        <v>830</v>
      </c>
      <c r="D952">
        <v>1355</v>
      </c>
      <c r="E952">
        <v>1943550</v>
      </c>
      <c r="F952">
        <v>2811801</v>
      </c>
      <c r="G952">
        <v>4755351</v>
      </c>
      <c r="H952">
        <v>985</v>
      </c>
      <c r="I952">
        <v>139</v>
      </c>
      <c r="J952">
        <v>1124</v>
      </c>
      <c r="K952" t="b">
        <f>TrafficData[[#This Row],[disposedChallan]]+TrafficData[[#This Row],[pendingChallan]]=TrafficData[[#This Row],[totalChallan]]</f>
        <v>1</v>
      </c>
      <c r="L952" t="b">
        <f>TrafficData[[#This Row],[pendingAmount]]+TrafficData[[#This Row],[disposedAmount]]=TrafficData[[#This Row],[totalAmount]]</f>
        <v>1</v>
      </c>
      <c r="M952" t="b">
        <f>TrafficData[[#This Row],[pendingCourt]]+TrafficData[[#This Row],[disposedCourt]]=TrafficData[[#This Row],[totalCourt]]</f>
        <v>1</v>
      </c>
      <c r="N952" t="b">
        <f>AND(TrafficData[[#This Row],[disposedChallan]]&lt;=TrafficData[[#This Row],[totalChallan]],TrafficData[[#This Row],[pendingChallan]]&lt;=TrafficData[[#This Row],[totalChallan]])</f>
        <v>1</v>
      </c>
      <c r="O952" t="b">
        <f>AND(TrafficData[[#This Row],[pendingAmount]]&lt;=TrafficData[[#This Row],[totalAmount]],TrafficData[[#This Row],[disposedAmount]]&lt;=TrafficData[[#This Row],[totalAmount]])</f>
        <v>1</v>
      </c>
      <c r="P952" t="b">
        <f>AND(TrafficData[[#This Row],[pendingCourt]]&lt;=TrafficData[[#This Row],[totalCourt]],TrafficData[[#This Row],[disposedCourt]]&lt;=TrafficData[[#This Row],[totalCourt]])</f>
        <v>1</v>
      </c>
    </row>
    <row r="953" spans="1:16">
      <c r="A953" s="1">
        <v>42956</v>
      </c>
      <c r="B953">
        <v>2956</v>
      </c>
      <c r="C953">
        <v>1655</v>
      </c>
      <c r="D953">
        <v>1301</v>
      </c>
      <c r="E953">
        <v>3334600</v>
      </c>
      <c r="F953">
        <v>6074500</v>
      </c>
      <c r="G953">
        <v>9409100</v>
      </c>
      <c r="H953">
        <v>1007</v>
      </c>
      <c r="I953">
        <v>186</v>
      </c>
      <c r="J953">
        <v>1193</v>
      </c>
      <c r="K953" t="b">
        <f>TrafficData[[#This Row],[disposedChallan]]+TrafficData[[#This Row],[pendingChallan]]=TrafficData[[#This Row],[totalChallan]]</f>
        <v>1</v>
      </c>
      <c r="L953" t="b">
        <f>TrafficData[[#This Row],[pendingAmount]]+TrafficData[[#This Row],[disposedAmount]]=TrafficData[[#This Row],[totalAmount]]</f>
        <v>1</v>
      </c>
      <c r="M953" t="b">
        <f>TrafficData[[#This Row],[pendingCourt]]+TrafficData[[#This Row],[disposedCourt]]=TrafficData[[#This Row],[totalCourt]]</f>
        <v>1</v>
      </c>
      <c r="N953" t="b">
        <f>AND(TrafficData[[#This Row],[disposedChallan]]&lt;=TrafficData[[#This Row],[totalChallan]],TrafficData[[#This Row],[pendingChallan]]&lt;=TrafficData[[#This Row],[totalChallan]])</f>
        <v>1</v>
      </c>
      <c r="O953" t="b">
        <f>AND(TrafficData[[#This Row],[pendingAmount]]&lt;=TrafficData[[#This Row],[totalAmount]],TrafficData[[#This Row],[disposedAmount]]&lt;=TrafficData[[#This Row],[totalAmount]])</f>
        <v>1</v>
      </c>
      <c r="P953" t="b">
        <f>AND(TrafficData[[#This Row],[pendingCourt]]&lt;=TrafficData[[#This Row],[totalCourt]],TrafficData[[#This Row],[disposedCourt]]&lt;=TrafficData[[#This Row],[totalCourt]])</f>
        <v>1</v>
      </c>
    </row>
    <row r="954" spans="1:16">
      <c r="A954" s="1">
        <v>42957</v>
      </c>
      <c r="B954">
        <v>2294</v>
      </c>
      <c r="C954">
        <v>1274</v>
      </c>
      <c r="D954">
        <v>1020</v>
      </c>
      <c r="E954">
        <v>2049598</v>
      </c>
      <c r="F954">
        <v>7625272</v>
      </c>
      <c r="G954">
        <v>9674870</v>
      </c>
      <c r="H954">
        <v>765</v>
      </c>
      <c r="I954">
        <v>144</v>
      </c>
      <c r="J954">
        <v>909</v>
      </c>
      <c r="K954" t="b">
        <f>TrafficData[[#This Row],[disposedChallan]]+TrafficData[[#This Row],[pendingChallan]]=TrafficData[[#This Row],[totalChallan]]</f>
        <v>1</v>
      </c>
      <c r="L954" t="b">
        <f>TrafficData[[#This Row],[pendingAmount]]+TrafficData[[#This Row],[disposedAmount]]=TrafficData[[#This Row],[totalAmount]]</f>
        <v>1</v>
      </c>
      <c r="M954" t="b">
        <f>TrafficData[[#This Row],[pendingCourt]]+TrafficData[[#This Row],[disposedCourt]]=TrafficData[[#This Row],[totalCourt]]</f>
        <v>1</v>
      </c>
      <c r="N954" t="b">
        <f>AND(TrafficData[[#This Row],[disposedChallan]]&lt;=TrafficData[[#This Row],[totalChallan]],TrafficData[[#This Row],[pendingChallan]]&lt;=TrafficData[[#This Row],[totalChallan]])</f>
        <v>1</v>
      </c>
      <c r="O954" t="b">
        <f>AND(TrafficData[[#This Row],[pendingAmount]]&lt;=TrafficData[[#This Row],[totalAmount]],TrafficData[[#This Row],[disposedAmount]]&lt;=TrafficData[[#This Row],[totalAmount]])</f>
        <v>1</v>
      </c>
      <c r="P954" t="b">
        <f>AND(TrafficData[[#This Row],[pendingCourt]]&lt;=TrafficData[[#This Row],[totalCourt]],TrafficData[[#This Row],[disposedCourt]]&lt;=TrafficData[[#This Row],[totalCourt]])</f>
        <v>1</v>
      </c>
    </row>
    <row r="955" spans="1:16">
      <c r="A955" s="1">
        <v>42958</v>
      </c>
      <c r="B955">
        <v>2455</v>
      </c>
      <c r="C955">
        <v>1150</v>
      </c>
      <c r="D955">
        <v>1305</v>
      </c>
      <c r="E955">
        <v>2066500</v>
      </c>
      <c r="F955">
        <v>5975755</v>
      </c>
      <c r="G955">
        <v>8042255</v>
      </c>
      <c r="H955">
        <v>988</v>
      </c>
      <c r="I955">
        <v>206</v>
      </c>
      <c r="J955">
        <v>1194</v>
      </c>
      <c r="K955" t="b">
        <f>TrafficData[[#This Row],[disposedChallan]]+TrafficData[[#This Row],[pendingChallan]]=TrafficData[[#This Row],[totalChallan]]</f>
        <v>1</v>
      </c>
      <c r="L955" t="b">
        <f>TrafficData[[#This Row],[pendingAmount]]+TrafficData[[#This Row],[disposedAmount]]=TrafficData[[#This Row],[totalAmount]]</f>
        <v>1</v>
      </c>
      <c r="M955" t="b">
        <f>TrafficData[[#This Row],[pendingCourt]]+TrafficData[[#This Row],[disposedCourt]]=TrafficData[[#This Row],[totalCourt]]</f>
        <v>1</v>
      </c>
      <c r="N955" t="b">
        <f>AND(TrafficData[[#This Row],[disposedChallan]]&lt;=TrafficData[[#This Row],[totalChallan]],TrafficData[[#This Row],[pendingChallan]]&lt;=TrafficData[[#This Row],[totalChallan]])</f>
        <v>1</v>
      </c>
      <c r="O955" t="b">
        <f>AND(TrafficData[[#This Row],[pendingAmount]]&lt;=TrafficData[[#This Row],[totalAmount]],TrafficData[[#This Row],[disposedAmount]]&lt;=TrafficData[[#This Row],[totalAmount]])</f>
        <v>1</v>
      </c>
      <c r="P955" t="b">
        <f>AND(TrafficData[[#This Row],[pendingCourt]]&lt;=TrafficData[[#This Row],[totalCourt]],TrafficData[[#This Row],[disposedCourt]]&lt;=TrafficData[[#This Row],[totalCourt]])</f>
        <v>1</v>
      </c>
    </row>
    <row r="956" spans="1:16">
      <c r="A956" s="1">
        <v>42959</v>
      </c>
      <c r="B956">
        <v>1966</v>
      </c>
      <c r="C956">
        <v>935</v>
      </c>
      <c r="D956">
        <v>1031</v>
      </c>
      <c r="E956">
        <v>2276313</v>
      </c>
      <c r="F956">
        <v>5483249</v>
      </c>
      <c r="G956">
        <v>7759562</v>
      </c>
      <c r="H956">
        <v>781</v>
      </c>
      <c r="I956">
        <v>152</v>
      </c>
      <c r="J956">
        <v>933</v>
      </c>
      <c r="K956" t="b">
        <f>TrafficData[[#This Row],[disposedChallan]]+TrafficData[[#This Row],[pendingChallan]]=TrafficData[[#This Row],[totalChallan]]</f>
        <v>1</v>
      </c>
      <c r="L956" t="b">
        <f>TrafficData[[#This Row],[pendingAmount]]+TrafficData[[#This Row],[disposedAmount]]=TrafficData[[#This Row],[totalAmount]]</f>
        <v>1</v>
      </c>
      <c r="M956" t="b">
        <f>TrafficData[[#This Row],[pendingCourt]]+TrafficData[[#This Row],[disposedCourt]]=TrafficData[[#This Row],[totalCourt]]</f>
        <v>1</v>
      </c>
      <c r="N956" t="b">
        <f>AND(TrafficData[[#This Row],[disposedChallan]]&lt;=TrafficData[[#This Row],[totalChallan]],TrafficData[[#This Row],[pendingChallan]]&lt;=TrafficData[[#This Row],[totalChallan]])</f>
        <v>1</v>
      </c>
      <c r="O956" t="b">
        <f>AND(TrafficData[[#This Row],[pendingAmount]]&lt;=TrafficData[[#This Row],[totalAmount]],TrafficData[[#This Row],[disposedAmount]]&lt;=TrafficData[[#This Row],[totalAmount]])</f>
        <v>1</v>
      </c>
      <c r="P956" t="b">
        <f>AND(TrafficData[[#This Row],[pendingCourt]]&lt;=TrafficData[[#This Row],[totalCourt]],TrafficData[[#This Row],[disposedCourt]]&lt;=TrafficData[[#This Row],[totalCourt]])</f>
        <v>1</v>
      </c>
    </row>
    <row r="957" spans="1:16">
      <c r="A957" s="1">
        <v>42960</v>
      </c>
      <c r="B957">
        <v>1165</v>
      </c>
      <c r="C957">
        <v>594</v>
      </c>
      <c r="D957">
        <v>571</v>
      </c>
      <c r="E957">
        <v>1198730</v>
      </c>
      <c r="F957">
        <v>3684513</v>
      </c>
      <c r="G957">
        <v>4883243</v>
      </c>
      <c r="H957">
        <v>391</v>
      </c>
      <c r="I957">
        <v>74</v>
      </c>
      <c r="J957">
        <v>465</v>
      </c>
      <c r="K957" t="b">
        <f>TrafficData[[#This Row],[disposedChallan]]+TrafficData[[#This Row],[pendingChallan]]=TrafficData[[#This Row],[totalChallan]]</f>
        <v>1</v>
      </c>
      <c r="L957" t="b">
        <f>TrafficData[[#This Row],[pendingAmount]]+TrafficData[[#This Row],[disposedAmount]]=TrafficData[[#This Row],[totalAmount]]</f>
        <v>1</v>
      </c>
      <c r="M957" t="b">
        <f>TrafficData[[#This Row],[pendingCourt]]+TrafficData[[#This Row],[disposedCourt]]=TrafficData[[#This Row],[totalCourt]]</f>
        <v>1</v>
      </c>
      <c r="N957" t="b">
        <f>AND(TrafficData[[#This Row],[disposedChallan]]&lt;=TrafficData[[#This Row],[totalChallan]],TrafficData[[#This Row],[pendingChallan]]&lt;=TrafficData[[#This Row],[totalChallan]])</f>
        <v>1</v>
      </c>
      <c r="O957" t="b">
        <f>AND(TrafficData[[#This Row],[pendingAmount]]&lt;=TrafficData[[#This Row],[totalAmount]],TrafficData[[#This Row],[disposedAmount]]&lt;=TrafficData[[#This Row],[totalAmount]])</f>
        <v>1</v>
      </c>
      <c r="P957" t="b">
        <f>AND(TrafficData[[#This Row],[pendingCourt]]&lt;=TrafficData[[#This Row],[totalCourt]],TrafficData[[#This Row],[disposedCourt]]&lt;=TrafficData[[#This Row],[totalCourt]])</f>
        <v>1</v>
      </c>
    </row>
    <row r="958" spans="1:16">
      <c r="A958" s="1">
        <v>42961</v>
      </c>
      <c r="B958">
        <v>1605</v>
      </c>
      <c r="C958">
        <v>783</v>
      </c>
      <c r="D958">
        <v>822</v>
      </c>
      <c r="E958">
        <v>1576578</v>
      </c>
      <c r="F958">
        <v>4147535</v>
      </c>
      <c r="G958">
        <v>5724113</v>
      </c>
      <c r="H958">
        <v>645</v>
      </c>
      <c r="I958">
        <v>92</v>
      </c>
      <c r="J958">
        <v>737</v>
      </c>
      <c r="K958" t="b">
        <f>TrafficData[[#This Row],[disposedChallan]]+TrafficData[[#This Row],[pendingChallan]]=TrafficData[[#This Row],[totalChallan]]</f>
        <v>1</v>
      </c>
      <c r="L958" t="b">
        <f>TrafficData[[#This Row],[pendingAmount]]+TrafficData[[#This Row],[disposedAmount]]=TrafficData[[#This Row],[totalAmount]]</f>
        <v>1</v>
      </c>
      <c r="M958" t="b">
        <f>TrafficData[[#This Row],[pendingCourt]]+TrafficData[[#This Row],[disposedCourt]]=TrafficData[[#This Row],[totalCourt]]</f>
        <v>1</v>
      </c>
      <c r="N958" t="b">
        <f>AND(TrafficData[[#This Row],[disposedChallan]]&lt;=TrafficData[[#This Row],[totalChallan]],TrafficData[[#This Row],[pendingChallan]]&lt;=TrafficData[[#This Row],[totalChallan]])</f>
        <v>1</v>
      </c>
      <c r="O958" t="b">
        <f>AND(TrafficData[[#This Row],[pendingAmount]]&lt;=TrafficData[[#This Row],[totalAmount]],TrafficData[[#This Row],[disposedAmount]]&lt;=TrafficData[[#This Row],[totalAmount]])</f>
        <v>1</v>
      </c>
      <c r="P958" t="b">
        <f>AND(TrafficData[[#This Row],[pendingCourt]]&lt;=TrafficData[[#This Row],[totalCourt]],TrafficData[[#This Row],[disposedCourt]]&lt;=TrafficData[[#This Row],[totalCourt]])</f>
        <v>1</v>
      </c>
    </row>
    <row r="959" spans="1:16">
      <c r="A959" s="1">
        <v>42962</v>
      </c>
      <c r="B959">
        <v>350</v>
      </c>
      <c r="C959">
        <v>93</v>
      </c>
      <c r="D959">
        <v>257</v>
      </c>
      <c r="E959">
        <v>242260</v>
      </c>
      <c r="F959">
        <v>959690</v>
      </c>
      <c r="G959">
        <v>1201950</v>
      </c>
      <c r="H959">
        <v>166</v>
      </c>
      <c r="I959">
        <v>9</v>
      </c>
      <c r="J959">
        <v>175</v>
      </c>
      <c r="K959" t="b">
        <f>TrafficData[[#This Row],[disposedChallan]]+TrafficData[[#This Row],[pendingChallan]]=TrafficData[[#This Row],[totalChallan]]</f>
        <v>1</v>
      </c>
      <c r="L959" t="b">
        <f>TrafficData[[#This Row],[pendingAmount]]+TrafficData[[#This Row],[disposedAmount]]=TrafficData[[#This Row],[totalAmount]]</f>
        <v>1</v>
      </c>
      <c r="M959" t="b">
        <f>TrafficData[[#This Row],[pendingCourt]]+TrafficData[[#This Row],[disposedCourt]]=TrafficData[[#This Row],[totalCourt]]</f>
        <v>1</v>
      </c>
      <c r="N959" t="b">
        <f>AND(TrafficData[[#This Row],[disposedChallan]]&lt;=TrafficData[[#This Row],[totalChallan]],TrafficData[[#This Row],[pendingChallan]]&lt;=TrafficData[[#This Row],[totalChallan]])</f>
        <v>1</v>
      </c>
      <c r="O959" t="b">
        <f>AND(TrafficData[[#This Row],[pendingAmount]]&lt;=TrafficData[[#This Row],[totalAmount]],TrafficData[[#This Row],[disposedAmount]]&lt;=TrafficData[[#This Row],[totalAmount]])</f>
        <v>1</v>
      </c>
      <c r="P959" t="b">
        <f>AND(TrafficData[[#This Row],[pendingCourt]]&lt;=TrafficData[[#This Row],[totalCourt]],TrafficData[[#This Row],[disposedCourt]]&lt;=TrafficData[[#This Row],[totalCourt]])</f>
        <v>1</v>
      </c>
    </row>
    <row r="960" spans="1:16">
      <c r="A960" s="1">
        <v>42963</v>
      </c>
      <c r="B960">
        <v>2464</v>
      </c>
      <c r="C960">
        <v>1035</v>
      </c>
      <c r="D960">
        <v>1429</v>
      </c>
      <c r="E960">
        <v>1784940</v>
      </c>
      <c r="F960">
        <v>2726763</v>
      </c>
      <c r="G960">
        <v>4511703</v>
      </c>
      <c r="H960">
        <v>1041</v>
      </c>
      <c r="I960">
        <v>158</v>
      </c>
      <c r="J960">
        <v>1199</v>
      </c>
      <c r="K960" t="b">
        <f>TrafficData[[#This Row],[disposedChallan]]+TrafficData[[#This Row],[pendingChallan]]=TrafficData[[#This Row],[totalChallan]]</f>
        <v>1</v>
      </c>
      <c r="L960" t="b">
        <f>TrafficData[[#This Row],[pendingAmount]]+TrafficData[[#This Row],[disposedAmount]]=TrafficData[[#This Row],[totalAmount]]</f>
        <v>1</v>
      </c>
      <c r="M960" t="b">
        <f>TrafficData[[#This Row],[pendingCourt]]+TrafficData[[#This Row],[disposedCourt]]=TrafficData[[#This Row],[totalCourt]]</f>
        <v>1</v>
      </c>
      <c r="N960" t="b">
        <f>AND(TrafficData[[#This Row],[disposedChallan]]&lt;=TrafficData[[#This Row],[totalChallan]],TrafficData[[#This Row],[pendingChallan]]&lt;=TrafficData[[#This Row],[totalChallan]])</f>
        <v>1</v>
      </c>
      <c r="O960" t="b">
        <f>AND(TrafficData[[#This Row],[pendingAmount]]&lt;=TrafficData[[#This Row],[totalAmount]],TrafficData[[#This Row],[disposedAmount]]&lt;=TrafficData[[#This Row],[totalAmount]])</f>
        <v>1</v>
      </c>
      <c r="P960" t="b">
        <f>AND(TrafficData[[#This Row],[pendingCourt]]&lt;=TrafficData[[#This Row],[totalCourt]],TrafficData[[#This Row],[disposedCourt]]&lt;=TrafficData[[#This Row],[totalCourt]])</f>
        <v>1</v>
      </c>
    </row>
    <row r="961" spans="1:16">
      <c r="A961" s="1">
        <v>42964</v>
      </c>
      <c r="B961">
        <v>1993</v>
      </c>
      <c r="C961">
        <v>993</v>
      </c>
      <c r="D961">
        <v>1000</v>
      </c>
      <c r="E961">
        <v>1962320</v>
      </c>
      <c r="F961">
        <v>4395715</v>
      </c>
      <c r="G961">
        <v>6358035</v>
      </c>
      <c r="H961">
        <v>714</v>
      </c>
      <c r="I961">
        <v>96</v>
      </c>
      <c r="J961">
        <v>810</v>
      </c>
      <c r="K961" t="b">
        <f>TrafficData[[#This Row],[disposedChallan]]+TrafficData[[#This Row],[pendingChallan]]=TrafficData[[#This Row],[totalChallan]]</f>
        <v>1</v>
      </c>
      <c r="L961" t="b">
        <f>TrafficData[[#This Row],[pendingAmount]]+TrafficData[[#This Row],[disposedAmount]]=TrafficData[[#This Row],[totalAmount]]</f>
        <v>1</v>
      </c>
      <c r="M961" t="b">
        <f>TrafficData[[#This Row],[pendingCourt]]+TrafficData[[#This Row],[disposedCourt]]=TrafficData[[#This Row],[totalCourt]]</f>
        <v>1</v>
      </c>
      <c r="N961" t="b">
        <f>AND(TrafficData[[#This Row],[disposedChallan]]&lt;=TrafficData[[#This Row],[totalChallan]],TrafficData[[#This Row],[pendingChallan]]&lt;=TrafficData[[#This Row],[totalChallan]])</f>
        <v>1</v>
      </c>
      <c r="O961" t="b">
        <f>AND(TrafficData[[#This Row],[pendingAmount]]&lt;=TrafficData[[#This Row],[totalAmount]],TrafficData[[#This Row],[disposedAmount]]&lt;=TrafficData[[#This Row],[totalAmount]])</f>
        <v>1</v>
      </c>
      <c r="P961" t="b">
        <f>AND(TrafficData[[#This Row],[pendingCourt]]&lt;=TrafficData[[#This Row],[totalCourt]],TrafficData[[#This Row],[disposedCourt]]&lt;=TrafficData[[#This Row],[totalCourt]])</f>
        <v>1</v>
      </c>
    </row>
    <row r="962" spans="1:16">
      <c r="A962" s="1">
        <v>42965</v>
      </c>
      <c r="B962">
        <v>2286</v>
      </c>
      <c r="C962">
        <v>930</v>
      </c>
      <c r="D962">
        <v>1356</v>
      </c>
      <c r="E962">
        <v>1573300</v>
      </c>
      <c r="F962">
        <v>4865864</v>
      </c>
      <c r="G962">
        <v>6439164</v>
      </c>
      <c r="H962">
        <v>1091</v>
      </c>
      <c r="I962">
        <v>130</v>
      </c>
      <c r="J962">
        <v>1221</v>
      </c>
      <c r="K962" t="b">
        <f>TrafficData[[#This Row],[disposedChallan]]+TrafficData[[#This Row],[pendingChallan]]=TrafficData[[#This Row],[totalChallan]]</f>
        <v>1</v>
      </c>
      <c r="L962" t="b">
        <f>TrafficData[[#This Row],[pendingAmount]]+TrafficData[[#This Row],[disposedAmount]]=TrafficData[[#This Row],[totalAmount]]</f>
        <v>1</v>
      </c>
      <c r="M962" t="b">
        <f>TrafficData[[#This Row],[pendingCourt]]+TrafficData[[#This Row],[disposedCourt]]=TrafficData[[#This Row],[totalCourt]]</f>
        <v>1</v>
      </c>
      <c r="N962" t="b">
        <f>AND(TrafficData[[#This Row],[disposedChallan]]&lt;=TrafficData[[#This Row],[totalChallan]],TrafficData[[#This Row],[pendingChallan]]&lt;=TrafficData[[#This Row],[totalChallan]])</f>
        <v>1</v>
      </c>
      <c r="O962" t="b">
        <f>AND(TrafficData[[#This Row],[pendingAmount]]&lt;=TrafficData[[#This Row],[totalAmount]],TrafficData[[#This Row],[disposedAmount]]&lt;=TrafficData[[#This Row],[totalAmount]])</f>
        <v>1</v>
      </c>
      <c r="P962" t="b">
        <f>AND(TrafficData[[#This Row],[pendingCourt]]&lt;=TrafficData[[#This Row],[totalCourt]],TrafficData[[#This Row],[disposedCourt]]&lt;=TrafficData[[#This Row],[totalCourt]])</f>
        <v>1</v>
      </c>
    </row>
    <row r="963" spans="1:16">
      <c r="A963" s="1">
        <v>42966</v>
      </c>
      <c r="B963">
        <v>1671</v>
      </c>
      <c r="C963">
        <v>768</v>
      </c>
      <c r="D963">
        <v>903</v>
      </c>
      <c r="E963">
        <v>1627000</v>
      </c>
      <c r="F963">
        <v>6022806</v>
      </c>
      <c r="G963">
        <v>7649806</v>
      </c>
      <c r="H963">
        <v>723</v>
      </c>
      <c r="I963">
        <v>116</v>
      </c>
      <c r="J963">
        <v>839</v>
      </c>
      <c r="K963" t="b">
        <f>TrafficData[[#This Row],[disposedChallan]]+TrafficData[[#This Row],[pendingChallan]]=TrafficData[[#This Row],[totalChallan]]</f>
        <v>1</v>
      </c>
      <c r="L963" t="b">
        <f>TrafficData[[#This Row],[pendingAmount]]+TrafficData[[#This Row],[disposedAmount]]=TrafficData[[#This Row],[totalAmount]]</f>
        <v>1</v>
      </c>
      <c r="M963" t="b">
        <f>TrafficData[[#This Row],[pendingCourt]]+TrafficData[[#This Row],[disposedCourt]]=TrafficData[[#This Row],[totalCourt]]</f>
        <v>1</v>
      </c>
      <c r="N963" t="b">
        <f>AND(TrafficData[[#This Row],[disposedChallan]]&lt;=TrafficData[[#This Row],[totalChallan]],TrafficData[[#This Row],[pendingChallan]]&lt;=TrafficData[[#This Row],[totalChallan]])</f>
        <v>1</v>
      </c>
      <c r="O963" t="b">
        <f>AND(TrafficData[[#This Row],[pendingAmount]]&lt;=TrafficData[[#This Row],[totalAmount]],TrafficData[[#This Row],[disposedAmount]]&lt;=TrafficData[[#This Row],[totalAmount]])</f>
        <v>1</v>
      </c>
      <c r="P963" t="b">
        <f>AND(TrafficData[[#This Row],[pendingCourt]]&lt;=TrafficData[[#This Row],[totalCourt]],TrafficData[[#This Row],[disposedCourt]]&lt;=TrafficData[[#This Row],[totalCourt]])</f>
        <v>1</v>
      </c>
    </row>
    <row r="964" spans="1:16">
      <c r="A964" s="1">
        <v>42967</v>
      </c>
      <c r="B964">
        <v>1146</v>
      </c>
      <c r="C964">
        <v>356</v>
      </c>
      <c r="D964">
        <v>790</v>
      </c>
      <c r="E964">
        <v>887300</v>
      </c>
      <c r="F964">
        <v>1929715</v>
      </c>
      <c r="G964">
        <v>2817015</v>
      </c>
      <c r="H964">
        <v>580</v>
      </c>
      <c r="I964">
        <v>72</v>
      </c>
      <c r="J964">
        <v>652</v>
      </c>
      <c r="K964" t="b">
        <f>TrafficData[[#This Row],[disposedChallan]]+TrafficData[[#This Row],[pendingChallan]]=TrafficData[[#This Row],[totalChallan]]</f>
        <v>1</v>
      </c>
      <c r="L964" t="b">
        <f>TrafficData[[#This Row],[pendingAmount]]+TrafficData[[#This Row],[disposedAmount]]=TrafficData[[#This Row],[totalAmount]]</f>
        <v>1</v>
      </c>
      <c r="M964" t="b">
        <f>TrafficData[[#This Row],[pendingCourt]]+TrafficData[[#This Row],[disposedCourt]]=TrafficData[[#This Row],[totalCourt]]</f>
        <v>1</v>
      </c>
      <c r="N964" t="b">
        <f>AND(TrafficData[[#This Row],[disposedChallan]]&lt;=TrafficData[[#This Row],[totalChallan]],TrafficData[[#This Row],[pendingChallan]]&lt;=TrafficData[[#This Row],[totalChallan]])</f>
        <v>1</v>
      </c>
      <c r="O964" t="b">
        <f>AND(TrafficData[[#This Row],[pendingAmount]]&lt;=TrafficData[[#This Row],[totalAmount]],TrafficData[[#This Row],[disposedAmount]]&lt;=TrafficData[[#This Row],[totalAmount]])</f>
        <v>1</v>
      </c>
      <c r="P964" t="b">
        <f>AND(TrafficData[[#This Row],[pendingCourt]]&lt;=TrafficData[[#This Row],[totalCourt]],TrafficData[[#This Row],[disposedCourt]]&lt;=TrafficData[[#This Row],[totalCourt]])</f>
        <v>1</v>
      </c>
    </row>
    <row r="965" spans="1:16">
      <c r="A965" s="1">
        <v>42968</v>
      </c>
      <c r="B965">
        <v>1789</v>
      </c>
      <c r="C965">
        <v>808</v>
      </c>
      <c r="D965">
        <v>981</v>
      </c>
      <c r="E965">
        <v>1815600</v>
      </c>
      <c r="F965">
        <v>4164990</v>
      </c>
      <c r="G965">
        <v>5980590</v>
      </c>
      <c r="H965">
        <v>752</v>
      </c>
      <c r="I965">
        <v>95</v>
      </c>
      <c r="J965">
        <v>847</v>
      </c>
      <c r="K965" t="b">
        <f>TrafficData[[#This Row],[disposedChallan]]+TrafficData[[#This Row],[pendingChallan]]=TrafficData[[#This Row],[totalChallan]]</f>
        <v>1</v>
      </c>
      <c r="L965" t="b">
        <f>TrafficData[[#This Row],[pendingAmount]]+TrafficData[[#This Row],[disposedAmount]]=TrafficData[[#This Row],[totalAmount]]</f>
        <v>1</v>
      </c>
      <c r="M965" t="b">
        <f>TrafficData[[#This Row],[pendingCourt]]+TrafficData[[#This Row],[disposedCourt]]=TrafficData[[#This Row],[totalCourt]]</f>
        <v>1</v>
      </c>
      <c r="N965" t="b">
        <f>AND(TrafficData[[#This Row],[disposedChallan]]&lt;=TrafficData[[#This Row],[totalChallan]],TrafficData[[#This Row],[pendingChallan]]&lt;=TrafficData[[#This Row],[totalChallan]])</f>
        <v>1</v>
      </c>
      <c r="O965" t="b">
        <f>AND(TrafficData[[#This Row],[pendingAmount]]&lt;=TrafficData[[#This Row],[totalAmount]],TrafficData[[#This Row],[disposedAmount]]&lt;=TrafficData[[#This Row],[totalAmount]])</f>
        <v>1</v>
      </c>
      <c r="P965" t="b">
        <f>AND(TrafficData[[#This Row],[pendingCourt]]&lt;=TrafficData[[#This Row],[totalCourt]],TrafficData[[#This Row],[disposedCourt]]&lt;=TrafficData[[#This Row],[totalCourt]])</f>
        <v>1</v>
      </c>
    </row>
    <row r="966" spans="1:16">
      <c r="A966" s="1">
        <v>42969</v>
      </c>
      <c r="B966">
        <v>1718</v>
      </c>
      <c r="C966">
        <v>779</v>
      </c>
      <c r="D966">
        <v>939</v>
      </c>
      <c r="E966">
        <v>1306550</v>
      </c>
      <c r="F966">
        <v>4815886</v>
      </c>
      <c r="G966">
        <v>6122436</v>
      </c>
      <c r="H966">
        <v>733</v>
      </c>
      <c r="I966">
        <v>95</v>
      </c>
      <c r="J966">
        <v>828</v>
      </c>
      <c r="K966" t="b">
        <f>TrafficData[[#This Row],[disposedChallan]]+TrafficData[[#This Row],[pendingChallan]]=TrafficData[[#This Row],[totalChallan]]</f>
        <v>1</v>
      </c>
      <c r="L966" t="b">
        <f>TrafficData[[#This Row],[pendingAmount]]+TrafficData[[#This Row],[disposedAmount]]=TrafficData[[#This Row],[totalAmount]]</f>
        <v>1</v>
      </c>
      <c r="M966" t="b">
        <f>TrafficData[[#This Row],[pendingCourt]]+TrafficData[[#This Row],[disposedCourt]]=TrafficData[[#This Row],[totalCourt]]</f>
        <v>1</v>
      </c>
      <c r="N966" t="b">
        <f>AND(TrafficData[[#This Row],[disposedChallan]]&lt;=TrafficData[[#This Row],[totalChallan]],TrafficData[[#This Row],[pendingChallan]]&lt;=TrafficData[[#This Row],[totalChallan]])</f>
        <v>1</v>
      </c>
      <c r="O966" t="b">
        <f>AND(TrafficData[[#This Row],[pendingAmount]]&lt;=TrafficData[[#This Row],[totalAmount]],TrafficData[[#This Row],[disposedAmount]]&lt;=TrafficData[[#This Row],[totalAmount]])</f>
        <v>1</v>
      </c>
      <c r="P966" t="b">
        <f>AND(TrafficData[[#This Row],[pendingCourt]]&lt;=TrafficData[[#This Row],[totalCourt]],TrafficData[[#This Row],[disposedCourt]]&lt;=TrafficData[[#This Row],[totalCourt]])</f>
        <v>1</v>
      </c>
    </row>
    <row r="967" spans="1:16">
      <c r="A967" s="1">
        <v>42970</v>
      </c>
      <c r="B967">
        <v>2159</v>
      </c>
      <c r="C967">
        <v>1105</v>
      </c>
      <c r="D967">
        <v>1054</v>
      </c>
      <c r="E967">
        <v>1736098</v>
      </c>
      <c r="F967">
        <v>4219875</v>
      </c>
      <c r="G967">
        <v>5955973</v>
      </c>
      <c r="H967">
        <v>799</v>
      </c>
      <c r="I967">
        <v>119</v>
      </c>
      <c r="J967">
        <v>918</v>
      </c>
      <c r="K967" t="b">
        <f>TrafficData[[#This Row],[disposedChallan]]+TrafficData[[#This Row],[pendingChallan]]=TrafficData[[#This Row],[totalChallan]]</f>
        <v>1</v>
      </c>
      <c r="L967" t="b">
        <f>TrafficData[[#This Row],[pendingAmount]]+TrafficData[[#This Row],[disposedAmount]]=TrafficData[[#This Row],[totalAmount]]</f>
        <v>1</v>
      </c>
      <c r="M967" t="b">
        <f>TrafficData[[#This Row],[pendingCourt]]+TrafficData[[#This Row],[disposedCourt]]=TrafficData[[#This Row],[totalCourt]]</f>
        <v>1</v>
      </c>
      <c r="N967" t="b">
        <f>AND(TrafficData[[#This Row],[disposedChallan]]&lt;=TrafficData[[#This Row],[totalChallan]],TrafficData[[#This Row],[pendingChallan]]&lt;=TrafficData[[#This Row],[totalChallan]])</f>
        <v>1</v>
      </c>
      <c r="O967" t="b">
        <f>AND(TrafficData[[#This Row],[pendingAmount]]&lt;=TrafficData[[#This Row],[totalAmount]],TrafficData[[#This Row],[disposedAmount]]&lt;=TrafficData[[#This Row],[totalAmount]])</f>
        <v>1</v>
      </c>
      <c r="P967" t="b">
        <f>AND(TrafficData[[#This Row],[pendingCourt]]&lt;=TrafficData[[#This Row],[totalCourt]],TrafficData[[#This Row],[disposedCourt]]&lt;=TrafficData[[#This Row],[totalCourt]])</f>
        <v>1</v>
      </c>
    </row>
    <row r="968" spans="1:16">
      <c r="A968" s="1">
        <v>42971</v>
      </c>
      <c r="B968">
        <v>2175</v>
      </c>
      <c r="C968">
        <v>982</v>
      </c>
      <c r="D968">
        <v>1193</v>
      </c>
      <c r="E968">
        <v>1831700</v>
      </c>
      <c r="F968">
        <v>5458707</v>
      </c>
      <c r="G968">
        <v>7290407</v>
      </c>
      <c r="H968">
        <v>879</v>
      </c>
      <c r="I968">
        <v>126</v>
      </c>
      <c r="J968">
        <v>1005</v>
      </c>
      <c r="K968" t="b">
        <f>TrafficData[[#This Row],[disposedChallan]]+TrafficData[[#This Row],[pendingChallan]]=TrafficData[[#This Row],[totalChallan]]</f>
        <v>1</v>
      </c>
      <c r="L968" t="b">
        <f>TrafficData[[#This Row],[pendingAmount]]+TrafficData[[#This Row],[disposedAmount]]=TrafficData[[#This Row],[totalAmount]]</f>
        <v>1</v>
      </c>
      <c r="M968" t="b">
        <f>TrafficData[[#This Row],[pendingCourt]]+TrafficData[[#This Row],[disposedCourt]]=TrafficData[[#This Row],[totalCourt]]</f>
        <v>1</v>
      </c>
      <c r="N968" t="b">
        <f>AND(TrafficData[[#This Row],[disposedChallan]]&lt;=TrafficData[[#This Row],[totalChallan]],TrafficData[[#This Row],[pendingChallan]]&lt;=TrafficData[[#This Row],[totalChallan]])</f>
        <v>1</v>
      </c>
      <c r="O968" t="b">
        <f>AND(TrafficData[[#This Row],[pendingAmount]]&lt;=TrafficData[[#This Row],[totalAmount]],TrafficData[[#This Row],[disposedAmount]]&lt;=TrafficData[[#This Row],[totalAmount]])</f>
        <v>1</v>
      </c>
      <c r="P968" t="b">
        <f>AND(TrafficData[[#This Row],[pendingCourt]]&lt;=TrafficData[[#This Row],[totalCourt]],TrafficData[[#This Row],[disposedCourt]]&lt;=TrafficData[[#This Row],[totalCourt]])</f>
        <v>1</v>
      </c>
    </row>
    <row r="969" spans="1:16">
      <c r="A969" s="1">
        <v>42972</v>
      </c>
      <c r="B969">
        <v>1834</v>
      </c>
      <c r="C969">
        <v>843</v>
      </c>
      <c r="D969">
        <v>991</v>
      </c>
      <c r="E969">
        <v>1299098</v>
      </c>
      <c r="F969">
        <v>4170216</v>
      </c>
      <c r="G969">
        <v>5469314</v>
      </c>
      <c r="H969">
        <v>739</v>
      </c>
      <c r="I969">
        <v>94</v>
      </c>
      <c r="J969">
        <v>833</v>
      </c>
      <c r="K969" t="b">
        <f>TrafficData[[#This Row],[disposedChallan]]+TrafficData[[#This Row],[pendingChallan]]=TrafficData[[#This Row],[totalChallan]]</f>
        <v>1</v>
      </c>
      <c r="L969" t="b">
        <f>TrafficData[[#This Row],[pendingAmount]]+TrafficData[[#This Row],[disposedAmount]]=TrafficData[[#This Row],[totalAmount]]</f>
        <v>1</v>
      </c>
      <c r="M969" t="b">
        <f>TrafficData[[#This Row],[pendingCourt]]+TrafficData[[#This Row],[disposedCourt]]=TrafficData[[#This Row],[totalCourt]]</f>
        <v>1</v>
      </c>
      <c r="N969" t="b">
        <f>AND(TrafficData[[#This Row],[disposedChallan]]&lt;=TrafficData[[#This Row],[totalChallan]],TrafficData[[#This Row],[pendingChallan]]&lt;=TrafficData[[#This Row],[totalChallan]])</f>
        <v>1</v>
      </c>
      <c r="O969" t="b">
        <f>AND(TrafficData[[#This Row],[pendingAmount]]&lt;=TrafficData[[#This Row],[totalAmount]],TrafficData[[#This Row],[disposedAmount]]&lt;=TrafficData[[#This Row],[totalAmount]])</f>
        <v>1</v>
      </c>
      <c r="P969" t="b">
        <f>AND(TrafficData[[#This Row],[pendingCourt]]&lt;=TrafficData[[#This Row],[totalCourt]],TrafficData[[#This Row],[disposedCourt]]&lt;=TrafficData[[#This Row],[totalCourt]])</f>
        <v>1</v>
      </c>
    </row>
    <row r="970" spans="1:16">
      <c r="A970" s="1">
        <v>42973</v>
      </c>
      <c r="B970">
        <v>1822</v>
      </c>
      <c r="C970">
        <v>702</v>
      </c>
      <c r="D970">
        <v>1120</v>
      </c>
      <c r="E970">
        <v>1600050</v>
      </c>
      <c r="F970">
        <v>3519020</v>
      </c>
      <c r="G970">
        <v>5119070</v>
      </c>
      <c r="H970">
        <v>839</v>
      </c>
      <c r="I970">
        <v>110</v>
      </c>
      <c r="J970">
        <v>949</v>
      </c>
      <c r="K970" t="b">
        <f>TrafficData[[#This Row],[disposedChallan]]+TrafficData[[#This Row],[pendingChallan]]=TrafficData[[#This Row],[totalChallan]]</f>
        <v>1</v>
      </c>
      <c r="L970" t="b">
        <f>TrafficData[[#This Row],[pendingAmount]]+TrafficData[[#This Row],[disposedAmount]]=TrafficData[[#This Row],[totalAmount]]</f>
        <v>1</v>
      </c>
      <c r="M970" t="b">
        <f>TrafficData[[#This Row],[pendingCourt]]+TrafficData[[#This Row],[disposedCourt]]=TrafficData[[#This Row],[totalCourt]]</f>
        <v>1</v>
      </c>
      <c r="N970" t="b">
        <f>AND(TrafficData[[#This Row],[disposedChallan]]&lt;=TrafficData[[#This Row],[totalChallan]],TrafficData[[#This Row],[pendingChallan]]&lt;=TrafficData[[#This Row],[totalChallan]])</f>
        <v>1</v>
      </c>
      <c r="O970" t="b">
        <f>AND(TrafficData[[#This Row],[pendingAmount]]&lt;=TrafficData[[#This Row],[totalAmount]],TrafficData[[#This Row],[disposedAmount]]&lt;=TrafficData[[#This Row],[totalAmount]])</f>
        <v>1</v>
      </c>
      <c r="P970" t="b">
        <f>AND(TrafficData[[#This Row],[pendingCourt]]&lt;=TrafficData[[#This Row],[totalCourt]],TrafficData[[#This Row],[disposedCourt]]&lt;=TrafficData[[#This Row],[totalCourt]])</f>
        <v>1</v>
      </c>
    </row>
    <row r="971" spans="1:16">
      <c r="A971" s="1">
        <v>42974</v>
      </c>
      <c r="B971">
        <v>844</v>
      </c>
      <c r="C971">
        <v>420</v>
      </c>
      <c r="D971">
        <v>424</v>
      </c>
      <c r="E971">
        <v>527950</v>
      </c>
      <c r="F971">
        <v>2680915</v>
      </c>
      <c r="G971">
        <v>3208865</v>
      </c>
      <c r="H971">
        <v>314</v>
      </c>
      <c r="I971">
        <v>58</v>
      </c>
      <c r="J971">
        <v>372</v>
      </c>
      <c r="K971" t="b">
        <f>TrafficData[[#This Row],[disposedChallan]]+TrafficData[[#This Row],[pendingChallan]]=TrafficData[[#This Row],[totalChallan]]</f>
        <v>1</v>
      </c>
      <c r="L971" t="b">
        <f>TrafficData[[#This Row],[pendingAmount]]+TrafficData[[#This Row],[disposedAmount]]=TrafficData[[#This Row],[totalAmount]]</f>
        <v>1</v>
      </c>
      <c r="M971" t="b">
        <f>TrafficData[[#This Row],[pendingCourt]]+TrafficData[[#This Row],[disposedCourt]]=TrafficData[[#This Row],[totalCourt]]</f>
        <v>1</v>
      </c>
      <c r="N971" t="b">
        <f>AND(TrafficData[[#This Row],[disposedChallan]]&lt;=TrafficData[[#This Row],[totalChallan]],TrafficData[[#This Row],[pendingChallan]]&lt;=TrafficData[[#This Row],[totalChallan]])</f>
        <v>1</v>
      </c>
      <c r="O971" t="b">
        <f>AND(TrafficData[[#This Row],[pendingAmount]]&lt;=TrafficData[[#This Row],[totalAmount]],TrafficData[[#This Row],[disposedAmount]]&lt;=TrafficData[[#This Row],[totalAmount]])</f>
        <v>1</v>
      </c>
      <c r="P971" t="b">
        <f>AND(TrafficData[[#This Row],[pendingCourt]]&lt;=TrafficData[[#This Row],[totalCourt]],TrafficData[[#This Row],[disposedCourt]]&lt;=TrafficData[[#This Row],[totalCourt]])</f>
        <v>1</v>
      </c>
    </row>
    <row r="972" spans="1:16">
      <c r="A972" s="1">
        <v>42975</v>
      </c>
      <c r="B972">
        <v>1834</v>
      </c>
      <c r="C972">
        <v>874</v>
      </c>
      <c r="D972">
        <v>960</v>
      </c>
      <c r="E972">
        <v>1313229</v>
      </c>
      <c r="F972">
        <v>3709934</v>
      </c>
      <c r="G972">
        <v>5023163</v>
      </c>
      <c r="H972">
        <v>715</v>
      </c>
      <c r="I972">
        <v>114</v>
      </c>
      <c r="J972">
        <v>829</v>
      </c>
      <c r="K972" t="b">
        <f>TrafficData[[#This Row],[disposedChallan]]+TrafficData[[#This Row],[pendingChallan]]=TrafficData[[#This Row],[totalChallan]]</f>
        <v>1</v>
      </c>
      <c r="L972" t="b">
        <f>TrafficData[[#This Row],[pendingAmount]]+TrafficData[[#This Row],[disposedAmount]]=TrafficData[[#This Row],[totalAmount]]</f>
        <v>1</v>
      </c>
      <c r="M972" t="b">
        <f>TrafficData[[#This Row],[pendingCourt]]+TrafficData[[#This Row],[disposedCourt]]=TrafficData[[#This Row],[totalCourt]]</f>
        <v>1</v>
      </c>
      <c r="N972" t="b">
        <f>AND(TrafficData[[#This Row],[disposedChallan]]&lt;=TrafficData[[#This Row],[totalChallan]],TrafficData[[#This Row],[pendingChallan]]&lt;=TrafficData[[#This Row],[totalChallan]])</f>
        <v>1</v>
      </c>
      <c r="O972" t="b">
        <f>AND(TrafficData[[#This Row],[pendingAmount]]&lt;=TrafficData[[#This Row],[totalAmount]],TrafficData[[#This Row],[disposedAmount]]&lt;=TrafficData[[#This Row],[totalAmount]])</f>
        <v>1</v>
      </c>
      <c r="P972" t="b">
        <f>AND(TrafficData[[#This Row],[pendingCourt]]&lt;=TrafficData[[#This Row],[totalCourt]],TrafficData[[#This Row],[disposedCourt]]&lt;=TrafficData[[#This Row],[totalCourt]])</f>
        <v>1</v>
      </c>
    </row>
    <row r="973" spans="1:16">
      <c r="A973" s="1">
        <v>42976</v>
      </c>
      <c r="B973">
        <v>2009</v>
      </c>
      <c r="C973">
        <v>948</v>
      </c>
      <c r="D973">
        <v>1061</v>
      </c>
      <c r="E973">
        <v>1945301</v>
      </c>
      <c r="F973">
        <v>4746478</v>
      </c>
      <c r="G973">
        <v>6691779</v>
      </c>
      <c r="H973">
        <v>803</v>
      </c>
      <c r="I973">
        <v>176</v>
      </c>
      <c r="J973">
        <v>979</v>
      </c>
      <c r="K973" t="b">
        <f>TrafficData[[#This Row],[disposedChallan]]+TrafficData[[#This Row],[pendingChallan]]=TrafficData[[#This Row],[totalChallan]]</f>
        <v>1</v>
      </c>
      <c r="L973" t="b">
        <f>TrafficData[[#This Row],[pendingAmount]]+TrafficData[[#This Row],[disposedAmount]]=TrafficData[[#This Row],[totalAmount]]</f>
        <v>1</v>
      </c>
      <c r="M973" t="b">
        <f>TrafficData[[#This Row],[pendingCourt]]+TrafficData[[#This Row],[disposedCourt]]=TrafficData[[#This Row],[totalCourt]]</f>
        <v>1</v>
      </c>
      <c r="N973" t="b">
        <f>AND(TrafficData[[#This Row],[disposedChallan]]&lt;=TrafficData[[#This Row],[totalChallan]],TrafficData[[#This Row],[pendingChallan]]&lt;=TrafficData[[#This Row],[totalChallan]])</f>
        <v>1</v>
      </c>
      <c r="O973" t="b">
        <f>AND(TrafficData[[#This Row],[pendingAmount]]&lt;=TrafficData[[#This Row],[totalAmount]],TrafficData[[#This Row],[disposedAmount]]&lt;=TrafficData[[#This Row],[totalAmount]])</f>
        <v>1</v>
      </c>
      <c r="P973" t="b">
        <f>AND(TrafficData[[#This Row],[pendingCourt]]&lt;=TrafficData[[#This Row],[totalCourt]],TrafficData[[#This Row],[disposedCourt]]&lt;=TrafficData[[#This Row],[totalCourt]])</f>
        <v>1</v>
      </c>
    </row>
    <row r="974" spans="1:16">
      <c r="A974" s="1">
        <v>42977</v>
      </c>
      <c r="B974">
        <v>2601</v>
      </c>
      <c r="C974">
        <v>1517</v>
      </c>
      <c r="D974">
        <v>1084</v>
      </c>
      <c r="E974">
        <v>2059350</v>
      </c>
      <c r="F974">
        <v>4763995</v>
      </c>
      <c r="G974">
        <v>6823345</v>
      </c>
      <c r="H974">
        <v>853</v>
      </c>
      <c r="I974">
        <v>180</v>
      </c>
      <c r="J974">
        <v>1033</v>
      </c>
      <c r="K974" t="b">
        <f>TrafficData[[#This Row],[disposedChallan]]+TrafficData[[#This Row],[pendingChallan]]=TrafficData[[#This Row],[totalChallan]]</f>
        <v>1</v>
      </c>
      <c r="L974" t="b">
        <f>TrafficData[[#This Row],[pendingAmount]]+TrafficData[[#This Row],[disposedAmount]]=TrafficData[[#This Row],[totalAmount]]</f>
        <v>1</v>
      </c>
      <c r="M974" t="b">
        <f>TrafficData[[#This Row],[pendingCourt]]+TrafficData[[#This Row],[disposedCourt]]=TrafficData[[#This Row],[totalCourt]]</f>
        <v>1</v>
      </c>
      <c r="N974" t="b">
        <f>AND(TrafficData[[#This Row],[disposedChallan]]&lt;=TrafficData[[#This Row],[totalChallan]],TrafficData[[#This Row],[pendingChallan]]&lt;=TrafficData[[#This Row],[totalChallan]])</f>
        <v>1</v>
      </c>
      <c r="O974" t="b">
        <f>AND(TrafficData[[#This Row],[pendingAmount]]&lt;=TrafficData[[#This Row],[totalAmount]],TrafficData[[#This Row],[disposedAmount]]&lt;=TrafficData[[#This Row],[totalAmount]])</f>
        <v>1</v>
      </c>
      <c r="P974" t="b">
        <f>AND(TrafficData[[#This Row],[pendingCourt]]&lt;=TrafficData[[#This Row],[totalCourt]],TrafficData[[#This Row],[disposedCourt]]&lt;=TrafficData[[#This Row],[totalCourt]])</f>
        <v>1</v>
      </c>
    </row>
    <row r="975" spans="1:16">
      <c r="A975" s="1">
        <v>42978</v>
      </c>
      <c r="B975">
        <v>1431</v>
      </c>
      <c r="C975">
        <v>890</v>
      </c>
      <c r="D975">
        <v>541</v>
      </c>
      <c r="E975">
        <v>1131354</v>
      </c>
      <c r="F975">
        <v>3231500</v>
      </c>
      <c r="G975">
        <v>4362854</v>
      </c>
      <c r="H975">
        <v>401</v>
      </c>
      <c r="I975">
        <v>138</v>
      </c>
      <c r="J975">
        <v>539</v>
      </c>
      <c r="K975" t="b">
        <f>TrafficData[[#This Row],[disposedChallan]]+TrafficData[[#This Row],[pendingChallan]]=TrafficData[[#This Row],[totalChallan]]</f>
        <v>1</v>
      </c>
      <c r="L975" t="b">
        <f>TrafficData[[#This Row],[pendingAmount]]+TrafficData[[#This Row],[disposedAmount]]=TrafficData[[#This Row],[totalAmount]]</f>
        <v>1</v>
      </c>
      <c r="M975" t="b">
        <f>TrafficData[[#This Row],[pendingCourt]]+TrafficData[[#This Row],[disposedCourt]]=TrafficData[[#This Row],[totalCourt]]</f>
        <v>1</v>
      </c>
      <c r="N975" t="b">
        <f>AND(TrafficData[[#This Row],[disposedChallan]]&lt;=TrafficData[[#This Row],[totalChallan]],TrafficData[[#This Row],[pendingChallan]]&lt;=TrafficData[[#This Row],[totalChallan]])</f>
        <v>1</v>
      </c>
      <c r="O975" t="b">
        <f>AND(TrafficData[[#This Row],[pendingAmount]]&lt;=TrafficData[[#This Row],[totalAmount]],TrafficData[[#This Row],[disposedAmount]]&lt;=TrafficData[[#This Row],[totalAmount]])</f>
        <v>1</v>
      </c>
      <c r="P975" t="b">
        <f>AND(TrafficData[[#This Row],[pendingCourt]]&lt;=TrafficData[[#This Row],[totalCourt]],TrafficData[[#This Row],[disposedCourt]]&lt;=TrafficData[[#This Row],[totalCourt]])</f>
        <v>1</v>
      </c>
    </row>
    <row r="976" spans="1:16">
      <c r="A976" s="1">
        <v>42979</v>
      </c>
      <c r="B976">
        <v>1275</v>
      </c>
      <c r="C976">
        <v>629</v>
      </c>
      <c r="D976">
        <v>646</v>
      </c>
      <c r="E976">
        <v>1721640</v>
      </c>
      <c r="F976">
        <v>3752165</v>
      </c>
      <c r="G976">
        <v>5473805</v>
      </c>
      <c r="H976">
        <v>447</v>
      </c>
      <c r="I976">
        <v>98</v>
      </c>
      <c r="J976">
        <v>545</v>
      </c>
      <c r="K976" t="b">
        <f>TrafficData[[#This Row],[disposedChallan]]+TrafficData[[#This Row],[pendingChallan]]=TrafficData[[#This Row],[totalChallan]]</f>
        <v>1</v>
      </c>
      <c r="L976" t="b">
        <f>TrafficData[[#This Row],[pendingAmount]]+TrafficData[[#This Row],[disposedAmount]]=TrafficData[[#This Row],[totalAmount]]</f>
        <v>1</v>
      </c>
      <c r="M976" t="b">
        <f>TrafficData[[#This Row],[pendingCourt]]+TrafficData[[#This Row],[disposedCourt]]=TrafficData[[#This Row],[totalCourt]]</f>
        <v>1</v>
      </c>
      <c r="N976" t="b">
        <f>AND(TrafficData[[#This Row],[disposedChallan]]&lt;=TrafficData[[#This Row],[totalChallan]],TrafficData[[#This Row],[pendingChallan]]&lt;=TrafficData[[#This Row],[totalChallan]])</f>
        <v>1</v>
      </c>
      <c r="O976" t="b">
        <f>AND(TrafficData[[#This Row],[pendingAmount]]&lt;=TrafficData[[#This Row],[totalAmount]],TrafficData[[#This Row],[disposedAmount]]&lt;=TrafficData[[#This Row],[totalAmount]])</f>
        <v>1</v>
      </c>
      <c r="P976" t="b">
        <f>AND(TrafficData[[#This Row],[pendingCourt]]&lt;=TrafficData[[#This Row],[totalCourt]],TrafficData[[#This Row],[disposedCourt]]&lt;=TrafficData[[#This Row],[totalCourt]])</f>
        <v>1</v>
      </c>
    </row>
    <row r="977" spans="1:16">
      <c r="A977" s="1">
        <v>42980</v>
      </c>
      <c r="B977">
        <v>618</v>
      </c>
      <c r="C977">
        <v>246</v>
      </c>
      <c r="D977">
        <v>372</v>
      </c>
      <c r="E977">
        <v>496500</v>
      </c>
      <c r="F977">
        <v>975430</v>
      </c>
      <c r="G977">
        <v>1471930</v>
      </c>
      <c r="H977">
        <v>264</v>
      </c>
      <c r="I977">
        <v>32</v>
      </c>
      <c r="J977">
        <v>296</v>
      </c>
      <c r="K977" t="b">
        <f>TrafficData[[#This Row],[disposedChallan]]+TrafficData[[#This Row],[pendingChallan]]=TrafficData[[#This Row],[totalChallan]]</f>
        <v>1</v>
      </c>
      <c r="L977" t="b">
        <f>TrafficData[[#This Row],[pendingAmount]]+TrafficData[[#This Row],[disposedAmount]]=TrafficData[[#This Row],[totalAmount]]</f>
        <v>1</v>
      </c>
      <c r="M977" t="b">
        <f>TrafficData[[#This Row],[pendingCourt]]+TrafficData[[#This Row],[disposedCourt]]=TrafficData[[#This Row],[totalCourt]]</f>
        <v>1</v>
      </c>
      <c r="N977" t="b">
        <f>AND(TrafficData[[#This Row],[disposedChallan]]&lt;=TrafficData[[#This Row],[totalChallan]],TrafficData[[#This Row],[pendingChallan]]&lt;=TrafficData[[#This Row],[totalChallan]])</f>
        <v>1</v>
      </c>
      <c r="O977" t="b">
        <f>AND(TrafficData[[#This Row],[pendingAmount]]&lt;=TrafficData[[#This Row],[totalAmount]],TrafficData[[#This Row],[disposedAmount]]&lt;=TrafficData[[#This Row],[totalAmount]])</f>
        <v>1</v>
      </c>
      <c r="P977" t="b">
        <f>AND(TrafficData[[#This Row],[pendingCourt]]&lt;=TrafficData[[#This Row],[totalCourt]],TrafficData[[#This Row],[disposedCourt]]&lt;=TrafficData[[#This Row],[totalCourt]])</f>
        <v>1</v>
      </c>
    </row>
    <row r="978" spans="1:16">
      <c r="A978" s="1">
        <v>42981</v>
      </c>
      <c r="B978">
        <v>497</v>
      </c>
      <c r="C978">
        <v>313</v>
      </c>
      <c r="D978">
        <v>184</v>
      </c>
      <c r="E978">
        <v>755900</v>
      </c>
      <c r="F978">
        <v>2782490</v>
      </c>
      <c r="G978">
        <v>3538390</v>
      </c>
      <c r="H978">
        <v>113</v>
      </c>
      <c r="I978">
        <v>39</v>
      </c>
      <c r="J978">
        <v>152</v>
      </c>
      <c r="K978" t="b">
        <f>TrafficData[[#This Row],[disposedChallan]]+TrafficData[[#This Row],[pendingChallan]]=TrafficData[[#This Row],[totalChallan]]</f>
        <v>1</v>
      </c>
      <c r="L978" t="b">
        <f>TrafficData[[#This Row],[pendingAmount]]+TrafficData[[#This Row],[disposedAmount]]=TrafficData[[#This Row],[totalAmount]]</f>
        <v>1</v>
      </c>
      <c r="M978" t="b">
        <f>TrafficData[[#This Row],[pendingCourt]]+TrafficData[[#This Row],[disposedCourt]]=TrafficData[[#This Row],[totalCourt]]</f>
        <v>1</v>
      </c>
      <c r="N978" t="b">
        <f>AND(TrafficData[[#This Row],[disposedChallan]]&lt;=TrafficData[[#This Row],[totalChallan]],TrafficData[[#This Row],[pendingChallan]]&lt;=TrafficData[[#This Row],[totalChallan]])</f>
        <v>1</v>
      </c>
      <c r="O978" t="b">
        <f>AND(TrafficData[[#This Row],[pendingAmount]]&lt;=TrafficData[[#This Row],[totalAmount]],TrafficData[[#This Row],[disposedAmount]]&lt;=TrafficData[[#This Row],[totalAmount]])</f>
        <v>1</v>
      </c>
      <c r="P978" t="b">
        <f>AND(TrafficData[[#This Row],[pendingCourt]]&lt;=TrafficData[[#This Row],[totalCourt]],TrafficData[[#This Row],[disposedCourt]]&lt;=TrafficData[[#This Row],[totalCourt]])</f>
        <v>1</v>
      </c>
    </row>
    <row r="979" spans="1:16">
      <c r="A979" s="1">
        <v>42982</v>
      </c>
      <c r="B979">
        <v>1663</v>
      </c>
      <c r="C979">
        <v>834</v>
      </c>
      <c r="D979">
        <v>829</v>
      </c>
      <c r="E979">
        <v>1781547</v>
      </c>
      <c r="F979">
        <v>4712856</v>
      </c>
      <c r="G979">
        <v>6494403</v>
      </c>
      <c r="H979">
        <v>642</v>
      </c>
      <c r="I979">
        <v>116</v>
      </c>
      <c r="J979">
        <v>758</v>
      </c>
      <c r="K979" t="b">
        <f>TrafficData[[#This Row],[disposedChallan]]+TrafficData[[#This Row],[pendingChallan]]=TrafficData[[#This Row],[totalChallan]]</f>
        <v>1</v>
      </c>
      <c r="L979" t="b">
        <f>TrafficData[[#This Row],[pendingAmount]]+TrafficData[[#This Row],[disposedAmount]]=TrafficData[[#This Row],[totalAmount]]</f>
        <v>1</v>
      </c>
      <c r="M979" t="b">
        <f>TrafficData[[#This Row],[pendingCourt]]+TrafficData[[#This Row],[disposedCourt]]=TrafficData[[#This Row],[totalCourt]]</f>
        <v>1</v>
      </c>
      <c r="N979" t="b">
        <f>AND(TrafficData[[#This Row],[disposedChallan]]&lt;=TrafficData[[#This Row],[totalChallan]],TrafficData[[#This Row],[pendingChallan]]&lt;=TrafficData[[#This Row],[totalChallan]])</f>
        <v>1</v>
      </c>
      <c r="O979" t="b">
        <f>AND(TrafficData[[#This Row],[pendingAmount]]&lt;=TrafficData[[#This Row],[totalAmount]],TrafficData[[#This Row],[disposedAmount]]&lt;=TrafficData[[#This Row],[totalAmount]])</f>
        <v>1</v>
      </c>
      <c r="P979" t="b">
        <f>AND(TrafficData[[#This Row],[pendingCourt]]&lt;=TrafficData[[#This Row],[totalCourt]],TrafficData[[#This Row],[disposedCourt]]&lt;=TrafficData[[#This Row],[totalCourt]])</f>
        <v>1</v>
      </c>
    </row>
    <row r="980" spans="1:16">
      <c r="A980" s="1">
        <v>42983</v>
      </c>
      <c r="B980">
        <v>1585</v>
      </c>
      <c r="C980">
        <v>837</v>
      </c>
      <c r="D980">
        <v>748</v>
      </c>
      <c r="E980">
        <v>1983290</v>
      </c>
      <c r="F980">
        <v>7224062</v>
      </c>
      <c r="G980">
        <v>9207352</v>
      </c>
      <c r="H980">
        <v>587</v>
      </c>
      <c r="I980">
        <v>105</v>
      </c>
      <c r="J980">
        <v>692</v>
      </c>
      <c r="K980" t="b">
        <f>TrafficData[[#This Row],[disposedChallan]]+TrafficData[[#This Row],[pendingChallan]]=TrafficData[[#This Row],[totalChallan]]</f>
        <v>1</v>
      </c>
      <c r="L980" t="b">
        <f>TrafficData[[#This Row],[pendingAmount]]+TrafficData[[#This Row],[disposedAmount]]=TrafficData[[#This Row],[totalAmount]]</f>
        <v>1</v>
      </c>
      <c r="M980" t="b">
        <f>TrafficData[[#This Row],[pendingCourt]]+TrafficData[[#This Row],[disposedCourt]]=TrafficData[[#This Row],[totalCourt]]</f>
        <v>1</v>
      </c>
      <c r="N980" t="b">
        <f>AND(TrafficData[[#This Row],[disposedChallan]]&lt;=TrafficData[[#This Row],[totalChallan]],TrafficData[[#This Row],[pendingChallan]]&lt;=TrafficData[[#This Row],[totalChallan]])</f>
        <v>1</v>
      </c>
      <c r="O980" t="b">
        <f>AND(TrafficData[[#This Row],[pendingAmount]]&lt;=TrafficData[[#This Row],[totalAmount]],TrafficData[[#This Row],[disposedAmount]]&lt;=TrafficData[[#This Row],[totalAmount]])</f>
        <v>1</v>
      </c>
      <c r="P980" t="b">
        <f>AND(TrafficData[[#This Row],[pendingCourt]]&lt;=TrafficData[[#This Row],[totalCourt]],TrafficData[[#This Row],[disposedCourt]]&lt;=TrafficData[[#This Row],[totalCourt]])</f>
        <v>1</v>
      </c>
    </row>
    <row r="981" spans="1:16">
      <c r="A981" s="1">
        <v>42984</v>
      </c>
      <c r="B981">
        <v>2231</v>
      </c>
      <c r="C981">
        <v>1433</v>
      </c>
      <c r="D981">
        <v>798</v>
      </c>
      <c r="E981">
        <v>2295900</v>
      </c>
      <c r="F981">
        <v>6768732</v>
      </c>
      <c r="G981">
        <v>9064632</v>
      </c>
      <c r="H981">
        <v>606</v>
      </c>
      <c r="I981">
        <v>144</v>
      </c>
      <c r="J981">
        <v>750</v>
      </c>
      <c r="K981" t="b">
        <f>TrafficData[[#This Row],[disposedChallan]]+TrafficData[[#This Row],[pendingChallan]]=TrafficData[[#This Row],[totalChallan]]</f>
        <v>1</v>
      </c>
      <c r="L981" t="b">
        <f>TrafficData[[#This Row],[pendingAmount]]+TrafficData[[#This Row],[disposedAmount]]=TrafficData[[#This Row],[totalAmount]]</f>
        <v>1</v>
      </c>
      <c r="M981" t="b">
        <f>TrafficData[[#This Row],[pendingCourt]]+TrafficData[[#This Row],[disposedCourt]]=TrafficData[[#This Row],[totalCourt]]</f>
        <v>1</v>
      </c>
      <c r="N981" t="b">
        <f>AND(TrafficData[[#This Row],[disposedChallan]]&lt;=TrafficData[[#This Row],[totalChallan]],TrafficData[[#This Row],[pendingChallan]]&lt;=TrafficData[[#This Row],[totalChallan]])</f>
        <v>1</v>
      </c>
      <c r="O981" t="b">
        <f>AND(TrafficData[[#This Row],[pendingAmount]]&lt;=TrafficData[[#This Row],[totalAmount]],TrafficData[[#This Row],[disposedAmount]]&lt;=TrafficData[[#This Row],[totalAmount]])</f>
        <v>1</v>
      </c>
      <c r="P981" t="b">
        <f>AND(TrafficData[[#This Row],[pendingCourt]]&lt;=TrafficData[[#This Row],[totalCourt]],TrafficData[[#This Row],[disposedCourt]]&lt;=TrafficData[[#This Row],[totalCourt]])</f>
        <v>1</v>
      </c>
    </row>
    <row r="982" spans="1:16">
      <c r="A982" s="1">
        <v>42985</v>
      </c>
      <c r="B982">
        <v>1971</v>
      </c>
      <c r="C982">
        <v>969</v>
      </c>
      <c r="D982">
        <v>1002</v>
      </c>
      <c r="E982">
        <v>1798534</v>
      </c>
      <c r="F982">
        <v>5472384</v>
      </c>
      <c r="G982">
        <v>7270918</v>
      </c>
      <c r="H982">
        <v>770</v>
      </c>
      <c r="I982">
        <v>93</v>
      </c>
      <c r="J982">
        <v>863</v>
      </c>
      <c r="K982" t="b">
        <f>TrafficData[[#This Row],[disposedChallan]]+TrafficData[[#This Row],[pendingChallan]]=TrafficData[[#This Row],[totalChallan]]</f>
        <v>1</v>
      </c>
      <c r="L982" t="b">
        <f>TrafficData[[#This Row],[pendingAmount]]+TrafficData[[#This Row],[disposedAmount]]=TrafficData[[#This Row],[totalAmount]]</f>
        <v>1</v>
      </c>
      <c r="M982" t="b">
        <f>TrafficData[[#This Row],[pendingCourt]]+TrafficData[[#This Row],[disposedCourt]]=TrafficData[[#This Row],[totalCourt]]</f>
        <v>1</v>
      </c>
      <c r="N982" t="b">
        <f>AND(TrafficData[[#This Row],[disposedChallan]]&lt;=TrafficData[[#This Row],[totalChallan]],TrafficData[[#This Row],[pendingChallan]]&lt;=TrafficData[[#This Row],[totalChallan]])</f>
        <v>1</v>
      </c>
      <c r="O982" t="b">
        <f>AND(TrafficData[[#This Row],[pendingAmount]]&lt;=TrafficData[[#This Row],[totalAmount]],TrafficData[[#This Row],[disposedAmount]]&lt;=TrafficData[[#This Row],[totalAmount]])</f>
        <v>1</v>
      </c>
      <c r="P982" t="b">
        <f>AND(TrafficData[[#This Row],[pendingCourt]]&lt;=TrafficData[[#This Row],[totalCourt]],TrafficData[[#This Row],[disposedCourt]]&lt;=TrafficData[[#This Row],[totalCourt]])</f>
        <v>1</v>
      </c>
    </row>
    <row r="983" spans="1:16">
      <c r="A983" s="1">
        <v>42986</v>
      </c>
      <c r="B983">
        <v>1583</v>
      </c>
      <c r="C983">
        <v>820</v>
      </c>
      <c r="D983">
        <v>763</v>
      </c>
      <c r="E983">
        <v>1599700</v>
      </c>
      <c r="F983">
        <v>5054146</v>
      </c>
      <c r="G983">
        <v>6653846</v>
      </c>
      <c r="H983">
        <v>586</v>
      </c>
      <c r="I983">
        <v>81</v>
      </c>
      <c r="J983">
        <v>667</v>
      </c>
      <c r="K983" t="b">
        <f>TrafficData[[#This Row],[disposedChallan]]+TrafficData[[#This Row],[pendingChallan]]=TrafficData[[#This Row],[totalChallan]]</f>
        <v>1</v>
      </c>
      <c r="L983" t="b">
        <f>TrafficData[[#This Row],[pendingAmount]]+TrafficData[[#This Row],[disposedAmount]]=TrafficData[[#This Row],[totalAmount]]</f>
        <v>1</v>
      </c>
      <c r="M983" t="b">
        <f>TrafficData[[#This Row],[pendingCourt]]+TrafficData[[#This Row],[disposedCourt]]=TrafficData[[#This Row],[totalCourt]]</f>
        <v>1</v>
      </c>
      <c r="N983" t="b">
        <f>AND(TrafficData[[#This Row],[disposedChallan]]&lt;=TrafficData[[#This Row],[totalChallan]],TrafficData[[#This Row],[pendingChallan]]&lt;=TrafficData[[#This Row],[totalChallan]])</f>
        <v>1</v>
      </c>
      <c r="O983" t="b">
        <f>AND(TrafficData[[#This Row],[pendingAmount]]&lt;=TrafficData[[#This Row],[totalAmount]],TrafficData[[#This Row],[disposedAmount]]&lt;=TrafficData[[#This Row],[totalAmount]])</f>
        <v>1</v>
      </c>
      <c r="P983" t="b">
        <f>AND(TrafficData[[#This Row],[pendingCourt]]&lt;=TrafficData[[#This Row],[totalCourt]],TrafficData[[#This Row],[disposedCourt]]&lt;=TrafficData[[#This Row],[totalCourt]])</f>
        <v>1</v>
      </c>
    </row>
    <row r="984" spans="1:16">
      <c r="A984" s="1">
        <v>42987</v>
      </c>
      <c r="B984">
        <v>1604</v>
      </c>
      <c r="C984">
        <v>677</v>
      </c>
      <c r="D984">
        <v>927</v>
      </c>
      <c r="E984">
        <v>973050</v>
      </c>
      <c r="F984">
        <v>3929691</v>
      </c>
      <c r="G984">
        <v>4902741</v>
      </c>
      <c r="H984">
        <v>746</v>
      </c>
      <c r="I984">
        <v>92</v>
      </c>
      <c r="J984">
        <v>838</v>
      </c>
      <c r="K984" t="b">
        <f>TrafficData[[#This Row],[disposedChallan]]+TrafficData[[#This Row],[pendingChallan]]=TrafficData[[#This Row],[totalChallan]]</f>
        <v>1</v>
      </c>
      <c r="L984" t="b">
        <f>TrafficData[[#This Row],[pendingAmount]]+TrafficData[[#This Row],[disposedAmount]]=TrafficData[[#This Row],[totalAmount]]</f>
        <v>1</v>
      </c>
      <c r="M984" t="b">
        <f>TrafficData[[#This Row],[pendingCourt]]+TrafficData[[#This Row],[disposedCourt]]=TrafficData[[#This Row],[totalCourt]]</f>
        <v>1</v>
      </c>
      <c r="N984" t="b">
        <f>AND(TrafficData[[#This Row],[disposedChallan]]&lt;=TrafficData[[#This Row],[totalChallan]],TrafficData[[#This Row],[pendingChallan]]&lt;=TrafficData[[#This Row],[totalChallan]])</f>
        <v>1</v>
      </c>
      <c r="O984" t="b">
        <f>AND(TrafficData[[#This Row],[pendingAmount]]&lt;=TrafficData[[#This Row],[totalAmount]],TrafficData[[#This Row],[disposedAmount]]&lt;=TrafficData[[#This Row],[totalAmount]])</f>
        <v>1</v>
      </c>
      <c r="P984" t="b">
        <f>AND(TrafficData[[#This Row],[pendingCourt]]&lt;=TrafficData[[#This Row],[totalCourt]],TrafficData[[#This Row],[disposedCourt]]&lt;=TrafficData[[#This Row],[totalCourt]])</f>
        <v>1</v>
      </c>
    </row>
    <row r="985" spans="1:16">
      <c r="A985" s="1">
        <v>42988</v>
      </c>
      <c r="B985">
        <v>1056</v>
      </c>
      <c r="C985">
        <v>468</v>
      </c>
      <c r="D985">
        <v>588</v>
      </c>
      <c r="E985">
        <v>1022160</v>
      </c>
      <c r="F985">
        <v>2330711</v>
      </c>
      <c r="G985">
        <v>3352871</v>
      </c>
      <c r="H985">
        <v>449</v>
      </c>
      <c r="I985">
        <v>70</v>
      </c>
      <c r="J985">
        <v>519</v>
      </c>
      <c r="K985" t="b">
        <f>TrafficData[[#This Row],[disposedChallan]]+TrafficData[[#This Row],[pendingChallan]]=TrafficData[[#This Row],[totalChallan]]</f>
        <v>1</v>
      </c>
      <c r="L985" t="b">
        <f>TrafficData[[#This Row],[pendingAmount]]+TrafficData[[#This Row],[disposedAmount]]=TrafficData[[#This Row],[totalAmount]]</f>
        <v>1</v>
      </c>
      <c r="M985" t="b">
        <f>TrafficData[[#This Row],[pendingCourt]]+TrafficData[[#This Row],[disposedCourt]]=TrafficData[[#This Row],[totalCourt]]</f>
        <v>1</v>
      </c>
      <c r="N985" t="b">
        <f>AND(TrafficData[[#This Row],[disposedChallan]]&lt;=TrafficData[[#This Row],[totalChallan]],TrafficData[[#This Row],[pendingChallan]]&lt;=TrafficData[[#This Row],[totalChallan]])</f>
        <v>1</v>
      </c>
      <c r="O985" t="b">
        <f>AND(TrafficData[[#This Row],[pendingAmount]]&lt;=TrafficData[[#This Row],[totalAmount]],TrafficData[[#This Row],[disposedAmount]]&lt;=TrafficData[[#This Row],[totalAmount]])</f>
        <v>1</v>
      </c>
      <c r="P985" t="b">
        <f>AND(TrafficData[[#This Row],[pendingCourt]]&lt;=TrafficData[[#This Row],[totalCourt]],TrafficData[[#This Row],[disposedCourt]]&lt;=TrafficData[[#This Row],[totalCourt]])</f>
        <v>1</v>
      </c>
    </row>
    <row r="986" spans="1:16">
      <c r="A986" s="1">
        <v>42989</v>
      </c>
      <c r="B986">
        <v>2109</v>
      </c>
      <c r="C986">
        <v>1031</v>
      </c>
      <c r="D986">
        <v>1078</v>
      </c>
      <c r="E986">
        <v>1832375</v>
      </c>
      <c r="F986">
        <v>5443924</v>
      </c>
      <c r="G986">
        <v>7276299</v>
      </c>
      <c r="H986">
        <v>843</v>
      </c>
      <c r="I986">
        <v>188</v>
      </c>
      <c r="J986">
        <v>1031</v>
      </c>
      <c r="K986" t="b">
        <f>TrafficData[[#This Row],[disposedChallan]]+TrafficData[[#This Row],[pendingChallan]]=TrafficData[[#This Row],[totalChallan]]</f>
        <v>1</v>
      </c>
      <c r="L986" t="b">
        <f>TrafficData[[#This Row],[pendingAmount]]+TrafficData[[#This Row],[disposedAmount]]=TrafficData[[#This Row],[totalAmount]]</f>
        <v>1</v>
      </c>
      <c r="M986" t="b">
        <f>TrafficData[[#This Row],[pendingCourt]]+TrafficData[[#This Row],[disposedCourt]]=TrafficData[[#This Row],[totalCourt]]</f>
        <v>1</v>
      </c>
      <c r="N986" t="b">
        <f>AND(TrafficData[[#This Row],[disposedChallan]]&lt;=TrafficData[[#This Row],[totalChallan]],TrafficData[[#This Row],[pendingChallan]]&lt;=TrafficData[[#This Row],[totalChallan]])</f>
        <v>1</v>
      </c>
      <c r="O986" t="b">
        <f>AND(TrafficData[[#This Row],[pendingAmount]]&lt;=TrafficData[[#This Row],[totalAmount]],TrafficData[[#This Row],[disposedAmount]]&lt;=TrafficData[[#This Row],[totalAmount]])</f>
        <v>1</v>
      </c>
      <c r="P986" t="b">
        <f>AND(TrafficData[[#This Row],[pendingCourt]]&lt;=TrafficData[[#This Row],[totalCourt]],TrafficData[[#This Row],[disposedCourt]]&lt;=TrafficData[[#This Row],[totalCourt]])</f>
        <v>1</v>
      </c>
    </row>
    <row r="987" spans="1:16">
      <c r="A987" s="1">
        <v>42990</v>
      </c>
      <c r="B987">
        <v>1995</v>
      </c>
      <c r="C987">
        <v>1076</v>
      </c>
      <c r="D987">
        <v>919</v>
      </c>
      <c r="E987">
        <v>1908759</v>
      </c>
      <c r="F987">
        <v>9379951</v>
      </c>
      <c r="G987">
        <v>11288710</v>
      </c>
      <c r="H987">
        <v>684</v>
      </c>
      <c r="I987">
        <v>141</v>
      </c>
      <c r="J987">
        <v>825</v>
      </c>
      <c r="K987" t="b">
        <f>TrafficData[[#This Row],[disposedChallan]]+TrafficData[[#This Row],[pendingChallan]]=TrafficData[[#This Row],[totalChallan]]</f>
        <v>1</v>
      </c>
      <c r="L987" t="b">
        <f>TrafficData[[#This Row],[pendingAmount]]+TrafficData[[#This Row],[disposedAmount]]=TrafficData[[#This Row],[totalAmount]]</f>
        <v>1</v>
      </c>
      <c r="M987" t="b">
        <f>TrafficData[[#This Row],[pendingCourt]]+TrafficData[[#This Row],[disposedCourt]]=TrafficData[[#This Row],[totalCourt]]</f>
        <v>1</v>
      </c>
      <c r="N987" t="b">
        <f>AND(TrafficData[[#This Row],[disposedChallan]]&lt;=TrafficData[[#This Row],[totalChallan]],TrafficData[[#This Row],[pendingChallan]]&lt;=TrafficData[[#This Row],[totalChallan]])</f>
        <v>1</v>
      </c>
      <c r="O987" t="b">
        <f>AND(TrafficData[[#This Row],[pendingAmount]]&lt;=TrafficData[[#This Row],[totalAmount]],TrafficData[[#This Row],[disposedAmount]]&lt;=TrafficData[[#This Row],[totalAmount]])</f>
        <v>1</v>
      </c>
      <c r="P987" t="b">
        <f>AND(TrafficData[[#This Row],[pendingCourt]]&lt;=TrafficData[[#This Row],[totalCourt]],TrafficData[[#This Row],[disposedCourt]]&lt;=TrafficData[[#This Row],[totalCourt]])</f>
        <v>1</v>
      </c>
    </row>
    <row r="988" spans="1:16">
      <c r="A988" s="1">
        <v>42991</v>
      </c>
      <c r="B988">
        <v>2399</v>
      </c>
      <c r="C988">
        <v>1370</v>
      </c>
      <c r="D988">
        <v>1029</v>
      </c>
      <c r="E988">
        <v>1911403</v>
      </c>
      <c r="F988">
        <v>5531628</v>
      </c>
      <c r="G988">
        <v>7443031</v>
      </c>
      <c r="H988">
        <v>823</v>
      </c>
      <c r="I988">
        <v>160</v>
      </c>
      <c r="J988">
        <v>983</v>
      </c>
      <c r="K988" t="b">
        <f>TrafficData[[#This Row],[disposedChallan]]+TrafficData[[#This Row],[pendingChallan]]=TrafficData[[#This Row],[totalChallan]]</f>
        <v>1</v>
      </c>
      <c r="L988" t="b">
        <f>TrafficData[[#This Row],[pendingAmount]]+TrafficData[[#This Row],[disposedAmount]]=TrafficData[[#This Row],[totalAmount]]</f>
        <v>1</v>
      </c>
      <c r="M988" t="b">
        <f>TrafficData[[#This Row],[pendingCourt]]+TrafficData[[#This Row],[disposedCourt]]=TrafficData[[#This Row],[totalCourt]]</f>
        <v>1</v>
      </c>
      <c r="N988" t="b">
        <f>AND(TrafficData[[#This Row],[disposedChallan]]&lt;=TrafficData[[#This Row],[totalChallan]],TrafficData[[#This Row],[pendingChallan]]&lt;=TrafficData[[#This Row],[totalChallan]])</f>
        <v>1</v>
      </c>
      <c r="O988" t="b">
        <f>AND(TrafficData[[#This Row],[pendingAmount]]&lt;=TrafficData[[#This Row],[totalAmount]],TrafficData[[#This Row],[disposedAmount]]&lt;=TrafficData[[#This Row],[totalAmount]])</f>
        <v>1</v>
      </c>
      <c r="P988" t="b">
        <f>AND(TrafficData[[#This Row],[pendingCourt]]&lt;=TrafficData[[#This Row],[totalCourt]],TrafficData[[#This Row],[disposedCourt]]&lt;=TrafficData[[#This Row],[totalCourt]])</f>
        <v>1</v>
      </c>
    </row>
    <row r="989" spans="1:16">
      <c r="A989" s="1">
        <v>42992</v>
      </c>
      <c r="B989">
        <v>1209</v>
      </c>
      <c r="C989">
        <v>382</v>
      </c>
      <c r="D989">
        <v>827</v>
      </c>
      <c r="E989">
        <v>1188390</v>
      </c>
      <c r="F989">
        <v>2531275</v>
      </c>
      <c r="G989">
        <v>3719665</v>
      </c>
      <c r="H989">
        <v>646</v>
      </c>
      <c r="I989">
        <v>71</v>
      </c>
      <c r="J989">
        <v>717</v>
      </c>
      <c r="K989" t="b">
        <f>TrafficData[[#This Row],[disposedChallan]]+TrafficData[[#This Row],[pendingChallan]]=TrafficData[[#This Row],[totalChallan]]</f>
        <v>1</v>
      </c>
      <c r="L989" t="b">
        <f>TrafficData[[#This Row],[pendingAmount]]+TrafficData[[#This Row],[disposedAmount]]=TrafficData[[#This Row],[totalAmount]]</f>
        <v>1</v>
      </c>
      <c r="M989" t="b">
        <f>TrafficData[[#This Row],[pendingCourt]]+TrafficData[[#This Row],[disposedCourt]]=TrafficData[[#This Row],[totalCourt]]</f>
        <v>1</v>
      </c>
      <c r="N989" t="b">
        <f>AND(TrafficData[[#This Row],[disposedChallan]]&lt;=TrafficData[[#This Row],[totalChallan]],TrafficData[[#This Row],[pendingChallan]]&lt;=TrafficData[[#This Row],[totalChallan]])</f>
        <v>1</v>
      </c>
      <c r="O989" t="b">
        <f>AND(TrafficData[[#This Row],[pendingAmount]]&lt;=TrafficData[[#This Row],[totalAmount]],TrafficData[[#This Row],[disposedAmount]]&lt;=TrafficData[[#This Row],[totalAmount]])</f>
        <v>1</v>
      </c>
      <c r="P989" t="b">
        <f>AND(TrafficData[[#This Row],[pendingCourt]]&lt;=TrafficData[[#This Row],[totalCourt]],TrafficData[[#This Row],[disposedCourt]]&lt;=TrafficData[[#This Row],[totalCourt]])</f>
        <v>1</v>
      </c>
    </row>
    <row r="990" spans="1:16">
      <c r="A990" s="1">
        <v>42993</v>
      </c>
      <c r="B990">
        <v>1686</v>
      </c>
      <c r="C990">
        <v>825</v>
      </c>
      <c r="D990">
        <v>861</v>
      </c>
      <c r="E990">
        <v>1574230</v>
      </c>
      <c r="F990">
        <v>3490690</v>
      </c>
      <c r="G990">
        <v>5064920</v>
      </c>
      <c r="H990">
        <v>685</v>
      </c>
      <c r="I990">
        <v>148</v>
      </c>
      <c r="J990">
        <v>833</v>
      </c>
      <c r="K990" t="b">
        <f>TrafficData[[#This Row],[disposedChallan]]+TrafficData[[#This Row],[pendingChallan]]=TrafficData[[#This Row],[totalChallan]]</f>
        <v>1</v>
      </c>
      <c r="L990" t="b">
        <f>TrafficData[[#This Row],[pendingAmount]]+TrafficData[[#This Row],[disposedAmount]]=TrafficData[[#This Row],[totalAmount]]</f>
        <v>1</v>
      </c>
      <c r="M990" t="b">
        <f>TrafficData[[#This Row],[pendingCourt]]+TrafficData[[#This Row],[disposedCourt]]=TrafficData[[#This Row],[totalCourt]]</f>
        <v>1</v>
      </c>
      <c r="N990" t="b">
        <f>AND(TrafficData[[#This Row],[disposedChallan]]&lt;=TrafficData[[#This Row],[totalChallan]],TrafficData[[#This Row],[pendingChallan]]&lt;=TrafficData[[#This Row],[totalChallan]])</f>
        <v>1</v>
      </c>
      <c r="O990" t="b">
        <f>AND(TrafficData[[#This Row],[pendingAmount]]&lt;=TrafficData[[#This Row],[totalAmount]],TrafficData[[#This Row],[disposedAmount]]&lt;=TrafficData[[#This Row],[totalAmount]])</f>
        <v>1</v>
      </c>
      <c r="P990" t="b">
        <f>AND(TrafficData[[#This Row],[pendingCourt]]&lt;=TrafficData[[#This Row],[totalCourt]],TrafficData[[#This Row],[disposedCourt]]&lt;=TrafficData[[#This Row],[totalCourt]])</f>
        <v>1</v>
      </c>
    </row>
    <row r="991" spans="1:16">
      <c r="A991" s="1">
        <v>42994</v>
      </c>
      <c r="B991">
        <v>1873</v>
      </c>
      <c r="C991">
        <v>976</v>
      </c>
      <c r="D991">
        <v>897</v>
      </c>
      <c r="E991">
        <v>1478150</v>
      </c>
      <c r="F991">
        <v>5782735</v>
      </c>
      <c r="G991">
        <v>7260885</v>
      </c>
      <c r="H991">
        <v>746</v>
      </c>
      <c r="I991">
        <v>158</v>
      </c>
      <c r="J991">
        <v>904</v>
      </c>
      <c r="K991" t="b">
        <f>TrafficData[[#This Row],[disposedChallan]]+TrafficData[[#This Row],[pendingChallan]]=TrafficData[[#This Row],[totalChallan]]</f>
        <v>1</v>
      </c>
      <c r="L991" t="b">
        <f>TrafficData[[#This Row],[pendingAmount]]+TrafficData[[#This Row],[disposedAmount]]=TrafficData[[#This Row],[totalAmount]]</f>
        <v>1</v>
      </c>
      <c r="M991" t="b">
        <f>TrafficData[[#This Row],[pendingCourt]]+TrafficData[[#This Row],[disposedCourt]]=TrafficData[[#This Row],[totalCourt]]</f>
        <v>1</v>
      </c>
      <c r="N991" t="b">
        <f>AND(TrafficData[[#This Row],[disposedChallan]]&lt;=TrafficData[[#This Row],[totalChallan]],TrafficData[[#This Row],[pendingChallan]]&lt;=TrafficData[[#This Row],[totalChallan]])</f>
        <v>1</v>
      </c>
      <c r="O991" t="b">
        <f>AND(TrafficData[[#This Row],[pendingAmount]]&lt;=TrafficData[[#This Row],[totalAmount]],TrafficData[[#This Row],[disposedAmount]]&lt;=TrafficData[[#This Row],[totalAmount]])</f>
        <v>1</v>
      </c>
      <c r="P991" t="b">
        <f>AND(TrafficData[[#This Row],[pendingCourt]]&lt;=TrafficData[[#This Row],[totalCourt]],TrafficData[[#This Row],[disposedCourt]]&lt;=TrafficData[[#This Row],[totalCourt]])</f>
        <v>1</v>
      </c>
    </row>
    <row r="992" spans="1:16">
      <c r="A992" s="1">
        <v>42995</v>
      </c>
      <c r="B992">
        <v>977</v>
      </c>
      <c r="C992">
        <v>527</v>
      </c>
      <c r="D992">
        <v>450</v>
      </c>
      <c r="E992">
        <v>945300</v>
      </c>
      <c r="F992">
        <v>3078706</v>
      </c>
      <c r="G992">
        <v>4024006</v>
      </c>
      <c r="H992">
        <v>348</v>
      </c>
      <c r="I992">
        <v>70</v>
      </c>
      <c r="J992">
        <v>418</v>
      </c>
      <c r="K992" t="b">
        <f>TrafficData[[#This Row],[disposedChallan]]+TrafficData[[#This Row],[pendingChallan]]=TrafficData[[#This Row],[totalChallan]]</f>
        <v>1</v>
      </c>
      <c r="L992" t="b">
        <f>TrafficData[[#This Row],[pendingAmount]]+TrafficData[[#This Row],[disposedAmount]]=TrafficData[[#This Row],[totalAmount]]</f>
        <v>1</v>
      </c>
      <c r="M992" t="b">
        <f>TrafficData[[#This Row],[pendingCourt]]+TrafficData[[#This Row],[disposedCourt]]=TrafficData[[#This Row],[totalCourt]]</f>
        <v>1</v>
      </c>
      <c r="N992" t="b">
        <f>AND(TrafficData[[#This Row],[disposedChallan]]&lt;=TrafficData[[#This Row],[totalChallan]],TrafficData[[#This Row],[pendingChallan]]&lt;=TrafficData[[#This Row],[totalChallan]])</f>
        <v>1</v>
      </c>
      <c r="O992" t="b">
        <f>AND(TrafficData[[#This Row],[pendingAmount]]&lt;=TrafficData[[#This Row],[totalAmount]],TrafficData[[#This Row],[disposedAmount]]&lt;=TrafficData[[#This Row],[totalAmount]])</f>
        <v>1</v>
      </c>
      <c r="P992" t="b">
        <f>AND(TrafficData[[#This Row],[pendingCourt]]&lt;=TrafficData[[#This Row],[totalCourt]],TrafficData[[#This Row],[disposedCourt]]&lt;=TrafficData[[#This Row],[totalCourt]])</f>
        <v>1</v>
      </c>
    </row>
    <row r="993" spans="1:16">
      <c r="A993" s="1">
        <v>42996</v>
      </c>
      <c r="B993">
        <v>2294</v>
      </c>
      <c r="C993">
        <v>1193</v>
      </c>
      <c r="D993">
        <v>1101</v>
      </c>
      <c r="E993">
        <v>2258200</v>
      </c>
      <c r="F993">
        <v>4769057</v>
      </c>
      <c r="G993">
        <v>7027257</v>
      </c>
      <c r="H993">
        <v>844</v>
      </c>
      <c r="I993">
        <v>176</v>
      </c>
      <c r="J993">
        <v>1020</v>
      </c>
      <c r="K993" t="b">
        <f>TrafficData[[#This Row],[disposedChallan]]+TrafficData[[#This Row],[pendingChallan]]=TrafficData[[#This Row],[totalChallan]]</f>
        <v>1</v>
      </c>
      <c r="L993" t="b">
        <f>TrafficData[[#This Row],[pendingAmount]]+TrafficData[[#This Row],[disposedAmount]]=TrafficData[[#This Row],[totalAmount]]</f>
        <v>1</v>
      </c>
      <c r="M993" t="b">
        <f>TrafficData[[#This Row],[pendingCourt]]+TrafficData[[#This Row],[disposedCourt]]=TrafficData[[#This Row],[totalCourt]]</f>
        <v>1</v>
      </c>
      <c r="N993" t="b">
        <f>AND(TrafficData[[#This Row],[disposedChallan]]&lt;=TrafficData[[#This Row],[totalChallan]],TrafficData[[#This Row],[pendingChallan]]&lt;=TrafficData[[#This Row],[totalChallan]])</f>
        <v>1</v>
      </c>
      <c r="O993" t="b">
        <f>AND(TrafficData[[#This Row],[pendingAmount]]&lt;=TrafficData[[#This Row],[totalAmount]],TrafficData[[#This Row],[disposedAmount]]&lt;=TrafficData[[#This Row],[totalAmount]])</f>
        <v>1</v>
      </c>
      <c r="P993" t="b">
        <f>AND(TrafficData[[#This Row],[pendingCourt]]&lt;=TrafficData[[#This Row],[totalCourt]],TrafficData[[#This Row],[disposedCourt]]&lt;=TrafficData[[#This Row],[totalCourt]])</f>
        <v>1</v>
      </c>
    </row>
    <row r="994" spans="1:16">
      <c r="A994" s="1">
        <v>42997</v>
      </c>
      <c r="B994">
        <v>2575</v>
      </c>
      <c r="C994">
        <v>1278</v>
      </c>
      <c r="D994">
        <v>1297</v>
      </c>
      <c r="E994">
        <v>3633254</v>
      </c>
      <c r="F994">
        <v>6461644</v>
      </c>
      <c r="G994">
        <v>10094898</v>
      </c>
      <c r="H994">
        <v>887</v>
      </c>
      <c r="I994">
        <v>209</v>
      </c>
      <c r="J994">
        <v>1096</v>
      </c>
      <c r="K994" t="b">
        <f>TrafficData[[#This Row],[disposedChallan]]+TrafficData[[#This Row],[pendingChallan]]=TrafficData[[#This Row],[totalChallan]]</f>
        <v>1</v>
      </c>
      <c r="L994" t="b">
        <f>TrafficData[[#This Row],[pendingAmount]]+TrafficData[[#This Row],[disposedAmount]]=TrafficData[[#This Row],[totalAmount]]</f>
        <v>1</v>
      </c>
      <c r="M994" t="b">
        <f>TrafficData[[#This Row],[pendingCourt]]+TrafficData[[#This Row],[disposedCourt]]=TrafficData[[#This Row],[totalCourt]]</f>
        <v>1</v>
      </c>
      <c r="N994" t="b">
        <f>AND(TrafficData[[#This Row],[disposedChallan]]&lt;=TrafficData[[#This Row],[totalChallan]],TrafficData[[#This Row],[pendingChallan]]&lt;=TrafficData[[#This Row],[totalChallan]])</f>
        <v>1</v>
      </c>
      <c r="O994" t="b">
        <f>AND(TrafficData[[#This Row],[pendingAmount]]&lt;=TrafficData[[#This Row],[totalAmount]],TrafficData[[#This Row],[disposedAmount]]&lt;=TrafficData[[#This Row],[totalAmount]])</f>
        <v>1</v>
      </c>
      <c r="P994" t="b">
        <f>AND(TrafficData[[#This Row],[pendingCourt]]&lt;=TrafficData[[#This Row],[totalCourt]],TrafficData[[#This Row],[disposedCourt]]&lt;=TrafficData[[#This Row],[totalCourt]])</f>
        <v>1</v>
      </c>
    </row>
    <row r="995" spans="1:16">
      <c r="A995" s="1">
        <v>42998</v>
      </c>
      <c r="B995">
        <v>4129</v>
      </c>
      <c r="C995">
        <v>2637</v>
      </c>
      <c r="D995">
        <v>1492</v>
      </c>
      <c r="E995">
        <v>3991700</v>
      </c>
      <c r="F995">
        <v>5600425</v>
      </c>
      <c r="G995">
        <v>9592125</v>
      </c>
      <c r="H995">
        <v>1154</v>
      </c>
      <c r="I995">
        <v>288</v>
      </c>
      <c r="J995">
        <v>1442</v>
      </c>
      <c r="K995" t="b">
        <f>TrafficData[[#This Row],[disposedChallan]]+TrafficData[[#This Row],[pendingChallan]]=TrafficData[[#This Row],[totalChallan]]</f>
        <v>1</v>
      </c>
      <c r="L995" t="b">
        <f>TrafficData[[#This Row],[pendingAmount]]+TrafficData[[#This Row],[disposedAmount]]=TrafficData[[#This Row],[totalAmount]]</f>
        <v>1</v>
      </c>
      <c r="M995" t="b">
        <f>TrafficData[[#This Row],[pendingCourt]]+TrafficData[[#This Row],[disposedCourt]]=TrafficData[[#This Row],[totalCourt]]</f>
        <v>1</v>
      </c>
      <c r="N995" t="b">
        <f>AND(TrafficData[[#This Row],[disposedChallan]]&lt;=TrafficData[[#This Row],[totalChallan]],TrafficData[[#This Row],[pendingChallan]]&lt;=TrafficData[[#This Row],[totalChallan]])</f>
        <v>1</v>
      </c>
      <c r="O995" t="b">
        <f>AND(TrafficData[[#This Row],[pendingAmount]]&lt;=TrafficData[[#This Row],[totalAmount]],TrafficData[[#This Row],[disposedAmount]]&lt;=TrafficData[[#This Row],[totalAmount]])</f>
        <v>1</v>
      </c>
      <c r="P995" t="b">
        <f>AND(TrafficData[[#This Row],[pendingCourt]]&lt;=TrafficData[[#This Row],[totalCourt]],TrafficData[[#This Row],[disposedCourt]]&lt;=TrafficData[[#This Row],[totalCourt]])</f>
        <v>1</v>
      </c>
    </row>
    <row r="996" spans="1:16">
      <c r="A996" s="1">
        <v>42999</v>
      </c>
      <c r="B996">
        <v>2599</v>
      </c>
      <c r="C996">
        <v>1374</v>
      </c>
      <c r="D996">
        <v>1225</v>
      </c>
      <c r="E996">
        <v>2735775</v>
      </c>
      <c r="F996">
        <v>3761244</v>
      </c>
      <c r="G996">
        <v>6497019</v>
      </c>
      <c r="H996">
        <v>918</v>
      </c>
      <c r="I996">
        <v>186</v>
      </c>
      <c r="J996">
        <v>1104</v>
      </c>
      <c r="K996" t="b">
        <f>TrafficData[[#This Row],[disposedChallan]]+TrafficData[[#This Row],[pendingChallan]]=TrafficData[[#This Row],[totalChallan]]</f>
        <v>1</v>
      </c>
      <c r="L996" t="b">
        <f>TrafficData[[#This Row],[pendingAmount]]+TrafficData[[#This Row],[disposedAmount]]=TrafficData[[#This Row],[totalAmount]]</f>
        <v>1</v>
      </c>
      <c r="M996" t="b">
        <f>TrafficData[[#This Row],[pendingCourt]]+TrafficData[[#This Row],[disposedCourt]]=TrafficData[[#This Row],[totalCourt]]</f>
        <v>1</v>
      </c>
      <c r="N996" t="b">
        <f>AND(TrafficData[[#This Row],[disposedChallan]]&lt;=TrafficData[[#This Row],[totalChallan]],TrafficData[[#This Row],[pendingChallan]]&lt;=TrafficData[[#This Row],[totalChallan]])</f>
        <v>1</v>
      </c>
      <c r="O996" t="b">
        <f>AND(TrafficData[[#This Row],[pendingAmount]]&lt;=TrafficData[[#This Row],[totalAmount]],TrafficData[[#This Row],[disposedAmount]]&lt;=TrafficData[[#This Row],[totalAmount]])</f>
        <v>1</v>
      </c>
      <c r="P996" t="b">
        <f>AND(TrafficData[[#This Row],[pendingCourt]]&lt;=TrafficData[[#This Row],[totalCourt]],TrafficData[[#This Row],[disposedCourt]]&lt;=TrafficData[[#This Row],[totalCourt]])</f>
        <v>1</v>
      </c>
    </row>
    <row r="997" spans="1:16">
      <c r="A997" s="1">
        <v>43000</v>
      </c>
      <c r="B997">
        <v>2018</v>
      </c>
      <c r="C997">
        <v>1155</v>
      </c>
      <c r="D997">
        <v>863</v>
      </c>
      <c r="E997">
        <v>2801550</v>
      </c>
      <c r="F997">
        <v>4296268</v>
      </c>
      <c r="G997">
        <v>7097818</v>
      </c>
      <c r="H997">
        <v>566</v>
      </c>
      <c r="I997">
        <v>173</v>
      </c>
      <c r="J997">
        <v>739</v>
      </c>
      <c r="K997" t="b">
        <f>TrafficData[[#This Row],[disposedChallan]]+TrafficData[[#This Row],[pendingChallan]]=TrafficData[[#This Row],[totalChallan]]</f>
        <v>1</v>
      </c>
      <c r="L997" t="b">
        <f>TrafficData[[#This Row],[pendingAmount]]+TrafficData[[#This Row],[disposedAmount]]=TrafficData[[#This Row],[totalAmount]]</f>
        <v>1</v>
      </c>
      <c r="M997" t="b">
        <f>TrafficData[[#This Row],[pendingCourt]]+TrafficData[[#This Row],[disposedCourt]]=TrafficData[[#This Row],[totalCourt]]</f>
        <v>1</v>
      </c>
      <c r="N997" t="b">
        <f>AND(TrafficData[[#This Row],[disposedChallan]]&lt;=TrafficData[[#This Row],[totalChallan]],TrafficData[[#This Row],[pendingChallan]]&lt;=TrafficData[[#This Row],[totalChallan]])</f>
        <v>1</v>
      </c>
      <c r="O997" t="b">
        <f>AND(TrafficData[[#This Row],[pendingAmount]]&lt;=TrafficData[[#This Row],[totalAmount]],TrafficData[[#This Row],[disposedAmount]]&lt;=TrafficData[[#This Row],[totalAmount]])</f>
        <v>1</v>
      </c>
      <c r="P997" t="b">
        <f>AND(TrafficData[[#This Row],[pendingCourt]]&lt;=TrafficData[[#This Row],[totalCourt]],TrafficData[[#This Row],[disposedCourt]]&lt;=TrafficData[[#This Row],[totalCourt]])</f>
        <v>1</v>
      </c>
    </row>
    <row r="998" spans="1:16">
      <c r="A998" s="1">
        <v>43001</v>
      </c>
      <c r="B998">
        <v>2042</v>
      </c>
      <c r="C998">
        <v>1185</v>
      </c>
      <c r="D998">
        <v>857</v>
      </c>
      <c r="E998">
        <v>2087425</v>
      </c>
      <c r="F998">
        <v>3941666</v>
      </c>
      <c r="G998">
        <v>6029091</v>
      </c>
      <c r="H998">
        <v>683</v>
      </c>
      <c r="I998">
        <v>174</v>
      </c>
      <c r="J998">
        <v>857</v>
      </c>
      <c r="K998" t="b">
        <f>TrafficData[[#This Row],[disposedChallan]]+TrafficData[[#This Row],[pendingChallan]]=TrafficData[[#This Row],[totalChallan]]</f>
        <v>1</v>
      </c>
      <c r="L998" t="b">
        <f>TrafficData[[#This Row],[pendingAmount]]+TrafficData[[#This Row],[disposedAmount]]=TrafficData[[#This Row],[totalAmount]]</f>
        <v>1</v>
      </c>
      <c r="M998" t="b">
        <f>TrafficData[[#This Row],[pendingCourt]]+TrafficData[[#This Row],[disposedCourt]]=TrafficData[[#This Row],[totalCourt]]</f>
        <v>1</v>
      </c>
      <c r="N998" t="b">
        <f>AND(TrafficData[[#This Row],[disposedChallan]]&lt;=TrafficData[[#This Row],[totalChallan]],TrafficData[[#This Row],[pendingChallan]]&lt;=TrafficData[[#This Row],[totalChallan]])</f>
        <v>1</v>
      </c>
      <c r="O998" t="b">
        <f>AND(TrafficData[[#This Row],[pendingAmount]]&lt;=TrafficData[[#This Row],[totalAmount]],TrafficData[[#This Row],[disposedAmount]]&lt;=TrafficData[[#This Row],[totalAmount]])</f>
        <v>1</v>
      </c>
      <c r="P998" t="b">
        <f>AND(TrafficData[[#This Row],[pendingCourt]]&lt;=TrafficData[[#This Row],[totalCourt]],TrafficData[[#This Row],[disposedCourt]]&lt;=TrafficData[[#This Row],[totalCourt]])</f>
        <v>1</v>
      </c>
    </row>
    <row r="999" spans="1:16">
      <c r="A999" s="1">
        <v>43002</v>
      </c>
      <c r="B999">
        <v>1258</v>
      </c>
      <c r="C999">
        <v>860</v>
      </c>
      <c r="D999">
        <v>398</v>
      </c>
      <c r="E999">
        <v>1383264</v>
      </c>
      <c r="F999">
        <v>3024312</v>
      </c>
      <c r="G999">
        <v>4407576</v>
      </c>
      <c r="H999">
        <v>283</v>
      </c>
      <c r="I999">
        <v>82</v>
      </c>
      <c r="J999">
        <v>365</v>
      </c>
      <c r="K999" t="b">
        <f>TrafficData[[#This Row],[disposedChallan]]+TrafficData[[#This Row],[pendingChallan]]=TrafficData[[#This Row],[totalChallan]]</f>
        <v>1</v>
      </c>
      <c r="L999" t="b">
        <f>TrafficData[[#This Row],[pendingAmount]]+TrafficData[[#This Row],[disposedAmount]]=TrafficData[[#This Row],[totalAmount]]</f>
        <v>1</v>
      </c>
      <c r="M999" t="b">
        <f>TrafficData[[#This Row],[pendingCourt]]+TrafficData[[#This Row],[disposedCourt]]=TrafficData[[#This Row],[totalCourt]]</f>
        <v>1</v>
      </c>
      <c r="N999" t="b">
        <f>AND(TrafficData[[#This Row],[disposedChallan]]&lt;=TrafficData[[#This Row],[totalChallan]],TrafficData[[#This Row],[pendingChallan]]&lt;=TrafficData[[#This Row],[totalChallan]])</f>
        <v>1</v>
      </c>
      <c r="O999" t="b">
        <f>AND(TrafficData[[#This Row],[pendingAmount]]&lt;=TrafficData[[#This Row],[totalAmount]],TrafficData[[#This Row],[disposedAmount]]&lt;=TrafficData[[#This Row],[totalAmount]])</f>
        <v>1</v>
      </c>
      <c r="P999" t="b">
        <f>AND(TrafficData[[#This Row],[pendingCourt]]&lt;=TrafficData[[#This Row],[totalCourt]],TrafficData[[#This Row],[disposedCourt]]&lt;=TrafficData[[#This Row],[totalCourt]])</f>
        <v>1</v>
      </c>
    </row>
    <row r="1000" spans="1:16">
      <c r="A1000" s="1">
        <v>43003</v>
      </c>
      <c r="B1000">
        <v>2195</v>
      </c>
      <c r="C1000">
        <v>1320</v>
      </c>
      <c r="D1000">
        <v>875</v>
      </c>
      <c r="E1000">
        <v>2204150</v>
      </c>
      <c r="F1000">
        <v>5638373</v>
      </c>
      <c r="G1000">
        <v>7842523</v>
      </c>
      <c r="H1000">
        <v>699</v>
      </c>
      <c r="I1000">
        <v>203</v>
      </c>
      <c r="J1000">
        <v>902</v>
      </c>
      <c r="K1000" t="b">
        <f>TrafficData[[#This Row],[disposedChallan]]+TrafficData[[#This Row],[pendingChallan]]=TrafficData[[#This Row],[totalChallan]]</f>
        <v>1</v>
      </c>
      <c r="L1000" t="b">
        <f>TrafficData[[#This Row],[pendingAmount]]+TrafficData[[#This Row],[disposedAmount]]=TrafficData[[#This Row],[totalAmount]]</f>
        <v>1</v>
      </c>
      <c r="M1000" t="b">
        <f>TrafficData[[#This Row],[pendingCourt]]+TrafficData[[#This Row],[disposedCourt]]=TrafficData[[#This Row],[totalCourt]]</f>
        <v>1</v>
      </c>
      <c r="N1000" t="b">
        <f>AND(TrafficData[[#This Row],[disposedChallan]]&lt;=TrafficData[[#This Row],[totalChallan]],TrafficData[[#This Row],[pendingChallan]]&lt;=TrafficData[[#This Row],[totalChallan]])</f>
        <v>1</v>
      </c>
      <c r="O1000" t="b">
        <f>AND(TrafficData[[#This Row],[pendingAmount]]&lt;=TrafficData[[#This Row],[totalAmount]],TrafficData[[#This Row],[disposedAmount]]&lt;=TrafficData[[#This Row],[totalAmount]])</f>
        <v>1</v>
      </c>
      <c r="P1000" t="b">
        <f>AND(TrafficData[[#This Row],[pendingCourt]]&lt;=TrafficData[[#This Row],[totalCourt]],TrafficData[[#This Row],[disposedCourt]]&lt;=TrafficData[[#This Row],[totalCourt]])</f>
        <v>1</v>
      </c>
    </row>
    <row r="1001" spans="1:16">
      <c r="A1001" s="1">
        <v>43004</v>
      </c>
      <c r="B1001">
        <v>2540</v>
      </c>
      <c r="C1001">
        <v>1571</v>
      </c>
      <c r="D1001">
        <v>969</v>
      </c>
      <c r="E1001">
        <v>2029102</v>
      </c>
      <c r="F1001">
        <v>6852940</v>
      </c>
      <c r="G1001">
        <v>8882042</v>
      </c>
      <c r="H1001">
        <v>785</v>
      </c>
      <c r="I1001">
        <v>219</v>
      </c>
      <c r="J1001">
        <v>1004</v>
      </c>
      <c r="K1001" t="b">
        <f>TrafficData[[#This Row],[disposedChallan]]+TrafficData[[#This Row],[pendingChallan]]=TrafficData[[#This Row],[totalChallan]]</f>
        <v>1</v>
      </c>
      <c r="L1001" t="b">
        <f>TrafficData[[#This Row],[pendingAmount]]+TrafficData[[#This Row],[disposedAmount]]=TrafficData[[#This Row],[totalAmount]]</f>
        <v>1</v>
      </c>
      <c r="M1001" t="b">
        <f>TrafficData[[#This Row],[pendingCourt]]+TrafficData[[#This Row],[disposedCourt]]=TrafficData[[#This Row],[totalCourt]]</f>
        <v>1</v>
      </c>
      <c r="N1001" t="b">
        <f>AND(TrafficData[[#This Row],[disposedChallan]]&lt;=TrafficData[[#This Row],[totalChallan]],TrafficData[[#This Row],[pendingChallan]]&lt;=TrafficData[[#This Row],[totalChallan]])</f>
        <v>1</v>
      </c>
      <c r="O1001" t="b">
        <f>AND(TrafficData[[#This Row],[pendingAmount]]&lt;=TrafficData[[#This Row],[totalAmount]],TrafficData[[#This Row],[disposedAmount]]&lt;=TrafficData[[#This Row],[totalAmount]])</f>
        <v>1</v>
      </c>
      <c r="P1001" t="b">
        <f>AND(TrafficData[[#This Row],[pendingCourt]]&lt;=TrafficData[[#This Row],[totalCourt]],TrafficData[[#This Row],[disposedCourt]]&lt;=TrafficData[[#This Row],[totalCourt]])</f>
        <v>1</v>
      </c>
    </row>
    <row r="1002" spans="1:16">
      <c r="A1002" s="1">
        <v>43005</v>
      </c>
      <c r="B1002">
        <v>3676</v>
      </c>
      <c r="C1002">
        <v>2514</v>
      </c>
      <c r="D1002">
        <v>1162</v>
      </c>
      <c r="E1002">
        <v>3014052</v>
      </c>
      <c r="F1002">
        <v>7074430</v>
      </c>
      <c r="G1002">
        <v>10088482</v>
      </c>
      <c r="H1002">
        <v>962</v>
      </c>
      <c r="I1002">
        <v>375</v>
      </c>
      <c r="J1002">
        <v>1337</v>
      </c>
      <c r="K1002" t="b">
        <f>TrafficData[[#This Row],[disposedChallan]]+TrafficData[[#This Row],[pendingChallan]]=TrafficData[[#This Row],[totalChallan]]</f>
        <v>1</v>
      </c>
      <c r="L1002" t="b">
        <f>TrafficData[[#This Row],[pendingAmount]]+TrafficData[[#This Row],[disposedAmount]]=TrafficData[[#This Row],[totalAmount]]</f>
        <v>1</v>
      </c>
      <c r="M1002" t="b">
        <f>TrafficData[[#This Row],[pendingCourt]]+TrafficData[[#This Row],[disposedCourt]]=TrafficData[[#This Row],[totalCourt]]</f>
        <v>1</v>
      </c>
      <c r="N1002" t="b">
        <f>AND(TrafficData[[#This Row],[disposedChallan]]&lt;=TrafficData[[#This Row],[totalChallan]],TrafficData[[#This Row],[pendingChallan]]&lt;=TrafficData[[#This Row],[totalChallan]])</f>
        <v>1</v>
      </c>
      <c r="O1002" t="b">
        <f>AND(TrafficData[[#This Row],[pendingAmount]]&lt;=TrafficData[[#This Row],[totalAmount]],TrafficData[[#This Row],[disposedAmount]]&lt;=TrafficData[[#This Row],[totalAmount]])</f>
        <v>1</v>
      </c>
      <c r="P1002" t="b">
        <f>AND(TrafficData[[#This Row],[pendingCourt]]&lt;=TrafficData[[#This Row],[totalCourt]],TrafficData[[#This Row],[disposedCourt]]&lt;=TrafficData[[#This Row],[totalCourt]])</f>
        <v>1</v>
      </c>
    </row>
    <row r="1003" spans="1:16">
      <c r="A1003" s="1">
        <v>43006</v>
      </c>
      <c r="B1003">
        <v>2357</v>
      </c>
      <c r="C1003">
        <v>1296</v>
      </c>
      <c r="D1003">
        <v>1061</v>
      </c>
      <c r="E1003">
        <v>2373224</v>
      </c>
      <c r="F1003">
        <v>3588185</v>
      </c>
      <c r="G1003">
        <v>5961409</v>
      </c>
      <c r="H1003">
        <v>860</v>
      </c>
      <c r="I1003">
        <v>150</v>
      </c>
      <c r="J1003">
        <v>1010</v>
      </c>
      <c r="K1003" t="b">
        <f>TrafficData[[#This Row],[disposedChallan]]+TrafficData[[#This Row],[pendingChallan]]=TrafficData[[#This Row],[totalChallan]]</f>
        <v>1</v>
      </c>
      <c r="L1003" t="b">
        <f>TrafficData[[#This Row],[pendingAmount]]+TrafficData[[#This Row],[disposedAmount]]=TrafficData[[#This Row],[totalAmount]]</f>
        <v>1</v>
      </c>
      <c r="M1003" t="b">
        <f>TrafficData[[#This Row],[pendingCourt]]+TrafficData[[#This Row],[disposedCourt]]=TrafficData[[#This Row],[totalCourt]]</f>
        <v>1</v>
      </c>
      <c r="N1003" t="b">
        <f>AND(TrafficData[[#This Row],[disposedChallan]]&lt;=TrafficData[[#This Row],[totalChallan]],TrafficData[[#This Row],[pendingChallan]]&lt;=TrafficData[[#This Row],[totalChallan]])</f>
        <v>1</v>
      </c>
      <c r="O1003" t="b">
        <f>AND(TrafficData[[#This Row],[pendingAmount]]&lt;=TrafficData[[#This Row],[totalAmount]],TrafficData[[#This Row],[disposedAmount]]&lt;=TrafficData[[#This Row],[totalAmount]])</f>
        <v>1</v>
      </c>
      <c r="P1003" t="b">
        <f>AND(TrafficData[[#This Row],[pendingCourt]]&lt;=TrafficData[[#This Row],[totalCourt]],TrafficData[[#This Row],[disposedCourt]]&lt;=TrafficData[[#This Row],[totalCourt]])</f>
        <v>1</v>
      </c>
    </row>
    <row r="1004" spans="1:16">
      <c r="A1004" s="1">
        <v>43007</v>
      </c>
      <c r="B1004">
        <v>1303</v>
      </c>
      <c r="C1004">
        <v>625</v>
      </c>
      <c r="D1004">
        <v>678</v>
      </c>
      <c r="E1004">
        <v>1009250</v>
      </c>
      <c r="F1004">
        <v>1714700</v>
      </c>
      <c r="G1004">
        <v>2723950</v>
      </c>
      <c r="H1004">
        <v>552</v>
      </c>
      <c r="I1004">
        <v>71</v>
      </c>
      <c r="J1004">
        <v>623</v>
      </c>
      <c r="K1004" t="b">
        <f>TrafficData[[#This Row],[disposedChallan]]+TrafficData[[#This Row],[pendingChallan]]=TrafficData[[#This Row],[totalChallan]]</f>
        <v>1</v>
      </c>
      <c r="L1004" t="b">
        <f>TrafficData[[#This Row],[pendingAmount]]+TrafficData[[#This Row],[disposedAmount]]=TrafficData[[#This Row],[totalAmount]]</f>
        <v>1</v>
      </c>
      <c r="M1004" t="b">
        <f>TrafficData[[#This Row],[pendingCourt]]+TrafficData[[#This Row],[disposedCourt]]=TrafficData[[#This Row],[totalCourt]]</f>
        <v>1</v>
      </c>
      <c r="N1004" t="b">
        <f>AND(TrafficData[[#This Row],[disposedChallan]]&lt;=TrafficData[[#This Row],[totalChallan]],TrafficData[[#This Row],[pendingChallan]]&lt;=TrafficData[[#This Row],[totalChallan]])</f>
        <v>1</v>
      </c>
      <c r="O1004" t="b">
        <f>AND(TrafficData[[#This Row],[pendingAmount]]&lt;=TrafficData[[#This Row],[totalAmount]],TrafficData[[#This Row],[disposedAmount]]&lt;=TrafficData[[#This Row],[totalAmount]])</f>
        <v>1</v>
      </c>
      <c r="P1004" t="b">
        <f>AND(TrafficData[[#This Row],[pendingCourt]]&lt;=TrafficData[[#This Row],[totalCourt]],TrafficData[[#This Row],[disposedCourt]]&lt;=TrafficData[[#This Row],[totalCourt]])</f>
        <v>1</v>
      </c>
    </row>
    <row r="1005" spans="1:16">
      <c r="A1005" s="1">
        <v>43008</v>
      </c>
      <c r="B1005">
        <v>693</v>
      </c>
      <c r="C1005">
        <v>270</v>
      </c>
      <c r="D1005">
        <v>423</v>
      </c>
      <c r="E1005">
        <v>455550</v>
      </c>
      <c r="F1005">
        <v>369550</v>
      </c>
      <c r="G1005">
        <v>825100</v>
      </c>
      <c r="H1005">
        <v>318</v>
      </c>
      <c r="I1005">
        <v>43</v>
      </c>
      <c r="J1005">
        <v>361</v>
      </c>
      <c r="K1005" t="b">
        <f>TrafficData[[#This Row],[disposedChallan]]+TrafficData[[#This Row],[pendingChallan]]=TrafficData[[#This Row],[totalChallan]]</f>
        <v>1</v>
      </c>
      <c r="L1005" t="b">
        <f>TrafficData[[#This Row],[pendingAmount]]+TrafficData[[#This Row],[disposedAmount]]=TrafficData[[#This Row],[totalAmount]]</f>
        <v>1</v>
      </c>
      <c r="M1005" t="b">
        <f>TrafficData[[#This Row],[pendingCourt]]+TrafficData[[#This Row],[disposedCourt]]=TrafficData[[#This Row],[totalCourt]]</f>
        <v>1</v>
      </c>
      <c r="N1005" t="b">
        <f>AND(TrafficData[[#This Row],[disposedChallan]]&lt;=TrafficData[[#This Row],[totalChallan]],TrafficData[[#This Row],[pendingChallan]]&lt;=TrafficData[[#This Row],[totalChallan]])</f>
        <v>1</v>
      </c>
      <c r="O1005" t="b">
        <f>AND(TrafficData[[#This Row],[pendingAmount]]&lt;=TrafficData[[#This Row],[totalAmount]],TrafficData[[#This Row],[disposedAmount]]&lt;=TrafficData[[#This Row],[totalAmount]])</f>
        <v>1</v>
      </c>
      <c r="P1005" t="b">
        <f>AND(TrafficData[[#This Row],[pendingCourt]]&lt;=TrafficData[[#This Row],[totalCourt]],TrafficData[[#This Row],[disposedCourt]]&lt;=TrafficData[[#This Row],[totalCourt]])</f>
        <v>1</v>
      </c>
    </row>
    <row r="1006" spans="1:16">
      <c r="A1006" s="1">
        <v>43009</v>
      </c>
      <c r="B1006">
        <v>385</v>
      </c>
      <c r="C1006">
        <v>129</v>
      </c>
      <c r="D1006">
        <v>256</v>
      </c>
      <c r="E1006">
        <v>668350</v>
      </c>
      <c r="F1006">
        <v>724500</v>
      </c>
      <c r="G1006">
        <v>1392850</v>
      </c>
      <c r="H1006">
        <v>168</v>
      </c>
      <c r="I1006">
        <v>16</v>
      </c>
      <c r="J1006">
        <v>184</v>
      </c>
      <c r="K1006" t="b">
        <f>TrafficData[[#This Row],[disposedChallan]]+TrafficData[[#This Row],[pendingChallan]]=TrafficData[[#This Row],[totalChallan]]</f>
        <v>1</v>
      </c>
      <c r="L1006" t="b">
        <f>TrafficData[[#This Row],[pendingAmount]]+TrafficData[[#This Row],[disposedAmount]]=TrafficData[[#This Row],[totalAmount]]</f>
        <v>1</v>
      </c>
      <c r="M1006" t="b">
        <f>TrafficData[[#This Row],[pendingCourt]]+TrafficData[[#This Row],[disposedCourt]]=TrafficData[[#This Row],[totalCourt]]</f>
        <v>1</v>
      </c>
      <c r="N1006" t="b">
        <f>AND(TrafficData[[#This Row],[disposedChallan]]&lt;=TrafficData[[#This Row],[totalChallan]],TrafficData[[#This Row],[pendingChallan]]&lt;=TrafficData[[#This Row],[totalChallan]])</f>
        <v>1</v>
      </c>
      <c r="O1006" t="b">
        <f>AND(TrafficData[[#This Row],[pendingAmount]]&lt;=TrafficData[[#This Row],[totalAmount]],TrafficData[[#This Row],[disposedAmount]]&lt;=TrafficData[[#This Row],[totalAmount]])</f>
        <v>1</v>
      </c>
      <c r="P1006" t="b">
        <f>AND(TrafficData[[#This Row],[pendingCourt]]&lt;=TrafficData[[#This Row],[totalCourt]],TrafficData[[#This Row],[disposedCourt]]&lt;=TrafficData[[#This Row],[totalCourt]])</f>
        <v>1</v>
      </c>
    </row>
    <row r="1007" spans="1:16">
      <c r="A1007" s="1">
        <v>43010</v>
      </c>
      <c r="B1007">
        <v>583</v>
      </c>
      <c r="C1007">
        <v>193</v>
      </c>
      <c r="D1007">
        <v>390</v>
      </c>
      <c r="E1007">
        <v>588750</v>
      </c>
      <c r="F1007">
        <v>1010435</v>
      </c>
      <c r="G1007">
        <v>1599185</v>
      </c>
      <c r="H1007">
        <v>269</v>
      </c>
      <c r="I1007">
        <v>35</v>
      </c>
      <c r="J1007">
        <v>304</v>
      </c>
      <c r="K1007" t="b">
        <f>TrafficData[[#This Row],[disposedChallan]]+TrafficData[[#This Row],[pendingChallan]]=TrafficData[[#This Row],[totalChallan]]</f>
        <v>1</v>
      </c>
      <c r="L1007" t="b">
        <f>TrafficData[[#This Row],[pendingAmount]]+TrafficData[[#This Row],[disposedAmount]]=TrafficData[[#This Row],[totalAmount]]</f>
        <v>1</v>
      </c>
      <c r="M1007" t="b">
        <f>TrafficData[[#This Row],[pendingCourt]]+TrafficData[[#This Row],[disposedCourt]]=TrafficData[[#This Row],[totalCourt]]</f>
        <v>1</v>
      </c>
      <c r="N1007" t="b">
        <f>AND(TrafficData[[#This Row],[disposedChallan]]&lt;=TrafficData[[#This Row],[totalChallan]],TrafficData[[#This Row],[pendingChallan]]&lt;=TrafficData[[#This Row],[totalChallan]])</f>
        <v>1</v>
      </c>
      <c r="O1007" t="b">
        <f>AND(TrafficData[[#This Row],[pendingAmount]]&lt;=TrafficData[[#This Row],[totalAmount]],TrafficData[[#This Row],[disposedAmount]]&lt;=TrafficData[[#This Row],[totalAmount]])</f>
        <v>1</v>
      </c>
      <c r="P1007" t="b">
        <f>AND(TrafficData[[#This Row],[pendingCourt]]&lt;=TrafficData[[#This Row],[totalCourt]],TrafficData[[#This Row],[disposedCourt]]&lt;=TrafficData[[#This Row],[totalCourt]])</f>
        <v>1</v>
      </c>
    </row>
    <row r="1008" spans="1:16">
      <c r="A1008" s="1">
        <v>43011</v>
      </c>
      <c r="B1008">
        <v>1193</v>
      </c>
      <c r="C1008">
        <v>459</v>
      </c>
      <c r="D1008">
        <v>734</v>
      </c>
      <c r="E1008">
        <v>1043750</v>
      </c>
      <c r="F1008">
        <v>3231928</v>
      </c>
      <c r="G1008">
        <v>4275678</v>
      </c>
      <c r="H1008">
        <v>552</v>
      </c>
      <c r="I1008">
        <v>40</v>
      </c>
      <c r="J1008">
        <v>592</v>
      </c>
      <c r="K1008" t="b">
        <f>TrafficData[[#This Row],[disposedChallan]]+TrafficData[[#This Row],[pendingChallan]]=TrafficData[[#This Row],[totalChallan]]</f>
        <v>1</v>
      </c>
      <c r="L1008" t="b">
        <f>TrafficData[[#This Row],[pendingAmount]]+TrafficData[[#This Row],[disposedAmount]]=TrafficData[[#This Row],[totalAmount]]</f>
        <v>1</v>
      </c>
      <c r="M1008" t="b">
        <f>TrafficData[[#This Row],[pendingCourt]]+TrafficData[[#This Row],[disposedCourt]]=TrafficData[[#This Row],[totalCourt]]</f>
        <v>1</v>
      </c>
      <c r="N1008" t="b">
        <f>AND(TrafficData[[#This Row],[disposedChallan]]&lt;=TrafficData[[#This Row],[totalChallan]],TrafficData[[#This Row],[pendingChallan]]&lt;=TrafficData[[#This Row],[totalChallan]])</f>
        <v>1</v>
      </c>
      <c r="O1008" t="b">
        <f>AND(TrafficData[[#This Row],[pendingAmount]]&lt;=TrafficData[[#This Row],[totalAmount]],TrafficData[[#This Row],[disposedAmount]]&lt;=TrafficData[[#This Row],[totalAmount]])</f>
        <v>1</v>
      </c>
      <c r="P1008" t="b">
        <f>AND(TrafficData[[#This Row],[pendingCourt]]&lt;=TrafficData[[#This Row],[totalCourt]],TrafficData[[#This Row],[disposedCourt]]&lt;=TrafficData[[#This Row],[totalCourt]])</f>
        <v>1</v>
      </c>
    </row>
    <row r="1009" spans="1:16">
      <c r="A1009" s="1">
        <v>43012</v>
      </c>
      <c r="B1009">
        <v>1708</v>
      </c>
      <c r="C1009">
        <v>782</v>
      </c>
      <c r="D1009">
        <v>926</v>
      </c>
      <c r="E1009">
        <v>1252400</v>
      </c>
      <c r="F1009">
        <v>3250183</v>
      </c>
      <c r="G1009">
        <v>4502583</v>
      </c>
      <c r="H1009">
        <v>737</v>
      </c>
      <c r="I1009">
        <v>72</v>
      </c>
      <c r="J1009">
        <v>809</v>
      </c>
      <c r="K1009" t="b">
        <f>TrafficData[[#This Row],[disposedChallan]]+TrafficData[[#This Row],[pendingChallan]]=TrafficData[[#This Row],[totalChallan]]</f>
        <v>1</v>
      </c>
      <c r="L1009" t="b">
        <f>TrafficData[[#This Row],[pendingAmount]]+TrafficData[[#This Row],[disposedAmount]]=TrafficData[[#This Row],[totalAmount]]</f>
        <v>1</v>
      </c>
      <c r="M1009" t="b">
        <f>TrafficData[[#This Row],[pendingCourt]]+TrafficData[[#This Row],[disposedCourt]]=TrafficData[[#This Row],[totalCourt]]</f>
        <v>1</v>
      </c>
      <c r="N1009" t="b">
        <f>AND(TrafficData[[#This Row],[disposedChallan]]&lt;=TrafficData[[#This Row],[totalChallan]],TrafficData[[#This Row],[pendingChallan]]&lt;=TrafficData[[#This Row],[totalChallan]])</f>
        <v>1</v>
      </c>
      <c r="O1009" t="b">
        <f>AND(TrafficData[[#This Row],[pendingAmount]]&lt;=TrafficData[[#This Row],[totalAmount]],TrafficData[[#This Row],[disposedAmount]]&lt;=TrafficData[[#This Row],[totalAmount]])</f>
        <v>1</v>
      </c>
      <c r="P1009" t="b">
        <f>AND(TrafficData[[#This Row],[pendingCourt]]&lt;=TrafficData[[#This Row],[totalCourt]],TrafficData[[#This Row],[disposedCourt]]&lt;=TrafficData[[#This Row],[totalCourt]])</f>
        <v>1</v>
      </c>
    </row>
    <row r="1010" spans="1:16">
      <c r="A1010" s="1">
        <v>43013</v>
      </c>
      <c r="B1010">
        <v>1002</v>
      </c>
      <c r="C1010">
        <v>295</v>
      </c>
      <c r="D1010">
        <v>707</v>
      </c>
      <c r="E1010">
        <v>1243750</v>
      </c>
      <c r="F1010">
        <v>1683792</v>
      </c>
      <c r="G1010">
        <v>2927542</v>
      </c>
      <c r="H1010">
        <v>569</v>
      </c>
      <c r="I1010">
        <v>52</v>
      </c>
      <c r="J1010">
        <v>621</v>
      </c>
      <c r="K1010" t="b">
        <f>TrafficData[[#This Row],[disposedChallan]]+TrafficData[[#This Row],[pendingChallan]]=TrafficData[[#This Row],[totalChallan]]</f>
        <v>1</v>
      </c>
      <c r="L1010" t="b">
        <f>TrafficData[[#This Row],[pendingAmount]]+TrafficData[[#This Row],[disposedAmount]]=TrafficData[[#This Row],[totalAmount]]</f>
        <v>1</v>
      </c>
      <c r="M1010" t="b">
        <f>TrafficData[[#This Row],[pendingCourt]]+TrafficData[[#This Row],[disposedCourt]]=TrafficData[[#This Row],[totalCourt]]</f>
        <v>1</v>
      </c>
      <c r="N1010" t="b">
        <f>AND(TrafficData[[#This Row],[disposedChallan]]&lt;=TrafficData[[#This Row],[totalChallan]],TrafficData[[#This Row],[pendingChallan]]&lt;=TrafficData[[#This Row],[totalChallan]])</f>
        <v>1</v>
      </c>
      <c r="O1010" t="b">
        <f>AND(TrafficData[[#This Row],[pendingAmount]]&lt;=TrafficData[[#This Row],[totalAmount]],TrafficData[[#This Row],[disposedAmount]]&lt;=TrafficData[[#This Row],[totalAmount]])</f>
        <v>1</v>
      </c>
      <c r="P1010" t="b">
        <f>AND(TrafficData[[#This Row],[pendingCourt]]&lt;=TrafficData[[#This Row],[totalCourt]],TrafficData[[#This Row],[disposedCourt]]&lt;=TrafficData[[#This Row],[totalCourt]])</f>
        <v>1</v>
      </c>
    </row>
    <row r="1011" spans="1:16">
      <c r="A1011" s="1">
        <v>43014</v>
      </c>
      <c r="B1011">
        <v>1688</v>
      </c>
      <c r="C1011">
        <v>641</v>
      </c>
      <c r="D1011">
        <v>1047</v>
      </c>
      <c r="E1011">
        <v>1712771</v>
      </c>
      <c r="F1011">
        <v>2219616</v>
      </c>
      <c r="G1011">
        <v>3932387</v>
      </c>
      <c r="H1011">
        <v>874</v>
      </c>
      <c r="I1011">
        <v>72</v>
      </c>
      <c r="J1011">
        <v>946</v>
      </c>
      <c r="K1011" t="b">
        <f>TrafficData[[#This Row],[disposedChallan]]+TrafficData[[#This Row],[pendingChallan]]=TrafficData[[#This Row],[totalChallan]]</f>
        <v>1</v>
      </c>
      <c r="L1011" t="b">
        <f>TrafficData[[#This Row],[pendingAmount]]+TrafficData[[#This Row],[disposedAmount]]=TrafficData[[#This Row],[totalAmount]]</f>
        <v>1</v>
      </c>
      <c r="M1011" t="b">
        <f>TrafficData[[#This Row],[pendingCourt]]+TrafficData[[#This Row],[disposedCourt]]=TrafficData[[#This Row],[totalCourt]]</f>
        <v>1</v>
      </c>
      <c r="N1011" t="b">
        <f>AND(TrafficData[[#This Row],[disposedChallan]]&lt;=TrafficData[[#This Row],[totalChallan]],TrafficData[[#This Row],[pendingChallan]]&lt;=TrafficData[[#This Row],[totalChallan]])</f>
        <v>1</v>
      </c>
      <c r="O1011" t="b">
        <f>AND(TrafficData[[#This Row],[pendingAmount]]&lt;=TrafficData[[#This Row],[totalAmount]],TrafficData[[#This Row],[disposedAmount]]&lt;=TrafficData[[#This Row],[totalAmount]])</f>
        <v>1</v>
      </c>
      <c r="P1011" t="b">
        <f>AND(TrafficData[[#This Row],[pendingCourt]]&lt;=TrafficData[[#This Row],[totalCourt]],TrafficData[[#This Row],[disposedCourt]]&lt;=TrafficData[[#This Row],[totalCourt]])</f>
        <v>1</v>
      </c>
    </row>
    <row r="1012" spans="1:16">
      <c r="A1012" s="1">
        <v>43015</v>
      </c>
      <c r="B1012">
        <v>2263</v>
      </c>
      <c r="C1012">
        <v>1173</v>
      </c>
      <c r="D1012">
        <v>1090</v>
      </c>
      <c r="E1012">
        <v>2245872</v>
      </c>
      <c r="F1012">
        <v>5395969</v>
      </c>
      <c r="G1012">
        <v>7641841</v>
      </c>
      <c r="H1012">
        <v>922</v>
      </c>
      <c r="I1012">
        <v>171</v>
      </c>
      <c r="J1012">
        <v>1093</v>
      </c>
      <c r="K1012" t="b">
        <f>TrafficData[[#This Row],[disposedChallan]]+TrafficData[[#This Row],[pendingChallan]]=TrafficData[[#This Row],[totalChallan]]</f>
        <v>1</v>
      </c>
      <c r="L1012" t="b">
        <f>TrafficData[[#This Row],[pendingAmount]]+TrafficData[[#This Row],[disposedAmount]]=TrafficData[[#This Row],[totalAmount]]</f>
        <v>1</v>
      </c>
      <c r="M1012" t="b">
        <f>TrafficData[[#This Row],[pendingCourt]]+TrafficData[[#This Row],[disposedCourt]]=TrafficData[[#This Row],[totalCourt]]</f>
        <v>1</v>
      </c>
      <c r="N1012" t="b">
        <f>AND(TrafficData[[#This Row],[disposedChallan]]&lt;=TrafficData[[#This Row],[totalChallan]],TrafficData[[#This Row],[pendingChallan]]&lt;=TrafficData[[#This Row],[totalChallan]])</f>
        <v>1</v>
      </c>
      <c r="O1012" t="b">
        <f>AND(TrafficData[[#This Row],[pendingAmount]]&lt;=TrafficData[[#This Row],[totalAmount]],TrafficData[[#This Row],[disposedAmount]]&lt;=TrafficData[[#This Row],[totalAmount]])</f>
        <v>1</v>
      </c>
      <c r="P1012" t="b">
        <f>AND(TrafficData[[#This Row],[pendingCourt]]&lt;=TrafficData[[#This Row],[totalCourt]],TrafficData[[#This Row],[disposedCourt]]&lt;=TrafficData[[#This Row],[totalCourt]])</f>
        <v>1</v>
      </c>
    </row>
    <row r="1013" spans="1:16">
      <c r="A1013" s="1">
        <v>43016</v>
      </c>
      <c r="B1013">
        <v>866</v>
      </c>
      <c r="C1013">
        <v>471</v>
      </c>
      <c r="D1013">
        <v>395</v>
      </c>
      <c r="E1013">
        <v>1040300</v>
      </c>
      <c r="F1013">
        <v>1802300</v>
      </c>
      <c r="G1013">
        <v>2842600</v>
      </c>
      <c r="H1013">
        <v>304</v>
      </c>
      <c r="I1013">
        <v>35</v>
      </c>
      <c r="J1013">
        <v>339</v>
      </c>
      <c r="K1013" t="b">
        <f>TrafficData[[#This Row],[disposedChallan]]+TrafficData[[#This Row],[pendingChallan]]=TrafficData[[#This Row],[totalChallan]]</f>
        <v>1</v>
      </c>
      <c r="L1013" t="b">
        <f>TrafficData[[#This Row],[pendingAmount]]+TrafficData[[#This Row],[disposedAmount]]=TrafficData[[#This Row],[totalAmount]]</f>
        <v>1</v>
      </c>
      <c r="M1013" t="b">
        <f>TrafficData[[#This Row],[pendingCourt]]+TrafficData[[#This Row],[disposedCourt]]=TrafficData[[#This Row],[totalCourt]]</f>
        <v>1</v>
      </c>
      <c r="N1013" t="b">
        <f>AND(TrafficData[[#This Row],[disposedChallan]]&lt;=TrafficData[[#This Row],[totalChallan]],TrafficData[[#This Row],[pendingChallan]]&lt;=TrafficData[[#This Row],[totalChallan]])</f>
        <v>1</v>
      </c>
      <c r="O1013" t="b">
        <f>AND(TrafficData[[#This Row],[pendingAmount]]&lt;=TrafficData[[#This Row],[totalAmount]],TrafficData[[#This Row],[disposedAmount]]&lt;=TrafficData[[#This Row],[totalAmount]])</f>
        <v>1</v>
      </c>
      <c r="P1013" t="b">
        <f>AND(TrafficData[[#This Row],[pendingCourt]]&lt;=TrafficData[[#This Row],[totalCourt]],TrafficData[[#This Row],[disposedCourt]]&lt;=TrafficData[[#This Row],[totalCourt]])</f>
        <v>1</v>
      </c>
    </row>
    <row r="1014" spans="1:16">
      <c r="A1014" s="1">
        <v>43017</v>
      </c>
      <c r="B1014">
        <v>2528</v>
      </c>
      <c r="C1014">
        <v>1159</v>
      </c>
      <c r="D1014">
        <v>1369</v>
      </c>
      <c r="E1014">
        <v>2364981</v>
      </c>
      <c r="F1014">
        <v>4410536</v>
      </c>
      <c r="G1014">
        <v>6775517</v>
      </c>
      <c r="H1014">
        <v>1190</v>
      </c>
      <c r="I1014">
        <v>169</v>
      </c>
      <c r="J1014">
        <v>1359</v>
      </c>
      <c r="K1014" t="b">
        <f>TrafficData[[#This Row],[disposedChallan]]+TrafficData[[#This Row],[pendingChallan]]=TrafficData[[#This Row],[totalChallan]]</f>
        <v>1</v>
      </c>
      <c r="L1014" t="b">
        <f>TrafficData[[#This Row],[pendingAmount]]+TrafficData[[#This Row],[disposedAmount]]=TrafficData[[#This Row],[totalAmount]]</f>
        <v>1</v>
      </c>
      <c r="M1014" t="b">
        <f>TrafficData[[#This Row],[pendingCourt]]+TrafficData[[#This Row],[disposedCourt]]=TrafficData[[#This Row],[totalCourt]]</f>
        <v>1</v>
      </c>
      <c r="N1014" t="b">
        <f>AND(TrafficData[[#This Row],[disposedChallan]]&lt;=TrafficData[[#This Row],[totalChallan]],TrafficData[[#This Row],[pendingChallan]]&lt;=TrafficData[[#This Row],[totalChallan]])</f>
        <v>1</v>
      </c>
      <c r="O1014" t="b">
        <f>AND(TrafficData[[#This Row],[pendingAmount]]&lt;=TrafficData[[#This Row],[totalAmount]],TrafficData[[#This Row],[disposedAmount]]&lt;=TrafficData[[#This Row],[totalAmount]])</f>
        <v>1</v>
      </c>
      <c r="P1014" t="b">
        <f>AND(TrafficData[[#This Row],[pendingCourt]]&lt;=TrafficData[[#This Row],[totalCourt]],TrafficData[[#This Row],[disposedCourt]]&lt;=TrafficData[[#This Row],[totalCourt]])</f>
        <v>1</v>
      </c>
    </row>
    <row r="1015" spans="1:16">
      <c r="A1015" s="1">
        <v>43018</v>
      </c>
      <c r="B1015">
        <v>2734</v>
      </c>
      <c r="C1015">
        <v>1426</v>
      </c>
      <c r="D1015">
        <v>1308</v>
      </c>
      <c r="E1015">
        <v>2586850</v>
      </c>
      <c r="F1015">
        <v>7740250</v>
      </c>
      <c r="G1015">
        <v>10327100</v>
      </c>
      <c r="H1015">
        <v>1056</v>
      </c>
      <c r="I1015">
        <v>168</v>
      </c>
      <c r="J1015">
        <v>1224</v>
      </c>
      <c r="K1015" t="b">
        <f>TrafficData[[#This Row],[disposedChallan]]+TrafficData[[#This Row],[pendingChallan]]=TrafficData[[#This Row],[totalChallan]]</f>
        <v>1</v>
      </c>
      <c r="L1015" t="b">
        <f>TrafficData[[#This Row],[pendingAmount]]+TrafficData[[#This Row],[disposedAmount]]=TrafficData[[#This Row],[totalAmount]]</f>
        <v>1</v>
      </c>
      <c r="M1015" t="b">
        <f>TrafficData[[#This Row],[pendingCourt]]+TrafficData[[#This Row],[disposedCourt]]=TrafficData[[#This Row],[totalCourt]]</f>
        <v>1</v>
      </c>
      <c r="N1015" t="b">
        <f>AND(TrafficData[[#This Row],[disposedChallan]]&lt;=TrafficData[[#This Row],[totalChallan]],TrafficData[[#This Row],[pendingChallan]]&lt;=TrafficData[[#This Row],[totalChallan]])</f>
        <v>1</v>
      </c>
      <c r="O1015" t="b">
        <f>AND(TrafficData[[#This Row],[pendingAmount]]&lt;=TrafficData[[#This Row],[totalAmount]],TrafficData[[#This Row],[disposedAmount]]&lt;=TrafficData[[#This Row],[totalAmount]])</f>
        <v>1</v>
      </c>
      <c r="P1015" t="b">
        <f>AND(TrafficData[[#This Row],[pendingCourt]]&lt;=TrafficData[[#This Row],[totalCourt]],TrafficData[[#This Row],[disposedCourt]]&lt;=TrafficData[[#This Row],[totalCourt]])</f>
        <v>1</v>
      </c>
    </row>
    <row r="1016" spans="1:16">
      <c r="A1016" s="1">
        <v>43019</v>
      </c>
      <c r="B1016">
        <v>3624</v>
      </c>
      <c r="C1016">
        <v>1968</v>
      </c>
      <c r="D1016">
        <v>1656</v>
      </c>
      <c r="E1016">
        <v>3236150</v>
      </c>
      <c r="F1016">
        <v>6814511</v>
      </c>
      <c r="G1016">
        <v>10050661</v>
      </c>
      <c r="H1016">
        <v>1369</v>
      </c>
      <c r="I1016">
        <v>258</v>
      </c>
      <c r="J1016">
        <v>1627</v>
      </c>
      <c r="K1016" t="b">
        <f>TrafficData[[#This Row],[disposedChallan]]+TrafficData[[#This Row],[pendingChallan]]=TrafficData[[#This Row],[totalChallan]]</f>
        <v>1</v>
      </c>
      <c r="L1016" t="b">
        <f>TrafficData[[#This Row],[pendingAmount]]+TrafficData[[#This Row],[disposedAmount]]=TrafficData[[#This Row],[totalAmount]]</f>
        <v>1</v>
      </c>
      <c r="M1016" t="b">
        <f>TrafficData[[#This Row],[pendingCourt]]+TrafficData[[#This Row],[disposedCourt]]=TrafficData[[#This Row],[totalCourt]]</f>
        <v>1</v>
      </c>
      <c r="N1016" t="b">
        <f>AND(TrafficData[[#This Row],[disposedChallan]]&lt;=TrafficData[[#This Row],[totalChallan]],TrafficData[[#This Row],[pendingChallan]]&lt;=TrafficData[[#This Row],[totalChallan]])</f>
        <v>1</v>
      </c>
      <c r="O1016" t="b">
        <f>AND(TrafficData[[#This Row],[pendingAmount]]&lt;=TrafficData[[#This Row],[totalAmount]],TrafficData[[#This Row],[disposedAmount]]&lt;=TrafficData[[#This Row],[totalAmount]])</f>
        <v>1</v>
      </c>
      <c r="P1016" t="b">
        <f>AND(TrafficData[[#This Row],[pendingCourt]]&lt;=TrafficData[[#This Row],[totalCourt]],TrafficData[[#This Row],[disposedCourt]]&lt;=TrafficData[[#This Row],[totalCourt]])</f>
        <v>1</v>
      </c>
    </row>
    <row r="1017" spans="1:16">
      <c r="A1017" s="1">
        <v>43020</v>
      </c>
      <c r="B1017">
        <v>2877</v>
      </c>
      <c r="C1017">
        <v>1496</v>
      </c>
      <c r="D1017">
        <v>1381</v>
      </c>
      <c r="E1017">
        <v>2125850</v>
      </c>
      <c r="F1017">
        <v>7252212</v>
      </c>
      <c r="G1017">
        <v>9378062</v>
      </c>
      <c r="H1017">
        <v>1165</v>
      </c>
      <c r="I1017">
        <v>210</v>
      </c>
      <c r="J1017">
        <v>1375</v>
      </c>
      <c r="K1017" t="b">
        <f>TrafficData[[#This Row],[disposedChallan]]+TrafficData[[#This Row],[pendingChallan]]=TrafficData[[#This Row],[totalChallan]]</f>
        <v>1</v>
      </c>
      <c r="L1017" t="b">
        <f>TrafficData[[#This Row],[pendingAmount]]+TrafficData[[#This Row],[disposedAmount]]=TrafficData[[#This Row],[totalAmount]]</f>
        <v>1</v>
      </c>
      <c r="M1017" t="b">
        <f>TrafficData[[#This Row],[pendingCourt]]+TrafficData[[#This Row],[disposedCourt]]=TrafficData[[#This Row],[totalCourt]]</f>
        <v>1</v>
      </c>
      <c r="N1017" t="b">
        <f>AND(TrafficData[[#This Row],[disposedChallan]]&lt;=TrafficData[[#This Row],[totalChallan]],TrafficData[[#This Row],[pendingChallan]]&lt;=TrafficData[[#This Row],[totalChallan]])</f>
        <v>1</v>
      </c>
      <c r="O1017" t="b">
        <f>AND(TrafficData[[#This Row],[pendingAmount]]&lt;=TrafficData[[#This Row],[totalAmount]],TrafficData[[#This Row],[disposedAmount]]&lt;=TrafficData[[#This Row],[totalAmount]])</f>
        <v>1</v>
      </c>
      <c r="P1017" t="b">
        <f>AND(TrafficData[[#This Row],[pendingCourt]]&lt;=TrafficData[[#This Row],[totalCourt]],TrafficData[[#This Row],[disposedCourt]]&lt;=TrafficData[[#This Row],[totalCourt]])</f>
        <v>1</v>
      </c>
    </row>
    <row r="1018" spans="1:16">
      <c r="A1018" s="1">
        <v>43021</v>
      </c>
      <c r="B1018">
        <v>3027</v>
      </c>
      <c r="C1018">
        <v>1527</v>
      </c>
      <c r="D1018">
        <v>1500</v>
      </c>
      <c r="E1018">
        <v>2887600</v>
      </c>
      <c r="F1018">
        <v>8573613</v>
      </c>
      <c r="G1018">
        <v>11461213</v>
      </c>
      <c r="H1018">
        <v>1258</v>
      </c>
      <c r="I1018">
        <v>208</v>
      </c>
      <c r="J1018">
        <v>1466</v>
      </c>
      <c r="K1018" t="b">
        <f>TrafficData[[#This Row],[disposedChallan]]+TrafficData[[#This Row],[pendingChallan]]=TrafficData[[#This Row],[totalChallan]]</f>
        <v>1</v>
      </c>
      <c r="L1018" t="b">
        <f>TrafficData[[#This Row],[pendingAmount]]+TrafficData[[#This Row],[disposedAmount]]=TrafficData[[#This Row],[totalAmount]]</f>
        <v>1</v>
      </c>
      <c r="M1018" t="b">
        <f>TrafficData[[#This Row],[pendingCourt]]+TrafficData[[#This Row],[disposedCourt]]=TrafficData[[#This Row],[totalCourt]]</f>
        <v>1</v>
      </c>
      <c r="N1018" t="b">
        <f>AND(TrafficData[[#This Row],[disposedChallan]]&lt;=TrafficData[[#This Row],[totalChallan]],TrafficData[[#This Row],[pendingChallan]]&lt;=TrafficData[[#This Row],[totalChallan]])</f>
        <v>1</v>
      </c>
      <c r="O1018" t="b">
        <f>AND(TrafficData[[#This Row],[pendingAmount]]&lt;=TrafficData[[#This Row],[totalAmount]],TrafficData[[#This Row],[disposedAmount]]&lt;=TrafficData[[#This Row],[totalAmount]])</f>
        <v>1</v>
      </c>
      <c r="P1018" t="b">
        <f>AND(TrafficData[[#This Row],[pendingCourt]]&lt;=TrafficData[[#This Row],[totalCourt]],TrafficData[[#This Row],[disposedCourt]]&lt;=TrafficData[[#This Row],[totalCourt]])</f>
        <v>1</v>
      </c>
    </row>
    <row r="1019" spans="1:16">
      <c r="A1019" s="1">
        <v>43022</v>
      </c>
      <c r="B1019">
        <v>2818</v>
      </c>
      <c r="C1019">
        <v>1457</v>
      </c>
      <c r="D1019">
        <v>1361</v>
      </c>
      <c r="E1019">
        <v>2358150</v>
      </c>
      <c r="F1019">
        <v>6429006</v>
      </c>
      <c r="G1019">
        <v>8787156</v>
      </c>
      <c r="H1019">
        <v>1175</v>
      </c>
      <c r="I1019">
        <v>187</v>
      </c>
      <c r="J1019">
        <v>1362</v>
      </c>
      <c r="K1019" t="b">
        <f>TrafficData[[#This Row],[disposedChallan]]+TrafficData[[#This Row],[pendingChallan]]=TrafficData[[#This Row],[totalChallan]]</f>
        <v>1</v>
      </c>
      <c r="L1019" t="b">
        <f>TrafficData[[#This Row],[pendingAmount]]+TrafficData[[#This Row],[disposedAmount]]=TrafficData[[#This Row],[totalAmount]]</f>
        <v>1</v>
      </c>
      <c r="M1019" t="b">
        <f>TrafficData[[#This Row],[pendingCourt]]+TrafficData[[#This Row],[disposedCourt]]=TrafficData[[#This Row],[totalCourt]]</f>
        <v>1</v>
      </c>
      <c r="N1019" t="b">
        <f>AND(TrafficData[[#This Row],[disposedChallan]]&lt;=TrafficData[[#This Row],[totalChallan]],TrafficData[[#This Row],[pendingChallan]]&lt;=TrafficData[[#This Row],[totalChallan]])</f>
        <v>1</v>
      </c>
      <c r="O1019" t="b">
        <f>AND(TrafficData[[#This Row],[pendingAmount]]&lt;=TrafficData[[#This Row],[totalAmount]],TrafficData[[#This Row],[disposedAmount]]&lt;=TrafficData[[#This Row],[totalAmount]])</f>
        <v>1</v>
      </c>
      <c r="P1019" t="b">
        <f>AND(TrafficData[[#This Row],[pendingCourt]]&lt;=TrafficData[[#This Row],[totalCourt]],TrafficData[[#This Row],[disposedCourt]]&lt;=TrafficData[[#This Row],[totalCourt]])</f>
        <v>1</v>
      </c>
    </row>
    <row r="1020" spans="1:16">
      <c r="A1020" s="1">
        <v>43023</v>
      </c>
      <c r="B1020">
        <v>1433</v>
      </c>
      <c r="C1020">
        <v>649</v>
      </c>
      <c r="D1020">
        <v>784</v>
      </c>
      <c r="E1020">
        <v>1113550</v>
      </c>
      <c r="F1020">
        <v>3677585</v>
      </c>
      <c r="G1020">
        <v>4791135</v>
      </c>
      <c r="H1020">
        <v>653</v>
      </c>
      <c r="I1020">
        <v>101</v>
      </c>
      <c r="J1020">
        <v>754</v>
      </c>
      <c r="K1020" t="b">
        <f>TrafficData[[#This Row],[disposedChallan]]+TrafficData[[#This Row],[pendingChallan]]=TrafficData[[#This Row],[totalChallan]]</f>
        <v>1</v>
      </c>
      <c r="L1020" t="b">
        <f>TrafficData[[#This Row],[pendingAmount]]+TrafficData[[#This Row],[disposedAmount]]=TrafficData[[#This Row],[totalAmount]]</f>
        <v>1</v>
      </c>
      <c r="M1020" t="b">
        <f>TrafficData[[#This Row],[pendingCourt]]+TrafficData[[#This Row],[disposedCourt]]=TrafficData[[#This Row],[totalCourt]]</f>
        <v>1</v>
      </c>
      <c r="N1020" t="b">
        <f>AND(TrafficData[[#This Row],[disposedChallan]]&lt;=TrafficData[[#This Row],[totalChallan]],TrafficData[[#This Row],[pendingChallan]]&lt;=TrafficData[[#This Row],[totalChallan]])</f>
        <v>1</v>
      </c>
      <c r="O1020" t="b">
        <f>AND(TrafficData[[#This Row],[pendingAmount]]&lt;=TrafficData[[#This Row],[totalAmount]],TrafficData[[#This Row],[disposedAmount]]&lt;=TrafficData[[#This Row],[totalAmount]])</f>
        <v>1</v>
      </c>
      <c r="P1020" t="b">
        <f>AND(TrafficData[[#This Row],[pendingCourt]]&lt;=TrafficData[[#This Row],[totalCourt]],TrafficData[[#This Row],[disposedCourt]]&lt;=TrafficData[[#This Row],[totalCourt]])</f>
        <v>1</v>
      </c>
    </row>
    <row r="1021" spans="1:16">
      <c r="A1021" s="1">
        <v>43024</v>
      </c>
      <c r="B1021">
        <v>2252</v>
      </c>
      <c r="C1021">
        <v>1180</v>
      </c>
      <c r="D1021">
        <v>1072</v>
      </c>
      <c r="E1021">
        <v>2112112</v>
      </c>
      <c r="F1021">
        <v>4632251</v>
      </c>
      <c r="G1021">
        <v>6744363</v>
      </c>
      <c r="H1021">
        <v>860</v>
      </c>
      <c r="I1021">
        <v>155</v>
      </c>
      <c r="J1021">
        <v>1015</v>
      </c>
      <c r="K1021" t="b">
        <f>TrafficData[[#This Row],[disposedChallan]]+TrafficData[[#This Row],[pendingChallan]]=TrafficData[[#This Row],[totalChallan]]</f>
        <v>1</v>
      </c>
      <c r="L1021" t="b">
        <f>TrafficData[[#This Row],[pendingAmount]]+TrafficData[[#This Row],[disposedAmount]]=TrafficData[[#This Row],[totalAmount]]</f>
        <v>1</v>
      </c>
      <c r="M1021" t="b">
        <f>TrafficData[[#This Row],[pendingCourt]]+TrafficData[[#This Row],[disposedCourt]]=TrafficData[[#This Row],[totalCourt]]</f>
        <v>1</v>
      </c>
      <c r="N1021" t="b">
        <f>AND(TrafficData[[#This Row],[disposedChallan]]&lt;=TrafficData[[#This Row],[totalChallan]],TrafficData[[#This Row],[pendingChallan]]&lt;=TrafficData[[#This Row],[totalChallan]])</f>
        <v>1</v>
      </c>
      <c r="O1021" t="b">
        <f>AND(TrafficData[[#This Row],[pendingAmount]]&lt;=TrafficData[[#This Row],[totalAmount]],TrafficData[[#This Row],[disposedAmount]]&lt;=TrafficData[[#This Row],[totalAmount]])</f>
        <v>1</v>
      </c>
      <c r="P1021" t="b">
        <f>AND(TrafficData[[#This Row],[pendingCourt]]&lt;=TrafficData[[#This Row],[totalCourt]],TrafficData[[#This Row],[disposedCourt]]&lt;=TrafficData[[#This Row],[totalCourt]])</f>
        <v>1</v>
      </c>
    </row>
    <row r="1022" spans="1:16">
      <c r="A1022" s="1">
        <v>43025</v>
      </c>
      <c r="B1022">
        <v>2398</v>
      </c>
      <c r="C1022">
        <v>1215</v>
      </c>
      <c r="D1022">
        <v>1183</v>
      </c>
      <c r="E1022">
        <v>1339226</v>
      </c>
      <c r="F1022">
        <v>4412290</v>
      </c>
      <c r="G1022">
        <v>5751516</v>
      </c>
      <c r="H1022">
        <v>987</v>
      </c>
      <c r="I1022">
        <v>122</v>
      </c>
      <c r="J1022">
        <v>1109</v>
      </c>
      <c r="K1022" t="b">
        <f>TrafficData[[#This Row],[disposedChallan]]+TrafficData[[#This Row],[pendingChallan]]=TrafficData[[#This Row],[totalChallan]]</f>
        <v>1</v>
      </c>
      <c r="L1022" t="b">
        <f>TrafficData[[#This Row],[pendingAmount]]+TrafficData[[#This Row],[disposedAmount]]=TrafficData[[#This Row],[totalAmount]]</f>
        <v>1</v>
      </c>
      <c r="M1022" t="b">
        <f>TrafficData[[#This Row],[pendingCourt]]+TrafficData[[#This Row],[disposedCourt]]=TrafficData[[#This Row],[totalCourt]]</f>
        <v>1</v>
      </c>
      <c r="N1022" t="b">
        <f>AND(TrafficData[[#This Row],[disposedChallan]]&lt;=TrafficData[[#This Row],[totalChallan]],TrafficData[[#This Row],[pendingChallan]]&lt;=TrafficData[[#This Row],[totalChallan]])</f>
        <v>1</v>
      </c>
      <c r="O1022" t="b">
        <f>AND(TrafficData[[#This Row],[pendingAmount]]&lt;=TrafficData[[#This Row],[totalAmount]],TrafficData[[#This Row],[disposedAmount]]&lt;=TrafficData[[#This Row],[totalAmount]])</f>
        <v>1</v>
      </c>
      <c r="P1022" t="b">
        <f>AND(TrafficData[[#This Row],[pendingCourt]]&lt;=TrafficData[[#This Row],[totalCourt]],TrafficData[[#This Row],[disposedCourt]]&lt;=TrafficData[[#This Row],[totalCourt]])</f>
        <v>1</v>
      </c>
    </row>
    <row r="1023" spans="1:16">
      <c r="A1023" s="1">
        <v>43026</v>
      </c>
      <c r="B1023">
        <v>1307</v>
      </c>
      <c r="C1023">
        <v>425</v>
      </c>
      <c r="D1023">
        <v>882</v>
      </c>
      <c r="E1023">
        <v>691250</v>
      </c>
      <c r="F1023">
        <v>931010</v>
      </c>
      <c r="G1023">
        <v>1622260</v>
      </c>
      <c r="H1023">
        <v>668</v>
      </c>
      <c r="I1023">
        <v>71</v>
      </c>
      <c r="J1023">
        <v>739</v>
      </c>
      <c r="K1023" t="b">
        <f>TrafficData[[#This Row],[disposedChallan]]+TrafficData[[#This Row],[pendingChallan]]=TrafficData[[#This Row],[totalChallan]]</f>
        <v>1</v>
      </c>
      <c r="L1023" t="b">
        <f>TrafficData[[#This Row],[pendingAmount]]+TrafficData[[#This Row],[disposedAmount]]=TrafficData[[#This Row],[totalAmount]]</f>
        <v>1</v>
      </c>
      <c r="M1023" t="b">
        <f>TrafficData[[#This Row],[pendingCourt]]+TrafficData[[#This Row],[disposedCourt]]=TrafficData[[#This Row],[totalCourt]]</f>
        <v>1</v>
      </c>
      <c r="N1023" t="b">
        <f>AND(TrafficData[[#This Row],[disposedChallan]]&lt;=TrafficData[[#This Row],[totalChallan]],TrafficData[[#This Row],[pendingChallan]]&lt;=TrafficData[[#This Row],[totalChallan]])</f>
        <v>1</v>
      </c>
      <c r="O1023" t="b">
        <f>AND(TrafficData[[#This Row],[pendingAmount]]&lt;=TrafficData[[#This Row],[totalAmount]],TrafficData[[#This Row],[disposedAmount]]&lt;=TrafficData[[#This Row],[totalAmount]])</f>
        <v>1</v>
      </c>
      <c r="P1023" t="b">
        <f>AND(TrafficData[[#This Row],[pendingCourt]]&lt;=TrafficData[[#This Row],[totalCourt]],TrafficData[[#This Row],[disposedCourt]]&lt;=TrafficData[[#This Row],[totalCourt]])</f>
        <v>1</v>
      </c>
    </row>
    <row r="1024" spans="1:16">
      <c r="A1024" s="1">
        <v>43027</v>
      </c>
      <c r="B1024">
        <v>251</v>
      </c>
      <c r="C1024">
        <v>29</v>
      </c>
      <c r="D1024">
        <v>222</v>
      </c>
      <c r="E1024">
        <v>218150</v>
      </c>
      <c r="F1024">
        <v>37600</v>
      </c>
      <c r="G1024">
        <v>255750</v>
      </c>
      <c r="H1024">
        <v>132</v>
      </c>
      <c r="I1024">
        <v>6</v>
      </c>
      <c r="J1024">
        <v>138</v>
      </c>
      <c r="K1024" t="b">
        <f>TrafficData[[#This Row],[disposedChallan]]+TrafficData[[#This Row],[pendingChallan]]=TrafficData[[#This Row],[totalChallan]]</f>
        <v>1</v>
      </c>
      <c r="L1024" t="b">
        <f>TrafficData[[#This Row],[pendingAmount]]+TrafficData[[#This Row],[disposedAmount]]=TrafficData[[#This Row],[totalAmount]]</f>
        <v>1</v>
      </c>
      <c r="M1024" t="b">
        <f>TrafficData[[#This Row],[pendingCourt]]+TrafficData[[#This Row],[disposedCourt]]=TrafficData[[#This Row],[totalCourt]]</f>
        <v>1</v>
      </c>
      <c r="N1024" t="b">
        <f>AND(TrafficData[[#This Row],[disposedChallan]]&lt;=TrafficData[[#This Row],[totalChallan]],TrafficData[[#This Row],[pendingChallan]]&lt;=TrafficData[[#This Row],[totalChallan]])</f>
        <v>1</v>
      </c>
      <c r="O1024" t="b">
        <f>AND(TrafficData[[#This Row],[pendingAmount]]&lt;=TrafficData[[#This Row],[totalAmount]],TrafficData[[#This Row],[disposedAmount]]&lt;=TrafficData[[#This Row],[totalAmount]])</f>
        <v>1</v>
      </c>
      <c r="P1024" t="b">
        <f>AND(TrafficData[[#This Row],[pendingCourt]]&lt;=TrafficData[[#This Row],[totalCourt]],TrafficData[[#This Row],[disposedCourt]]&lt;=TrafficData[[#This Row],[totalCourt]])</f>
        <v>1</v>
      </c>
    </row>
    <row r="1025" spans="1:16">
      <c r="A1025" s="1">
        <v>43028</v>
      </c>
      <c r="B1025">
        <v>392</v>
      </c>
      <c r="C1025">
        <v>84</v>
      </c>
      <c r="D1025">
        <v>308</v>
      </c>
      <c r="E1025">
        <v>129200</v>
      </c>
      <c r="F1025">
        <v>60300</v>
      </c>
      <c r="G1025">
        <v>189500</v>
      </c>
      <c r="H1025">
        <v>252</v>
      </c>
      <c r="I1025">
        <v>20</v>
      </c>
      <c r="J1025">
        <v>272</v>
      </c>
      <c r="K1025" t="b">
        <f>TrafficData[[#This Row],[disposedChallan]]+TrafficData[[#This Row],[pendingChallan]]=TrafficData[[#This Row],[totalChallan]]</f>
        <v>1</v>
      </c>
      <c r="L1025" t="b">
        <f>TrafficData[[#This Row],[pendingAmount]]+TrafficData[[#This Row],[disposedAmount]]=TrafficData[[#This Row],[totalAmount]]</f>
        <v>1</v>
      </c>
      <c r="M1025" t="b">
        <f>TrafficData[[#This Row],[pendingCourt]]+TrafficData[[#This Row],[disposedCourt]]=TrafficData[[#This Row],[totalCourt]]</f>
        <v>1</v>
      </c>
      <c r="N1025" t="b">
        <f>AND(TrafficData[[#This Row],[disposedChallan]]&lt;=TrafficData[[#This Row],[totalChallan]],TrafficData[[#This Row],[pendingChallan]]&lt;=TrafficData[[#This Row],[totalChallan]])</f>
        <v>1</v>
      </c>
      <c r="O1025" t="b">
        <f>AND(TrafficData[[#This Row],[pendingAmount]]&lt;=TrafficData[[#This Row],[totalAmount]],TrafficData[[#This Row],[disposedAmount]]&lt;=TrafficData[[#This Row],[totalAmount]])</f>
        <v>1</v>
      </c>
      <c r="P1025" t="b">
        <f>AND(TrafficData[[#This Row],[pendingCourt]]&lt;=TrafficData[[#This Row],[totalCourt]],TrafficData[[#This Row],[disposedCourt]]&lt;=TrafficData[[#This Row],[totalCourt]])</f>
        <v>1</v>
      </c>
    </row>
    <row r="1026" spans="1:16">
      <c r="A1026" s="1">
        <v>43029</v>
      </c>
      <c r="B1026">
        <v>695</v>
      </c>
      <c r="C1026">
        <v>185</v>
      </c>
      <c r="D1026">
        <v>510</v>
      </c>
      <c r="E1026">
        <v>290550</v>
      </c>
      <c r="F1026">
        <v>70360</v>
      </c>
      <c r="G1026">
        <v>360910</v>
      </c>
      <c r="H1026">
        <v>412</v>
      </c>
      <c r="I1026">
        <v>45</v>
      </c>
      <c r="J1026">
        <v>457</v>
      </c>
      <c r="K1026" t="b">
        <f>TrafficData[[#This Row],[disposedChallan]]+TrafficData[[#This Row],[pendingChallan]]=TrafficData[[#This Row],[totalChallan]]</f>
        <v>1</v>
      </c>
      <c r="L1026" t="b">
        <f>TrafficData[[#This Row],[pendingAmount]]+TrafficData[[#This Row],[disposedAmount]]=TrafficData[[#This Row],[totalAmount]]</f>
        <v>1</v>
      </c>
      <c r="M1026" t="b">
        <f>TrafficData[[#This Row],[pendingCourt]]+TrafficData[[#This Row],[disposedCourt]]=TrafficData[[#This Row],[totalCourt]]</f>
        <v>1</v>
      </c>
      <c r="N1026" t="b">
        <f>AND(TrafficData[[#This Row],[disposedChallan]]&lt;=TrafficData[[#This Row],[totalChallan]],TrafficData[[#This Row],[pendingChallan]]&lt;=TrafficData[[#This Row],[totalChallan]])</f>
        <v>1</v>
      </c>
      <c r="O1026" t="b">
        <f>AND(TrafficData[[#This Row],[pendingAmount]]&lt;=TrafficData[[#This Row],[totalAmount]],TrafficData[[#This Row],[disposedAmount]]&lt;=TrafficData[[#This Row],[totalAmount]])</f>
        <v>1</v>
      </c>
      <c r="P1026" t="b">
        <f>AND(TrafficData[[#This Row],[pendingCourt]]&lt;=TrafficData[[#This Row],[totalCourt]],TrafficData[[#This Row],[disposedCourt]]&lt;=TrafficData[[#This Row],[totalCourt]])</f>
        <v>1</v>
      </c>
    </row>
    <row r="1027" spans="1:16">
      <c r="A1027" s="1">
        <v>43030</v>
      </c>
      <c r="B1027">
        <v>559</v>
      </c>
      <c r="C1027">
        <v>156</v>
      </c>
      <c r="D1027">
        <v>403</v>
      </c>
      <c r="E1027">
        <v>216600</v>
      </c>
      <c r="F1027">
        <v>509000</v>
      </c>
      <c r="G1027">
        <v>725600</v>
      </c>
      <c r="H1027">
        <v>345</v>
      </c>
      <c r="I1027">
        <v>28</v>
      </c>
      <c r="J1027">
        <v>373</v>
      </c>
      <c r="K1027" t="b">
        <f>TrafficData[[#This Row],[disposedChallan]]+TrafficData[[#This Row],[pendingChallan]]=TrafficData[[#This Row],[totalChallan]]</f>
        <v>1</v>
      </c>
      <c r="L1027" t="b">
        <f>TrafficData[[#This Row],[pendingAmount]]+TrafficData[[#This Row],[disposedAmount]]=TrafficData[[#This Row],[totalAmount]]</f>
        <v>1</v>
      </c>
      <c r="M1027" t="b">
        <f>TrafficData[[#This Row],[pendingCourt]]+TrafficData[[#This Row],[disposedCourt]]=TrafficData[[#This Row],[totalCourt]]</f>
        <v>1</v>
      </c>
      <c r="N1027" t="b">
        <f>AND(TrafficData[[#This Row],[disposedChallan]]&lt;=TrafficData[[#This Row],[totalChallan]],TrafficData[[#This Row],[pendingChallan]]&lt;=TrafficData[[#This Row],[totalChallan]])</f>
        <v>1</v>
      </c>
      <c r="O1027" t="b">
        <f>AND(TrafficData[[#This Row],[pendingAmount]]&lt;=TrafficData[[#This Row],[totalAmount]],TrafficData[[#This Row],[disposedAmount]]&lt;=TrafficData[[#This Row],[totalAmount]])</f>
        <v>1</v>
      </c>
      <c r="P1027" t="b">
        <f>AND(TrafficData[[#This Row],[pendingCourt]]&lt;=TrafficData[[#This Row],[totalCourt]],TrafficData[[#This Row],[disposedCourt]]&lt;=TrafficData[[#This Row],[totalCourt]])</f>
        <v>1</v>
      </c>
    </row>
    <row r="1028" spans="1:16">
      <c r="A1028" s="1">
        <v>43031</v>
      </c>
      <c r="B1028">
        <v>2047</v>
      </c>
      <c r="C1028">
        <v>1164</v>
      </c>
      <c r="D1028">
        <v>883</v>
      </c>
      <c r="E1028">
        <v>1417750</v>
      </c>
      <c r="F1028">
        <v>3241844</v>
      </c>
      <c r="G1028">
        <v>4659594</v>
      </c>
      <c r="H1028">
        <v>739</v>
      </c>
      <c r="I1028">
        <v>153</v>
      </c>
      <c r="J1028">
        <v>892</v>
      </c>
      <c r="K1028" t="b">
        <f>TrafficData[[#This Row],[disposedChallan]]+TrafficData[[#This Row],[pendingChallan]]=TrafficData[[#This Row],[totalChallan]]</f>
        <v>1</v>
      </c>
      <c r="L1028" t="b">
        <f>TrafficData[[#This Row],[pendingAmount]]+TrafficData[[#This Row],[disposedAmount]]=TrafficData[[#This Row],[totalAmount]]</f>
        <v>1</v>
      </c>
      <c r="M1028" t="b">
        <f>TrafficData[[#This Row],[pendingCourt]]+TrafficData[[#This Row],[disposedCourt]]=TrafficData[[#This Row],[totalCourt]]</f>
        <v>1</v>
      </c>
      <c r="N1028" t="b">
        <f>AND(TrafficData[[#This Row],[disposedChallan]]&lt;=TrafficData[[#This Row],[totalChallan]],TrafficData[[#This Row],[pendingChallan]]&lt;=TrafficData[[#This Row],[totalChallan]])</f>
        <v>1</v>
      </c>
      <c r="O1028" t="b">
        <f>AND(TrafficData[[#This Row],[pendingAmount]]&lt;=TrafficData[[#This Row],[totalAmount]],TrafficData[[#This Row],[disposedAmount]]&lt;=TrafficData[[#This Row],[totalAmount]])</f>
        <v>1</v>
      </c>
      <c r="P1028" t="b">
        <f>AND(TrafficData[[#This Row],[pendingCourt]]&lt;=TrafficData[[#This Row],[totalCourt]],TrafficData[[#This Row],[disposedCourt]]&lt;=TrafficData[[#This Row],[totalCourt]])</f>
        <v>1</v>
      </c>
    </row>
    <row r="1029" spans="1:16">
      <c r="A1029" s="1">
        <v>43032</v>
      </c>
      <c r="B1029">
        <v>2736</v>
      </c>
      <c r="C1029">
        <v>1472</v>
      </c>
      <c r="D1029">
        <v>1264</v>
      </c>
      <c r="E1029">
        <v>2090600</v>
      </c>
      <c r="F1029">
        <v>7710763</v>
      </c>
      <c r="G1029">
        <v>9801363</v>
      </c>
      <c r="H1029">
        <v>1002</v>
      </c>
      <c r="I1029">
        <v>205</v>
      </c>
      <c r="J1029">
        <v>1207</v>
      </c>
      <c r="K1029" t="b">
        <f>TrafficData[[#This Row],[disposedChallan]]+TrafficData[[#This Row],[pendingChallan]]=TrafficData[[#This Row],[totalChallan]]</f>
        <v>1</v>
      </c>
      <c r="L1029" t="b">
        <f>TrafficData[[#This Row],[pendingAmount]]+TrafficData[[#This Row],[disposedAmount]]=TrafficData[[#This Row],[totalAmount]]</f>
        <v>1</v>
      </c>
      <c r="M1029" t="b">
        <f>TrafficData[[#This Row],[pendingCourt]]+TrafficData[[#This Row],[disposedCourt]]=TrafficData[[#This Row],[totalCourt]]</f>
        <v>1</v>
      </c>
      <c r="N1029" t="b">
        <f>AND(TrafficData[[#This Row],[disposedChallan]]&lt;=TrafficData[[#This Row],[totalChallan]],TrafficData[[#This Row],[pendingChallan]]&lt;=TrafficData[[#This Row],[totalChallan]])</f>
        <v>1</v>
      </c>
      <c r="O1029" t="b">
        <f>AND(TrafficData[[#This Row],[pendingAmount]]&lt;=TrafficData[[#This Row],[totalAmount]],TrafficData[[#This Row],[disposedAmount]]&lt;=TrafficData[[#This Row],[totalAmount]])</f>
        <v>1</v>
      </c>
      <c r="P1029" t="b">
        <f>AND(TrafficData[[#This Row],[pendingCourt]]&lt;=TrafficData[[#This Row],[totalCourt]],TrafficData[[#This Row],[disposedCourt]]&lt;=TrafficData[[#This Row],[totalCourt]])</f>
        <v>1</v>
      </c>
    </row>
    <row r="1030" spans="1:16">
      <c r="A1030" s="1">
        <v>43033</v>
      </c>
      <c r="B1030">
        <v>3348</v>
      </c>
      <c r="C1030">
        <v>2184</v>
      </c>
      <c r="D1030">
        <v>1164</v>
      </c>
      <c r="E1030">
        <v>2659725</v>
      </c>
      <c r="F1030">
        <v>6693587</v>
      </c>
      <c r="G1030">
        <v>9353312</v>
      </c>
      <c r="H1030">
        <v>930</v>
      </c>
      <c r="I1030">
        <v>221</v>
      </c>
      <c r="J1030">
        <v>1151</v>
      </c>
      <c r="K1030" t="b">
        <f>TrafficData[[#This Row],[disposedChallan]]+TrafficData[[#This Row],[pendingChallan]]=TrafficData[[#This Row],[totalChallan]]</f>
        <v>1</v>
      </c>
      <c r="L1030" t="b">
        <f>TrafficData[[#This Row],[pendingAmount]]+TrafficData[[#This Row],[disposedAmount]]=TrafficData[[#This Row],[totalAmount]]</f>
        <v>1</v>
      </c>
      <c r="M1030" t="b">
        <f>TrafficData[[#This Row],[pendingCourt]]+TrafficData[[#This Row],[disposedCourt]]=TrafficData[[#This Row],[totalCourt]]</f>
        <v>1</v>
      </c>
      <c r="N1030" t="b">
        <f>AND(TrafficData[[#This Row],[disposedChallan]]&lt;=TrafficData[[#This Row],[totalChallan]],TrafficData[[#This Row],[pendingChallan]]&lt;=TrafficData[[#This Row],[totalChallan]])</f>
        <v>1</v>
      </c>
      <c r="O1030" t="b">
        <f>AND(TrafficData[[#This Row],[pendingAmount]]&lt;=TrafficData[[#This Row],[totalAmount]],TrafficData[[#This Row],[disposedAmount]]&lt;=TrafficData[[#This Row],[totalAmount]])</f>
        <v>1</v>
      </c>
      <c r="P1030" t="b">
        <f>AND(TrafficData[[#This Row],[pendingCourt]]&lt;=TrafficData[[#This Row],[totalCourt]],TrafficData[[#This Row],[disposedCourt]]&lt;=TrafficData[[#This Row],[totalCourt]])</f>
        <v>1</v>
      </c>
    </row>
    <row r="1031" spans="1:16">
      <c r="A1031" s="1">
        <v>43034</v>
      </c>
      <c r="B1031">
        <v>2481</v>
      </c>
      <c r="C1031">
        <v>1489</v>
      </c>
      <c r="D1031">
        <v>992</v>
      </c>
      <c r="E1031">
        <v>2568225</v>
      </c>
      <c r="F1031">
        <v>6725164</v>
      </c>
      <c r="G1031">
        <v>9293389</v>
      </c>
      <c r="H1031">
        <v>780</v>
      </c>
      <c r="I1031">
        <v>168</v>
      </c>
      <c r="J1031">
        <v>948</v>
      </c>
      <c r="K1031" t="b">
        <f>TrafficData[[#This Row],[disposedChallan]]+TrafficData[[#This Row],[pendingChallan]]=TrafficData[[#This Row],[totalChallan]]</f>
        <v>1</v>
      </c>
      <c r="L1031" t="b">
        <f>TrafficData[[#This Row],[pendingAmount]]+TrafficData[[#This Row],[disposedAmount]]=TrafficData[[#This Row],[totalAmount]]</f>
        <v>1</v>
      </c>
      <c r="M1031" t="b">
        <f>TrafficData[[#This Row],[pendingCourt]]+TrafficData[[#This Row],[disposedCourt]]=TrafficData[[#This Row],[totalCourt]]</f>
        <v>1</v>
      </c>
      <c r="N1031" t="b">
        <f>AND(TrafficData[[#This Row],[disposedChallan]]&lt;=TrafficData[[#This Row],[totalChallan]],TrafficData[[#This Row],[pendingChallan]]&lt;=TrafficData[[#This Row],[totalChallan]])</f>
        <v>1</v>
      </c>
      <c r="O1031" t="b">
        <f>AND(TrafficData[[#This Row],[pendingAmount]]&lt;=TrafficData[[#This Row],[totalAmount]],TrafficData[[#This Row],[disposedAmount]]&lt;=TrafficData[[#This Row],[totalAmount]])</f>
        <v>1</v>
      </c>
      <c r="P1031" t="b">
        <f>AND(TrafficData[[#This Row],[pendingCourt]]&lt;=TrafficData[[#This Row],[totalCourt]],TrafficData[[#This Row],[disposedCourt]]&lt;=TrafficData[[#This Row],[totalCourt]])</f>
        <v>1</v>
      </c>
    </row>
    <row r="1032" spans="1:16">
      <c r="A1032" s="1">
        <v>43035</v>
      </c>
      <c r="B1032">
        <v>2859</v>
      </c>
      <c r="C1032">
        <v>1618</v>
      </c>
      <c r="D1032">
        <v>1241</v>
      </c>
      <c r="E1032">
        <v>2646240</v>
      </c>
      <c r="F1032">
        <v>6546102</v>
      </c>
      <c r="G1032">
        <v>9192342</v>
      </c>
      <c r="H1032">
        <v>966</v>
      </c>
      <c r="I1032">
        <v>144</v>
      </c>
      <c r="J1032">
        <v>1110</v>
      </c>
      <c r="K1032" t="b">
        <f>TrafficData[[#This Row],[disposedChallan]]+TrafficData[[#This Row],[pendingChallan]]=TrafficData[[#This Row],[totalChallan]]</f>
        <v>1</v>
      </c>
      <c r="L1032" t="b">
        <f>TrafficData[[#This Row],[pendingAmount]]+TrafficData[[#This Row],[disposedAmount]]=TrafficData[[#This Row],[totalAmount]]</f>
        <v>1</v>
      </c>
      <c r="M1032" t="b">
        <f>TrafficData[[#This Row],[pendingCourt]]+TrafficData[[#This Row],[disposedCourt]]=TrafficData[[#This Row],[totalCourt]]</f>
        <v>1</v>
      </c>
      <c r="N1032" t="b">
        <f>AND(TrafficData[[#This Row],[disposedChallan]]&lt;=TrafficData[[#This Row],[totalChallan]],TrafficData[[#This Row],[pendingChallan]]&lt;=TrafficData[[#This Row],[totalChallan]])</f>
        <v>1</v>
      </c>
      <c r="O1032" t="b">
        <f>AND(TrafficData[[#This Row],[pendingAmount]]&lt;=TrafficData[[#This Row],[totalAmount]],TrafficData[[#This Row],[disposedAmount]]&lt;=TrafficData[[#This Row],[totalAmount]])</f>
        <v>1</v>
      </c>
      <c r="P1032" t="b">
        <f>AND(TrafficData[[#This Row],[pendingCourt]]&lt;=TrafficData[[#This Row],[totalCourt]],TrafficData[[#This Row],[disposedCourt]]&lt;=TrafficData[[#This Row],[totalCourt]])</f>
        <v>1</v>
      </c>
    </row>
    <row r="1033" spans="1:16">
      <c r="A1033" s="1">
        <v>43036</v>
      </c>
      <c r="B1033">
        <v>2526</v>
      </c>
      <c r="C1033">
        <v>1579</v>
      </c>
      <c r="D1033">
        <v>947</v>
      </c>
      <c r="E1033">
        <v>1862500</v>
      </c>
      <c r="F1033">
        <v>5268954</v>
      </c>
      <c r="G1033">
        <v>7131454</v>
      </c>
      <c r="H1033">
        <v>786</v>
      </c>
      <c r="I1033">
        <v>159</v>
      </c>
      <c r="J1033">
        <v>945</v>
      </c>
      <c r="K1033" t="b">
        <f>TrafficData[[#This Row],[disposedChallan]]+TrafficData[[#This Row],[pendingChallan]]=TrafficData[[#This Row],[totalChallan]]</f>
        <v>1</v>
      </c>
      <c r="L1033" t="b">
        <f>TrafficData[[#This Row],[pendingAmount]]+TrafficData[[#This Row],[disposedAmount]]=TrafficData[[#This Row],[totalAmount]]</f>
        <v>1</v>
      </c>
      <c r="M1033" t="b">
        <f>TrafficData[[#This Row],[pendingCourt]]+TrafficData[[#This Row],[disposedCourt]]=TrafficData[[#This Row],[totalCourt]]</f>
        <v>1</v>
      </c>
      <c r="N1033" t="b">
        <f>AND(TrafficData[[#This Row],[disposedChallan]]&lt;=TrafficData[[#This Row],[totalChallan]],TrafficData[[#This Row],[pendingChallan]]&lt;=TrafficData[[#This Row],[totalChallan]])</f>
        <v>1</v>
      </c>
      <c r="O1033" t="b">
        <f>AND(TrafficData[[#This Row],[pendingAmount]]&lt;=TrafficData[[#This Row],[totalAmount]],TrafficData[[#This Row],[disposedAmount]]&lt;=TrafficData[[#This Row],[totalAmount]])</f>
        <v>1</v>
      </c>
      <c r="P1033" t="b">
        <f>AND(TrafficData[[#This Row],[pendingCourt]]&lt;=TrafficData[[#This Row],[totalCourt]],TrafficData[[#This Row],[disposedCourt]]&lt;=TrafficData[[#This Row],[totalCourt]])</f>
        <v>1</v>
      </c>
    </row>
    <row r="1034" spans="1:16">
      <c r="A1034" s="1">
        <v>43037</v>
      </c>
      <c r="B1034">
        <v>1550</v>
      </c>
      <c r="C1034">
        <v>965</v>
      </c>
      <c r="D1034">
        <v>585</v>
      </c>
      <c r="E1034">
        <v>1457650</v>
      </c>
      <c r="F1034">
        <v>4462494</v>
      </c>
      <c r="G1034">
        <v>5920144</v>
      </c>
      <c r="H1034">
        <v>437</v>
      </c>
      <c r="I1034">
        <v>103</v>
      </c>
      <c r="J1034">
        <v>540</v>
      </c>
      <c r="K1034" t="b">
        <f>TrafficData[[#This Row],[disposedChallan]]+TrafficData[[#This Row],[pendingChallan]]=TrafficData[[#This Row],[totalChallan]]</f>
        <v>1</v>
      </c>
      <c r="L1034" t="b">
        <f>TrafficData[[#This Row],[pendingAmount]]+TrafficData[[#This Row],[disposedAmount]]=TrafficData[[#This Row],[totalAmount]]</f>
        <v>1</v>
      </c>
      <c r="M1034" t="b">
        <f>TrafficData[[#This Row],[pendingCourt]]+TrafficData[[#This Row],[disposedCourt]]=TrafficData[[#This Row],[totalCourt]]</f>
        <v>1</v>
      </c>
      <c r="N1034" t="b">
        <f>AND(TrafficData[[#This Row],[disposedChallan]]&lt;=TrafficData[[#This Row],[totalChallan]],TrafficData[[#This Row],[pendingChallan]]&lt;=TrafficData[[#This Row],[totalChallan]])</f>
        <v>1</v>
      </c>
      <c r="O1034" t="b">
        <f>AND(TrafficData[[#This Row],[pendingAmount]]&lt;=TrafficData[[#This Row],[totalAmount]],TrafficData[[#This Row],[disposedAmount]]&lt;=TrafficData[[#This Row],[totalAmount]])</f>
        <v>1</v>
      </c>
      <c r="P1034" t="b">
        <f>AND(TrafficData[[#This Row],[pendingCourt]]&lt;=TrafficData[[#This Row],[totalCourt]],TrafficData[[#This Row],[disposedCourt]]&lt;=TrafficData[[#This Row],[totalCourt]])</f>
        <v>1</v>
      </c>
    </row>
    <row r="1035" spans="1:16">
      <c r="A1035" s="1">
        <v>43038</v>
      </c>
      <c r="B1035">
        <v>2537</v>
      </c>
      <c r="C1035">
        <v>1536</v>
      </c>
      <c r="D1035">
        <v>1001</v>
      </c>
      <c r="E1035">
        <v>2658650</v>
      </c>
      <c r="F1035">
        <v>5809456</v>
      </c>
      <c r="G1035">
        <v>8468106</v>
      </c>
      <c r="H1035">
        <v>773</v>
      </c>
      <c r="I1035">
        <v>199</v>
      </c>
      <c r="J1035">
        <v>972</v>
      </c>
      <c r="K1035" t="b">
        <f>TrafficData[[#This Row],[disposedChallan]]+TrafficData[[#This Row],[pendingChallan]]=TrafficData[[#This Row],[totalChallan]]</f>
        <v>1</v>
      </c>
      <c r="L1035" t="b">
        <f>TrafficData[[#This Row],[pendingAmount]]+TrafficData[[#This Row],[disposedAmount]]=TrafficData[[#This Row],[totalAmount]]</f>
        <v>1</v>
      </c>
      <c r="M1035" t="b">
        <f>TrafficData[[#This Row],[pendingCourt]]+TrafficData[[#This Row],[disposedCourt]]=TrafficData[[#This Row],[totalCourt]]</f>
        <v>1</v>
      </c>
      <c r="N1035" t="b">
        <f>AND(TrafficData[[#This Row],[disposedChallan]]&lt;=TrafficData[[#This Row],[totalChallan]],TrafficData[[#This Row],[pendingChallan]]&lt;=TrafficData[[#This Row],[totalChallan]])</f>
        <v>1</v>
      </c>
      <c r="O1035" t="b">
        <f>AND(TrafficData[[#This Row],[pendingAmount]]&lt;=TrafficData[[#This Row],[totalAmount]],TrafficData[[#This Row],[disposedAmount]]&lt;=TrafficData[[#This Row],[totalAmount]])</f>
        <v>1</v>
      </c>
      <c r="P1035" t="b">
        <f>AND(TrafficData[[#This Row],[pendingCourt]]&lt;=TrafficData[[#This Row],[totalCourt]],TrafficData[[#This Row],[disposedCourt]]&lt;=TrafficData[[#This Row],[totalCourt]])</f>
        <v>1</v>
      </c>
    </row>
    <row r="1036" spans="1:16">
      <c r="A1036" s="1">
        <v>43039</v>
      </c>
      <c r="B1036">
        <v>2847</v>
      </c>
      <c r="C1036">
        <v>1767</v>
      </c>
      <c r="D1036">
        <v>1080</v>
      </c>
      <c r="E1036">
        <v>2247850</v>
      </c>
      <c r="F1036">
        <v>6711751</v>
      </c>
      <c r="G1036">
        <v>8959601</v>
      </c>
      <c r="H1036">
        <v>865</v>
      </c>
      <c r="I1036">
        <v>226</v>
      </c>
      <c r="J1036">
        <v>1091</v>
      </c>
      <c r="K1036" t="b">
        <f>TrafficData[[#This Row],[disposedChallan]]+TrafficData[[#This Row],[pendingChallan]]=TrafficData[[#This Row],[totalChallan]]</f>
        <v>1</v>
      </c>
      <c r="L1036" t="b">
        <f>TrafficData[[#This Row],[pendingAmount]]+TrafficData[[#This Row],[disposedAmount]]=TrafficData[[#This Row],[totalAmount]]</f>
        <v>1</v>
      </c>
      <c r="M1036" t="b">
        <f>TrafficData[[#This Row],[pendingCourt]]+TrafficData[[#This Row],[disposedCourt]]=TrafficData[[#This Row],[totalCourt]]</f>
        <v>1</v>
      </c>
      <c r="N1036" t="b">
        <f>AND(TrafficData[[#This Row],[disposedChallan]]&lt;=TrafficData[[#This Row],[totalChallan]],TrafficData[[#This Row],[pendingChallan]]&lt;=TrafficData[[#This Row],[totalChallan]])</f>
        <v>1</v>
      </c>
      <c r="O1036" t="b">
        <f>AND(TrafficData[[#This Row],[pendingAmount]]&lt;=TrafficData[[#This Row],[totalAmount]],TrafficData[[#This Row],[disposedAmount]]&lt;=TrafficData[[#This Row],[totalAmount]])</f>
        <v>1</v>
      </c>
      <c r="P1036" t="b">
        <f>AND(TrafficData[[#This Row],[pendingCourt]]&lt;=TrafficData[[#This Row],[totalCourt]],TrafficData[[#This Row],[disposedCourt]]&lt;=TrafficData[[#This Row],[totalCourt]])</f>
        <v>1</v>
      </c>
    </row>
    <row r="1037" spans="1:16">
      <c r="A1037" s="1">
        <v>43040</v>
      </c>
      <c r="B1037">
        <v>2336</v>
      </c>
      <c r="C1037">
        <v>1446</v>
      </c>
      <c r="D1037">
        <v>890</v>
      </c>
      <c r="E1037">
        <v>1765850</v>
      </c>
      <c r="F1037">
        <v>5127580</v>
      </c>
      <c r="G1037">
        <v>6893430</v>
      </c>
      <c r="H1037">
        <v>737</v>
      </c>
      <c r="I1037">
        <v>201</v>
      </c>
      <c r="J1037">
        <v>938</v>
      </c>
      <c r="K1037" t="b">
        <f>TrafficData[[#This Row],[disposedChallan]]+TrafficData[[#This Row],[pendingChallan]]=TrafficData[[#This Row],[totalChallan]]</f>
        <v>1</v>
      </c>
      <c r="L1037" t="b">
        <f>TrafficData[[#This Row],[pendingAmount]]+TrafficData[[#This Row],[disposedAmount]]=TrafficData[[#This Row],[totalAmount]]</f>
        <v>1</v>
      </c>
      <c r="M1037" t="b">
        <f>TrafficData[[#This Row],[pendingCourt]]+TrafficData[[#This Row],[disposedCourt]]=TrafficData[[#This Row],[totalCourt]]</f>
        <v>1</v>
      </c>
      <c r="N1037" t="b">
        <f>AND(TrafficData[[#This Row],[disposedChallan]]&lt;=TrafficData[[#This Row],[totalChallan]],TrafficData[[#This Row],[pendingChallan]]&lt;=TrafficData[[#This Row],[totalChallan]])</f>
        <v>1</v>
      </c>
      <c r="O1037" t="b">
        <f>AND(TrafficData[[#This Row],[pendingAmount]]&lt;=TrafficData[[#This Row],[totalAmount]],TrafficData[[#This Row],[disposedAmount]]&lt;=TrafficData[[#This Row],[totalAmount]])</f>
        <v>1</v>
      </c>
      <c r="P1037" t="b">
        <f>AND(TrafficData[[#This Row],[pendingCourt]]&lt;=TrafficData[[#This Row],[totalCourt]],TrafficData[[#This Row],[disposedCourt]]&lt;=TrafficData[[#This Row],[totalCourt]])</f>
        <v>1</v>
      </c>
    </row>
    <row r="1038" spans="1:16">
      <c r="A1038" s="1">
        <v>43041</v>
      </c>
      <c r="B1038">
        <v>2262</v>
      </c>
      <c r="C1038">
        <v>1241</v>
      </c>
      <c r="D1038">
        <v>1021</v>
      </c>
      <c r="E1038">
        <v>2085900</v>
      </c>
      <c r="F1038">
        <v>6402974</v>
      </c>
      <c r="G1038">
        <v>8488874</v>
      </c>
      <c r="H1038">
        <v>802</v>
      </c>
      <c r="I1038">
        <v>155</v>
      </c>
      <c r="J1038">
        <v>957</v>
      </c>
      <c r="K1038" t="b">
        <f>TrafficData[[#This Row],[disposedChallan]]+TrafficData[[#This Row],[pendingChallan]]=TrafficData[[#This Row],[totalChallan]]</f>
        <v>1</v>
      </c>
      <c r="L1038" t="b">
        <f>TrafficData[[#This Row],[pendingAmount]]+TrafficData[[#This Row],[disposedAmount]]=TrafficData[[#This Row],[totalAmount]]</f>
        <v>1</v>
      </c>
      <c r="M1038" t="b">
        <f>TrafficData[[#This Row],[pendingCourt]]+TrafficData[[#This Row],[disposedCourt]]=TrafficData[[#This Row],[totalCourt]]</f>
        <v>1</v>
      </c>
      <c r="N1038" t="b">
        <f>AND(TrafficData[[#This Row],[disposedChallan]]&lt;=TrafficData[[#This Row],[totalChallan]],TrafficData[[#This Row],[pendingChallan]]&lt;=TrafficData[[#This Row],[totalChallan]])</f>
        <v>1</v>
      </c>
      <c r="O1038" t="b">
        <f>AND(TrafficData[[#This Row],[pendingAmount]]&lt;=TrafficData[[#This Row],[totalAmount]],TrafficData[[#This Row],[disposedAmount]]&lt;=TrafficData[[#This Row],[totalAmount]])</f>
        <v>1</v>
      </c>
      <c r="P1038" t="b">
        <f>AND(TrafficData[[#This Row],[pendingCourt]]&lt;=TrafficData[[#This Row],[totalCourt]],TrafficData[[#This Row],[disposedCourt]]&lt;=TrafficData[[#This Row],[totalCourt]])</f>
        <v>1</v>
      </c>
    </row>
    <row r="1039" spans="1:16">
      <c r="A1039" s="1">
        <v>43042</v>
      </c>
      <c r="B1039">
        <v>2517</v>
      </c>
      <c r="C1039">
        <v>1460</v>
      </c>
      <c r="D1039">
        <v>1057</v>
      </c>
      <c r="E1039">
        <v>2518320</v>
      </c>
      <c r="F1039">
        <v>6236619</v>
      </c>
      <c r="G1039">
        <v>8754939</v>
      </c>
      <c r="H1039">
        <v>830</v>
      </c>
      <c r="I1039">
        <v>189</v>
      </c>
      <c r="J1039">
        <v>1019</v>
      </c>
      <c r="K1039" t="b">
        <f>TrafficData[[#This Row],[disposedChallan]]+TrafficData[[#This Row],[pendingChallan]]=TrafficData[[#This Row],[totalChallan]]</f>
        <v>1</v>
      </c>
      <c r="L1039" t="b">
        <f>TrafficData[[#This Row],[pendingAmount]]+TrafficData[[#This Row],[disposedAmount]]=TrafficData[[#This Row],[totalAmount]]</f>
        <v>1</v>
      </c>
      <c r="M1039" t="b">
        <f>TrafficData[[#This Row],[pendingCourt]]+TrafficData[[#This Row],[disposedCourt]]=TrafficData[[#This Row],[totalCourt]]</f>
        <v>1</v>
      </c>
      <c r="N1039" t="b">
        <f>AND(TrafficData[[#This Row],[disposedChallan]]&lt;=TrafficData[[#This Row],[totalChallan]],TrafficData[[#This Row],[pendingChallan]]&lt;=TrafficData[[#This Row],[totalChallan]])</f>
        <v>1</v>
      </c>
      <c r="O1039" t="b">
        <f>AND(TrafficData[[#This Row],[pendingAmount]]&lt;=TrafficData[[#This Row],[totalAmount]],TrafficData[[#This Row],[disposedAmount]]&lt;=TrafficData[[#This Row],[totalAmount]])</f>
        <v>1</v>
      </c>
      <c r="P1039" t="b">
        <f>AND(TrafficData[[#This Row],[pendingCourt]]&lt;=TrafficData[[#This Row],[totalCourt]],TrafficData[[#This Row],[disposedCourt]]&lt;=TrafficData[[#This Row],[totalCourt]])</f>
        <v>1</v>
      </c>
    </row>
    <row r="1040" spans="1:16">
      <c r="A1040" s="1">
        <v>43043</v>
      </c>
      <c r="B1040">
        <v>1611</v>
      </c>
      <c r="C1040">
        <v>746</v>
      </c>
      <c r="D1040">
        <v>865</v>
      </c>
      <c r="E1040">
        <v>1563954</v>
      </c>
      <c r="F1040">
        <v>3281400</v>
      </c>
      <c r="G1040">
        <v>4845354</v>
      </c>
      <c r="H1040">
        <v>703</v>
      </c>
      <c r="I1040">
        <v>92</v>
      </c>
      <c r="J1040">
        <v>795</v>
      </c>
      <c r="K1040" t="b">
        <f>TrafficData[[#This Row],[disposedChallan]]+TrafficData[[#This Row],[pendingChallan]]=TrafficData[[#This Row],[totalChallan]]</f>
        <v>1</v>
      </c>
      <c r="L1040" t="b">
        <f>TrafficData[[#This Row],[pendingAmount]]+TrafficData[[#This Row],[disposedAmount]]=TrafficData[[#This Row],[totalAmount]]</f>
        <v>1</v>
      </c>
      <c r="M1040" t="b">
        <f>TrafficData[[#This Row],[pendingCourt]]+TrafficData[[#This Row],[disposedCourt]]=TrafficData[[#This Row],[totalCourt]]</f>
        <v>1</v>
      </c>
      <c r="N1040" t="b">
        <f>AND(TrafficData[[#This Row],[disposedChallan]]&lt;=TrafficData[[#This Row],[totalChallan]],TrafficData[[#This Row],[pendingChallan]]&lt;=TrafficData[[#This Row],[totalChallan]])</f>
        <v>1</v>
      </c>
      <c r="O1040" t="b">
        <f>AND(TrafficData[[#This Row],[pendingAmount]]&lt;=TrafficData[[#This Row],[totalAmount]],TrafficData[[#This Row],[disposedAmount]]&lt;=TrafficData[[#This Row],[totalAmount]])</f>
        <v>1</v>
      </c>
      <c r="P1040" t="b">
        <f>AND(TrafficData[[#This Row],[pendingCourt]]&lt;=TrafficData[[#This Row],[totalCourt]],TrafficData[[#This Row],[disposedCourt]]&lt;=TrafficData[[#This Row],[totalCourt]])</f>
        <v>1</v>
      </c>
    </row>
    <row r="1041" spans="1:16">
      <c r="A1041" s="1">
        <v>43044</v>
      </c>
      <c r="B1041">
        <v>1235</v>
      </c>
      <c r="C1041">
        <v>624</v>
      </c>
      <c r="D1041">
        <v>611</v>
      </c>
      <c r="E1041">
        <v>927900</v>
      </c>
      <c r="F1041">
        <v>2249000</v>
      </c>
      <c r="G1041">
        <v>3176900</v>
      </c>
      <c r="H1041">
        <v>475</v>
      </c>
      <c r="I1041">
        <v>54</v>
      </c>
      <c r="J1041">
        <v>529</v>
      </c>
      <c r="K1041" t="b">
        <f>TrafficData[[#This Row],[disposedChallan]]+TrafficData[[#This Row],[pendingChallan]]=TrafficData[[#This Row],[totalChallan]]</f>
        <v>1</v>
      </c>
      <c r="L1041" t="b">
        <f>TrafficData[[#This Row],[pendingAmount]]+TrafficData[[#This Row],[disposedAmount]]=TrafficData[[#This Row],[totalAmount]]</f>
        <v>1</v>
      </c>
      <c r="M1041" t="b">
        <f>TrafficData[[#This Row],[pendingCourt]]+TrafficData[[#This Row],[disposedCourt]]=TrafficData[[#This Row],[totalCourt]]</f>
        <v>1</v>
      </c>
      <c r="N1041" t="b">
        <f>AND(TrafficData[[#This Row],[disposedChallan]]&lt;=TrafficData[[#This Row],[totalChallan]],TrafficData[[#This Row],[pendingChallan]]&lt;=TrafficData[[#This Row],[totalChallan]])</f>
        <v>1</v>
      </c>
      <c r="O1041" t="b">
        <f>AND(TrafficData[[#This Row],[pendingAmount]]&lt;=TrafficData[[#This Row],[totalAmount]],TrafficData[[#This Row],[disposedAmount]]&lt;=TrafficData[[#This Row],[totalAmount]])</f>
        <v>1</v>
      </c>
      <c r="P1041" t="b">
        <f>AND(TrafficData[[#This Row],[pendingCourt]]&lt;=TrafficData[[#This Row],[totalCourt]],TrafficData[[#This Row],[disposedCourt]]&lt;=TrafficData[[#This Row],[totalCourt]])</f>
        <v>1</v>
      </c>
    </row>
    <row r="1042" spans="1:16">
      <c r="A1042" s="1">
        <v>43045</v>
      </c>
      <c r="B1042">
        <v>2059</v>
      </c>
      <c r="C1042">
        <v>1068</v>
      </c>
      <c r="D1042">
        <v>991</v>
      </c>
      <c r="E1042">
        <v>1905800</v>
      </c>
      <c r="F1042">
        <v>4956992</v>
      </c>
      <c r="G1042">
        <v>6862792</v>
      </c>
      <c r="H1042">
        <v>811</v>
      </c>
      <c r="I1042">
        <v>122</v>
      </c>
      <c r="J1042">
        <v>933</v>
      </c>
      <c r="K1042" t="b">
        <f>TrafficData[[#This Row],[disposedChallan]]+TrafficData[[#This Row],[pendingChallan]]=TrafficData[[#This Row],[totalChallan]]</f>
        <v>1</v>
      </c>
      <c r="L1042" t="b">
        <f>TrafficData[[#This Row],[pendingAmount]]+TrafficData[[#This Row],[disposedAmount]]=TrafficData[[#This Row],[totalAmount]]</f>
        <v>1</v>
      </c>
      <c r="M1042" t="b">
        <f>TrafficData[[#This Row],[pendingCourt]]+TrafficData[[#This Row],[disposedCourt]]=TrafficData[[#This Row],[totalCourt]]</f>
        <v>1</v>
      </c>
      <c r="N1042" t="b">
        <f>AND(TrafficData[[#This Row],[disposedChallan]]&lt;=TrafficData[[#This Row],[totalChallan]],TrafficData[[#This Row],[pendingChallan]]&lt;=TrafficData[[#This Row],[totalChallan]])</f>
        <v>1</v>
      </c>
      <c r="O1042" t="b">
        <f>AND(TrafficData[[#This Row],[pendingAmount]]&lt;=TrafficData[[#This Row],[totalAmount]],TrafficData[[#This Row],[disposedAmount]]&lt;=TrafficData[[#This Row],[totalAmount]])</f>
        <v>1</v>
      </c>
      <c r="P1042" t="b">
        <f>AND(TrafficData[[#This Row],[pendingCourt]]&lt;=TrafficData[[#This Row],[totalCourt]],TrafficData[[#This Row],[disposedCourt]]&lt;=TrafficData[[#This Row],[totalCourt]])</f>
        <v>1</v>
      </c>
    </row>
    <row r="1043" spans="1:16">
      <c r="A1043" s="1">
        <v>43046</v>
      </c>
      <c r="B1043">
        <v>2550</v>
      </c>
      <c r="C1043">
        <v>1384</v>
      </c>
      <c r="D1043">
        <v>1166</v>
      </c>
      <c r="E1043">
        <v>2793302</v>
      </c>
      <c r="F1043">
        <v>6860331</v>
      </c>
      <c r="G1043">
        <v>9653633</v>
      </c>
      <c r="H1043">
        <v>954</v>
      </c>
      <c r="I1043">
        <v>188</v>
      </c>
      <c r="J1043">
        <v>1142</v>
      </c>
      <c r="K1043" t="b">
        <f>TrafficData[[#This Row],[disposedChallan]]+TrafficData[[#This Row],[pendingChallan]]=TrafficData[[#This Row],[totalChallan]]</f>
        <v>1</v>
      </c>
      <c r="L1043" t="b">
        <f>TrafficData[[#This Row],[pendingAmount]]+TrafficData[[#This Row],[disposedAmount]]=TrafficData[[#This Row],[totalAmount]]</f>
        <v>1</v>
      </c>
      <c r="M1043" t="b">
        <f>TrafficData[[#This Row],[pendingCourt]]+TrafficData[[#This Row],[disposedCourt]]=TrafficData[[#This Row],[totalCourt]]</f>
        <v>1</v>
      </c>
      <c r="N1043" t="b">
        <f>AND(TrafficData[[#This Row],[disposedChallan]]&lt;=TrafficData[[#This Row],[totalChallan]],TrafficData[[#This Row],[pendingChallan]]&lt;=TrafficData[[#This Row],[totalChallan]])</f>
        <v>1</v>
      </c>
      <c r="O1043" t="b">
        <f>AND(TrafficData[[#This Row],[pendingAmount]]&lt;=TrafficData[[#This Row],[totalAmount]],TrafficData[[#This Row],[disposedAmount]]&lt;=TrafficData[[#This Row],[totalAmount]])</f>
        <v>1</v>
      </c>
      <c r="P1043" t="b">
        <f>AND(TrafficData[[#This Row],[pendingCourt]]&lt;=TrafficData[[#This Row],[totalCourt]],TrafficData[[#This Row],[disposedCourt]]&lt;=TrafficData[[#This Row],[totalCourt]])</f>
        <v>1</v>
      </c>
    </row>
    <row r="1044" spans="1:16">
      <c r="A1044" s="1">
        <v>43047</v>
      </c>
      <c r="B1044">
        <v>2904</v>
      </c>
      <c r="C1044">
        <v>1886</v>
      </c>
      <c r="D1044">
        <v>1018</v>
      </c>
      <c r="E1044">
        <v>2516525</v>
      </c>
      <c r="F1044">
        <v>6724909</v>
      </c>
      <c r="G1044">
        <v>9241434</v>
      </c>
      <c r="H1044">
        <v>805</v>
      </c>
      <c r="I1044">
        <v>209</v>
      </c>
      <c r="J1044">
        <v>1014</v>
      </c>
      <c r="K1044" t="b">
        <f>TrafficData[[#This Row],[disposedChallan]]+TrafficData[[#This Row],[pendingChallan]]=TrafficData[[#This Row],[totalChallan]]</f>
        <v>1</v>
      </c>
      <c r="L1044" t="b">
        <f>TrafficData[[#This Row],[pendingAmount]]+TrafficData[[#This Row],[disposedAmount]]=TrafficData[[#This Row],[totalAmount]]</f>
        <v>1</v>
      </c>
      <c r="M1044" t="b">
        <f>TrafficData[[#This Row],[pendingCourt]]+TrafficData[[#This Row],[disposedCourt]]=TrafficData[[#This Row],[totalCourt]]</f>
        <v>1</v>
      </c>
      <c r="N1044" t="b">
        <f>AND(TrafficData[[#This Row],[disposedChallan]]&lt;=TrafficData[[#This Row],[totalChallan]],TrafficData[[#This Row],[pendingChallan]]&lt;=TrafficData[[#This Row],[totalChallan]])</f>
        <v>1</v>
      </c>
      <c r="O1044" t="b">
        <f>AND(TrafficData[[#This Row],[pendingAmount]]&lt;=TrafficData[[#This Row],[totalAmount]],TrafficData[[#This Row],[disposedAmount]]&lt;=TrafficData[[#This Row],[totalAmount]])</f>
        <v>1</v>
      </c>
      <c r="P1044" t="b">
        <f>AND(TrafficData[[#This Row],[pendingCourt]]&lt;=TrafficData[[#This Row],[totalCourt]],TrafficData[[#This Row],[disposedCourt]]&lt;=TrafficData[[#This Row],[totalCourt]])</f>
        <v>1</v>
      </c>
    </row>
    <row r="1045" spans="1:16">
      <c r="A1045" s="1">
        <v>43048</v>
      </c>
      <c r="B1045">
        <v>2876</v>
      </c>
      <c r="C1045">
        <v>1698</v>
      </c>
      <c r="D1045">
        <v>1178</v>
      </c>
      <c r="E1045">
        <v>2805282</v>
      </c>
      <c r="F1045">
        <v>9296193</v>
      </c>
      <c r="G1045">
        <v>12101475</v>
      </c>
      <c r="H1045">
        <v>953</v>
      </c>
      <c r="I1045">
        <v>173</v>
      </c>
      <c r="J1045">
        <v>1126</v>
      </c>
      <c r="K1045" t="b">
        <f>TrafficData[[#This Row],[disposedChallan]]+TrafficData[[#This Row],[pendingChallan]]=TrafficData[[#This Row],[totalChallan]]</f>
        <v>1</v>
      </c>
      <c r="L1045" t="b">
        <f>TrafficData[[#This Row],[pendingAmount]]+TrafficData[[#This Row],[disposedAmount]]=TrafficData[[#This Row],[totalAmount]]</f>
        <v>1</v>
      </c>
      <c r="M1045" t="b">
        <f>TrafficData[[#This Row],[pendingCourt]]+TrafficData[[#This Row],[disposedCourt]]=TrafficData[[#This Row],[totalCourt]]</f>
        <v>1</v>
      </c>
      <c r="N1045" t="b">
        <f>AND(TrafficData[[#This Row],[disposedChallan]]&lt;=TrafficData[[#This Row],[totalChallan]],TrafficData[[#This Row],[pendingChallan]]&lt;=TrafficData[[#This Row],[totalChallan]])</f>
        <v>1</v>
      </c>
      <c r="O1045" t="b">
        <f>AND(TrafficData[[#This Row],[pendingAmount]]&lt;=TrafficData[[#This Row],[totalAmount]],TrafficData[[#This Row],[disposedAmount]]&lt;=TrafficData[[#This Row],[totalAmount]])</f>
        <v>1</v>
      </c>
      <c r="P1045" t="b">
        <f>AND(TrafficData[[#This Row],[pendingCourt]]&lt;=TrafficData[[#This Row],[totalCourt]],TrafficData[[#This Row],[disposedCourt]]&lt;=TrafficData[[#This Row],[totalCourt]])</f>
        <v>1</v>
      </c>
    </row>
    <row r="1046" spans="1:16">
      <c r="A1046" s="1">
        <v>43049</v>
      </c>
      <c r="B1046">
        <v>2511</v>
      </c>
      <c r="C1046">
        <v>1349</v>
      </c>
      <c r="D1046">
        <v>1162</v>
      </c>
      <c r="E1046">
        <v>2325580</v>
      </c>
      <c r="F1046">
        <v>5757649</v>
      </c>
      <c r="G1046">
        <v>8083229</v>
      </c>
      <c r="H1046">
        <v>928</v>
      </c>
      <c r="I1046">
        <v>154</v>
      </c>
      <c r="J1046">
        <v>1082</v>
      </c>
      <c r="K1046" t="b">
        <f>TrafficData[[#This Row],[disposedChallan]]+TrafficData[[#This Row],[pendingChallan]]=TrafficData[[#This Row],[totalChallan]]</f>
        <v>1</v>
      </c>
      <c r="L1046" t="b">
        <f>TrafficData[[#This Row],[pendingAmount]]+TrafficData[[#This Row],[disposedAmount]]=TrafficData[[#This Row],[totalAmount]]</f>
        <v>1</v>
      </c>
      <c r="M1046" t="b">
        <f>TrafficData[[#This Row],[pendingCourt]]+TrafficData[[#This Row],[disposedCourt]]=TrafficData[[#This Row],[totalCourt]]</f>
        <v>1</v>
      </c>
      <c r="N1046" t="b">
        <f>AND(TrafficData[[#This Row],[disposedChallan]]&lt;=TrafficData[[#This Row],[totalChallan]],TrafficData[[#This Row],[pendingChallan]]&lt;=TrafficData[[#This Row],[totalChallan]])</f>
        <v>1</v>
      </c>
      <c r="O1046" t="b">
        <f>AND(TrafficData[[#This Row],[pendingAmount]]&lt;=TrafficData[[#This Row],[totalAmount]],TrafficData[[#This Row],[disposedAmount]]&lt;=TrafficData[[#This Row],[totalAmount]])</f>
        <v>1</v>
      </c>
      <c r="P1046" t="b">
        <f>AND(TrafficData[[#This Row],[pendingCourt]]&lt;=TrafficData[[#This Row],[totalCourt]],TrafficData[[#This Row],[disposedCourt]]&lt;=TrafficData[[#This Row],[totalCourt]])</f>
        <v>1</v>
      </c>
    </row>
    <row r="1047" spans="1:16">
      <c r="A1047" s="1">
        <v>43050</v>
      </c>
      <c r="B1047">
        <v>2050</v>
      </c>
      <c r="C1047">
        <v>1060</v>
      </c>
      <c r="D1047">
        <v>990</v>
      </c>
      <c r="E1047">
        <v>1980629</v>
      </c>
      <c r="F1047">
        <v>5531832</v>
      </c>
      <c r="G1047">
        <v>7512461</v>
      </c>
      <c r="H1047">
        <v>855</v>
      </c>
      <c r="I1047">
        <v>160</v>
      </c>
      <c r="J1047">
        <v>1015</v>
      </c>
      <c r="K1047" t="b">
        <f>TrafficData[[#This Row],[disposedChallan]]+TrafficData[[#This Row],[pendingChallan]]=TrafficData[[#This Row],[totalChallan]]</f>
        <v>1</v>
      </c>
      <c r="L1047" t="b">
        <f>TrafficData[[#This Row],[pendingAmount]]+TrafficData[[#This Row],[disposedAmount]]=TrafficData[[#This Row],[totalAmount]]</f>
        <v>1</v>
      </c>
      <c r="M1047" t="b">
        <f>TrafficData[[#This Row],[pendingCourt]]+TrafficData[[#This Row],[disposedCourt]]=TrafficData[[#This Row],[totalCourt]]</f>
        <v>1</v>
      </c>
      <c r="N1047" t="b">
        <f>AND(TrafficData[[#This Row],[disposedChallan]]&lt;=TrafficData[[#This Row],[totalChallan]],TrafficData[[#This Row],[pendingChallan]]&lt;=TrafficData[[#This Row],[totalChallan]])</f>
        <v>1</v>
      </c>
      <c r="O1047" t="b">
        <f>AND(TrafficData[[#This Row],[pendingAmount]]&lt;=TrafficData[[#This Row],[totalAmount]],TrafficData[[#This Row],[disposedAmount]]&lt;=TrafficData[[#This Row],[totalAmount]])</f>
        <v>1</v>
      </c>
      <c r="P1047" t="b">
        <f>AND(TrafficData[[#This Row],[pendingCourt]]&lt;=TrafficData[[#This Row],[totalCourt]],TrafficData[[#This Row],[disposedCourt]]&lt;=TrafficData[[#This Row],[totalCourt]])</f>
        <v>1</v>
      </c>
    </row>
    <row r="1048" spans="1:16">
      <c r="A1048" s="1">
        <v>43051</v>
      </c>
      <c r="B1048">
        <v>1243</v>
      </c>
      <c r="C1048">
        <v>634</v>
      </c>
      <c r="D1048">
        <v>609</v>
      </c>
      <c r="E1048">
        <v>1230100</v>
      </c>
      <c r="F1048">
        <v>2845825</v>
      </c>
      <c r="G1048">
        <v>4075925</v>
      </c>
      <c r="H1048">
        <v>498</v>
      </c>
      <c r="I1048">
        <v>66</v>
      </c>
      <c r="J1048">
        <v>564</v>
      </c>
      <c r="K1048" t="b">
        <f>TrafficData[[#This Row],[disposedChallan]]+TrafficData[[#This Row],[pendingChallan]]=TrafficData[[#This Row],[totalChallan]]</f>
        <v>1</v>
      </c>
      <c r="L1048" t="b">
        <f>TrafficData[[#This Row],[pendingAmount]]+TrafficData[[#This Row],[disposedAmount]]=TrafficData[[#This Row],[totalAmount]]</f>
        <v>1</v>
      </c>
      <c r="M1048" t="b">
        <f>TrafficData[[#This Row],[pendingCourt]]+TrafficData[[#This Row],[disposedCourt]]=TrafficData[[#This Row],[totalCourt]]</f>
        <v>1</v>
      </c>
      <c r="N1048" t="b">
        <f>AND(TrafficData[[#This Row],[disposedChallan]]&lt;=TrafficData[[#This Row],[totalChallan]],TrafficData[[#This Row],[pendingChallan]]&lt;=TrafficData[[#This Row],[totalChallan]])</f>
        <v>1</v>
      </c>
      <c r="O1048" t="b">
        <f>AND(TrafficData[[#This Row],[pendingAmount]]&lt;=TrafficData[[#This Row],[totalAmount]],TrafficData[[#This Row],[disposedAmount]]&lt;=TrafficData[[#This Row],[totalAmount]])</f>
        <v>1</v>
      </c>
      <c r="P1048" t="b">
        <f>AND(TrafficData[[#This Row],[pendingCourt]]&lt;=TrafficData[[#This Row],[totalCourt]],TrafficData[[#This Row],[disposedCourt]]&lt;=TrafficData[[#This Row],[totalCourt]])</f>
        <v>1</v>
      </c>
    </row>
    <row r="1049" spans="1:16">
      <c r="A1049" s="1">
        <v>43052</v>
      </c>
      <c r="B1049">
        <v>2137</v>
      </c>
      <c r="C1049">
        <v>972</v>
      </c>
      <c r="D1049">
        <v>1165</v>
      </c>
      <c r="E1049">
        <v>1963121</v>
      </c>
      <c r="F1049">
        <v>4215243</v>
      </c>
      <c r="G1049">
        <v>6178364</v>
      </c>
      <c r="H1049">
        <v>905</v>
      </c>
      <c r="I1049">
        <v>143</v>
      </c>
      <c r="J1049">
        <v>1048</v>
      </c>
      <c r="K1049" t="b">
        <f>TrafficData[[#This Row],[disposedChallan]]+TrafficData[[#This Row],[pendingChallan]]=TrafficData[[#This Row],[totalChallan]]</f>
        <v>1</v>
      </c>
      <c r="L1049" t="b">
        <f>TrafficData[[#This Row],[pendingAmount]]+TrafficData[[#This Row],[disposedAmount]]=TrafficData[[#This Row],[totalAmount]]</f>
        <v>1</v>
      </c>
      <c r="M1049" t="b">
        <f>TrafficData[[#This Row],[pendingCourt]]+TrafficData[[#This Row],[disposedCourt]]=TrafficData[[#This Row],[totalCourt]]</f>
        <v>1</v>
      </c>
      <c r="N1049" t="b">
        <f>AND(TrafficData[[#This Row],[disposedChallan]]&lt;=TrafficData[[#This Row],[totalChallan]],TrafficData[[#This Row],[pendingChallan]]&lt;=TrafficData[[#This Row],[totalChallan]])</f>
        <v>1</v>
      </c>
      <c r="O1049" t="b">
        <f>AND(TrafficData[[#This Row],[pendingAmount]]&lt;=TrafficData[[#This Row],[totalAmount]],TrafficData[[#This Row],[disposedAmount]]&lt;=TrafficData[[#This Row],[totalAmount]])</f>
        <v>1</v>
      </c>
      <c r="P1049" t="b">
        <f>AND(TrafficData[[#This Row],[pendingCourt]]&lt;=TrafficData[[#This Row],[totalCourt]],TrafficData[[#This Row],[disposedCourt]]&lt;=TrafficData[[#This Row],[totalCourt]])</f>
        <v>1</v>
      </c>
    </row>
    <row r="1050" spans="1:16">
      <c r="A1050" s="1">
        <v>43053</v>
      </c>
      <c r="B1050">
        <v>2446</v>
      </c>
      <c r="C1050">
        <v>1272</v>
      </c>
      <c r="D1050">
        <v>1174</v>
      </c>
      <c r="E1050">
        <v>1530374</v>
      </c>
      <c r="F1050">
        <v>5019739</v>
      </c>
      <c r="G1050">
        <v>6550113</v>
      </c>
      <c r="H1050">
        <v>983</v>
      </c>
      <c r="I1050">
        <v>118</v>
      </c>
      <c r="J1050">
        <v>1101</v>
      </c>
      <c r="K1050" t="b">
        <f>TrafficData[[#This Row],[disposedChallan]]+TrafficData[[#This Row],[pendingChallan]]=TrafficData[[#This Row],[totalChallan]]</f>
        <v>1</v>
      </c>
      <c r="L1050" t="b">
        <f>TrafficData[[#This Row],[pendingAmount]]+TrafficData[[#This Row],[disposedAmount]]=TrafficData[[#This Row],[totalAmount]]</f>
        <v>1</v>
      </c>
      <c r="M1050" t="b">
        <f>TrafficData[[#This Row],[pendingCourt]]+TrafficData[[#This Row],[disposedCourt]]=TrafficData[[#This Row],[totalCourt]]</f>
        <v>1</v>
      </c>
      <c r="N1050" t="b">
        <f>AND(TrafficData[[#This Row],[disposedChallan]]&lt;=TrafficData[[#This Row],[totalChallan]],TrafficData[[#This Row],[pendingChallan]]&lt;=TrafficData[[#This Row],[totalChallan]])</f>
        <v>1</v>
      </c>
      <c r="O1050" t="b">
        <f>AND(TrafficData[[#This Row],[pendingAmount]]&lt;=TrafficData[[#This Row],[totalAmount]],TrafficData[[#This Row],[disposedAmount]]&lt;=TrafficData[[#This Row],[totalAmount]])</f>
        <v>1</v>
      </c>
      <c r="P1050" t="b">
        <f>AND(TrafficData[[#This Row],[pendingCourt]]&lt;=TrafficData[[#This Row],[totalCourt]],TrafficData[[#This Row],[disposedCourt]]&lt;=TrafficData[[#This Row],[totalCourt]])</f>
        <v>1</v>
      </c>
    </row>
    <row r="1051" spans="1:16">
      <c r="A1051" s="1">
        <v>43054</v>
      </c>
      <c r="B1051">
        <v>2339</v>
      </c>
      <c r="C1051">
        <v>1263</v>
      </c>
      <c r="D1051">
        <v>1076</v>
      </c>
      <c r="E1051">
        <v>2234281</v>
      </c>
      <c r="F1051">
        <v>4983986</v>
      </c>
      <c r="G1051">
        <v>7218267</v>
      </c>
      <c r="H1051">
        <v>862</v>
      </c>
      <c r="I1051">
        <v>120</v>
      </c>
      <c r="J1051">
        <v>982</v>
      </c>
      <c r="K1051" t="b">
        <f>TrafficData[[#This Row],[disposedChallan]]+TrafficData[[#This Row],[pendingChallan]]=TrafficData[[#This Row],[totalChallan]]</f>
        <v>1</v>
      </c>
      <c r="L1051" t="b">
        <f>TrafficData[[#This Row],[pendingAmount]]+TrafficData[[#This Row],[disposedAmount]]=TrafficData[[#This Row],[totalAmount]]</f>
        <v>1</v>
      </c>
      <c r="M1051" t="b">
        <f>TrafficData[[#This Row],[pendingCourt]]+TrafficData[[#This Row],[disposedCourt]]=TrafficData[[#This Row],[totalCourt]]</f>
        <v>1</v>
      </c>
      <c r="N1051" t="b">
        <f>AND(TrafficData[[#This Row],[disposedChallan]]&lt;=TrafficData[[#This Row],[totalChallan]],TrafficData[[#This Row],[pendingChallan]]&lt;=TrafficData[[#This Row],[totalChallan]])</f>
        <v>1</v>
      </c>
      <c r="O1051" t="b">
        <f>AND(TrafficData[[#This Row],[pendingAmount]]&lt;=TrafficData[[#This Row],[totalAmount]],TrafficData[[#This Row],[disposedAmount]]&lt;=TrafficData[[#This Row],[totalAmount]])</f>
        <v>1</v>
      </c>
      <c r="P1051" t="b">
        <f>AND(TrafficData[[#This Row],[pendingCourt]]&lt;=TrafficData[[#This Row],[totalCourt]],TrafficData[[#This Row],[disposedCourt]]&lt;=TrafficData[[#This Row],[totalCourt]])</f>
        <v>1</v>
      </c>
    </row>
    <row r="1052" spans="1:16">
      <c r="A1052" s="1">
        <v>43055</v>
      </c>
      <c r="B1052">
        <v>2273</v>
      </c>
      <c r="C1052">
        <v>1181</v>
      </c>
      <c r="D1052">
        <v>1092</v>
      </c>
      <c r="E1052">
        <v>2687204</v>
      </c>
      <c r="F1052">
        <v>4692312</v>
      </c>
      <c r="G1052">
        <v>7379516</v>
      </c>
      <c r="H1052">
        <v>878</v>
      </c>
      <c r="I1052">
        <v>100</v>
      </c>
      <c r="J1052">
        <v>978</v>
      </c>
      <c r="K1052" t="b">
        <f>TrafficData[[#This Row],[disposedChallan]]+TrafficData[[#This Row],[pendingChallan]]=TrafficData[[#This Row],[totalChallan]]</f>
        <v>1</v>
      </c>
      <c r="L1052" t="b">
        <f>TrafficData[[#This Row],[pendingAmount]]+TrafficData[[#This Row],[disposedAmount]]=TrafficData[[#This Row],[totalAmount]]</f>
        <v>1</v>
      </c>
      <c r="M1052" t="b">
        <f>TrafficData[[#This Row],[pendingCourt]]+TrafficData[[#This Row],[disposedCourt]]=TrafficData[[#This Row],[totalCourt]]</f>
        <v>1</v>
      </c>
      <c r="N1052" t="b">
        <f>AND(TrafficData[[#This Row],[disposedChallan]]&lt;=TrafficData[[#This Row],[totalChallan]],TrafficData[[#This Row],[pendingChallan]]&lt;=TrafficData[[#This Row],[totalChallan]])</f>
        <v>1</v>
      </c>
      <c r="O1052" t="b">
        <f>AND(TrafficData[[#This Row],[pendingAmount]]&lt;=TrafficData[[#This Row],[totalAmount]],TrafficData[[#This Row],[disposedAmount]]&lt;=TrafficData[[#This Row],[totalAmount]])</f>
        <v>1</v>
      </c>
      <c r="P1052" t="b">
        <f>AND(TrafficData[[#This Row],[pendingCourt]]&lt;=TrafficData[[#This Row],[totalCourt]],TrafficData[[#This Row],[disposedCourt]]&lt;=TrafficData[[#This Row],[totalCourt]])</f>
        <v>1</v>
      </c>
    </row>
    <row r="1053" spans="1:16">
      <c r="A1053" s="1">
        <v>43056</v>
      </c>
      <c r="B1053">
        <v>2428</v>
      </c>
      <c r="C1053">
        <v>1252</v>
      </c>
      <c r="D1053">
        <v>1176</v>
      </c>
      <c r="E1053">
        <v>2029165</v>
      </c>
      <c r="F1053">
        <v>5269493</v>
      </c>
      <c r="G1053">
        <v>7298658</v>
      </c>
      <c r="H1053">
        <v>928</v>
      </c>
      <c r="I1053">
        <v>183</v>
      </c>
      <c r="J1053">
        <v>1111</v>
      </c>
      <c r="K1053" t="b">
        <f>TrafficData[[#This Row],[disposedChallan]]+TrafficData[[#This Row],[pendingChallan]]=TrafficData[[#This Row],[totalChallan]]</f>
        <v>1</v>
      </c>
      <c r="L1053" t="b">
        <f>TrafficData[[#This Row],[pendingAmount]]+TrafficData[[#This Row],[disposedAmount]]=TrafficData[[#This Row],[totalAmount]]</f>
        <v>1</v>
      </c>
      <c r="M1053" t="b">
        <f>TrafficData[[#This Row],[pendingCourt]]+TrafficData[[#This Row],[disposedCourt]]=TrafficData[[#This Row],[totalCourt]]</f>
        <v>1</v>
      </c>
      <c r="N1053" t="b">
        <f>AND(TrafficData[[#This Row],[disposedChallan]]&lt;=TrafficData[[#This Row],[totalChallan]],TrafficData[[#This Row],[pendingChallan]]&lt;=TrafficData[[#This Row],[totalChallan]])</f>
        <v>1</v>
      </c>
      <c r="O1053" t="b">
        <f>AND(TrafficData[[#This Row],[pendingAmount]]&lt;=TrafficData[[#This Row],[totalAmount]],TrafficData[[#This Row],[disposedAmount]]&lt;=TrafficData[[#This Row],[totalAmount]])</f>
        <v>1</v>
      </c>
      <c r="P1053" t="b">
        <f>AND(TrafficData[[#This Row],[pendingCourt]]&lt;=TrafficData[[#This Row],[totalCourt]],TrafficData[[#This Row],[disposedCourt]]&lt;=TrafficData[[#This Row],[totalCourt]])</f>
        <v>1</v>
      </c>
    </row>
    <row r="1054" spans="1:16">
      <c r="A1054" s="1">
        <v>43057</v>
      </c>
      <c r="B1054">
        <v>1917</v>
      </c>
      <c r="C1054">
        <v>1075</v>
      </c>
      <c r="D1054">
        <v>842</v>
      </c>
      <c r="E1054">
        <v>1875650</v>
      </c>
      <c r="F1054">
        <v>4803395</v>
      </c>
      <c r="G1054">
        <v>6679045</v>
      </c>
      <c r="H1054">
        <v>650</v>
      </c>
      <c r="I1054">
        <v>123</v>
      </c>
      <c r="J1054">
        <v>773</v>
      </c>
      <c r="K1054" t="b">
        <f>TrafficData[[#This Row],[disposedChallan]]+TrafficData[[#This Row],[pendingChallan]]=TrafficData[[#This Row],[totalChallan]]</f>
        <v>1</v>
      </c>
      <c r="L1054" t="b">
        <f>TrafficData[[#This Row],[pendingAmount]]+TrafficData[[#This Row],[disposedAmount]]=TrafficData[[#This Row],[totalAmount]]</f>
        <v>1</v>
      </c>
      <c r="M1054" t="b">
        <f>TrafficData[[#This Row],[pendingCourt]]+TrafficData[[#This Row],[disposedCourt]]=TrafficData[[#This Row],[totalCourt]]</f>
        <v>1</v>
      </c>
      <c r="N1054" t="b">
        <f>AND(TrafficData[[#This Row],[disposedChallan]]&lt;=TrafficData[[#This Row],[totalChallan]],TrafficData[[#This Row],[pendingChallan]]&lt;=TrafficData[[#This Row],[totalChallan]])</f>
        <v>1</v>
      </c>
      <c r="O1054" t="b">
        <f>AND(TrafficData[[#This Row],[pendingAmount]]&lt;=TrafficData[[#This Row],[totalAmount]],TrafficData[[#This Row],[disposedAmount]]&lt;=TrafficData[[#This Row],[totalAmount]])</f>
        <v>1</v>
      </c>
      <c r="P1054" t="b">
        <f>AND(TrafficData[[#This Row],[pendingCourt]]&lt;=TrafficData[[#This Row],[totalCourt]],TrafficData[[#This Row],[disposedCourt]]&lt;=TrafficData[[#This Row],[totalCourt]])</f>
        <v>1</v>
      </c>
    </row>
    <row r="1055" spans="1:16">
      <c r="A1055" s="1">
        <v>43058</v>
      </c>
      <c r="B1055">
        <v>1204</v>
      </c>
      <c r="C1055">
        <v>594</v>
      </c>
      <c r="D1055">
        <v>610</v>
      </c>
      <c r="E1055">
        <v>1298760</v>
      </c>
      <c r="F1055">
        <v>2928322</v>
      </c>
      <c r="G1055">
        <v>4227082</v>
      </c>
      <c r="H1055">
        <v>441</v>
      </c>
      <c r="I1055">
        <v>62</v>
      </c>
      <c r="J1055">
        <v>503</v>
      </c>
      <c r="K1055" t="b">
        <f>TrafficData[[#This Row],[disposedChallan]]+TrafficData[[#This Row],[pendingChallan]]=TrafficData[[#This Row],[totalChallan]]</f>
        <v>1</v>
      </c>
      <c r="L1055" t="b">
        <f>TrafficData[[#This Row],[pendingAmount]]+TrafficData[[#This Row],[disposedAmount]]=TrafficData[[#This Row],[totalAmount]]</f>
        <v>1</v>
      </c>
      <c r="M1055" t="b">
        <f>TrafficData[[#This Row],[pendingCourt]]+TrafficData[[#This Row],[disposedCourt]]=TrafficData[[#This Row],[totalCourt]]</f>
        <v>1</v>
      </c>
      <c r="N1055" t="b">
        <f>AND(TrafficData[[#This Row],[disposedChallan]]&lt;=TrafficData[[#This Row],[totalChallan]],TrafficData[[#This Row],[pendingChallan]]&lt;=TrafficData[[#This Row],[totalChallan]])</f>
        <v>1</v>
      </c>
      <c r="O1055" t="b">
        <f>AND(TrafficData[[#This Row],[pendingAmount]]&lt;=TrafficData[[#This Row],[totalAmount]],TrafficData[[#This Row],[disposedAmount]]&lt;=TrafficData[[#This Row],[totalAmount]])</f>
        <v>1</v>
      </c>
      <c r="P1055" t="b">
        <f>AND(TrafficData[[#This Row],[pendingCourt]]&lt;=TrafficData[[#This Row],[totalCourt]],TrafficData[[#This Row],[disposedCourt]]&lt;=TrafficData[[#This Row],[totalCourt]])</f>
        <v>1</v>
      </c>
    </row>
    <row r="1056" spans="1:16">
      <c r="A1056" s="1">
        <v>43059</v>
      </c>
      <c r="B1056">
        <v>1569</v>
      </c>
      <c r="C1056">
        <v>718</v>
      </c>
      <c r="D1056">
        <v>851</v>
      </c>
      <c r="E1056">
        <v>1699800</v>
      </c>
      <c r="F1056">
        <v>3165302</v>
      </c>
      <c r="G1056">
        <v>4865102</v>
      </c>
      <c r="H1056">
        <v>630</v>
      </c>
      <c r="I1056">
        <v>65</v>
      </c>
      <c r="J1056">
        <v>695</v>
      </c>
      <c r="K1056" t="b">
        <f>TrafficData[[#This Row],[disposedChallan]]+TrafficData[[#This Row],[pendingChallan]]=TrafficData[[#This Row],[totalChallan]]</f>
        <v>1</v>
      </c>
      <c r="L1056" t="b">
        <f>TrafficData[[#This Row],[pendingAmount]]+TrafficData[[#This Row],[disposedAmount]]=TrafficData[[#This Row],[totalAmount]]</f>
        <v>1</v>
      </c>
      <c r="M1056" t="b">
        <f>TrafficData[[#This Row],[pendingCourt]]+TrafficData[[#This Row],[disposedCourt]]=TrafficData[[#This Row],[totalCourt]]</f>
        <v>1</v>
      </c>
      <c r="N1056" t="b">
        <f>AND(TrafficData[[#This Row],[disposedChallan]]&lt;=TrafficData[[#This Row],[totalChallan]],TrafficData[[#This Row],[pendingChallan]]&lt;=TrafficData[[#This Row],[totalChallan]])</f>
        <v>1</v>
      </c>
      <c r="O1056" t="b">
        <f>AND(TrafficData[[#This Row],[pendingAmount]]&lt;=TrafficData[[#This Row],[totalAmount]],TrafficData[[#This Row],[disposedAmount]]&lt;=TrafficData[[#This Row],[totalAmount]])</f>
        <v>1</v>
      </c>
      <c r="P1056" t="b">
        <f>AND(TrafficData[[#This Row],[pendingCourt]]&lt;=TrafficData[[#This Row],[totalCourt]],TrafficData[[#This Row],[disposedCourt]]&lt;=TrafficData[[#This Row],[totalCourt]])</f>
        <v>1</v>
      </c>
    </row>
    <row r="1057" spans="1:16">
      <c r="A1057" s="1">
        <v>43060</v>
      </c>
      <c r="B1057">
        <v>2224</v>
      </c>
      <c r="C1057">
        <v>886</v>
      </c>
      <c r="D1057">
        <v>1338</v>
      </c>
      <c r="E1057">
        <v>2547200</v>
      </c>
      <c r="F1057">
        <v>3153876</v>
      </c>
      <c r="G1057">
        <v>5701076</v>
      </c>
      <c r="H1057">
        <v>892</v>
      </c>
      <c r="I1057">
        <v>111</v>
      </c>
      <c r="J1057">
        <v>1003</v>
      </c>
      <c r="K1057" t="b">
        <f>TrafficData[[#This Row],[disposedChallan]]+TrafficData[[#This Row],[pendingChallan]]=TrafficData[[#This Row],[totalChallan]]</f>
        <v>1</v>
      </c>
      <c r="L1057" t="b">
        <f>TrafficData[[#This Row],[pendingAmount]]+TrafficData[[#This Row],[disposedAmount]]=TrafficData[[#This Row],[totalAmount]]</f>
        <v>1</v>
      </c>
      <c r="M1057" t="b">
        <f>TrafficData[[#This Row],[pendingCourt]]+TrafficData[[#This Row],[disposedCourt]]=TrafficData[[#This Row],[totalCourt]]</f>
        <v>1</v>
      </c>
      <c r="N1057" t="b">
        <f>AND(TrafficData[[#This Row],[disposedChallan]]&lt;=TrafficData[[#This Row],[totalChallan]],TrafficData[[#This Row],[pendingChallan]]&lt;=TrafficData[[#This Row],[totalChallan]])</f>
        <v>1</v>
      </c>
      <c r="O1057" t="b">
        <f>AND(TrafficData[[#This Row],[pendingAmount]]&lt;=TrafficData[[#This Row],[totalAmount]],TrafficData[[#This Row],[disposedAmount]]&lt;=TrafficData[[#This Row],[totalAmount]])</f>
        <v>1</v>
      </c>
      <c r="P1057" t="b">
        <f>AND(TrafficData[[#This Row],[pendingCourt]]&lt;=TrafficData[[#This Row],[totalCourt]],TrafficData[[#This Row],[disposedCourt]]&lt;=TrafficData[[#This Row],[totalCourt]])</f>
        <v>1</v>
      </c>
    </row>
    <row r="1058" spans="1:16">
      <c r="A1058" s="1">
        <v>43061</v>
      </c>
      <c r="B1058">
        <v>2936</v>
      </c>
      <c r="C1058">
        <v>1673</v>
      </c>
      <c r="D1058">
        <v>1263</v>
      </c>
      <c r="E1058">
        <v>2355109</v>
      </c>
      <c r="F1058">
        <v>2833330</v>
      </c>
      <c r="G1058">
        <v>5188439</v>
      </c>
      <c r="H1058">
        <v>1079</v>
      </c>
      <c r="I1058">
        <v>150</v>
      </c>
      <c r="J1058">
        <v>1229</v>
      </c>
      <c r="K1058" t="b">
        <f>TrafficData[[#This Row],[disposedChallan]]+TrafficData[[#This Row],[pendingChallan]]=TrafficData[[#This Row],[totalChallan]]</f>
        <v>1</v>
      </c>
      <c r="L1058" t="b">
        <f>TrafficData[[#This Row],[pendingAmount]]+TrafficData[[#This Row],[disposedAmount]]=TrafficData[[#This Row],[totalAmount]]</f>
        <v>1</v>
      </c>
      <c r="M1058" t="b">
        <f>TrafficData[[#This Row],[pendingCourt]]+TrafficData[[#This Row],[disposedCourt]]=TrafficData[[#This Row],[totalCourt]]</f>
        <v>1</v>
      </c>
      <c r="N1058" t="b">
        <f>AND(TrafficData[[#This Row],[disposedChallan]]&lt;=TrafficData[[#This Row],[totalChallan]],TrafficData[[#This Row],[pendingChallan]]&lt;=TrafficData[[#This Row],[totalChallan]])</f>
        <v>1</v>
      </c>
      <c r="O1058" t="b">
        <f>AND(TrafficData[[#This Row],[pendingAmount]]&lt;=TrafficData[[#This Row],[totalAmount]],TrafficData[[#This Row],[disposedAmount]]&lt;=TrafficData[[#This Row],[totalAmount]])</f>
        <v>1</v>
      </c>
      <c r="P1058" t="b">
        <f>AND(TrafficData[[#This Row],[pendingCourt]]&lt;=TrafficData[[#This Row],[totalCourt]],TrafficData[[#This Row],[disposedCourt]]&lt;=TrafficData[[#This Row],[totalCourt]])</f>
        <v>1</v>
      </c>
    </row>
    <row r="1059" spans="1:16">
      <c r="A1059" s="1">
        <v>43062</v>
      </c>
      <c r="B1059">
        <v>1716</v>
      </c>
      <c r="C1059">
        <v>836</v>
      </c>
      <c r="D1059">
        <v>880</v>
      </c>
      <c r="E1059">
        <v>2094053</v>
      </c>
      <c r="F1059">
        <v>2814525</v>
      </c>
      <c r="G1059">
        <v>4908578</v>
      </c>
      <c r="H1059">
        <v>630</v>
      </c>
      <c r="I1059">
        <v>88</v>
      </c>
      <c r="J1059">
        <v>718</v>
      </c>
      <c r="K1059" t="b">
        <f>TrafficData[[#This Row],[disposedChallan]]+TrafficData[[#This Row],[pendingChallan]]=TrafficData[[#This Row],[totalChallan]]</f>
        <v>1</v>
      </c>
      <c r="L1059" t="b">
        <f>TrafficData[[#This Row],[pendingAmount]]+TrafficData[[#This Row],[disposedAmount]]=TrafficData[[#This Row],[totalAmount]]</f>
        <v>1</v>
      </c>
      <c r="M1059" t="b">
        <f>TrafficData[[#This Row],[pendingCourt]]+TrafficData[[#This Row],[disposedCourt]]=TrafficData[[#This Row],[totalCourt]]</f>
        <v>1</v>
      </c>
      <c r="N1059" t="b">
        <f>AND(TrafficData[[#This Row],[disposedChallan]]&lt;=TrafficData[[#This Row],[totalChallan]],TrafficData[[#This Row],[pendingChallan]]&lt;=TrafficData[[#This Row],[totalChallan]])</f>
        <v>1</v>
      </c>
      <c r="O1059" t="b">
        <f>AND(TrafficData[[#This Row],[pendingAmount]]&lt;=TrafficData[[#This Row],[totalAmount]],TrafficData[[#This Row],[disposedAmount]]&lt;=TrafficData[[#This Row],[totalAmount]])</f>
        <v>1</v>
      </c>
      <c r="P1059" t="b">
        <f>AND(TrafficData[[#This Row],[pendingCourt]]&lt;=TrafficData[[#This Row],[totalCourt]],TrafficData[[#This Row],[disposedCourt]]&lt;=TrafficData[[#This Row],[totalCourt]])</f>
        <v>1</v>
      </c>
    </row>
    <row r="1060" spans="1:16">
      <c r="A1060" s="1">
        <v>43063</v>
      </c>
      <c r="B1060">
        <v>1550</v>
      </c>
      <c r="C1060">
        <v>808</v>
      </c>
      <c r="D1060">
        <v>742</v>
      </c>
      <c r="E1060">
        <v>1523400</v>
      </c>
      <c r="F1060">
        <v>3428229</v>
      </c>
      <c r="G1060">
        <v>4951629</v>
      </c>
      <c r="H1060">
        <v>588</v>
      </c>
      <c r="I1060">
        <v>72</v>
      </c>
      <c r="J1060">
        <v>660</v>
      </c>
      <c r="K1060" t="b">
        <f>TrafficData[[#This Row],[disposedChallan]]+TrafficData[[#This Row],[pendingChallan]]=TrafficData[[#This Row],[totalChallan]]</f>
        <v>1</v>
      </c>
      <c r="L1060" t="b">
        <f>TrafficData[[#This Row],[pendingAmount]]+TrafficData[[#This Row],[disposedAmount]]=TrafficData[[#This Row],[totalAmount]]</f>
        <v>1</v>
      </c>
      <c r="M1060" t="b">
        <f>TrafficData[[#This Row],[pendingCourt]]+TrafficData[[#This Row],[disposedCourt]]=TrafficData[[#This Row],[totalCourt]]</f>
        <v>1</v>
      </c>
      <c r="N1060" t="b">
        <f>AND(TrafficData[[#This Row],[disposedChallan]]&lt;=TrafficData[[#This Row],[totalChallan]],TrafficData[[#This Row],[pendingChallan]]&lt;=TrafficData[[#This Row],[totalChallan]])</f>
        <v>1</v>
      </c>
      <c r="O1060" t="b">
        <f>AND(TrafficData[[#This Row],[pendingAmount]]&lt;=TrafficData[[#This Row],[totalAmount]],TrafficData[[#This Row],[disposedAmount]]&lt;=TrafficData[[#This Row],[totalAmount]])</f>
        <v>1</v>
      </c>
      <c r="P1060" t="b">
        <f>AND(TrafficData[[#This Row],[pendingCourt]]&lt;=TrafficData[[#This Row],[totalCourt]],TrafficData[[#This Row],[disposedCourt]]&lt;=TrafficData[[#This Row],[totalCourt]])</f>
        <v>1</v>
      </c>
    </row>
    <row r="1061" spans="1:16">
      <c r="A1061" s="1">
        <v>43064</v>
      </c>
      <c r="B1061">
        <v>1576</v>
      </c>
      <c r="C1061">
        <v>797</v>
      </c>
      <c r="D1061">
        <v>779</v>
      </c>
      <c r="E1061">
        <v>1356575</v>
      </c>
      <c r="F1061">
        <v>3360790</v>
      </c>
      <c r="G1061">
        <v>4717365</v>
      </c>
      <c r="H1061">
        <v>646</v>
      </c>
      <c r="I1061">
        <v>97</v>
      </c>
      <c r="J1061">
        <v>743</v>
      </c>
      <c r="K1061" t="b">
        <f>TrafficData[[#This Row],[disposedChallan]]+TrafficData[[#This Row],[pendingChallan]]=TrafficData[[#This Row],[totalChallan]]</f>
        <v>1</v>
      </c>
      <c r="L1061" t="b">
        <f>TrafficData[[#This Row],[pendingAmount]]+TrafficData[[#This Row],[disposedAmount]]=TrafficData[[#This Row],[totalAmount]]</f>
        <v>1</v>
      </c>
      <c r="M1061" t="b">
        <f>TrafficData[[#This Row],[pendingCourt]]+TrafficData[[#This Row],[disposedCourt]]=TrafficData[[#This Row],[totalCourt]]</f>
        <v>1</v>
      </c>
      <c r="N1061" t="b">
        <f>AND(TrafficData[[#This Row],[disposedChallan]]&lt;=TrafficData[[#This Row],[totalChallan]],TrafficData[[#This Row],[pendingChallan]]&lt;=TrafficData[[#This Row],[totalChallan]])</f>
        <v>1</v>
      </c>
      <c r="O1061" t="b">
        <f>AND(TrafficData[[#This Row],[pendingAmount]]&lt;=TrafficData[[#This Row],[totalAmount]],TrafficData[[#This Row],[disposedAmount]]&lt;=TrafficData[[#This Row],[totalAmount]])</f>
        <v>1</v>
      </c>
      <c r="P1061" t="b">
        <f>AND(TrafficData[[#This Row],[pendingCourt]]&lt;=TrafficData[[#This Row],[totalCourt]],TrafficData[[#This Row],[disposedCourt]]&lt;=TrafficData[[#This Row],[totalCourt]])</f>
        <v>1</v>
      </c>
    </row>
    <row r="1062" spans="1:16">
      <c r="A1062" s="1">
        <v>43065</v>
      </c>
      <c r="B1062">
        <v>1306</v>
      </c>
      <c r="C1062">
        <v>573</v>
      </c>
      <c r="D1062">
        <v>733</v>
      </c>
      <c r="E1062">
        <v>1127800</v>
      </c>
      <c r="F1062">
        <v>3088505</v>
      </c>
      <c r="G1062">
        <v>4216305</v>
      </c>
      <c r="H1062">
        <v>623</v>
      </c>
      <c r="I1062">
        <v>64</v>
      </c>
      <c r="J1062">
        <v>687</v>
      </c>
      <c r="K1062" t="b">
        <f>TrafficData[[#This Row],[disposedChallan]]+TrafficData[[#This Row],[pendingChallan]]=TrafficData[[#This Row],[totalChallan]]</f>
        <v>1</v>
      </c>
      <c r="L1062" t="b">
        <f>TrafficData[[#This Row],[pendingAmount]]+TrafficData[[#This Row],[disposedAmount]]=TrafficData[[#This Row],[totalAmount]]</f>
        <v>1</v>
      </c>
      <c r="M1062" t="b">
        <f>TrafficData[[#This Row],[pendingCourt]]+TrafficData[[#This Row],[disposedCourt]]=TrafficData[[#This Row],[totalCourt]]</f>
        <v>1</v>
      </c>
      <c r="N1062" t="b">
        <f>AND(TrafficData[[#This Row],[disposedChallan]]&lt;=TrafficData[[#This Row],[totalChallan]],TrafficData[[#This Row],[pendingChallan]]&lt;=TrafficData[[#This Row],[totalChallan]])</f>
        <v>1</v>
      </c>
      <c r="O1062" t="b">
        <f>AND(TrafficData[[#This Row],[pendingAmount]]&lt;=TrafficData[[#This Row],[totalAmount]],TrafficData[[#This Row],[disposedAmount]]&lt;=TrafficData[[#This Row],[totalAmount]])</f>
        <v>1</v>
      </c>
      <c r="P1062" t="b">
        <f>AND(TrafficData[[#This Row],[pendingCourt]]&lt;=TrafficData[[#This Row],[totalCourt]],TrafficData[[#This Row],[disposedCourt]]&lt;=TrafficData[[#This Row],[totalCourt]])</f>
        <v>1</v>
      </c>
    </row>
    <row r="1063" spans="1:16">
      <c r="A1063" s="1">
        <v>43066</v>
      </c>
      <c r="B1063">
        <v>1865</v>
      </c>
      <c r="C1063">
        <v>949</v>
      </c>
      <c r="D1063">
        <v>916</v>
      </c>
      <c r="E1063">
        <v>1269650</v>
      </c>
      <c r="F1063">
        <v>3500796</v>
      </c>
      <c r="G1063">
        <v>4770446</v>
      </c>
      <c r="H1063">
        <v>770</v>
      </c>
      <c r="I1063">
        <v>115</v>
      </c>
      <c r="J1063">
        <v>885</v>
      </c>
      <c r="K1063" t="b">
        <f>TrafficData[[#This Row],[disposedChallan]]+TrafficData[[#This Row],[pendingChallan]]=TrafficData[[#This Row],[totalChallan]]</f>
        <v>1</v>
      </c>
      <c r="L1063" t="b">
        <f>TrafficData[[#This Row],[pendingAmount]]+TrafficData[[#This Row],[disposedAmount]]=TrafficData[[#This Row],[totalAmount]]</f>
        <v>1</v>
      </c>
      <c r="M1063" t="b">
        <f>TrafficData[[#This Row],[pendingCourt]]+TrafficData[[#This Row],[disposedCourt]]=TrafficData[[#This Row],[totalCourt]]</f>
        <v>1</v>
      </c>
      <c r="N1063" t="b">
        <f>AND(TrafficData[[#This Row],[disposedChallan]]&lt;=TrafficData[[#This Row],[totalChallan]],TrafficData[[#This Row],[pendingChallan]]&lt;=TrafficData[[#This Row],[totalChallan]])</f>
        <v>1</v>
      </c>
      <c r="O1063" t="b">
        <f>AND(TrafficData[[#This Row],[pendingAmount]]&lt;=TrafficData[[#This Row],[totalAmount]],TrafficData[[#This Row],[disposedAmount]]&lt;=TrafficData[[#This Row],[totalAmount]])</f>
        <v>1</v>
      </c>
      <c r="P1063" t="b">
        <f>AND(TrafficData[[#This Row],[pendingCourt]]&lt;=TrafficData[[#This Row],[totalCourt]],TrafficData[[#This Row],[disposedCourt]]&lt;=TrafficData[[#This Row],[totalCourt]])</f>
        <v>1</v>
      </c>
    </row>
    <row r="1064" spans="1:16">
      <c r="A1064" s="1">
        <v>43067</v>
      </c>
      <c r="B1064">
        <v>2704</v>
      </c>
      <c r="C1064">
        <v>1437</v>
      </c>
      <c r="D1064">
        <v>1267</v>
      </c>
      <c r="E1064">
        <v>2401550</v>
      </c>
      <c r="F1064">
        <v>5155297</v>
      </c>
      <c r="G1064">
        <v>7556847</v>
      </c>
      <c r="H1064">
        <v>971</v>
      </c>
      <c r="I1064">
        <v>160</v>
      </c>
      <c r="J1064">
        <v>1131</v>
      </c>
      <c r="K1064" t="b">
        <f>TrafficData[[#This Row],[disposedChallan]]+TrafficData[[#This Row],[pendingChallan]]=TrafficData[[#This Row],[totalChallan]]</f>
        <v>1</v>
      </c>
      <c r="L1064" t="b">
        <f>TrafficData[[#This Row],[pendingAmount]]+TrafficData[[#This Row],[disposedAmount]]=TrafficData[[#This Row],[totalAmount]]</f>
        <v>1</v>
      </c>
      <c r="M1064" t="b">
        <f>TrafficData[[#This Row],[pendingCourt]]+TrafficData[[#This Row],[disposedCourt]]=TrafficData[[#This Row],[totalCourt]]</f>
        <v>1</v>
      </c>
      <c r="N1064" t="b">
        <f>AND(TrafficData[[#This Row],[disposedChallan]]&lt;=TrafficData[[#This Row],[totalChallan]],TrafficData[[#This Row],[pendingChallan]]&lt;=TrafficData[[#This Row],[totalChallan]])</f>
        <v>1</v>
      </c>
      <c r="O1064" t="b">
        <f>AND(TrafficData[[#This Row],[pendingAmount]]&lt;=TrafficData[[#This Row],[totalAmount]],TrafficData[[#This Row],[disposedAmount]]&lt;=TrafficData[[#This Row],[totalAmount]])</f>
        <v>1</v>
      </c>
      <c r="P1064" t="b">
        <f>AND(TrafficData[[#This Row],[pendingCourt]]&lt;=TrafficData[[#This Row],[totalCourt]],TrafficData[[#This Row],[disposedCourt]]&lt;=TrafficData[[#This Row],[totalCourt]])</f>
        <v>1</v>
      </c>
    </row>
    <row r="1065" spans="1:16">
      <c r="A1065" s="1">
        <v>43068</v>
      </c>
      <c r="B1065">
        <v>5672</v>
      </c>
      <c r="C1065">
        <v>4021</v>
      </c>
      <c r="D1065">
        <v>1651</v>
      </c>
      <c r="E1065">
        <v>3630200</v>
      </c>
      <c r="F1065">
        <v>4056489</v>
      </c>
      <c r="G1065">
        <v>7686689</v>
      </c>
      <c r="H1065">
        <v>1390</v>
      </c>
      <c r="I1065">
        <v>498</v>
      </c>
      <c r="J1065">
        <v>1888</v>
      </c>
      <c r="K1065" t="b">
        <f>TrafficData[[#This Row],[disposedChallan]]+TrafficData[[#This Row],[pendingChallan]]=TrafficData[[#This Row],[totalChallan]]</f>
        <v>1</v>
      </c>
      <c r="L1065" t="b">
        <f>TrafficData[[#This Row],[pendingAmount]]+TrafficData[[#This Row],[disposedAmount]]=TrafficData[[#This Row],[totalAmount]]</f>
        <v>1</v>
      </c>
      <c r="M1065" t="b">
        <f>TrafficData[[#This Row],[pendingCourt]]+TrafficData[[#This Row],[disposedCourt]]=TrafficData[[#This Row],[totalCourt]]</f>
        <v>1</v>
      </c>
      <c r="N1065" t="b">
        <f>AND(TrafficData[[#This Row],[disposedChallan]]&lt;=TrafficData[[#This Row],[totalChallan]],TrafficData[[#This Row],[pendingChallan]]&lt;=TrafficData[[#This Row],[totalChallan]])</f>
        <v>1</v>
      </c>
      <c r="O1065" t="b">
        <f>AND(TrafficData[[#This Row],[pendingAmount]]&lt;=TrafficData[[#This Row],[totalAmount]],TrafficData[[#This Row],[disposedAmount]]&lt;=TrafficData[[#This Row],[totalAmount]])</f>
        <v>1</v>
      </c>
      <c r="P1065" t="b">
        <f>AND(TrafficData[[#This Row],[pendingCourt]]&lt;=TrafficData[[#This Row],[totalCourt]],TrafficData[[#This Row],[disposedCourt]]&lt;=TrafficData[[#This Row],[totalCourt]])</f>
        <v>1</v>
      </c>
    </row>
    <row r="1066" spans="1:16">
      <c r="A1066" s="1">
        <v>43069</v>
      </c>
      <c r="B1066">
        <v>2165</v>
      </c>
      <c r="C1066">
        <v>1288</v>
      </c>
      <c r="D1066">
        <v>877</v>
      </c>
      <c r="E1066">
        <v>2100114</v>
      </c>
      <c r="F1066">
        <v>3185978</v>
      </c>
      <c r="G1066">
        <v>5286092</v>
      </c>
      <c r="H1066">
        <v>717</v>
      </c>
      <c r="I1066">
        <v>140</v>
      </c>
      <c r="J1066">
        <v>857</v>
      </c>
      <c r="K1066" t="b">
        <f>TrafficData[[#This Row],[disposedChallan]]+TrafficData[[#This Row],[pendingChallan]]=TrafficData[[#This Row],[totalChallan]]</f>
        <v>1</v>
      </c>
      <c r="L1066" t="b">
        <f>TrafficData[[#This Row],[pendingAmount]]+TrafficData[[#This Row],[disposedAmount]]=TrafficData[[#This Row],[totalAmount]]</f>
        <v>1</v>
      </c>
      <c r="M1066" t="b">
        <f>TrafficData[[#This Row],[pendingCourt]]+TrafficData[[#This Row],[disposedCourt]]=TrafficData[[#This Row],[totalCourt]]</f>
        <v>1</v>
      </c>
      <c r="N1066" t="b">
        <f>AND(TrafficData[[#This Row],[disposedChallan]]&lt;=TrafficData[[#This Row],[totalChallan]],TrafficData[[#This Row],[pendingChallan]]&lt;=TrafficData[[#This Row],[totalChallan]])</f>
        <v>1</v>
      </c>
      <c r="O1066" t="b">
        <f>AND(TrafficData[[#This Row],[pendingAmount]]&lt;=TrafficData[[#This Row],[totalAmount]],TrafficData[[#This Row],[disposedAmount]]&lt;=TrafficData[[#This Row],[totalAmount]])</f>
        <v>1</v>
      </c>
      <c r="P1066" t="b">
        <f>AND(TrafficData[[#This Row],[pendingCourt]]&lt;=TrafficData[[#This Row],[totalCourt]],TrafficData[[#This Row],[disposedCourt]]&lt;=TrafficData[[#This Row],[totalCourt]])</f>
        <v>1</v>
      </c>
    </row>
    <row r="1067" spans="1:16">
      <c r="A1067" s="1">
        <v>43070</v>
      </c>
      <c r="B1067">
        <v>1749</v>
      </c>
      <c r="C1067">
        <v>906</v>
      </c>
      <c r="D1067">
        <v>843</v>
      </c>
      <c r="E1067">
        <v>2068350</v>
      </c>
      <c r="F1067">
        <v>4436877</v>
      </c>
      <c r="G1067">
        <v>6505227</v>
      </c>
      <c r="H1067">
        <v>690</v>
      </c>
      <c r="I1067">
        <v>137</v>
      </c>
      <c r="J1067">
        <v>827</v>
      </c>
      <c r="K1067" t="b">
        <f>TrafficData[[#This Row],[disposedChallan]]+TrafficData[[#This Row],[pendingChallan]]=TrafficData[[#This Row],[totalChallan]]</f>
        <v>1</v>
      </c>
      <c r="L1067" t="b">
        <f>TrafficData[[#This Row],[pendingAmount]]+TrafficData[[#This Row],[disposedAmount]]=TrafficData[[#This Row],[totalAmount]]</f>
        <v>1</v>
      </c>
      <c r="M1067" t="b">
        <f>TrafficData[[#This Row],[pendingCourt]]+TrafficData[[#This Row],[disposedCourt]]=TrafficData[[#This Row],[totalCourt]]</f>
        <v>1</v>
      </c>
      <c r="N1067" t="b">
        <f>AND(TrafficData[[#This Row],[disposedChallan]]&lt;=TrafficData[[#This Row],[totalChallan]],TrafficData[[#This Row],[pendingChallan]]&lt;=TrafficData[[#This Row],[totalChallan]])</f>
        <v>1</v>
      </c>
      <c r="O1067" t="b">
        <f>AND(TrafficData[[#This Row],[pendingAmount]]&lt;=TrafficData[[#This Row],[totalAmount]],TrafficData[[#This Row],[disposedAmount]]&lt;=TrafficData[[#This Row],[totalAmount]])</f>
        <v>1</v>
      </c>
      <c r="P1067" t="b">
        <f>AND(TrafficData[[#This Row],[pendingCourt]]&lt;=TrafficData[[#This Row],[totalCourt]],TrafficData[[#This Row],[disposedCourt]]&lt;=TrafficData[[#This Row],[totalCourt]])</f>
        <v>1</v>
      </c>
    </row>
    <row r="1068" spans="1:16">
      <c r="A1068" s="1">
        <v>43071</v>
      </c>
      <c r="B1068">
        <v>1460</v>
      </c>
      <c r="C1068">
        <v>740</v>
      </c>
      <c r="D1068">
        <v>720</v>
      </c>
      <c r="E1068">
        <v>1160475</v>
      </c>
      <c r="F1068">
        <v>3530550</v>
      </c>
      <c r="G1068">
        <v>4691025</v>
      </c>
      <c r="H1068">
        <v>631</v>
      </c>
      <c r="I1068">
        <v>64</v>
      </c>
      <c r="J1068">
        <v>695</v>
      </c>
      <c r="K1068" t="b">
        <f>TrafficData[[#This Row],[disposedChallan]]+TrafficData[[#This Row],[pendingChallan]]=TrafficData[[#This Row],[totalChallan]]</f>
        <v>1</v>
      </c>
      <c r="L1068" t="b">
        <f>TrafficData[[#This Row],[pendingAmount]]+TrafficData[[#This Row],[disposedAmount]]=TrafficData[[#This Row],[totalAmount]]</f>
        <v>1</v>
      </c>
      <c r="M1068" t="b">
        <f>TrafficData[[#This Row],[pendingCourt]]+TrafficData[[#This Row],[disposedCourt]]=TrafficData[[#This Row],[totalCourt]]</f>
        <v>1</v>
      </c>
      <c r="N1068" t="b">
        <f>AND(TrafficData[[#This Row],[disposedChallan]]&lt;=TrafficData[[#This Row],[totalChallan]],TrafficData[[#This Row],[pendingChallan]]&lt;=TrafficData[[#This Row],[totalChallan]])</f>
        <v>1</v>
      </c>
      <c r="O1068" t="b">
        <f>AND(TrafficData[[#This Row],[pendingAmount]]&lt;=TrafficData[[#This Row],[totalAmount]],TrafficData[[#This Row],[disposedAmount]]&lt;=TrafficData[[#This Row],[totalAmount]])</f>
        <v>1</v>
      </c>
      <c r="P1068" t="b">
        <f>AND(TrafficData[[#This Row],[pendingCourt]]&lt;=TrafficData[[#This Row],[totalCourt]],TrafficData[[#This Row],[disposedCourt]]&lt;=TrafficData[[#This Row],[totalCourt]])</f>
        <v>1</v>
      </c>
    </row>
    <row r="1069" spans="1:16">
      <c r="A1069" s="1">
        <v>43072</v>
      </c>
      <c r="B1069">
        <v>1088</v>
      </c>
      <c r="C1069">
        <v>566</v>
      </c>
      <c r="D1069">
        <v>522</v>
      </c>
      <c r="E1069">
        <v>793950</v>
      </c>
      <c r="F1069">
        <v>1849280</v>
      </c>
      <c r="G1069">
        <v>2643230</v>
      </c>
      <c r="H1069">
        <v>409</v>
      </c>
      <c r="I1069">
        <v>38</v>
      </c>
      <c r="J1069">
        <v>447</v>
      </c>
      <c r="K1069" t="b">
        <f>TrafficData[[#This Row],[disposedChallan]]+TrafficData[[#This Row],[pendingChallan]]=TrafficData[[#This Row],[totalChallan]]</f>
        <v>1</v>
      </c>
      <c r="L1069" t="b">
        <f>TrafficData[[#This Row],[pendingAmount]]+TrafficData[[#This Row],[disposedAmount]]=TrafficData[[#This Row],[totalAmount]]</f>
        <v>1</v>
      </c>
      <c r="M1069" t="b">
        <f>TrafficData[[#This Row],[pendingCourt]]+TrafficData[[#This Row],[disposedCourt]]=TrafficData[[#This Row],[totalCourt]]</f>
        <v>1</v>
      </c>
      <c r="N1069" t="b">
        <f>AND(TrafficData[[#This Row],[disposedChallan]]&lt;=TrafficData[[#This Row],[totalChallan]],TrafficData[[#This Row],[pendingChallan]]&lt;=TrafficData[[#This Row],[totalChallan]])</f>
        <v>1</v>
      </c>
      <c r="O1069" t="b">
        <f>AND(TrafficData[[#This Row],[pendingAmount]]&lt;=TrafficData[[#This Row],[totalAmount]],TrafficData[[#This Row],[disposedAmount]]&lt;=TrafficData[[#This Row],[totalAmount]])</f>
        <v>1</v>
      </c>
      <c r="P1069" t="b">
        <f>AND(TrafficData[[#This Row],[pendingCourt]]&lt;=TrafficData[[#This Row],[totalCourt]],TrafficData[[#This Row],[disposedCourt]]&lt;=TrafficData[[#This Row],[totalCourt]])</f>
        <v>1</v>
      </c>
    </row>
    <row r="1070" spans="1:16">
      <c r="A1070" s="1">
        <v>43073</v>
      </c>
      <c r="B1070">
        <v>1598</v>
      </c>
      <c r="C1070">
        <v>971</v>
      </c>
      <c r="D1070">
        <v>627</v>
      </c>
      <c r="E1070">
        <v>1337044</v>
      </c>
      <c r="F1070">
        <v>4003490</v>
      </c>
      <c r="G1070">
        <v>5340534</v>
      </c>
      <c r="H1070">
        <v>522</v>
      </c>
      <c r="I1070">
        <v>101</v>
      </c>
      <c r="J1070">
        <v>623</v>
      </c>
      <c r="K1070" t="b">
        <f>TrafficData[[#This Row],[disposedChallan]]+TrafficData[[#This Row],[pendingChallan]]=TrafficData[[#This Row],[totalChallan]]</f>
        <v>1</v>
      </c>
      <c r="L1070" t="b">
        <f>TrafficData[[#This Row],[pendingAmount]]+TrafficData[[#This Row],[disposedAmount]]=TrafficData[[#This Row],[totalAmount]]</f>
        <v>1</v>
      </c>
      <c r="M1070" t="b">
        <f>TrafficData[[#This Row],[pendingCourt]]+TrafficData[[#This Row],[disposedCourt]]=TrafficData[[#This Row],[totalCourt]]</f>
        <v>1</v>
      </c>
      <c r="N1070" t="b">
        <f>AND(TrafficData[[#This Row],[disposedChallan]]&lt;=TrafficData[[#This Row],[totalChallan]],TrafficData[[#This Row],[pendingChallan]]&lt;=TrafficData[[#This Row],[totalChallan]])</f>
        <v>1</v>
      </c>
      <c r="O1070" t="b">
        <f>AND(TrafficData[[#This Row],[pendingAmount]]&lt;=TrafficData[[#This Row],[totalAmount]],TrafficData[[#This Row],[disposedAmount]]&lt;=TrafficData[[#This Row],[totalAmount]])</f>
        <v>1</v>
      </c>
      <c r="P1070" t="b">
        <f>AND(TrafficData[[#This Row],[pendingCourt]]&lt;=TrafficData[[#This Row],[totalCourt]],TrafficData[[#This Row],[disposedCourt]]&lt;=TrafficData[[#This Row],[totalCourt]])</f>
        <v>1</v>
      </c>
    </row>
    <row r="1071" spans="1:16">
      <c r="A1071" s="1">
        <v>43074</v>
      </c>
      <c r="B1071">
        <v>2302</v>
      </c>
      <c r="C1071">
        <v>1344</v>
      </c>
      <c r="D1071">
        <v>958</v>
      </c>
      <c r="E1071">
        <v>1829308</v>
      </c>
      <c r="F1071">
        <v>7120116</v>
      </c>
      <c r="G1071">
        <v>8949424</v>
      </c>
      <c r="H1071">
        <v>858</v>
      </c>
      <c r="I1071">
        <v>165</v>
      </c>
      <c r="J1071">
        <v>1023</v>
      </c>
      <c r="K1071" t="b">
        <f>TrafficData[[#This Row],[disposedChallan]]+TrafficData[[#This Row],[pendingChallan]]=TrafficData[[#This Row],[totalChallan]]</f>
        <v>1</v>
      </c>
      <c r="L1071" t="b">
        <f>TrafficData[[#This Row],[pendingAmount]]+TrafficData[[#This Row],[disposedAmount]]=TrafficData[[#This Row],[totalAmount]]</f>
        <v>1</v>
      </c>
      <c r="M1071" t="b">
        <f>TrafficData[[#This Row],[pendingCourt]]+TrafficData[[#This Row],[disposedCourt]]=TrafficData[[#This Row],[totalCourt]]</f>
        <v>1</v>
      </c>
      <c r="N1071" t="b">
        <f>AND(TrafficData[[#This Row],[disposedChallan]]&lt;=TrafficData[[#This Row],[totalChallan]],TrafficData[[#This Row],[pendingChallan]]&lt;=TrafficData[[#This Row],[totalChallan]])</f>
        <v>1</v>
      </c>
      <c r="O1071" t="b">
        <f>AND(TrafficData[[#This Row],[pendingAmount]]&lt;=TrafficData[[#This Row],[totalAmount]],TrafficData[[#This Row],[disposedAmount]]&lt;=TrafficData[[#This Row],[totalAmount]])</f>
        <v>1</v>
      </c>
      <c r="P1071" t="b">
        <f>AND(TrafficData[[#This Row],[pendingCourt]]&lt;=TrafficData[[#This Row],[totalCourt]],TrafficData[[#This Row],[disposedCourt]]&lt;=TrafficData[[#This Row],[totalCourt]])</f>
        <v>1</v>
      </c>
    </row>
    <row r="1072" spans="1:16">
      <c r="A1072" s="1">
        <v>43075</v>
      </c>
      <c r="B1072">
        <v>10751</v>
      </c>
      <c r="C1072">
        <v>7711</v>
      </c>
      <c r="D1072">
        <v>3040</v>
      </c>
      <c r="E1072">
        <v>7036000</v>
      </c>
      <c r="F1072">
        <v>8611228</v>
      </c>
      <c r="G1072">
        <v>15647228</v>
      </c>
      <c r="H1072">
        <v>2667</v>
      </c>
      <c r="I1072">
        <v>740</v>
      </c>
      <c r="J1072">
        <v>3407</v>
      </c>
      <c r="K1072" t="b">
        <f>TrafficData[[#This Row],[disposedChallan]]+TrafficData[[#This Row],[pendingChallan]]=TrafficData[[#This Row],[totalChallan]]</f>
        <v>1</v>
      </c>
      <c r="L1072" t="b">
        <f>TrafficData[[#This Row],[pendingAmount]]+TrafficData[[#This Row],[disposedAmount]]=TrafficData[[#This Row],[totalAmount]]</f>
        <v>1</v>
      </c>
      <c r="M1072" t="b">
        <f>TrafficData[[#This Row],[pendingCourt]]+TrafficData[[#This Row],[disposedCourt]]=TrafficData[[#This Row],[totalCourt]]</f>
        <v>1</v>
      </c>
      <c r="N1072" t="b">
        <f>AND(TrafficData[[#This Row],[disposedChallan]]&lt;=TrafficData[[#This Row],[totalChallan]],TrafficData[[#This Row],[pendingChallan]]&lt;=TrafficData[[#This Row],[totalChallan]])</f>
        <v>1</v>
      </c>
      <c r="O1072" t="b">
        <f>AND(TrafficData[[#This Row],[pendingAmount]]&lt;=TrafficData[[#This Row],[totalAmount]],TrafficData[[#This Row],[disposedAmount]]&lt;=TrafficData[[#This Row],[totalAmount]])</f>
        <v>1</v>
      </c>
      <c r="P1072" t="b">
        <f>AND(TrafficData[[#This Row],[pendingCourt]]&lt;=TrafficData[[#This Row],[totalCourt]],TrafficData[[#This Row],[disposedCourt]]&lt;=TrafficData[[#This Row],[totalCourt]])</f>
        <v>1</v>
      </c>
    </row>
    <row r="1073" spans="1:16">
      <c r="A1073" s="1">
        <v>43076</v>
      </c>
      <c r="B1073">
        <v>2084</v>
      </c>
      <c r="C1073">
        <v>1204</v>
      </c>
      <c r="D1073">
        <v>880</v>
      </c>
      <c r="E1073">
        <v>1341050</v>
      </c>
      <c r="F1073">
        <v>6385342</v>
      </c>
      <c r="G1073">
        <v>7726392</v>
      </c>
      <c r="H1073">
        <v>781</v>
      </c>
      <c r="I1073">
        <v>123</v>
      </c>
      <c r="J1073">
        <v>904</v>
      </c>
      <c r="K1073" t="b">
        <f>TrafficData[[#This Row],[disposedChallan]]+TrafficData[[#This Row],[pendingChallan]]=TrafficData[[#This Row],[totalChallan]]</f>
        <v>1</v>
      </c>
      <c r="L1073" t="b">
        <f>TrafficData[[#This Row],[pendingAmount]]+TrafficData[[#This Row],[disposedAmount]]=TrafficData[[#This Row],[totalAmount]]</f>
        <v>1</v>
      </c>
      <c r="M1073" t="b">
        <f>TrafficData[[#This Row],[pendingCourt]]+TrafficData[[#This Row],[disposedCourt]]=TrafficData[[#This Row],[totalCourt]]</f>
        <v>1</v>
      </c>
      <c r="N1073" t="b">
        <f>AND(TrafficData[[#This Row],[disposedChallan]]&lt;=TrafficData[[#This Row],[totalChallan]],TrafficData[[#This Row],[pendingChallan]]&lt;=TrafficData[[#This Row],[totalChallan]])</f>
        <v>1</v>
      </c>
      <c r="O1073" t="b">
        <f>AND(TrafficData[[#This Row],[pendingAmount]]&lt;=TrafficData[[#This Row],[totalAmount]],TrafficData[[#This Row],[disposedAmount]]&lt;=TrafficData[[#This Row],[totalAmount]])</f>
        <v>1</v>
      </c>
      <c r="P1073" t="b">
        <f>AND(TrafficData[[#This Row],[pendingCourt]]&lt;=TrafficData[[#This Row],[totalCourt]],TrafficData[[#This Row],[disposedCourt]]&lt;=TrafficData[[#This Row],[totalCourt]])</f>
        <v>1</v>
      </c>
    </row>
    <row r="1074" spans="1:16">
      <c r="A1074" s="1">
        <v>43077</v>
      </c>
      <c r="B1074">
        <v>1748</v>
      </c>
      <c r="C1074">
        <v>944</v>
      </c>
      <c r="D1074">
        <v>804</v>
      </c>
      <c r="E1074">
        <v>1435350</v>
      </c>
      <c r="F1074">
        <v>6507051</v>
      </c>
      <c r="G1074">
        <v>7942401</v>
      </c>
      <c r="H1074">
        <v>659</v>
      </c>
      <c r="I1074">
        <v>136</v>
      </c>
      <c r="J1074">
        <v>795</v>
      </c>
      <c r="K1074" t="b">
        <f>TrafficData[[#This Row],[disposedChallan]]+TrafficData[[#This Row],[pendingChallan]]=TrafficData[[#This Row],[totalChallan]]</f>
        <v>1</v>
      </c>
      <c r="L1074" t="b">
        <f>TrafficData[[#This Row],[pendingAmount]]+TrafficData[[#This Row],[disposedAmount]]=TrafficData[[#This Row],[totalAmount]]</f>
        <v>1</v>
      </c>
      <c r="M1074" t="b">
        <f>TrafficData[[#This Row],[pendingCourt]]+TrafficData[[#This Row],[disposedCourt]]=TrafficData[[#This Row],[totalCourt]]</f>
        <v>1</v>
      </c>
      <c r="N1074" t="b">
        <f>AND(TrafficData[[#This Row],[disposedChallan]]&lt;=TrafficData[[#This Row],[totalChallan]],TrafficData[[#This Row],[pendingChallan]]&lt;=TrafficData[[#This Row],[totalChallan]])</f>
        <v>1</v>
      </c>
      <c r="O1074" t="b">
        <f>AND(TrafficData[[#This Row],[pendingAmount]]&lt;=TrafficData[[#This Row],[totalAmount]],TrafficData[[#This Row],[disposedAmount]]&lt;=TrafficData[[#This Row],[totalAmount]])</f>
        <v>1</v>
      </c>
      <c r="P1074" t="b">
        <f>AND(TrafficData[[#This Row],[pendingCourt]]&lt;=TrafficData[[#This Row],[totalCourt]],TrafficData[[#This Row],[disposedCourt]]&lt;=TrafficData[[#This Row],[totalCourt]])</f>
        <v>1</v>
      </c>
    </row>
    <row r="1075" spans="1:16">
      <c r="A1075" s="1">
        <v>43078</v>
      </c>
      <c r="B1075">
        <v>1373</v>
      </c>
      <c r="C1075">
        <v>726</v>
      </c>
      <c r="D1075">
        <v>647</v>
      </c>
      <c r="E1075">
        <v>1468400</v>
      </c>
      <c r="F1075">
        <v>7260380</v>
      </c>
      <c r="G1075">
        <v>8728780</v>
      </c>
      <c r="H1075">
        <v>545</v>
      </c>
      <c r="I1075">
        <v>115</v>
      </c>
      <c r="J1075">
        <v>660</v>
      </c>
      <c r="K1075" t="b">
        <f>TrafficData[[#This Row],[disposedChallan]]+TrafficData[[#This Row],[pendingChallan]]=TrafficData[[#This Row],[totalChallan]]</f>
        <v>1</v>
      </c>
      <c r="L1075" t="b">
        <f>TrafficData[[#This Row],[pendingAmount]]+TrafficData[[#This Row],[disposedAmount]]=TrafficData[[#This Row],[totalAmount]]</f>
        <v>1</v>
      </c>
      <c r="M1075" t="b">
        <f>TrafficData[[#This Row],[pendingCourt]]+TrafficData[[#This Row],[disposedCourt]]=TrafficData[[#This Row],[totalCourt]]</f>
        <v>1</v>
      </c>
      <c r="N1075" t="b">
        <f>AND(TrafficData[[#This Row],[disposedChallan]]&lt;=TrafficData[[#This Row],[totalChallan]],TrafficData[[#This Row],[pendingChallan]]&lt;=TrafficData[[#This Row],[totalChallan]])</f>
        <v>1</v>
      </c>
      <c r="O1075" t="b">
        <f>AND(TrafficData[[#This Row],[pendingAmount]]&lt;=TrafficData[[#This Row],[totalAmount]],TrafficData[[#This Row],[disposedAmount]]&lt;=TrafficData[[#This Row],[totalAmount]])</f>
        <v>1</v>
      </c>
      <c r="P1075" t="b">
        <f>AND(TrafficData[[#This Row],[pendingCourt]]&lt;=TrafficData[[#This Row],[totalCourt]],TrafficData[[#This Row],[disposedCourt]]&lt;=TrafficData[[#This Row],[totalCourt]])</f>
        <v>1</v>
      </c>
    </row>
    <row r="1076" spans="1:16">
      <c r="A1076" s="1">
        <v>43079</v>
      </c>
      <c r="B1076">
        <v>863</v>
      </c>
      <c r="C1076">
        <v>466</v>
      </c>
      <c r="D1076">
        <v>397</v>
      </c>
      <c r="E1076">
        <v>541700</v>
      </c>
      <c r="F1076">
        <v>2660632</v>
      </c>
      <c r="G1076">
        <v>3202332</v>
      </c>
      <c r="H1076">
        <v>353</v>
      </c>
      <c r="I1076">
        <v>53</v>
      </c>
      <c r="J1076">
        <v>406</v>
      </c>
      <c r="K1076" t="b">
        <f>TrafficData[[#This Row],[disposedChallan]]+TrafficData[[#This Row],[pendingChallan]]=TrafficData[[#This Row],[totalChallan]]</f>
        <v>1</v>
      </c>
      <c r="L1076" t="b">
        <f>TrafficData[[#This Row],[pendingAmount]]+TrafficData[[#This Row],[disposedAmount]]=TrafficData[[#This Row],[totalAmount]]</f>
        <v>1</v>
      </c>
      <c r="M1076" t="b">
        <f>TrafficData[[#This Row],[pendingCourt]]+TrafficData[[#This Row],[disposedCourt]]=TrafficData[[#This Row],[totalCourt]]</f>
        <v>1</v>
      </c>
      <c r="N1076" t="b">
        <f>AND(TrafficData[[#This Row],[disposedChallan]]&lt;=TrafficData[[#This Row],[totalChallan]],TrafficData[[#This Row],[pendingChallan]]&lt;=TrafficData[[#This Row],[totalChallan]])</f>
        <v>1</v>
      </c>
      <c r="O1076" t="b">
        <f>AND(TrafficData[[#This Row],[pendingAmount]]&lt;=TrafficData[[#This Row],[totalAmount]],TrafficData[[#This Row],[disposedAmount]]&lt;=TrafficData[[#This Row],[totalAmount]])</f>
        <v>1</v>
      </c>
      <c r="P1076" t="b">
        <f>AND(TrafficData[[#This Row],[pendingCourt]]&lt;=TrafficData[[#This Row],[totalCourt]],TrafficData[[#This Row],[disposedCourt]]&lt;=TrafficData[[#This Row],[totalCourt]])</f>
        <v>1</v>
      </c>
    </row>
    <row r="1077" spans="1:16">
      <c r="A1077" s="1">
        <v>43080</v>
      </c>
      <c r="B1077">
        <v>1720</v>
      </c>
      <c r="C1077">
        <v>855</v>
      </c>
      <c r="D1077">
        <v>865</v>
      </c>
      <c r="E1077">
        <v>1452650</v>
      </c>
      <c r="F1077">
        <v>7112407</v>
      </c>
      <c r="G1077">
        <v>8565057</v>
      </c>
      <c r="H1077">
        <v>752</v>
      </c>
      <c r="I1077">
        <v>104</v>
      </c>
      <c r="J1077">
        <v>856</v>
      </c>
      <c r="K1077" t="b">
        <f>TrafficData[[#This Row],[disposedChallan]]+TrafficData[[#This Row],[pendingChallan]]=TrafficData[[#This Row],[totalChallan]]</f>
        <v>1</v>
      </c>
      <c r="L1077" t="b">
        <f>TrafficData[[#This Row],[pendingAmount]]+TrafficData[[#This Row],[disposedAmount]]=TrafficData[[#This Row],[totalAmount]]</f>
        <v>1</v>
      </c>
      <c r="M1077" t="b">
        <f>TrafficData[[#This Row],[pendingCourt]]+TrafficData[[#This Row],[disposedCourt]]=TrafficData[[#This Row],[totalCourt]]</f>
        <v>1</v>
      </c>
      <c r="N1077" t="b">
        <f>AND(TrafficData[[#This Row],[disposedChallan]]&lt;=TrafficData[[#This Row],[totalChallan]],TrafficData[[#This Row],[pendingChallan]]&lt;=TrafficData[[#This Row],[totalChallan]])</f>
        <v>1</v>
      </c>
      <c r="O1077" t="b">
        <f>AND(TrafficData[[#This Row],[pendingAmount]]&lt;=TrafficData[[#This Row],[totalAmount]],TrafficData[[#This Row],[disposedAmount]]&lt;=TrafficData[[#This Row],[totalAmount]])</f>
        <v>1</v>
      </c>
      <c r="P1077" t="b">
        <f>AND(TrafficData[[#This Row],[pendingCourt]]&lt;=TrafficData[[#This Row],[totalCourt]],TrafficData[[#This Row],[disposedCourt]]&lt;=TrafficData[[#This Row],[totalCourt]])</f>
        <v>1</v>
      </c>
    </row>
    <row r="1078" spans="1:16">
      <c r="A1078" s="1">
        <v>43081</v>
      </c>
      <c r="B1078">
        <v>2340</v>
      </c>
      <c r="C1078">
        <v>1209</v>
      </c>
      <c r="D1078">
        <v>1131</v>
      </c>
      <c r="E1078">
        <v>1518850</v>
      </c>
      <c r="F1078">
        <v>6875065</v>
      </c>
      <c r="G1078">
        <v>8393915</v>
      </c>
      <c r="H1078">
        <v>970</v>
      </c>
      <c r="I1078">
        <v>116</v>
      </c>
      <c r="J1078">
        <v>1086</v>
      </c>
      <c r="K1078" t="b">
        <f>TrafficData[[#This Row],[disposedChallan]]+TrafficData[[#This Row],[pendingChallan]]=TrafficData[[#This Row],[totalChallan]]</f>
        <v>1</v>
      </c>
      <c r="L1078" t="b">
        <f>TrafficData[[#This Row],[pendingAmount]]+TrafficData[[#This Row],[disposedAmount]]=TrafficData[[#This Row],[totalAmount]]</f>
        <v>1</v>
      </c>
      <c r="M1078" t="b">
        <f>TrafficData[[#This Row],[pendingCourt]]+TrafficData[[#This Row],[disposedCourt]]=TrafficData[[#This Row],[totalCourt]]</f>
        <v>1</v>
      </c>
      <c r="N1078" t="b">
        <f>AND(TrafficData[[#This Row],[disposedChallan]]&lt;=TrafficData[[#This Row],[totalChallan]],TrafficData[[#This Row],[pendingChallan]]&lt;=TrafficData[[#This Row],[totalChallan]])</f>
        <v>1</v>
      </c>
      <c r="O1078" t="b">
        <f>AND(TrafficData[[#This Row],[pendingAmount]]&lt;=TrafficData[[#This Row],[totalAmount]],TrafficData[[#This Row],[disposedAmount]]&lt;=TrafficData[[#This Row],[totalAmount]])</f>
        <v>1</v>
      </c>
      <c r="P1078" t="b">
        <f>AND(TrafficData[[#This Row],[pendingCourt]]&lt;=TrafficData[[#This Row],[totalCourt]],TrafficData[[#This Row],[disposedCourt]]&lt;=TrafficData[[#This Row],[totalCourt]])</f>
        <v>1</v>
      </c>
    </row>
    <row r="1079" spans="1:16">
      <c r="A1079" s="1">
        <v>43082</v>
      </c>
      <c r="B1079">
        <v>9647</v>
      </c>
      <c r="C1079">
        <v>6805</v>
      </c>
      <c r="D1079">
        <v>2842</v>
      </c>
      <c r="E1079">
        <v>6610425</v>
      </c>
      <c r="F1079">
        <v>7308125</v>
      </c>
      <c r="G1079">
        <v>13918550</v>
      </c>
      <c r="H1079">
        <v>2495</v>
      </c>
      <c r="I1079">
        <v>675</v>
      </c>
      <c r="J1079">
        <v>3170</v>
      </c>
      <c r="K1079" t="b">
        <f>TrafficData[[#This Row],[disposedChallan]]+TrafficData[[#This Row],[pendingChallan]]=TrafficData[[#This Row],[totalChallan]]</f>
        <v>1</v>
      </c>
      <c r="L1079" t="b">
        <f>TrafficData[[#This Row],[pendingAmount]]+TrafficData[[#This Row],[disposedAmount]]=TrafficData[[#This Row],[totalAmount]]</f>
        <v>1</v>
      </c>
      <c r="M1079" t="b">
        <f>TrafficData[[#This Row],[pendingCourt]]+TrafficData[[#This Row],[disposedCourt]]=TrafficData[[#This Row],[totalCourt]]</f>
        <v>1</v>
      </c>
      <c r="N1079" t="b">
        <f>AND(TrafficData[[#This Row],[disposedChallan]]&lt;=TrafficData[[#This Row],[totalChallan]],TrafficData[[#This Row],[pendingChallan]]&lt;=TrafficData[[#This Row],[totalChallan]])</f>
        <v>1</v>
      </c>
      <c r="O1079" t="b">
        <f>AND(TrafficData[[#This Row],[pendingAmount]]&lt;=TrafficData[[#This Row],[totalAmount]],TrafficData[[#This Row],[disposedAmount]]&lt;=TrafficData[[#This Row],[totalAmount]])</f>
        <v>1</v>
      </c>
      <c r="P1079" t="b">
        <f>AND(TrafficData[[#This Row],[pendingCourt]]&lt;=TrafficData[[#This Row],[totalCourt]],TrafficData[[#This Row],[disposedCourt]]&lt;=TrafficData[[#This Row],[totalCourt]])</f>
        <v>1</v>
      </c>
    </row>
    <row r="1080" spans="1:16">
      <c r="A1080" s="1">
        <v>43083</v>
      </c>
      <c r="B1080">
        <v>1984</v>
      </c>
      <c r="C1080">
        <v>949</v>
      </c>
      <c r="D1080">
        <v>1035</v>
      </c>
      <c r="E1080">
        <v>1415450</v>
      </c>
      <c r="F1080">
        <v>6350423</v>
      </c>
      <c r="G1080">
        <v>7765873</v>
      </c>
      <c r="H1080">
        <v>857</v>
      </c>
      <c r="I1080">
        <v>97</v>
      </c>
      <c r="J1080">
        <v>954</v>
      </c>
      <c r="K1080" t="b">
        <f>TrafficData[[#This Row],[disposedChallan]]+TrafficData[[#This Row],[pendingChallan]]=TrafficData[[#This Row],[totalChallan]]</f>
        <v>1</v>
      </c>
      <c r="L1080" t="b">
        <f>TrafficData[[#This Row],[pendingAmount]]+TrafficData[[#This Row],[disposedAmount]]=TrafficData[[#This Row],[totalAmount]]</f>
        <v>1</v>
      </c>
      <c r="M1080" t="b">
        <f>TrafficData[[#This Row],[pendingCourt]]+TrafficData[[#This Row],[disposedCourt]]=TrafficData[[#This Row],[totalCourt]]</f>
        <v>1</v>
      </c>
      <c r="N1080" t="b">
        <f>AND(TrafficData[[#This Row],[disposedChallan]]&lt;=TrafficData[[#This Row],[totalChallan]],TrafficData[[#This Row],[pendingChallan]]&lt;=TrafficData[[#This Row],[totalChallan]])</f>
        <v>1</v>
      </c>
      <c r="O1080" t="b">
        <f>AND(TrafficData[[#This Row],[pendingAmount]]&lt;=TrafficData[[#This Row],[totalAmount]],TrafficData[[#This Row],[disposedAmount]]&lt;=TrafficData[[#This Row],[totalAmount]])</f>
        <v>1</v>
      </c>
      <c r="P1080" t="b">
        <f>AND(TrafficData[[#This Row],[pendingCourt]]&lt;=TrafficData[[#This Row],[totalCourt]],TrafficData[[#This Row],[disposedCourt]]&lt;=TrafficData[[#This Row],[totalCourt]])</f>
        <v>1</v>
      </c>
    </row>
    <row r="1081" spans="1:16">
      <c r="A1081" s="1">
        <v>43084</v>
      </c>
      <c r="B1081">
        <v>2244</v>
      </c>
      <c r="C1081">
        <v>1038</v>
      </c>
      <c r="D1081">
        <v>1206</v>
      </c>
      <c r="E1081">
        <v>2534800</v>
      </c>
      <c r="F1081">
        <v>8205091</v>
      </c>
      <c r="G1081">
        <v>10739891</v>
      </c>
      <c r="H1081">
        <v>827</v>
      </c>
      <c r="I1081">
        <v>109</v>
      </c>
      <c r="J1081">
        <v>936</v>
      </c>
      <c r="K1081" t="b">
        <f>TrafficData[[#This Row],[disposedChallan]]+TrafficData[[#This Row],[pendingChallan]]=TrafficData[[#This Row],[totalChallan]]</f>
        <v>1</v>
      </c>
      <c r="L1081" t="b">
        <f>TrafficData[[#This Row],[pendingAmount]]+TrafficData[[#This Row],[disposedAmount]]=TrafficData[[#This Row],[totalAmount]]</f>
        <v>1</v>
      </c>
      <c r="M1081" t="b">
        <f>TrafficData[[#This Row],[pendingCourt]]+TrafficData[[#This Row],[disposedCourt]]=TrafficData[[#This Row],[totalCourt]]</f>
        <v>1</v>
      </c>
      <c r="N1081" t="b">
        <f>AND(TrafficData[[#This Row],[disposedChallan]]&lt;=TrafficData[[#This Row],[totalChallan]],TrafficData[[#This Row],[pendingChallan]]&lt;=TrafficData[[#This Row],[totalChallan]])</f>
        <v>1</v>
      </c>
      <c r="O1081" t="b">
        <f>AND(TrafficData[[#This Row],[pendingAmount]]&lt;=TrafficData[[#This Row],[totalAmount]],TrafficData[[#This Row],[disposedAmount]]&lt;=TrafficData[[#This Row],[totalAmount]])</f>
        <v>1</v>
      </c>
      <c r="P1081" t="b">
        <f>AND(TrafficData[[#This Row],[pendingCourt]]&lt;=TrafficData[[#This Row],[totalCourt]],TrafficData[[#This Row],[disposedCourt]]&lt;=TrafficData[[#This Row],[totalCourt]])</f>
        <v>1</v>
      </c>
    </row>
    <row r="1082" spans="1:16">
      <c r="A1082" s="1">
        <v>43085</v>
      </c>
      <c r="B1082">
        <v>1565</v>
      </c>
      <c r="C1082">
        <v>889</v>
      </c>
      <c r="D1082">
        <v>676</v>
      </c>
      <c r="E1082">
        <v>1392660</v>
      </c>
      <c r="F1082">
        <v>6769041</v>
      </c>
      <c r="G1082">
        <v>8161701</v>
      </c>
      <c r="H1082">
        <v>563</v>
      </c>
      <c r="I1082">
        <v>111</v>
      </c>
      <c r="J1082">
        <v>674</v>
      </c>
      <c r="K1082" t="b">
        <f>TrafficData[[#This Row],[disposedChallan]]+TrafficData[[#This Row],[pendingChallan]]=TrafficData[[#This Row],[totalChallan]]</f>
        <v>1</v>
      </c>
      <c r="L1082" t="b">
        <f>TrafficData[[#This Row],[pendingAmount]]+TrafficData[[#This Row],[disposedAmount]]=TrafficData[[#This Row],[totalAmount]]</f>
        <v>1</v>
      </c>
      <c r="M1082" t="b">
        <f>TrafficData[[#This Row],[pendingCourt]]+TrafficData[[#This Row],[disposedCourt]]=TrafficData[[#This Row],[totalCourt]]</f>
        <v>1</v>
      </c>
      <c r="N1082" t="b">
        <f>AND(TrafficData[[#This Row],[disposedChallan]]&lt;=TrafficData[[#This Row],[totalChallan]],TrafficData[[#This Row],[pendingChallan]]&lt;=TrafficData[[#This Row],[totalChallan]])</f>
        <v>1</v>
      </c>
      <c r="O1082" t="b">
        <f>AND(TrafficData[[#This Row],[pendingAmount]]&lt;=TrafficData[[#This Row],[totalAmount]],TrafficData[[#This Row],[disposedAmount]]&lt;=TrafficData[[#This Row],[totalAmount]])</f>
        <v>1</v>
      </c>
      <c r="P1082" t="b">
        <f>AND(TrafficData[[#This Row],[pendingCourt]]&lt;=TrafficData[[#This Row],[totalCourt]],TrafficData[[#This Row],[disposedCourt]]&lt;=TrafficData[[#This Row],[totalCourt]])</f>
        <v>1</v>
      </c>
    </row>
    <row r="1083" spans="1:16">
      <c r="A1083" s="1">
        <v>43086</v>
      </c>
      <c r="B1083">
        <v>944</v>
      </c>
      <c r="C1083">
        <v>474</v>
      </c>
      <c r="D1083">
        <v>470</v>
      </c>
      <c r="E1083">
        <v>1074800</v>
      </c>
      <c r="F1083">
        <v>2962500</v>
      </c>
      <c r="G1083">
        <v>4037300</v>
      </c>
      <c r="H1083">
        <v>371</v>
      </c>
      <c r="I1083">
        <v>54</v>
      </c>
      <c r="J1083">
        <v>425</v>
      </c>
      <c r="K1083" t="b">
        <f>TrafficData[[#This Row],[disposedChallan]]+TrafficData[[#This Row],[pendingChallan]]=TrafficData[[#This Row],[totalChallan]]</f>
        <v>1</v>
      </c>
      <c r="L1083" t="b">
        <f>TrafficData[[#This Row],[pendingAmount]]+TrafficData[[#This Row],[disposedAmount]]=TrafficData[[#This Row],[totalAmount]]</f>
        <v>1</v>
      </c>
      <c r="M1083" t="b">
        <f>TrafficData[[#This Row],[pendingCourt]]+TrafficData[[#This Row],[disposedCourt]]=TrafficData[[#This Row],[totalCourt]]</f>
        <v>1</v>
      </c>
      <c r="N1083" t="b">
        <f>AND(TrafficData[[#This Row],[disposedChallan]]&lt;=TrafficData[[#This Row],[totalChallan]],TrafficData[[#This Row],[pendingChallan]]&lt;=TrafficData[[#This Row],[totalChallan]])</f>
        <v>1</v>
      </c>
      <c r="O1083" t="b">
        <f>AND(TrafficData[[#This Row],[pendingAmount]]&lt;=TrafficData[[#This Row],[totalAmount]],TrafficData[[#This Row],[disposedAmount]]&lt;=TrafficData[[#This Row],[totalAmount]])</f>
        <v>1</v>
      </c>
      <c r="P1083" t="b">
        <f>AND(TrafficData[[#This Row],[pendingCourt]]&lt;=TrafficData[[#This Row],[totalCourt]],TrafficData[[#This Row],[disposedCourt]]&lt;=TrafficData[[#This Row],[totalCourt]])</f>
        <v>1</v>
      </c>
    </row>
    <row r="1084" spans="1:16">
      <c r="A1084" s="1">
        <v>43087</v>
      </c>
      <c r="B1084">
        <v>1591</v>
      </c>
      <c r="C1084">
        <v>530</v>
      </c>
      <c r="D1084">
        <v>1061</v>
      </c>
      <c r="E1084">
        <v>1058500</v>
      </c>
      <c r="F1084">
        <v>2571625</v>
      </c>
      <c r="G1084">
        <v>3630125</v>
      </c>
      <c r="H1084">
        <v>881</v>
      </c>
      <c r="I1084">
        <v>91</v>
      </c>
      <c r="J1084">
        <v>972</v>
      </c>
      <c r="K1084" t="b">
        <f>TrafficData[[#This Row],[disposedChallan]]+TrafficData[[#This Row],[pendingChallan]]=TrafficData[[#This Row],[totalChallan]]</f>
        <v>1</v>
      </c>
      <c r="L1084" t="b">
        <f>TrafficData[[#This Row],[pendingAmount]]+TrafficData[[#This Row],[disposedAmount]]=TrafficData[[#This Row],[totalAmount]]</f>
        <v>1</v>
      </c>
      <c r="M1084" t="b">
        <f>TrafficData[[#This Row],[pendingCourt]]+TrafficData[[#This Row],[disposedCourt]]=TrafficData[[#This Row],[totalCourt]]</f>
        <v>1</v>
      </c>
      <c r="N1084" t="b">
        <f>AND(TrafficData[[#This Row],[disposedChallan]]&lt;=TrafficData[[#This Row],[totalChallan]],TrafficData[[#This Row],[pendingChallan]]&lt;=TrafficData[[#This Row],[totalChallan]])</f>
        <v>1</v>
      </c>
      <c r="O1084" t="b">
        <f>AND(TrafficData[[#This Row],[pendingAmount]]&lt;=TrafficData[[#This Row],[totalAmount]],TrafficData[[#This Row],[disposedAmount]]&lt;=TrafficData[[#This Row],[totalAmount]])</f>
        <v>1</v>
      </c>
      <c r="P1084" t="b">
        <f>AND(TrafficData[[#This Row],[pendingCourt]]&lt;=TrafficData[[#This Row],[totalCourt]],TrafficData[[#This Row],[disposedCourt]]&lt;=TrafficData[[#This Row],[totalCourt]])</f>
        <v>1</v>
      </c>
    </row>
    <row r="1085" spans="1:16">
      <c r="A1085" s="1">
        <v>43088</v>
      </c>
      <c r="B1085">
        <v>1766</v>
      </c>
      <c r="C1085">
        <v>858</v>
      </c>
      <c r="D1085">
        <v>908</v>
      </c>
      <c r="E1085">
        <v>1650899</v>
      </c>
      <c r="F1085">
        <v>6936165</v>
      </c>
      <c r="G1085">
        <v>8587064</v>
      </c>
      <c r="H1085">
        <v>730</v>
      </c>
      <c r="I1085">
        <v>119</v>
      </c>
      <c r="J1085">
        <v>849</v>
      </c>
      <c r="K1085" t="b">
        <f>TrafficData[[#This Row],[disposedChallan]]+TrafficData[[#This Row],[pendingChallan]]=TrafficData[[#This Row],[totalChallan]]</f>
        <v>1</v>
      </c>
      <c r="L1085" t="b">
        <f>TrafficData[[#This Row],[pendingAmount]]+TrafficData[[#This Row],[disposedAmount]]=TrafficData[[#This Row],[totalAmount]]</f>
        <v>1</v>
      </c>
      <c r="M1085" t="b">
        <f>TrafficData[[#This Row],[pendingCourt]]+TrafficData[[#This Row],[disposedCourt]]=TrafficData[[#This Row],[totalCourt]]</f>
        <v>1</v>
      </c>
      <c r="N1085" t="b">
        <f>AND(TrafficData[[#This Row],[disposedChallan]]&lt;=TrafficData[[#This Row],[totalChallan]],TrafficData[[#This Row],[pendingChallan]]&lt;=TrafficData[[#This Row],[totalChallan]])</f>
        <v>1</v>
      </c>
      <c r="O1085" t="b">
        <f>AND(TrafficData[[#This Row],[pendingAmount]]&lt;=TrafficData[[#This Row],[totalAmount]],TrafficData[[#This Row],[disposedAmount]]&lt;=TrafficData[[#This Row],[totalAmount]])</f>
        <v>1</v>
      </c>
      <c r="P1085" t="b">
        <f>AND(TrafficData[[#This Row],[pendingCourt]]&lt;=TrafficData[[#This Row],[totalCourt]],TrafficData[[#This Row],[disposedCourt]]&lt;=TrafficData[[#This Row],[totalCourt]])</f>
        <v>1</v>
      </c>
    </row>
    <row r="1086" spans="1:16">
      <c r="A1086" s="1">
        <v>43089</v>
      </c>
      <c r="B1086">
        <v>10795</v>
      </c>
      <c r="C1086">
        <v>7523</v>
      </c>
      <c r="D1086">
        <v>3272</v>
      </c>
      <c r="E1086">
        <v>7149300</v>
      </c>
      <c r="F1086">
        <v>10140551</v>
      </c>
      <c r="G1086">
        <v>17289851</v>
      </c>
      <c r="H1086">
        <v>2770</v>
      </c>
      <c r="I1086">
        <v>641</v>
      </c>
      <c r="J1086">
        <v>3411</v>
      </c>
      <c r="K1086" t="b">
        <f>TrafficData[[#This Row],[disposedChallan]]+TrafficData[[#This Row],[pendingChallan]]=TrafficData[[#This Row],[totalChallan]]</f>
        <v>1</v>
      </c>
      <c r="L1086" t="b">
        <f>TrafficData[[#This Row],[pendingAmount]]+TrafficData[[#This Row],[disposedAmount]]=TrafficData[[#This Row],[totalAmount]]</f>
        <v>1</v>
      </c>
      <c r="M1086" t="b">
        <f>TrafficData[[#This Row],[pendingCourt]]+TrafficData[[#This Row],[disposedCourt]]=TrafficData[[#This Row],[totalCourt]]</f>
        <v>1</v>
      </c>
      <c r="N1086" t="b">
        <f>AND(TrafficData[[#This Row],[disposedChallan]]&lt;=TrafficData[[#This Row],[totalChallan]],TrafficData[[#This Row],[pendingChallan]]&lt;=TrafficData[[#This Row],[totalChallan]])</f>
        <v>1</v>
      </c>
      <c r="O1086" t="b">
        <f>AND(TrafficData[[#This Row],[pendingAmount]]&lt;=TrafficData[[#This Row],[totalAmount]],TrafficData[[#This Row],[disposedAmount]]&lt;=TrafficData[[#This Row],[totalAmount]])</f>
        <v>1</v>
      </c>
      <c r="P1086" t="b">
        <f>AND(TrafficData[[#This Row],[pendingCourt]]&lt;=TrafficData[[#This Row],[totalCourt]],TrafficData[[#This Row],[disposedCourt]]&lt;=TrafficData[[#This Row],[totalCourt]])</f>
        <v>1</v>
      </c>
    </row>
    <row r="1087" spans="1:16">
      <c r="A1087" s="1">
        <v>43090</v>
      </c>
      <c r="B1087">
        <v>2302</v>
      </c>
      <c r="C1087">
        <v>1258</v>
      </c>
      <c r="D1087">
        <v>1044</v>
      </c>
      <c r="E1087">
        <v>2390626</v>
      </c>
      <c r="F1087">
        <v>12242482</v>
      </c>
      <c r="G1087">
        <v>14633108</v>
      </c>
      <c r="H1087">
        <v>753</v>
      </c>
      <c r="I1087">
        <v>185</v>
      </c>
      <c r="J1087">
        <v>938</v>
      </c>
      <c r="K1087" t="b">
        <f>TrafficData[[#This Row],[disposedChallan]]+TrafficData[[#This Row],[pendingChallan]]=TrafficData[[#This Row],[totalChallan]]</f>
        <v>1</v>
      </c>
      <c r="L1087" t="b">
        <f>TrafficData[[#This Row],[pendingAmount]]+TrafficData[[#This Row],[disposedAmount]]=TrafficData[[#This Row],[totalAmount]]</f>
        <v>1</v>
      </c>
      <c r="M1087" t="b">
        <f>TrafficData[[#This Row],[pendingCourt]]+TrafficData[[#This Row],[disposedCourt]]=TrafficData[[#This Row],[totalCourt]]</f>
        <v>1</v>
      </c>
      <c r="N1087" t="b">
        <f>AND(TrafficData[[#This Row],[disposedChallan]]&lt;=TrafficData[[#This Row],[totalChallan]],TrafficData[[#This Row],[pendingChallan]]&lt;=TrafficData[[#This Row],[totalChallan]])</f>
        <v>1</v>
      </c>
      <c r="O1087" t="b">
        <f>AND(TrafficData[[#This Row],[pendingAmount]]&lt;=TrafficData[[#This Row],[totalAmount]],TrafficData[[#This Row],[disposedAmount]]&lt;=TrafficData[[#This Row],[totalAmount]])</f>
        <v>1</v>
      </c>
      <c r="P1087" t="b">
        <f>AND(TrafficData[[#This Row],[pendingCourt]]&lt;=TrafficData[[#This Row],[totalCourt]],TrafficData[[#This Row],[disposedCourt]]&lt;=TrafficData[[#This Row],[totalCourt]])</f>
        <v>1</v>
      </c>
    </row>
    <row r="1088" spans="1:16">
      <c r="A1088" s="1">
        <v>43091</v>
      </c>
      <c r="B1088">
        <v>1828</v>
      </c>
      <c r="C1088">
        <v>1203</v>
      </c>
      <c r="D1088">
        <v>625</v>
      </c>
      <c r="E1088">
        <v>1646948</v>
      </c>
      <c r="F1088">
        <v>9093705</v>
      </c>
      <c r="G1088">
        <v>10740653</v>
      </c>
      <c r="H1088">
        <v>420</v>
      </c>
      <c r="I1088">
        <v>141</v>
      </c>
      <c r="J1088">
        <v>561</v>
      </c>
      <c r="K1088" t="b">
        <f>TrafficData[[#This Row],[disposedChallan]]+TrafficData[[#This Row],[pendingChallan]]=TrafficData[[#This Row],[totalChallan]]</f>
        <v>1</v>
      </c>
      <c r="L1088" t="b">
        <f>TrafficData[[#This Row],[pendingAmount]]+TrafficData[[#This Row],[disposedAmount]]=TrafficData[[#This Row],[totalAmount]]</f>
        <v>1</v>
      </c>
      <c r="M1088" t="b">
        <f>TrafficData[[#This Row],[pendingCourt]]+TrafficData[[#This Row],[disposedCourt]]=TrafficData[[#This Row],[totalCourt]]</f>
        <v>1</v>
      </c>
      <c r="N1088" t="b">
        <f>AND(TrafficData[[#This Row],[disposedChallan]]&lt;=TrafficData[[#This Row],[totalChallan]],TrafficData[[#This Row],[pendingChallan]]&lt;=TrafficData[[#This Row],[totalChallan]])</f>
        <v>1</v>
      </c>
      <c r="O1088" t="b">
        <f>AND(TrafficData[[#This Row],[pendingAmount]]&lt;=TrafficData[[#This Row],[totalAmount]],TrafficData[[#This Row],[disposedAmount]]&lt;=TrafficData[[#This Row],[totalAmount]])</f>
        <v>1</v>
      </c>
      <c r="P1088" t="b">
        <f>AND(TrafficData[[#This Row],[pendingCourt]]&lt;=TrafficData[[#This Row],[totalCourt]],TrafficData[[#This Row],[disposedCourt]]&lt;=TrafficData[[#This Row],[totalCourt]])</f>
        <v>1</v>
      </c>
    </row>
    <row r="1089" spans="1:16">
      <c r="A1089" s="1">
        <v>43092</v>
      </c>
      <c r="B1089">
        <v>1521</v>
      </c>
      <c r="C1089">
        <v>1041</v>
      </c>
      <c r="D1089">
        <v>480</v>
      </c>
      <c r="E1089">
        <v>1977650</v>
      </c>
      <c r="F1089">
        <v>9089165</v>
      </c>
      <c r="G1089">
        <v>11066815</v>
      </c>
      <c r="H1089">
        <v>312</v>
      </c>
      <c r="I1089">
        <v>101</v>
      </c>
      <c r="J1089">
        <v>413</v>
      </c>
      <c r="K1089" t="b">
        <f>TrafficData[[#This Row],[disposedChallan]]+TrafficData[[#This Row],[pendingChallan]]=TrafficData[[#This Row],[totalChallan]]</f>
        <v>1</v>
      </c>
      <c r="L1089" t="b">
        <f>TrafficData[[#This Row],[pendingAmount]]+TrafficData[[#This Row],[disposedAmount]]=TrafficData[[#This Row],[totalAmount]]</f>
        <v>1</v>
      </c>
      <c r="M1089" t="b">
        <f>TrafficData[[#This Row],[pendingCourt]]+TrafficData[[#This Row],[disposedCourt]]=TrafficData[[#This Row],[totalCourt]]</f>
        <v>1</v>
      </c>
      <c r="N1089" t="b">
        <f>AND(TrafficData[[#This Row],[disposedChallan]]&lt;=TrafficData[[#This Row],[totalChallan]],TrafficData[[#This Row],[pendingChallan]]&lt;=TrafficData[[#This Row],[totalChallan]])</f>
        <v>1</v>
      </c>
      <c r="O1089" t="b">
        <f>AND(TrafficData[[#This Row],[pendingAmount]]&lt;=TrafficData[[#This Row],[totalAmount]],TrafficData[[#This Row],[disposedAmount]]&lt;=TrafficData[[#This Row],[totalAmount]])</f>
        <v>1</v>
      </c>
      <c r="P1089" t="b">
        <f>AND(TrafficData[[#This Row],[pendingCourt]]&lt;=TrafficData[[#This Row],[totalCourt]],TrafficData[[#This Row],[disposedCourt]]&lt;=TrafficData[[#This Row],[totalCourt]])</f>
        <v>1</v>
      </c>
    </row>
    <row r="1090" spans="1:16">
      <c r="A1090" s="1">
        <v>43093</v>
      </c>
      <c r="B1090">
        <v>709</v>
      </c>
      <c r="C1090">
        <v>419</v>
      </c>
      <c r="D1090">
        <v>290</v>
      </c>
      <c r="E1090">
        <v>1132200</v>
      </c>
      <c r="F1090">
        <v>3794710</v>
      </c>
      <c r="G1090">
        <v>4926910</v>
      </c>
      <c r="H1090">
        <v>202</v>
      </c>
      <c r="I1090">
        <v>42</v>
      </c>
      <c r="J1090">
        <v>244</v>
      </c>
      <c r="K1090" t="b">
        <f>TrafficData[[#This Row],[disposedChallan]]+TrafficData[[#This Row],[pendingChallan]]=TrafficData[[#This Row],[totalChallan]]</f>
        <v>1</v>
      </c>
      <c r="L1090" t="b">
        <f>TrafficData[[#This Row],[pendingAmount]]+TrafficData[[#This Row],[disposedAmount]]=TrafficData[[#This Row],[totalAmount]]</f>
        <v>1</v>
      </c>
      <c r="M1090" t="b">
        <f>TrafficData[[#This Row],[pendingCourt]]+TrafficData[[#This Row],[disposedCourt]]=TrafficData[[#This Row],[totalCourt]]</f>
        <v>1</v>
      </c>
      <c r="N1090" t="b">
        <f>AND(TrafficData[[#This Row],[disposedChallan]]&lt;=TrafficData[[#This Row],[totalChallan]],TrafficData[[#This Row],[pendingChallan]]&lt;=TrafficData[[#This Row],[totalChallan]])</f>
        <v>1</v>
      </c>
      <c r="O1090" t="b">
        <f>AND(TrafficData[[#This Row],[pendingAmount]]&lt;=TrafficData[[#This Row],[totalAmount]],TrafficData[[#This Row],[disposedAmount]]&lt;=TrafficData[[#This Row],[totalAmount]])</f>
        <v>1</v>
      </c>
      <c r="P1090" t="b">
        <f>AND(TrafficData[[#This Row],[pendingCourt]]&lt;=TrafficData[[#This Row],[totalCourt]],TrafficData[[#This Row],[disposedCourt]]&lt;=TrafficData[[#This Row],[totalCourt]])</f>
        <v>1</v>
      </c>
    </row>
    <row r="1091" spans="1:16">
      <c r="A1091" s="1">
        <v>43094</v>
      </c>
      <c r="B1091">
        <v>763</v>
      </c>
      <c r="C1091">
        <v>474</v>
      </c>
      <c r="D1091">
        <v>289</v>
      </c>
      <c r="E1091">
        <v>710150</v>
      </c>
      <c r="F1091">
        <v>3563430</v>
      </c>
      <c r="G1091">
        <v>4273580</v>
      </c>
      <c r="H1091">
        <v>201</v>
      </c>
      <c r="I1091">
        <v>40</v>
      </c>
      <c r="J1091">
        <v>241</v>
      </c>
      <c r="K1091" t="b">
        <f>TrafficData[[#This Row],[disposedChallan]]+TrafficData[[#This Row],[pendingChallan]]=TrafficData[[#This Row],[totalChallan]]</f>
        <v>1</v>
      </c>
      <c r="L1091" t="b">
        <f>TrafficData[[#This Row],[pendingAmount]]+TrafficData[[#This Row],[disposedAmount]]=TrafficData[[#This Row],[totalAmount]]</f>
        <v>1</v>
      </c>
      <c r="M1091" t="b">
        <f>TrafficData[[#This Row],[pendingCourt]]+TrafficData[[#This Row],[disposedCourt]]=TrafficData[[#This Row],[totalCourt]]</f>
        <v>1</v>
      </c>
      <c r="N1091" t="b">
        <f>AND(TrafficData[[#This Row],[disposedChallan]]&lt;=TrafficData[[#This Row],[totalChallan]],TrafficData[[#This Row],[pendingChallan]]&lt;=TrafficData[[#This Row],[totalChallan]])</f>
        <v>1</v>
      </c>
      <c r="O1091" t="b">
        <f>AND(TrafficData[[#This Row],[pendingAmount]]&lt;=TrafficData[[#This Row],[totalAmount]],TrafficData[[#This Row],[disposedAmount]]&lt;=TrafficData[[#This Row],[totalAmount]])</f>
        <v>1</v>
      </c>
      <c r="P1091" t="b">
        <f>AND(TrafficData[[#This Row],[pendingCourt]]&lt;=TrafficData[[#This Row],[totalCourt]],TrafficData[[#This Row],[disposedCourt]]&lt;=TrafficData[[#This Row],[totalCourt]])</f>
        <v>1</v>
      </c>
    </row>
    <row r="1092" spans="1:16">
      <c r="A1092" s="1">
        <v>43095</v>
      </c>
      <c r="B1092">
        <v>1605</v>
      </c>
      <c r="C1092">
        <v>1021</v>
      </c>
      <c r="D1092">
        <v>584</v>
      </c>
      <c r="E1092">
        <v>1727000</v>
      </c>
      <c r="F1092">
        <v>6403129</v>
      </c>
      <c r="G1092">
        <v>8130129</v>
      </c>
      <c r="H1092">
        <v>450</v>
      </c>
      <c r="I1092">
        <v>112</v>
      </c>
      <c r="J1092">
        <v>562</v>
      </c>
      <c r="K1092" t="b">
        <f>TrafficData[[#This Row],[disposedChallan]]+TrafficData[[#This Row],[pendingChallan]]=TrafficData[[#This Row],[totalChallan]]</f>
        <v>1</v>
      </c>
      <c r="L1092" t="b">
        <f>TrafficData[[#This Row],[pendingAmount]]+TrafficData[[#This Row],[disposedAmount]]=TrafficData[[#This Row],[totalAmount]]</f>
        <v>1</v>
      </c>
      <c r="M1092" t="b">
        <f>TrafficData[[#This Row],[pendingCourt]]+TrafficData[[#This Row],[disposedCourt]]=TrafficData[[#This Row],[totalCourt]]</f>
        <v>1</v>
      </c>
      <c r="N1092" t="b">
        <f>AND(TrafficData[[#This Row],[disposedChallan]]&lt;=TrafficData[[#This Row],[totalChallan]],TrafficData[[#This Row],[pendingChallan]]&lt;=TrafficData[[#This Row],[totalChallan]])</f>
        <v>1</v>
      </c>
      <c r="O1092" t="b">
        <f>AND(TrafficData[[#This Row],[pendingAmount]]&lt;=TrafficData[[#This Row],[totalAmount]],TrafficData[[#This Row],[disposedAmount]]&lt;=TrafficData[[#This Row],[totalAmount]])</f>
        <v>1</v>
      </c>
      <c r="P1092" t="b">
        <f>AND(TrafficData[[#This Row],[pendingCourt]]&lt;=TrafficData[[#This Row],[totalCourt]],TrafficData[[#This Row],[disposedCourt]]&lt;=TrafficData[[#This Row],[totalCourt]])</f>
        <v>1</v>
      </c>
    </row>
    <row r="1093" spans="1:16">
      <c r="A1093" s="1">
        <v>43096</v>
      </c>
      <c r="B1093">
        <v>10447</v>
      </c>
      <c r="C1093">
        <v>7803</v>
      </c>
      <c r="D1093">
        <v>2644</v>
      </c>
      <c r="E1093">
        <v>6920000</v>
      </c>
      <c r="F1093">
        <v>9970999</v>
      </c>
      <c r="G1093">
        <v>16890999</v>
      </c>
      <c r="H1093">
        <v>2219</v>
      </c>
      <c r="I1093">
        <v>712</v>
      </c>
      <c r="J1093">
        <v>2931</v>
      </c>
      <c r="K1093" t="b">
        <f>TrafficData[[#This Row],[disposedChallan]]+TrafficData[[#This Row],[pendingChallan]]=TrafficData[[#This Row],[totalChallan]]</f>
        <v>1</v>
      </c>
      <c r="L1093" t="b">
        <f>TrafficData[[#This Row],[pendingAmount]]+TrafficData[[#This Row],[disposedAmount]]=TrafficData[[#This Row],[totalAmount]]</f>
        <v>1</v>
      </c>
      <c r="M1093" t="b">
        <f>TrafficData[[#This Row],[pendingCourt]]+TrafficData[[#This Row],[disposedCourt]]=TrafficData[[#This Row],[totalCourt]]</f>
        <v>1</v>
      </c>
      <c r="N1093" t="b">
        <f>AND(TrafficData[[#This Row],[disposedChallan]]&lt;=TrafficData[[#This Row],[totalChallan]],TrafficData[[#This Row],[pendingChallan]]&lt;=TrafficData[[#This Row],[totalChallan]])</f>
        <v>1</v>
      </c>
      <c r="O1093" t="b">
        <f>AND(TrafficData[[#This Row],[pendingAmount]]&lt;=TrafficData[[#This Row],[totalAmount]],TrafficData[[#This Row],[disposedAmount]]&lt;=TrafficData[[#This Row],[totalAmount]])</f>
        <v>1</v>
      </c>
      <c r="P1093" t="b">
        <f>AND(TrafficData[[#This Row],[pendingCourt]]&lt;=TrafficData[[#This Row],[totalCourt]],TrafficData[[#This Row],[disposedCourt]]&lt;=TrafficData[[#This Row],[totalCourt]])</f>
        <v>1</v>
      </c>
    </row>
    <row r="1094" spans="1:16">
      <c r="A1094" s="1">
        <v>43097</v>
      </c>
      <c r="B1094">
        <v>1807</v>
      </c>
      <c r="C1094">
        <v>1041</v>
      </c>
      <c r="D1094">
        <v>766</v>
      </c>
      <c r="E1094">
        <v>2200890</v>
      </c>
      <c r="F1094">
        <v>11087606</v>
      </c>
      <c r="G1094">
        <v>13288496</v>
      </c>
      <c r="H1094">
        <v>595</v>
      </c>
      <c r="I1094">
        <v>98</v>
      </c>
      <c r="J1094">
        <v>693</v>
      </c>
      <c r="K1094" t="b">
        <f>TrafficData[[#This Row],[disposedChallan]]+TrafficData[[#This Row],[pendingChallan]]=TrafficData[[#This Row],[totalChallan]]</f>
        <v>1</v>
      </c>
      <c r="L1094" t="b">
        <f>TrafficData[[#This Row],[pendingAmount]]+TrafficData[[#This Row],[disposedAmount]]=TrafficData[[#This Row],[totalAmount]]</f>
        <v>1</v>
      </c>
      <c r="M1094" t="b">
        <f>TrafficData[[#This Row],[pendingCourt]]+TrafficData[[#This Row],[disposedCourt]]=TrafficData[[#This Row],[totalCourt]]</f>
        <v>1</v>
      </c>
      <c r="N1094" t="b">
        <f>AND(TrafficData[[#This Row],[disposedChallan]]&lt;=TrafficData[[#This Row],[totalChallan]],TrafficData[[#This Row],[pendingChallan]]&lt;=TrafficData[[#This Row],[totalChallan]])</f>
        <v>1</v>
      </c>
      <c r="O1094" t="b">
        <f>AND(TrafficData[[#This Row],[pendingAmount]]&lt;=TrafficData[[#This Row],[totalAmount]],TrafficData[[#This Row],[disposedAmount]]&lt;=TrafficData[[#This Row],[totalAmount]])</f>
        <v>1</v>
      </c>
      <c r="P1094" t="b">
        <f>AND(TrafficData[[#This Row],[pendingCourt]]&lt;=TrafficData[[#This Row],[totalCourt]],TrafficData[[#This Row],[disposedCourt]]&lt;=TrafficData[[#This Row],[totalCourt]])</f>
        <v>1</v>
      </c>
    </row>
    <row r="1095" spans="1:16">
      <c r="A1095" s="1">
        <v>43098</v>
      </c>
      <c r="B1095">
        <v>2006</v>
      </c>
      <c r="C1095">
        <v>1227</v>
      </c>
      <c r="D1095">
        <v>779</v>
      </c>
      <c r="E1095">
        <v>2229275</v>
      </c>
      <c r="F1095">
        <v>11897400</v>
      </c>
      <c r="G1095">
        <v>14126675</v>
      </c>
      <c r="H1095">
        <v>620</v>
      </c>
      <c r="I1095">
        <v>114</v>
      </c>
      <c r="J1095">
        <v>734</v>
      </c>
      <c r="K1095" t="b">
        <f>TrafficData[[#This Row],[disposedChallan]]+TrafficData[[#This Row],[pendingChallan]]=TrafficData[[#This Row],[totalChallan]]</f>
        <v>1</v>
      </c>
      <c r="L1095" t="b">
        <f>TrafficData[[#This Row],[pendingAmount]]+TrafficData[[#This Row],[disposedAmount]]=TrafficData[[#This Row],[totalAmount]]</f>
        <v>1</v>
      </c>
      <c r="M1095" t="b">
        <f>TrafficData[[#This Row],[pendingCourt]]+TrafficData[[#This Row],[disposedCourt]]=TrafficData[[#This Row],[totalCourt]]</f>
        <v>1</v>
      </c>
      <c r="N1095" t="b">
        <f>AND(TrafficData[[#This Row],[disposedChallan]]&lt;=TrafficData[[#This Row],[totalChallan]],TrafficData[[#This Row],[pendingChallan]]&lt;=TrafficData[[#This Row],[totalChallan]])</f>
        <v>1</v>
      </c>
      <c r="O1095" t="b">
        <f>AND(TrafficData[[#This Row],[pendingAmount]]&lt;=TrafficData[[#This Row],[totalAmount]],TrafficData[[#This Row],[disposedAmount]]&lt;=TrafficData[[#This Row],[totalAmount]])</f>
        <v>1</v>
      </c>
      <c r="P1095" t="b">
        <f>AND(TrafficData[[#This Row],[pendingCourt]]&lt;=TrafficData[[#This Row],[totalCourt]],TrafficData[[#This Row],[disposedCourt]]&lt;=TrafficData[[#This Row],[totalCourt]])</f>
        <v>1</v>
      </c>
    </row>
    <row r="1096" spans="1:16">
      <c r="A1096" s="1">
        <v>43099</v>
      </c>
      <c r="B1096">
        <v>1487</v>
      </c>
      <c r="C1096">
        <v>810</v>
      </c>
      <c r="D1096">
        <v>677</v>
      </c>
      <c r="E1096">
        <v>1137200</v>
      </c>
      <c r="F1096">
        <v>5924402</v>
      </c>
      <c r="G1096">
        <v>7061602</v>
      </c>
      <c r="H1096">
        <v>545</v>
      </c>
      <c r="I1096">
        <v>129</v>
      </c>
      <c r="J1096">
        <v>674</v>
      </c>
      <c r="K1096" t="b">
        <f>TrafficData[[#This Row],[disposedChallan]]+TrafficData[[#This Row],[pendingChallan]]=TrafficData[[#This Row],[totalChallan]]</f>
        <v>1</v>
      </c>
      <c r="L1096" t="b">
        <f>TrafficData[[#This Row],[pendingAmount]]+TrafficData[[#This Row],[disposedAmount]]=TrafficData[[#This Row],[totalAmount]]</f>
        <v>1</v>
      </c>
      <c r="M1096" t="b">
        <f>TrafficData[[#This Row],[pendingCourt]]+TrafficData[[#This Row],[disposedCourt]]=TrafficData[[#This Row],[totalCourt]]</f>
        <v>1</v>
      </c>
      <c r="N1096" t="b">
        <f>AND(TrafficData[[#This Row],[disposedChallan]]&lt;=TrafficData[[#This Row],[totalChallan]],TrafficData[[#This Row],[pendingChallan]]&lt;=TrafficData[[#This Row],[totalChallan]])</f>
        <v>1</v>
      </c>
      <c r="O1096" t="b">
        <f>AND(TrafficData[[#This Row],[pendingAmount]]&lt;=TrafficData[[#This Row],[totalAmount]],TrafficData[[#This Row],[disposedAmount]]&lt;=TrafficData[[#This Row],[totalAmount]])</f>
        <v>1</v>
      </c>
      <c r="P1096" t="b">
        <f>AND(TrafficData[[#This Row],[pendingCourt]]&lt;=TrafficData[[#This Row],[totalCourt]],TrafficData[[#This Row],[disposedCourt]]&lt;=TrafficData[[#This Row],[totalCourt]])</f>
        <v>1</v>
      </c>
    </row>
    <row r="1097" spans="1:16">
      <c r="A1097" s="1">
        <v>43100</v>
      </c>
      <c r="B1097">
        <v>760</v>
      </c>
      <c r="C1097">
        <v>430</v>
      </c>
      <c r="D1097">
        <v>330</v>
      </c>
      <c r="E1097">
        <v>708510</v>
      </c>
      <c r="F1097">
        <v>2412248</v>
      </c>
      <c r="G1097">
        <v>3120758</v>
      </c>
      <c r="H1097">
        <v>249</v>
      </c>
      <c r="I1097">
        <v>43</v>
      </c>
      <c r="J1097">
        <v>292</v>
      </c>
      <c r="K1097" t="b">
        <f>TrafficData[[#This Row],[disposedChallan]]+TrafficData[[#This Row],[pendingChallan]]=TrafficData[[#This Row],[totalChallan]]</f>
        <v>1</v>
      </c>
      <c r="L1097" t="b">
        <f>TrafficData[[#This Row],[pendingAmount]]+TrafficData[[#This Row],[disposedAmount]]=TrafficData[[#This Row],[totalAmount]]</f>
        <v>1</v>
      </c>
      <c r="M1097" t="b">
        <f>TrafficData[[#This Row],[pendingCourt]]+TrafficData[[#This Row],[disposedCourt]]=TrafficData[[#This Row],[totalCourt]]</f>
        <v>1</v>
      </c>
      <c r="N1097" t="b">
        <f>AND(TrafficData[[#This Row],[disposedChallan]]&lt;=TrafficData[[#This Row],[totalChallan]],TrafficData[[#This Row],[pendingChallan]]&lt;=TrafficData[[#This Row],[totalChallan]])</f>
        <v>1</v>
      </c>
      <c r="O1097" t="b">
        <f>AND(TrafficData[[#This Row],[pendingAmount]]&lt;=TrafficData[[#This Row],[totalAmount]],TrafficData[[#This Row],[disposedAmount]]&lt;=TrafficData[[#This Row],[totalAmount]])</f>
        <v>1</v>
      </c>
      <c r="P1097" t="b">
        <f>AND(TrafficData[[#This Row],[pendingCourt]]&lt;=TrafficData[[#This Row],[totalCourt]],TrafficData[[#This Row],[disposedCourt]]&lt;=TrafficData[[#This Row],[totalCourt]])</f>
        <v>1</v>
      </c>
    </row>
    <row r="1098" spans="1:16">
      <c r="A1098" s="1">
        <v>43101</v>
      </c>
      <c r="B1098">
        <v>853</v>
      </c>
      <c r="C1098">
        <v>484</v>
      </c>
      <c r="D1098">
        <v>369</v>
      </c>
      <c r="E1098">
        <v>1120800</v>
      </c>
      <c r="F1098">
        <v>1992875</v>
      </c>
      <c r="G1098">
        <v>3113675</v>
      </c>
      <c r="H1098">
        <v>247</v>
      </c>
      <c r="I1098">
        <v>46</v>
      </c>
      <c r="J1098">
        <v>293</v>
      </c>
      <c r="K1098" t="b">
        <f>TrafficData[[#This Row],[disposedChallan]]+TrafficData[[#This Row],[pendingChallan]]=TrafficData[[#This Row],[totalChallan]]</f>
        <v>1</v>
      </c>
      <c r="L1098" t="b">
        <f>TrafficData[[#This Row],[pendingAmount]]+TrafficData[[#This Row],[disposedAmount]]=TrafficData[[#This Row],[totalAmount]]</f>
        <v>1</v>
      </c>
      <c r="M1098" t="b">
        <f>TrafficData[[#This Row],[pendingCourt]]+TrafficData[[#This Row],[disposedCourt]]=TrafficData[[#This Row],[totalCourt]]</f>
        <v>1</v>
      </c>
      <c r="N1098" t="b">
        <f>AND(TrafficData[[#This Row],[disposedChallan]]&lt;=TrafficData[[#This Row],[totalChallan]],TrafficData[[#This Row],[pendingChallan]]&lt;=TrafficData[[#This Row],[totalChallan]])</f>
        <v>1</v>
      </c>
      <c r="O1098" t="b">
        <f>AND(TrafficData[[#This Row],[pendingAmount]]&lt;=TrafficData[[#This Row],[totalAmount]],TrafficData[[#This Row],[disposedAmount]]&lt;=TrafficData[[#This Row],[totalAmount]])</f>
        <v>1</v>
      </c>
      <c r="P1098" t="b">
        <f>AND(TrafficData[[#This Row],[pendingCourt]]&lt;=TrafficData[[#This Row],[totalCourt]],TrafficData[[#This Row],[disposedCourt]]&lt;=TrafficData[[#This Row],[totalCourt]])</f>
        <v>1</v>
      </c>
    </row>
    <row r="1099" spans="1:16">
      <c r="A1099" s="1">
        <v>43102</v>
      </c>
      <c r="B1099">
        <v>1630</v>
      </c>
      <c r="C1099">
        <v>1024</v>
      </c>
      <c r="D1099">
        <v>606</v>
      </c>
      <c r="E1099">
        <v>2496849</v>
      </c>
      <c r="F1099">
        <v>7211668</v>
      </c>
      <c r="G1099">
        <v>9708517</v>
      </c>
      <c r="H1099">
        <v>442</v>
      </c>
      <c r="I1099">
        <v>129</v>
      </c>
      <c r="J1099">
        <v>571</v>
      </c>
      <c r="K1099" t="b">
        <f>TrafficData[[#This Row],[disposedChallan]]+TrafficData[[#This Row],[pendingChallan]]=TrafficData[[#This Row],[totalChallan]]</f>
        <v>1</v>
      </c>
      <c r="L1099" t="b">
        <f>TrafficData[[#This Row],[pendingAmount]]+TrafficData[[#This Row],[disposedAmount]]=TrafficData[[#This Row],[totalAmount]]</f>
        <v>1</v>
      </c>
      <c r="M1099" t="b">
        <f>TrafficData[[#This Row],[pendingCourt]]+TrafficData[[#This Row],[disposedCourt]]=TrafficData[[#This Row],[totalCourt]]</f>
        <v>1</v>
      </c>
      <c r="N1099" t="b">
        <f>AND(TrafficData[[#This Row],[disposedChallan]]&lt;=TrafficData[[#This Row],[totalChallan]],TrafficData[[#This Row],[pendingChallan]]&lt;=TrafficData[[#This Row],[totalChallan]])</f>
        <v>1</v>
      </c>
      <c r="O1099" t="b">
        <f>AND(TrafficData[[#This Row],[pendingAmount]]&lt;=TrafficData[[#This Row],[totalAmount]],TrafficData[[#This Row],[disposedAmount]]&lt;=TrafficData[[#This Row],[totalAmount]])</f>
        <v>1</v>
      </c>
      <c r="P1099" t="b">
        <f>AND(TrafficData[[#This Row],[pendingCourt]]&lt;=TrafficData[[#This Row],[totalCourt]],TrafficData[[#This Row],[disposedCourt]]&lt;=TrafficData[[#This Row],[totalCourt]])</f>
        <v>1</v>
      </c>
    </row>
    <row r="1100" spans="1:16">
      <c r="A1100" s="1">
        <v>43103</v>
      </c>
      <c r="B1100">
        <v>9851</v>
      </c>
      <c r="C1100">
        <v>7490</v>
      </c>
      <c r="D1100">
        <v>2361</v>
      </c>
      <c r="E1100">
        <v>6672801</v>
      </c>
      <c r="F1100">
        <v>11313410</v>
      </c>
      <c r="G1100">
        <v>17986211</v>
      </c>
      <c r="H1100">
        <v>2141</v>
      </c>
      <c r="I1100">
        <v>827</v>
      </c>
      <c r="J1100">
        <v>2968</v>
      </c>
      <c r="K1100" t="b">
        <f>TrafficData[[#This Row],[disposedChallan]]+TrafficData[[#This Row],[pendingChallan]]=TrafficData[[#This Row],[totalChallan]]</f>
        <v>1</v>
      </c>
      <c r="L1100" t="b">
        <f>TrafficData[[#This Row],[pendingAmount]]+TrafficData[[#This Row],[disposedAmount]]=TrafficData[[#This Row],[totalAmount]]</f>
        <v>1</v>
      </c>
      <c r="M1100" t="b">
        <f>TrafficData[[#This Row],[pendingCourt]]+TrafficData[[#This Row],[disposedCourt]]=TrafficData[[#This Row],[totalCourt]]</f>
        <v>1</v>
      </c>
      <c r="N1100" t="b">
        <f>AND(TrafficData[[#This Row],[disposedChallan]]&lt;=TrafficData[[#This Row],[totalChallan]],TrafficData[[#This Row],[pendingChallan]]&lt;=TrafficData[[#This Row],[totalChallan]])</f>
        <v>1</v>
      </c>
      <c r="O1100" t="b">
        <f>AND(TrafficData[[#This Row],[pendingAmount]]&lt;=TrafficData[[#This Row],[totalAmount]],TrafficData[[#This Row],[disposedAmount]]&lt;=TrafficData[[#This Row],[totalAmount]])</f>
        <v>1</v>
      </c>
      <c r="P1100" t="b">
        <f>AND(TrafficData[[#This Row],[pendingCourt]]&lt;=TrafficData[[#This Row],[totalCourt]],TrafficData[[#This Row],[disposedCourt]]&lt;=TrafficData[[#This Row],[totalCourt]])</f>
        <v>1</v>
      </c>
    </row>
    <row r="1101" spans="1:16">
      <c r="A1101" s="1">
        <v>43104</v>
      </c>
      <c r="B1101">
        <v>2267</v>
      </c>
      <c r="C1101">
        <v>1370</v>
      </c>
      <c r="D1101">
        <v>897</v>
      </c>
      <c r="E1101">
        <v>3206699</v>
      </c>
      <c r="F1101">
        <v>11105909</v>
      </c>
      <c r="G1101">
        <v>14312608</v>
      </c>
      <c r="H1101">
        <v>731</v>
      </c>
      <c r="I1101">
        <v>229</v>
      </c>
      <c r="J1101">
        <v>960</v>
      </c>
      <c r="K1101" t="b">
        <f>TrafficData[[#This Row],[disposedChallan]]+TrafficData[[#This Row],[pendingChallan]]=TrafficData[[#This Row],[totalChallan]]</f>
        <v>1</v>
      </c>
      <c r="L1101" t="b">
        <f>TrafficData[[#This Row],[pendingAmount]]+TrafficData[[#This Row],[disposedAmount]]=TrafficData[[#This Row],[totalAmount]]</f>
        <v>1</v>
      </c>
      <c r="M1101" t="b">
        <f>TrafficData[[#This Row],[pendingCourt]]+TrafficData[[#This Row],[disposedCourt]]=TrafficData[[#This Row],[totalCourt]]</f>
        <v>1</v>
      </c>
      <c r="N1101" t="b">
        <f>AND(TrafficData[[#This Row],[disposedChallan]]&lt;=TrafficData[[#This Row],[totalChallan]],TrafficData[[#This Row],[pendingChallan]]&lt;=TrafficData[[#This Row],[totalChallan]])</f>
        <v>1</v>
      </c>
      <c r="O1101" t="b">
        <f>AND(TrafficData[[#This Row],[pendingAmount]]&lt;=TrafficData[[#This Row],[totalAmount]],TrafficData[[#This Row],[disposedAmount]]&lt;=TrafficData[[#This Row],[totalAmount]])</f>
        <v>1</v>
      </c>
      <c r="P1101" t="b">
        <f>AND(TrafficData[[#This Row],[pendingCourt]]&lt;=TrafficData[[#This Row],[totalCourt]],TrafficData[[#This Row],[disposedCourt]]&lt;=TrafficData[[#This Row],[totalCourt]])</f>
        <v>1</v>
      </c>
    </row>
    <row r="1102" spans="1:16">
      <c r="A1102" s="1">
        <v>43105</v>
      </c>
      <c r="B1102">
        <v>2175</v>
      </c>
      <c r="C1102">
        <v>1360</v>
      </c>
      <c r="D1102">
        <v>815</v>
      </c>
      <c r="E1102">
        <v>2184325</v>
      </c>
      <c r="F1102">
        <v>13756828</v>
      </c>
      <c r="G1102">
        <v>15941153</v>
      </c>
      <c r="H1102">
        <v>635</v>
      </c>
      <c r="I1102">
        <v>216</v>
      </c>
      <c r="J1102">
        <v>851</v>
      </c>
      <c r="K1102" t="b">
        <f>TrafficData[[#This Row],[disposedChallan]]+TrafficData[[#This Row],[pendingChallan]]=TrafficData[[#This Row],[totalChallan]]</f>
        <v>1</v>
      </c>
      <c r="L1102" t="b">
        <f>TrafficData[[#This Row],[pendingAmount]]+TrafficData[[#This Row],[disposedAmount]]=TrafficData[[#This Row],[totalAmount]]</f>
        <v>1</v>
      </c>
      <c r="M1102" t="b">
        <f>TrafficData[[#This Row],[pendingCourt]]+TrafficData[[#This Row],[disposedCourt]]=TrafficData[[#This Row],[totalCourt]]</f>
        <v>1</v>
      </c>
      <c r="N1102" t="b">
        <f>AND(TrafficData[[#This Row],[disposedChallan]]&lt;=TrafficData[[#This Row],[totalChallan]],TrafficData[[#This Row],[pendingChallan]]&lt;=TrafficData[[#This Row],[totalChallan]])</f>
        <v>1</v>
      </c>
      <c r="O1102" t="b">
        <f>AND(TrafficData[[#This Row],[pendingAmount]]&lt;=TrafficData[[#This Row],[totalAmount]],TrafficData[[#This Row],[disposedAmount]]&lt;=TrafficData[[#This Row],[totalAmount]])</f>
        <v>1</v>
      </c>
      <c r="P1102" t="b">
        <f>AND(TrafficData[[#This Row],[pendingCourt]]&lt;=TrafficData[[#This Row],[totalCourt]],TrafficData[[#This Row],[disposedCourt]]&lt;=TrafficData[[#This Row],[totalCourt]])</f>
        <v>1</v>
      </c>
    </row>
    <row r="1103" spans="1:16">
      <c r="A1103" s="1">
        <v>43106</v>
      </c>
      <c r="B1103">
        <v>1807</v>
      </c>
      <c r="C1103">
        <v>1031</v>
      </c>
      <c r="D1103">
        <v>776</v>
      </c>
      <c r="E1103">
        <v>1859952</v>
      </c>
      <c r="F1103">
        <v>8407466</v>
      </c>
      <c r="G1103">
        <v>10267418</v>
      </c>
      <c r="H1103">
        <v>615</v>
      </c>
      <c r="I1103">
        <v>183</v>
      </c>
      <c r="J1103">
        <v>798</v>
      </c>
      <c r="K1103" t="b">
        <f>TrafficData[[#This Row],[disposedChallan]]+TrafficData[[#This Row],[pendingChallan]]=TrafficData[[#This Row],[totalChallan]]</f>
        <v>1</v>
      </c>
      <c r="L1103" t="b">
        <f>TrafficData[[#This Row],[pendingAmount]]+TrafficData[[#This Row],[disposedAmount]]=TrafficData[[#This Row],[totalAmount]]</f>
        <v>1</v>
      </c>
      <c r="M1103" t="b">
        <f>TrafficData[[#This Row],[pendingCourt]]+TrafficData[[#This Row],[disposedCourt]]=TrafficData[[#This Row],[totalCourt]]</f>
        <v>1</v>
      </c>
      <c r="N1103" t="b">
        <f>AND(TrafficData[[#This Row],[disposedChallan]]&lt;=TrafficData[[#This Row],[totalChallan]],TrafficData[[#This Row],[pendingChallan]]&lt;=TrafficData[[#This Row],[totalChallan]])</f>
        <v>1</v>
      </c>
      <c r="O1103" t="b">
        <f>AND(TrafficData[[#This Row],[pendingAmount]]&lt;=TrafficData[[#This Row],[totalAmount]],TrafficData[[#This Row],[disposedAmount]]&lt;=TrafficData[[#This Row],[totalAmount]])</f>
        <v>1</v>
      </c>
      <c r="P1103" t="b">
        <f>AND(TrafficData[[#This Row],[pendingCourt]]&lt;=TrafficData[[#This Row],[totalCourt]],TrafficData[[#This Row],[disposedCourt]]&lt;=TrafficData[[#This Row],[totalCourt]])</f>
        <v>1</v>
      </c>
    </row>
    <row r="1104" spans="1:16">
      <c r="A1104" s="1">
        <v>43107</v>
      </c>
      <c r="B1104">
        <v>1418</v>
      </c>
      <c r="C1104">
        <v>839</v>
      </c>
      <c r="D1104">
        <v>579</v>
      </c>
      <c r="E1104">
        <v>1976500</v>
      </c>
      <c r="F1104">
        <v>8078193</v>
      </c>
      <c r="G1104">
        <v>10054693</v>
      </c>
      <c r="H1104">
        <v>436</v>
      </c>
      <c r="I1104">
        <v>157</v>
      </c>
      <c r="J1104">
        <v>593</v>
      </c>
      <c r="K1104" t="b">
        <f>TrafficData[[#This Row],[disposedChallan]]+TrafficData[[#This Row],[pendingChallan]]=TrafficData[[#This Row],[totalChallan]]</f>
        <v>1</v>
      </c>
      <c r="L1104" t="b">
        <f>TrafficData[[#This Row],[pendingAmount]]+TrafficData[[#This Row],[disposedAmount]]=TrafficData[[#This Row],[totalAmount]]</f>
        <v>1</v>
      </c>
      <c r="M1104" t="b">
        <f>TrafficData[[#This Row],[pendingCourt]]+TrafficData[[#This Row],[disposedCourt]]=TrafficData[[#This Row],[totalCourt]]</f>
        <v>1</v>
      </c>
      <c r="N1104" t="b">
        <f>AND(TrafficData[[#This Row],[disposedChallan]]&lt;=TrafficData[[#This Row],[totalChallan]],TrafficData[[#This Row],[pendingChallan]]&lt;=TrafficData[[#This Row],[totalChallan]])</f>
        <v>1</v>
      </c>
      <c r="O1104" t="b">
        <f>AND(TrafficData[[#This Row],[pendingAmount]]&lt;=TrafficData[[#This Row],[totalAmount]],TrafficData[[#This Row],[disposedAmount]]&lt;=TrafficData[[#This Row],[totalAmount]])</f>
        <v>1</v>
      </c>
      <c r="P1104" t="b">
        <f>AND(TrafficData[[#This Row],[pendingCourt]]&lt;=TrafficData[[#This Row],[totalCourt]],TrafficData[[#This Row],[disposedCourt]]&lt;=TrafficData[[#This Row],[totalCourt]])</f>
        <v>1</v>
      </c>
    </row>
    <row r="1105" spans="1:16">
      <c r="A1105" s="1">
        <v>43108</v>
      </c>
      <c r="B1105">
        <v>1900</v>
      </c>
      <c r="C1105">
        <v>1198</v>
      </c>
      <c r="D1105">
        <v>702</v>
      </c>
      <c r="E1105">
        <v>2625250</v>
      </c>
      <c r="F1105">
        <v>10294597</v>
      </c>
      <c r="G1105">
        <v>12919847</v>
      </c>
      <c r="H1105">
        <v>504</v>
      </c>
      <c r="I1105">
        <v>184</v>
      </c>
      <c r="J1105">
        <v>688</v>
      </c>
      <c r="K1105" t="b">
        <f>TrafficData[[#This Row],[disposedChallan]]+TrafficData[[#This Row],[pendingChallan]]=TrafficData[[#This Row],[totalChallan]]</f>
        <v>1</v>
      </c>
      <c r="L1105" t="b">
        <f>TrafficData[[#This Row],[pendingAmount]]+TrafficData[[#This Row],[disposedAmount]]=TrafficData[[#This Row],[totalAmount]]</f>
        <v>1</v>
      </c>
      <c r="M1105" t="b">
        <f>TrafficData[[#This Row],[pendingCourt]]+TrafficData[[#This Row],[disposedCourt]]=TrafficData[[#This Row],[totalCourt]]</f>
        <v>1</v>
      </c>
      <c r="N1105" t="b">
        <f>AND(TrafficData[[#This Row],[disposedChallan]]&lt;=TrafficData[[#This Row],[totalChallan]],TrafficData[[#This Row],[pendingChallan]]&lt;=TrafficData[[#This Row],[totalChallan]])</f>
        <v>1</v>
      </c>
      <c r="O1105" t="b">
        <f>AND(TrafficData[[#This Row],[pendingAmount]]&lt;=TrafficData[[#This Row],[totalAmount]],TrafficData[[#This Row],[disposedAmount]]&lt;=TrafficData[[#This Row],[totalAmount]])</f>
        <v>1</v>
      </c>
      <c r="P1105" t="b">
        <f>AND(TrafficData[[#This Row],[pendingCourt]]&lt;=TrafficData[[#This Row],[totalCourt]],TrafficData[[#This Row],[disposedCourt]]&lt;=TrafficData[[#This Row],[totalCourt]])</f>
        <v>1</v>
      </c>
    </row>
    <row r="1106" spans="1:16">
      <c r="A1106" s="1">
        <v>43109</v>
      </c>
      <c r="B1106">
        <v>2192</v>
      </c>
      <c r="C1106">
        <v>1330</v>
      </c>
      <c r="D1106">
        <v>862</v>
      </c>
      <c r="E1106">
        <v>2661000</v>
      </c>
      <c r="F1106">
        <v>12684142</v>
      </c>
      <c r="G1106">
        <v>15345142</v>
      </c>
      <c r="H1106">
        <v>656</v>
      </c>
      <c r="I1106">
        <v>231</v>
      </c>
      <c r="J1106">
        <v>887</v>
      </c>
      <c r="K1106" t="b">
        <f>TrafficData[[#This Row],[disposedChallan]]+TrafficData[[#This Row],[pendingChallan]]=TrafficData[[#This Row],[totalChallan]]</f>
        <v>1</v>
      </c>
      <c r="L1106" t="b">
        <f>TrafficData[[#This Row],[pendingAmount]]+TrafficData[[#This Row],[disposedAmount]]=TrafficData[[#This Row],[totalAmount]]</f>
        <v>1</v>
      </c>
      <c r="M1106" t="b">
        <f>TrafficData[[#This Row],[pendingCourt]]+TrafficData[[#This Row],[disposedCourt]]=TrafficData[[#This Row],[totalCourt]]</f>
        <v>1</v>
      </c>
      <c r="N1106" t="b">
        <f>AND(TrafficData[[#This Row],[disposedChallan]]&lt;=TrafficData[[#This Row],[totalChallan]],TrafficData[[#This Row],[pendingChallan]]&lt;=TrafficData[[#This Row],[totalChallan]])</f>
        <v>1</v>
      </c>
      <c r="O1106" t="b">
        <f>AND(TrafficData[[#This Row],[pendingAmount]]&lt;=TrafficData[[#This Row],[totalAmount]],TrafficData[[#This Row],[disposedAmount]]&lt;=TrafficData[[#This Row],[totalAmount]])</f>
        <v>1</v>
      </c>
      <c r="P1106" t="b">
        <f>AND(TrafficData[[#This Row],[pendingCourt]]&lt;=TrafficData[[#This Row],[totalCourt]],TrafficData[[#This Row],[disposedCourt]]&lt;=TrafficData[[#This Row],[totalCourt]])</f>
        <v>1</v>
      </c>
    </row>
    <row r="1107" spans="1:16">
      <c r="A1107" s="1">
        <v>43110</v>
      </c>
      <c r="B1107">
        <v>11570</v>
      </c>
      <c r="C1107">
        <v>8373</v>
      </c>
      <c r="D1107">
        <v>3197</v>
      </c>
      <c r="E1107">
        <v>8709284</v>
      </c>
      <c r="F1107">
        <v>11617002</v>
      </c>
      <c r="G1107">
        <v>20326286</v>
      </c>
      <c r="H1107">
        <v>2805</v>
      </c>
      <c r="I1107">
        <v>843</v>
      </c>
      <c r="J1107">
        <v>3648</v>
      </c>
      <c r="K1107" t="b">
        <f>TrafficData[[#This Row],[disposedChallan]]+TrafficData[[#This Row],[pendingChallan]]=TrafficData[[#This Row],[totalChallan]]</f>
        <v>1</v>
      </c>
      <c r="L1107" t="b">
        <f>TrafficData[[#This Row],[pendingAmount]]+TrafficData[[#This Row],[disposedAmount]]=TrafficData[[#This Row],[totalAmount]]</f>
        <v>1</v>
      </c>
      <c r="M1107" t="b">
        <f>TrafficData[[#This Row],[pendingCourt]]+TrafficData[[#This Row],[disposedCourt]]=TrafficData[[#This Row],[totalCourt]]</f>
        <v>1</v>
      </c>
      <c r="N1107" t="b">
        <f>AND(TrafficData[[#This Row],[disposedChallan]]&lt;=TrafficData[[#This Row],[totalChallan]],TrafficData[[#This Row],[pendingChallan]]&lt;=TrafficData[[#This Row],[totalChallan]])</f>
        <v>1</v>
      </c>
      <c r="O1107" t="b">
        <f>AND(TrafficData[[#This Row],[pendingAmount]]&lt;=TrafficData[[#This Row],[totalAmount]],TrafficData[[#This Row],[disposedAmount]]&lt;=TrafficData[[#This Row],[totalAmount]])</f>
        <v>1</v>
      </c>
      <c r="P1107" t="b">
        <f>AND(TrafficData[[#This Row],[pendingCourt]]&lt;=TrafficData[[#This Row],[totalCourt]],TrafficData[[#This Row],[disposedCourt]]&lt;=TrafficData[[#This Row],[totalCourt]])</f>
        <v>1</v>
      </c>
    </row>
    <row r="1108" spans="1:16">
      <c r="A1108" s="1">
        <v>43111</v>
      </c>
      <c r="B1108">
        <v>2339</v>
      </c>
      <c r="C1108">
        <v>1366</v>
      </c>
      <c r="D1108">
        <v>973</v>
      </c>
      <c r="E1108">
        <v>2943025</v>
      </c>
      <c r="F1108">
        <v>12081282</v>
      </c>
      <c r="G1108">
        <v>15024307</v>
      </c>
      <c r="H1108">
        <v>728</v>
      </c>
      <c r="I1108">
        <v>168</v>
      </c>
      <c r="J1108">
        <v>896</v>
      </c>
      <c r="K1108" t="b">
        <f>TrafficData[[#This Row],[disposedChallan]]+TrafficData[[#This Row],[pendingChallan]]=TrafficData[[#This Row],[totalChallan]]</f>
        <v>1</v>
      </c>
      <c r="L1108" t="b">
        <f>TrafficData[[#This Row],[pendingAmount]]+TrafficData[[#This Row],[disposedAmount]]=TrafficData[[#This Row],[totalAmount]]</f>
        <v>1</v>
      </c>
      <c r="M1108" t="b">
        <f>TrafficData[[#This Row],[pendingCourt]]+TrafficData[[#This Row],[disposedCourt]]=TrafficData[[#This Row],[totalCourt]]</f>
        <v>1</v>
      </c>
      <c r="N1108" t="b">
        <f>AND(TrafficData[[#This Row],[disposedChallan]]&lt;=TrafficData[[#This Row],[totalChallan]],TrafficData[[#This Row],[pendingChallan]]&lt;=TrafficData[[#This Row],[totalChallan]])</f>
        <v>1</v>
      </c>
      <c r="O1108" t="b">
        <f>AND(TrafficData[[#This Row],[pendingAmount]]&lt;=TrafficData[[#This Row],[totalAmount]],TrafficData[[#This Row],[disposedAmount]]&lt;=TrafficData[[#This Row],[totalAmount]])</f>
        <v>1</v>
      </c>
      <c r="P1108" t="b">
        <f>AND(TrafficData[[#This Row],[pendingCourt]]&lt;=TrafficData[[#This Row],[totalCourt]],TrafficData[[#This Row],[disposedCourt]]&lt;=TrafficData[[#This Row],[totalCourt]])</f>
        <v>1</v>
      </c>
    </row>
    <row r="1109" spans="1:16">
      <c r="A1109" s="1">
        <v>43112</v>
      </c>
      <c r="B1109">
        <v>2297</v>
      </c>
      <c r="C1109">
        <v>1419</v>
      </c>
      <c r="D1109">
        <v>878</v>
      </c>
      <c r="E1109">
        <v>4294900</v>
      </c>
      <c r="F1109">
        <v>13267621</v>
      </c>
      <c r="G1109">
        <v>17562521</v>
      </c>
      <c r="H1109">
        <v>639</v>
      </c>
      <c r="I1109">
        <v>155</v>
      </c>
      <c r="J1109">
        <v>794</v>
      </c>
      <c r="K1109" t="b">
        <f>TrafficData[[#This Row],[disposedChallan]]+TrafficData[[#This Row],[pendingChallan]]=TrafficData[[#This Row],[totalChallan]]</f>
        <v>1</v>
      </c>
      <c r="L1109" t="b">
        <f>TrafficData[[#This Row],[pendingAmount]]+TrafficData[[#This Row],[disposedAmount]]=TrafficData[[#This Row],[totalAmount]]</f>
        <v>1</v>
      </c>
      <c r="M1109" t="b">
        <f>TrafficData[[#This Row],[pendingCourt]]+TrafficData[[#This Row],[disposedCourt]]=TrafficData[[#This Row],[totalCourt]]</f>
        <v>1</v>
      </c>
      <c r="N1109" t="b">
        <f>AND(TrafficData[[#This Row],[disposedChallan]]&lt;=TrafficData[[#This Row],[totalChallan]],TrafficData[[#This Row],[pendingChallan]]&lt;=TrafficData[[#This Row],[totalChallan]])</f>
        <v>1</v>
      </c>
      <c r="O1109" t="b">
        <f>AND(TrafficData[[#This Row],[pendingAmount]]&lt;=TrafficData[[#This Row],[totalAmount]],TrafficData[[#This Row],[disposedAmount]]&lt;=TrafficData[[#This Row],[totalAmount]])</f>
        <v>1</v>
      </c>
      <c r="P1109" t="b">
        <f>AND(TrafficData[[#This Row],[pendingCourt]]&lt;=TrafficData[[#This Row],[totalCourt]],TrafficData[[#This Row],[disposedCourt]]&lt;=TrafficData[[#This Row],[totalCourt]])</f>
        <v>1</v>
      </c>
    </row>
    <row r="1110" spans="1:16">
      <c r="A1110" s="1">
        <v>43113</v>
      </c>
      <c r="B1110">
        <v>1846</v>
      </c>
      <c r="C1110">
        <v>1111</v>
      </c>
      <c r="D1110">
        <v>735</v>
      </c>
      <c r="E1110">
        <v>2779700</v>
      </c>
      <c r="F1110">
        <v>12047226</v>
      </c>
      <c r="G1110">
        <v>14826926</v>
      </c>
      <c r="H1110">
        <v>554</v>
      </c>
      <c r="I1110">
        <v>220</v>
      </c>
      <c r="J1110">
        <v>774</v>
      </c>
      <c r="K1110" t="b">
        <f>TrafficData[[#This Row],[disposedChallan]]+TrafficData[[#This Row],[pendingChallan]]=TrafficData[[#This Row],[totalChallan]]</f>
        <v>1</v>
      </c>
      <c r="L1110" t="b">
        <f>TrafficData[[#This Row],[pendingAmount]]+TrafficData[[#This Row],[disposedAmount]]=TrafficData[[#This Row],[totalAmount]]</f>
        <v>1</v>
      </c>
      <c r="M1110" t="b">
        <f>TrafficData[[#This Row],[pendingCourt]]+TrafficData[[#This Row],[disposedCourt]]=TrafficData[[#This Row],[totalCourt]]</f>
        <v>1</v>
      </c>
      <c r="N1110" t="b">
        <f>AND(TrafficData[[#This Row],[disposedChallan]]&lt;=TrafficData[[#This Row],[totalChallan]],TrafficData[[#This Row],[pendingChallan]]&lt;=TrafficData[[#This Row],[totalChallan]])</f>
        <v>1</v>
      </c>
      <c r="O1110" t="b">
        <f>AND(TrafficData[[#This Row],[pendingAmount]]&lt;=TrafficData[[#This Row],[totalAmount]],TrafficData[[#This Row],[disposedAmount]]&lt;=TrafficData[[#This Row],[totalAmount]])</f>
        <v>1</v>
      </c>
      <c r="P1110" t="b">
        <f>AND(TrafficData[[#This Row],[pendingCourt]]&lt;=TrafficData[[#This Row],[totalCourt]],TrafficData[[#This Row],[disposedCourt]]&lt;=TrafficData[[#This Row],[totalCourt]])</f>
        <v>1</v>
      </c>
    </row>
    <row r="1111" spans="1:16">
      <c r="A1111" s="1">
        <v>43114</v>
      </c>
      <c r="B1111">
        <v>1564</v>
      </c>
      <c r="C1111">
        <v>1119</v>
      </c>
      <c r="D1111">
        <v>445</v>
      </c>
      <c r="E1111">
        <v>2826800</v>
      </c>
      <c r="F1111">
        <v>12126160</v>
      </c>
      <c r="G1111">
        <v>14952960</v>
      </c>
      <c r="H1111">
        <v>380</v>
      </c>
      <c r="I1111">
        <v>265</v>
      </c>
      <c r="J1111">
        <v>645</v>
      </c>
      <c r="K1111" t="b">
        <f>TrafficData[[#This Row],[disposedChallan]]+TrafficData[[#This Row],[pendingChallan]]=TrafficData[[#This Row],[totalChallan]]</f>
        <v>1</v>
      </c>
      <c r="L1111" t="b">
        <f>TrafficData[[#This Row],[pendingAmount]]+TrafficData[[#This Row],[disposedAmount]]=TrafficData[[#This Row],[totalAmount]]</f>
        <v>1</v>
      </c>
      <c r="M1111" t="b">
        <f>TrafficData[[#This Row],[pendingCourt]]+TrafficData[[#This Row],[disposedCourt]]=TrafficData[[#This Row],[totalCourt]]</f>
        <v>1</v>
      </c>
      <c r="N1111" t="b">
        <f>AND(TrafficData[[#This Row],[disposedChallan]]&lt;=TrafficData[[#This Row],[totalChallan]],TrafficData[[#This Row],[pendingChallan]]&lt;=TrafficData[[#This Row],[totalChallan]])</f>
        <v>1</v>
      </c>
      <c r="O1111" t="b">
        <f>AND(TrafficData[[#This Row],[pendingAmount]]&lt;=TrafficData[[#This Row],[totalAmount]],TrafficData[[#This Row],[disposedAmount]]&lt;=TrafficData[[#This Row],[totalAmount]])</f>
        <v>1</v>
      </c>
      <c r="P1111" t="b">
        <f>AND(TrafficData[[#This Row],[pendingCourt]]&lt;=TrafficData[[#This Row],[totalCourt]],TrafficData[[#This Row],[disposedCourt]]&lt;=TrafficData[[#This Row],[totalCourt]])</f>
        <v>1</v>
      </c>
    </row>
    <row r="1112" spans="1:16">
      <c r="A1112" s="1">
        <v>43115</v>
      </c>
      <c r="B1112">
        <v>2202</v>
      </c>
      <c r="C1112">
        <v>1326</v>
      </c>
      <c r="D1112">
        <v>876</v>
      </c>
      <c r="E1112">
        <v>3553500</v>
      </c>
      <c r="F1112">
        <v>12839755</v>
      </c>
      <c r="G1112">
        <v>16393255</v>
      </c>
      <c r="H1112">
        <v>691</v>
      </c>
      <c r="I1112">
        <v>159</v>
      </c>
      <c r="J1112">
        <v>850</v>
      </c>
      <c r="K1112" t="b">
        <f>TrafficData[[#This Row],[disposedChallan]]+TrafficData[[#This Row],[pendingChallan]]=TrafficData[[#This Row],[totalChallan]]</f>
        <v>1</v>
      </c>
      <c r="L1112" t="b">
        <f>TrafficData[[#This Row],[pendingAmount]]+TrafficData[[#This Row],[disposedAmount]]=TrafficData[[#This Row],[totalAmount]]</f>
        <v>1</v>
      </c>
      <c r="M1112" t="b">
        <f>TrafficData[[#This Row],[pendingCourt]]+TrafficData[[#This Row],[disposedCourt]]=TrafficData[[#This Row],[totalCourt]]</f>
        <v>1</v>
      </c>
      <c r="N1112" t="b">
        <f>AND(TrafficData[[#This Row],[disposedChallan]]&lt;=TrafficData[[#This Row],[totalChallan]],TrafficData[[#This Row],[pendingChallan]]&lt;=TrafficData[[#This Row],[totalChallan]])</f>
        <v>1</v>
      </c>
      <c r="O1112" t="b">
        <f>AND(TrafficData[[#This Row],[pendingAmount]]&lt;=TrafficData[[#This Row],[totalAmount]],TrafficData[[#This Row],[disposedAmount]]&lt;=TrafficData[[#This Row],[totalAmount]])</f>
        <v>1</v>
      </c>
      <c r="P1112" t="b">
        <f>AND(TrafficData[[#This Row],[pendingCourt]]&lt;=TrafficData[[#This Row],[totalCourt]],TrafficData[[#This Row],[disposedCourt]]&lt;=TrafficData[[#This Row],[totalCourt]])</f>
        <v>1</v>
      </c>
    </row>
    <row r="1113" spans="1:16">
      <c r="A1113" s="1">
        <v>43116</v>
      </c>
      <c r="B1113">
        <v>2557</v>
      </c>
      <c r="C1113">
        <v>1518</v>
      </c>
      <c r="D1113">
        <v>1039</v>
      </c>
      <c r="E1113">
        <v>4879300</v>
      </c>
      <c r="F1113">
        <v>16874080</v>
      </c>
      <c r="G1113">
        <v>21753380</v>
      </c>
      <c r="H1113">
        <v>797</v>
      </c>
      <c r="I1113">
        <v>237</v>
      </c>
      <c r="J1113">
        <v>1034</v>
      </c>
      <c r="K1113" t="b">
        <f>TrafficData[[#This Row],[disposedChallan]]+TrafficData[[#This Row],[pendingChallan]]=TrafficData[[#This Row],[totalChallan]]</f>
        <v>1</v>
      </c>
      <c r="L1113" t="b">
        <f>TrafficData[[#This Row],[pendingAmount]]+TrafficData[[#This Row],[disposedAmount]]=TrafficData[[#This Row],[totalAmount]]</f>
        <v>1</v>
      </c>
      <c r="M1113" t="b">
        <f>TrafficData[[#This Row],[pendingCourt]]+TrafficData[[#This Row],[disposedCourt]]=TrafficData[[#This Row],[totalCourt]]</f>
        <v>1</v>
      </c>
      <c r="N1113" t="b">
        <f>AND(TrafficData[[#This Row],[disposedChallan]]&lt;=TrafficData[[#This Row],[totalChallan]],TrafficData[[#This Row],[pendingChallan]]&lt;=TrafficData[[#This Row],[totalChallan]])</f>
        <v>1</v>
      </c>
      <c r="O1113" t="b">
        <f>AND(TrafficData[[#This Row],[pendingAmount]]&lt;=TrafficData[[#This Row],[totalAmount]],TrafficData[[#This Row],[disposedAmount]]&lt;=TrafficData[[#This Row],[totalAmount]])</f>
        <v>1</v>
      </c>
      <c r="P1113" t="b">
        <f>AND(TrafficData[[#This Row],[pendingCourt]]&lt;=TrafficData[[#This Row],[totalCourt]],TrafficData[[#This Row],[disposedCourt]]&lt;=TrafficData[[#This Row],[totalCourt]])</f>
        <v>1</v>
      </c>
    </row>
    <row r="1114" spans="1:16">
      <c r="A1114" s="1">
        <v>43117</v>
      </c>
      <c r="B1114">
        <v>10854</v>
      </c>
      <c r="C1114">
        <v>7890</v>
      </c>
      <c r="D1114">
        <v>2964</v>
      </c>
      <c r="E1114">
        <v>9234525</v>
      </c>
      <c r="F1114">
        <v>13029546</v>
      </c>
      <c r="G1114">
        <v>22264071</v>
      </c>
      <c r="H1114">
        <v>2593</v>
      </c>
      <c r="I1114">
        <v>673</v>
      </c>
      <c r="J1114">
        <v>3266</v>
      </c>
      <c r="K1114" t="b">
        <f>TrafficData[[#This Row],[disposedChallan]]+TrafficData[[#This Row],[pendingChallan]]=TrafficData[[#This Row],[totalChallan]]</f>
        <v>1</v>
      </c>
      <c r="L1114" t="b">
        <f>TrafficData[[#This Row],[pendingAmount]]+TrafficData[[#This Row],[disposedAmount]]=TrafficData[[#This Row],[totalAmount]]</f>
        <v>1</v>
      </c>
      <c r="M1114" t="b">
        <f>TrafficData[[#This Row],[pendingCourt]]+TrafficData[[#This Row],[disposedCourt]]=TrafficData[[#This Row],[totalCourt]]</f>
        <v>1</v>
      </c>
      <c r="N1114" t="b">
        <f>AND(TrafficData[[#This Row],[disposedChallan]]&lt;=TrafficData[[#This Row],[totalChallan]],TrafficData[[#This Row],[pendingChallan]]&lt;=TrafficData[[#This Row],[totalChallan]])</f>
        <v>1</v>
      </c>
      <c r="O1114" t="b">
        <f>AND(TrafficData[[#This Row],[pendingAmount]]&lt;=TrafficData[[#This Row],[totalAmount]],TrafficData[[#This Row],[disposedAmount]]&lt;=TrafficData[[#This Row],[totalAmount]])</f>
        <v>1</v>
      </c>
      <c r="P1114" t="b">
        <f>AND(TrafficData[[#This Row],[pendingCourt]]&lt;=TrafficData[[#This Row],[totalCourt]],TrafficData[[#This Row],[disposedCourt]]&lt;=TrafficData[[#This Row],[totalCourt]])</f>
        <v>1</v>
      </c>
    </row>
    <row r="1115" spans="1:16">
      <c r="A1115" s="1">
        <v>43118</v>
      </c>
      <c r="B1115">
        <v>2468</v>
      </c>
      <c r="C1115">
        <v>1606</v>
      </c>
      <c r="D1115">
        <v>862</v>
      </c>
      <c r="E1115">
        <v>4410975</v>
      </c>
      <c r="F1115">
        <v>15702884</v>
      </c>
      <c r="G1115">
        <v>20113859</v>
      </c>
      <c r="H1115">
        <v>628</v>
      </c>
      <c r="I1115">
        <v>243</v>
      </c>
      <c r="J1115">
        <v>871</v>
      </c>
      <c r="K1115" t="b">
        <f>TrafficData[[#This Row],[disposedChallan]]+TrafficData[[#This Row],[pendingChallan]]=TrafficData[[#This Row],[totalChallan]]</f>
        <v>1</v>
      </c>
      <c r="L1115" t="b">
        <f>TrafficData[[#This Row],[pendingAmount]]+TrafficData[[#This Row],[disposedAmount]]=TrafficData[[#This Row],[totalAmount]]</f>
        <v>1</v>
      </c>
      <c r="M1115" t="b">
        <f>TrafficData[[#This Row],[pendingCourt]]+TrafficData[[#This Row],[disposedCourt]]=TrafficData[[#This Row],[totalCourt]]</f>
        <v>1</v>
      </c>
      <c r="N1115" t="b">
        <f>AND(TrafficData[[#This Row],[disposedChallan]]&lt;=TrafficData[[#This Row],[totalChallan]],TrafficData[[#This Row],[pendingChallan]]&lt;=TrafficData[[#This Row],[totalChallan]])</f>
        <v>1</v>
      </c>
      <c r="O1115" t="b">
        <f>AND(TrafficData[[#This Row],[pendingAmount]]&lt;=TrafficData[[#This Row],[totalAmount]],TrafficData[[#This Row],[disposedAmount]]&lt;=TrafficData[[#This Row],[totalAmount]])</f>
        <v>1</v>
      </c>
      <c r="P1115" t="b">
        <f>AND(TrafficData[[#This Row],[pendingCourt]]&lt;=TrafficData[[#This Row],[totalCourt]],TrafficData[[#This Row],[disposedCourt]]&lt;=TrafficData[[#This Row],[totalCourt]])</f>
        <v>1</v>
      </c>
    </row>
    <row r="1116" spans="1:16">
      <c r="A1116" s="1">
        <v>43119</v>
      </c>
      <c r="B1116">
        <v>2466</v>
      </c>
      <c r="C1116">
        <v>1514</v>
      </c>
      <c r="D1116">
        <v>952</v>
      </c>
      <c r="E1116">
        <v>5143050</v>
      </c>
      <c r="F1116">
        <v>15226845</v>
      </c>
      <c r="G1116">
        <v>20369895</v>
      </c>
      <c r="H1116">
        <v>721</v>
      </c>
      <c r="I1116">
        <v>339</v>
      </c>
      <c r="J1116">
        <v>1060</v>
      </c>
      <c r="K1116" t="b">
        <f>TrafficData[[#This Row],[disposedChallan]]+TrafficData[[#This Row],[pendingChallan]]=TrafficData[[#This Row],[totalChallan]]</f>
        <v>1</v>
      </c>
      <c r="L1116" t="b">
        <f>TrafficData[[#This Row],[pendingAmount]]+TrafficData[[#This Row],[disposedAmount]]=TrafficData[[#This Row],[totalAmount]]</f>
        <v>1</v>
      </c>
      <c r="M1116" t="b">
        <f>TrafficData[[#This Row],[pendingCourt]]+TrafficData[[#This Row],[disposedCourt]]=TrafficData[[#This Row],[totalCourt]]</f>
        <v>1</v>
      </c>
      <c r="N1116" t="b">
        <f>AND(TrafficData[[#This Row],[disposedChallan]]&lt;=TrafficData[[#This Row],[totalChallan]],TrafficData[[#This Row],[pendingChallan]]&lt;=TrafficData[[#This Row],[totalChallan]])</f>
        <v>1</v>
      </c>
      <c r="O1116" t="b">
        <f>AND(TrafficData[[#This Row],[pendingAmount]]&lt;=TrafficData[[#This Row],[totalAmount]],TrafficData[[#This Row],[disposedAmount]]&lt;=TrafficData[[#This Row],[totalAmount]])</f>
        <v>1</v>
      </c>
      <c r="P1116" t="b">
        <f>AND(TrafficData[[#This Row],[pendingCourt]]&lt;=TrafficData[[#This Row],[totalCourt]],TrafficData[[#This Row],[disposedCourt]]&lt;=TrafficData[[#This Row],[totalCourt]])</f>
        <v>1</v>
      </c>
    </row>
    <row r="1117" spans="1:16">
      <c r="A1117" s="1">
        <v>43120</v>
      </c>
      <c r="B1117">
        <v>2654</v>
      </c>
      <c r="C1117">
        <v>1715</v>
      </c>
      <c r="D1117">
        <v>939</v>
      </c>
      <c r="E1117">
        <v>6075725</v>
      </c>
      <c r="F1117">
        <v>17560262</v>
      </c>
      <c r="G1117">
        <v>23635987</v>
      </c>
      <c r="H1117">
        <v>695</v>
      </c>
      <c r="I1117">
        <v>424</v>
      </c>
      <c r="J1117">
        <v>1119</v>
      </c>
      <c r="K1117" t="b">
        <f>TrafficData[[#This Row],[disposedChallan]]+TrafficData[[#This Row],[pendingChallan]]=TrafficData[[#This Row],[totalChallan]]</f>
        <v>1</v>
      </c>
      <c r="L1117" t="b">
        <f>TrafficData[[#This Row],[pendingAmount]]+TrafficData[[#This Row],[disposedAmount]]=TrafficData[[#This Row],[totalAmount]]</f>
        <v>1</v>
      </c>
      <c r="M1117" t="b">
        <f>TrafficData[[#This Row],[pendingCourt]]+TrafficData[[#This Row],[disposedCourt]]=TrafficData[[#This Row],[totalCourt]]</f>
        <v>1</v>
      </c>
      <c r="N1117" t="b">
        <f>AND(TrafficData[[#This Row],[disposedChallan]]&lt;=TrafficData[[#This Row],[totalChallan]],TrafficData[[#This Row],[pendingChallan]]&lt;=TrafficData[[#This Row],[totalChallan]])</f>
        <v>1</v>
      </c>
      <c r="O1117" t="b">
        <f>AND(TrafficData[[#This Row],[pendingAmount]]&lt;=TrafficData[[#This Row],[totalAmount]],TrafficData[[#This Row],[disposedAmount]]&lt;=TrafficData[[#This Row],[totalAmount]])</f>
        <v>1</v>
      </c>
      <c r="P1117" t="b">
        <f>AND(TrafficData[[#This Row],[pendingCourt]]&lt;=TrafficData[[#This Row],[totalCourt]],TrafficData[[#This Row],[disposedCourt]]&lt;=TrafficData[[#This Row],[totalCourt]])</f>
        <v>1</v>
      </c>
    </row>
    <row r="1118" spans="1:16">
      <c r="A1118" s="1">
        <v>43121</v>
      </c>
      <c r="B1118">
        <v>1711</v>
      </c>
      <c r="C1118">
        <v>1205</v>
      </c>
      <c r="D1118">
        <v>506</v>
      </c>
      <c r="E1118">
        <v>2836200</v>
      </c>
      <c r="F1118">
        <v>12508107</v>
      </c>
      <c r="G1118">
        <v>15344307</v>
      </c>
      <c r="H1118">
        <v>401</v>
      </c>
      <c r="I1118">
        <v>342</v>
      </c>
      <c r="J1118">
        <v>743</v>
      </c>
      <c r="K1118" t="b">
        <f>TrafficData[[#This Row],[disposedChallan]]+TrafficData[[#This Row],[pendingChallan]]=TrafficData[[#This Row],[totalChallan]]</f>
        <v>1</v>
      </c>
      <c r="L1118" t="b">
        <f>TrafficData[[#This Row],[pendingAmount]]+TrafficData[[#This Row],[disposedAmount]]=TrafficData[[#This Row],[totalAmount]]</f>
        <v>1</v>
      </c>
      <c r="M1118" t="b">
        <f>TrafficData[[#This Row],[pendingCourt]]+TrafficData[[#This Row],[disposedCourt]]=TrafficData[[#This Row],[totalCourt]]</f>
        <v>1</v>
      </c>
      <c r="N1118" t="b">
        <f>AND(TrafficData[[#This Row],[disposedChallan]]&lt;=TrafficData[[#This Row],[totalChallan]],TrafficData[[#This Row],[pendingChallan]]&lt;=TrafficData[[#This Row],[totalChallan]])</f>
        <v>1</v>
      </c>
      <c r="O1118" t="b">
        <f>AND(TrafficData[[#This Row],[pendingAmount]]&lt;=TrafficData[[#This Row],[totalAmount]],TrafficData[[#This Row],[disposedAmount]]&lt;=TrafficData[[#This Row],[totalAmount]])</f>
        <v>1</v>
      </c>
      <c r="P1118" t="b">
        <f>AND(TrafficData[[#This Row],[pendingCourt]]&lt;=TrafficData[[#This Row],[totalCourt]],TrafficData[[#This Row],[disposedCourt]]&lt;=TrafficData[[#This Row],[totalCourt]])</f>
        <v>1</v>
      </c>
    </row>
    <row r="1119" spans="1:16">
      <c r="A1119" s="1">
        <v>43122</v>
      </c>
      <c r="B1119">
        <v>1809</v>
      </c>
      <c r="C1119">
        <v>1067</v>
      </c>
      <c r="D1119">
        <v>742</v>
      </c>
      <c r="E1119">
        <v>3167900</v>
      </c>
      <c r="F1119">
        <v>11076245</v>
      </c>
      <c r="G1119">
        <v>14244145</v>
      </c>
      <c r="H1119">
        <v>551</v>
      </c>
      <c r="I1119">
        <v>178</v>
      </c>
      <c r="J1119">
        <v>729</v>
      </c>
      <c r="K1119" t="b">
        <f>TrafficData[[#This Row],[disposedChallan]]+TrafficData[[#This Row],[pendingChallan]]=TrafficData[[#This Row],[totalChallan]]</f>
        <v>1</v>
      </c>
      <c r="L1119" t="b">
        <f>TrafficData[[#This Row],[pendingAmount]]+TrafficData[[#This Row],[disposedAmount]]=TrafficData[[#This Row],[totalAmount]]</f>
        <v>1</v>
      </c>
      <c r="M1119" t="b">
        <f>TrafficData[[#This Row],[pendingCourt]]+TrafficData[[#This Row],[disposedCourt]]=TrafficData[[#This Row],[totalCourt]]</f>
        <v>1</v>
      </c>
      <c r="N1119" t="b">
        <f>AND(TrafficData[[#This Row],[disposedChallan]]&lt;=TrafficData[[#This Row],[totalChallan]],TrafficData[[#This Row],[pendingChallan]]&lt;=TrafficData[[#This Row],[totalChallan]])</f>
        <v>1</v>
      </c>
      <c r="O1119" t="b">
        <f>AND(TrafficData[[#This Row],[pendingAmount]]&lt;=TrafficData[[#This Row],[totalAmount]],TrafficData[[#This Row],[disposedAmount]]&lt;=TrafficData[[#This Row],[totalAmount]])</f>
        <v>1</v>
      </c>
      <c r="P1119" t="b">
        <f>AND(TrafficData[[#This Row],[pendingCourt]]&lt;=TrafficData[[#This Row],[totalCourt]],TrafficData[[#This Row],[disposedCourt]]&lt;=TrafficData[[#This Row],[totalCourt]])</f>
        <v>1</v>
      </c>
    </row>
    <row r="1120" spans="1:16">
      <c r="A1120" s="1">
        <v>43123</v>
      </c>
      <c r="B1120">
        <v>1637</v>
      </c>
      <c r="C1120">
        <v>1050</v>
      </c>
      <c r="D1120">
        <v>587</v>
      </c>
      <c r="E1120">
        <v>2635325</v>
      </c>
      <c r="F1120">
        <v>11095948</v>
      </c>
      <c r="G1120">
        <v>13731273</v>
      </c>
      <c r="H1120">
        <v>428</v>
      </c>
      <c r="I1120">
        <v>168</v>
      </c>
      <c r="J1120">
        <v>596</v>
      </c>
      <c r="K1120" t="b">
        <f>TrafficData[[#This Row],[disposedChallan]]+TrafficData[[#This Row],[pendingChallan]]=TrafficData[[#This Row],[totalChallan]]</f>
        <v>1</v>
      </c>
      <c r="L1120" t="b">
        <f>TrafficData[[#This Row],[pendingAmount]]+TrafficData[[#This Row],[disposedAmount]]=TrafficData[[#This Row],[totalAmount]]</f>
        <v>1</v>
      </c>
      <c r="M1120" t="b">
        <f>TrafficData[[#This Row],[pendingCourt]]+TrafficData[[#This Row],[disposedCourt]]=TrafficData[[#This Row],[totalCourt]]</f>
        <v>1</v>
      </c>
      <c r="N1120" t="b">
        <f>AND(TrafficData[[#This Row],[disposedChallan]]&lt;=TrafficData[[#This Row],[totalChallan]],TrafficData[[#This Row],[pendingChallan]]&lt;=TrafficData[[#This Row],[totalChallan]])</f>
        <v>1</v>
      </c>
      <c r="O1120" t="b">
        <f>AND(TrafficData[[#This Row],[pendingAmount]]&lt;=TrafficData[[#This Row],[totalAmount]],TrafficData[[#This Row],[disposedAmount]]&lt;=TrafficData[[#This Row],[totalAmount]])</f>
        <v>1</v>
      </c>
      <c r="P1120" t="b">
        <f>AND(TrafficData[[#This Row],[pendingCourt]]&lt;=TrafficData[[#This Row],[totalCourt]],TrafficData[[#This Row],[disposedCourt]]&lt;=TrafficData[[#This Row],[totalCourt]])</f>
        <v>1</v>
      </c>
    </row>
    <row r="1121" spans="1:16">
      <c r="A1121" s="1">
        <v>43124</v>
      </c>
      <c r="B1121">
        <v>11069</v>
      </c>
      <c r="C1121">
        <v>7841</v>
      </c>
      <c r="D1121">
        <v>3228</v>
      </c>
      <c r="E1121">
        <v>9615683</v>
      </c>
      <c r="F1121">
        <v>12233244</v>
      </c>
      <c r="G1121">
        <v>21848927</v>
      </c>
      <c r="H1121">
        <v>2810</v>
      </c>
      <c r="I1121">
        <v>696</v>
      </c>
      <c r="J1121">
        <v>3506</v>
      </c>
      <c r="K1121" t="b">
        <f>TrafficData[[#This Row],[disposedChallan]]+TrafficData[[#This Row],[pendingChallan]]=TrafficData[[#This Row],[totalChallan]]</f>
        <v>1</v>
      </c>
      <c r="L1121" t="b">
        <f>TrafficData[[#This Row],[pendingAmount]]+TrafficData[[#This Row],[disposedAmount]]=TrafficData[[#This Row],[totalAmount]]</f>
        <v>1</v>
      </c>
      <c r="M1121" t="b">
        <f>TrafficData[[#This Row],[pendingCourt]]+TrafficData[[#This Row],[disposedCourt]]=TrafficData[[#This Row],[totalCourt]]</f>
        <v>1</v>
      </c>
      <c r="N1121" t="b">
        <f>AND(TrafficData[[#This Row],[disposedChallan]]&lt;=TrafficData[[#This Row],[totalChallan]],TrafficData[[#This Row],[pendingChallan]]&lt;=TrafficData[[#This Row],[totalChallan]])</f>
        <v>1</v>
      </c>
      <c r="O1121" t="b">
        <f>AND(TrafficData[[#This Row],[pendingAmount]]&lt;=TrafficData[[#This Row],[totalAmount]],TrafficData[[#This Row],[disposedAmount]]&lt;=TrafficData[[#This Row],[totalAmount]])</f>
        <v>1</v>
      </c>
      <c r="P1121" t="b">
        <f>AND(TrafficData[[#This Row],[pendingCourt]]&lt;=TrafficData[[#This Row],[totalCourt]],TrafficData[[#This Row],[disposedCourt]]&lt;=TrafficData[[#This Row],[totalCourt]])</f>
        <v>1</v>
      </c>
    </row>
    <row r="1122" spans="1:16">
      <c r="A1122" s="1">
        <v>43125</v>
      </c>
      <c r="B1122">
        <v>1847</v>
      </c>
      <c r="C1122">
        <v>1261</v>
      </c>
      <c r="D1122">
        <v>586</v>
      </c>
      <c r="E1122">
        <v>3427081</v>
      </c>
      <c r="F1122">
        <v>11408120</v>
      </c>
      <c r="G1122">
        <v>14835201</v>
      </c>
      <c r="H1122">
        <v>346</v>
      </c>
      <c r="I1122">
        <v>146</v>
      </c>
      <c r="J1122">
        <v>492</v>
      </c>
      <c r="K1122" t="b">
        <f>TrafficData[[#This Row],[disposedChallan]]+TrafficData[[#This Row],[pendingChallan]]=TrafficData[[#This Row],[totalChallan]]</f>
        <v>1</v>
      </c>
      <c r="L1122" t="b">
        <f>TrafficData[[#This Row],[pendingAmount]]+TrafficData[[#This Row],[disposedAmount]]=TrafficData[[#This Row],[totalAmount]]</f>
        <v>1</v>
      </c>
      <c r="M1122" t="b">
        <f>TrafficData[[#This Row],[pendingCourt]]+TrafficData[[#This Row],[disposedCourt]]=TrafficData[[#This Row],[totalCourt]]</f>
        <v>1</v>
      </c>
      <c r="N1122" t="b">
        <f>AND(TrafficData[[#This Row],[disposedChallan]]&lt;=TrafficData[[#This Row],[totalChallan]],TrafficData[[#This Row],[pendingChallan]]&lt;=TrafficData[[#This Row],[totalChallan]])</f>
        <v>1</v>
      </c>
      <c r="O1122" t="b">
        <f>AND(TrafficData[[#This Row],[pendingAmount]]&lt;=TrafficData[[#This Row],[totalAmount]],TrafficData[[#This Row],[disposedAmount]]&lt;=TrafficData[[#This Row],[totalAmount]])</f>
        <v>1</v>
      </c>
      <c r="P1122" t="b">
        <f>AND(TrafficData[[#This Row],[pendingCourt]]&lt;=TrafficData[[#This Row],[totalCourt]],TrafficData[[#This Row],[disposedCourt]]&lt;=TrafficData[[#This Row],[totalCourt]])</f>
        <v>1</v>
      </c>
    </row>
    <row r="1123" spans="1:16">
      <c r="A1123" s="1">
        <v>43126</v>
      </c>
      <c r="B1123">
        <v>910</v>
      </c>
      <c r="C1123">
        <v>707</v>
      </c>
      <c r="D1123">
        <v>203</v>
      </c>
      <c r="E1123">
        <v>1252550</v>
      </c>
      <c r="F1123">
        <v>12417951</v>
      </c>
      <c r="G1123">
        <v>13670501</v>
      </c>
      <c r="H1123">
        <v>128</v>
      </c>
      <c r="I1123">
        <v>139</v>
      </c>
      <c r="J1123">
        <v>267</v>
      </c>
      <c r="K1123" t="b">
        <f>TrafficData[[#This Row],[disposedChallan]]+TrafficData[[#This Row],[pendingChallan]]=TrafficData[[#This Row],[totalChallan]]</f>
        <v>1</v>
      </c>
      <c r="L1123" t="b">
        <f>TrafficData[[#This Row],[pendingAmount]]+TrafficData[[#This Row],[disposedAmount]]=TrafficData[[#This Row],[totalAmount]]</f>
        <v>1</v>
      </c>
      <c r="M1123" t="b">
        <f>TrafficData[[#This Row],[pendingCourt]]+TrafficData[[#This Row],[disposedCourt]]=TrafficData[[#This Row],[totalCourt]]</f>
        <v>1</v>
      </c>
      <c r="N1123" t="b">
        <f>AND(TrafficData[[#This Row],[disposedChallan]]&lt;=TrafficData[[#This Row],[totalChallan]],TrafficData[[#This Row],[pendingChallan]]&lt;=TrafficData[[#This Row],[totalChallan]])</f>
        <v>1</v>
      </c>
      <c r="O1123" t="b">
        <f>AND(TrafficData[[#This Row],[pendingAmount]]&lt;=TrafficData[[#This Row],[totalAmount]],TrafficData[[#This Row],[disposedAmount]]&lt;=TrafficData[[#This Row],[totalAmount]])</f>
        <v>1</v>
      </c>
      <c r="P1123" t="b">
        <f>AND(TrafficData[[#This Row],[pendingCourt]]&lt;=TrafficData[[#This Row],[totalCourt]],TrafficData[[#This Row],[disposedCourt]]&lt;=TrafficData[[#This Row],[totalCourt]])</f>
        <v>1</v>
      </c>
    </row>
    <row r="1124" spans="1:16">
      <c r="A1124" s="1">
        <v>43127</v>
      </c>
      <c r="B1124">
        <v>1482</v>
      </c>
      <c r="C1124">
        <v>937</v>
      </c>
      <c r="D1124">
        <v>545</v>
      </c>
      <c r="E1124">
        <v>1680801</v>
      </c>
      <c r="F1124">
        <v>8924449</v>
      </c>
      <c r="G1124">
        <v>10605250</v>
      </c>
      <c r="H1124">
        <v>415</v>
      </c>
      <c r="I1124">
        <v>140</v>
      </c>
      <c r="J1124">
        <v>555</v>
      </c>
      <c r="K1124" t="b">
        <f>TrafficData[[#This Row],[disposedChallan]]+TrafficData[[#This Row],[pendingChallan]]=TrafficData[[#This Row],[totalChallan]]</f>
        <v>1</v>
      </c>
      <c r="L1124" t="b">
        <f>TrafficData[[#This Row],[pendingAmount]]+TrafficData[[#This Row],[disposedAmount]]=TrafficData[[#This Row],[totalAmount]]</f>
        <v>1</v>
      </c>
      <c r="M1124" t="b">
        <f>TrafficData[[#This Row],[pendingCourt]]+TrafficData[[#This Row],[disposedCourt]]=TrafficData[[#This Row],[totalCourt]]</f>
        <v>1</v>
      </c>
      <c r="N1124" t="b">
        <f>AND(TrafficData[[#This Row],[disposedChallan]]&lt;=TrafficData[[#This Row],[totalChallan]],TrafficData[[#This Row],[pendingChallan]]&lt;=TrafficData[[#This Row],[totalChallan]])</f>
        <v>1</v>
      </c>
      <c r="O1124" t="b">
        <f>AND(TrafficData[[#This Row],[pendingAmount]]&lt;=TrafficData[[#This Row],[totalAmount]],TrafficData[[#This Row],[disposedAmount]]&lt;=TrafficData[[#This Row],[totalAmount]])</f>
        <v>1</v>
      </c>
      <c r="P1124" t="b">
        <f>AND(TrafficData[[#This Row],[pendingCourt]]&lt;=TrafficData[[#This Row],[totalCourt]],TrafficData[[#This Row],[disposedCourt]]&lt;=TrafficData[[#This Row],[totalCourt]])</f>
        <v>1</v>
      </c>
    </row>
    <row r="1125" spans="1:16">
      <c r="A1125" s="1">
        <v>43128</v>
      </c>
      <c r="B1125">
        <v>986</v>
      </c>
      <c r="C1125">
        <v>623</v>
      </c>
      <c r="D1125">
        <v>363</v>
      </c>
      <c r="E1125">
        <v>1181900</v>
      </c>
      <c r="F1125">
        <v>6703299</v>
      </c>
      <c r="G1125">
        <v>7885199</v>
      </c>
      <c r="H1125">
        <v>290</v>
      </c>
      <c r="I1125">
        <v>84</v>
      </c>
      <c r="J1125">
        <v>374</v>
      </c>
      <c r="K1125" t="b">
        <f>TrafficData[[#This Row],[disposedChallan]]+TrafficData[[#This Row],[pendingChallan]]=TrafficData[[#This Row],[totalChallan]]</f>
        <v>1</v>
      </c>
      <c r="L1125" t="b">
        <f>TrafficData[[#This Row],[pendingAmount]]+TrafficData[[#This Row],[disposedAmount]]=TrafficData[[#This Row],[totalAmount]]</f>
        <v>1</v>
      </c>
      <c r="M1125" t="b">
        <f>TrafficData[[#This Row],[pendingCourt]]+TrafficData[[#This Row],[disposedCourt]]=TrafficData[[#This Row],[totalCourt]]</f>
        <v>1</v>
      </c>
      <c r="N1125" t="b">
        <f>AND(TrafficData[[#This Row],[disposedChallan]]&lt;=TrafficData[[#This Row],[totalChallan]],TrafficData[[#This Row],[pendingChallan]]&lt;=TrafficData[[#This Row],[totalChallan]])</f>
        <v>1</v>
      </c>
      <c r="O1125" t="b">
        <f>AND(TrafficData[[#This Row],[pendingAmount]]&lt;=TrafficData[[#This Row],[totalAmount]],TrafficData[[#This Row],[disposedAmount]]&lt;=TrafficData[[#This Row],[totalAmount]])</f>
        <v>1</v>
      </c>
      <c r="P1125" t="b">
        <f>AND(TrafficData[[#This Row],[pendingCourt]]&lt;=TrafficData[[#This Row],[totalCourt]],TrafficData[[#This Row],[disposedCourt]]&lt;=TrafficData[[#This Row],[totalCourt]])</f>
        <v>1</v>
      </c>
    </row>
    <row r="1126" spans="1:16">
      <c r="A1126" s="1">
        <v>43129</v>
      </c>
      <c r="B1126">
        <v>1523</v>
      </c>
      <c r="C1126">
        <v>934</v>
      </c>
      <c r="D1126">
        <v>589</v>
      </c>
      <c r="E1126">
        <v>1660200</v>
      </c>
      <c r="F1126">
        <v>7997578</v>
      </c>
      <c r="G1126">
        <v>9657778</v>
      </c>
      <c r="H1126">
        <v>444</v>
      </c>
      <c r="I1126">
        <v>147</v>
      </c>
      <c r="J1126">
        <v>591</v>
      </c>
      <c r="K1126" t="b">
        <f>TrafficData[[#This Row],[disposedChallan]]+TrafficData[[#This Row],[pendingChallan]]=TrafficData[[#This Row],[totalChallan]]</f>
        <v>1</v>
      </c>
      <c r="L1126" t="b">
        <f>TrafficData[[#This Row],[pendingAmount]]+TrafficData[[#This Row],[disposedAmount]]=TrafficData[[#This Row],[totalAmount]]</f>
        <v>1</v>
      </c>
      <c r="M1126" t="b">
        <f>TrafficData[[#This Row],[pendingCourt]]+TrafficData[[#This Row],[disposedCourt]]=TrafficData[[#This Row],[totalCourt]]</f>
        <v>1</v>
      </c>
      <c r="N1126" t="b">
        <f>AND(TrafficData[[#This Row],[disposedChallan]]&lt;=TrafficData[[#This Row],[totalChallan]],TrafficData[[#This Row],[pendingChallan]]&lt;=TrafficData[[#This Row],[totalChallan]])</f>
        <v>1</v>
      </c>
      <c r="O1126" t="b">
        <f>AND(TrafficData[[#This Row],[pendingAmount]]&lt;=TrafficData[[#This Row],[totalAmount]],TrafficData[[#This Row],[disposedAmount]]&lt;=TrafficData[[#This Row],[totalAmount]])</f>
        <v>1</v>
      </c>
      <c r="P1126" t="b">
        <f>AND(TrafficData[[#This Row],[pendingCourt]]&lt;=TrafficData[[#This Row],[totalCourt]],TrafficData[[#This Row],[disposedCourt]]&lt;=TrafficData[[#This Row],[totalCourt]])</f>
        <v>1</v>
      </c>
    </row>
    <row r="1127" spans="1:16">
      <c r="A1127" s="1">
        <v>43130</v>
      </c>
      <c r="B1127">
        <v>1806</v>
      </c>
      <c r="C1127">
        <v>1042</v>
      </c>
      <c r="D1127">
        <v>764</v>
      </c>
      <c r="E1127">
        <v>3777400</v>
      </c>
      <c r="F1127">
        <v>10987612</v>
      </c>
      <c r="G1127">
        <v>14765012</v>
      </c>
      <c r="H1127">
        <v>549</v>
      </c>
      <c r="I1127">
        <v>151</v>
      </c>
      <c r="J1127">
        <v>700</v>
      </c>
      <c r="K1127" t="b">
        <f>TrafficData[[#This Row],[disposedChallan]]+TrafficData[[#This Row],[pendingChallan]]=TrafficData[[#This Row],[totalChallan]]</f>
        <v>1</v>
      </c>
      <c r="L1127" t="b">
        <f>TrafficData[[#This Row],[pendingAmount]]+TrafficData[[#This Row],[disposedAmount]]=TrafficData[[#This Row],[totalAmount]]</f>
        <v>1</v>
      </c>
      <c r="M1127" t="b">
        <f>TrafficData[[#This Row],[pendingCourt]]+TrafficData[[#This Row],[disposedCourt]]=TrafficData[[#This Row],[totalCourt]]</f>
        <v>1</v>
      </c>
      <c r="N1127" t="b">
        <f>AND(TrafficData[[#This Row],[disposedChallan]]&lt;=TrafficData[[#This Row],[totalChallan]],TrafficData[[#This Row],[pendingChallan]]&lt;=TrafficData[[#This Row],[totalChallan]])</f>
        <v>1</v>
      </c>
      <c r="O1127" t="b">
        <f>AND(TrafficData[[#This Row],[pendingAmount]]&lt;=TrafficData[[#This Row],[totalAmount]],TrafficData[[#This Row],[disposedAmount]]&lt;=TrafficData[[#This Row],[totalAmount]])</f>
        <v>1</v>
      </c>
      <c r="P1127" t="b">
        <f>AND(TrafficData[[#This Row],[pendingCourt]]&lt;=TrafficData[[#This Row],[totalCourt]],TrafficData[[#This Row],[disposedCourt]]&lt;=TrafficData[[#This Row],[totalCourt]])</f>
        <v>1</v>
      </c>
    </row>
    <row r="1128" spans="1:16">
      <c r="A1128" s="1">
        <v>43131</v>
      </c>
      <c r="B1128">
        <v>10327</v>
      </c>
      <c r="C1128">
        <v>7561</v>
      </c>
      <c r="D1128">
        <v>2766</v>
      </c>
      <c r="E1128">
        <v>6600070</v>
      </c>
      <c r="F1128">
        <v>9423094</v>
      </c>
      <c r="G1128">
        <v>16023164</v>
      </c>
      <c r="H1128">
        <v>2450</v>
      </c>
      <c r="I1128">
        <v>723</v>
      </c>
      <c r="J1128">
        <v>3173</v>
      </c>
      <c r="K1128" t="b">
        <f>TrafficData[[#This Row],[disposedChallan]]+TrafficData[[#This Row],[pendingChallan]]=TrafficData[[#This Row],[totalChallan]]</f>
        <v>1</v>
      </c>
      <c r="L1128" t="b">
        <f>TrafficData[[#This Row],[pendingAmount]]+TrafficData[[#This Row],[disposedAmount]]=TrafficData[[#This Row],[totalAmount]]</f>
        <v>1</v>
      </c>
      <c r="M1128" t="b">
        <f>TrafficData[[#This Row],[pendingCourt]]+TrafficData[[#This Row],[disposedCourt]]=TrafficData[[#This Row],[totalCourt]]</f>
        <v>1</v>
      </c>
      <c r="N1128" t="b">
        <f>AND(TrafficData[[#This Row],[disposedChallan]]&lt;=TrafficData[[#This Row],[totalChallan]],TrafficData[[#This Row],[pendingChallan]]&lt;=TrafficData[[#This Row],[totalChallan]])</f>
        <v>1</v>
      </c>
      <c r="O1128" t="b">
        <f>AND(TrafficData[[#This Row],[pendingAmount]]&lt;=TrafficData[[#This Row],[totalAmount]],TrafficData[[#This Row],[disposedAmount]]&lt;=TrafficData[[#This Row],[totalAmount]])</f>
        <v>1</v>
      </c>
      <c r="P1128" t="b">
        <f>AND(TrafficData[[#This Row],[pendingCourt]]&lt;=TrafficData[[#This Row],[totalCourt]],TrafficData[[#This Row],[disposedCourt]]&lt;=TrafficData[[#This Row],[totalCourt]])</f>
        <v>1</v>
      </c>
    </row>
    <row r="1129" spans="1:16">
      <c r="A1129" s="1">
        <v>43132</v>
      </c>
      <c r="B1129">
        <v>2079</v>
      </c>
      <c r="C1129">
        <v>1302</v>
      </c>
      <c r="D1129">
        <v>777</v>
      </c>
      <c r="E1129">
        <v>3020400</v>
      </c>
      <c r="F1129">
        <v>10068277</v>
      </c>
      <c r="G1129">
        <v>13088677</v>
      </c>
      <c r="H1129">
        <v>582</v>
      </c>
      <c r="I1129">
        <v>183</v>
      </c>
      <c r="J1129">
        <v>765</v>
      </c>
      <c r="K1129" t="b">
        <f>TrafficData[[#This Row],[disposedChallan]]+TrafficData[[#This Row],[pendingChallan]]=TrafficData[[#This Row],[totalChallan]]</f>
        <v>1</v>
      </c>
      <c r="L1129" t="b">
        <f>TrafficData[[#This Row],[pendingAmount]]+TrafficData[[#This Row],[disposedAmount]]=TrafficData[[#This Row],[totalAmount]]</f>
        <v>1</v>
      </c>
      <c r="M1129" t="b">
        <f>TrafficData[[#This Row],[pendingCourt]]+TrafficData[[#This Row],[disposedCourt]]=TrafficData[[#This Row],[totalCourt]]</f>
        <v>1</v>
      </c>
      <c r="N1129" t="b">
        <f>AND(TrafficData[[#This Row],[disposedChallan]]&lt;=TrafficData[[#This Row],[totalChallan]],TrafficData[[#This Row],[pendingChallan]]&lt;=TrafficData[[#This Row],[totalChallan]])</f>
        <v>1</v>
      </c>
      <c r="O1129" t="b">
        <f>AND(TrafficData[[#This Row],[pendingAmount]]&lt;=TrafficData[[#This Row],[totalAmount]],TrafficData[[#This Row],[disposedAmount]]&lt;=TrafficData[[#This Row],[totalAmount]])</f>
        <v>1</v>
      </c>
      <c r="P1129" t="b">
        <f>AND(TrafficData[[#This Row],[pendingCourt]]&lt;=TrafficData[[#This Row],[totalCourt]],TrafficData[[#This Row],[disposedCourt]]&lt;=TrafficData[[#This Row],[totalCourt]])</f>
        <v>1</v>
      </c>
    </row>
    <row r="1130" spans="1:16">
      <c r="A1130" s="1">
        <v>43133</v>
      </c>
      <c r="B1130">
        <v>1983</v>
      </c>
      <c r="C1130">
        <v>1344</v>
      </c>
      <c r="D1130">
        <v>639</v>
      </c>
      <c r="E1130">
        <v>3152256</v>
      </c>
      <c r="F1130">
        <v>12412451</v>
      </c>
      <c r="G1130">
        <v>15564707</v>
      </c>
      <c r="H1130">
        <v>423</v>
      </c>
      <c r="I1130">
        <v>157</v>
      </c>
      <c r="J1130">
        <v>580</v>
      </c>
      <c r="K1130" t="b">
        <f>TrafficData[[#This Row],[disposedChallan]]+TrafficData[[#This Row],[pendingChallan]]=TrafficData[[#This Row],[totalChallan]]</f>
        <v>1</v>
      </c>
      <c r="L1130" t="b">
        <f>TrafficData[[#This Row],[pendingAmount]]+TrafficData[[#This Row],[disposedAmount]]=TrafficData[[#This Row],[totalAmount]]</f>
        <v>1</v>
      </c>
      <c r="M1130" t="b">
        <f>TrafficData[[#This Row],[pendingCourt]]+TrafficData[[#This Row],[disposedCourt]]=TrafficData[[#This Row],[totalCourt]]</f>
        <v>1</v>
      </c>
      <c r="N1130" t="b">
        <f>AND(TrafficData[[#This Row],[disposedChallan]]&lt;=TrafficData[[#This Row],[totalChallan]],TrafficData[[#This Row],[pendingChallan]]&lt;=TrafficData[[#This Row],[totalChallan]])</f>
        <v>1</v>
      </c>
      <c r="O1130" t="b">
        <f>AND(TrafficData[[#This Row],[pendingAmount]]&lt;=TrafficData[[#This Row],[totalAmount]],TrafficData[[#This Row],[disposedAmount]]&lt;=TrafficData[[#This Row],[totalAmount]])</f>
        <v>1</v>
      </c>
      <c r="P1130" t="b">
        <f>AND(TrafficData[[#This Row],[pendingCourt]]&lt;=TrafficData[[#This Row],[totalCourt]],TrafficData[[#This Row],[disposedCourt]]&lt;=TrafficData[[#This Row],[totalCourt]])</f>
        <v>1</v>
      </c>
    </row>
    <row r="1131" spans="1:16">
      <c r="A1131" s="1">
        <v>43134</v>
      </c>
      <c r="B1131">
        <v>1795</v>
      </c>
      <c r="C1131">
        <v>1161</v>
      </c>
      <c r="D1131">
        <v>634</v>
      </c>
      <c r="E1131">
        <v>2815500</v>
      </c>
      <c r="F1131">
        <v>12739369</v>
      </c>
      <c r="G1131">
        <v>15554869</v>
      </c>
      <c r="H1131">
        <v>406</v>
      </c>
      <c r="I1131">
        <v>159</v>
      </c>
      <c r="J1131">
        <v>565</v>
      </c>
      <c r="K1131" t="b">
        <f>TrafficData[[#This Row],[disposedChallan]]+TrafficData[[#This Row],[pendingChallan]]=TrafficData[[#This Row],[totalChallan]]</f>
        <v>1</v>
      </c>
      <c r="L1131" t="b">
        <f>TrafficData[[#This Row],[pendingAmount]]+TrafficData[[#This Row],[disposedAmount]]=TrafficData[[#This Row],[totalAmount]]</f>
        <v>1</v>
      </c>
      <c r="M1131" t="b">
        <f>TrafficData[[#This Row],[pendingCourt]]+TrafficData[[#This Row],[disposedCourt]]=TrafficData[[#This Row],[totalCourt]]</f>
        <v>1</v>
      </c>
      <c r="N1131" t="b">
        <f>AND(TrafficData[[#This Row],[disposedChallan]]&lt;=TrafficData[[#This Row],[totalChallan]],TrafficData[[#This Row],[pendingChallan]]&lt;=TrafficData[[#This Row],[totalChallan]])</f>
        <v>1</v>
      </c>
      <c r="O1131" t="b">
        <f>AND(TrafficData[[#This Row],[pendingAmount]]&lt;=TrafficData[[#This Row],[totalAmount]],TrafficData[[#This Row],[disposedAmount]]&lt;=TrafficData[[#This Row],[totalAmount]])</f>
        <v>1</v>
      </c>
      <c r="P1131" t="b">
        <f>AND(TrafficData[[#This Row],[pendingCourt]]&lt;=TrafficData[[#This Row],[totalCourt]],TrafficData[[#This Row],[disposedCourt]]&lt;=TrafficData[[#This Row],[totalCourt]])</f>
        <v>1</v>
      </c>
    </row>
    <row r="1132" spans="1:16">
      <c r="A1132" s="1">
        <v>43135</v>
      </c>
      <c r="B1132">
        <v>721</v>
      </c>
      <c r="C1132">
        <v>445</v>
      </c>
      <c r="D1132">
        <v>276</v>
      </c>
      <c r="E1132">
        <v>1048250</v>
      </c>
      <c r="F1132">
        <v>5580523</v>
      </c>
      <c r="G1132">
        <v>6628773</v>
      </c>
      <c r="H1132">
        <v>207</v>
      </c>
      <c r="I1132">
        <v>66</v>
      </c>
      <c r="J1132">
        <v>273</v>
      </c>
      <c r="K1132" t="b">
        <f>TrafficData[[#This Row],[disposedChallan]]+TrafficData[[#This Row],[pendingChallan]]=TrafficData[[#This Row],[totalChallan]]</f>
        <v>1</v>
      </c>
      <c r="L1132" t="b">
        <f>TrafficData[[#This Row],[pendingAmount]]+TrafficData[[#This Row],[disposedAmount]]=TrafficData[[#This Row],[totalAmount]]</f>
        <v>1</v>
      </c>
      <c r="M1132" t="b">
        <f>TrafficData[[#This Row],[pendingCourt]]+TrafficData[[#This Row],[disposedCourt]]=TrafficData[[#This Row],[totalCourt]]</f>
        <v>1</v>
      </c>
      <c r="N1132" t="b">
        <f>AND(TrafficData[[#This Row],[disposedChallan]]&lt;=TrafficData[[#This Row],[totalChallan]],TrafficData[[#This Row],[pendingChallan]]&lt;=TrafficData[[#This Row],[totalChallan]])</f>
        <v>1</v>
      </c>
      <c r="O1132" t="b">
        <f>AND(TrafficData[[#This Row],[pendingAmount]]&lt;=TrafficData[[#This Row],[totalAmount]],TrafficData[[#This Row],[disposedAmount]]&lt;=TrafficData[[#This Row],[totalAmount]])</f>
        <v>1</v>
      </c>
      <c r="P1132" t="b">
        <f>AND(TrafficData[[#This Row],[pendingCourt]]&lt;=TrafficData[[#This Row],[totalCourt]],TrafficData[[#This Row],[disposedCourt]]&lt;=TrafficData[[#This Row],[totalCourt]])</f>
        <v>1</v>
      </c>
    </row>
    <row r="1133" spans="1:16">
      <c r="A1133" s="1">
        <v>43136</v>
      </c>
      <c r="B1133">
        <v>1775</v>
      </c>
      <c r="C1133">
        <v>1162</v>
      </c>
      <c r="D1133">
        <v>613</v>
      </c>
      <c r="E1133">
        <v>2690750</v>
      </c>
      <c r="F1133">
        <v>10174242</v>
      </c>
      <c r="G1133">
        <v>12864992</v>
      </c>
      <c r="H1133">
        <v>419</v>
      </c>
      <c r="I1133">
        <v>232</v>
      </c>
      <c r="J1133">
        <v>651</v>
      </c>
      <c r="K1133" t="b">
        <f>TrafficData[[#This Row],[disposedChallan]]+TrafficData[[#This Row],[pendingChallan]]=TrafficData[[#This Row],[totalChallan]]</f>
        <v>1</v>
      </c>
      <c r="L1133" t="b">
        <f>TrafficData[[#This Row],[pendingAmount]]+TrafficData[[#This Row],[disposedAmount]]=TrafficData[[#This Row],[totalAmount]]</f>
        <v>1</v>
      </c>
      <c r="M1133" t="b">
        <f>TrafficData[[#This Row],[pendingCourt]]+TrafficData[[#This Row],[disposedCourt]]=TrafficData[[#This Row],[totalCourt]]</f>
        <v>1</v>
      </c>
      <c r="N1133" t="b">
        <f>AND(TrafficData[[#This Row],[disposedChallan]]&lt;=TrafficData[[#This Row],[totalChallan]],TrafficData[[#This Row],[pendingChallan]]&lt;=TrafficData[[#This Row],[totalChallan]])</f>
        <v>1</v>
      </c>
      <c r="O1133" t="b">
        <f>AND(TrafficData[[#This Row],[pendingAmount]]&lt;=TrafficData[[#This Row],[totalAmount]],TrafficData[[#This Row],[disposedAmount]]&lt;=TrafficData[[#This Row],[totalAmount]])</f>
        <v>1</v>
      </c>
      <c r="P1133" t="b">
        <f>AND(TrafficData[[#This Row],[pendingCourt]]&lt;=TrafficData[[#This Row],[totalCourt]],TrafficData[[#This Row],[disposedCourt]]&lt;=TrafficData[[#This Row],[totalCourt]])</f>
        <v>1</v>
      </c>
    </row>
    <row r="1134" spans="1:16">
      <c r="A1134" s="1">
        <v>43137</v>
      </c>
      <c r="B1134">
        <v>1989</v>
      </c>
      <c r="C1134">
        <v>1256</v>
      </c>
      <c r="D1134">
        <v>733</v>
      </c>
      <c r="E1134">
        <v>3257700</v>
      </c>
      <c r="F1134">
        <v>11646085</v>
      </c>
      <c r="G1134">
        <v>14903785</v>
      </c>
      <c r="H1134">
        <v>556</v>
      </c>
      <c r="I1134">
        <v>193</v>
      </c>
      <c r="J1134">
        <v>749</v>
      </c>
      <c r="K1134" t="b">
        <f>TrafficData[[#This Row],[disposedChallan]]+TrafficData[[#This Row],[pendingChallan]]=TrafficData[[#This Row],[totalChallan]]</f>
        <v>1</v>
      </c>
      <c r="L1134" t="b">
        <f>TrafficData[[#This Row],[pendingAmount]]+TrafficData[[#This Row],[disposedAmount]]=TrafficData[[#This Row],[totalAmount]]</f>
        <v>1</v>
      </c>
      <c r="M1134" t="b">
        <f>TrafficData[[#This Row],[pendingCourt]]+TrafficData[[#This Row],[disposedCourt]]=TrafficData[[#This Row],[totalCourt]]</f>
        <v>1</v>
      </c>
      <c r="N1134" t="b">
        <f>AND(TrafficData[[#This Row],[disposedChallan]]&lt;=TrafficData[[#This Row],[totalChallan]],TrafficData[[#This Row],[pendingChallan]]&lt;=TrafficData[[#This Row],[totalChallan]])</f>
        <v>1</v>
      </c>
      <c r="O1134" t="b">
        <f>AND(TrafficData[[#This Row],[pendingAmount]]&lt;=TrafficData[[#This Row],[totalAmount]],TrafficData[[#This Row],[disposedAmount]]&lt;=TrafficData[[#This Row],[totalAmount]])</f>
        <v>1</v>
      </c>
      <c r="P1134" t="b">
        <f>AND(TrafficData[[#This Row],[pendingCourt]]&lt;=TrafficData[[#This Row],[totalCourt]],TrafficData[[#This Row],[disposedCourt]]&lt;=TrafficData[[#This Row],[totalCourt]])</f>
        <v>1</v>
      </c>
    </row>
    <row r="1135" spans="1:16">
      <c r="A1135" s="1">
        <v>43138</v>
      </c>
      <c r="B1135">
        <v>10484</v>
      </c>
      <c r="C1135">
        <v>7632</v>
      </c>
      <c r="D1135">
        <v>2852</v>
      </c>
      <c r="E1135">
        <v>8253150</v>
      </c>
      <c r="F1135">
        <v>11629894</v>
      </c>
      <c r="G1135">
        <v>19883044</v>
      </c>
      <c r="H1135">
        <v>2547</v>
      </c>
      <c r="I1135">
        <v>726</v>
      </c>
      <c r="J1135">
        <v>3273</v>
      </c>
      <c r="K1135" t="b">
        <f>TrafficData[[#This Row],[disposedChallan]]+TrafficData[[#This Row],[pendingChallan]]=TrafficData[[#This Row],[totalChallan]]</f>
        <v>1</v>
      </c>
      <c r="L1135" t="b">
        <f>TrafficData[[#This Row],[pendingAmount]]+TrafficData[[#This Row],[disposedAmount]]=TrafficData[[#This Row],[totalAmount]]</f>
        <v>1</v>
      </c>
      <c r="M1135" t="b">
        <f>TrafficData[[#This Row],[pendingCourt]]+TrafficData[[#This Row],[disposedCourt]]=TrafficData[[#This Row],[totalCourt]]</f>
        <v>1</v>
      </c>
      <c r="N1135" t="b">
        <f>AND(TrafficData[[#This Row],[disposedChallan]]&lt;=TrafficData[[#This Row],[totalChallan]],TrafficData[[#This Row],[pendingChallan]]&lt;=TrafficData[[#This Row],[totalChallan]])</f>
        <v>1</v>
      </c>
      <c r="O1135" t="b">
        <f>AND(TrafficData[[#This Row],[pendingAmount]]&lt;=TrafficData[[#This Row],[totalAmount]],TrafficData[[#This Row],[disposedAmount]]&lt;=TrafficData[[#This Row],[totalAmount]])</f>
        <v>1</v>
      </c>
      <c r="P1135" t="b">
        <f>AND(TrafficData[[#This Row],[pendingCourt]]&lt;=TrafficData[[#This Row],[totalCourt]],TrafficData[[#This Row],[disposedCourt]]&lt;=TrafficData[[#This Row],[totalCourt]])</f>
        <v>1</v>
      </c>
    </row>
    <row r="1136" spans="1:16">
      <c r="A1136" s="1">
        <v>43139</v>
      </c>
      <c r="B1136">
        <v>1987</v>
      </c>
      <c r="C1136">
        <v>1269</v>
      </c>
      <c r="D1136">
        <v>718</v>
      </c>
      <c r="E1136">
        <v>2709150</v>
      </c>
      <c r="F1136">
        <v>12160342</v>
      </c>
      <c r="G1136">
        <v>14869492</v>
      </c>
      <c r="H1136">
        <v>488</v>
      </c>
      <c r="I1136">
        <v>145</v>
      </c>
      <c r="J1136">
        <v>633</v>
      </c>
      <c r="K1136" t="b">
        <f>TrafficData[[#This Row],[disposedChallan]]+TrafficData[[#This Row],[pendingChallan]]=TrafficData[[#This Row],[totalChallan]]</f>
        <v>1</v>
      </c>
      <c r="L1136" t="b">
        <f>TrafficData[[#This Row],[pendingAmount]]+TrafficData[[#This Row],[disposedAmount]]=TrafficData[[#This Row],[totalAmount]]</f>
        <v>1</v>
      </c>
      <c r="M1136" t="b">
        <f>TrafficData[[#This Row],[pendingCourt]]+TrafficData[[#This Row],[disposedCourt]]=TrafficData[[#This Row],[totalCourt]]</f>
        <v>1</v>
      </c>
      <c r="N1136" t="b">
        <f>AND(TrafficData[[#This Row],[disposedChallan]]&lt;=TrafficData[[#This Row],[totalChallan]],TrafficData[[#This Row],[pendingChallan]]&lt;=TrafficData[[#This Row],[totalChallan]])</f>
        <v>1</v>
      </c>
      <c r="O1136" t="b">
        <f>AND(TrafficData[[#This Row],[pendingAmount]]&lt;=TrafficData[[#This Row],[totalAmount]],TrafficData[[#This Row],[disposedAmount]]&lt;=TrafficData[[#This Row],[totalAmount]])</f>
        <v>1</v>
      </c>
      <c r="P1136" t="b">
        <f>AND(TrafficData[[#This Row],[pendingCourt]]&lt;=TrafficData[[#This Row],[totalCourt]],TrafficData[[#This Row],[disposedCourt]]&lt;=TrafficData[[#This Row],[totalCourt]])</f>
        <v>1</v>
      </c>
    </row>
    <row r="1137" spans="1:16">
      <c r="A1137" s="1">
        <v>43140</v>
      </c>
      <c r="B1137">
        <v>1774</v>
      </c>
      <c r="C1137">
        <v>1209</v>
      </c>
      <c r="D1137">
        <v>565</v>
      </c>
      <c r="E1137">
        <v>2487500</v>
      </c>
      <c r="F1137">
        <v>12884553</v>
      </c>
      <c r="G1137">
        <v>15372053</v>
      </c>
      <c r="H1137">
        <v>370</v>
      </c>
      <c r="I1137">
        <v>158</v>
      </c>
      <c r="J1137">
        <v>528</v>
      </c>
      <c r="K1137" t="b">
        <f>TrafficData[[#This Row],[disposedChallan]]+TrafficData[[#This Row],[pendingChallan]]=TrafficData[[#This Row],[totalChallan]]</f>
        <v>1</v>
      </c>
      <c r="L1137" t="b">
        <f>TrafficData[[#This Row],[pendingAmount]]+TrafficData[[#This Row],[disposedAmount]]=TrafficData[[#This Row],[totalAmount]]</f>
        <v>1</v>
      </c>
      <c r="M1137" t="b">
        <f>TrafficData[[#This Row],[pendingCourt]]+TrafficData[[#This Row],[disposedCourt]]=TrafficData[[#This Row],[totalCourt]]</f>
        <v>1</v>
      </c>
      <c r="N1137" t="b">
        <f>AND(TrafficData[[#This Row],[disposedChallan]]&lt;=TrafficData[[#This Row],[totalChallan]],TrafficData[[#This Row],[pendingChallan]]&lt;=TrafficData[[#This Row],[totalChallan]])</f>
        <v>1</v>
      </c>
      <c r="O1137" t="b">
        <f>AND(TrafficData[[#This Row],[pendingAmount]]&lt;=TrafficData[[#This Row],[totalAmount]],TrafficData[[#This Row],[disposedAmount]]&lt;=TrafficData[[#This Row],[totalAmount]])</f>
        <v>1</v>
      </c>
      <c r="P1137" t="b">
        <f>AND(TrafficData[[#This Row],[pendingCourt]]&lt;=TrafficData[[#This Row],[totalCourt]],TrafficData[[#This Row],[disposedCourt]]&lt;=TrafficData[[#This Row],[totalCourt]])</f>
        <v>1</v>
      </c>
    </row>
    <row r="1138" spans="1:16">
      <c r="A1138" s="1">
        <v>43141</v>
      </c>
      <c r="B1138">
        <v>1737</v>
      </c>
      <c r="C1138">
        <v>1120</v>
      </c>
      <c r="D1138">
        <v>617</v>
      </c>
      <c r="E1138">
        <v>1680650</v>
      </c>
      <c r="F1138">
        <v>9596458</v>
      </c>
      <c r="G1138">
        <v>11277108</v>
      </c>
      <c r="H1138">
        <v>485</v>
      </c>
      <c r="I1138">
        <v>134</v>
      </c>
      <c r="J1138">
        <v>619</v>
      </c>
      <c r="K1138" t="b">
        <f>TrafficData[[#This Row],[disposedChallan]]+TrafficData[[#This Row],[pendingChallan]]=TrafficData[[#This Row],[totalChallan]]</f>
        <v>1</v>
      </c>
      <c r="L1138" t="b">
        <f>TrafficData[[#This Row],[pendingAmount]]+TrafficData[[#This Row],[disposedAmount]]=TrafficData[[#This Row],[totalAmount]]</f>
        <v>1</v>
      </c>
      <c r="M1138" t="b">
        <f>TrafficData[[#This Row],[pendingCourt]]+TrafficData[[#This Row],[disposedCourt]]=TrafficData[[#This Row],[totalCourt]]</f>
        <v>1</v>
      </c>
      <c r="N1138" t="b">
        <f>AND(TrafficData[[#This Row],[disposedChallan]]&lt;=TrafficData[[#This Row],[totalChallan]],TrafficData[[#This Row],[pendingChallan]]&lt;=TrafficData[[#This Row],[totalChallan]])</f>
        <v>1</v>
      </c>
      <c r="O1138" t="b">
        <f>AND(TrafficData[[#This Row],[pendingAmount]]&lt;=TrafficData[[#This Row],[totalAmount]],TrafficData[[#This Row],[disposedAmount]]&lt;=TrafficData[[#This Row],[totalAmount]])</f>
        <v>1</v>
      </c>
      <c r="P1138" t="b">
        <f>AND(TrafficData[[#This Row],[pendingCourt]]&lt;=TrafficData[[#This Row],[totalCourt]],TrafficData[[#This Row],[disposedCourt]]&lt;=TrafficData[[#This Row],[totalCourt]])</f>
        <v>1</v>
      </c>
    </row>
    <row r="1139" spans="1:16">
      <c r="A1139" s="1">
        <v>43142</v>
      </c>
      <c r="B1139">
        <v>1026</v>
      </c>
      <c r="C1139">
        <v>617</v>
      </c>
      <c r="D1139">
        <v>409</v>
      </c>
      <c r="E1139">
        <v>873650</v>
      </c>
      <c r="F1139">
        <v>4182919</v>
      </c>
      <c r="G1139">
        <v>5056569</v>
      </c>
      <c r="H1139">
        <v>290</v>
      </c>
      <c r="I1139">
        <v>81</v>
      </c>
      <c r="J1139">
        <v>371</v>
      </c>
      <c r="K1139" t="b">
        <f>TrafficData[[#This Row],[disposedChallan]]+TrafficData[[#This Row],[pendingChallan]]=TrafficData[[#This Row],[totalChallan]]</f>
        <v>1</v>
      </c>
      <c r="L1139" t="b">
        <f>TrafficData[[#This Row],[pendingAmount]]+TrafficData[[#This Row],[disposedAmount]]=TrafficData[[#This Row],[totalAmount]]</f>
        <v>1</v>
      </c>
      <c r="M1139" t="b">
        <f>TrafficData[[#This Row],[pendingCourt]]+TrafficData[[#This Row],[disposedCourt]]=TrafficData[[#This Row],[totalCourt]]</f>
        <v>1</v>
      </c>
      <c r="N1139" t="b">
        <f>AND(TrafficData[[#This Row],[disposedChallan]]&lt;=TrafficData[[#This Row],[totalChallan]],TrafficData[[#This Row],[pendingChallan]]&lt;=TrafficData[[#This Row],[totalChallan]])</f>
        <v>1</v>
      </c>
      <c r="O1139" t="b">
        <f>AND(TrafficData[[#This Row],[pendingAmount]]&lt;=TrafficData[[#This Row],[totalAmount]],TrafficData[[#This Row],[disposedAmount]]&lt;=TrafficData[[#This Row],[totalAmount]])</f>
        <v>1</v>
      </c>
      <c r="P1139" t="b">
        <f>AND(TrafficData[[#This Row],[pendingCourt]]&lt;=TrafficData[[#This Row],[totalCourt]],TrafficData[[#This Row],[disposedCourt]]&lt;=TrafficData[[#This Row],[totalCourt]])</f>
        <v>1</v>
      </c>
    </row>
    <row r="1140" spans="1:16">
      <c r="A1140" s="1">
        <v>43143</v>
      </c>
      <c r="B1140">
        <v>1466</v>
      </c>
      <c r="C1140">
        <v>800</v>
      </c>
      <c r="D1140">
        <v>666</v>
      </c>
      <c r="E1140">
        <v>2183900</v>
      </c>
      <c r="F1140">
        <v>8439803</v>
      </c>
      <c r="G1140">
        <v>10623703</v>
      </c>
      <c r="H1140">
        <v>465</v>
      </c>
      <c r="I1140">
        <v>138</v>
      </c>
      <c r="J1140">
        <v>603</v>
      </c>
      <c r="K1140" t="b">
        <f>TrafficData[[#This Row],[disposedChallan]]+TrafficData[[#This Row],[pendingChallan]]=TrafficData[[#This Row],[totalChallan]]</f>
        <v>1</v>
      </c>
      <c r="L1140" t="b">
        <f>TrafficData[[#This Row],[pendingAmount]]+TrafficData[[#This Row],[disposedAmount]]=TrafficData[[#This Row],[totalAmount]]</f>
        <v>1</v>
      </c>
      <c r="M1140" t="b">
        <f>TrafficData[[#This Row],[pendingCourt]]+TrafficData[[#This Row],[disposedCourt]]=TrafficData[[#This Row],[totalCourt]]</f>
        <v>1</v>
      </c>
      <c r="N1140" t="b">
        <f>AND(TrafficData[[#This Row],[disposedChallan]]&lt;=TrafficData[[#This Row],[totalChallan]],TrafficData[[#This Row],[pendingChallan]]&lt;=TrafficData[[#This Row],[totalChallan]])</f>
        <v>1</v>
      </c>
      <c r="O1140" t="b">
        <f>AND(TrafficData[[#This Row],[pendingAmount]]&lt;=TrafficData[[#This Row],[totalAmount]],TrafficData[[#This Row],[disposedAmount]]&lt;=TrafficData[[#This Row],[totalAmount]])</f>
        <v>1</v>
      </c>
      <c r="P1140" t="b">
        <f>AND(TrafficData[[#This Row],[pendingCourt]]&lt;=TrafficData[[#This Row],[totalCourt]],TrafficData[[#This Row],[disposedCourt]]&lt;=TrafficData[[#This Row],[totalCourt]])</f>
        <v>1</v>
      </c>
    </row>
    <row r="1141" spans="1:16">
      <c r="A1141" s="1">
        <v>43144</v>
      </c>
      <c r="B1141">
        <v>1855</v>
      </c>
      <c r="C1141">
        <v>1098</v>
      </c>
      <c r="D1141">
        <v>757</v>
      </c>
      <c r="E1141">
        <v>2404600</v>
      </c>
      <c r="F1141">
        <v>10050071</v>
      </c>
      <c r="G1141">
        <v>12454671</v>
      </c>
      <c r="H1141">
        <v>531</v>
      </c>
      <c r="I1141">
        <v>131</v>
      </c>
      <c r="J1141">
        <v>662</v>
      </c>
      <c r="K1141" t="b">
        <f>TrafficData[[#This Row],[disposedChallan]]+TrafficData[[#This Row],[pendingChallan]]=TrafficData[[#This Row],[totalChallan]]</f>
        <v>1</v>
      </c>
      <c r="L1141" t="b">
        <f>TrafficData[[#This Row],[pendingAmount]]+TrafficData[[#This Row],[disposedAmount]]=TrafficData[[#This Row],[totalAmount]]</f>
        <v>1</v>
      </c>
      <c r="M1141" t="b">
        <f>TrafficData[[#This Row],[pendingCourt]]+TrafficData[[#This Row],[disposedCourt]]=TrafficData[[#This Row],[totalCourt]]</f>
        <v>1</v>
      </c>
      <c r="N1141" t="b">
        <f>AND(TrafficData[[#This Row],[disposedChallan]]&lt;=TrafficData[[#This Row],[totalChallan]],TrafficData[[#This Row],[pendingChallan]]&lt;=TrafficData[[#This Row],[totalChallan]])</f>
        <v>1</v>
      </c>
      <c r="O1141" t="b">
        <f>AND(TrafficData[[#This Row],[pendingAmount]]&lt;=TrafficData[[#This Row],[totalAmount]],TrafficData[[#This Row],[disposedAmount]]&lt;=TrafficData[[#This Row],[totalAmount]])</f>
        <v>1</v>
      </c>
      <c r="P1141" t="b">
        <f>AND(TrafficData[[#This Row],[pendingCourt]]&lt;=TrafficData[[#This Row],[totalCourt]],TrafficData[[#This Row],[disposedCourt]]&lt;=TrafficData[[#This Row],[totalCourt]])</f>
        <v>1</v>
      </c>
    </row>
    <row r="1142" spans="1:16">
      <c r="A1142" s="1">
        <v>43145</v>
      </c>
      <c r="B1142">
        <v>2104</v>
      </c>
      <c r="C1142">
        <v>1069</v>
      </c>
      <c r="D1142">
        <v>1035</v>
      </c>
      <c r="E1142">
        <v>2185300</v>
      </c>
      <c r="F1142">
        <v>7628219</v>
      </c>
      <c r="G1142">
        <v>9813519</v>
      </c>
      <c r="H1142">
        <v>812</v>
      </c>
      <c r="I1142">
        <v>110</v>
      </c>
      <c r="J1142">
        <v>922</v>
      </c>
      <c r="K1142" t="b">
        <f>TrafficData[[#This Row],[disposedChallan]]+TrafficData[[#This Row],[pendingChallan]]=TrafficData[[#This Row],[totalChallan]]</f>
        <v>1</v>
      </c>
      <c r="L1142" t="b">
        <f>TrafficData[[#This Row],[pendingAmount]]+TrafficData[[#This Row],[disposedAmount]]=TrafficData[[#This Row],[totalAmount]]</f>
        <v>1</v>
      </c>
      <c r="M1142" t="b">
        <f>TrafficData[[#This Row],[pendingCourt]]+TrafficData[[#This Row],[disposedCourt]]=TrafficData[[#This Row],[totalCourt]]</f>
        <v>1</v>
      </c>
      <c r="N1142" t="b">
        <f>AND(TrafficData[[#This Row],[disposedChallan]]&lt;=TrafficData[[#This Row],[totalChallan]],TrafficData[[#This Row],[pendingChallan]]&lt;=TrafficData[[#This Row],[totalChallan]])</f>
        <v>1</v>
      </c>
      <c r="O1142" t="b">
        <f>AND(TrafficData[[#This Row],[pendingAmount]]&lt;=TrafficData[[#This Row],[totalAmount]],TrafficData[[#This Row],[disposedAmount]]&lt;=TrafficData[[#This Row],[totalAmount]])</f>
        <v>1</v>
      </c>
      <c r="P1142" t="b">
        <f>AND(TrafficData[[#This Row],[pendingCourt]]&lt;=TrafficData[[#This Row],[totalCourt]],TrafficData[[#This Row],[disposedCourt]]&lt;=TrafficData[[#This Row],[totalCourt]])</f>
        <v>1</v>
      </c>
    </row>
    <row r="1143" spans="1:16">
      <c r="A1143" s="1">
        <v>43146</v>
      </c>
      <c r="B1143">
        <v>10152</v>
      </c>
      <c r="C1143">
        <v>7273</v>
      </c>
      <c r="D1143">
        <v>2879</v>
      </c>
      <c r="E1143">
        <v>7950425</v>
      </c>
      <c r="F1143">
        <v>9930552</v>
      </c>
      <c r="G1143">
        <v>17880977</v>
      </c>
      <c r="H1143">
        <v>2546</v>
      </c>
      <c r="I1143">
        <v>740</v>
      </c>
      <c r="J1143">
        <v>3286</v>
      </c>
      <c r="K1143" t="b">
        <f>TrafficData[[#This Row],[disposedChallan]]+TrafficData[[#This Row],[pendingChallan]]=TrafficData[[#This Row],[totalChallan]]</f>
        <v>1</v>
      </c>
      <c r="L1143" t="b">
        <f>TrafficData[[#This Row],[pendingAmount]]+TrafficData[[#This Row],[disposedAmount]]=TrafficData[[#This Row],[totalAmount]]</f>
        <v>1</v>
      </c>
      <c r="M1143" t="b">
        <f>TrafficData[[#This Row],[pendingCourt]]+TrafficData[[#This Row],[disposedCourt]]=TrafficData[[#This Row],[totalCourt]]</f>
        <v>1</v>
      </c>
      <c r="N1143" t="b">
        <f>AND(TrafficData[[#This Row],[disposedChallan]]&lt;=TrafficData[[#This Row],[totalChallan]],TrafficData[[#This Row],[pendingChallan]]&lt;=TrafficData[[#This Row],[totalChallan]])</f>
        <v>1</v>
      </c>
      <c r="O1143" t="b">
        <f>AND(TrafficData[[#This Row],[pendingAmount]]&lt;=TrafficData[[#This Row],[totalAmount]],TrafficData[[#This Row],[disposedAmount]]&lt;=TrafficData[[#This Row],[totalAmount]])</f>
        <v>1</v>
      </c>
      <c r="P1143" t="b">
        <f>AND(TrafficData[[#This Row],[pendingCourt]]&lt;=TrafficData[[#This Row],[totalCourt]],TrafficData[[#This Row],[disposedCourt]]&lt;=TrafficData[[#This Row],[totalCourt]])</f>
        <v>1</v>
      </c>
    </row>
    <row r="1144" spans="1:16">
      <c r="A1144" s="1">
        <v>43147</v>
      </c>
      <c r="B1144">
        <v>1847</v>
      </c>
      <c r="C1144">
        <v>1118</v>
      </c>
      <c r="D1144">
        <v>729</v>
      </c>
      <c r="E1144">
        <v>2247235</v>
      </c>
      <c r="F1144">
        <v>11529663</v>
      </c>
      <c r="G1144">
        <v>13776898</v>
      </c>
      <c r="H1144">
        <v>558</v>
      </c>
      <c r="I1144">
        <v>124</v>
      </c>
      <c r="J1144">
        <v>682</v>
      </c>
      <c r="K1144" t="b">
        <f>TrafficData[[#This Row],[disposedChallan]]+TrafficData[[#This Row],[pendingChallan]]=TrafficData[[#This Row],[totalChallan]]</f>
        <v>1</v>
      </c>
      <c r="L1144" t="b">
        <f>TrafficData[[#This Row],[pendingAmount]]+TrafficData[[#This Row],[disposedAmount]]=TrafficData[[#This Row],[totalAmount]]</f>
        <v>1</v>
      </c>
      <c r="M1144" t="b">
        <f>TrafficData[[#This Row],[pendingCourt]]+TrafficData[[#This Row],[disposedCourt]]=TrafficData[[#This Row],[totalCourt]]</f>
        <v>1</v>
      </c>
      <c r="N1144" t="b">
        <f>AND(TrafficData[[#This Row],[disposedChallan]]&lt;=TrafficData[[#This Row],[totalChallan]],TrafficData[[#This Row],[pendingChallan]]&lt;=TrafficData[[#This Row],[totalChallan]])</f>
        <v>1</v>
      </c>
      <c r="O1144" t="b">
        <f>AND(TrafficData[[#This Row],[pendingAmount]]&lt;=TrafficData[[#This Row],[totalAmount]],TrafficData[[#This Row],[disposedAmount]]&lt;=TrafficData[[#This Row],[totalAmount]])</f>
        <v>1</v>
      </c>
      <c r="P1144" t="b">
        <f>AND(TrafficData[[#This Row],[pendingCourt]]&lt;=TrafficData[[#This Row],[totalCourt]],TrafficData[[#This Row],[disposedCourt]]&lt;=TrafficData[[#This Row],[totalCourt]])</f>
        <v>1</v>
      </c>
    </row>
    <row r="1145" spans="1:16">
      <c r="A1145" s="1">
        <v>43148</v>
      </c>
      <c r="B1145">
        <v>1442</v>
      </c>
      <c r="C1145">
        <v>792</v>
      </c>
      <c r="D1145">
        <v>650</v>
      </c>
      <c r="E1145">
        <v>2014350</v>
      </c>
      <c r="F1145">
        <v>8989490</v>
      </c>
      <c r="G1145">
        <v>11003840</v>
      </c>
      <c r="H1145">
        <v>449</v>
      </c>
      <c r="I1145">
        <v>110</v>
      </c>
      <c r="J1145">
        <v>559</v>
      </c>
      <c r="K1145" t="b">
        <f>TrafficData[[#This Row],[disposedChallan]]+TrafficData[[#This Row],[pendingChallan]]=TrafficData[[#This Row],[totalChallan]]</f>
        <v>1</v>
      </c>
      <c r="L1145" t="b">
        <f>TrafficData[[#This Row],[pendingAmount]]+TrafficData[[#This Row],[disposedAmount]]=TrafficData[[#This Row],[totalAmount]]</f>
        <v>1</v>
      </c>
      <c r="M1145" t="b">
        <f>TrafficData[[#This Row],[pendingCourt]]+TrafficData[[#This Row],[disposedCourt]]=TrafficData[[#This Row],[totalCourt]]</f>
        <v>1</v>
      </c>
      <c r="N1145" t="b">
        <f>AND(TrafficData[[#This Row],[disposedChallan]]&lt;=TrafficData[[#This Row],[totalChallan]],TrafficData[[#This Row],[pendingChallan]]&lt;=TrafficData[[#This Row],[totalChallan]])</f>
        <v>1</v>
      </c>
      <c r="O1145" t="b">
        <f>AND(TrafficData[[#This Row],[pendingAmount]]&lt;=TrafficData[[#This Row],[totalAmount]],TrafficData[[#This Row],[disposedAmount]]&lt;=TrafficData[[#This Row],[totalAmount]])</f>
        <v>1</v>
      </c>
      <c r="P1145" t="b">
        <f>AND(TrafficData[[#This Row],[pendingCourt]]&lt;=TrafficData[[#This Row],[totalCourt]],TrafficData[[#This Row],[disposedCourt]]&lt;=TrafficData[[#This Row],[totalCourt]])</f>
        <v>1</v>
      </c>
    </row>
    <row r="1146" spans="1:16">
      <c r="A1146" s="1">
        <v>43149</v>
      </c>
      <c r="B1146">
        <v>1050</v>
      </c>
      <c r="C1146">
        <v>563</v>
      </c>
      <c r="D1146">
        <v>487</v>
      </c>
      <c r="E1146">
        <v>1380100</v>
      </c>
      <c r="F1146">
        <v>7541152</v>
      </c>
      <c r="G1146">
        <v>8921252</v>
      </c>
      <c r="H1146">
        <v>363</v>
      </c>
      <c r="I1146">
        <v>49</v>
      </c>
      <c r="J1146">
        <v>412</v>
      </c>
      <c r="K1146" t="b">
        <f>TrafficData[[#This Row],[disposedChallan]]+TrafficData[[#This Row],[pendingChallan]]=TrafficData[[#This Row],[totalChallan]]</f>
        <v>1</v>
      </c>
      <c r="L1146" t="b">
        <f>TrafficData[[#This Row],[pendingAmount]]+TrafficData[[#This Row],[disposedAmount]]=TrafficData[[#This Row],[totalAmount]]</f>
        <v>1</v>
      </c>
      <c r="M1146" t="b">
        <f>TrafficData[[#This Row],[pendingCourt]]+TrafficData[[#This Row],[disposedCourt]]=TrafficData[[#This Row],[totalCourt]]</f>
        <v>1</v>
      </c>
      <c r="N1146" t="b">
        <f>AND(TrafficData[[#This Row],[disposedChallan]]&lt;=TrafficData[[#This Row],[totalChallan]],TrafficData[[#This Row],[pendingChallan]]&lt;=TrafficData[[#This Row],[totalChallan]])</f>
        <v>1</v>
      </c>
      <c r="O1146" t="b">
        <f>AND(TrafficData[[#This Row],[pendingAmount]]&lt;=TrafficData[[#This Row],[totalAmount]],TrafficData[[#This Row],[disposedAmount]]&lt;=TrafficData[[#This Row],[totalAmount]])</f>
        <v>1</v>
      </c>
      <c r="P1146" t="b">
        <f>AND(TrafficData[[#This Row],[pendingCourt]]&lt;=TrafficData[[#This Row],[totalCourt]],TrafficData[[#This Row],[disposedCourt]]&lt;=TrafficData[[#This Row],[totalCourt]])</f>
        <v>1</v>
      </c>
    </row>
    <row r="1147" spans="1:16">
      <c r="A1147" s="1">
        <v>43150</v>
      </c>
      <c r="B1147">
        <v>1222</v>
      </c>
      <c r="C1147">
        <v>725</v>
      </c>
      <c r="D1147">
        <v>497</v>
      </c>
      <c r="E1147">
        <v>1253400</v>
      </c>
      <c r="F1147">
        <v>6757792</v>
      </c>
      <c r="G1147">
        <v>8011192</v>
      </c>
      <c r="H1147">
        <v>364</v>
      </c>
      <c r="I1147">
        <v>96</v>
      </c>
      <c r="J1147">
        <v>460</v>
      </c>
      <c r="K1147" t="b">
        <f>TrafficData[[#This Row],[disposedChallan]]+TrafficData[[#This Row],[pendingChallan]]=TrafficData[[#This Row],[totalChallan]]</f>
        <v>1</v>
      </c>
      <c r="L1147" t="b">
        <f>TrafficData[[#This Row],[pendingAmount]]+TrafficData[[#This Row],[disposedAmount]]=TrafficData[[#This Row],[totalAmount]]</f>
        <v>1</v>
      </c>
      <c r="M1147" t="b">
        <f>TrafficData[[#This Row],[pendingCourt]]+TrafficData[[#This Row],[disposedCourt]]=TrafficData[[#This Row],[totalCourt]]</f>
        <v>1</v>
      </c>
      <c r="N1147" t="b">
        <f>AND(TrafficData[[#This Row],[disposedChallan]]&lt;=TrafficData[[#This Row],[totalChallan]],TrafficData[[#This Row],[pendingChallan]]&lt;=TrafficData[[#This Row],[totalChallan]])</f>
        <v>1</v>
      </c>
      <c r="O1147" t="b">
        <f>AND(TrafficData[[#This Row],[pendingAmount]]&lt;=TrafficData[[#This Row],[totalAmount]],TrafficData[[#This Row],[disposedAmount]]&lt;=TrafficData[[#This Row],[totalAmount]])</f>
        <v>1</v>
      </c>
      <c r="P1147" t="b">
        <f>AND(TrafficData[[#This Row],[pendingCourt]]&lt;=TrafficData[[#This Row],[totalCourt]],TrafficData[[#This Row],[disposedCourt]]&lt;=TrafficData[[#This Row],[totalCourt]])</f>
        <v>1</v>
      </c>
    </row>
    <row r="1148" spans="1:16">
      <c r="A1148" s="1">
        <v>43151</v>
      </c>
      <c r="B1148">
        <v>1971</v>
      </c>
      <c r="C1148">
        <v>1056</v>
      </c>
      <c r="D1148">
        <v>915</v>
      </c>
      <c r="E1148">
        <v>2648050</v>
      </c>
      <c r="F1148">
        <v>10464445</v>
      </c>
      <c r="G1148">
        <v>13112495</v>
      </c>
      <c r="H1148">
        <v>716</v>
      </c>
      <c r="I1148">
        <v>155</v>
      </c>
      <c r="J1148">
        <v>871</v>
      </c>
      <c r="K1148" t="b">
        <f>TrafficData[[#This Row],[disposedChallan]]+TrafficData[[#This Row],[pendingChallan]]=TrafficData[[#This Row],[totalChallan]]</f>
        <v>1</v>
      </c>
      <c r="L1148" t="b">
        <f>TrafficData[[#This Row],[pendingAmount]]+TrafficData[[#This Row],[disposedAmount]]=TrafficData[[#This Row],[totalAmount]]</f>
        <v>1</v>
      </c>
      <c r="M1148" t="b">
        <f>TrafficData[[#This Row],[pendingCourt]]+TrafficData[[#This Row],[disposedCourt]]=TrafficData[[#This Row],[totalCourt]]</f>
        <v>1</v>
      </c>
      <c r="N1148" t="b">
        <f>AND(TrafficData[[#This Row],[disposedChallan]]&lt;=TrafficData[[#This Row],[totalChallan]],TrafficData[[#This Row],[pendingChallan]]&lt;=TrafficData[[#This Row],[totalChallan]])</f>
        <v>1</v>
      </c>
      <c r="O1148" t="b">
        <f>AND(TrafficData[[#This Row],[pendingAmount]]&lt;=TrafficData[[#This Row],[totalAmount]],TrafficData[[#This Row],[disposedAmount]]&lt;=TrafficData[[#This Row],[totalAmount]])</f>
        <v>1</v>
      </c>
      <c r="P1148" t="b">
        <f>AND(TrafficData[[#This Row],[pendingCourt]]&lt;=TrafficData[[#This Row],[totalCourt]],TrafficData[[#This Row],[disposedCourt]]&lt;=TrafficData[[#This Row],[totalCourt]])</f>
        <v>1</v>
      </c>
    </row>
    <row r="1149" spans="1:16">
      <c r="A1149" s="1">
        <v>43152</v>
      </c>
      <c r="B1149">
        <v>8469</v>
      </c>
      <c r="C1149">
        <v>5955</v>
      </c>
      <c r="D1149">
        <v>2514</v>
      </c>
      <c r="E1149">
        <v>7960250</v>
      </c>
      <c r="F1149">
        <v>16992823</v>
      </c>
      <c r="G1149">
        <v>24953073</v>
      </c>
      <c r="H1149">
        <v>2196</v>
      </c>
      <c r="I1149">
        <v>566</v>
      </c>
      <c r="J1149">
        <v>2762</v>
      </c>
      <c r="K1149" t="b">
        <f>TrafficData[[#This Row],[disposedChallan]]+TrafficData[[#This Row],[pendingChallan]]=TrafficData[[#This Row],[totalChallan]]</f>
        <v>1</v>
      </c>
      <c r="L1149" t="b">
        <f>TrafficData[[#This Row],[pendingAmount]]+TrafficData[[#This Row],[disposedAmount]]=TrafficData[[#This Row],[totalAmount]]</f>
        <v>1</v>
      </c>
      <c r="M1149" t="b">
        <f>TrafficData[[#This Row],[pendingCourt]]+TrafficData[[#This Row],[disposedCourt]]=TrafficData[[#This Row],[totalCourt]]</f>
        <v>1</v>
      </c>
      <c r="N1149" t="b">
        <f>AND(TrafficData[[#This Row],[disposedChallan]]&lt;=TrafficData[[#This Row],[totalChallan]],TrafficData[[#This Row],[pendingChallan]]&lt;=TrafficData[[#This Row],[totalChallan]])</f>
        <v>1</v>
      </c>
      <c r="O1149" t="b">
        <f>AND(TrafficData[[#This Row],[pendingAmount]]&lt;=TrafficData[[#This Row],[totalAmount]],TrafficData[[#This Row],[disposedAmount]]&lt;=TrafficData[[#This Row],[totalAmount]])</f>
        <v>1</v>
      </c>
      <c r="P1149" t="b">
        <f>AND(TrafficData[[#This Row],[pendingCourt]]&lt;=TrafficData[[#This Row],[totalCourt]],TrafficData[[#This Row],[disposedCourt]]&lt;=TrafficData[[#This Row],[totalCourt]])</f>
        <v>1</v>
      </c>
    </row>
    <row r="1150" spans="1:16">
      <c r="A1150" s="1">
        <v>43153</v>
      </c>
      <c r="B1150">
        <v>1939</v>
      </c>
      <c r="C1150">
        <v>1121</v>
      </c>
      <c r="D1150">
        <v>818</v>
      </c>
      <c r="E1150">
        <v>2617950</v>
      </c>
      <c r="F1150">
        <v>10635136</v>
      </c>
      <c r="G1150">
        <v>13253086</v>
      </c>
      <c r="H1150">
        <v>555</v>
      </c>
      <c r="I1150">
        <v>141</v>
      </c>
      <c r="J1150">
        <v>696</v>
      </c>
      <c r="K1150" t="b">
        <f>TrafficData[[#This Row],[disposedChallan]]+TrafficData[[#This Row],[pendingChallan]]=TrafficData[[#This Row],[totalChallan]]</f>
        <v>1</v>
      </c>
      <c r="L1150" t="b">
        <f>TrafficData[[#This Row],[pendingAmount]]+TrafficData[[#This Row],[disposedAmount]]=TrafficData[[#This Row],[totalAmount]]</f>
        <v>1</v>
      </c>
      <c r="M1150" t="b">
        <f>TrafficData[[#This Row],[pendingCourt]]+TrafficData[[#This Row],[disposedCourt]]=TrafficData[[#This Row],[totalCourt]]</f>
        <v>1</v>
      </c>
      <c r="N1150" t="b">
        <f>AND(TrafficData[[#This Row],[disposedChallan]]&lt;=TrafficData[[#This Row],[totalChallan]],TrafficData[[#This Row],[pendingChallan]]&lt;=TrafficData[[#This Row],[totalChallan]])</f>
        <v>1</v>
      </c>
      <c r="O1150" t="b">
        <f>AND(TrafficData[[#This Row],[pendingAmount]]&lt;=TrafficData[[#This Row],[totalAmount]],TrafficData[[#This Row],[disposedAmount]]&lt;=TrafficData[[#This Row],[totalAmount]])</f>
        <v>1</v>
      </c>
      <c r="P1150" t="b">
        <f>AND(TrafficData[[#This Row],[pendingCourt]]&lt;=TrafficData[[#This Row],[totalCourt]],TrafficData[[#This Row],[disposedCourt]]&lt;=TrafficData[[#This Row],[totalCourt]])</f>
        <v>1</v>
      </c>
    </row>
    <row r="1151" spans="1:16">
      <c r="A1151" s="1">
        <v>43154</v>
      </c>
      <c r="B1151">
        <v>2114</v>
      </c>
      <c r="C1151">
        <v>1238</v>
      </c>
      <c r="D1151">
        <v>876</v>
      </c>
      <c r="E1151">
        <v>2878251</v>
      </c>
      <c r="F1151">
        <v>11673170</v>
      </c>
      <c r="G1151">
        <v>14551421</v>
      </c>
      <c r="H1151">
        <v>632</v>
      </c>
      <c r="I1151">
        <v>223</v>
      </c>
      <c r="J1151">
        <v>855</v>
      </c>
      <c r="K1151" t="b">
        <f>TrafficData[[#This Row],[disposedChallan]]+TrafficData[[#This Row],[pendingChallan]]=TrafficData[[#This Row],[totalChallan]]</f>
        <v>1</v>
      </c>
      <c r="L1151" t="b">
        <f>TrafficData[[#This Row],[pendingAmount]]+TrafficData[[#This Row],[disposedAmount]]=TrafficData[[#This Row],[totalAmount]]</f>
        <v>1</v>
      </c>
      <c r="M1151" t="b">
        <f>TrafficData[[#This Row],[pendingCourt]]+TrafficData[[#This Row],[disposedCourt]]=TrafficData[[#This Row],[totalCourt]]</f>
        <v>1</v>
      </c>
      <c r="N1151" t="b">
        <f>AND(TrafficData[[#This Row],[disposedChallan]]&lt;=TrafficData[[#This Row],[totalChallan]],TrafficData[[#This Row],[pendingChallan]]&lt;=TrafficData[[#This Row],[totalChallan]])</f>
        <v>1</v>
      </c>
      <c r="O1151" t="b">
        <f>AND(TrafficData[[#This Row],[pendingAmount]]&lt;=TrafficData[[#This Row],[totalAmount]],TrafficData[[#This Row],[disposedAmount]]&lt;=TrafficData[[#This Row],[totalAmount]])</f>
        <v>1</v>
      </c>
      <c r="P1151" t="b">
        <f>AND(TrafficData[[#This Row],[pendingCourt]]&lt;=TrafficData[[#This Row],[totalCourt]],TrafficData[[#This Row],[disposedCourt]]&lt;=TrafficData[[#This Row],[totalCourt]])</f>
        <v>1</v>
      </c>
    </row>
    <row r="1152" spans="1:16">
      <c r="A1152" s="1">
        <v>43155</v>
      </c>
      <c r="B1152">
        <v>1973</v>
      </c>
      <c r="C1152">
        <v>1259</v>
      </c>
      <c r="D1152">
        <v>714</v>
      </c>
      <c r="E1152">
        <v>2430775</v>
      </c>
      <c r="F1152">
        <v>11907154</v>
      </c>
      <c r="G1152">
        <v>14337929</v>
      </c>
      <c r="H1152">
        <v>582</v>
      </c>
      <c r="I1152">
        <v>207</v>
      </c>
      <c r="J1152">
        <v>789</v>
      </c>
      <c r="K1152" t="b">
        <f>TrafficData[[#This Row],[disposedChallan]]+TrafficData[[#This Row],[pendingChallan]]=TrafficData[[#This Row],[totalChallan]]</f>
        <v>1</v>
      </c>
      <c r="L1152" t="b">
        <f>TrafficData[[#This Row],[pendingAmount]]+TrafficData[[#This Row],[disposedAmount]]=TrafficData[[#This Row],[totalAmount]]</f>
        <v>1</v>
      </c>
      <c r="M1152" t="b">
        <f>TrafficData[[#This Row],[pendingCourt]]+TrafficData[[#This Row],[disposedCourt]]=TrafficData[[#This Row],[totalCourt]]</f>
        <v>1</v>
      </c>
      <c r="N1152" t="b">
        <f>AND(TrafficData[[#This Row],[disposedChallan]]&lt;=TrafficData[[#This Row],[totalChallan]],TrafficData[[#This Row],[pendingChallan]]&lt;=TrafficData[[#This Row],[totalChallan]])</f>
        <v>1</v>
      </c>
      <c r="O1152" t="b">
        <f>AND(TrafficData[[#This Row],[pendingAmount]]&lt;=TrafficData[[#This Row],[totalAmount]],TrafficData[[#This Row],[disposedAmount]]&lt;=TrafficData[[#This Row],[totalAmount]])</f>
        <v>1</v>
      </c>
      <c r="P1152" t="b">
        <f>AND(TrafficData[[#This Row],[pendingCourt]]&lt;=TrafficData[[#This Row],[totalCourt]],TrafficData[[#This Row],[disposedCourt]]&lt;=TrafficData[[#This Row],[totalCourt]])</f>
        <v>1</v>
      </c>
    </row>
    <row r="1153" spans="1:16">
      <c r="A1153" s="1">
        <v>43156</v>
      </c>
      <c r="B1153">
        <v>1360</v>
      </c>
      <c r="C1153">
        <v>878</v>
      </c>
      <c r="D1153">
        <v>482</v>
      </c>
      <c r="E1153">
        <v>2111452</v>
      </c>
      <c r="F1153">
        <v>10467199</v>
      </c>
      <c r="G1153">
        <v>12578651</v>
      </c>
      <c r="H1153">
        <v>361</v>
      </c>
      <c r="I1153">
        <v>122</v>
      </c>
      <c r="J1153">
        <v>483</v>
      </c>
      <c r="K1153" t="b">
        <f>TrafficData[[#This Row],[disposedChallan]]+TrafficData[[#This Row],[pendingChallan]]=TrafficData[[#This Row],[totalChallan]]</f>
        <v>1</v>
      </c>
      <c r="L1153" t="b">
        <f>TrafficData[[#This Row],[pendingAmount]]+TrafficData[[#This Row],[disposedAmount]]=TrafficData[[#This Row],[totalAmount]]</f>
        <v>1</v>
      </c>
      <c r="M1153" t="b">
        <f>TrafficData[[#This Row],[pendingCourt]]+TrafficData[[#This Row],[disposedCourt]]=TrafficData[[#This Row],[totalCourt]]</f>
        <v>1</v>
      </c>
      <c r="N1153" t="b">
        <f>AND(TrafficData[[#This Row],[disposedChallan]]&lt;=TrafficData[[#This Row],[totalChallan]],TrafficData[[#This Row],[pendingChallan]]&lt;=TrafficData[[#This Row],[totalChallan]])</f>
        <v>1</v>
      </c>
      <c r="O1153" t="b">
        <f>AND(TrafficData[[#This Row],[pendingAmount]]&lt;=TrafficData[[#This Row],[totalAmount]],TrafficData[[#This Row],[disposedAmount]]&lt;=TrafficData[[#This Row],[totalAmount]])</f>
        <v>1</v>
      </c>
      <c r="P1153" t="b">
        <f>AND(TrafficData[[#This Row],[pendingCourt]]&lt;=TrafficData[[#This Row],[totalCourt]],TrafficData[[#This Row],[disposedCourt]]&lt;=TrafficData[[#This Row],[totalCourt]])</f>
        <v>1</v>
      </c>
    </row>
    <row r="1154" spans="1:16">
      <c r="A1154" s="1">
        <v>43157</v>
      </c>
      <c r="B1154">
        <v>2274</v>
      </c>
      <c r="C1154">
        <v>1462</v>
      </c>
      <c r="D1154">
        <v>812</v>
      </c>
      <c r="E1154">
        <v>3576832</v>
      </c>
      <c r="F1154">
        <v>15196269</v>
      </c>
      <c r="G1154">
        <v>18773101</v>
      </c>
      <c r="H1154">
        <v>616</v>
      </c>
      <c r="I1154">
        <v>289</v>
      </c>
      <c r="J1154">
        <v>905</v>
      </c>
      <c r="K1154" t="b">
        <f>TrafficData[[#This Row],[disposedChallan]]+TrafficData[[#This Row],[pendingChallan]]=TrafficData[[#This Row],[totalChallan]]</f>
        <v>1</v>
      </c>
      <c r="L1154" t="b">
        <f>TrafficData[[#This Row],[pendingAmount]]+TrafficData[[#This Row],[disposedAmount]]=TrafficData[[#This Row],[totalAmount]]</f>
        <v>1</v>
      </c>
      <c r="M1154" t="b">
        <f>TrafficData[[#This Row],[pendingCourt]]+TrafficData[[#This Row],[disposedCourt]]=TrafficData[[#This Row],[totalCourt]]</f>
        <v>1</v>
      </c>
      <c r="N1154" t="b">
        <f>AND(TrafficData[[#This Row],[disposedChallan]]&lt;=TrafficData[[#This Row],[totalChallan]],TrafficData[[#This Row],[pendingChallan]]&lt;=TrafficData[[#This Row],[totalChallan]])</f>
        <v>1</v>
      </c>
      <c r="O1154" t="b">
        <f>AND(TrafficData[[#This Row],[pendingAmount]]&lt;=TrafficData[[#This Row],[totalAmount]],TrafficData[[#This Row],[disposedAmount]]&lt;=TrafficData[[#This Row],[totalAmount]])</f>
        <v>1</v>
      </c>
      <c r="P1154" t="b">
        <f>AND(TrafficData[[#This Row],[pendingCourt]]&lt;=TrafficData[[#This Row],[totalCourt]],TrafficData[[#This Row],[disposedCourt]]&lt;=TrafficData[[#This Row],[totalCourt]])</f>
        <v>1</v>
      </c>
    </row>
    <row r="1155" spans="1:16">
      <c r="A1155" s="1">
        <v>43158</v>
      </c>
      <c r="B1155">
        <v>2188</v>
      </c>
      <c r="C1155">
        <v>1252</v>
      </c>
      <c r="D1155">
        <v>936</v>
      </c>
      <c r="E1155">
        <v>3205238</v>
      </c>
      <c r="F1155">
        <v>11806603</v>
      </c>
      <c r="G1155">
        <v>15011841</v>
      </c>
      <c r="H1155">
        <v>633</v>
      </c>
      <c r="I1155">
        <v>180</v>
      </c>
      <c r="J1155">
        <v>813</v>
      </c>
      <c r="K1155" t="b">
        <f>TrafficData[[#This Row],[disposedChallan]]+TrafficData[[#This Row],[pendingChallan]]=TrafficData[[#This Row],[totalChallan]]</f>
        <v>1</v>
      </c>
      <c r="L1155" t="b">
        <f>TrafficData[[#This Row],[pendingAmount]]+TrafficData[[#This Row],[disposedAmount]]=TrafficData[[#This Row],[totalAmount]]</f>
        <v>1</v>
      </c>
      <c r="M1155" t="b">
        <f>TrafficData[[#This Row],[pendingCourt]]+TrafficData[[#This Row],[disposedCourt]]=TrafficData[[#This Row],[totalCourt]]</f>
        <v>1</v>
      </c>
      <c r="N1155" t="b">
        <f>AND(TrafficData[[#This Row],[disposedChallan]]&lt;=TrafficData[[#This Row],[totalChallan]],TrafficData[[#This Row],[pendingChallan]]&lt;=TrafficData[[#This Row],[totalChallan]])</f>
        <v>1</v>
      </c>
      <c r="O1155" t="b">
        <f>AND(TrafficData[[#This Row],[pendingAmount]]&lt;=TrafficData[[#This Row],[totalAmount]],TrafficData[[#This Row],[disposedAmount]]&lt;=TrafficData[[#This Row],[totalAmount]])</f>
        <v>1</v>
      </c>
      <c r="P1155" t="b">
        <f>AND(TrafficData[[#This Row],[pendingCourt]]&lt;=TrafficData[[#This Row],[totalCourt]],TrafficData[[#This Row],[disposedCourt]]&lt;=TrafficData[[#This Row],[totalCourt]])</f>
        <v>1</v>
      </c>
    </row>
    <row r="1156" spans="1:16">
      <c r="A1156" s="1">
        <v>43159</v>
      </c>
      <c r="B1156">
        <v>9391</v>
      </c>
      <c r="C1156">
        <v>6504</v>
      </c>
      <c r="D1156">
        <v>2887</v>
      </c>
      <c r="E1156">
        <v>7580900</v>
      </c>
      <c r="F1156">
        <v>7716168</v>
      </c>
      <c r="G1156">
        <v>15297068</v>
      </c>
      <c r="H1156">
        <v>2599</v>
      </c>
      <c r="I1156">
        <v>614</v>
      </c>
      <c r="J1156">
        <v>3213</v>
      </c>
      <c r="K1156" t="b">
        <f>TrafficData[[#This Row],[disposedChallan]]+TrafficData[[#This Row],[pendingChallan]]=TrafficData[[#This Row],[totalChallan]]</f>
        <v>1</v>
      </c>
      <c r="L1156" t="b">
        <f>TrafficData[[#This Row],[pendingAmount]]+TrafficData[[#This Row],[disposedAmount]]=TrafficData[[#This Row],[totalAmount]]</f>
        <v>1</v>
      </c>
      <c r="M1156" t="b">
        <f>TrafficData[[#This Row],[pendingCourt]]+TrafficData[[#This Row],[disposedCourt]]=TrafficData[[#This Row],[totalCourt]]</f>
        <v>1</v>
      </c>
      <c r="N1156" t="b">
        <f>AND(TrafficData[[#This Row],[disposedChallan]]&lt;=TrafficData[[#This Row],[totalChallan]],TrafficData[[#This Row],[pendingChallan]]&lt;=TrafficData[[#This Row],[totalChallan]])</f>
        <v>1</v>
      </c>
      <c r="O1156" t="b">
        <f>AND(TrafficData[[#This Row],[pendingAmount]]&lt;=TrafficData[[#This Row],[totalAmount]],TrafficData[[#This Row],[disposedAmount]]&lt;=TrafficData[[#This Row],[totalAmount]])</f>
        <v>1</v>
      </c>
      <c r="P1156" t="b">
        <f>AND(TrafficData[[#This Row],[pendingCourt]]&lt;=TrafficData[[#This Row],[totalCourt]],TrafficData[[#This Row],[disposedCourt]]&lt;=TrafficData[[#This Row],[totalCourt]])</f>
        <v>1</v>
      </c>
    </row>
    <row r="1157" spans="1:16">
      <c r="A1157" s="1">
        <v>43160</v>
      </c>
      <c r="B1157">
        <v>1066</v>
      </c>
      <c r="C1157">
        <v>502</v>
      </c>
      <c r="D1157">
        <v>564</v>
      </c>
      <c r="E1157">
        <v>1484399</v>
      </c>
      <c r="F1157">
        <v>4897945</v>
      </c>
      <c r="G1157">
        <v>6382344</v>
      </c>
      <c r="H1157">
        <v>394</v>
      </c>
      <c r="I1157">
        <v>62</v>
      </c>
      <c r="J1157">
        <v>456</v>
      </c>
      <c r="K1157" t="b">
        <f>TrafficData[[#This Row],[disposedChallan]]+TrafficData[[#This Row],[pendingChallan]]=TrafficData[[#This Row],[totalChallan]]</f>
        <v>1</v>
      </c>
      <c r="L1157" t="b">
        <f>TrafficData[[#This Row],[pendingAmount]]+TrafficData[[#This Row],[disposedAmount]]=TrafficData[[#This Row],[totalAmount]]</f>
        <v>1</v>
      </c>
      <c r="M1157" t="b">
        <f>TrafficData[[#This Row],[pendingCourt]]+TrafficData[[#This Row],[disposedCourt]]=TrafficData[[#This Row],[totalCourt]]</f>
        <v>1</v>
      </c>
      <c r="N1157" t="b">
        <f>AND(TrafficData[[#This Row],[disposedChallan]]&lt;=TrafficData[[#This Row],[totalChallan]],TrafficData[[#This Row],[pendingChallan]]&lt;=TrafficData[[#This Row],[totalChallan]])</f>
        <v>1</v>
      </c>
      <c r="O1157" t="b">
        <f>AND(TrafficData[[#This Row],[pendingAmount]]&lt;=TrafficData[[#This Row],[totalAmount]],TrafficData[[#This Row],[disposedAmount]]&lt;=TrafficData[[#This Row],[totalAmount]])</f>
        <v>1</v>
      </c>
      <c r="P1157" t="b">
        <f>AND(TrafficData[[#This Row],[pendingCourt]]&lt;=TrafficData[[#This Row],[totalCourt]],TrafficData[[#This Row],[disposedCourt]]&lt;=TrafficData[[#This Row],[totalCourt]])</f>
        <v>1</v>
      </c>
    </row>
    <row r="1158" spans="1:16">
      <c r="A1158" s="1">
        <v>43161</v>
      </c>
      <c r="B1158">
        <v>435</v>
      </c>
      <c r="C1158">
        <v>162</v>
      </c>
      <c r="D1158">
        <v>273</v>
      </c>
      <c r="E1158">
        <v>531600</v>
      </c>
      <c r="F1158">
        <v>989950</v>
      </c>
      <c r="G1158">
        <v>1521550</v>
      </c>
      <c r="H1158">
        <v>213</v>
      </c>
      <c r="I1158">
        <v>28</v>
      </c>
      <c r="J1158">
        <v>241</v>
      </c>
      <c r="K1158" t="b">
        <f>TrafficData[[#This Row],[disposedChallan]]+TrafficData[[#This Row],[pendingChallan]]=TrafficData[[#This Row],[totalChallan]]</f>
        <v>1</v>
      </c>
      <c r="L1158" t="b">
        <f>TrafficData[[#This Row],[pendingAmount]]+TrafficData[[#This Row],[disposedAmount]]=TrafficData[[#This Row],[totalAmount]]</f>
        <v>1</v>
      </c>
      <c r="M1158" t="b">
        <f>TrafficData[[#This Row],[pendingCourt]]+TrafficData[[#This Row],[disposedCourt]]=TrafficData[[#This Row],[totalCourt]]</f>
        <v>1</v>
      </c>
      <c r="N1158" t="b">
        <f>AND(TrafficData[[#This Row],[disposedChallan]]&lt;=TrafficData[[#This Row],[totalChallan]],TrafficData[[#This Row],[pendingChallan]]&lt;=TrafficData[[#This Row],[totalChallan]])</f>
        <v>1</v>
      </c>
      <c r="O1158" t="b">
        <f>AND(TrafficData[[#This Row],[pendingAmount]]&lt;=TrafficData[[#This Row],[totalAmount]],TrafficData[[#This Row],[disposedAmount]]&lt;=TrafficData[[#This Row],[totalAmount]])</f>
        <v>1</v>
      </c>
      <c r="P1158" t="b">
        <f>AND(TrafficData[[#This Row],[pendingCourt]]&lt;=TrafficData[[#This Row],[totalCourt]],TrafficData[[#This Row],[disposedCourt]]&lt;=TrafficData[[#This Row],[totalCourt]])</f>
        <v>1</v>
      </c>
    </row>
    <row r="1159" spans="1:16">
      <c r="A1159" s="1">
        <v>43162</v>
      </c>
      <c r="B1159">
        <v>963</v>
      </c>
      <c r="C1159">
        <v>427</v>
      </c>
      <c r="D1159">
        <v>536</v>
      </c>
      <c r="E1159">
        <v>1737250</v>
      </c>
      <c r="F1159">
        <v>1743863</v>
      </c>
      <c r="G1159">
        <v>3481113</v>
      </c>
      <c r="H1159">
        <v>377</v>
      </c>
      <c r="I1159">
        <v>49</v>
      </c>
      <c r="J1159">
        <v>426</v>
      </c>
      <c r="K1159" t="b">
        <f>TrafficData[[#This Row],[disposedChallan]]+TrafficData[[#This Row],[pendingChallan]]=TrafficData[[#This Row],[totalChallan]]</f>
        <v>1</v>
      </c>
      <c r="L1159" t="b">
        <f>TrafficData[[#This Row],[pendingAmount]]+TrafficData[[#This Row],[disposedAmount]]=TrafficData[[#This Row],[totalAmount]]</f>
        <v>1</v>
      </c>
      <c r="M1159" t="b">
        <f>TrafficData[[#This Row],[pendingCourt]]+TrafficData[[#This Row],[disposedCourt]]=TrafficData[[#This Row],[totalCourt]]</f>
        <v>1</v>
      </c>
      <c r="N1159" t="b">
        <f>AND(TrafficData[[#This Row],[disposedChallan]]&lt;=TrafficData[[#This Row],[totalChallan]],TrafficData[[#This Row],[pendingChallan]]&lt;=TrafficData[[#This Row],[totalChallan]])</f>
        <v>1</v>
      </c>
      <c r="O1159" t="b">
        <f>AND(TrafficData[[#This Row],[pendingAmount]]&lt;=TrafficData[[#This Row],[totalAmount]],TrafficData[[#This Row],[disposedAmount]]&lt;=TrafficData[[#This Row],[totalAmount]])</f>
        <v>1</v>
      </c>
      <c r="P1159" t="b">
        <f>AND(TrafficData[[#This Row],[pendingCourt]]&lt;=TrafficData[[#This Row],[totalCourt]],TrafficData[[#This Row],[disposedCourt]]&lt;=TrafficData[[#This Row],[totalCourt]])</f>
        <v>1</v>
      </c>
    </row>
    <row r="1160" spans="1:16">
      <c r="A1160" s="1">
        <v>43163</v>
      </c>
      <c r="B1160">
        <v>1077</v>
      </c>
      <c r="C1160">
        <v>637</v>
      </c>
      <c r="D1160">
        <v>440</v>
      </c>
      <c r="E1160">
        <v>1071550</v>
      </c>
      <c r="F1160">
        <v>2537600</v>
      </c>
      <c r="G1160">
        <v>3609150</v>
      </c>
      <c r="H1160">
        <v>350</v>
      </c>
      <c r="I1160">
        <v>43</v>
      </c>
      <c r="J1160">
        <v>393</v>
      </c>
      <c r="K1160" t="b">
        <f>TrafficData[[#This Row],[disposedChallan]]+TrafficData[[#This Row],[pendingChallan]]=TrafficData[[#This Row],[totalChallan]]</f>
        <v>1</v>
      </c>
      <c r="L1160" t="b">
        <f>TrafficData[[#This Row],[pendingAmount]]+TrafficData[[#This Row],[disposedAmount]]=TrafficData[[#This Row],[totalAmount]]</f>
        <v>1</v>
      </c>
      <c r="M1160" t="b">
        <f>TrafficData[[#This Row],[pendingCourt]]+TrafficData[[#This Row],[disposedCourt]]=TrafficData[[#This Row],[totalCourt]]</f>
        <v>1</v>
      </c>
      <c r="N1160" t="b">
        <f>AND(TrafficData[[#This Row],[disposedChallan]]&lt;=TrafficData[[#This Row],[totalChallan]],TrafficData[[#This Row],[pendingChallan]]&lt;=TrafficData[[#This Row],[totalChallan]])</f>
        <v>1</v>
      </c>
      <c r="O1160" t="b">
        <f>AND(TrafficData[[#This Row],[pendingAmount]]&lt;=TrafficData[[#This Row],[totalAmount]],TrafficData[[#This Row],[disposedAmount]]&lt;=TrafficData[[#This Row],[totalAmount]])</f>
        <v>1</v>
      </c>
      <c r="P1160" t="b">
        <f>AND(TrafficData[[#This Row],[pendingCourt]]&lt;=TrafficData[[#This Row],[totalCourt]],TrafficData[[#This Row],[disposedCourt]]&lt;=TrafficData[[#This Row],[totalCourt]])</f>
        <v>1</v>
      </c>
    </row>
    <row r="1161" spans="1:16">
      <c r="A1161" s="1">
        <v>43164</v>
      </c>
      <c r="B1161">
        <v>2169</v>
      </c>
      <c r="C1161">
        <v>1331</v>
      </c>
      <c r="D1161">
        <v>838</v>
      </c>
      <c r="E1161">
        <v>2019551</v>
      </c>
      <c r="F1161">
        <v>6245270</v>
      </c>
      <c r="G1161">
        <v>8264821</v>
      </c>
      <c r="H1161">
        <v>634</v>
      </c>
      <c r="I1161">
        <v>89</v>
      </c>
      <c r="J1161">
        <v>723</v>
      </c>
      <c r="K1161" t="b">
        <f>TrafficData[[#This Row],[disposedChallan]]+TrafficData[[#This Row],[pendingChallan]]=TrafficData[[#This Row],[totalChallan]]</f>
        <v>1</v>
      </c>
      <c r="L1161" t="b">
        <f>TrafficData[[#This Row],[pendingAmount]]+TrafficData[[#This Row],[disposedAmount]]=TrafficData[[#This Row],[totalAmount]]</f>
        <v>1</v>
      </c>
      <c r="M1161" t="b">
        <f>TrafficData[[#This Row],[pendingCourt]]+TrafficData[[#This Row],[disposedCourt]]=TrafficData[[#This Row],[totalCourt]]</f>
        <v>1</v>
      </c>
      <c r="N1161" t="b">
        <f>AND(TrafficData[[#This Row],[disposedChallan]]&lt;=TrafficData[[#This Row],[totalChallan]],TrafficData[[#This Row],[pendingChallan]]&lt;=TrafficData[[#This Row],[totalChallan]])</f>
        <v>1</v>
      </c>
      <c r="O1161" t="b">
        <f>AND(TrafficData[[#This Row],[pendingAmount]]&lt;=TrafficData[[#This Row],[totalAmount]],TrafficData[[#This Row],[disposedAmount]]&lt;=TrafficData[[#This Row],[totalAmount]])</f>
        <v>1</v>
      </c>
      <c r="P1161" t="b">
        <f>AND(TrafficData[[#This Row],[pendingCourt]]&lt;=TrafficData[[#This Row],[totalCourt]],TrafficData[[#This Row],[disposedCourt]]&lt;=TrafficData[[#This Row],[totalCourt]])</f>
        <v>1</v>
      </c>
    </row>
    <row r="1162" spans="1:16">
      <c r="A1162" s="1">
        <v>43165</v>
      </c>
      <c r="B1162">
        <v>3228</v>
      </c>
      <c r="C1162">
        <v>2326</v>
      </c>
      <c r="D1162">
        <v>902</v>
      </c>
      <c r="E1162">
        <v>4068254</v>
      </c>
      <c r="F1162">
        <v>14230000</v>
      </c>
      <c r="G1162">
        <v>18298254</v>
      </c>
      <c r="H1162">
        <v>640</v>
      </c>
      <c r="I1162">
        <v>146</v>
      </c>
      <c r="J1162">
        <v>786</v>
      </c>
      <c r="K1162" t="b">
        <f>TrafficData[[#This Row],[disposedChallan]]+TrafficData[[#This Row],[pendingChallan]]=TrafficData[[#This Row],[totalChallan]]</f>
        <v>1</v>
      </c>
      <c r="L1162" t="b">
        <f>TrafficData[[#This Row],[pendingAmount]]+TrafficData[[#This Row],[disposedAmount]]=TrafficData[[#This Row],[totalAmount]]</f>
        <v>1</v>
      </c>
      <c r="M1162" t="b">
        <f>TrafficData[[#This Row],[pendingCourt]]+TrafficData[[#This Row],[disposedCourt]]=TrafficData[[#This Row],[totalCourt]]</f>
        <v>1</v>
      </c>
      <c r="N1162" t="b">
        <f>AND(TrafficData[[#This Row],[disposedChallan]]&lt;=TrafficData[[#This Row],[totalChallan]],TrafficData[[#This Row],[pendingChallan]]&lt;=TrafficData[[#This Row],[totalChallan]])</f>
        <v>1</v>
      </c>
      <c r="O1162" t="b">
        <f>AND(TrafficData[[#This Row],[pendingAmount]]&lt;=TrafficData[[#This Row],[totalAmount]],TrafficData[[#This Row],[disposedAmount]]&lt;=TrafficData[[#This Row],[totalAmount]])</f>
        <v>1</v>
      </c>
      <c r="P1162" t="b">
        <f>AND(TrafficData[[#This Row],[pendingCourt]]&lt;=TrafficData[[#This Row],[totalCourt]],TrafficData[[#This Row],[disposedCourt]]&lt;=TrafficData[[#This Row],[totalCourt]])</f>
        <v>1</v>
      </c>
    </row>
    <row r="1163" spans="1:16">
      <c r="A1163" s="1">
        <v>43166</v>
      </c>
      <c r="B1163">
        <v>12037</v>
      </c>
      <c r="C1163">
        <v>8970</v>
      </c>
      <c r="D1163">
        <v>3067</v>
      </c>
      <c r="E1163">
        <v>9243000</v>
      </c>
      <c r="F1163">
        <v>10790345</v>
      </c>
      <c r="G1163">
        <v>20033345</v>
      </c>
      <c r="H1163">
        <v>2703</v>
      </c>
      <c r="I1163">
        <v>693</v>
      </c>
      <c r="J1163">
        <v>3396</v>
      </c>
      <c r="K1163" t="b">
        <f>TrafficData[[#This Row],[disposedChallan]]+TrafficData[[#This Row],[pendingChallan]]=TrafficData[[#This Row],[totalChallan]]</f>
        <v>1</v>
      </c>
      <c r="L1163" t="b">
        <f>TrafficData[[#This Row],[pendingAmount]]+TrafficData[[#This Row],[disposedAmount]]=TrafficData[[#This Row],[totalAmount]]</f>
        <v>1</v>
      </c>
      <c r="M1163" t="b">
        <f>TrafficData[[#This Row],[pendingCourt]]+TrafficData[[#This Row],[disposedCourt]]=TrafficData[[#This Row],[totalCourt]]</f>
        <v>1</v>
      </c>
      <c r="N1163" t="b">
        <f>AND(TrafficData[[#This Row],[disposedChallan]]&lt;=TrafficData[[#This Row],[totalChallan]],TrafficData[[#This Row],[pendingChallan]]&lt;=TrafficData[[#This Row],[totalChallan]])</f>
        <v>1</v>
      </c>
      <c r="O1163" t="b">
        <f>AND(TrafficData[[#This Row],[pendingAmount]]&lt;=TrafficData[[#This Row],[totalAmount]],TrafficData[[#This Row],[disposedAmount]]&lt;=TrafficData[[#This Row],[totalAmount]])</f>
        <v>1</v>
      </c>
      <c r="P1163" t="b">
        <f>AND(TrafficData[[#This Row],[pendingCourt]]&lt;=TrafficData[[#This Row],[totalCourt]],TrafficData[[#This Row],[disposedCourt]]&lt;=TrafficData[[#This Row],[totalCourt]])</f>
        <v>1</v>
      </c>
    </row>
    <row r="1164" spans="1:16">
      <c r="A1164" s="1">
        <v>43167</v>
      </c>
      <c r="B1164">
        <v>3271</v>
      </c>
      <c r="C1164">
        <v>2569</v>
      </c>
      <c r="D1164">
        <v>702</v>
      </c>
      <c r="E1164">
        <v>2864451</v>
      </c>
      <c r="F1164">
        <v>13099631</v>
      </c>
      <c r="G1164">
        <v>15964082</v>
      </c>
      <c r="H1164">
        <v>470</v>
      </c>
      <c r="I1164">
        <v>161</v>
      </c>
      <c r="J1164">
        <v>631</v>
      </c>
      <c r="K1164" t="b">
        <f>TrafficData[[#This Row],[disposedChallan]]+TrafficData[[#This Row],[pendingChallan]]=TrafficData[[#This Row],[totalChallan]]</f>
        <v>1</v>
      </c>
      <c r="L1164" t="b">
        <f>TrafficData[[#This Row],[pendingAmount]]+TrafficData[[#This Row],[disposedAmount]]=TrafficData[[#This Row],[totalAmount]]</f>
        <v>1</v>
      </c>
      <c r="M1164" t="b">
        <f>TrafficData[[#This Row],[pendingCourt]]+TrafficData[[#This Row],[disposedCourt]]=TrafficData[[#This Row],[totalCourt]]</f>
        <v>1</v>
      </c>
      <c r="N1164" t="b">
        <f>AND(TrafficData[[#This Row],[disposedChallan]]&lt;=TrafficData[[#This Row],[totalChallan]],TrafficData[[#This Row],[pendingChallan]]&lt;=TrafficData[[#This Row],[totalChallan]])</f>
        <v>1</v>
      </c>
      <c r="O1164" t="b">
        <f>AND(TrafficData[[#This Row],[pendingAmount]]&lt;=TrafficData[[#This Row],[totalAmount]],TrafficData[[#This Row],[disposedAmount]]&lt;=TrafficData[[#This Row],[totalAmount]])</f>
        <v>1</v>
      </c>
      <c r="P1164" t="b">
        <f>AND(TrafficData[[#This Row],[pendingCourt]]&lt;=TrafficData[[#This Row],[totalCourt]],TrafficData[[#This Row],[disposedCourt]]&lt;=TrafficData[[#This Row],[totalCourt]])</f>
        <v>1</v>
      </c>
    </row>
    <row r="1165" spans="1:16">
      <c r="A1165" s="1">
        <v>43168</v>
      </c>
      <c r="B1165">
        <v>3511</v>
      </c>
      <c r="C1165">
        <v>2848</v>
      </c>
      <c r="D1165">
        <v>663</v>
      </c>
      <c r="E1165">
        <v>3331601</v>
      </c>
      <c r="F1165">
        <v>13309085</v>
      </c>
      <c r="G1165">
        <v>16640686</v>
      </c>
      <c r="H1165">
        <v>467</v>
      </c>
      <c r="I1165">
        <v>150</v>
      </c>
      <c r="J1165">
        <v>617</v>
      </c>
      <c r="K1165" t="b">
        <f>TrafficData[[#This Row],[disposedChallan]]+TrafficData[[#This Row],[pendingChallan]]=TrafficData[[#This Row],[totalChallan]]</f>
        <v>1</v>
      </c>
      <c r="L1165" t="b">
        <f>TrafficData[[#This Row],[pendingAmount]]+TrafficData[[#This Row],[disposedAmount]]=TrafficData[[#This Row],[totalAmount]]</f>
        <v>1</v>
      </c>
      <c r="M1165" t="b">
        <f>TrafficData[[#This Row],[pendingCourt]]+TrafficData[[#This Row],[disposedCourt]]=TrafficData[[#This Row],[totalCourt]]</f>
        <v>1</v>
      </c>
      <c r="N1165" t="b">
        <f>AND(TrafficData[[#This Row],[disposedChallan]]&lt;=TrafficData[[#This Row],[totalChallan]],TrafficData[[#This Row],[pendingChallan]]&lt;=TrafficData[[#This Row],[totalChallan]])</f>
        <v>1</v>
      </c>
      <c r="O1165" t="b">
        <f>AND(TrafficData[[#This Row],[pendingAmount]]&lt;=TrafficData[[#This Row],[totalAmount]],TrafficData[[#This Row],[disposedAmount]]&lt;=TrafficData[[#This Row],[totalAmount]])</f>
        <v>1</v>
      </c>
      <c r="P1165" t="b">
        <f>AND(TrafficData[[#This Row],[pendingCourt]]&lt;=TrafficData[[#This Row],[totalCourt]],TrafficData[[#This Row],[disposedCourt]]&lt;=TrafficData[[#This Row],[totalCourt]])</f>
        <v>1</v>
      </c>
    </row>
    <row r="1166" spans="1:16">
      <c r="A1166" s="1">
        <v>43169</v>
      </c>
      <c r="B1166">
        <v>2796</v>
      </c>
      <c r="C1166">
        <v>2330</v>
      </c>
      <c r="D1166">
        <v>466</v>
      </c>
      <c r="E1166">
        <v>1829174</v>
      </c>
      <c r="F1166">
        <v>10589200</v>
      </c>
      <c r="G1166">
        <v>12418374</v>
      </c>
      <c r="H1166">
        <v>309</v>
      </c>
      <c r="I1166">
        <v>104</v>
      </c>
      <c r="J1166">
        <v>413</v>
      </c>
      <c r="K1166" t="b">
        <f>TrafficData[[#This Row],[disposedChallan]]+TrafficData[[#This Row],[pendingChallan]]=TrafficData[[#This Row],[totalChallan]]</f>
        <v>1</v>
      </c>
      <c r="L1166" t="b">
        <f>TrafficData[[#This Row],[pendingAmount]]+TrafficData[[#This Row],[disposedAmount]]=TrafficData[[#This Row],[totalAmount]]</f>
        <v>1</v>
      </c>
      <c r="M1166" t="b">
        <f>TrafficData[[#This Row],[pendingCourt]]+TrafficData[[#This Row],[disposedCourt]]=TrafficData[[#This Row],[totalCourt]]</f>
        <v>1</v>
      </c>
      <c r="N1166" t="b">
        <f>AND(TrafficData[[#This Row],[disposedChallan]]&lt;=TrafficData[[#This Row],[totalChallan]],TrafficData[[#This Row],[pendingChallan]]&lt;=TrafficData[[#This Row],[totalChallan]])</f>
        <v>1</v>
      </c>
      <c r="O1166" t="b">
        <f>AND(TrafficData[[#This Row],[pendingAmount]]&lt;=TrafficData[[#This Row],[totalAmount]],TrafficData[[#This Row],[disposedAmount]]&lt;=TrafficData[[#This Row],[totalAmount]])</f>
        <v>1</v>
      </c>
      <c r="P1166" t="b">
        <f>AND(TrafficData[[#This Row],[pendingCourt]]&lt;=TrafficData[[#This Row],[totalCourt]],TrafficData[[#This Row],[disposedCourt]]&lt;=TrafficData[[#This Row],[totalCourt]])</f>
        <v>1</v>
      </c>
    </row>
    <row r="1167" spans="1:16">
      <c r="A1167" s="1">
        <v>43170</v>
      </c>
      <c r="B1167">
        <v>1705</v>
      </c>
      <c r="C1167">
        <v>1363</v>
      </c>
      <c r="D1167">
        <v>342</v>
      </c>
      <c r="E1167">
        <v>1991801</v>
      </c>
      <c r="F1167">
        <v>8592082</v>
      </c>
      <c r="G1167">
        <v>10583883</v>
      </c>
      <c r="H1167">
        <v>217</v>
      </c>
      <c r="I1167">
        <v>85</v>
      </c>
      <c r="J1167">
        <v>302</v>
      </c>
      <c r="K1167" t="b">
        <f>TrafficData[[#This Row],[disposedChallan]]+TrafficData[[#This Row],[pendingChallan]]=TrafficData[[#This Row],[totalChallan]]</f>
        <v>1</v>
      </c>
      <c r="L1167" t="b">
        <f>TrafficData[[#This Row],[pendingAmount]]+TrafficData[[#This Row],[disposedAmount]]=TrafficData[[#This Row],[totalAmount]]</f>
        <v>1</v>
      </c>
      <c r="M1167" t="b">
        <f>TrafficData[[#This Row],[pendingCourt]]+TrafficData[[#This Row],[disposedCourt]]=TrafficData[[#This Row],[totalCourt]]</f>
        <v>1</v>
      </c>
      <c r="N1167" t="b">
        <f>AND(TrafficData[[#This Row],[disposedChallan]]&lt;=TrafficData[[#This Row],[totalChallan]],TrafficData[[#This Row],[pendingChallan]]&lt;=TrafficData[[#This Row],[totalChallan]])</f>
        <v>1</v>
      </c>
      <c r="O1167" t="b">
        <f>AND(TrafficData[[#This Row],[pendingAmount]]&lt;=TrafficData[[#This Row],[totalAmount]],TrafficData[[#This Row],[disposedAmount]]&lt;=TrafficData[[#This Row],[totalAmount]])</f>
        <v>1</v>
      </c>
      <c r="P1167" t="b">
        <f>AND(TrafficData[[#This Row],[pendingCourt]]&lt;=TrafficData[[#This Row],[totalCourt]],TrafficData[[#This Row],[disposedCourt]]&lt;=TrafficData[[#This Row],[totalCourt]])</f>
        <v>1</v>
      </c>
    </row>
    <row r="1168" spans="1:16">
      <c r="A1168" s="1">
        <v>43171</v>
      </c>
      <c r="B1168">
        <v>3289</v>
      </c>
      <c r="C1168">
        <v>2601</v>
      </c>
      <c r="D1168">
        <v>688</v>
      </c>
      <c r="E1168">
        <v>2743860</v>
      </c>
      <c r="F1168">
        <v>11564836</v>
      </c>
      <c r="G1168">
        <v>14308696</v>
      </c>
      <c r="H1168">
        <v>480</v>
      </c>
      <c r="I1168">
        <v>145</v>
      </c>
      <c r="J1168">
        <v>625</v>
      </c>
      <c r="K1168" t="b">
        <f>TrafficData[[#This Row],[disposedChallan]]+TrafficData[[#This Row],[pendingChallan]]=TrafficData[[#This Row],[totalChallan]]</f>
        <v>1</v>
      </c>
      <c r="L1168" t="b">
        <f>TrafficData[[#This Row],[pendingAmount]]+TrafficData[[#This Row],[disposedAmount]]=TrafficData[[#This Row],[totalAmount]]</f>
        <v>1</v>
      </c>
      <c r="M1168" t="b">
        <f>TrafficData[[#This Row],[pendingCourt]]+TrafficData[[#This Row],[disposedCourt]]=TrafficData[[#This Row],[totalCourt]]</f>
        <v>1</v>
      </c>
      <c r="N1168" t="b">
        <f>AND(TrafficData[[#This Row],[disposedChallan]]&lt;=TrafficData[[#This Row],[totalChallan]],TrafficData[[#This Row],[pendingChallan]]&lt;=TrafficData[[#This Row],[totalChallan]])</f>
        <v>1</v>
      </c>
      <c r="O1168" t="b">
        <f>AND(TrafficData[[#This Row],[pendingAmount]]&lt;=TrafficData[[#This Row],[totalAmount]],TrafficData[[#This Row],[disposedAmount]]&lt;=TrafficData[[#This Row],[totalAmount]])</f>
        <v>1</v>
      </c>
      <c r="P1168" t="b">
        <f>AND(TrafficData[[#This Row],[pendingCourt]]&lt;=TrafficData[[#This Row],[totalCourt]],TrafficData[[#This Row],[disposedCourt]]&lt;=TrafficData[[#This Row],[totalCourt]])</f>
        <v>1</v>
      </c>
    </row>
    <row r="1169" spans="1:16">
      <c r="A1169" s="1">
        <v>43172</v>
      </c>
      <c r="B1169">
        <v>3582</v>
      </c>
      <c r="C1169">
        <v>2755</v>
      </c>
      <c r="D1169">
        <v>827</v>
      </c>
      <c r="E1169">
        <v>3754215</v>
      </c>
      <c r="F1169">
        <v>14572266</v>
      </c>
      <c r="G1169">
        <v>18326481</v>
      </c>
      <c r="H1169">
        <v>595</v>
      </c>
      <c r="I1169">
        <v>171</v>
      </c>
      <c r="J1169">
        <v>766</v>
      </c>
      <c r="K1169" t="b">
        <f>TrafficData[[#This Row],[disposedChallan]]+TrafficData[[#This Row],[pendingChallan]]=TrafficData[[#This Row],[totalChallan]]</f>
        <v>1</v>
      </c>
      <c r="L1169" t="b">
        <f>TrafficData[[#This Row],[pendingAmount]]+TrafficData[[#This Row],[disposedAmount]]=TrafficData[[#This Row],[totalAmount]]</f>
        <v>1</v>
      </c>
      <c r="M1169" t="b">
        <f>TrafficData[[#This Row],[pendingCourt]]+TrafficData[[#This Row],[disposedCourt]]=TrafficData[[#This Row],[totalCourt]]</f>
        <v>1</v>
      </c>
      <c r="N1169" t="b">
        <f>AND(TrafficData[[#This Row],[disposedChallan]]&lt;=TrafficData[[#This Row],[totalChallan]],TrafficData[[#This Row],[pendingChallan]]&lt;=TrafficData[[#This Row],[totalChallan]])</f>
        <v>1</v>
      </c>
      <c r="O1169" t="b">
        <f>AND(TrafficData[[#This Row],[pendingAmount]]&lt;=TrafficData[[#This Row],[totalAmount]],TrafficData[[#This Row],[disposedAmount]]&lt;=TrafficData[[#This Row],[totalAmount]])</f>
        <v>1</v>
      </c>
      <c r="P1169" t="b">
        <f>AND(TrafficData[[#This Row],[pendingCourt]]&lt;=TrafficData[[#This Row],[totalCourt]],TrafficData[[#This Row],[disposedCourt]]&lt;=TrafficData[[#This Row],[totalCourt]])</f>
        <v>1</v>
      </c>
    </row>
    <row r="1170" spans="1:16">
      <c r="A1170" s="1">
        <v>43173</v>
      </c>
      <c r="B1170">
        <v>11988</v>
      </c>
      <c r="C1170">
        <v>8823</v>
      </c>
      <c r="D1170">
        <v>3165</v>
      </c>
      <c r="E1170">
        <v>9264054</v>
      </c>
      <c r="F1170">
        <v>17556294</v>
      </c>
      <c r="G1170">
        <v>26820348</v>
      </c>
      <c r="H1170">
        <v>2771</v>
      </c>
      <c r="I1170">
        <v>734</v>
      </c>
      <c r="J1170">
        <v>3505</v>
      </c>
      <c r="K1170" t="b">
        <f>TrafficData[[#This Row],[disposedChallan]]+TrafficData[[#This Row],[pendingChallan]]=TrafficData[[#This Row],[totalChallan]]</f>
        <v>1</v>
      </c>
      <c r="L1170" t="b">
        <f>TrafficData[[#This Row],[pendingAmount]]+TrafficData[[#This Row],[disposedAmount]]=TrafficData[[#This Row],[totalAmount]]</f>
        <v>1</v>
      </c>
      <c r="M1170" t="b">
        <f>TrafficData[[#This Row],[pendingCourt]]+TrafficData[[#This Row],[disposedCourt]]=TrafficData[[#This Row],[totalCourt]]</f>
        <v>1</v>
      </c>
      <c r="N1170" t="b">
        <f>AND(TrafficData[[#This Row],[disposedChallan]]&lt;=TrafficData[[#This Row],[totalChallan]],TrafficData[[#This Row],[pendingChallan]]&lt;=TrafficData[[#This Row],[totalChallan]])</f>
        <v>1</v>
      </c>
      <c r="O1170" t="b">
        <f>AND(TrafficData[[#This Row],[pendingAmount]]&lt;=TrafficData[[#This Row],[totalAmount]],TrafficData[[#This Row],[disposedAmount]]&lt;=TrafficData[[#This Row],[totalAmount]])</f>
        <v>1</v>
      </c>
      <c r="P1170" t="b">
        <f>AND(TrafficData[[#This Row],[pendingCourt]]&lt;=TrafficData[[#This Row],[totalCourt]],TrafficData[[#This Row],[disposedCourt]]&lt;=TrafficData[[#This Row],[totalCourt]])</f>
        <v>1</v>
      </c>
    </row>
    <row r="1171" spans="1:16">
      <c r="A1171" s="1">
        <v>43174</v>
      </c>
      <c r="B1171">
        <v>3619</v>
      </c>
      <c r="C1171">
        <v>2829</v>
      </c>
      <c r="D1171">
        <v>790</v>
      </c>
      <c r="E1171">
        <v>3008751</v>
      </c>
      <c r="F1171">
        <v>15128340</v>
      </c>
      <c r="G1171">
        <v>18137091</v>
      </c>
      <c r="H1171">
        <v>603</v>
      </c>
      <c r="I1171">
        <v>149</v>
      </c>
      <c r="J1171">
        <v>752</v>
      </c>
      <c r="K1171" t="b">
        <f>TrafficData[[#This Row],[disposedChallan]]+TrafficData[[#This Row],[pendingChallan]]=TrafficData[[#This Row],[totalChallan]]</f>
        <v>1</v>
      </c>
      <c r="L1171" t="b">
        <f>TrafficData[[#This Row],[pendingAmount]]+TrafficData[[#This Row],[disposedAmount]]=TrafficData[[#This Row],[totalAmount]]</f>
        <v>1</v>
      </c>
      <c r="M1171" t="b">
        <f>TrafficData[[#This Row],[pendingCourt]]+TrafficData[[#This Row],[disposedCourt]]=TrafficData[[#This Row],[totalCourt]]</f>
        <v>1</v>
      </c>
      <c r="N1171" t="b">
        <f>AND(TrafficData[[#This Row],[disposedChallan]]&lt;=TrafficData[[#This Row],[totalChallan]],TrafficData[[#This Row],[pendingChallan]]&lt;=TrafficData[[#This Row],[totalChallan]])</f>
        <v>1</v>
      </c>
      <c r="O1171" t="b">
        <f>AND(TrafficData[[#This Row],[pendingAmount]]&lt;=TrafficData[[#This Row],[totalAmount]],TrafficData[[#This Row],[disposedAmount]]&lt;=TrafficData[[#This Row],[totalAmount]])</f>
        <v>1</v>
      </c>
      <c r="P1171" t="b">
        <f>AND(TrafficData[[#This Row],[pendingCourt]]&lt;=TrafficData[[#This Row],[totalCourt]],TrafficData[[#This Row],[disposedCourt]]&lt;=TrafficData[[#This Row],[totalCourt]])</f>
        <v>1</v>
      </c>
    </row>
    <row r="1172" spans="1:16">
      <c r="A1172" s="1">
        <v>43175</v>
      </c>
      <c r="B1172">
        <v>3645</v>
      </c>
      <c r="C1172">
        <v>2701</v>
      </c>
      <c r="D1172">
        <v>944</v>
      </c>
      <c r="E1172">
        <v>3298390</v>
      </c>
      <c r="F1172">
        <v>16300458</v>
      </c>
      <c r="G1172">
        <v>19598848</v>
      </c>
      <c r="H1172">
        <v>721</v>
      </c>
      <c r="I1172">
        <v>175</v>
      </c>
      <c r="J1172">
        <v>896</v>
      </c>
      <c r="K1172" t="b">
        <f>TrafficData[[#This Row],[disposedChallan]]+TrafficData[[#This Row],[pendingChallan]]=TrafficData[[#This Row],[totalChallan]]</f>
        <v>1</v>
      </c>
      <c r="L1172" t="b">
        <f>TrafficData[[#This Row],[pendingAmount]]+TrafficData[[#This Row],[disposedAmount]]=TrafficData[[#This Row],[totalAmount]]</f>
        <v>1</v>
      </c>
      <c r="M1172" t="b">
        <f>TrafficData[[#This Row],[pendingCourt]]+TrafficData[[#This Row],[disposedCourt]]=TrafficData[[#This Row],[totalCourt]]</f>
        <v>1</v>
      </c>
      <c r="N1172" t="b">
        <f>AND(TrafficData[[#This Row],[disposedChallan]]&lt;=TrafficData[[#This Row],[totalChallan]],TrafficData[[#This Row],[pendingChallan]]&lt;=TrafficData[[#This Row],[totalChallan]])</f>
        <v>1</v>
      </c>
      <c r="O1172" t="b">
        <f>AND(TrafficData[[#This Row],[pendingAmount]]&lt;=TrafficData[[#This Row],[totalAmount]],TrafficData[[#This Row],[disposedAmount]]&lt;=TrafficData[[#This Row],[totalAmount]])</f>
        <v>1</v>
      </c>
      <c r="P1172" t="b">
        <f>AND(TrafficData[[#This Row],[pendingCourt]]&lt;=TrafficData[[#This Row],[totalCourt]],TrafficData[[#This Row],[disposedCourt]]&lt;=TrafficData[[#This Row],[totalCourt]])</f>
        <v>1</v>
      </c>
    </row>
    <row r="1173" spans="1:16">
      <c r="A1173" s="1">
        <v>43176</v>
      </c>
      <c r="B1173">
        <v>3462</v>
      </c>
      <c r="C1173">
        <v>2616</v>
      </c>
      <c r="D1173">
        <v>846</v>
      </c>
      <c r="E1173">
        <v>2929466</v>
      </c>
      <c r="F1173">
        <v>13580543</v>
      </c>
      <c r="G1173">
        <v>16510009</v>
      </c>
      <c r="H1173">
        <v>669</v>
      </c>
      <c r="I1173">
        <v>177</v>
      </c>
      <c r="J1173">
        <v>846</v>
      </c>
      <c r="K1173" t="b">
        <f>TrafficData[[#This Row],[disposedChallan]]+TrafficData[[#This Row],[pendingChallan]]=TrafficData[[#This Row],[totalChallan]]</f>
        <v>1</v>
      </c>
      <c r="L1173" t="b">
        <f>TrafficData[[#This Row],[pendingAmount]]+TrafficData[[#This Row],[disposedAmount]]=TrafficData[[#This Row],[totalAmount]]</f>
        <v>1</v>
      </c>
      <c r="M1173" t="b">
        <f>TrafficData[[#This Row],[pendingCourt]]+TrafficData[[#This Row],[disposedCourt]]=TrafficData[[#This Row],[totalCourt]]</f>
        <v>1</v>
      </c>
      <c r="N1173" t="b">
        <f>AND(TrafficData[[#This Row],[disposedChallan]]&lt;=TrafficData[[#This Row],[totalChallan]],TrafficData[[#This Row],[pendingChallan]]&lt;=TrafficData[[#This Row],[totalChallan]])</f>
        <v>1</v>
      </c>
      <c r="O1173" t="b">
        <f>AND(TrafficData[[#This Row],[pendingAmount]]&lt;=TrafficData[[#This Row],[totalAmount]],TrafficData[[#This Row],[disposedAmount]]&lt;=TrafficData[[#This Row],[totalAmount]])</f>
        <v>1</v>
      </c>
      <c r="P1173" t="b">
        <f>AND(TrafficData[[#This Row],[pendingCourt]]&lt;=TrafficData[[#This Row],[totalCourt]],TrafficData[[#This Row],[disposedCourt]]&lt;=TrafficData[[#This Row],[totalCourt]])</f>
        <v>1</v>
      </c>
    </row>
    <row r="1174" spans="1:16">
      <c r="A1174" s="1">
        <v>43177</v>
      </c>
      <c r="B1174">
        <v>1566</v>
      </c>
      <c r="C1174">
        <v>1191</v>
      </c>
      <c r="D1174">
        <v>375</v>
      </c>
      <c r="E1174">
        <v>1206050</v>
      </c>
      <c r="F1174">
        <v>6813520</v>
      </c>
      <c r="G1174">
        <v>8019570</v>
      </c>
      <c r="H1174">
        <v>259</v>
      </c>
      <c r="I1174">
        <v>60</v>
      </c>
      <c r="J1174">
        <v>319</v>
      </c>
      <c r="K1174" t="b">
        <f>TrafficData[[#This Row],[disposedChallan]]+TrafficData[[#This Row],[pendingChallan]]=TrafficData[[#This Row],[totalChallan]]</f>
        <v>1</v>
      </c>
      <c r="L1174" t="b">
        <f>TrafficData[[#This Row],[pendingAmount]]+TrafficData[[#This Row],[disposedAmount]]=TrafficData[[#This Row],[totalAmount]]</f>
        <v>1</v>
      </c>
      <c r="M1174" t="b">
        <f>TrafficData[[#This Row],[pendingCourt]]+TrafficData[[#This Row],[disposedCourt]]=TrafficData[[#This Row],[totalCourt]]</f>
        <v>1</v>
      </c>
      <c r="N1174" t="b">
        <f>AND(TrafficData[[#This Row],[disposedChallan]]&lt;=TrafficData[[#This Row],[totalChallan]],TrafficData[[#This Row],[pendingChallan]]&lt;=TrafficData[[#This Row],[totalChallan]])</f>
        <v>1</v>
      </c>
      <c r="O1174" t="b">
        <f>AND(TrafficData[[#This Row],[pendingAmount]]&lt;=TrafficData[[#This Row],[totalAmount]],TrafficData[[#This Row],[disposedAmount]]&lt;=TrafficData[[#This Row],[totalAmount]])</f>
        <v>1</v>
      </c>
      <c r="P1174" t="b">
        <f>AND(TrafficData[[#This Row],[pendingCourt]]&lt;=TrafficData[[#This Row],[totalCourt]],TrafficData[[#This Row],[disposedCourt]]&lt;=TrafficData[[#This Row],[totalCourt]])</f>
        <v>1</v>
      </c>
    </row>
    <row r="1175" spans="1:16">
      <c r="A1175" s="1">
        <v>43178</v>
      </c>
      <c r="B1175">
        <v>3473</v>
      </c>
      <c r="C1175">
        <v>2775</v>
      </c>
      <c r="D1175">
        <v>698</v>
      </c>
      <c r="E1175">
        <v>2880550</v>
      </c>
      <c r="F1175">
        <v>11149853</v>
      </c>
      <c r="G1175">
        <v>14030403</v>
      </c>
      <c r="H1175">
        <v>481</v>
      </c>
      <c r="I1175">
        <v>162</v>
      </c>
      <c r="J1175">
        <v>643</v>
      </c>
      <c r="K1175" t="b">
        <f>TrafficData[[#This Row],[disposedChallan]]+TrafficData[[#This Row],[pendingChallan]]=TrafficData[[#This Row],[totalChallan]]</f>
        <v>1</v>
      </c>
      <c r="L1175" t="b">
        <f>TrafficData[[#This Row],[pendingAmount]]+TrafficData[[#This Row],[disposedAmount]]=TrafficData[[#This Row],[totalAmount]]</f>
        <v>1</v>
      </c>
      <c r="M1175" t="b">
        <f>TrafficData[[#This Row],[pendingCourt]]+TrafficData[[#This Row],[disposedCourt]]=TrafficData[[#This Row],[totalCourt]]</f>
        <v>1</v>
      </c>
      <c r="N1175" t="b">
        <f>AND(TrafficData[[#This Row],[disposedChallan]]&lt;=TrafficData[[#This Row],[totalChallan]],TrafficData[[#This Row],[pendingChallan]]&lt;=TrafficData[[#This Row],[totalChallan]])</f>
        <v>1</v>
      </c>
      <c r="O1175" t="b">
        <f>AND(TrafficData[[#This Row],[pendingAmount]]&lt;=TrafficData[[#This Row],[totalAmount]],TrafficData[[#This Row],[disposedAmount]]&lt;=TrafficData[[#This Row],[totalAmount]])</f>
        <v>1</v>
      </c>
      <c r="P1175" t="b">
        <f>AND(TrafficData[[#This Row],[pendingCourt]]&lt;=TrafficData[[#This Row],[totalCourt]],TrafficData[[#This Row],[disposedCourt]]&lt;=TrafficData[[#This Row],[totalCourt]])</f>
        <v>1</v>
      </c>
    </row>
    <row r="1176" spans="1:16">
      <c r="A1176" s="1">
        <v>43179</v>
      </c>
      <c r="B1176">
        <v>3660</v>
      </c>
      <c r="C1176">
        <v>2909</v>
      </c>
      <c r="D1176">
        <v>751</v>
      </c>
      <c r="E1176">
        <v>4604400</v>
      </c>
      <c r="F1176">
        <v>16046523</v>
      </c>
      <c r="G1176">
        <v>20650923</v>
      </c>
      <c r="H1176">
        <v>507</v>
      </c>
      <c r="I1176">
        <v>124</v>
      </c>
      <c r="J1176">
        <v>631</v>
      </c>
      <c r="K1176" t="b">
        <f>TrafficData[[#This Row],[disposedChallan]]+TrafficData[[#This Row],[pendingChallan]]=TrafficData[[#This Row],[totalChallan]]</f>
        <v>1</v>
      </c>
      <c r="L1176" t="b">
        <f>TrafficData[[#This Row],[pendingAmount]]+TrafficData[[#This Row],[disposedAmount]]=TrafficData[[#This Row],[totalAmount]]</f>
        <v>1</v>
      </c>
      <c r="M1176" t="b">
        <f>TrafficData[[#This Row],[pendingCourt]]+TrafficData[[#This Row],[disposedCourt]]=TrafficData[[#This Row],[totalCourt]]</f>
        <v>1</v>
      </c>
      <c r="N1176" t="b">
        <f>AND(TrafficData[[#This Row],[disposedChallan]]&lt;=TrafficData[[#This Row],[totalChallan]],TrafficData[[#This Row],[pendingChallan]]&lt;=TrafficData[[#This Row],[totalChallan]])</f>
        <v>1</v>
      </c>
      <c r="O1176" t="b">
        <f>AND(TrafficData[[#This Row],[pendingAmount]]&lt;=TrafficData[[#This Row],[totalAmount]],TrafficData[[#This Row],[disposedAmount]]&lt;=TrafficData[[#This Row],[totalAmount]])</f>
        <v>1</v>
      </c>
      <c r="P1176" t="b">
        <f>AND(TrafficData[[#This Row],[pendingCourt]]&lt;=TrafficData[[#This Row],[totalCourt]],TrafficData[[#This Row],[disposedCourt]]&lt;=TrafficData[[#This Row],[totalCourt]])</f>
        <v>1</v>
      </c>
    </row>
    <row r="1177" spans="1:16">
      <c r="A1177" s="1">
        <v>43180</v>
      </c>
      <c r="B1177">
        <v>11305</v>
      </c>
      <c r="C1177">
        <v>8640</v>
      </c>
      <c r="D1177">
        <v>2665</v>
      </c>
      <c r="E1177">
        <v>7693551</v>
      </c>
      <c r="F1177">
        <v>15371061</v>
      </c>
      <c r="G1177">
        <v>23064612</v>
      </c>
      <c r="H1177">
        <v>2338</v>
      </c>
      <c r="I1177">
        <v>695</v>
      </c>
      <c r="J1177">
        <v>3033</v>
      </c>
      <c r="K1177" t="b">
        <f>TrafficData[[#This Row],[disposedChallan]]+TrafficData[[#This Row],[pendingChallan]]=TrafficData[[#This Row],[totalChallan]]</f>
        <v>1</v>
      </c>
      <c r="L1177" t="b">
        <f>TrafficData[[#This Row],[pendingAmount]]+TrafficData[[#This Row],[disposedAmount]]=TrafficData[[#This Row],[totalAmount]]</f>
        <v>1</v>
      </c>
      <c r="M1177" t="b">
        <f>TrafficData[[#This Row],[pendingCourt]]+TrafficData[[#This Row],[disposedCourt]]=TrafficData[[#This Row],[totalCourt]]</f>
        <v>1</v>
      </c>
      <c r="N1177" t="b">
        <f>AND(TrafficData[[#This Row],[disposedChallan]]&lt;=TrafficData[[#This Row],[totalChallan]],TrafficData[[#This Row],[pendingChallan]]&lt;=TrafficData[[#This Row],[totalChallan]])</f>
        <v>1</v>
      </c>
      <c r="O1177" t="b">
        <f>AND(TrafficData[[#This Row],[pendingAmount]]&lt;=TrafficData[[#This Row],[totalAmount]],TrafficData[[#This Row],[disposedAmount]]&lt;=TrafficData[[#This Row],[totalAmount]])</f>
        <v>1</v>
      </c>
      <c r="P1177" t="b">
        <f>AND(TrafficData[[#This Row],[pendingCourt]]&lt;=TrafficData[[#This Row],[totalCourt]],TrafficData[[#This Row],[disposedCourt]]&lt;=TrafficData[[#This Row],[totalCourt]])</f>
        <v>1</v>
      </c>
    </row>
    <row r="1178" spans="1:16">
      <c r="A1178" s="1">
        <v>43181</v>
      </c>
      <c r="B1178">
        <v>3721</v>
      </c>
      <c r="C1178">
        <v>2890</v>
      </c>
      <c r="D1178">
        <v>831</v>
      </c>
      <c r="E1178">
        <v>2535301</v>
      </c>
      <c r="F1178">
        <v>11381536</v>
      </c>
      <c r="G1178">
        <v>13916837</v>
      </c>
      <c r="H1178">
        <v>576</v>
      </c>
      <c r="I1178">
        <v>154</v>
      </c>
      <c r="J1178">
        <v>730</v>
      </c>
      <c r="K1178" t="b">
        <f>TrafficData[[#This Row],[disposedChallan]]+TrafficData[[#This Row],[pendingChallan]]=TrafficData[[#This Row],[totalChallan]]</f>
        <v>1</v>
      </c>
      <c r="L1178" t="b">
        <f>TrafficData[[#This Row],[pendingAmount]]+TrafficData[[#This Row],[disposedAmount]]=TrafficData[[#This Row],[totalAmount]]</f>
        <v>1</v>
      </c>
      <c r="M1178" t="b">
        <f>TrafficData[[#This Row],[pendingCourt]]+TrafficData[[#This Row],[disposedCourt]]=TrafficData[[#This Row],[totalCourt]]</f>
        <v>1</v>
      </c>
      <c r="N1178" t="b">
        <f>AND(TrafficData[[#This Row],[disposedChallan]]&lt;=TrafficData[[#This Row],[totalChallan]],TrafficData[[#This Row],[pendingChallan]]&lt;=TrafficData[[#This Row],[totalChallan]])</f>
        <v>1</v>
      </c>
      <c r="O1178" t="b">
        <f>AND(TrafficData[[#This Row],[pendingAmount]]&lt;=TrafficData[[#This Row],[totalAmount]],TrafficData[[#This Row],[disposedAmount]]&lt;=TrafficData[[#This Row],[totalAmount]])</f>
        <v>1</v>
      </c>
      <c r="P1178" t="b">
        <f>AND(TrafficData[[#This Row],[pendingCourt]]&lt;=TrafficData[[#This Row],[totalCourt]],TrafficData[[#This Row],[disposedCourt]]&lt;=TrafficData[[#This Row],[totalCourt]])</f>
        <v>1</v>
      </c>
    </row>
    <row r="1179" spans="1:16">
      <c r="A1179" s="1">
        <v>43182</v>
      </c>
      <c r="B1179">
        <v>3619</v>
      </c>
      <c r="C1179">
        <v>2837</v>
      </c>
      <c r="D1179">
        <v>782</v>
      </c>
      <c r="E1179">
        <v>1861402</v>
      </c>
      <c r="F1179">
        <v>10006022</v>
      </c>
      <c r="G1179">
        <v>11867424</v>
      </c>
      <c r="H1179">
        <v>557</v>
      </c>
      <c r="I1179">
        <v>111</v>
      </c>
      <c r="J1179">
        <v>668</v>
      </c>
      <c r="K1179" t="b">
        <f>TrafficData[[#This Row],[disposedChallan]]+TrafficData[[#This Row],[pendingChallan]]=TrafficData[[#This Row],[totalChallan]]</f>
        <v>1</v>
      </c>
      <c r="L1179" t="b">
        <f>TrafficData[[#This Row],[pendingAmount]]+TrafficData[[#This Row],[disposedAmount]]=TrafficData[[#This Row],[totalAmount]]</f>
        <v>1</v>
      </c>
      <c r="M1179" t="b">
        <f>TrafficData[[#This Row],[pendingCourt]]+TrafficData[[#This Row],[disposedCourt]]=TrafficData[[#This Row],[totalCourt]]</f>
        <v>1</v>
      </c>
      <c r="N1179" t="b">
        <f>AND(TrafficData[[#This Row],[disposedChallan]]&lt;=TrafficData[[#This Row],[totalChallan]],TrafficData[[#This Row],[pendingChallan]]&lt;=TrafficData[[#This Row],[totalChallan]])</f>
        <v>1</v>
      </c>
      <c r="O1179" t="b">
        <f>AND(TrafficData[[#This Row],[pendingAmount]]&lt;=TrafficData[[#This Row],[totalAmount]],TrafficData[[#This Row],[disposedAmount]]&lt;=TrafficData[[#This Row],[totalAmount]])</f>
        <v>1</v>
      </c>
      <c r="P1179" t="b">
        <f>AND(TrafficData[[#This Row],[pendingCourt]]&lt;=TrafficData[[#This Row],[totalCourt]],TrafficData[[#This Row],[disposedCourt]]&lt;=TrafficData[[#This Row],[totalCourt]])</f>
        <v>1</v>
      </c>
    </row>
    <row r="1180" spans="1:16">
      <c r="A1180" s="1">
        <v>43183</v>
      </c>
      <c r="B1180">
        <v>2909</v>
      </c>
      <c r="C1180">
        <v>2324</v>
      </c>
      <c r="D1180">
        <v>585</v>
      </c>
      <c r="E1180">
        <v>2344701</v>
      </c>
      <c r="F1180">
        <v>14363881</v>
      </c>
      <c r="G1180">
        <v>16708582</v>
      </c>
      <c r="H1180">
        <v>367</v>
      </c>
      <c r="I1180">
        <v>122</v>
      </c>
      <c r="J1180">
        <v>489</v>
      </c>
      <c r="K1180" t="b">
        <f>TrafficData[[#This Row],[disposedChallan]]+TrafficData[[#This Row],[pendingChallan]]=TrafficData[[#This Row],[totalChallan]]</f>
        <v>1</v>
      </c>
      <c r="L1180" t="b">
        <f>TrafficData[[#This Row],[pendingAmount]]+TrafficData[[#This Row],[disposedAmount]]=TrafficData[[#This Row],[totalAmount]]</f>
        <v>1</v>
      </c>
      <c r="M1180" t="b">
        <f>TrafficData[[#This Row],[pendingCourt]]+TrafficData[[#This Row],[disposedCourt]]=TrafficData[[#This Row],[totalCourt]]</f>
        <v>1</v>
      </c>
      <c r="N1180" t="b">
        <f>AND(TrafficData[[#This Row],[disposedChallan]]&lt;=TrafficData[[#This Row],[totalChallan]],TrafficData[[#This Row],[pendingChallan]]&lt;=TrafficData[[#This Row],[totalChallan]])</f>
        <v>1</v>
      </c>
      <c r="O1180" t="b">
        <f>AND(TrafficData[[#This Row],[pendingAmount]]&lt;=TrafficData[[#This Row],[totalAmount]],TrafficData[[#This Row],[disposedAmount]]&lt;=TrafficData[[#This Row],[totalAmount]])</f>
        <v>1</v>
      </c>
      <c r="P1180" t="b">
        <f>AND(TrafficData[[#This Row],[pendingCourt]]&lt;=TrafficData[[#This Row],[totalCourt]],TrafficData[[#This Row],[disposedCourt]]&lt;=TrafficData[[#This Row],[totalCourt]])</f>
        <v>1</v>
      </c>
    </row>
    <row r="1181" spans="1:16">
      <c r="A1181" s="1">
        <v>43184</v>
      </c>
      <c r="B1181">
        <v>1579</v>
      </c>
      <c r="C1181">
        <v>1274</v>
      </c>
      <c r="D1181">
        <v>305</v>
      </c>
      <c r="E1181">
        <v>1194700</v>
      </c>
      <c r="F1181">
        <v>9064520</v>
      </c>
      <c r="G1181">
        <v>10259220</v>
      </c>
      <c r="H1181">
        <v>209</v>
      </c>
      <c r="I1181">
        <v>53</v>
      </c>
      <c r="J1181">
        <v>262</v>
      </c>
      <c r="K1181" t="b">
        <f>TrafficData[[#This Row],[disposedChallan]]+TrafficData[[#This Row],[pendingChallan]]=TrafficData[[#This Row],[totalChallan]]</f>
        <v>1</v>
      </c>
      <c r="L1181" t="b">
        <f>TrafficData[[#This Row],[pendingAmount]]+TrafficData[[#This Row],[disposedAmount]]=TrafficData[[#This Row],[totalAmount]]</f>
        <v>1</v>
      </c>
      <c r="M1181" t="b">
        <f>TrafficData[[#This Row],[pendingCourt]]+TrafficData[[#This Row],[disposedCourt]]=TrafficData[[#This Row],[totalCourt]]</f>
        <v>1</v>
      </c>
      <c r="N1181" t="b">
        <f>AND(TrafficData[[#This Row],[disposedChallan]]&lt;=TrafficData[[#This Row],[totalChallan]],TrafficData[[#This Row],[pendingChallan]]&lt;=TrafficData[[#This Row],[totalChallan]])</f>
        <v>1</v>
      </c>
      <c r="O1181" t="b">
        <f>AND(TrafficData[[#This Row],[pendingAmount]]&lt;=TrafficData[[#This Row],[totalAmount]],TrafficData[[#This Row],[disposedAmount]]&lt;=TrafficData[[#This Row],[totalAmount]])</f>
        <v>1</v>
      </c>
      <c r="P1181" t="b">
        <f>AND(TrafficData[[#This Row],[pendingCourt]]&lt;=TrafficData[[#This Row],[totalCourt]],TrafficData[[#This Row],[disposedCourt]]&lt;=TrafficData[[#This Row],[totalCourt]])</f>
        <v>1</v>
      </c>
    </row>
    <row r="1182" spans="1:16">
      <c r="A1182" s="1">
        <v>43185</v>
      </c>
      <c r="B1182">
        <v>3419</v>
      </c>
      <c r="C1182">
        <v>2768</v>
      </c>
      <c r="D1182">
        <v>651</v>
      </c>
      <c r="E1182">
        <v>3080775</v>
      </c>
      <c r="F1182">
        <v>12125786</v>
      </c>
      <c r="G1182">
        <v>15206561</v>
      </c>
      <c r="H1182">
        <v>382</v>
      </c>
      <c r="I1182">
        <v>106</v>
      </c>
      <c r="J1182">
        <v>488</v>
      </c>
      <c r="K1182" t="b">
        <f>TrafficData[[#This Row],[disposedChallan]]+TrafficData[[#This Row],[pendingChallan]]=TrafficData[[#This Row],[totalChallan]]</f>
        <v>1</v>
      </c>
      <c r="L1182" t="b">
        <f>TrafficData[[#This Row],[pendingAmount]]+TrafficData[[#This Row],[disposedAmount]]=TrafficData[[#This Row],[totalAmount]]</f>
        <v>1</v>
      </c>
      <c r="M1182" t="b">
        <f>TrafficData[[#This Row],[pendingCourt]]+TrafficData[[#This Row],[disposedCourt]]=TrafficData[[#This Row],[totalCourt]]</f>
        <v>1</v>
      </c>
      <c r="N1182" t="b">
        <f>AND(TrafficData[[#This Row],[disposedChallan]]&lt;=TrafficData[[#This Row],[totalChallan]],TrafficData[[#This Row],[pendingChallan]]&lt;=TrafficData[[#This Row],[totalChallan]])</f>
        <v>1</v>
      </c>
      <c r="O1182" t="b">
        <f>AND(TrafficData[[#This Row],[pendingAmount]]&lt;=TrafficData[[#This Row],[totalAmount]],TrafficData[[#This Row],[disposedAmount]]&lt;=TrafficData[[#This Row],[totalAmount]])</f>
        <v>1</v>
      </c>
      <c r="P1182" t="b">
        <f>AND(TrafficData[[#This Row],[pendingCourt]]&lt;=TrafficData[[#This Row],[totalCourt]],TrafficData[[#This Row],[disposedCourt]]&lt;=TrafficData[[#This Row],[totalCourt]])</f>
        <v>1</v>
      </c>
    </row>
    <row r="1183" spans="1:16">
      <c r="A1183" s="1">
        <v>43186</v>
      </c>
      <c r="B1183">
        <v>3593</v>
      </c>
      <c r="C1183">
        <v>2905</v>
      </c>
      <c r="D1183">
        <v>688</v>
      </c>
      <c r="E1183">
        <v>3275100</v>
      </c>
      <c r="F1183">
        <v>16951509</v>
      </c>
      <c r="G1183">
        <v>20226609</v>
      </c>
      <c r="H1183">
        <v>400</v>
      </c>
      <c r="I1183">
        <v>126</v>
      </c>
      <c r="J1183">
        <v>526</v>
      </c>
      <c r="K1183" t="b">
        <f>TrafficData[[#This Row],[disposedChallan]]+TrafficData[[#This Row],[pendingChallan]]=TrafficData[[#This Row],[totalChallan]]</f>
        <v>1</v>
      </c>
      <c r="L1183" t="b">
        <f>TrafficData[[#This Row],[pendingAmount]]+TrafficData[[#This Row],[disposedAmount]]=TrafficData[[#This Row],[totalAmount]]</f>
        <v>1</v>
      </c>
      <c r="M1183" t="b">
        <f>TrafficData[[#This Row],[pendingCourt]]+TrafficData[[#This Row],[disposedCourt]]=TrafficData[[#This Row],[totalCourt]]</f>
        <v>1</v>
      </c>
      <c r="N1183" t="b">
        <f>AND(TrafficData[[#This Row],[disposedChallan]]&lt;=TrafficData[[#This Row],[totalChallan]],TrafficData[[#This Row],[pendingChallan]]&lt;=TrafficData[[#This Row],[totalChallan]])</f>
        <v>1</v>
      </c>
      <c r="O1183" t="b">
        <f>AND(TrafficData[[#This Row],[pendingAmount]]&lt;=TrafficData[[#This Row],[totalAmount]],TrafficData[[#This Row],[disposedAmount]]&lt;=TrafficData[[#This Row],[totalAmount]])</f>
        <v>1</v>
      </c>
      <c r="P1183" t="b">
        <f>AND(TrafficData[[#This Row],[pendingCourt]]&lt;=TrafficData[[#This Row],[totalCourt]],TrafficData[[#This Row],[disposedCourt]]&lt;=TrafficData[[#This Row],[totalCourt]])</f>
        <v>1</v>
      </c>
    </row>
    <row r="1184" spans="1:16">
      <c r="A1184" s="1">
        <v>43187</v>
      </c>
      <c r="B1184">
        <v>12314</v>
      </c>
      <c r="C1184">
        <v>9029</v>
      </c>
      <c r="D1184">
        <v>3285</v>
      </c>
      <c r="E1184">
        <v>8596450</v>
      </c>
      <c r="F1184">
        <v>13732822</v>
      </c>
      <c r="G1184">
        <v>22329272</v>
      </c>
      <c r="H1184">
        <v>2860</v>
      </c>
      <c r="I1184">
        <v>834</v>
      </c>
      <c r="J1184">
        <v>3694</v>
      </c>
      <c r="K1184" t="b">
        <f>TrafficData[[#This Row],[disposedChallan]]+TrafficData[[#This Row],[pendingChallan]]=TrafficData[[#This Row],[totalChallan]]</f>
        <v>1</v>
      </c>
      <c r="L1184" t="b">
        <f>TrafficData[[#This Row],[pendingAmount]]+TrafficData[[#This Row],[disposedAmount]]=TrafficData[[#This Row],[totalAmount]]</f>
        <v>1</v>
      </c>
      <c r="M1184" t="b">
        <f>TrafficData[[#This Row],[pendingCourt]]+TrafficData[[#This Row],[disposedCourt]]=TrafficData[[#This Row],[totalCourt]]</f>
        <v>1</v>
      </c>
      <c r="N1184" t="b">
        <f>AND(TrafficData[[#This Row],[disposedChallan]]&lt;=TrafficData[[#This Row],[totalChallan]],TrafficData[[#This Row],[pendingChallan]]&lt;=TrafficData[[#This Row],[totalChallan]])</f>
        <v>1</v>
      </c>
      <c r="O1184" t="b">
        <f>AND(TrafficData[[#This Row],[pendingAmount]]&lt;=TrafficData[[#This Row],[totalAmount]],TrafficData[[#This Row],[disposedAmount]]&lt;=TrafficData[[#This Row],[totalAmount]])</f>
        <v>1</v>
      </c>
      <c r="P1184" t="b">
        <f>AND(TrafficData[[#This Row],[pendingCourt]]&lt;=TrafficData[[#This Row],[totalCourt]],TrafficData[[#This Row],[disposedCourt]]&lt;=TrafficData[[#This Row],[totalCourt]])</f>
        <v>1</v>
      </c>
    </row>
    <row r="1185" spans="1:16">
      <c r="A1185" s="1">
        <v>43188</v>
      </c>
      <c r="B1185">
        <v>3591</v>
      </c>
      <c r="C1185">
        <v>2780</v>
      </c>
      <c r="D1185">
        <v>811</v>
      </c>
      <c r="E1185">
        <v>1564650</v>
      </c>
      <c r="F1185">
        <v>10902825</v>
      </c>
      <c r="G1185">
        <v>12467475</v>
      </c>
      <c r="H1185">
        <v>637</v>
      </c>
      <c r="I1185">
        <v>158</v>
      </c>
      <c r="J1185">
        <v>795</v>
      </c>
      <c r="K1185" t="b">
        <f>TrafficData[[#This Row],[disposedChallan]]+TrafficData[[#This Row],[pendingChallan]]=TrafficData[[#This Row],[totalChallan]]</f>
        <v>1</v>
      </c>
      <c r="L1185" t="b">
        <f>TrafficData[[#This Row],[pendingAmount]]+TrafficData[[#This Row],[disposedAmount]]=TrafficData[[#This Row],[totalAmount]]</f>
        <v>1</v>
      </c>
      <c r="M1185" t="b">
        <f>TrafficData[[#This Row],[pendingCourt]]+TrafficData[[#This Row],[disposedCourt]]=TrafficData[[#This Row],[totalCourt]]</f>
        <v>1</v>
      </c>
      <c r="N1185" t="b">
        <f>AND(TrafficData[[#This Row],[disposedChallan]]&lt;=TrafficData[[#This Row],[totalChallan]],TrafficData[[#This Row],[pendingChallan]]&lt;=TrafficData[[#This Row],[totalChallan]])</f>
        <v>1</v>
      </c>
      <c r="O1185" t="b">
        <f>AND(TrafficData[[#This Row],[pendingAmount]]&lt;=TrafficData[[#This Row],[totalAmount]],TrafficData[[#This Row],[disposedAmount]]&lt;=TrafficData[[#This Row],[totalAmount]])</f>
        <v>1</v>
      </c>
      <c r="P1185" t="b">
        <f>AND(TrafficData[[#This Row],[pendingCourt]]&lt;=TrafficData[[#This Row],[totalCourt]],TrafficData[[#This Row],[disposedCourt]]&lt;=TrafficData[[#This Row],[totalCourt]])</f>
        <v>1</v>
      </c>
    </row>
    <row r="1186" spans="1:16">
      <c r="A1186" s="1">
        <v>43189</v>
      </c>
      <c r="B1186">
        <v>3286</v>
      </c>
      <c r="C1186">
        <v>2621</v>
      </c>
      <c r="D1186">
        <v>665</v>
      </c>
      <c r="E1186">
        <v>1700200</v>
      </c>
      <c r="F1186">
        <v>10237083</v>
      </c>
      <c r="G1186">
        <v>11937283</v>
      </c>
      <c r="H1186">
        <v>490</v>
      </c>
      <c r="I1186">
        <v>119</v>
      </c>
      <c r="J1186">
        <v>609</v>
      </c>
      <c r="K1186" t="b">
        <f>TrafficData[[#This Row],[disposedChallan]]+TrafficData[[#This Row],[pendingChallan]]=TrafficData[[#This Row],[totalChallan]]</f>
        <v>1</v>
      </c>
      <c r="L1186" t="b">
        <f>TrafficData[[#This Row],[pendingAmount]]+TrafficData[[#This Row],[disposedAmount]]=TrafficData[[#This Row],[totalAmount]]</f>
        <v>1</v>
      </c>
      <c r="M1186" t="b">
        <f>TrafficData[[#This Row],[pendingCourt]]+TrafficData[[#This Row],[disposedCourt]]=TrafficData[[#This Row],[totalCourt]]</f>
        <v>1</v>
      </c>
      <c r="N1186" t="b">
        <f>AND(TrafficData[[#This Row],[disposedChallan]]&lt;=TrafficData[[#This Row],[totalChallan]],TrafficData[[#This Row],[pendingChallan]]&lt;=TrafficData[[#This Row],[totalChallan]])</f>
        <v>1</v>
      </c>
      <c r="O1186" t="b">
        <f>AND(TrafficData[[#This Row],[pendingAmount]]&lt;=TrafficData[[#This Row],[totalAmount]],TrafficData[[#This Row],[disposedAmount]]&lt;=TrafficData[[#This Row],[totalAmount]])</f>
        <v>1</v>
      </c>
      <c r="P1186" t="b">
        <f>AND(TrafficData[[#This Row],[pendingCourt]]&lt;=TrafficData[[#This Row],[totalCourt]],TrafficData[[#This Row],[disposedCourt]]&lt;=TrafficData[[#This Row],[totalCourt]])</f>
        <v>1</v>
      </c>
    </row>
    <row r="1187" spans="1:16">
      <c r="A1187" s="1">
        <v>43190</v>
      </c>
      <c r="B1187">
        <v>2724</v>
      </c>
      <c r="C1187">
        <v>2173</v>
      </c>
      <c r="D1187">
        <v>551</v>
      </c>
      <c r="E1187">
        <v>1365450</v>
      </c>
      <c r="F1187">
        <v>6549922</v>
      </c>
      <c r="G1187">
        <v>7915372</v>
      </c>
      <c r="H1187">
        <v>406</v>
      </c>
      <c r="I1187">
        <v>95</v>
      </c>
      <c r="J1187">
        <v>501</v>
      </c>
      <c r="K1187" t="b">
        <f>TrafficData[[#This Row],[disposedChallan]]+TrafficData[[#This Row],[pendingChallan]]=TrafficData[[#This Row],[totalChallan]]</f>
        <v>1</v>
      </c>
      <c r="L1187" t="b">
        <f>TrafficData[[#This Row],[pendingAmount]]+TrafficData[[#This Row],[disposedAmount]]=TrafficData[[#This Row],[totalAmount]]</f>
        <v>1</v>
      </c>
      <c r="M1187" t="b">
        <f>TrafficData[[#This Row],[pendingCourt]]+TrafficData[[#This Row],[disposedCourt]]=TrafficData[[#This Row],[totalCourt]]</f>
        <v>1</v>
      </c>
      <c r="N1187" t="b">
        <f>AND(TrafficData[[#This Row],[disposedChallan]]&lt;=TrafficData[[#This Row],[totalChallan]],TrafficData[[#This Row],[pendingChallan]]&lt;=TrafficData[[#This Row],[totalChallan]])</f>
        <v>1</v>
      </c>
      <c r="O1187" t="b">
        <f>AND(TrafficData[[#This Row],[pendingAmount]]&lt;=TrafficData[[#This Row],[totalAmount]],TrafficData[[#This Row],[disposedAmount]]&lt;=TrafficData[[#This Row],[totalAmount]])</f>
        <v>1</v>
      </c>
      <c r="P1187" t="b">
        <f>AND(TrafficData[[#This Row],[pendingCourt]]&lt;=TrafficData[[#This Row],[totalCourt]],TrafficData[[#This Row],[disposedCourt]]&lt;=TrafficData[[#This Row],[totalCourt]])</f>
        <v>1</v>
      </c>
    </row>
    <row r="1188" spans="1:16">
      <c r="A1188" s="1">
        <v>43191</v>
      </c>
      <c r="B1188">
        <v>1527</v>
      </c>
      <c r="C1188">
        <v>1148</v>
      </c>
      <c r="D1188">
        <v>379</v>
      </c>
      <c r="E1188">
        <v>1094390</v>
      </c>
      <c r="F1188">
        <v>4132750</v>
      </c>
      <c r="G1188">
        <v>5227140</v>
      </c>
      <c r="H1188">
        <v>268</v>
      </c>
      <c r="I1188">
        <v>49</v>
      </c>
      <c r="J1188">
        <v>317</v>
      </c>
      <c r="K1188" t="b">
        <f>TrafficData[[#This Row],[disposedChallan]]+TrafficData[[#This Row],[pendingChallan]]=TrafficData[[#This Row],[totalChallan]]</f>
        <v>1</v>
      </c>
      <c r="L1188" t="b">
        <f>TrafficData[[#This Row],[pendingAmount]]+TrafficData[[#This Row],[disposedAmount]]=TrafficData[[#This Row],[totalAmount]]</f>
        <v>1</v>
      </c>
      <c r="M1188" t="b">
        <f>TrafficData[[#This Row],[pendingCourt]]+TrafficData[[#This Row],[disposedCourt]]=TrafficData[[#This Row],[totalCourt]]</f>
        <v>1</v>
      </c>
      <c r="N1188" t="b">
        <f>AND(TrafficData[[#This Row],[disposedChallan]]&lt;=TrafficData[[#This Row],[totalChallan]],TrafficData[[#This Row],[pendingChallan]]&lt;=TrafficData[[#This Row],[totalChallan]])</f>
        <v>1</v>
      </c>
      <c r="O1188" t="b">
        <f>AND(TrafficData[[#This Row],[pendingAmount]]&lt;=TrafficData[[#This Row],[totalAmount]],TrafficData[[#This Row],[disposedAmount]]&lt;=TrafficData[[#This Row],[totalAmount]])</f>
        <v>1</v>
      </c>
      <c r="P1188" t="b">
        <f>AND(TrafficData[[#This Row],[pendingCourt]]&lt;=TrafficData[[#This Row],[totalCourt]],TrafficData[[#This Row],[disposedCourt]]&lt;=TrafficData[[#This Row],[totalCourt]])</f>
        <v>1</v>
      </c>
    </row>
    <row r="1189" spans="1:16">
      <c r="A1189" s="1">
        <v>43192</v>
      </c>
      <c r="B1189">
        <v>2485</v>
      </c>
      <c r="C1189">
        <v>2066</v>
      </c>
      <c r="D1189">
        <v>419</v>
      </c>
      <c r="E1189">
        <v>1684250</v>
      </c>
      <c r="F1189">
        <v>7187252</v>
      </c>
      <c r="G1189">
        <v>8871502</v>
      </c>
      <c r="H1189">
        <v>297</v>
      </c>
      <c r="I1189">
        <v>80</v>
      </c>
      <c r="J1189">
        <v>377</v>
      </c>
      <c r="K1189" t="b">
        <f>TrafficData[[#This Row],[disposedChallan]]+TrafficData[[#This Row],[pendingChallan]]=TrafficData[[#This Row],[totalChallan]]</f>
        <v>1</v>
      </c>
      <c r="L1189" t="b">
        <f>TrafficData[[#This Row],[pendingAmount]]+TrafficData[[#This Row],[disposedAmount]]=TrafficData[[#This Row],[totalAmount]]</f>
        <v>1</v>
      </c>
      <c r="M1189" t="b">
        <f>TrafficData[[#This Row],[pendingCourt]]+TrafficData[[#This Row],[disposedCourt]]=TrafficData[[#This Row],[totalCourt]]</f>
        <v>1</v>
      </c>
      <c r="N1189" t="b">
        <f>AND(TrafficData[[#This Row],[disposedChallan]]&lt;=TrafficData[[#This Row],[totalChallan]],TrafficData[[#This Row],[pendingChallan]]&lt;=TrafficData[[#This Row],[totalChallan]])</f>
        <v>1</v>
      </c>
      <c r="O1189" t="b">
        <f>AND(TrafficData[[#This Row],[pendingAmount]]&lt;=TrafficData[[#This Row],[totalAmount]],TrafficData[[#This Row],[disposedAmount]]&lt;=TrafficData[[#This Row],[totalAmount]])</f>
        <v>1</v>
      </c>
      <c r="P1189" t="b">
        <f>AND(TrafficData[[#This Row],[pendingCourt]]&lt;=TrafficData[[#This Row],[totalCourt]],TrafficData[[#This Row],[disposedCourt]]&lt;=TrafficData[[#This Row],[totalCourt]])</f>
        <v>1</v>
      </c>
    </row>
    <row r="1190" spans="1:16">
      <c r="A1190" s="1">
        <v>43193</v>
      </c>
      <c r="B1190">
        <v>3681</v>
      </c>
      <c r="C1190">
        <v>2895</v>
      </c>
      <c r="D1190">
        <v>786</v>
      </c>
      <c r="E1190">
        <v>2113188</v>
      </c>
      <c r="F1190">
        <v>9863458</v>
      </c>
      <c r="G1190">
        <v>11976646</v>
      </c>
      <c r="H1190">
        <v>581</v>
      </c>
      <c r="I1190">
        <v>152</v>
      </c>
      <c r="J1190">
        <v>733</v>
      </c>
      <c r="K1190" t="b">
        <f>TrafficData[[#This Row],[disposedChallan]]+TrafficData[[#This Row],[pendingChallan]]=TrafficData[[#This Row],[totalChallan]]</f>
        <v>1</v>
      </c>
      <c r="L1190" t="b">
        <f>TrafficData[[#This Row],[pendingAmount]]+TrafficData[[#This Row],[disposedAmount]]=TrafficData[[#This Row],[totalAmount]]</f>
        <v>1</v>
      </c>
      <c r="M1190" t="b">
        <f>TrafficData[[#This Row],[pendingCourt]]+TrafficData[[#This Row],[disposedCourt]]=TrafficData[[#This Row],[totalCourt]]</f>
        <v>1</v>
      </c>
      <c r="N1190" t="b">
        <f>AND(TrafficData[[#This Row],[disposedChallan]]&lt;=TrafficData[[#This Row],[totalChallan]],TrafficData[[#This Row],[pendingChallan]]&lt;=TrafficData[[#This Row],[totalChallan]])</f>
        <v>1</v>
      </c>
      <c r="O1190" t="b">
        <f>AND(TrafficData[[#This Row],[pendingAmount]]&lt;=TrafficData[[#This Row],[totalAmount]],TrafficData[[#This Row],[disposedAmount]]&lt;=TrafficData[[#This Row],[totalAmount]])</f>
        <v>1</v>
      </c>
      <c r="P1190" t="b">
        <f>AND(TrafficData[[#This Row],[pendingCourt]]&lt;=TrafficData[[#This Row],[totalCourt]],TrafficData[[#This Row],[disposedCourt]]&lt;=TrafficData[[#This Row],[totalCourt]])</f>
        <v>1</v>
      </c>
    </row>
    <row r="1191" spans="1:16">
      <c r="A1191" s="1">
        <v>43194</v>
      </c>
      <c r="B1191">
        <v>14138</v>
      </c>
      <c r="C1191">
        <v>10412</v>
      </c>
      <c r="D1191">
        <v>3726</v>
      </c>
      <c r="E1191">
        <v>9354450</v>
      </c>
      <c r="F1191">
        <v>10917985</v>
      </c>
      <c r="G1191">
        <v>20272435</v>
      </c>
      <c r="H1191">
        <v>3355</v>
      </c>
      <c r="I1191">
        <v>1327</v>
      </c>
      <c r="J1191">
        <v>4682</v>
      </c>
      <c r="K1191" t="b">
        <f>TrafficData[[#This Row],[disposedChallan]]+TrafficData[[#This Row],[pendingChallan]]=TrafficData[[#This Row],[totalChallan]]</f>
        <v>1</v>
      </c>
      <c r="L1191" t="b">
        <f>TrafficData[[#This Row],[pendingAmount]]+TrafficData[[#This Row],[disposedAmount]]=TrafficData[[#This Row],[totalAmount]]</f>
        <v>1</v>
      </c>
      <c r="M1191" t="b">
        <f>TrafficData[[#This Row],[pendingCourt]]+TrafficData[[#This Row],[disposedCourt]]=TrafficData[[#This Row],[totalCourt]]</f>
        <v>1</v>
      </c>
      <c r="N1191" t="b">
        <f>AND(TrafficData[[#This Row],[disposedChallan]]&lt;=TrafficData[[#This Row],[totalChallan]],TrafficData[[#This Row],[pendingChallan]]&lt;=TrafficData[[#This Row],[totalChallan]])</f>
        <v>1</v>
      </c>
      <c r="O1191" t="b">
        <f>AND(TrafficData[[#This Row],[pendingAmount]]&lt;=TrafficData[[#This Row],[totalAmount]],TrafficData[[#This Row],[disposedAmount]]&lt;=TrafficData[[#This Row],[totalAmount]])</f>
        <v>1</v>
      </c>
      <c r="P1191" t="b">
        <f>AND(TrafficData[[#This Row],[pendingCourt]]&lt;=TrafficData[[#This Row],[totalCourt]],TrafficData[[#This Row],[disposedCourt]]&lt;=TrafficData[[#This Row],[totalCourt]])</f>
        <v>1</v>
      </c>
    </row>
    <row r="1192" spans="1:16">
      <c r="A1192" s="1">
        <v>43195</v>
      </c>
      <c r="B1192">
        <v>4156</v>
      </c>
      <c r="C1192">
        <v>3198</v>
      </c>
      <c r="D1192">
        <v>958</v>
      </c>
      <c r="E1192">
        <v>2025300</v>
      </c>
      <c r="F1192">
        <v>11315884</v>
      </c>
      <c r="G1192">
        <v>13341184</v>
      </c>
      <c r="H1192">
        <v>735</v>
      </c>
      <c r="I1192">
        <v>143</v>
      </c>
      <c r="J1192">
        <v>878</v>
      </c>
      <c r="K1192" t="b">
        <f>TrafficData[[#This Row],[disposedChallan]]+TrafficData[[#This Row],[pendingChallan]]=TrafficData[[#This Row],[totalChallan]]</f>
        <v>1</v>
      </c>
      <c r="L1192" t="b">
        <f>TrafficData[[#This Row],[pendingAmount]]+TrafficData[[#This Row],[disposedAmount]]=TrafficData[[#This Row],[totalAmount]]</f>
        <v>1</v>
      </c>
      <c r="M1192" t="b">
        <f>TrafficData[[#This Row],[pendingCourt]]+TrafficData[[#This Row],[disposedCourt]]=TrafficData[[#This Row],[totalCourt]]</f>
        <v>1</v>
      </c>
      <c r="N1192" t="b">
        <f>AND(TrafficData[[#This Row],[disposedChallan]]&lt;=TrafficData[[#This Row],[totalChallan]],TrafficData[[#This Row],[pendingChallan]]&lt;=TrafficData[[#This Row],[totalChallan]])</f>
        <v>1</v>
      </c>
      <c r="O1192" t="b">
        <f>AND(TrafficData[[#This Row],[pendingAmount]]&lt;=TrafficData[[#This Row],[totalAmount]],TrafficData[[#This Row],[disposedAmount]]&lt;=TrafficData[[#This Row],[totalAmount]])</f>
        <v>1</v>
      </c>
      <c r="P1192" t="b">
        <f>AND(TrafficData[[#This Row],[pendingCourt]]&lt;=TrafficData[[#This Row],[totalCourt]],TrafficData[[#This Row],[disposedCourt]]&lt;=TrafficData[[#This Row],[totalCourt]])</f>
        <v>1</v>
      </c>
    </row>
    <row r="1193" spans="1:16">
      <c r="A1193" s="1">
        <v>43196</v>
      </c>
      <c r="B1193">
        <v>4007</v>
      </c>
      <c r="C1193">
        <v>3109</v>
      </c>
      <c r="D1193">
        <v>898</v>
      </c>
      <c r="E1193">
        <v>2574150</v>
      </c>
      <c r="F1193">
        <v>12211610</v>
      </c>
      <c r="G1193">
        <v>14785760</v>
      </c>
      <c r="H1193">
        <v>693</v>
      </c>
      <c r="I1193">
        <v>148</v>
      </c>
      <c r="J1193">
        <v>841</v>
      </c>
      <c r="K1193" t="b">
        <f>TrafficData[[#This Row],[disposedChallan]]+TrafficData[[#This Row],[pendingChallan]]=TrafficData[[#This Row],[totalChallan]]</f>
        <v>1</v>
      </c>
      <c r="L1193" t="b">
        <f>TrafficData[[#This Row],[pendingAmount]]+TrafficData[[#This Row],[disposedAmount]]=TrafficData[[#This Row],[totalAmount]]</f>
        <v>1</v>
      </c>
      <c r="M1193" t="b">
        <f>TrafficData[[#This Row],[pendingCourt]]+TrafficData[[#This Row],[disposedCourt]]=TrafficData[[#This Row],[totalCourt]]</f>
        <v>1</v>
      </c>
      <c r="N1193" t="b">
        <f>AND(TrafficData[[#This Row],[disposedChallan]]&lt;=TrafficData[[#This Row],[totalChallan]],TrafficData[[#This Row],[pendingChallan]]&lt;=TrafficData[[#This Row],[totalChallan]])</f>
        <v>1</v>
      </c>
      <c r="O1193" t="b">
        <f>AND(TrafficData[[#This Row],[pendingAmount]]&lt;=TrafficData[[#This Row],[totalAmount]],TrafficData[[#This Row],[disposedAmount]]&lt;=TrafficData[[#This Row],[totalAmount]])</f>
        <v>1</v>
      </c>
      <c r="P1193" t="b">
        <f>AND(TrafficData[[#This Row],[pendingCourt]]&lt;=TrafficData[[#This Row],[totalCourt]],TrafficData[[#This Row],[disposedCourt]]&lt;=TrafficData[[#This Row],[totalCourt]])</f>
        <v>1</v>
      </c>
    </row>
    <row r="1194" spans="1:16">
      <c r="A1194" s="1">
        <v>43197</v>
      </c>
      <c r="B1194">
        <v>4196</v>
      </c>
      <c r="C1194">
        <v>2952</v>
      </c>
      <c r="D1194">
        <v>1244</v>
      </c>
      <c r="E1194">
        <v>2975648</v>
      </c>
      <c r="F1194">
        <v>10001497</v>
      </c>
      <c r="G1194">
        <v>12977145</v>
      </c>
      <c r="H1194">
        <v>1008</v>
      </c>
      <c r="I1194">
        <v>177</v>
      </c>
      <c r="J1194">
        <v>1185</v>
      </c>
      <c r="K1194" t="b">
        <f>TrafficData[[#This Row],[disposedChallan]]+TrafficData[[#This Row],[pendingChallan]]=TrafficData[[#This Row],[totalChallan]]</f>
        <v>1</v>
      </c>
      <c r="L1194" t="b">
        <f>TrafficData[[#This Row],[pendingAmount]]+TrafficData[[#This Row],[disposedAmount]]=TrafficData[[#This Row],[totalAmount]]</f>
        <v>1</v>
      </c>
      <c r="M1194" t="b">
        <f>TrafficData[[#This Row],[pendingCourt]]+TrafficData[[#This Row],[disposedCourt]]=TrafficData[[#This Row],[totalCourt]]</f>
        <v>1</v>
      </c>
      <c r="N1194" t="b">
        <f>AND(TrafficData[[#This Row],[disposedChallan]]&lt;=TrafficData[[#This Row],[totalChallan]],TrafficData[[#This Row],[pendingChallan]]&lt;=TrafficData[[#This Row],[totalChallan]])</f>
        <v>1</v>
      </c>
      <c r="O1194" t="b">
        <f>AND(TrafficData[[#This Row],[pendingAmount]]&lt;=TrafficData[[#This Row],[totalAmount]],TrafficData[[#This Row],[disposedAmount]]&lt;=TrafficData[[#This Row],[totalAmount]])</f>
        <v>1</v>
      </c>
      <c r="P1194" t="b">
        <f>AND(TrafficData[[#This Row],[pendingCourt]]&lt;=TrafficData[[#This Row],[totalCourt]],TrafficData[[#This Row],[disposedCourt]]&lt;=TrafficData[[#This Row],[totalCourt]])</f>
        <v>1</v>
      </c>
    </row>
    <row r="1195" spans="1:16">
      <c r="A1195" s="1">
        <v>43198</v>
      </c>
      <c r="B1195">
        <v>2278</v>
      </c>
      <c r="C1195">
        <v>1456</v>
      </c>
      <c r="D1195">
        <v>822</v>
      </c>
      <c r="E1195">
        <v>1154180</v>
      </c>
      <c r="F1195">
        <v>4919750</v>
      </c>
      <c r="G1195">
        <v>6073930</v>
      </c>
      <c r="H1195">
        <v>690</v>
      </c>
      <c r="I1195">
        <v>119</v>
      </c>
      <c r="J1195">
        <v>809</v>
      </c>
      <c r="K1195" t="b">
        <f>TrafficData[[#This Row],[disposedChallan]]+TrafficData[[#This Row],[pendingChallan]]=TrafficData[[#This Row],[totalChallan]]</f>
        <v>1</v>
      </c>
      <c r="L1195" t="b">
        <f>TrafficData[[#This Row],[pendingAmount]]+TrafficData[[#This Row],[disposedAmount]]=TrafficData[[#This Row],[totalAmount]]</f>
        <v>1</v>
      </c>
      <c r="M1195" t="b">
        <f>TrafficData[[#This Row],[pendingCourt]]+TrafficData[[#This Row],[disposedCourt]]=TrafficData[[#This Row],[totalCourt]]</f>
        <v>1</v>
      </c>
      <c r="N1195" t="b">
        <f>AND(TrafficData[[#This Row],[disposedChallan]]&lt;=TrafficData[[#This Row],[totalChallan]],TrafficData[[#This Row],[pendingChallan]]&lt;=TrafficData[[#This Row],[totalChallan]])</f>
        <v>1</v>
      </c>
      <c r="O1195" t="b">
        <f>AND(TrafficData[[#This Row],[pendingAmount]]&lt;=TrafficData[[#This Row],[totalAmount]],TrafficData[[#This Row],[disposedAmount]]&lt;=TrafficData[[#This Row],[totalAmount]])</f>
        <v>1</v>
      </c>
      <c r="P1195" t="b">
        <f>AND(TrafficData[[#This Row],[pendingCourt]]&lt;=TrafficData[[#This Row],[totalCourt]],TrafficData[[#This Row],[disposedCourt]]&lt;=TrafficData[[#This Row],[totalCourt]])</f>
        <v>1</v>
      </c>
    </row>
    <row r="1196" spans="1:16">
      <c r="A1196" s="1">
        <v>43199</v>
      </c>
      <c r="B1196">
        <v>4101</v>
      </c>
      <c r="C1196">
        <v>3056</v>
      </c>
      <c r="D1196">
        <v>1045</v>
      </c>
      <c r="E1196">
        <v>2354899</v>
      </c>
      <c r="F1196">
        <v>11658696</v>
      </c>
      <c r="G1196">
        <v>14013595</v>
      </c>
      <c r="H1196">
        <v>807</v>
      </c>
      <c r="I1196">
        <v>154</v>
      </c>
      <c r="J1196">
        <v>961</v>
      </c>
      <c r="K1196" t="b">
        <f>TrafficData[[#This Row],[disposedChallan]]+TrafficData[[#This Row],[pendingChallan]]=TrafficData[[#This Row],[totalChallan]]</f>
        <v>1</v>
      </c>
      <c r="L1196" t="b">
        <f>TrafficData[[#This Row],[pendingAmount]]+TrafficData[[#This Row],[disposedAmount]]=TrafficData[[#This Row],[totalAmount]]</f>
        <v>1</v>
      </c>
      <c r="M1196" t="b">
        <f>TrafficData[[#This Row],[pendingCourt]]+TrafficData[[#This Row],[disposedCourt]]=TrafficData[[#This Row],[totalCourt]]</f>
        <v>1</v>
      </c>
      <c r="N1196" t="b">
        <f>AND(TrafficData[[#This Row],[disposedChallan]]&lt;=TrafficData[[#This Row],[totalChallan]],TrafficData[[#This Row],[pendingChallan]]&lt;=TrafficData[[#This Row],[totalChallan]])</f>
        <v>1</v>
      </c>
      <c r="O1196" t="b">
        <f>AND(TrafficData[[#This Row],[pendingAmount]]&lt;=TrafficData[[#This Row],[totalAmount]],TrafficData[[#This Row],[disposedAmount]]&lt;=TrafficData[[#This Row],[totalAmount]])</f>
        <v>1</v>
      </c>
      <c r="P1196" t="b">
        <f>AND(TrafficData[[#This Row],[pendingCourt]]&lt;=TrafficData[[#This Row],[totalCourt]],TrafficData[[#This Row],[disposedCourt]]&lt;=TrafficData[[#This Row],[totalCourt]])</f>
        <v>1</v>
      </c>
    </row>
    <row r="1197" spans="1:16">
      <c r="A1197" s="1">
        <v>43200</v>
      </c>
      <c r="B1197">
        <v>3920</v>
      </c>
      <c r="C1197">
        <v>3076</v>
      </c>
      <c r="D1197">
        <v>844</v>
      </c>
      <c r="E1197">
        <v>2001700</v>
      </c>
      <c r="F1197">
        <v>10681440</v>
      </c>
      <c r="G1197">
        <v>12683140</v>
      </c>
      <c r="H1197">
        <v>613</v>
      </c>
      <c r="I1197">
        <v>136</v>
      </c>
      <c r="J1197">
        <v>749</v>
      </c>
      <c r="K1197" t="b">
        <f>TrafficData[[#This Row],[disposedChallan]]+TrafficData[[#This Row],[pendingChallan]]=TrafficData[[#This Row],[totalChallan]]</f>
        <v>1</v>
      </c>
      <c r="L1197" t="b">
        <f>TrafficData[[#This Row],[pendingAmount]]+TrafficData[[#This Row],[disposedAmount]]=TrafficData[[#This Row],[totalAmount]]</f>
        <v>1</v>
      </c>
      <c r="M1197" t="b">
        <f>TrafficData[[#This Row],[pendingCourt]]+TrafficData[[#This Row],[disposedCourt]]=TrafficData[[#This Row],[totalCourt]]</f>
        <v>1</v>
      </c>
      <c r="N1197" t="b">
        <f>AND(TrafficData[[#This Row],[disposedChallan]]&lt;=TrafficData[[#This Row],[totalChallan]],TrafficData[[#This Row],[pendingChallan]]&lt;=TrafficData[[#This Row],[totalChallan]])</f>
        <v>1</v>
      </c>
      <c r="O1197" t="b">
        <f>AND(TrafficData[[#This Row],[pendingAmount]]&lt;=TrafficData[[#This Row],[totalAmount]],TrafficData[[#This Row],[disposedAmount]]&lt;=TrafficData[[#This Row],[totalAmount]])</f>
        <v>1</v>
      </c>
      <c r="P1197" t="b">
        <f>AND(TrafficData[[#This Row],[pendingCourt]]&lt;=TrafficData[[#This Row],[totalCourt]],TrafficData[[#This Row],[disposedCourt]]&lt;=TrafficData[[#This Row],[totalCourt]])</f>
        <v>1</v>
      </c>
    </row>
    <row r="1198" spans="1:16">
      <c r="A1198" s="1">
        <v>43201</v>
      </c>
      <c r="B1198">
        <v>12979</v>
      </c>
      <c r="C1198">
        <v>9544</v>
      </c>
      <c r="D1198">
        <v>3435</v>
      </c>
      <c r="E1198">
        <v>9199343</v>
      </c>
      <c r="F1198">
        <v>10541169</v>
      </c>
      <c r="G1198">
        <v>19740512</v>
      </c>
      <c r="H1198">
        <v>3042</v>
      </c>
      <c r="I1198">
        <v>968</v>
      </c>
      <c r="J1198">
        <v>4010</v>
      </c>
      <c r="K1198" t="b">
        <f>TrafficData[[#This Row],[disposedChallan]]+TrafficData[[#This Row],[pendingChallan]]=TrafficData[[#This Row],[totalChallan]]</f>
        <v>1</v>
      </c>
      <c r="L1198" t="b">
        <f>TrafficData[[#This Row],[pendingAmount]]+TrafficData[[#This Row],[disposedAmount]]=TrafficData[[#This Row],[totalAmount]]</f>
        <v>1</v>
      </c>
      <c r="M1198" t="b">
        <f>TrafficData[[#This Row],[pendingCourt]]+TrafficData[[#This Row],[disposedCourt]]=TrafficData[[#This Row],[totalCourt]]</f>
        <v>1</v>
      </c>
      <c r="N1198" t="b">
        <f>AND(TrafficData[[#This Row],[disposedChallan]]&lt;=TrafficData[[#This Row],[totalChallan]],TrafficData[[#This Row],[pendingChallan]]&lt;=TrafficData[[#This Row],[totalChallan]])</f>
        <v>1</v>
      </c>
      <c r="O1198" t="b">
        <f>AND(TrafficData[[#This Row],[pendingAmount]]&lt;=TrafficData[[#This Row],[totalAmount]],TrafficData[[#This Row],[disposedAmount]]&lt;=TrafficData[[#This Row],[totalAmount]])</f>
        <v>1</v>
      </c>
      <c r="P1198" t="b">
        <f>AND(TrafficData[[#This Row],[pendingCourt]]&lt;=TrafficData[[#This Row],[totalCourt]],TrafficData[[#This Row],[disposedCourt]]&lt;=TrafficData[[#This Row],[totalCourt]])</f>
        <v>1</v>
      </c>
    </row>
    <row r="1199" spans="1:16">
      <c r="A1199" s="1">
        <v>43202</v>
      </c>
      <c r="B1199">
        <v>3808</v>
      </c>
      <c r="C1199">
        <v>2754</v>
      </c>
      <c r="D1199">
        <v>1054</v>
      </c>
      <c r="E1199">
        <v>2827850</v>
      </c>
      <c r="F1199">
        <v>12358619</v>
      </c>
      <c r="G1199">
        <v>15186469</v>
      </c>
      <c r="H1199">
        <v>808</v>
      </c>
      <c r="I1199">
        <v>184</v>
      </c>
      <c r="J1199">
        <v>992</v>
      </c>
      <c r="K1199" t="b">
        <f>TrafficData[[#This Row],[disposedChallan]]+TrafficData[[#This Row],[pendingChallan]]=TrafficData[[#This Row],[totalChallan]]</f>
        <v>1</v>
      </c>
      <c r="L1199" t="b">
        <f>TrafficData[[#This Row],[pendingAmount]]+TrafficData[[#This Row],[disposedAmount]]=TrafficData[[#This Row],[totalAmount]]</f>
        <v>1</v>
      </c>
      <c r="M1199" t="b">
        <f>TrafficData[[#This Row],[pendingCourt]]+TrafficData[[#This Row],[disposedCourt]]=TrafficData[[#This Row],[totalCourt]]</f>
        <v>1</v>
      </c>
      <c r="N1199" t="b">
        <f>AND(TrafficData[[#This Row],[disposedChallan]]&lt;=TrafficData[[#This Row],[totalChallan]],TrafficData[[#This Row],[pendingChallan]]&lt;=TrafficData[[#This Row],[totalChallan]])</f>
        <v>1</v>
      </c>
      <c r="O1199" t="b">
        <f>AND(TrafficData[[#This Row],[pendingAmount]]&lt;=TrafficData[[#This Row],[totalAmount]],TrafficData[[#This Row],[disposedAmount]]&lt;=TrafficData[[#This Row],[totalAmount]])</f>
        <v>1</v>
      </c>
      <c r="P1199" t="b">
        <f>AND(TrafficData[[#This Row],[pendingCourt]]&lt;=TrafficData[[#This Row],[totalCourt]],TrafficData[[#This Row],[disposedCourt]]&lt;=TrafficData[[#This Row],[totalCourt]])</f>
        <v>1</v>
      </c>
    </row>
    <row r="1200" spans="1:16">
      <c r="A1200" s="1">
        <v>43203</v>
      </c>
      <c r="B1200">
        <v>3916</v>
      </c>
      <c r="C1200">
        <v>2953</v>
      </c>
      <c r="D1200">
        <v>963</v>
      </c>
      <c r="E1200">
        <v>2118500</v>
      </c>
      <c r="F1200">
        <v>11169059</v>
      </c>
      <c r="G1200">
        <v>13287559</v>
      </c>
      <c r="H1200">
        <v>747</v>
      </c>
      <c r="I1200">
        <v>158</v>
      </c>
      <c r="J1200">
        <v>905</v>
      </c>
      <c r="K1200" t="b">
        <f>TrafficData[[#This Row],[disposedChallan]]+TrafficData[[#This Row],[pendingChallan]]=TrafficData[[#This Row],[totalChallan]]</f>
        <v>1</v>
      </c>
      <c r="L1200" t="b">
        <f>TrafficData[[#This Row],[pendingAmount]]+TrafficData[[#This Row],[disposedAmount]]=TrafficData[[#This Row],[totalAmount]]</f>
        <v>1</v>
      </c>
      <c r="M1200" t="b">
        <f>TrafficData[[#This Row],[pendingCourt]]+TrafficData[[#This Row],[disposedCourt]]=TrafficData[[#This Row],[totalCourt]]</f>
        <v>1</v>
      </c>
      <c r="N1200" t="b">
        <f>AND(TrafficData[[#This Row],[disposedChallan]]&lt;=TrafficData[[#This Row],[totalChallan]],TrafficData[[#This Row],[pendingChallan]]&lt;=TrafficData[[#This Row],[totalChallan]])</f>
        <v>1</v>
      </c>
      <c r="O1200" t="b">
        <f>AND(TrafficData[[#This Row],[pendingAmount]]&lt;=TrafficData[[#This Row],[totalAmount]],TrafficData[[#This Row],[disposedAmount]]&lt;=TrafficData[[#This Row],[totalAmount]])</f>
        <v>1</v>
      </c>
      <c r="P1200" t="b">
        <f>AND(TrafficData[[#This Row],[pendingCourt]]&lt;=TrafficData[[#This Row],[totalCourt]],TrafficData[[#This Row],[disposedCourt]]&lt;=TrafficData[[#This Row],[totalCourt]])</f>
        <v>1</v>
      </c>
    </row>
    <row r="1201" spans="1:16">
      <c r="A1201" s="1">
        <v>43204</v>
      </c>
      <c r="B1201">
        <v>3629</v>
      </c>
      <c r="C1201">
        <v>2704</v>
      </c>
      <c r="D1201">
        <v>925</v>
      </c>
      <c r="E1201">
        <v>1962050</v>
      </c>
      <c r="F1201">
        <v>12092808</v>
      </c>
      <c r="G1201">
        <v>14054858</v>
      </c>
      <c r="H1201">
        <v>759</v>
      </c>
      <c r="I1201">
        <v>159</v>
      </c>
      <c r="J1201">
        <v>918</v>
      </c>
      <c r="K1201" t="b">
        <f>TrafficData[[#This Row],[disposedChallan]]+TrafficData[[#This Row],[pendingChallan]]=TrafficData[[#This Row],[totalChallan]]</f>
        <v>1</v>
      </c>
      <c r="L1201" t="b">
        <f>TrafficData[[#This Row],[pendingAmount]]+TrafficData[[#This Row],[disposedAmount]]=TrafficData[[#This Row],[totalAmount]]</f>
        <v>1</v>
      </c>
      <c r="M1201" t="b">
        <f>TrafficData[[#This Row],[pendingCourt]]+TrafficData[[#This Row],[disposedCourt]]=TrafficData[[#This Row],[totalCourt]]</f>
        <v>1</v>
      </c>
      <c r="N1201" t="b">
        <f>AND(TrafficData[[#This Row],[disposedChallan]]&lt;=TrafficData[[#This Row],[totalChallan]],TrafficData[[#This Row],[pendingChallan]]&lt;=TrafficData[[#This Row],[totalChallan]])</f>
        <v>1</v>
      </c>
      <c r="O1201" t="b">
        <f>AND(TrafficData[[#This Row],[pendingAmount]]&lt;=TrafficData[[#This Row],[totalAmount]],TrafficData[[#This Row],[disposedAmount]]&lt;=TrafficData[[#This Row],[totalAmount]])</f>
        <v>1</v>
      </c>
      <c r="P1201" t="b">
        <f>AND(TrafficData[[#This Row],[pendingCourt]]&lt;=TrafficData[[#This Row],[totalCourt]],TrafficData[[#This Row],[disposedCourt]]&lt;=TrafficData[[#This Row],[totalCourt]])</f>
        <v>1</v>
      </c>
    </row>
    <row r="1202" spans="1:16">
      <c r="A1202" s="1">
        <v>43205</v>
      </c>
      <c r="B1202">
        <v>1912</v>
      </c>
      <c r="C1202">
        <v>1227</v>
      </c>
      <c r="D1202">
        <v>685</v>
      </c>
      <c r="E1202">
        <v>690350</v>
      </c>
      <c r="F1202">
        <v>5033496</v>
      </c>
      <c r="G1202">
        <v>5723846</v>
      </c>
      <c r="H1202">
        <v>567</v>
      </c>
      <c r="I1202">
        <v>77</v>
      </c>
      <c r="J1202">
        <v>644</v>
      </c>
      <c r="K1202" t="b">
        <f>TrafficData[[#This Row],[disposedChallan]]+TrafficData[[#This Row],[pendingChallan]]=TrafficData[[#This Row],[totalChallan]]</f>
        <v>1</v>
      </c>
      <c r="L1202" t="b">
        <f>TrafficData[[#This Row],[pendingAmount]]+TrafficData[[#This Row],[disposedAmount]]=TrafficData[[#This Row],[totalAmount]]</f>
        <v>1</v>
      </c>
      <c r="M1202" t="b">
        <f>TrafficData[[#This Row],[pendingCourt]]+TrafficData[[#This Row],[disposedCourt]]=TrafficData[[#This Row],[totalCourt]]</f>
        <v>1</v>
      </c>
      <c r="N1202" t="b">
        <f>AND(TrafficData[[#This Row],[disposedChallan]]&lt;=TrafficData[[#This Row],[totalChallan]],TrafficData[[#This Row],[pendingChallan]]&lt;=TrafficData[[#This Row],[totalChallan]])</f>
        <v>1</v>
      </c>
      <c r="O1202" t="b">
        <f>AND(TrafficData[[#This Row],[pendingAmount]]&lt;=TrafficData[[#This Row],[totalAmount]],TrafficData[[#This Row],[disposedAmount]]&lt;=TrafficData[[#This Row],[totalAmount]])</f>
        <v>1</v>
      </c>
      <c r="P1202" t="b">
        <f>AND(TrafficData[[#This Row],[pendingCourt]]&lt;=TrafficData[[#This Row],[totalCourt]],TrafficData[[#This Row],[disposedCourt]]&lt;=TrafficData[[#This Row],[totalCourt]])</f>
        <v>1</v>
      </c>
    </row>
    <row r="1203" spans="1:16">
      <c r="A1203" s="1">
        <v>43206</v>
      </c>
      <c r="B1203">
        <v>4148</v>
      </c>
      <c r="C1203">
        <v>3299</v>
      </c>
      <c r="D1203">
        <v>849</v>
      </c>
      <c r="E1203">
        <v>2740600</v>
      </c>
      <c r="F1203">
        <v>13734210</v>
      </c>
      <c r="G1203">
        <v>16474810</v>
      </c>
      <c r="H1203">
        <v>644</v>
      </c>
      <c r="I1203">
        <v>214</v>
      </c>
      <c r="J1203">
        <v>858</v>
      </c>
      <c r="K1203" t="b">
        <f>TrafficData[[#This Row],[disposedChallan]]+TrafficData[[#This Row],[pendingChallan]]=TrafficData[[#This Row],[totalChallan]]</f>
        <v>1</v>
      </c>
      <c r="L1203" t="b">
        <f>TrafficData[[#This Row],[pendingAmount]]+TrafficData[[#This Row],[disposedAmount]]=TrafficData[[#This Row],[totalAmount]]</f>
        <v>1</v>
      </c>
      <c r="M1203" t="b">
        <f>TrafficData[[#This Row],[pendingCourt]]+TrafficData[[#This Row],[disposedCourt]]=TrafficData[[#This Row],[totalCourt]]</f>
        <v>1</v>
      </c>
      <c r="N1203" t="b">
        <f>AND(TrafficData[[#This Row],[disposedChallan]]&lt;=TrafficData[[#This Row],[totalChallan]],TrafficData[[#This Row],[pendingChallan]]&lt;=TrafficData[[#This Row],[totalChallan]])</f>
        <v>1</v>
      </c>
      <c r="O1203" t="b">
        <f>AND(TrafficData[[#This Row],[pendingAmount]]&lt;=TrafficData[[#This Row],[totalAmount]],TrafficData[[#This Row],[disposedAmount]]&lt;=TrafficData[[#This Row],[totalAmount]])</f>
        <v>1</v>
      </c>
      <c r="P1203" t="b">
        <f>AND(TrafficData[[#This Row],[pendingCourt]]&lt;=TrafficData[[#This Row],[totalCourt]],TrafficData[[#This Row],[disposedCourt]]&lt;=TrafficData[[#This Row],[totalCourt]])</f>
        <v>1</v>
      </c>
    </row>
    <row r="1204" spans="1:16">
      <c r="A1204" s="1">
        <v>43207</v>
      </c>
      <c r="B1204">
        <v>4064</v>
      </c>
      <c r="C1204">
        <v>3427</v>
      </c>
      <c r="D1204">
        <v>637</v>
      </c>
      <c r="E1204">
        <v>2703900</v>
      </c>
      <c r="F1204">
        <v>15136793</v>
      </c>
      <c r="G1204">
        <v>17840693</v>
      </c>
      <c r="H1204">
        <v>404</v>
      </c>
      <c r="I1204">
        <v>213</v>
      </c>
      <c r="J1204">
        <v>617</v>
      </c>
      <c r="K1204" t="b">
        <f>TrafficData[[#This Row],[disposedChallan]]+TrafficData[[#This Row],[pendingChallan]]=TrafficData[[#This Row],[totalChallan]]</f>
        <v>1</v>
      </c>
      <c r="L1204" t="b">
        <f>TrafficData[[#This Row],[pendingAmount]]+TrafficData[[#This Row],[disposedAmount]]=TrafficData[[#This Row],[totalAmount]]</f>
        <v>1</v>
      </c>
      <c r="M1204" t="b">
        <f>TrafficData[[#This Row],[pendingCourt]]+TrafficData[[#This Row],[disposedCourt]]=TrafficData[[#This Row],[totalCourt]]</f>
        <v>1</v>
      </c>
      <c r="N1204" t="b">
        <f>AND(TrafficData[[#This Row],[disposedChallan]]&lt;=TrafficData[[#This Row],[totalChallan]],TrafficData[[#This Row],[pendingChallan]]&lt;=TrafficData[[#This Row],[totalChallan]])</f>
        <v>1</v>
      </c>
      <c r="O1204" t="b">
        <f>AND(TrafficData[[#This Row],[pendingAmount]]&lt;=TrafficData[[#This Row],[totalAmount]],TrafficData[[#This Row],[disposedAmount]]&lt;=TrafficData[[#This Row],[totalAmount]])</f>
        <v>1</v>
      </c>
      <c r="P1204" t="b">
        <f>AND(TrafficData[[#This Row],[pendingCourt]]&lt;=TrafficData[[#This Row],[totalCourt]],TrafficData[[#This Row],[disposedCourt]]&lt;=TrafficData[[#This Row],[totalCourt]])</f>
        <v>1</v>
      </c>
    </row>
    <row r="1205" spans="1:16">
      <c r="A1205" s="1">
        <v>43208</v>
      </c>
      <c r="B1205">
        <v>13605</v>
      </c>
      <c r="C1205">
        <v>10080</v>
      </c>
      <c r="D1205">
        <v>3525</v>
      </c>
      <c r="E1205">
        <v>8340490</v>
      </c>
      <c r="F1205">
        <v>16379651</v>
      </c>
      <c r="G1205">
        <v>24720141</v>
      </c>
      <c r="H1205">
        <v>3127</v>
      </c>
      <c r="I1205">
        <v>1018</v>
      </c>
      <c r="J1205">
        <v>4145</v>
      </c>
      <c r="K1205" t="b">
        <f>TrafficData[[#This Row],[disposedChallan]]+TrafficData[[#This Row],[pendingChallan]]=TrafficData[[#This Row],[totalChallan]]</f>
        <v>1</v>
      </c>
      <c r="L1205" t="b">
        <f>TrafficData[[#This Row],[pendingAmount]]+TrafficData[[#This Row],[disposedAmount]]=TrafficData[[#This Row],[totalAmount]]</f>
        <v>1</v>
      </c>
      <c r="M1205" t="b">
        <f>TrafficData[[#This Row],[pendingCourt]]+TrafficData[[#This Row],[disposedCourt]]=TrafficData[[#This Row],[totalCourt]]</f>
        <v>1</v>
      </c>
      <c r="N1205" t="b">
        <f>AND(TrafficData[[#This Row],[disposedChallan]]&lt;=TrafficData[[#This Row],[totalChallan]],TrafficData[[#This Row],[pendingChallan]]&lt;=TrafficData[[#This Row],[totalChallan]])</f>
        <v>1</v>
      </c>
      <c r="O1205" t="b">
        <f>AND(TrafficData[[#This Row],[pendingAmount]]&lt;=TrafficData[[#This Row],[totalAmount]],TrafficData[[#This Row],[disposedAmount]]&lt;=TrafficData[[#This Row],[totalAmount]])</f>
        <v>1</v>
      </c>
      <c r="P1205" t="b">
        <f>AND(TrafficData[[#This Row],[pendingCourt]]&lt;=TrafficData[[#This Row],[totalCourt]],TrafficData[[#This Row],[disposedCourt]]&lt;=TrafficData[[#This Row],[totalCourt]])</f>
        <v>1</v>
      </c>
    </row>
    <row r="1206" spans="1:16">
      <c r="A1206" s="1">
        <v>43209</v>
      </c>
      <c r="B1206">
        <v>4821</v>
      </c>
      <c r="C1206">
        <v>3880</v>
      </c>
      <c r="D1206">
        <v>941</v>
      </c>
      <c r="E1206">
        <v>2156200</v>
      </c>
      <c r="F1206">
        <v>11829301</v>
      </c>
      <c r="G1206">
        <v>13985501</v>
      </c>
      <c r="H1206">
        <v>695</v>
      </c>
      <c r="I1206">
        <v>156</v>
      </c>
      <c r="J1206">
        <v>851</v>
      </c>
      <c r="K1206" t="b">
        <f>TrafficData[[#This Row],[disposedChallan]]+TrafficData[[#This Row],[pendingChallan]]=TrafficData[[#This Row],[totalChallan]]</f>
        <v>1</v>
      </c>
      <c r="L1206" t="b">
        <f>TrafficData[[#This Row],[pendingAmount]]+TrafficData[[#This Row],[disposedAmount]]=TrafficData[[#This Row],[totalAmount]]</f>
        <v>1</v>
      </c>
      <c r="M1206" t="b">
        <f>TrafficData[[#This Row],[pendingCourt]]+TrafficData[[#This Row],[disposedCourt]]=TrafficData[[#This Row],[totalCourt]]</f>
        <v>1</v>
      </c>
      <c r="N1206" t="b">
        <f>AND(TrafficData[[#This Row],[disposedChallan]]&lt;=TrafficData[[#This Row],[totalChallan]],TrafficData[[#This Row],[pendingChallan]]&lt;=TrafficData[[#This Row],[totalChallan]])</f>
        <v>1</v>
      </c>
      <c r="O1206" t="b">
        <f>AND(TrafficData[[#This Row],[pendingAmount]]&lt;=TrafficData[[#This Row],[totalAmount]],TrafficData[[#This Row],[disposedAmount]]&lt;=TrafficData[[#This Row],[totalAmount]])</f>
        <v>1</v>
      </c>
      <c r="P1206" t="b">
        <f>AND(TrafficData[[#This Row],[pendingCourt]]&lt;=TrafficData[[#This Row],[totalCourt]],TrafficData[[#This Row],[disposedCourt]]&lt;=TrafficData[[#This Row],[totalCourt]])</f>
        <v>1</v>
      </c>
    </row>
    <row r="1207" spans="1:16">
      <c r="A1207" s="1">
        <v>43210</v>
      </c>
      <c r="B1207">
        <v>4728</v>
      </c>
      <c r="C1207">
        <v>3723</v>
      </c>
      <c r="D1207">
        <v>1005</v>
      </c>
      <c r="E1207">
        <v>2351450</v>
      </c>
      <c r="F1207">
        <v>10919306</v>
      </c>
      <c r="G1207">
        <v>13270756</v>
      </c>
      <c r="H1207">
        <v>741</v>
      </c>
      <c r="I1207">
        <v>148</v>
      </c>
      <c r="J1207">
        <v>889</v>
      </c>
      <c r="K1207" t="b">
        <f>TrafficData[[#This Row],[disposedChallan]]+TrafficData[[#This Row],[pendingChallan]]=TrafficData[[#This Row],[totalChallan]]</f>
        <v>1</v>
      </c>
      <c r="L1207" t="b">
        <f>TrafficData[[#This Row],[pendingAmount]]+TrafficData[[#This Row],[disposedAmount]]=TrafficData[[#This Row],[totalAmount]]</f>
        <v>1</v>
      </c>
      <c r="M1207" t="b">
        <f>TrafficData[[#This Row],[pendingCourt]]+TrafficData[[#This Row],[disposedCourt]]=TrafficData[[#This Row],[totalCourt]]</f>
        <v>1</v>
      </c>
      <c r="N1207" t="b">
        <f>AND(TrafficData[[#This Row],[disposedChallan]]&lt;=TrafficData[[#This Row],[totalChallan]],TrafficData[[#This Row],[pendingChallan]]&lt;=TrafficData[[#This Row],[totalChallan]])</f>
        <v>1</v>
      </c>
      <c r="O1207" t="b">
        <f>AND(TrafficData[[#This Row],[pendingAmount]]&lt;=TrafficData[[#This Row],[totalAmount]],TrafficData[[#This Row],[disposedAmount]]&lt;=TrafficData[[#This Row],[totalAmount]])</f>
        <v>1</v>
      </c>
      <c r="P1207" t="b">
        <f>AND(TrafficData[[#This Row],[pendingCourt]]&lt;=TrafficData[[#This Row],[totalCourt]],TrafficData[[#This Row],[disposedCourt]]&lt;=TrafficData[[#This Row],[totalCourt]])</f>
        <v>1</v>
      </c>
    </row>
    <row r="1208" spans="1:16">
      <c r="A1208" s="1">
        <v>43211</v>
      </c>
      <c r="B1208">
        <v>4171</v>
      </c>
      <c r="C1208">
        <v>3243</v>
      </c>
      <c r="D1208">
        <v>928</v>
      </c>
      <c r="E1208">
        <v>1736750</v>
      </c>
      <c r="F1208">
        <v>8789246</v>
      </c>
      <c r="G1208">
        <v>10525996</v>
      </c>
      <c r="H1208">
        <v>687</v>
      </c>
      <c r="I1208">
        <v>160</v>
      </c>
      <c r="J1208">
        <v>847</v>
      </c>
      <c r="K1208" t="b">
        <f>TrafficData[[#This Row],[disposedChallan]]+TrafficData[[#This Row],[pendingChallan]]=TrafficData[[#This Row],[totalChallan]]</f>
        <v>1</v>
      </c>
      <c r="L1208" t="b">
        <f>TrafficData[[#This Row],[pendingAmount]]+TrafficData[[#This Row],[disposedAmount]]=TrafficData[[#This Row],[totalAmount]]</f>
        <v>1</v>
      </c>
      <c r="M1208" t="b">
        <f>TrafficData[[#This Row],[pendingCourt]]+TrafficData[[#This Row],[disposedCourt]]=TrafficData[[#This Row],[totalCourt]]</f>
        <v>1</v>
      </c>
      <c r="N1208" t="b">
        <f>AND(TrafficData[[#This Row],[disposedChallan]]&lt;=TrafficData[[#This Row],[totalChallan]],TrafficData[[#This Row],[pendingChallan]]&lt;=TrafficData[[#This Row],[totalChallan]])</f>
        <v>1</v>
      </c>
      <c r="O1208" t="b">
        <f>AND(TrafficData[[#This Row],[pendingAmount]]&lt;=TrafficData[[#This Row],[totalAmount]],TrafficData[[#This Row],[disposedAmount]]&lt;=TrafficData[[#This Row],[totalAmount]])</f>
        <v>1</v>
      </c>
      <c r="P1208" t="b">
        <f>AND(TrafficData[[#This Row],[pendingCourt]]&lt;=TrafficData[[#This Row],[totalCourt]],TrafficData[[#This Row],[disposedCourt]]&lt;=TrafficData[[#This Row],[totalCourt]])</f>
        <v>1</v>
      </c>
    </row>
    <row r="1209" spans="1:16">
      <c r="A1209" s="1">
        <v>43212</v>
      </c>
      <c r="B1209">
        <v>2778</v>
      </c>
      <c r="C1209">
        <v>2021</v>
      </c>
      <c r="D1209">
        <v>757</v>
      </c>
      <c r="E1209">
        <v>1830350</v>
      </c>
      <c r="F1209">
        <v>7138748</v>
      </c>
      <c r="G1209">
        <v>8969098</v>
      </c>
      <c r="H1209">
        <v>586</v>
      </c>
      <c r="I1209">
        <v>114</v>
      </c>
      <c r="J1209">
        <v>700</v>
      </c>
      <c r="K1209" t="b">
        <f>TrafficData[[#This Row],[disposedChallan]]+TrafficData[[#This Row],[pendingChallan]]=TrafficData[[#This Row],[totalChallan]]</f>
        <v>1</v>
      </c>
      <c r="L1209" t="b">
        <f>TrafficData[[#This Row],[pendingAmount]]+TrafficData[[#This Row],[disposedAmount]]=TrafficData[[#This Row],[totalAmount]]</f>
        <v>1</v>
      </c>
      <c r="M1209" t="b">
        <f>TrafficData[[#This Row],[pendingCourt]]+TrafficData[[#This Row],[disposedCourt]]=TrafficData[[#This Row],[totalCourt]]</f>
        <v>1</v>
      </c>
      <c r="N1209" t="b">
        <f>AND(TrafficData[[#This Row],[disposedChallan]]&lt;=TrafficData[[#This Row],[totalChallan]],TrafficData[[#This Row],[pendingChallan]]&lt;=TrafficData[[#This Row],[totalChallan]])</f>
        <v>1</v>
      </c>
      <c r="O1209" t="b">
        <f>AND(TrafficData[[#This Row],[pendingAmount]]&lt;=TrafficData[[#This Row],[totalAmount]],TrafficData[[#This Row],[disposedAmount]]&lt;=TrafficData[[#This Row],[totalAmount]])</f>
        <v>1</v>
      </c>
      <c r="P1209" t="b">
        <f>AND(TrafficData[[#This Row],[pendingCourt]]&lt;=TrafficData[[#This Row],[totalCourt]],TrafficData[[#This Row],[disposedCourt]]&lt;=TrafficData[[#This Row],[totalCourt]])</f>
        <v>1</v>
      </c>
    </row>
    <row r="1210" spans="1:16">
      <c r="A1210" s="1">
        <v>43213</v>
      </c>
      <c r="B1210">
        <v>5553</v>
      </c>
      <c r="C1210">
        <v>4764</v>
      </c>
      <c r="D1210">
        <v>789</v>
      </c>
      <c r="E1210">
        <v>1818411</v>
      </c>
      <c r="F1210">
        <v>6066850</v>
      </c>
      <c r="G1210">
        <v>7885261</v>
      </c>
      <c r="H1210">
        <v>475</v>
      </c>
      <c r="I1210">
        <v>126</v>
      </c>
      <c r="J1210">
        <v>601</v>
      </c>
      <c r="K1210" t="b">
        <f>TrafficData[[#This Row],[disposedChallan]]+TrafficData[[#This Row],[pendingChallan]]=TrafficData[[#This Row],[totalChallan]]</f>
        <v>1</v>
      </c>
      <c r="L1210" t="b">
        <f>TrafficData[[#This Row],[pendingAmount]]+TrafficData[[#This Row],[disposedAmount]]=TrafficData[[#This Row],[totalAmount]]</f>
        <v>1</v>
      </c>
      <c r="M1210" t="b">
        <f>TrafficData[[#This Row],[pendingCourt]]+TrafficData[[#This Row],[disposedCourt]]=TrafficData[[#This Row],[totalCourt]]</f>
        <v>1</v>
      </c>
      <c r="N1210" t="b">
        <f>AND(TrafficData[[#This Row],[disposedChallan]]&lt;=TrafficData[[#This Row],[totalChallan]],TrafficData[[#This Row],[pendingChallan]]&lt;=TrafficData[[#This Row],[totalChallan]])</f>
        <v>1</v>
      </c>
      <c r="O1210" t="b">
        <f>AND(TrafficData[[#This Row],[pendingAmount]]&lt;=TrafficData[[#This Row],[totalAmount]],TrafficData[[#This Row],[disposedAmount]]&lt;=TrafficData[[#This Row],[totalAmount]])</f>
        <v>1</v>
      </c>
      <c r="P1210" t="b">
        <f>AND(TrafficData[[#This Row],[pendingCourt]]&lt;=TrafficData[[#This Row],[totalCourt]],TrafficData[[#This Row],[disposedCourt]]&lt;=TrafficData[[#This Row],[totalCourt]])</f>
        <v>1</v>
      </c>
    </row>
    <row r="1211" spans="1:16">
      <c r="A1211" s="1">
        <v>43214</v>
      </c>
      <c r="B1211">
        <v>6077</v>
      </c>
      <c r="C1211">
        <v>5083</v>
      </c>
      <c r="D1211">
        <v>994</v>
      </c>
      <c r="E1211">
        <v>2508500</v>
      </c>
      <c r="F1211">
        <v>10783619</v>
      </c>
      <c r="G1211">
        <v>13292119</v>
      </c>
      <c r="H1211">
        <v>546</v>
      </c>
      <c r="I1211">
        <v>172</v>
      </c>
      <c r="J1211">
        <v>718</v>
      </c>
      <c r="K1211" t="b">
        <f>TrafficData[[#This Row],[disposedChallan]]+TrafficData[[#This Row],[pendingChallan]]=TrafficData[[#This Row],[totalChallan]]</f>
        <v>1</v>
      </c>
      <c r="L1211" t="b">
        <f>TrafficData[[#This Row],[pendingAmount]]+TrafficData[[#This Row],[disposedAmount]]=TrafficData[[#This Row],[totalAmount]]</f>
        <v>1</v>
      </c>
      <c r="M1211" t="b">
        <f>TrafficData[[#This Row],[pendingCourt]]+TrafficData[[#This Row],[disposedCourt]]=TrafficData[[#This Row],[totalCourt]]</f>
        <v>1</v>
      </c>
      <c r="N1211" t="b">
        <f>AND(TrafficData[[#This Row],[disposedChallan]]&lt;=TrafficData[[#This Row],[totalChallan]],TrafficData[[#This Row],[pendingChallan]]&lt;=TrafficData[[#This Row],[totalChallan]])</f>
        <v>1</v>
      </c>
      <c r="O1211" t="b">
        <f>AND(TrafficData[[#This Row],[pendingAmount]]&lt;=TrafficData[[#This Row],[totalAmount]],TrafficData[[#This Row],[disposedAmount]]&lt;=TrafficData[[#This Row],[totalAmount]])</f>
        <v>1</v>
      </c>
      <c r="P1211" t="b">
        <f>AND(TrafficData[[#This Row],[pendingCourt]]&lt;=TrafficData[[#This Row],[totalCourt]],TrafficData[[#This Row],[disposedCourt]]&lt;=TrafficData[[#This Row],[totalCourt]])</f>
        <v>1</v>
      </c>
    </row>
    <row r="1212" spans="1:16">
      <c r="A1212" s="1">
        <v>43215</v>
      </c>
      <c r="B1212">
        <v>12012</v>
      </c>
      <c r="C1212">
        <v>9001</v>
      </c>
      <c r="D1212">
        <v>3011</v>
      </c>
      <c r="E1212">
        <v>6840600</v>
      </c>
      <c r="F1212">
        <v>8040175</v>
      </c>
      <c r="G1212">
        <v>14880775</v>
      </c>
      <c r="H1212">
        <v>2644</v>
      </c>
      <c r="I1212">
        <v>644</v>
      </c>
      <c r="J1212">
        <v>3288</v>
      </c>
      <c r="K1212" t="b">
        <f>TrafficData[[#This Row],[disposedChallan]]+TrafficData[[#This Row],[pendingChallan]]=TrafficData[[#This Row],[totalChallan]]</f>
        <v>1</v>
      </c>
      <c r="L1212" t="b">
        <f>TrafficData[[#This Row],[pendingAmount]]+TrafficData[[#This Row],[disposedAmount]]=TrafficData[[#This Row],[totalAmount]]</f>
        <v>1</v>
      </c>
      <c r="M1212" t="b">
        <f>TrafficData[[#This Row],[pendingCourt]]+TrafficData[[#This Row],[disposedCourt]]=TrafficData[[#This Row],[totalCourt]]</f>
        <v>1</v>
      </c>
      <c r="N1212" t="b">
        <f>AND(TrafficData[[#This Row],[disposedChallan]]&lt;=TrafficData[[#This Row],[totalChallan]],TrafficData[[#This Row],[pendingChallan]]&lt;=TrafficData[[#This Row],[totalChallan]])</f>
        <v>1</v>
      </c>
      <c r="O1212" t="b">
        <f>AND(TrafficData[[#This Row],[pendingAmount]]&lt;=TrafficData[[#This Row],[totalAmount]],TrafficData[[#This Row],[disposedAmount]]&lt;=TrafficData[[#This Row],[totalAmount]])</f>
        <v>1</v>
      </c>
      <c r="P1212" t="b">
        <f>AND(TrafficData[[#This Row],[pendingCourt]]&lt;=TrafficData[[#This Row],[totalCourt]],TrafficData[[#This Row],[disposedCourt]]&lt;=TrafficData[[#This Row],[totalCourt]])</f>
        <v>1</v>
      </c>
    </row>
    <row r="1213" spans="1:16">
      <c r="A1213" s="1">
        <v>43216</v>
      </c>
      <c r="B1213">
        <v>4978</v>
      </c>
      <c r="C1213">
        <v>3990</v>
      </c>
      <c r="D1213">
        <v>988</v>
      </c>
      <c r="E1213">
        <v>2178944</v>
      </c>
      <c r="F1213">
        <v>8100597</v>
      </c>
      <c r="G1213">
        <v>10279541</v>
      </c>
      <c r="H1213">
        <v>653</v>
      </c>
      <c r="I1213">
        <v>162</v>
      </c>
      <c r="J1213">
        <v>815</v>
      </c>
      <c r="K1213" t="b">
        <f>TrafficData[[#This Row],[disposedChallan]]+TrafficData[[#This Row],[pendingChallan]]=TrafficData[[#This Row],[totalChallan]]</f>
        <v>1</v>
      </c>
      <c r="L1213" t="b">
        <f>TrafficData[[#This Row],[pendingAmount]]+TrafficData[[#This Row],[disposedAmount]]=TrafficData[[#This Row],[totalAmount]]</f>
        <v>1</v>
      </c>
      <c r="M1213" t="b">
        <f>TrafficData[[#This Row],[pendingCourt]]+TrafficData[[#This Row],[disposedCourt]]=TrafficData[[#This Row],[totalCourt]]</f>
        <v>1</v>
      </c>
      <c r="N1213" t="b">
        <f>AND(TrafficData[[#This Row],[disposedChallan]]&lt;=TrafficData[[#This Row],[totalChallan]],TrafficData[[#This Row],[pendingChallan]]&lt;=TrafficData[[#This Row],[totalChallan]])</f>
        <v>1</v>
      </c>
      <c r="O1213" t="b">
        <f>AND(TrafficData[[#This Row],[pendingAmount]]&lt;=TrafficData[[#This Row],[totalAmount]],TrafficData[[#This Row],[disposedAmount]]&lt;=TrafficData[[#This Row],[totalAmount]])</f>
        <v>1</v>
      </c>
      <c r="P1213" t="b">
        <f>AND(TrafficData[[#This Row],[pendingCourt]]&lt;=TrafficData[[#This Row],[totalCourt]],TrafficData[[#This Row],[disposedCourt]]&lt;=TrafficData[[#This Row],[totalCourt]])</f>
        <v>1</v>
      </c>
    </row>
    <row r="1214" spans="1:16">
      <c r="A1214" s="1">
        <v>43217</v>
      </c>
      <c r="B1214">
        <v>5175</v>
      </c>
      <c r="C1214">
        <v>4223</v>
      </c>
      <c r="D1214">
        <v>952</v>
      </c>
      <c r="E1214">
        <v>2704050</v>
      </c>
      <c r="F1214">
        <v>8017961</v>
      </c>
      <c r="G1214">
        <v>10722011</v>
      </c>
      <c r="H1214">
        <v>621</v>
      </c>
      <c r="I1214">
        <v>220</v>
      </c>
      <c r="J1214">
        <v>841</v>
      </c>
      <c r="K1214" t="b">
        <f>TrafficData[[#This Row],[disposedChallan]]+TrafficData[[#This Row],[pendingChallan]]=TrafficData[[#This Row],[totalChallan]]</f>
        <v>1</v>
      </c>
      <c r="L1214" t="b">
        <f>TrafficData[[#This Row],[pendingAmount]]+TrafficData[[#This Row],[disposedAmount]]=TrafficData[[#This Row],[totalAmount]]</f>
        <v>1</v>
      </c>
      <c r="M1214" t="b">
        <f>TrafficData[[#This Row],[pendingCourt]]+TrafficData[[#This Row],[disposedCourt]]=TrafficData[[#This Row],[totalCourt]]</f>
        <v>1</v>
      </c>
      <c r="N1214" t="b">
        <f>AND(TrafficData[[#This Row],[disposedChallan]]&lt;=TrafficData[[#This Row],[totalChallan]],TrafficData[[#This Row],[pendingChallan]]&lt;=TrafficData[[#This Row],[totalChallan]])</f>
        <v>1</v>
      </c>
      <c r="O1214" t="b">
        <f>AND(TrafficData[[#This Row],[pendingAmount]]&lt;=TrafficData[[#This Row],[totalAmount]],TrafficData[[#This Row],[disposedAmount]]&lt;=TrafficData[[#This Row],[totalAmount]])</f>
        <v>1</v>
      </c>
      <c r="P1214" t="b">
        <f>AND(TrafficData[[#This Row],[pendingCourt]]&lt;=TrafficData[[#This Row],[totalCourt]],TrafficData[[#This Row],[disposedCourt]]&lt;=TrafficData[[#This Row],[totalCourt]])</f>
        <v>1</v>
      </c>
    </row>
    <row r="1215" spans="1:16">
      <c r="A1215" s="1">
        <v>43218</v>
      </c>
      <c r="B1215">
        <v>14942</v>
      </c>
      <c r="C1215">
        <v>13911</v>
      </c>
      <c r="D1215">
        <v>1031</v>
      </c>
      <c r="E1215">
        <v>3081200</v>
      </c>
      <c r="F1215">
        <v>11056016</v>
      </c>
      <c r="G1215">
        <v>14137216</v>
      </c>
      <c r="H1215">
        <v>716</v>
      </c>
      <c r="I1215">
        <v>253</v>
      </c>
      <c r="J1215">
        <v>969</v>
      </c>
      <c r="K1215" t="b">
        <f>TrafficData[[#This Row],[disposedChallan]]+TrafficData[[#This Row],[pendingChallan]]=TrafficData[[#This Row],[totalChallan]]</f>
        <v>1</v>
      </c>
      <c r="L1215" t="b">
        <f>TrafficData[[#This Row],[pendingAmount]]+TrafficData[[#This Row],[disposedAmount]]=TrafficData[[#This Row],[totalAmount]]</f>
        <v>1</v>
      </c>
      <c r="M1215" t="b">
        <f>TrafficData[[#This Row],[pendingCourt]]+TrafficData[[#This Row],[disposedCourt]]=TrafficData[[#This Row],[totalCourt]]</f>
        <v>1</v>
      </c>
      <c r="N1215" t="b">
        <f>AND(TrafficData[[#This Row],[disposedChallan]]&lt;=TrafficData[[#This Row],[totalChallan]],TrafficData[[#This Row],[pendingChallan]]&lt;=TrafficData[[#This Row],[totalChallan]])</f>
        <v>1</v>
      </c>
      <c r="O1215" t="b">
        <f>AND(TrafficData[[#This Row],[pendingAmount]]&lt;=TrafficData[[#This Row],[totalAmount]],TrafficData[[#This Row],[disposedAmount]]&lt;=TrafficData[[#This Row],[totalAmount]])</f>
        <v>1</v>
      </c>
      <c r="P1215" t="b">
        <f>AND(TrafficData[[#This Row],[pendingCourt]]&lt;=TrafficData[[#This Row],[totalCourt]],TrafficData[[#This Row],[disposedCourt]]&lt;=TrafficData[[#This Row],[totalCourt]])</f>
        <v>1</v>
      </c>
    </row>
    <row r="1216" spans="1:16">
      <c r="A1216" s="1">
        <v>43219</v>
      </c>
      <c r="B1216">
        <v>2834</v>
      </c>
      <c r="C1216">
        <v>2089</v>
      </c>
      <c r="D1216">
        <v>745</v>
      </c>
      <c r="E1216">
        <v>1689050</v>
      </c>
      <c r="F1216">
        <v>7838230</v>
      </c>
      <c r="G1216">
        <v>9527280</v>
      </c>
      <c r="H1216">
        <v>430</v>
      </c>
      <c r="I1216">
        <v>140</v>
      </c>
      <c r="J1216">
        <v>570</v>
      </c>
      <c r="K1216" t="b">
        <f>TrafficData[[#This Row],[disposedChallan]]+TrafficData[[#This Row],[pendingChallan]]=TrafficData[[#This Row],[totalChallan]]</f>
        <v>1</v>
      </c>
      <c r="L1216" t="b">
        <f>TrafficData[[#This Row],[pendingAmount]]+TrafficData[[#This Row],[disposedAmount]]=TrafficData[[#This Row],[totalAmount]]</f>
        <v>1</v>
      </c>
      <c r="M1216" t="b">
        <f>TrafficData[[#This Row],[pendingCourt]]+TrafficData[[#This Row],[disposedCourt]]=TrafficData[[#This Row],[totalCourt]]</f>
        <v>1</v>
      </c>
      <c r="N1216" t="b">
        <f>AND(TrafficData[[#This Row],[disposedChallan]]&lt;=TrafficData[[#This Row],[totalChallan]],TrafficData[[#This Row],[pendingChallan]]&lt;=TrafficData[[#This Row],[totalChallan]])</f>
        <v>1</v>
      </c>
      <c r="O1216" t="b">
        <f>AND(TrafficData[[#This Row],[pendingAmount]]&lt;=TrafficData[[#This Row],[totalAmount]],TrafficData[[#This Row],[disposedAmount]]&lt;=TrafficData[[#This Row],[totalAmount]])</f>
        <v>1</v>
      </c>
      <c r="P1216" t="b">
        <f>AND(TrafficData[[#This Row],[pendingCourt]]&lt;=TrafficData[[#This Row],[totalCourt]],TrafficData[[#This Row],[disposedCourt]]&lt;=TrafficData[[#This Row],[totalCourt]])</f>
        <v>1</v>
      </c>
    </row>
    <row r="1217" spans="1:16">
      <c r="A1217" s="1">
        <v>43220</v>
      </c>
      <c r="B1217">
        <v>4956</v>
      </c>
      <c r="C1217">
        <v>4146</v>
      </c>
      <c r="D1217">
        <v>810</v>
      </c>
      <c r="E1217">
        <v>1533750</v>
      </c>
      <c r="F1217">
        <v>6711863</v>
      </c>
      <c r="G1217">
        <v>8245613</v>
      </c>
      <c r="H1217">
        <v>425</v>
      </c>
      <c r="I1217">
        <v>162</v>
      </c>
      <c r="J1217">
        <v>587</v>
      </c>
      <c r="K1217" t="b">
        <f>TrafficData[[#This Row],[disposedChallan]]+TrafficData[[#This Row],[pendingChallan]]=TrafficData[[#This Row],[totalChallan]]</f>
        <v>1</v>
      </c>
      <c r="L1217" t="b">
        <f>TrafficData[[#This Row],[pendingAmount]]+TrafficData[[#This Row],[disposedAmount]]=TrafficData[[#This Row],[totalAmount]]</f>
        <v>1</v>
      </c>
      <c r="M1217" t="b">
        <f>TrafficData[[#This Row],[pendingCourt]]+TrafficData[[#This Row],[disposedCourt]]=TrafficData[[#This Row],[totalCourt]]</f>
        <v>1</v>
      </c>
      <c r="N1217" t="b">
        <f>AND(TrafficData[[#This Row],[disposedChallan]]&lt;=TrafficData[[#This Row],[totalChallan]],TrafficData[[#This Row],[pendingChallan]]&lt;=TrafficData[[#This Row],[totalChallan]])</f>
        <v>1</v>
      </c>
      <c r="O1217" t="b">
        <f>AND(TrafficData[[#This Row],[pendingAmount]]&lt;=TrafficData[[#This Row],[totalAmount]],TrafficData[[#This Row],[disposedAmount]]&lt;=TrafficData[[#This Row],[totalAmount]])</f>
        <v>1</v>
      </c>
      <c r="P1217" t="b">
        <f>AND(TrafficData[[#This Row],[pendingCourt]]&lt;=TrafficData[[#This Row],[totalCourt]],TrafficData[[#This Row],[disposedCourt]]&lt;=TrafficData[[#This Row],[totalCourt]])</f>
        <v>1</v>
      </c>
    </row>
    <row r="1218" spans="1:16">
      <c r="A1218" s="1">
        <v>43221</v>
      </c>
      <c r="B1218">
        <v>6198</v>
      </c>
      <c r="C1218">
        <v>4941</v>
      </c>
      <c r="D1218">
        <v>1257</v>
      </c>
      <c r="E1218">
        <v>2929350</v>
      </c>
      <c r="F1218">
        <v>10469499</v>
      </c>
      <c r="G1218">
        <v>13398849</v>
      </c>
      <c r="H1218">
        <v>722</v>
      </c>
      <c r="I1218">
        <v>245</v>
      </c>
      <c r="J1218">
        <v>967</v>
      </c>
      <c r="K1218" t="b">
        <f>TrafficData[[#This Row],[disposedChallan]]+TrafficData[[#This Row],[pendingChallan]]=TrafficData[[#This Row],[totalChallan]]</f>
        <v>1</v>
      </c>
      <c r="L1218" t="b">
        <f>TrafficData[[#This Row],[pendingAmount]]+TrafficData[[#This Row],[disposedAmount]]=TrafficData[[#This Row],[totalAmount]]</f>
        <v>1</v>
      </c>
      <c r="M1218" t="b">
        <f>TrafficData[[#This Row],[pendingCourt]]+TrafficData[[#This Row],[disposedCourt]]=TrafficData[[#This Row],[totalCourt]]</f>
        <v>1</v>
      </c>
      <c r="N1218" t="b">
        <f>AND(TrafficData[[#This Row],[disposedChallan]]&lt;=TrafficData[[#This Row],[totalChallan]],TrafficData[[#This Row],[pendingChallan]]&lt;=TrafficData[[#This Row],[totalChallan]])</f>
        <v>1</v>
      </c>
      <c r="O1218" t="b">
        <f>AND(TrafficData[[#This Row],[pendingAmount]]&lt;=TrafficData[[#This Row],[totalAmount]],TrafficData[[#This Row],[disposedAmount]]&lt;=TrafficData[[#This Row],[totalAmount]])</f>
        <v>1</v>
      </c>
      <c r="P1218" t="b">
        <f>AND(TrafficData[[#This Row],[pendingCourt]]&lt;=TrafficData[[#This Row],[totalCourt]],TrafficData[[#This Row],[disposedCourt]]&lt;=TrafficData[[#This Row],[totalCourt]])</f>
        <v>1</v>
      </c>
    </row>
    <row r="1219" spans="1:16">
      <c r="A1219" s="1">
        <v>43222</v>
      </c>
      <c r="B1219">
        <v>13571</v>
      </c>
      <c r="C1219">
        <v>9953</v>
      </c>
      <c r="D1219">
        <v>3618</v>
      </c>
      <c r="E1219">
        <v>8349200</v>
      </c>
      <c r="F1219">
        <v>13167390</v>
      </c>
      <c r="G1219">
        <v>21516590</v>
      </c>
      <c r="H1219">
        <v>2882</v>
      </c>
      <c r="I1219">
        <v>909</v>
      </c>
      <c r="J1219">
        <v>3791</v>
      </c>
      <c r="K1219" t="b">
        <f>TrafficData[[#This Row],[disposedChallan]]+TrafficData[[#This Row],[pendingChallan]]=TrafficData[[#This Row],[totalChallan]]</f>
        <v>1</v>
      </c>
      <c r="L1219" t="b">
        <f>TrafficData[[#This Row],[pendingAmount]]+TrafficData[[#This Row],[disposedAmount]]=TrafficData[[#This Row],[totalAmount]]</f>
        <v>1</v>
      </c>
      <c r="M1219" t="b">
        <f>TrafficData[[#This Row],[pendingCourt]]+TrafficData[[#This Row],[disposedCourt]]=TrafficData[[#This Row],[totalCourt]]</f>
        <v>1</v>
      </c>
      <c r="N1219" t="b">
        <f>AND(TrafficData[[#This Row],[disposedChallan]]&lt;=TrafficData[[#This Row],[totalChallan]],TrafficData[[#This Row],[pendingChallan]]&lt;=TrafficData[[#This Row],[totalChallan]])</f>
        <v>1</v>
      </c>
      <c r="O1219" t="b">
        <f>AND(TrafficData[[#This Row],[pendingAmount]]&lt;=TrafficData[[#This Row],[totalAmount]],TrafficData[[#This Row],[disposedAmount]]&lt;=TrafficData[[#This Row],[totalAmount]])</f>
        <v>1</v>
      </c>
      <c r="P1219" t="b">
        <f>AND(TrafficData[[#This Row],[pendingCourt]]&lt;=TrafficData[[#This Row],[totalCourt]],TrafficData[[#This Row],[disposedCourt]]&lt;=TrafficData[[#This Row],[totalCourt]])</f>
        <v>1</v>
      </c>
    </row>
    <row r="1220" spans="1:16">
      <c r="A1220" s="1">
        <v>43223</v>
      </c>
      <c r="B1220">
        <v>8638</v>
      </c>
      <c r="C1220">
        <v>6443</v>
      </c>
      <c r="D1220">
        <v>2195</v>
      </c>
      <c r="E1220">
        <v>4576950</v>
      </c>
      <c r="F1220">
        <v>13784229</v>
      </c>
      <c r="G1220">
        <v>18361179</v>
      </c>
      <c r="H1220">
        <v>1461</v>
      </c>
      <c r="I1220">
        <v>546</v>
      </c>
      <c r="J1220">
        <v>2007</v>
      </c>
      <c r="K1220" t="b">
        <f>TrafficData[[#This Row],[disposedChallan]]+TrafficData[[#This Row],[pendingChallan]]=TrafficData[[#This Row],[totalChallan]]</f>
        <v>1</v>
      </c>
      <c r="L1220" t="b">
        <f>TrafficData[[#This Row],[pendingAmount]]+TrafficData[[#This Row],[disposedAmount]]=TrafficData[[#This Row],[totalAmount]]</f>
        <v>1</v>
      </c>
      <c r="M1220" t="b">
        <f>TrafficData[[#This Row],[pendingCourt]]+TrafficData[[#This Row],[disposedCourt]]=TrafficData[[#This Row],[totalCourt]]</f>
        <v>1</v>
      </c>
      <c r="N1220" t="b">
        <f>AND(TrafficData[[#This Row],[disposedChallan]]&lt;=TrafficData[[#This Row],[totalChallan]],TrafficData[[#This Row],[pendingChallan]]&lt;=TrafficData[[#This Row],[totalChallan]])</f>
        <v>1</v>
      </c>
      <c r="O1220" t="b">
        <f>AND(TrafficData[[#This Row],[pendingAmount]]&lt;=TrafficData[[#This Row],[totalAmount]],TrafficData[[#This Row],[disposedAmount]]&lt;=TrafficData[[#This Row],[totalAmount]])</f>
        <v>1</v>
      </c>
      <c r="P1220" t="b">
        <f>AND(TrafficData[[#This Row],[pendingCourt]]&lt;=TrafficData[[#This Row],[totalCourt]],TrafficData[[#This Row],[disposedCourt]]&lt;=TrafficData[[#This Row],[totalCourt]])</f>
        <v>1</v>
      </c>
    </row>
    <row r="1221" spans="1:16">
      <c r="A1221" s="1">
        <v>43224</v>
      </c>
      <c r="B1221">
        <v>9357</v>
      </c>
      <c r="C1221">
        <v>6990</v>
      </c>
      <c r="D1221">
        <v>2367</v>
      </c>
      <c r="E1221">
        <v>4860168</v>
      </c>
      <c r="F1221">
        <v>15731150</v>
      </c>
      <c r="G1221">
        <v>20591318</v>
      </c>
      <c r="H1221">
        <v>1391</v>
      </c>
      <c r="I1221">
        <v>534</v>
      </c>
      <c r="J1221">
        <v>1925</v>
      </c>
      <c r="K1221" t="b">
        <f>TrafficData[[#This Row],[disposedChallan]]+TrafficData[[#This Row],[pendingChallan]]=TrafficData[[#This Row],[totalChallan]]</f>
        <v>1</v>
      </c>
      <c r="L1221" t="b">
        <f>TrafficData[[#This Row],[pendingAmount]]+TrafficData[[#This Row],[disposedAmount]]=TrafficData[[#This Row],[totalAmount]]</f>
        <v>1</v>
      </c>
      <c r="M1221" t="b">
        <f>TrafficData[[#This Row],[pendingCourt]]+TrafficData[[#This Row],[disposedCourt]]=TrafficData[[#This Row],[totalCourt]]</f>
        <v>1</v>
      </c>
      <c r="N1221" t="b">
        <f>AND(TrafficData[[#This Row],[disposedChallan]]&lt;=TrafficData[[#This Row],[totalChallan]],TrafficData[[#This Row],[pendingChallan]]&lt;=TrafficData[[#This Row],[totalChallan]])</f>
        <v>1</v>
      </c>
      <c r="O1221" t="b">
        <f>AND(TrafficData[[#This Row],[pendingAmount]]&lt;=TrafficData[[#This Row],[totalAmount]],TrafficData[[#This Row],[disposedAmount]]&lt;=TrafficData[[#This Row],[totalAmount]])</f>
        <v>1</v>
      </c>
      <c r="P1221" t="b">
        <f>AND(TrafficData[[#This Row],[pendingCourt]]&lt;=TrafficData[[#This Row],[totalCourt]],TrafficData[[#This Row],[disposedCourt]]&lt;=TrafficData[[#This Row],[totalCourt]])</f>
        <v>1</v>
      </c>
    </row>
    <row r="1222" spans="1:16">
      <c r="A1222" s="1">
        <v>43225</v>
      </c>
      <c r="B1222">
        <v>8022</v>
      </c>
      <c r="C1222">
        <v>6193</v>
      </c>
      <c r="D1222">
        <v>1829</v>
      </c>
      <c r="E1222">
        <v>3515300</v>
      </c>
      <c r="F1222">
        <v>14020433</v>
      </c>
      <c r="G1222">
        <v>17535733</v>
      </c>
      <c r="H1222">
        <v>819</v>
      </c>
      <c r="I1222">
        <v>400</v>
      </c>
      <c r="J1222">
        <v>1219</v>
      </c>
      <c r="K1222" t="b">
        <f>TrafficData[[#This Row],[disposedChallan]]+TrafficData[[#This Row],[pendingChallan]]=TrafficData[[#This Row],[totalChallan]]</f>
        <v>1</v>
      </c>
      <c r="L1222" t="b">
        <f>TrafficData[[#This Row],[pendingAmount]]+TrafficData[[#This Row],[disposedAmount]]=TrafficData[[#This Row],[totalAmount]]</f>
        <v>1</v>
      </c>
      <c r="M1222" t="b">
        <f>TrafficData[[#This Row],[pendingCourt]]+TrafficData[[#This Row],[disposedCourt]]=TrafficData[[#This Row],[totalCourt]]</f>
        <v>1</v>
      </c>
      <c r="N1222" t="b">
        <f>AND(TrafficData[[#This Row],[disposedChallan]]&lt;=TrafficData[[#This Row],[totalChallan]],TrafficData[[#This Row],[pendingChallan]]&lt;=TrafficData[[#This Row],[totalChallan]])</f>
        <v>1</v>
      </c>
      <c r="O1222" t="b">
        <f>AND(TrafficData[[#This Row],[pendingAmount]]&lt;=TrafficData[[#This Row],[totalAmount]],TrafficData[[#This Row],[disposedAmount]]&lt;=TrafficData[[#This Row],[totalAmount]])</f>
        <v>1</v>
      </c>
      <c r="P1222" t="b">
        <f>AND(TrafficData[[#This Row],[pendingCourt]]&lt;=TrafficData[[#This Row],[totalCourt]],TrafficData[[#This Row],[disposedCourt]]&lt;=TrafficData[[#This Row],[totalCourt]])</f>
        <v>1</v>
      </c>
    </row>
    <row r="1223" spans="1:16">
      <c r="A1223" s="1">
        <v>43226</v>
      </c>
      <c r="B1223">
        <v>3007</v>
      </c>
      <c r="C1223">
        <v>2285</v>
      </c>
      <c r="D1223">
        <v>722</v>
      </c>
      <c r="E1223">
        <v>1327450</v>
      </c>
      <c r="F1223">
        <v>3675260</v>
      </c>
      <c r="G1223">
        <v>5002710</v>
      </c>
      <c r="H1223">
        <v>413</v>
      </c>
      <c r="I1223">
        <v>104</v>
      </c>
      <c r="J1223">
        <v>517</v>
      </c>
      <c r="K1223" t="b">
        <f>TrafficData[[#This Row],[disposedChallan]]+TrafficData[[#This Row],[pendingChallan]]=TrafficData[[#This Row],[totalChallan]]</f>
        <v>1</v>
      </c>
      <c r="L1223" t="b">
        <f>TrafficData[[#This Row],[pendingAmount]]+TrafficData[[#This Row],[disposedAmount]]=TrafficData[[#This Row],[totalAmount]]</f>
        <v>1</v>
      </c>
      <c r="M1223" t="b">
        <f>TrafficData[[#This Row],[pendingCourt]]+TrafficData[[#This Row],[disposedCourt]]=TrafficData[[#This Row],[totalCourt]]</f>
        <v>1</v>
      </c>
      <c r="N1223" t="b">
        <f>AND(TrafficData[[#This Row],[disposedChallan]]&lt;=TrafficData[[#This Row],[totalChallan]],TrafficData[[#This Row],[pendingChallan]]&lt;=TrafficData[[#This Row],[totalChallan]])</f>
        <v>1</v>
      </c>
      <c r="O1223" t="b">
        <f>AND(TrafficData[[#This Row],[pendingAmount]]&lt;=TrafficData[[#This Row],[totalAmount]],TrafficData[[#This Row],[disposedAmount]]&lt;=TrafficData[[#This Row],[totalAmount]])</f>
        <v>1</v>
      </c>
      <c r="P1223" t="b">
        <f>AND(TrafficData[[#This Row],[pendingCourt]]&lt;=TrafficData[[#This Row],[totalCourt]],TrafficData[[#This Row],[disposedCourt]]&lt;=TrafficData[[#This Row],[totalCourt]])</f>
        <v>1</v>
      </c>
    </row>
    <row r="1224" spans="1:16">
      <c r="A1224" s="1">
        <v>43227</v>
      </c>
      <c r="B1224">
        <v>9907</v>
      </c>
      <c r="C1224">
        <v>7560</v>
      </c>
      <c r="D1224">
        <v>2347</v>
      </c>
      <c r="E1224">
        <v>4424681</v>
      </c>
      <c r="F1224">
        <v>10522474</v>
      </c>
      <c r="G1224">
        <v>14947155</v>
      </c>
      <c r="H1224">
        <v>1337</v>
      </c>
      <c r="I1224">
        <v>511</v>
      </c>
      <c r="J1224">
        <v>1848</v>
      </c>
      <c r="K1224" t="b">
        <f>TrafficData[[#This Row],[disposedChallan]]+TrafficData[[#This Row],[pendingChallan]]=TrafficData[[#This Row],[totalChallan]]</f>
        <v>1</v>
      </c>
      <c r="L1224" t="b">
        <f>TrafficData[[#This Row],[pendingAmount]]+TrafficData[[#This Row],[disposedAmount]]=TrafficData[[#This Row],[totalAmount]]</f>
        <v>1</v>
      </c>
      <c r="M1224" t="b">
        <f>TrafficData[[#This Row],[pendingCourt]]+TrafficData[[#This Row],[disposedCourt]]=TrafficData[[#This Row],[totalCourt]]</f>
        <v>1</v>
      </c>
      <c r="N1224" t="b">
        <f>AND(TrafficData[[#This Row],[disposedChallan]]&lt;=TrafficData[[#This Row],[totalChallan]],TrafficData[[#This Row],[pendingChallan]]&lt;=TrafficData[[#This Row],[totalChallan]])</f>
        <v>1</v>
      </c>
      <c r="O1224" t="b">
        <f>AND(TrafficData[[#This Row],[pendingAmount]]&lt;=TrafficData[[#This Row],[totalAmount]],TrafficData[[#This Row],[disposedAmount]]&lt;=TrafficData[[#This Row],[totalAmount]])</f>
        <v>1</v>
      </c>
      <c r="P1224" t="b">
        <f>AND(TrafficData[[#This Row],[pendingCourt]]&lt;=TrafficData[[#This Row],[totalCourt]],TrafficData[[#This Row],[disposedCourt]]&lt;=TrafficData[[#This Row],[totalCourt]])</f>
        <v>1</v>
      </c>
    </row>
    <row r="1225" spans="1:16">
      <c r="A1225" s="1">
        <v>43228</v>
      </c>
      <c r="B1225">
        <v>12419</v>
      </c>
      <c r="C1225">
        <v>9126</v>
      </c>
      <c r="D1225">
        <v>3293</v>
      </c>
      <c r="E1225">
        <v>5208199</v>
      </c>
      <c r="F1225">
        <v>15913494</v>
      </c>
      <c r="G1225">
        <v>21121693</v>
      </c>
      <c r="H1225">
        <v>1886</v>
      </c>
      <c r="I1225">
        <v>620</v>
      </c>
      <c r="J1225">
        <v>2506</v>
      </c>
      <c r="K1225" t="b">
        <f>TrafficData[[#This Row],[disposedChallan]]+TrafficData[[#This Row],[pendingChallan]]=TrafficData[[#This Row],[totalChallan]]</f>
        <v>1</v>
      </c>
      <c r="L1225" t="b">
        <f>TrafficData[[#This Row],[pendingAmount]]+TrafficData[[#This Row],[disposedAmount]]=TrafficData[[#This Row],[totalAmount]]</f>
        <v>1</v>
      </c>
      <c r="M1225" t="b">
        <f>TrafficData[[#This Row],[pendingCourt]]+TrafficData[[#This Row],[disposedCourt]]=TrafficData[[#This Row],[totalCourt]]</f>
        <v>1</v>
      </c>
      <c r="N1225" t="b">
        <f>AND(TrafficData[[#This Row],[disposedChallan]]&lt;=TrafficData[[#This Row],[totalChallan]],TrafficData[[#This Row],[pendingChallan]]&lt;=TrafficData[[#This Row],[totalChallan]])</f>
        <v>1</v>
      </c>
      <c r="O1225" t="b">
        <f>AND(TrafficData[[#This Row],[pendingAmount]]&lt;=TrafficData[[#This Row],[totalAmount]],TrafficData[[#This Row],[disposedAmount]]&lt;=TrafficData[[#This Row],[totalAmount]])</f>
        <v>1</v>
      </c>
      <c r="P1225" t="b">
        <f>AND(TrafficData[[#This Row],[pendingCourt]]&lt;=TrafficData[[#This Row],[totalCourt]],TrafficData[[#This Row],[disposedCourt]]&lt;=TrafficData[[#This Row],[totalCourt]])</f>
        <v>1</v>
      </c>
    </row>
    <row r="1226" spans="1:16">
      <c r="A1226" s="1">
        <v>43229</v>
      </c>
      <c r="B1226">
        <v>17749</v>
      </c>
      <c r="C1226">
        <v>12634</v>
      </c>
      <c r="D1226">
        <v>5115</v>
      </c>
      <c r="E1226">
        <v>8239310</v>
      </c>
      <c r="F1226">
        <v>18842797</v>
      </c>
      <c r="G1226">
        <v>27082107</v>
      </c>
      <c r="H1226">
        <v>3538</v>
      </c>
      <c r="I1226">
        <v>966</v>
      </c>
      <c r="J1226">
        <v>4504</v>
      </c>
      <c r="K1226" t="b">
        <f>TrafficData[[#This Row],[disposedChallan]]+TrafficData[[#This Row],[pendingChallan]]=TrafficData[[#This Row],[totalChallan]]</f>
        <v>1</v>
      </c>
      <c r="L1226" t="b">
        <f>TrafficData[[#This Row],[pendingAmount]]+TrafficData[[#This Row],[disposedAmount]]=TrafficData[[#This Row],[totalAmount]]</f>
        <v>1</v>
      </c>
      <c r="M1226" t="b">
        <f>TrafficData[[#This Row],[pendingCourt]]+TrafficData[[#This Row],[disposedCourt]]=TrafficData[[#This Row],[totalCourt]]</f>
        <v>1</v>
      </c>
      <c r="N1226" t="b">
        <f>AND(TrafficData[[#This Row],[disposedChallan]]&lt;=TrafficData[[#This Row],[totalChallan]],TrafficData[[#This Row],[pendingChallan]]&lt;=TrafficData[[#This Row],[totalChallan]])</f>
        <v>1</v>
      </c>
      <c r="O1226" t="b">
        <f>AND(TrafficData[[#This Row],[pendingAmount]]&lt;=TrafficData[[#This Row],[totalAmount]],TrafficData[[#This Row],[disposedAmount]]&lt;=TrafficData[[#This Row],[totalAmount]])</f>
        <v>1</v>
      </c>
      <c r="P1226" t="b">
        <f>AND(TrafficData[[#This Row],[pendingCourt]]&lt;=TrafficData[[#This Row],[totalCourt]],TrafficData[[#This Row],[disposedCourt]]&lt;=TrafficData[[#This Row],[totalCourt]])</f>
        <v>1</v>
      </c>
    </row>
    <row r="1227" spans="1:16">
      <c r="A1227" s="1">
        <v>43230</v>
      </c>
      <c r="B1227">
        <v>10950</v>
      </c>
      <c r="C1227">
        <v>7828</v>
      </c>
      <c r="D1227">
        <v>3122</v>
      </c>
      <c r="E1227">
        <v>3719730</v>
      </c>
      <c r="F1227">
        <v>15463417</v>
      </c>
      <c r="G1227">
        <v>19183147</v>
      </c>
      <c r="H1227">
        <v>1905</v>
      </c>
      <c r="I1227">
        <v>395</v>
      </c>
      <c r="J1227">
        <v>2300</v>
      </c>
      <c r="K1227" t="b">
        <f>TrafficData[[#This Row],[disposedChallan]]+TrafficData[[#This Row],[pendingChallan]]=TrafficData[[#This Row],[totalChallan]]</f>
        <v>1</v>
      </c>
      <c r="L1227" t="b">
        <f>TrafficData[[#This Row],[pendingAmount]]+TrafficData[[#This Row],[disposedAmount]]=TrafficData[[#This Row],[totalAmount]]</f>
        <v>1</v>
      </c>
      <c r="M1227" t="b">
        <f>TrafficData[[#This Row],[pendingCourt]]+TrafficData[[#This Row],[disposedCourt]]=TrafficData[[#This Row],[totalCourt]]</f>
        <v>1</v>
      </c>
      <c r="N1227" t="b">
        <f>AND(TrafficData[[#This Row],[disposedChallan]]&lt;=TrafficData[[#This Row],[totalChallan]],TrafficData[[#This Row],[pendingChallan]]&lt;=TrafficData[[#This Row],[totalChallan]])</f>
        <v>1</v>
      </c>
      <c r="O1227" t="b">
        <f>AND(TrafficData[[#This Row],[pendingAmount]]&lt;=TrafficData[[#This Row],[totalAmount]],TrafficData[[#This Row],[disposedAmount]]&lt;=TrafficData[[#This Row],[totalAmount]])</f>
        <v>1</v>
      </c>
      <c r="P1227" t="b">
        <f>AND(TrafficData[[#This Row],[pendingCourt]]&lt;=TrafficData[[#This Row],[totalCourt]],TrafficData[[#This Row],[disposedCourt]]&lt;=TrafficData[[#This Row],[totalCourt]])</f>
        <v>1</v>
      </c>
    </row>
    <row r="1228" spans="1:16">
      <c r="A1228" s="1">
        <v>43231</v>
      </c>
      <c r="B1228">
        <v>11108</v>
      </c>
      <c r="C1228">
        <v>8549</v>
      </c>
      <c r="D1228">
        <v>2559</v>
      </c>
      <c r="E1228">
        <v>3480050</v>
      </c>
      <c r="F1228">
        <v>13222565</v>
      </c>
      <c r="G1228">
        <v>16702615</v>
      </c>
      <c r="H1228">
        <v>1409</v>
      </c>
      <c r="I1228">
        <v>369</v>
      </c>
      <c r="J1228">
        <v>1778</v>
      </c>
      <c r="K1228" t="b">
        <f>TrafficData[[#This Row],[disposedChallan]]+TrafficData[[#This Row],[pendingChallan]]=TrafficData[[#This Row],[totalChallan]]</f>
        <v>1</v>
      </c>
      <c r="L1228" t="b">
        <f>TrafficData[[#This Row],[pendingAmount]]+TrafficData[[#This Row],[disposedAmount]]=TrafficData[[#This Row],[totalAmount]]</f>
        <v>1</v>
      </c>
      <c r="M1228" t="b">
        <f>TrafficData[[#This Row],[pendingCourt]]+TrafficData[[#This Row],[disposedCourt]]=TrafficData[[#This Row],[totalCourt]]</f>
        <v>1</v>
      </c>
      <c r="N1228" t="b">
        <f>AND(TrafficData[[#This Row],[disposedChallan]]&lt;=TrafficData[[#This Row],[totalChallan]],TrafficData[[#This Row],[pendingChallan]]&lt;=TrafficData[[#This Row],[totalChallan]])</f>
        <v>1</v>
      </c>
      <c r="O1228" t="b">
        <f>AND(TrafficData[[#This Row],[pendingAmount]]&lt;=TrafficData[[#This Row],[totalAmount]],TrafficData[[#This Row],[disposedAmount]]&lt;=TrafficData[[#This Row],[totalAmount]])</f>
        <v>1</v>
      </c>
      <c r="P1228" t="b">
        <f>AND(TrafficData[[#This Row],[pendingCourt]]&lt;=TrafficData[[#This Row],[totalCourt]],TrafficData[[#This Row],[disposedCourt]]&lt;=TrafficData[[#This Row],[totalCourt]])</f>
        <v>1</v>
      </c>
    </row>
    <row r="1229" spans="1:16">
      <c r="A1229" s="1">
        <v>43232</v>
      </c>
      <c r="B1229">
        <v>10300</v>
      </c>
      <c r="C1229">
        <v>7974</v>
      </c>
      <c r="D1229">
        <v>2326</v>
      </c>
      <c r="E1229">
        <v>2495850</v>
      </c>
      <c r="F1229">
        <v>11067930</v>
      </c>
      <c r="G1229">
        <v>13563780</v>
      </c>
      <c r="H1229">
        <v>1196</v>
      </c>
      <c r="I1229">
        <v>242</v>
      </c>
      <c r="J1229">
        <v>1438</v>
      </c>
      <c r="K1229" t="b">
        <f>TrafficData[[#This Row],[disposedChallan]]+TrafficData[[#This Row],[pendingChallan]]=TrafficData[[#This Row],[totalChallan]]</f>
        <v>1</v>
      </c>
      <c r="L1229" t="b">
        <f>TrafficData[[#This Row],[pendingAmount]]+TrafficData[[#This Row],[disposedAmount]]=TrafficData[[#This Row],[totalAmount]]</f>
        <v>1</v>
      </c>
      <c r="M1229" t="b">
        <f>TrafficData[[#This Row],[pendingCourt]]+TrafficData[[#This Row],[disposedCourt]]=TrafficData[[#This Row],[totalCourt]]</f>
        <v>1</v>
      </c>
      <c r="N1229" t="b">
        <f>AND(TrafficData[[#This Row],[disposedChallan]]&lt;=TrafficData[[#This Row],[totalChallan]],TrafficData[[#This Row],[pendingChallan]]&lt;=TrafficData[[#This Row],[totalChallan]])</f>
        <v>1</v>
      </c>
      <c r="O1229" t="b">
        <f>AND(TrafficData[[#This Row],[pendingAmount]]&lt;=TrafficData[[#This Row],[totalAmount]],TrafficData[[#This Row],[disposedAmount]]&lt;=TrafficData[[#This Row],[totalAmount]])</f>
        <v>1</v>
      </c>
      <c r="P1229" t="b">
        <f>AND(TrafficData[[#This Row],[pendingCourt]]&lt;=TrafficData[[#This Row],[totalCourt]],TrafficData[[#This Row],[disposedCourt]]&lt;=TrafficData[[#This Row],[totalCourt]])</f>
        <v>1</v>
      </c>
    </row>
    <row r="1230" spans="1:16">
      <c r="A1230" s="1">
        <v>43233</v>
      </c>
      <c r="B1230">
        <v>4583</v>
      </c>
      <c r="C1230">
        <v>3594</v>
      </c>
      <c r="D1230">
        <v>989</v>
      </c>
      <c r="E1230">
        <v>955950</v>
      </c>
      <c r="F1230">
        <v>3673900</v>
      </c>
      <c r="G1230">
        <v>4629850</v>
      </c>
      <c r="H1230">
        <v>563</v>
      </c>
      <c r="I1230">
        <v>121</v>
      </c>
      <c r="J1230">
        <v>684</v>
      </c>
      <c r="K1230" t="b">
        <f>TrafficData[[#This Row],[disposedChallan]]+TrafficData[[#This Row],[pendingChallan]]=TrafficData[[#This Row],[totalChallan]]</f>
        <v>1</v>
      </c>
      <c r="L1230" t="b">
        <f>TrafficData[[#This Row],[pendingAmount]]+TrafficData[[#This Row],[disposedAmount]]=TrafficData[[#This Row],[totalAmount]]</f>
        <v>1</v>
      </c>
      <c r="M1230" t="b">
        <f>TrafficData[[#This Row],[pendingCourt]]+TrafficData[[#This Row],[disposedCourt]]=TrafficData[[#This Row],[totalCourt]]</f>
        <v>1</v>
      </c>
      <c r="N1230" t="b">
        <f>AND(TrafficData[[#This Row],[disposedChallan]]&lt;=TrafficData[[#This Row],[totalChallan]],TrafficData[[#This Row],[pendingChallan]]&lt;=TrafficData[[#This Row],[totalChallan]])</f>
        <v>1</v>
      </c>
      <c r="O1230" t="b">
        <f>AND(TrafficData[[#This Row],[pendingAmount]]&lt;=TrafficData[[#This Row],[totalAmount]],TrafficData[[#This Row],[disposedAmount]]&lt;=TrafficData[[#This Row],[totalAmount]])</f>
        <v>1</v>
      </c>
      <c r="P1230" t="b">
        <f>AND(TrafficData[[#This Row],[pendingCourt]]&lt;=TrafficData[[#This Row],[totalCourt]],TrafficData[[#This Row],[disposedCourt]]&lt;=TrafficData[[#This Row],[totalCourt]])</f>
        <v>1</v>
      </c>
    </row>
    <row r="1231" spans="1:16">
      <c r="A1231" s="1">
        <v>43234</v>
      </c>
      <c r="B1231">
        <v>9684</v>
      </c>
      <c r="C1231">
        <v>7718</v>
      </c>
      <c r="D1231">
        <v>1966</v>
      </c>
      <c r="E1231">
        <v>3417395</v>
      </c>
      <c r="F1231">
        <v>11618786</v>
      </c>
      <c r="G1231">
        <v>15036181</v>
      </c>
      <c r="H1231">
        <v>1109</v>
      </c>
      <c r="I1231">
        <v>248</v>
      </c>
      <c r="J1231">
        <v>1357</v>
      </c>
      <c r="K1231" t="b">
        <f>TrafficData[[#This Row],[disposedChallan]]+TrafficData[[#This Row],[pendingChallan]]=TrafficData[[#This Row],[totalChallan]]</f>
        <v>1</v>
      </c>
      <c r="L1231" t="b">
        <f>TrafficData[[#This Row],[pendingAmount]]+TrafficData[[#This Row],[disposedAmount]]=TrafficData[[#This Row],[totalAmount]]</f>
        <v>1</v>
      </c>
      <c r="M1231" t="b">
        <f>TrafficData[[#This Row],[pendingCourt]]+TrafficData[[#This Row],[disposedCourt]]=TrafficData[[#This Row],[totalCourt]]</f>
        <v>1</v>
      </c>
      <c r="N1231" t="b">
        <f>AND(TrafficData[[#This Row],[disposedChallan]]&lt;=TrafficData[[#This Row],[totalChallan]],TrafficData[[#This Row],[pendingChallan]]&lt;=TrafficData[[#This Row],[totalChallan]])</f>
        <v>1</v>
      </c>
      <c r="O1231" t="b">
        <f>AND(TrafficData[[#This Row],[pendingAmount]]&lt;=TrafficData[[#This Row],[totalAmount]],TrafficData[[#This Row],[disposedAmount]]&lt;=TrafficData[[#This Row],[totalAmount]])</f>
        <v>1</v>
      </c>
      <c r="P1231" t="b">
        <f>AND(TrafficData[[#This Row],[pendingCourt]]&lt;=TrafficData[[#This Row],[totalCourt]],TrafficData[[#This Row],[disposedCourt]]&lt;=TrafficData[[#This Row],[totalCourt]])</f>
        <v>1</v>
      </c>
    </row>
    <row r="1232" spans="1:16">
      <c r="A1232" s="1">
        <v>43235</v>
      </c>
      <c r="B1232">
        <v>10286</v>
      </c>
      <c r="C1232">
        <v>8338</v>
      </c>
      <c r="D1232">
        <v>1948</v>
      </c>
      <c r="E1232">
        <v>3166950</v>
      </c>
      <c r="F1232">
        <v>20229737</v>
      </c>
      <c r="G1232">
        <v>23396687</v>
      </c>
      <c r="H1232">
        <v>1196</v>
      </c>
      <c r="I1232">
        <v>292</v>
      </c>
      <c r="J1232">
        <v>1488</v>
      </c>
      <c r="K1232" t="b">
        <f>TrafficData[[#This Row],[disposedChallan]]+TrafficData[[#This Row],[pendingChallan]]=TrafficData[[#This Row],[totalChallan]]</f>
        <v>1</v>
      </c>
      <c r="L1232" t="b">
        <f>TrafficData[[#This Row],[pendingAmount]]+TrafficData[[#This Row],[disposedAmount]]=TrafficData[[#This Row],[totalAmount]]</f>
        <v>1</v>
      </c>
      <c r="M1232" t="b">
        <f>TrafficData[[#This Row],[pendingCourt]]+TrafficData[[#This Row],[disposedCourt]]=TrafficData[[#This Row],[totalCourt]]</f>
        <v>1</v>
      </c>
      <c r="N1232" t="b">
        <f>AND(TrafficData[[#This Row],[disposedChallan]]&lt;=TrafficData[[#This Row],[totalChallan]],TrafficData[[#This Row],[pendingChallan]]&lt;=TrafficData[[#This Row],[totalChallan]])</f>
        <v>1</v>
      </c>
      <c r="O1232" t="b">
        <f>AND(TrafficData[[#This Row],[pendingAmount]]&lt;=TrafficData[[#This Row],[totalAmount]],TrafficData[[#This Row],[disposedAmount]]&lt;=TrafficData[[#This Row],[totalAmount]])</f>
        <v>1</v>
      </c>
      <c r="P1232" t="b">
        <f>AND(TrafficData[[#This Row],[pendingCourt]]&lt;=TrafficData[[#This Row],[totalCourt]],TrafficData[[#This Row],[disposedCourt]]&lt;=TrafficData[[#This Row],[totalCourt]])</f>
        <v>1</v>
      </c>
    </row>
    <row r="1233" spans="1:16">
      <c r="A1233" s="1">
        <v>43236</v>
      </c>
      <c r="B1233">
        <v>16124</v>
      </c>
      <c r="C1233">
        <v>12106</v>
      </c>
      <c r="D1233">
        <v>4018</v>
      </c>
      <c r="E1233">
        <v>7853705</v>
      </c>
      <c r="F1233">
        <v>14982589</v>
      </c>
      <c r="G1233">
        <v>22836294</v>
      </c>
      <c r="H1233">
        <v>3122</v>
      </c>
      <c r="I1233">
        <v>809</v>
      </c>
      <c r="J1233">
        <v>3931</v>
      </c>
      <c r="K1233" t="b">
        <f>TrafficData[[#This Row],[disposedChallan]]+TrafficData[[#This Row],[pendingChallan]]=TrafficData[[#This Row],[totalChallan]]</f>
        <v>1</v>
      </c>
      <c r="L1233" t="b">
        <f>TrafficData[[#This Row],[pendingAmount]]+TrafficData[[#This Row],[disposedAmount]]=TrafficData[[#This Row],[totalAmount]]</f>
        <v>1</v>
      </c>
      <c r="M1233" t="b">
        <f>TrafficData[[#This Row],[pendingCourt]]+TrafficData[[#This Row],[disposedCourt]]=TrafficData[[#This Row],[totalCourt]]</f>
        <v>1</v>
      </c>
      <c r="N1233" t="b">
        <f>AND(TrafficData[[#This Row],[disposedChallan]]&lt;=TrafficData[[#This Row],[totalChallan]],TrafficData[[#This Row],[pendingChallan]]&lt;=TrafficData[[#This Row],[totalChallan]])</f>
        <v>1</v>
      </c>
      <c r="O1233" t="b">
        <f>AND(TrafficData[[#This Row],[pendingAmount]]&lt;=TrafficData[[#This Row],[totalAmount]],TrafficData[[#This Row],[disposedAmount]]&lt;=TrafficData[[#This Row],[totalAmount]])</f>
        <v>1</v>
      </c>
      <c r="P1233" t="b">
        <f>AND(TrafficData[[#This Row],[pendingCourt]]&lt;=TrafficData[[#This Row],[totalCourt]],TrafficData[[#This Row],[disposedCourt]]&lt;=TrafficData[[#This Row],[totalCourt]])</f>
        <v>1</v>
      </c>
    </row>
    <row r="1234" spans="1:16">
      <c r="A1234" s="1">
        <v>43237</v>
      </c>
      <c r="B1234">
        <v>8959</v>
      </c>
      <c r="C1234">
        <v>6899</v>
      </c>
      <c r="D1234">
        <v>2060</v>
      </c>
      <c r="E1234">
        <v>3141697</v>
      </c>
      <c r="F1234">
        <v>17021860</v>
      </c>
      <c r="G1234">
        <v>20163557</v>
      </c>
      <c r="H1234">
        <v>1390</v>
      </c>
      <c r="I1234">
        <v>306</v>
      </c>
      <c r="J1234">
        <v>1696</v>
      </c>
      <c r="K1234" t="b">
        <f>TrafficData[[#This Row],[disposedChallan]]+TrafficData[[#This Row],[pendingChallan]]=TrafficData[[#This Row],[totalChallan]]</f>
        <v>1</v>
      </c>
      <c r="L1234" t="b">
        <f>TrafficData[[#This Row],[pendingAmount]]+TrafficData[[#This Row],[disposedAmount]]=TrafficData[[#This Row],[totalAmount]]</f>
        <v>1</v>
      </c>
      <c r="M1234" t="b">
        <f>TrafficData[[#This Row],[pendingCourt]]+TrafficData[[#This Row],[disposedCourt]]=TrafficData[[#This Row],[totalCourt]]</f>
        <v>1</v>
      </c>
      <c r="N1234" t="b">
        <f>AND(TrafficData[[#This Row],[disposedChallan]]&lt;=TrafficData[[#This Row],[totalChallan]],TrafficData[[#This Row],[pendingChallan]]&lt;=TrafficData[[#This Row],[totalChallan]])</f>
        <v>1</v>
      </c>
      <c r="O1234" t="b">
        <f>AND(TrafficData[[#This Row],[pendingAmount]]&lt;=TrafficData[[#This Row],[totalAmount]],TrafficData[[#This Row],[disposedAmount]]&lt;=TrafficData[[#This Row],[totalAmount]])</f>
        <v>1</v>
      </c>
      <c r="P1234" t="b">
        <f>AND(TrafficData[[#This Row],[pendingCourt]]&lt;=TrafficData[[#This Row],[totalCourt]],TrafficData[[#This Row],[disposedCourt]]&lt;=TrafficData[[#This Row],[totalCourt]])</f>
        <v>1</v>
      </c>
    </row>
    <row r="1235" spans="1:16">
      <c r="A1235" s="1">
        <v>43238</v>
      </c>
      <c r="B1235">
        <v>8626</v>
      </c>
      <c r="C1235">
        <v>6428</v>
      </c>
      <c r="D1235">
        <v>2198</v>
      </c>
      <c r="E1235">
        <v>3465848</v>
      </c>
      <c r="F1235">
        <v>19431034</v>
      </c>
      <c r="G1235">
        <v>22896882</v>
      </c>
      <c r="H1235">
        <v>1371</v>
      </c>
      <c r="I1235">
        <v>326</v>
      </c>
      <c r="J1235">
        <v>1697</v>
      </c>
      <c r="K1235" t="b">
        <f>TrafficData[[#This Row],[disposedChallan]]+TrafficData[[#This Row],[pendingChallan]]=TrafficData[[#This Row],[totalChallan]]</f>
        <v>1</v>
      </c>
      <c r="L1235" t="b">
        <f>TrafficData[[#This Row],[pendingAmount]]+TrafficData[[#This Row],[disposedAmount]]=TrafficData[[#This Row],[totalAmount]]</f>
        <v>1</v>
      </c>
      <c r="M1235" t="b">
        <f>TrafficData[[#This Row],[pendingCourt]]+TrafficData[[#This Row],[disposedCourt]]=TrafficData[[#This Row],[totalCourt]]</f>
        <v>1</v>
      </c>
      <c r="N1235" t="b">
        <f>AND(TrafficData[[#This Row],[disposedChallan]]&lt;=TrafficData[[#This Row],[totalChallan]],TrafficData[[#This Row],[pendingChallan]]&lt;=TrafficData[[#This Row],[totalChallan]])</f>
        <v>1</v>
      </c>
      <c r="O1235" t="b">
        <f>AND(TrafficData[[#This Row],[pendingAmount]]&lt;=TrafficData[[#This Row],[totalAmount]],TrafficData[[#This Row],[disposedAmount]]&lt;=TrafficData[[#This Row],[totalAmount]])</f>
        <v>1</v>
      </c>
      <c r="P1235" t="b">
        <f>AND(TrafficData[[#This Row],[pendingCourt]]&lt;=TrafficData[[#This Row],[totalCourt]],TrafficData[[#This Row],[disposedCourt]]&lt;=TrafficData[[#This Row],[totalCourt]])</f>
        <v>1</v>
      </c>
    </row>
    <row r="1236" spans="1:16">
      <c r="A1236" s="1">
        <v>43239</v>
      </c>
      <c r="B1236">
        <v>7742</v>
      </c>
      <c r="C1236">
        <v>6009</v>
      </c>
      <c r="D1236">
        <v>1733</v>
      </c>
      <c r="E1236">
        <v>3045151</v>
      </c>
      <c r="F1236">
        <v>14397986</v>
      </c>
      <c r="G1236">
        <v>17443137</v>
      </c>
      <c r="H1236">
        <v>1112</v>
      </c>
      <c r="I1236">
        <v>213</v>
      </c>
      <c r="J1236">
        <v>1325</v>
      </c>
      <c r="K1236" t="b">
        <f>TrafficData[[#This Row],[disposedChallan]]+TrafficData[[#This Row],[pendingChallan]]=TrafficData[[#This Row],[totalChallan]]</f>
        <v>1</v>
      </c>
      <c r="L1236" t="b">
        <f>TrafficData[[#This Row],[pendingAmount]]+TrafficData[[#This Row],[disposedAmount]]=TrafficData[[#This Row],[totalAmount]]</f>
        <v>1</v>
      </c>
      <c r="M1236" t="b">
        <f>TrafficData[[#This Row],[pendingCourt]]+TrafficData[[#This Row],[disposedCourt]]=TrafficData[[#This Row],[totalCourt]]</f>
        <v>1</v>
      </c>
      <c r="N1236" t="b">
        <f>AND(TrafficData[[#This Row],[disposedChallan]]&lt;=TrafficData[[#This Row],[totalChallan]],TrafficData[[#This Row],[pendingChallan]]&lt;=TrafficData[[#This Row],[totalChallan]])</f>
        <v>1</v>
      </c>
      <c r="O1236" t="b">
        <f>AND(TrafficData[[#This Row],[pendingAmount]]&lt;=TrafficData[[#This Row],[totalAmount]],TrafficData[[#This Row],[disposedAmount]]&lt;=TrafficData[[#This Row],[totalAmount]])</f>
        <v>1</v>
      </c>
      <c r="P1236" t="b">
        <f>AND(TrafficData[[#This Row],[pendingCourt]]&lt;=TrafficData[[#This Row],[totalCourt]],TrafficData[[#This Row],[disposedCourt]]&lt;=TrafficData[[#This Row],[totalCourt]])</f>
        <v>1</v>
      </c>
    </row>
    <row r="1237" spans="1:16">
      <c r="A1237" s="1">
        <v>43240</v>
      </c>
      <c r="B1237">
        <v>5163</v>
      </c>
      <c r="C1237">
        <v>3888</v>
      </c>
      <c r="D1237">
        <v>1275</v>
      </c>
      <c r="E1237">
        <v>1710050</v>
      </c>
      <c r="F1237">
        <v>8446977</v>
      </c>
      <c r="G1237">
        <v>10157027</v>
      </c>
      <c r="H1237">
        <v>624</v>
      </c>
      <c r="I1237">
        <v>147</v>
      </c>
      <c r="J1237">
        <v>771</v>
      </c>
      <c r="K1237" t="b">
        <f>TrafficData[[#This Row],[disposedChallan]]+TrafficData[[#This Row],[pendingChallan]]=TrafficData[[#This Row],[totalChallan]]</f>
        <v>1</v>
      </c>
      <c r="L1237" t="b">
        <f>TrafficData[[#This Row],[pendingAmount]]+TrafficData[[#This Row],[disposedAmount]]=TrafficData[[#This Row],[totalAmount]]</f>
        <v>1</v>
      </c>
      <c r="M1237" t="b">
        <f>TrafficData[[#This Row],[pendingCourt]]+TrafficData[[#This Row],[disposedCourt]]=TrafficData[[#This Row],[totalCourt]]</f>
        <v>1</v>
      </c>
      <c r="N1237" t="b">
        <f>AND(TrafficData[[#This Row],[disposedChallan]]&lt;=TrafficData[[#This Row],[totalChallan]],TrafficData[[#This Row],[pendingChallan]]&lt;=TrafficData[[#This Row],[totalChallan]])</f>
        <v>1</v>
      </c>
      <c r="O1237" t="b">
        <f>AND(TrafficData[[#This Row],[pendingAmount]]&lt;=TrafficData[[#This Row],[totalAmount]],TrafficData[[#This Row],[disposedAmount]]&lt;=TrafficData[[#This Row],[totalAmount]])</f>
        <v>1</v>
      </c>
      <c r="P1237" t="b">
        <f>AND(TrafficData[[#This Row],[pendingCourt]]&lt;=TrafficData[[#This Row],[totalCourt]],TrafficData[[#This Row],[disposedCourt]]&lt;=TrafficData[[#This Row],[totalCourt]])</f>
        <v>1</v>
      </c>
    </row>
    <row r="1238" spans="1:16">
      <c r="A1238" s="1">
        <v>43241</v>
      </c>
      <c r="B1238">
        <v>9066</v>
      </c>
      <c r="C1238">
        <v>7106</v>
      </c>
      <c r="D1238">
        <v>1960</v>
      </c>
      <c r="E1238">
        <v>2833821</v>
      </c>
      <c r="F1238">
        <v>13061703</v>
      </c>
      <c r="G1238">
        <v>15895524</v>
      </c>
      <c r="H1238">
        <v>1050</v>
      </c>
      <c r="I1238">
        <v>232</v>
      </c>
      <c r="J1238">
        <v>1282</v>
      </c>
      <c r="K1238" t="b">
        <f>TrafficData[[#This Row],[disposedChallan]]+TrafficData[[#This Row],[pendingChallan]]=TrafficData[[#This Row],[totalChallan]]</f>
        <v>1</v>
      </c>
      <c r="L1238" t="b">
        <f>TrafficData[[#This Row],[pendingAmount]]+TrafficData[[#This Row],[disposedAmount]]=TrafficData[[#This Row],[totalAmount]]</f>
        <v>1</v>
      </c>
      <c r="M1238" t="b">
        <f>TrafficData[[#This Row],[pendingCourt]]+TrafficData[[#This Row],[disposedCourt]]=TrafficData[[#This Row],[totalCourt]]</f>
        <v>1</v>
      </c>
      <c r="N1238" t="b">
        <f>AND(TrafficData[[#This Row],[disposedChallan]]&lt;=TrafficData[[#This Row],[totalChallan]],TrafficData[[#This Row],[pendingChallan]]&lt;=TrafficData[[#This Row],[totalChallan]])</f>
        <v>1</v>
      </c>
      <c r="O1238" t="b">
        <f>AND(TrafficData[[#This Row],[pendingAmount]]&lt;=TrafficData[[#This Row],[totalAmount]],TrafficData[[#This Row],[disposedAmount]]&lt;=TrafficData[[#This Row],[totalAmount]])</f>
        <v>1</v>
      </c>
      <c r="P1238" t="b">
        <f>AND(TrafficData[[#This Row],[pendingCourt]]&lt;=TrafficData[[#This Row],[totalCourt]],TrafficData[[#This Row],[disposedCourt]]&lt;=TrafficData[[#This Row],[totalCourt]])</f>
        <v>1</v>
      </c>
    </row>
    <row r="1239" spans="1:16">
      <c r="A1239" s="1">
        <v>43242</v>
      </c>
      <c r="B1239">
        <v>16985</v>
      </c>
      <c r="C1239">
        <v>14790</v>
      </c>
      <c r="D1239">
        <v>2195</v>
      </c>
      <c r="E1239">
        <v>3802650</v>
      </c>
      <c r="F1239">
        <v>17138103</v>
      </c>
      <c r="G1239">
        <v>20940753</v>
      </c>
      <c r="H1239">
        <v>1332</v>
      </c>
      <c r="I1239">
        <v>279</v>
      </c>
      <c r="J1239">
        <v>1611</v>
      </c>
      <c r="K1239" t="b">
        <f>TrafficData[[#This Row],[disposedChallan]]+TrafficData[[#This Row],[pendingChallan]]=TrafficData[[#This Row],[totalChallan]]</f>
        <v>1</v>
      </c>
      <c r="L1239" t="b">
        <f>TrafficData[[#This Row],[pendingAmount]]+TrafficData[[#This Row],[disposedAmount]]=TrafficData[[#This Row],[totalAmount]]</f>
        <v>1</v>
      </c>
      <c r="M1239" t="b">
        <f>TrafficData[[#This Row],[pendingCourt]]+TrafficData[[#This Row],[disposedCourt]]=TrafficData[[#This Row],[totalCourt]]</f>
        <v>1</v>
      </c>
      <c r="N1239" t="b">
        <f>AND(TrafficData[[#This Row],[disposedChallan]]&lt;=TrafficData[[#This Row],[totalChallan]],TrafficData[[#This Row],[pendingChallan]]&lt;=TrafficData[[#This Row],[totalChallan]])</f>
        <v>1</v>
      </c>
      <c r="O1239" t="b">
        <f>AND(TrafficData[[#This Row],[pendingAmount]]&lt;=TrafficData[[#This Row],[totalAmount]],TrafficData[[#This Row],[disposedAmount]]&lt;=TrafficData[[#This Row],[totalAmount]])</f>
        <v>1</v>
      </c>
      <c r="P1239" t="b">
        <f>AND(TrafficData[[#This Row],[pendingCourt]]&lt;=TrafficData[[#This Row],[totalCourt]],TrafficData[[#This Row],[disposedCourt]]&lt;=TrafficData[[#This Row],[totalCourt]])</f>
        <v>1</v>
      </c>
    </row>
    <row r="1240" spans="1:16">
      <c r="A1240" s="1">
        <v>43243</v>
      </c>
      <c r="B1240">
        <v>15858</v>
      </c>
      <c r="C1240">
        <v>11743</v>
      </c>
      <c r="D1240">
        <v>4115</v>
      </c>
      <c r="E1240">
        <v>7946750</v>
      </c>
      <c r="F1240">
        <v>17244390</v>
      </c>
      <c r="G1240">
        <v>25191140</v>
      </c>
      <c r="H1240">
        <v>3248</v>
      </c>
      <c r="I1240">
        <v>821</v>
      </c>
      <c r="J1240">
        <v>4069</v>
      </c>
      <c r="K1240" t="b">
        <f>TrafficData[[#This Row],[disposedChallan]]+TrafficData[[#This Row],[pendingChallan]]=TrafficData[[#This Row],[totalChallan]]</f>
        <v>1</v>
      </c>
      <c r="L1240" t="b">
        <f>TrafficData[[#This Row],[pendingAmount]]+TrafficData[[#This Row],[disposedAmount]]=TrafficData[[#This Row],[totalAmount]]</f>
        <v>1</v>
      </c>
      <c r="M1240" t="b">
        <f>TrafficData[[#This Row],[pendingCourt]]+TrafficData[[#This Row],[disposedCourt]]=TrafficData[[#This Row],[totalCourt]]</f>
        <v>1</v>
      </c>
      <c r="N1240" t="b">
        <f>AND(TrafficData[[#This Row],[disposedChallan]]&lt;=TrafficData[[#This Row],[totalChallan]],TrafficData[[#This Row],[pendingChallan]]&lt;=TrafficData[[#This Row],[totalChallan]])</f>
        <v>1</v>
      </c>
      <c r="O1240" t="b">
        <f>AND(TrafficData[[#This Row],[pendingAmount]]&lt;=TrafficData[[#This Row],[totalAmount]],TrafficData[[#This Row],[disposedAmount]]&lt;=TrafficData[[#This Row],[totalAmount]])</f>
        <v>1</v>
      </c>
      <c r="P1240" t="b">
        <f>AND(TrafficData[[#This Row],[pendingCourt]]&lt;=TrafficData[[#This Row],[totalCourt]],TrafficData[[#This Row],[disposedCourt]]&lt;=TrafficData[[#This Row],[totalCourt]])</f>
        <v>1</v>
      </c>
    </row>
    <row r="1241" spans="1:16">
      <c r="A1241" s="1">
        <v>43244</v>
      </c>
      <c r="B1241">
        <v>15651</v>
      </c>
      <c r="C1241">
        <v>14024</v>
      </c>
      <c r="D1241">
        <v>1627</v>
      </c>
      <c r="E1241">
        <v>2821801</v>
      </c>
      <c r="F1241">
        <v>14332632</v>
      </c>
      <c r="G1241">
        <v>17154433</v>
      </c>
      <c r="H1241">
        <v>1028</v>
      </c>
      <c r="I1241">
        <v>201</v>
      </c>
      <c r="J1241">
        <v>1229</v>
      </c>
      <c r="K1241" t="b">
        <f>TrafficData[[#This Row],[disposedChallan]]+TrafficData[[#This Row],[pendingChallan]]=TrafficData[[#This Row],[totalChallan]]</f>
        <v>1</v>
      </c>
      <c r="L1241" t="b">
        <f>TrafficData[[#This Row],[pendingAmount]]+TrafficData[[#This Row],[disposedAmount]]=TrafficData[[#This Row],[totalAmount]]</f>
        <v>1</v>
      </c>
      <c r="M1241" t="b">
        <f>TrafficData[[#This Row],[pendingCourt]]+TrafficData[[#This Row],[disposedCourt]]=TrafficData[[#This Row],[totalCourt]]</f>
        <v>1</v>
      </c>
      <c r="N1241" t="b">
        <f>AND(TrafficData[[#This Row],[disposedChallan]]&lt;=TrafficData[[#This Row],[totalChallan]],TrafficData[[#This Row],[pendingChallan]]&lt;=TrafficData[[#This Row],[totalChallan]])</f>
        <v>1</v>
      </c>
      <c r="O1241" t="b">
        <f>AND(TrafficData[[#This Row],[pendingAmount]]&lt;=TrafficData[[#This Row],[totalAmount]],TrafficData[[#This Row],[disposedAmount]]&lt;=TrafficData[[#This Row],[totalAmount]])</f>
        <v>1</v>
      </c>
      <c r="P1241" t="b">
        <f>AND(TrafficData[[#This Row],[pendingCourt]]&lt;=TrafficData[[#This Row],[totalCourt]],TrafficData[[#This Row],[disposedCourt]]&lt;=TrafficData[[#This Row],[totalCourt]])</f>
        <v>1</v>
      </c>
    </row>
    <row r="1242" spans="1:16">
      <c r="A1242" s="1">
        <v>43245</v>
      </c>
      <c r="B1242">
        <v>7885</v>
      </c>
      <c r="C1242">
        <v>6312</v>
      </c>
      <c r="D1242">
        <v>1573</v>
      </c>
      <c r="E1242">
        <v>3337300</v>
      </c>
      <c r="F1242">
        <v>13842327</v>
      </c>
      <c r="G1242">
        <v>17179627</v>
      </c>
      <c r="H1242">
        <v>1037</v>
      </c>
      <c r="I1242">
        <v>234</v>
      </c>
      <c r="J1242">
        <v>1271</v>
      </c>
      <c r="K1242" t="b">
        <f>TrafficData[[#This Row],[disposedChallan]]+TrafficData[[#This Row],[pendingChallan]]=TrafficData[[#This Row],[totalChallan]]</f>
        <v>1</v>
      </c>
      <c r="L1242" t="b">
        <f>TrafficData[[#This Row],[pendingAmount]]+TrafficData[[#This Row],[disposedAmount]]=TrafficData[[#This Row],[totalAmount]]</f>
        <v>1</v>
      </c>
      <c r="M1242" t="b">
        <f>TrafficData[[#This Row],[pendingCourt]]+TrafficData[[#This Row],[disposedCourt]]=TrafficData[[#This Row],[totalCourt]]</f>
        <v>1</v>
      </c>
      <c r="N1242" t="b">
        <f>AND(TrafficData[[#This Row],[disposedChallan]]&lt;=TrafficData[[#This Row],[totalChallan]],TrafficData[[#This Row],[pendingChallan]]&lt;=TrafficData[[#This Row],[totalChallan]])</f>
        <v>1</v>
      </c>
      <c r="O1242" t="b">
        <f>AND(TrafficData[[#This Row],[pendingAmount]]&lt;=TrafficData[[#This Row],[totalAmount]],TrafficData[[#This Row],[disposedAmount]]&lt;=TrafficData[[#This Row],[totalAmount]])</f>
        <v>1</v>
      </c>
      <c r="P1242" t="b">
        <f>AND(TrafficData[[#This Row],[pendingCourt]]&lt;=TrafficData[[#This Row],[totalCourt]],TrafficData[[#This Row],[disposedCourt]]&lt;=TrafficData[[#This Row],[totalCourt]])</f>
        <v>1</v>
      </c>
    </row>
    <row r="1243" spans="1:16">
      <c r="A1243" s="1">
        <v>43246</v>
      </c>
      <c r="B1243">
        <v>7047</v>
      </c>
      <c r="C1243">
        <v>5919</v>
      </c>
      <c r="D1243">
        <v>1128</v>
      </c>
      <c r="E1243">
        <v>2187350</v>
      </c>
      <c r="F1243">
        <v>9858581</v>
      </c>
      <c r="G1243">
        <v>12045931</v>
      </c>
      <c r="H1243">
        <v>721</v>
      </c>
      <c r="I1243">
        <v>190</v>
      </c>
      <c r="J1243">
        <v>911</v>
      </c>
      <c r="K1243" t="b">
        <f>TrafficData[[#This Row],[disposedChallan]]+TrafficData[[#This Row],[pendingChallan]]=TrafficData[[#This Row],[totalChallan]]</f>
        <v>1</v>
      </c>
      <c r="L1243" t="b">
        <f>TrafficData[[#This Row],[pendingAmount]]+TrafficData[[#This Row],[disposedAmount]]=TrafficData[[#This Row],[totalAmount]]</f>
        <v>1</v>
      </c>
      <c r="M1243" t="b">
        <f>TrafficData[[#This Row],[pendingCourt]]+TrafficData[[#This Row],[disposedCourt]]=TrafficData[[#This Row],[totalCourt]]</f>
        <v>1</v>
      </c>
      <c r="N1243" t="b">
        <f>AND(TrafficData[[#This Row],[disposedChallan]]&lt;=TrafficData[[#This Row],[totalChallan]],TrafficData[[#This Row],[pendingChallan]]&lt;=TrafficData[[#This Row],[totalChallan]])</f>
        <v>1</v>
      </c>
      <c r="O1243" t="b">
        <f>AND(TrafficData[[#This Row],[pendingAmount]]&lt;=TrafficData[[#This Row],[totalAmount]],TrafficData[[#This Row],[disposedAmount]]&lt;=TrafficData[[#This Row],[totalAmount]])</f>
        <v>1</v>
      </c>
      <c r="P1243" t="b">
        <f>AND(TrafficData[[#This Row],[pendingCourt]]&lt;=TrafficData[[#This Row],[totalCourt]],TrafficData[[#This Row],[disposedCourt]]&lt;=TrafficData[[#This Row],[totalCourt]])</f>
        <v>1</v>
      </c>
    </row>
    <row r="1244" spans="1:16">
      <c r="A1244" s="1">
        <v>43247</v>
      </c>
      <c r="B1244">
        <v>4261</v>
      </c>
      <c r="C1244">
        <v>3404</v>
      </c>
      <c r="D1244">
        <v>857</v>
      </c>
      <c r="E1244">
        <v>1392523</v>
      </c>
      <c r="F1244">
        <v>6931680</v>
      </c>
      <c r="G1244">
        <v>8324203</v>
      </c>
      <c r="H1244">
        <v>486</v>
      </c>
      <c r="I1244">
        <v>137</v>
      </c>
      <c r="J1244">
        <v>623</v>
      </c>
      <c r="K1244" t="b">
        <f>TrafficData[[#This Row],[disposedChallan]]+TrafficData[[#This Row],[pendingChallan]]=TrafficData[[#This Row],[totalChallan]]</f>
        <v>1</v>
      </c>
      <c r="L1244" t="b">
        <f>TrafficData[[#This Row],[pendingAmount]]+TrafficData[[#This Row],[disposedAmount]]=TrafficData[[#This Row],[totalAmount]]</f>
        <v>1</v>
      </c>
      <c r="M1244" t="b">
        <f>TrafficData[[#This Row],[pendingCourt]]+TrafficData[[#This Row],[disposedCourt]]=TrafficData[[#This Row],[totalCourt]]</f>
        <v>1</v>
      </c>
      <c r="N1244" t="b">
        <f>AND(TrafficData[[#This Row],[disposedChallan]]&lt;=TrafficData[[#This Row],[totalChallan]],TrafficData[[#This Row],[pendingChallan]]&lt;=TrafficData[[#This Row],[totalChallan]])</f>
        <v>1</v>
      </c>
      <c r="O1244" t="b">
        <f>AND(TrafficData[[#This Row],[pendingAmount]]&lt;=TrafficData[[#This Row],[totalAmount]],TrafficData[[#This Row],[disposedAmount]]&lt;=TrafficData[[#This Row],[totalAmount]])</f>
        <v>1</v>
      </c>
      <c r="P1244" t="b">
        <f>AND(TrafficData[[#This Row],[pendingCourt]]&lt;=TrafficData[[#This Row],[totalCourt]],TrafficData[[#This Row],[disposedCourt]]&lt;=TrafficData[[#This Row],[totalCourt]])</f>
        <v>1</v>
      </c>
    </row>
    <row r="1245" spans="1:16">
      <c r="A1245" s="1">
        <v>43248</v>
      </c>
      <c r="B1245">
        <v>12837</v>
      </c>
      <c r="C1245">
        <v>11204</v>
      </c>
      <c r="D1245">
        <v>1633</v>
      </c>
      <c r="E1245">
        <v>2397300</v>
      </c>
      <c r="F1245">
        <v>11022033</v>
      </c>
      <c r="G1245">
        <v>13419333</v>
      </c>
      <c r="H1245">
        <v>1078</v>
      </c>
      <c r="I1245">
        <v>198</v>
      </c>
      <c r="J1245">
        <v>1276</v>
      </c>
      <c r="K1245" t="b">
        <f>TrafficData[[#This Row],[disposedChallan]]+TrafficData[[#This Row],[pendingChallan]]=TrafficData[[#This Row],[totalChallan]]</f>
        <v>1</v>
      </c>
      <c r="L1245" t="b">
        <f>TrafficData[[#This Row],[pendingAmount]]+TrafficData[[#This Row],[disposedAmount]]=TrafficData[[#This Row],[totalAmount]]</f>
        <v>1</v>
      </c>
      <c r="M1245" t="b">
        <f>TrafficData[[#This Row],[pendingCourt]]+TrafficData[[#This Row],[disposedCourt]]=TrafficData[[#This Row],[totalCourt]]</f>
        <v>1</v>
      </c>
      <c r="N1245" t="b">
        <f>AND(TrafficData[[#This Row],[disposedChallan]]&lt;=TrafficData[[#This Row],[totalChallan]],TrafficData[[#This Row],[pendingChallan]]&lt;=TrafficData[[#This Row],[totalChallan]])</f>
        <v>1</v>
      </c>
      <c r="O1245" t="b">
        <f>AND(TrafficData[[#This Row],[pendingAmount]]&lt;=TrafficData[[#This Row],[totalAmount]],TrafficData[[#This Row],[disposedAmount]]&lt;=TrafficData[[#This Row],[totalAmount]])</f>
        <v>1</v>
      </c>
      <c r="P1245" t="b">
        <f>AND(TrafficData[[#This Row],[pendingCourt]]&lt;=TrafficData[[#This Row],[totalCourt]],TrafficData[[#This Row],[disposedCourt]]&lt;=TrafficData[[#This Row],[totalCourt]])</f>
        <v>1</v>
      </c>
    </row>
    <row r="1246" spans="1:16">
      <c r="A1246" s="1">
        <v>43249</v>
      </c>
      <c r="B1246">
        <v>8953</v>
      </c>
      <c r="C1246">
        <v>6888</v>
      </c>
      <c r="D1246">
        <v>2065</v>
      </c>
      <c r="E1246">
        <v>3475000</v>
      </c>
      <c r="F1246">
        <v>18330535</v>
      </c>
      <c r="G1246">
        <v>21805535</v>
      </c>
      <c r="H1246">
        <v>1267</v>
      </c>
      <c r="I1246">
        <v>273</v>
      </c>
      <c r="J1246">
        <v>1540</v>
      </c>
      <c r="K1246" t="b">
        <f>TrafficData[[#This Row],[disposedChallan]]+TrafficData[[#This Row],[pendingChallan]]=TrafficData[[#This Row],[totalChallan]]</f>
        <v>1</v>
      </c>
      <c r="L1246" t="b">
        <f>TrafficData[[#This Row],[pendingAmount]]+TrafficData[[#This Row],[disposedAmount]]=TrafficData[[#This Row],[totalAmount]]</f>
        <v>1</v>
      </c>
      <c r="M1246" t="b">
        <f>TrafficData[[#This Row],[pendingCourt]]+TrafficData[[#This Row],[disposedCourt]]=TrafficData[[#This Row],[totalCourt]]</f>
        <v>1</v>
      </c>
      <c r="N1246" t="b">
        <f>AND(TrafficData[[#This Row],[disposedChallan]]&lt;=TrafficData[[#This Row],[totalChallan]],TrafficData[[#This Row],[pendingChallan]]&lt;=TrafficData[[#This Row],[totalChallan]])</f>
        <v>1</v>
      </c>
      <c r="O1246" t="b">
        <f>AND(TrafficData[[#This Row],[pendingAmount]]&lt;=TrafficData[[#This Row],[totalAmount]],TrafficData[[#This Row],[disposedAmount]]&lt;=TrafficData[[#This Row],[totalAmount]])</f>
        <v>1</v>
      </c>
      <c r="P1246" t="b">
        <f>AND(TrafficData[[#This Row],[pendingCourt]]&lt;=TrafficData[[#This Row],[totalCourt]],TrafficData[[#This Row],[disposedCourt]]&lt;=TrafficData[[#This Row],[totalCourt]])</f>
        <v>1</v>
      </c>
    </row>
    <row r="1247" spans="1:16">
      <c r="A1247" s="1">
        <v>43250</v>
      </c>
      <c r="B1247">
        <v>15915</v>
      </c>
      <c r="C1247">
        <v>11834</v>
      </c>
      <c r="D1247">
        <v>4081</v>
      </c>
      <c r="E1247">
        <v>7902500</v>
      </c>
      <c r="F1247">
        <v>17289045</v>
      </c>
      <c r="G1247">
        <v>25191545</v>
      </c>
      <c r="H1247">
        <v>3147</v>
      </c>
      <c r="I1247">
        <v>769</v>
      </c>
      <c r="J1247">
        <v>3916</v>
      </c>
      <c r="K1247" t="b">
        <f>TrafficData[[#This Row],[disposedChallan]]+TrafficData[[#This Row],[pendingChallan]]=TrafficData[[#This Row],[totalChallan]]</f>
        <v>1</v>
      </c>
      <c r="L1247" t="b">
        <f>TrafficData[[#This Row],[pendingAmount]]+TrafficData[[#This Row],[disposedAmount]]=TrafficData[[#This Row],[totalAmount]]</f>
        <v>1</v>
      </c>
      <c r="M1247" t="b">
        <f>TrafficData[[#This Row],[pendingCourt]]+TrafficData[[#This Row],[disposedCourt]]=TrafficData[[#This Row],[totalCourt]]</f>
        <v>1</v>
      </c>
      <c r="N1247" t="b">
        <f>AND(TrafficData[[#This Row],[disposedChallan]]&lt;=TrafficData[[#This Row],[totalChallan]],TrafficData[[#This Row],[pendingChallan]]&lt;=TrafficData[[#This Row],[totalChallan]])</f>
        <v>1</v>
      </c>
      <c r="O1247" t="b">
        <f>AND(TrafficData[[#This Row],[pendingAmount]]&lt;=TrafficData[[#This Row],[totalAmount]],TrafficData[[#This Row],[disposedAmount]]&lt;=TrafficData[[#This Row],[totalAmount]])</f>
        <v>1</v>
      </c>
      <c r="P1247" t="b">
        <f>AND(TrafficData[[#This Row],[pendingCourt]]&lt;=TrafficData[[#This Row],[totalCourt]],TrafficData[[#This Row],[disposedCourt]]&lt;=TrafficData[[#This Row],[totalCourt]])</f>
        <v>1</v>
      </c>
    </row>
    <row r="1248" spans="1:16">
      <c r="A1248" s="1">
        <v>43251</v>
      </c>
      <c r="B1248">
        <v>14882</v>
      </c>
      <c r="C1248">
        <v>13060</v>
      </c>
      <c r="D1248">
        <v>1822</v>
      </c>
      <c r="E1248">
        <v>3240140</v>
      </c>
      <c r="F1248">
        <v>13495652</v>
      </c>
      <c r="G1248">
        <v>16735792</v>
      </c>
      <c r="H1248">
        <v>1146</v>
      </c>
      <c r="I1248">
        <v>227</v>
      </c>
      <c r="J1248">
        <v>1373</v>
      </c>
      <c r="K1248" t="b">
        <f>TrafficData[[#This Row],[disposedChallan]]+TrafficData[[#This Row],[pendingChallan]]=TrafficData[[#This Row],[totalChallan]]</f>
        <v>1</v>
      </c>
      <c r="L1248" t="b">
        <f>TrafficData[[#This Row],[pendingAmount]]+TrafficData[[#This Row],[disposedAmount]]=TrafficData[[#This Row],[totalAmount]]</f>
        <v>1</v>
      </c>
      <c r="M1248" t="b">
        <f>TrafficData[[#This Row],[pendingCourt]]+TrafficData[[#This Row],[disposedCourt]]=TrafficData[[#This Row],[totalCourt]]</f>
        <v>1</v>
      </c>
      <c r="N1248" t="b">
        <f>AND(TrafficData[[#This Row],[disposedChallan]]&lt;=TrafficData[[#This Row],[totalChallan]],TrafficData[[#This Row],[pendingChallan]]&lt;=TrafficData[[#This Row],[totalChallan]])</f>
        <v>1</v>
      </c>
      <c r="O1248" t="b">
        <f>AND(TrafficData[[#This Row],[pendingAmount]]&lt;=TrafficData[[#This Row],[totalAmount]],TrafficData[[#This Row],[disposedAmount]]&lt;=TrafficData[[#This Row],[totalAmount]])</f>
        <v>1</v>
      </c>
      <c r="P1248" t="b">
        <f>AND(TrafficData[[#This Row],[pendingCourt]]&lt;=TrafficData[[#This Row],[totalCourt]],TrafficData[[#This Row],[disposedCourt]]&lt;=TrafficData[[#This Row],[totalCourt]])</f>
        <v>1</v>
      </c>
    </row>
    <row r="1249" spans="1:16">
      <c r="A1249" s="1">
        <v>43252</v>
      </c>
      <c r="B1249">
        <v>8033</v>
      </c>
      <c r="C1249">
        <v>6619</v>
      </c>
      <c r="D1249">
        <v>1414</v>
      </c>
      <c r="E1249">
        <v>2616955</v>
      </c>
      <c r="F1249">
        <v>14469340</v>
      </c>
      <c r="G1249">
        <v>17086295</v>
      </c>
      <c r="H1249">
        <v>828</v>
      </c>
      <c r="I1249">
        <v>213</v>
      </c>
      <c r="J1249">
        <v>1041</v>
      </c>
      <c r="K1249" t="b">
        <f>TrafficData[[#This Row],[disposedChallan]]+TrafficData[[#This Row],[pendingChallan]]=TrafficData[[#This Row],[totalChallan]]</f>
        <v>1</v>
      </c>
      <c r="L1249" t="b">
        <f>TrafficData[[#This Row],[pendingAmount]]+TrafficData[[#This Row],[disposedAmount]]=TrafficData[[#This Row],[totalAmount]]</f>
        <v>1</v>
      </c>
      <c r="M1249" t="b">
        <f>TrafficData[[#This Row],[pendingCourt]]+TrafficData[[#This Row],[disposedCourt]]=TrafficData[[#This Row],[totalCourt]]</f>
        <v>1</v>
      </c>
      <c r="N1249" t="b">
        <f>AND(TrafficData[[#This Row],[disposedChallan]]&lt;=TrafficData[[#This Row],[totalChallan]],TrafficData[[#This Row],[pendingChallan]]&lt;=TrafficData[[#This Row],[totalChallan]])</f>
        <v>1</v>
      </c>
      <c r="O1249" t="b">
        <f>AND(TrafficData[[#This Row],[pendingAmount]]&lt;=TrafficData[[#This Row],[totalAmount]],TrafficData[[#This Row],[disposedAmount]]&lt;=TrafficData[[#This Row],[totalAmount]])</f>
        <v>1</v>
      </c>
      <c r="P1249" t="b">
        <f>AND(TrafficData[[#This Row],[pendingCourt]]&lt;=TrafficData[[#This Row],[totalCourt]],TrafficData[[#This Row],[disposedCourt]]&lt;=TrafficData[[#This Row],[totalCourt]])</f>
        <v>1</v>
      </c>
    </row>
    <row r="1250" spans="1:16">
      <c r="A1250" s="1">
        <v>43253</v>
      </c>
      <c r="B1250">
        <v>8209</v>
      </c>
      <c r="C1250">
        <v>6738</v>
      </c>
      <c r="D1250">
        <v>1471</v>
      </c>
      <c r="E1250">
        <v>3039663</v>
      </c>
      <c r="F1250">
        <v>14316813</v>
      </c>
      <c r="G1250">
        <v>17356476</v>
      </c>
      <c r="H1250">
        <v>918</v>
      </c>
      <c r="I1250">
        <v>224</v>
      </c>
      <c r="J1250">
        <v>1142</v>
      </c>
      <c r="K1250" t="b">
        <f>TrafficData[[#This Row],[disposedChallan]]+TrafficData[[#This Row],[pendingChallan]]=TrafficData[[#This Row],[totalChallan]]</f>
        <v>1</v>
      </c>
      <c r="L1250" t="b">
        <f>TrafficData[[#This Row],[pendingAmount]]+TrafficData[[#This Row],[disposedAmount]]=TrafficData[[#This Row],[totalAmount]]</f>
        <v>1</v>
      </c>
      <c r="M1250" t="b">
        <f>TrafficData[[#This Row],[pendingCourt]]+TrafficData[[#This Row],[disposedCourt]]=TrafficData[[#This Row],[totalCourt]]</f>
        <v>1</v>
      </c>
      <c r="N1250" t="b">
        <f>AND(TrafficData[[#This Row],[disposedChallan]]&lt;=TrafficData[[#This Row],[totalChallan]],TrafficData[[#This Row],[pendingChallan]]&lt;=TrafficData[[#This Row],[totalChallan]])</f>
        <v>1</v>
      </c>
      <c r="O1250" t="b">
        <f>AND(TrafficData[[#This Row],[pendingAmount]]&lt;=TrafficData[[#This Row],[totalAmount]],TrafficData[[#This Row],[disposedAmount]]&lt;=TrafficData[[#This Row],[totalAmount]])</f>
        <v>1</v>
      </c>
      <c r="P1250" t="b">
        <f>AND(TrafficData[[#This Row],[pendingCourt]]&lt;=TrafficData[[#This Row],[totalCourt]],TrafficData[[#This Row],[disposedCourt]]&lt;=TrafficData[[#This Row],[totalCourt]])</f>
        <v>1</v>
      </c>
    </row>
    <row r="1251" spans="1:16">
      <c r="A1251" s="1">
        <v>43254</v>
      </c>
      <c r="B1251">
        <v>5030</v>
      </c>
      <c r="C1251">
        <v>4059</v>
      </c>
      <c r="D1251">
        <v>971</v>
      </c>
      <c r="E1251">
        <v>4545260</v>
      </c>
      <c r="F1251">
        <v>10597071</v>
      </c>
      <c r="G1251">
        <v>15142331</v>
      </c>
      <c r="H1251">
        <v>667</v>
      </c>
      <c r="I1251">
        <v>103</v>
      </c>
      <c r="J1251">
        <v>770</v>
      </c>
      <c r="K1251" t="b">
        <f>TrafficData[[#This Row],[disposedChallan]]+TrafficData[[#This Row],[pendingChallan]]=TrafficData[[#This Row],[totalChallan]]</f>
        <v>1</v>
      </c>
      <c r="L1251" t="b">
        <f>TrafficData[[#This Row],[pendingAmount]]+TrafficData[[#This Row],[disposedAmount]]=TrafficData[[#This Row],[totalAmount]]</f>
        <v>1</v>
      </c>
      <c r="M1251" t="b">
        <f>TrafficData[[#This Row],[pendingCourt]]+TrafficData[[#This Row],[disposedCourt]]=TrafficData[[#This Row],[totalCourt]]</f>
        <v>1</v>
      </c>
      <c r="N1251" t="b">
        <f>AND(TrafficData[[#This Row],[disposedChallan]]&lt;=TrafficData[[#This Row],[totalChallan]],TrafficData[[#This Row],[pendingChallan]]&lt;=TrafficData[[#This Row],[totalChallan]])</f>
        <v>1</v>
      </c>
      <c r="O1251" t="b">
        <f>AND(TrafficData[[#This Row],[pendingAmount]]&lt;=TrafficData[[#This Row],[totalAmount]],TrafficData[[#This Row],[disposedAmount]]&lt;=TrafficData[[#This Row],[totalAmount]])</f>
        <v>1</v>
      </c>
      <c r="P1251" t="b">
        <f>AND(TrafficData[[#This Row],[pendingCourt]]&lt;=TrafficData[[#This Row],[totalCourt]],TrafficData[[#This Row],[disposedCourt]]&lt;=TrafficData[[#This Row],[totalCourt]])</f>
        <v>1</v>
      </c>
    </row>
    <row r="1252" spans="1:16">
      <c r="A1252" s="1">
        <v>43255</v>
      </c>
      <c r="B1252">
        <v>8532</v>
      </c>
      <c r="C1252">
        <v>6936</v>
      </c>
      <c r="D1252">
        <v>1596</v>
      </c>
      <c r="E1252">
        <v>2591355</v>
      </c>
      <c r="F1252">
        <v>12346330</v>
      </c>
      <c r="G1252">
        <v>14937685</v>
      </c>
      <c r="H1252">
        <v>755</v>
      </c>
      <c r="I1252">
        <v>261</v>
      </c>
      <c r="J1252">
        <v>1016</v>
      </c>
      <c r="K1252" t="b">
        <f>TrafficData[[#This Row],[disposedChallan]]+TrafficData[[#This Row],[pendingChallan]]=TrafficData[[#This Row],[totalChallan]]</f>
        <v>1</v>
      </c>
      <c r="L1252" t="b">
        <f>TrafficData[[#This Row],[pendingAmount]]+TrafficData[[#This Row],[disposedAmount]]=TrafficData[[#This Row],[totalAmount]]</f>
        <v>1</v>
      </c>
      <c r="M1252" t="b">
        <f>TrafficData[[#This Row],[pendingCourt]]+TrafficData[[#This Row],[disposedCourt]]=TrafficData[[#This Row],[totalCourt]]</f>
        <v>1</v>
      </c>
      <c r="N1252" t="b">
        <f>AND(TrafficData[[#This Row],[disposedChallan]]&lt;=TrafficData[[#This Row],[totalChallan]],TrafficData[[#This Row],[pendingChallan]]&lt;=TrafficData[[#This Row],[totalChallan]])</f>
        <v>1</v>
      </c>
      <c r="O1252" t="b">
        <f>AND(TrafficData[[#This Row],[pendingAmount]]&lt;=TrafficData[[#This Row],[totalAmount]],TrafficData[[#This Row],[disposedAmount]]&lt;=TrafficData[[#This Row],[totalAmount]])</f>
        <v>1</v>
      </c>
      <c r="P1252" t="b">
        <f>AND(TrafficData[[#This Row],[pendingCourt]]&lt;=TrafficData[[#This Row],[totalCourt]],TrafficData[[#This Row],[disposedCourt]]&lt;=TrafficData[[#This Row],[totalCourt]])</f>
        <v>1</v>
      </c>
    </row>
    <row r="1253" spans="1:16">
      <c r="A1253" s="1">
        <v>43256</v>
      </c>
      <c r="B1253">
        <v>9533</v>
      </c>
      <c r="C1253">
        <v>7859</v>
      </c>
      <c r="D1253">
        <v>1674</v>
      </c>
      <c r="E1253">
        <v>3548597</v>
      </c>
      <c r="F1253">
        <v>19775707</v>
      </c>
      <c r="G1253">
        <v>23324304</v>
      </c>
      <c r="H1253">
        <v>828</v>
      </c>
      <c r="I1253">
        <v>292</v>
      </c>
      <c r="J1253">
        <v>1120</v>
      </c>
      <c r="K1253" t="b">
        <f>TrafficData[[#This Row],[disposedChallan]]+TrafficData[[#This Row],[pendingChallan]]=TrafficData[[#This Row],[totalChallan]]</f>
        <v>1</v>
      </c>
      <c r="L1253" t="b">
        <f>TrafficData[[#This Row],[pendingAmount]]+TrafficData[[#This Row],[disposedAmount]]=TrafficData[[#This Row],[totalAmount]]</f>
        <v>1</v>
      </c>
      <c r="M1253" t="b">
        <f>TrafficData[[#This Row],[pendingCourt]]+TrafficData[[#This Row],[disposedCourt]]=TrafficData[[#This Row],[totalCourt]]</f>
        <v>1</v>
      </c>
      <c r="N1253" t="b">
        <f>AND(TrafficData[[#This Row],[disposedChallan]]&lt;=TrafficData[[#This Row],[totalChallan]],TrafficData[[#This Row],[pendingChallan]]&lt;=TrafficData[[#This Row],[totalChallan]])</f>
        <v>1</v>
      </c>
      <c r="O1253" t="b">
        <f>AND(TrafficData[[#This Row],[pendingAmount]]&lt;=TrafficData[[#This Row],[totalAmount]],TrafficData[[#This Row],[disposedAmount]]&lt;=TrafficData[[#This Row],[totalAmount]])</f>
        <v>1</v>
      </c>
      <c r="P1253" t="b">
        <f>AND(TrafficData[[#This Row],[pendingCourt]]&lt;=TrafficData[[#This Row],[totalCourt]],TrafficData[[#This Row],[disposedCourt]]&lt;=TrafficData[[#This Row],[totalCourt]])</f>
        <v>1</v>
      </c>
    </row>
    <row r="1254" spans="1:16">
      <c r="A1254" s="1">
        <v>43257</v>
      </c>
      <c r="B1254">
        <v>16923</v>
      </c>
      <c r="C1254">
        <v>13049</v>
      </c>
      <c r="D1254">
        <v>3874</v>
      </c>
      <c r="E1254">
        <v>8682100</v>
      </c>
      <c r="F1254">
        <v>23407483</v>
      </c>
      <c r="G1254">
        <v>32089583</v>
      </c>
      <c r="H1254">
        <v>2725</v>
      </c>
      <c r="I1254">
        <v>949</v>
      </c>
      <c r="J1254">
        <v>3674</v>
      </c>
      <c r="K1254" t="b">
        <f>TrafficData[[#This Row],[disposedChallan]]+TrafficData[[#This Row],[pendingChallan]]=TrafficData[[#This Row],[totalChallan]]</f>
        <v>1</v>
      </c>
      <c r="L1254" t="b">
        <f>TrafficData[[#This Row],[pendingAmount]]+TrafficData[[#This Row],[disposedAmount]]=TrafficData[[#This Row],[totalAmount]]</f>
        <v>1</v>
      </c>
      <c r="M1254" t="b">
        <f>TrafficData[[#This Row],[pendingCourt]]+TrafficData[[#This Row],[disposedCourt]]=TrafficData[[#This Row],[totalCourt]]</f>
        <v>1</v>
      </c>
      <c r="N1254" t="b">
        <f>AND(TrafficData[[#This Row],[disposedChallan]]&lt;=TrafficData[[#This Row],[totalChallan]],TrafficData[[#This Row],[pendingChallan]]&lt;=TrafficData[[#This Row],[totalChallan]])</f>
        <v>1</v>
      </c>
      <c r="O1254" t="b">
        <f>AND(TrafficData[[#This Row],[pendingAmount]]&lt;=TrafficData[[#This Row],[totalAmount]],TrafficData[[#This Row],[disposedAmount]]&lt;=TrafficData[[#This Row],[totalAmount]])</f>
        <v>1</v>
      </c>
      <c r="P1254" t="b">
        <f>AND(TrafficData[[#This Row],[pendingCourt]]&lt;=TrafficData[[#This Row],[totalCourt]],TrafficData[[#This Row],[disposedCourt]]&lt;=TrafficData[[#This Row],[totalCourt]])</f>
        <v>1</v>
      </c>
    </row>
    <row r="1255" spans="1:16">
      <c r="A1255" s="1">
        <v>43258</v>
      </c>
      <c r="B1255">
        <v>18652</v>
      </c>
      <c r="C1255">
        <v>16740</v>
      </c>
      <c r="D1255">
        <v>1912</v>
      </c>
      <c r="E1255">
        <v>4093473</v>
      </c>
      <c r="F1255">
        <v>22562072</v>
      </c>
      <c r="G1255">
        <v>26655545</v>
      </c>
      <c r="H1255">
        <v>1148</v>
      </c>
      <c r="I1255">
        <v>347</v>
      </c>
      <c r="J1255">
        <v>1495</v>
      </c>
      <c r="K1255" t="b">
        <f>TrafficData[[#This Row],[disposedChallan]]+TrafficData[[#This Row],[pendingChallan]]=TrafficData[[#This Row],[totalChallan]]</f>
        <v>1</v>
      </c>
      <c r="L1255" t="b">
        <f>TrafficData[[#This Row],[pendingAmount]]+TrafficData[[#This Row],[disposedAmount]]=TrafficData[[#This Row],[totalAmount]]</f>
        <v>1</v>
      </c>
      <c r="M1255" t="b">
        <f>TrafficData[[#This Row],[pendingCourt]]+TrafficData[[#This Row],[disposedCourt]]=TrafficData[[#This Row],[totalCourt]]</f>
        <v>1</v>
      </c>
      <c r="N1255" t="b">
        <f>AND(TrafficData[[#This Row],[disposedChallan]]&lt;=TrafficData[[#This Row],[totalChallan]],TrafficData[[#This Row],[pendingChallan]]&lt;=TrafficData[[#This Row],[totalChallan]])</f>
        <v>1</v>
      </c>
      <c r="O1255" t="b">
        <f>AND(TrafficData[[#This Row],[pendingAmount]]&lt;=TrafficData[[#This Row],[totalAmount]],TrafficData[[#This Row],[disposedAmount]]&lt;=TrafficData[[#This Row],[totalAmount]])</f>
        <v>1</v>
      </c>
      <c r="P1255" t="b">
        <f>AND(TrafficData[[#This Row],[pendingCourt]]&lt;=TrafficData[[#This Row],[totalCourt]],TrafficData[[#This Row],[disposedCourt]]&lt;=TrafficData[[#This Row],[totalCourt]])</f>
        <v>1</v>
      </c>
    </row>
    <row r="1256" spans="1:16">
      <c r="A1256" s="1">
        <v>43259</v>
      </c>
      <c r="B1256">
        <v>9940</v>
      </c>
      <c r="C1256">
        <v>8448</v>
      </c>
      <c r="D1256">
        <v>1492</v>
      </c>
      <c r="E1256">
        <v>3141865</v>
      </c>
      <c r="F1256">
        <v>21503300</v>
      </c>
      <c r="G1256">
        <v>24645165</v>
      </c>
      <c r="H1256">
        <v>826</v>
      </c>
      <c r="I1256">
        <v>342</v>
      </c>
      <c r="J1256">
        <v>1168</v>
      </c>
      <c r="K1256" t="b">
        <f>TrafficData[[#This Row],[disposedChallan]]+TrafficData[[#This Row],[pendingChallan]]=TrafficData[[#This Row],[totalChallan]]</f>
        <v>1</v>
      </c>
      <c r="L1256" t="b">
        <f>TrafficData[[#This Row],[pendingAmount]]+TrafficData[[#This Row],[disposedAmount]]=TrafficData[[#This Row],[totalAmount]]</f>
        <v>1</v>
      </c>
      <c r="M1256" t="b">
        <f>TrafficData[[#This Row],[pendingCourt]]+TrafficData[[#This Row],[disposedCourt]]=TrafficData[[#This Row],[totalCourt]]</f>
        <v>1</v>
      </c>
      <c r="N1256" t="b">
        <f>AND(TrafficData[[#This Row],[disposedChallan]]&lt;=TrafficData[[#This Row],[totalChallan]],TrafficData[[#This Row],[pendingChallan]]&lt;=TrafficData[[#This Row],[totalChallan]])</f>
        <v>1</v>
      </c>
      <c r="O1256" t="b">
        <f>AND(TrafficData[[#This Row],[pendingAmount]]&lt;=TrafficData[[#This Row],[totalAmount]],TrafficData[[#This Row],[disposedAmount]]&lt;=TrafficData[[#This Row],[totalAmount]])</f>
        <v>1</v>
      </c>
      <c r="P1256" t="b">
        <f>AND(TrafficData[[#This Row],[pendingCourt]]&lt;=TrafficData[[#This Row],[totalCourt]],TrafficData[[#This Row],[disposedCourt]]&lt;=TrafficData[[#This Row],[totalCourt]])</f>
        <v>1</v>
      </c>
    </row>
    <row r="1257" spans="1:16">
      <c r="A1257" s="1">
        <v>43260</v>
      </c>
      <c r="B1257">
        <v>8746</v>
      </c>
      <c r="C1257">
        <v>7562</v>
      </c>
      <c r="D1257">
        <v>1184</v>
      </c>
      <c r="E1257">
        <v>2963450</v>
      </c>
      <c r="F1257">
        <v>18340695</v>
      </c>
      <c r="G1257">
        <v>21304145</v>
      </c>
      <c r="H1257">
        <v>675</v>
      </c>
      <c r="I1257">
        <v>355</v>
      </c>
      <c r="J1257">
        <v>1030</v>
      </c>
      <c r="K1257" t="b">
        <f>TrafficData[[#This Row],[disposedChallan]]+TrafficData[[#This Row],[pendingChallan]]=TrafficData[[#This Row],[totalChallan]]</f>
        <v>1</v>
      </c>
      <c r="L1257" t="b">
        <f>TrafficData[[#This Row],[pendingAmount]]+TrafficData[[#This Row],[disposedAmount]]=TrafficData[[#This Row],[totalAmount]]</f>
        <v>1</v>
      </c>
      <c r="M1257" t="b">
        <f>TrafficData[[#This Row],[pendingCourt]]+TrafficData[[#This Row],[disposedCourt]]=TrafficData[[#This Row],[totalCourt]]</f>
        <v>1</v>
      </c>
      <c r="N1257" t="b">
        <f>AND(TrafficData[[#This Row],[disposedChallan]]&lt;=TrafficData[[#This Row],[totalChallan]],TrafficData[[#This Row],[pendingChallan]]&lt;=TrafficData[[#This Row],[totalChallan]])</f>
        <v>1</v>
      </c>
      <c r="O1257" t="b">
        <f>AND(TrafficData[[#This Row],[pendingAmount]]&lt;=TrafficData[[#This Row],[totalAmount]],TrafficData[[#This Row],[disposedAmount]]&lt;=TrafficData[[#This Row],[totalAmount]])</f>
        <v>1</v>
      </c>
      <c r="P1257" t="b">
        <f>AND(TrafficData[[#This Row],[pendingCourt]]&lt;=TrafficData[[#This Row],[totalCourt]],TrafficData[[#This Row],[disposedCourt]]&lt;=TrafficData[[#This Row],[totalCourt]])</f>
        <v>1</v>
      </c>
    </row>
    <row r="1258" spans="1:16">
      <c r="A1258" s="1">
        <v>43261</v>
      </c>
      <c r="B1258">
        <v>6725</v>
      </c>
      <c r="C1258">
        <v>5865</v>
      </c>
      <c r="D1258">
        <v>860</v>
      </c>
      <c r="E1258">
        <v>1740010</v>
      </c>
      <c r="F1258">
        <v>7303796</v>
      </c>
      <c r="G1258">
        <v>9043806</v>
      </c>
      <c r="H1258">
        <v>433</v>
      </c>
      <c r="I1258">
        <v>154</v>
      </c>
      <c r="J1258">
        <v>587</v>
      </c>
      <c r="K1258" t="b">
        <f>TrafficData[[#This Row],[disposedChallan]]+TrafficData[[#This Row],[pendingChallan]]=TrafficData[[#This Row],[totalChallan]]</f>
        <v>1</v>
      </c>
      <c r="L1258" t="b">
        <f>TrafficData[[#This Row],[pendingAmount]]+TrafficData[[#This Row],[disposedAmount]]=TrafficData[[#This Row],[totalAmount]]</f>
        <v>1</v>
      </c>
      <c r="M1258" t="b">
        <f>TrafficData[[#This Row],[pendingCourt]]+TrafficData[[#This Row],[disposedCourt]]=TrafficData[[#This Row],[totalCourt]]</f>
        <v>1</v>
      </c>
      <c r="N1258" t="b">
        <f>AND(TrafficData[[#This Row],[disposedChallan]]&lt;=TrafficData[[#This Row],[totalChallan]],TrafficData[[#This Row],[pendingChallan]]&lt;=TrafficData[[#This Row],[totalChallan]])</f>
        <v>1</v>
      </c>
      <c r="O1258" t="b">
        <f>AND(TrafficData[[#This Row],[pendingAmount]]&lt;=TrafficData[[#This Row],[totalAmount]],TrafficData[[#This Row],[disposedAmount]]&lt;=TrafficData[[#This Row],[totalAmount]])</f>
        <v>1</v>
      </c>
      <c r="P1258" t="b">
        <f>AND(TrafficData[[#This Row],[pendingCourt]]&lt;=TrafficData[[#This Row],[totalCourt]],TrafficData[[#This Row],[disposedCourt]]&lt;=TrafficData[[#This Row],[totalCourt]])</f>
        <v>1</v>
      </c>
    </row>
    <row r="1259" spans="1:16">
      <c r="A1259" s="1">
        <v>43262</v>
      </c>
      <c r="B1259">
        <v>10718</v>
      </c>
      <c r="C1259">
        <v>9046</v>
      </c>
      <c r="D1259">
        <v>1672</v>
      </c>
      <c r="E1259">
        <v>3860800</v>
      </c>
      <c r="F1259">
        <v>18553073</v>
      </c>
      <c r="G1259">
        <v>22413873</v>
      </c>
      <c r="H1259">
        <v>728</v>
      </c>
      <c r="I1259">
        <v>321</v>
      </c>
      <c r="J1259">
        <v>1049</v>
      </c>
      <c r="K1259" t="b">
        <f>TrafficData[[#This Row],[disposedChallan]]+TrafficData[[#This Row],[pendingChallan]]=TrafficData[[#This Row],[totalChallan]]</f>
        <v>1</v>
      </c>
      <c r="L1259" t="b">
        <f>TrafficData[[#This Row],[pendingAmount]]+TrafficData[[#This Row],[disposedAmount]]=TrafficData[[#This Row],[totalAmount]]</f>
        <v>1</v>
      </c>
      <c r="M1259" t="b">
        <f>TrafficData[[#This Row],[pendingCourt]]+TrafficData[[#This Row],[disposedCourt]]=TrafficData[[#This Row],[totalCourt]]</f>
        <v>1</v>
      </c>
      <c r="N1259" t="b">
        <f>AND(TrafficData[[#This Row],[disposedChallan]]&lt;=TrafficData[[#This Row],[totalChallan]],TrafficData[[#This Row],[pendingChallan]]&lt;=TrafficData[[#This Row],[totalChallan]])</f>
        <v>1</v>
      </c>
      <c r="O1259" t="b">
        <f>AND(TrafficData[[#This Row],[pendingAmount]]&lt;=TrafficData[[#This Row],[totalAmount]],TrafficData[[#This Row],[disposedAmount]]&lt;=TrafficData[[#This Row],[totalAmount]])</f>
        <v>1</v>
      </c>
      <c r="P1259" t="b">
        <f>AND(TrafficData[[#This Row],[pendingCourt]]&lt;=TrafficData[[#This Row],[totalCourt]],TrafficData[[#This Row],[disposedCourt]]&lt;=TrafficData[[#This Row],[totalCourt]])</f>
        <v>1</v>
      </c>
    </row>
    <row r="1260" spans="1:16">
      <c r="A1260" s="1">
        <v>43263</v>
      </c>
      <c r="B1260">
        <v>18897</v>
      </c>
      <c r="C1260">
        <v>17025</v>
      </c>
      <c r="D1260">
        <v>1872</v>
      </c>
      <c r="E1260">
        <v>6216300</v>
      </c>
      <c r="F1260">
        <v>25358788</v>
      </c>
      <c r="G1260">
        <v>31575088</v>
      </c>
      <c r="H1260">
        <v>833</v>
      </c>
      <c r="I1260">
        <v>352</v>
      </c>
      <c r="J1260">
        <v>1185</v>
      </c>
      <c r="K1260" t="b">
        <f>TrafficData[[#This Row],[disposedChallan]]+TrafficData[[#This Row],[pendingChallan]]=TrafficData[[#This Row],[totalChallan]]</f>
        <v>1</v>
      </c>
      <c r="L1260" t="b">
        <f>TrafficData[[#This Row],[pendingAmount]]+TrafficData[[#This Row],[disposedAmount]]=TrafficData[[#This Row],[totalAmount]]</f>
        <v>1</v>
      </c>
      <c r="M1260" t="b">
        <f>TrafficData[[#This Row],[pendingCourt]]+TrafficData[[#This Row],[disposedCourt]]=TrafficData[[#This Row],[totalCourt]]</f>
        <v>1</v>
      </c>
      <c r="N1260" t="b">
        <f>AND(TrafficData[[#This Row],[disposedChallan]]&lt;=TrafficData[[#This Row],[totalChallan]],TrafficData[[#This Row],[pendingChallan]]&lt;=TrafficData[[#This Row],[totalChallan]])</f>
        <v>1</v>
      </c>
      <c r="O1260" t="b">
        <f>AND(TrafficData[[#This Row],[pendingAmount]]&lt;=TrafficData[[#This Row],[totalAmount]],TrafficData[[#This Row],[disposedAmount]]&lt;=TrafficData[[#This Row],[totalAmount]])</f>
        <v>1</v>
      </c>
      <c r="P1260" t="b">
        <f>AND(TrafficData[[#This Row],[pendingCourt]]&lt;=TrafficData[[#This Row],[totalCourt]],TrafficData[[#This Row],[disposedCourt]]&lt;=TrafficData[[#This Row],[totalCourt]])</f>
        <v>1</v>
      </c>
    </row>
    <row r="1261" spans="1:16">
      <c r="A1261" s="1">
        <v>43264</v>
      </c>
      <c r="B1261">
        <v>17223</v>
      </c>
      <c r="C1261">
        <v>13290</v>
      </c>
      <c r="D1261">
        <v>3933</v>
      </c>
      <c r="E1261">
        <v>11252225</v>
      </c>
      <c r="F1261">
        <v>24275071</v>
      </c>
      <c r="G1261">
        <v>35527296</v>
      </c>
      <c r="H1261">
        <v>2705</v>
      </c>
      <c r="I1261">
        <v>760</v>
      </c>
      <c r="J1261">
        <v>3465</v>
      </c>
      <c r="K1261" t="b">
        <f>TrafficData[[#This Row],[disposedChallan]]+TrafficData[[#This Row],[pendingChallan]]=TrafficData[[#This Row],[totalChallan]]</f>
        <v>1</v>
      </c>
      <c r="L1261" t="b">
        <f>TrafficData[[#This Row],[pendingAmount]]+TrafficData[[#This Row],[disposedAmount]]=TrafficData[[#This Row],[totalAmount]]</f>
        <v>1</v>
      </c>
      <c r="M1261" t="b">
        <f>TrafficData[[#This Row],[pendingCourt]]+TrafficData[[#This Row],[disposedCourt]]=TrafficData[[#This Row],[totalCourt]]</f>
        <v>1</v>
      </c>
      <c r="N1261" t="b">
        <f>AND(TrafficData[[#This Row],[disposedChallan]]&lt;=TrafficData[[#This Row],[totalChallan]],TrafficData[[#This Row],[pendingChallan]]&lt;=TrafficData[[#This Row],[totalChallan]])</f>
        <v>1</v>
      </c>
      <c r="O1261" t="b">
        <f>AND(TrafficData[[#This Row],[pendingAmount]]&lt;=TrafficData[[#This Row],[totalAmount]],TrafficData[[#This Row],[disposedAmount]]&lt;=TrafficData[[#This Row],[totalAmount]])</f>
        <v>1</v>
      </c>
      <c r="P1261" t="b">
        <f>AND(TrafficData[[#This Row],[pendingCourt]]&lt;=TrafficData[[#This Row],[totalCourt]],TrafficData[[#This Row],[disposedCourt]]&lt;=TrafficData[[#This Row],[totalCourt]])</f>
        <v>1</v>
      </c>
    </row>
    <row r="1262" spans="1:16">
      <c r="A1262" s="1">
        <v>43265</v>
      </c>
      <c r="B1262">
        <v>10945</v>
      </c>
      <c r="C1262">
        <v>8923</v>
      </c>
      <c r="D1262">
        <v>2022</v>
      </c>
      <c r="E1262">
        <v>9950225</v>
      </c>
      <c r="F1262">
        <v>22240028</v>
      </c>
      <c r="G1262">
        <v>32190253</v>
      </c>
      <c r="H1262">
        <v>855</v>
      </c>
      <c r="I1262">
        <v>247</v>
      </c>
      <c r="J1262">
        <v>1102</v>
      </c>
      <c r="K1262" t="b">
        <f>TrafficData[[#This Row],[disposedChallan]]+TrafficData[[#This Row],[pendingChallan]]=TrafficData[[#This Row],[totalChallan]]</f>
        <v>1</v>
      </c>
      <c r="L1262" t="b">
        <f>TrafficData[[#This Row],[pendingAmount]]+TrafficData[[#This Row],[disposedAmount]]=TrafficData[[#This Row],[totalAmount]]</f>
        <v>1</v>
      </c>
      <c r="M1262" t="b">
        <f>TrafficData[[#This Row],[pendingCourt]]+TrafficData[[#This Row],[disposedCourt]]=TrafficData[[#This Row],[totalCourt]]</f>
        <v>1</v>
      </c>
      <c r="N1262" t="b">
        <f>AND(TrafficData[[#This Row],[disposedChallan]]&lt;=TrafficData[[#This Row],[totalChallan]],TrafficData[[#This Row],[pendingChallan]]&lt;=TrafficData[[#This Row],[totalChallan]])</f>
        <v>1</v>
      </c>
      <c r="O1262" t="b">
        <f>AND(TrafficData[[#This Row],[pendingAmount]]&lt;=TrafficData[[#This Row],[totalAmount]],TrafficData[[#This Row],[disposedAmount]]&lt;=TrafficData[[#This Row],[totalAmount]])</f>
        <v>1</v>
      </c>
      <c r="P1262" t="b">
        <f>AND(TrafficData[[#This Row],[pendingCourt]]&lt;=TrafficData[[#This Row],[totalCourt]],TrafficData[[#This Row],[disposedCourt]]&lt;=TrafficData[[#This Row],[totalCourt]])</f>
        <v>1</v>
      </c>
    </row>
    <row r="1263" spans="1:16">
      <c r="A1263" s="1">
        <v>43266</v>
      </c>
      <c r="B1263">
        <v>11869</v>
      </c>
      <c r="C1263">
        <v>9789</v>
      </c>
      <c r="D1263">
        <v>2080</v>
      </c>
      <c r="E1263">
        <v>3386549</v>
      </c>
      <c r="F1263">
        <v>18505071</v>
      </c>
      <c r="G1263">
        <v>21891620</v>
      </c>
      <c r="H1263">
        <v>877</v>
      </c>
      <c r="I1263">
        <v>363</v>
      </c>
      <c r="J1263">
        <v>1240</v>
      </c>
      <c r="K1263" t="b">
        <f>TrafficData[[#This Row],[disposedChallan]]+TrafficData[[#This Row],[pendingChallan]]=TrafficData[[#This Row],[totalChallan]]</f>
        <v>1</v>
      </c>
      <c r="L1263" t="b">
        <f>TrafficData[[#This Row],[pendingAmount]]+TrafficData[[#This Row],[disposedAmount]]=TrafficData[[#This Row],[totalAmount]]</f>
        <v>1</v>
      </c>
      <c r="M1263" t="b">
        <f>TrafficData[[#This Row],[pendingCourt]]+TrafficData[[#This Row],[disposedCourt]]=TrafficData[[#This Row],[totalCourt]]</f>
        <v>1</v>
      </c>
      <c r="N1263" t="b">
        <f>AND(TrafficData[[#This Row],[disposedChallan]]&lt;=TrafficData[[#This Row],[totalChallan]],TrafficData[[#This Row],[pendingChallan]]&lt;=TrafficData[[#This Row],[totalChallan]])</f>
        <v>1</v>
      </c>
      <c r="O1263" t="b">
        <f>AND(TrafficData[[#This Row],[pendingAmount]]&lt;=TrafficData[[#This Row],[totalAmount]],TrafficData[[#This Row],[disposedAmount]]&lt;=TrafficData[[#This Row],[totalAmount]])</f>
        <v>1</v>
      </c>
      <c r="P1263" t="b">
        <f>AND(TrafficData[[#This Row],[pendingCourt]]&lt;=TrafficData[[#This Row],[totalCourt]],TrafficData[[#This Row],[disposedCourt]]&lt;=TrafficData[[#This Row],[totalCourt]])</f>
        <v>1</v>
      </c>
    </row>
    <row r="1264" spans="1:16">
      <c r="A1264" s="1">
        <v>43267</v>
      </c>
      <c r="B1264">
        <v>7670</v>
      </c>
      <c r="C1264">
        <v>6597</v>
      </c>
      <c r="D1264">
        <v>1073</v>
      </c>
      <c r="E1264">
        <v>1399200</v>
      </c>
      <c r="F1264">
        <v>7657297</v>
      </c>
      <c r="G1264">
        <v>9056497</v>
      </c>
      <c r="H1264">
        <v>628</v>
      </c>
      <c r="I1264">
        <v>179</v>
      </c>
      <c r="J1264">
        <v>807</v>
      </c>
      <c r="K1264" t="b">
        <f>TrafficData[[#This Row],[disposedChallan]]+TrafficData[[#This Row],[pendingChallan]]=TrafficData[[#This Row],[totalChallan]]</f>
        <v>1</v>
      </c>
      <c r="L1264" t="b">
        <f>TrafficData[[#This Row],[pendingAmount]]+TrafficData[[#This Row],[disposedAmount]]=TrafficData[[#This Row],[totalAmount]]</f>
        <v>1</v>
      </c>
      <c r="M1264" t="b">
        <f>TrafficData[[#This Row],[pendingCourt]]+TrafficData[[#This Row],[disposedCourt]]=TrafficData[[#This Row],[totalCourt]]</f>
        <v>1</v>
      </c>
      <c r="N1264" t="b">
        <f>AND(TrafficData[[#This Row],[disposedChallan]]&lt;=TrafficData[[#This Row],[totalChallan]],TrafficData[[#This Row],[pendingChallan]]&lt;=TrafficData[[#This Row],[totalChallan]])</f>
        <v>1</v>
      </c>
      <c r="O1264" t="b">
        <f>AND(TrafficData[[#This Row],[pendingAmount]]&lt;=TrafficData[[#This Row],[totalAmount]],TrafficData[[#This Row],[disposedAmount]]&lt;=TrafficData[[#This Row],[totalAmount]])</f>
        <v>1</v>
      </c>
      <c r="P1264" t="b">
        <f>AND(TrafficData[[#This Row],[pendingCourt]]&lt;=TrafficData[[#This Row],[totalCourt]],TrafficData[[#This Row],[disposedCourt]]&lt;=TrafficData[[#This Row],[totalCourt]])</f>
        <v>1</v>
      </c>
    </row>
    <row r="1265" spans="1:16">
      <c r="A1265" s="1">
        <v>43268</v>
      </c>
      <c r="B1265">
        <v>5822</v>
      </c>
      <c r="C1265">
        <v>4995</v>
      </c>
      <c r="D1265">
        <v>827</v>
      </c>
      <c r="E1265">
        <v>1886575</v>
      </c>
      <c r="F1265">
        <v>7981250</v>
      </c>
      <c r="G1265">
        <v>9867825</v>
      </c>
      <c r="H1265">
        <v>539</v>
      </c>
      <c r="I1265">
        <v>92</v>
      </c>
      <c r="J1265">
        <v>631</v>
      </c>
      <c r="K1265" t="b">
        <f>TrafficData[[#This Row],[disposedChallan]]+TrafficData[[#This Row],[pendingChallan]]=TrafficData[[#This Row],[totalChallan]]</f>
        <v>1</v>
      </c>
      <c r="L1265" t="b">
        <f>TrafficData[[#This Row],[pendingAmount]]+TrafficData[[#This Row],[disposedAmount]]=TrafficData[[#This Row],[totalAmount]]</f>
        <v>1</v>
      </c>
      <c r="M1265" t="b">
        <f>TrafficData[[#This Row],[pendingCourt]]+TrafficData[[#This Row],[disposedCourt]]=TrafficData[[#This Row],[totalCourt]]</f>
        <v>1</v>
      </c>
      <c r="N1265" t="b">
        <f>AND(TrafficData[[#This Row],[disposedChallan]]&lt;=TrafficData[[#This Row],[totalChallan]],TrafficData[[#This Row],[pendingChallan]]&lt;=TrafficData[[#This Row],[totalChallan]])</f>
        <v>1</v>
      </c>
      <c r="O1265" t="b">
        <f>AND(TrafficData[[#This Row],[pendingAmount]]&lt;=TrafficData[[#This Row],[totalAmount]],TrafficData[[#This Row],[disposedAmount]]&lt;=TrafficData[[#This Row],[totalAmount]])</f>
        <v>1</v>
      </c>
      <c r="P1265" t="b">
        <f>AND(TrafficData[[#This Row],[pendingCourt]]&lt;=TrafficData[[#This Row],[totalCourt]],TrafficData[[#This Row],[disposedCourt]]&lt;=TrafficData[[#This Row],[totalCourt]])</f>
        <v>1</v>
      </c>
    </row>
    <row r="1266" spans="1:16">
      <c r="A1266" s="1">
        <v>43269</v>
      </c>
      <c r="B1266">
        <v>10308</v>
      </c>
      <c r="C1266">
        <v>8635</v>
      </c>
      <c r="D1266">
        <v>1673</v>
      </c>
      <c r="E1266">
        <v>4175700</v>
      </c>
      <c r="F1266">
        <v>12210600</v>
      </c>
      <c r="G1266">
        <v>16386300</v>
      </c>
      <c r="H1266">
        <v>881</v>
      </c>
      <c r="I1266">
        <v>261</v>
      </c>
      <c r="J1266">
        <v>1142</v>
      </c>
      <c r="K1266" t="b">
        <f>TrafficData[[#This Row],[disposedChallan]]+TrafficData[[#This Row],[pendingChallan]]=TrafficData[[#This Row],[totalChallan]]</f>
        <v>1</v>
      </c>
      <c r="L1266" t="b">
        <f>TrafficData[[#This Row],[pendingAmount]]+TrafficData[[#This Row],[disposedAmount]]=TrafficData[[#This Row],[totalAmount]]</f>
        <v>1</v>
      </c>
      <c r="M1266" t="b">
        <f>TrafficData[[#This Row],[pendingCourt]]+TrafficData[[#This Row],[disposedCourt]]=TrafficData[[#This Row],[totalCourt]]</f>
        <v>1</v>
      </c>
      <c r="N1266" t="b">
        <f>AND(TrafficData[[#This Row],[disposedChallan]]&lt;=TrafficData[[#This Row],[totalChallan]],TrafficData[[#This Row],[pendingChallan]]&lt;=TrafficData[[#This Row],[totalChallan]])</f>
        <v>1</v>
      </c>
      <c r="O1266" t="b">
        <f>AND(TrafficData[[#This Row],[pendingAmount]]&lt;=TrafficData[[#This Row],[totalAmount]],TrafficData[[#This Row],[disposedAmount]]&lt;=TrafficData[[#This Row],[totalAmount]])</f>
        <v>1</v>
      </c>
      <c r="P1266" t="b">
        <f>AND(TrafficData[[#This Row],[pendingCourt]]&lt;=TrafficData[[#This Row],[totalCourt]],TrafficData[[#This Row],[disposedCourt]]&lt;=TrafficData[[#This Row],[totalCourt]])</f>
        <v>1</v>
      </c>
    </row>
    <row r="1267" spans="1:16">
      <c r="A1267" s="1">
        <v>43270</v>
      </c>
      <c r="B1267">
        <v>18124</v>
      </c>
      <c r="C1267">
        <v>16557</v>
      </c>
      <c r="D1267">
        <v>1567</v>
      </c>
      <c r="E1267">
        <v>5535475</v>
      </c>
      <c r="F1267">
        <v>23250380</v>
      </c>
      <c r="G1267">
        <v>28785855</v>
      </c>
      <c r="H1267">
        <v>806</v>
      </c>
      <c r="I1267">
        <v>279</v>
      </c>
      <c r="J1267">
        <v>1085</v>
      </c>
      <c r="K1267" t="b">
        <f>TrafficData[[#This Row],[disposedChallan]]+TrafficData[[#This Row],[pendingChallan]]=TrafficData[[#This Row],[totalChallan]]</f>
        <v>1</v>
      </c>
      <c r="L1267" t="b">
        <f>TrafficData[[#This Row],[pendingAmount]]+TrafficData[[#This Row],[disposedAmount]]=TrafficData[[#This Row],[totalAmount]]</f>
        <v>1</v>
      </c>
      <c r="M1267" t="b">
        <f>TrafficData[[#This Row],[pendingCourt]]+TrafficData[[#This Row],[disposedCourt]]=TrafficData[[#This Row],[totalCourt]]</f>
        <v>1</v>
      </c>
      <c r="N1267" t="b">
        <f>AND(TrafficData[[#This Row],[disposedChallan]]&lt;=TrafficData[[#This Row],[totalChallan]],TrafficData[[#This Row],[pendingChallan]]&lt;=TrafficData[[#This Row],[totalChallan]])</f>
        <v>1</v>
      </c>
      <c r="O1267" t="b">
        <f>AND(TrafficData[[#This Row],[pendingAmount]]&lt;=TrafficData[[#This Row],[totalAmount]],TrafficData[[#This Row],[disposedAmount]]&lt;=TrafficData[[#This Row],[totalAmount]])</f>
        <v>1</v>
      </c>
      <c r="P1267" t="b">
        <f>AND(TrafficData[[#This Row],[pendingCourt]]&lt;=TrafficData[[#This Row],[totalCourt]],TrafficData[[#This Row],[disposedCourt]]&lt;=TrafficData[[#This Row],[totalCourt]])</f>
        <v>1</v>
      </c>
    </row>
    <row r="1268" spans="1:16">
      <c r="A1268" s="1">
        <v>43271</v>
      </c>
      <c r="B1268">
        <v>16755</v>
      </c>
      <c r="C1268">
        <v>13051</v>
      </c>
      <c r="D1268">
        <v>3704</v>
      </c>
      <c r="E1268">
        <v>9145254</v>
      </c>
      <c r="F1268">
        <v>19998365</v>
      </c>
      <c r="G1268">
        <v>29143619</v>
      </c>
      <c r="H1268">
        <v>2563</v>
      </c>
      <c r="I1268">
        <v>798</v>
      </c>
      <c r="J1268">
        <v>3361</v>
      </c>
      <c r="K1268" t="b">
        <f>TrafficData[[#This Row],[disposedChallan]]+TrafficData[[#This Row],[pendingChallan]]=TrafficData[[#This Row],[totalChallan]]</f>
        <v>1</v>
      </c>
      <c r="L1268" t="b">
        <f>TrafficData[[#This Row],[pendingAmount]]+TrafficData[[#This Row],[disposedAmount]]=TrafficData[[#This Row],[totalAmount]]</f>
        <v>1</v>
      </c>
      <c r="M1268" t="b">
        <f>TrafficData[[#This Row],[pendingCourt]]+TrafficData[[#This Row],[disposedCourt]]=TrafficData[[#This Row],[totalCourt]]</f>
        <v>1</v>
      </c>
      <c r="N1268" t="b">
        <f>AND(TrafficData[[#This Row],[disposedChallan]]&lt;=TrafficData[[#This Row],[totalChallan]],TrafficData[[#This Row],[pendingChallan]]&lt;=TrafficData[[#This Row],[totalChallan]])</f>
        <v>1</v>
      </c>
      <c r="O1268" t="b">
        <f>AND(TrafficData[[#This Row],[pendingAmount]]&lt;=TrafficData[[#This Row],[totalAmount]],TrafficData[[#This Row],[disposedAmount]]&lt;=TrafficData[[#This Row],[totalAmount]])</f>
        <v>1</v>
      </c>
      <c r="P1268" t="b">
        <f>AND(TrafficData[[#This Row],[pendingCourt]]&lt;=TrafficData[[#This Row],[totalCourt]],TrafficData[[#This Row],[disposedCourt]]&lt;=TrafficData[[#This Row],[totalCourt]])</f>
        <v>1</v>
      </c>
    </row>
    <row r="1269" spans="1:16">
      <c r="A1269" s="1">
        <v>43272</v>
      </c>
      <c r="B1269">
        <v>10467</v>
      </c>
      <c r="C1269">
        <v>8408</v>
      </c>
      <c r="D1269">
        <v>2059</v>
      </c>
      <c r="E1269">
        <v>9100184</v>
      </c>
      <c r="F1269">
        <v>19468756</v>
      </c>
      <c r="G1269">
        <v>28568940</v>
      </c>
      <c r="H1269">
        <v>698</v>
      </c>
      <c r="I1269">
        <v>196</v>
      </c>
      <c r="J1269">
        <v>894</v>
      </c>
      <c r="K1269" t="b">
        <f>TrafficData[[#This Row],[disposedChallan]]+TrafficData[[#This Row],[pendingChallan]]=TrafficData[[#This Row],[totalChallan]]</f>
        <v>1</v>
      </c>
      <c r="L1269" t="b">
        <f>TrafficData[[#This Row],[pendingAmount]]+TrafficData[[#This Row],[disposedAmount]]=TrafficData[[#This Row],[totalAmount]]</f>
        <v>1</v>
      </c>
      <c r="M1269" t="b">
        <f>TrafficData[[#This Row],[pendingCourt]]+TrafficData[[#This Row],[disposedCourt]]=TrafficData[[#This Row],[totalCourt]]</f>
        <v>1</v>
      </c>
      <c r="N1269" t="b">
        <f>AND(TrafficData[[#This Row],[disposedChallan]]&lt;=TrafficData[[#This Row],[totalChallan]],TrafficData[[#This Row],[pendingChallan]]&lt;=TrafficData[[#This Row],[totalChallan]])</f>
        <v>1</v>
      </c>
      <c r="O1269" t="b">
        <f>AND(TrafficData[[#This Row],[pendingAmount]]&lt;=TrafficData[[#This Row],[totalAmount]],TrafficData[[#This Row],[disposedAmount]]&lt;=TrafficData[[#This Row],[totalAmount]])</f>
        <v>1</v>
      </c>
      <c r="P1269" t="b">
        <f>AND(TrafficData[[#This Row],[pendingCourt]]&lt;=TrafficData[[#This Row],[totalCourt]],TrafficData[[#This Row],[disposedCourt]]&lt;=TrafficData[[#This Row],[totalCourt]])</f>
        <v>1</v>
      </c>
    </row>
    <row r="1270" spans="1:16">
      <c r="A1270" s="1">
        <v>43273</v>
      </c>
      <c r="B1270">
        <v>12173</v>
      </c>
      <c r="C1270">
        <v>9203</v>
      </c>
      <c r="D1270">
        <v>2970</v>
      </c>
      <c r="E1270">
        <v>14228547</v>
      </c>
      <c r="F1270">
        <v>21433452</v>
      </c>
      <c r="G1270">
        <v>35661999</v>
      </c>
      <c r="H1270">
        <v>1020</v>
      </c>
      <c r="I1270">
        <v>336</v>
      </c>
      <c r="J1270">
        <v>1356</v>
      </c>
      <c r="K1270" t="b">
        <f>TrafficData[[#This Row],[disposedChallan]]+TrafficData[[#This Row],[pendingChallan]]=TrafficData[[#This Row],[totalChallan]]</f>
        <v>1</v>
      </c>
      <c r="L1270" t="b">
        <f>TrafficData[[#This Row],[pendingAmount]]+TrafficData[[#This Row],[disposedAmount]]=TrafficData[[#This Row],[totalAmount]]</f>
        <v>1</v>
      </c>
      <c r="M1270" t="b">
        <f>TrafficData[[#This Row],[pendingCourt]]+TrafficData[[#This Row],[disposedCourt]]=TrafficData[[#This Row],[totalCourt]]</f>
        <v>1</v>
      </c>
      <c r="N1270" t="b">
        <f>AND(TrafficData[[#This Row],[disposedChallan]]&lt;=TrafficData[[#This Row],[totalChallan]],TrafficData[[#This Row],[pendingChallan]]&lt;=TrafficData[[#This Row],[totalChallan]])</f>
        <v>1</v>
      </c>
      <c r="O1270" t="b">
        <f>AND(TrafficData[[#This Row],[pendingAmount]]&lt;=TrafficData[[#This Row],[totalAmount]],TrafficData[[#This Row],[disposedAmount]]&lt;=TrafficData[[#This Row],[totalAmount]])</f>
        <v>1</v>
      </c>
      <c r="P1270" t="b">
        <f>AND(TrafficData[[#This Row],[pendingCourt]]&lt;=TrafficData[[#This Row],[totalCourt]],TrafficData[[#This Row],[disposedCourt]]&lt;=TrafficData[[#This Row],[totalCourt]])</f>
        <v>1</v>
      </c>
    </row>
    <row r="1271" spans="1:16">
      <c r="A1271" s="1">
        <v>43274</v>
      </c>
      <c r="B1271">
        <v>10717</v>
      </c>
      <c r="C1271">
        <v>8491</v>
      </c>
      <c r="D1271">
        <v>2226</v>
      </c>
      <c r="E1271">
        <v>8665650</v>
      </c>
      <c r="F1271">
        <v>14676588</v>
      </c>
      <c r="G1271">
        <v>23342238</v>
      </c>
      <c r="H1271">
        <v>741</v>
      </c>
      <c r="I1271">
        <v>349</v>
      </c>
      <c r="J1271">
        <v>1090</v>
      </c>
      <c r="K1271" t="b">
        <f>TrafficData[[#This Row],[disposedChallan]]+TrafficData[[#This Row],[pendingChallan]]=TrafficData[[#This Row],[totalChallan]]</f>
        <v>1</v>
      </c>
      <c r="L1271" t="b">
        <f>TrafficData[[#This Row],[pendingAmount]]+TrafficData[[#This Row],[disposedAmount]]=TrafficData[[#This Row],[totalAmount]]</f>
        <v>1</v>
      </c>
      <c r="M1271" t="b">
        <f>TrafficData[[#This Row],[pendingCourt]]+TrafficData[[#This Row],[disposedCourt]]=TrafficData[[#This Row],[totalCourt]]</f>
        <v>1</v>
      </c>
      <c r="N1271" t="b">
        <f>AND(TrafficData[[#This Row],[disposedChallan]]&lt;=TrafficData[[#This Row],[totalChallan]],TrafficData[[#This Row],[pendingChallan]]&lt;=TrafficData[[#This Row],[totalChallan]])</f>
        <v>1</v>
      </c>
      <c r="O1271" t="b">
        <f>AND(TrafficData[[#This Row],[pendingAmount]]&lt;=TrafficData[[#This Row],[totalAmount]],TrafficData[[#This Row],[disposedAmount]]&lt;=TrafficData[[#This Row],[totalAmount]])</f>
        <v>1</v>
      </c>
      <c r="P1271" t="b">
        <f>AND(TrafficData[[#This Row],[pendingCourt]]&lt;=TrafficData[[#This Row],[totalCourt]],TrafficData[[#This Row],[disposedCourt]]&lt;=TrafficData[[#This Row],[totalCourt]])</f>
        <v>1</v>
      </c>
    </row>
    <row r="1272" spans="1:16">
      <c r="A1272" s="1">
        <v>43275</v>
      </c>
      <c r="B1272">
        <v>6148</v>
      </c>
      <c r="C1272">
        <v>5090</v>
      </c>
      <c r="D1272">
        <v>1058</v>
      </c>
      <c r="E1272">
        <v>2163286</v>
      </c>
      <c r="F1272">
        <v>10057549</v>
      </c>
      <c r="G1272">
        <v>12220835</v>
      </c>
      <c r="H1272">
        <v>565</v>
      </c>
      <c r="I1272">
        <v>127</v>
      </c>
      <c r="J1272">
        <v>692</v>
      </c>
      <c r="K1272" t="b">
        <f>TrafficData[[#This Row],[disposedChallan]]+TrafficData[[#This Row],[pendingChallan]]=TrafficData[[#This Row],[totalChallan]]</f>
        <v>1</v>
      </c>
      <c r="L1272" t="b">
        <f>TrafficData[[#This Row],[pendingAmount]]+TrafficData[[#This Row],[disposedAmount]]=TrafficData[[#This Row],[totalAmount]]</f>
        <v>1</v>
      </c>
      <c r="M1272" t="b">
        <f>TrafficData[[#This Row],[pendingCourt]]+TrafficData[[#This Row],[disposedCourt]]=TrafficData[[#This Row],[totalCourt]]</f>
        <v>1</v>
      </c>
      <c r="N1272" t="b">
        <f>AND(TrafficData[[#This Row],[disposedChallan]]&lt;=TrafficData[[#This Row],[totalChallan]],TrafficData[[#This Row],[pendingChallan]]&lt;=TrafficData[[#This Row],[totalChallan]])</f>
        <v>1</v>
      </c>
      <c r="O1272" t="b">
        <f>AND(TrafficData[[#This Row],[pendingAmount]]&lt;=TrafficData[[#This Row],[totalAmount]],TrafficData[[#This Row],[disposedAmount]]&lt;=TrafficData[[#This Row],[totalAmount]])</f>
        <v>1</v>
      </c>
      <c r="P1272" t="b">
        <f>AND(TrafficData[[#This Row],[pendingCourt]]&lt;=TrafficData[[#This Row],[totalCourt]],TrafficData[[#This Row],[disposedCourt]]&lt;=TrafficData[[#This Row],[totalCourt]])</f>
        <v>1</v>
      </c>
    </row>
    <row r="1273" spans="1:16">
      <c r="A1273" s="1">
        <v>43276</v>
      </c>
      <c r="B1273">
        <v>10235</v>
      </c>
      <c r="C1273">
        <v>8127</v>
      </c>
      <c r="D1273">
        <v>2108</v>
      </c>
      <c r="E1273">
        <v>9756617</v>
      </c>
      <c r="F1273">
        <v>16219141</v>
      </c>
      <c r="G1273">
        <v>25975758</v>
      </c>
      <c r="H1273">
        <v>714</v>
      </c>
      <c r="I1273">
        <v>252</v>
      </c>
      <c r="J1273">
        <v>966</v>
      </c>
      <c r="K1273" t="b">
        <f>TrafficData[[#This Row],[disposedChallan]]+TrafficData[[#This Row],[pendingChallan]]=TrafficData[[#This Row],[totalChallan]]</f>
        <v>1</v>
      </c>
      <c r="L1273" t="b">
        <f>TrafficData[[#This Row],[pendingAmount]]+TrafficData[[#This Row],[disposedAmount]]=TrafficData[[#This Row],[totalAmount]]</f>
        <v>1</v>
      </c>
      <c r="M1273" t="b">
        <f>TrafficData[[#This Row],[pendingCourt]]+TrafficData[[#This Row],[disposedCourt]]=TrafficData[[#This Row],[totalCourt]]</f>
        <v>1</v>
      </c>
      <c r="N1273" t="b">
        <f>AND(TrafficData[[#This Row],[disposedChallan]]&lt;=TrafficData[[#This Row],[totalChallan]],TrafficData[[#This Row],[pendingChallan]]&lt;=TrafficData[[#This Row],[totalChallan]])</f>
        <v>1</v>
      </c>
      <c r="O1273" t="b">
        <f>AND(TrafficData[[#This Row],[pendingAmount]]&lt;=TrafficData[[#This Row],[totalAmount]],TrafficData[[#This Row],[disposedAmount]]&lt;=TrafficData[[#This Row],[totalAmount]])</f>
        <v>1</v>
      </c>
      <c r="P1273" t="b">
        <f>AND(TrafficData[[#This Row],[pendingCourt]]&lt;=TrafficData[[#This Row],[totalCourt]],TrafficData[[#This Row],[disposedCourt]]&lt;=TrafficData[[#This Row],[totalCourt]])</f>
        <v>1</v>
      </c>
    </row>
    <row r="1274" spans="1:16">
      <c r="A1274" s="1">
        <v>43277</v>
      </c>
      <c r="B1274">
        <v>21973</v>
      </c>
      <c r="C1274">
        <v>18748</v>
      </c>
      <c r="D1274">
        <v>3225</v>
      </c>
      <c r="E1274">
        <v>27133632</v>
      </c>
      <c r="F1274">
        <v>26970437</v>
      </c>
      <c r="G1274">
        <v>54104069</v>
      </c>
      <c r="H1274">
        <v>560</v>
      </c>
      <c r="I1274">
        <v>363</v>
      </c>
      <c r="J1274">
        <v>923</v>
      </c>
      <c r="K1274" t="b">
        <f>TrafficData[[#This Row],[disposedChallan]]+TrafficData[[#This Row],[pendingChallan]]=TrafficData[[#This Row],[totalChallan]]</f>
        <v>1</v>
      </c>
      <c r="L1274" t="b">
        <f>TrafficData[[#This Row],[pendingAmount]]+TrafficData[[#This Row],[disposedAmount]]=TrafficData[[#This Row],[totalAmount]]</f>
        <v>1</v>
      </c>
      <c r="M1274" t="b">
        <f>TrafficData[[#This Row],[pendingCourt]]+TrafficData[[#This Row],[disposedCourt]]=TrafficData[[#This Row],[totalCourt]]</f>
        <v>1</v>
      </c>
      <c r="N1274" t="b">
        <f>AND(TrafficData[[#This Row],[disposedChallan]]&lt;=TrafficData[[#This Row],[totalChallan]],TrafficData[[#This Row],[pendingChallan]]&lt;=TrafficData[[#This Row],[totalChallan]])</f>
        <v>1</v>
      </c>
      <c r="O1274" t="b">
        <f>AND(TrafficData[[#This Row],[pendingAmount]]&lt;=TrafficData[[#This Row],[totalAmount]],TrafficData[[#This Row],[disposedAmount]]&lt;=TrafficData[[#This Row],[totalAmount]])</f>
        <v>1</v>
      </c>
      <c r="P1274" t="b">
        <f>AND(TrafficData[[#This Row],[pendingCourt]]&lt;=TrafficData[[#This Row],[totalCourt]],TrafficData[[#This Row],[disposedCourt]]&lt;=TrafficData[[#This Row],[totalCourt]])</f>
        <v>1</v>
      </c>
    </row>
    <row r="1275" spans="1:16">
      <c r="A1275" s="1">
        <v>43278</v>
      </c>
      <c r="B1275">
        <v>19070</v>
      </c>
      <c r="C1275">
        <v>13788</v>
      </c>
      <c r="D1275">
        <v>5282</v>
      </c>
      <c r="E1275">
        <v>41384448</v>
      </c>
      <c r="F1275">
        <v>21214766</v>
      </c>
      <c r="G1275">
        <v>62599214</v>
      </c>
      <c r="H1275">
        <v>2673</v>
      </c>
      <c r="I1275">
        <v>753</v>
      </c>
      <c r="J1275">
        <v>3426</v>
      </c>
      <c r="K1275" t="b">
        <f>TrafficData[[#This Row],[disposedChallan]]+TrafficData[[#This Row],[pendingChallan]]=TrafficData[[#This Row],[totalChallan]]</f>
        <v>1</v>
      </c>
      <c r="L1275" t="b">
        <f>TrafficData[[#This Row],[pendingAmount]]+TrafficData[[#This Row],[disposedAmount]]=TrafficData[[#This Row],[totalAmount]]</f>
        <v>1</v>
      </c>
      <c r="M1275" t="b">
        <f>TrafficData[[#This Row],[pendingCourt]]+TrafficData[[#This Row],[disposedCourt]]=TrafficData[[#This Row],[totalCourt]]</f>
        <v>1</v>
      </c>
      <c r="N1275" t="b">
        <f>AND(TrafficData[[#This Row],[disposedChallan]]&lt;=TrafficData[[#This Row],[totalChallan]],TrafficData[[#This Row],[pendingChallan]]&lt;=TrafficData[[#This Row],[totalChallan]])</f>
        <v>1</v>
      </c>
      <c r="O1275" t="b">
        <f>AND(TrafficData[[#This Row],[pendingAmount]]&lt;=TrafficData[[#This Row],[totalAmount]],TrafficData[[#This Row],[disposedAmount]]&lt;=TrafficData[[#This Row],[totalAmount]])</f>
        <v>1</v>
      </c>
      <c r="P1275" t="b">
        <f>AND(TrafficData[[#This Row],[pendingCourt]]&lt;=TrafficData[[#This Row],[totalCourt]],TrafficData[[#This Row],[disposedCourt]]&lt;=TrafficData[[#This Row],[totalCourt]])</f>
        <v>1</v>
      </c>
    </row>
    <row r="1276" spans="1:16">
      <c r="A1276" s="1">
        <v>43279</v>
      </c>
      <c r="B1276">
        <v>14284</v>
      </c>
      <c r="C1276">
        <v>9983</v>
      </c>
      <c r="D1276">
        <v>4301</v>
      </c>
      <c r="E1276">
        <v>20121948</v>
      </c>
      <c r="F1276">
        <v>20222782</v>
      </c>
      <c r="G1276">
        <v>40344730</v>
      </c>
      <c r="H1276">
        <v>700</v>
      </c>
      <c r="I1276">
        <v>314</v>
      </c>
      <c r="J1276">
        <v>1014</v>
      </c>
      <c r="K1276" t="b">
        <f>TrafficData[[#This Row],[disposedChallan]]+TrafficData[[#This Row],[pendingChallan]]=TrafficData[[#This Row],[totalChallan]]</f>
        <v>1</v>
      </c>
      <c r="L1276" t="b">
        <f>TrafficData[[#This Row],[pendingAmount]]+TrafficData[[#This Row],[disposedAmount]]=TrafficData[[#This Row],[totalAmount]]</f>
        <v>1</v>
      </c>
      <c r="M1276" t="b">
        <f>TrafficData[[#This Row],[pendingCourt]]+TrafficData[[#This Row],[disposedCourt]]=TrafficData[[#This Row],[totalCourt]]</f>
        <v>1</v>
      </c>
      <c r="N1276" t="b">
        <f>AND(TrafficData[[#This Row],[disposedChallan]]&lt;=TrafficData[[#This Row],[totalChallan]],TrafficData[[#This Row],[pendingChallan]]&lt;=TrafficData[[#This Row],[totalChallan]])</f>
        <v>1</v>
      </c>
      <c r="O1276" t="b">
        <f>AND(TrafficData[[#This Row],[pendingAmount]]&lt;=TrafficData[[#This Row],[totalAmount]],TrafficData[[#This Row],[disposedAmount]]&lt;=TrafficData[[#This Row],[totalAmount]])</f>
        <v>1</v>
      </c>
      <c r="P1276" t="b">
        <f>AND(TrafficData[[#This Row],[pendingCourt]]&lt;=TrafficData[[#This Row],[totalCourt]],TrafficData[[#This Row],[disposedCourt]]&lt;=TrafficData[[#This Row],[totalCourt]])</f>
        <v>1</v>
      </c>
    </row>
    <row r="1277" spans="1:16">
      <c r="A1277" s="1">
        <v>43280</v>
      </c>
      <c r="B1277">
        <v>13879</v>
      </c>
      <c r="C1277">
        <v>9330</v>
      </c>
      <c r="D1277">
        <v>4549</v>
      </c>
      <c r="E1277">
        <v>31142312</v>
      </c>
      <c r="F1277">
        <v>21755309</v>
      </c>
      <c r="G1277">
        <v>52897621</v>
      </c>
      <c r="H1277">
        <v>956</v>
      </c>
      <c r="I1277">
        <v>303</v>
      </c>
      <c r="J1277">
        <v>1259</v>
      </c>
      <c r="K1277" t="b">
        <f>TrafficData[[#This Row],[disposedChallan]]+TrafficData[[#This Row],[pendingChallan]]=TrafficData[[#This Row],[totalChallan]]</f>
        <v>1</v>
      </c>
      <c r="L1277" t="b">
        <f>TrafficData[[#This Row],[pendingAmount]]+TrafficData[[#This Row],[disposedAmount]]=TrafficData[[#This Row],[totalAmount]]</f>
        <v>1</v>
      </c>
      <c r="M1277" t="b">
        <f>TrafficData[[#This Row],[pendingCourt]]+TrafficData[[#This Row],[disposedCourt]]=TrafficData[[#This Row],[totalCourt]]</f>
        <v>1</v>
      </c>
      <c r="N1277" t="b">
        <f>AND(TrafficData[[#This Row],[disposedChallan]]&lt;=TrafficData[[#This Row],[totalChallan]],TrafficData[[#This Row],[pendingChallan]]&lt;=TrafficData[[#This Row],[totalChallan]])</f>
        <v>1</v>
      </c>
      <c r="O1277" t="b">
        <f>AND(TrafficData[[#This Row],[pendingAmount]]&lt;=TrafficData[[#This Row],[totalAmount]],TrafficData[[#This Row],[disposedAmount]]&lt;=TrafficData[[#This Row],[totalAmount]])</f>
        <v>1</v>
      </c>
      <c r="P1277" t="b">
        <f>AND(TrafficData[[#This Row],[pendingCourt]]&lt;=TrafficData[[#This Row],[totalCourt]],TrafficData[[#This Row],[disposedCourt]]&lt;=TrafficData[[#This Row],[totalCourt]])</f>
        <v>1</v>
      </c>
    </row>
    <row r="1278" spans="1:16">
      <c r="A1278" s="1">
        <v>43281</v>
      </c>
      <c r="B1278">
        <v>12276</v>
      </c>
      <c r="C1278">
        <v>8481</v>
      </c>
      <c r="D1278">
        <v>3795</v>
      </c>
      <c r="E1278">
        <v>18864332</v>
      </c>
      <c r="F1278">
        <v>13954689</v>
      </c>
      <c r="G1278">
        <v>32819021</v>
      </c>
      <c r="H1278">
        <v>788</v>
      </c>
      <c r="I1278">
        <v>164</v>
      </c>
      <c r="J1278">
        <v>952</v>
      </c>
      <c r="K1278" t="b">
        <f>TrafficData[[#This Row],[disposedChallan]]+TrafficData[[#This Row],[pendingChallan]]=TrafficData[[#This Row],[totalChallan]]</f>
        <v>1</v>
      </c>
      <c r="L1278" t="b">
        <f>TrafficData[[#This Row],[pendingAmount]]+TrafficData[[#This Row],[disposedAmount]]=TrafficData[[#This Row],[totalAmount]]</f>
        <v>1</v>
      </c>
      <c r="M1278" t="b">
        <f>TrafficData[[#This Row],[pendingCourt]]+TrafficData[[#This Row],[disposedCourt]]=TrafficData[[#This Row],[totalCourt]]</f>
        <v>1</v>
      </c>
      <c r="N1278" t="b">
        <f>AND(TrafficData[[#This Row],[disposedChallan]]&lt;=TrafficData[[#This Row],[totalChallan]],TrafficData[[#This Row],[pendingChallan]]&lt;=TrafficData[[#This Row],[totalChallan]])</f>
        <v>1</v>
      </c>
      <c r="O1278" t="b">
        <f>AND(TrafficData[[#This Row],[pendingAmount]]&lt;=TrafficData[[#This Row],[totalAmount]],TrafficData[[#This Row],[disposedAmount]]&lt;=TrafficData[[#This Row],[totalAmount]])</f>
        <v>1</v>
      </c>
      <c r="P1278" t="b">
        <f>AND(TrafficData[[#This Row],[pendingCourt]]&lt;=TrafficData[[#This Row],[totalCourt]],TrafficData[[#This Row],[disposedCourt]]&lt;=TrafficData[[#This Row],[totalCourt]])</f>
        <v>1</v>
      </c>
    </row>
    <row r="1279" spans="1:16">
      <c r="A1279" s="1">
        <v>43282</v>
      </c>
      <c r="B1279">
        <v>5517</v>
      </c>
      <c r="C1279">
        <v>4421</v>
      </c>
      <c r="D1279">
        <v>1096</v>
      </c>
      <c r="E1279">
        <v>3295599</v>
      </c>
      <c r="F1279">
        <v>11339452</v>
      </c>
      <c r="G1279">
        <v>14635051</v>
      </c>
      <c r="H1279">
        <v>545</v>
      </c>
      <c r="I1279">
        <v>89</v>
      </c>
      <c r="J1279">
        <v>634</v>
      </c>
      <c r="K1279" t="b">
        <f>TrafficData[[#This Row],[disposedChallan]]+TrafficData[[#This Row],[pendingChallan]]=TrafficData[[#This Row],[totalChallan]]</f>
        <v>1</v>
      </c>
      <c r="L1279" t="b">
        <f>TrafficData[[#This Row],[pendingAmount]]+TrafficData[[#This Row],[disposedAmount]]=TrafficData[[#This Row],[totalAmount]]</f>
        <v>1</v>
      </c>
      <c r="M1279" t="b">
        <f>TrafficData[[#This Row],[pendingCourt]]+TrafficData[[#This Row],[disposedCourt]]=TrafficData[[#This Row],[totalCourt]]</f>
        <v>1</v>
      </c>
      <c r="N1279" t="b">
        <f>AND(TrafficData[[#This Row],[disposedChallan]]&lt;=TrafficData[[#This Row],[totalChallan]],TrafficData[[#This Row],[pendingChallan]]&lt;=TrafficData[[#This Row],[totalChallan]])</f>
        <v>1</v>
      </c>
      <c r="O1279" t="b">
        <f>AND(TrafficData[[#This Row],[pendingAmount]]&lt;=TrafficData[[#This Row],[totalAmount]],TrafficData[[#This Row],[disposedAmount]]&lt;=TrafficData[[#This Row],[totalAmount]])</f>
        <v>1</v>
      </c>
      <c r="P1279" t="b">
        <f>AND(TrafficData[[#This Row],[pendingCourt]]&lt;=TrafficData[[#This Row],[totalCourt]],TrafficData[[#This Row],[disposedCourt]]&lt;=TrafficData[[#This Row],[totalCourt]])</f>
        <v>1</v>
      </c>
    </row>
    <row r="1280" spans="1:16">
      <c r="A1280" s="1">
        <v>43283</v>
      </c>
      <c r="B1280">
        <v>11857</v>
      </c>
      <c r="C1280">
        <v>8447</v>
      </c>
      <c r="D1280">
        <v>3410</v>
      </c>
      <c r="E1280">
        <v>15721599</v>
      </c>
      <c r="F1280">
        <v>17427521</v>
      </c>
      <c r="G1280">
        <v>33149120</v>
      </c>
      <c r="H1280">
        <v>1250</v>
      </c>
      <c r="I1280">
        <v>323</v>
      </c>
      <c r="J1280">
        <v>1573</v>
      </c>
      <c r="K1280" t="b">
        <f>TrafficData[[#This Row],[disposedChallan]]+TrafficData[[#This Row],[pendingChallan]]=TrafficData[[#This Row],[totalChallan]]</f>
        <v>1</v>
      </c>
      <c r="L1280" t="b">
        <f>TrafficData[[#This Row],[pendingAmount]]+TrafficData[[#This Row],[disposedAmount]]=TrafficData[[#This Row],[totalAmount]]</f>
        <v>1</v>
      </c>
      <c r="M1280" t="b">
        <f>TrafficData[[#This Row],[pendingCourt]]+TrafficData[[#This Row],[disposedCourt]]=TrafficData[[#This Row],[totalCourt]]</f>
        <v>1</v>
      </c>
      <c r="N1280" t="b">
        <f>AND(TrafficData[[#This Row],[disposedChallan]]&lt;=TrafficData[[#This Row],[totalChallan]],TrafficData[[#This Row],[pendingChallan]]&lt;=TrafficData[[#This Row],[totalChallan]])</f>
        <v>1</v>
      </c>
      <c r="O1280" t="b">
        <f>AND(TrafficData[[#This Row],[pendingAmount]]&lt;=TrafficData[[#This Row],[totalAmount]],TrafficData[[#This Row],[disposedAmount]]&lt;=TrafficData[[#This Row],[totalAmount]])</f>
        <v>1</v>
      </c>
      <c r="P1280" t="b">
        <f>AND(TrafficData[[#This Row],[pendingCourt]]&lt;=TrafficData[[#This Row],[totalCourt]],TrafficData[[#This Row],[disposedCourt]]&lt;=TrafficData[[#This Row],[totalCourt]])</f>
        <v>1</v>
      </c>
    </row>
    <row r="1281" spans="1:16">
      <c r="A1281" s="1">
        <v>43284</v>
      </c>
      <c r="B1281">
        <v>12508</v>
      </c>
      <c r="C1281">
        <v>9269</v>
      </c>
      <c r="D1281">
        <v>3239</v>
      </c>
      <c r="E1281">
        <v>13175929</v>
      </c>
      <c r="F1281">
        <v>18137874</v>
      </c>
      <c r="G1281">
        <v>31313803</v>
      </c>
      <c r="H1281">
        <v>1232</v>
      </c>
      <c r="I1281">
        <v>358</v>
      </c>
      <c r="J1281">
        <v>1590</v>
      </c>
      <c r="K1281" t="b">
        <f>TrafficData[[#This Row],[disposedChallan]]+TrafficData[[#This Row],[pendingChallan]]=TrafficData[[#This Row],[totalChallan]]</f>
        <v>1</v>
      </c>
      <c r="L1281" t="b">
        <f>TrafficData[[#This Row],[pendingAmount]]+TrafficData[[#This Row],[disposedAmount]]=TrafficData[[#This Row],[totalAmount]]</f>
        <v>1</v>
      </c>
      <c r="M1281" t="b">
        <f>TrafficData[[#This Row],[pendingCourt]]+TrafficData[[#This Row],[disposedCourt]]=TrafficData[[#This Row],[totalCourt]]</f>
        <v>1</v>
      </c>
      <c r="N1281" t="b">
        <f>AND(TrafficData[[#This Row],[disposedChallan]]&lt;=TrafficData[[#This Row],[totalChallan]],TrafficData[[#This Row],[pendingChallan]]&lt;=TrafficData[[#This Row],[totalChallan]])</f>
        <v>1</v>
      </c>
      <c r="O1281" t="b">
        <f>AND(TrafficData[[#This Row],[pendingAmount]]&lt;=TrafficData[[#This Row],[totalAmount]],TrafficData[[#This Row],[disposedAmount]]&lt;=TrafficData[[#This Row],[totalAmount]])</f>
        <v>1</v>
      </c>
      <c r="P1281" t="b">
        <f>AND(TrafficData[[#This Row],[pendingCourt]]&lt;=TrafficData[[#This Row],[totalCourt]],TrafficData[[#This Row],[disposedCourt]]&lt;=TrafficData[[#This Row],[totalCourt]])</f>
        <v>1</v>
      </c>
    </row>
    <row r="1282" spans="1:16">
      <c r="A1282" s="1">
        <v>43285</v>
      </c>
      <c r="B1282">
        <v>22496</v>
      </c>
      <c r="C1282">
        <v>15919</v>
      </c>
      <c r="D1282">
        <v>6577</v>
      </c>
      <c r="E1282">
        <v>20744607</v>
      </c>
      <c r="F1282">
        <v>17377150</v>
      </c>
      <c r="G1282">
        <v>38121757</v>
      </c>
      <c r="H1282">
        <v>3920</v>
      </c>
      <c r="I1282">
        <v>1104</v>
      </c>
      <c r="J1282">
        <v>5024</v>
      </c>
      <c r="K1282" t="b">
        <f>TrafficData[[#This Row],[disposedChallan]]+TrafficData[[#This Row],[pendingChallan]]=TrafficData[[#This Row],[totalChallan]]</f>
        <v>1</v>
      </c>
      <c r="L1282" t="b">
        <f>TrafficData[[#This Row],[pendingAmount]]+TrafficData[[#This Row],[disposedAmount]]=TrafficData[[#This Row],[totalAmount]]</f>
        <v>1</v>
      </c>
      <c r="M1282" t="b">
        <f>TrafficData[[#This Row],[pendingCourt]]+TrafficData[[#This Row],[disposedCourt]]=TrafficData[[#This Row],[totalCourt]]</f>
        <v>1</v>
      </c>
      <c r="N1282" t="b">
        <f>AND(TrafficData[[#This Row],[disposedChallan]]&lt;=TrafficData[[#This Row],[totalChallan]],TrafficData[[#This Row],[pendingChallan]]&lt;=TrafficData[[#This Row],[totalChallan]])</f>
        <v>1</v>
      </c>
      <c r="O1282" t="b">
        <f>AND(TrafficData[[#This Row],[pendingAmount]]&lt;=TrafficData[[#This Row],[totalAmount]],TrafficData[[#This Row],[disposedAmount]]&lt;=TrafficData[[#This Row],[totalAmount]])</f>
        <v>1</v>
      </c>
      <c r="P1282" t="b">
        <f>AND(TrafficData[[#This Row],[pendingCourt]]&lt;=TrafficData[[#This Row],[totalCourt]],TrafficData[[#This Row],[disposedCourt]]&lt;=TrafficData[[#This Row],[totalCourt]])</f>
        <v>1</v>
      </c>
    </row>
    <row r="1283" spans="1:16">
      <c r="A1283" s="1">
        <v>43286</v>
      </c>
      <c r="B1283">
        <v>12604</v>
      </c>
      <c r="C1283">
        <v>9459</v>
      </c>
      <c r="D1283">
        <v>3145</v>
      </c>
      <c r="E1283">
        <v>12754608</v>
      </c>
      <c r="F1283">
        <v>19798622</v>
      </c>
      <c r="G1283">
        <v>32553230</v>
      </c>
      <c r="H1283">
        <v>1059</v>
      </c>
      <c r="I1283">
        <v>270</v>
      </c>
      <c r="J1283">
        <v>1329</v>
      </c>
      <c r="K1283" t="b">
        <f>TrafficData[[#This Row],[disposedChallan]]+TrafficData[[#This Row],[pendingChallan]]=TrafficData[[#This Row],[totalChallan]]</f>
        <v>1</v>
      </c>
      <c r="L1283" t="b">
        <f>TrafficData[[#This Row],[pendingAmount]]+TrafficData[[#This Row],[disposedAmount]]=TrafficData[[#This Row],[totalAmount]]</f>
        <v>1</v>
      </c>
      <c r="M1283" t="b">
        <f>TrafficData[[#This Row],[pendingCourt]]+TrafficData[[#This Row],[disposedCourt]]=TrafficData[[#This Row],[totalCourt]]</f>
        <v>1</v>
      </c>
      <c r="N1283" t="b">
        <f>AND(TrafficData[[#This Row],[disposedChallan]]&lt;=TrafficData[[#This Row],[totalChallan]],TrafficData[[#This Row],[pendingChallan]]&lt;=TrafficData[[#This Row],[totalChallan]])</f>
        <v>1</v>
      </c>
      <c r="O1283" t="b">
        <f>AND(TrafficData[[#This Row],[pendingAmount]]&lt;=TrafficData[[#This Row],[totalAmount]],TrafficData[[#This Row],[disposedAmount]]&lt;=TrafficData[[#This Row],[totalAmount]])</f>
        <v>1</v>
      </c>
      <c r="P1283" t="b">
        <f>AND(TrafficData[[#This Row],[pendingCourt]]&lt;=TrafficData[[#This Row],[totalCourt]],TrafficData[[#This Row],[disposedCourt]]&lt;=TrafficData[[#This Row],[totalCourt]])</f>
        <v>1</v>
      </c>
    </row>
    <row r="1284" spans="1:16">
      <c r="A1284" s="1">
        <v>43287</v>
      </c>
      <c r="B1284">
        <v>12529</v>
      </c>
      <c r="C1284">
        <v>9287</v>
      </c>
      <c r="D1284">
        <v>3242</v>
      </c>
      <c r="E1284">
        <v>13315455</v>
      </c>
      <c r="F1284">
        <v>18388498</v>
      </c>
      <c r="G1284">
        <v>31703953</v>
      </c>
      <c r="H1284">
        <v>1068</v>
      </c>
      <c r="I1284">
        <v>304</v>
      </c>
      <c r="J1284">
        <v>1372</v>
      </c>
      <c r="K1284" t="b">
        <f>TrafficData[[#This Row],[disposedChallan]]+TrafficData[[#This Row],[pendingChallan]]=TrafficData[[#This Row],[totalChallan]]</f>
        <v>1</v>
      </c>
      <c r="L1284" t="b">
        <f>TrafficData[[#This Row],[pendingAmount]]+TrafficData[[#This Row],[disposedAmount]]=TrafficData[[#This Row],[totalAmount]]</f>
        <v>1</v>
      </c>
      <c r="M1284" t="b">
        <f>TrafficData[[#This Row],[pendingCourt]]+TrafficData[[#This Row],[disposedCourt]]=TrafficData[[#This Row],[totalCourt]]</f>
        <v>1</v>
      </c>
      <c r="N1284" t="b">
        <f>AND(TrafficData[[#This Row],[disposedChallan]]&lt;=TrafficData[[#This Row],[totalChallan]],TrafficData[[#This Row],[pendingChallan]]&lt;=TrafficData[[#This Row],[totalChallan]])</f>
        <v>1</v>
      </c>
      <c r="O1284" t="b">
        <f>AND(TrafficData[[#This Row],[pendingAmount]]&lt;=TrafficData[[#This Row],[totalAmount]],TrafficData[[#This Row],[disposedAmount]]&lt;=TrafficData[[#This Row],[totalAmount]])</f>
        <v>1</v>
      </c>
      <c r="P1284" t="b">
        <f>AND(TrafficData[[#This Row],[pendingCourt]]&lt;=TrafficData[[#This Row],[totalCourt]],TrafficData[[#This Row],[disposedCourt]]&lt;=TrafficData[[#This Row],[totalCourt]])</f>
        <v>1</v>
      </c>
    </row>
    <row r="1285" spans="1:16">
      <c r="A1285" s="1">
        <v>43288</v>
      </c>
      <c r="B1285">
        <v>12141</v>
      </c>
      <c r="C1285">
        <v>8396</v>
      </c>
      <c r="D1285">
        <v>3745</v>
      </c>
      <c r="E1285">
        <v>14991544</v>
      </c>
      <c r="F1285">
        <v>18136127</v>
      </c>
      <c r="G1285">
        <v>33127671</v>
      </c>
      <c r="H1285">
        <v>1035</v>
      </c>
      <c r="I1285">
        <v>314</v>
      </c>
      <c r="J1285">
        <v>1349</v>
      </c>
      <c r="K1285" t="b">
        <f>TrafficData[[#This Row],[disposedChallan]]+TrafficData[[#This Row],[pendingChallan]]=TrafficData[[#This Row],[totalChallan]]</f>
        <v>1</v>
      </c>
      <c r="L1285" t="b">
        <f>TrafficData[[#This Row],[pendingAmount]]+TrafficData[[#This Row],[disposedAmount]]=TrafficData[[#This Row],[totalAmount]]</f>
        <v>1</v>
      </c>
      <c r="M1285" t="b">
        <f>TrafficData[[#This Row],[pendingCourt]]+TrafficData[[#This Row],[disposedCourt]]=TrafficData[[#This Row],[totalCourt]]</f>
        <v>1</v>
      </c>
      <c r="N1285" t="b">
        <f>AND(TrafficData[[#This Row],[disposedChallan]]&lt;=TrafficData[[#This Row],[totalChallan]],TrafficData[[#This Row],[pendingChallan]]&lt;=TrafficData[[#This Row],[totalChallan]])</f>
        <v>1</v>
      </c>
      <c r="O1285" t="b">
        <f>AND(TrafficData[[#This Row],[pendingAmount]]&lt;=TrafficData[[#This Row],[totalAmount]],TrafficData[[#This Row],[disposedAmount]]&lt;=TrafficData[[#This Row],[totalAmount]])</f>
        <v>1</v>
      </c>
      <c r="P1285" t="b">
        <f>AND(TrafficData[[#This Row],[pendingCourt]]&lt;=TrafficData[[#This Row],[totalCourt]],TrafficData[[#This Row],[disposedCourt]]&lt;=TrafficData[[#This Row],[totalCourt]])</f>
        <v>1</v>
      </c>
    </row>
    <row r="1286" spans="1:16">
      <c r="A1286" s="1">
        <v>43289</v>
      </c>
      <c r="B1286">
        <v>5956</v>
      </c>
      <c r="C1286">
        <v>4487</v>
      </c>
      <c r="D1286">
        <v>1469</v>
      </c>
      <c r="E1286">
        <v>4464511</v>
      </c>
      <c r="F1286">
        <v>9291926</v>
      </c>
      <c r="G1286">
        <v>13756437</v>
      </c>
      <c r="H1286">
        <v>516</v>
      </c>
      <c r="I1286">
        <v>145</v>
      </c>
      <c r="J1286">
        <v>661</v>
      </c>
      <c r="K1286" t="b">
        <f>TrafficData[[#This Row],[disposedChallan]]+TrafficData[[#This Row],[pendingChallan]]=TrafficData[[#This Row],[totalChallan]]</f>
        <v>1</v>
      </c>
      <c r="L1286" t="b">
        <f>TrafficData[[#This Row],[pendingAmount]]+TrafficData[[#This Row],[disposedAmount]]=TrafficData[[#This Row],[totalAmount]]</f>
        <v>1</v>
      </c>
      <c r="M1286" t="b">
        <f>TrafficData[[#This Row],[pendingCourt]]+TrafficData[[#This Row],[disposedCourt]]=TrafficData[[#This Row],[totalCourt]]</f>
        <v>1</v>
      </c>
      <c r="N1286" t="b">
        <f>AND(TrafficData[[#This Row],[disposedChallan]]&lt;=TrafficData[[#This Row],[totalChallan]],TrafficData[[#This Row],[pendingChallan]]&lt;=TrafficData[[#This Row],[totalChallan]])</f>
        <v>1</v>
      </c>
      <c r="O1286" t="b">
        <f>AND(TrafficData[[#This Row],[pendingAmount]]&lt;=TrafficData[[#This Row],[totalAmount]],TrafficData[[#This Row],[disposedAmount]]&lt;=TrafficData[[#This Row],[totalAmount]])</f>
        <v>1</v>
      </c>
      <c r="P1286" t="b">
        <f>AND(TrafficData[[#This Row],[pendingCourt]]&lt;=TrafficData[[#This Row],[totalCourt]],TrafficData[[#This Row],[disposedCourt]]&lt;=TrafficData[[#This Row],[totalCourt]])</f>
        <v>1</v>
      </c>
    </row>
    <row r="1287" spans="1:16">
      <c r="A1287" s="1">
        <v>43290</v>
      </c>
      <c r="B1287">
        <v>10548</v>
      </c>
      <c r="C1287">
        <v>7723</v>
      </c>
      <c r="D1287">
        <v>2825</v>
      </c>
      <c r="E1287">
        <v>11631578</v>
      </c>
      <c r="F1287">
        <v>15730831</v>
      </c>
      <c r="G1287">
        <v>27362409</v>
      </c>
      <c r="H1287">
        <v>954</v>
      </c>
      <c r="I1287">
        <v>280</v>
      </c>
      <c r="J1287">
        <v>1234</v>
      </c>
      <c r="K1287" t="b">
        <f>TrafficData[[#This Row],[disposedChallan]]+TrafficData[[#This Row],[pendingChallan]]=TrafficData[[#This Row],[totalChallan]]</f>
        <v>1</v>
      </c>
      <c r="L1287" t="b">
        <f>TrafficData[[#This Row],[pendingAmount]]+TrafficData[[#This Row],[disposedAmount]]=TrafficData[[#This Row],[totalAmount]]</f>
        <v>1</v>
      </c>
      <c r="M1287" t="b">
        <f>TrafficData[[#This Row],[pendingCourt]]+TrafficData[[#This Row],[disposedCourt]]=TrafficData[[#This Row],[totalCourt]]</f>
        <v>1</v>
      </c>
      <c r="N1287" t="b">
        <f>AND(TrafficData[[#This Row],[disposedChallan]]&lt;=TrafficData[[#This Row],[totalChallan]],TrafficData[[#This Row],[pendingChallan]]&lt;=TrafficData[[#This Row],[totalChallan]])</f>
        <v>1</v>
      </c>
      <c r="O1287" t="b">
        <f>AND(TrafficData[[#This Row],[pendingAmount]]&lt;=TrafficData[[#This Row],[totalAmount]],TrafficData[[#This Row],[disposedAmount]]&lt;=TrafficData[[#This Row],[totalAmount]])</f>
        <v>1</v>
      </c>
      <c r="P1287" t="b">
        <f>AND(TrafficData[[#This Row],[pendingCourt]]&lt;=TrafficData[[#This Row],[totalCourt]],TrafficData[[#This Row],[disposedCourt]]&lt;=TrafficData[[#This Row],[totalCourt]])</f>
        <v>1</v>
      </c>
    </row>
    <row r="1288" spans="1:16">
      <c r="A1288" s="1">
        <v>43291</v>
      </c>
      <c r="B1288">
        <v>12344</v>
      </c>
      <c r="C1288">
        <v>8806</v>
      </c>
      <c r="D1288">
        <v>3538</v>
      </c>
      <c r="E1288">
        <v>14285091</v>
      </c>
      <c r="F1288">
        <v>26694829</v>
      </c>
      <c r="G1288">
        <v>40979920</v>
      </c>
      <c r="H1288">
        <v>1083</v>
      </c>
      <c r="I1288">
        <v>458</v>
      </c>
      <c r="J1288">
        <v>1541</v>
      </c>
      <c r="K1288" t="b">
        <f>TrafficData[[#This Row],[disposedChallan]]+TrafficData[[#This Row],[pendingChallan]]=TrafficData[[#This Row],[totalChallan]]</f>
        <v>1</v>
      </c>
      <c r="L1288" t="b">
        <f>TrafficData[[#This Row],[pendingAmount]]+TrafficData[[#This Row],[disposedAmount]]=TrafficData[[#This Row],[totalAmount]]</f>
        <v>1</v>
      </c>
      <c r="M1288" t="b">
        <f>TrafficData[[#This Row],[pendingCourt]]+TrafficData[[#This Row],[disposedCourt]]=TrafficData[[#This Row],[totalCourt]]</f>
        <v>1</v>
      </c>
      <c r="N1288" t="b">
        <f>AND(TrafficData[[#This Row],[disposedChallan]]&lt;=TrafficData[[#This Row],[totalChallan]],TrafficData[[#This Row],[pendingChallan]]&lt;=TrafficData[[#This Row],[totalChallan]])</f>
        <v>1</v>
      </c>
      <c r="O1288" t="b">
        <f>AND(TrafficData[[#This Row],[pendingAmount]]&lt;=TrafficData[[#This Row],[totalAmount]],TrafficData[[#This Row],[disposedAmount]]&lt;=TrafficData[[#This Row],[totalAmount]])</f>
        <v>1</v>
      </c>
      <c r="P1288" t="b">
        <f>AND(TrafficData[[#This Row],[pendingCourt]]&lt;=TrafficData[[#This Row],[totalCourt]],TrafficData[[#This Row],[disposedCourt]]&lt;=TrafficData[[#This Row],[totalCourt]])</f>
        <v>1</v>
      </c>
    </row>
    <row r="1289" spans="1:16">
      <c r="A1289" s="1">
        <v>43292</v>
      </c>
      <c r="B1289">
        <v>19905</v>
      </c>
      <c r="C1289">
        <v>13871</v>
      </c>
      <c r="D1289">
        <v>6034</v>
      </c>
      <c r="E1289">
        <v>20756899</v>
      </c>
      <c r="F1289">
        <v>22736287</v>
      </c>
      <c r="G1289">
        <v>43493186</v>
      </c>
      <c r="H1289">
        <v>3639</v>
      </c>
      <c r="I1289">
        <v>892</v>
      </c>
      <c r="J1289">
        <v>4531</v>
      </c>
      <c r="K1289" t="b">
        <f>TrafficData[[#This Row],[disposedChallan]]+TrafficData[[#This Row],[pendingChallan]]=TrafficData[[#This Row],[totalChallan]]</f>
        <v>1</v>
      </c>
      <c r="L1289" t="b">
        <f>TrafficData[[#This Row],[pendingAmount]]+TrafficData[[#This Row],[disposedAmount]]=TrafficData[[#This Row],[totalAmount]]</f>
        <v>1</v>
      </c>
      <c r="M1289" t="b">
        <f>TrafficData[[#This Row],[pendingCourt]]+TrafficData[[#This Row],[disposedCourt]]=TrafficData[[#This Row],[totalCourt]]</f>
        <v>1</v>
      </c>
      <c r="N1289" t="b">
        <f>AND(TrafficData[[#This Row],[disposedChallan]]&lt;=TrafficData[[#This Row],[totalChallan]],TrafficData[[#This Row],[pendingChallan]]&lt;=TrafficData[[#This Row],[totalChallan]])</f>
        <v>1</v>
      </c>
      <c r="O1289" t="b">
        <f>AND(TrafficData[[#This Row],[pendingAmount]]&lt;=TrafficData[[#This Row],[totalAmount]],TrafficData[[#This Row],[disposedAmount]]&lt;=TrafficData[[#This Row],[totalAmount]])</f>
        <v>1</v>
      </c>
      <c r="P1289" t="b">
        <f>AND(TrafficData[[#This Row],[pendingCourt]]&lt;=TrafficData[[#This Row],[totalCourt]],TrafficData[[#This Row],[disposedCourt]]&lt;=TrafficData[[#This Row],[totalCourt]])</f>
        <v>1</v>
      </c>
    </row>
    <row r="1290" spans="1:16">
      <c r="A1290" s="1">
        <v>43293</v>
      </c>
      <c r="B1290">
        <v>11278</v>
      </c>
      <c r="C1290">
        <v>7898</v>
      </c>
      <c r="D1290">
        <v>3380</v>
      </c>
      <c r="E1290">
        <v>10968974</v>
      </c>
      <c r="F1290">
        <v>20216263</v>
      </c>
      <c r="G1290">
        <v>31185237</v>
      </c>
      <c r="H1290">
        <v>1251</v>
      </c>
      <c r="I1290">
        <v>335</v>
      </c>
      <c r="J1290">
        <v>1586</v>
      </c>
      <c r="K1290" t="b">
        <f>TrafficData[[#This Row],[disposedChallan]]+TrafficData[[#This Row],[pendingChallan]]=TrafficData[[#This Row],[totalChallan]]</f>
        <v>1</v>
      </c>
      <c r="L1290" t="b">
        <f>TrafficData[[#This Row],[pendingAmount]]+TrafficData[[#This Row],[disposedAmount]]=TrafficData[[#This Row],[totalAmount]]</f>
        <v>1</v>
      </c>
      <c r="M1290" t="b">
        <f>TrafficData[[#This Row],[pendingCourt]]+TrafficData[[#This Row],[disposedCourt]]=TrafficData[[#This Row],[totalCourt]]</f>
        <v>1</v>
      </c>
      <c r="N1290" t="b">
        <f>AND(TrafficData[[#This Row],[disposedChallan]]&lt;=TrafficData[[#This Row],[totalChallan]],TrafficData[[#This Row],[pendingChallan]]&lt;=TrafficData[[#This Row],[totalChallan]])</f>
        <v>1</v>
      </c>
      <c r="O1290" t="b">
        <f>AND(TrafficData[[#This Row],[pendingAmount]]&lt;=TrafficData[[#This Row],[totalAmount]],TrafficData[[#This Row],[disposedAmount]]&lt;=TrafficData[[#This Row],[totalAmount]])</f>
        <v>1</v>
      </c>
      <c r="P1290" t="b">
        <f>AND(TrafficData[[#This Row],[pendingCourt]]&lt;=TrafficData[[#This Row],[totalCourt]],TrafficData[[#This Row],[disposedCourt]]&lt;=TrafficData[[#This Row],[totalCourt]])</f>
        <v>1</v>
      </c>
    </row>
    <row r="1291" spans="1:16">
      <c r="A1291" s="1">
        <v>43294</v>
      </c>
      <c r="B1291">
        <v>9546</v>
      </c>
      <c r="C1291">
        <v>7096</v>
      </c>
      <c r="D1291">
        <v>2450</v>
      </c>
      <c r="E1291">
        <v>10049079</v>
      </c>
      <c r="F1291">
        <v>23668348</v>
      </c>
      <c r="G1291">
        <v>33717427</v>
      </c>
      <c r="H1291">
        <v>922</v>
      </c>
      <c r="I1291">
        <v>265</v>
      </c>
      <c r="J1291">
        <v>1187</v>
      </c>
      <c r="K1291" t="b">
        <f>TrafficData[[#This Row],[disposedChallan]]+TrafficData[[#This Row],[pendingChallan]]=TrafficData[[#This Row],[totalChallan]]</f>
        <v>1</v>
      </c>
      <c r="L1291" t="b">
        <f>TrafficData[[#This Row],[pendingAmount]]+TrafficData[[#This Row],[disposedAmount]]=TrafficData[[#This Row],[totalAmount]]</f>
        <v>1</v>
      </c>
      <c r="M1291" t="b">
        <f>TrafficData[[#This Row],[pendingCourt]]+TrafficData[[#This Row],[disposedCourt]]=TrafficData[[#This Row],[totalCourt]]</f>
        <v>1</v>
      </c>
      <c r="N1291" t="b">
        <f>AND(TrafficData[[#This Row],[disposedChallan]]&lt;=TrafficData[[#This Row],[totalChallan]],TrafficData[[#This Row],[pendingChallan]]&lt;=TrafficData[[#This Row],[totalChallan]])</f>
        <v>1</v>
      </c>
      <c r="O1291" t="b">
        <f>AND(TrafficData[[#This Row],[pendingAmount]]&lt;=TrafficData[[#This Row],[totalAmount]],TrafficData[[#This Row],[disposedAmount]]&lt;=TrafficData[[#This Row],[totalAmount]])</f>
        <v>1</v>
      </c>
      <c r="P1291" t="b">
        <f>AND(TrafficData[[#This Row],[pendingCourt]]&lt;=TrafficData[[#This Row],[totalCourt]],TrafficData[[#This Row],[disposedCourt]]&lt;=TrafficData[[#This Row],[totalCourt]])</f>
        <v>1</v>
      </c>
    </row>
    <row r="1292" spans="1:16">
      <c r="A1292" s="1">
        <v>43295</v>
      </c>
      <c r="B1292">
        <v>9313</v>
      </c>
      <c r="C1292">
        <v>6706</v>
      </c>
      <c r="D1292">
        <v>2607</v>
      </c>
      <c r="E1292">
        <v>4629588</v>
      </c>
      <c r="F1292">
        <v>9199913</v>
      </c>
      <c r="G1292">
        <v>13829501</v>
      </c>
      <c r="H1292">
        <v>1072</v>
      </c>
      <c r="I1292">
        <v>293</v>
      </c>
      <c r="J1292">
        <v>1365</v>
      </c>
      <c r="K1292" t="b">
        <f>TrafficData[[#This Row],[disposedChallan]]+TrafficData[[#This Row],[pendingChallan]]=TrafficData[[#This Row],[totalChallan]]</f>
        <v>1</v>
      </c>
      <c r="L1292" t="b">
        <f>TrafficData[[#This Row],[pendingAmount]]+TrafficData[[#This Row],[disposedAmount]]=TrafficData[[#This Row],[totalAmount]]</f>
        <v>1</v>
      </c>
      <c r="M1292" t="b">
        <f>TrafficData[[#This Row],[pendingCourt]]+TrafficData[[#This Row],[disposedCourt]]=TrafficData[[#This Row],[totalCourt]]</f>
        <v>1</v>
      </c>
      <c r="N1292" t="b">
        <f>AND(TrafficData[[#This Row],[disposedChallan]]&lt;=TrafficData[[#This Row],[totalChallan]],TrafficData[[#This Row],[pendingChallan]]&lt;=TrafficData[[#This Row],[totalChallan]])</f>
        <v>1</v>
      </c>
      <c r="O1292" t="b">
        <f>AND(TrafficData[[#This Row],[pendingAmount]]&lt;=TrafficData[[#This Row],[totalAmount]],TrafficData[[#This Row],[disposedAmount]]&lt;=TrafficData[[#This Row],[totalAmount]])</f>
        <v>1</v>
      </c>
      <c r="P1292" t="b">
        <f>AND(TrafficData[[#This Row],[pendingCourt]]&lt;=TrafficData[[#This Row],[totalCourt]],TrafficData[[#This Row],[disposedCourt]]&lt;=TrafficData[[#This Row],[totalCourt]])</f>
        <v>1</v>
      </c>
    </row>
    <row r="1293" spans="1:16">
      <c r="A1293" s="1">
        <v>43296</v>
      </c>
      <c r="B1293">
        <v>6407</v>
      </c>
      <c r="C1293">
        <v>4461</v>
      </c>
      <c r="D1293">
        <v>1946</v>
      </c>
      <c r="E1293">
        <v>2966724</v>
      </c>
      <c r="F1293">
        <v>7239858</v>
      </c>
      <c r="G1293">
        <v>10206582</v>
      </c>
      <c r="H1293">
        <v>976</v>
      </c>
      <c r="I1293">
        <v>137</v>
      </c>
      <c r="J1293">
        <v>1113</v>
      </c>
      <c r="K1293" t="b">
        <f>TrafficData[[#This Row],[disposedChallan]]+TrafficData[[#This Row],[pendingChallan]]=TrafficData[[#This Row],[totalChallan]]</f>
        <v>1</v>
      </c>
      <c r="L1293" t="b">
        <f>TrafficData[[#This Row],[pendingAmount]]+TrafficData[[#This Row],[disposedAmount]]=TrafficData[[#This Row],[totalAmount]]</f>
        <v>1</v>
      </c>
      <c r="M1293" t="b">
        <f>TrafficData[[#This Row],[pendingCourt]]+TrafficData[[#This Row],[disposedCourt]]=TrafficData[[#This Row],[totalCourt]]</f>
        <v>1</v>
      </c>
      <c r="N1293" t="b">
        <f>AND(TrafficData[[#This Row],[disposedChallan]]&lt;=TrafficData[[#This Row],[totalChallan]],TrafficData[[#This Row],[pendingChallan]]&lt;=TrafficData[[#This Row],[totalChallan]])</f>
        <v>1</v>
      </c>
      <c r="O1293" t="b">
        <f>AND(TrafficData[[#This Row],[pendingAmount]]&lt;=TrafficData[[#This Row],[totalAmount]],TrafficData[[#This Row],[disposedAmount]]&lt;=TrafficData[[#This Row],[totalAmount]])</f>
        <v>1</v>
      </c>
      <c r="P1293" t="b">
        <f>AND(TrafficData[[#This Row],[pendingCourt]]&lt;=TrafficData[[#This Row],[totalCourt]],TrafficData[[#This Row],[disposedCourt]]&lt;=TrafficData[[#This Row],[totalCourt]])</f>
        <v>1</v>
      </c>
    </row>
    <row r="1294" spans="1:16">
      <c r="A1294" s="1">
        <v>43297</v>
      </c>
      <c r="B1294">
        <v>10575</v>
      </c>
      <c r="C1294">
        <v>8059</v>
      </c>
      <c r="D1294">
        <v>2516</v>
      </c>
      <c r="E1294">
        <v>11198613</v>
      </c>
      <c r="F1294">
        <v>16168651</v>
      </c>
      <c r="G1294">
        <v>27367264</v>
      </c>
      <c r="H1294">
        <v>969</v>
      </c>
      <c r="I1294">
        <v>388</v>
      </c>
      <c r="J1294">
        <v>1357</v>
      </c>
      <c r="K1294" t="b">
        <f>TrafficData[[#This Row],[disposedChallan]]+TrafficData[[#This Row],[pendingChallan]]=TrafficData[[#This Row],[totalChallan]]</f>
        <v>1</v>
      </c>
      <c r="L1294" t="b">
        <f>TrafficData[[#This Row],[pendingAmount]]+TrafficData[[#This Row],[disposedAmount]]=TrafficData[[#This Row],[totalAmount]]</f>
        <v>1</v>
      </c>
      <c r="M1294" t="b">
        <f>TrafficData[[#This Row],[pendingCourt]]+TrafficData[[#This Row],[disposedCourt]]=TrafficData[[#This Row],[totalCourt]]</f>
        <v>1</v>
      </c>
      <c r="N1294" t="b">
        <f>AND(TrafficData[[#This Row],[disposedChallan]]&lt;=TrafficData[[#This Row],[totalChallan]],TrafficData[[#This Row],[pendingChallan]]&lt;=TrafficData[[#This Row],[totalChallan]])</f>
        <v>1</v>
      </c>
      <c r="O1294" t="b">
        <f>AND(TrafficData[[#This Row],[pendingAmount]]&lt;=TrafficData[[#This Row],[totalAmount]],TrafficData[[#This Row],[disposedAmount]]&lt;=TrafficData[[#This Row],[totalAmount]])</f>
        <v>1</v>
      </c>
      <c r="P1294" t="b">
        <f>AND(TrafficData[[#This Row],[pendingCourt]]&lt;=TrafficData[[#This Row],[totalCourt]],TrafficData[[#This Row],[disposedCourt]]&lt;=TrafficData[[#This Row],[totalCourt]])</f>
        <v>1</v>
      </c>
    </row>
    <row r="1295" spans="1:16">
      <c r="A1295" s="1">
        <v>43298</v>
      </c>
      <c r="B1295">
        <v>13152</v>
      </c>
      <c r="C1295">
        <v>9423</v>
      </c>
      <c r="D1295">
        <v>3729</v>
      </c>
      <c r="E1295">
        <v>12337899</v>
      </c>
      <c r="F1295">
        <v>19067727</v>
      </c>
      <c r="G1295">
        <v>31405626</v>
      </c>
      <c r="H1295">
        <v>1541</v>
      </c>
      <c r="I1295">
        <v>397</v>
      </c>
      <c r="J1295">
        <v>1938</v>
      </c>
      <c r="K1295" t="b">
        <f>TrafficData[[#This Row],[disposedChallan]]+TrafficData[[#This Row],[pendingChallan]]=TrafficData[[#This Row],[totalChallan]]</f>
        <v>1</v>
      </c>
      <c r="L1295" t="b">
        <f>TrafficData[[#This Row],[pendingAmount]]+TrafficData[[#This Row],[disposedAmount]]=TrafficData[[#This Row],[totalAmount]]</f>
        <v>1</v>
      </c>
      <c r="M1295" t="b">
        <f>TrafficData[[#This Row],[pendingCourt]]+TrafficData[[#This Row],[disposedCourt]]=TrafficData[[#This Row],[totalCourt]]</f>
        <v>1</v>
      </c>
      <c r="N1295" t="b">
        <f>AND(TrafficData[[#This Row],[disposedChallan]]&lt;=TrafficData[[#This Row],[totalChallan]],TrafficData[[#This Row],[pendingChallan]]&lt;=TrafficData[[#This Row],[totalChallan]])</f>
        <v>1</v>
      </c>
      <c r="O1295" t="b">
        <f>AND(TrafficData[[#This Row],[pendingAmount]]&lt;=TrafficData[[#This Row],[totalAmount]],TrafficData[[#This Row],[disposedAmount]]&lt;=TrafficData[[#This Row],[totalAmount]])</f>
        <v>1</v>
      </c>
      <c r="P1295" t="b">
        <f>AND(TrafficData[[#This Row],[pendingCourt]]&lt;=TrafficData[[#This Row],[totalCourt]],TrafficData[[#This Row],[disposedCourt]]&lt;=TrafficData[[#This Row],[totalCourt]])</f>
        <v>1</v>
      </c>
    </row>
    <row r="1296" spans="1:16">
      <c r="A1296" s="1">
        <v>43299</v>
      </c>
      <c r="B1296">
        <v>20270</v>
      </c>
      <c r="C1296">
        <v>13690</v>
      </c>
      <c r="D1296">
        <v>6580</v>
      </c>
      <c r="E1296">
        <v>16180439</v>
      </c>
      <c r="F1296">
        <v>18708729</v>
      </c>
      <c r="G1296">
        <v>34889168</v>
      </c>
      <c r="H1296">
        <v>4103</v>
      </c>
      <c r="I1296">
        <v>1116</v>
      </c>
      <c r="J1296">
        <v>5219</v>
      </c>
      <c r="K1296" t="b">
        <f>TrafficData[[#This Row],[disposedChallan]]+TrafficData[[#This Row],[pendingChallan]]=TrafficData[[#This Row],[totalChallan]]</f>
        <v>1</v>
      </c>
      <c r="L1296" t="b">
        <f>TrafficData[[#This Row],[pendingAmount]]+TrafficData[[#This Row],[disposedAmount]]=TrafficData[[#This Row],[totalAmount]]</f>
        <v>1</v>
      </c>
      <c r="M1296" t="b">
        <f>TrafficData[[#This Row],[pendingCourt]]+TrafficData[[#This Row],[disposedCourt]]=TrafficData[[#This Row],[totalCourt]]</f>
        <v>1</v>
      </c>
      <c r="N1296" t="b">
        <f>AND(TrafficData[[#This Row],[disposedChallan]]&lt;=TrafficData[[#This Row],[totalChallan]],TrafficData[[#This Row],[pendingChallan]]&lt;=TrafficData[[#This Row],[totalChallan]])</f>
        <v>1</v>
      </c>
      <c r="O1296" t="b">
        <f>AND(TrafficData[[#This Row],[pendingAmount]]&lt;=TrafficData[[#This Row],[totalAmount]],TrafficData[[#This Row],[disposedAmount]]&lt;=TrafficData[[#This Row],[totalAmount]])</f>
        <v>1</v>
      </c>
      <c r="P1296" t="b">
        <f>AND(TrafficData[[#This Row],[pendingCourt]]&lt;=TrafficData[[#This Row],[totalCourt]],TrafficData[[#This Row],[disposedCourt]]&lt;=TrafficData[[#This Row],[totalCourt]])</f>
        <v>1</v>
      </c>
    </row>
    <row r="1297" spans="1:16">
      <c r="A1297" s="1">
        <v>43300</v>
      </c>
      <c r="B1297">
        <v>11892</v>
      </c>
      <c r="C1297">
        <v>8550</v>
      </c>
      <c r="D1297">
        <v>3342</v>
      </c>
      <c r="E1297">
        <v>13231752</v>
      </c>
      <c r="F1297">
        <v>18909120</v>
      </c>
      <c r="G1297">
        <v>32140872</v>
      </c>
      <c r="H1297">
        <v>1127</v>
      </c>
      <c r="I1297">
        <v>366</v>
      </c>
      <c r="J1297">
        <v>1493</v>
      </c>
      <c r="K1297" t="b">
        <f>TrafficData[[#This Row],[disposedChallan]]+TrafficData[[#This Row],[pendingChallan]]=TrafficData[[#This Row],[totalChallan]]</f>
        <v>1</v>
      </c>
      <c r="L1297" t="b">
        <f>TrafficData[[#This Row],[pendingAmount]]+TrafficData[[#This Row],[disposedAmount]]=TrafficData[[#This Row],[totalAmount]]</f>
        <v>1</v>
      </c>
      <c r="M1297" t="b">
        <f>TrafficData[[#This Row],[pendingCourt]]+TrafficData[[#This Row],[disposedCourt]]=TrafficData[[#This Row],[totalCourt]]</f>
        <v>1</v>
      </c>
      <c r="N1297" t="b">
        <f>AND(TrafficData[[#This Row],[disposedChallan]]&lt;=TrafficData[[#This Row],[totalChallan]],TrafficData[[#This Row],[pendingChallan]]&lt;=TrafficData[[#This Row],[totalChallan]])</f>
        <v>1</v>
      </c>
      <c r="O1297" t="b">
        <f>AND(TrafficData[[#This Row],[pendingAmount]]&lt;=TrafficData[[#This Row],[totalAmount]],TrafficData[[#This Row],[disposedAmount]]&lt;=TrafficData[[#This Row],[totalAmount]])</f>
        <v>1</v>
      </c>
      <c r="P1297" t="b">
        <f>AND(TrafficData[[#This Row],[pendingCourt]]&lt;=TrafficData[[#This Row],[totalCourt]],TrafficData[[#This Row],[disposedCourt]]&lt;=TrafficData[[#This Row],[totalCourt]])</f>
        <v>1</v>
      </c>
    </row>
    <row r="1298" spans="1:16">
      <c r="A1298" s="1">
        <v>43301</v>
      </c>
      <c r="B1298">
        <v>14283</v>
      </c>
      <c r="C1298">
        <v>8960</v>
      </c>
      <c r="D1298">
        <v>5323</v>
      </c>
      <c r="E1298">
        <v>14492525</v>
      </c>
      <c r="F1298">
        <v>20500871</v>
      </c>
      <c r="G1298">
        <v>34993396</v>
      </c>
      <c r="H1298">
        <v>1053</v>
      </c>
      <c r="I1298">
        <v>396</v>
      </c>
      <c r="J1298">
        <v>1449</v>
      </c>
      <c r="K1298" t="b">
        <f>TrafficData[[#This Row],[disposedChallan]]+TrafficData[[#This Row],[pendingChallan]]=TrafficData[[#This Row],[totalChallan]]</f>
        <v>1</v>
      </c>
      <c r="L1298" t="b">
        <f>TrafficData[[#This Row],[pendingAmount]]+TrafficData[[#This Row],[disposedAmount]]=TrafficData[[#This Row],[totalAmount]]</f>
        <v>1</v>
      </c>
      <c r="M1298" t="b">
        <f>TrafficData[[#This Row],[pendingCourt]]+TrafficData[[#This Row],[disposedCourt]]=TrafficData[[#This Row],[totalCourt]]</f>
        <v>1</v>
      </c>
      <c r="N1298" t="b">
        <f>AND(TrafficData[[#This Row],[disposedChallan]]&lt;=TrafficData[[#This Row],[totalChallan]],TrafficData[[#This Row],[pendingChallan]]&lt;=TrafficData[[#This Row],[totalChallan]])</f>
        <v>1</v>
      </c>
      <c r="O1298" t="b">
        <f>AND(TrafficData[[#This Row],[pendingAmount]]&lt;=TrafficData[[#This Row],[totalAmount]],TrafficData[[#This Row],[disposedAmount]]&lt;=TrafficData[[#This Row],[totalAmount]])</f>
        <v>1</v>
      </c>
      <c r="P1298" t="b">
        <f>AND(TrafficData[[#This Row],[pendingCourt]]&lt;=TrafficData[[#This Row],[totalCourt]],TrafficData[[#This Row],[disposedCourt]]&lt;=TrafficData[[#This Row],[totalCourt]])</f>
        <v>1</v>
      </c>
    </row>
    <row r="1299" spans="1:16">
      <c r="A1299" s="1">
        <v>43302</v>
      </c>
      <c r="B1299">
        <v>10004</v>
      </c>
      <c r="C1299">
        <v>6245</v>
      </c>
      <c r="D1299">
        <v>3759</v>
      </c>
      <c r="E1299">
        <v>10825410</v>
      </c>
      <c r="F1299">
        <v>10112812</v>
      </c>
      <c r="G1299">
        <v>20938222</v>
      </c>
      <c r="H1299">
        <v>1030</v>
      </c>
      <c r="I1299">
        <v>259</v>
      </c>
      <c r="J1299">
        <v>1289</v>
      </c>
      <c r="K1299" t="b">
        <f>TrafficData[[#This Row],[disposedChallan]]+TrafficData[[#This Row],[pendingChallan]]=TrafficData[[#This Row],[totalChallan]]</f>
        <v>1</v>
      </c>
      <c r="L1299" t="b">
        <f>TrafficData[[#This Row],[pendingAmount]]+TrafficData[[#This Row],[disposedAmount]]=TrafficData[[#This Row],[totalAmount]]</f>
        <v>1</v>
      </c>
      <c r="M1299" t="b">
        <f>TrafficData[[#This Row],[pendingCourt]]+TrafficData[[#This Row],[disposedCourt]]=TrafficData[[#This Row],[totalCourt]]</f>
        <v>1</v>
      </c>
      <c r="N1299" t="b">
        <f>AND(TrafficData[[#This Row],[disposedChallan]]&lt;=TrafficData[[#This Row],[totalChallan]],TrafficData[[#This Row],[pendingChallan]]&lt;=TrafficData[[#This Row],[totalChallan]])</f>
        <v>1</v>
      </c>
      <c r="O1299" t="b">
        <f>AND(TrafficData[[#This Row],[pendingAmount]]&lt;=TrafficData[[#This Row],[totalAmount]],TrafficData[[#This Row],[disposedAmount]]&lt;=TrafficData[[#This Row],[totalAmount]])</f>
        <v>1</v>
      </c>
      <c r="P1299" t="b">
        <f>AND(TrafficData[[#This Row],[pendingCourt]]&lt;=TrafficData[[#This Row],[totalCourt]],TrafficData[[#This Row],[disposedCourt]]&lt;=TrafficData[[#This Row],[totalCourt]])</f>
        <v>1</v>
      </c>
    </row>
    <row r="1300" spans="1:16">
      <c r="A1300" s="1">
        <v>43303</v>
      </c>
      <c r="B1300">
        <v>6547</v>
      </c>
      <c r="C1300">
        <v>4704</v>
      </c>
      <c r="D1300">
        <v>1843</v>
      </c>
      <c r="E1300">
        <v>4108231</v>
      </c>
      <c r="F1300">
        <v>5301679</v>
      </c>
      <c r="G1300">
        <v>9409910</v>
      </c>
      <c r="H1300">
        <v>599</v>
      </c>
      <c r="I1300">
        <v>120</v>
      </c>
      <c r="J1300">
        <v>719</v>
      </c>
      <c r="K1300" t="b">
        <f>TrafficData[[#This Row],[disposedChallan]]+TrafficData[[#This Row],[pendingChallan]]=TrafficData[[#This Row],[totalChallan]]</f>
        <v>1</v>
      </c>
      <c r="L1300" t="b">
        <f>TrafficData[[#This Row],[pendingAmount]]+TrafficData[[#This Row],[disposedAmount]]=TrafficData[[#This Row],[totalAmount]]</f>
        <v>1</v>
      </c>
      <c r="M1300" t="b">
        <f>TrafficData[[#This Row],[pendingCourt]]+TrafficData[[#This Row],[disposedCourt]]=TrafficData[[#This Row],[totalCourt]]</f>
        <v>1</v>
      </c>
      <c r="N1300" t="b">
        <f>AND(TrafficData[[#This Row],[disposedChallan]]&lt;=TrafficData[[#This Row],[totalChallan]],TrafficData[[#This Row],[pendingChallan]]&lt;=TrafficData[[#This Row],[totalChallan]])</f>
        <v>1</v>
      </c>
      <c r="O1300" t="b">
        <f>AND(TrafficData[[#This Row],[pendingAmount]]&lt;=TrafficData[[#This Row],[totalAmount]],TrafficData[[#This Row],[disposedAmount]]&lt;=TrafficData[[#This Row],[totalAmount]])</f>
        <v>1</v>
      </c>
      <c r="P1300" t="b">
        <f>AND(TrafficData[[#This Row],[pendingCourt]]&lt;=TrafficData[[#This Row],[totalCourt]],TrafficData[[#This Row],[disposedCourt]]&lt;=TrafficData[[#This Row],[totalCourt]])</f>
        <v>1</v>
      </c>
    </row>
    <row r="1301" spans="1:16">
      <c r="A1301" s="1">
        <v>43304</v>
      </c>
      <c r="B1301">
        <v>14254</v>
      </c>
      <c r="C1301">
        <v>9861</v>
      </c>
      <c r="D1301">
        <v>4393</v>
      </c>
      <c r="E1301">
        <v>8025418</v>
      </c>
      <c r="F1301">
        <v>13332645</v>
      </c>
      <c r="G1301">
        <v>21358063</v>
      </c>
      <c r="H1301">
        <v>1056</v>
      </c>
      <c r="I1301">
        <v>503</v>
      </c>
      <c r="J1301">
        <v>1559</v>
      </c>
      <c r="K1301" t="b">
        <f>TrafficData[[#This Row],[disposedChallan]]+TrafficData[[#This Row],[pendingChallan]]=TrafficData[[#This Row],[totalChallan]]</f>
        <v>1</v>
      </c>
      <c r="L1301" t="b">
        <f>TrafficData[[#This Row],[pendingAmount]]+TrafficData[[#This Row],[disposedAmount]]=TrafficData[[#This Row],[totalAmount]]</f>
        <v>1</v>
      </c>
      <c r="M1301" t="b">
        <f>TrafficData[[#This Row],[pendingCourt]]+TrafficData[[#This Row],[disposedCourt]]=TrafficData[[#This Row],[totalCourt]]</f>
        <v>1</v>
      </c>
      <c r="N1301" t="b">
        <f>AND(TrafficData[[#This Row],[disposedChallan]]&lt;=TrafficData[[#This Row],[totalChallan]],TrafficData[[#This Row],[pendingChallan]]&lt;=TrafficData[[#This Row],[totalChallan]])</f>
        <v>1</v>
      </c>
      <c r="O1301" t="b">
        <f>AND(TrafficData[[#This Row],[pendingAmount]]&lt;=TrafficData[[#This Row],[totalAmount]],TrafficData[[#This Row],[disposedAmount]]&lt;=TrafficData[[#This Row],[totalAmount]])</f>
        <v>1</v>
      </c>
      <c r="P1301" t="b">
        <f>AND(TrafficData[[#This Row],[pendingCourt]]&lt;=TrafficData[[#This Row],[totalCourt]],TrafficData[[#This Row],[disposedCourt]]&lt;=TrafficData[[#This Row],[totalCourt]])</f>
        <v>1</v>
      </c>
    </row>
    <row r="1302" spans="1:16">
      <c r="A1302" s="1">
        <v>43305</v>
      </c>
      <c r="B1302">
        <v>13636</v>
      </c>
      <c r="C1302">
        <v>8894</v>
      </c>
      <c r="D1302">
        <v>4742</v>
      </c>
      <c r="E1302">
        <v>10672400</v>
      </c>
      <c r="F1302">
        <v>20000752</v>
      </c>
      <c r="G1302">
        <v>30673152</v>
      </c>
      <c r="H1302">
        <v>1492</v>
      </c>
      <c r="I1302">
        <v>381</v>
      </c>
      <c r="J1302">
        <v>1873</v>
      </c>
      <c r="K1302" t="b">
        <f>TrafficData[[#This Row],[disposedChallan]]+TrafficData[[#This Row],[pendingChallan]]=TrafficData[[#This Row],[totalChallan]]</f>
        <v>1</v>
      </c>
      <c r="L1302" t="b">
        <f>TrafficData[[#This Row],[pendingAmount]]+TrafficData[[#This Row],[disposedAmount]]=TrafficData[[#This Row],[totalAmount]]</f>
        <v>1</v>
      </c>
      <c r="M1302" t="b">
        <f>TrafficData[[#This Row],[pendingCourt]]+TrafficData[[#This Row],[disposedCourt]]=TrafficData[[#This Row],[totalCourt]]</f>
        <v>1</v>
      </c>
      <c r="N1302" t="b">
        <f>AND(TrafficData[[#This Row],[disposedChallan]]&lt;=TrafficData[[#This Row],[totalChallan]],TrafficData[[#This Row],[pendingChallan]]&lt;=TrafficData[[#This Row],[totalChallan]])</f>
        <v>1</v>
      </c>
      <c r="O1302" t="b">
        <f>AND(TrafficData[[#This Row],[pendingAmount]]&lt;=TrafficData[[#This Row],[totalAmount]],TrafficData[[#This Row],[disposedAmount]]&lt;=TrafficData[[#This Row],[totalAmount]])</f>
        <v>1</v>
      </c>
      <c r="P1302" t="b">
        <f>AND(TrafficData[[#This Row],[pendingCourt]]&lt;=TrafficData[[#This Row],[totalCourt]],TrafficData[[#This Row],[disposedCourt]]&lt;=TrafficData[[#This Row],[totalCourt]])</f>
        <v>1</v>
      </c>
    </row>
    <row r="1303" spans="1:16">
      <c r="A1303" s="1">
        <v>43306</v>
      </c>
      <c r="B1303">
        <v>23267</v>
      </c>
      <c r="C1303">
        <v>14462</v>
      </c>
      <c r="D1303">
        <v>8805</v>
      </c>
      <c r="E1303">
        <v>21368021</v>
      </c>
      <c r="F1303">
        <v>18544736</v>
      </c>
      <c r="G1303">
        <v>39912757</v>
      </c>
      <c r="H1303">
        <v>4286</v>
      </c>
      <c r="I1303">
        <v>1011</v>
      </c>
      <c r="J1303">
        <v>5297</v>
      </c>
      <c r="K1303" t="b">
        <f>TrafficData[[#This Row],[disposedChallan]]+TrafficData[[#This Row],[pendingChallan]]=TrafficData[[#This Row],[totalChallan]]</f>
        <v>1</v>
      </c>
      <c r="L1303" t="b">
        <f>TrafficData[[#This Row],[pendingAmount]]+TrafficData[[#This Row],[disposedAmount]]=TrafficData[[#This Row],[totalAmount]]</f>
        <v>1</v>
      </c>
      <c r="M1303" t="b">
        <f>TrafficData[[#This Row],[pendingCourt]]+TrafficData[[#This Row],[disposedCourt]]=TrafficData[[#This Row],[totalCourt]]</f>
        <v>1</v>
      </c>
      <c r="N1303" t="b">
        <f>AND(TrafficData[[#This Row],[disposedChallan]]&lt;=TrafficData[[#This Row],[totalChallan]],TrafficData[[#This Row],[pendingChallan]]&lt;=TrafficData[[#This Row],[totalChallan]])</f>
        <v>1</v>
      </c>
      <c r="O1303" t="b">
        <f>AND(TrafficData[[#This Row],[pendingAmount]]&lt;=TrafficData[[#This Row],[totalAmount]],TrafficData[[#This Row],[disposedAmount]]&lt;=TrafficData[[#This Row],[totalAmount]])</f>
        <v>1</v>
      </c>
      <c r="P1303" t="b">
        <f>AND(TrafficData[[#This Row],[pendingCourt]]&lt;=TrafficData[[#This Row],[totalCourt]],TrafficData[[#This Row],[disposedCourt]]&lt;=TrafficData[[#This Row],[totalCourt]])</f>
        <v>1</v>
      </c>
    </row>
    <row r="1304" spans="1:16">
      <c r="A1304" s="1">
        <v>43307</v>
      </c>
      <c r="B1304">
        <v>11428</v>
      </c>
      <c r="C1304">
        <v>7805</v>
      </c>
      <c r="D1304">
        <v>3623</v>
      </c>
      <c r="E1304">
        <v>10413406</v>
      </c>
      <c r="F1304">
        <v>15846974</v>
      </c>
      <c r="G1304">
        <v>26260380</v>
      </c>
      <c r="H1304">
        <v>951</v>
      </c>
      <c r="I1304">
        <v>247</v>
      </c>
      <c r="J1304">
        <v>1198</v>
      </c>
      <c r="K1304" t="b">
        <f>TrafficData[[#This Row],[disposedChallan]]+TrafficData[[#This Row],[pendingChallan]]=TrafficData[[#This Row],[totalChallan]]</f>
        <v>1</v>
      </c>
      <c r="L1304" t="b">
        <f>TrafficData[[#This Row],[pendingAmount]]+TrafficData[[#This Row],[disposedAmount]]=TrafficData[[#This Row],[totalAmount]]</f>
        <v>1</v>
      </c>
      <c r="M1304" t="b">
        <f>TrafficData[[#This Row],[pendingCourt]]+TrafficData[[#This Row],[disposedCourt]]=TrafficData[[#This Row],[totalCourt]]</f>
        <v>1</v>
      </c>
      <c r="N1304" t="b">
        <f>AND(TrafficData[[#This Row],[disposedChallan]]&lt;=TrafficData[[#This Row],[totalChallan]],TrafficData[[#This Row],[pendingChallan]]&lt;=TrafficData[[#This Row],[totalChallan]])</f>
        <v>1</v>
      </c>
      <c r="O1304" t="b">
        <f>AND(TrafficData[[#This Row],[pendingAmount]]&lt;=TrafficData[[#This Row],[totalAmount]],TrafficData[[#This Row],[disposedAmount]]&lt;=TrafficData[[#This Row],[totalAmount]])</f>
        <v>1</v>
      </c>
      <c r="P1304" t="b">
        <f>AND(TrafficData[[#This Row],[pendingCourt]]&lt;=TrafficData[[#This Row],[totalCourt]],TrafficData[[#This Row],[disposedCourt]]&lt;=TrafficData[[#This Row],[totalCourt]])</f>
        <v>1</v>
      </c>
    </row>
    <row r="1305" spans="1:16">
      <c r="A1305" s="1">
        <v>43308</v>
      </c>
      <c r="B1305">
        <v>12741</v>
      </c>
      <c r="C1305">
        <v>8037</v>
      </c>
      <c r="D1305">
        <v>4704</v>
      </c>
      <c r="E1305">
        <v>13161895</v>
      </c>
      <c r="F1305">
        <v>14553228</v>
      </c>
      <c r="G1305">
        <v>27715123</v>
      </c>
      <c r="H1305">
        <v>1438</v>
      </c>
      <c r="I1305">
        <v>378</v>
      </c>
      <c r="J1305">
        <v>1816</v>
      </c>
      <c r="K1305" t="b">
        <f>TrafficData[[#This Row],[disposedChallan]]+TrafficData[[#This Row],[pendingChallan]]=TrafficData[[#This Row],[totalChallan]]</f>
        <v>1</v>
      </c>
      <c r="L1305" t="b">
        <f>TrafficData[[#This Row],[pendingAmount]]+TrafficData[[#This Row],[disposedAmount]]=TrafficData[[#This Row],[totalAmount]]</f>
        <v>1</v>
      </c>
      <c r="M1305" t="b">
        <f>TrafficData[[#This Row],[pendingCourt]]+TrafficData[[#This Row],[disposedCourt]]=TrafficData[[#This Row],[totalCourt]]</f>
        <v>1</v>
      </c>
      <c r="N1305" t="b">
        <f>AND(TrafficData[[#This Row],[disposedChallan]]&lt;=TrafficData[[#This Row],[totalChallan]],TrafficData[[#This Row],[pendingChallan]]&lt;=TrafficData[[#This Row],[totalChallan]])</f>
        <v>1</v>
      </c>
      <c r="O1305" t="b">
        <f>AND(TrafficData[[#This Row],[pendingAmount]]&lt;=TrafficData[[#This Row],[totalAmount]],TrafficData[[#This Row],[disposedAmount]]&lt;=TrafficData[[#This Row],[totalAmount]])</f>
        <v>1</v>
      </c>
      <c r="P1305" t="b">
        <f>AND(TrafficData[[#This Row],[pendingCourt]]&lt;=TrafficData[[#This Row],[totalCourt]],TrafficData[[#This Row],[disposedCourt]]&lt;=TrafficData[[#This Row],[totalCourt]])</f>
        <v>1</v>
      </c>
    </row>
    <row r="1306" spans="1:16">
      <c r="A1306" s="1">
        <v>43309</v>
      </c>
      <c r="B1306">
        <v>13333</v>
      </c>
      <c r="C1306">
        <v>9349</v>
      </c>
      <c r="D1306">
        <v>3984</v>
      </c>
      <c r="E1306">
        <v>6685181</v>
      </c>
      <c r="F1306">
        <v>14635162</v>
      </c>
      <c r="G1306">
        <v>21320343</v>
      </c>
      <c r="H1306">
        <v>1335</v>
      </c>
      <c r="I1306">
        <v>284</v>
      </c>
      <c r="J1306">
        <v>1619</v>
      </c>
      <c r="K1306" t="b">
        <f>TrafficData[[#This Row],[disposedChallan]]+TrafficData[[#This Row],[pendingChallan]]=TrafficData[[#This Row],[totalChallan]]</f>
        <v>1</v>
      </c>
      <c r="L1306" t="b">
        <f>TrafficData[[#This Row],[pendingAmount]]+TrafficData[[#This Row],[disposedAmount]]=TrafficData[[#This Row],[totalAmount]]</f>
        <v>1</v>
      </c>
      <c r="M1306" t="b">
        <f>TrafficData[[#This Row],[pendingCourt]]+TrafficData[[#This Row],[disposedCourt]]=TrafficData[[#This Row],[totalCourt]]</f>
        <v>1</v>
      </c>
      <c r="N1306" t="b">
        <f>AND(TrafficData[[#This Row],[disposedChallan]]&lt;=TrafficData[[#This Row],[totalChallan]],TrafficData[[#This Row],[pendingChallan]]&lt;=TrafficData[[#This Row],[totalChallan]])</f>
        <v>1</v>
      </c>
      <c r="O1306" t="b">
        <f>AND(TrafficData[[#This Row],[pendingAmount]]&lt;=TrafficData[[#This Row],[totalAmount]],TrafficData[[#This Row],[disposedAmount]]&lt;=TrafficData[[#This Row],[totalAmount]])</f>
        <v>1</v>
      </c>
      <c r="P1306" t="b">
        <f>AND(TrafficData[[#This Row],[pendingCourt]]&lt;=TrafficData[[#This Row],[totalCourt]],TrafficData[[#This Row],[disposedCourt]]&lt;=TrafficData[[#This Row],[totalCourt]])</f>
        <v>1</v>
      </c>
    </row>
    <row r="1307" spans="1:16">
      <c r="A1307" s="1">
        <v>43310</v>
      </c>
      <c r="B1307">
        <v>11085</v>
      </c>
      <c r="C1307">
        <v>8204</v>
      </c>
      <c r="D1307">
        <v>2881</v>
      </c>
      <c r="E1307">
        <v>8252055</v>
      </c>
      <c r="F1307">
        <v>11221745</v>
      </c>
      <c r="G1307">
        <v>19473800</v>
      </c>
      <c r="H1307">
        <v>803</v>
      </c>
      <c r="I1307">
        <v>145</v>
      </c>
      <c r="J1307">
        <v>948</v>
      </c>
      <c r="K1307" t="b">
        <f>TrafficData[[#This Row],[disposedChallan]]+TrafficData[[#This Row],[pendingChallan]]=TrafficData[[#This Row],[totalChallan]]</f>
        <v>1</v>
      </c>
      <c r="L1307" t="b">
        <f>TrafficData[[#This Row],[pendingAmount]]+TrafficData[[#This Row],[disposedAmount]]=TrafficData[[#This Row],[totalAmount]]</f>
        <v>1</v>
      </c>
      <c r="M1307" t="b">
        <f>TrafficData[[#This Row],[pendingCourt]]+TrafficData[[#This Row],[disposedCourt]]=TrafficData[[#This Row],[totalCourt]]</f>
        <v>1</v>
      </c>
      <c r="N1307" t="b">
        <f>AND(TrafficData[[#This Row],[disposedChallan]]&lt;=TrafficData[[#This Row],[totalChallan]],TrafficData[[#This Row],[pendingChallan]]&lt;=TrafficData[[#This Row],[totalChallan]])</f>
        <v>1</v>
      </c>
      <c r="O1307" t="b">
        <f>AND(TrafficData[[#This Row],[pendingAmount]]&lt;=TrafficData[[#This Row],[totalAmount]],TrafficData[[#This Row],[disposedAmount]]&lt;=TrafficData[[#This Row],[totalAmount]])</f>
        <v>1</v>
      </c>
      <c r="P1307" t="b">
        <f>AND(TrafficData[[#This Row],[pendingCourt]]&lt;=TrafficData[[#This Row],[totalCourt]],TrafficData[[#This Row],[disposedCourt]]&lt;=TrafficData[[#This Row],[totalCourt]])</f>
        <v>1</v>
      </c>
    </row>
    <row r="1308" spans="1:16">
      <c r="A1308" s="1">
        <v>43311</v>
      </c>
      <c r="B1308">
        <v>15344</v>
      </c>
      <c r="C1308">
        <v>11163</v>
      </c>
      <c r="D1308">
        <v>4181</v>
      </c>
      <c r="E1308">
        <v>11461174</v>
      </c>
      <c r="F1308">
        <v>17123365</v>
      </c>
      <c r="G1308">
        <v>28584539</v>
      </c>
      <c r="H1308">
        <v>1542</v>
      </c>
      <c r="I1308">
        <v>410</v>
      </c>
      <c r="J1308">
        <v>1952</v>
      </c>
      <c r="K1308" t="b">
        <f>TrafficData[[#This Row],[disposedChallan]]+TrafficData[[#This Row],[pendingChallan]]=TrafficData[[#This Row],[totalChallan]]</f>
        <v>1</v>
      </c>
      <c r="L1308" t="b">
        <f>TrafficData[[#This Row],[pendingAmount]]+TrafficData[[#This Row],[disposedAmount]]=TrafficData[[#This Row],[totalAmount]]</f>
        <v>1</v>
      </c>
      <c r="M1308" t="b">
        <f>TrafficData[[#This Row],[pendingCourt]]+TrafficData[[#This Row],[disposedCourt]]=TrafficData[[#This Row],[totalCourt]]</f>
        <v>1</v>
      </c>
      <c r="N1308" t="b">
        <f>AND(TrafficData[[#This Row],[disposedChallan]]&lt;=TrafficData[[#This Row],[totalChallan]],TrafficData[[#This Row],[pendingChallan]]&lt;=TrafficData[[#This Row],[totalChallan]])</f>
        <v>1</v>
      </c>
      <c r="O1308" t="b">
        <f>AND(TrafficData[[#This Row],[pendingAmount]]&lt;=TrafficData[[#This Row],[totalAmount]],TrafficData[[#This Row],[disposedAmount]]&lt;=TrafficData[[#This Row],[totalAmount]])</f>
        <v>1</v>
      </c>
      <c r="P1308" t="b">
        <f>AND(TrafficData[[#This Row],[pendingCourt]]&lt;=TrafficData[[#This Row],[totalCourt]],TrafficData[[#This Row],[disposedCourt]]&lt;=TrafficData[[#This Row],[totalCourt]])</f>
        <v>1</v>
      </c>
    </row>
    <row r="1309" spans="1:16">
      <c r="A1309" s="1">
        <v>43312</v>
      </c>
      <c r="B1309">
        <v>16519</v>
      </c>
      <c r="C1309">
        <v>12108</v>
      </c>
      <c r="D1309">
        <v>4411</v>
      </c>
      <c r="E1309">
        <v>10084451</v>
      </c>
      <c r="F1309">
        <v>24436113</v>
      </c>
      <c r="G1309">
        <v>34520564</v>
      </c>
      <c r="H1309">
        <v>1926</v>
      </c>
      <c r="I1309">
        <v>396</v>
      </c>
      <c r="J1309">
        <v>2322</v>
      </c>
      <c r="K1309" t="b">
        <f>TrafficData[[#This Row],[disposedChallan]]+TrafficData[[#This Row],[pendingChallan]]=TrafficData[[#This Row],[totalChallan]]</f>
        <v>1</v>
      </c>
      <c r="L1309" t="b">
        <f>TrafficData[[#This Row],[pendingAmount]]+TrafficData[[#This Row],[disposedAmount]]=TrafficData[[#This Row],[totalAmount]]</f>
        <v>1</v>
      </c>
      <c r="M1309" t="b">
        <f>TrafficData[[#This Row],[pendingCourt]]+TrafficData[[#This Row],[disposedCourt]]=TrafficData[[#This Row],[totalCourt]]</f>
        <v>1</v>
      </c>
      <c r="N1309" t="b">
        <f>AND(TrafficData[[#This Row],[disposedChallan]]&lt;=TrafficData[[#This Row],[totalChallan]],TrafficData[[#This Row],[pendingChallan]]&lt;=TrafficData[[#This Row],[totalChallan]])</f>
        <v>1</v>
      </c>
      <c r="O1309" t="b">
        <f>AND(TrafficData[[#This Row],[pendingAmount]]&lt;=TrafficData[[#This Row],[totalAmount]],TrafficData[[#This Row],[disposedAmount]]&lt;=TrafficData[[#This Row],[totalAmount]])</f>
        <v>1</v>
      </c>
      <c r="P1309" t="b">
        <f>AND(TrafficData[[#This Row],[pendingCourt]]&lt;=TrafficData[[#This Row],[totalCourt]],TrafficData[[#This Row],[disposedCourt]]&lt;=TrafficData[[#This Row],[totalCourt]])</f>
        <v>1</v>
      </c>
    </row>
    <row r="1310" spans="1:16">
      <c r="A1310" s="1">
        <v>43313</v>
      </c>
      <c r="B1310">
        <v>23240</v>
      </c>
      <c r="C1310">
        <v>16538</v>
      </c>
      <c r="D1310">
        <v>6702</v>
      </c>
      <c r="E1310">
        <v>14906334</v>
      </c>
      <c r="F1310">
        <v>26328390</v>
      </c>
      <c r="G1310">
        <v>41234724</v>
      </c>
      <c r="H1310">
        <v>4262</v>
      </c>
      <c r="I1310">
        <v>860</v>
      </c>
      <c r="J1310">
        <v>5122</v>
      </c>
      <c r="K1310" t="b">
        <f>TrafficData[[#This Row],[disposedChallan]]+TrafficData[[#This Row],[pendingChallan]]=TrafficData[[#This Row],[totalChallan]]</f>
        <v>1</v>
      </c>
      <c r="L1310" t="b">
        <f>TrafficData[[#This Row],[pendingAmount]]+TrafficData[[#This Row],[disposedAmount]]=TrafficData[[#This Row],[totalAmount]]</f>
        <v>1</v>
      </c>
      <c r="M1310" t="b">
        <f>TrafficData[[#This Row],[pendingCourt]]+TrafficData[[#This Row],[disposedCourt]]=TrafficData[[#This Row],[totalCourt]]</f>
        <v>1</v>
      </c>
      <c r="N1310" t="b">
        <f>AND(TrafficData[[#This Row],[disposedChallan]]&lt;=TrafficData[[#This Row],[totalChallan]],TrafficData[[#This Row],[pendingChallan]]&lt;=TrafficData[[#This Row],[totalChallan]])</f>
        <v>1</v>
      </c>
      <c r="O1310" t="b">
        <f>AND(TrafficData[[#This Row],[pendingAmount]]&lt;=TrafficData[[#This Row],[totalAmount]],TrafficData[[#This Row],[disposedAmount]]&lt;=TrafficData[[#This Row],[totalAmount]])</f>
        <v>1</v>
      </c>
      <c r="P1310" t="b">
        <f>AND(TrafficData[[#This Row],[pendingCourt]]&lt;=TrafficData[[#This Row],[totalCourt]],TrafficData[[#This Row],[disposedCourt]]&lt;=TrafficData[[#This Row],[totalCourt]])</f>
        <v>1</v>
      </c>
    </row>
    <row r="1311" spans="1:16">
      <c r="A1311" s="1">
        <v>43314</v>
      </c>
      <c r="B1311">
        <v>14939</v>
      </c>
      <c r="C1311">
        <v>11199</v>
      </c>
      <c r="D1311">
        <v>3740</v>
      </c>
      <c r="E1311">
        <v>9267905</v>
      </c>
      <c r="F1311">
        <v>24901180</v>
      </c>
      <c r="G1311">
        <v>34169085</v>
      </c>
      <c r="H1311">
        <v>1218</v>
      </c>
      <c r="I1311">
        <v>433</v>
      </c>
      <c r="J1311">
        <v>1651</v>
      </c>
      <c r="K1311" t="b">
        <f>TrafficData[[#This Row],[disposedChallan]]+TrafficData[[#This Row],[pendingChallan]]=TrafficData[[#This Row],[totalChallan]]</f>
        <v>1</v>
      </c>
      <c r="L1311" t="b">
        <f>TrafficData[[#This Row],[pendingAmount]]+TrafficData[[#This Row],[disposedAmount]]=TrafficData[[#This Row],[totalAmount]]</f>
        <v>1</v>
      </c>
      <c r="M1311" t="b">
        <f>TrafficData[[#This Row],[pendingCourt]]+TrafficData[[#This Row],[disposedCourt]]=TrafficData[[#This Row],[totalCourt]]</f>
        <v>1</v>
      </c>
      <c r="N1311" t="b">
        <f>AND(TrafficData[[#This Row],[disposedChallan]]&lt;=TrafficData[[#This Row],[totalChallan]],TrafficData[[#This Row],[pendingChallan]]&lt;=TrafficData[[#This Row],[totalChallan]])</f>
        <v>1</v>
      </c>
      <c r="O1311" t="b">
        <f>AND(TrafficData[[#This Row],[pendingAmount]]&lt;=TrafficData[[#This Row],[totalAmount]],TrafficData[[#This Row],[disposedAmount]]&lt;=TrafficData[[#This Row],[totalAmount]])</f>
        <v>1</v>
      </c>
      <c r="P1311" t="b">
        <f>AND(TrafficData[[#This Row],[pendingCourt]]&lt;=TrafficData[[#This Row],[totalCourt]],TrafficData[[#This Row],[disposedCourt]]&lt;=TrafficData[[#This Row],[totalCourt]])</f>
        <v>1</v>
      </c>
    </row>
    <row r="1312" spans="1:16">
      <c r="A1312" s="1">
        <v>43315</v>
      </c>
      <c r="B1312">
        <v>14681</v>
      </c>
      <c r="C1312">
        <v>11073</v>
      </c>
      <c r="D1312">
        <v>3608</v>
      </c>
      <c r="E1312">
        <v>10893085</v>
      </c>
      <c r="F1312">
        <v>21637393</v>
      </c>
      <c r="G1312">
        <v>32530478</v>
      </c>
      <c r="H1312">
        <v>1549</v>
      </c>
      <c r="I1312">
        <v>407</v>
      </c>
      <c r="J1312">
        <v>1956</v>
      </c>
      <c r="K1312" t="b">
        <f>TrafficData[[#This Row],[disposedChallan]]+TrafficData[[#This Row],[pendingChallan]]=TrafficData[[#This Row],[totalChallan]]</f>
        <v>1</v>
      </c>
      <c r="L1312" t="b">
        <f>TrafficData[[#This Row],[pendingAmount]]+TrafficData[[#This Row],[disposedAmount]]=TrafficData[[#This Row],[totalAmount]]</f>
        <v>1</v>
      </c>
      <c r="M1312" t="b">
        <f>TrafficData[[#This Row],[pendingCourt]]+TrafficData[[#This Row],[disposedCourt]]=TrafficData[[#This Row],[totalCourt]]</f>
        <v>1</v>
      </c>
      <c r="N1312" t="b">
        <f>AND(TrafficData[[#This Row],[disposedChallan]]&lt;=TrafficData[[#This Row],[totalChallan]],TrafficData[[#This Row],[pendingChallan]]&lt;=TrafficData[[#This Row],[totalChallan]])</f>
        <v>1</v>
      </c>
      <c r="O1312" t="b">
        <f>AND(TrafficData[[#This Row],[pendingAmount]]&lt;=TrafficData[[#This Row],[totalAmount]],TrafficData[[#This Row],[disposedAmount]]&lt;=TrafficData[[#This Row],[totalAmount]])</f>
        <v>1</v>
      </c>
      <c r="P1312" t="b">
        <f>AND(TrafficData[[#This Row],[pendingCourt]]&lt;=TrafficData[[#This Row],[totalCourt]],TrafficData[[#This Row],[disposedCourt]]&lt;=TrafficData[[#This Row],[totalCourt]])</f>
        <v>1</v>
      </c>
    </row>
    <row r="1313" spans="1:16">
      <c r="A1313" s="1">
        <v>43316</v>
      </c>
      <c r="B1313">
        <v>15329</v>
      </c>
      <c r="C1313">
        <v>11304</v>
      </c>
      <c r="D1313">
        <v>4025</v>
      </c>
      <c r="E1313">
        <v>9599425</v>
      </c>
      <c r="F1313">
        <v>21423154</v>
      </c>
      <c r="G1313">
        <v>31022579</v>
      </c>
      <c r="H1313">
        <v>1621</v>
      </c>
      <c r="I1313">
        <v>558</v>
      </c>
      <c r="J1313">
        <v>2179</v>
      </c>
      <c r="K1313" t="b">
        <f>TrafficData[[#This Row],[disposedChallan]]+TrafficData[[#This Row],[pendingChallan]]=TrafficData[[#This Row],[totalChallan]]</f>
        <v>1</v>
      </c>
      <c r="L1313" t="b">
        <f>TrafficData[[#This Row],[pendingAmount]]+TrafficData[[#This Row],[disposedAmount]]=TrafficData[[#This Row],[totalAmount]]</f>
        <v>1</v>
      </c>
      <c r="M1313" t="b">
        <f>TrafficData[[#This Row],[pendingCourt]]+TrafficData[[#This Row],[disposedCourt]]=TrafficData[[#This Row],[totalCourt]]</f>
        <v>1</v>
      </c>
      <c r="N1313" t="b">
        <f>AND(TrafficData[[#This Row],[disposedChallan]]&lt;=TrafficData[[#This Row],[totalChallan]],TrafficData[[#This Row],[pendingChallan]]&lt;=TrafficData[[#This Row],[totalChallan]])</f>
        <v>1</v>
      </c>
      <c r="O1313" t="b">
        <f>AND(TrafficData[[#This Row],[pendingAmount]]&lt;=TrafficData[[#This Row],[totalAmount]],TrafficData[[#This Row],[disposedAmount]]&lt;=TrafficData[[#This Row],[totalAmount]])</f>
        <v>1</v>
      </c>
      <c r="P1313" t="b">
        <f>AND(TrafficData[[#This Row],[pendingCourt]]&lt;=TrafficData[[#This Row],[totalCourt]],TrafficData[[#This Row],[disposedCourt]]&lt;=TrafficData[[#This Row],[totalCourt]])</f>
        <v>1</v>
      </c>
    </row>
    <row r="1314" spans="1:16">
      <c r="A1314" s="1">
        <v>43317</v>
      </c>
      <c r="B1314">
        <v>11338</v>
      </c>
      <c r="C1314">
        <v>9688</v>
      </c>
      <c r="D1314">
        <v>1650</v>
      </c>
      <c r="E1314">
        <v>3132205</v>
      </c>
      <c r="F1314">
        <v>13267664</v>
      </c>
      <c r="G1314">
        <v>16399869</v>
      </c>
      <c r="H1314">
        <v>761</v>
      </c>
      <c r="I1314">
        <v>246</v>
      </c>
      <c r="J1314">
        <v>1007</v>
      </c>
      <c r="K1314" t="b">
        <f>TrafficData[[#This Row],[disposedChallan]]+TrafficData[[#This Row],[pendingChallan]]=TrafficData[[#This Row],[totalChallan]]</f>
        <v>1</v>
      </c>
      <c r="L1314" t="b">
        <f>TrafficData[[#This Row],[pendingAmount]]+TrafficData[[#This Row],[disposedAmount]]=TrafficData[[#This Row],[totalAmount]]</f>
        <v>1</v>
      </c>
      <c r="M1314" t="b">
        <f>TrafficData[[#This Row],[pendingCourt]]+TrafficData[[#This Row],[disposedCourt]]=TrafficData[[#This Row],[totalCourt]]</f>
        <v>1</v>
      </c>
      <c r="N1314" t="b">
        <f>AND(TrafficData[[#This Row],[disposedChallan]]&lt;=TrafficData[[#This Row],[totalChallan]],TrafficData[[#This Row],[pendingChallan]]&lt;=TrafficData[[#This Row],[totalChallan]])</f>
        <v>1</v>
      </c>
      <c r="O1314" t="b">
        <f>AND(TrafficData[[#This Row],[pendingAmount]]&lt;=TrafficData[[#This Row],[totalAmount]],TrafficData[[#This Row],[disposedAmount]]&lt;=TrafficData[[#This Row],[totalAmount]])</f>
        <v>1</v>
      </c>
      <c r="P1314" t="b">
        <f>AND(TrafficData[[#This Row],[pendingCourt]]&lt;=TrafficData[[#This Row],[totalCourt]],TrafficData[[#This Row],[disposedCourt]]&lt;=TrafficData[[#This Row],[totalCourt]])</f>
        <v>1</v>
      </c>
    </row>
    <row r="1315" spans="1:16">
      <c r="A1315" s="1">
        <v>43318</v>
      </c>
      <c r="B1315">
        <v>13851</v>
      </c>
      <c r="C1315">
        <v>11033</v>
      </c>
      <c r="D1315">
        <v>2818</v>
      </c>
      <c r="E1315">
        <v>5709114</v>
      </c>
      <c r="F1315">
        <v>19108436</v>
      </c>
      <c r="G1315">
        <v>24817550</v>
      </c>
      <c r="H1315">
        <v>1151</v>
      </c>
      <c r="I1315">
        <v>445</v>
      </c>
      <c r="J1315">
        <v>1596</v>
      </c>
      <c r="K1315" t="b">
        <f>TrafficData[[#This Row],[disposedChallan]]+TrafficData[[#This Row],[pendingChallan]]=TrafficData[[#This Row],[totalChallan]]</f>
        <v>1</v>
      </c>
      <c r="L1315" t="b">
        <f>TrafficData[[#This Row],[pendingAmount]]+TrafficData[[#This Row],[disposedAmount]]=TrafficData[[#This Row],[totalAmount]]</f>
        <v>1</v>
      </c>
      <c r="M1315" t="b">
        <f>TrafficData[[#This Row],[pendingCourt]]+TrafficData[[#This Row],[disposedCourt]]=TrafficData[[#This Row],[totalCourt]]</f>
        <v>1</v>
      </c>
      <c r="N1315" t="b">
        <f>AND(TrafficData[[#This Row],[disposedChallan]]&lt;=TrafficData[[#This Row],[totalChallan]],TrafficData[[#This Row],[pendingChallan]]&lt;=TrafficData[[#This Row],[totalChallan]])</f>
        <v>1</v>
      </c>
      <c r="O1315" t="b">
        <f>AND(TrafficData[[#This Row],[pendingAmount]]&lt;=TrafficData[[#This Row],[totalAmount]],TrafficData[[#This Row],[disposedAmount]]&lt;=TrafficData[[#This Row],[totalAmount]])</f>
        <v>1</v>
      </c>
      <c r="P1315" t="b">
        <f>AND(TrafficData[[#This Row],[pendingCourt]]&lt;=TrafficData[[#This Row],[totalCourt]],TrafficData[[#This Row],[disposedCourt]]&lt;=TrafficData[[#This Row],[totalCourt]])</f>
        <v>1</v>
      </c>
    </row>
    <row r="1316" spans="1:16">
      <c r="A1316" s="1">
        <v>43319</v>
      </c>
      <c r="B1316">
        <v>13778</v>
      </c>
      <c r="C1316">
        <v>10770</v>
      </c>
      <c r="D1316">
        <v>3008</v>
      </c>
      <c r="E1316">
        <v>5748975</v>
      </c>
      <c r="F1316">
        <v>21873492</v>
      </c>
      <c r="G1316">
        <v>27622467</v>
      </c>
      <c r="H1316">
        <v>1294</v>
      </c>
      <c r="I1316">
        <v>445</v>
      </c>
      <c r="J1316">
        <v>1739</v>
      </c>
      <c r="K1316" t="b">
        <f>TrafficData[[#This Row],[disposedChallan]]+TrafficData[[#This Row],[pendingChallan]]=TrafficData[[#This Row],[totalChallan]]</f>
        <v>1</v>
      </c>
      <c r="L1316" t="b">
        <f>TrafficData[[#This Row],[pendingAmount]]+TrafficData[[#This Row],[disposedAmount]]=TrafficData[[#This Row],[totalAmount]]</f>
        <v>1</v>
      </c>
      <c r="M1316" t="b">
        <f>TrafficData[[#This Row],[pendingCourt]]+TrafficData[[#This Row],[disposedCourt]]=TrafficData[[#This Row],[totalCourt]]</f>
        <v>1</v>
      </c>
      <c r="N1316" t="b">
        <f>AND(TrafficData[[#This Row],[disposedChallan]]&lt;=TrafficData[[#This Row],[totalChallan]],TrafficData[[#This Row],[pendingChallan]]&lt;=TrafficData[[#This Row],[totalChallan]])</f>
        <v>1</v>
      </c>
      <c r="O1316" t="b">
        <f>AND(TrafficData[[#This Row],[pendingAmount]]&lt;=TrafficData[[#This Row],[totalAmount]],TrafficData[[#This Row],[disposedAmount]]&lt;=TrafficData[[#This Row],[totalAmount]])</f>
        <v>1</v>
      </c>
      <c r="P1316" t="b">
        <f>AND(TrafficData[[#This Row],[pendingCourt]]&lt;=TrafficData[[#This Row],[totalCourt]],TrafficData[[#This Row],[disposedCourt]]&lt;=TrafficData[[#This Row],[totalCourt]])</f>
        <v>1</v>
      </c>
    </row>
    <row r="1317" spans="1:16">
      <c r="A1317" s="1">
        <v>43320</v>
      </c>
      <c r="B1317">
        <v>20399</v>
      </c>
      <c r="C1317">
        <v>15309</v>
      </c>
      <c r="D1317">
        <v>5090</v>
      </c>
      <c r="E1317">
        <v>8718747</v>
      </c>
      <c r="F1317">
        <v>28985231</v>
      </c>
      <c r="G1317">
        <v>37703978</v>
      </c>
      <c r="H1317">
        <v>3564</v>
      </c>
      <c r="I1317">
        <v>947</v>
      </c>
      <c r="J1317">
        <v>4511</v>
      </c>
      <c r="K1317" t="b">
        <f>TrafficData[[#This Row],[disposedChallan]]+TrafficData[[#This Row],[pendingChallan]]=TrafficData[[#This Row],[totalChallan]]</f>
        <v>1</v>
      </c>
      <c r="L1317" t="b">
        <f>TrafficData[[#This Row],[pendingAmount]]+TrafficData[[#This Row],[disposedAmount]]=TrafficData[[#This Row],[totalAmount]]</f>
        <v>1</v>
      </c>
      <c r="M1317" t="b">
        <f>TrafficData[[#This Row],[pendingCourt]]+TrafficData[[#This Row],[disposedCourt]]=TrafficData[[#This Row],[totalCourt]]</f>
        <v>1</v>
      </c>
      <c r="N1317" t="b">
        <f>AND(TrafficData[[#This Row],[disposedChallan]]&lt;=TrafficData[[#This Row],[totalChallan]],TrafficData[[#This Row],[pendingChallan]]&lt;=TrafficData[[#This Row],[totalChallan]])</f>
        <v>1</v>
      </c>
      <c r="O1317" t="b">
        <f>AND(TrafficData[[#This Row],[pendingAmount]]&lt;=TrafficData[[#This Row],[totalAmount]],TrafficData[[#This Row],[disposedAmount]]&lt;=TrafficData[[#This Row],[totalAmount]])</f>
        <v>1</v>
      </c>
      <c r="P1317" t="b">
        <f>AND(TrafficData[[#This Row],[pendingCourt]]&lt;=TrafficData[[#This Row],[totalCourt]],TrafficData[[#This Row],[disposedCourt]]&lt;=TrafficData[[#This Row],[totalCourt]])</f>
        <v>1</v>
      </c>
    </row>
    <row r="1318" spans="1:16">
      <c r="A1318" s="1">
        <v>43321</v>
      </c>
      <c r="B1318">
        <v>12263</v>
      </c>
      <c r="C1318">
        <v>9603</v>
      </c>
      <c r="D1318">
        <v>2660</v>
      </c>
      <c r="E1318">
        <v>12622286</v>
      </c>
      <c r="F1318">
        <v>18397354</v>
      </c>
      <c r="G1318">
        <v>31019640</v>
      </c>
      <c r="H1318">
        <v>1290</v>
      </c>
      <c r="I1318">
        <v>416</v>
      </c>
      <c r="J1318">
        <v>1706</v>
      </c>
      <c r="K1318" t="b">
        <f>TrafficData[[#This Row],[disposedChallan]]+TrafficData[[#This Row],[pendingChallan]]=TrafficData[[#This Row],[totalChallan]]</f>
        <v>1</v>
      </c>
      <c r="L1318" t="b">
        <f>TrafficData[[#This Row],[pendingAmount]]+TrafficData[[#This Row],[disposedAmount]]=TrafficData[[#This Row],[totalAmount]]</f>
        <v>1</v>
      </c>
      <c r="M1318" t="b">
        <f>TrafficData[[#This Row],[pendingCourt]]+TrafficData[[#This Row],[disposedCourt]]=TrafficData[[#This Row],[totalCourt]]</f>
        <v>1</v>
      </c>
      <c r="N1318" t="b">
        <f>AND(TrafficData[[#This Row],[disposedChallan]]&lt;=TrafficData[[#This Row],[totalChallan]],TrafficData[[#This Row],[pendingChallan]]&lt;=TrafficData[[#This Row],[totalChallan]])</f>
        <v>1</v>
      </c>
      <c r="O1318" t="b">
        <f>AND(TrafficData[[#This Row],[pendingAmount]]&lt;=TrafficData[[#This Row],[totalAmount]],TrafficData[[#This Row],[disposedAmount]]&lt;=TrafficData[[#This Row],[totalAmount]])</f>
        <v>1</v>
      </c>
      <c r="P1318" t="b">
        <f>AND(TrafficData[[#This Row],[pendingCourt]]&lt;=TrafficData[[#This Row],[totalCourt]],TrafficData[[#This Row],[disposedCourt]]&lt;=TrafficData[[#This Row],[totalCourt]])</f>
        <v>1</v>
      </c>
    </row>
    <row r="1319" spans="1:16">
      <c r="A1319" s="1">
        <v>43322</v>
      </c>
      <c r="B1319">
        <v>13924</v>
      </c>
      <c r="C1319">
        <v>11299</v>
      </c>
      <c r="D1319">
        <v>2625</v>
      </c>
      <c r="E1319">
        <v>5309243</v>
      </c>
      <c r="F1319">
        <v>22107027</v>
      </c>
      <c r="G1319">
        <v>27416270</v>
      </c>
      <c r="H1319">
        <v>1204</v>
      </c>
      <c r="I1319">
        <v>460</v>
      </c>
      <c r="J1319">
        <v>1664</v>
      </c>
      <c r="K1319" t="b">
        <f>TrafficData[[#This Row],[disposedChallan]]+TrafficData[[#This Row],[pendingChallan]]=TrafficData[[#This Row],[totalChallan]]</f>
        <v>1</v>
      </c>
      <c r="L1319" t="b">
        <f>TrafficData[[#This Row],[pendingAmount]]+TrafficData[[#This Row],[disposedAmount]]=TrafficData[[#This Row],[totalAmount]]</f>
        <v>1</v>
      </c>
      <c r="M1319" t="b">
        <f>TrafficData[[#This Row],[pendingCourt]]+TrafficData[[#This Row],[disposedCourt]]=TrafficData[[#This Row],[totalCourt]]</f>
        <v>1</v>
      </c>
      <c r="N1319" t="b">
        <f>AND(TrafficData[[#This Row],[disposedChallan]]&lt;=TrafficData[[#This Row],[totalChallan]],TrafficData[[#This Row],[pendingChallan]]&lt;=TrafficData[[#This Row],[totalChallan]])</f>
        <v>1</v>
      </c>
      <c r="O1319" t="b">
        <f>AND(TrafficData[[#This Row],[pendingAmount]]&lt;=TrafficData[[#This Row],[totalAmount]],TrafficData[[#This Row],[disposedAmount]]&lt;=TrafficData[[#This Row],[totalAmount]])</f>
        <v>1</v>
      </c>
      <c r="P1319" t="b">
        <f>AND(TrafficData[[#This Row],[pendingCourt]]&lt;=TrafficData[[#This Row],[totalCourt]],TrafficData[[#This Row],[disposedCourt]]&lt;=TrafficData[[#This Row],[totalCourt]])</f>
        <v>1</v>
      </c>
    </row>
    <row r="1320" spans="1:16">
      <c r="A1320" s="1">
        <v>43323</v>
      </c>
      <c r="B1320">
        <v>12243</v>
      </c>
      <c r="C1320">
        <v>10258</v>
      </c>
      <c r="D1320">
        <v>1985</v>
      </c>
      <c r="E1320">
        <v>3115000</v>
      </c>
      <c r="F1320">
        <v>22961119</v>
      </c>
      <c r="G1320">
        <v>26076119</v>
      </c>
      <c r="H1320">
        <v>1156</v>
      </c>
      <c r="I1320">
        <v>347</v>
      </c>
      <c r="J1320">
        <v>1503</v>
      </c>
      <c r="K1320" t="b">
        <f>TrafficData[[#This Row],[disposedChallan]]+TrafficData[[#This Row],[pendingChallan]]=TrafficData[[#This Row],[totalChallan]]</f>
        <v>1</v>
      </c>
      <c r="L1320" t="b">
        <f>TrafficData[[#This Row],[pendingAmount]]+TrafficData[[#This Row],[disposedAmount]]=TrafficData[[#This Row],[totalAmount]]</f>
        <v>1</v>
      </c>
      <c r="M1320" t="b">
        <f>TrafficData[[#This Row],[pendingCourt]]+TrafficData[[#This Row],[disposedCourt]]=TrafficData[[#This Row],[totalCourt]]</f>
        <v>1</v>
      </c>
      <c r="N1320" t="b">
        <f>AND(TrafficData[[#This Row],[disposedChallan]]&lt;=TrafficData[[#This Row],[totalChallan]],TrafficData[[#This Row],[pendingChallan]]&lt;=TrafficData[[#This Row],[totalChallan]])</f>
        <v>1</v>
      </c>
      <c r="O1320" t="b">
        <f>AND(TrafficData[[#This Row],[pendingAmount]]&lt;=TrafficData[[#This Row],[totalAmount]],TrafficData[[#This Row],[disposedAmount]]&lt;=TrafficData[[#This Row],[totalAmount]])</f>
        <v>1</v>
      </c>
      <c r="P1320" t="b">
        <f>AND(TrafficData[[#This Row],[pendingCourt]]&lt;=TrafficData[[#This Row],[totalCourt]],TrafficData[[#This Row],[disposedCourt]]&lt;=TrafficData[[#This Row],[totalCourt]])</f>
        <v>1</v>
      </c>
    </row>
    <row r="1321" spans="1:16">
      <c r="A1321" s="1">
        <v>43324</v>
      </c>
      <c r="B1321">
        <v>9302</v>
      </c>
      <c r="C1321">
        <v>7880</v>
      </c>
      <c r="D1321">
        <v>1422</v>
      </c>
      <c r="E1321">
        <v>2128297</v>
      </c>
      <c r="F1321">
        <v>13270604</v>
      </c>
      <c r="G1321">
        <v>15398901</v>
      </c>
      <c r="H1321">
        <v>809</v>
      </c>
      <c r="I1321">
        <v>154</v>
      </c>
      <c r="J1321">
        <v>963</v>
      </c>
      <c r="K1321" t="b">
        <f>TrafficData[[#This Row],[disposedChallan]]+TrafficData[[#This Row],[pendingChallan]]=TrafficData[[#This Row],[totalChallan]]</f>
        <v>1</v>
      </c>
      <c r="L1321" t="b">
        <f>TrafficData[[#This Row],[pendingAmount]]+TrafficData[[#This Row],[disposedAmount]]=TrafficData[[#This Row],[totalAmount]]</f>
        <v>1</v>
      </c>
      <c r="M1321" t="b">
        <f>TrafficData[[#This Row],[pendingCourt]]+TrafficData[[#This Row],[disposedCourt]]=TrafficData[[#This Row],[totalCourt]]</f>
        <v>1</v>
      </c>
      <c r="N1321" t="b">
        <f>AND(TrafficData[[#This Row],[disposedChallan]]&lt;=TrafficData[[#This Row],[totalChallan]],TrafficData[[#This Row],[pendingChallan]]&lt;=TrafficData[[#This Row],[totalChallan]])</f>
        <v>1</v>
      </c>
      <c r="O1321" t="b">
        <f>AND(TrafficData[[#This Row],[pendingAmount]]&lt;=TrafficData[[#This Row],[totalAmount]],TrafficData[[#This Row],[disposedAmount]]&lt;=TrafficData[[#This Row],[totalAmount]])</f>
        <v>1</v>
      </c>
      <c r="P1321" t="b">
        <f>AND(TrafficData[[#This Row],[pendingCourt]]&lt;=TrafficData[[#This Row],[totalCourt]],TrafficData[[#This Row],[disposedCourt]]&lt;=TrafficData[[#This Row],[totalCourt]])</f>
        <v>1</v>
      </c>
    </row>
    <row r="1322" spans="1:16">
      <c r="A1322" s="1">
        <v>43325</v>
      </c>
      <c r="B1322">
        <v>11768</v>
      </c>
      <c r="C1322">
        <v>10020</v>
      </c>
      <c r="D1322">
        <v>1748</v>
      </c>
      <c r="E1322">
        <v>2560274</v>
      </c>
      <c r="F1322">
        <v>17497107</v>
      </c>
      <c r="G1322">
        <v>20057381</v>
      </c>
      <c r="H1322">
        <v>858</v>
      </c>
      <c r="I1322">
        <v>434</v>
      </c>
      <c r="J1322">
        <v>1292</v>
      </c>
      <c r="K1322" t="b">
        <f>TrafficData[[#This Row],[disposedChallan]]+TrafficData[[#This Row],[pendingChallan]]=TrafficData[[#This Row],[totalChallan]]</f>
        <v>1</v>
      </c>
      <c r="L1322" t="b">
        <f>TrafficData[[#This Row],[pendingAmount]]+TrafficData[[#This Row],[disposedAmount]]=TrafficData[[#This Row],[totalAmount]]</f>
        <v>1</v>
      </c>
      <c r="M1322" t="b">
        <f>TrafficData[[#This Row],[pendingCourt]]+TrafficData[[#This Row],[disposedCourt]]=TrafficData[[#This Row],[totalCourt]]</f>
        <v>1</v>
      </c>
      <c r="N1322" t="b">
        <f>AND(TrafficData[[#This Row],[disposedChallan]]&lt;=TrafficData[[#This Row],[totalChallan]],TrafficData[[#This Row],[pendingChallan]]&lt;=TrafficData[[#This Row],[totalChallan]])</f>
        <v>1</v>
      </c>
      <c r="O1322" t="b">
        <f>AND(TrafficData[[#This Row],[pendingAmount]]&lt;=TrafficData[[#This Row],[totalAmount]],TrafficData[[#This Row],[disposedAmount]]&lt;=TrafficData[[#This Row],[totalAmount]])</f>
        <v>1</v>
      </c>
      <c r="P1322" t="b">
        <f>AND(TrafficData[[#This Row],[pendingCourt]]&lt;=TrafficData[[#This Row],[totalCourt]],TrafficData[[#This Row],[disposedCourt]]&lt;=TrafficData[[#This Row],[totalCourt]])</f>
        <v>1</v>
      </c>
    </row>
    <row r="1323" spans="1:16">
      <c r="A1323" s="1">
        <v>43326</v>
      </c>
      <c r="B1323">
        <v>13118</v>
      </c>
      <c r="C1323">
        <v>11264</v>
      </c>
      <c r="D1323">
        <v>1854</v>
      </c>
      <c r="E1323">
        <v>3939882</v>
      </c>
      <c r="F1323">
        <v>22877320</v>
      </c>
      <c r="G1323">
        <v>26817202</v>
      </c>
      <c r="H1323">
        <v>838</v>
      </c>
      <c r="I1323">
        <v>462</v>
      </c>
      <c r="J1323">
        <v>1300</v>
      </c>
      <c r="K1323" t="b">
        <f>TrafficData[[#This Row],[disposedChallan]]+TrafficData[[#This Row],[pendingChallan]]=TrafficData[[#This Row],[totalChallan]]</f>
        <v>1</v>
      </c>
      <c r="L1323" t="b">
        <f>TrafficData[[#This Row],[pendingAmount]]+TrafficData[[#This Row],[disposedAmount]]=TrafficData[[#This Row],[totalAmount]]</f>
        <v>1</v>
      </c>
      <c r="M1323" t="b">
        <f>TrafficData[[#This Row],[pendingCourt]]+TrafficData[[#This Row],[disposedCourt]]=TrafficData[[#This Row],[totalCourt]]</f>
        <v>1</v>
      </c>
      <c r="N1323" t="b">
        <f>AND(TrafficData[[#This Row],[disposedChallan]]&lt;=TrafficData[[#This Row],[totalChallan]],TrafficData[[#This Row],[pendingChallan]]&lt;=TrafficData[[#This Row],[totalChallan]])</f>
        <v>1</v>
      </c>
      <c r="O1323" t="b">
        <f>AND(TrafficData[[#This Row],[pendingAmount]]&lt;=TrafficData[[#This Row],[totalAmount]],TrafficData[[#This Row],[disposedAmount]]&lt;=TrafficData[[#This Row],[totalAmount]])</f>
        <v>1</v>
      </c>
      <c r="P1323" t="b">
        <f>AND(TrafficData[[#This Row],[pendingCourt]]&lt;=TrafficData[[#This Row],[totalCourt]],TrafficData[[#This Row],[disposedCourt]]&lt;=TrafficData[[#This Row],[totalCourt]])</f>
        <v>1</v>
      </c>
    </row>
    <row r="1324" spans="1:16">
      <c r="A1324" s="1">
        <v>43327</v>
      </c>
      <c r="B1324">
        <v>6712</v>
      </c>
      <c r="C1324">
        <v>5467</v>
      </c>
      <c r="D1324">
        <v>1245</v>
      </c>
      <c r="E1324">
        <v>1421374</v>
      </c>
      <c r="F1324">
        <v>10906914</v>
      </c>
      <c r="G1324">
        <v>12328288</v>
      </c>
      <c r="H1324">
        <v>416</v>
      </c>
      <c r="I1324">
        <v>150</v>
      </c>
      <c r="J1324">
        <v>566</v>
      </c>
      <c r="K1324" t="b">
        <f>TrafficData[[#This Row],[disposedChallan]]+TrafficData[[#This Row],[pendingChallan]]=TrafficData[[#This Row],[totalChallan]]</f>
        <v>1</v>
      </c>
      <c r="L1324" t="b">
        <f>TrafficData[[#This Row],[pendingAmount]]+TrafficData[[#This Row],[disposedAmount]]=TrafficData[[#This Row],[totalAmount]]</f>
        <v>1</v>
      </c>
      <c r="M1324" t="b">
        <f>TrafficData[[#This Row],[pendingCourt]]+TrafficData[[#This Row],[disposedCourt]]=TrafficData[[#This Row],[totalCourt]]</f>
        <v>1</v>
      </c>
      <c r="N1324" t="b">
        <f>AND(TrafficData[[#This Row],[disposedChallan]]&lt;=TrafficData[[#This Row],[totalChallan]],TrafficData[[#This Row],[pendingChallan]]&lt;=TrafficData[[#This Row],[totalChallan]])</f>
        <v>1</v>
      </c>
      <c r="O1324" t="b">
        <f>AND(TrafficData[[#This Row],[pendingAmount]]&lt;=TrafficData[[#This Row],[totalAmount]],TrafficData[[#This Row],[disposedAmount]]&lt;=TrafficData[[#This Row],[totalAmount]])</f>
        <v>1</v>
      </c>
      <c r="P1324" t="b">
        <f>AND(TrafficData[[#This Row],[pendingCourt]]&lt;=TrafficData[[#This Row],[totalCourt]],TrafficData[[#This Row],[disposedCourt]]&lt;=TrafficData[[#This Row],[totalCourt]])</f>
        <v>1</v>
      </c>
    </row>
    <row r="1325" spans="1:16">
      <c r="A1325" s="1">
        <v>43328</v>
      </c>
      <c r="B1325">
        <v>15459</v>
      </c>
      <c r="C1325">
        <v>12931</v>
      </c>
      <c r="D1325">
        <v>2528</v>
      </c>
      <c r="E1325">
        <v>5830575</v>
      </c>
      <c r="F1325">
        <v>22518397</v>
      </c>
      <c r="G1325">
        <v>28348972</v>
      </c>
      <c r="H1325">
        <v>1394</v>
      </c>
      <c r="I1325">
        <v>558</v>
      </c>
      <c r="J1325">
        <v>1952</v>
      </c>
      <c r="K1325" t="b">
        <f>TrafficData[[#This Row],[disposedChallan]]+TrafficData[[#This Row],[pendingChallan]]=TrafficData[[#This Row],[totalChallan]]</f>
        <v>1</v>
      </c>
      <c r="L1325" t="b">
        <f>TrafficData[[#This Row],[pendingAmount]]+TrafficData[[#This Row],[disposedAmount]]=TrafficData[[#This Row],[totalAmount]]</f>
        <v>1</v>
      </c>
      <c r="M1325" t="b">
        <f>TrafficData[[#This Row],[pendingCourt]]+TrafficData[[#This Row],[disposedCourt]]=TrafficData[[#This Row],[totalCourt]]</f>
        <v>1</v>
      </c>
      <c r="N1325" t="b">
        <f>AND(TrafficData[[#This Row],[disposedChallan]]&lt;=TrafficData[[#This Row],[totalChallan]],TrafficData[[#This Row],[pendingChallan]]&lt;=TrafficData[[#This Row],[totalChallan]])</f>
        <v>1</v>
      </c>
      <c r="O1325" t="b">
        <f>AND(TrafficData[[#This Row],[pendingAmount]]&lt;=TrafficData[[#This Row],[totalAmount]],TrafficData[[#This Row],[disposedAmount]]&lt;=TrafficData[[#This Row],[totalAmount]])</f>
        <v>1</v>
      </c>
      <c r="P1325" t="b">
        <f>AND(TrafficData[[#This Row],[pendingCourt]]&lt;=TrafficData[[#This Row],[totalCourt]],TrafficData[[#This Row],[disposedCourt]]&lt;=TrafficData[[#This Row],[totalCourt]])</f>
        <v>1</v>
      </c>
    </row>
    <row r="1326" spans="1:16">
      <c r="A1326" s="1">
        <v>43329</v>
      </c>
      <c r="B1326">
        <v>12762</v>
      </c>
      <c r="C1326">
        <v>10993</v>
      </c>
      <c r="D1326">
        <v>1769</v>
      </c>
      <c r="E1326">
        <v>2661050</v>
      </c>
      <c r="F1326">
        <v>22272165</v>
      </c>
      <c r="G1326">
        <v>24933215</v>
      </c>
      <c r="H1326">
        <v>596</v>
      </c>
      <c r="I1326">
        <v>338</v>
      </c>
      <c r="J1326">
        <v>934</v>
      </c>
      <c r="K1326" t="b">
        <f>TrafficData[[#This Row],[disposedChallan]]+TrafficData[[#This Row],[pendingChallan]]=TrafficData[[#This Row],[totalChallan]]</f>
        <v>1</v>
      </c>
      <c r="L1326" t="b">
        <f>TrafficData[[#This Row],[pendingAmount]]+TrafficData[[#This Row],[disposedAmount]]=TrafficData[[#This Row],[totalAmount]]</f>
        <v>1</v>
      </c>
      <c r="M1326" t="b">
        <f>TrafficData[[#This Row],[pendingCourt]]+TrafficData[[#This Row],[disposedCourt]]=TrafficData[[#This Row],[totalCourt]]</f>
        <v>1</v>
      </c>
      <c r="N1326" t="b">
        <f>AND(TrafficData[[#This Row],[disposedChallan]]&lt;=TrafficData[[#This Row],[totalChallan]],TrafficData[[#This Row],[pendingChallan]]&lt;=TrafficData[[#This Row],[totalChallan]])</f>
        <v>1</v>
      </c>
      <c r="O1326" t="b">
        <f>AND(TrafficData[[#This Row],[pendingAmount]]&lt;=TrafficData[[#This Row],[totalAmount]],TrafficData[[#This Row],[disposedAmount]]&lt;=TrafficData[[#This Row],[totalAmount]])</f>
        <v>1</v>
      </c>
      <c r="P1326" t="b">
        <f>AND(TrafficData[[#This Row],[pendingCourt]]&lt;=TrafficData[[#This Row],[totalCourt]],TrafficData[[#This Row],[disposedCourt]]&lt;=TrafficData[[#This Row],[totalCourt]])</f>
        <v>1</v>
      </c>
    </row>
    <row r="1327" spans="1:16">
      <c r="A1327" s="1">
        <v>43330</v>
      </c>
      <c r="B1327">
        <v>13831</v>
      </c>
      <c r="C1327">
        <v>11523</v>
      </c>
      <c r="D1327">
        <v>2308</v>
      </c>
      <c r="E1327">
        <v>3515700</v>
      </c>
      <c r="F1327">
        <v>26221167</v>
      </c>
      <c r="G1327">
        <v>29736867</v>
      </c>
      <c r="H1327">
        <v>1291</v>
      </c>
      <c r="I1327">
        <v>377</v>
      </c>
      <c r="J1327">
        <v>1668</v>
      </c>
      <c r="K1327" t="b">
        <f>TrafficData[[#This Row],[disposedChallan]]+TrafficData[[#This Row],[pendingChallan]]=TrafficData[[#This Row],[totalChallan]]</f>
        <v>1</v>
      </c>
      <c r="L1327" t="b">
        <f>TrafficData[[#This Row],[pendingAmount]]+TrafficData[[#This Row],[disposedAmount]]=TrafficData[[#This Row],[totalAmount]]</f>
        <v>1</v>
      </c>
      <c r="M1327" t="b">
        <f>TrafficData[[#This Row],[pendingCourt]]+TrafficData[[#This Row],[disposedCourt]]=TrafficData[[#This Row],[totalCourt]]</f>
        <v>1</v>
      </c>
      <c r="N1327" t="b">
        <f>AND(TrafficData[[#This Row],[disposedChallan]]&lt;=TrafficData[[#This Row],[totalChallan]],TrafficData[[#This Row],[pendingChallan]]&lt;=TrafficData[[#This Row],[totalChallan]])</f>
        <v>1</v>
      </c>
      <c r="O1327" t="b">
        <f>AND(TrafficData[[#This Row],[pendingAmount]]&lt;=TrafficData[[#This Row],[totalAmount]],TrafficData[[#This Row],[disposedAmount]]&lt;=TrafficData[[#This Row],[totalAmount]])</f>
        <v>1</v>
      </c>
      <c r="P1327" t="b">
        <f>AND(TrafficData[[#This Row],[pendingCourt]]&lt;=TrafficData[[#This Row],[totalCourt]],TrafficData[[#This Row],[disposedCourt]]&lt;=TrafficData[[#This Row],[totalCourt]])</f>
        <v>1</v>
      </c>
    </row>
    <row r="1328" spans="1:16">
      <c r="A1328" s="1">
        <v>43331</v>
      </c>
      <c r="B1328">
        <v>10339</v>
      </c>
      <c r="C1328">
        <v>8753</v>
      </c>
      <c r="D1328">
        <v>1586</v>
      </c>
      <c r="E1328">
        <v>1896111</v>
      </c>
      <c r="F1328">
        <v>15951031</v>
      </c>
      <c r="G1328">
        <v>17847142</v>
      </c>
      <c r="H1328">
        <v>852</v>
      </c>
      <c r="I1328">
        <v>282</v>
      </c>
      <c r="J1328">
        <v>1134</v>
      </c>
      <c r="K1328" t="b">
        <f>TrafficData[[#This Row],[disposedChallan]]+TrafficData[[#This Row],[pendingChallan]]=TrafficData[[#This Row],[totalChallan]]</f>
        <v>1</v>
      </c>
      <c r="L1328" t="b">
        <f>TrafficData[[#This Row],[pendingAmount]]+TrafficData[[#This Row],[disposedAmount]]=TrafficData[[#This Row],[totalAmount]]</f>
        <v>1</v>
      </c>
      <c r="M1328" t="b">
        <f>TrafficData[[#This Row],[pendingCourt]]+TrafficData[[#This Row],[disposedCourt]]=TrafficData[[#This Row],[totalCourt]]</f>
        <v>1</v>
      </c>
      <c r="N1328" t="b">
        <f>AND(TrafficData[[#This Row],[disposedChallan]]&lt;=TrafficData[[#This Row],[totalChallan]],TrafficData[[#This Row],[pendingChallan]]&lt;=TrafficData[[#This Row],[totalChallan]])</f>
        <v>1</v>
      </c>
      <c r="O1328" t="b">
        <f>AND(TrafficData[[#This Row],[pendingAmount]]&lt;=TrafficData[[#This Row],[totalAmount]],TrafficData[[#This Row],[disposedAmount]]&lt;=TrafficData[[#This Row],[totalAmount]])</f>
        <v>1</v>
      </c>
      <c r="P1328" t="b">
        <f>AND(TrafficData[[#This Row],[pendingCourt]]&lt;=TrafficData[[#This Row],[totalCourt]],TrafficData[[#This Row],[disposedCourt]]&lt;=TrafficData[[#This Row],[totalCourt]])</f>
        <v>1</v>
      </c>
    </row>
    <row r="1329" spans="1:16">
      <c r="A1329" s="1">
        <v>43332</v>
      </c>
      <c r="B1329">
        <v>13106</v>
      </c>
      <c r="C1329">
        <v>11051</v>
      </c>
      <c r="D1329">
        <v>2055</v>
      </c>
      <c r="E1329">
        <v>3342570</v>
      </c>
      <c r="F1329">
        <v>21567995</v>
      </c>
      <c r="G1329">
        <v>24910565</v>
      </c>
      <c r="H1329">
        <v>1157</v>
      </c>
      <c r="I1329">
        <v>410</v>
      </c>
      <c r="J1329">
        <v>1567</v>
      </c>
      <c r="K1329" t="b">
        <f>TrafficData[[#This Row],[disposedChallan]]+TrafficData[[#This Row],[pendingChallan]]=TrafficData[[#This Row],[totalChallan]]</f>
        <v>1</v>
      </c>
      <c r="L1329" t="b">
        <f>TrafficData[[#This Row],[pendingAmount]]+TrafficData[[#This Row],[disposedAmount]]=TrafficData[[#This Row],[totalAmount]]</f>
        <v>1</v>
      </c>
      <c r="M1329" t="b">
        <f>TrafficData[[#This Row],[pendingCourt]]+TrafficData[[#This Row],[disposedCourt]]=TrafficData[[#This Row],[totalCourt]]</f>
        <v>1</v>
      </c>
      <c r="N1329" t="b">
        <f>AND(TrafficData[[#This Row],[disposedChallan]]&lt;=TrafficData[[#This Row],[totalChallan]],TrafficData[[#This Row],[pendingChallan]]&lt;=TrafficData[[#This Row],[totalChallan]])</f>
        <v>1</v>
      </c>
      <c r="O1329" t="b">
        <f>AND(TrafficData[[#This Row],[pendingAmount]]&lt;=TrafficData[[#This Row],[totalAmount]],TrafficData[[#This Row],[disposedAmount]]&lt;=TrafficData[[#This Row],[totalAmount]])</f>
        <v>1</v>
      </c>
      <c r="P1329" t="b">
        <f>AND(TrafficData[[#This Row],[pendingCourt]]&lt;=TrafficData[[#This Row],[totalCourt]],TrafficData[[#This Row],[disposedCourt]]&lt;=TrafficData[[#This Row],[totalCourt]])</f>
        <v>1</v>
      </c>
    </row>
    <row r="1330" spans="1:16">
      <c r="A1330" s="1">
        <v>43333</v>
      </c>
      <c r="B1330">
        <v>15220</v>
      </c>
      <c r="C1330">
        <v>12594</v>
      </c>
      <c r="D1330">
        <v>2626</v>
      </c>
      <c r="E1330">
        <v>5422725</v>
      </c>
      <c r="F1330">
        <v>27449632</v>
      </c>
      <c r="G1330">
        <v>32872357</v>
      </c>
      <c r="H1330">
        <v>1219</v>
      </c>
      <c r="I1330">
        <v>546</v>
      </c>
      <c r="J1330">
        <v>1765</v>
      </c>
      <c r="K1330" t="b">
        <f>TrafficData[[#This Row],[disposedChallan]]+TrafficData[[#This Row],[pendingChallan]]=TrafficData[[#This Row],[totalChallan]]</f>
        <v>1</v>
      </c>
      <c r="L1330" t="b">
        <f>TrafficData[[#This Row],[pendingAmount]]+TrafficData[[#This Row],[disposedAmount]]=TrafficData[[#This Row],[totalAmount]]</f>
        <v>1</v>
      </c>
      <c r="M1330" t="b">
        <f>TrafficData[[#This Row],[pendingCourt]]+TrafficData[[#This Row],[disposedCourt]]=TrafficData[[#This Row],[totalCourt]]</f>
        <v>1</v>
      </c>
      <c r="N1330" t="b">
        <f>AND(TrafficData[[#This Row],[disposedChallan]]&lt;=TrafficData[[#This Row],[totalChallan]],TrafficData[[#This Row],[pendingChallan]]&lt;=TrafficData[[#This Row],[totalChallan]])</f>
        <v>1</v>
      </c>
      <c r="O1330" t="b">
        <f>AND(TrafficData[[#This Row],[pendingAmount]]&lt;=TrafficData[[#This Row],[totalAmount]],TrafficData[[#This Row],[disposedAmount]]&lt;=TrafficData[[#This Row],[totalAmount]])</f>
        <v>1</v>
      </c>
      <c r="P1330" t="b">
        <f>AND(TrafficData[[#This Row],[pendingCourt]]&lt;=TrafficData[[#This Row],[totalCourt]],TrafficData[[#This Row],[disposedCourt]]&lt;=TrafficData[[#This Row],[totalCourt]])</f>
        <v>1</v>
      </c>
    </row>
    <row r="1331" spans="1:16">
      <c r="A1331" s="1">
        <v>43334</v>
      </c>
      <c r="B1331">
        <v>12374</v>
      </c>
      <c r="C1331">
        <v>10455</v>
      </c>
      <c r="D1331">
        <v>1919</v>
      </c>
      <c r="E1331">
        <v>3229624</v>
      </c>
      <c r="F1331">
        <v>19461877</v>
      </c>
      <c r="G1331">
        <v>22691501</v>
      </c>
      <c r="H1331">
        <v>815</v>
      </c>
      <c r="I1331">
        <v>436</v>
      </c>
      <c r="J1331">
        <v>1251</v>
      </c>
      <c r="K1331" t="b">
        <f>TrafficData[[#This Row],[disposedChallan]]+TrafficData[[#This Row],[pendingChallan]]=TrafficData[[#This Row],[totalChallan]]</f>
        <v>1</v>
      </c>
      <c r="L1331" t="b">
        <f>TrafficData[[#This Row],[pendingAmount]]+TrafficData[[#This Row],[disposedAmount]]=TrafficData[[#This Row],[totalAmount]]</f>
        <v>1</v>
      </c>
      <c r="M1331" t="b">
        <f>TrafficData[[#This Row],[pendingCourt]]+TrafficData[[#This Row],[disposedCourt]]=TrafficData[[#This Row],[totalCourt]]</f>
        <v>1</v>
      </c>
      <c r="N1331" t="b">
        <f>AND(TrafficData[[#This Row],[disposedChallan]]&lt;=TrafficData[[#This Row],[totalChallan]],TrafficData[[#This Row],[pendingChallan]]&lt;=TrafficData[[#This Row],[totalChallan]])</f>
        <v>1</v>
      </c>
      <c r="O1331" t="b">
        <f>AND(TrafficData[[#This Row],[pendingAmount]]&lt;=TrafficData[[#This Row],[totalAmount]],TrafficData[[#This Row],[disposedAmount]]&lt;=TrafficData[[#This Row],[totalAmount]])</f>
        <v>1</v>
      </c>
      <c r="P1331" t="b">
        <f>AND(TrafficData[[#This Row],[pendingCourt]]&lt;=TrafficData[[#This Row],[totalCourt]],TrafficData[[#This Row],[disposedCourt]]&lt;=TrafficData[[#This Row],[totalCourt]])</f>
        <v>1</v>
      </c>
    </row>
    <row r="1332" spans="1:16">
      <c r="A1332" s="1">
        <v>43335</v>
      </c>
      <c r="B1332">
        <v>16410</v>
      </c>
      <c r="C1332">
        <v>13643</v>
      </c>
      <c r="D1332">
        <v>2767</v>
      </c>
      <c r="E1332">
        <v>4945874</v>
      </c>
      <c r="F1332">
        <v>24280951</v>
      </c>
      <c r="G1332">
        <v>29226825</v>
      </c>
      <c r="H1332">
        <v>1602</v>
      </c>
      <c r="I1332">
        <v>568</v>
      </c>
      <c r="J1332">
        <v>2170</v>
      </c>
      <c r="K1332" t="b">
        <f>TrafficData[[#This Row],[disposedChallan]]+TrafficData[[#This Row],[pendingChallan]]=TrafficData[[#This Row],[totalChallan]]</f>
        <v>1</v>
      </c>
      <c r="L1332" t="b">
        <f>TrafficData[[#This Row],[pendingAmount]]+TrafficData[[#This Row],[disposedAmount]]=TrafficData[[#This Row],[totalAmount]]</f>
        <v>1</v>
      </c>
      <c r="M1332" t="b">
        <f>TrafficData[[#This Row],[pendingCourt]]+TrafficData[[#This Row],[disposedCourt]]=TrafficData[[#This Row],[totalCourt]]</f>
        <v>1</v>
      </c>
      <c r="N1332" t="b">
        <f>AND(TrafficData[[#This Row],[disposedChallan]]&lt;=TrafficData[[#This Row],[totalChallan]],TrafficData[[#This Row],[pendingChallan]]&lt;=TrafficData[[#This Row],[totalChallan]])</f>
        <v>1</v>
      </c>
      <c r="O1332" t="b">
        <f>AND(TrafficData[[#This Row],[pendingAmount]]&lt;=TrafficData[[#This Row],[totalAmount]],TrafficData[[#This Row],[disposedAmount]]&lt;=TrafficData[[#This Row],[totalAmount]])</f>
        <v>1</v>
      </c>
      <c r="P1332" t="b">
        <f>AND(TrafficData[[#This Row],[pendingCourt]]&lt;=TrafficData[[#This Row],[totalCourt]],TrafficData[[#This Row],[disposedCourt]]&lt;=TrafficData[[#This Row],[totalCourt]])</f>
        <v>1</v>
      </c>
    </row>
    <row r="1333" spans="1:16">
      <c r="A1333" s="1">
        <v>43336</v>
      </c>
      <c r="B1333">
        <v>15814</v>
      </c>
      <c r="C1333">
        <v>13113</v>
      </c>
      <c r="D1333">
        <v>2701</v>
      </c>
      <c r="E1333">
        <v>4978736</v>
      </c>
      <c r="F1333">
        <v>25023270</v>
      </c>
      <c r="G1333">
        <v>30002006</v>
      </c>
      <c r="H1333">
        <v>1394</v>
      </c>
      <c r="I1333">
        <v>475</v>
      </c>
      <c r="J1333">
        <v>1869</v>
      </c>
      <c r="K1333" t="b">
        <f>TrafficData[[#This Row],[disposedChallan]]+TrafficData[[#This Row],[pendingChallan]]=TrafficData[[#This Row],[totalChallan]]</f>
        <v>1</v>
      </c>
      <c r="L1333" t="b">
        <f>TrafficData[[#This Row],[pendingAmount]]+TrafficData[[#This Row],[disposedAmount]]=TrafficData[[#This Row],[totalAmount]]</f>
        <v>1</v>
      </c>
      <c r="M1333" t="b">
        <f>TrafficData[[#This Row],[pendingCourt]]+TrafficData[[#This Row],[disposedCourt]]=TrafficData[[#This Row],[totalCourt]]</f>
        <v>1</v>
      </c>
      <c r="N1333" t="b">
        <f>AND(TrafficData[[#This Row],[disposedChallan]]&lt;=TrafficData[[#This Row],[totalChallan]],TrafficData[[#This Row],[pendingChallan]]&lt;=TrafficData[[#This Row],[totalChallan]])</f>
        <v>1</v>
      </c>
      <c r="O1333" t="b">
        <f>AND(TrafficData[[#This Row],[pendingAmount]]&lt;=TrafficData[[#This Row],[totalAmount]],TrafficData[[#This Row],[disposedAmount]]&lt;=TrafficData[[#This Row],[totalAmount]])</f>
        <v>1</v>
      </c>
      <c r="P1333" t="b">
        <f>AND(TrafficData[[#This Row],[pendingCourt]]&lt;=TrafficData[[#This Row],[totalCourt]],TrafficData[[#This Row],[disposedCourt]]&lt;=TrafficData[[#This Row],[totalCourt]])</f>
        <v>1</v>
      </c>
    </row>
    <row r="1334" spans="1:16">
      <c r="A1334" s="1">
        <v>43337</v>
      </c>
      <c r="B1334">
        <v>12923</v>
      </c>
      <c r="C1334">
        <v>10870</v>
      </c>
      <c r="D1334">
        <v>2053</v>
      </c>
      <c r="E1334">
        <v>3181908</v>
      </c>
      <c r="F1334">
        <v>21138158</v>
      </c>
      <c r="G1334">
        <v>24320066</v>
      </c>
      <c r="H1334">
        <v>1007</v>
      </c>
      <c r="I1334">
        <v>380</v>
      </c>
      <c r="J1334">
        <v>1387</v>
      </c>
      <c r="K1334" t="b">
        <f>TrafficData[[#This Row],[disposedChallan]]+TrafficData[[#This Row],[pendingChallan]]=TrafficData[[#This Row],[totalChallan]]</f>
        <v>1</v>
      </c>
      <c r="L1334" t="b">
        <f>TrafficData[[#This Row],[pendingAmount]]+TrafficData[[#This Row],[disposedAmount]]=TrafficData[[#This Row],[totalAmount]]</f>
        <v>1</v>
      </c>
      <c r="M1334" t="b">
        <f>TrafficData[[#This Row],[pendingCourt]]+TrafficData[[#This Row],[disposedCourt]]=TrafficData[[#This Row],[totalCourt]]</f>
        <v>1</v>
      </c>
      <c r="N1334" t="b">
        <f>AND(TrafficData[[#This Row],[disposedChallan]]&lt;=TrafficData[[#This Row],[totalChallan]],TrafficData[[#This Row],[pendingChallan]]&lt;=TrafficData[[#This Row],[totalChallan]])</f>
        <v>1</v>
      </c>
      <c r="O1334" t="b">
        <f>AND(TrafficData[[#This Row],[pendingAmount]]&lt;=TrafficData[[#This Row],[totalAmount]],TrafficData[[#This Row],[disposedAmount]]&lt;=TrafficData[[#This Row],[totalAmount]])</f>
        <v>1</v>
      </c>
      <c r="P1334" t="b">
        <f>AND(TrafficData[[#This Row],[pendingCourt]]&lt;=TrafficData[[#This Row],[totalCourt]],TrafficData[[#This Row],[disposedCourt]]&lt;=TrafficData[[#This Row],[totalCourt]])</f>
        <v>1</v>
      </c>
    </row>
    <row r="1335" spans="1:16">
      <c r="A1335" s="1">
        <v>43338</v>
      </c>
      <c r="B1335">
        <v>6847</v>
      </c>
      <c r="C1335">
        <v>5892</v>
      </c>
      <c r="D1335">
        <v>955</v>
      </c>
      <c r="E1335">
        <v>1012520</v>
      </c>
      <c r="F1335">
        <v>7953507</v>
      </c>
      <c r="G1335">
        <v>8966027</v>
      </c>
      <c r="H1335">
        <v>383</v>
      </c>
      <c r="I1335">
        <v>139</v>
      </c>
      <c r="J1335">
        <v>522</v>
      </c>
      <c r="K1335" t="b">
        <f>TrafficData[[#This Row],[disposedChallan]]+TrafficData[[#This Row],[pendingChallan]]=TrafficData[[#This Row],[totalChallan]]</f>
        <v>1</v>
      </c>
      <c r="L1335" t="b">
        <f>TrafficData[[#This Row],[pendingAmount]]+TrafficData[[#This Row],[disposedAmount]]=TrafficData[[#This Row],[totalAmount]]</f>
        <v>1</v>
      </c>
      <c r="M1335" t="b">
        <f>TrafficData[[#This Row],[pendingCourt]]+TrafficData[[#This Row],[disposedCourt]]=TrafficData[[#This Row],[totalCourt]]</f>
        <v>1</v>
      </c>
      <c r="N1335" t="b">
        <f>AND(TrafficData[[#This Row],[disposedChallan]]&lt;=TrafficData[[#This Row],[totalChallan]],TrafficData[[#This Row],[pendingChallan]]&lt;=TrafficData[[#This Row],[totalChallan]])</f>
        <v>1</v>
      </c>
      <c r="O1335" t="b">
        <f>AND(TrafficData[[#This Row],[pendingAmount]]&lt;=TrafficData[[#This Row],[totalAmount]],TrafficData[[#This Row],[disposedAmount]]&lt;=TrafficData[[#This Row],[totalAmount]])</f>
        <v>1</v>
      </c>
      <c r="P1335" t="b">
        <f>AND(TrafficData[[#This Row],[pendingCourt]]&lt;=TrafficData[[#This Row],[totalCourt]],TrafficData[[#This Row],[disposedCourt]]&lt;=TrafficData[[#This Row],[totalCourt]])</f>
        <v>1</v>
      </c>
    </row>
    <row r="1336" spans="1:16">
      <c r="A1336" s="1">
        <v>43339</v>
      </c>
      <c r="B1336">
        <v>13274</v>
      </c>
      <c r="C1336">
        <v>11103</v>
      </c>
      <c r="D1336">
        <v>2171</v>
      </c>
      <c r="E1336">
        <v>3258642</v>
      </c>
      <c r="F1336">
        <v>14873986</v>
      </c>
      <c r="G1336">
        <v>18132628</v>
      </c>
      <c r="H1336">
        <v>908</v>
      </c>
      <c r="I1336">
        <v>356</v>
      </c>
      <c r="J1336">
        <v>1264</v>
      </c>
      <c r="K1336" t="b">
        <f>TrafficData[[#This Row],[disposedChallan]]+TrafficData[[#This Row],[pendingChallan]]=TrafficData[[#This Row],[totalChallan]]</f>
        <v>1</v>
      </c>
      <c r="L1336" t="b">
        <f>TrafficData[[#This Row],[pendingAmount]]+TrafficData[[#This Row],[disposedAmount]]=TrafficData[[#This Row],[totalAmount]]</f>
        <v>1</v>
      </c>
      <c r="M1336" t="b">
        <f>TrafficData[[#This Row],[pendingCourt]]+TrafficData[[#This Row],[disposedCourt]]=TrafficData[[#This Row],[totalCourt]]</f>
        <v>1</v>
      </c>
      <c r="N1336" t="b">
        <f>AND(TrafficData[[#This Row],[disposedChallan]]&lt;=TrafficData[[#This Row],[totalChallan]],TrafficData[[#This Row],[pendingChallan]]&lt;=TrafficData[[#This Row],[totalChallan]])</f>
        <v>1</v>
      </c>
      <c r="O1336" t="b">
        <f>AND(TrafficData[[#This Row],[pendingAmount]]&lt;=TrafficData[[#This Row],[totalAmount]],TrafficData[[#This Row],[disposedAmount]]&lt;=TrafficData[[#This Row],[totalAmount]])</f>
        <v>1</v>
      </c>
      <c r="P1336" t="b">
        <f>AND(TrafficData[[#This Row],[pendingCourt]]&lt;=TrafficData[[#This Row],[totalCourt]],TrafficData[[#This Row],[disposedCourt]]&lt;=TrafficData[[#This Row],[totalCourt]])</f>
        <v>1</v>
      </c>
    </row>
    <row r="1337" spans="1:16">
      <c r="A1337" s="1">
        <v>43340</v>
      </c>
      <c r="B1337">
        <v>12064</v>
      </c>
      <c r="C1337">
        <v>9733</v>
      </c>
      <c r="D1337">
        <v>2331</v>
      </c>
      <c r="E1337">
        <v>5196754</v>
      </c>
      <c r="F1337">
        <v>22386213</v>
      </c>
      <c r="G1337">
        <v>27582967</v>
      </c>
      <c r="H1337">
        <v>1234</v>
      </c>
      <c r="I1337">
        <v>348</v>
      </c>
      <c r="J1337">
        <v>1582</v>
      </c>
      <c r="K1337" t="b">
        <f>TrafficData[[#This Row],[disposedChallan]]+TrafficData[[#This Row],[pendingChallan]]=TrafficData[[#This Row],[totalChallan]]</f>
        <v>1</v>
      </c>
      <c r="L1337" t="b">
        <f>TrafficData[[#This Row],[pendingAmount]]+TrafficData[[#This Row],[disposedAmount]]=TrafficData[[#This Row],[totalAmount]]</f>
        <v>1</v>
      </c>
      <c r="M1337" t="b">
        <f>TrafficData[[#This Row],[pendingCourt]]+TrafficData[[#This Row],[disposedCourt]]=TrafficData[[#This Row],[totalCourt]]</f>
        <v>1</v>
      </c>
      <c r="N1337" t="b">
        <f>AND(TrafficData[[#This Row],[disposedChallan]]&lt;=TrafficData[[#This Row],[totalChallan]],TrafficData[[#This Row],[pendingChallan]]&lt;=TrafficData[[#This Row],[totalChallan]])</f>
        <v>1</v>
      </c>
      <c r="O1337" t="b">
        <f>AND(TrafficData[[#This Row],[pendingAmount]]&lt;=TrafficData[[#This Row],[totalAmount]],TrafficData[[#This Row],[disposedAmount]]&lt;=TrafficData[[#This Row],[totalAmount]])</f>
        <v>1</v>
      </c>
      <c r="P1337" t="b">
        <f>AND(TrafficData[[#This Row],[pendingCourt]]&lt;=TrafficData[[#This Row],[totalCourt]],TrafficData[[#This Row],[disposedCourt]]&lt;=TrafficData[[#This Row],[totalCourt]])</f>
        <v>1</v>
      </c>
    </row>
    <row r="1338" spans="1:16">
      <c r="A1338" s="1">
        <v>43341</v>
      </c>
      <c r="B1338">
        <v>22980</v>
      </c>
      <c r="C1338">
        <v>17533</v>
      </c>
      <c r="D1338">
        <v>5447</v>
      </c>
      <c r="E1338">
        <v>9756415</v>
      </c>
      <c r="F1338">
        <v>27312939</v>
      </c>
      <c r="G1338">
        <v>37069354</v>
      </c>
      <c r="H1338">
        <v>4040</v>
      </c>
      <c r="I1338">
        <v>952</v>
      </c>
      <c r="J1338">
        <v>4992</v>
      </c>
      <c r="K1338" t="b">
        <f>TrafficData[[#This Row],[disposedChallan]]+TrafficData[[#This Row],[pendingChallan]]=TrafficData[[#This Row],[totalChallan]]</f>
        <v>1</v>
      </c>
      <c r="L1338" t="b">
        <f>TrafficData[[#This Row],[pendingAmount]]+TrafficData[[#This Row],[disposedAmount]]=TrafficData[[#This Row],[totalAmount]]</f>
        <v>1</v>
      </c>
      <c r="M1338" t="b">
        <f>TrafficData[[#This Row],[pendingCourt]]+TrafficData[[#This Row],[disposedCourt]]=TrafficData[[#This Row],[totalCourt]]</f>
        <v>1</v>
      </c>
      <c r="N1338" t="b">
        <f>AND(TrafficData[[#This Row],[disposedChallan]]&lt;=TrafficData[[#This Row],[totalChallan]],TrafficData[[#This Row],[pendingChallan]]&lt;=TrafficData[[#This Row],[totalChallan]])</f>
        <v>1</v>
      </c>
      <c r="O1338" t="b">
        <f>AND(TrafficData[[#This Row],[pendingAmount]]&lt;=TrafficData[[#This Row],[totalAmount]],TrafficData[[#This Row],[disposedAmount]]&lt;=TrafficData[[#This Row],[totalAmount]])</f>
        <v>1</v>
      </c>
      <c r="P1338" t="b">
        <f>AND(TrafficData[[#This Row],[pendingCourt]]&lt;=TrafficData[[#This Row],[totalCourt]],TrafficData[[#This Row],[disposedCourt]]&lt;=TrafficData[[#This Row],[totalCourt]])</f>
        <v>1</v>
      </c>
    </row>
    <row r="1339" spans="1:16">
      <c r="A1339" s="1">
        <v>43342</v>
      </c>
      <c r="B1339">
        <v>17272</v>
      </c>
      <c r="C1339">
        <v>14352</v>
      </c>
      <c r="D1339">
        <v>2920</v>
      </c>
      <c r="E1339">
        <v>5061945</v>
      </c>
      <c r="F1339">
        <v>34353702</v>
      </c>
      <c r="G1339">
        <v>39415647</v>
      </c>
      <c r="H1339">
        <v>1618</v>
      </c>
      <c r="I1339">
        <v>547</v>
      </c>
      <c r="J1339">
        <v>2165</v>
      </c>
      <c r="K1339" t="b">
        <f>TrafficData[[#This Row],[disposedChallan]]+TrafficData[[#This Row],[pendingChallan]]=TrafficData[[#This Row],[totalChallan]]</f>
        <v>1</v>
      </c>
      <c r="L1339" t="b">
        <f>TrafficData[[#This Row],[pendingAmount]]+TrafficData[[#This Row],[disposedAmount]]=TrafficData[[#This Row],[totalAmount]]</f>
        <v>1</v>
      </c>
      <c r="M1339" t="b">
        <f>TrafficData[[#This Row],[pendingCourt]]+TrafficData[[#This Row],[disposedCourt]]=TrafficData[[#This Row],[totalCourt]]</f>
        <v>1</v>
      </c>
      <c r="N1339" t="b">
        <f>AND(TrafficData[[#This Row],[disposedChallan]]&lt;=TrafficData[[#This Row],[totalChallan]],TrafficData[[#This Row],[pendingChallan]]&lt;=TrafficData[[#This Row],[totalChallan]])</f>
        <v>1</v>
      </c>
      <c r="O1339" t="b">
        <f>AND(TrafficData[[#This Row],[pendingAmount]]&lt;=TrafficData[[#This Row],[totalAmount]],TrafficData[[#This Row],[disposedAmount]]&lt;=TrafficData[[#This Row],[totalAmount]])</f>
        <v>1</v>
      </c>
      <c r="P1339" t="b">
        <f>AND(TrafficData[[#This Row],[pendingCourt]]&lt;=TrafficData[[#This Row],[totalCourt]],TrafficData[[#This Row],[disposedCourt]]&lt;=TrafficData[[#This Row],[totalCourt]])</f>
        <v>1</v>
      </c>
    </row>
    <row r="1340" spans="1:16">
      <c r="A1340" s="1">
        <v>43343</v>
      </c>
      <c r="B1340">
        <v>15963</v>
      </c>
      <c r="C1340">
        <v>13046</v>
      </c>
      <c r="D1340">
        <v>2917</v>
      </c>
      <c r="E1340">
        <v>3485985</v>
      </c>
      <c r="F1340">
        <v>24851527</v>
      </c>
      <c r="G1340">
        <v>28337512</v>
      </c>
      <c r="H1340">
        <v>1555</v>
      </c>
      <c r="I1340">
        <v>505</v>
      </c>
      <c r="J1340">
        <v>2060</v>
      </c>
      <c r="K1340" t="b">
        <f>TrafficData[[#This Row],[disposedChallan]]+TrafficData[[#This Row],[pendingChallan]]=TrafficData[[#This Row],[totalChallan]]</f>
        <v>1</v>
      </c>
      <c r="L1340" t="b">
        <f>TrafficData[[#This Row],[pendingAmount]]+TrafficData[[#This Row],[disposedAmount]]=TrafficData[[#This Row],[totalAmount]]</f>
        <v>1</v>
      </c>
      <c r="M1340" t="b">
        <f>TrafficData[[#This Row],[pendingCourt]]+TrafficData[[#This Row],[disposedCourt]]=TrafficData[[#This Row],[totalCourt]]</f>
        <v>1</v>
      </c>
      <c r="N1340" t="b">
        <f>AND(TrafficData[[#This Row],[disposedChallan]]&lt;=TrafficData[[#This Row],[totalChallan]],TrafficData[[#This Row],[pendingChallan]]&lt;=TrafficData[[#This Row],[totalChallan]])</f>
        <v>1</v>
      </c>
      <c r="O1340" t="b">
        <f>AND(TrafficData[[#This Row],[pendingAmount]]&lt;=TrafficData[[#This Row],[totalAmount]],TrafficData[[#This Row],[disposedAmount]]&lt;=TrafficData[[#This Row],[totalAmount]])</f>
        <v>1</v>
      </c>
      <c r="P1340" t="b">
        <f>AND(TrafficData[[#This Row],[pendingCourt]]&lt;=TrafficData[[#This Row],[totalCourt]],TrafficData[[#This Row],[disposedCourt]]&lt;=TrafficData[[#This Row],[totalCourt]])</f>
        <v>1</v>
      </c>
    </row>
    <row r="1341" spans="1:16">
      <c r="A1341" s="1">
        <v>43344</v>
      </c>
      <c r="B1341">
        <v>14948</v>
      </c>
      <c r="C1341">
        <v>12304</v>
      </c>
      <c r="D1341">
        <v>2644</v>
      </c>
      <c r="E1341">
        <v>2933148</v>
      </c>
      <c r="F1341">
        <v>25561527</v>
      </c>
      <c r="G1341">
        <v>28494675</v>
      </c>
      <c r="H1341">
        <v>1548</v>
      </c>
      <c r="I1341">
        <v>305</v>
      </c>
      <c r="J1341">
        <v>1853</v>
      </c>
      <c r="K1341" t="b">
        <f>TrafficData[[#This Row],[disposedChallan]]+TrafficData[[#This Row],[pendingChallan]]=TrafficData[[#This Row],[totalChallan]]</f>
        <v>1</v>
      </c>
      <c r="L1341" t="b">
        <f>TrafficData[[#This Row],[pendingAmount]]+TrafficData[[#This Row],[disposedAmount]]=TrafficData[[#This Row],[totalAmount]]</f>
        <v>1</v>
      </c>
      <c r="M1341" t="b">
        <f>TrafficData[[#This Row],[pendingCourt]]+TrafficData[[#This Row],[disposedCourt]]=TrafficData[[#This Row],[totalCourt]]</f>
        <v>1</v>
      </c>
      <c r="N1341" t="b">
        <f>AND(TrafficData[[#This Row],[disposedChallan]]&lt;=TrafficData[[#This Row],[totalChallan]],TrafficData[[#This Row],[pendingChallan]]&lt;=TrafficData[[#This Row],[totalChallan]])</f>
        <v>1</v>
      </c>
      <c r="O1341" t="b">
        <f>AND(TrafficData[[#This Row],[pendingAmount]]&lt;=TrafficData[[#This Row],[totalAmount]],TrafficData[[#This Row],[disposedAmount]]&lt;=TrafficData[[#This Row],[totalAmount]])</f>
        <v>1</v>
      </c>
      <c r="P1341" t="b">
        <f>AND(TrafficData[[#This Row],[pendingCourt]]&lt;=TrafficData[[#This Row],[totalCourt]],TrafficData[[#This Row],[disposedCourt]]&lt;=TrafficData[[#This Row],[totalCourt]])</f>
        <v>1</v>
      </c>
    </row>
    <row r="1342" spans="1:16">
      <c r="A1342" s="1">
        <v>43345</v>
      </c>
      <c r="B1342">
        <v>10639</v>
      </c>
      <c r="C1342">
        <v>8829</v>
      </c>
      <c r="D1342">
        <v>1810</v>
      </c>
      <c r="E1342">
        <v>2175066</v>
      </c>
      <c r="F1342">
        <v>21741470</v>
      </c>
      <c r="G1342">
        <v>23916536</v>
      </c>
      <c r="H1342">
        <v>1212</v>
      </c>
      <c r="I1342">
        <v>139</v>
      </c>
      <c r="J1342">
        <v>1351</v>
      </c>
      <c r="K1342" t="b">
        <f>TrafficData[[#This Row],[disposedChallan]]+TrafficData[[#This Row],[pendingChallan]]=TrafficData[[#This Row],[totalChallan]]</f>
        <v>1</v>
      </c>
      <c r="L1342" t="b">
        <f>TrafficData[[#This Row],[pendingAmount]]+TrafficData[[#This Row],[disposedAmount]]=TrafficData[[#This Row],[totalAmount]]</f>
        <v>1</v>
      </c>
      <c r="M1342" t="b">
        <f>TrafficData[[#This Row],[pendingCourt]]+TrafficData[[#This Row],[disposedCourt]]=TrafficData[[#This Row],[totalCourt]]</f>
        <v>1</v>
      </c>
      <c r="N1342" t="b">
        <f>AND(TrafficData[[#This Row],[disposedChallan]]&lt;=TrafficData[[#This Row],[totalChallan]],TrafficData[[#This Row],[pendingChallan]]&lt;=TrafficData[[#This Row],[totalChallan]])</f>
        <v>1</v>
      </c>
      <c r="O1342" t="b">
        <f>AND(TrafficData[[#This Row],[pendingAmount]]&lt;=TrafficData[[#This Row],[totalAmount]],TrafficData[[#This Row],[disposedAmount]]&lt;=TrafficData[[#This Row],[totalAmount]])</f>
        <v>1</v>
      </c>
      <c r="P1342" t="b">
        <f>AND(TrafficData[[#This Row],[pendingCourt]]&lt;=TrafficData[[#This Row],[totalCourt]],TrafficData[[#This Row],[disposedCourt]]&lt;=TrafficData[[#This Row],[totalCourt]])</f>
        <v>1</v>
      </c>
    </row>
    <row r="1343" spans="1:16">
      <c r="A1343" s="1">
        <v>43346</v>
      </c>
      <c r="B1343">
        <v>13508</v>
      </c>
      <c r="C1343">
        <v>10950</v>
      </c>
      <c r="D1343">
        <v>2558</v>
      </c>
      <c r="E1343">
        <v>2273255</v>
      </c>
      <c r="F1343">
        <v>16211254</v>
      </c>
      <c r="G1343">
        <v>18484509</v>
      </c>
      <c r="H1343">
        <v>1522</v>
      </c>
      <c r="I1343">
        <v>334</v>
      </c>
      <c r="J1343">
        <v>1856</v>
      </c>
      <c r="K1343" t="b">
        <f>TrafficData[[#This Row],[disposedChallan]]+TrafficData[[#This Row],[pendingChallan]]=TrafficData[[#This Row],[totalChallan]]</f>
        <v>1</v>
      </c>
      <c r="L1343" t="b">
        <f>TrafficData[[#This Row],[pendingAmount]]+TrafficData[[#This Row],[disposedAmount]]=TrafficData[[#This Row],[totalAmount]]</f>
        <v>1</v>
      </c>
      <c r="M1343" t="b">
        <f>TrafficData[[#This Row],[pendingCourt]]+TrafficData[[#This Row],[disposedCourt]]=TrafficData[[#This Row],[totalCourt]]</f>
        <v>1</v>
      </c>
      <c r="N1343" t="b">
        <f>AND(TrafficData[[#This Row],[disposedChallan]]&lt;=TrafficData[[#This Row],[totalChallan]],TrafficData[[#This Row],[pendingChallan]]&lt;=TrafficData[[#This Row],[totalChallan]])</f>
        <v>1</v>
      </c>
      <c r="O1343" t="b">
        <f>AND(TrafficData[[#This Row],[pendingAmount]]&lt;=TrafficData[[#This Row],[totalAmount]],TrafficData[[#This Row],[disposedAmount]]&lt;=TrafficData[[#This Row],[totalAmount]])</f>
        <v>1</v>
      </c>
      <c r="P1343" t="b">
        <f>AND(TrafficData[[#This Row],[pendingCourt]]&lt;=TrafficData[[#This Row],[totalCourt]],TrafficData[[#This Row],[disposedCourt]]&lt;=TrafficData[[#This Row],[totalCourt]])</f>
        <v>1</v>
      </c>
    </row>
    <row r="1344" spans="1:16">
      <c r="A1344" s="1">
        <v>43347</v>
      </c>
      <c r="B1344">
        <v>15921</v>
      </c>
      <c r="C1344">
        <v>12383</v>
      </c>
      <c r="D1344">
        <v>3538</v>
      </c>
      <c r="E1344">
        <v>4295338</v>
      </c>
      <c r="F1344">
        <v>18229384</v>
      </c>
      <c r="G1344">
        <v>22524722</v>
      </c>
      <c r="H1344">
        <v>2337</v>
      </c>
      <c r="I1344">
        <v>473</v>
      </c>
      <c r="J1344">
        <v>2810</v>
      </c>
      <c r="K1344" t="b">
        <f>TrafficData[[#This Row],[disposedChallan]]+TrafficData[[#This Row],[pendingChallan]]=TrafficData[[#This Row],[totalChallan]]</f>
        <v>1</v>
      </c>
      <c r="L1344" t="b">
        <f>TrafficData[[#This Row],[pendingAmount]]+TrafficData[[#This Row],[disposedAmount]]=TrafficData[[#This Row],[totalAmount]]</f>
        <v>1</v>
      </c>
      <c r="M1344" t="b">
        <f>TrafficData[[#This Row],[pendingCourt]]+TrafficData[[#This Row],[disposedCourt]]=TrafficData[[#This Row],[totalCourt]]</f>
        <v>1</v>
      </c>
      <c r="N1344" t="b">
        <f>AND(TrafficData[[#This Row],[disposedChallan]]&lt;=TrafficData[[#This Row],[totalChallan]],TrafficData[[#This Row],[pendingChallan]]&lt;=TrafficData[[#This Row],[totalChallan]])</f>
        <v>1</v>
      </c>
      <c r="O1344" t="b">
        <f>AND(TrafficData[[#This Row],[pendingAmount]]&lt;=TrafficData[[#This Row],[totalAmount]],TrafficData[[#This Row],[disposedAmount]]&lt;=TrafficData[[#This Row],[totalAmount]])</f>
        <v>1</v>
      </c>
      <c r="P1344" t="b">
        <f>AND(TrafficData[[#This Row],[pendingCourt]]&lt;=TrafficData[[#This Row],[totalCourt]],TrafficData[[#This Row],[disposedCourt]]&lt;=TrafficData[[#This Row],[totalCourt]])</f>
        <v>1</v>
      </c>
    </row>
    <row r="1345" spans="1:16">
      <c r="A1345" s="1">
        <v>43348</v>
      </c>
      <c r="B1345">
        <v>22431</v>
      </c>
      <c r="C1345">
        <v>16453</v>
      </c>
      <c r="D1345">
        <v>5978</v>
      </c>
      <c r="E1345">
        <v>8306262</v>
      </c>
      <c r="F1345">
        <v>24452030</v>
      </c>
      <c r="G1345">
        <v>32758292</v>
      </c>
      <c r="H1345">
        <v>4470</v>
      </c>
      <c r="I1345">
        <v>987</v>
      </c>
      <c r="J1345">
        <v>5457</v>
      </c>
      <c r="K1345" t="b">
        <f>TrafficData[[#This Row],[disposedChallan]]+TrafficData[[#This Row],[pendingChallan]]=TrafficData[[#This Row],[totalChallan]]</f>
        <v>1</v>
      </c>
      <c r="L1345" t="b">
        <f>TrafficData[[#This Row],[pendingAmount]]+TrafficData[[#This Row],[disposedAmount]]=TrafficData[[#This Row],[totalAmount]]</f>
        <v>1</v>
      </c>
      <c r="M1345" t="b">
        <f>TrafficData[[#This Row],[pendingCourt]]+TrafficData[[#This Row],[disposedCourt]]=TrafficData[[#This Row],[totalCourt]]</f>
        <v>1</v>
      </c>
      <c r="N1345" t="b">
        <f>AND(TrafficData[[#This Row],[disposedChallan]]&lt;=TrafficData[[#This Row],[totalChallan]],TrafficData[[#This Row],[pendingChallan]]&lt;=TrafficData[[#This Row],[totalChallan]])</f>
        <v>1</v>
      </c>
      <c r="O1345" t="b">
        <f>AND(TrafficData[[#This Row],[pendingAmount]]&lt;=TrafficData[[#This Row],[totalAmount]],TrafficData[[#This Row],[disposedAmount]]&lt;=TrafficData[[#This Row],[totalAmount]])</f>
        <v>1</v>
      </c>
      <c r="P1345" t="b">
        <f>AND(TrafficData[[#This Row],[pendingCourt]]&lt;=TrafficData[[#This Row],[totalCourt]],TrafficData[[#This Row],[disposedCourt]]&lt;=TrafficData[[#This Row],[totalCourt]])</f>
        <v>1</v>
      </c>
    </row>
    <row r="1346" spans="1:16">
      <c r="A1346" s="1">
        <v>43349</v>
      </c>
      <c r="B1346">
        <v>16870</v>
      </c>
      <c r="C1346">
        <v>13154</v>
      </c>
      <c r="D1346">
        <v>3716</v>
      </c>
      <c r="E1346">
        <v>5129260</v>
      </c>
      <c r="F1346">
        <v>26173038</v>
      </c>
      <c r="G1346">
        <v>31302298</v>
      </c>
      <c r="H1346">
        <v>2467</v>
      </c>
      <c r="I1346">
        <v>624</v>
      </c>
      <c r="J1346">
        <v>3091</v>
      </c>
      <c r="K1346" t="b">
        <f>TrafficData[[#This Row],[disposedChallan]]+TrafficData[[#This Row],[pendingChallan]]=TrafficData[[#This Row],[totalChallan]]</f>
        <v>1</v>
      </c>
      <c r="L1346" t="b">
        <f>TrafficData[[#This Row],[pendingAmount]]+TrafficData[[#This Row],[disposedAmount]]=TrafficData[[#This Row],[totalAmount]]</f>
        <v>1</v>
      </c>
      <c r="M1346" t="b">
        <f>TrafficData[[#This Row],[pendingCourt]]+TrafficData[[#This Row],[disposedCourt]]=TrafficData[[#This Row],[totalCourt]]</f>
        <v>1</v>
      </c>
      <c r="N1346" t="b">
        <f>AND(TrafficData[[#This Row],[disposedChallan]]&lt;=TrafficData[[#This Row],[totalChallan]],TrafficData[[#This Row],[pendingChallan]]&lt;=TrafficData[[#This Row],[totalChallan]])</f>
        <v>1</v>
      </c>
      <c r="O1346" t="b">
        <f>AND(TrafficData[[#This Row],[pendingAmount]]&lt;=TrafficData[[#This Row],[totalAmount]],TrafficData[[#This Row],[disposedAmount]]&lt;=TrafficData[[#This Row],[totalAmount]])</f>
        <v>1</v>
      </c>
      <c r="P1346" t="b">
        <f>AND(TrafficData[[#This Row],[pendingCourt]]&lt;=TrafficData[[#This Row],[totalCourt]],TrafficData[[#This Row],[disposedCourt]]&lt;=TrafficData[[#This Row],[totalCourt]])</f>
        <v>1</v>
      </c>
    </row>
    <row r="1347" spans="1:16">
      <c r="A1347" s="1">
        <v>43350</v>
      </c>
      <c r="B1347">
        <v>19387</v>
      </c>
      <c r="C1347">
        <v>14192</v>
      </c>
      <c r="D1347">
        <v>5195</v>
      </c>
      <c r="E1347">
        <v>6538327</v>
      </c>
      <c r="F1347">
        <v>29617671</v>
      </c>
      <c r="G1347">
        <v>36155998</v>
      </c>
      <c r="H1347">
        <v>3523</v>
      </c>
      <c r="I1347">
        <v>771</v>
      </c>
      <c r="J1347">
        <v>4294</v>
      </c>
      <c r="K1347" t="b">
        <f>TrafficData[[#This Row],[disposedChallan]]+TrafficData[[#This Row],[pendingChallan]]=TrafficData[[#This Row],[totalChallan]]</f>
        <v>1</v>
      </c>
      <c r="L1347" t="b">
        <f>TrafficData[[#This Row],[pendingAmount]]+TrafficData[[#This Row],[disposedAmount]]=TrafficData[[#This Row],[totalAmount]]</f>
        <v>1</v>
      </c>
      <c r="M1347" t="b">
        <f>TrafficData[[#This Row],[pendingCourt]]+TrafficData[[#This Row],[disposedCourt]]=TrafficData[[#This Row],[totalCourt]]</f>
        <v>1</v>
      </c>
      <c r="N1347" t="b">
        <f>AND(TrafficData[[#This Row],[disposedChallan]]&lt;=TrafficData[[#This Row],[totalChallan]],TrafficData[[#This Row],[pendingChallan]]&lt;=TrafficData[[#This Row],[totalChallan]])</f>
        <v>1</v>
      </c>
      <c r="O1347" t="b">
        <f>AND(TrafficData[[#This Row],[pendingAmount]]&lt;=TrafficData[[#This Row],[totalAmount]],TrafficData[[#This Row],[disposedAmount]]&lt;=TrafficData[[#This Row],[totalAmount]])</f>
        <v>1</v>
      </c>
      <c r="P1347" t="b">
        <f>AND(TrafficData[[#This Row],[pendingCourt]]&lt;=TrafficData[[#This Row],[totalCourt]],TrafficData[[#This Row],[disposedCourt]]&lt;=TrafficData[[#This Row],[totalCourt]])</f>
        <v>1</v>
      </c>
    </row>
    <row r="1348" spans="1:16">
      <c r="A1348" s="1">
        <v>43351</v>
      </c>
      <c r="B1348">
        <v>14792</v>
      </c>
      <c r="C1348">
        <v>10793</v>
      </c>
      <c r="D1348">
        <v>3999</v>
      </c>
      <c r="E1348">
        <v>3863678</v>
      </c>
      <c r="F1348">
        <v>21555899</v>
      </c>
      <c r="G1348">
        <v>25419577</v>
      </c>
      <c r="H1348">
        <v>2757</v>
      </c>
      <c r="I1348">
        <v>565</v>
      </c>
      <c r="J1348">
        <v>3322</v>
      </c>
      <c r="K1348" t="b">
        <f>TrafficData[[#This Row],[disposedChallan]]+TrafficData[[#This Row],[pendingChallan]]=TrafficData[[#This Row],[totalChallan]]</f>
        <v>1</v>
      </c>
      <c r="L1348" t="b">
        <f>TrafficData[[#This Row],[pendingAmount]]+TrafficData[[#This Row],[disposedAmount]]=TrafficData[[#This Row],[totalAmount]]</f>
        <v>1</v>
      </c>
      <c r="M1348" t="b">
        <f>TrafficData[[#This Row],[pendingCourt]]+TrafficData[[#This Row],[disposedCourt]]=TrafficData[[#This Row],[totalCourt]]</f>
        <v>1</v>
      </c>
      <c r="N1348" t="b">
        <f>AND(TrafficData[[#This Row],[disposedChallan]]&lt;=TrafficData[[#This Row],[totalChallan]],TrafficData[[#This Row],[pendingChallan]]&lt;=TrafficData[[#This Row],[totalChallan]])</f>
        <v>1</v>
      </c>
      <c r="O1348" t="b">
        <f>AND(TrafficData[[#This Row],[pendingAmount]]&lt;=TrafficData[[#This Row],[totalAmount]],TrafficData[[#This Row],[disposedAmount]]&lt;=TrafficData[[#This Row],[totalAmount]])</f>
        <v>1</v>
      </c>
      <c r="P1348" t="b">
        <f>AND(TrafficData[[#This Row],[pendingCourt]]&lt;=TrafficData[[#This Row],[totalCourt]],TrafficData[[#This Row],[disposedCourt]]&lt;=TrafficData[[#This Row],[totalCourt]])</f>
        <v>1</v>
      </c>
    </row>
    <row r="1349" spans="1:16">
      <c r="A1349" s="1">
        <v>43352</v>
      </c>
      <c r="B1349">
        <v>10989</v>
      </c>
      <c r="C1349">
        <v>8511</v>
      </c>
      <c r="D1349">
        <v>2478</v>
      </c>
      <c r="E1349">
        <v>1540598</v>
      </c>
      <c r="F1349">
        <v>14229657</v>
      </c>
      <c r="G1349">
        <v>15770255</v>
      </c>
      <c r="H1349">
        <v>1681</v>
      </c>
      <c r="I1349">
        <v>360</v>
      </c>
      <c r="J1349">
        <v>2041</v>
      </c>
      <c r="K1349" t="b">
        <f>TrafficData[[#This Row],[disposedChallan]]+TrafficData[[#This Row],[pendingChallan]]=TrafficData[[#This Row],[totalChallan]]</f>
        <v>1</v>
      </c>
      <c r="L1349" t="b">
        <f>TrafficData[[#This Row],[pendingAmount]]+TrafficData[[#This Row],[disposedAmount]]=TrafficData[[#This Row],[totalAmount]]</f>
        <v>1</v>
      </c>
      <c r="M1349" t="b">
        <f>TrafficData[[#This Row],[pendingCourt]]+TrafficData[[#This Row],[disposedCourt]]=TrafficData[[#This Row],[totalCourt]]</f>
        <v>1</v>
      </c>
      <c r="N1349" t="b">
        <f>AND(TrafficData[[#This Row],[disposedChallan]]&lt;=TrafficData[[#This Row],[totalChallan]],TrafficData[[#This Row],[pendingChallan]]&lt;=TrafficData[[#This Row],[totalChallan]])</f>
        <v>1</v>
      </c>
      <c r="O1349" t="b">
        <f>AND(TrafficData[[#This Row],[pendingAmount]]&lt;=TrafficData[[#This Row],[totalAmount]],TrafficData[[#This Row],[disposedAmount]]&lt;=TrafficData[[#This Row],[totalAmount]])</f>
        <v>1</v>
      </c>
      <c r="P1349" t="b">
        <f>AND(TrafficData[[#This Row],[pendingCourt]]&lt;=TrafficData[[#This Row],[totalCourt]],TrafficData[[#This Row],[disposedCourt]]&lt;=TrafficData[[#This Row],[totalCourt]])</f>
        <v>1</v>
      </c>
    </row>
    <row r="1350" spans="1:16">
      <c r="A1350" s="1">
        <v>43353</v>
      </c>
      <c r="B1350">
        <v>16570</v>
      </c>
      <c r="C1350">
        <v>12045</v>
      </c>
      <c r="D1350">
        <v>4525</v>
      </c>
      <c r="E1350">
        <v>4727051</v>
      </c>
      <c r="F1350">
        <v>18565344</v>
      </c>
      <c r="G1350">
        <v>23292395</v>
      </c>
      <c r="H1350">
        <v>2955</v>
      </c>
      <c r="I1350">
        <v>699</v>
      </c>
      <c r="J1350">
        <v>3654</v>
      </c>
      <c r="K1350" t="b">
        <f>TrafficData[[#This Row],[disposedChallan]]+TrafficData[[#This Row],[pendingChallan]]=TrafficData[[#This Row],[totalChallan]]</f>
        <v>1</v>
      </c>
      <c r="L1350" t="b">
        <f>TrafficData[[#This Row],[pendingAmount]]+TrafficData[[#This Row],[disposedAmount]]=TrafficData[[#This Row],[totalAmount]]</f>
        <v>1</v>
      </c>
      <c r="M1350" t="b">
        <f>TrafficData[[#This Row],[pendingCourt]]+TrafficData[[#This Row],[disposedCourt]]=TrafficData[[#This Row],[totalCourt]]</f>
        <v>1</v>
      </c>
      <c r="N1350" t="b">
        <f>AND(TrafficData[[#This Row],[disposedChallan]]&lt;=TrafficData[[#This Row],[totalChallan]],TrafficData[[#This Row],[pendingChallan]]&lt;=TrafficData[[#This Row],[totalChallan]])</f>
        <v>1</v>
      </c>
      <c r="O1350" t="b">
        <f>AND(TrafficData[[#This Row],[pendingAmount]]&lt;=TrafficData[[#This Row],[totalAmount]],TrafficData[[#This Row],[disposedAmount]]&lt;=TrafficData[[#This Row],[totalAmount]])</f>
        <v>1</v>
      </c>
      <c r="P1350" t="b">
        <f>AND(TrafficData[[#This Row],[pendingCourt]]&lt;=TrafficData[[#This Row],[totalCourt]],TrafficData[[#This Row],[disposedCourt]]&lt;=TrafficData[[#This Row],[totalCourt]])</f>
        <v>1</v>
      </c>
    </row>
    <row r="1351" spans="1:16">
      <c r="A1351" s="1">
        <v>43354</v>
      </c>
      <c r="B1351">
        <v>19675</v>
      </c>
      <c r="C1351">
        <v>15030</v>
      </c>
      <c r="D1351">
        <v>4645</v>
      </c>
      <c r="E1351">
        <v>6377088</v>
      </c>
      <c r="F1351">
        <v>29462043</v>
      </c>
      <c r="G1351">
        <v>35839131</v>
      </c>
      <c r="H1351">
        <v>3061</v>
      </c>
      <c r="I1351">
        <v>751</v>
      </c>
      <c r="J1351">
        <v>3812</v>
      </c>
      <c r="K1351" t="b">
        <f>TrafficData[[#This Row],[disposedChallan]]+TrafficData[[#This Row],[pendingChallan]]=TrafficData[[#This Row],[totalChallan]]</f>
        <v>1</v>
      </c>
      <c r="L1351" t="b">
        <f>TrafficData[[#This Row],[pendingAmount]]+TrafficData[[#This Row],[disposedAmount]]=TrafficData[[#This Row],[totalAmount]]</f>
        <v>1</v>
      </c>
      <c r="M1351" t="b">
        <f>TrafficData[[#This Row],[pendingCourt]]+TrafficData[[#This Row],[disposedCourt]]=TrafficData[[#This Row],[totalCourt]]</f>
        <v>1</v>
      </c>
      <c r="N1351" t="b">
        <f>AND(TrafficData[[#This Row],[disposedChallan]]&lt;=TrafficData[[#This Row],[totalChallan]],TrafficData[[#This Row],[pendingChallan]]&lt;=TrafficData[[#This Row],[totalChallan]])</f>
        <v>1</v>
      </c>
      <c r="O1351" t="b">
        <f>AND(TrafficData[[#This Row],[pendingAmount]]&lt;=TrafficData[[#This Row],[totalAmount]],TrafficData[[#This Row],[disposedAmount]]&lt;=TrafficData[[#This Row],[totalAmount]])</f>
        <v>1</v>
      </c>
      <c r="P1351" t="b">
        <f>AND(TrafficData[[#This Row],[pendingCourt]]&lt;=TrafficData[[#This Row],[totalCourt]],TrafficData[[#This Row],[disposedCourt]]&lt;=TrafficData[[#This Row],[totalCourt]])</f>
        <v>1</v>
      </c>
    </row>
    <row r="1352" spans="1:16">
      <c r="A1352" s="1">
        <v>43355</v>
      </c>
      <c r="B1352">
        <v>27971</v>
      </c>
      <c r="C1352">
        <v>20253</v>
      </c>
      <c r="D1352">
        <v>7718</v>
      </c>
      <c r="E1352">
        <v>10000145</v>
      </c>
      <c r="F1352">
        <v>27916974</v>
      </c>
      <c r="G1352">
        <v>37917119</v>
      </c>
      <c r="H1352">
        <v>5654</v>
      </c>
      <c r="I1352">
        <v>1298</v>
      </c>
      <c r="J1352">
        <v>6952</v>
      </c>
      <c r="K1352" t="b">
        <f>TrafficData[[#This Row],[disposedChallan]]+TrafficData[[#This Row],[pendingChallan]]=TrafficData[[#This Row],[totalChallan]]</f>
        <v>1</v>
      </c>
      <c r="L1352" t="b">
        <f>TrafficData[[#This Row],[pendingAmount]]+TrafficData[[#This Row],[disposedAmount]]=TrafficData[[#This Row],[totalAmount]]</f>
        <v>1</v>
      </c>
      <c r="M1352" t="b">
        <f>TrafficData[[#This Row],[pendingCourt]]+TrafficData[[#This Row],[disposedCourt]]=TrafficData[[#This Row],[totalCourt]]</f>
        <v>1</v>
      </c>
      <c r="N1352" t="b">
        <f>AND(TrafficData[[#This Row],[disposedChallan]]&lt;=TrafficData[[#This Row],[totalChallan]],TrafficData[[#This Row],[pendingChallan]]&lt;=TrafficData[[#This Row],[totalChallan]])</f>
        <v>1</v>
      </c>
      <c r="O1352" t="b">
        <f>AND(TrafficData[[#This Row],[pendingAmount]]&lt;=TrafficData[[#This Row],[totalAmount]],TrafficData[[#This Row],[disposedAmount]]&lt;=TrafficData[[#This Row],[totalAmount]])</f>
        <v>1</v>
      </c>
      <c r="P1352" t="b">
        <f>AND(TrafficData[[#This Row],[pendingCourt]]&lt;=TrafficData[[#This Row],[totalCourt]],TrafficData[[#This Row],[disposedCourt]]&lt;=TrafficData[[#This Row],[totalCourt]])</f>
        <v>1</v>
      </c>
    </row>
    <row r="1353" spans="1:16">
      <c r="A1353" s="1">
        <v>43356</v>
      </c>
      <c r="B1353">
        <v>19211</v>
      </c>
      <c r="C1353">
        <v>14702</v>
      </c>
      <c r="D1353">
        <v>4509</v>
      </c>
      <c r="E1353">
        <v>4434625</v>
      </c>
      <c r="F1353">
        <v>28043546</v>
      </c>
      <c r="G1353">
        <v>32478171</v>
      </c>
      <c r="H1353">
        <v>2949</v>
      </c>
      <c r="I1353">
        <v>837</v>
      </c>
      <c r="J1353">
        <v>3786</v>
      </c>
      <c r="K1353" t="b">
        <f>TrafficData[[#This Row],[disposedChallan]]+TrafficData[[#This Row],[pendingChallan]]=TrafficData[[#This Row],[totalChallan]]</f>
        <v>1</v>
      </c>
      <c r="L1353" t="b">
        <f>TrafficData[[#This Row],[pendingAmount]]+TrafficData[[#This Row],[disposedAmount]]=TrafficData[[#This Row],[totalAmount]]</f>
        <v>1</v>
      </c>
      <c r="M1353" t="b">
        <f>TrafficData[[#This Row],[pendingCourt]]+TrafficData[[#This Row],[disposedCourt]]=TrafficData[[#This Row],[totalCourt]]</f>
        <v>1</v>
      </c>
      <c r="N1353" t="b">
        <f>AND(TrafficData[[#This Row],[disposedChallan]]&lt;=TrafficData[[#This Row],[totalChallan]],TrafficData[[#This Row],[pendingChallan]]&lt;=TrafficData[[#This Row],[totalChallan]])</f>
        <v>1</v>
      </c>
      <c r="O1353" t="b">
        <f>AND(TrafficData[[#This Row],[pendingAmount]]&lt;=TrafficData[[#This Row],[totalAmount]],TrafficData[[#This Row],[disposedAmount]]&lt;=TrafficData[[#This Row],[totalAmount]])</f>
        <v>1</v>
      </c>
      <c r="P1353" t="b">
        <f>AND(TrafficData[[#This Row],[pendingCourt]]&lt;=TrafficData[[#This Row],[totalCourt]],TrafficData[[#This Row],[disposedCourt]]&lt;=TrafficData[[#This Row],[totalCourt]])</f>
        <v>1</v>
      </c>
    </row>
    <row r="1354" spans="1:16">
      <c r="A1354" s="1">
        <v>43357</v>
      </c>
      <c r="B1354">
        <v>20097</v>
      </c>
      <c r="C1354">
        <v>15385</v>
      </c>
      <c r="D1354">
        <v>4712</v>
      </c>
      <c r="E1354">
        <v>6662599</v>
      </c>
      <c r="F1354">
        <v>28359673</v>
      </c>
      <c r="G1354">
        <v>35022272</v>
      </c>
      <c r="H1354">
        <v>2934</v>
      </c>
      <c r="I1354">
        <v>931</v>
      </c>
      <c r="J1354">
        <v>3865</v>
      </c>
      <c r="K1354" t="b">
        <f>TrafficData[[#This Row],[disposedChallan]]+TrafficData[[#This Row],[pendingChallan]]=TrafficData[[#This Row],[totalChallan]]</f>
        <v>1</v>
      </c>
      <c r="L1354" t="b">
        <f>TrafficData[[#This Row],[pendingAmount]]+TrafficData[[#This Row],[disposedAmount]]=TrafficData[[#This Row],[totalAmount]]</f>
        <v>1</v>
      </c>
      <c r="M1354" t="b">
        <f>TrafficData[[#This Row],[pendingCourt]]+TrafficData[[#This Row],[disposedCourt]]=TrafficData[[#This Row],[totalCourt]]</f>
        <v>1</v>
      </c>
      <c r="N1354" t="b">
        <f>AND(TrafficData[[#This Row],[disposedChallan]]&lt;=TrafficData[[#This Row],[totalChallan]],TrafficData[[#This Row],[pendingChallan]]&lt;=TrafficData[[#This Row],[totalChallan]])</f>
        <v>1</v>
      </c>
      <c r="O1354" t="b">
        <f>AND(TrafficData[[#This Row],[pendingAmount]]&lt;=TrafficData[[#This Row],[totalAmount]],TrafficData[[#This Row],[disposedAmount]]&lt;=TrafficData[[#This Row],[totalAmount]])</f>
        <v>1</v>
      </c>
      <c r="P1354" t="b">
        <f>AND(TrafficData[[#This Row],[pendingCourt]]&lt;=TrafficData[[#This Row],[totalCourt]],TrafficData[[#This Row],[disposedCourt]]&lt;=TrafficData[[#This Row],[totalCourt]])</f>
        <v>1</v>
      </c>
    </row>
    <row r="1355" spans="1:16">
      <c r="A1355" s="1">
        <v>43358</v>
      </c>
      <c r="B1355">
        <v>16341</v>
      </c>
      <c r="C1355">
        <v>12365</v>
      </c>
      <c r="D1355">
        <v>3976</v>
      </c>
      <c r="E1355">
        <v>4368306</v>
      </c>
      <c r="F1355">
        <v>23930742</v>
      </c>
      <c r="G1355">
        <v>28299048</v>
      </c>
      <c r="H1355">
        <v>2784</v>
      </c>
      <c r="I1355">
        <v>660</v>
      </c>
      <c r="J1355">
        <v>3444</v>
      </c>
      <c r="K1355" t="b">
        <f>TrafficData[[#This Row],[disposedChallan]]+TrafficData[[#This Row],[pendingChallan]]=TrafficData[[#This Row],[totalChallan]]</f>
        <v>1</v>
      </c>
      <c r="L1355" t="b">
        <f>TrafficData[[#This Row],[pendingAmount]]+TrafficData[[#This Row],[disposedAmount]]=TrafficData[[#This Row],[totalAmount]]</f>
        <v>1</v>
      </c>
      <c r="M1355" t="b">
        <f>TrafficData[[#This Row],[pendingCourt]]+TrafficData[[#This Row],[disposedCourt]]=TrafficData[[#This Row],[totalCourt]]</f>
        <v>1</v>
      </c>
      <c r="N1355" t="b">
        <f>AND(TrafficData[[#This Row],[disposedChallan]]&lt;=TrafficData[[#This Row],[totalChallan]],TrafficData[[#This Row],[pendingChallan]]&lt;=TrafficData[[#This Row],[totalChallan]])</f>
        <v>1</v>
      </c>
      <c r="O1355" t="b">
        <f>AND(TrafficData[[#This Row],[pendingAmount]]&lt;=TrafficData[[#This Row],[totalAmount]],TrafficData[[#This Row],[disposedAmount]]&lt;=TrafficData[[#This Row],[totalAmount]])</f>
        <v>1</v>
      </c>
      <c r="P1355" t="b">
        <f>AND(TrafficData[[#This Row],[pendingCourt]]&lt;=TrafficData[[#This Row],[totalCourt]],TrafficData[[#This Row],[disposedCourt]]&lt;=TrafficData[[#This Row],[totalCourt]])</f>
        <v>1</v>
      </c>
    </row>
    <row r="1356" spans="1:16">
      <c r="A1356" s="1">
        <v>43359</v>
      </c>
      <c r="B1356">
        <v>10943</v>
      </c>
      <c r="C1356">
        <v>8668</v>
      </c>
      <c r="D1356">
        <v>2275</v>
      </c>
      <c r="E1356">
        <v>2213275</v>
      </c>
      <c r="F1356">
        <v>18670727</v>
      </c>
      <c r="G1356">
        <v>20884002</v>
      </c>
      <c r="H1356">
        <v>1437</v>
      </c>
      <c r="I1356">
        <v>352</v>
      </c>
      <c r="J1356">
        <v>1789</v>
      </c>
      <c r="K1356" t="b">
        <f>TrafficData[[#This Row],[disposedChallan]]+TrafficData[[#This Row],[pendingChallan]]=TrafficData[[#This Row],[totalChallan]]</f>
        <v>1</v>
      </c>
      <c r="L1356" t="b">
        <f>TrafficData[[#This Row],[pendingAmount]]+TrafficData[[#This Row],[disposedAmount]]=TrafficData[[#This Row],[totalAmount]]</f>
        <v>1</v>
      </c>
      <c r="M1356" t="b">
        <f>TrafficData[[#This Row],[pendingCourt]]+TrafficData[[#This Row],[disposedCourt]]=TrafficData[[#This Row],[totalCourt]]</f>
        <v>1</v>
      </c>
      <c r="N1356" t="b">
        <f>AND(TrafficData[[#This Row],[disposedChallan]]&lt;=TrafficData[[#This Row],[totalChallan]],TrafficData[[#This Row],[pendingChallan]]&lt;=TrafficData[[#This Row],[totalChallan]])</f>
        <v>1</v>
      </c>
      <c r="O1356" t="b">
        <f>AND(TrafficData[[#This Row],[pendingAmount]]&lt;=TrafficData[[#This Row],[totalAmount]],TrafficData[[#This Row],[disposedAmount]]&lt;=TrafficData[[#This Row],[totalAmount]])</f>
        <v>1</v>
      </c>
      <c r="P1356" t="b">
        <f>AND(TrafficData[[#This Row],[pendingCourt]]&lt;=TrafficData[[#This Row],[totalCourt]],TrafficData[[#This Row],[disposedCourt]]&lt;=TrafficData[[#This Row],[totalCourt]])</f>
        <v>1</v>
      </c>
    </row>
    <row r="1357" spans="1:16">
      <c r="A1357" s="1">
        <v>43360</v>
      </c>
      <c r="B1357">
        <v>17394</v>
      </c>
      <c r="C1357">
        <v>13553</v>
      </c>
      <c r="D1357">
        <v>3841</v>
      </c>
      <c r="E1357">
        <v>3506750</v>
      </c>
      <c r="F1357">
        <v>18998964</v>
      </c>
      <c r="G1357">
        <v>22505714</v>
      </c>
      <c r="H1357">
        <v>2478</v>
      </c>
      <c r="I1357">
        <v>765</v>
      </c>
      <c r="J1357">
        <v>3243</v>
      </c>
      <c r="K1357" t="b">
        <f>TrafficData[[#This Row],[disposedChallan]]+TrafficData[[#This Row],[pendingChallan]]=TrafficData[[#This Row],[totalChallan]]</f>
        <v>1</v>
      </c>
      <c r="L1357" t="b">
        <f>TrafficData[[#This Row],[pendingAmount]]+TrafficData[[#This Row],[disposedAmount]]=TrafficData[[#This Row],[totalAmount]]</f>
        <v>1</v>
      </c>
      <c r="M1357" t="b">
        <f>TrafficData[[#This Row],[pendingCourt]]+TrafficData[[#This Row],[disposedCourt]]=TrafficData[[#This Row],[totalCourt]]</f>
        <v>1</v>
      </c>
      <c r="N1357" t="b">
        <f>AND(TrafficData[[#This Row],[disposedChallan]]&lt;=TrafficData[[#This Row],[totalChallan]],TrafficData[[#This Row],[pendingChallan]]&lt;=TrafficData[[#This Row],[totalChallan]])</f>
        <v>1</v>
      </c>
      <c r="O1357" t="b">
        <f>AND(TrafficData[[#This Row],[pendingAmount]]&lt;=TrafficData[[#This Row],[totalAmount]],TrafficData[[#This Row],[disposedAmount]]&lt;=TrafficData[[#This Row],[totalAmount]])</f>
        <v>1</v>
      </c>
      <c r="P1357" t="b">
        <f>AND(TrafficData[[#This Row],[pendingCourt]]&lt;=TrafficData[[#This Row],[totalCourt]],TrafficData[[#This Row],[disposedCourt]]&lt;=TrafficData[[#This Row],[totalCourt]])</f>
        <v>1</v>
      </c>
    </row>
    <row r="1358" spans="1:16">
      <c r="A1358" s="1">
        <v>43361</v>
      </c>
      <c r="B1358">
        <v>18435</v>
      </c>
      <c r="C1358">
        <v>14627</v>
      </c>
      <c r="D1358">
        <v>3808</v>
      </c>
      <c r="E1358">
        <v>4955795</v>
      </c>
      <c r="F1358">
        <v>25720740</v>
      </c>
      <c r="G1358">
        <v>30676535</v>
      </c>
      <c r="H1358">
        <v>2380</v>
      </c>
      <c r="I1358">
        <v>859</v>
      </c>
      <c r="J1358">
        <v>3239</v>
      </c>
      <c r="K1358" t="b">
        <f>TrafficData[[#This Row],[disposedChallan]]+TrafficData[[#This Row],[pendingChallan]]=TrafficData[[#This Row],[totalChallan]]</f>
        <v>1</v>
      </c>
      <c r="L1358" t="b">
        <f>TrafficData[[#This Row],[pendingAmount]]+TrafficData[[#This Row],[disposedAmount]]=TrafficData[[#This Row],[totalAmount]]</f>
        <v>1</v>
      </c>
      <c r="M1358" t="b">
        <f>TrafficData[[#This Row],[pendingCourt]]+TrafficData[[#This Row],[disposedCourt]]=TrafficData[[#This Row],[totalCourt]]</f>
        <v>1</v>
      </c>
      <c r="N1358" t="b">
        <f>AND(TrafficData[[#This Row],[disposedChallan]]&lt;=TrafficData[[#This Row],[totalChallan]],TrafficData[[#This Row],[pendingChallan]]&lt;=TrafficData[[#This Row],[totalChallan]])</f>
        <v>1</v>
      </c>
      <c r="O1358" t="b">
        <f>AND(TrafficData[[#This Row],[pendingAmount]]&lt;=TrafficData[[#This Row],[totalAmount]],TrafficData[[#This Row],[disposedAmount]]&lt;=TrafficData[[#This Row],[totalAmount]])</f>
        <v>1</v>
      </c>
      <c r="P1358" t="b">
        <f>AND(TrafficData[[#This Row],[pendingCourt]]&lt;=TrafficData[[#This Row],[totalCourt]],TrafficData[[#This Row],[disposedCourt]]&lt;=TrafficData[[#This Row],[totalCourt]])</f>
        <v>1</v>
      </c>
    </row>
    <row r="1359" spans="1:16">
      <c r="A1359" s="1">
        <v>43362</v>
      </c>
      <c r="B1359">
        <v>27759</v>
      </c>
      <c r="C1359">
        <v>20322</v>
      </c>
      <c r="D1359">
        <v>7437</v>
      </c>
      <c r="E1359">
        <v>9285621</v>
      </c>
      <c r="F1359">
        <v>31917243</v>
      </c>
      <c r="G1359">
        <v>41202864</v>
      </c>
      <c r="H1359">
        <v>5588</v>
      </c>
      <c r="I1359">
        <v>1435</v>
      </c>
      <c r="J1359">
        <v>7023</v>
      </c>
      <c r="K1359" t="b">
        <f>TrafficData[[#This Row],[disposedChallan]]+TrafficData[[#This Row],[pendingChallan]]=TrafficData[[#This Row],[totalChallan]]</f>
        <v>1</v>
      </c>
      <c r="L1359" t="b">
        <f>TrafficData[[#This Row],[pendingAmount]]+TrafficData[[#This Row],[disposedAmount]]=TrafficData[[#This Row],[totalAmount]]</f>
        <v>1</v>
      </c>
      <c r="M1359" t="b">
        <f>TrafficData[[#This Row],[pendingCourt]]+TrafficData[[#This Row],[disposedCourt]]=TrafficData[[#This Row],[totalCourt]]</f>
        <v>1</v>
      </c>
      <c r="N1359" t="b">
        <f>AND(TrafficData[[#This Row],[disposedChallan]]&lt;=TrafficData[[#This Row],[totalChallan]],TrafficData[[#This Row],[pendingChallan]]&lt;=TrafficData[[#This Row],[totalChallan]])</f>
        <v>1</v>
      </c>
      <c r="O1359" t="b">
        <f>AND(TrafficData[[#This Row],[pendingAmount]]&lt;=TrafficData[[#This Row],[totalAmount]],TrafficData[[#This Row],[disposedAmount]]&lt;=TrafficData[[#This Row],[totalAmount]])</f>
        <v>1</v>
      </c>
      <c r="P1359" t="b">
        <f>AND(TrafficData[[#This Row],[pendingCourt]]&lt;=TrafficData[[#This Row],[totalCourt]],TrafficData[[#This Row],[disposedCourt]]&lt;=TrafficData[[#This Row],[totalCourt]])</f>
        <v>1</v>
      </c>
    </row>
    <row r="1360" spans="1:16">
      <c r="A1360" s="1">
        <v>43363</v>
      </c>
      <c r="B1360">
        <v>18037</v>
      </c>
      <c r="C1360">
        <v>13741</v>
      </c>
      <c r="D1360">
        <v>4296</v>
      </c>
      <c r="E1360">
        <v>4547548</v>
      </c>
      <c r="F1360">
        <v>25807332</v>
      </c>
      <c r="G1360">
        <v>30354880</v>
      </c>
      <c r="H1360">
        <v>2882</v>
      </c>
      <c r="I1360">
        <v>726</v>
      </c>
      <c r="J1360">
        <v>3608</v>
      </c>
      <c r="K1360" t="b">
        <f>TrafficData[[#This Row],[disposedChallan]]+TrafficData[[#This Row],[pendingChallan]]=TrafficData[[#This Row],[totalChallan]]</f>
        <v>1</v>
      </c>
      <c r="L1360" t="b">
        <f>TrafficData[[#This Row],[pendingAmount]]+TrafficData[[#This Row],[disposedAmount]]=TrafficData[[#This Row],[totalAmount]]</f>
        <v>1</v>
      </c>
      <c r="M1360" t="b">
        <f>TrafficData[[#This Row],[pendingCourt]]+TrafficData[[#This Row],[disposedCourt]]=TrafficData[[#This Row],[totalCourt]]</f>
        <v>1</v>
      </c>
      <c r="N1360" t="b">
        <f>AND(TrafficData[[#This Row],[disposedChallan]]&lt;=TrafficData[[#This Row],[totalChallan]],TrafficData[[#This Row],[pendingChallan]]&lt;=TrafficData[[#This Row],[totalChallan]])</f>
        <v>1</v>
      </c>
      <c r="O1360" t="b">
        <f>AND(TrafficData[[#This Row],[pendingAmount]]&lt;=TrafficData[[#This Row],[totalAmount]],TrafficData[[#This Row],[disposedAmount]]&lt;=TrafficData[[#This Row],[totalAmount]])</f>
        <v>1</v>
      </c>
      <c r="P1360" t="b">
        <f>AND(TrafficData[[#This Row],[pendingCourt]]&lt;=TrafficData[[#This Row],[totalCourt]],TrafficData[[#This Row],[disposedCourt]]&lt;=TrafficData[[#This Row],[totalCourt]])</f>
        <v>1</v>
      </c>
    </row>
    <row r="1361" spans="1:16">
      <c r="A1361" s="1">
        <v>43364</v>
      </c>
      <c r="B1361">
        <v>16308</v>
      </c>
      <c r="C1361">
        <v>12816</v>
      </c>
      <c r="D1361">
        <v>3492</v>
      </c>
      <c r="E1361">
        <v>2825838</v>
      </c>
      <c r="F1361">
        <v>21362753</v>
      </c>
      <c r="G1361">
        <v>24188591</v>
      </c>
      <c r="H1361">
        <v>2310</v>
      </c>
      <c r="I1361">
        <v>661</v>
      </c>
      <c r="J1361">
        <v>2971</v>
      </c>
      <c r="K1361" t="b">
        <f>TrafficData[[#This Row],[disposedChallan]]+TrafficData[[#This Row],[pendingChallan]]=TrafficData[[#This Row],[totalChallan]]</f>
        <v>1</v>
      </c>
      <c r="L1361" t="b">
        <f>TrafficData[[#This Row],[pendingAmount]]+TrafficData[[#This Row],[disposedAmount]]=TrafficData[[#This Row],[totalAmount]]</f>
        <v>1</v>
      </c>
      <c r="M1361" t="b">
        <f>TrafficData[[#This Row],[pendingCourt]]+TrafficData[[#This Row],[disposedCourt]]=TrafficData[[#This Row],[totalCourt]]</f>
        <v>1</v>
      </c>
      <c r="N1361" t="b">
        <f>AND(TrafficData[[#This Row],[disposedChallan]]&lt;=TrafficData[[#This Row],[totalChallan]],TrafficData[[#This Row],[pendingChallan]]&lt;=TrafficData[[#This Row],[totalChallan]])</f>
        <v>1</v>
      </c>
      <c r="O1361" t="b">
        <f>AND(TrafficData[[#This Row],[pendingAmount]]&lt;=TrafficData[[#This Row],[totalAmount]],TrafficData[[#This Row],[disposedAmount]]&lt;=TrafficData[[#This Row],[totalAmount]])</f>
        <v>1</v>
      </c>
      <c r="P1361" t="b">
        <f>AND(TrafficData[[#This Row],[pendingCourt]]&lt;=TrafficData[[#This Row],[totalCourt]],TrafficData[[#This Row],[disposedCourt]]&lt;=TrafficData[[#This Row],[totalCourt]])</f>
        <v>1</v>
      </c>
    </row>
    <row r="1362" spans="1:16">
      <c r="A1362" s="1">
        <v>43365</v>
      </c>
      <c r="B1362">
        <v>14452</v>
      </c>
      <c r="C1362">
        <v>11147</v>
      </c>
      <c r="D1362">
        <v>3305</v>
      </c>
      <c r="E1362">
        <v>3147700</v>
      </c>
      <c r="F1362">
        <v>25901928</v>
      </c>
      <c r="G1362">
        <v>29049628</v>
      </c>
      <c r="H1362">
        <v>2159</v>
      </c>
      <c r="I1362">
        <v>458</v>
      </c>
      <c r="J1362">
        <v>2617</v>
      </c>
      <c r="K1362" t="b">
        <f>TrafficData[[#This Row],[disposedChallan]]+TrafficData[[#This Row],[pendingChallan]]=TrafficData[[#This Row],[totalChallan]]</f>
        <v>1</v>
      </c>
      <c r="L1362" t="b">
        <f>TrafficData[[#This Row],[pendingAmount]]+TrafficData[[#This Row],[disposedAmount]]=TrafficData[[#This Row],[totalAmount]]</f>
        <v>1</v>
      </c>
      <c r="M1362" t="b">
        <f>TrafficData[[#This Row],[pendingCourt]]+TrafficData[[#This Row],[disposedCourt]]=TrafficData[[#This Row],[totalCourt]]</f>
        <v>1</v>
      </c>
      <c r="N1362" t="b">
        <f>AND(TrafficData[[#This Row],[disposedChallan]]&lt;=TrafficData[[#This Row],[totalChallan]],TrafficData[[#This Row],[pendingChallan]]&lt;=TrafficData[[#This Row],[totalChallan]])</f>
        <v>1</v>
      </c>
      <c r="O1362" t="b">
        <f>AND(TrafficData[[#This Row],[pendingAmount]]&lt;=TrafficData[[#This Row],[totalAmount]],TrafficData[[#This Row],[disposedAmount]]&lt;=TrafficData[[#This Row],[totalAmount]])</f>
        <v>1</v>
      </c>
      <c r="P1362" t="b">
        <f>AND(TrafficData[[#This Row],[pendingCourt]]&lt;=TrafficData[[#This Row],[totalCourt]],TrafficData[[#This Row],[disposedCourt]]&lt;=TrafficData[[#This Row],[totalCourt]])</f>
        <v>1</v>
      </c>
    </row>
    <row r="1363" spans="1:16">
      <c r="A1363" s="1">
        <v>43366</v>
      </c>
      <c r="B1363">
        <v>10116</v>
      </c>
      <c r="C1363">
        <v>7989</v>
      </c>
      <c r="D1363">
        <v>2127</v>
      </c>
      <c r="E1363">
        <v>1483275</v>
      </c>
      <c r="F1363">
        <v>14079338</v>
      </c>
      <c r="G1363">
        <v>15562613</v>
      </c>
      <c r="H1363">
        <v>1395</v>
      </c>
      <c r="I1363">
        <v>280</v>
      </c>
      <c r="J1363">
        <v>1675</v>
      </c>
      <c r="K1363" t="b">
        <f>TrafficData[[#This Row],[disposedChallan]]+TrafficData[[#This Row],[pendingChallan]]=TrafficData[[#This Row],[totalChallan]]</f>
        <v>1</v>
      </c>
      <c r="L1363" t="b">
        <f>TrafficData[[#This Row],[pendingAmount]]+TrafficData[[#This Row],[disposedAmount]]=TrafficData[[#This Row],[totalAmount]]</f>
        <v>1</v>
      </c>
      <c r="M1363" t="b">
        <f>TrafficData[[#This Row],[pendingCourt]]+TrafficData[[#This Row],[disposedCourt]]=TrafficData[[#This Row],[totalCourt]]</f>
        <v>1</v>
      </c>
      <c r="N1363" t="b">
        <f>AND(TrafficData[[#This Row],[disposedChallan]]&lt;=TrafficData[[#This Row],[totalChallan]],TrafficData[[#This Row],[pendingChallan]]&lt;=TrafficData[[#This Row],[totalChallan]])</f>
        <v>1</v>
      </c>
      <c r="O1363" t="b">
        <f>AND(TrafficData[[#This Row],[pendingAmount]]&lt;=TrafficData[[#This Row],[totalAmount]],TrafficData[[#This Row],[disposedAmount]]&lt;=TrafficData[[#This Row],[totalAmount]])</f>
        <v>1</v>
      </c>
      <c r="P1363" t="b">
        <f>AND(TrafficData[[#This Row],[pendingCourt]]&lt;=TrafficData[[#This Row],[totalCourt]],TrafficData[[#This Row],[disposedCourt]]&lt;=TrafficData[[#This Row],[totalCourt]])</f>
        <v>1</v>
      </c>
    </row>
    <row r="1364" spans="1:16">
      <c r="A1364" s="1">
        <v>43367</v>
      </c>
      <c r="B1364">
        <v>13058</v>
      </c>
      <c r="C1364">
        <v>10044</v>
      </c>
      <c r="D1364">
        <v>3014</v>
      </c>
      <c r="E1364">
        <v>3218212</v>
      </c>
      <c r="F1364">
        <v>17356846</v>
      </c>
      <c r="G1364">
        <v>20575058</v>
      </c>
      <c r="H1364">
        <v>1963</v>
      </c>
      <c r="I1364">
        <v>468</v>
      </c>
      <c r="J1364">
        <v>2431</v>
      </c>
      <c r="K1364" t="b">
        <f>TrafficData[[#This Row],[disposedChallan]]+TrafficData[[#This Row],[pendingChallan]]=TrafficData[[#This Row],[totalChallan]]</f>
        <v>1</v>
      </c>
      <c r="L1364" t="b">
        <f>TrafficData[[#This Row],[pendingAmount]]+TrafficData[[#This Row],[disposedAmount]]=TrafficData[[#This Row],[totalAmount]]</f>
        <v>1</v>
      </c>
      <c r="M1364" t="b">
        <f>TrafficData[[#This Row],[pendingCourt]]+TrafficData[[#This Row],[disposedCourt]]=TrafficData[[#This Row],[totalCourt]]</f>
        <v>1</v>
      </c>
      <c r="N1364" t="b">
        <f>AND(TrafficData[[#This Row],[disposedChallan]]&lt;=TrafficData[[#This Row],[totalChallan]],TrafficData[[#This Row],[pendingChallan]]&lt;=TrafficData[[#This Row],[totalChallan]])</f>
        <v>1</v>
      </c>
      <c r="O1364" t="b">
        <f>AND(TrafficData[[#This Row],[pendingAmount]]&lt;=TrafficData[[#This Row],[totalAmount]],TrafficData[[#This Row],[disposedAmount]]&lt;=TrafficData[[#This Row],[totalAmount]])</f>
        <v>1</v>
      </c>
      <c r="P1364" t="b">
        <f>AND(TrafficData[[#This Row],[pendingCourt]]&lt;=TrafficData[[#This Row],[totalCourt]],TrafficData[[#This Row],[disposedCourt]]&lt;=TrafficData[[#This Row],[totalCourt]])</f>
        <v>1</v>
      </c>
    </row>
    <row r="1365" spans="1:16">
      <c r="A1365" s="1">
        <v>43368</v>
      </c>
      <c r="B1365">
        <v>20380</v>
      </c>
      <c r="C1365">
        <v>15567</v>
      </c>
      <c r="D1365">
        <v>4813</v>
      </c>
      <c r="E1365">
        <v>4480093</v>
      </c>
      <c r="F1365">
        <v>24342084</v>
      </c>
      <c r="G1365">
        <v>28822177</v>
      </c>
      <c r="H1365">
        <v>3147</v>
      </c>
      <c r="I1365">
        <v>924</v>
      </c>
      <c r="J1365">
        <v>4071</v>
      </c>
      <c r="K1365" t="b">
        <f>TrafficData[[#This Row],[disposedChallan]]+TrafficData[[#This Row],[pendingChallan]]=TrafficData[[#This Row],[totalChallan]]</f>
        <v>1</v>
      </c>
      <c r="L1365" t="b">
        <f>TrafficData[[#This Row],[pendingAmount]]+TrafficData[[#This Row],[disposedAmount]]=TrafficData[[#This Row],[totalAmount]]</f>
        <v>1</v>
      </c>
      <c r="M1365" t="b">
        <f>TrafficData[[#This Row],[pendingCourt]]+TrafficData[[#This Row],[disposedCourt]]=TrafficData[[#This Row],[totalCourt]]</f>
        <v>1</v>
      </c>
      <c r="N1365" t="b">
        <f>AND(TrafficData[[#This Row],[disposedChallan]]&lt;=TrafficData[[#This Row],[totalChallan]],TrafficData[[#This Row],[pendingChallan]]&lt;=TrafficData[[#This Row],[totalChallan]])</f>
        <v>1</v>
      </c>
      <c r="O1365" t="b">
        <f>AND(TrafficData[[#This Row],[pendingAmount]]&lt;=TrafficData[[#This Row],[totalAmount]],TrafficData[[#This Row],[disposedAmount]]&lt;=TrafficData[[#This Row],[totalAmount]])</f>
        <v>1</v>
      </c>
      <c r="P1365" t="b">
        <f>AND(TrafficData[[#This Row],[pendingCourt]]&lt;=TrafficData[[#This Row],[totalCourt]],TrafficData[[#This Row],[disposedCourt]]&lt;=TrafficData[[#This Row],[totalCourt]])</f>
        <v>1</v>
      </c>
    </row>
    <row r="1366" spans="1:16">
      <c r="A1366" s="1">
        <v>43369</v>
      </c>
      <c r="B1366">
        <v>29367</v>
      </c>
      <c r="C1366">
        <v>21211</v>
      </c>
      <c r="D1366">
        <v>8156</v>
      </c>
      <c r="E1366">
        <v>10821825</v>
      </c>
      <c r="F1366">
        <v>28541622</v>
      </c>
      <c r="G1366">
        <v>39363447</v>
      </c>
      <c r="H1366">
        <v>6175</v>
      </c>
      <c r="I1366">
        <v>1609</v>
      </c>
      <c r="J1366">
        <v>7784</v>
      </c>
      <c r="K1366" t="b">
        <f>TrafficData[[#This Row],[disposedChallan]]+TrafficData[[#This Row],[pendingChallan]]=TrafficData[[#This Row],[totalChallan]]</f>
        <v>1</v>
      </c>
      <c r="L1366" t="b">
        <f>TrafficData[[#This Row],[pendingAmount]]+TrafficData[[#This Row],[disposedAmount]]=TrafficData[[#This Row],[totalAmount]]</f>
        <v>1</v>
      </c>
      <c r="M1366" t="b">
        <f>TrafficData[[#This Row],[pendingCourt]]+TrafficData[[#This Row],[disposedCourt]]=TrafficData[[#This Row],[totalCourt]]</f>
        <v>1</v>
      </c>
      <c r="N1366" t="b">
        <f>AND(TrafficData[[#This Row],[disposedChallan]]&lt;=TrafficData[[#This Row],[totalChallan]],TrafficData[[#This Row],[pendingChallan]]&lt;=TrafficData[[#This Row],[totalChallan]])</f>
        <v>1</v>
      </c>
      <c r="O1366" t="b">
        <f>AND(TrafficData[[#This Row],[pendingAmount]]&lt;=TrafficData[[#This Row],[totalAmount]],TrafficData[[#This Row],[disposedAmount]]&lt;=TrafficData[[#This Row],[totalAmount]])</f>
        <v>1</v>
      </c>
      <c r="P1366" t="b">
        <f>AND(TrafficData[[#This Row],[pendingCourt]]&lt;=TrafficData[[#This Row],[totalCourt]],TrafficData[[#This Row],[disposedCourt]]&lt;=TrafficData[[#This Row],[totalCourt]])</f>
        <v>1</v>
      </c>
    </row>
    <row r="1367" spans="1:16">
      <c r="A1367" s="1">
        <v>43370</v>
      </c>
      <c r="B1367">
        <v>18812</v>
      </c>
      <c r="C1367">
        <v>14540</v>
      </c>
      <c r="D1367">
        <v>4272</v>
      </c>
      <c r="E1367">
        <v>4431874</v>
      </c>
      <c r="F1367">
        <v>25433808</v>
      </c>
      <c r="G1367">
        <v>29865682</v>
      </c>
      <c r="H1367">
        <v>2789</v>
      </c>
      <c r="I1367">
        <v>811</v>
      </c>
      <c r="J1367">
        <v>3600</v>
      </c>
      <c r="K1367" t="b">
        <f>TrafficData[[#This Row],[disposedChallan]]+TrafficData[[#This Row],[pendingChallan]]=TrafficData[[#This Row],[totalChallan]]</f>
        <v>1</v>
      </c>
      <c r="L1367" t="b">
        <f>TrafficData[[#This Row],[pendingAmount]]+TrafficData[[#This Row],[disposedAmount]]=TrafficData[[#This Row],[totalAmount]]</f>
        <v>1</v>
      </c>
      <c r="M1367" t="b">
        <f>TrafficData[[#This Row],[pendingCourt]]+TrafficData[[#This Row],[disposedCourt]]=TrafficData[[#This Row],[totalCourt]]</f>
        <v>1</v>
      </c>
      <c r="N1367" t="b">
        <f>AND(TrafficData[[#This Row],[disposedChallan]]&lt;=TrafficData[[#This Row],[totalChallan]],TrafficData[[#This Row],[pendingChallan]]&lt;=TrafficData[[#This Row],[totalChallan]])</f>
        <v>1</v>
      </c>
      <c r="O1367" t="b">
        <f>AND(TrafficData[[#This Row],[pendingAmount]]&lt;=TrafficData[[#This Row],[totalAmount]],TrafficData[[#This Row],[disposedAmount]]&lt;=TrafficData[[#This Row],[totalAmount]])</f>
        <v>1</v>
      </c>
      <c r="P1367" t="b">
        <f>AND(TrafficData[[#This Row],[pendingCourt]]&lt;=TrafficData[[#This Row],[totalCourt]],TrafficData[[#This Row],[disposedCourt]]&lt;=TrafficData[[#This Row],[totalCourt]])</f>
        <v>1</v>
      </c>
    </row>
    <row r="1368" spans="1:16">
      <c r="A1368" s="1">
        <v>43371</v>
      </c>
      <c r="B1368">
        <v>19002</v>
      </c>
      <c r="C1368">
        <v>14721</v>
      </c>
      <c r="D1368">
        <v>4281</v>
      </c>
      <c r="E1368">
        <v>5327834</v>
      </c>
      <c r="F1368">
        <v>27416806</v>
      </c>
      <c r="G1368">
        <v>32744640</v>
      </c>
      <c r="H1368">
        <v>2795</v>
      </c>
      <c r="I1368">
        <v>768</v>
      </c>
      <c r="J1368">
        <v>3563</v>
      </c>
      <c r="K1368" t="b">
        <f>TrafficData[[#This Row],[disposedChallan]]+TrafficData[[#This Row],[pendingChallan]]=TrafficData[[#This Row],[totalChallan]]</f>
        <v>1</v>
      </c>
      <c r="L1368" t="b">
        <f>TrafficData[[#This Row],[pendingAmount]]+TrafficData[[#This Row],[disposedAmount]]=TrafficData[[#This Row],[totalAmount]]</f>
        <v>1</v>
      </c>
      <c r="M1368" t="b">
        <f>TrafficData[[#This Row],[pendingCourt]]+TrafficData[[#This Row],[disposedCourt]]=TrafficData[[#This Row],[totalCourt]]</f>
        <v>1</v>
      </c>
      <c r="N1368" t="b">
        <f>AND(TrafficData[[#This Row],[disposedChallan]]&lt;=TrafficData[[#This Row],[totalChallan]],TrafficData[[#This Row],[pendingChallan]]&lt;=TrafficData[[#This Row],[totalChallan]])</f>
        <v>1</v>
      </c>
      <c r="O1368" t="b">
        <f>AND(TrafficData[[#This Row],[pendingAmount]]&lt;=TrafficData[[#This Row],[totalAmount]],TrafficData[[#This Row],[disposedAmount]]&lt;=TrafficData[[#This Row],[totalAmount]])</f>
        <v>1</v>
      </c>
      <c r="P1368" t="b">
        <f>AND(TrafficData[[#This Row],[pendingCourt]]&lt;=TrafficData[[#This Row],[totalCourt]],TrafficData[[#This Row],[disposedCourt]]&lt;=TrafficData[[#This Row],[totalCourt]])</f>
        <v>1</v>
      </c>
    </row>
    <row r="1369" spans="1:16">
      <c r="A1369" s="1">
        <v>43372</v>
      </c>
      <c r="B1369">
        <v>18273</v>
      </c>
      <c r="C1369">
        <v>13463</v>
      </c>
      <c r="D1369">
        <v>4810</v>
      </c>
      <c r="E1369">
        <v>12058962</v>
      </c>
      <c r="F1369">
        <v>25184282</v>
      </c>
      <c r="G1369">
        <v>37243244</v>
      </c>
      <c r="H1369">
        <v>3066</v>
      </c>
      <c r="I1369">
        <v>856</v>
      </c>
      <c r="J1369">
        <v>3922</v>
      </c>
      <c r="K1369" t="b">
        <f>TrafficData[[#This Row],[disposedChallan]]+TrafficData[[#This Row],[pendingChallan]]=TrafficData[[#This Row],[totalChallan]]</f>
        <v>1</v>
      </c>
      <c r="L1369" t="b">
        <f>TrafficData[[#This Row],[pendingAmount]]+TrafficData[[#This Row],[disposedAmount]]=TrafficData[[#This Row],[totalAmount]]</f>
        <v>1</v>
      </c>
      <c r="M1369" t="b">
        <f>TrafficData[[#This Row],[pendingCourt]]+TrafficData[[#This Row],[disposedCourt]]=TrafficData[[#This Row],[totalCourt]]</f>
        <v>1</v>
      </c>
      <c r="N1369" t="b">
        <f>AND(TrafficData[[#This Row],[disposedChallan]]&lt;=TrafficData[[#This Row],[totalChallan]],TrafficData[[#This Row],[pendingChallan]]&lt;=TrafficData[[#This Row],[totalChallan]])</f>
        <v>1</v>
      </c>
      <c r="O1369" t="b">
        <f>AND(TrafficData[[#This Row],[pendingAmount]]&lt;=TrafficData[[#This Row],[totalAmount]],TrafficData[[#This Row],[disposedAmount]]&lt;=TrafficData[[#This Row],[totalAmount]])</f>
        <v>1</v>
      </c>
      <c r="P1369" t="b">
        <f>AND(TrafficData[[#This Row],[pendingCourt]]&lt;=TrafficData[[#This Row],[totalCourt]],TrafficData[[#This Row],[disposedCourt]]&lt;=TrafficData[[#This Row],[totalCourt]])</f>
        <v>1</v>
      </c>
    </row>
    <row r="1370" spans="1:16">
      <c r="A1370" s="1">
        <v>43373</v>
      </c>
      <c r="B1370">
        <v>11246</v>
      </c>
      <c r="C1370">
        <v>9174</v>
      </c>
      <c r="D1370">
        <v>2072</v>
      </c>
      <c r="E1370">
        <v>2148120</v>
      </c>
      <c r="F1370">
        <v>19998317</v>
      </c>
      <c r="G1370">
        <v>22146437</v>
      </c>
      <c r="H1370">
        <v>1511</v>
      </c>
      <c r="I1370">
        <v>300</v>
      </c>
      <c r="J1370">
        <v>1811</v>
      </c>
      <c r="K1370" t="b">
        <f>TrafficData[[#This Row],[disposedChallan]]+TrafficData[[#This Row],[pendingChallan]]=TrafficData[[#This Row],[totalChallan]]</f>
        <v>1</v>
      </c>
      <c r="L1370" t="b">
        <f>TrafficData[[#This Row],[pendingAmount]]+TrafficData[[#This Row],[disposedAmount]]=TrafficData[[#This Row],[totalAmount]]</f>
        <v>1</v>
      </c>
      <c r="M1370" t="b">
        <f>TrafficData[[#This Row],[pendingCourt]]+TrafficData[[#This Row],[disposedCourt]]=TrafficData[[#This Row],[totalCourt]]</f>
        <v>1</v>
      </c>
      <c r="N1370" t="b">
        <f>AND(TrafficData[[#This Row],[disposedChallan]]&lt;=TrafficData[[#This Row],[totalChallan]],TrafficData[[#This Row],[pendingChallan]]&lt;=TrafficData[[#This Row],[totalChallan]])</f>
        <v>1</v>
      </c>
      <c r="O1370" t="b">
        <f>AND(TrafficData[[#This Row],[pendingAmount]]&lt;=TrafficData[[#This Row],[totalAmount]],TrafficData[[#This Row],[disposedAmount]]&lt;=TrafficData[[#This Row],[totalAmount]])</f>
        <v>1</v>
      </c>
      <c r="P1370" t="b">
        <f>AND(TrafficData[[#This Row],[pendingCourt]]&lt;=TrafficData[[#This Row],[totalCourt]],TrafficData[[#This Row],[disposedCourt]]&lt;=TrafficData[[#This Row],[totalCourt]])</f>
        <v>1</v>
      </c>
    </row>
    <row r="1371" spans="1:16">
      <c r="A1371" s="1">
        <v>43374</v>
      </c>
      <c r="B1371">
        <v>19221</v>
      </c>
      <c r="C1371">
        <v>15597</v>
      </c>
      <c r="D1371">
        <v>3624</v>
      </c>
      <c r="E1371">
        <v>3391020</v>
      </c>
      <c r="F1371">
        <v>33035293</v>
      </c>
      <c r="G1371">
        <v>36426313</v>
      </c>
      <c r="H1371">
        <v>2245</v>
      </c>
      <c r="I1371">
        <v>667</v>
      </c>
      <c r="J1371">
        <v>2912</v>
      </c>
      <c r="K1371" t="b">
        <f>TrafficData[[#This Row],[disposedChallan]]+TrafficData[[#This Row],[pendingChallan]]=TrafficData[[#This Row],[totalChallan]]</f>
        <v>1</v>
      </c>
      <c r="L1371" t="b">
        <f>TrafficData[[#This Row],[pendingAmount]]+TrafficData[[#This Row],[disposedAmount]]=TrafficData[[#This Row],[totalAmount]]</f>
        <v>1</v>
      </c>
      <c r="M1371" t="b">
        <f>TrafficData[[#This Row],[pendingCourt]]+TrafficData[[#This Row],[disposedCourt]]=TrafficData[[#This Row],[totalCourt]]</f>
        <v>1</v>
      </c>
      <c r="N1371" t="b">
        <f>AND(TrafficData[[#This Row],[disposedChallan]]&lt;=TrafficData[[#This Row],[totalChallan]],TrafficData[[#This Row],[pendingChallan]]&lt;=TrafficData[[#This Row],[totalChallan]])</f>
        <v>1</v>
      </c>
      <c r="O1371" t="b">
        <f>AND(TrafficData[[#This Row],[pendingAmount]]&lt;=TrafficData[[#This Row],[totalAmount]],TrafficData[[#This Row],[disposedAmount]]&lt;=TrafficData[[#This Row],[totalAmount]])</f>
        <v>1</v>
      </c>
      <c r="P1371" t="b">
        <f>AND(TrafficData[[#This Row],[pendingCourt]]&lt;=TrafficData[[#This Row],[totalCourt]],TrafficData[[#This Row],[disposedCourt]]&lt;=TrafficData[[#This Row],[totalCourt]])</f>
        <v>1</v>
      </c>
    </row>
    <row r="1372" spans="1:16">
      <c r="A1372" s="1">
        <v>43375</v>
      </c>
      <c r="B1372">
        <v>15570</v>
      </c>
      <c r="C1372">
        <v>12848</v>
      </c>
      <c r="D1372">
        <v>2722</v>
      </c>
      <c r="E1372">
        <v>4872426</v>
      </c>
      <c r="F1372">
        <v>24281176</v>
      </c>
      <c r="G1372">
        <v>29153602</v>
      </c>
      <c r="H1372">
        <v>1448</v>
      </c>
      <c r="I1372">
        <v>622</v>
      </c>
      <c r="J1372">
        <v>2070</v>
      </c>
      <c r="K1372" t="b">
        <f>TrafficData[[#This Row],[disposedChallan]]+TrafficData[[#This Row],[pendingChallan]]=TrafficData[[#This Row],[totalChallan]]</f>
        <v>1</v>
      </c>
      <c r="L1372" t="b">
        <f>TrafficData[[#This Row],[pendingAmount]]+TrafficData[[#This Row],[disposedAmount]]=TrafficData[[#This Row],[totalAmount]]</f>
        <v>1</v>
      </c>
      <c r="M1372" t="b">
        <f>TrafficData[[#This Row],[pendingCourt]]+TrafficData[[#This Row],[disposedCourt]]=TrafficData[[#This Row],[totalCourt]]</f>
        <v>1</v>
      </c>
      <c r="N1372" t="b">
        <f>AND(TrafficData[[#This Row],[disposedChallan]]&lt;=TrafficData[[#This Row],[totalChallan]],TrafficData[[#This Row],[pendingChallan]]&lt;=TrafficData[[#This Row],[totalChallan]])</f>
        <v>1</v>
      </c>
      <c r="O1372" t="b">
        <f>AND(TrafficData[[#This Row],[pendingAmount]]&lt;=TrafficData[[#This Row],[totalAmount]],TrafficData[[#This Row],[disposedAmount]]&lt;=TrafficData[[#This Row],[totalAmount]])</f>
        <v>1</v>
      </c>
      <c r="P1372" t="b">
        <f>AND(TrafficData[[#This Row],[pendingCourt]]&lt;=TrafficData[[#This Row],[totalCourt]],TrafficData[[#This Row],[disposedCourt]]&lt;=TrafficData[[#This Row],[totalCourt]])</f>
        <v>1</v>
      </c>
    </row>
    <row r="1373" spans="1:16">
      <c r="A1373" s="1">
        <v>43376</v>
      </c>
      <c r="B1373">
        <v>28358</v>
      </c>
      <c r="C1373">
        <v>21032</v>
      </c>
      <c r="D1373">
        <v>7326</v>
      </c>
      <c r="E1373">
        <v>10761333</v>
      </c>
      <c r="F1373">
        <v>24661887</v>
      </c>
      <c r="G1373">
        <v>35423220</v>
      </c>
      <c r="H1373">
        <v>5469</v>
      </c>
      <c r="I1373">
        <v>1462</v>
      </c>
      <c r="J1373">
        <v>6931</v>
      </c>
      <c r="K1373" t="b">
        <f>TrafficData[[#This Row],[disposedChallan]]+TrafficData[[#This Row],[pendingChallan]]=TrafficData[[#This Row],[totalChallan]]</f>
        <v>1</v>
      </c>
      <c r="L1373" t="b">
        <f>TrafficData[[#This Row],[pendingAmount]]+TrafficData[[#This Row],[disposedAmount]]=TrafficData[[#This Row],[totalAmount]]</f>
        <v>1</v>
      </c>
      <c r="M1373" t="b">
        <f>TrafficData[[#This Row],[pendingCourt]]+TrafficData[[#This Row],[disposedCourt]]=TrafficData[[#This Row],[totalCourt]]</f>
        <v>1</v>
      </c>
      <c r="N1373" t="b">
        <f>AND(TrafficData[[#This Row],[disposedChallan]]&lt;=TrafficData[[#This Row],[totalChallan]],TrafficData[[#This Row],[pendingChallan]]&lt;=TrafficData[[#This Row],[totalChallan]])</f>
        <v>1</v>
      </c>
      <c r="O1373" t="b">
        <f>AND(TrafficData[[#This Row],[pendingAmount]]&lt;=TrafficData[[#This Row],[totalAmount]],TrafficData[[#This Row],[disposedAmount]]&lt;=TrafficData[[#This Row],[totalAmount]])</f>
        <v>1</v>
      </c>
      <c r="P1373" t="b">
        <f>AND(TrafficData[[#This Row],[pendingCourt]]&lt;=TrafficData[[#This Row],[totalCourt]],TrafficData[[#This Row],[disposedCourt]]&lt;=TrafficData[[#This Row],[totalCourt]])</f>
        <v>1</v>
      </c>
    </row>
    <row r="1374" spans="1:16">
      <c r="A1374" s="1">
        <v>43377</v>
      </c>
      <c r="B1374">
        <v>19914</v>
      </c>
      <c r="C1374">
        <v>15347</v>
      </c>
      <c r="D1374">
        <v>4567</v>
      </c>
      <c r="E1374">
        <v>9550753</v>
      </c>
      <c r="F1374">
        <v>27455872</v>
      </c>
      <c r="G1374">
        <v>37006625</v>
      </c>
      <c r="H1374">
        <v>2674</v>
      </c>
      <c r="I1374">
        <v>897</v>
      </c>
      <c r="J1374">
        <v>3571</v>
      </c>
      <c r="K1374" t="b">
        <f>TrafficData[[#This Row],[disposedChallan]]+TrafficData[[#This Row],[pendingChallan]]=TrafficData[[#This Row],[totalChallan]]</f>
        <v>1</v>
      </c>
      <c r="L1374" t="b">
        <f>TrafficData[[#This Row],[pendingAmount]]+TrafficData[[#This Row],[disposedAmount]]=TrafficData[[#This Row],[totalAmount]]</f>
        <v>1</v>
      </c>
      <c r="M1374" t="b">
        <f>TrafficData[[#This Row],[pendingCourt]]+TrafficData[[#This Row],[disposedCourt]]=TrafficData[[#This Row],[totalCourt]]</f>
        <v>1</v>
      </c>
      <c r="N1374" t="b">
        <f>AND(TrafficData[[#This Row],[disposedChallan]]&lt;=TrafficData[[#This Row],[totalChallan]],TrafficData[[#This Row],[pendingChallan]]&lt;=TrafficData[[#This Row],[totalChallan]])</f>
        <v>1</v>
      </c>
      <c r="O1374" t="b">
        <f>AND(TrafficData[[#This Row],[pendingAmount]]&lt;=TrafficData[[#This Row],[totalAmount]],TrafficData[[#This Row],[disposedAmount]]&lt;=TrafficData[[#This Row],[totalAmount]])</f>
        <v>1</v>
      </c>
      <c r="P1374" t="b">
        <f>AND(TrafficData[[#This Row],[pendingCourt]]&lt;=TrafficData[[#This Row],[totalCourt]],TrafficData[[#This Row],[disposedCourt]]&lt;=TrafficData[[#This Row],[totalCourt]])</f>
        <v>1</v>
      </c>
    </row>
    <row r="1375" spans="1:16">
      <c r="A1375" s="1">
        <v>43378</v>
      </c>
      <c r="B1375">
        <v>19798</v>
      </c>
      <c r="C1375">
        <v>14915</v>
      </c>
      <c r="D1375">
        <v>4883</v>
      </c>
      <c r="E1375">
        <v>15234169</v>
      </c>
      <c r="F1375">
        <v>32542019</v>
      </c>
      <c r="G1375">
        <v>47776188</v>
      </c>
      <c r="H1375">
        <v>2526</v>
      </c>
      <c r="I1375">
        <v>837</v>
      </c>
      <c r="J1375">
        <v>3363</v>
      </c>
      <c r="K1375" t="b">
        <f>TrafficData[[#This Row],[disposedChallan]]+TrafficData[[#This Row],[pendingChallan]]=TrafficData[[#This Row],[totalChallan]]</f>
        <v>1</v>
      </c>
      <c r="L1375" t="b">
        <f>TrafficData[[#This Row],[pendingAmount]]+TrafficData[[#This Row],[disposedAmount]]=TrafficData[[#This Row],[totalAmount]]</f>
        <v>1</v>
      </c>
      <c r="M1375" t="b">
        <f>TrafficData[[#This Row],[pendingCourt]]+TrafficData[[#This Row],[disposedCourt]]=TrafficData[[#This Row],[totalCourt]]</f>
        <v>1</v>
      </c>
      <c r="N1375" t="b">
        <f>AND(TrafficData[[#This Row],[disposedChallan]]&lt;=TrafficData[[#This Row],[totalChallan]],TrafficData[[#This Row],[pendingChallan]]&lt;=TrafficData[[#This Row],[totalChallan]])</f>
        <v>1</v>
      </c>
      <c r="O1375" t="b">
        <f>AND(TrafficData[[#This Row],[pendingAmount]]&lt;=TrafficData[[#This Row],[totalAmount]],TrafficData[[#This Row],[disposedAmount]]&lt;=TrafficData[[#This Row],[totalAmount]])</f>
        <v>1</v>
      </c>
      <c r="P1375" t="b">
        <f>AND(TrafficData[[#This Row],[pendingCourt]]&lt;=TrafficData[[#This Row],[totalCourt]],TrafficData[[#This Row],[disposedCourt]]&lt;=TrafficData[[#This Row],[totalCourt]])</f>
        <v>1</v>
      </c>
    </row>
    <row r="1376" spans="1:16">
      <c r="A1376" s="1">
        <v>43379</v>
      </c>
      <c r="B1376">
        <v>18840</v>
      </c>
      <c r="C1376">
        <v>13632</v>
      </c>
      <c r="D1376">
        <v>5208</v>
      </c>
      <c r="E1376">
        <v>15202101</v>
      </c>
      <c r="F1376">
        <v>22486955</v>
      </c>
      <c r="G1376">
        <v>37689056</v>
      </c>
      <c r="H1376">
        <v>2228</v>
      </c>
      <c r="I1376">
        <v>695</v>
      </c>
      <c r="J1376">
        <v>2923</v>
      </c>
      <c r="K1376" t="b">
        <f>TrafficData[[#This Row],[disposedChallan]]+TrafficData[[#This Row],[pendingChallan]]=TrafficData[[#This Row],[totalChallan]]</f>
        <v>1</v>
      </c>
      <c r="L1376" t="b">
        <f>TrafficData[[#This Row],[pendingAmount]]+TrafficData[[#This Row],[disposedAmount]]=TrafficData[[#This Row],[totalAmount]]</f>
        <v>1</v>
      </c>
      <c r="M1376" t="b">
        <f>TrafficData[[#This Row],[pendingCourt]]+TrafficData[[#This Row],[disposedCourt]]=TrafficData[[#This Row],[totalCourt]]</f>
        <v>1</v>
      </c>
      <c r="N1376" t="b">
        <f>AND(TrafficData[[#This Row],[disposedChallan]]&lt;=TrafficData[[#This Row],[totalChallan]],TrafficData[[#This Row],[pendingChallan]]&lt;=TrafficData[[#This Row],[totalChallan]])</f>
        <v>1</v>
      </c>
      <c r="O1376" t="b">
        <f>AND(TrafficData[[#This Row],[pendingAmount]]&lt;=TrafficData[[#This Row],[totalAmount]],TrafficData[[#This Row],[disposedAmount]]&lt;=TrafficData[[#This Row],[totalAmount]])</f>
        <v>1</v>
      </c>
      <c r="P1376" t="b">
        <f>AND(TrafficData[[#This Row],[pendingCourt]]&lt;=TrafficData[[#This Row],[totalCourt]],TrafficData[[#This Row],[disposedCourt]]&lt;=TrafficData[[#This Row],[totalCourt]])</f>
        <v>1</v>
      </c>
    </row>
    <row r="1377" spans="1:16">
      <c r="A1377" s="1">
        <v>43380</v>
      </c>
      <c r="B1377">
        <v>12342</v>
      </c>
      <c r="C1377">
        <v>9953</v>
      </c>
      <c r="D1377">
        <v>2389</v>
      </c>
      <c r="E1377">
        <v>3691430</v>
      </c>
      <c r="F1377">
        <v>18311579</v>
      </c>
      <c r="G1377">
        <v>22003009</v>
      </c>
      <c r="H1377">
        <v>1311</v>
      </c>
      <c r="I1377">
        <v>480</v>
      </c>
      <c r="J1377">
        <v>1791</v>
      </c>
      <c r="K1377" t="b">
        <f>TrafficData[[#This Row],[disposedChallan]]+TrafficData[[#This Row],[pendingChallan]]=TrafficData[[#This Row],[totalChallan]]</f>
        <v>1</v>
      </c>
      <c r="L1377" t="b">
        <f>TrafficData[[#This Row],[pendingAmount]]+TrafficData[[#This Row],[disposedAmount]]=TrafficData[[#This Row],[totalAmount]]</f>
        <v>1</v>
      </c>
      <c r="M1377" t="b">
        <f>TrafficData[[#This Row],[pendingCourt]]+TrafficData[[#This Row],[disposedCourt]]=TrafficData[[#This Row],[totalCourt]]</f>
        <v>1</v>
      </c>
      <c r="N1377" t="b">
        <f>AND(TrafficData[[#This Row],[disposedChallan]]&lt;=TrafficData[[#This Row],[totalChallan]],TrafficData[[#This Row],[pendingChallan]]&lt;=TrafficData[[#This Row],[totalChallan]])</f>
        <v>1</v>
      </c>
      <c r="O1377" t="b">
        <f>AND(TrafficData[[#This Row],[pendingAmount]]&lt;=TrafficData[[#This Row],[totalAmount]],TrafficData[[#This Row],[disposedAmount]]&lt;=TrafficData[[#This Row],[totalAmount]])</f>
        <v>1</v>
      </c>
      <c r="P1377" t="b">
        <f>AND(TrafficData[[#This Row],[pendingCourt]]&lt;=TrafficData[[#This Row],[totalCourt]],TrafficData[[#This Row],[disposedCourt]]&lt;=TrafficData[[#This Row],[totalCourt]])</f>
        <v>1</v>
      </c>
    </row>
    <row r="1378" spans="1:16">
      <c r="A1378" s="1">
        <v>43381</v>
      </c>
      <c r="B1378">
        <v>17374</v>
      </c>
      <c r="C1378">
        <v>13449</v>
      </c>
      <c r="D1378">
        <v>3925</v>
      </c>
      <c r="E1378">
        <v>6817919</v>
      </c>
      <c r="F1378">
        <v>18586466</v>
      </c>
      <c r="G1378">
        <v>25404385</v>
      </c>
      <c r="H1378">
        <v>1934</v>
      </c>
      <c r="I1378">
        <v>684</v>
      </c>
      <c r="J1378">
        <v>2618</v>
      </c>
      <c r="K1378" t="b">
        <f>TrafficData[[#This Row],[disposedChallan]]+TrafficData[[#This Row],[pendingChallan]]=TrafficData[[#This Row],[totalChallan]]</f>
        <v>1</v>
      </c>
      <c r="L1378" t="b">
        <f>TrafficData[[#This Row],[pendingAmount]]+TrafficData[[#This Row],[disposedAmount]]=TrafficData[[#This Row],[totalAmount]]</f>
        <v>1</v>
      </c>
      <c r="M1378" t="b">
        <f>TrafficData[[#This Row],[pendingCourt]]+TrafficData[[#This Row],[disposedCourt]]=TrafficData[[#This Row],[totalCourt]]</f>
        <v>1</v>
      </c>
      <c r="N1378" t="b">
        <f>AND(TrafficData[[#This Row],[disposedChallan]]&lt;=TrafficData[[#This Row],[totalChallan]],TrafficData[[#This Row],[pendingChallan]]&lt;=TrafficData[[#This Row],[totalChallan]])</f>
        <v>1</v>
      </c>
      <c r="O1378" t="b">
        <f>AND(TrafficData[[#This Row],[pendingAmount]]&lt;=TrafficData[[#This Row],[totalAmount]],TrafficData[[#This Row],[disposedAmount]]&lt;=TrafficData[[#This Row],[totalAmount]])</f>
        <v>1</v>
      </c>
      <c r="P1378" t="b">
        <f>AND(TrafficData[[#This Row],[pendingCourt]]&lt;=TrafficData[[#This Row],[totalCourt]],TrafficData[[#This Row],[disposedCourt]]&lt;=TrafficData[[#This Row],[totalCourt]])</f>
        <v>1</v>
      </c>
    </row>
    <row r="1379" spans="1:16">
      <c r="A1379" s="1">
        <v>43382</v>
      </c>
      <c r="B1379">
        <v>17207</v>
      </c>
      <c r="C1379">
        <v>14030</v>
      </c>
      <c r="D1379">
        <v>3177</v>
      </c>
      <c r="E1379">
        <v>6496542</v>
      </c>
      <c r="F1379">
        <v>23701868</v>
      </c>
      <c r="G1379">
        <v>30198410</v>
      </c>
      <c r="H1379">
        <v>1498</v>
      </c>
      <c r="I1379">
        <v>765</v>
      </c>
      <c r="J1379">
        <v>2263</v>
      </c>
      <c r="K1379" t="b">
        <f>TrafficData[[#This Row],[disposedChallan]]+TrafficData[[#This Row],[pendingChallan]]=TrafficData[[#This Row],[totalChallan]]</f>
        <v>1</v>
      </c>
      <c r="L1379" t="b">
        <f>TrafficData[[#This Row],[pendingAmount]]+TrafficData[[#This Row],[disposedAmount]]=TrafficData[[#This Row],[totalAmount]]</f>
        <v>1</v>
      </c>
      <c r="M1379" t="b">
        <f>TrafficData[[#This Row],[pendingCourt]]+TrafficData[[#This Row],[disposedCourt]]=TrafficData[[#This Row],[totalCourt]]</f>
        <v>1</v>
      </c>
      <c r="N1379" t="b">
        <f>AND(TrafficData[[#This Row],[disposedChallan]]&lt;=TrafficData[[#This Row],[totalChallan]],TrafficData[[#This Row],[pendingChallan]]&lt;=TrafficData[[#This Row],[totalChallan]])</f>
        <v>1</v>
      </c>
      <c r="O1379" t="b">
        <f>AND(TrafficData[[#This Row],[pendingAmount]]&lt;=TrafficData[[#This Row],[totalAmount]],TrafficData[[#This Row],[disposedAmount]]&lt;=TrafficData[[#This Row],[totalAmount]])</f>
        <v>1</v>
      </c>
      <c r="P1379" t="b">
        <f>AND(TrafficData[[#This Row],[pendingCourt]]&lt;=TrafficData[[#This Row],[totalCourt]],TrafficData[[#This Row],[disposedCourt]]&lt;=TrafficData[[#This Row],[totalCourt]])</f>
        <v>1</v>
      </c>
    </row>
    <row r="1380" spans="1:16">
      <c r="A1380" s="1">
        <v>43383</v>
      </c>
      <c r="B1380">
        <v>25110</v>
      </c>
      <c r="C1380">
        <v>19201</v>
      </c>
      <c r="D1380">
        <v>5909</v>
      </c>
      <c r="E1380">
        <v>8648124</v>
      </c>
      <c r="F1380">
        <v>27066535</v>
      </c>
      <c r="G1380">
        <v>35714659</v>
      </c>
      <c r="H1380">
        <v>4228</v>
      </c>
      <c r="I1380">
        <v>1532</v>
      </c>
      <c r="J1380">
        <v>5760</v>
      </c>
      <c r="K1380" t="b">
        <f>TrafficData[[#This Row],[disposedChallan]]+TrafficData[[#This Row],[pendingChallan]]=TrafficData[[#This Row],[totalChallan]]</f>
        <v>1</v>
      </c>
      <c r="L1380" t="b">
        <f>TrafficData[[#This Row],[pendingAmount]]+TrafficData[[#This Row],[disposedAmount]]=TrafficData[[#This Row],[totalAmount]]</f>
        <v>1</v>
      </c>
      <c r="M1380" t="b">
        <f>TrafficData[[#This Row],[pendingCourt]]+TrafficData[[#This Row],[disposedCourt]]=TrafficData[[#This Row],[totalCourt]]</f>
        <v>1</v>
      </c>
      <c r="N1380" t="b">
        <f>AND(TrafficData[[#This Row],[disposedChallan]]&lt;=TrafficData[[#This Row],[totalChallan]],TrafficData[[#This Row],[pendingChallan]]&lt;=TrafficData[[#This Row],[totalChallan]])</f>
        <v>1</v>
      </c>
      <c r="O1380" t="b">
        <f>AND(TrafficData[[#This Row],[pendingAmount]]&lt;=TrafficData[[#This Row],[totalAmount]],TrafficData[[#This Row],[disposedAmount]]&lt;=TrafficData[[#This Row],[totalAmount]])</f>
        <v>1</v>
      </c>
      <c r="P1380" t="b">
        <f>AND(TrafficData[[#This Row],[pendingCourt]]&lt;=TrafficData[[#This Row],[totalCourt]],TrafficData[[#This Row],[disposedCourt]]&lt;=TrafficData[[#This Row],[totalCourt]])</f>
        <v>1</v>
      </c>
    </row>
    <row r="1381" spans="1:16">
      <c r="A1381" s="1">
        <v>43384</v>
      </c>
      <c r="B1381">
        <v>18109</v>
      </c>
      <c r="C1381">
        <v>14512</v>
      </c>
      <c r="D1381">
        <v>3597</v>
      </c>
      <c r="E1381">
        <v>7370061</v>
      </c>
      <c r="F1381">
        <v>23432962</v>
      </c>
      <c r="G1381">
        <v>30803023</v>
      </c>
      <c r="H1381">
        <v>1690</v>
      </c>
      <c r="I1381">
        <v>845</v>
      </c>
      <c r="J1381">
        <v>2535</v>
      </c>
      <c r="K1381" t="b">
        <f>TrafficData[[#This Row],[disposedChallan]]+TrafficData[[#This Row],[pendingChallan]]=TrafficData[[#This Row],[totalChallan]]</f>
        <v>1</v>
      </c>
      <c r="L1381" t="b">
        <f>TrafficData[[#This Row],[pendingAmount]]+TrafficData[[#This Row],[disposedAmount]]=TrafficData[[#This Row],[totalAmount]]</f>
        <v>1</v>
      </c>
      <c r="M1381" t="b">
        <f>TrafficData[[#This Row],[pendingCourt]]+TrafficData[[#This Row],[disposedCourt]]=TrafficData[[#This Row],[totalCourt]]</f>
        <v>1</v>
      </c>
      <c r="N1381" t="b">
        <f>AND(TrafficData[[#This Row],[disposedChallan]]&lt;=TrafficData[[#This Row],[totalChallan]],TrafficData[[#This Row],[pendingChallan]]&lt;=TrafficData[[#This Row],[totalChallan]])</f>
        <v>1</v>
      </c>
      <c r="O1381" t="b">
        <f>AND(TrafficData[[#This Row],[pendingAmount]]&lt;=TrafficData[[#This Row],[totalAmount]],TrafficData[[#This Row],[disposedAmount]]&lt;=TrafficData[[#This Row],[totalAmount]])</f>
        <v>1</v>
      </c>
      <c r="P1381" t="b">
        <f>AND(TrafficData[[#This Row],[pendingCourt]]&lt;=TrafficData[[#This Row],[totalCourt]],TrafficData[[#This Row],[disposedCourt]]&lt;=TrafficData[[#This Row],[totalCourt]])</f>
        <v>1</v>
      </c>
    </row>
    <row r="1382" spans="1:16">
      <c r="A1382" s="1">
        <v>43385</v>
      </c>
      <c r="B1382">
        <v>18720</v>
      </c>
      <c r="C1382">
        <v>14320</v>
      </c>
      <c r="D1382">
        <v>4400</v>
      </c>
      <c r="E1382">
        <v>5583125</v>
      </c>
      <c r="F1382">
        <v>27654457</v>
      </c>
      <c r="G1382">
        <v>33237582</v>
      </c>
      <c r="H1382">
        <v>2912</v>
      </c>
      <c r="I1382">
        <v>811</v>
      </c>
      <c r="J1382">
        <v>3723</v>
      </c>
      <c r="K1382" t="b">
        <f>TrafficData[[#This Row],[disposedChallan]]+TrafficData[[#This Row],[pendingChallan]]=TrafficData[[#This Row],[totalChallan]]</f>
        <v>1</v>
      </c>
      <c r="L1382" t="b">
        <f>TrafficData[[#This Row],[pendingAmount]]+TrafficData[[#This Row],[disposedAmount]]=TrafficData[[#This Row],[totalAmount]]</f>
        <v>1</v>
      </c>
      <c r="M1382" t="b">
        <f>TrafficData[[#This Row],[pendingCourt]]+TrafficData[[#This Row],[disposedCourt]]=TrafficData[[#This Row],[totalCourt]]</f>
        <v>1</v>
      </c>
      <c r="N1382" t="b">
        <f>AND(TrafficData[[#This Row],[disposedChallan]]&lt;=TrafficData[[#This Row],[totalChallan]],TrafficData[[#This Row],[pendingChallan]]&lt;=TrafficData[[#This Row],[totalChallan]])</f>
        <v>1</v>
      </c>
      <c r="O1382" t="b">
        <f>AND(TrafficData[[#This Row],[pendingAmount]]&lt;=TrafficData[[#This Row],[totalAmount]],TrafficData[[#This Row],[disposedAmount]]&lt;=TrafficData[[#This Row],[totalAmount]])</f>
        <v>1</v>
      </c>
      <c r="P1382" t="b">
        <f>AND(TrafficData[[#This Row],[pendingCourt]]&lt;=TrafficData[[#This Row],[totalCourt]],TrafficData[[#This Row],[disposedCourt]]&lt;=TrafficData[[#This Row],[totalCourt]])</f>
        <v>1</v>
      </c>
    </row>
    <row r="1383" spans="1:16">
      <c r="A1383" s="1">
        <v>43386</v>
      </c>
      <c r="B1383">
        <v>17653</v>
      </c>
      <c r="C1383">
        <v>13488</v>
      </c>
      <c r="D1383">
        <v>4165</v>
      </c>
      <c r="E1383">
        <v>4409712</v>
      </c>
      <c r="F1383">
        <v>24073327</v>
      </c>
      <c r="G1383">
        <v>28483039</v>
      </c>
      <c r="H1383">
        <v>2767</v>
      </c>
      <c r="I1383">
        <v>641</v>
      </c>
      <c r="J1383">
        <v>3408</v>
      </c>
      <c r="K1383" t="b">
        <f>TrafficData[[#This Row],[disposedChallan]]+TrafficData[[#This Row],[pendingChallan]]=TrafficData[[#This Row],[totalChallan]]</f>
        <v>1</v>
      </c>
      <c r="L1383" t="b">
        <f>TrafficData[[#This Row],[pendingAmount]]+TrafficData[[#This Row],[disposedAmount]]=TrafficData[[#This Row],[totalAmount]]</f>
        <v>1</v>
      </c>
      <c r="M1383" t="b">
        <f>TrafficData[[#This Row],[pendingCourt]]+TrafficData[[#This Row],[disposedCourt]]=TrafficData[[#This Row],[totalCourt]]</f>
        <v>1</v>
      </c>
      <c r="N1383" t="b">
        <f>AND(TrafficData[[#This Row],[disposedChallan]]&lt;=TrafficData[[#This Row],[totalChallan]],TrafficData[[#This Row],[pendingChallan]]&lt;=TrafficData[[#This Row],[totalChallan]])</f>
        <v>1</v>
      </c>
      <c r="O1383" t="b">
        <f>AND(TrafficData[[#This Row],[pendingAmount]]&lt;=TrafficData[[#This Row],[totalAmount]],TrafficData[[#This Row],[disposedAmount]]&lt;=TrafficData[[#This Row],[totalAmount]])</f>
        <v>1</v>
      </c>
      <c r="P1383" t="b">
        <f>AND(TrafficData[[#This Row],[pendingCourt]]&lt;=TrafficData[[#This Row],[totalCourt]],TrafficData[[#This Row],[disposedCourt]]&lt;=TrafficData[[#This Row],[totalCourt]])</f>
        <v>1</v>
      </c>
    </row>
    <row r="1384" spans="1:16">
      <c r="A1384" s="1">
        <v>43387</v>
      </c>
      <c r="B1384">
        <v>13474</v>
      </c>
      <c r="C1384">
        <v>10480</v>
      </c>
      <c r="D1384">
        <v>2994</v>
      </c>
      <c r="E1384">
        <v>3292340</v>
      </c>
      <c r="F1384">
        <v>16870634</v>
      </c>
      <c r="G1384">
        <v>20162974</v>
      </c>
      <c r="H1384">
        <v>1909</v>
      </c>
      <c r="I1384">
        <v>572</v>
      </c>
      <c r="J1384">
        <v>2481</v>
      </c>
      <c r="K1384" t="b">
        <f>TrafficData[[#This Row],[disposedChallan]]+TrafficData[[#This Row],[pendingChallan]]=TrafficData[[#This Row],[totalChallan]]</f>
        <v>1</v>
      </c>
      <c r="L1384" t="b">
        <f>TrafficData[[#This Row],[pendingAmount]]+TrafficData[[#This Row],[disposedAmount]]=TrafficData[[#This Row],[totalAmount]]</f>
        <v>1</v>
      </c>
      <c r="M1384" t="b">
        <f>TrafficData[[#This Row],[pendingCourt]]+TrafficData[[#This Row],[disposedCourt]]=TrafficData[[#This Row],[totalCourt]]</f>
        <v>1</v>
      </c>
      <c r="N1384" t="b">
        <f>AND(TrafficData[[#This Row],[disposedChallan]]&lt;=TrafficData[[#This Row],[totalChallan]],TrafficData[[#This Row],[pendingChallan]]&lt;=TrafficData[[#This Row],[totalChallan]])</f>
        <v>1</v>
      </c>
      <c r="O1384" t="b">
        <f>AND(TrafficData[[#This Row],[pendingAmount]]&lt;=TrafficData[[#This Row],[totalAmount]],TrafficData[[#This Row],[disposedAmount]]&lt;=TrafficData[[#This Row],[totalAmount]])</f>
        <v>1</v>
      </c>
      <c r="P1384" t="b">
        <f>AND(TrafficData[[#This Row],[pendingCourt]]&lt;=TrafficData[[#This Row],[totalCourt]],TrafficData[[#This Row],[disposedCourt]]&lt;=TrafficData[[#This Row],[totalCourt]])</f>
        <v>1</v>
      </c>
    </row>
    <row r="1385" spans="1:16">
      <c r="A1385" s="1">
        <v>43388</v>
      </c>
      <c r="B1385">
        <v>17912</v>
      </c>
      <c r="C1385">
        <v>13379</v>
      </c>
      <c r="D1385">
        <v>4533</v>
      </c>
      <c r="E1385">
        <v>5600725</v>
      </c>
      <c r="F1385">
        <v>19636815</v>
      </c>
      <c r="G1385">
        <v>25237540</v>
      </c>
      <c r="H1385">
        <v>2827</v>
      </c>
      <c r="I1385">
        <v>820</v>
      </c>
      <c r="J1385">
        <v>3647</v>
      </c>
      <c r="K1385" t="b">
        <f>TrafficData[[#This Row],[disposedChallan]]+TrafficData[[#This Row],[pendingChallan]]=TrafficData[[#This Row],[totalChallan]]</f>
        <v>1</v>
      </c>
      <c r="L1385" t="b">
        <f>TrafficData[[#This Row],[pendingAmount]]+TrafficData[[#This Row],[disposedAmount]]=TrafficData[[#This Row],[totalAmount]]</f>
        <v>1</v>
      </c>
      <c r="M1385" t="b">
        <f>TrafficData[[#This Row],[pendingCourt]]+TrafficData[[#This Row],[disposedCourt]]=TrafficData[[#This Row],[totalCourt]]</f>
        <v>1</v>
      </c>
      <c r="N1385" t="b">
        <f>AND(TrafficData[[#This Row],[disposedChallan]]&lt;=TrafficData[[#This Row],[totalChallan]],TrafficData[[#This Row],[pendingChallan]]&lt;=TrafficData[[#This Row],[totalChallan]])</f>
        <v>1</v>
      </c>
      <c r="O1385" t="b">
        <f>AND(TrafficData[[#This Row],[pendingAmount]]&lt;=TrafficData[[#This Row],[totalAmount]],TrafficData[[#This Row],[disposedAmount]]&lt;=TrafficData[[#This Row],[totalAmount]])</f>
        <v>1</v>
      </c>
      <c r="P1385" t="b">
        <f>AND(TrafficData[[#This Row],[pendingCourt]]&lt;=TrafficData[[#This Row],[totalCourt]],TrafficData[[#This Row],[disposedCourt]]&lt;=TrafficData[[#This Row],[totalCourt]])</f>
        <v>1</v>
      </c>
    </row>
    <row r="1386" spans="1:16">
      <c r="A1386" s="1">
        <v>43389</v>
      </c>
      <c r="B1386">
        <v>20024</v>
      </c>
      <c r="C1386">
        <v>15339</v>
      </c>
      <c r="D1386">
        <v>4685</v>
      </c>
      <c r="E1386">
        <v>5968668</v>
      </c>
      <c r="F1386">
        <v>25708215</v>
      </c>
      <c r="G1386">
        <v>31676883</v>
      </c>
      <c r="H1386">
        <v>3041</v>
      </c>
      <c r="I1386">
        <v>815</v>
      </c>
      <c r="J1386">
        <v>3856</v>
      </c>
      <c r="K1386" t="b">
        <f>TrafficData[[#This Row],[disposedChallan]]+TrafficData[[#This Row],[pendingChallan]]=TrafficData[[#This Row],[totalChallan]]</f>
        <v>1</v>
      </c>
      <c r="L1386" t="b">
        <f>TrafficData[[#This Row],[pendingAmount]]+TrafficData[[#This Row],[disposedAmount]]=TrafficData[[#This Row],[totalAmount]]</f>
        <v>1</v>
      </c>
      <c r="M1386" t="b">
        <f>TrafficData[[#This Row],[pendingCourt]]+TrafficData[[#This Row],[disposedCourt]]=TrafficData[[#This Row],[totalCourt]]</f>
        <v>1</v>
      </c>
      <c r="N1386" t="b">
        <f>AND(TrafficData[[#This Row],[disposedChallan]]&lt;=TrafficData[[#This Row],[totalChallan]],TrafficData[[#This Row],[pendingChallan]]&lt;=TrafficData[[#This Row],[totalChallan]])</f>
        <v>1</v>
      </c>
      <c r="O1386" t="b">
        <f>AND(TrafficData[[#This Row],[pendingAmount]]&lt;=TrafficData[[#This Row],[totalAmount]],TrafficData[[#This Row],[disposedAmount]]&lt;=TrafficData[[#This Row],[totalAmount]])</f>
        <v>1</v>
      </c>
      <c r="P1386" t="b">
        <f>AND(TrafficData[[#This Row],[pendingCourt]]&lt;=TrafficData[[#This Row],[totalCourt]],TrafficData[[#This Row],[disposedCourt]]&lt;=TrafficData[[#This Row],[totalCourt]])</f>
        <v>1</v>
      </c>
    </row>
    <row r="1387" spans="1:16">
      <c r="A1387" s="1">
        <v>43390</v>
      </c>
      <c r="B1387">
        <v>27182</v>
      </c>
      <c r="C1387">
        <v>19815</v>
      </c>
      <c r="D1387">
        <v>7367</v>
      </c>
      <c r="E1387">
        <v>10558646</v>
      </c>
      <c r="F1387">
        <v>26502838</v>
      </c>
      <c r="G1387">
        <v>37061484</v>
      </c>
      <c r="H1387">
        <v>5337</v>
      </c>
      <c r="I1387">
        <v>1272</v>
      </c>
      <c r="J1387">
        <v>6609</v>
      </c>
      <c r="K1387" t="b">
        <f>TrafficData[[#This Row],[disposedChallan]]+TrafficData[[#This Row],[pendingChallan]]=TrafficData[[#This Row],[totalChallan]]</f>
        <v>1</v>
      </c>
      <c r="L1387" t="b">
        <f>TrafficData[[#This Row],[pendingAmount]]+TrafficData[[#This Row],[disposedAmount]]=TrafficData[[#This Row],[totalAmount]]</f>
        <v>1</v>
      </c>
      <c r="M1387" t="b">
        <f>TrafficData[[#This Row],[pendingCourt]]+TrafficData[[#This Row],[disposedCourt]]=TrafficData[[#This Row],[totalCourt]]</f>
        <v>1</v>
      </c>
      <c r="N1387" t="b">
        <f>AND(TrafficData[[#This Row],[disposedChallan]]&lt;=TrafficData[[#This Row],[totalChallan]],TrafficData[[#This Row],[pendingChallan]]&lt;=TrafficData[[#This Row],[totalChallan]])</f>
        <v>1</v>
      </c>
      <c r="O1387" t="b">
        <f>AND(TrafficData[[#This Row],[pendingAmount]]&lt;=TrafficData[[#This Row],[totalAmount]],TrafficData[[#This Row],[disposedAmount]]&lt;=TrafficData[[#This Row],[totalAmount]])</f>
        <v>1</v>
      </c>
      <c r="P1387" t="b">
        <f>AND(TrafficData[[#This Row],[pendingCourt]]&lt;=TrafficData[[#This Row],[totalCourt]],TrafficData[[#This Row],[disposedCourt]]&lt;=TrafficData[[#This Row],[totalCourt]])</f>
        <v>1</v>
      </c>
    </row>
    <row r="1388" spans="1:16">
      <c r="A1388" s="1">
        <v>43391</v>
      </c>
      <c r="B1388">
        <v>16536</v>
      </c>
      <c r="C1388">
        <v>12613</v>
      </c>
      <c r="D1388">
        <v>3923</v>
      </c>
      <c r="E1388">
        <v>5943350</v>
      </c>
      <c r="F1388">
        <v>16743349</v>
      </c>
      <c r="G1388">
        <v>22686699</v>
      </c>
      <c r="H1388">
        <v>2364</v>
      </c>
      <c r="I1388">
        <v>702</v>
      </c>
      <c r="J1388">
        <v>3066</v>
      </c>
      <c r="K1388" t="b">
        <f>TrafficData[[#This Row],[disposedChallan]]+TrafficData[[#This Row],[pendingChallan]]=TrafficData[[#This Row],[totalChallan]]</f>
        <v>1</v>
      </c>
      <c r="L1388" t="b">
        <f>TrafficData[[#This Row],[pendingAmount]]+TrafficData[[#This Row],[disposedAmount]]=TrafficData[[#This Row],[totalAmount]]</f>
        <v>1</v>
      </c>
      <c r="M1388" t="b">
        <f>TrafficData[[#This Row],[pendingCourt]]+TrafficData[[#This Row],[disposedCourt]]=TrafficData[[#This Row],[totalCourt]]</f>
        <v>1</v>
      </c>
      <c r="N1388" t="b">
        <f>AND(TrafficData[[#This Row],[disposedChallan]]&lt;=TrafficData[[#This Row],[totalChallan]],TrafficData[[#This Row],[pendingChallan]]&lt;=TrafficData[[#This Row],[totalChallan]])</f>
        <v>1</v>
      </c>
      <c r="O1388" t="b">
        <f>AND(TrafficData[[#This Row],[pendingAmount]]&lt;=TrafficData[[#This Row],[totalAmount]],TrafficData[[#This Row],[disposedAmount]]&lt;=TrafficData[[#This Row],[totalAmount]])</f>
        <v>1</v>
      </c>
      <c r="P1388" t="b">
        <f>AND(TrafficData[[#This Row],[pendingCourt]]&lt;=TrafficData[[#This Row],[totalCourt]],TrafficData[[#This Row],[disposedCourt]]&lt;=TrafficData[[#This Row],[totalCourt]])</f>
        <v>1</v>
      </c>
    </row>
    <row r="1389" spans="1:16">
      <c r="A1389" s="1">
        <v>43392</v>
      </c>
      <c r="B1389">
        <v>13162</v>
      </c>
      <c r="C1389">
        <v>10370</v>
      </c>
      <c r="D1389">
        <v>2792</v>
      </c>
      <c r="E1389">
        <v>3794190</v>
      </c>
      <c r="F1389">
        <v>10761369</v>
      </c>
      <c r="G1389">
        <v>14555559</v>
      </c>
      <c r="H1389">
        <v>1545</v>
      </c>
      <c r="I1389">
        <v>448</v>
      </c>
      <c r="J1389">
        <v>1993</v>
      </c>
      <c r="K1389" t="b">
        <f>TrafficData[[#This Row],[disposedChallan]]+TrafficData[[#This Row],[pendingChallan]]=TrafficData[[#This Row],[totalChallan]]</f>
        <v>1</v>
      </c>
      <c r="L1389" t="b">
        <f>TrafficData[[#This Row],[pendingAmount]]+TrafficData[[#This Row],[disposedAmount]]=TrafficData[[#This Row],[totalAmount]]</f>
        <v>1</v>
      </c>
      <c r="M1389" t="b">
        <f>TrafficData[[#This Row],[pendingCourt]]+TrafficData[[#This Row],[disposedCourt]]=TrafficData[[#This Row],[totalCourt]]</f>
        <v>1</v>
      </c>
      <c r="N1389" t="b">
        <f>AND(TrafficData[[#This Row],[disposedChallan]]&lt;=TrafficData[[#This Row],[totalChallan]],TrafficData[[#This Row],[pendingChallan]]&lt;=TrafficData[[#This Row],[totalChallan]])</f>
        <v>1</v>
      </c>
      <c r="O1389" t="b">
        <f>AND(TrafficData[[#This Row],[pendingAmount]]&lt;=TrafficData[[#This Row],[totalAmount]],TrafficData[[#This Row],[disposedAmount]]&lt;=TrafficData[[#This Row],[totalAmount]])</f>
        <v>1</v>
      </c>
      <c r="P1389" t="b">
        <f>AND(TrafficData[[#This Row],[pendingCourt]]&lt;=TrafficData[[#This Row],[totalCourt]],TrafficData[[#This Row],[disposedCourt]]&lt;=TrafficData[[#This Row],[totalCourt]])</f>
        <v>1</v>
      </c>
    </row>
    <row r="1390" spans="1:16">
      <c r="A1390" s="1">
        <v>43393</v>
      </c>
      <c r="B1390">
        <v>16545</v>
      </c>
      <c r="C1390">
        <v>12915</v>
      </c>
      <c r="D1390">
        <v>3630</v>
      </c>
      <c r="E1390">
        <v>4037900</v>
      </c>
      <c r="F1390">
        <v>13998354</v>
      </c>
      <c r="G1390">
        <v>18036254</v>
      </c>
      <c r="H1390">
        <v>2100</v>
      </c>
      <c r="I1390">
        <v>539</v>
      </c>
      <c r="J1390">
        <v>2639</v>
      </c>
      <c r="K1390" t="b">
        <f>TrafficData[[#This Row],[disposedChallan]]+TrafficData[[#This Row],[pendingChallan]]=TrafficData[[#This Row],[totalChallan]]</f>
        <v>1</v>
      </c>
      <c r="L1390" t="b">
        <f>TrafficData[[#This Row],[pendingAmount]]+TrafficData[[#This Row],[disposedAmount]]=TrafficData[[#This Row],[totalAmount]]</f>
        <v>1</v>
      </c>
      <c r="M1390" t="b">
        <f>TrafficData[[#This Row],[pendingCourt]]+TrafficData[[#This Row],[disposedCourt]]=TrafficData[[#This Row],[totalCourt]]</f>
        <v>1</v>
      </c>
      <c r="N1390" t="b">
        <f>AND(TrafficData[[#This Row],[disposedChallan]]&lt;=TrafficData[[#This Row],[totalChallan]],TrafficData[[#This Row],[pendingChallan]]&lt;=TrafficData[[#This Row],[totalChallan]])</f>
        <v>1</v>
      </c>
      <c r="O1390" t="b">
        <f>AND(TrafficData[[#This Row],[pendingAmount]]&lt;=TrafficData[[#This Row],[totalAmount]],TrafficData[[#This Row],[disposedAmount]]&lt;=TrafficData[[#This Row],[totalAmount]])</f>
        <v>1</v>
      </c>
      <c r="P1390" t="b">
        <f>AND(TrafficData[[#This Row],[pendingCourt]]&lt;=TrafficData[[#This Row],[totalCourt]],TrafficData[[#This Row],[disposedCourt]]&lt;=TrafficData[[#This Row],[totalCourt]])</f>
        <v>1</v>
      </c>
    </row>
    <row r="1391" spans="1:16">
      <c r="A1391" s="1">
        <v>43394</v>
      </c>
      <c r="B1391">
        <v>12360</v>
      </c>
      <c r="C1391">
        <v>10046</v>
      </c>
      <c r="D1391">
        <v>2314</v>
      </c>
      <c r="E1391">
        <v>2196451</v>
      </c>
      <c r="F1391">
        <v>14412820</v>
      </c>
      <c r="G1391">
        <v>16609271</v>
      </c>
      <c r="H1391">
        <v>1450</v>
      </c>
      <c r="I1391">
        <v>410</v>
      </c>
      <c r="J1391">
        <v>1860</v>
      </c>
      <c r="K1391" t="b">
        <f>TrafficData[[#This Row],[disposedChallan]]+TrafficData[[#This Row],[pendingChallan]]=TrafficData[[#This Row],[totalChallan]]</f>
        <v>1</v>
      </c>
      <c r="L1391" t="b">
        <f>TrafficData[[#This Row],[pendingAmount]]+TrafficData[[#This Row],[disposedAmount]]=TrafficData[[#This Row],[totalAmount]]</f>
        <v>1</v>
      </c>
      <c r="M1391" t="b">
        <f>TrafficData[[#This Row],[pendingCourt]]+TrafficData[[#This Row],[disposedCourt]]=TrafficData[[#This Row],[totalCourt]]</f>
        <v>1</v>
      </c>
      <c r="N1391" t="b">
        <f>AND(TrafficData[[#This Row],[disposedChallan]]&lt;=TrafficData[[#This Row],[totalChallan]],TrafficData[[#This Row],[pendingChallan]]&lt;=TrafficData[[#This Row],[totalChallan]])</f>
        <v>1</v>
      </c>
      <c r="O1391" t="b">
        <f>AND(TrafficData[[#This Row],[pendingAmount]]&lt;=TrafficData[[#This Row],[totalAmount]],TrafficData[[#This Row],[disposedAmount]]&lt;=TrafficData[[#This Row],[totalAmount]])</f>
        <v>1</v>
      </c>
      <c r="P1391" t="b">
        <f>AND(TrafficData[[#This Row],[pendingCourt]]&lt;=TrafficData[[#This Row],[totalCourt]],TrafficData[[#This Row],[disposedCourt]]&lt;=TrafficData[[#This Row],[totalCourt]])</f>
        <v>1</v>
      </c>
    </row>
    <row r="1392" spans="1:16">
      <c r="A1392" s="1">
        <v>43395</v>
      </c>
      <c r="B1392">
        <v>17806</v>
      </c>
      <c r="C1392">
        <v>13906</v>
      </c>
      <c r="D1392">
        <v>3900</v>
      </c>
      <c r="E1392">
        <v>5208225</v>
      </c>
      <c r="F1392">
        <v>19490329</v>
      </c>
      <c r="G1392">
        <v>24698554</v>
      </c>
      <c r="H1392">
        <v>2226</v>
      </c>
      <c r="I1392">
        <v>732</v>
      </c>
      <c r="J1392">
        <v>2958</v>
      </c>
      <c r="K1392" t="b">
        <f>TrafficData[[#This Row],[disposedChallan]]+TrafficData[[#This Row],[pendingChallan]]=TrafficData[[#This Row],[totalChallan]]</f>
        <v>1</v>
      </c>
      <c r="L1392" t="b">
        <f>TrafficData[[#This Row],[pendingAmount]]+TrafficData[[#This Row],[disposedAmount]]=TrafficData[[#This Row],[totalAmount]]</f>
        <v>1</v>
      </c>
      <c r="M1392" t="b">
        <f>TrafficData[[#This Row],[pendingCourt]]+TrafficData[[#This Row],[disposedCourt]]=TrafficData[[#This Row],[totalCourt]]</f>
        <v>1</v>
      </c>
      <c r="N1392" t="b">
        <f>AND(TrafficData[[#This Row],[disposedChallan]]&lt;=TrafficData[[#This Row],[totalChallan]],TrafficData[[#This Row],[pendingChallan]]&lt;=TrafficData[[#This Row],[totalChallan]])</f>
        <v>1</v>
      </c>
      <c r="O1392" t="b">
        <f>AND(TrafficData[[#This Row],[pendingAmount]]&lt;=TrafficData[[#This Row],[totalAmount]],TrafficData[[#This Row],[disposedAmount]]&lt;=TrafficData[[#This Row],[totalAmount]])</f>
        <v>1</v>
      </c>
      <c r="P1392" t="b">
        <f>AND(TrafficData[[#This Row],[pendingCourt]]&lt;=TrafficData[[#This Row],[totalCourt]],TrafficData[[#This Row],[disposedCourt]]&lt;=TrafficData[[#This Row],[totalCourt]])</f>
        <v>1</v>
      </c>
    </row>
    <row r="1393" spans="1:16">
      <c r="A1393" s="1">
        <v>43396</v>
      </c>
      <c r="B1393">
        <v>19793</v>
      </c>
      <c r="C1393">
        <v>15229</v>
      </c>
      <c r="D1393">
        <v>4564</v>
      </c>
      <c r="E1393">
        <v>8170354</v>
      </c>
      <c r="F1393">
        <v>25865187</v>
      </c>
      <c r="G1393">
        <v>34035541</v>
      </c>
      <c r="H1393">
        <v>2390</v>
      </c>
      <c r="I1393">
        <v>707</v>
      </c>
      <c r="J1393">
        <v>3097</v>
      </c>
      <c r="K1393" t="b">
        <f>TrafficData[[#This Row],[disposedChallan]]+TrafficData[[#This Row],[pendingChallan]]=TrafficData[[#This Row],[totalChallan]]</f>
        <v>1</v>
      </c>
      <c r="L1393" t="b">
        <f>TrafficData[[#This Row],[pendingAmount]]+TrafficData[[#This Row],[disposedAmount]]=TrafficData[[#This Row],[totalAmount]]</f>
        <v>1</v>
      </c>
      <c r="M1393" t="b">
        <f>TrafficData[[#This Row],[pendingCourt]]+TrafficData[[#This Row],[disposedCourt]]=TrafficData[[#This Row],[totalCourt]]</f>
        <v>1</v>
      </c>
      <c r="N1393" t="b">
        <f>AND(TrafficData[[#This Row],[disposedChallan]]&lt;=TrafficData[[#This Row],[totalChallan]],TrafficData[[#This Row],[pendingChallan]]&lt;=TrafficData[[#This Row],[totalChallan]])</f>
        <v>1</v>
      </c>
      <c r="O1393" t="b">
        <f>AND(TrafficData[[#This Row],[pendingAmount]]&lt;=TrafficData[[#This Row],[totalAmount]],TrafficData[[#This Row],[disposedAmount]]&lt;=TrafficData[[#This Row],[totalAmount]])</f>
        <v>1</v>
      </c>
      <c r="P1393" t="b">
        <f>AND(TrafficData[[#This Row],[pendingCourt]]&lt;=TrafficData[[#This Row],[totalCourt]],TrafficData[[#This Row],[disposedCourt]]&lt;=TrafficData[[#This Row],[totalCourt]])</f>
        <v>1</v>
      </c>
    </row>
    <row r="1394" spans="1:16">
      <c r="A1394" s="1">
        <v>43397</v>
      </c>
      <c r="B1394">
        <v>28234</v>
      </c>
      <c r="C1394">
        <v>20304</v>
      </c>
      <c r="D1394">
        <v>7930</v>
      </c>
      <c r="E1394">
        <v>16580242</v>
      </c>
      <c r="F1394">
        <v>24482062</v>
      </c>
      <c r="G1394">
        <v>41062304</v>
      </c>
      <c r="H1394">
        <v>5223</v>
      </c>
      <c r="I1394">
        <v>1339</v>
      </c>
      <c r="J1394">
        <v>6562</v>
      </c>
      <c r="K1394" t="b">
        <f>TrafficData[[#This Row],[disposedChallan]]+TrafficData[[#This Row],[pendingChallan]]=TrafficData[[#This Row],[totalChallan]]</f>
        <v>1</v>
      </c>
      <c r="L1394" t="b">
        <f>TrafficData[[#This Row],[pendingAmount]]+TrafficData[[#This Row],[disposedAmount]]=TrafficData[[#This Row],[totalAmount]]</f>
        <v>1</v>
      </c>
      <c r="M1394" t="b">
        <f>TrafficData[[#This Row],[pendingCourt]]+TrafficData[[#This Row],[disposedCourt]]=TrafficData[[#This Row],[totalCourt]]</f>
        <v>1</v>
      </c>
      <c r="N1394" t="b">
        <f>AND(TrafficData[[#This Row],[disposedChallan]]&lt;=TrafficData[[#This Row],[totalChallan]],TrafficData[[#This Row],[pendingChallan]]&lt;=TrafficData[[#This Row],[totalChallan]])</f>
        <v>1</v>
      </c>
      <c r="O1394" t="b">
        <f>AND(TrafficData[[#This Row],[pendingAmount]]&lt;=TrafficData[[#This Row],[totalAmount]],TrafficData[[#This Row],[disposedAmount]]&lt;=TrafficData[[#This Row],[totalAmount]])</f>
        <v>1</v>
      </c>
      <c r="P1394" t="b">
        <f>AND(TrafficData[[#This Row],[pendingCourt]]&lt;=TrafficData[[#This Row],[totalCourt]],TrafficData[[#This Row],[disposedCourt]]&lt;=TrafficData[[#This Row],[totalCourt]])</f>
        <v>1</v>
      </c>
    </row>
    <row r="1395" spans="1:16">
      <c r="A1395" s="1">
        <v>43398</v>
      </c>
      <c r="B1395">
        <v>18367</v>
      </c>
      <c r="C1395">
        <v>14535</v>
      </c>
      <c r="D1395">
        <v>3832</v>
      </c>
      <c r="E1395">
        <v>6841618</v>
      </c>
      <c r="F1395">
        <v>20609454</v>
      </c>
      <c r="G1395">
        <v>27451072</v>
      </c>
      <c r="H1395">
        <v>2081</v>
      </c>
      <c r="I1395">
        <v>694</v>
      </c>
      <c r="J1395">
        <v>2775</v>
      </c>
      <c r="K1395" t="b">
        <f>TrafficData[[#This Row],[disposedChallan]]+TrafficData[[#This Row],[pendingChallan]]=TrafficData[[#This Row],[totalChallan]]</f>
        <v>1</v>
      </c>
      <c r="L1395" t="b">
        <f>TrafficData[[#This Row],[pendingAmount]]+TrafficData[[#This Row],[disposedAmount]]=TrafficData[[#This Row],[totalAmount]]</f>
        <v>1</v>
      </c>
      <c r="M1395" t="b">
        <f>TrafficData[[#This Row],[pendingCourt]]+TrafficData[[#This Row],[disposedCourt]]=TrafficData[[#This Row],[totalCourt]]</f>
        <v>1</v>
      </c>
      <c r="N1395" t="b">
        <f>AND(TrafficData[[#This Row],[disposedChallan]]&lt;=TrafficData[[#This Row],[totalChallan]],TrafficData[[#This Row],[pendingChallan]]&lt;=TrafficData[[#This Row],[totalChallan]])</f>
        <v>1</v>
      </c>
      <c r="O1395" t="b">
        <f>AND(TrafficData[[#This Row],[pendingAmount]]&lt;=TrafficData[[#This Row],[totalAmount]],TrafficData[[#This Row],[disposedAmount]]&lt;=TrafficData[[#This Row],[totalAmount]])</f>
        <v>1</v>
      </c>
      <c r="P1395" t="b">
        <f>AND(TrafficData[[#This Row],[pendingCourt]]&lt;=TrafficData[[#This Row],[totalCourt]],TrafficData[[#This Row],[disposedCourt]]&lt;=TrafficData[[#This Row],[totalCourt]])</f>
        <v>1</v>
      </c>
    </row>
    <row r="1396" spans="1:16">
      <c r="A1396" s="1">
        <v>43399</v>
      </c>
      <c r="B1396">
        <v>19540</v>
      </c>
      <c r="C1396">
        <v>15321</v>
      </c>
      <c r="D1396">
        <v>4219</v>
      </c>
      <c r="E1396">
        <v>7467469</v>
      </c>
      <c r="F1396">
        <v>170469770</v>
      </c>
      <c r="G1396">
        <v>177937239</v>
      </c>
      <c r="H1396">
        <v>2292</v>
      </c>
      <c r="I1396">
        <v>812</v>
      </c>
      <c r="J1396">
        <v>3104</v>
      </c>
      <c r="K1396" t="b">
        <f>TrafficData[[#This Row],[disposedChallan]]+TrafficData[[#This Row],[pendingChallan]]=TrafficData[[#This Row],[totalChallan]]</f>
        <v>1</v>
      </c>
      <c r="L1396" t="b">
        <f>TrafficData[[#This Row],[pendingAmount]]+TrafficData[[#This Row],[disposedAmount]]=TrafficData[[#This Row],[totalAmount]]</f>
        <v>1</v>
      </c>
      <c r="M1396" t="b">
        <f>TrafficData[[#This Row],[pendingCourt]]+TrafficData[[#This Row],[disposedCourt]]=TrafficData[[#This Row],[totalCourt]]</f>
        <v>1</v>
      </c>
      <c r="N1396" t="b">
        <f>AND(TrafficData[[#This Row],[disposedChallan]]&lt;=TrafficData[[#This Row],[totalChallan]],TrafficData[[#This Row],[pendingChallan]]&lt;=TrafficData[[#This Row],[totalChallan]])</f>
        <v>1</v>
      </c>
      <c r="O1396" t="b">
        <f>AND(TrafficData[[#This Row],[pendingAmount]]&lt;=TrafficData[[#This Row],[totalAmount]],TrafficData[[#This Row],[disposedAmount]]&lt;=TrafficData[[#This Row],[totalAmount]])</f>
        <v>1</v>
      </c>
      <c r="P1396" t="b">
        <f>AND(TrafficData[[#This Row],[pendingCourt]]&lt;=TrafficData[[#This Row],[totalCourt]],TrafficData[[#This Row],[disposedCourt]]&lt;=TrafficData[[#This Row],[totalCourt]])</f>
        <v>1</v>
      </c>
    </row>
    <row r="1397" spans="1:16">
      <c r="A1397" s="1">
        <v>43400</v>
      </c>
      <c r="B1397">
        <v>16479</v>
      </c>
      <c r="C1397">
        <v>13168</v>
      </c>
      <c r="D1397">
        <v>3311</v>
      </c>
      <c r="E1397">
        <v>4097825</v>
      </c>
      <c r="F1397">
        <v>21663200</v>
      </c>
      <c r="G1397">
        <v>25761025</v>
      </c>
      <c r="H1397">
        <v>1721</v>
      </c>
      <c r="I1397">
        <v>672</v>
      </c>
      <c r="J1397">
        <v>2393</v>
      </c>
      <c r="K1397" t="b">
        <f>TrafficData[[#This Row],[disposedChallan]]+TrafficData[[#This Row],[pendingChallan]]=TrafficData[[#This Row],[totalChallan]]</f>
        <v>1</v>
      </c>
      <c r="L1397" t="b">
        <f>TrafficData[[#This Row],[pendingAmount]]+TrafficData[[#This Row],[disposedAmount]]=TrafficData[[#This Row],[totalAmount]]</f>
        <v>1</v>
      </c>
      <c r="M1397" t="b">
        <f>TrafficData[[#This Row],[pendingCourt]]+TrafficData[[#This Row],[disposedCourt]]=TrafficData[[#This Row],[totalCourt]]</f>
        <v>1</v>
      </c>
      <c r="N1397" t="b">
        <f>AND(TrafficData[[#This Row],[disposedChallan]]&lt;=TrafficData[[#This Row],[totalChallan]],TrafficData[[#This Row],[pendingChallan]]&lt;=TrafficData[[#This Row],[totalChallan]])</f>
        <v>1</v>
      </c>
      <c r="O1397" t="b">
        <f>AND(TrafficData[[#This Row],[pendingAmount]]&lt;=TrafficData[[#This Row],[totalAmount]],TrafficData[[#This Row],[disposedAmount]]&lt;=TrafficData[[#This Row],[totalAmount]])</f>
        <v>1</v>
      </c>
      <c r="P1397" t="b">
        <f>AND(TrafficData[[#This Row],[pendingCourt]]&lt;=TrafficData[[#This Row],[totalCourt]],TrafficData[[#This Row],[disposedCourt]]&lt;=TrafficData[[#This Row],[totalCourt]])</f>
        <v>1</v>
      </c>
    </row>
    <row r="1398" spans="1:16">
      <c r="A1398" s="1">
        <v>43401</v>
      </c>
      <c r="B1398">
        <v>12458</v>
      </c>
      <c r="C1398">
        <v>10299</v>
      </c>
      <c r="D1398">
        <v>2159</v>
      </c>
      <c r="E1398">
        <v>2896090</v>
      </c>
      <c r="F1398">
        <v>12543455</v>
      </c>
      <c r="G1398">
        <v>15439545</v>
      </c>
      <c r="H1398">
        <v>1308</v>
      </c>
      <c r="I1398">
        <v>441</v>
      </c>
      <c r="J1398">
        <v>1749</v>
      </c>
      <c r="K1398" t="b">
        <f>TrafficData[[#This Row],[disposedChallan]]+TrafficData[[#This Row],[pendingChallan]]=TrafficData[[#This Row],[totalChallan]]</f>
        <v>1</v>
      </c>
      <c r="L1398" t="b">
        <f>TrafficData[[#This Row],[pendingAmount]]+TrafficData[[#This Row],[disposedAmount]]=TrafficData[[#This Row],[totalAmount]]</f>
        <v>1</v>
      </c>
      <c r="M1398" t="b">
        <f>TrafficData[[#This Row],[pendingCourt]]+TrafficData[[#This Row],[disposedCourt]]=TrafficData[[#This Row],[totalCourt]]</f>
        <v>1</v>
      </c>
      <c r="N1398" t="b">
        <f>AND(TrafficData[[#This Row],[disposedChallan]]&lt;=TrafficData[[#This Row],[totalChallan]],TrafficData[[#This Row],[pendingChallan]]&lt;=TrafficData[[#This Row],[totalChallan]])</f>
        <v>1</v>
      </c>
      <c r="O1398" t="b">
        <f>AND(TrafficData[[#This Row],[pendingAmount]]&lt;=TrafficData[[#This Row],[totalAmount]],TrafficData[[#This Row],[disposedAmount]]&lt;=TrafficData[[#This Row],[totalAmount]])</f>
        <v>1</v>
      </c>
      <c r="P1398" t="b">
        <f>AND(TrafficData[[#This Row],[pendingCourt]]&lt;=TrafficData[[#This Row],[totalCourt]],TrafficData[[#This Row],[disposedCourt]]&lt;=TrafficData[[#This Row],[totalCourt]])</f>
        <v>1</v>
      </c>
    </row>
    <row r="1399" spans="1:16">
      <c r="A1399" s="1">
        <v>43402</v>
      </c>
      <c r="B1399">
        <v>19127</v>
      </c>
      <c r="C1399">
        <v>14900</v>
      </c>
      <c r="D1399">
        <v>4227</v>
      </c>
      <c r="E1399">
        <v>5948524</v>
      </c>
      <c r="F1399">
        <v>21266469</v>
      </c>
      <c r="G1399">
        <v>27214993</v>
      </c>
      <c r="H1399">
        <v>2368</v>
      </c>
      <c r="I1399">
        <v>764</v>
      </c>
      <c r="J1399">
        <v>3132</v>
      </c>
      <c r="K1399" t="b">
        <f>TrafficData[[#This Row],[disposedChallan]]+TrafficData[[#This Row],[pendingChallan]]=TrafficData[[#This Row],[totalChallan]]</f>
        <v>1</v>
      </c>
      <c r="L1399" t="b">
        <f>TrafficData[[#This Row],[pendingAmount]]+TrafficData[[#This Row],[disposedAmount]]=TrafficData[[#This Row],[totalAmount]]</f>
        <v>1</v>
      </c>
      <c r="M1399" t="b">
        <f>TrafficData[[#This Row],[pendingCourt]]+TrafficData[[#This Row],[disposedCourt]]=TrafficData[[#This Row],[totalCourt]]</f>
        <v>1</v>
      </c>
      <c r="N1399" t="b">
        <f>AND(TrafficData[[#This Row],[disposedChallan]]&lt;=TrafficData[[#This Row],[totalChallan]],TrafficData[[#This Row],[pendingChallan]]&lt;=TrafficData[[#This Row],[totalChallan]])</f>
        <v>1</v>
      </c>
      <c r="O1399" t="b">
        <f>AND(TrafficData[[#This Row],[pendingAmount]]&lt;=TrafficData[[#This Row],[totalAmount]],TrafficData[[#This Row],[disposedAmount]]&lt;=TrafficData[[#This Row],[totalAmount]])</f>
        <v>1</v>
      </c>
      <c r="P1399" t="b">
        <f>AND(TrafficData[[#This Row],[pendingCourt]]&lt;=TrafficData[[#This Row],[totalCourt]],TrafficData[[#This Row],[disposedCourt]]&lt;=TrafficData[[#This Row],[totalCourt]])</f>
        <v>1</v>
      </c>
    </row>
    <row r="1400" spans="1:16">
      <c r="A1400" s="1">
        <v>43403</v>
      </c>
      <c r="B1400">
        <v>20613</v>
      </c>
      <c r="C1400">
        <v>16434</v>
      </c>
      <c r="D1400">
        <v>4179</v>
      </c>
      <c r="E1400">
        <v>5318258</v>
      </c>
      <c r="F1400">
        <v>28294280</v>
      </c>
      <c r="G1400">
        <v>33612538</v>
      </c>
      <c r="H1400">
        <v>2355</v>
      </c>
      <c r="I1400">
        <v>734</v>
      </c>
      <c r="J1400">
        <v>3089</v>
      </c>
      <c r="K1400" t="b">
        <f>TrafficData[[#This Row],[disposedChallan]]+TrafficData[[#This Row],[pendingChallan]]=TrafficData[[#This Row],[totalChallan]]</f>
        <v>1</v>
      </c>
      <c r="L1400" t="b">
        <f>TrafficData[[#This Row],[pendingAmount]]+TrafficData[[#This Row],[disposedAmount]]=TrafficData[[#This Row],[totalAmount]]</f>
        <v>1</v>
      </c>
      <c r="M1400" t="b">
        <f>TrafficData[[#This Row],[pendingCourt]]+TrafficData[[#This Row],[disposedCourt]]=TrafficData[[#This Row],[totalCourt]]</f>
        <v>1</v>
      </c>
      <c r="N1400" t="b">
        <f>AND(TrafficData[[#This Row],[disposedChallan]]&lt;=TrafficData[[#This Row],[totalChallan]],TrafficData[[#This Row],[pendingChallan]]&lt;=TrafficData[[#This Row],[totalChallan]])</f>
        <v>1</v>
      </c>
      <c r="O1400" t="b">
        <f>AND(TrafficData[[#This Row],[pendingAmount]]&lt;=TrafficData[[#This Row],[totalAmount]],TrafficData[[#This Row],[disposedAmount]]&lt;=TrafficData[[#This Row],[totalAmount]])</f>
        <v>1</v>
      </c>
      <c r="P1400" t="b">
        <f>AND(TrafficData[[#This Row],[pendingCourt]]&lt;=TrafficData[[#This Row],[totalCourt]],TrafficData[[#This Row],[disposedCourt]]&lt;=TrafficData[[#This Row],[totalCourt]])</f>
        <v>1</v>
      </c>
    </row>
    <row r="1401" spans="1:16">
      <c r="A1401" s="1">
        <v>43404</v>
      </c>
      <c r="B1401">
        <v>28306</v>
      </c>
      <c r="C1401">
        <v>21313</v>
      </c>
      <c r="D1401">
        <v>6993</v>
      </c>
      <c r="E1401">
        <v>8188610</v>
      </c>
      <c r="F1401">
        <v>32788936</v>
      </c>
      <c r="G1401">
        <v>40977546</v>
      </c>
      <c r="H1401">
        <v>5161</v>
      </c>
      <c r="I1401">
        <v>1321</v>
      </c>
      <c r="J1401">
        <v>6482</v>
      </c>
      <c r="K1401" t="b">
        <f>TrafficData[[#This Row],[disposedChallan]]+TrafficData[[#This Row],[pendingChallan]]=TrafficData[[#This Row],[totalChallan]]</f>
        <v>1</v>
      </c>
      <c r="L1401" t="b">
        <f>TrafficData[[#This Row],[pendingAmount]]+TrafficData[[#This Row],[disposedAmount]]=TrafficData[[#This Row],[totalAmount]]</f>
        <v>1</v>
      </c>
      <c r="M1401" t="b">
        <f>TrafficData[[#This Row],[pendingCourt]]+TrafficData[[#This Row],[disposedCourt]]=TrafficData[[#This Row],[totalCourt]]</f>
        <v>1</v>
      </c>
      <c r="N1401" t="b">
        <f>AND(TrafficData[[#This Row],[disposedChallan]]&lt;=TrafficData[[#This Row],[totalChallan]],TrafficData[[#This Row],[pendingChallan]]&lt;=TrafficData[[#This Row],[totalChallan]])</f>
        <v>1</v>
      </c>
      <c r="O1401" t="b">
        <f>AND(TrafficData[[#This Row],[pendingAmount]]&lt;=TrafficData[[#This Row],[totalAmount]],TrafficData[[#This Row],[disposedAmount]]&lt;=TrafficData[[#This Row],[totalAmount]])</f>
        <v>1</v>
      </c>
      <c r="P1401" t="b">
        <f>AND(TrafficData[[#This Row],[pendingCourt]]&lt;=TrafficData[[#This Row],[totalCourt]],TrafficData[[#This Row],[disposedCourt]]&lt;=TrafficData[[#This Row],[totalCourt]])</f>
        <v>1</v>
      </c>
    </row>
    <row r="1402" spans="1:16">
      <c r="A1402" s="1">
        <v>43405</v>
      </c>
      <c r="B1402">
        <v>22318</v>
      </c>
      <c r="C1402">
        <v>18465</v>
      </c>
      <c r="D1402">
        <v>3853</v>
      </c>
      <c r="E1402">
        <v>4594137</v>
      </c>
      <c r="F1402">
        <v>43809242</v>
      </c>
      <c r="G1402">
        <v>48403379</v>
      </c>
      <c r="H1402">
        <v>2053</v>
      </c>
      <c r="I1402">
        <v>650</v>
      </c>
      <c r="J1402">
        <v>2703</v>
      </c>
      <c r="K1402" t="b">
        <f>TrafficData[[#This Row],[disposedChallan]]+TrafficData[[#This Row],[pendingChallan]]=TrafficData[[#This Row],[totalChallan]]</f>
        <v>1</v>
      </c>
      <c r="L1402" t="b">
        <f>TrafficData[[#This Row],[pendingAmount]]+TrafficData[[#This Row],[disposedAmount]]=TrafficData[[#This Row],[totalAmount]]</f>
        <v>1</v>
      </c>
      <c r="M1402" t="b">
        <f>TrafficData[[#This Row],[pendingCourt]]+TrafficData[[#This Row],[disposedCourt]]=TrafficData[[#This Row],[totalCourt]]</f>
        <v>1</v>
      </c>
      <c r="N1402" t="b">
        <f>AND(TrafficData[[#This Row],[disposedChallan]]&lt;=TrafficData[[#This Row],[totalChallan]],TrafficData[[#This Row],[pendingChallan]]&lt;=TrafficData[[#This Row],[totalChallan]])</f>
        <v>1</v>
      </c>
      <c r="O1402" t="b">
        <f>AND(TrafficData[[#This Row],[pendingAmount]]&lt;=TrafficData[[#This Row],[totalAmount]],TrafficData[[#This Row],[disposedAmount]]&lt;=TrafficData[[#This Row],[totalAmount]])</f>
        <v>1</v>
      </c>
      <c r="P1402" t="b">
        <f>AND(TrafficData[[#This Row],[pendingCourt]]&lt;=TrafficData[[#This Row],[totalCourt]],TrafficData[[#This Row],[disposedCourt]]&lt;=TrafficData[[#This Row],[totalCourt]])</f>
        <v>1</v>
      </c>
    </row>
    <row r="1403" spans="1:16">
      <c r="A1403" s="1">
        <v>43406</v>
      </c>
      <c r="B1403">
        <v>23218</v>
      </c>
      <c r="C1403">
        <v>18908</v>
      </c>
      <c r="D1403">
        <v>4310</v>
      </c>
      <c r="E1403">
        <v>4927291</v>
      </c>
      <c r="F1403">
        <v>36315165</v>
      </c>
      <c r="G1403">
        <v>41242456</v>
      </c>
      <c r="H1403">
        <v>2350</v>
      </c>
      <c r="I1403">
        <v>815</v>
      </c>
      <c r="J1403">
        <v>3165</v>
      </c>
      <c r="K1403" t="b">
        <f>TrafficData[[#This Row],[disposedChallan]]+TrafficData[[#This Row],[pendingChallan]]=TrafficData[[#This Row],[totalChallan]]</f>
        <v>1</v>
      </c>
      <c r="L1403" t="b">
        <f>TrafficData[[#This Row],[pendingAmount]]+TrafficData[[#This Row],[disposedAmount]]=TrafficData[[#This Row],[totalAmount]]</f>
        <v>1</v>
      </c>
      <c r="M1403" t="b">
        <f>TrafficData[[#This Row],[pendingCourt]]+TrafficData[[#This Row],[disposedCourt]]=TrafficData[[#This Row],[totalCourt]]</f>
        <v>1</v>
      </c>
      <c r="N1403" t="b">
        <f>AND(TrafficData[[#This Row],[disposedChallan]]&lt;=TrafficData[[#This Row],[totalChallan]],TrafficData[[#This Row],[pendingChallan]]&lt;=TrafficData[[#This Row],[totalChallan]])</f>
        <v>1</v>
      </c>
      <c r="O1403" t="b">
        <f>AND(TrafficData[[#This Row],[pendingAmount]]&lt;=TrafficData[[#This Row],[totalAmount]],TrafficData[[#This Row],[disposedAmount]]&lt;=TrafficData[[#This Row],[totalAmount]])</f>
        <v>1</v>
      </c>
      <c r="P1403" t="b">
        <f>AND(TrafficData[[#This Row],[pendingCourt]]&lt;=TrafficData[[#This Row],[totalCourt]],TrafficData[[#This Row],[disposedCourt]]&lt;=TrafficData[[#This Row],[totalCourt]])</f>
        <v>1</v>
      </c>
    </row>
    <row r="1404" spans="1:16">
      <c r="A1404" s="1">
        <v>43407</v>
      </c>
      <c r="B1404">
        <v>21642</v>
      </c>
      <c r="C1404">
        <v>17307</v>
      </c>
      <c r="D1404">
        <v>4335</v>
      </c>
      <c r="E1404">
        <v>7860129</v>
      </c>
      <c r="F1404">
        <v>34950817</v>
      </c>
      <c r="G1404">
        <v>42810946</v>
      </c>
      <c r="H1404">
        <v>2173</v>
      </c>
      <c r="I1404">
        <v>674</v>
      </c>
      <c r="J1404">
        <v>2847</v>
      </c>
      <c r="K1404" t="b">
        <f>TrafficData[[#This Row],[disposedChallan]]+TrafficData[[#This Row],[pendingChallan]]=TrafficData[[#This Row],[totalChallan]]</f>
        <v>1</v>
      </c>
      <c r="L1404" t="b">
        <f>TrafficData[[#This Row],[pendingAmount]]+TrafficData[[#This Row],[disposedAmount]]=TrafficData[[#This Row],[totalAmount]]</f>
        <v>1</v>
      </c>
      <c r="M1404" t="b">
        <f>TrafficData[[#This Row],[pendingCourt]]+TrafficData[[#This Row],[disposedCourt]]=TrafficData[[#This Row],[totalCourt]]</f>
        <v>1</v>
      </c>
      <c r="N1404" t="b">
        <f>AND(TrafficData[[#This Row],[disposedChallan]]&lt;=TrafficData[[#This Row],[totalChallan]],TrafficData[[#This Row],[pendingChallan]]&lt;=TrafficData[[#This Row],[totalChallan]])</f>
        <v>1</v>
      </c>
      <c r="O1404" t="b">
        <f>AND(TrafficData[[#This Row],[pendingAmount]]&lt;=TrafficData[[#This Row],[totalAmount]],TrafficData[[#This Row],[disposedAmount]]&lt;=TrafficData[[#This Row],[totalAmount]])</f>
        <v>1</v>
      </c>
      <c r="P1404" t="b">
        <f>AND(TrafficData[[#This Row],[pendingCourt]]&lt;=TrafficData[[#This Row],[totalCourt]],TrafficData[[#This Row],[disposedCourt]]&lt;=TrafficData[[#This Row],[totalCourt]])</f>
        <v>1</v>
      </c>
    </row>
    <row r="1405" spans="1:16">
      <c r="A1405" s="1">
        <v>43408</v>
      </c>
      <c r="B1405">
        <v>16866</v>
      </c>
      <c r="C1405">
        <v>13796</v>
      </c>
      <c r="D1405">
        <v>3070</v>
      </c>
      <c r="E1405">
        <v>3012430</v>
      </c>
      <c r="F1405">
        <v>21410357</v>
      </c>
      <c r="G1405">
        <v>24422787</v>
      </c>
      <c r="H1405">
        <v>1634</v>
      </c>
      <c r="I1405">
        <v>529</v>
      </c>
      <c r="J1405">
        <v>2163</v>
      </c>
      <c r="K1405" t="b">
        <f>TrafficData[[#This Row],[disposedChallan]]+TrafficData[[#This Row],[pendingChallan]]=TrafficData[[#This Row],[totalChallan]]</f>
        <v>1</v>
      </c>
      <c r="L1405" t="b">
        <f>TrafficData[[#This Row],[pendingAmount]]+TrafficData[[#This Row],[disposedAmount]]=TrafficData[[#This Row],[totalAmount]]</f>
        <v>1</v>
      </c>
      <c r="M1405" t="b">
        <f>TrafficData[[#This Row],[pendingCourt]]+TrafficData[[#This Row],[disposedCourt]]=TrafficData[[#This Row],[totalCourt]]</f>
        <v>1</v>
      </c>
      <c r="N1405" t="b">
        <f>AND(TrafficData[[#This Row],[disposedChallan]]&lt;=TrafficData[[#This Row],[totalChallan]],TrafficData[[#This Row],[pendingChallan]]&lt;=TrafficData[[#This Row],[totalChallan]])</f>
        <v>1</v>
      </c>
      <c r="O1405" t="b">
        <f>AND(TrafficData[[#This Row],[pendingAmount]]&lt;=TrafficData[[#This Row],[totalAmount]],TrafficData[[#This Row],[disposedAmount]]&lt;=TrafficData[[#This Row],[totalAmount]])</f>
        <v>1</v>
      </c>
      <c r="P1405" t="b">
        <f>AND(TrafficData[[#This Row],[pendingCourt]]&lt;=TrafficData[[#This Row],[totalCourt]],TrafficData[[#This Row],[disposedCourt]]&lt;=TrafficData[[#This Row],[totalCourt]])</f>
        <v>1</v>
      </c>
    </row>
    <row r="1406" spans="1:16">
      <c r="A1406" s="1">
        <v>43409</v>
      </c>
      <c r="B1406">
        <v>19592</v>
      </c>
      <c r="C1406">
        <v>15276</v>
      </c>
      <c r="D1406">
        <v>4316</v>
      </c>
      <c r="E1406">
        <v>4109125</v>
      </c>
      <c r="F1406">
        <v>20487051</v>
      </c>
      <c r="G1406">
        <v>24596176</v>
      </c>
      <c r="H1406">
        <v>2239</v>
      </c>
      <c r="I1406">
        <v>717</v>
      </c>
      <c r="J1406">
        <v>2956</v>
      </c>
      <c r="K1406" t="b">
        <f>TrafficData[[#This Row],[disposedChallan]]+TrafficData[[#This Row],[pendingChallan]]=TrafficData[[#This Row],[totalChallan]]</f>
        <v>1</v>
      </c>
      <c r="L1406" t="b">
        <f>TrafficData[[#This Row],[pendingAmount]]+TrafficData[[#This Row],[disposedAmount]]=TrafficData[[#This Row],[totalAmount]]</f>
        <v>1</v>
      </c>
      <c r="M1406" t="b">
        <f>TrafficData[[#This Row],[pendingCourt]]+TrafficData[[#This Row],[disposedCourt]]=TrafficData[[#This Row],[totalCourt]]</f>
        <v>1</v>
      </c>
      <c r="N1406" t="b">
        <f>AND(TrafficData[[#This Row],[disposedChallan]]&lt;=TrafficData[[#This Row],[totalChallan]],TrafficData[[#This Row],[pendingChallan]]&lt;=TrafficData[[#This Row],[totalChallan]])</f>
        <v>1</v>
      </c>
      <c r="O1406" t="b">
        <f>AND(TrafficData[[#This Row],[pendingAmount]]&lt;=TrafficData[[#This Row],[totalAmount]],TrafficData[[#This Row],[disposedAmount]]&lt;=TrafficData[[#This Row],[totalAmount]])</f>
        <v>1</v>
      </c>
      <c r="P1406" t="b">
        <f>AND(TrafficData[[#This Row],[pendingCourt]]&lt;=TrafficData[[#This Row],[totalCourt]],TrafficData[[#This Row],[disposedCourt]]&lt;=TrafficData[[#This Row],[totalCourt]])</f>
        <v>1</v>
      </c>
    </row>
    <row r="1407" spans="1:16">
      <c r="A1407" s="1">
        <v>43410</v>
      </c>
      <c r="B1407">
        <v>15627</v>
      </c>
      <c r="C1407">
        <v>11983</v>
      </c>
      <c r="D1407">
        <v>3644</v>
      </c>
      <c r="E1407">
        <v>4059175</v>
      </c>
      <c r="F1407">
        <v>11991736</v>
      </c>
      <c r="G1407">
        <v>16050911</v>
      </c>
      <c r="H1407">
        <v>1799</v>
      </c>
      <c r="I1407">
        <v>576</v>
      </c>
      <c r="J1407">
        <v>2375</v>
      </c>
      <c r="K1407" t="b">
        <f>TrafficData[[#This Row],[disposedChallan]]+TrafficData[[#This Row],[pendingChallan]]=TrafficData[[#This Row],[totalChallan]]</f>
        <v>1</v>
      </c>
      <c r="L1407" t="b">
        <f>TrafficData[[#This Row],[pendingAmount]]+TrafficData[[#This Row],[disposedAmount]]=TrafficData[[#This Row],[totalAmount]]</f>
        <v>1</v>
      </c>
      <c r="M1407" t="b">
        <f>TrafficData[[#This Row],[pendingCourt]]+TrafficData[[#This Row],[disposedCourt]]=TrafficData[[#This Row],[totalCourt]]</f>
        <v>1</v>
      </c>
      <c r="N1407" t="b">
        <f>AND(TrafficData[[#This Row],[disposedChallan]]&lt;=TrafficData[[#This Row],[totalChallan]],TrafficData[[#This Row],[pendingChallan]]&lt;=TrafficData[[#This Row],[totalChallan]])</f>
        <v>1</v>
      </c>
      <c r="O1407" t="b">
        <f>AND(TrafficData[[#This Row],[pendingAmount]]&lt;=TrafficData[[#This Row],[totalAmount]],TrafficData[[#This Row],[disposedAmount]]&lt;=TrafficData[[#This Row],[totalAmount]])</f>
        <v>1</v>
      </c>
      <c r="P1407" t="b">
        <f>AND(TrafficData[[#This Row],[pendingCourt]]&lt;=TrafficData[[#This Row],[totalCourt]],TrafficData[[#This Row],[disposedCourt]]&lt;=TrafficData[[#This Row],[totalCourt]])</f>
        <v>1</v>
      </c>
    </row>
    <row r="1408" spans="1:16">
      <c r="A1408" s="1">
        <v>43411</v>
      </c>
      <c r="B1408">
        <v>5902</v>
      </c>
      <c r="C1408">
        <v>4283</v>
      </c>
      <c r="D1408">
        <v>1619</v>
      </c>
      <c r="E1408">
        <v>2753400</v>
      </c>
      <c r="F1408">
        <v>4666700</v>
      </c>
      <c r="G1408">
        <v>7420100</v>
      </c>
      <c r="H1408">
        <v>514</v>
      </c>
      <c r="I1408">
        <v>191</v>
      </c>
      <c r="J1408">
        <v>705</v>
      </c>
      <c r="K1408" t="b">
        <f>TrafficData[[#This Row],[disposedChallan]]+TrafficData[[#This Row],[pendingChallan]]=TrafficData[[#This Row],[totalChallan]]</f>
        <v>1</v>
      </c>
      <c r="L1408" t="b">
        <f>TrafficData[[#This Row],[pendingAmount]]+TrafficData[[#This Row],[disposedAmount]]=TrafficData[[#This Row],[totalAmount]]</f>
        <v>1</v>
      </c>
      <c r="M1408" t="b">
        <f>TrafficData[[#This Row],[pendingCourt]]+TrafficData[[#This Row],[disposedCourt]]=TrafficData[[#This Row],[totalCourt]]</f>
        <v>1</v>
      </c>
      <c r="N1408" t="b">
        <f>AND(TrafficData[[#This Row],[disposedChallan]]&lt;=TrafficData[[#This Row],[totalChallan]],TrafficData[[#This Row],[pendingChallan]]&lt;=TrafficData[[#This Row],[totalChallan]])</f>
        <v>1</v>
      </c>
      <c r="O1408" t="b">
        <f>AND(TrafficData[[#This Row],[pendingAmount]]&lt;=TrafficData[[#This Row],[totalAmount]],TrafficData[[#This Row],[disposedAmount]]&lt;=TrafficData[[#This Row],[totalAmount]])</f>
        <v>1</v>
      </c>
      <c r="P1408" t="b">
        <f>AND(TrafficData[[#This Row],[pendingCourt]]&lt;=TrafficData[[#This Row],[totalCourt]],TrafficData[[#This Row],[disposedCourt]]&lt;=TrafficData[[#This Row],[totalCourt]])</f>
        <v>1</v>
      </c>
    </row>
    <row r="1409" spans="1:16">
      <c r="A1409" s="1">
        <v>43412</v>
      </c>
      <c r="B1409">
        <v>10160</v>
      </c>
      <c r="C1409">
        <v>7830</v>
      </c>
      <c r="D1409">
        <v>2330</v>
      </c>
      <c r="E1409">
        <v>3884198</v>
      </c>
      <c r="F1409">
        <v>6922712</v>
      </c>
      <c r="G1409">
        <v>10806910</v>
      </c>
      <c r="H1409">
        <v>1067</v>
      </c>
      <c r="I1409">
        <v>386</v>
      </c>
      <c r="J1409">
        <v>1453</v>
      </c>
      <c r="K1409" t="b">
        <f>TrafficData[[#This Row],[disposedChallan]]+TrafficData[[#This Row],[pendingChallan]]=TrafficData[[#This Row],[totalChallan]]</f>
        <v>1</v>
      </c>
      <c r="L1409" t="b">
        <f>TrafficData[[#This Row],[pendingAmount]]+TrafficData[[#This Row],[disposedAmount]]=TrafficData[[#This Row],[totalAmount]]</f>
        <v>1</v>
      </c>
      <c r="M1409" t="b">
        <f>TrafficData[[#This Row],[pendingCourt]]+TrafficData[[#This Row],[disposedCourt]]=TrafficData[[#This Row],[totalCourt]]</f>
        <v>1</v>
      </c>
      <c r="N1409" t="b">
        <f>AND(TrafficData[[#This Row],[disposedChallan]]&lt;=TrafficData[[#This Row],[totalChallan]],TrafficData[[#This Row],[pendingChallan]]&lt;=TrafficData[[#This Row],[totalChallan]])</f>
        <v>1</v>
      </c>
      <c r="O1409" t="b">
        <f>AND(TrafficData[[#This Row],[pendingAmount]]&lt;=TrafficData[[#This Row],[totalAmount]],TrafficData[[#This Row],[disposedAmount]]&lt;=TrafficData[[#This Row],[totalAmount]])</f>
        <v>1</v>
      </c>
      <c r="P1409" t="b">
        <f>AND(TrafficData[[#This Row],[pendingCourt]]&lt;=TrafficData[[#This Row],[totalCourt]],TrafficData[[#This Row],[disposedCourt]]&lt;=TrafficData[[#This Row],[totalCourt]])</f>
        <v>1</v>
      </c>
    </row>
    <row r="1410" spans="1:16">
      <c r="A1410" s="1">
        <v>43413</v>
      </c>
      <c r="B1410">
        <v>15353</v>
      </c>
      <c r="C1410">
        <v>12212</v>
      </c>
      <c r="D1410">
        <v>3141</v>
      </c>
      <c r="E1410">
        <v>3634050</v>
      </c>
      <c r="F1410">
        <v>8693819</v>
      </c>
      <c r="G1410">
        <v>12327869</v>
      </c>
      <c r="H1410">
        <v>1387</v>
      </c>
      <c r="I1410">
        <v>559</v>
      </c>
      <c r="J1410">
        <v>1946</v>
      </c>
      <c r="K1410" t="b">
        <f>TrafficData[[#This Row],[disposedChallan]]+TrafficData[[#This Row],[pendingChallan]]=TrafficData[[#This Row],[totalChallan]]</f>
        <v>1</v>
      </c>
      <c r="L1410" t="b">
        <f>TrafficData[[#This Row],[pendingAmount]]+TrafficData[[#This Row],[disposedAmount]]=TrafficData[[#This Row],[totalAmount]]</f>
        <v>1</v>
      </c>
      <c r="M1410" t="b">
        <f>TrafficData[[#This Row],[pendingCourt]]+TrafficData[[#This Row],[disposedCourt]]=TrafficData[[#This Row],[totalCourt]]</f>
        <v>1</v>
      </c>
      <c r="N1410" t="b">
        <f>AND(TrafficData[[#This Row],[disposedChallan]]&lt;=TrafficData[[#This Row],[totalChallan]],TrafficData[[#This Row],[pendingChallan]]&lt;=TrafficData[[#This Row],[totalChallan]])</f>
        <v>1</v>
      </c>
      <c r="O1410" t="b">
        <f>AND(TrafficData[[#This Row],[pendingAmount]]&lt;=TrafficData[[#This Row],[totalAmount]],TrafficData[[#This Row],[disposedAmount]]&lt;=TrafficData[[#This Row],[totalAmount]])</f>
        <v>1</v>
      </c>
      <c r="P1410" t="b">
        <f>AND(TrafficData[[#This Row],[pendingCourt]]&lt;=TrafficData[[#This Row],[totalCourt]],TrafficData[[#This Row],[disposedCourt]]&lt;=TrafficData[[#This Row],[totalCourt]])</f>
        <v>1</v>
      </c>
    </row>
    <row r="1411" spans="1:16">
      <c r="A1411" s="1">
        <v>43414</v>
      </c>
      <c r="B1411">
        <v>17606</v>
      </c>
      <c r="C1411">
        <v>14184</v>
      </c>
      <c r="D1411">
        <v>3422</v>
      </c>
      <c r="E1411">
        <v>3587447</v>
      </c>
      <c r="F1411">
        <v>12933272</v>
      </c>
      <c r="G1411">
        <v>16520719</v>
      </c>
      <c r="H1411">
        <v>1698</v>
      </c>
      <c r="I1411">
        <v>612</v>
      </c>
      <c r="J1411">
        <v>2310</v>
      </c>
      <c r="K1411" t="b">
        <f>TrafficData[[#This Row],[disposedChallan]]+TrafficData[[#This Row],[pendingChallan]]=TrafficData[[#This Row],[totalChallan]]</f>
        <v>1</v>
      </c>
      <c r="L1411" t="b">
        <f>TrafficData[[#This Row],[pendingAmount]]+TrafficData[[#This Row],[disposedAmount]]=TrafficData[[#This Row],[totalAmount]]</f>
        <v>1</v>
      </c>
      <c r="M1411" t="b">
        <f>TrafficData[[#This Row],[pendingCourt]]+TrafficData[[#This Row],[disposedCourt]]=TrafficData[[#This Row],[totalCourt]]</f>
        <v>1</v>
      </c>
      <c r="N1411" t="b">
        <f>AND(TrafficData[[#This Row],[disposedChallan]]&lt;=TrafficData[[#This Row],[totalChallan]],TrafficData[[#This Row],[pendingChallan]]&lt;=TrafficData[[#This Row],[totalChallan]])</f>
        <v>1</v>
      </c>
      <c r="O1411" t="b">
        <f>AND(TrafficData[[#This Row],[pendingAmount]]&lt;=TrafficData[[#This Row],[totalAmount]],TrafficData[[#This Row],[disposedAmount]]&lt;=TrafficData[[#This Row],[totalAmount]])</f>
        <v>1</v>
      </c>
      <c r="P1411" t="b">
        <f>AND(TrafficData[[#This Row],[pendingCourt]]&lt;=TrafficData[[#This Row],[totalCourt]],TrafficData[[#This Row],[disposedCourt]]&lt;=TrafficData[[#This Row],[totalCourt]])</f>
        <v>1</v>
      </c>
    </row>
    <row r="1412" spans="1:16">
      <c r="A1412" s="1">
        <v>43415</v>
      </c>
      <c r="B1412">
        <v>15888</v>
      </c>
      <c r="C1412">
        <v>13180</v>
      </c>
      <c r="D1412">
        <v>2708</v>
      </c>
      <c r="E1412">
        <v>4948713</v>
      </c>
      <c r="F1412">
        <v>12929785</v>
      </c>
      <c r="G1412">
        <v>17878498</v>
      </c>
      <c r="H1412">
        <v>1226</v>
      </c>
      <c r="I1412">
        <v>527</v>
      </c>
      <c r="J1412">
        <v>1753</v>
      </c>
      <c r="K1412" t="b">
        <f>TrafficData[[#This Row],[disposedChallan]]+TrafficData[[#This Row],[pendingChallan]]=TrafficData[[#This Row],[totalChallan]]</f>
        <v>1</v>
      </c>
      <c r="L1412" t="b">
        <f>TrafficData[[#This Row],[pendingAmount]]+TrafficData[[#This Row],[disposedAmount]]=TrafficData[[#This Row],[totalAmount]]</f>
        <v>1</v>
      </c>
      <c r="M1412" t="b">
        <f>TrafficData[[#This Row],[pendingCourt]]+TrafficData[[#This Row],[disposedCourt]]=TrafficData[[#This Row],[totalCourt]]</f>
        <v>1</v>
      </c>
      <c r="N1412" t="b">
        <f>AND(TrafficData[[#This Row],[disposedChallan]]&lt;=TrafficData[[#This Row],[totalChallan]],TrafficData[[#This Row],[pendingChallan]]&lt;=TrafficData[[#This Row],[totalChallan]])</f>
        <v>1</v>
      </c>
      <c r="O1412" t="b">
        <f>AND(TrafficData[[#This Row],[pendingAmount]]&lt;=TrafficData[[#This Row],[totalAmount]],TrafficData[[#This Row],[disposedAmount]]&lt;=TrafficData[[#This Row],[totalAmount]])</f>
        <v>1</v>
      </c>
      <c r="P1412" t="b">
        <f>AND(TrafficData[[#This Row],[pendingCourt]]&lt;=TrafficData[[#This Row],[totalCourt]],TrafficData[[#This Row],[disposedCourt]]&lt;=TrafficData[[#This Row],[totalCourt]])</f>
        <v>1</v>
      </c>
    </row>
    <row r="1413" spans="1:16">
      <c r="A1413" s="1">
        <v>43416</v>
      </c>
      <c r="B1413">
        <v>18981</v>
      </c>
      <c r="C1413">
        <v>14465</v>
      </c>
      <c r="D1413">
        <v>4516</v>
      </c>
      <c r="E1413">
        <v>8849548</v>
      </c>
      <c r="F1413">
        <v>23024310</v>
      </c>
      <c r="G1413">
        <v>31873858</v>
      </c>
      <c r="H1413">
        <v>1730</v>
      </c>
      <c r="I1413">
        <v>750</v>
      </c>
      <c r="J1413">
        <v>2480</v>
      </c>
      <c r="K1413" t="b">
        <f>TrafficData[[#This Row],[disposedChallan]]+TrafficData[[#This Row],[pendingChallan]]=TrafficData[[#This Row],[totalChallan]]</f>
        <v>1</v>
      </c>
      <c r="L1413" t="b">
        <f>TrafficData[[#This Row],[pendingAmount]]+TrafficData[[#This Row],[disposedAmount]]=TrafficData[[#This Row],[totalAmount]]</f>
        <v>1</v>
      </c>
      <c r="M1413" t="b">
        <f>TrafficData[[#This Row],[pendingCourt]]+TrafficData[[#This Row],[disposedCourt]]=TrafficData[[#This Row],[totalCourt]]</f>
        <v>1</v>
      </c>
      <c r="N1413" t="b">
        <f>AND(TrafficData[[#This Row],[disposedChallan]]&lt;=TrafficData[[#This Row],[totalChallan]],TrafficData[[#This Row],[pendingChallan]]&lt;=TrafficData[[#This Row],[totalChallan]])</f>
        <v>1</v>
      </c>
      <c r="O1413" t="b">
        <f>AND(TrafficData[[#This Row],[pendingAmount]]&lt;=TrafficData[[#This Row],[totalAmount]],TrafficData[[#This Row],[disposedAmount]]&lt;=TrafficData[[#This Row],[totalAmount]])</f>
        <v>1</v>
      </c>
      <c r="P1413" t="b">
        <f>AND(TrafficData[[#This Row],[pendingCourt]]&lt;=TrafficData[[#This Row],[totalCourt]],TrafficData[[#This Row],[disposedCourt]]&lt;=TrafficData[[#This Row],[totalCourt]])</f>
        <v>1</v>
      </c>
    </row>
    <row r="1414" spans="1:16">
      <c r="A1414" s="1">
        <v>43417</v>
      </c>
      <c r="B1414">
        <v>21272</v>
      </c>
      <c r="C1414">
        <v>16470</v>
      </c>
      <c r="D1414">
        <v>4802</v>
      </c>
      <c r="E1414">
        <v>8405669</v>
      </c>
      <c r="F1414">
        <v>27345953</v>
      </c>
      <c r="G1414">
        <v>35751622</v>
      </c>
      <c r="H1414">
        <v>1668</v>
      </c>
      <c r="I1414">
        <v>950</v>
      </c>
      <c r="J1414">
        <v>2618</v>
      </c>
      <c r="K1414" t="b">
        <f>TrafficData[[#This Row],[disposedChallan]]+TrafficData[[#This Row],[pendingChallan]]=TrafficData[[#This Row],[totalChallan]]</f>
        <v>1</v>
      </c>
      <c r="L1414" t="b">
        <f>TrafficData[[#This Row],[pendingAmount]]+TrafficData[[#This Row],[disposedAmount]]=TrafficData[[#This Row],[totalAmount]]</f>
        <v>1</v>
      </c>
      <c r="M1414" t="b">
        <f>TrafficData[[#This Row],[pendingCourt]]+TrafficData[[#This Row],[disposedCourt]]=TrafficData[[#This Row],[totalCourt]]</f>
        <v>1</v>
      </c>
      <c r="N1414" t="b">
        <f>AND(TrafficData[[#This Row],[disposedChallan]]&lt;=TrafficData[[#This Row],[totalChallan]],TrafficData[[#This Row],[pendingChallan]]&lt;=TrafficData[[#This Row],[totalChallan]])</f>
        <v>1</v>
      </c>
      <c r="O1414" t="b">
        <f>AND(TrafficData[[#This Row],[pendingAmount]]&lt;=TrafficData[[#This Row],[totalAmount]],TrafficData[[#This Row],[disposedAmount]]&lt;=TrafficData[[#This Row],[totalAmount]])</f>
        <v>1</v>
      </c>
      <c r="P1414" t="b">
        <f>AND(TrafficData[[#This Row],[pendingCourt]]&lt;=TrafficData[[#This Row],[totalCourt]],TrafficData[[#This Row],[disposedCourt]]&lt;=TrafficData[[#This Row],[totalCourt]])</f>
        <v>1</v>
      </c>
    </row>
    <row r="1415" spans="1:16">
      <c r="A1415" s="1">
        <v>43418</v>
      </c>
      <c r="B1415">
        <v>29662</v>
      </c>
      <c r="C1415">
        <v>21824</v>
      </c>
      <c r="D1415">
        <v>7838</v>
      </c>
      <c r="E1415">
        <v>14268660</v>
      </c>
      <c r="F1415">
        <v>26180589</v>
      </c>
      <c r="G1415">
        <v>40449249</v>
      </c>
      <c r="H1415">
        <v>4314</v>
      </c>
      <c r="I1415">
        <v>1331</v>
      </c>
      <c r="J1415">
        <v>5645</v>
      </c>
      <c r="K1415" t="b">
        <f>TrafficData[[#This Row],[disposedChallan]]+TrafficData[[#This Row],[pendingChallan]]=TrafficData[[#This Row],[totalChallan]]</f>
        <v>1</v>
      </c>
      <c r="L1415" t="b">
        <f>TrafficData[[#This Row],[pendingAmount]]+TrafficData[[#This Row],[disposedAmount]]=TrafficData[[#This Row],[totalAmount]]</f>
        <v>1</v>
      </c>
      <c r="M1415" t="b">
        <f>TrafficData[[#This Row],[pendingCourt]]+TrafficData[[#This Row],[disposedCourt]]=TrafficData[[#This Row],[totalCourt]]</f>
        <v>1</v>
      </c>
      <c r="N1415" t="b">
        <f>AND(TrafficData[[#This Row],[disposedChallan]]&lt;=TrafficData[[#This Row],[totalChallan]],TrafficData[[#This Row],[pendingChallan]]&lt;=TrafficData[[#This Row],[totalChallan]])</f>
        <v>1</v>
      </c>
      <c r="O1415" t="b">
        <f>AND(TrafficData[[#This Row],[pendingAmount]]&lt;=TrafficData[[#This Row],[totalAmount]],TrafficData[[#This Row],[disposedAmount]]&lt;=TrafficData[[#This Row],[totalAmount]])</f>
        <v>1</v>
      </c>
      <c r="P1415" t="b">
        <f>AND(TrafficData[[#This Row],[pendingCourt]]&lt;=TrafficData[[#This Row],[totalCourt]],TrafficData[[#This Row],[disposedCourt]]&lt;=TrafficData[[#This Row],[totalCourt]])</f>
        <v>1</v>
      </c>
    </row>
    <row r="1416" spans="1:16">
      <c r="A1416" s="1">
        <v>43419</v>
      </c>
      <c r="B1416">
        <v>22380</v>
      </c>
      <c r="C1416">
        <v>17743</v>
      </c>
      <c r="D1416">
        <v>4637</v>
      </c>
      <c r="E1416">
        <v>7698259</v>
      </c>
      <c r="F1416">
        <v>27227071</v>
      </c>
      <c r="G1416">
        <v>34925330</v>
      </c>
      <c r="H1416">
        <v>1747</v>
      </c>
      <c r="I1416">
        <v>1022</v>
      </c>
      <c r="J1416">
        <v>2769</v>
      </c>
      <c r="K1416" t="b">
        <f>TrafficData[[#This Row],[disposedChallan]]+TrafficData[[#This Row],[pendingChallan]]=TrafficData[[#This Row],[totalChallan]]</f>
        <v>1</v>
      </c>
      <c r="L1416" t="b">
        <f>TrafficData[[#This Row],[pendingAmount]]+TrafficData[[#This Row],[disposedAmount]]=TrafficData[[#This Row],[totalAmount]]</f>
        <v>1</v>
      </c>
      <c r="M1416" t="b">
        <f>TrafficData[[#This Row],[pendingCourt]]+TrafficData[[#This Row],[disposedCourt]]=TrafficData[[#This Row],[totalCourt]]</f>
        <v>1</v>
      </c>
      <c r="N1416" t="b">
        <f>AND(TrafficData[[#This Row],[disposedChallan]]&lt;=TrafficData[[#This Row],[totalChallan]],TrafficData[[#This Row],[pendingChallan]]&lt;=TrafficData[[#This Row],[totalChallan]])</f>
        <v>1</v>
      </c>
      <c r="O1416" t="b">
        <f>AND(TrafficData[[#This Row],[pendingAmount]]&lt;=TrafficData[[#This Row],[totalAmount]],TrafficData[[#This Row],[disposedAmount]]&lt;=TrafficData[[#This Row],[totalAmount]])</f>
        <v>1</v>
      </c>
      <c r="P1416" t="b">
        <f>AND(TrafficData[[#This Row],[pendingCourt]]&lt;=TrafficData[[#This Row],[totalCourt]],TrafficData[[#This Row],[disposedCourt]]&lt;=TrafficData[[#This Row],[totalCourt]])</f>
        <v>1</v>
      </c>
    </row>
    <row r="1417" spans="1:16">
      <c r="A1417" s="1">
        <v>43420</v>
      </c>
      <c r="B1417">
        <v>21951</v>
      </c>
      <c r="C1417">
        <v>17580</v>
      </c>
      <c r="D1417">
        <v>4371</v>
      </c>
      <c r="E1417">
        <v>6410058</v>
      </c>
      <c r="F1417">
        <v>30684257</v>
      </c>
      <c r="G1417">
        <v>37094315</v>
      </c>
      <c r="H1417">
        <v>1783</v>
      </c>
      <c r="I1417">
        <v>920</v>
      </c>
      <c r="J1417">
        <v>2703</v>
      </c>
      <c r="K1417" t="b">
        <f>TrafficData[[#This Row],[disposedChallan]]+TrafficData[[#This Row],[pendingChallan]]=TrafficData[[#This Row],[totalChallan]]</f>
        <v>1</v>
      </c>
      <c r="L1417" t="b">
        <f>TrafficData[[#This Row],[pendingAmount]]+TrafficData[[#This Row],[disposedAmount]]=TrafficData[[#This Row],[totalAmount]]</f>
        <v>1</v>
      </c>
      <c r="M1417" t="b">
        <f>TrafficData[[#This Row],[pendingCourt]]+TrafficData[[#This Row],[disposedCourt]]=TrafficData[[#This Row],[totalCourt]]</f>
        <v>1</v>
      </c>
      <c r="N1417" t="b">
        <f>AND(TrafficData[[#This Row],[disposedChallan]]&lt;=TrafficData[[#This Row],[totalChallan]],TrafficData[[#This Row],[pendingChallan]]&lt;=TrafficData[[#This Row],[totalChallan]])</f>
        <v>1</v>
      </c>
      <c r="O1417" t="b">
        <f>AND(TrafficData[[#This Row],[pendingAmount]]&lt;=TrafficData[[#This Row],[totalAmount]],TrafficData[[#This Row],[disposedAmount]]&lt;=TrafficData[[#This Row],[totalAmount]])</f>
        <v>1</v>
      </c>
      <c r="P1417" t="b">
        <f>AND(TrafficData[[#This Row],[pendingCourt]]&lt;=TrafficData[[#This Row],[totalCourt]],TrafficData[[#This Row],[disposedCourt]]&lt;=TrafficData[[#This Row],[totalCourt]])</f>
        <v>1</v>
      </c>
    </row>
    <row r="1418" spans="1:16">
      <c r="A1418" s="1">
        <v>43421</v>
      </c>
      <c r="B1418">
        <v>16786</v>
      </c>
      <c r="C1418">
        <v>12956</v>
      </c>
      <c r="D1418">
        <v>3830</v>
      </c>
      <c r="E1418">
        <v>5945892</v>
      </c>
      <c r="F1418">
        <v>28508881</v>
      </c>
      <c r="G1418">
        <v>34454773</v>
      </c>
      <c r="H1418">
        <v>1407</v>
      </c>
      <c r="I1418">
        <v>749</v>
      </c>
      <c r="J1418">
        <v>2156</v>
      </c>
      <c r="K1418" t="b">
        <f>TrafficData[[#This Row],[disposedChallan]]+TrafficData[[#This Row],[pendingChallan]]=TrafficData[[#This Row],[totalChallan]]</f>
        <v>1</v>
      </c>
      <c r="L1418" t="b">
        <f>TrafficData[[#This Row],[pendingAmount]]+TrafficData[[#This Row],[disposedAmount]]=TrafficData[[#This Row],[totalAmount]]</f>
        <v>1</v>
      </c>
      <c r="M1418" t="b">
        <f>TrafficData[[#This Row],[pendingCourt]]+TrafficData[[#This Row],[disposedCourt]]=TrafficData[[#This Row],[totalCourt]]</f>
        <v>1</v>
      </c>
      <c r="N1418" t="b">
        <f>AND(TrafficData[[#This Row],[disposedChallan]]&lt;=TrafficData[[#This Row],[totalChallan]],TrafficData[[#This Row],[pendingChallan]]&lt;=TrafficData[[#This Row],[totalChallan]])</f>
        <v>1</v>
      </c>
      <c r="O1418" t="b">
        <f>AND(TrafficData[[#This Row],[pendingAmount]]&lt;=TrafficData[[#This Row],[totalAmount]],TrafficData[[#This Row],[disposedAmount]]&lt;=TrafficData[[#This Row],[totalAmount]])</f>
        <v>1</v>
      </c>
      <c r="P1418" t="b">
        <f>AND(TrafficData[[#This Row],[pendingCourt]]&lt;=TrafficData[[#This Row],[totalCourt]],TrafficData[[#This Row],[disposedCourt]]&lt;=TrafficData[[#This Row],[totalCourt]])</f>
        <v>1</v>
      </c>
    </row>
    <row r="1419" spans="1:16">
      <c r="A1419" s="1">
        <v>43422</v>
      </c>
      <c r="B1419">
        <v>12327</v>
      </c>
      <c r="C1419">
        <v>9750</v>
      </c>
      <c r="D1419">
        <v>2577</v>
      </c>
      <c r="E1419">
        <v>2971873</v>
      </c>
      <c r="F1419">
        <v>16472217</v>
      </c>
      <c r="G1419">
        <v>19444090</v>
      </c>
      <c r="H1419">
        <v>1117</v>
      </c>
      <c r="I1419">
        <v>470</v>
      </c>
      <c r="J1419">
        <v>1587</v>
      </c>
      <c r="K1419" t="b">
        <f>TrafficData[[#This Row],[disposedChallan]]+TrafficData[[#This Row],[pendingChallan]]=TrafficData[[#This Row],[totalChallan]]</f>
        <v>1</v>
      </c>
      <c r="L1419" t="b">
        <f>TrafficData[[#This Row],[pendingAmount]]+TrafficData[[#This Row],[disposedAmount]]=TrafficData[[#This Row],[totalAmount]]</f>
        <v>1</v>
      </c>
      <c r="M1419" t="b">
        <f>TrafficData[[#This Row],[pendingCourt]]+TrafficData[[#This Row],[disposedCourt]]=TrafficData[[#This Row],[totalCourt]]</f>
        <v>1</v>
      </c>
      <c r="N1419" t="b">
        <f>AND(TrafficData[[#This Row],[disposedChallan]]&lt;=TrafficData[[#This Row],[totalChallan]],TrafficData[[#This Row],[pendingChallan]]&lt;=TrafficData[[#This Row],[totalChallan]])</f>
        <v>1</v>
      </c>
      <c r="O1419" t="b">
        <f>AND(TrafficData[[#This Row],[pendingAmount]]&lt;=TrafficData[[#This Row],[totalAmount]],TrafficData[[#This Row],[disposedAmount]]&lt;=TrafficData[[#This Row],[totalAmount]])</f>
        <v>1</v>
      </c>
      <c r="P1419" t="b">
        <f>AND(TrafficData[[#This Row],[pendingCourt]]&lt;=TrafficData[[#This Row],[totalCourt]],TrafficData[[#This Row],[disposedCourt]]&lt;=TrafficData[[#This Row],[totalCourt]])</f>
        <v>1</v>
      </c>
    </row>
    <row r="1420" spans="1:16">
      <c r="A1420" s="1">
        <v>43423</v>
      </c>
      <c r="B1420">
        <v>17581</v>
      </c>
      <c r="C1420">
        <v>13051</v>
      </c>
      <c r="D1420">
        <v>4530</v>
      </c>
      <c r="E1420">
        <v>5363441</v>
      </c>
      <c r="F1420">
        <v>25203133</v>
      </c>
      <c r="G1420">
        <v>30566574</v>
      </c>
      <c r="H1420">
        <v>1881</v>
      </c>
      <c r="I1420">
        <v>810</v>
      </c>
      <c r="J1420">
        <v>2691</v>
      </c>
      <c r="K1420" t="b">
        <f>TrafficData[[#This Row],[disposedChallan]]+TrafficData[[#This Row],[pendingChallan]]=TrafficData[[#This Row],[totalChallan]]</f>
        <v>1</v>
      </c>
      <c r="L1420" t="b">
        <f>TrafficData[[#This Row],[pendingAmount]]+TrafficData[[#This Row],[disposedAmount]]=TrafficData[[#This Row],[totalAmount]]</f>
        <v>1</v>
      </c>
      <c r="M1420" t="b">
        <f>TrafficData[[#This Row],[pendingCourt]]+TrafficData[[#This Row],[disposedCourt]]=TrafficData[[#This Row],[totalCourt]]</f>
        <v>1</v>
      </c>
      <c r="N1420" t="b">
        <f>AND(TrafficData[[#This Row],[disposedChallan]]&lt;=TrafficData[[#This Row],[totalChallan]],TrafficData[[#This Row],[pendingChallan]]&lt;=TrafficData[[#This Row],[totalChallan]])</f>
        <v>1</v>
      </c>
      <c r="O1420" t="b">
        <f>AND(TrafficData[[#This Row],[pendingAmount]]&lt;=TrafficData[[#This Row],[totalAmount]],TrafficData[[#This Row],[disposedAmount]]&lt;=TrafficData[[#This Row],[totalAmount]])</f>
        <v>1</v>
      </c>
      <c r="P1420" t="b">
        <f>AND(TrafficData[[#This Row],[pendingCourt]]&lt;=TrafficData[[#This Row],[totalCourt]],TrafficData[[#This Row],[disposedCourt]]&lt;=TrafficData[[#This Row],[totalCourt]])</f>
        <v>1</v>
      </c>
    </row>
    <row r="1421" spans="1:16">
      <c r="A1421" s="1">
        <v>43424</v>
      </c>
      <c r="B1421">
        <v>21052</v>
      </c>
      <c r="C1421">
        <v>16649</v>
      </c>
      <c r="D1421">
        <v>4403</v>
      </c>
      <c r="E1421">
        <v>6294175</v>
      </c>
      <c r="F1421">
        <v>34134918</v>
      </c>
      <c r="G1421">
        <v>40429093</v>
      </c>
      <c r="H1421">
        <v>2021</v>
      </c>
      <c r="I1421">
        <v>983</v>
      </c>
      <c r="J1421">
        <v>3004</v>
      </c>
      <c r="K1421" t="b">
        <f>TrafficData[[#This Row],[disposedChallan]]+TrafficData[[#This Row],[pendingChallan]]=TrafficData[[#This Row],[totalChallan]]</f>
        <v>1</v>
      </c>
      <c r="L1421" t="b">
        <f>TrafficData[[#This Row],[pendingAmount]]+TrafficData[[#This Row],[disposedAmount]]=TrafficData[[#This Row],[totalAmount]]</f>
        <v>1</v>
      </c>
      <c r="M1421" t="b">
        <f>TrafficData[[#This Row],[pendingCourt]]+TrafficData[[#This Row],[disposedCourt]]=TrafficData[[#This Row],[totalCourt]]</f>
        <v>1</v>
      </c>
      <c r="N1421" t="b">
        <f>AND(TrafficData[[#This Row],[disposedChallan]]&lt;=TrafficData[[#This Row],[totalChallan]],TrafficData[[#This Row],[pendingChallan]]&lt;=TrafficData[[#This Row],[totalChallan]])</f>
        <v>1</v>
      </c>
      <c r="O1421" t="b">
        <f>AND(TrafficData[[#This Row],[pendingAmount]]&lt;=TrafficData[[#This Row],[totalAmount]],TrafficData[[#This Row],[disposedAmount]]&lt;=TrafficData[[#This Row],[totalAmount]])</f>
        <v>1</v>
      </c>
      <c r="P1421" t="b">
        <f>AND(TrafficData[[#This Row],[pendingCourt]]&lt;=TrafficData[[#This Row],[totalCourt]],TrafficData[[#This Row],[disposedCourt]]&lt;=TrafficData[[#This Row],[totalCourt]])</f>
        <v>1</v>
      </c>
    </row>
    <row r="1422" spans="1:16">
      <c r="A1422" s="1">
        <v>43425</v>
      </c>
      <c r="B1422">
        <v>22364</v>
      </c>
      <c r="C1422">
        <v>17463</v>
      </c>
      <c r="D1422">
        <v>4901</v>
      </c>
      <c r="E1422">
        <v>6583454</v>
      </c>
      <c r="F1422">
        <v>30990229</v>
      </c>
      <c r="G1422">
        <v>37573683</v>
      </c>
      <c r="H1422">
        <v>2423</v>
      </c>
      <c r="I1422">
        <v>901</v>
      </c>
      <c r="J1422">
        <v>3324</v>
      </c>
      <c r="K1422" t="b">
        <f>TrafficData[[#This Row],[disposedChallan]]+TrafficData[[#This Row],[pendingChallan]]=TrafficData[[#This Row],[totalChallan]]</f>
        <v>1</v>
      </c>
      <c r="L1422" t="b">
        <f>TrafficData[[#This Row],[pendingAmount]]+TrafficData[[#This Row],[disposedAmount]]=TrafficData[[#This Row],[totalAmount]]</f>
        <v>1</v>
      </c>
      <c r="M1422" t="b">
        <f>TrafficData[[#This Row],[pendingCourt]]+TrafficData[[#This Row],[disposedCourt]]=TrafficData[[#This Row],[totalCourt]]</f>
        <v>1</v>
      </c>
      <c r="N1422" t="b">
        <f>AND(TrafficData[[#This Row],[disposedChallan]]&lt;=TrafficData[[#This Row],[totalChallan]],TrafficData[[#This Row],[pendingChallan]]&lt;=TrafficData[[#This Row],[totalChallan]])</f>
        <v>1</v>
      </c>
      <c r="O1422" t="b">
        <f>AND(TrafficData[[#This Row],[pendingAmount]]&lt;=TrafficData[[#This Row],[totalAmount]],TrafficData[[#This Row],[disposedAmount]]&lt;=TrafficData[[#This Row],[totalAmount]])</f>
        <v>1</v>
      </c>
      <c r="P1422" t="b">
        <f>AND(TrafficData[[#This Row],[pendingCourt]]&lt;=TrafficData[[#This Row],[totalCourt]],TrafficData[[#This Row],[disposedCourt]]&lt;=TrafficData[[#This Row],[totalCourt]])</f>
        <v>1</v>
      </c>
    </row>
    <row r="1423" spans="1:16">
      <c r="A1423" s="1">
        <v>43426</v>
      </c>
      <c r="B1423">
        <v>22148</v>
      </c>
      <c r="C1423">
        <v>17802</v>
      </c>
      <c r="D1423">
        <v>4346</v>
      </c>
      <c r="E1423">
        <v>5945048</v>
      </c>
      <c r="F1423">
        <v>31560877</v>
      </c>
      <c r="G1423">
        <v>37505925</v>
      </c>
      <c r="H1423">
        <v>1957</v>
      </c>
      <c r="I1423">
        <v>866</v>
      </c>
      <c r="J1423">
        <v>2823</v>
      </c>
      <c r="K1423" t="b">
        <f>TrafficData[[#This Row],[disposedChallan]]+TrafficData[[#This Row],[pendingChallan]]=TrafficData[[#This Row],[totalChallan]]</f>
        <v>1</v>
      </c>
      <c r="L1423" t="b">
        <f>TrafficData[[#This Row],[pendingAmount]]+TrafficData[[#This Row],[disposedAmount]]=TrafficData[[#This Row],[totalAmount]]</f>
        <v>1</v>
      </c>
      <c r="M1423" t="b">
        <f>TrafficData[[#This Row],[pendingCourt]]+TrafficData[[#This Row],[disposedCourt]]=TrafficData[[#This Row],[totalCourt]]</f>
        <v>1</v>
      </c>
      <c r="N1423" t="b">
        <f>AND(TrafficData[[#This Row],[disposedChallan]]&lt;=TrafficData[[#This Row],[totalChallan]],TrafficData[[#This Row],[pendingChallan]]&lt;=TrafficData[[#This Row],[totalChallan]])</f>
        <v>1</v>
      </c>
      <c r="O1423" t="b">
        <f>AND(TrafficData[[#This Row],[pendingAmount]]&lt;=TrafficData[[#This Row],[totalAmount]],TrafficData[[#This Row],[disposedAmount]]&lt;=TrafficData[[#This Row],[totalAmount]])</f>
        <v>1</v>
      </c>
      <c r="P1423" t="b">
        <f>AND(TrafficData[[#This Row],[pendingCourt]]&lt;=TrafficData[[#This Row],[totalCourt]],TrafficData[[#This Row],[disposedCourt]]&lt;=TrafficData[[#This Row],[totalCourt]])</f>
        <v>1</v>
      </c>
    </row>
    <row r="1424" spans="1:16">
      <c r="A1424" s="1">
        <v>43427</v>
      </c>
      <c r="B1424">
        <v>17887</v>
      </c>
      <c r="C1424">
        <v>14422</v>
      </c>
      <c r="D1424">
        <v>3465</v>
      </c>
      <c r="E1424">
        <v>7040025</v>
      </c>
      <c r="F1424">
        <v>27055677</v>
      </c>
      <c r="G1424">
        <v>34095702</v>
      </c>
      <c r="H1424">
        <v>1349</v>
      </c>
      <c r="I1424">
        <v>744</v>
      </c>
      <c r="J1424">
        <v>2093</v>
      </c>
      <c r="K1424" t="b">
        <f>TrafficData[[#This Row],[disposedChallan]]+TrafficData[[#This Row],[pendingChallan]]=TrafficData[[#This Row],[totalChallan]]</f>
        <v>1</v>
      </c>
      <c r="L1424" t="b">
        <f>TrafficData[[#This Row],[pendingAmount]]+TrafficData[[#This Row],[disposedAmount]]=TrafficData[[#This Row],[totalAmount]]</f>
        <v>1</v>
      </c>
      <c r="M1424" t="b">
        <f>TrafficData[[#This Row],[pendingCourt]]+TrafficData[[#This Row],[disposedCourt]]=TrafficData[[#This Row],[totalCourt]]</f>
        <v>1</v>
      </c>
      <c r="N1424" t="b">
        <f>AND(TrafficData[[#This Row],[disposedChallan]]&lt;=TrafficData[[#This Row],[totalChallan]],TrafficData[[#This Row],[pendingChallan]]&lt;=TrafficData[[#This Row],[totalChallan]])</f>
        <v>1</v>
      </c>
      <c r="O1424" t="b">
        <f>AND(TrafficData[[#This Row],[pendingAmount]]&lt;=TrafficData[[#This Row],[totalAmount]],TrafficData[[#This Row],[disposedAmount]]&lt;=TrafficData[[#This Row],[totalAmount]])</f>
        <v>1</v>
      </c>
      <c r="P1424" t="b">
        <f>AND(TrafficData[[#This Row],[pendingCourt]]&lt;=TrafficData[[#This Row],[totalCourt]],TrafficData[[#This Row],[disposedCourt]]&lt;=TrafficData[[#This Row],[totalCourt]])</f>
        <v>1</v>
      </c>
    </row>
    <row r="1425" spans="1:16">
      <c r="A1425" s="1">
        <v>43428</v>
      </c>
      <c r="B1425">
        <v>19457</v>
      </c>
      <c r="C1425">
        <v>15616</v>
      </c>
      <c r="D1425">
        <v>3841</v>
      </c>
      <c r="E1425">
        <v>3418783</v>
      </c>
      <c r="F1425">
        <v>22189718</v>
      </c>
      <c r="G1425">
        <v>25608501</v>
      </c>
      <c r="H1425">
        <v>1605</v>
      </c>
      <c r="I1425">
        <v>765</v>
      </c>
      <c r="J1425">
        <v>2370</v>
      </c>
      <c r="K1425" t="b">
        <f>TrafficData[[#This Row],[disposedChallan]]+TrafficData[[#This Row],[pendingChallan]]=TrafficData[[#This Row],[totalChallan]]</f>
        <v>1</v>
      </c>
      <c r="L1425" t="b">
        <f>TrafficData[[#This Row],[pendingAmount]]+TrafficData[[#This Row],[disposedAmount]]=TrafficData[[#This Row],[totalAmount]]</f>
        <v>1</v>
      </c>
      <c r="M1425" t="b">
        <f>TrafficData[[#This Row],[pendingCourt]]+TrafficData[[#This Row],[disposedCourt]]=TrafficData[[#This Row],[totalCourt]]</f>
        <v>1</v>
      </c>
      <c r="N1425" t="b">
        <f>AND(TrafficData[[#This Row],[disposedChallan]]&lt;=TrafficData[[#This Row],[totalChallan]],TrafficData[[#This Row],[pendingChallan]]&lt;=TrafficData[[#This Row],[totalChallan]])</f>
        <v>1</v>
      </c>
      <c r="O1425" t="b">
        <f>AND(TrafficData[[#This Row],[pendingAmount]]&lt;=TrafficData[[#This Row],[totalAmount]],TrafficData[[#This Row],[disposedAmount]]&lt;=TrafficData[[#This Row],[totalAmount]])</f>
        <v>1</v>
      </c>
      <c r="P1425" t="b">
        <f>AND(TrafficData[[#This Row],[pendingCourt]]&lt;=TrafficData[[#This Row],[totalCourt]],TrafficData[[#This Row],[disposedCourt]]&lt;=TrafficData[[#This Row],[totalCourt]])</f>
        <v>1</v>
      </c>
    </row>
    <row r="1426" spans="1:16">
      <c r="A1426" s="1">
        <v>43429</v>
      </c>
      <c r="B1426">
        <v>13788</v>
      </c>
      <c r="C1426">
        <v>11370</v>
      </c>
      <c r="D1426">
        <v>2418</v>
      </c>
      <c r="E1426">
        <v>2477577</v>
      </c>
      <c r="F1426">
        <v>15349849</v>
      </c>
      <c r="G1426">
        <v>17827426</v>
      </c>
      <c r="H1426">
        <v>1232</v>
      </c>
      <c r="I1426">
        <v>624</v>
      </c>
      <c r="J1426">
        <v>1856</v>
      </c>
      <c r="K1426" t="b">
        <f>TrafficData[[#This Row],[disposedChallan]]+TrafficData[[#This Row],[pendingChallan]]=TrafficData[[#This Row],[totalChallan]]</f>
        <v>1</v>
      </c>
      <c r="L1426" t="b">
        <f>TrafficData[[#This Row],[pendingAmount]]+TrafficData[[#This Row],[disposedAmount]]=TrafficData[[#This Row],[totalAmount]]</f>
        <v>1</v>
      </c>
      <c r="M1426" t="b">
        <f>TrafficData[[#This Row],[pendingCourt]]+TrafficData[[#This Row],[disposedCourt]]=TrafficData[[#This Row],[totalCourt]]</f>
        <v>1</v>
      </c>
      <c r="N1426" t="b">
        <f>AND(TrafficData[[#This Row],[disposedChallan]]&lt;=TrafficData[[#This Row],[totalChallan]],TrafficData[[#This Row],[pendingChallan]]&lt;=TrafficData[[#This Row],[totalChallan]])</f>
        <v>1</v>
      </c>
      <c r="O1426" t="b">
        <f>AND(TrafficData[[#This Row],[pendingAmount]]&lt;=TrafficData[[#This Row],[totalAmount]],TrafficData[[#This Row],[disposedAmount]]&lt;=TrafficData[[#This Row],[totalAmount]])</f>
        <v>1</v>
      </c>
      <c r="P1426" t="b">
        <f>AND(TrafficData[[#This Row],[pendingCourt]]&lt;=TrafficData[[#This Row],[totalCourt]],TrafficData[[#This Row],[disposedCourt]]&lt;=TrafficData[[#This Row],[totalCourt]])</f>
        <v>1</v>
      </c>
    </row>
    <row r="1427" spans="1:16">
      <c r="A1427" s="1">
        <v>43430</v>
      </c>
      <c r="B1427">
        <v>22178</v>
      </c>
      <c r="C1427">
        <v>17439</v>
      </c>
      <c r="D1427">
        <v>4739</v>
      </c>
      <c r="E1427">
        <v>6210771</v>
      </c>
      <c r="F1427">
        <v>26126926</v>
      </c>
      <c r="G1427">
        <v>32337697</v>
      </c>
      <c r="H1427">
        <v>1958</v>
      </c>
      <c r="I1427">
        <v>1011</v>
      </c>
      <c r="J1427">
        <v>2969</v>
      </c>
      <c r="K1427" t="b">
        <f>TrafficData[[#This Row],[disposedChallan]]+TrafficData[[#This Row],[pendingChallan]]=TrafficData[[#This Row],[totalChallan]]</f>
        <v>1</v>
      </c>
      <c r="L1427" t="b">
        <f>TrafficData[[#This Row],[pendingAmount]]+TrafficData[[#This Row],[disposedAmount]]=TrafficData[[#This Row],[totalAmount]]</f>
        <v>1</v>
      </c>
      <c r="M1427" t="b">
        <f>TrafficData[[#This Row],[pendingCourt]]+TrafficData[[#This Row],[disposedCourt]]=TrafficData[[#This Row],[totalCourt]]</f>
        <v>1</v>
      </c>
      <c r="N1427" t="b">
        <f>AND(TrafficData[[#This Row],[disposedChallan]]&lt;=TrafficData[[#This Row],[totalChallan]],TrafficData[[#This Row],[pendingChallan]]&lt;=TrafficData[[#This Row],[totalChallan]])</f>
        <v>1</v>
      </c>
      <c r="O1427" t="b">
        <f>AND(TrafficData[[#This Row],[pendingAmount]]&lt;=TrafficData[[#This Row],[totalAmount]],TrafficData[[#This Row],[disposedAmount]]&lt;=TrafficData[[#This Row],[totalAmount]])</f>
        <v>1</v>
      </c>
      <c r="P1427" t="b">
        <f>AND(TrafficData[[#This Row],[pendingCourt]]&lt;=TrafficData[[#This Row],[totalCourt]],TrafficData[[#This Row],[disposedCourt]]&lt;=TrafficData[[#This Row],[totalCourt]])</f>
        <v>1</v>
      </c>
    </row>
    <row r="1428" spans="1:16">
      <c r="A1428" s="1">
        <v>43431</v>
      </c>
      <c r="B1428">
        <v>22746</v>
      </c>
      <c r="C1428">
        <v>18082</v>
      </c>
      <c r="D1428">
        <v>4664</v>
      </c>
      <c r="E1428">
        <v>5806965</v>
      </c>
      <c r="F1428">
        <v>32868153</v>
      </c>
      <c r="G1428">
        <v>38675118</v>
      </c>
      <c r="H1428">
        <v>1764</v>
      </c>
      <c r="I1428">
        <v>1021</v>
      </c>
      <c r="J1428">
        <v>2785</v>
      </c>
      <c r="K1428" t="b">
        <f>TrafficData[[#This Row],[disposedChallan]]+TrafficData[[#This Row],[pendingChallan]]=TrafficData[[#This Row],[totalChallan]]</f>
        <v>1</v>
      </c>
      <c r="L1428" t="b">
        <f>TrafficData[[#This Row],[pendingAmount]]+TrafficData[[#This Row],[disposedAmount]]=TrafficData[[#This Row],[totalAmount]]</f>
        <v>1</v>
      </c>
      <c r="M1428" t="b">
        <f>TrafficData[[#This Row],[pendingCourt]]+TrafficData[[#This Row],[disposedCourt]]=TrafficData[[#This Row],[totalCourt]]</f>
        <v>1</v>
      </c>
      <c r="N1428" t="b">
        <f>AND(TrafficData[[#This Row],[disposedChallan]]&lt;=TrafficData[[#This Row],[totalChallan]],TrafficData[[#This Row],[pendingChallan]]&lt;=TrafficData[[#This Row],[totalChallan]])</f>
        <v>1</v>
      </c>
      <c r="O1428" t="b">
        <f>AND(TrafficData[[#This Row],[pendingAmount]]&lt;=TrafficData[[#This Row],[totalAmount]],TrafficData[[#This Row],[disposedAmount]]&lt;=TrafficData[[#This Row],[totalAmount]])</f>
        <v>1</v>
      </c>
      <c r="P1428" t="b">
        <f>AND(TrafficData[[#This Row],[pendingCourt]]&lt;=TrafficData[[#This Row],[totalCourt]],TrafficData[[#This Row],[disposedCourt]]&lt;=TrafficData[[#This Row],[totalCourt]])</f>
        <v>1</v>
      </c>
    </row>
    <row r="1429" spans="1:16">
      <c r="A1429" s="1">
        <v>43432</v>
      </c>
      <c r="B1429">
        <v>27207</v>
      </c>
      <c r="C1429">
        <v>21117</v>
      </c>
      <c r="D1429">
        <v>6090</v>
      </c>
      <c r="E1429">
        <v>7970838</v>
      </c>
      <c r="F1429">
        <v>28965085</v>
      </c>
      <c r="G1429">
        <v>36935923</v>
      </c>
      <c r="H1429">
        <v>3279</v>
      </c>
      <c r="I1429">
        <v>1100</v>
      </c>
      <c r="J1429">
        <v>4379</v>
      </c>
      <c r="K1429" t="b">
        <f>TrafficData[[#This Row],[disposedChallan]]+TrafficData[[#This Row],[pendingChallan]]=TrafficData[[#This Row],[totalChallan]]</f>
        <v>1</v>
      </c>
      <c r="L1429" t="b">
        <f>TrafficData[[#This Row],[pendingAmount]]+TrafficData[[#This Row],[disposedAmount]]=TrafficData[[#This Row],[totalAmount]]</f>
        <v>1</v>
      </c>
      <c r="M1429" t="b">
        <f>TrafficData[[#This Row],[pendingCourt]]+TrafficData[[#This Row],[disposedCourt]]=TrafficData[[#This Row],[totalCourt]]</f>
        <v>1</v>
      </c>
      <c r="N1429" t="b">
        <f>AND(TrafficData[[#This Row],[disposedChallan]]&lt;=TrafficData[[#This Row],[totalChallan]],TrafficData[[#This Row],[pendingChallan]]&lt;=TrafficData[[#This Row],[totalChallan]])</f>
        <v>1</v>
      </c>
      <c r="O1429" t="b">
        <f>AND(TrafficData[[#This Row],[pendingAmount]]&lt;=TrafficData[[#This Row],[totalAmount]],TrafficData[[#This Row],[disposedAmount]]&lt;=TrafficData[[#This Row],[totalAmount]])</f>
        <v>1</v>
      </c>
      <c r="P1429" t="b">
        <f>AND(TrafficData[[#This Row],[pendingCourt]]&lt;=TrafficData[[#This Row],[totalCourt]],TrafficData[[#This Row],[disposedCourt]]&lt;=TrafficData[[#This Row],[totalCourt]])</f>
        <v>1</v>
      </c>
    </row>
    <row r="1430" spans="1:16">
      <c r="A1430" s="1">
        <v>43433</v>
      </c>
      <c r="B1430">
        <v>24441</v>
      </c>
      <c r="C1430">
        <v>19773</v>
      </c>
      <c r="D1430">
        <v>4668</v>
      </c>
      <c r="E1430">
        <v>6714465</v>
      </c>
      <c r="F1430">
        <v>34359890</v>
      </c>
      <c r="G1430">
        <v>41074355</v>
      </c>
      <c r="H1430">
        <v>2074</v>
      </c>
      <c r="I1430">
        <v>1165</v>
      </c>
      <c r="J1430">
        <v>3239</v>
      </c>
      <c r="K1430" t="b">
        <f>TrafficData[[#This Row],[disposedChallan]]+TrafficData[[#This Row],[pendingChallan]]=TrafficData[[#This Row],[totalChallan]]</f>
        <v>1</v>
      </c>
      <c r="L1430" t="b">
        <f>TrafficData[[#This Row],[pendingAmount]]+TrafficData[[#This Row],[disposedAmount]]=TrafficData[[#This Row],[totalAmount]]</f>
        <v>1</v>
      </c>
      <c r="M1430" t="b">
        <f>TrafficData[[#This Row],[pendingCourt]]+TrafficData[[#This Row],[disposedCourt]]=TrafficData[[#This Row],[totalCourt]]</f>
        <v>1</v>
      </c>
      <c r="N1430" t="b">
        <f>AND(TrafficData[[#This Row],[disposedChallan]]&lt;=TrafficData[[#This Row],[totalChallan]],TrafficData[[#This Row],[pendingChallan]]&lt;=TrafficData[[#This Row],[totalChallan]])</f>
        <v>1</v>
      </c>
      <c r="O1430" t="b">
        <f>AND(TrafficData[[#This Row],[pendingAmount]]&lt;=TrafficData[[#This Row],[totalAmount]],TrafficData[[#This Row],[disposedAmount]]&lt;=TrafficData[[#This Row],[totalAmount]])</f>
        <v>1</v>
      </c>
      <c r="P1430" t="b">
        <f>AND(TrafficData[[#This Row],[pendingCourt]]&lt;=TrafficData[[#This Row],[totalCourt]],TrafficData[[#This Row],[disposedCourt]]&lt;=TrafficData[[#This Row],[totalCourt]])</f>
        <v>1</v>
      </c>
    </row>
    <row r="1431" spans="1:16">
      <c r="A1431" s="1">
        <v>43434</v>
      </c>
      <c r="B1431">
        <v>23817</v>
      </c>
      <c r="C1431">
        <v>19661</v>
      </c>
      <c r="D1431">
        <v>4156</v>
      </c>
      <c r="E1431">
        <v>7468221</v>
      </c>
      <c r="F1431">
        <v>44688034</v>
      </c>
      <c r="G1431">
        <v>52156255</v>
      </c>
      <c r="H1431">
        <v>2133</v>
      </c>
      <c r="I1431">
        <v>954</v>
      </c>
      <c r="J1431">
        <v>3087</v>
      </c>
      <c r="K1431" t="b">
        <f>TrafficData[[#This Row],[disposedChallan]]+TrafficData[[#This Row],[pendingChallan]]=TrafficData[[#This Row],[totalChallan]]</f>
        <v>1</v>
      </c>
      <c r="L1431" t="b">
        <f>TrafficData[[#This Row],[pendingAmount]]+TrafficData[[#This Row],[disposedAmount]]=TrafficData[[#This Row],[totalAmount]]</f>
        <v>1</v>
      </c>
      <c r="M1431" t="b">
        <f>TrafficData[[#This Row],[pendingCourt]]+TrafficData[[#This Row],[disposedCourt]]=TrafficData[[#This Row],[totalCourt]]</f>
        <v>1</v>
      </c>
      <c r="N1431" t="b">
        <f>AND(TrafficData[[#This Row],[disposedChallan]]&lt;=TrafficData[[#This Row],[totalChallan]],TrafficData[[#This Row],[pendingChallan]]&lt;=TrafficData[[#This Row],[totalChallan]])</f>
        <v>1</v>
      </c>
      <c r="O1431" t="b">
        <f>AND(TrafficData[[#This Row],[pendingAmount]]&lt;=TrafficData[[#This Row],[totalAmount]],TrafficData[[#This Row],[disposedAmount]]&lt;=TrafficData[[#This Row],[totalAmount]])</f>
        <v>1</v>
      </c>
      <c r="P1431" t="b">
        <f>AND(TrafficData[[#This Row],[pendingCourt]]&lt;=TrafficData[[#This Row],[totalCourt]],TrafficData[[#This Row],[disposedCourt]]&lt;=TrafficData[[#This Row],[totalCourt]])</f>
        <v>1</v>
      </c>
    </row>
    <row r="1432" spans="1:16">
      <c r="A1432" s="1">
        <v>43435</v>
      </c>
      <c r="B1432">
        <v>23224</v>
      </c>
      <c r="C1432">
        <v>19919</v>
      </c>
      <c r="D1432">
        <v>3305</v>
      </c>
      <c r="E1432">
        <v>6061968</v>
      </c>
      <c r="F1432">
        <v>55824411</v>
      </c>
      <c r="G1432">
        <v>61886379</v>
      </c>
      <c r="H1432">
        <v>1555</v>
      </c>
      <c r="I1432">
        <v>650</v>
      </c>
      <c r="J1432">
        <v>2205</v>
      </c>
      <c r="K1432" t="b">
        <f>TrafficData[[#This Row],[disposedChallan]]+TrafficData[[#This Row],[pendingChallan]]=TrafficData[[#This Row],[totalChallan]]</f>
        <v>1</v>
      </c>
      <c r="L1432" t="b">
        <f>TrafficData[[#This Row],[pendingAmount]]+TrafficData[[#This Row],[disposedAmount]]=TrafficData[[#This Row],[totalAmount]]</f>
        <v>1</v>
      </c>
      <c r="M1432" t="b">
        <f>TrafficData[[#This Row],[pendingCourt]]+TrafficData[[#This Row],[disposedCourt]]=TrafficData[[#This Row],[totalCourt]]</f>
        <v>1</v>
      </c>
      <c r="N1432" t="b">
        <f>AND(TrafficData[[#This Row],[disposedChallan]]&lt;=TrafficData[[#This Row],[totalChallan]],TrafficData[[#This Row],[pendingChallan]]&lt;=TrafficData[[#This Row],[totalChallan]])</f>
        <v>1</v>
      </c>
      <c r="O1432" t="b">
        <f>AND(TrafficData[[#This Row],[pendingAmount]]&lt;=TrafficData[[#This Row],[totalAmount]],TrafficData[[#This Row],[disposedAmount]]&lt;=TrafficData[[#This Row],[totalAmount]])</f>
        <v>1</v>
      </c>
      <c r="P1432" t="b">
        <f>AND(TrafficData[[#This Row],[pendingCourt]]&lt;=TrafficData[[#This Row],[totalCourt]],TrafficData[[#This Row],[disposedCourt]]&lt;=TrafficData[[#This Row],[totalCourt]])</f>
        <v>1</v>
      </c>
    </row>
    <row r="1433" spans="1:16">
      <c r="A1433" s="1">
        <v>43436</v>
      </c>
      <c r="B1433">
        <v>15434</v>
      </c>
      <c r="C1433">
        <v>13748</v>
      </c>
      <c r="D1433">
        <v>1686</v>
      </c>
      <c r="E1433">
        <v>2795763</v>
      </c>
      <c r="F1433">
        <v>26947719</v>
      </c>
      <c r="G1433">
        <v>29743482</v>
      </c>
      <c r="H1433">
        <v>1111</v>
      </c>
      <c r="I1433">
        <v>500</v>
      </c>
      <c r="J1433">
        <v>1611</v>
      </c>
      <c r="K1433" t="b">
        <f>TrafficData[[#This Row],[disposedChallan]]+TrafficData[[#This Row],[pendingChallan]]=TrafficData[[#This Row],[totalChallan]]</f>
        <v>1</v>
      </c>
      <c r="L1433" t="b">
        <f>TrafficData[[#This Row],[pendingAmount]]+TrafficData[[#This Row],[disposedAmount]]=TrafficData[[#This Row],[totalAmount]]</f>
        <v>1</v>
      </c>
      <c r="M1433" t="b">
        <f>TrafficData[[#This Row],[pendingCourt]]+TrafficData[[#This Row],[disposedCourt]]=TrafficData[[#This Row],[totalCourt]]</f>
        <v>1</v>
      </c>
      <c r="N1433" t="b">
        <f>AND(TrafficData[[#This Row],[disposedChallan]]&lt;=TrafficData[[#This Row],[totalChallan]],TrafficData[[#This Row],[pendingChallan]]&lt;=TrafficData[[#This Row],[totalChallan]])</f>
        <v>1</v>
      </c>
      <c r="O1433" t="b">
        <f>AND(TrafficData[[#This Row],[pendingAmount]]&lt;=TrafficData[[#This Row],[totalAmount]],TrafficData[[#This Row],[disposedAmount]]&lt;=TrafficData[[#This Row],[totalAmount]])</f>
        <v>1</v>
      </c>
      <c r="P1433" t="b">
        <f>AND(TrafficData[[#This Row],[pendingCourt]]&lt;=TrafficData[[#This Row],[totalCourt]],TrafficData[[#This Row],[disposedCourt]]&lt;=TrafficData[[#This Row],[totalCourt]])</f>
        <v>1</v>
      </c>
    </row>
    <row r="1434" spans="1:16">
      <c r="A1434" s="1">
        <v>43437</v>
      </c>
      <c r="B1434">
        <v>22224</v>
      </c>
      <c r="C1434">
        <v>18535</v>
      </c>
      <c r="D1434">
        <v>3689</v>
      </c>
      <c r="E1434">
        <v>5399051</v>
      </c>
      <c r="F1434">
        <v>27362022</v>
      </c>
      <c r="G1434">
        <v>32761073</v>
      </c>
      <c r="H1434">
        <v>1678</v>
      </c>
      <c r="I1434">
        <v>831</v>
      </c>
      <c r="J1434">
        <v>2509</v>
      </c>
      <c r="K1434" t="b">
        <f>TrafficData[[#This Row],[disposedChallan]]+TrafficData[[#This Row],[pendingChallan]]=TrafficData[[#This Row],[totalChallan]]</f>
        <v>1</v>
      </c>
      <c r="L1434" t="b">
        <f>TrafficData[[#This Row],[pendingAmount]]+TrafficData[[#This Row],[disposedAmount]]=TrafficData[[#This Row],[totalAmount]]</f>
        <v>1</v>
      </c>
      <c r="M1434" t="b">
        <f>TrafficData[[#This Row],[pendingCourt]]+TrafficData[[#This Row],[disposedCourt]]=TrafficData[[#This Row],[totalCourt]]</f>
        <v>1</v>
      </c>
      <c r="N1434" t="b">
        <f>AND(TrafficData[[#This Row],[disposedChallan]]&lt;=TrafficData[[#This Row],[totalChallan]],TrafficData[[#This Row],[pendingChallan]]&lt;=TrafficData[[#This Row],[totalChallan]])</f>
        <v>1</v>
      </c>
      <c r="O1434" t="b">
        <f>AND(TrafficData[[#This Row],[pendingAmount]]&lt;=TrafficData[[#This Row],[totalAmount]],TrafficData[[#This Row],[disposedAmount]]&lt;=TrafficData[[#This Row],[totalAmount]])</f>
        <v>1</v>
      </c>
      <c r="P1434" t="b">
        <f>AND(TrafficData[[#This Row],[pendingCourt]]&lt;=TrafficData[[#This Row],[totalCourt]],TrafficData[[#This Row],[disposedCourt]]&lt;=TrafficData[[#This Row],[totalCourt]])</f>
        <v>1</v>
      </c>
    </row>
    <row r="1435" spans="1:16">
      <c r="A1435" s="1">
        <v>43438</v>
      </c>
      <c r="B1435">
        <v>24311</v>
      </c>
      <c r="C1435">
        <v>19947</v>
      </c>
      <c r="D1435">
        <v>4364</v>
      </c>
      <c r="E1435">
        <v>6730189</v>
      </c>
      <c r="F1435">
        <v>35058763</v>
      </c>
      <c r="G1435">
        <v>41788952</v>
      </c>
      <c r="H1435">
        <v>1968</v>
      </c>
      <c r="I1435">
        <v>875</v>
      </c>
      <c r="J1435">
        <v>2843</v>
      </c>
      <c r="K1435" t="b">
        <f>TrafficData[[#This Row],[disposedChallan]]+TrafficData[[#This Row],[pendingChallan]]=TrafficData[[#This Row],[totalChallan]]</f>
        <v>1</v>
      </c>
      <c r="L1435" t="b">
        <f>TrafficData[[#This Row],[pendingAmount]]+TrafficData[[#This Row],[disposedAmount]]=TrafficData[[#This Row],[totalAmount]]</f>
        <v>1</v>
      </c>
      <c r="M1435" t="b">
        <f>TrafficData[[#This Row],[pendingCourt]]+TrafficData[[#This Row],[disposedCourt]]=TrafficData[[#This Row],[totalCourt]]</f>
        <v>1</v>
      </c>
      <c r="N1435" t="b">
        <f>AND(TrafficData[[#This Row],[disposedChallan]]&lt;=TrafficData[[#This Row],[totalChallan]],TrafficData[[#This Row],[pendingChallan]]&lt;=TrafficData[[#This Row],[totalChallan]])</f>
        <v>1</v>
      </c>
      <c r="O1435" t="b">
        <f>AND(TrafficData[[#This Row],[pendingAmount]]&lt;=TrafficData[[#This Row],[totalAmount]],TrafficData[[#This Row],[disposedAmount]]&lt;=TrafficData[[#This Row],[totalAmount]])</f>
        <v>1</v>
      </c>
      <c r="P1435" t="b">
        <f>AND(TrafficData[[#This Row],[pendingCourt]]&lt;=TrafficData[[#This Row],[totalCourt]],TrafficData[[#This Row],[disposedCourt]]&lt;=TrafficData[[#This Row],[totalCourt]])</f>
        <v>1</v>
      </c>
    </row>
    <row r="1436" spans="1:16">
      <c r="A1436" s="1">
        <v>43439</v>
      </c>
      <c r="B1436">
        <v>28960</v>
      </c>
      <c r="C1436">
        <v>22599</v>
      </c>
      <c r="D1436">
        <v>6361</v>
      </c>
      <c r="E1436">
        <v>8713434</v>
      </c>
      <c r="F1436">
        <v>31978495</v>
      </c>
      <c r="G1436">
        <v>40691929</v>
      </c>
      <c r="H1436">
        <v>3805</v>
      </c>
      <c r="I1436">
        <v>1070</v>
      </c>
      <c r="J1436">
        <v>4875</v>
      </c>
      <c r="K1436" t="b">
        <f>TrafficData[[#This Row],[disposedChallan]]+TrafficData[[#This Row],[pendingChallan]]=TrafficData[[#This Row],[totalChallan]]</f>
        <v>1</v>
      </c>
      <c r="L1436" t="b">
        <f>TrafficData[[#This Row],[pendingAmount]]+TrafficData[[#This Row],[disposedAmount]]=TrafficData[[#This Row],[totalAmount]]</f>
        <v>1</v>
      </c>
      <c r="M1436" t="b">
        <f>TrafficData[[#This Row],[pendingCourt]]+TrafficData[[#This Row],[disposedCourt]]=TrafficData[[#This Row],[totalCourt]]</f>
        <v>1</v>
      </c>
      <c r="N1436" t="b">
        <f>AND(TrafficData[[#This Row],[disposedChallan]]&lt;=TrafficData[[#This Row],[totalChallan]],TrafficData[[#This Row],[pendingChallan]]&lt;=TrafficData[[#This Row],[totalChallan]])</f>
        <v>1</v>
      </c>
      <c r="O1436" t="b">
        <f>AND(TrafficData[[#This Row],[pendingAmount]]&lt;=TrafficData[[#This Row],[totalAmount]],TrafficData[[#This Row],[disposedAmount]]&lt;=TrafficData[[#This Row],[totalAmount]])</f>
        <v>1</v>
      </c>
      <c r="P1436" t="b">
        <f>AND(TrafficData[[#This Row],[pendingCourt]]&lt;=TrafficData[[#This Row],[totalCourt]],TrafficData[[#This Row],[disposedCourt]]&lt;=TrafficData[[#This Row],[totalCourt]])</f>
        <v>1</v>
      </c>
    </row>
    <row r="1437" spans="1:16">
      <c r="A1437" s="1">
        <v>43440</v>
      </c>
      <c r="B1437">
        <v>23139</v>
      </c>
      <c r="C1437">
        <v>18858</v>
      </c>
      <c r="D1437">
        <v>4281</v>
      </c>
      <c r="E1437">
        <v>6852910</v>
      </c>
      <c r="F1437">
        <v>32703711</v>
      </c>
      <c r="G1437">
        <v>39556621</v>
      </c>
      <c r="H1437">
        <v>1909</v>
      </c>
      <c r="I1437">
        <v>831</v>
      </c>
      <c r="J1437">
        <v>2740</v>
      </c>
      <c r="K1437" t="b">
        <f>TrafficData[[#This Row],[disposedChallan]]+TrafficData[[#This Row],[pendingChallan]]=TrafficData[[#This Row],[totalChallan]]</f>
        <v>1</v>
      </c>
      <c r="L1437" t="b">
        <f>TrafficData[[#This Row],[pendingAmount]]+TrafficData[[#This Row],[disposedAmount]]=TrafficData[[#This Row],[totalAmount]]</f>
        <v>1</v>
      </c>
      <c r="M1437" t="b">
        <f>TrafficData[[#This Row],[pendingCourt]]+TrafficData[[#This Row],[disposedCourt]]=TrafficData[[#This Row],[totalCourt]]</f>
        <v>1</v>
      </c>
      <c r="N1437" t="b">
        <f>AND(TrafficData[[#This Row],[disposedChallan]]&lt;=TrafficData[[#This Row],[totalChallan]],TrafficData[[#This Row],[pendingChallan]]&lt;=TrafficData[[#This Row],[totalChallan]])</f>
        <v>1</v>
      </c>
      <c r="O1437" t="b">
        <f>AND(TrafficData[[#This Row],[pendingAmount]]&lt;=TrafficData[[#This Row],[totalAmount]],TrafficData[[#This Row],[disposedAmount]]&lt;=TrafficData[[#This Row],[totalAmount]])</f>
        <v>1</v>
      </c>
      <c r="P1437" t="b">
        <f>AND(TrafficData[[#This Row],[pendingCourt]]&lt;=TrafficData[[#This Row],[totalCourt]],TrafficData[[#This Row],[disposedCourt]]&lt;=TrafficData[[#This Row],[totalCourt]])</f>
        <v>1</v>
      </c>
    </row>
    <row r="1438" spans="1:16">
      <c r="A1438" s="1">
        <v>43441</v>
      </c>
      <c r="B1438">
        <v>20531</v>
      </c>
      <c r="C1438">
        <v>17050</v>
      </c>
      <c r="D1438">
        <v>3481</v>
      </c>
      <c r="E1438">
        <v>4794539</v>
      </c>
      <c r="F1438">
        <v>30729123</v>
      </c>
      <c r="G1438">
        <v>35523662</v>
      </c>
      <c r="H1438">
        <v>1575</v>
      </c>
      <c r="I1438">
        <v>652</v>
      </c>
      <c r="J1438">
        <v>2227</v>
      </c>
      <c r="K1438" t="b">
        <f>TrafficData[[#This Row],[disposedChallan]]+TrafficData[[#This Row],[pendingChallan]]=TrafficData[[#This Row],[totalChallan]]</f>
        <v>1</v>
      </c>
      <c r="L1438" t="b">
        <f>TrafficData[[#This Row],[pendingAmount]]+TrafficData[[#This Row],[disposedAmount]]=TrafficData[[#This Row],[totalAmount]]</f>
        <v>1</v>
      </c>
      <c r="M1438" t="b">
        <f>TrafficData[[#This Row],[pendingCourt]]+TrafficData[[#This Row],[disposedCourt]]=TrafficData[[#This Row],[totalCourt]]</f>
        <v>1</v>
      </c>
      <c r="N1438" t="b">
        <f>AND(TrafficData[[#This Row],[disposedChallan]]&lt;=TrafficData[[#This Row],[totalChallan]],TrafficData[[#This Row],[pendingChallan]]&lt;=TrafficData[[#This Row],[totalChallan]])</f>
        <v>1</v>
      </c>
      <c r="O1438" t="b">
        <f>AND(TrafficData[[#This Row],[pendingAmount]]&lt;=TrafficData[[#This Row],[totalAmount]],TrafficData[[#This Row],[disposedAmount]]&lt;=TrafficData[[#This Row],[totalAmount]])</f>
        <v>1</v>
      </c>
      <c r="P1438" t="b">
        <f>AND(TrafficData[[#This Row],[pendingCourt]]&lt;=TrafficData[[#This Row],[totalCourt]],TrafficData[[#This Row],[disposedCourt]]&lt;=TrafficData[[#This Row],[totalCourt]])</f>
        <v>1</v>
      </c>
    </row>
    <row r="1439" spans="1:16">
      <c r="A1439" s="1">
        <v>43442</v>
      </c>
      <c r="B1439">
        <v>18805</v>
      </c>
      <c r="C1439">
        <v>15542</v>
      </c>
      <c r="D1439">
        <v>3263</v>
      </c>
      <c r="E1439">
        <v>3539273</v>
      </c>
      <c r="F1439">
        <v>26662403</v>
      </c>
      <c r="G1439">
        <v>30201676</v>
      </c>
      <c r="H1439">
        <v>1417</v>
      </c>
      <c r="I1439">
        <v>503</v>
      </c>
      <c r="J1439">
        <v>1920</v>
      </c>
      <c r="K1439" t="b">
        <f>TrafficData[[#This Row],[disposedChallan]]+TrafficData[[#This Row],[pendingChallan]]=TrafficData[[#This Row],[totalChallan]]</f>
        <v>1</v>
      </c>
      <c r="L1439" t="b">
        <f>TrafficData[[#This Row],[pendingAmount]]+TrafficData[[#This Row],[disposedAmount]]=TrafficData[[#This Row],[totalAmount]]</f>
        <v>1</v>
      </c>
      <c r="M1439" t="b">
        <f>TrafficData[[#This Row],[pendingCourt]]+TrafficData[[#This Row],[disposedCourt]]=TrafficData[[#This Row],[totalCourt]]</f>
        <v>1</v>
      </c>
      <c r="N1439" t="b">
        <f>AND(TrafficData[[#This Row],[disposedChallan]]&lt;=TrafficData[[#This Row],[totalChallan]],TrafficData[[#This Row],[pendingChallan]]&lt;=TrafficData[[#This Row],[totalChallan]])</f>
        <v>1</v>
      </c>
      <c r="O1439" t="b">
        <f>AND(TrafficData[[#This Row],[pendingAmount]]&lt;=TrafficData[[#This Row],[totalAmount]],TrafficData[[#This Row],[disposedAmount]]&lt;=TrafficData[[#This Row],[totalAmount]])</f>
        <v>1</v>
      </c>
      <c r="P1439" t="b">
        <f>AND(TrafficData[[#This Row],[pendingCourt]]&lt;=TrafficData[[#This Row],[totalCourt]],TrafficData[[#This Row],[disposedCourt]]&lt;=TrafficData[[#This Row],[totalCourt]])</f>
        <v>1</v>
      </c>
    </row>
    <row r="1440" spans="1:16">
      <c r="A1440" s="1">
        <v>43443</v>
      </c>
      <c r="B1440">
        <v>13301</v>
      </c>
      <c r="C1440">
        <v>11271</v>
      </c>
      <c r="D1440">
        <v>2030</v>
      </c>
      <c r="E1440">
        <v>2253453</v>
      </c>
      <c r="F1440">
        <v>18111724</v>
      </c>
      <c r="G1440">
        <v>20365177</v>
      </c>
      <c r="H1440">
        <v>935</v>
      </c>
      <c r="I1440">
        <v>331</v>
      </c>
      <c r="J1440">
        <v>1266</v>
      </c>
      <c r="K1440" t="b">
        <f>TrafficData[[#This Row],[disposedChallan]]+TrafficData[[#This Row],[pendingChallan]]=TrafficData[[#This Row],[totalChallan]]</f>
        <v>1</v>
      </c>
      <c r="L1440" t="b">
        <f>TrafficData[[#This Row],[pendingAmount]]+TrafficData[[#This Row],[disposedAmount]]=TrafficData[[#This Row],[totalAmount]]</f>
        <v>1</v>
      </c>
      <c r="M1440" t="b">
        <f>TrafficData[[#This Row],[pendingCourt]]+TrafficData[[#This Row],[disposedCourt]]=TrafficData[[#This Row],[totalCourt]]</f>
        <v>1</v>
      </c>
      <c r="N1440" t="b">
        <f>AND(TrafficData[[#This Row],[disposedChallan]]&lt;=TrafficData[[#This Row],[totalChallan]],TrafficData[[#This Row],[pendingChallan]]&lt;=TrafficData[[#This Row],[totalChallan]])</f>
        <v>1</v>
      </c>
      <c r="O1440" t="b">
        <f>AND(TrafficData[[#This Row],[pendingAmount]]&lt;=TrafficData[[#This Row],[totalAmount]],TrafficData[[#This Row],[disposedAmount]]&lt;=TrafficData[[#This Row],[totalAmount]])</f>
        <v>1</v>
      </c>
      <c r="P1440" t="b">
        <f>AND(TrafficData[[#This Row],[pendingCourt]]&lt;=TrafficData[[#This Row],[totalCourt]],TrafficData[[#This Row],[disposedCourt]]&lt;=TrafficData[[#This Row],[totalCourt]])</f>
        <v>1</v>
      </c>
    </row>
    <row r="1441" spans="1:16">
      <c r="A1441" s="1">
        <v>43444</v>
      </c>
      <c r="B1441">
        <v>20606</v>
      </c>
      <c r="C1441">
        <v>16789</v>
      </c>
      <c r="D1441">
        <v>3817</v>
      </c>
      <c r="E1441">
        <v>4047053</v>
      </c>
      <c r="F1441">
        <v>22220111</v>
      </c>
      <c r="G1441">
        <v>26267164</v>
      </c>
      <c r="H1441">
        <v>1629</v>
      </c>
      <c r="I1441">
        <v>768</v>
      </c>
      <c r="J1441">
        <v>2397</v>
      </c>
      <c r="K1441" t="b">
        <f>TrafficData[[#This Row],[disposedChallan]]+TrafficData[[#This Row],[pendingChallan]]=TrafficData[[#This Row],[totalChallan]]</f>
        <v>1</v>
      </c>
      <c r="L1441" t="b">
        <f>TrafficData[[#This Row],[pendingAmount]]+TrafficData[[#This Row],[disposedAmount]]=TrafficData[[#This Row],[totalAmount]]</f>
        <v>1</v>
      </c>
      <c r="M1441" t="b">
        <f>TrafficData[[#This Row],[pendingCourt]]+TrafficData[[#This Row],[disposedCourt]]=TrafficData[[#This Row],[totalCourt]]</f>
        <v>1</v>
      </c>
      <c r="N1441" t="b">
        <f>AND(TrafficData[[#This Row],[disposedChallan]]&lt;=TrafficData[[#This Row],[totalChallan]],TrafficData[[#This Row],[pendingChallan]]&lt;=TrafficData[[#This Row],[totalChallan]])</f>
        <v>1</v>
      </c>
      <c r="O1441" t="b">
        <f>AND(TrafficData[[#This Row],[pendingAmount]]&lt;=TrafficData[[#This Row],[totalAmount]],TrafficData[[#This Row],[disposedAmount]]&lt;=TrafficData[[#This Row],[totalAmount]])</f>
        <v>1</v>
      </c>
      <c r="P1441" t="b">
        <f>AND(TrafficData[[#This Row],[pendingCourt]]&lt;=TrafficData[[#This Row],[totalCourt]],TrafficData[[#This Row],[disposedCourt]]&lt;=TrafficData[[#This Row],[totalCourt]])</f>
        <v>1</v>
      </c>
    </row>
    <row r="1442" spans="1:16">
      <c r="A1442" s="1">
        <v>43445</v>
      </c>
      <c r="B1442">
        <v>20176</v>
      </c>
      <c r="C1442">
        <v>16504</v>
      </c>
      <c r="D1442">
        <v>3672</v>
      </c>
      <c r="E1442">
        <v>6432737</v>
      </c>
      <c r="F1442">
        <v>33257142</v>
      </c>
      <c r="G1442">
        <v>39689879</v>
      </c>
      <c r="H1442">
        <v>1683</v>
      </c>
      <c r="I1442">
        <v>881</v>
      </c>
      <c r="J1442">
        <v>2564</v>
      </c>
      <c r="K1442" t="b">
        <f>TrafficData[[#This Row],[disposedChallan]]+TrafficData[[#This Row],[pendingChallan]]=TrafficData[[#This Row],[totalChallan]]</f>
        <v>1</v>
      </c>
      <c r="L1442" t="b">
        <f>TrafficData[[#This Row],[pendingAmount]]+TrafficData[[#This Row],[disposedAmount]]=TrafficData[[#This Row],[totalAmount]]</f>
        <v>1</v>
      </c>
      <c r="M1442" t="b">
        <f>TrafficData[[#This Row],[pendingCourt]]+TrafficData[[#This Row],[disposedCourt]]=TrafficData[[#This Row],[totalCourt]]</f>
        <v>1</v>
      </c>
      <c r="N1442" t="b">
        <f>AND(TrafficData[[#This Row],[disposedChallan]]&lt;=TrafficData[[#This Row],[totalChallan]],TrafficData[[#This Row],[pendingChallan]]&lt;=TrafficData[[#This Row],[totalChallan]])</f>
        <v>1</v>
      </c>
      <c r="O1442" t="b">
        <f>AND(TrafficData[[#This Row],[pendingAmount]]&lt;=TrafficData[[#This Row],[totalAmount]],TrafficData[[#This Row],[disposedAmount]]&lt;=TrafficData[[#This Row],[totalAmount]])</f>
        <v>1</v>
      </c>
      <c r="P1442" t="b">
        <f>AND(TrafficData[[#This Row],[pendingCourt]]&lt;=TrafficData[[#This Row],[totalCourt]],TrafficData[[#This Row],[disposedCourt]]&lt;=TrafficData[[#This Row],[totalCourt]])</f>
        <v>1</v>
      </c>
    </row>
    <row r="1443" spans="1:16">
      <c r="A1443" s="1">
        <v>43446</v>
      </c>
      <c r="B1443">
        <v>27004</v>
      </c>
      <c r="C1443">
        <v>20647</v>
      </c>
      <c r="D1443">
        <v>6357</v>
      </c>
      <c r="E1443">
        <v>9337920</v>
      </c>
      <c r="F1443">
        <v>35669047</v>
      </c>
      <c r="G1443">
        <v>45006967</v>
      </c>
      <c r="H1443">
        <v>3921</v>
      </c>
      <c r="I1443">
        <v>1139</v>
      </c>
      <c r="J1443">
        <v>5060</v>
      </c>
      <c r="K1443" t="b">
        <f>TrafficData[[#This Row],[disposedChallan]]+TrafficData[[#This Row],[pendingChallan]]=TrafficData[[#This Row],[totalChallan]]</f>
        <v>1</v>
      </c>
      <c r="L1443" t="b">
        <f>TrafficData[[#This Row],[pendingAmount]]+TrafficData[[#This Row],[disposedAmount]]=TrafficData[[#This Row],[totalAmount]]</f>
        <v>1</v>
      </c>
      <c r="M1443" t="b">
        <f>TrafficData[[#This Row],[pendingCourt]]+TrafficData[[#This Row],[disposedCourt]]=TrafficData[[#This Row],[totalCourt]]</f>
        <v>1</v>
      </c>
      <c r="N1443" t="b">
        <f>AND(TrafficData[[#This Row],[disposedChallan]]&lt;=TrafficData[[#This Row],[totalChallan]],TrafficData[[#This Row],[pendingChallan]]&lt;=TrafficData[[#This Row],[totalChallan]])</f>
        <v>1</v>
      </c>
      <c r="O1443" t="b">
        <f>AND(TrafficData[[#This Row],[pendingAmount]]&lt;=TrafficData[[#This Row],[totalAmount]],TrafficData[[#This Row],[disposedAmount]]&lt;=TrafficData[[#This Row],[totalAmount]])</f>
        <v>1</v>
      </c>
      <c r="P1443" t="b">
        <f>AND(TrafficData[[#This Row],[pendingCourt]]&lt;=TrafficData[[#This Row],[totalCourt]],TrafficData[[#This Row],[disposedCourt]]&lt;=TrafficData[[#This Row],[totalCourt]])</f>
        <v>1</v>
      </c>
    </row>
    <row r="1444" spans="1:16">
      <c r="A1444" s="1">
        <v>43447</v>
      </c>
      <c r="B1444">
        <v>25528</v>
      </c>
      <c r="C1444">
        <v>21959</v>
      </c>
      <c r="D1444">
        <v>3569</v>
      </c>
      <c r="E1444">
        <v>5993995</v>
      </c>
      <c r="F1444">
        <v>31888002</v>
      </c>
      <c r="G1444">
        <v>37881997</v>
      </c>
      <c r="H1444">
        <v>1570</v>
      </c>
      <c r="I1444">
        <v>860</v>
      </c>
      <c r="J1444">
        <v>2430</v>
      </c>
      <c r="K1444" t="b">
        <f>TrafficData[[#This Row],[disposedChallan]]+TrafficData[[#This Row],[pendingChallan]]=TrafficData[[#This Row],[totalChallan]]</f>
        <v>1</v>
      </c>
      <c r="L1444" t="b">
        <f>TrafficData[[#This Row],[pendingAmount]]+TrafficData[[#This Row],[disposedAmount]]=TrafficData[[#This Row],[totalAmount]]</f>
        <v>1</v>
      </c>
      <c r="M1444" t="b">
        <f>TrafficData[[#This Row],[pendingCourt]]+TrafficData[[#This Row],[disposedCourt]]=TrafficData[[#This Row],[totalCourt]]</f>
        <v>1</v>
      </c>
      <c r="N1444" t="b">
        <f>AND(TrafficData[[#This Row],[disposedChallan]]&lt;=TrafficData[[#This Row],[totalChallan]],TrafficData[[#This Row],[pendingChallan]]&lt;=TrafficData[[#This Row],[totalChallan]])</f>
        <v>1</v>
      </c>
      <c r="O1444" t="b">
        <f>AND(TrafficData[[#This Row],[pendingAmount]]&lt;=TrafficData[[#This Row],[totalAmount]],TrafficData[[#This Row],[disposedAmount]]&lt;=TrafficData[[#This Row],[totalAmount]])</f>
        <v>1</v>
      </c>
      <c r="P1444" t="b">
        <f>AND(TrafficData[[#This Row],[pendingCourt]]&lt;=TrafficData[[#This Row],[totalCourt]],TrafficData[[#This Row],[disposedCourt]]&lt;=TrafficData[[#This Row],[totalCourt]])</f>
        <v>1</v>
      </c>
    </row>
    <row r="1445" spans="1:16">
      <c r="A1445" s="1">
        <v>43448</v>
      </c>
      <c r="B1445">
        <v>21048</v>
      </c>
      <c r="C1445">
        <v>17255</v>
      </c>
      <c r="D1445">
        <v>3793</v>
      </c>
      <c r="E1445">
        <v>6944655</v>
      </c>
      <c r="F1445">
        <v>34214835</v>
      </c>
      <c r="G1445">
        <v>41159490</v>
      </c>
      <c r="H1445">
        <v>1665</v>
      </c>
      <c r="I1445">
        <v>907</v>
      </c>
      <c r="J1445">
        <v>2572</v>
      </c>
      <c r="K1445" t="b">
        <f>TrafficData[[#This Row],[disposedChallan]]+TrafficData[[#This Row],[pendingChallan]]=TrafficData[[#This Row],[totalChallan]]</f>
        <v>1</v>
      </c>
      <c r="L1445" t="b">
        <f>TrafficData[[#This Row],[pendingAmount]]+TrafficData[[#This Row],[disposedAmount]]=TrafficData[[#This Row],[totalAmount]]</f>
        <v>1</v>
      </c>
      <c r="M1445" t="b">
        <f>TrafficData[[#This Row],[pendingCourt]]+TrafficData[[#This Row],[disposedCourt]]=TrafficData[[#This Row],[totalCourt]]</f>
        <v>1</v>
      </c>
      <c r="N1445" t="b">
        <f>AND(TrafficData[[#This Row],[disposedChallan]]&lt;=TrafficData[[#This Row],[totalChallan]],TrafficData[[#This Row],[pendingChallan]]&lt;=TrafficData[[#This Row],[totalChallan]])</f>
        <v>1</v>
      </c>
      <c r="O1445" t="b">
        <f>AND(TrafficData[[#This Row],[pendingAmount]]&lt;=TrafficData[[#This Row],[totalAmount]],TrafficData[[#This Row],[disposedAmount]]&lt;=TrafficData[[#This Row],[totalAmount]])</f>
        <v>1</v>
      </c>
      <c r="P1445" t="b">
        <f>AND(TrafficData[[#This Row],[pendingCourt]]&lt;=TrafficData[[#This Row],[totalCourt]],TrafficData[[#This Row],[disposedCourt]]&lt;=TrafficData[[#This Row],[totalCourt]])</f>
        <v>1</v>
      </c>
    </row>
    <row r="1446" spans="1:16">
      <c r="A1446" s="1">
        <v>43449</v>
      </c>
      <c r="B1446">
        <v>20372</v>
      </c>
      <c r="C1446">
        <v>16783</v>
      </c>
      <c r="D1446">
        <v>3589</v>
      </c>
      <c r="E1446">
        <v>6818951</v>
      </c>
      <c r="F1446">
        <v>28988312</v>
      </c>
      <c r="G1446">
        <v>35807263</v>
      </c>
      <c r="H1446">
        <v>1488</v>
      </c>
      <c r="I1446">
        <v>688</v>
      </c>
      <c r="J1446">
        <v>2176</v>
      </c>
      <c r="K1446" t="b">
        <f>TrafficData[[#This Row],[disposedChallan]]+TrafficData[[#This Row],[pendingChallan]]=TrafficData[[#This Row],[totalChallan]]</f>
        <v>1</v>
      </c>
      <c r="L1446" t="b">
        <f>TrafficData[[#This Row],[pendingAmount]]+TrafficData[[#This Row],[disposedAmount]]=TrafficData[[#This Row],[totalAmount]]</f>
        <v>1</v>
      </c>
      <c r="M1446" t="b">
        <f>TrafficData[[#This Row],[pendingCourt]]+TrafficData[[#This Row],[disposedCourt]]=TrafficData[[#This Row],[totalCourt]]</f>
        <v>1</v>
      </c>
      <c r="N1446" t="b">
        <f>AND(TrafficData[[#This Row],[disposedChallan]]&lt;=TrafficData[[#This Row],[totalChallan]],TrafficData[[#This Row],[pendingChallan]]&lt;=TrafficData[[#This Row],[totalChallan]])</f>
        <v>1</v>
      </c>
      <c r="O1446" t="b">
        <f>AND(TrafficData[[#This Row],[pendingAmount]]&lt;=TrafficData[[#This Row],[totalAmount]],TrafficData[[#This Row],[disposedAmount]]&lt;=TrafficData[[#This Row],[totalAmount]])</f>
        <v>1</v>
      </c>
      <c r="P1446" t="b">
        <f>AND(TrafficData[[#This Row],[pendingCourt]]&lt;=TrafficData[[#This Row],[totalCourt]],TrafficData[[#This Row],[disposedCourt]]&lt;=TrafficData[[#This Row],[totalCourt]])</f>
        <v>1</v>
      </c>
    </row>
    <row r="1447" spans="1:16">
      <c r="A1447" s="1">
        <v>43450</v>
      </c>
      <c r="B1447">
        <v>13636</v>
      </c>
      <c r="C1447">
        <v>11300</v>
      </c>
      <c r="D1447">
        <v>2336</v>
      </c>
      <c r="E1447">
        <v>5278075</v>
      </c>
      <c r="F1447">
        <v>20193502</v>
      </c>
      <c r="G1447">
        <v>25471577</v>
      </c>
      <c r="H1447">
        <v>1130</v>
      </c>
      <c r="I1447">
        <v>503</v>
      </c>
      <c r="J1447">
        <v>1633</v>
      </c>
      <c r="K1447" t="b">
        <f>TrafficData[[#This Row],[disposedChallan]]+TrafficData[[#This Row],[pendingChallan]]=TrafficData[[#This Row],[totalChallan]]</f>
        <v>1</v>
      </c>
      <c r="L1447" t="b">
        <f>TrafficData[[#This Row],[pendingAmount]]+TrafficData[[#This Row],[disposedAmount]]=TrafficData[[#This Row],[totalAmount]]</f>
        <v>1</v>
      </c>
      <c r="M1447" t="b">
        <f>TrafficData[[#This Row],[pendingCourt]]+TrafficData[[#This Row],[disposedCourt]]=TrafficData[[#This Row],[totalCourt]]</f>
        <v>1</v>
      </c>
      <c r="N1447" t="b">
        <f>AND(TrafficData[[#This Row],[disposedChallan]]&lt;=TrafficData[[#This Row],[totalChallan]],TrafficData[[#This Row],[pendingChallan]]&lt;=TrafficData[[#This Row],[totalChallan]])</f>
        <v>1</v>
      </c>
      <c r="O1447" t="b">
        <f>AND(TrafficData[[#This Row],[pendingAmount]]&lt;=TrafficData[[#This Row],[totalAmount]],TrafficData[[#This Row],[disposedAmount]]&lt;=TrafficData[[#This Row],[totalAmount]])</f>
        <v>1</v>
      </c>
      <c r="P1447" t="b">
        <f>AND(TrafficData[[#This Row],[pendingCourt]]&lt;=TrafficData[[#This Row],[totalCourt]],TrafficData[[#This Row],[disposedCourt]]&lt;=TrafficData[[#This Row],[totalCourt]])</f>
        <v>1</v>
      </c>
    </row>
    <row r="1448" spans="1:16">
      <c r="A1448" s="1">
        <v>43451</v>
      </c>
      <c r="B1448">
        <v>19598</v>
      </c>
      <c r="C1448">
        <v>16224</v>
      </c>
      <c r="D1448">
        <v>3374</v>
      </c>
      <c r="E1448">
        <v>5800236</v>
      </c>
      <c r="F1448">
        <v>26217456</v>
      </c>
      <c r="G1448">
        <v>32017692</v>
      </c>
      <c r="H1448">
        <v>1696</v>
      </c>
      <c r="I1448">
        <v>824</v>
      </c>
      <c r="J1448">
        <v>2520</v>
      </c>
      <c r="K1448" t="b">
        <f>TrafficData[[#This Row],[disposedChallan]]+TrafficData[[#This Row],[pendingChallan]]=TrafficData[[#This Row],[totalChallan]]</f>
        <v>1</v>
      </c>
      <c r="L1448" t="b">
        <f>TrafficData[[#This Row],[pendingAmount]]+TrafficData[[#This Row],[disposedAmount]]=TrafficData[[#This Row],[totalAmount]]</f>
        <v>1</v>
      </c>
      <c r="M1448" t="b">
        <f>TrafficData[[#This Row],[pendingCourt]]+TrafficData[[#This Row],[disposedCourt]]=TrafficData[[#This Row],[totalCourt]]</f>
        <v>1</v>
      </c>
      <c r="N1448" t="b">
        <f>AND(TrafficData[[#This Row],[disposedChallan]]&lt;=TrafficData[[#This Row],[totalChallan]],TrafficData[[#This Row],[pendingChallan]]&lt;=TrafficData[[#This Row],[totalChallan]])</f>
        <v>1</v>
      </c>
      <c r="O1448" t="b">
        <f>AND(TrafficData[[#This Row],[pendingAmount]]&lt;=TrafficData[[#This Row],[totalAmount]],TrafficData[[#This Row],[disposedAmount]]&lt;=TrafficData[[#This Row],[totalAmount]])</f>
        <v>1</v>
      </c>
      <c r="P1448" t="b">
        <f>AND(TrafficData[[#This Row],[pendingCourt]]&lt;=TrafficData[[#This Row],[totalCourt]],TrafficData[[#This Row],[disposedCourt]]&lt;=TrafficData[[#This Row],[totalCourt]])</f>
        <v>1</v>
      </c>
    </row>
    <row r="1449" spans="1:16">
      <c r="A1449" s="1">
        <v>43452</v>
      </c>
      <c r="B1449">
        <v>19684</v>
      </c>
      <c r="C1449">
        <v>16618</v>
      </c>
      <c r="D1449">
        <v>3066</v>
      </c>
      <c r="E1449">
        <v>5099501</v>
      </c>
      <c r="F1449">
        <v>29839105</v>
      </c>
      <c r="G1449">
        <v>34938606</v>
      </c>
      <c r="H1449">
        <v>1747</v>
      </c>
      <c r="I1449">
        <v>809</v>
      </c>
      <c r="J1449">
        <v>2556</v>
      </c>
      <c r="K1449" t="b">
        <f>TrafficData[[#This Row],[disposedChallan]]+TrafficData[[#This Row],[pendingChallan]]=TrafficData[[#This Row],[totalChallan]]</f>
        <v>1</v>
      </c>
      <c r="L1449" t="b">
        <f>TrafficData[[#This Row],[pendingAmount]]+TrafficData[[#This Row],[disposedAmount]]=TrafficData[[#This Row],[totalAmount]]</f>
        <v>1</v>
      </c>
      <c r="M1449" t="b">
        <f>TrafficData[[#This Row],[pendingCourt]]+TrafficData[[#This Row],[disposedCourt]]=TrafficData[[#This Row],[totalCourt]]</f>
        <v>1</v>
      </c>
      <c r="N1449" t="b">
        <f>AND(TrafficData[[#This Row],[disposedChallan]]&lt;=TrafficData[[#This Row],[totalChallan]],TrafficData[[#This Row],[pendingChallan]]&lt;=TrafficData[[#This Row],[totalChallan]])</f>
        <v>1</v>
      </c>
      <c r="O1449" t="b">
        <f>AND(TrafficData[[#This Row],[pendingAmount]]&lt;=TrafficData[[#This Row],[totalAmount]],TrafficData[[#This Row],[disposedAmount]]&lt;=TrafficData[[#This Row],[totalAmount]])</f>
        <v>1</v>
      </c>
      <c r="P1449" t="b">
        <f>AND(TrafficData[[#This Row],[pendingCourt]]&lt;=TrafficData[[#This Row],[totalCourt]],TrafficData[[#This Row],[disposedCourt]]&lt;=TrafficData[[#This Row],[totalCourt]])</f>
        <v>1</v>
      </c>
    </row>
    <row r="1450" spans="1:16">
      <c r="A1450" s="1">
        <v>43453</v>
      </c>
      <c r="B1450">
        <v>26631</v>
      </c>
      <c r="C1450">
        <v>21476</v>
      </c>
      <c r="D1450">
        <v>5155</v>
      </c>
      <c r="E1450">
        <v>6711510</v>
      </c>
      <c r="F1450">
        <v>33870053</v>
      </c>
      <c r="G1450">
        <v>40581563</v>
      </c>
      <c r="H1450">
        <v>3745</v>
      </c>
      <c r="I1450">
        <v>1368</v>
      </c>
      <c r="J1450">
        <v>5113</v>
      </c>
      <c r="K1450" t="b">
        <f>TrafficData[[#This Row],[disposedChallan]]+TrafficData[[#This Row],[pendingChallan]]=TrafficData[[#This Row],[totalChallan]]</f>
        <v>1</v>
      </c>
      <c r="L1450" t="b">
        <f>TrafficData[[#This Row],[pendingAmount]]+TrafficData[[#This Row],[disposedAmount]]=TrafficData[[#This Row],[totalAmount]]</f>
        <v>1</v>
      </c>
      <c r="M1450" t="b">
        <f>TrafficData[[#This Row],[pendingCourt]]+TrafficData[[#This Row],[disposedCourt]]=TrafficData[[#This Row],[totalCourt]]</f>
        <v>1</v>
      </c>
      <c r="N1450" t="b">
        <f>AND(TrafficData[[#This Row],[disposedChallan]]&lt;=TrafficData[[#This Row],[totalChallan]],TrafficData[[#This Row],[pendingChallan]]&lt;=TrafficData[[#This Row],[totalChallan]])</f>
        <v>1</v>
      </c>
      <c r="O1450" t="b">
        <f>AND(TrafficData[[#This Row],[pendingAmount]]&lt;=TrafficData[[#This Row],[totalAmount]],TrafficData[[#This Row],[disposedAmount]]&lt;=TrafficData[[#This Row],[totalAmount]])</f>
        <v>1</v>
      </c>
      <c r="P1450" t="b">
        <f>AND(TrafficData[[#This Row],[pendingCourt]]&lt;=TrafficData[[#This Row],[totalCourt]],TrafficData[[#This Row],[disposedCourt]]&lt;=TrafficData[[#This Row],[totalCourt]])</f>
        <v>1</v>
      </c>
    </row>
    <row r="1451" spans="1:16">
      <c r="A1451" s="1">
        <v>43454</v>
      </c>
      <c r="B1451">
        <v>21805</v>
      </c>
      <c r="C1451">
        <v>18559</v>
      </c>
      <c r="D1451">
        <v>3246</v>
      </c>
      <c r="E1451">
        <v>5920016</v>
      </c>
      <c r="F1451">
        <v>37848135</v>
      </c>
      <c r="G1451">
        <v>43768151</v>
      </c>
      <c r="H1451">
        <v>1868</v>
      </c>
      <c r="I1451">
        <v>1053</v>
      </c>
      <c r="J1451">
        <v>2921</v>
      </c>
      <c r="K1451" t="b">
        <f>TrafficData[[#This Row],[disposedChallan]]+TrafficData[[#This Row],[pendingChallan]]=TrafficData[[#This Row],[totalChallan]]</f>
        <v>1</v>
      </c>
      <c r="L1451" t="b">
        <f>TrafficData[[#This Row],[pendingAmount]]+TrafficData[[#This Row],[disposedAmount]]=TrafficData[[#This Row],[totalAmount]]</f>
        <v>1</v>
      </c>
      <c r="M1451" t="b">
        <f>TrafficData[[#This Row],[pendingCourt]]+TrafficData[[#This Row],[disposedCourt]]=TrafficData[[#This Row],[totalCourt]]</f>
        <v>1</v>
      </c>
      <c r="N1451" t="b">
        <f>AND(TrafficData[[#This Row],[disposedChallan]]&lt;=TrafficData[[#This Row],[totalChallan]],TrafficData[[#This Row],[pendingChallan]]&lt;=TrafficData[[#This Row],[totalChallan]])</f>
        <v>1</v>
      </c>
      <c r="O1451" t="b">
        <f>AND(TrafficData[[#This Row],[pendingAmount]]&lt;=TrafficData[[#This Row],[totalAmount]],TrafficData[[#This Row],[disposedAmount]]&lt;=TrafficData[[#This Row],[totalAmount]])</f>
        <v>1</v>
      </c>
      <c r="P1451" t="b">
        <f>AND(TrafficData[[#This Row],[pendingCourt]]&lt;=TrafficData[[#This Row],[totalCourt]],TrafficData[[#This Row],[disposedCourt]]&lt;=TrafficData[[#This Row],[totalCourt]])</f>
        <v>1</v>
      </c>
    </row>
    <row r="1452" spans="1:16">
      <c r="A1452" s="1">
        <v>43455</v>
      </c>
      <c r="B1452">
        <v>21784</v>
      </c>
      <c r="C1452">
        <v>18940</v>
      </c>
      <c r="D1452">
        <v>2844</v>
      </c>
      <c r="E1452">
        <v>5642271</v>
      </c>
      <c r="F1452">
        <v>76833133</v>
      </c>
      <c r="G1452">
        <v>82475404</v>
      </c>
      <c r="H1452">
        <v>1682</v>
      </c>
      <c r="I1452">
        <v>930</v>
      </c>
      <c r="J1452">
        <v>2612</v>
      </c>
      <c r="K1452" t="b">
        <f>TrafficData[[#This Row],[disposedChallan]]+TrafficData[[#This Row],[pendingChallan]]=TrafficData[[#This Row],[totalChallan]]</f>
        <v>1</v>
      </c>
      <c r="L1452" t="b">
        <f>TrafficData[[#This Row],[pendingAmount]]+TrafficData[[#This Row],[disposedAmount]]=TrafficData[[#This Row],[totalAmount]]</f>
        <v>1</v>
      </c>
      <c r="M1452" t="b">
        <f>TrafficData[[#This Row],[pendingCourt]]+TrafficData[[#This Row],[disposedCourt]]=TrafficData[[#This Row],[totalCourt]]</f>
        <v>1</v>
      </c>
      <c r="N1452" t="b">
        <f>AND(TrafficData[[#This Row],[disposedChallan]]&lt;=TrafficData[[#This Row],[totalChallan]],TrafficData[[#This Row],[pendingChallan]]&lt;=TrafficData[[#This Row],[totalChallan]])</f>
        <v>1</v>
      </c>
      <c r="O1452" t="b">
        <f>AND(TrafficData[[#This Row],[pendingAmount]]&lt;=TrafficData[[#This Row],[totalAmount]],TrafficData[[#This Row],[disposedAmount]]&lt;=TrafficData[[#This Row],[totalAmount]])</f>
        <v>1</v>
      </c>
      <c r="P1452" t="b">
        <f>AND(TrafficData[[#This Row],[pendingCourt]]&lt;=TrafficData[[#This Row],[totalCourt]],TrafficData[[#This Row],[disposedCourt]]&lt;=TrafficData[[#This Row],[totalCourt]])</f>
        <v>1</v>
      </c>
    </row>
    <row r="1453" spans="1:16">
      <c r="A1453" s="1">
        <v>43456</v>
      </c>
      <c r="B1453">
        <v>19523</v>
      </c>
      <c r="C1453">
        <v>16710</v>
      </c>
      <c r="D1453">
        <v>2813</v>
      </c>
      <c r="E1453">
        <v>5508575</v>
      </c>
      <c r="F1453">
        <v>30612019</v>
      </c>
      <c r="G1453">
        <v>36120594</v>
      </c>
      <c r="H1453">
        <v>1628</v>
      </c>
      <c r="I1453">
        <v>716</v>
      </c>
      <c r="J1453">
        <v>2344</v>
      </c>
      <c r="K1453" t="b">
        <f>TrafficData[[#This Row],[disposedChallan]]+TrafficData[[#This Row],[pendingChallan]]=TrafficData[[#This Row],[totalChallan]]</f>
        <v>1</v>
      </c>
      <c r="L1453" t="b">
        <f>TrafficData[[#This Row],[pendingAmount]]+TrafficData[[#This Row],[disposedAmount]]=TrafficData[[#This Row],[totalAmount]]</f>
        <v>1</v>
      </c>
      <c r="M1453" t="b">
        <f>TrafficData[[#This Row],[pendingCourt]]+TrafficData[[#This Row],[disposedCourt]]=TrafficData[[#This Row],[totalCourt]]</f>
        <v>1</v>
      </c>
      <c r="N1453" t="b">
        <f>AND(TrafficData[[#This Row],[disposedChallan]]&lt;=TrafficData[[#This Row],[totalChallan]],TrafficData[[#This Row],[pendingChallan]]&lt;=TrafficData[[#This Row],[totalChallan]])</f>
        <v>1</v>
      </c>
      <c r="O1453" t="b">
        <f>AND(TrafficData[[#This Row],[pendingAmount]]&lt;=TrafficData[[#This Row],[totalAmount]],TrafficData[[#This Row],[disposedAmount]]&lt;=TrafficData[[#This Row],[totalAmount]])</f>
        <v>1</v>
      </c>
      <c r="P1453" t="b">
        <f>AND(TrafficData[[#This Row],[pendingCourt]]&lt;=TrafficData[[#This Row],[totalCourt]],TrafficData[[#This Row],[disposedCourt]]&lt;=TrafficData[[#This Row],[totalCourt]])</f>
        <v>1</v>
      </c>
    </row>
    <row r="1454" spans="1:16">
      <c r="A1454" s="1">
        <v>43457</v>
      </c>
      <c r="B1454">
        <v>14602</v>
      </c>
      <c r="C1454">
        <v>12596</v>
      </c>
      <c r="D1454">
        <v>2006</v>
      </c>
      <c r="E1454">
        <v>3726771</v>
      </c>
      <c r="F1454">
        <v>20691529</v>
      </c>
      <c r="G1454">
        <v>24418300</v>
      </c>
      <c r="H1454">
        <v>1064</v>
      </c>
      <c r="I1454">
        <v>532</v>
      </c>
      <c r="J1454">
        <v>1596</v>
      </c>
      <c r="K1454" t="b">
        <f>TrafficData[[#This Row],[disposedChallan]]+TrafficData[[#This Row],[pendingChallan]]=TrafficData[[#This Row],[totalChallan]]</f>
        <v>1</v>
      </c>
      <c r="L1454" t="b">
        <f>TrafficData[[#This Row],[pendingAmount]]+TrafficData[[#This Row],[disposedAmount]]=TrafficData[[#This Row],[totalAmount]]</f>
        <v>1</v>
      </c>
      <c r="M1454" t="b">
        <f>TrafficData[[#This Row],[pendingCourt]]+TrafficData[[#This Row],[disposedCourt]]=TrafficData[[#This Row],[totalCourt]]</f>
        <v>1</v>
      </c>
      <c r="N1454" t="b">
        <f>AND(TrafficData[[#This Row],[disposedChallan]]&lt;=TrafficData[[#This Row],[totalChallan]],TrafficData[[#This Row],[pendingChallan]]&lt;=TrafficData[[#This Row],[totalChallan]])</f>
        <v>1</v>
      </c>
      <c r="O1454" t="b">
        <f>AND(TrafficData[[#This Row],[pendingAmount]]&lt;=TrafficData[[#This Row],[totalAmount]],TrafficData[[#This Row],[disposedAmount]]&lt;=TrafficData[[#This Row],[totalAmount]])</f>
        <v>1</v>
      </c>
      <c r="P1454" t="b">
        <f>AND(TrafficData[[#This Row],[pendingCourt]]&lt;=TrafficData[[#This Row],[totalCourt]],TrafficData[[#This Row],[disposedCourt]]&lt;=TrafficData[[#This Row],[totalCourt]])</f>
        <v>1</v>
      </c>
    </row>
    <row r="1455" spans="1:16">
      <c r="A1455" s="1">
        <v>43458</v>
      </c>
      <c r="B1455">
        <v>21430</v>
      </c>
      <c r="C1455">
        <v>17836</v>
      </c>
      <c r="D1455">
        <v>3594</v>
      </c>
      <c r="E1455">
        <v>5031728</v>
      </c>
      <c r="F1455">
        <v>28563816</v>
      </c>
      <c r="G1455">
        <v>33595544</v>
      </c>
      <c r="H1455">
        <v>1619</v>
      </c>
      <c r="I1455">
        <v>982</v>
      </c>
      <c r="J1455">
        <v>2601</v>
      </c>
      <c r="K1455" t="b">
        <f>TrafficData[[#This Row],[disposedChallan]]+TrafficData[[#This Row],[pendingChallan]]=TrafficData[[#This Row],[totalChallan]]</f>
        <v>1</v>
      </c>
      <c r="L1455" t="b">
        <f>TrafficData[[#This Row],[pendingAmount]]+TrafficData[[#This Row],[disposedAmount]]=TrafficData[[#This Row],[totalAmount]]</f>
        <v>1</v>
      </c>
      <c r="M1455" t="b">
        <f>TrafficData[[#This Row],[pendingCourt]]+TrafficData[[#This Row],[disposedCourt]]=TrafficData[[#This Row],[totalCourt]]</f>
        <v>1</v>
      </c>
      <c r="N1455" t="b">
        <f>AND(TrafficData[[#This Row],[disposedChallan]]&lt;=TrafficData[[#This Row],[totalChallan]],TrafficData[[#This Row],[pendingChallan]]&lt;=TrafficData[[#This Row],[totalChallan]])</f>
        <v>1</v>
      </c>
      <c r="O1455" t="b">
        <f>AND(TrafficData[[#This Row],[pendingAmount]]&lt;=TrafficData[[#This Row],[totalAmount]],TrafficData[[#This Row],[disposedAmount]]&lt;=TrafficData[[#This Row],[totalAmount]])</f>
        <v>1</v>
      </c>
      <c r="P1455" t="b">
        <f>AND(TrafficData[[#This Row],[pendingCourt]]&lt;=TrafficData[[#This Row],[totalCourt]],TrafficData[[#This Row],[disposedCourt]]&lt;=TrafficData[[#This Row],[totalCourt]])</f>
        <v>1</v>
      </c>
    </row>
    <row r="1456" spans="1:16">
      <c r="A1456" s="1">
        <v>43459</v>
      </c>
      <c r="B1456">
        <v>19268</v>
      </c>
      <c r="C1456">
        <v>15342</v>
      </c>
      <c r="D1456">
        <v>3926</v>
      </c>
      <c r="E1456">
        <v>5290353</v>
      </c>
      <c r="F1456">
        <v>28085234</v>
      </c>
      <c r="G1456">
        <v>33375587</v>
      </c>
      <c r="H1456">
        <v>1358</v>
      </c>
      <c r="I1456">
        <v>774</v>
      </c>
      <c r="J1456">
        <v>2132</v>
      </c>
      <c r="K1456" t="b">
        <f>TrafficData[[#This Row],[disposedChallan]]+TrafficData[[#This Row],[pendingChallan]]=TrafficData[[#This Row],[totalChallan]]</f>
        <v>1</v>
      </c>
      <c r="L1456" t="b">
        <f>TrafficData[[#This Row],[pendingAmount]]+TrafficData[[#This Row],[disposedAmount]]=TrafficData[[#This Row],[totalAmount]]</f>
        <v>1</v>
      </c>
      <c r="M1456" t="b">
        <f>TrafficData[[#This Row],[pendingCourt]]+TrafficData[[#This Row],[disposedCourt]]=TrafficData[[#This Row],[totalCourt]]</f>
        <v>1</v>
      </c>
      <c r="N1456" t="b">
        <f>AND(TrafficData[[#This Row],[disposedChallan]]&lt;=TrafficData[[#This Row],[totalChallan]],TrafficData[[#This Row],[pendingChallan]]&lt;=TrafficData[[#This Row],[totalChallan]])</f>
        <v>1</v>
      </c>
      <c r="O1456" t="b">
        <f>AND(TrafficData[[#This Row],[pendingAmount]]&lt;=TrafficData[[#This Row],[totalAmount]],TrafficData[[#This Row],[disposedAmount]]&lt;=TrafficData[[#This Row],[totalAmount]])</f>
        <v>1</v>
      </c>
      <c r="P1456" t="b">
        <f>AND(TrafficData[[#This Row],[pendingCourt]]&lt;=TrafficData[[#This Row],[totalCourt]],TrafficData[[#This Row],[disposedCourt]]&lt;=TrafficData[[#This Row],[totalCourt]])</f>
        <v>1</v>
      </c>
    </row>
    <row r="1457" spans="1:16">
      <c r="A1457" s="1">
        <v>43460</v>
      </c>
      <c r="B1457">
        <v>28208</v>
      </c>
      <c r="C1457">
        <v>22410</v>
      </c>
      <c r="D1457">
        <v>5798</v>
      </c>
      <c r="E1457">
        <v>8208040</v>
      </c>
      <c r="F1457">
        <v>30594001</v>
      </c>
      <c r="G1457">
        <v>38802041</v>
      </c>
      <c r="H1457">
        <v>3966</v>
      </c>
      <c r="I1457">
        <v>1570</v>
      </c>
      <c r="J1457">
        <v>5536</v>
      </c>
      <c r="K1457" t="b">
        <f>TrafficData[[#This Row],[disposedChallan]]+TrafficData[[#This Row],[pendingChallan]]=TrafficData[[#This Row],[totalChallan]]</f>
        <v>1</v>
      </c>
      <c r="L1457" t="b">
        <f>TrafficData[[#This Row],[pendingAmount]]+TrafficData[[#This Row],[disposedAmount]]=TrafficData[[#This Row],[totalAmount]]</f>
        <v>1</v>
      </c>
      <c r="M1457" t="b">
        <f>TrafficData[[#This Row],[pendingCourt]]+TrafficData[[#This Row],[disposedCourt]]=TrafficData[[#This Row],[totalCourt]]</f>
        <v>1</v>
      </c>
      <c r="N1457" t="b">
        <f>AND(TrafficData[[#This Row],[disposedChallan]]&lt;=TrafficData[[#This Row],[totalChallan]],TrafficData[[#This Row],[pendingChallan]]&lt;=TrafficData[[#This Row],[totalChallan]])</f>
        <v>1</v>
      </c>
      <c r="O1457" t="b">
        <f>AND(TrafficData[[#This Row],[pendingAmount]]&lt;=TrafficData[[#This Row],[totalAmount]],TrafficData[[#This Row],[disposedAmount]]&lt;=TrafficData[[#This Row],[totalAmount]])</f>
        <v>1</v>
      </c>
      <c r="P1457" t="b">
        <f>AND(TrafficData[[#This Row],[pendingCourt]]&lt;=TrafficData[[#This Row],[totalCourt]],TrafficData[[#This Row],[disposedCourt]]&lt;=TrafficData[[#This Row],[totalCourt]])</f>
        <v>1</v>
      </c>
    </row>
    <row r="1458" spans="1:16">
      <c r="A1458" s="1">
        <v>43461</v>
      </c>
      <c r="B1458">
        <v>20707</v>
      </c>
      <c r="C1458">
        <v>17913</v>
      </c>
      <c r="D1458">
        <v>2794</v>
      </c>
      <c r="E1458">
        <v>5493529</v>
      </c>
      <c r="F1458">
        <v>33135681</v>
      </c>
      <c r="G1458">
        <v>38629210</v>
      </c>
      <c r="H1458">
        <v>1860</v>
      </c>
      <c r="I1458">
        <v>1059</v>
      </c>
      <c r="J1458">
        <v>2919</v>
      </c>
      <c r="K1458" t="b">
        <f>TrafficData[[#This Row],[disposedChallan]]+TrafficData[[#This Row],[pendingChallan]]=TrafficData[[#This Row],[totalChallan]]</f>
        <v>1</v>
      </c>
      <c r="L1458" t="b">
        <f>TrafficData[[#This Row],[pendingAmount]]+TrafficData[[#This Row],[disposedAmount]]=TrafficData[[#This Row],[totalAmount]]</f>
        <v>1</v>
      </c>
      <c r="M1458" t="b">
        <f>TrafficData[[#This Row],[pendingCourt]]+TrafficData[[#This Row],[disposedCourt]]=TrafficData[[#This Row],[totalCourt]]</f>
        <v>1</v>
      </c>
      <c r="N1458" t="b">
        <f>AND(TrafficData[[#This Row],[disposedChallan]]&lt;=TrafficData[[#This Row],[totalChallan]],TrafficData[[#This Row],[pendingChallan]]&lt;=TrafficData[[#This Row],[totalChallan]])</f>
        <v>1</v>
      </c>
      <c r="O1458" t="b">
        <f>AND(TrafficData[[#This Row],[pendingAmount]]&lt;=TrafficData[[#This Row],[totalAmount]],TrafficData[[#This Row],[disposedAmount]]&lt;=TrafficData[[#This Row],[totalAmount]])</f>
        <v>1</v>
      </c>
      <c r="P1458" t="b">
        <f>AND(TrafficData[[#This Row],[pendingCourt]]&lt;=TrafficData[[#This Row],[totalCourt]],TrafficData[[#This Row],[disposedCourt]]&lt;=TrafficData[[#This Row],[totalCourt]])</f>
        <v>1</v>
      </c>
    </row>
    <row r="1459" spans="1:16">
      <c r="A1459" s="1">
        <v>43462</v>
      </c>
      <c r="B1459">
        <v>21625</v>
      </c>
      <c r="C1459">
        <v>18879</v>
      </c>
      <c r="D1459">
        <v>2746</v>
      </c>
      <c r="E1459">
        <v>4281482</v>
      </c>
      <c r="F1459">
        <v>31876832</v>
      </c>
      <c r="G1459">
        <v>36158314</v>
      </c>
      <c r="H1459">
        <v>1907</v>
      </c>
      <c r="I1459">
        <v>1269</v>
      </c>
      <c r="J1459">
        <v>3176</v>
      </c>
      <c r="K1459" t="b">
        <f>TrafficData[[#This Row],[disposedChallan]]+TrafficData[[#This Row],[pendingChallan]]=TrafficData[[#This Row],[totalChallan]]</f>
        <v>1</v>
      </c>
      <c r="L1459" t="b">
        <f>TrafficData[[#This Row],[pendingAmount]]+TrafficData[[#This Row],[disposedAmount]]=TrafficData[[#This Row],[totalAmount]]</f>
        <v>1</v>
      </c>
      <c r="M1459" t="b">
        <f>TrafficData[[#This Row],[pendingCourt]]+TrafficData[[#This Row],[disposedCourt]]=TrafficData[[#This Row],[totalCourt]]</f>
        <v>1</v>
      </c>
      <c r="N1459" t="b">
        <f>AND(TrafficData[[#This Row],[disposedChallan]]&lt;=TrafficData[[#This Row],[totalChallan]],TrafficData[[#This Row],[pendingChallan]]&lt;=TrafficData[[#This Row],[totalChallan]])</f>
        <v>1</v>
      </c>
      <c r="O1459" t="b">
        <f>AND(TrafficData[[#This Row],[pendingAmount]]&lt;=TrafficData[[#This Row],[totalAmount]],TrafficData[[#This Row],[disposedAmount]]&lt;=TrafficData[[#This Row],[totalAmount]])</f>
        <v>1</v>
      </c>
      <c r="P1459" t="b">
        <f>AND(TrafficData[[#This Row],[pendingCourt]]&lt;=TrafficData[[#This Row],[totalCourt]],TrafficData[[#This Row],[disposedCourt]]&lt;=TrafficData[[#This Row],[totalCourt]])</f>
        <v>1</v>
      </c>
    </row>
    <row r="1460" spans="1:16">
      <c r="A1460" s="1">
        <v>43463</v>
      </c>
      <c r="B1460">
        <v>19975</v>
      </c>
      <c r="C1460">
        <v>17833</v>
      </c>
      <c r="D1460">
        <v>2142</v>
      </c>
      <c r="E1460">
        <v>3623819</v>
      </c>
      <c r="F1460">
        <v>30223330</v>
      </c>
      <c r="G1460">
        <v>33847149</v>
      </c>
      <c r="H1460">
        <v>1500</v>
      </c>
      <c r="I1460">
        <v>1153</v>
      </c>
      <c r="J1460">
        <v>2653</v>
      </c>
      <c r="K1460" t="b">
        <f>TrafficData[[#This Row],[disposedChallan]]+TrafficData[[#This Row],[pendingChallan]]=TrafficData[[#This Row],[totalChallan]]</f>
        <v>1</v>
      </c>
      <c r="L1460" t="b">
        <f>TrafficData[[#This Row],[pendingAmount]]+TrafficData[[#This Row],[disposedAmount]]=TrafficData[[#This Row],[totalAmount]]</f>
        <v>1</v>
      </c>
      <c r="M1460" t="b">
        <f>TrafficData[[#This Row],[pendingCourt]]+TrafficData[[#This Row],[disposedCourt]]=TrafficData[[#This Row],[totalCourt]]</f>
        <v>1</v>
      </c>
      <c r="N1460" t="b">
        <f>AND(TrafficData[[#This Row],[disposedChallan]]&lt;=TrafficData[[#This Row],[totalChallan]],TrafficData[[#This Row],[pendingChallan]]&lt;=TrafficData[[#This Row],[totalChallan]])</f>
        <v>1</v>
      </c>
      <c r="O1460" t="b">
        <f>AND(TrafficData[[#This Row],[pendingAmount]]&lt;=TrafficData[[#This Row],[totalAmount]],TrafficData[[#This Row],[disposedAmount]]&lt;=TrafficData[[#This Row],[totalAmount]])</f>
        <v>1</v>
      </c>
      <c r="P1460" t="b">
        <f>AND(TrafficData[[#This Row],[pendingCourt]]&lt;=TrafficData[[#This Row],[totalCourt]],TrafficData[[#This Row],[disposedCourt]]&lt;=TrafficData[[#This Row],[totalCourt]])</f>
        <v>1</v>
      </c>
    </row>
    <row r="1461" spans="1:16">
      <c r="A1461" s="1">
        <v>43464</v>
      </c>
      <c r="B1461">
        <v>14363</v>
      </c>
      <c r="C1461">
        <v>12826</v>
      </c>
      <c r="D1461">
        <v>1537</v>
      </c>
      <c r="E1461">
        <v>2644522</v>
      </c>
      <c r="F1461">
        <v>22355276</v>
      </c>
      <c r="G1461">
        <v>24999798</v>
      </c>
      <c r="H1461">
        <v>1056</v>
      </c>
      <c r="I1461">
        <v>927</v>
      </c>
      <c r="J1461">
        <v>1983</v>
      </c>
      <c r="K1461" t="b">
        <f>TrafficData[[#This Row],[disposedChallan]]+TrafficData[[#This Row],[pendingChallan]]=TrafficData[[#This Row],[totalChallan]]</f>
        <v>1</v>
      </c>
      <c r="L1461" t="b">
        <f>TrafficData[[#This Row],[pendingAmount]]+TrafficData[[#This Row],[disposedAmount]]=TrafficData[[#This Row],[totalAmount]]</f>
        <v>1</v>
      </c>
      <c r="M1461" t="b">
        <f>TrafficData[[#This Row],[pendingCourt]]+TrafficData[[#This Row],[disposedCourt]]=TrafficData[[#This Row],[totalCourt]]</f>
        <v>1</v>
      </c>
      <c r="N1461" t="b">
        <f>AND(TrafficData[[#This Row],[disposedChallan]]&lt;=TrafficData[[#This Row],[totalChallan]],TrafficData[[#This Row],[pendingChallan]]&lt;=TrafficData[[#This Row],[totalChallan]])</f>
        <v>1</v>
      </c>
      <c r="O1461" t="b">
        <f>AND(TrafficData[[#This Row],[pendingAmount]]&lt;=TrafficData[[#This Row],[totalAmount]],TrafficData[[#This Row],[disposedAmount]]&lt;=TrafficData[[#This Row],[totalAmount]])</f>
        <v>1</v>
      </c>
      <c r="P1461" t="b">
        <f>AND(TrafficData[[#This Row],[pendingCourt]]&lt;=TrafficData[[#This Row],[totalCourt]],TrafficData[[#This Row],[disposedCourt]]&lt;=TrafficData[[#This Row],[totalCourt]])</f>
        <v>1</v>
      </c>
    </row>
    <row r="1462" spans="1:16">
      <c r="A1462" s="1">
        <v>43465</v>
      </c>
      <c r="B1462">
        <v>20305</v>
      </c>
      <c r="C1462">
        <v>18154</v>
      </c>
      <c r="D1462">
        <v>2151</v>
      </c>
      <c r="E1462">
        <v>2682222</v>
      </c>
      <c r="F1462">
        <v>27827646</v>
      </c>
      <c r="G1462">
        <v>30509868</v>
      </c>
      <c r="H1462">
        <v>1404</v>
      </c>
      <c r="I1462">
        <v>1393</v>
      </c>
      <c r="J1462">
        <v>2797</v>
      </c>
      <c r="K1462" t="b">
        <f>TrafficData[[#This Row],[disposedChallan]]+TrafficData[[#This Row],[pendingChallan]]=TrafficData[[#This Row],[totalChallan]]</f>
        <v>1</v>
      </c>
      <c r="L1462" t="b">
        <f>TrafficData[[#This Row],[pendingAmount]]+TrafficData[[#This Row],[disposedAmount]]=TrafficData[[#This Row],[totalAmount]]</f>
        <v>1</v>
      </c>
      <c r="M1462" t="b">
        <f>TrafficData[[#This Row],[pendingCourt]]+TrafficData[[#This Row],[disposedCourt]]=TrafficData[[#This Row],[totalCourt]]</f>
        <v>1</v>
      </c>
      <c r="N1462" t="b">
        <f>AND(TrafficData[[#This Row],[disposedChallan]]&lt;=TrafficData[[#This Row],[totalChallan]],TrafficData[[#This Row],[pendingChallan]]&lt;=TrafficData[[#This Row],[totalChallan]])</f>
        <v>1</v>
      </c>
      <c r="O1462" t="b">
        <f>AND(TrafficData[[#This Row],[pendingAmount]]&lt;=TrafficData[[#This Row],[totalAmount]],TrafficData[[#This Row],[disposedAmount]]&lt;=TrafficData[[#This Row],[totalAmount]])</f>
        <v>1</v>
      </c>
      <c r="P1462" t="b">
        <f>AND(TrafficData[[#This Row],[pendingCourt]]&lt;=TrafficData[[#This Row],[totalCourt]],TrafficData[[#This Row],[disposedCourt]]&lt;=TrafficData[[#This Row],[totalCourt]])</f>
        <v>1</v>
      </c>
    </row>
    <row r="1463" spans="1:16">
      <c r="A1463" s="1">
        <v>43466</v>
      </c>
      <c r="B1463">
        <v>17052</v>
      </c>
      <c r="C1463">
        <v>15546</v>
      </c>
      <c r="D1463">
        <v>1506</v>
      </c>
      <c r="E1463">
        <v>2513812</v>
      </c>
      <c r="F1463">
        <v>30309558</v>
      </c>
      <c r="G1463">
        <v>32823370</v>
      </c>
      <c r="H1463">
        <v>1120</v>
      </c>
      <c r="I1463">
        <v>1525</v>
      </c>
      <c r="J1463">
        <v>2645</v>
      </c>
      <c r="K1463" t="b">
        <f>TrafficData[[#This Row],[disposedChallan]]+TrafficData[[#This Row],[pendingChallan]]=TrafficData[[#This Row],[totalChallan]]</f>
        <v>1</v>
      </c>
      <c r="L1463" t="b">
        <f>TrafficData[[#This Row],[pendingAmount]]+TrafficData[[#This Row],[disposedAmount]]=TrafficData[[#This Row],[totalAmount]]</f>
        <v>1</v>
      </c>
      <c r="M1463" t="b">
        <f>TrafficData[[#This Row],[pendingCourt]]+TrafficData[[#This Row],[disposedCourt]]=TrafficData[[#This Row],[totalCourt]]</f>
        <v>1</v>
      </c>
      <c r="N1463" t="b">
        <f>AND(TrafficData[[#This Row],[disposedChallan]]&lt;=TrafficData[[#This Row],[totalChallan]],TrafficData[[#This Row],[pendingChallan]]&lt;=TrafficData[[#This Row],[totalChallan]])</f>
        <v>1</v>
      </c>
      <c r="O1463" t="b">
        <f>AND(TrafficData[[#This Row],[pendingAmount]]&lt;=TrafficData[[#This Row],[totalAmount]],TrafficData[[#This Row],[disposedAmount]]&lt;=TrafficData[[#This Row],[totalAmount]])</f>
        <v>1</v>
      </c>
      <c r="P1463" t="b">
        <f>AND(TrafficData[[#This Row],[pendingCourt]]&lt;=TrafficData[[#This Row],[totalCourt]],TrafficData[[#This Row],[disposedCourt]]&lt;=TrafficData[[#This Row],[totalCourt]])</f>
        <v>1</v>
      </c>
    </row>
    <row r="1464" spans="1:16">
      <c r="A1464" s="1">
        <v>43467</v>
      </c>
      <c r="B1464">
        <v>30209</v>
      </c>
      <c r="C1464">
        <v>25622</v>
      </c>
      <c r="D1464">
        <v>4587</v>
      </c>
      <c r="E1464">
        <v>6796646</v>
      </c>
      <c r="F1464">
        <v>35513707</v>
      </c>
      <c r="G1464">
        <v>42310353</v>
      </c>
      <c r="H1464">
        <v>3788</v>
      </c>
      <c r="I1464">
        <v>2350</v>
      </c>
      <c r="J1464">
        <v>6138</v>
      </c>
      <c r="K1464" t="b">
        <f>TrafficData[[#This Row],[disposedChallan]]+TrafficData[[#This Row],[pendingChallan]]=TrafficData[[#This Row],[totalChallan]]</f>
        <v>1</v>
      </c>
      <c r="L1464" t="b">
        <f>TrafficData[[#This Row],[pendingAmount]]+TrafficData[[#This Row],[disposedAmount]]=TrafficData[[#This Row],[totalAmount]]</f>
        <v>1</v>
      </c>
      <c r="M1464" t="b">
        <f>TrafficData[[#This Row],[pendingCourt]]+TrafficData[[#This Row],[disposedCourt]]=TrafficData[[#This Row],[totalCourt]]</f>
        <v>1</v>
      </c>
      <c r="N1464" t="b">
        <f>AND(TrafficData[[#This Row],[disposedChallan]]&lt;=TrafficData[[#This Row],[totalChallan]],TrafficData[[#This Row],[pendingChallan]]&lt;=TrafficData[[#This Row],[totalChallan]])</f>
        <v>1</v>
      </c>
      <c r="O1464" t="b">
        <f>AND(TrafficData[[#This Row],[pendingAmount]]&lt;=TrafficData[[#This Row],[totalAmount]],TrafficData[[#This Row],[disposedAmount]]&lt;=TrafficData[[#This Row],[totalAmount]])</f>
        <v>1</v>
      </c>
      <c r="P1464" t="b">
        <f>AND(TrafficData[[#This Row],[pendingCourt]]&lt;=TrafficData[[#This Row],[totalCourt]],TrafficData[[#This Row],[disposedCourt]]&lt;=TrafficData[[#This Row],[totalCourt]])</f>
        <v>1</v>
      </c>
    </row>
    <row r="1465" spans="1:16">
      <c r="A1465" s="1">
        <v>43468</v>
      </c>
      <c r="B1465">
        <v>23243</v>
      </c>
      <c r="C1465">
        <v>21049</v>
      </c>
      <c r="D1465">
        <v>2194</v>
      </c>
      <c r="E1465">
        <v>5150324</v>
      </c>
      <c r="F1465">
        <v>35357655</v>
      </c>
      <c r="G1465">
        <v>40507979</v>
      </c>
      <c r="H1465">
        <v>1567</v>
      </c>
      <c r="I1465">
        <v>1989</v>
      </c>
      <c r="J1465">
        <v>3556</v>
      </c>
      <c r="K1465" t="b">
        <f>TrafficData[[#This Row],[disposedChallan]]+TrafficData[[#This Row],[pendingChallan]]=TrafficData[[#This Row],[totalChallan]]</f>
        <v>1</v>
      </c>
      <c r="L1465" t="b">
        <f>TrafficData[[#This Row],[pendingAmount]]+TrafficData[[#This Row],[disposedAmount]]=TrafficData[[#This Row],[totalAmount]]</f>
        <v>1</v>
      </c>
      <c r="M1465" t="b">
        <f>TrafficData[[#This Row],[pendingCourt]]+TrafficData[[#This Row],[disposedCourt]]=TrafficData[[#This Row],[totalCourt]]</f>
        <v>1</v>
      </c>
      <c r="N1465" t="b">
        <f>AND(TrafficData[[#This Row],[disposedChallan]]&lt;=TrafficData[[#This Row],[totalChallan]],TrafficData[[#This Row],[pendingChallan]]&lt;=TrafficData[[#This Row],[totalChallan]])</f>
        <v>1</v>
      </c>
      <c r="O1465" t="b">
        <f>AND(TrafficData[[#This Row],[pendingAmount]]&lt;=TrafficData[[#This Row],[totalAmount]],TrafficData[[#This Row],[disposedAmount]]&lt;=TrafficData[[#This Row],[totalAmount]])</f>
        <v>1</v>
      </c>
      <c r="P1465" t="b">
        <f>AND(TrafficData[[#This Row],[pendingCourt]]&lt;=TrafficData[[#This Row],[totalCourt]],TrafficData[[#This Row],[disposedCourt]]&lt;=TrafficData[[#This Row],[totalCourt]])</f>
        <v>1</v>
      </c>
    </row>
    <row r="1466" spans="1:16">
      <c r="A1466" s="1">
        <v>43469</v>
      </c>
      <c r="B1466">
        <v>24446</v>
      </c>
      <c r="C1466">
        <v>22068</v>
      </c>
      <c r="D1466">
        <v>2378</v>
      </c>
      <c r="E1466">
        <v>4806014</v>
      </c>
      <c r="F1466">
        <v>37587937</v>
      </c>
      <c r="G1466">
        <v>42393951</v>
      </c>
      <c r="H1466">
        <v>1719</v>
      </c>
      <c r="I1466">
        <v>2012</v>
      </c>
      <c r="J1466">
        <v>3731</v>
      </c>
      <c r="K1466" t="b">
        <f>TrafficData[[#This Row],[disposedChallan]]+TrafficData[[#This Row],[pendingChallan]]=TrafficData[[#This Row],[totalChallan]]</f>
        <v>1</v>
      </c>
      <c r="L1466" t="b">
        <f>TrafficData[[#This Row],[pendingAmount]]+TrafficData[[#This Row],[disposedAmount]]=TrafficData[[#This Row],[totalAmount]]</f>
        <v>1</v>
      </c>
      <c r="M1466" t="b">
        <f>TrafficData[[#This Row],[pendingCourt]]+TrafficData[[#This Row],[disposedCourt]]=TrafficData[[#This Row],[totalCourt]]</f>
        <v>1</v>
      </c>
      <c r="N1466" t="b">
        <f>AND(TrafficData[[#This Row],[disposedChallan]]&lt;=TrafficData[[#This Row],[totalChallan]],TrafficData[[#This Row],[pendingChallan]]&lt;=TrafficData[[#This Row],[totalChallan]])</f>
        <v>1</v>
      </c>
      <c r="O1466" t="b">
        <f>AND(TrafficData[[#This Row],[pendingAmount]]&lt;=TrafficData[[#This Row],[totalAmount]],TrafficData[[#This Row],[disposedAmount]]&lt;=TrafficData[[#This Row],[totalAmount]])</f>
        <v>1</v>
      </c>
      <c r="P1466" t="b">
        <f>AND(TrafficData[[#This Row],[pendingCourt]]&lt;=TrafficData[[#This Row],[totalCourt]],TrafficData[[#This Row],[disposedCourt]]&lt;=TrafficData[[#This Row],[totalCourt]])</f>
        <v>1</v>
      </c>
    </row>
    <row r="1467" spans="1:16">
      <c r="A1467" s="1">
        <v>43470</v>
      </c>
      <c r="B1467">
        <v>21643</v>
      </c>
      <c r="C1467">
        <v>19079</v>
      </c>
      <c r="D1467">
        <v>2564</v>
      </c>
      <c r="E1467">
        <v>4972676</v>
      </c>
      <c r="F1467">
        <v>33784949</v>
      </c>
      <c r="G1467">
        <v>38757625</v>
      </c>
      <c r="H1467">
        <v>1952</v>
      </c>
      <c r="I1467">
        <v>1273</v>
      </c>
      <c r="J1467">
        <v>3225</v>
      </c>
      <c r="K1467" t="b">
        <f>TrafficData[[#This Row],[disposedChallan]]+TrafficData[[#This Row],[pendingChallan]]=TrafficData[[#This Row],[totalChallan]]</f>
        <v>1</v>
      </c>
      <c r="L1467" t="b">
        <f>TrafficData[[#This Row],[pendingAmount]]+TrafficData[[#This Row],[disposedAmount]]=TrafficData[[#This Row],[totalAmount]]</f>
        <v>1</v>
      </c>
      <c r="M1467" t="b">
        <f>TrafficData[[#This Row],[pendingCourt]]+TrafficData[[#This Row],[disposedCourt]]=TrafficData[[#This Row],[totalCourt]]</f>
        <v>1</v>
      </c>
      <c r="N1467" t="b">
        <f>AND(TrafficData[[#This Row],[disposedChallan]]&lt;=TrafficData[[#This Row],[totalChallan]],TrafficData[[#This Row],[pendingChallan]]&lt;=TrafficData[[#This Row],[totalChallan]])</f>
        <v>1</v>
      </c>
      <c r="O1467" t="b">
        <f>AND(TrafficData[[#This Row],[pendingAmount]]&lt;=TrafficData[[#This Row],[totalAmount]],TrafficData[[#This Row],[disposedAmount]]&lt;=TrafficData[[#This Row],[totalAmount]])</f>
        <v>1</v>
      </c>
      <c r="P1467" t="b">
        <f>AND(TrafficData[[#This Row],[pendingCourt]]&lt;=TrafficData[[#This Row],[totalCourt]],TrafficData[[#This Row],[disposedCourt]]&lt;=TrafficData[[#This Row],[totalCourt]])</f>
        <v>1</v>
      </c>
    </row>
    <row r="1468" spans="1:16">
      <c r="A1468" s="1">
        <v>43471</v>
      </c>
      <c r="B1468">
        <v>15802</v>
      </c>
      <c r="C1468">
        <v>14447</v>
      </c>
      <c r="D1468">
        <v>1355</v>
      </c>
      <c r="E1468">
        <v>1992520</v>
      </c>
      <c r="F1468">
        <v>21344071</v>
      </c>
      <c r="G1468">
        <v>23336591</v>
      </c>
      <c r="H1468">
        <v>1088</v>
      </c>
      <c r="I1468">
        <v>1130</v>
      </c>
      <c r="J1468">
        <v>2218</v>
      </c>
      <c r="K1468" t="b">
        <f>TrafficData[[#This Row],[disposedChallan]]+TrafficData[[#This Row],[pendingChallan]]=TrafficData[[#This Row],[totalChallan]]</f>
        <v>1</v>
      </c>
      <c r="L1468" t="b">
        <f>TrafficData[[#This Row],[pendingAmount]]+TrafficData[[#This Row],[disposedAmount]]=TrafficData[[#This Row],[totalAmount]]</f>
        <v>1</v>
      </c>
      <c r="M1468" t="b">
        <f>TrafficData[[#This Row],[pendingCourt]]+TrafficData[[#This Row],[disposedCourt]]=TrafficData[[#This Row],[totalCourt]]</f>
        <v>1</v>
      </c>
      <c r="N1468" t="b">
        <f>AND(TrafficData[[#This Row],[disposedChallan]]&lt;=TrafficData[[#This Row],[totalChallan]],TrafficData[[#This Row],[pendingChallan]]&lt;=TrafficData[[#This Row],[totalChallan]])</f>
        <v>1</v>
      </c>
      <c r="O1468" t="b">
        <f>AND(TrafficData[[#This Row],[pendingAmount]]&lt;=TrafficData[[#This Row],[totalAmount]],TrafficData[[#This Row],[disposedAmount]]&lt;=TrafficData[[#This Row],[totalAmount]])</f>
        <v>1</v>
      </c>
      <c r="P1468" t="b">
        <f>AND(TrafficData[[#This Row],[pendingCourt]]&lt;=TrafficData[[#This Row],[totalCourt]],TrafficData[[#This Row],[disposedCourt]]&lt;=TrafficData[[#This Row],[totalCourt]])</f>
        <v>1</v>
      </c>
    </row>
    <row r="1469" spans="1:16">
      <c r="A1469" s="1">
        <v>43472</v>
      </c>
      <c r="B1469">
        <v>22413</v>
      </c>
      <c r="C1469">
        <v>19911</v>
      </c>
      <c r="D1469">
        <v>2502</v>
      </c>
      <c r="E1469">
        <v>8971195</v>
      </c>
      <c r="F1469">
        <v>32351131</v>
      </c>
      <c r="G1469">
        <v>41322326</v>
      </c>
      <c r="H1469">
        <v>1717</v>
      </c>
      <c r="I1469">
        <v>1455</v>
      </c>
      <c r="J1469">
        <v>3172</v>
      </c>
      <c r="K1469" t="b">
        <f>TrafficData[[#This Row],[disposedChallan]]+TrafficData[[#This Row],[pendingChallan]]=TrafficData[[#This Row],[totalChallan]]</f>
        <v>1</v>
      </c>
      <c r="L1469" t="b">
        <f>TrafficData[[#This Row],[pendingAmount]]+TrafficData[[#This Row],[disposedAmount]]=TrafficData[[#This Row],[totalAmount]]</f>
        <v>1</v>
      </c>
      <c r="M1469" t="b">
        <f>TrafficData[[#This Row],[pendingCourt]]+TrafficData[[#This Row],[disposedCourt]]=TrafficData[[#This Row],[totalCourt]]</f>
        <v>1</v>
      </c>
      <c r="N1469" t="b">
        <f>AND(TrafficData[[#This Row],[disposedChallan]]&lt;=TrafficData[[#This Row],[totalChallan]],TrafficData[[#This Row],[pendingChallan]]&lt;=TrafficData[[#This Row],[totalChallan]])</f>
        <v>1</v>
      </c>
      <c r="O1469" t="b">
        <f>AND(TrafficData[[#This Row],[pendingAmount]]&lt;=TrafficData[[#This Row],[totalAmount]],TrafficData[[#This Row],[disposedAmount]]&lt;=TrafficData[[#This Row],[totalAmount]])</f>
        <v>1</v>
      </c>
      <c r="P1469" t="b">
        <f>AND(TrafficData[[#This Row],[pendingCourt]]&lt;=TrafficData[[#This Row],[totalCourt]],TrafficData[[#This Row],[disposedCourt]]&lt;=TrafficData[[#This Row],[totalCourt]])</f>
        <v>1</v>
      </c>
    </row>
    <row r="1470" spans="1:16">
      <c r="A1470" s="1">
        <v>43473</v>
      </c>
      <c r="B1470">
        <v>23475</v>
      </c>
      <c r="C1470">
        <v>20665</v>
      </c>
      <c r="D1470">
        <v>2810</v>
      </c>
      <c r="E1470">
        <v>6894624</v>
      </c>
      <c r="F1470">
        <v>36572291</v>
      </c>
      <c r="G1470">
        <v>43466915</v>
      </c>
      <c r="H1470">
        <v>1936</v>
      </c>
      <c r="I1470">
        <v>2100</v>
      </c>
      <c r="J1470">
        <v>4036</v>
      </c>
      <c r="K1470" t="b">
        <f>TrafficData[[#This Row],[disposedChallan]]+TrafficData[[#This Row],[pendingChallan]]=TrafficData[[#This Row],[totalChallan]]</f>
        <v>1</v>
      </c>
      <c r="L1470" t="b">
        <f>TrafficData[[#This Row],[pendingAmount]]+TrafficData[[#This Row],[disposedAmount]]=TrafficData[[#This Row],[totalAmount]]</f>
        <v>1</v>
      </c>
      <c r="M1470" t="b">
        <f>TrafficData[[#This Row],[pendingCourt]]+TrafficData[[#This Row],[disposedCourt]]=TrafficData[[#This Row],[totalCourt]]</f>
        <v>1</v>
      </c>
      <c r="N1470" t="b">
        <f>AND(TrafficData[[#This Row],[disposedChallan]]&lt;=TrafficData[[#This Row],[totalChallan]],TrafficData[[#This Row],[pendingChallan]]&lt;=TrafficData[[#This Row],[totalChallan]])</f>
        <v>1</v>
      </c>
      <c r="O1470" t="b">
        <f>AND(TrafficData[[#This Row],[pendingAmount]]&lt;=TrafficData[[#This Row],[totalAmount]],TrafficData[[#This Row],[disposedAmount]]&lt;=TrafficData[[#This Row],[totalAmount]])</f>
        <v>1</v>
      </c>
      <c r="P1470" t="b">
        <f>AND(TrafficData[[#This Row],[pendingCourt]]&lt;=TrafficData[[#This Row],[totalCourt]],TrafficData[[#This Row],[disposedCourt]]&lt;=TrafficData[[#This Row],[totalCourt]])</f>
        <v>1</v>
      </c>
    </row>
    <row r="1471" spans="1:16">
      <c r="A1471" s="1">
        <v>43474</v>
      </c>
      <c r="B1471">
        <v>28260</v>
      </c>
      <c r="C1471">
        <v>23180</v>
      </c>
      <c r="D1471">
        <v>5080</v>
      </c>
      <c r="E1471">
        <v>8801578</v>
      </c>
      <c r="F1471">
        <v>33870764</v>
      </c>
      <c r="G1471">
        <v>42672342</v>
      </c>
      <c r="H1471">
        <v>4103</v>
      </c>
      <c r="I1471">
        <v>1868</v>
      </c>
      <c r="J1471">
        <v>5971</v>
      </c>
      <c r="K1471" t="b">
        <f>TrafficData[[#This Row],[disposedChallan]]+TrafficData[[#This Row],[pendingChallan]]=TrafficData[[#This Row],[totalChallan]]</f>
        <v>1</v>
      </c>
      <c r="L1471" t="b">
        <f>TrafficData[[#This Row],[pendingAmount]]+TrafficData[[#This Row],[disposedAmount]]=TrafficData[[#This Row],[totalAmount]]</f>
        <v>1</v>
      </c>
      <c r="M1471" t="b">
        <f>TrafficData[[#This Row],[pendingCourt]]+TrafficData[[#This Row],[disposedCourt]]=TrafficData[[#This Row],[totalCourt]]</f>
        <v>1</v>
      </c>
      <c r="N1471" t="b">
        <f>AND(TrafficData[[#This Row],[disposedChallan]]&lt;=TrafficData[[#This Row],[totalChallan]],TrafficData[[#This Row],[pendingChallan]]&lt;=TrafficData[[#This Row],[totalChallan]])</f>
        <v>1</v>
      </c>
      <c r="O1471" t="b">
        <f>AND(TrafficData[[#This Row],[pendingAmount]]&lt;=TrafficData[[#This Row],[totalAmount]],TrafficData[[#This Row],[disposedAmount]]&lt;=TrafficData[[#This Row],[totalAmount]])</f>
        <v>1</v>
      </c>
      <c r="P1471" t="b">
        <f>AND(TrafficData[[#This Row],[pendingCourt]]&lt;=TrafficData[[#This Row],[totalCourt]],TrafficData[[#This Row],[disposedCourt]]&lt;=TrafficData[[#This Row],[totalCourt]])</f>
        <v>1</v>
      </c>
    </row>
    <row r="1472" spans="1:16">
      <c r="A1472" s="1">
        <v>43475</v>
      </c>
      <c r="B1472">
        <v>24774</v>
      </c>
      <c r="C1472">
        <v>21384</v>
      </c>
      <c r="D1472">
        <v>3390</v>
      </c>
      <c r="E1472">
        <v>8245770</v>
      </c>
      <c r="F1472">
        <v>38394963</v>
      </c>
      <c r="G1472">
        <v>46640733</v>
      </c>
      <c r="H1472">
        <v>2140</v>
      </c>
      <c r="I1472">
        <v>1782</v>
      </c>
      <c r="J1472">
        <v>3922</v>
      </c>
      <c r="K1472" t="b">
        <f>TrafficData[[#This Row],[disposedChallan]]+TrafficData[[#This Row],[pendingChallan]]=TrafficData[[#This Row],[totalChallan]]</f>
        <v>1</v>
      </c>
      <c r="L1472" t="b">
        <f>TrafficData[[#This Row],[pendingAmount]]+TrafficData[[#This Row],[disposedAmount]]=TrafficData[[#This Row],[totalAmount]]</f>
        <v>1</v>
      </c>
      <c r="M1472" t="b">
        <f>TrafficData[[#This Row],[pendingCourt]]+TrafficData[[#This Row],[disposedCourt]]=TrafficData[[#This Row],[totalCourt]]</f>
        <v>1</v>
      </c>
      <c r="N1472" t="b">
        <f>AND(TrafficData[[#This Row],[disposedChallan]]&lt;=TrafficData[[#This Row],[totalChallan]],TrafficData[[#This Row],[pendingChallan]]&lt;=TrafficData[[#This Row],[totalChallan]])</f>
        <v>1</v>
      </c>
      <c r="O1472" t="b">
        <f>AND(TrafficData[[#This Row],[pendingAmount]]&lt;=TrafficData[[#This Row],[totalAmount]],TrafficData[[#This Row],[disposedAmount]]&lt;=TrafficData[[#This Row],[totalAmount]])</f>
        <v>1</v>
      </c>
      <c r="P1472" t="b">
        <f>AND(TrafficData[[#This Row],[pendingCourt]]&lt;=TrafficData[[#This Row],[totalCourt]],TrafficData[[#This Row],[disposedCourt]]&lt;=TrafficData[[#This Row],[totalCourt]])</f>
        <v>1</v>
      </c>
    </row>
    <row r="1473" spans="1:16">
      <c r="A1473" s="1">
        <v>43476</v>
      </c>
      <c r="B1473">
        <v>26249</v>
      </c>
      <c r="C1473">
        <v>22245</v>
      </c>
      <c r="D1473">
        <v>4004</v>
      </c>
      <c r="E1473">
        <v>13009662</v>
      </c>
      <c r="F1473">
        <v>141368088</v>
      </c>
      <c r="G1473">
        <v>154377750</v>
      </c>
      <c r="H1473">
        <v>2003</v>
      </c>
      <c r="I1473">
        <v>1956</v>
      </c>
      <c r="J1473">
        <v>3959</v>
      </c>
      <c r="K1473" t="b">
        <f>TrafficData[[#This Row],[disposedChallan]]+TrafficData[[#This Row],[pendingChallan]]=TrafficData[[#This Row],[totalChallan]]</f>
        <v>1</v>
      </c>
      <c r="L1473" t="b">
        <f>TrafficData[[#This Row],[pendingAmount]]+TrafficData[[#This Row],[disposedAmount]]=TrafficData[[#This Row],[totalAmount]]</f>
        <v>1</v>
      </c>
      <c r="M1473" t="b">
        <f>TrafficData[[#This Row],[pendingCourt]]+TrafficData[[#This Row],[disposedCourt]]=TrafficData[[#This Row],[totalCourt]]</f>
        <v>1</v>
      </c>
      <c r="N1473" t="b">
        <f>AND(TrafficData[[#This Row],[disposedChallan]]&lt;=TrafficData[[#This Row],[totalChallan]],TrafficData[[#This Row],[pendingChallan]]&lt;=TrafficData[[#This Row],[totalChallan]])</f>
        <v>1</v>
      </c>
      <c r="O1473" t="b">
        <f>AND(TrafficData[[#This Row],[pendingAmount]]&lt;=TrafficData[[#This Row],[totalAmount]],TrafficData[[#This Row],[disposedAmount]]&lt;=TrafficData[[#This Row],[totalAmount]])</f>
        <v>1</v>
      </c>
      <c r="P1473" t="b">
        <f>AND(TrafficData[[#This Row],[pendingCourt]]&lt;=TrafficData[[#This Row],[totalCourt]],TrafficData[[#This Row],[disposedCourt]]&lt;=TrafficData[[#This Row],[totalCourt]])</f>
        <v>1</v>
      </c>
    </row>
    <row r="1474" spans="1:16">
      <c r="A1474" s="1">
        <v>43477</v>
      </c>
      <c r="B1474">
        <v>22381</v>
      </c>
      <c r="C1474">
        <v>19448</v>
      </c>
      <c r="D1474">
        <v>2933</v>
      </c>
      <c r="E1474">
        <v>4728530</v>
      </c>
      <c r="F1474">
        <v>32024880</v>
      </c>
      <c r="G1474">
        <v>36753410</v>
      </c>
      <c r="H1474">
        <v>2316</v>
      </c>
      <c r="I1474">
        <v>1580</v>
      </c>
      <c r="J1474">
        <v>3896</v>
      </c>
      <c r="K1474" t="b">
        <f>TrafficData[[#This Row],[disposedChallan]]+TrafficData[[#This Row],[pendingChallan]]=TrafficData[[#This Row],[totalChallan]]</f>
        <v>1</v>
      </c>
      <c r="L1474" t="b">
        <f>TrafficData[[#This Row],[pendingAmount]]+TrafficData[[#This Row],[disposedAmount]]=TrafficData[[#This Row],[totalAmount]]</f>
        <v>1</v>
      </c>
      <c r="M1474" t="b">
        <f>TrafficData[[#This Row],[pendingCourt]]+TrafficData[[#This Row],[disposedCourt]]=TrafficData[[#This Row],[totalCourt]]</f>
        <v>1</v>
      </c>
      <c r="N1474" t="b">
        <f>AND(TrafficData[[#This Row],[disposedChallan]]&lt;=TrafficData[[#This Row],[totalChallan]],TrafficData[[#This Row],[pendingChallan]]&lt;=TrafficData[[#This Row],[totalChallan]])</f>
        <v>1</v>
      </c>
      <c r="O1474" t="b">
        <f>AND(TrafficData[[#This Row],[pendingAmount]]&lt;=TrafficData[[#This Row],[totalAmount]],TrafficData[[#This Row],[disposedAmount]]&lt;=TrafficData[[#This Row],[totalAmount]])</f>
        <v>1</v>
      </c>
      <c r="P1474" t="b">
        <f>AND(TrafficData[[#This Row],[pendingCourt]]&lt;=TrafficData[[#This Row],[totalCourt]],TrafficData[[#This Row],[disposedCourt]]&lt;=TrafficData[[#This Row],[totalCourt]])</f>
        <v>1</v>
      </c>
    </row>
    <row r="1475" spans="1:16">
      <c r="A1475" s="1">
        <v>43478</v>
      </c>
      <c r="B1475">
        <v>16050</v>
      </c>
      <c r="C1475">
        <v>13893</v>
      </c>
      <c r="D1475">
        <v>2157</v>
      </c>
      <c r="E1475">
        <v>3077542</v>
      </c>
      <c r="F1475">
        <v>18264535</v>
      </c>
      <c r="G1475">
        <v>21342077</v>
      </c>
      <c r="H1475">
        <v>1505</v>
      </c>
      <c r="I1475">
        <v>1372</v>
      </c>
      <c r="J1475">
        <v>2877</v>
      </c>
      <c r="K1475" t="b">
        <f>TrafficData[[#This Row],[disposedChallan]]+TrafficData[[#This Row],[pendingChallan]]=TrafficData[[#This Row],[totalChallan]]</f>
        <v>1</v>
      </c>
      <c r="L1475" t="b">
        <f>TrafficData[[#This Row],[pendingAmount]]+TrafficData[[#This Row],[disposedAmount]]=TrafficData[[#This Row],[totalAmount]]</f>
        <v>1</v>
      </c>
      <c r="M1475" t="b">
        <f>TrafficData[[#This Row],[pendingCourt]]+TrafficData[[#This Row],[disposedCourt]]=TrafficData[[#This Row],[totalCourt]]</f>
        <v>1</v>
      </c>
      <c r="N1475" t="b">
        <f>AND(TrafficData[[#This Row],[disposedChallan]]&lt;=TrafficData[[#This Row],[totalChallan]],TrafficData[[#This Row],[pendingChallan]]&lt;=TrafficData[[#This Row],[totalChallan]])</f>
        <v>1</v>
      </c>
      <c r="O1475" t="b">
        <f>AND(TrafficData[[#This Row],[pendingAmount]]&lt;=TrafficData[[#This Row],[totalAmount]],TrafficData[[#This Row],[disposedAmount]]&lt;=TrafficData[[#This Row],[totalAmount]])</f>
        <v>1</v>
      </c>
      <c r="P1475" t="b">
        <f>AND(TrafficData[[#This Row],[pendingCourt]]&lt;=TrafficData[[#This Row],[totalCourt]],TrafficData[[#This Row],[disposedCourt]]&lt;=TrafficData[[#This Row],[totalCourt]])</f>
        <v>1</v>
      </c>
    </row>
    <row r="1476" spans="1:16">
      <c r="A1476" s="1">
        <v>43479</v>
      </c>
      <c r="B1476">
        <v>19932</v>
      </c>
      <c r="C1476">
        <v>17499</v>
      </c>
      <c r="D1476">
        <v>2433</v>
      </c>
      <c r="E1476">
        <v>3107745</v>
      </c>
      <c r="F1476">
        <v>24546304</v>
      </c>
      <c r="G1476">
        <v>27654049</v>
      </c>
      <c r="H1476">
        <v>1506</v>
      </c>
      <c r="I1476">
        <v>1676</v>
      </c>
      <c r="J1476">
        <v>3182</v>
      </c>
      <c r="K1476" t="b">
        <f>TrafficData[[#This Row],[disposedChallan]]+TrafficData[[#This Row],[pendingChallan]]=TrafficData[[#This Row],[totalChallan]]</f>
        <v>1</v>
      </c>
      <c r="L1476" t="b">
        <f>TrafficData[[#This Row],[pendingAmount]]+TrafficData[[#This Row],[disposedAmount]]=TrafficData[[#This Row],[totalAmount]]</f>
        <v>1</v>
      </c>
      <c r="M1476" t="b">
        <f>TrafficData[[#This Row],[pendingCourt]]+TrafficData[[#This Row],[disposedCourt]]=TrafficData[[#This Row],[totalCourt]]</f>
        <v>1</v>
      </c>
      <c r="N1476" t="b">
        <f>AND(TrafficData[[#This Row],[disposedChallan]]&lt;=TrafficData[[#This Row],[totalChallan]],TrafficData[[#This Row],[pendingChallan]]&lt;=TrafficData[[#This Row],[totalChallan]])</f>
        <v>1</v>
      </c>
      <c r="O1476" t="b">
        <f>AND(TrafficData[[#This Row],[pendingAmount]]&lt;=TrafficData[[#This Row],[totalAmount]],TrafficData[[#This Row],[disposedAmount]]&lt;=TrafficData[[#This Row],[totalAmount]])</f>
        <v>1</v>
      </c>
      <c r="P1476" t="b">
        <f>AND(TrafficData[[#This Row],[pendingCourt]]&lt;=TrafficData[[#This Row],[totalCourt]],TrafficData[[#This Row],[disposedCourt]]&lt;=TrafficData[[#This Row],[totalCourt]])</f>
        <v>1</v>
      </c>
    </row>
    <row r="1477" spans="1:16">
      <c r="A1477" s="1">
        <v>43480</v>
      </c>
      <c r="B1477">
        <v>20960</v>
      </c>
      <c r="C1477">
        <v>18410</v>
      </c>
      <c r="D1477">
        <v>2550</v>
      </c>
      <c r="E1477">
        <v>4982955</v>
      </c>
      <c r="F1477">
        <v>32225584</v>
      </c>
      <c r="G1477">
        <v>37208539</v>
      </c>
      <c r="H1477">
        <v>1423</v>
      </c>
      <c r="I1477">
        <v>1515</v>
      </c>
      <c r="J1477">
        <v>2938</v>
      </c>
      <c r="K1477" t="b">
        <f>TrafficData[[#This Row],[disposedChallan]]+TrafficData[[#This Row],[pendingChallan]]=TrafficData[[#This Row],[totalChallan]]</f>
        <v>1</v>
      </c>
      <c r="L1477" t="b">
        <f>TrafficData[[#This Row],[pendingAmount]]+TrafficData[[#This Row],[disposedAmount]]=TrafficData[[#This Row],[totalAmount]]</f>
        <v>1</v>
      </c>
      <c r="M1477" t="b">
        <f>TrafficData[[#This Row],[pendingCourt]]+TrafficData[[#This Row],[disposedCourt]]=TrafficData[[#This Row],[totalCourt]]</f>
        <v>1</v>
      </c>
      <c r="N1477" t="b">
        <f>AND(TrafficData[[#This Row],[disposedChallan]]&lt;=TrafficData[[#This Row],[totalChallan]],TrafficData[[#This Row],[pendingChallan]]&lt;=TrafficData[[#This Row],[totalChallan]])</f>
        <v>1</v>
      </c>
      <c r="O1477" t="b">
        <f>AND(TrafficData[[#This Row],[pendingAmount]]&lt;=TrafficData[[#This Row],[totalAmount]],TrafficData[[#This Row],[disposedAmount]]&lt;=TrafficData[[#This Row],[totalAmount]])</f>
        <v>1</v>
      </c>
      <c r="P1477" t="b">
        <f>AND(TrafficData[[#This Row],[pendingCourt]]&lt;=TrafficData[[#This Row],[totalCourt]],TrafficData[[#This Row],[disposedCourt]]&lt;=TrafficData[[#This Row],[totalCourt]])</f>
        <v>1</v>
      </c>
    </row>
    <row r="1478" spans="1:16">
      <c r="A1478" s="1">
        <v>43481</v>
      </c>
      <c r="B1478">
        <v>29162</v>
      </c>
      <c r="C1478">
        <v>23847</v>
      </c>
      <c r="D1478">
        <v>5315</v>
      </c>
      <c r="E1478">
        <v>9211210</v>
      </c>
      <c r="F1478">
        <v>34686266</v>
      </c>
      <c r="G1478">
        <v>43897476</v>
      </c>
      <c r="H1478">
        <v>3908</v>
      </c>
      <c r="I1478">
        <v>1821</v>
      </c>
      <c r="J1478">
        <v>5729</v>
      </c>
      <c r="K1478" t="b">
        <f>TrafficData[[#This Row],[disposedChallan]]+TrafficData[[#This Row],[pendingChallan]]=TrafficData[[#This Row],[totalChallan]]</f>
        <v>1</v>
      </c>
      <c r="L1478" t="b">
        <f>TrafficData[[#This Row],[pendingAmount]]+TrafficData[[#This Row],[disposedAmount]]=TrafficData[[#This Row],[totalAmount]]</f>
        <v>1</v>
      </c>
      <c r="M1478" t="b">
        <f>TrafficData[[#This Row],[pendingCourt]]+TrafficData[[#This Row],[disposedCourt]]=TrafficData[[#This Row],[totalCourt]]</f>
        <v>1</v>
      </c>
      <c r="N1478" t="b">
        <f>AND(TrafficData[[#This Row],[disposedChallan]]&lt;=TrafficData[[#This Row],[totalChallan]],TrafficData[[#This Row],[pendingChallan]]&lt;=TrafficData[[#This Row],[totalChallan]])</f>
        <v>1</v>
      </c>
      <c r="O1478" t="b">
        <f>AND(TrafficData[[#This Row],[pendingAmount]]&lt;=TrafficData[[#This Row],[totalAmount]],TrafficData[[#This Row],[disposedAmount]]&lt;=TrafficData[[#This Row],[totalAmount]])</f>
        <v>1</v>
      </c>
      <c r="P1478" t="b">
        <f>AND(TrafficData[[#This Row],[pendingCourt]]&lt;=TrafficData[[#This Row],[totalCourt]],TrafficData[[#This Row],[disposedCourt]]&lt;=TrafficData[[#This Row],[totalCourt]])</f>
        <v>1</v>
      </c>
    </row>
    <row r="1479" spans="1:16">
      <c r="A1479" s="1">
        <v>43482</v>
      </c>
      <c r="B1479">
        <v>22601</v>
      </c>
      <c r="C1479">
        <v>19605</v>
      </c>
      <c r="D1479">
        <v>2996</v>
      </c>
      <c r="E1479">
        <v>7812976</v>
      </c>
      <c r="F1479">
        <v>36557089</v>
      </c>
      <c r="G1479">
        <v>44370065</v>
      </c>
      <c r="H1479">
        <v>1643</v>
      </c>
      <c r="I1479">
        <v>1345</v>
      </c>
      <c r="J1479">
        <v>2988</v>
      </c>
      <c r="K1479" t="b">
        <f>TrafficData[[#This Row],[disposedChallan]]+TrafficData[[#This Row],[pendingChallan]]=TrafficData[[#This Row],[totalChallan]]</f>
        <v>1</v>
      </c>
      <c r="L1479" t="b">
        <f>TrafficData[[#This Row],[pendingAmount]]+TrafficData[[#This Row],[disposedAmount]]=TrafficData[[#This Row],[totalAmount]]</f>
        <v>1</v>
      </c>
      <c r="M1479" t="b">
        <f>TrafficData[[#This Row],[pendingCourt]]+TrafficData[[#This Row],[disposedCourt]]=TrafficData[[#This Row],[totalCourt]]</f>
        <v>1</v>
      </c>
      <c r="N1479" t="b">
        <f>AND(TrafficData[[#This Row],[disposedChallan]]&lt;=TrafficData[[#This Row],[totalChallan]],TrafficData[[#This Row],[pendingChallan]]&lt;=TrafficData[[#This Row],[totalChallan]])</f>
        <v>1</v>
      </c>
      <c r="O1479" t="b">
        <f>AND(TrafficData[[#This Row],[pendingAmount]]&lt;=TrafficData[[#This Row],[totalAmount]],TrafficData[[#This Row],[disposedAmount]]&lt;=TrafficData[[#This Row],[totalAmount]])</f>
        <v>1</v>
      </c>
      <c r="P1479" t="b">
        <f>AND(TrafficData[[#This Row],[pendingCourt]]&lt;=TrafficData[[#This Row],[totalCourt]],TrafficData[[#This Row],[disposedCourt]]&lt;=TrafficData[[#This Row],[totalCourt]])</f>
        <v>1</v>
      </c>
    </row>
    <row r="1480" spans="1:16">
      <c r="A1480" s="1">
        <v>43483</v>
      </c>
      <c r="B1480">
        <v>22641</v>
      </c>
      <c r="C1480">
        <v>19747</v>
      </c>
      <c r="D1480">
        <v>2894</v>
      </c>
      <c r="E1480">
        <v>6766151</v>
      </c>
      <c r="F1480">
        <v>33257034</v>
      </c>
      <c r="G1480">
        <v>40023185</v>
      </c>
      <c r="H1480">
        <v>1693</v>
      </c>
      <c r="I1480">
        <v>1487</v>
      </c>
      <c r="J1480">
        <v>3180</v>
      </c>
      <c r="K1480" t="b">
        <f>TrafficData[[#This Row],[disposedChallan]]+TrafficData[[#This Row],[pendingChallan]]=TrafficData[[#This Row],[totalChallan]]</f>
        <v>1</v>
      </c>
      <c r="L1480" t="b">
        <f>TrafficData[[#This Row],[pendingAmount]]+TrafficData[[#This Row],[disposedAmount]]=TrafficData[[#This Row],[totalAmount]]</f>
        <v>1</v>
      </c>
      <c r="M1480" t="b">
        <f>TrafficData[[#This Row],[pendingCourt]]+TrafficData[[#This Row],[disposedCourt]]=TrafficData[[#This Row],[totalCourt]]</f>
        <v>1</v>
      </c>
      <c r="N1480" t="b">
        <f>AND(TrafficData[[#This Row],[disposedChallan]]&lt;=TrafficData[[#This Row],[totalChallan]],TrafficData[[#This Row],[pendingChallan]]&lt;=TrafficData[[#This Row],[totalChallan]])</f>
        <v>1</v>
      </c>
      <c r="O1480" t="b">
        <f>AND(TrafficData[[#This Row],[pendingAmount]]&lt;=TrafficData[[#This Row],[totalAmount]],TrafficData[[#This Row],[disposedAmount]]&lt;=TrafficData[[#This Row],[totalAmount]])</f>
        <v>1</v>
      </c>
      <c r="P1480" t="b">
        <f>AND(TrafficData[[#This Row],[pendingCourt]]&lt;=TrafficData[[#This Row],[totalCourt]],TrafficData[[#This Row],[disposedCourt]]&lt;=TrafficData[[#This Row],[totalCourt]])</f>
        <v>1</v>
      </c>
    </row>
    <row r="1481" spans="1:16">
      <c r="A1481" s="1">
        <v>43484</v>
      </c>
      <c r="B1481">
        <v>19972</v>
      </c>
      <c r="C1481">
        <v>17033</v>
      </c>
      <c r="D1481">
        <v>2939</v>
      </c>
      <c r="E1481">
        <v>8082364</v>
      </c>
      <c r="F1481">
        <v>30753384</v>
      </c>
      <c r="G1481">
        <v>38835748</v>
      </c>
      <c r="H1481">
        <v>1622</v>
      </c>
      <c r="I1481">
        <v>1106</v>
      </c>
      <c r="J1481">
        <v>2728</v>
      </c>
      <c r="K1481" t="b">
        <f>TrafficData[[#This Row],[disposedChallan]]+TrafficData[[#This Row],[pendingChallan]]=TrafficData[[#This Row],[totalChallan]]</f>
        <v>1</v>
      </c>
      <c r="L1481" t="b">
        <f>TrafficData[[#This Row],[pendingAmount]]+TrafficData[[#This Row],[disposedAmount]]=TrafficData[[#This Row],[totalAmount]]</f>
        <v>1</v>
      </c>
      <c r="M1481" t="b">
        <f>TrafficData[[#This Row],[pendingCourt]]+TrafficData[[#This Row],[disposedCourt]]=TrafficData[[#This Row],[totalCourt]]</f>
        <v>1</v>
      </c>
      <c r="N1481" t="b">
        <f>AND(TrafficData[[#This Row],[disposedChallan]]&lt;=TrafficData[[#This Row],[totalChallan]],TrafficData[[#This Row],[pendingChallan]]&lt;=TrafficData[[#This Row],[totalChallan]])</f>
        <v>1</v>
      </c>
      <c r="O1481" t="b">
        <f>AND(TrafficData[[#This Row],[pendingAmount]]&lt;=TrafficData[[#This Row],[totalAmount]],TrafficData[[#This Row],[disposedAmount]]&lt;=TrafficData[[#This Row],[totalAmount]])</f>
        <v>1</v>
      </c>
      <c r="P1481" t="b">
        <f>AND(TrafficData[[#This Row],[pendingCourt]]&lt;=TrafficData[[#This Row],[totalCourt]],TrafficData[[#This Row],[disposedCourt]]&lt;=TrafficData[[#This Row],[totalCourt]])</f>
        <v>1</v>
      </c>
    </row>
    <row r="1482" spans="1:16">
      <c r="A1482" s="1">
        <v>43485</v>
      </c>
      <c r="B1482">
        <v>15611</v>
      </c>
      <c r="C1482">
        <v>13218</v>
      </c>
      <c r="D1482">
        <v>2393</v>
      </c>
      <c r="E1482">
        <v>5588785</v>
      </c>
      <c r="F1482">
        <v>20043627</v>
      </c>
      <c r="G1482">
        <v>25632412</v>
      </c>
      <c r="H1482">
        <v>1607</v>
      </c>
      <c r="I1482">
        <v>929</v>
      </c>
      <c r="J1482">
        <v>2536</v>
      </c>
      <c r="K1482" t="b">
        <f>TrafficData[[#This Row],[disposedChallan]]+TrafficData[[#This Row],[pendingChallan]]=TrafficData[[#This Row],[totalChallan]]</f>
        <v>1</v>
      </c>
      <c r="L1482" t="b">
        <f>TrafficData[[#This Row],[pendingAmount]]+TrafficData[[#This Row],[disposedAmount]]=TrafficData[[#This Row],[totalAmount]]</f>
        <v>1</v>
      </c>
      <c r="M1482" t="b">
        <f>TrafficData[[#This Row],[pendingCourt]]+TrafficData[[#This Row],[disposedCourt]]=TrafficData[[#This Row],[totalCourt]]</f>
        <v>1</v>
      </c>
      <c r="N1482" t="b">
        <f>AND(TrafficData[[#This Row],[disposedChallan]]&lt;=TrafficData[[#This Row],[totalChallan]],TrafficData[[#This Row],[pendingChallan]]&lt;=TrafficData[[#This Row],[totalChallan]])</f>
        <v>1</v>
      </c>
      <c r="O1482" t="b">
        <f>AND(TrafficData[[#This Row],[pendingAmount]]&lt;=TrafficData[[#This Row],[totalAmount]],TrafficData[[#This Row],[disposedAmount]]&lt;=TrafficData[[#This Row],[totalAmount]])</f>
        <v>1</v>
      </c>
      <c r="P1482" t="b">
        <f>AND(TrafficData[[#This Row],[pendingCourt]]&lt;=TrafficData[[#This Row],[totalCourt]],TrafficData[[#This Row],[disposedCourt]]&lt;=TrafficData[[#This Row],[totalCourt]])</f>
        <v>1</v>
      </c>
    </row>
    <row r="1483" spans="1:16">
      <c r="A1483" s="1">
        <v>43486</v>
      </c>
      <c r="B1483">
        <v>19183</v>
      </c>
      <c r="C1483">
        <v>16672</v>
      </c>
      <c r="D1483">
        <v>2511</v>
      </c>
      <c r="E1483">
        <v>5641414</v>
      </c>
      <c r="F1483">
        <v>25673574</v>
      </c>
      <c r="G1483">
        <v>31314988</v>
      </c>
      <c r="H1483">
        <v>1357</v>
      </c>
      <c r="I1483">
        <v>1223</v>
      </c>
      <c r="J1483">
        <v>2580</v>
      </c>
      <c r="K1483" t="b">
        <f>TrafficData[[#This Row],[disposedChallan]]+TrafficData[[#This Row],[pendingChallan]]=TrafficData[[#This Row],[totalChallan]]</f>
        <v>1</v>
      </c>
      <c r="L1483" t="b">
        <f>TrafficData[[#This Row],[pendingAmount]]+TrafficData[[#This Row],[disposedAmount]]=TrafficData[[#This Row],[totalAmount]]</f>
        <v>1</v>
      </c>
      <c r="M1483" t="b">
        <f>TrafficData[[#This Row],[pendingCourt]]+TrafficData[[#This Row],[disposedCourt]]=TrafficData[[#This Row],[totalCourt]]</f>
        <v>1</v>
      </c>
      <c r="N1483" t="b">
        <f>AND(TrafficData[[#This Row],[disposedChallan]]&lt;=TrafficData[[#This Row],[totalChallan]],TrafficData[[#This Row],[pendingChallan]]&lt;=TrafficData[[#This Row],[totalChallan]])</f>
        <v>1</v>
      </c>
      <c r="O1483" t="b">
        <f>AND(TrafficData[[#This Row],[pendingAmount]]&lt;=TrafficData[[#This Row],[totalAmount]],TrafficData[[#This Row],[disposedAmount]]&lt;=TrafficData[[#This Row],[totalAmount]])</f>
        <v>1</v>
      </c>
      <c r="P1483" t="b">
        <f>AND(TrafficData[[#This Row],[pendingCourt]]&lt;=TrafficData[[#This Row],[totalCourt]],TrafficData[[#This Row],[disposedCourt]]&lt;=TrafficData[[#This Row],[totalCourt]])</f>
        <v>1</v>
      </c>
    </row>
    <row r="1484" spans="1:16">
      <c r="A1484" s="1">
        <v>43487</v>
      </c>
      <c r="B1484">
        <v>19979</v>
      </c>
      <c r="C1484">
        <v>16201</v>
      </c>
      <c r="D1484">
        <v>3778</v>
      </c>
      <c r="E1484">
        <v>8541297</v>
      </c>
      <c r="F1484">
        <v>31147503</v>
      </c>
      <c r="G1484">
        <v>39688800</v>
      </c>
      <c r="H1484">
        <v>2239</v>
      </c>
      <c r="I1484">
        <v>1172</v>
      </c>
      <c r="J1484">
        <v>3411</v>
      </c>
      <c r="K1484" t="b">
        <f>TrafficData[[#This Row],[disposedChallan]]+TrafficData[[#This Row],[pendingChallan]]=TrafficData[[#This Row],[totalChallan]]</f>
        <v>1</v>
      </c>
      <c r="L1484" t="b">
        <f>TrafficData[[#This Row],[pendingAmount]]+TrafficData[[#This Row],[disposedAmount]]=TrafficData[[#This Row],[totalAmount]]</f>
        <v>1</v>
      </c>
      <c r="M1484" t="b">
        <f>TrafficData[[#This Row],[pendingCourt]]+TrafficData[[#This Row],[disposedCourt]]=TrafficData[[#This Row],[totalCourt]]</f>
        <v>1</v>
      </c>
      <c r="N1484" t="b">
        <f>AND(TrafficData[[#This Row],[disposedChallan]]&lt;=TrafficData[[#This Row],[totalChallan]],TrafficData[[#This Row],[pendingChallan]]&lt;=TrafficData[[#This Row],[totalChallan]])</f>
        <v>1</v>
      </c>
      <c r="O1484" t="b">
        <f>AND(TrafficData[[#This Row],[pendingAmount]]&lt;=TrafficData[[#This Row],[totalAmount]],TrafficData[[#This Row],[disposedAmount]]&lt;=TrafficData[[#This Row],[totalAmount]])</f>
        <v>1</v>
      </c>
      <c r="P1484" t="b">
        <f>AND(TrafficData[[#This Row],[pendingCourt]]&lt;=TrafficData[[#This Row],[totalCourt]],TrafficData[[#This Row],[disposedCourt]]&lt;=TrafficData[[#This Row],[totalCourt]])</f>
        <v>1</v>
      </c>
    </row>
    <row r="1485" spans="1:16">
      <c r="A1485" s="1">
        <v>43488</v>
      </c>
      <c r="B1485">
        <v>29071</v>
      </c>
      <c r="C1485">
        <v>22868</v>
      </c>
      <c r="D1485">
        <v>6203</v>
      </c>
      <c r="E1485">
        <v>13082831</v>
      </c>
      <c r="F1485">
        <v>35954818</v>
      </c>
      <c r="G1485">
        <v>49037649</v>
      </c>
      <c r="H1485">
        <v>4606</v>
      </c>
      <c r="I1485">
        <v>1993</v>
      </c>
      <c r="J1485">
        <v>6599</v>
      </c>
      <c r="K1485" t="b">
        <f>TrafficData[[#This Row],[disposedChallan]]+TrafficData[[#This Row],[pendingChallan]]=TrafficData[[#This Row],[totalChallan]]</f>
        <v>1</v>
      </c>
      <c r="L1485" t="b">
        <f>TrafficData[[#This Row],[pendingAmount]]+TrafficData[[#This Row],[disposedAmount]]=TrafficData[[#This Row],[totalAmount]]</f>
        <v>1</v>
      </c>
      <c r="M1485" t="b">
        <f>TrafficData[[#This Row],[pendingCourt]]+TrafficData[[#This Row],[disposedCourt]]=TrafficData[[#This Row],[totalCourt]]</f>
        <v>1</v>
      </c>
      <c r="N1485" t="b">
        <f>AND(TrafficData[[#This Row],[disposedChallan]]&lt;=TrafficData[[#This Row],[totalChallan]],TrafficData[[#This Row],[pendingChallan]]&lt;=TrafficData[[#This Row],[totalChallan]])</f>
        <v>1</v>
      </c>
      <c r="O1485" t="b">
        <f>AND(TrafficData[[#This Row],[pendingAmount]]&lt;=TrafficData[[#This Row],[totalAmount]],TrafficData[[#This Row],[disposedAmount]]&lt;=TrafficData[[#This Row],[totalAmount]])</f>
        <v>1</v>
      </c>
      <c r="P1485" t="b">
        <f>AND(TrafficData[[#This Row],[pendingCourt]]&lt;=TrafficData[[#This Row],[totalCourt]],TrafficData[[#This Row],[disposedCourt]]&lt;=TrafficData[[#This Row],[totalCourt]])</f>
        <v>1</v>
      </c>
    </row>
    <row r="1486" spans="1:16">
      <c r="A1486" s="1">
        <v>43489</v>
      </c>
      <c r="B1486">
        <v>23920</v>
      </c>
      <c r="C1486">
        <v>19517</v>
      </c>
      <c r="D1486">
        <v>4403</v>
      </c>
      <c r="E1486">
        <v>6412459</v>
      </c>
      <c r="F1486">
        <v>33770635</v>
      </c>
      <c r="G1486">
        <v>40183094</v>
      </c>
      <c r="H1486">
        <v>2358</v>
      </c>
      <c r="I1486">
        <v>1491</v>
      </c>
      <c r="J1486">
        <v>3849</v>
      </c>
      <c r="K1486" t="b">
        <f>TrafficData[[#This Row],[disposedChallan]]+TrafficData[[#This Row],[pendingChallan]]=TrafficData[[#This Row],[totalChallan]]</f>
        <v>1</v>
      </c>
      <c r="L1486" t="b">
        <f>TrafficData[[#This Row],[pendingAmount]]+TrafficData[[#This Row],[disposedAmount]]=TrafficData[[#This Row],[totalAmount]]</f>
        <v>1</v>
      </c>
      <c r="M1486" t="b">
        <f>TrafficData[[#This Row],[pendingCourt]]+TrafficData[[#This Row],[disposedCourt]]=TrafficData[[#This Row],[totalCourt]]</f>
        <v>1</v>
      </c>
      <c r="N1486" t="b">
        <f>AND(TrafficData[[#This Row],[disposedChallan]]&lt;=TrafficData[[#This Row],[totalChallan]],TrafficData[[#This Row],[pendingChallan]]&lt;=TrafficData[[#This Row],[totalChallan]])</f>
        <v>1</v>
      </c>
      <c r="O1486" t="b">
        <f>AND(TrafficData[[#This Row],[pendingAmount]]&lt;=TrafficData[[#This Row],[totalAmount]],TrafficData[[#This Row],[disposedAmount]]&lt;=TrafficData[[#This Row],[totalAmount]])</f>
        <v>1</v>
      </c>
      <c r="P1486" t="b">
        <f>AND(TrafficData[[#This Row],[pendingCourt]]&lt;=TrafficData[[#This Row],[totalCourt]],TrafficData[[#This Row],[disposedCourt]]&lt;=TrafficData[[#This Row],[totalCourt]])</f>
        <v>1</v>
      </c>
    </row>
    <row r="1487" spans="1:16">
      <c r="A1487" s="1">
        <v>43490</v>
      </c>
      <c r="B1487">
        <v>24342</v>
      </c>
      <c r="C1487">
        <v>20427</v>
      </c>
      <c r="D1487">
        <v>3915</v>
      </c>
      <c r="E1487">
        <v>7771270</v>
      </c>
      <c r="F1487">
        <v>33182706</v>
      </c>
      <c r="G1487">
        <v>40953976</v>
      </c>
      <c r="H1487">
        <v>1763</v>
      </c>
      <c r="I1487">
        <v>1462</v>
      </c>
      <c r="J1487">
        <v>3225</v>
      </c>
      <c r="K1487" t="b">
        <f>TrafficData[[#This Row],[disposedChallan]]+TrafficData[[#This Row],[pendingChallan]]=TrafficData[[#This Row],[totalChallan]]</f>
        <v>1</v>
      </c>
      <c r="L1487" t="b">
        <f>TrafficData[[#This Row],[pendingAmount]]+TrafficData[[#This Row],[disposedAmount]]=TrafficData[[#This Row],[totalAmount]]</f>
        <v>1</v>
      </c>
      <c r="M1487" t="b">
        <f>TrafficData[[#This Row],[pendingCourt]]+TrafficData[[#This Row],[disposedCourt]]=TrafficData[[#This Row],[totalCourt]]</f>
        <v>1</v>
      </c>
      <c r="N1487" t="b">
        <f>AND(TrafficData[[#This Row],[disposedChallan]]&lt;=TrafficData[[#This Row],[totalChallan]],TrafficData[[#This Row],[pendingChallan]]&lt;=TrafficData[[#This Row],[totalChallan]])</f>
        <v>1</v>
      </c>
      <c r="O1487" t="b">
        <f>AND(TrafficData[[#This Row],[pendingAmount]]&lt;=TrafficData[[#This Row],[totalAmount]],TrafficData[[#This Row],[disposedAmount]]&lt;=TrafficData[[#This Row],[totalAmount]])</f>
        <v>1</v>
      </c>
      <c r="P1487" t="b">
        <f>AND(TrafficData[[#This Row],[pendingCourt]]&lt;=TrafficData[[#This Row],[totalCourt]],TrafficData[[#This Row],[disposedCourt]]&lt;=TrafficData[[#This Row],[totalCourt]])</f>
        <v>1</v>
      </c>
    </row>
    <row r="1488" spans="1:16">
      <c r="A1488" s="1">
        <v>43491</v>
      </c>
      <c r="B1488">
        <v>11158</v>
      </c>
      <c r="C1488">
        <v>9576</v>
      </c>
      <c r="D1488">
        <v>1582</v>
      </c>
      <c r="E1488">
        <v>1013100</v>
      </c>
      <c r="F1488">
        <v>15253018</v>
      </c>
      <c r="G1488">
        <v>16266118</v>
      </c>
      <c r="H1488">
        <v>526</v>
      </c>
      <c r="I1488">
        <v>562</v>
      </c>
      <c r="J1488">
        <v>1088</v>
      </c>
      <c r="K1488" t="b">
        <f>TrafficData[[#This Row],[disposedChallan]]+TrafficData[[#This Row],[pendingChallan]]=TrafficData[[#This Row],[totalChallan]]</f>
        <v>1</v>
      </c>
      <c r="L1488" t="b">
        <f>TrafficData[[#This Row],[pendingAmount]]+TrafficData[[#This Row],[disposedAmount]]=TrafficData[[#This Row],[totalAmount]]</f>
        <v>1</v>
      </c>
      <c r="M1488" t="b">
        <f>TrafficData[[#This Row],[pendingCourt]]+TrafficData[[#This Row],[disposedCourt]]=TrafficData[[#This Row],[totalCourt]]</f>
        <v>1</v>
      </c>
      <c r="N1488" t="b">
        <f>AND(TrafficData[[#This Row],[disposedChallan]]&lt;=TrafficData[[#This Row],[totalChallan]],TrafficData[[#This Row],[pendingChallan]]&lt;=TrafficData[[#This Row],[totalChallan]])</f>
        <v>1</v>
      </c>
      <c r="O1488" t="b">
        <f>AND(TrafficData[[#This Row],[pendingAmount]]&lt;=TrafficData[[#This Row],[totalAmount]],TrafficData[[#This Row],[disposedAmount]]&lt;=TrafficData[[#This Row],[totalAmount]])</f>
        <v>1</v>
      </c>
      <c r="P1488" t="b">
        <f>AND(TrafficData[[#This Row],[pendingCourt]]&lt;=TrafficData[[#This Row],[totalCourt]],TrafficData[[#This Row],[disposedCourt]]&lt;=TrafficData[[#This Row],[totalCourt]])</f>
        <v>1</v>
      </c>
    </row>
    <row r="1489" spans="1:16">
      <c r="A1489" s="1">
        <v>43492</v>
      </c>
      <c r="B1489">
        <v>13297</v>
      </c>
      <c r="C1489">
        <v>11299</v>
      </c>
      <c r="D1489">
        <v>1998</v>
      </c>
      <c r="E1489">
        <v>2312994</v>
      </c>
      <c r="F1489">
        <v>15407267</v>
      </c>
      <c r="G1489">
        <v>17720261</v>
      </c>
      <c r="H1489">
        <v>939</v>
      </c>
      <c r="I1489">
        <v>1107</v>
      </c>
      <c r="J1489">
        <v>2046</v>
      </c>
      <c r="K1489" t="b">
        <f>TrafficData[[#This Row],[disposedChallan]]+TrafficData[[#This Row],[pendingChallan]]=TrafficData[[#This Row],[totalChallan]]</f>
        <v>1</v>
      </c>
      <c r="L1489" t="b">
        <f>TrafficData[[#This Row],[pendingAmount]]+TrafficData[[#This Row],[disposedAmount]]=TrafficData[[#This Row],[totalAmount]]</f>
        <v>1</v>
      </c>
      <c r="M1489" t="b">
        <f>TrafficData[[#This Row],[pendingCourt]]+TrafficData[[#This Row],[disposedCourt]]=TrafficData[[#This Row],[totalCourt]]</f>
        <v>1</v>
      </c>
      <c r="N1489" t="b">
        <f>AND(TrafficData[[#This Row],[disposedChallan]]&lt;=TrafficData[[#This Row],[totalChallan]],TrafficData[[#This Row],[pendingChallan]]&lt;=TrafficData[[#This Row],[totalChallan]])</f>
        <v>1</v>
      </c>
      <c r="O1489" t="b">
        <f>AND(TrafficData[[#This Row],[pendingAmount]]&lt;=TrafficData[[#This Row],[totalAmount]],TrafficData[[#This Row],[disposedAmount]]&lt;=TrafficData[[#This Row],[totalAmount]])</f>
        <v>1</v>
      </c>
      <c r="P1489" t="b">
        <f>AND(TrafficData[[#This Row],[pendingCourt]]&lt;=TrafficData[[#This Row],[totalCourt]],TrafficData[[#This Row],[disposedCourt]]&lt;=TrafficData[[#This Row],[totalCourt]])</f>
        <v>1</v>
      </c>
    </row>
    <row r="1490" spans="1:16">
      <c r="A1490" s="1">
        <v>43493</v>
      </c>
      <c r="B1490">
        <v>22447</v>
      </c>
      <c r="C1490">
        <v>18473</v>
      </c>
      <c r="D1490">
        <v>3974</v>
      </c>
      <c r="E1490">
        <v>6948279</v>
      </c>
      <c r="F1490">
        <v>28381982</v>
      </c>
      <c r="G1490">
        <v>35330261</v>
      </c>
      <c r="H1490">
        <v>1887</v>
      </c>
      <c r="I1490">
        <v>1510</v>
      </c>
      <c r="J1490">
        <v>3397</v>
      </c>
      <c r="K1490" t="b">
        <f>TrafficData[[#This Row],[disposedChallan]]+TrafficData[[#This Row],[pendingChallan]]=TrafficData[[#This Row],[totalChallan]]</f>
        <v>1</v>
      </c>
      <c r="L1490" t="b">
        <f>TrafficData[[#This Row],[pendingAmount]]+TrafficData[[#This Row],[disposedAmount]]=TrafficData[[#This Row],[totalAmount]]</f>
        <v>1</v>
      </c>
      <c r="M1490" t="b">
        <f>TrafficData[[#This Row],[pendingCourt]]+TrafficData[[#This Row],[disposedCourt]]=TrafficData[[#This Row],[totalCourt]]</f>
        <v>1</v>
      </c>
      <c r="N1490" t="b">
        <f>AND(TrafficData[[#This Row],[disposedChallan]]&lt;=TrafficData[[#This Row],[totalChallan]],TrafficData[[#This Row],[pendingChallan]]&lt;=TrafficData[[#This Row],[totalChallan]])</f>
        <v>1</v>
      </c>
      <c r="O1490" t="b">
        <f>AND(TrafficData[[#This Row],[pendingAmount]]&lt;=TrafficData[[#This Row],[totalAmount]],TrafficData[[#This Row],[disposedAmount]]&lt;=TrafficData[[#This Row],[totalAmount]])</f>
        <v>1</v>
      </c>
      <c r="P1490" t="b">
        <f>AND(TrafficData[[#This Row],[pendingCourt]]&lt;=TrafficData[[#This Row],[totalCourt]],TrafficData[[#This Row],[disposedCourt]]&lt;=TrafficData[[#This Row],[totalCourt]])</f>
        <v>1</v>
      </c>
    </row>
    <row r="1491" spans="1:16">
      <c r="A1491" s="1">
        <v>43494</v>
      </c>
      <c r="B1491">
        <v>21901</v>
      </c>
      <c r="C1491">
        <v>17506</v>
      </c>
      <c r="D1491">
        <v>4395</v>
      </c>
      <c r="E1491">
        <v>8898324</v>
      </c>
      <c r="F1491">
        <v>37446617</v>
      </c>
      <c r="G1491">
        <v>46344941</v>
      </c>
      <c r="H1491">
        <v>2578</v>
      </c>
      <c r="I1491">
        <v>1980</v>
      </c>
      <c r="J1491">
        <v>4558</v>
      </c>
      <c r="K1491" t="b">
        <f>TrafficData[[#This Row],[disposedChallan]]+TrafficData[[#This Row],[pendingChallan]]=TrafficData[[#This Row],[totalChallan]]</f>
        <v>1</v>
      </c>
      <c r="L1491" t="b">
        <f>TrafficData[[#This Row],[pendingAmount]]+TrafficData[[#This Row],[disposedAmount]]=TrafficData[[#This Row],[totalAmount]]</f>
        <v>1</v>
      </c>
      <c r="M1491" t="b">
        <f>TrafficData[[#This Row],[pendingCourt]]+TrafficData[[#This Row],[disposedCourt]]=TrafficData[[#This Row],[totalCourt]]</f>
        <v>1</v>
      </c>
      <c r="N1491" t="b">
        <f>AND(TrafficData[[#This Row],[disposedChallan]]&lt;=TrafficData[[#This Row],[totalChallan]],TrafficData[[#This Row],[pendingChallan]]&lt;=TrafficData[[#This Row],[totalChallan]])</f>
        <v>1</v>
      </c>
      <c r="O1491" t="b">
        <f>AND(TrafficData[[#This Row],[pendingAmount]]&lt;=TrafficData[[#This Row],[totalAmount]],TrafficData[[#This Row],[disposedAmount]]&lt;=TrafficData[[#This Row],[totalAmount]])</f>
        <v>1</v>
      </c>
      <c r="P1491" t="b">
        <f>AND(TrafficData[[#This Row],[pendingCourt]]&lt;=TrafficData[[#This Row],[totalCourt]],TrafficData[[#This Row],[disposedCourt]]&lt;=TrafficData[[#This Row],[totalCourt]])</f>
        <v>1</v>
      </c>
    </row>
    <row r="1492" spans="1:16">
      <c r="A1492" s="1">
        <v>43495</v>
      </c>
      <c r="B1492">
        <v>34835</v>
      </c>
      <c r="C1492">
        <v>27432</v>
      </c>
      <c r="D1492">
        <v>7403</v>
      </c>
      <c r="E1492">
        <v>11294920</v>
      </c>
      <c r="F1492">
        <v>41460774</v>
      </c>
      <c r="G1492">
        <v>52755694</v>
      </c>
      <c r="H1492">
        <v>5030</v>
      </c>
      <c r="I1492">
        <v>2697</v>
      </c>
      <c r="J1492">
        <v>7727</v>
      </c>
      <c r="K1492" t="b">
        <f>TrafficData[[#This Row],[disposedChallan]]+TrafficData[[#This Row],[pendingChallan]]=TrafficData[[#This Row],[totalChallan]]</f>
        <v>1</v>
      </c>
      <c r="L1492" t="b">
        <f>TrafficData[[#This Row],[pendingAmount]]+TrafficData[[#This Row],[disposedAmount]]=TrafficData[[#This Row],[totalAmount]]</f>
        <v>1</v>
      </c>
      <c r="M1492" t="b">
        <f>TrafficData[[#This Row],[pendingCourt]]+TrafficData[[#This Row],[disposedCourt]]=TrafficData[[#This Row],[totalCourt]]</f>
        <v>1</v>
      </c>
      <c r="N1492" t="b">
        <f>AND(TrafficData[[#This Row],[disposedChallan]]&lt;=TrafficData[[#This Row],[totalChallan]],TrafficData[[#This Row],[pendingChallan]]&lt;=TrafficData[[#This Row],[totalChallan]])</f>
        <v>1</v>
      </c>
      <c r="O1492" t="b">
        <f>AND(TrafficData[[#This Row],[pendingAmount]]&lt;=TrafficData[[#This Row],[totalAmount]],TrafficData[[#This Row],[disposedAmount]]&lt;=TrafficData[[#This Row],[totalAmount]])</f>
        <v>1</v>
      </c>
      <c r="P1492" t="b">
        <f>AND(TrafficData[[#This Row],[pendingCourt]]&lt;=TrafficData[[#This Row],[totalCourt]],TrafficData[[#This Row],[disposedCourt]]&lt;=TrafficData[[#This Row],[totalCourt]])</f>
        <v>1</v>
      </c>
    </row>
    <row r="1493" spans="1:16">
      <c r="A1493" s="1">
        <v>43496</v>
      </c>
      <c r="B1493">
        <v>29237</v>
      </c>
      <c r="C1493">
        <v>23737</v>
      </c>
      <c r="D1493">
        <v>5500</v>
      </c>
      <c r="E1493">
        <v>7275019</v>
      </c>
      <c r="F1493">
        <v>38965939</v>
      </c>
      <c r="G1493">
        <v>46240958</v>
      </c>
      <c r="H1493">
        <v>3264</v>
      </c>
      <c r="I1493">
        <v>2824</v>
      </c>
      <c r="J1493">
        <v>6088</v>
      </c>
      <c r="K1493" t="b">
        <f>TrafficData[[#This Row],[disposedChallan]]+TrafficData[[#This Row],[pendingChallan]]=TrafficData[[#This Row],[totalChallan]]</f>
        <v>1</v>
      </c>
      <c r="L1493" t="b">
        <f>TrafficData[[#This Row],[pendingAmount]]+TrafficData[[#This Row],[disposedAmount]]=TrafficData[[#This Row],[totalAmount]]</f>
        <v>1</v>
      </c>
      <c r="M1493" t="b">
        <f>TrafficData[[#This Row],[pendingCourt]]+TrafficData[[#This Row],[disposedCourt]]=TrafficData[[#This Row],[totalCourt]]</f>
        <v>1</v>
      </c>
      <c r="N1493" t="b">
        <f>AND(TrafficData[[#This Row],[disposedChallan]]&lt;=TrafficData[[#This Row],[totalChallan]],TrafficData[[#This Row],[pendingChallan]]&lt;=TrafficData[[#This Row],[totalChallan]])</f>
        <v>1</v>
      </c>
      <c r="O1493" t="b">
        <f>AND(TrafficData[[#This Row],[pendingAmount]]&lt;=TrafficData[[#This Row],[totalAmount]],TrafficData[[#This Row],[disposedAmount]]&lt;=TrafficData[[#This Row],[totalAmount]])</f>
        <v>1</v>
      </c>
      <c r="P1493" t="b">
        <f>AND(TrafficData[[#This Row],[pendingCourt]]&lt;=TrafficData[[#This Row],[totalCourt]],TrafficData[[#This Row],[disposedCourt]]&lt;=TrafficData[[#This Row],[totalCourt]])</f>
        <v>1</v>
      </c>
    </row>
    <row r="1494" spans="1:16">
      <c r="A1494" s="1">
        <v>43497</v>
      </c>
      <c r="B1494">
        <v>31151</v>
      </c>
      <c r="C1494">
        <v>26207</v>
      </c>
      <c r="D1494">
        <v>4944</v>
      </c>
      <c r="E1494">
        <v>6808740</v>
      </c>
      <c r="F1494">
        <v>46461938</v>
      </c>
      <c r="G1494">
        <v>53270678</v>
      </c>
      <c r="H1494">
        <v>2715</v>
      </c>
      <c r="I1494">
        <v>2523</v>
      </c>
      <c r="J1494">
        <v>5238</v>
      </c>
      <c r="K1494" t="b">
        <f>TrafficData[[#This Row],[disposedChallan]]+TrafficData[[#This Row],[pendingChallan]]=TrafficData[[#This Row],[totalChallan]]</f>
        <v>1</v>
      </c>
      <c r="L1494" t="b">
        <f>TrafficData[[#This Row],[pendingAmount]]+TrafficData[[#This Row],[disposedAmount]]=TrafficData[[#This Row],[totalAmount]]</f>
        <v>1</v>
      </c>
      <c r="M1494" t="b">
        <f>TrafficData[[#This Row],[pendingCourt]]+TrafficData[[#This Row],[disposedCourt]]=TrafficData[[#This Row],[totalCourt]]</f>
        <v>1</v>
      </c>
      <c r="N1494" t="b">
        <f>AND(TrafficData[[#This Row],[disposedChallan]]&lt;=TrafficData[[#This Row],[totalChallan]],TrafficData[[#This Row],[pendingChallan]]&lt;=TrafficData[[#This Row],[totalChallan]])</f>
        <v>1</v>
      </c>
      <c r="O1494" t="b">
        <f>AND(TrafficData[[#This Row],[pendingAmount]]&lt;=TrafficData[[#This Row],[totalAmount]],TrafficData[[#This Row],[disposedAmount]]&lt;=TrafficData[[#This Row],[totalAmount]])</f>
        <v>1</v>
      </c>
      <c r="P1494" t="b">
        <f>AND(TrafficData[[#This Row],[pendingCourt]]&lt;=TrafficData[[#This Row],[totalCourt]],TrafficData[[#This Row],[disposedCourt]]&lt;=TrafficData[[#This Row],[totalCourt]])</f>
        <v>1</v>
      </c>
    </row>
    <row r="1495" spans="1:16">
      <c r="A1495" s="1">
        <v>43498</v>
      </c>
      <c r="B1495">
        <v>26992</v>
      </c>
      <c r="C1495">
        <v>22670</v>
      </c>
      <c r="D1495">
        <v>4322</v>
      </c>
      <c r="E1495">
        <v>6718908</v>
      </c>
      <c r="F1495">
        <v>38844085</v>
      </c>
      <c r="G1495">
        <v>45562993</v>
      </c>
      <c r="H1495">
        <v>2466</v>
      </c>
      <c r="I1495">
        <v>2537</v>
      </c>
      <c r="J1495">
        <v>5003</v>
      </c>
      <c r="K1495" t="b">
        <f>TrafficData[[#This Row],[disposedChallan]]+TrafficData[[#This Row],[pendingChallan]]=TrafficData[[#This Row],[totalChallan]]</f>
        <v>1</v>
      </c>
      <c r="L1495" t="b">
        <f>TrafficData[[#This Row],[pendingAmount]]+TrafficData[[#This Row],[disposedAmount]]=TrafficData[[#This Row],[totalAmount]]</f>
        <v>1</v>
      </c>
      <c r="M1495" t="b">
        <f>TrafficData[[#This Row],[pendingCourt]]+TrafficData[[#This Row],[disposedCourt]]=TrafficData[[#This Row],[totalCourt]]</f>
        <v>1</v>
      </c>
      <c r="N1495" t="b">
        <f>AND(TrafficData[[#This Row],[disposedChallan]]&lt;=TrafficData[[#This Row],[totalChallan]],TrafficData[[#This Row],[pendingChallan]]&lt;=TrafficData[[#This Row],[totalChallan]])</f>
        <v>1</v>
      </c>
      <c r="O1495" t="b">
        <f>AND(TrafficData[[#This Row],[pendingAmount]]&lt;=TrafficData[[#This Row],[totalAmount]],TrafficData[[#This Row],[disposedAmount]]&lt;=TrafficData[[#This Row],[totalAmount]])</f>
        <v>1</v>
      </c>
      <c r="P1495" t="b">
        <f>AND(TrafficData[[#This Row],[pendingCourt]]&lt;=TrafficData[[#This Row],[totalCourt]],TrafficData[[#This Row],[disposedCourt]]&lt;=TrafficData[[#This Row],[totalCourt]])</f>
        <v>1</v>
      </c>
    </row>
    <row r="1496" spans="1:16">
      <c r="A1496" s="1">
        <v>43499</v>
      </c>
      <c r="B1496">
        <v>20166</v>
      </c>
      <c r="C1496">
        <v>17056</v>
      </c>
      <c r="D1496">
        <v>3110</v>
      </c>
      <c r="E1496">
        <v>3579910</v>
      </c>
      <c r="F1496">
        <v>22330386</v>
      </c>
      <c r="G1496">
        <v>25910296</v>
      </c>
      <c r="H1496">
        <v>1813</v>
      </c>
      <c r="I1496">
        <v>2299</v>
      </c>
      <c r="J1496">
        <v>4112</v>
      </c>
      <c r="K1496" t="b">
        <f>TrafficData[[#This Row],[disposedChallan]]+TrafficData[[#This Row],[pendingChallan]]=TrafficData[[#This Row],[totalChallan]]</f>
        <v>1</v>
      </c>
      <c r="L1496" t="b">
        <f>TrafficData[[#This Row],[pendingAmount]]+TrafficData[[#This Row],[disposedAmount]]=TrafficData[[#This Row],[totalAmount]]</f>
        <v>1</v>
      </c>
      <c r="M1496" t="b">
        <f>TrafficData[[#This Row],[pendingCourt]]+TrafficData[[#This Row],[disposedCourt]]=TrafficData[[#This Row],[totalCourt]]</f>
        <v>1</v>
      </c>
      <c r="N1496" t="b">
        <f>AND(TrafficData[[#This Row],[disposedChallan]]&lt;=TrafficData[[#This Row],[totalChallan]],TrafficData[[#This Row],[pendingChallan]]&lt;=TrafficData[[#This Row],[totalChallan]])</f>
        <v>1</v>
      </c>
      <c r="O1496" t="b">
        <f>AND(TrafficData[[#This Row],[pendingAmount]]&lt;=TrafficData[[#This Row],[totalAmount]],TrafficData[[#This Row],[disposedAmount]]&lt;=TrafficData[[#This Row],[totalAmount]])</f>
        <v>1</v>
      </c>
      <c r="P1496" t="b">
        <f>AND(TrafficData[[#This Row],[pendingCourt]]&lt;=TrafficData[[#This Row],[totalCourt]],TrafficData[[#This Row],[disposedCourt]]&lt;=TrafficData[[#This Row],[totalCourt]])</f>
        <v>1</v>
      </c>
    </row>
    <row r="1497" spans="1:16">
      <c r="A1497" s="1">
        <v>43500</v>
      </c>
      <c r="B1497">
        <v>29561</v>
      </c>
      <c r="C1497">
        <v>24659</v>
      </c>
      <c r="D1497">
        <v>4902</v>
      </c>
      <c r="E1497">
        <v>5590848</v>
      </c>
      <c r="F1497">
        <v>26949776</v>
      </c>
      <c r="G1497">
        <v>32540624</v>
      </c>
      <c r="H1497">
        <v>3473</v>
      </c>
      <c r="I1497">
        <v>2771</v>
      </c>
      <c r="J1497">
        <v>6244</v>
      </c>
      <c r="K1497" t="b">
        <f>TrafficData[[#This Row],[disposedChallan]]+TrafficData[[#This Row],[pendingChallan]]=TrafficData[[#This Row],[totalChallan]]</f>
        <v>1</v>
      </c>
      <c r="L1497" t="b">
        <f>TrafficData[[#This Row],[pendingAmount]]+TrafficData[[#This Row],[disposedAmount]]=TrafficData[[#This Row],[totalAmount]]</f>
        <v>1</v>
      </c>
      <c r="M1497" t="b">
        <f>TrafficData[[#This Row],[pendingCourt]]+TrafficData[[#This Row],[disposedCourt]]=TrafficData[[#This Row],[totalCourt]]</f>
        <v>1</v>
      </c>
      <c r="N1497" t="b">
        <f>AND(TrafficData[[#This Row],[disposedChallan]]&lt;=TrafficData[[#This Row],[totalChallan]],TrafficData[[#This Row],[pendingChallan]]&lt;=TrafficData[[#This Row],[totalChallan]])</f>
        <v>1</v>
      </c>
      <c r="O1497" t="b">
        <f>AND(TrafficData[[#This Row],[pendingAmount]]&lt;=TrafficData[[#This Row],[totalAmount]],TrafficData[[#This Row],[disposedAmount]]&lt;=TrafficData[[#This Row],[totalAmount]])</f>
        <v>1</v>
      </c>
      <c r="P1497" t="b">
        <f>AND(TrafficData[[#This Row],[pendingCourt]]&lt;=TrafficData[[#This Row],[totalCourt]],TrafficData[[#This Row],[disposedCourt]]&lt;=TrafficData[[#This Row],[totalCourt]])</f>
        <v>1</v>
      </c>
    </row>
    <row r="1498" spans="1:16">
      <c r="A1498" s="1">
        <v>43501</v>
      </c>
      <c r="B1498">
        <v>28571</v>
      </c>
      <c r="C1498">
        <v>24622</v>
      </c>
      <c r="D1498">
        <v>3949</v>
      </c>
      <c r="E1498">
        <v>6458433</v>
      </c>
      <c r="F1498">
        <v>32853231</v>
      </c>
      <c r="G1498">
        <v>39311664</v>
      </c>
      <c r="H1498">
        <v>2317</v>
      </c>
      <c r="I1498">
        <v>2220</v>
      </c>
      <c r="J1498">
        <v>4537</v>
      </c>
      <c r="K1498" t="b">
        <f>TrafficData[[#This Row],[disposedChallan]]+TrafficData[[#This Row],[pendingChallan]]=TrafficData[[#This Row],[totalChallan]]</f>
        <v>1</v>
      </c>
      <c r="L1498" t="b">
        <f>TrafficData[[#This Row],[pendingAmount]]+TrafficData[[#This Row],[disposedAmount]]=TrafficData[[#This Row],[totalAmount]]</f>
        <v>1</v>
      </c>
      <c r="M1498" t="b">
        <f>TrafficData[[#This Row],[pendingCourt]]+TrafficData[[#This Row],[disposedCourt]]=TrafficData[[#This Row],[totalCourt]]</f>
        <v>1</v>
      </c>
      <c r="N1498" t="b">
        <f>AND(TrafficData[[#This Row],[disposedChallan]]&lt;=TrafficData[[#This Row],[totalChallan]],TrafficData[[#This Row],[pendingChallan]]&lt;=TrafficData[[#This Row],[totalChallan]])</f>
        <v>1</v>
      </c>
      <c r="O1498" t="b">
        <f>AND(TrafficData[[#This Row],[pendingAmount]]&lt;=TrafficData[[#This Row],[totalAmount]],TrafficData[[#This Row],[disposedAmount]]&lt;=TrafficData[[#This Row],[totalAmount]])</f>
        <v>1</v>
      </c>
      <c r="P1498" t="b">
        <f>AND(TrafficData[[#This Row],[pendingCourt]]&lt;=TrafficData[[#This Row],[totalCourt]],TrafficData[[#This Row],[disposedCourt]]&lt;=TrafficData[[#This Row],[totalCourt]])</f>
        <v>1</v>
      </c>
    </row>
    <row r="1499" spans="1:16">
      <c r="A1499" s="1">
        <v>43502</v>
      </c>
      <c r="B1499">
        <v>32567</v>
      </c>
      <c r="C1499">
        <v>26527</v>
      </c>
      <c r="D1499">
        <v>6040</v>
      </c>
      <c r="E1499">
        <v>9470999</v>
      </c>
      <c r="F1499">
        <v>34612523</v>
      </c>
      <c r="G1499">
        <v>44083522</v>
      </c>
      <c r="H1499">
        <v>3872</v>
      </c>
      <c r="I1499">
        <v>2661</v>
      </c>
      <c r="J1499">
        <v>6533</v>
      </c>
      <c r="K1499" t="b">
        <f>TrafficData[[#This Row],[disposedChallan]]+TrafficData[[#This Row],[pendingChallan]]=TrafficData[[#This Row],[totalChallan]]</f>
        <v>1</v>
      </c>
      <c r="L1499" t="b">
        <f>TrafficData[[#This Row],[pendingAmount]]+TrafficData[[#This Row],[disposedAmount]]=TrafficData[[#This Row],[totalAmount]]</f>
        <v>1</v>
      </c>
      <c r="M1499" t="b">
        <f>TrafficData[[#This Row],[pendingCourt]]+TrafficData[[#This Row],[disposedCourt]]=TrafficData[[#This Row],[totalCourt]]</f>
        <v>1</v>
      </c>
      <c r="N1499" t="b">
        <f>AND(TrafficData[[#This Row],[disposedChallan]]&lt;=TrafficData[[#This Row],[totalChallan]],TrafficData[[#This Row],[pendingChallan]]&lt;=TrafficData[[#This Row],[totalChallan]])</f>
        <v>1</v>
      </c>
      <c r="O1499" t="b">
        <f>AND(TrafficData[[#This Row],[pendingAmount]]&lt;=TrafficData[[#This Row],[totalAmount]],TrafficData[[#This Row],[disposedAmount]]&lt;=TrafficData[[#This Row],[totalAmount]])</f>
        <v>1</v>
      </c>
      <c r="P1499" t="b">
        <f>AND(TrafficData[[#This Row],[pendingCourt]]&lt;=TrafficData[[#This Row],[totalCourt]],TrafficData[[#This Row],[disposedCourt]]&lt;=TrafficData[[#This Row],[totalCourt]])</f>
        <v>1</v>
      </c>
    </row>
    <row r="1500" spans="1:16">
      <c r="A1500" s="1">
        <v>43503</v>
      </c>
      <c r="B1500">
        <v>25959</v>
      </c>
      <c r="C1500">
        <v>22010</v>
      </c>
      <c r="D1500">
        <v>3949</v>
      </c>
      <c r="E1500">
        <v>7026050</v>
      </c>
      <c r="F1500">
        <v>34560664</v>
      </c>
      <c r="G1500">
        <v>41586714</v>
      </c>
      <c r="H1500">
        <v>2231</v>
      </c>
      <c r="I1500">
        <v>2201</v>
      </c>
      <c r="J1500">
        <v>4432</v>
      </c>
      <c r="K1500" t="b">
        <f>TrafficData[[#This Row],[disposedChallan]]+TrafficData[[#This Row],[pendingChallan]]=TrafficData[[#This Row],[totalChallan]]</f>
        <v>1</v>
      </c>
      <c r="L1500" t="b">
        <f>TrafficData[[#This Row],[pendingAmount]]+TrafficData[[#This Row],[disposedAmount]]=TrafficData[[#This Row],[totalAmount]]</f>
        <v>1</v>
      </c>
      <c r="M1500" t="b">
        <f>TrafficData[[#This Row],[pendingCourt]]+TrafficData[[#This Row],[disposedCourt]]=TrafficData[[#This Row],[totalCourt]]</f>
        <v>1</v>
      </c>
      <c r="N1500" t="b">
        <f>AND(TrafficData[[#This Row],[disposedChallan]]&lt;=TrafficData[[#This Row],[totalChallan]],TrafficData[[#This Row],[pendingChallan]]&lt;=TrafficData[[#This Row],[totalChallan]])</f>
        <v>1</v>
      </c>
      <c r="O1500" t="b">
        <f>AND(TrafficData[[#This Row],[pendingAmount]]&lt;=TrafficData[[#This Row],[totalAmount]],TrafficData[[#This Row],[disposedAmount]]&lt;=TrafficData[[#This Row],[totalAmount]])</f>
        <v>1</v>
      </c>
      <c r="P1500" t="b">
        <f>AND(TrafficData[[#This Row],[pendingCourt]]&lt;=TrafficData[[#This Row],[totalCourt]],TrafficData[[#This Row],[disposedCourt]]&lt;=TrafficData[[#This Row],[totalCourt]])</f>
        <v>1</v>
      </c>
    </row>
    <row r="1501" spans="1:16">
      <c r="A1501" s="1">
        <v>43504</v>
      </c>
      <c r="B1501">
        <v>28646</v>
      </c>
      <c r="C1501">
        <v>24107</v>
      </c>
      <c r="D1501">
        <v>4539</v>
      </c>
      <c r="E1501">
        <v>5920592</v>
      </c>
      <c r="F1501">
        <v>36240099</v>
      </c>
      <c r="G1501">
        <v>42160691</v>
      </c>
      <c r="H1501">
        <v>2756</v>
      </c>
      <c r="I1501">
        <v>2412</v>
      </c>
      <c r="J1501">
        <v>5168</v>
      </c>
      <c r="K1501" t="b">
        <f>TrafficData[[#This Row],[disposedChallan]]+TrafficData[[#This Row],[pendingChallan]]=TrafficData[[#This Row],[totalChallan]]</f>
        <v>1</v>
      </c>
      <c r="L1501" t="b">
        <f>TrafficData[[#This Row],[pendingAmount]]+TrafficData[[#This Row],[disposedAmount]]=TrafficData[[#This Row],[totalAmount]]</f>
        <v>1</v>
      </c>
      <c r="M1501" t="b">
        <f>TrafficData[[#This Row],[pendingCourt]]+TrafficData[[#This Row],[disposedCourt]]=TrafficData[[#This Row],[totalCourt]]</f>
        <v>1</v>
      </c>
      <c r="N1501" t="b">
        <f>AND(TrafficData[[#This Row],[disposedChallan]]&lt;=TrafficData[[#This Row],[totalChallan]],TrafficData[[#This Row],[pendingChallan]]&lt;=TrafficData[[#This Row],[totalChallan]])</f>
        <v>1</v>
      </c>
      <c r="O1501" t="b">
        <f>AND(TrafficData[[#This Row],[pendingAmount]]&lt;=TrafficData[[#This Row],[totalAmount]],TrafficData[[#This Row],[disposedAmount]]&lt;=TrafficData[[#This Row],[totalAmount]])</f>
        <v>1</v>
      </c>
      <c r="P1501" t="b">
        <f>AND(TrafficData[[#This Row],[pendingCourt]]&lt;=TrafficData[[#This Row],[totalCourt]],TrafficData[[#This Row],[disposedCourt]]&lt;=TrafficData[[#This Row],[totalCourt]])</f>
        <v>1</v>
      </c>
    </row>
    <row r="1502" spans="1:16">
      <c r="A1502" s="1">
        <v>43505</v>
      </c>
      <c r="B1502">
        <v>24624</v>
      </c>
      <c r="C1502">
        <v>20734</v>
      </c>
      <c r="D1502">
        <v>3890</v>
      </c>
      <c r="E1502">
        <v>4729417</v>
      </c>
      <c r="F1502">
        <v>29609538</v>
      </c>
      <c r="G1502">
        <v>34338955</v>
      </c>
      <c r="H1502">
        <v>2400</v>
      </c>
      <c r="I1502">
        <v>2363</v>
      </c>
      <c r="J1502">
        <v>4763</v>
      </c>
      <c r="K1502" t="b">
        <f>TrafficData[[#This Row],[disposedChallan]]+TrafficData[[#This Row],[pendingChallan]]=TrafficData[[#This Row],[totalChallan]]</f>
        <v>1</v>
      </c>
      <c r="L1502" t="b">
        <f>TrafficData[[#This Row],[pendingAmount]]+TrafficData[[#This Row],[disposedAmount]]=TrafficData[[#This Row],[totalAmount]]</f>
        <v>1</v>
      </c>
      <c r="M1502" t="b">
        <f>TrafficData[[#This Row],[pendingCourt]]+TrafficData[[#This Row],[disposedCourt]]=TrafficData[[#This Row],[totalCourt]]</f>
        <v>1</v>
      </c>
      <c r="N1502" t="b">
        <f>AND(TrafficData[[#This Row],[disposedChallan]]&lt;=TrafficData[[#This Row],[totalChallan]],TrafficData[[#This Row],[pendingChallan]]&lt;=TrafficData[[#This Row],[totalChallan]])</f>
        <v>1</v>
      </c>
      <c r="O1502" t="b">
        <f>AND(TrafficData[[#This Row],[pendingAmount]]&lt;=TrafficData[[#This Row],[totalAmount]],TrafficData[[#This Row],[disposedAmount]]&lt;=TrafficData[[#This Row],[totalAmount]])</f>
        <v>1</v>
      </c>
      <c r="P1502" t="b">
        <f>AND(TrafficData[[#This Row],[pendingCourt]]&lt;=TrafficData[[#This Row],[totalCourt]],TrafficData[[#This Row],[disposedCourt]]&lt;=TrafficData[[#This Row],[totalCourt]])</f>
        <v>1</v>
      </c>
    </row>
    <row r="1503" spans="1:16">
      <c r="A1503" s="1">
        <v>43506</v>
      </c>
      <c r="B1503">
        <v>17376</v>
      </c>
      <c r="C1503">
        <v>14830</v>
      </c>
      <c r="D1503">
        <v>2546</v>
      </c>
      <c r="E1503">
        <v>2633573</v>
      </c>
      <c r="F1503">
        <v>18099642</v>
      </c>
      <c r="G1503">
        <v>20733215</v>
      </c>
      <c r="H1503">
        <v>1631</v>
      </c>
      <c r="I1503">
        <v>1872</v>
      </c>
      <c r="J1503">
        <v>3503</v>
      </c>
      <c r="K1503" t="b">
        <f>TrafficData[[#This Row],[disposedChallan]]+TrafficData[[#This Row],[pendingChallan]]=TrafficData[[#This Row],[totalChallan]]</f>
        <v>1</v>
      </c>
      <c r="L1503" t="b">
        <f>TrafficData[[#This Row],[pendingAmount]]+TrafficData[[#This Row],[disposedAmount]]=TrafficData[[#This Row],[totalAmount]]</f>
        <v>1</v>
      </c>
      <c r="M1503" t="b">
        <f>TrafficData[[#This Row],[pendingCourt]]+TrafficData[[#This Row],[disposedCourt]]=TrafficData[[#This Row],[totalCourt]]</f>
        <v>1</v>
      </c>
      <c r="N1503" t="b">
        <f>AND(TrafficData[[#This Row],[disposedChallan]]&lt;=TrafficData[[#This Row],[totalChallan]],TrafficData[[#This Row],[pendingChallan]]&lt;=TrafficData[[#This Row],[totalChallan]])</f>
        <v>1</v>
      </c>
      <c r="O1503" t="b">
        <f>AND(TrafficData[[#This Row],[pendingAmount]]&lt;=TrafficData[[#This Row],[totalAmount]],TrafficData[[#This Row],[disposedAmount]]&lt;=TrafficData[[#This Row],[totalAmount]])</f>
        <v>1</v>
      </c>
      <c r="P1503" t="b">
        <f>AND(TrafficData[[#This Row],[pendingCourt]]&lt;=TrafficData[[#This Row],[totalCourt]],TrafficData[[#This Row],[disposedCourt]]&lt;=TrafficData[[#This Row],[totalCourt]])</f>
        <v>1</v>
      </c>
    </row>
    <row r="1504" spans="1:16">
      <c r="A1504" s="1">
        <v>43507</v>
      </c>
      <c r="B1504">
        <v>20768</v>
      </c>
      <c r="C1504">
        <v>17746</v>
      </c>
      <c r="D1504">
        <v>3022</v>
      </c>
      <c r="E1504">
        <v>4391319</v>
      </c>
      <c r="F1504">
        <v>22368900</v>
      </c>
      <c r="G1504">
        <v>26760219</v>
      </c>
      <c r="H1504">
        <v>1482</v>
      </c>
      <c r="I1504">
        <v>1507</v>
      </c>
      <c r="J1504">
        <v>2989</v>
      </c>
      <c r="K1504" t="b">
        <f>TrafficData[[#This Row],[disposedChallan]]+TrafficData[[#This Row],[pendingChallan]]=TrafficData[[#This Row],[totalChallan]]</f>
        <v>1</v>
      </c>
      <c r="L1504" t="b">
        <f>TrafficData[[#This Row],[pendingAmount]]+TrafficData[[#This Row],[disposedAmount]]=TrafficData[[#This Row],[totalAmount]]</f>
        <v>1</v>
      </c>
      <c r="M1504" t="b">
        <f>TrafficData[[#This Row],[pendingCourt]]+TrafficData[[#This Row],[disposedCourt]]=TrafficData[[#This Row],[totalCourt]]</f>
        <v>1</v>
      </c>
      <c r="N1504" t="b">
        <f>AND(TrafficData[[#This Row],[disposedChallan]]&lt;=TrafficData[[#This Row],[totalChallan]],TrafficData[[#This Row],[pendingChallan]]&lt;=TrafficData[[#This Row],[totalChallan]])</f>
        <v>1</v>
      </c>
      <c r="O1504" t="b">
        <f>AND(TrafficData[[#This Row],[pendingAmount]]&lt;=TrafficData[[#This Row],[totalAmount]],TrafficData[[#This Row],[disposedAmount]]&lt;=TrafficData[[#This Row],[totalAmount]])</f>
        <v>1</v>
      </c>
      <c r="P1504" t="b">
        <f>AND(TrafficData[[#This Row],[pendingCourt]]&lt;=TrafficData[[#This Row],[totalCourt]],TrafficData[[#This Row],[disposedCourt]]&lt;=TrafficData[[#This Row],[totalCourt]])</f>
        <v>1</v>
      </c>
    </row>
    <row r="1505" spans="1:16">
      <c r="A1505" s="1">
        <v>43508</v>
      </c>
      <c r="B1505">
        <v>26487</v>
      </c>
      <c r="C1505">
        <v>22047</v>
      </c>
      <c r="D1505">
        <v>4440</v>
      </c>
      <c r="E1505">
        <v>7465067</v>
      </c>
      <c r="F1505">
        <v>40094714</v>
      </c>
      <c r="G1505">
        <v>47559781</v>
      </c>
      <c r="H1505">
        <v>2403</v>
      </c>
      <c r="I1505">
        <v>2374</v>
      </c>
      <c r="J1505">
        <v>4777</v>
      </c>
      <c r="K1505" t="b">
        <f>TrafficData[[#This Row],[disposedChallan]]+TrafficData[[#This Row],[pendingChallan]]=TrafficData[[#This Row],[totalChallan]]</f>
        <v>1</v>
      </c>
      <c r="L1505" t="b">
        <f>TrafficData[[#This Row],[pendingAmount]]+TrafficData[[#This Row],[disposedAmount]]=TrafficData[[#This Row],[totalAmount]]</f>
        <v>1</v>
      </c>
      <c r="M1505" t="b">
        <f>TrafficData[[#This Row],[pendingCourt]]+TrafficData[[#This Row],[disposedCourt]]=TrafficData[[#This Row],[totalCourt]]</f>
        <v>1</v>
      </c>
      <c r="N1505" t="b">
        <f>AND(TrafficData[[#This Row],[disposedChallan]]&lt;=TrafficData[[#This Row],[totalChallan]],TrafficData[[#This Row],[pendingChallan]]&lt;=TrafficData[[#This Row],[totalChallan]])</f>
        <v>1</v>
      </c>
      <c r="O1505" t="b">
        <f>AND(TrafficData[[#This Row],[pendingAmount]]&lt;=TrafficData[[#This Row],[totalAmount]],TrafficData[[#This Row],[disposedAmount]]&lt;=TrafficData[[#This Row],[totalAmount]])</f>
        <v>1</v>
      </c>
      <c r="P1505" t="b">
        <f>AND(TrafficData[[#This Row],[pendingCourt]]&lt;=TrafficData[[#This Row],[totalCourt]],TrafficData[[#This Row],[disposedCourt]]&lt;=TrafficData[[#This Row],[totalCourt]])</f>
        <v>1</v>
      </c>
    </row>
    <row r="1506" spans="1:16">
      <c r="A1506" s="1">
        <v>43509</v>
      </c>
      <c r="B1506">
        <v>35775</v>
      </c>
      <c r="C1506">
        <v>28053</v>
      </c>
      <c r="D1506">
        <v>7722</v>
      </c>
      <c r="E1506">
        <v>10115904</v>
      </c>
      <c r="F1506">
        <v>42246726</v>
      </c>
      <c r="G1506">
        <v>52362630</v>
      </c>
      <c r="H1506">
        <v>5182</v>
      </c>
      <c r="I1506">
        <v>2953</v>
      </c>
      <c r="J1506">
        <v>8135</v>
      </c>
      <c r="K1506" t="b">
        <f>TrafficData[[#This Row],[disposedChallan]]+TrafficData[[#This Row],[pendingChallan]]=TrafficData[[#This Row],[totalChallan]]</f>
        <v>1</v>
      </c>
      <c r="L1506" t="b">
        <f>TrafficData[[#This Row],[pendingAmount]]+TrafficData[[#This Row],[disposedAmount]]=TrafficData[[#This Row],[totalAmount]]</f>
        <v>1</v>
      </c>
      <c r="M1506" t="b">
        <f>TrafficData[[#This Row],[pendingCourt]]+TrafficData[[#This Row],[disposedCourt]]=TrafficData[[#This Row],[totalCourt]]</f>
        <v>1</v>
      </c>
      <c r="N1506" t="b">
        <f>AND(TrafficData[[#This Row],[disposedChallan]]&lt;=TrafficData[[#This Row],[totalChallan]],TrafficData[[#This Row],[pendingChallan]]&lt;=TrafficData[[#This Row],[totalChallan]])</f>
        <v>1</v>
      </c>
      <c r="O1506" t="b">
        <f>AND(TrafficData[[#This Row],[pendingAmount]]&lt;=TrafficData[[#This Row],[totalAmount]],TrafficData[[#This Row],[disposedAmount]]&lt;=TrafficData[[#This Row],[totalAmount]])</f>
        <v>1</v>
      </c>
      <c r="P1506" t="b">
        <f>AND(TrafficData[[#This Row],[pendingCourt]]&lt;=TrafficData[[#This Row],[totalCourt]],TrafficData[[#This Row],[disposedCourt]]&lt;=TrafficData[[#This Row],[totalCourt]])</f>
        <v>1</v>
      </c>
    </row>
    <row r="1507" spans="1:16">
      <c r="A1507" s="1">
        <v>43510</v>
      </c>
      <c r="B1507">
        <v>27812</v>
      </c>
      <c r="C1507">
        <v>22945</v>
      </c>
      <c r="D1507">
        <v>4867</v>
      </c>
      <c r="E1507">
        <v>9247467</v>
      </c>
      <c r="F1507">
        <v>38084367</v>
      </c>
      <c r="G1507">
        <v>47331834</v>
      </c>
      <c r="H1507">
        <v>2607</v>
      </c>
      <c r="I1507">
        <v>2264</v>
      </c>
      <c r="J1507">
        <v>4871</v>
      </c>
      <c r="K1507" t="b">
        <f>TrafficData[[#This Row],[disposedChallan]]+TrafficData[[#This Row],[pendingChallan]]=TrafficData[[#This Row],[totalChallan]]</f>
        <v>1</v>
      </c>
      <c r="L1507" t="b">
        <f>TrafficData[[#This Row],[pendingAmount]]+TrafficData[[#This Row],[disposedAmount]]=TrafficData[[#This Row],[totalAmount]]</f>
        <v>1</v>
      </c>
      <c r="M1507" t="b">
        <f>TrafficData[[#This Row],[pendingCourt]]+TrafficData[[#This Row],[disposedCourt]]=TrafficData[[#This Row],[totalCourt]]</f>
        <v>1</v>
      </c>
      <c r="N1507" t="b">
        <f>AND(TrafficData[[#This Row],[disposedChallan]]&lt;=TrafficData[[#This Row],[totalChallan]],TrafficData[[#This Row],[pendingChallan]]&lt;=TrafficData[[#This Row],[totalChallan]])</f>
        <v>1</v>
      </c>
      <c r="O1507" t="b">
        <f>AND(TrafficData[[#This Row],[pendingAmount]]&lt;=TrafficData[[#This Row],[totalAmount]],TrafficData[[#This Row],[disposedAmount]]&lt;=TrafficData[[#This Row],[totalAmount]])</f>
        <v>1</v>
      </c>
      <c r="P1507" t="b">
        <f>AND(TrafficData[[#This Row],[pendingCourt]]&lt;=TrafficData[[#This Row],[totalCourt]],TrafficData[[#This Row],[disposedCourt]]&lt;=TrafficData[[#This Row],[totalCourt]])</f>
        <v>1</v>
      </c>
    </row>
    <row r="1508" spans="1:16">
      <c r="A1508" s="1">
        <v>43511</v>
      </c>
      <c r="B1508">
        <v>30206</v>
      </c>
      <c r="C1508">
        <v>24688</v>
      </c>
      <c r="D1508">
        <v>5518</v>
      </c>
      <c r="E1508">
        <v>8968320</v>
      </c>
      <c r="F1508">
        <v>37116007</v>
      </c>
      <c r="G1508">
        <v>46084327</v>
      </c>
      <c r="H1508">
        <v>3213</v>
      </c>
      <c r="I1508">
        <v>2497</v>
      </c>
      <c r="J1508">
        <v>5710</v>
      </c>
      <c r="K1508" t="b">
        <f>TrafficData[[#This Row],[disposedChallan]]+TrafficData[[#This Row],[pendingChallan]]=TrafficData[[#This Row],[totalChallan]]</f>
        <v>1</v>
      </c>
      <c r="L1508" t="b">
        <f>TrafficData[[#This Row],[pendingAmount]]+TrafficData[[#This Row],[disposedAmount]]=TrafficData[[#This Row],[totalAmount]]</f>
        <v>1</v>
      </c>
      <c r="M1508" t="b">
        <f>TrafficData[[#This Row],[pendingCourt]]+TrafficData[[#This Row],[disposedCourt]]=TrafficData[[#This Row],[totalCourt]]</f>
        <v>1</v>
      </c>
      <c r="N1508" t="b">
        <f>AND(TrafficData[[#This Row],[disposedChallan]]&lt;=TrafficData[[#This Row],[totalChallan]],TrafficData[[#This Row],[pendingChallan]]&lt;=TrafficData[[#This Row],[totalChallan]])</f>
        <v>1</v>
      </c>
      <c r="O1508" t="b">
        <f>AND(TrafficData[[#This Row],[pendingAmount]]&lt;=TrafficData[[#This Row],[totalAmount]],TrafficData[[#This Row],[disposedAmount]]&lt;=TrafficData[[#This Row],[totalAmount]])</f>
        <v>1</v>
      </c>
      <c r="P1508" t="b">
        <f>AND(TrafficData[[#This Row],[pendingCourt]]&lt;=TrafficData[[#This Row],[totalCourt]],TrafficData[[#This Row],[disposedCourt]]&lt;=TrafficData[[#This Row],[totalCourt]])</f>
        <v>1</v>
      </c>
    </row>
    <row r="1509" spans="1:16">
      <c r="A1509" s="1">
        <v>43512</v>
      </c>
      <c r="B1509">
        <v>25351</v>
      </c>
      <c r="C1509">
        <v>21022</v>
      </c>
      <c r="D1509">
        <v>4329</v>
      </c>
      <c r="E1509">
        <v>7151394</v>
      </c>
      <c r="F1509">
        <v>35918805</v>
      </c>
      <c r="G1509">
        <v>43070199</v>
      </c>
      <c r="H1509">
        <v>2313</v>
      </c>
      <c r="I1509">
        <v>2209</v>
      </c>
      <c r="J1509">
        <v>4522</v>
      </c>
      <c r="K1509" t="b">
        <f>TrafficData[[#This Row],[disposedChallan]]+TrafficData[[#This Row],[pendingChallan]]=TrafficData[[#This Row],[totalChallan]]</f>
        <v>1</v>
      </c>
      <c r="L1509" t="b">
        <f>TrafficData[[#This Row],[pendingAmount]]+TrafficData[[#This Row],[disposedAmount]]=TrafficData[[#This Row],[totalAmount]]</f>
        <v>1</v>
      </c>
      <c r="M1509" t="b">
        <f>TrafficData[[#This Row],[pendingCourt]]+TrafficData[[#This Row],[disposedCourt]]=TrafficData[[#This Row],[totalCourt]]</f>
        <v>1</v>
      </c>
      <c r="N1509" t="b">
        <f>AND(TrafficData[[#This Row],[disposedChallan]]&lt;=TrafficData[[#This Row],[totalChallan]],TrafficData[[#This Row],[pendingChallan]]&lt;=TrafficData[[#This Row],[totalChallan]])</f>
        <v>1</v>
      </c>
      <c r="O1509" t="b">
        <f>AND(TrafficData[[#This Row],[pendingAmount]]&lt;=TrafficData[[#This Row],[totalAmount]],TrafficData[[#This Row],[disposedAmount]]&lt;=TrafficData[[#This Row],[totalAmount]])</f>
        <v>1</v>
      </c>
      <c r="P1509" t="b">
        <f>AND(TrafficData[[#This Row],[pendingCourt]]&lt;=TrafficData[[#This Row],[totalCourt]],TrafficData[[#This Row],[disposedCourt]]&lt;=TrafficData[[#This Row],[totalCourt]])</f>
        <v>1</v>
      </c>
    </row>
    <row r="1510" spans="1:16">
      <c r="A1510" s="1">
        <v>43513</v>
      </c>
      <c r="B1510">
        <v>17441</v>
      </c>
      <c r="C1510">
        <v>14841</v>
      </c>
      <c r="D1510">
        <v>2600</v>
      </c>
      <c r="E1510">
        <v>3150425</v>
      </c>
      <c r="F1510">
        <v>22642188</v>
      </c>
      <c r="G1510">
        <v>25792613</v>
      </c>
      <c r="H1510">
        <v>1389</v>
      </c>
      <c r="I1510">
        <v>1631</v>
      </c>
      <c r="J1510">
        <v>3020</v>
      </c>
      <c r="K1510" t="b">
        <f>TrafficData[[#This Row],[disposedChallan]]+TrafficData[[#This Row],[pendingChallan]]=TrafficData[[#This Row],[totalChallan]]</f>
        <v>1</v>
      </c>
      <c r="L1510" t="b">
        <f>TrafficData[[#This Row],[pendingAmount]]+TrafficData[[#This Row],[disposedAmount]]=TrafficData[[#This Row],[totalAmount]]</f>
        <v>1</v>
      </c>
      <c r="M1510" t="b">
        <f>TrafficData[[#This Row],[pendingCourt]]+TrafficData[[#This Row],[disposedCourt]]=TrafficData[[#This Row],[totalCourt]]</f>
        <v>1</v>
      </c>
      <c r="N1510" t="b">
        <f>AND(TrafficData[[#This Row],[disposedChallan]]&lt;=TrafficData[[#This Row],[totalChallan]],TrafficData[[#This Row],[pendingChallan]]&lt;=TrafficData[[#This Row],[totalChallan]])</f>
        <v>1</v>
      </c>
      <c r="O1510" t="b">
        <f>AND(TrafficData[[#This Row],[pendingAmount]]&lt;=TrafficData[[#This Row],[totalAmount]],TrafficData[[#This Row],[disposedAmount]]&lt;=TrafficData[[#This Row],[totalAmount]])</f>
        <v>1</v>
      </c>
      <c r="P1510" t="b">
        <f>AND(TrafficData[[#This Row],[pendingCourt]]&lt;=TrafficData[[#This Row],[totalCourt]],TrafficData[[#This Row],[disposedCourt]]&lt;=TrafficData[[#This Row],[totalCourt]])</f>
        <v>1</v>
      </c>
    </row>
    <row r="1511" spans="1:16">
      <c r="A1511" s="1">
        <v>43514</v>
      </c>
      <c r="B1511">
        <v>24555</v>
      </c>
      <c r="C1511">
        <v>20347</v>
      </c>
      <c r="D1511">
        <v>4208</v>
      </c>
      <c r="E1511">
        <v>5563075</v>
      </c>
      <c r="F1511">
        <v>30240666</v>
      </c>
      <c r="G1511">
        <v>35803741</v>
      </c>
      <c r="H1511">
        <v>2415</v>
      </c>
      <c r="I1511">
        <v>1897</v>
      </c>
      <c r="J1511">
        <v>4312</v>
      </c>
      <c r="K1511" t="b">
        <f>TrafficData[[#This Row],[disposedChallan]]+TrafficData[[#This Row],[pendingChallan]]=TrafficData[[#This Row],[totalChallan]]</f>
        <v>1</v>
      </c>
      <c r="L1511" t="b">
        <f>TrafficData[[#This Row],[pendingAmount]]+TrafficData[[#This Row],[disposedAmount]]=TrafficData[[#This Row],[totalAmount]]</f>
        <v>1</v>
      </c>
      <c r="M1511" t="b">
        <f>TrafficData[[#This Row],[pendingCourt]]+TrafficData[[#This Row],[disposedCourt]]=TrafficData[[#This Row],[totalCourt]]</f>
        <v>1</v>
      </c>
      <c r="N1511" t="b">
        <f>AND(TrafficData[[#This Row],[disposedChallan]]&lt;=TrafficData[[#This Row],[totalChallan]],TrafficData[[#This Row],[pendingChallan]]&lt;=TrafficData[[#This Row],[totalChallan]])</f>
        <v>1</v>
      </c>
      <c r="O1511" t="b">
        <f>AND(TrafficData[[#This Row],[pendingAmount]]&lt;=TrafficData[[#This Row],[totalAmount]],TrafficData[[#This Row],[disposedAmount]]&lt;=TrafficData[[#This Row],[totalAmount]])</f>
        <v>1</v>
      </c>
      <c r="P1511" t="b">
        <f>AND(TrafficData[[#This Row],[pendingCourt]]&lt;=TrafficData[[#This Row],[totalCourt]],TrafficData[[#This Row],[disposedCourt]]&lt;=TrafficData[[#This Row],[totalCourt]])</f>
        <v>1</v>
      </c>
    </row>
    <row r="1512" spans="1:16">
      <c r="A1512" s="1">
        <v>43515</v>
      </c>
      <c r="B1512">
        <v>24756</v>
      </c>
      <c r="C1512">
        <v>20577</v>
      </c>
      <c r="D1512">
        <v>4179</v>
      </c>
      <c r="E1512">
        <v>7042197</v>
      </c>
      <c r="F1512">
        <v>30341161</v>
      </c>
      <c r="G1512">
        <v>37383358</v>
      </c>
      <c r="H1512">
        <v>2210</v>
      </c>
      <c r="I1512">
        <v>1794</v>
      </c>
      <c r="J1512">
        <v>4004</v>
      </c>
      <c r="K1512" t="b">
        <f>TrafficData[[#This Row],[disposedChallan]]+TrafficData[[#This Row],[pendingChallan]]=TrafficData[[#This Row],[totalChallan]]</f>
        <v>1</v>
      </c>
      <c r="L1512" t="b">
        <f>TrafficData[[#This Row],[pendingAmount]]+TrafficData[[#This Row],[disposedAmount]]=TrafficData[[#This Row],[totalAmount]]</f>
        <v>1</v>
      </c>
      <c r="M1512" t="b">
        <f>TrafficData[[#This Row],[pendingCourt]]+TrafficData[[#This Row],[disposedCourt]]=TrafficData[[#This Row],[totalCourt]]</f>
        <v>1</v>
      </c>
      <c r="N1512" t="b">
        <f>AND(TrafficData[[#This Row],[disposedChallan]]&lt;=TrafficData[[#This Row],[totalChallan]],TrafficData[[#This Row],[pendingChallan]]&lt;=TrafficData[[#This Row],[totalChallan]])</f>
        <v>1</v>
      </c>
      <c r="O1512" t="b">
        <f>AND(TrafficData[[#This Row],[pendingAmount]]&lt;=TrafficData[[#This Row],[totalAmount]],TrafficData[[#This Row],[disposedAmount]]&lt;=TrafficData[[#This Row],[totalAmount]])</f>
        <v>1</v>
      </c>
      <c r="P1512" t="b">
        <f>AND(TrafficData[[#This Row],[pendingCourt]]&lt;=TrafficData[[#This Row],[totalCourt]],TrafficData[[#This Row],[disposedCourt]]&lt;=TrafficData[[#This Row],[totalCourt]])</f>
        <v>1</v>
      </c>
    </row>
    <row r="1513" spans="1:16">
      <c r="A1513" s="1">
        <v>43516</v>
      </c>
      <c r="B1513">
        <v>31122</v>
      </c>
      <c r="C1513">
        <v>24457</v>
      </c>
      <c r="D1513">
        <v>6665</v>
      </c>
      <c r="E1513">
        <v>8412204</v>
      </c>
      <c r="F1513">
        <v>33351026</v>
      </c>
      <c r="G1513">
        <v>41763230</v>
      </c>
      <c r="H1513">
        <v>4695</v>
      </c>
      <c r="I1513">
        <v>2378</v>
      </c>
      <c r="J1513">
        <v>7073</v>
      </c>
      <c r="K1513" t="b">
        <f>TrafficData[[#This Row],[disposedChallan]]+TrafficData[[#This Row],[pendingChallan]]=TrafficData[[#This Row],[totalChallan]]</f>
        <v>1</v>
      </c>
      <c r="L1513" t="b">
        <f>TrafficData[[#This Row],[pendingAmount]]+TrafficData[[#This Row],[disposedAmount]]=TrafficData[[#This Row],[totalAmount]]</f>
        <v>1</v>
      </c>
      <c r="M1513" t="b">
        <f>TrafficData[[#This Row],[pendingCourt]]+TrafficData[[#This Row],[disposedCourt]]=TrafficData[[#This Row],[totalCourt]]</f>
        <v>1</v>
      </c>
      <c r="N1513" t="b">
        <f>AND(TrafficData[[#This Row],[disposedChallan]]&lt;=TrafficData[[#This Row],[totalChallan]],TrafficData[[#This Row],[pendingChallan]]&lt;=TrafficData[[#This Row],[totalChallan]])</f>
        <v>1</v>
      </c>
      <c r="O1513" t="b">
        <f>AND(TrafficData[[#This Row],[pendingAmount]]&lt;=TrafficData[[#This Row],[totalAmount]],TrafficData[[#This Row],[disposedAmount]]&lt;=TrafficData[[#This Row],[totalAmount]])</f>
        <v>1</v>
      </c>
      <c r="P1513" t="b">
        <f>AND(TrafficData[[#This Row],[pendingCourt]]&lt;=TrafficData[[#This Row],[totalCourt]],TrafficData[[#This Row],[disposedCourt]]&lt;=TrafficData[[#This Row],[totalCourt]])</f>
        <v>1</v>
      </c>
    </row>
    <row r="1514" spans="1:16">
      <c r="A1514" s="1">
        <v>43517</v>
      </c>
      <c r="B1514">
        <v>26343</v>
      </c>
      <c r="C1514">
        <v>21912</v>
      </c>
      <c r="D1514">
        <v>4431</v>
      </c>
      <c r="E1514">
        <v>6927346</v>
      </c>
      <c r="F1514">
        <v>34211255</v>
      </c>
      <c r="G1514">
        <v>41138601</v>
      </c>
      <c r="H1514">
        <v>2439</v>
      </c>
      <c r="I1514">
        <v>2152</v>
      </c>
      <c r="J1514">
        <v>4591</v>
      </c>
      <c r="K1514" t="b">
        <f>TrafficData[[#This Row],[disposedChallan]]+TrafficData[[#This Row],[pendingChallan]]=TrafficData[[#This Row],[totalChallan]]</f>
        <v>1</v>
      </c>
      <c r="L1514" t="b">
        <f>TrafficData[[#This Row],[pendingAmount]]+TrafficData[[#This Row],[disposedAmount]]=TrafficData[[#This Row],[totalAmount]]</f>
        <v>1</v>
      </c>
      <c r="M1514" t="b">
        <f>TrafficData[[#This Row],[pendingCourt]]+TrafficData[[#This Row],[disposedCourt]]=TrafficData[[#This Row],[totalCourt]]</f>
        <v>1</v>
      </c>
      <c r="N1514" t="b">
        <f>AND(TrafficData[[#This Row],[disposedChallan]]&lt;=TrafficData[[#This Row],[totalChallan]],TrafficData[[#This Row],[pendingChallan]]&lt;=TrafficData[[#This Row],[totalChallan]])</f>
        <v>1</v>
      </c>
      <c r="O1514" t="b">
        <f>AND(TrafficData[[#This Row],[pendingAmount]]&lt;=TrafficData[[#This Row],[totalAmount]],TrafficData[[#This Row],[disposedAmount]]&lt;=TrafficData[[#This Row],[totalAmount]])</f>
        <v>1</v>
      </c>
      <c r="P1514" t="b">
        <f>AND(TrafficData[[#This Row],[pendingCourt]]&lt;=TrafficData[[#This Row],[totalCourt]],TrafficData[[#This Row],[disposedCourt]]&lt;=TrafficData[[#This Row],[totalCourt]])</f>
        <v>1</v>
      </c>
    </row>
    <row r="1515" spans="1:16">
      <c r="A1515" s="1">
        <v>43518</v>
      </c>
      <c r="B1515">
        <v>26432</v>
      </c>
      <c r="C1515">
        <v>22454</v>
      </c>
      <c r="D1515">
        <v>3978</v>
      </c>
      <c r="E1515">
        <v>6756997</v>
      </c>
      <c r="F1515">
        <v>38039874</v>
      </c>
      <c r="G1515">
        <v>44796871</v>
      </c>
      <c r="H1515">
        <v>2394</v>
      </c>
      <c r="I1515">
        <v>2012</v>
      </c>
      <c r="J1515">
        <v>4406</v>
      </c>
      <c r="K1515" t="b">
        <f>TrafficData[[#This Row],[disposedChallan]]+TrafficData[[#This Row],[pendingChallan]]=TrafficData[[#This Row],[totalChallan]]</f>
        <v>1</v>
      </c>
      <c r="L1515" t="b">
        <f>TrafficData[[#This Row],[pendingAmount]]+TrafficData[[#This Row],[disposedAmount]]=TrafficData[[#This Row],[totalAmount]]</f>
        <v>1</v>
      </c>
      <c r="M1515" t="b">
        <f>TrafficData[[#This Row],[pendingCourt]]+TrafficData[[#This Row],[disposedCourt]]=TrafficData[[#This Row],[totalCourt]]</f>
        <v>1</v>
      </c>
      <c r="N1515" t="b">
        <f>AND(TrafficData[[#This Row],[disposedChallan]]&lt;=TrafficData[[#This Row],[totalChallan]],TrafficData[[#This Row],[pendingChallan]]&lt;=TrafficData[[#This Row],[totalChallan]])</f>
        <v>1</v>
      </c>
      <c r="O1515" t="b">
        <f>AND(TrafficData[[#This Row],[pendingAmount]]&lt;=TrafficData[[#This Row],[totalAmount]],TrafficData[[#This Row],[disposedAmount]]&lt;=TrafficData[[#This Row],[totalAmount]])</f>
        <v>1</v>
      </c>
      <c r="P1515" t="b">
        <f>AND(TrafficData[[#This Row],[pendingCourt]]&lt;=TrafficData[[#This Row],[totalCourt]],TrafficData[[#This Row],[disposedCourt]]&lt;=TrafficData[[#This Row],[totalCourt]])</f>
        <v>1</v>
      </c>
    </row>
    <row r="1516" spans="1:16">
      <c r="A1516" s="1">
        <v>43519</v>
      </c>
      <c r="B1516">
        <v>24513</v>
      </c>
      <c r="C1516">
        <v>20802</v>
      </c>
      <c r="D1516">
        <v>3711</v>
      </c>
      <c r="E1516">
        <v>5019770</v>
      </c>
      <c r="F1516">
        <v>28306667</v>
      </c>
      <c r="G1516">
        <v>33326437</v>
      </c>
      <c r="H1516">
        <v>2001</v>
      </c>
      <c r="I1516">
        <v>1688</v>
      </c>
      <c r="J1516">
        <v>3689</v>
      </c>
      <c r="K1516" t="b">
        <f>TrafficData[[#This Row],[disposedChallan]]+TrafficData[[#This Row],[pendingChallan]]=TrafficData[[#This Row],[totalChallan]]</f>
        <v>1</v>
      </c>
      <c r="L1516" t="b">
        <f>TrafficData[[#This Row],[pendingAmount]]+TrafficData[[#This Row],[disposedAmount]]=TrafficData[[#This Row],[totalAmount]]</f>
        <v>1</v>
      </c>
      <c r="M1516" t="b">
        <f>TrafficData[[#This Row],[pendingCourt]]+TrafficData[[#This Row],[disposedCourt]]=TrafficData[[#This Row],[totalCourt]]</f>
        <v>1</v>
      </c>
      <c r="N1516" t="b">
        <f>AND(TrafficData[[#This Row],[disposedChallan]]&lt;=TrafficData[[#This Row],[totalChallan]],TrafficData[[#This Row],[pendingChallan]]&lt;=TrafficData[[#This Row],[totalChallan]])</f>
        <v>1</v>
      </c>
      <c r="O1516" t="b">
        <f>AND(TrafficData[[#This Row],[pendingAmount]]&lt;=TrafficData[[#This Row],[totalAmount]],TrafficData[[#This Row],[disposedAmount]]&lt;=TrafficData[[#This Row],[totalAmount]])</f>
        <v>1</v>
      </c>
      <c r="P1516" t="b">
        <f>AND(TrafficData[[#This Row],[pendingCourt]]&lt;=TrafficData[[#This Row],[totalCourt]],TrafficData[[#This Row],[disposedCourt]]&lt;=TrafficData[[#This Row],[totalCourt]])</f>
        <v>1</v>
      </c>
    </row>
    <row r="1517" spans="1:16">
      <c r="A1517" s="1">
        <v>43520</v>
      </c>
      <c r="B1517">
        <v>17294</v>
      </c>
      <c r="C1517">
        <v>14693</v>
      </c>
      <c r="D1517">
        <v>2601</v>
      </c>
      <c r="E1517">
        <v>2871225</v>
      </c>
      <c r="F1517">
        <v>22158812</v>
      </c>
      <c r="G1517">
        <v>25030037</v>
      </c>
      <c r="H1517">
        <v>1282</v>
      </c>
      <c r="I1517">
        <v>1192</v>
      </c>
      <c r="J1517">
        <v>2474</v>
      </c>
      <c r="K1517" t="b">
        <f>TrafficData[[#This Row],[disposedChallan]]+TrafficData[[#This Row],[pendingChallan]]=TrafficData[[#This Row],[totalChallan]]</f>
        <v>1</v>
      </c>
      <c r="L1517" t="b">
        <f>TrafficData[[#This Row],[pendingAmount]]+TrafficData[[#This Row],[disposedAmount]]=TrafficData[[#This Row],[totalAmount]]</f>
        <v>1</v>
      </c>
      <c r="M1517" t="b">
        <f>TrafficData[[#This Row],[pendingCourt]]+TrafficData[[#This Row],[disposedCourt]]=TrafficData[[#This Row],[totalCourt]]</f>
        <v>1</v>
      </c>
      <c r="N1517" t="b">
        <f>AND(TrafficData[[#This Row],[disposedChallan]]&lt;=TrafficData[[#This Row],[totalChallan]],TrafficData[[#This Row],[pendingChallan]]&lt;=TrafficData[[#This Row],[totalChallan]])</f>
        <v>1</v>
      </c>
      <c r="O1517" t="b">
        <f>AND(TrafficData[[#This Row],[pendingAmount]]&lt;=TrafficData[[#This Row],[totalAmount]],TrafficData[[#This Row],[disposedAmount]]&lt;=TrafficData[[#This Row],[totalAmount]])</f>
        <v>1</v>
      </c>
      <c r="P1517" t="b">
        <f>AND(TrafficData[[#This Row],[pendingCourt]]&lt;=TrafficData[[#This Row],[totalCourt]],TrafficData[[#This Row],[disposedCourt]]&lt;=TrafficData[[#This Row],[totalCourt]])</f>
        <v>1</v>
      </c>
    </row>
    <row r="1518" spans="1:16">
      <c r="A1518" s="1">
        <v>43521</v>
      </c>
      <c r="B1518">
        <v>26268</v>
      </c>
      <c r="C1518">
        <v>21647</v>
      </c>
      <c r="D1518">
        <v>4621</v>
      </c>
      <c r="E1518">
        <v>6520325</v>
      </c>
      <c r="F1518">
        <v>32406072</v>
      </c>
      <c r="G1518">
        <v>38926397</v>
      </c>
      <c r="H1518">
        <v>2481</v>
      </c>
      <c r="I1518">
        <v>1928</v>
      </c>
      <c r="J1518">
        <v>4409</v>
      </c>
      <c r="K1518" t="b">
        <f>TrafficData[[#This Row],[disposedChallan]]+TrafficData[[#This Row],[pendingChallan]]=TrafficData[[#This Row],[totalChallan]]</f>
        <v>1</v>
      </c>
      <c r="L1518" t="b">
        <f>TrafficData[[#This Row],[pendingAmount]]+TrafficData[[#This Row],[disposedAmount]]=TrafficData[[#This Row],[totalAmount]]</f>
        <v>1</v>
      </c>
      <c r="M1518" t="b">
        <f>TrafficData[[#This Row],[pendingCourt]]+TrafficData[[#This Row],[disposedCourt]]=TrafficData[[#This Row],[totalCourt]]</f>
        <v>1</v>
      </c>
      <c r="N1518" t="b">
        <f>AND(TrafficData[[#This Row],[disposedChallan]]&lt;=TrafficData[[#This Row],[totalChallan]],TrafficData[[#This Row],[pendingChallan]]&lt;=TrafficData[[#This Row],[totalChallan]])</f>
        <v>1</v>
      </c>
      <c r="O1518" t="b">
        <f>AND(TrafficData[[#This Row],[pendingAmount]]&lt;=TrafficData[[#This Row],[totalAmount]],TrafficData[[#This Row],[disposedAmount]]&lt;=TrafficData[[#This Row],[totalAmount]])</f>
        <v>1</v>
      </c>
      <c r="P1518" t="b">
        <f>AND(TrafficData[[#This Row],[pendingCourt]]&lt;=TrafficData[[#This Row],[totalCourt]],TrafficData[[#This Row],[disposedCourt]]&lt;=TrafficData[[#This Row],[totalCourt]])</f>
        <v>1</v>
      </c>
    </row>
    <row r="1519" spans="1:16">
      <c r="A1519" s="1">
        <v>43522</v>
      </c>
      <c r="B1519">
        <v>25632</v>
      </c>
      <c r="C1519">
        <v>21768</v>
      </c>
      <c r="D1519">
        <v>3864</v>
      </c>
      <c r="E1519">
        <v>8611388</v>
      </c>
      <c r="F1519">
        <v>38512314</v>
      </c>
      <c r="G1519">
        <v>47123702</v>
      </c>
      <c r="H1519">
        <v>2097</v>
      </c>
      <c r="I1519">
        <v>1838</v>
      </c>
      <c r="J1519">
        <v>3935</v>
      </c>
      <c r="K1519" t="b">
        <f>TrafficData[[#This Row],[disposedChallan]]+TrafficData[[#This Row],[pendingChallan]]=TrafficData[[#This Row],[totalChallan]]</f>
        <v>1</v>
      </c>
      <c r="L1519" t="b">
        <f>TrafficData[[#This Row],[pendingAmount]]+TrafficData[[#This Row],[disposedAmount]]=TrafficData[[#This Row],[totalAmount]]</f>
        <v>1</v>
      </c>
      <c r="M1519" t="b">
        <f>TrafficData[[#This Row],[pendingCourt]]+TrafficData[[#This Row],[disposedCourt]]=TrafficData[[#This Row],[totalCourt]]</f>
        <v>1</v>
      </c>
      <c r="N1519" t="b">
        <f>AND(TrafficData[[#This Row],[disposedChallan]]&lt;=TrafficData[[#This Row],[totalChallan]],TrafficData[[#This Row],[pendingChallan]]&lt;=TrafficData[[#This Row],[totalChallan]])</f>
        <v>1</v>
      </c>
      <c r="O1519" t="b">
        <f>AND(TrafficData[[#This Row],[pendingAmount]]&lt;=TrafficData[[#This Row],[totalAmount]],TrafficData[[#This Row],[disposedAmount]]&lt;=TrafficData[[#This Row],[totalAmount]])</f>
        <v>1</v>
      </c>
      <c r="P1519" t="b">
        <f>AND(TrafficData[[#This Row],[pendingCourt]]&lt;=TrafficData[[#This Row],[totalCourt]],TrafficData[[#This Row],[disposedCourt]]&lt;=TrafficData[[#This Row],[totalCourt]])</f>
        <v>1</v>
      </c>
    </row>
    <row r="1520" spans="1:16">
      <c r="A1520" s="1">
        <v>43523</v>
      </c>
      <c r="B1520">
        <v>33703</v>
      </c>
      <c r="C1520">
        <v>26792</v>
      </c>
      <c r="D1520">
        <v>6911</v>
      </c>
      <c r="E1520">
        <v>10684383</v>
      </c>
      <c r="F1520">
        <v>40399270</v>
      </c>
      <c r="G1520">
        <v>51083653</v>
      </c>
      <c r="H1520">
        <v>5205</v>
      </c>
      <c r="I1520">
        <v>2564</v>
      </c>
      <c r="J1520">
        <v>7769</v>
      </c>
      <c r="K1520" t="b">
        <f>TrafficData[[#This Row],[disposedChallan]]+TrafficData[[#This Row],[pendingChallan]]=TrafficData[[#This Row],[totalChallan]]</f>
        <v>1</v>
      </c>
      <c r="L1520" t="b">
        <f>TrafficData[[#This Row],[pendingAmount]]+TrafficData[[#This Row],[disposedAmount]]=TrafficData[[#This Row],[totalAmount]]</f>
        <v>1</v>
      </c>
      <c r="M1520" t="b">
        <f>TrafficData[[#This Row],[pendingCourt]]+TrafficData[[#This Row],[disposedCourt]]=TrafficData[[#This Row],[totalCourt]]</f>
        <v>1</v>
      </c>
      <c r="N1520" t="b">
        <f>AND(TrafficData[[#This Row],[disposedChallan]]&lt;=TrafficData[[#This Row],[totalChallan]],TrafficData[[#This Row],[pendingChallan]]&lt;=TrafficData[[#This Row],[totalChallan]])</f>
        <v>1</v>
      </c>
      <c r="O1520" t="b">
        <f>AND(TrafficData[[#This Row],[pendingAmount]]&lt;=TrafficData[[#This Row],[totalAmount]],TrafficData[[#This Row],[disposedAmount]]&lt;=TrafficData[[#This Row],[totalAmount]])</f>
        <v>1</v>
      </c>
      <c r="P1520" t="b">
        <f>AND(TrafficData[[#This Row],[pendingCourt]]&lt;=TrafficData[[#This Row],[totalCourt]],TrafficData[[#This Row],[disposedCourt]]&lt;=TrafficData[[#This Row],[totalCourt]])</f>
        <v>1</v>
      </c>
    </row>
    <row r="1521" spans="1:16">
      <c r="A1521" s="1">
        <v>43524</v>
      </c>
      <c r="B1521">
        <v>29266</v>
      </c>
      <c r="C1521">
        <v>24585</v>
      </c>
      <c r="D1521">
        <v>4681</v>
      </c>
      <c r="E1521">
        <v>8162334</v>
      </c>
      <c r="F1521">
        <v>42290783</v>
      </c>
      <c r="G1521">
        <v>50453117</v>
      </c>
      <c r="H1521">
        <v>2809</v>
      </c>
      <c r="I1521">
        <v>2379</v>
      </c>
      <c r="J1521">
        <v>5188</v>
      </c>
      <c r="K1521" t="b">
        <f>TrafficData[[#This Row],[disposedChallan]]+TrafficData[[#This Row],[pendingChallan]]=TrafficData[[#This Row],[totalChallan]]</f>
        <v>1</v>
      </c>
      <c r="L1521" t="b">
        <f>TrafficData[[#This Row],[pendingAmount]]+TrafficData[[#This Row],[disposedAmount]]=TrafficData[[#This Row],[totalAmount]]</f>
        <v>1</v>
      </c>
      <c r="M1521" t="b">
        <f>TrafficData[[#This Row],[pendingCourt]]+TrafficData[[#This Row],[disposedCourt]]=TrafficData[[#This Row],[totalCourt]]</f>
        <v>1</v>
      </c>
      <c r="N1521" t="b">
        <f>AND(TrafficData[[#This Row],[disposedChallan]]&lt;=TrafficData[[#This Row],[totalChallan]],TrafficData[[#This Row],[pendingChallan]]&lt;=TrafficData[[#This Row],[totalChallan]])</f>
        <v>1</v>
      </c>
      <c r="O1521" t="b">
        <f>AND(TrafficData[[#This Row],[pendingAmount]]&lt;=TrafficData[[#This Row],[totalAmount]],TrafficData[[#This Row],[disposedAmount]]&lt;=TrafficData[[#This Row],[totalAmount]])</f>
        <v>1</v>
      </c>
      <c r="P1521" t="b">
        <f>AND(TrafficData[[#This Row],[pendingCourt]]&lt;=TrafficData[[#This Row],[totalCourt]],TrafficData[[#This Row],[disposedCourt]]&lt;=TrafficData[[#This Row],[totalCourt]])</f>
        <v>1</v>
      </c>
    </row>
    <row r="1522" spans="1:16">
      <c r="A1522" s="1">
        <v>43525</v>
      </c>
      <c r="B1522">
        <v>33674</v>
      </c>
      <c r="C1522">
        <v>29022</v>
      </c>
      <c r="D1522">
        <v>4652</v>
      </c>
      <c r="E1522">
        <v>9592482</v>
      </c>
      <c r="F1522">
        <v>52187254</v>
      </c>
      <c r="G1522">
        <v>61779736</v>
      </c>
      <c r="H1522">
        <v>2692</v>
      </c>
      <c r="I1522">
        <v>2433</v>
      </c>
      <c r="J1522">
        <v>5125</v>
      </c>
      <c r="K1522" t="b">
        <f>TrafficData[[#This Row],[disposedChallan]]+TrafficData[[#This Row],[pendingChallan]]=TrafficData[[#This Row],[totalChallan]]</f>
        <v>1</v>
      </c>
      <c r="L1522" t="b">
        <f>TrafficData[[#This Row],[pendingAmount]]+TrafficData[[#This Row],[disposedAmount]]=TrafficData[[#This Row],[totalAmount]]</f>
        <v>1</v>
      </c>
      <c r="M1522" t="b">
        <f>TrafficData[[#This Row],[pendingCourt]]+TrafficData[[#This Row],[disposedCourt]]=TrafficData[[#This Row],[totalCourt]]</f>
        <v>1</v>
      </c>
      <c r="N1522" t="b">
        <f>AND(TrafficData[[#This Row],[disposedChallan]]&lt;=TrafficData[[#This Row],[totalChallan]],TrafficData[[#This Row],[pendingChallan]]&lt;=TrafficData[[#This Row],[totalChallan]])</f>
        <v>1</v>
      </c>
      <c r="O1522" t="b">
        <f>AND(TrafficData[[#This Row],[pendingAmount]]&lt;=TrafficData[[#This Row],[totalAmount]],TrafficData[[#This Row],[disposedAmount]]&lt;=TrafficData[[#This Row],[totalAmount]])</f>
        <v>1</v>
      </c>
      <c r="P1522" t="b">
        <f>AND(TrafficData[[#This Row],[pendingCourt]]&lt;=TrafficData[[#This Row],[totalCourt]],TrafficData[[#This Row],[disposedCourt]]&lt;=TrafficData[[#This Row],[totalCourt]])</f>
        <v>1</v>
      </c>
    </row>
    <row r="1523" spans="1:16">
      <c r="A1523" s="1">
        <v>43526</v>
      </c>
      <c r="B1523">
        <v>26741</v>
      </c>
      <c r="C1523">
        <v>22757</v>
      </c>
      <c r="D1523">
        <v>3984</v>
      </c>
      <c r="E1523">
        <v>6810584</v>
      </c>
      <c r="F1523">
        <v>40484879</v>
      </c>
      <c r="G1523">
        <v>47295463</v>
      </c>
      <c r="H1523">
        <v>2096</v>
      </c>
      <c r="I1523">
        <v>1873</v>
      </c>
      <c r="J1523">
        <v>3969</v>
      </c>
      <c r="K1523" t="b">
        <f>TrafficData[[#This Row],[disposedChallan]]+TrafficData[[#This Row],[pendingChallan]]=TrafficData[[#This Row],[totalChallan]]</f>
        <v>1</v>
      </c>
      <c r="L1523" t="b">
        <f>TrafficData[[#This Row],[pendingAmount]]+TrafficData[[#This Row],[disposedAmount]]=TrafficData[[#This Row],[totalAmount]]</f>
        <v>1</v>
      </c>
      <c r="M1523" t="b">
        <f>TrafficData[[#This Row],[pendingCourt]]+TrafficData[[#This Row],[disposedCourt]]=TrafficData[[#This Row],[totalCourt]]</f>
        <v>1</v>
      </c>
      <c r="N1523" t="b">
        <f>AND(TrafficData[[#This Row],[disposedChallan]]&lt;=TrafficData[[#This Row],[totalChallan]],TrafficData[[#This Row],[pendingChallan]]&lt;=TrafficData[[#This Row],[totalChallan]])</f>
        <v>1</v>
      </c>
      <c r="O1523" t="b">
        <f>AND(TrafficData[[#This Row],[pendingAmount]]&lt;=TrafficData[[#This Row],[totalAmount]],TrafficData[[#This Row],[disposedAmount]]&lt;=TrafficData[[#This Row],[totalAmount]])</f>
        <v>1</v>
      </c>
      <c r="P1523" t="b">
        <f>AND(TrafficData[[#This Row],[pendingCourt]]&lt;=TrafficData[[#This Row],[totalCourt]],TrafficData[[#This Row],[disposedCourt]]&lt;=TrafficData[[#This Row],[totalCourt]])</f>
        <v>1</v>
      </c>
    </row>
    <row r="1524" spans="1:16">
      <c r="A1524" s="1">
        <v>43527</v>
      </c>
      <c r="B1524">
        <v>21129</v>
      </c>
      <c r="C1524">
        <v>17813</v>
      </c>
      <c r="D1524">
        <v>3316</v>
      </c>
      <c r="E1524">
        <v>7969326</v>
      </c>
      <c r="F1524">
        <v>31829446</v>
      </c>
      <c r="G1524">
        <v>39798772</v>
      </c>
      <c r="H1524">
        <v>1565</v>
      </c>
      <c r="I1524">
        <v>1458</v>
      </c>
      <c r="J1524">
        <v>3023</v>
      </c>
      <c r="K1524" t="b">
        <f>TrafficData[[#This Row],[disposedChallan]]+TrafficData[[#This Row],[pendingChallan]]=TrafficData[[#This Row],[totalChallan]]</f>
        <v>1</v>
      </c>
      <c r="L1524" t="b">
        <f>TrafficData[[#This Row],[pendingAmount]]+TrafficData[[#This Row],[disposedAmount]]=TrafficData[[#This Row],[totalAmount]]</f>
        <v>1</v>
      </c>
      <c r="M1524" t="b">
        <f>TrafficData[[#This Row],[pendingCourt]]+TrafficData[[#This Row],[disposedCourt]]=TrafficData[[#This Row],[totalCourt]]</f>
        <v>1</v>
      </c>
      <c r="N1524" t="b">
        <f>AND(TrafficData[[#This Row],[disposedChallan]]&lt;=TrafficData[[#This Row],[totalChallan]],TrafficData[[#This Row],[pendingChallan]]&lt;=TrafficData[[#This Row],[totalChallan]])</f>
        <v>1</v>
      </c>
      <c r="O1524" t="b">
        <f>AND(TrafficData[[#This Row],[pendingAmount]]&lt;=TrafficData[[#This Row],[totalAmount]],TrafficData[[#This Row],[disposedAmount]]&lt;=TrafficData[[#This Row],[totalAmount]])</f>
        <v>1</v>
      </c>
      <c r="P1524" t="b">
        <f>AND(TrafficData[[#This Row],[pendingCourt]]&lt;=TrafficData[[#This Row],[totalCourt]],TrafficData[[#This Row],[disposedCourt]]&lt;=TrafficData[[#This Row],[totalCourt]])</f>
        <v>1</v>
      </c>
    </row>
    <row r="1525" spans="1:16">
      <c r="A1525" s="1">
        <v>43528</v>
      </c>
      <c r="B1525">
        <v>25287</v>
      </c>
      <c r="C1525">
        <v>21303</v>
      </c>
      <c r="D1525">
        <v>3984</v>
      </c>
      <c r="E1525">
        <v>7421952</v>
      </c>
      <c r="F1525">
        <v>30015887</v>
      </c>
      <c r="G1525">
        <v>37437839</v>
      </c>
      <c r="H1525">
        <v>1719</v>
      </c>
      <c r="I1525">
        <v>1702</v>
      </c>
      <c r="J1525">
        <v>3421</v>
      </c>
      <c r="K1525" t="b">
        <f>TrafficData[[#This Row],[disposedChallan]]+TrafficData[[#This Row],[pendingChallan]]=TrafficData[[#This Row],[totalChallan]]</f>
        <v>1</v>
      </c>
      <c r="L1525" t="b">
        <f>TrafficData[[#This Row],[pendingAmount]]+TrafficData[[#This Row],[disposedAmount]]=TrafficData[[#This Row],[totalAmount]]</f>
        <v>1</v>
      </c>
      <c r="M1525" t="b">
        <f>TrafficData[[#This Row],[pendingCourt]]+TrafficData[[#This Row],[disposedCourt]]=TrafficData[[#This Row],[totalCourt]]</f>
        <v>1</v>
      </c>
      <c r="N1525" t="b">
        <f>AND(TrafficData[[#This Row],[disposedChallan]]&lt;=TrafficData[[#This Row],[totalChallan]],TrafficData[[#This Row],[pendingChallan]]&lt;=TrafficData[[#This Row],[totalChallan]])</f>
        <v>1</v>
      </c>
      <c r="O1525" t="b">
        <f>AND(TrafficData[[#This Row],[pendingAmount]]&lt;=TrafficData[[#This Row],[totalAmount]],TrafficData[[#This Row],[disposedAmount]]&lt;=TrafficData[[#This Row],[totalAmount]])</f>
        <v>1</v>
      </c>
      <c r="P1525" t="b">
        <f>AND(TrafficData[[#This Row],[pendingCourt]]&lt;=TrafficData[[#This Row],[totalCourt]],TrafficData[[#This Row],[disposedCourt]]&lt;=TrafficData[[#This Row],[totalCourt]])</f>
        <v>1</v>
      </c>
    </row>
    <row r="1526" spans="1:16">
      <c r="A1526" s="1">
        <v>43529</v>
      </c>
      <c r="B1526">
        <v>29153</v>
      </c>
      <c r="C1526">
        <v>23763</v>
      </c>
      <c r="D1526">
        <v>5390</v>
      </c>
      <c r="E1526">
        <v>5524255</v>
      </c>
      <c r="F1526">
        <v>26902965</v>
      </c>
      <c r="G1526">
        <v>32427220</v>
      </c>
      <c r="H1526">
        <v>2438</v>
      </c>
      <c r="I1526">
        <v>2102</v>
      </c>
      <c r="J1526">
        <v>4540</v>
      </c>
      <c r="K1526" t="b">
        <f>TrafficData[[#This Row],[disposedChallan]]+TrafficData[[#This Row],[pendingChallan]]=TrafficData[[#This Row],[totalChallan]]</f>
        <v>1</v>
      </c>
      <c r="L1526" t="b">
        <f>TrafficData[[#This Row],[pendingAmount]]+TrafficData[[#This Row],[disposedAmount]]=TrafficData[[#This Row],[totalAmount]]</f>
        <v>1</v>
      </c>
      <c r="M1526" t="b">
        <f>TrafficData[[#This Row],[pendingCourt]]+TrafficData[[#This Row],[disposedCourt]]=TrafficData[[#This Row],[totalCourt]]</f>
        <v>1</v>
      </c>
      <c r="N1526" t="b">
        <f>AND(TrafficData[[#This Row],[disposedChallan]]&lt;=TrafficData[[#This Row],[totalChallan]],TrafficData[[#This Row],[pendingChallan]]&lt;=TrafficData[[#This Row],[totalChallan]])</f>
        <v>1</v>
      </c>
      <c r="O1526" t="b">
        <f>AND(TrafficData[[#This Row],[pendingAmount]]&lt;=TrafficData[[#This Row],[totalAmount]],TrafficData[[#This Row],[disposedAmount]]&lt;=TrafficData[[#This Row],[totalAmount]])</f>
        <v>1</v>
      </c>
      <c r="P1526" t="b">
        <f>AND(TrafficData[[#This Row],[pendingCourt]]&lt;=TrafficData[[#This Row],[totalCourt]],TrafficData[[#This Row],[disposedCourt]]&lt;=TrafficData[[#This Row],[totalCourt]])</f>
        <v>1</v>
      </c>
    </row>
    <row r="1527" spans="1:16">
      <c r="A1527" s="1">
        <v>43530</v>
      </c>
      <c r="B1527">
        <v>38286</v>
      </c>
      <c r="C1527">
        <v>29745</v>
      </c>
      <c r="D1527">
        <v>8541</v>
      </c>
      <c r="E1527">
        <v>11115511</v>
      </c>
      <c r="F1527">
        <v>40863242</v>
      </c>
      <c r="G1527">
        <v>51978753</v>
      </c>
      <c r="H1527">
        <v>5157</v>
      </c>
      <c r="I1527">
        <v>2599</v>
      </c>
      <c r="J1527">
        <v>7756</v>
      </c>
      <c r="K1527" t="b">
        <f>TrafficData[[#This Row],[disposedChallan]]+TrafficData[[#This Row],[pendingChallan]]=TrafficData[[#This Row],[totalChallan]]</f>
        <v>1</v>
      </c>
      <c r="L1527" t="b">
        <f>TrafficData[[#This Row],[pendingAmount]]+TrafficData[[#This Row],[disposedAmount]]=TrafficData[[#This Row],[totalAmount]]</f>
        <v>1</v>
      </c>
      <c r="M1527" t="b">
        <f>TrafficData[[#This Row],[pendingCourt]]+TrafficData[[#This Row],[disposedCourt]]=TrafficData[[#This Row],[totalCourt]]</f>
        <v>1</v>
      </c>
      <c r="N1527" t="b">
        <f>AND(TrafficData[[#This Row],[disposedChallan]]&lt;=TrafficData[[#This Row],[totalChallan]],TrafficData[[#This Row],[pendingChallan]]&lt;=TrafficData[[#This Row],[totalChallan]])</f>
        <v>1</v>
      </c>
      <c r="O1527" t="b">
        <f>AND(TrafficData[[#This Row],[pendingAmount]]&lt;=TrafficData[[#This Row],[totalAmount]],TrafficData[[#This Row],[disposedAmount]]&lt;=TrafficData[[#This Row],[totalAmount]])</f>
        <v>1</v>
      </c>
      <c r="P1527" t="b">
        <f>AND(TrafficData[[#This Row],[pendingCourt]]&lt;=TrafficData[[#This Row],[totalCourt]],TrafficData[[#This Row],[disposedCourt]]&lt;=TrafficData[[#This Row],[totalCourt]])</f>
        <v>1</v>
      </c>
    </row>
    <row r="1528" spans="1:16">
      <c r="A1528" s="1">
        <v>43531</v>
      </c>
      <c r="B1528">
        <v>28439</v>
      </c>
      <c r="C1528">
        <v>23601</v>
      </c>
      <c r="D1528">
        <v>4838</v>
      </c>
      <c r="E1528">
        <v>6173500</v>
      </c>
      <c r="F1528">
        <v>39116796</v>
      </c>
      <c r="G1528">
        <v>45290296</v>
      </c>
      <c r="H1528">
        <v>2481</v>
      </c>
      <c r="I1528">
        <v>1950</v>
      </c>
      <c r="J1528">
        <v>4431</v>
      </c>
      <c r="K1528" t="b">
        <f>TrafficData[[#This Row],[disposedChallan]]+TrafficData[[#This Row],[pendingChallan]]=TrafficData[[#This Row],[totalChallan]]</f>
        <v>1</v>
      </c>
      <c r="L1528" t="b">
        <f>TrafficData[[#This Row],[pendingAmount]]+TrafficData[[#This Row],[disposedAmount]]=TrafficData[[#This Row],[totalAmount]]</f>
        <v>1</v>
      </c>
      <c r="M1528" t="b">
        <f>TrafficData[[#This Row],[pendingCourt]]+TrafficData[[#This Row],[disposedCourt]]=TrafficData[[#This Row],[totalCourt]]</f>
        <v>1</v>
      </c>
      <c r="N1528" t="b">
        <f>AND(TrafficData[[#This Row],[disposedChallan]]&lt;=TrafficData[[#This Row],[totalChallan]],TrafficData[[#This Row],[pendingChallan]]&lt;=TrafficData[[#This Row],[totalChallan]])</f>
        <v>1</v>
      </c>
      <c r="O1528" t="b">
        <f>AND(TrafficData[[#This Row],[pendingAmount]]&lt;=TrafficData[[#This Row],[totalAmount]],TrafficData[[#This Row],[disposedAmount]]&lt;=TrafficData[[#This Row],[totalAmount]])</f>
        <v>1</v>
      </c>
      <c r="P1528" t="b">
        <f>AND(TrafficData[[#This Row],[pendingCourt]]&lt;=TrafficData[[#This Row],[totalCourt]],TrafficData[[#This Row],[disposedCourt]]&lt;=TrafficData[[#This Row],[totalCourt]])</f>
        <v>1</v>
      </c>
    </row>
    <row r="1529" spans="1:16">
      <c r="A1529" s="1">
        <v>43532</v>
      </c>
      <c r="B1529">
        <v>26855</v>
      </c>
      <c r="C1529">
        <v>21928</v>
      </c>
      <c r="D1529">
        <v>4927</v>
      </c>
      <c r="E1529">
        <v>6890948</v>
      </c>
      <c r="F1529">
        <v>34494361</v>
      </c>
      <c r="G1529">
        <v>41385309</v>
      </c>
      <c r="H1529">
        <v>2605</v>
      </c>
      <c r="I1529">
        <v>1754</v>
      </c>
      <c r="J1529">
        <v>4359</v>
      </c>
      <c r="K1529" t="b">
        <f>TrafficData[[#This Row],[disposedChallan]]+TrafficData[[#This Row],[pendingChallan]]=TrafficData[[#This Row],[totalChallan]]</f>
        <v>1</v>
      </c>
      <c r="L1529" t="b">
        <f>TrafficData[[#This Row],[pendingAmount]]+TrafficData[[#This Row],[disposedAmount]]=TrafficData[[#This Row],[totalAmount]]</f>
        <v>1</v>
      </c>
      <c r="M1529" t="b">
        <f>TrafficData[[#This Row],[pendingCourt]]+TrafficData[[#This Row],[disposedCourt]]=TrafficData[[#This Row],[totalCourt]]</f>
        <v>1</v>
      </c>
      <c r="N1529" t="b">
        <f>AND(TrafficData[[#This Row],[disposedChallan]]&lt;=TrafficData[[#This Row],[totalChallan]],TrafficData[[#This Row],[pendingChallan]]&lt;=TrafficData[[#This Row],[totalChallan]])</f>
        <v>1</v>
      </c>
      <c r="O1529" t="b">
        <f>AND(TrafficData[[#This Row],[pendingAmount]]&lt;=TrafficData[[#This Row],[totalAmount]],TrafficData[[#This Row],[disposedAmount]]&lt;=TrafficData[[#This Row],[totalAmount]])</f>
        <v>1</v>
      </c>
      <c r="P1529" t="b">
        <f>AND(TrafficData[[#This Row],[pendingCourt]]&lt;=TrafficData[[#This Row],[totalCourt]],TrafficData[[#This Row],[disposedCourt]]&lt;=TrafficData[[#This Row],[totalCourt]])</f>
        <v>1</v>
      </c>
    </row>
    <row r="1530" spans="1:16">
      <c r="A1530" s="1">
        <v>43533</v>
      </c>
      <c r="B1530">
        <v>24552</v>
      </c>
      <c r="C1530">
        <v>20404</v>
      </c>
      <c r="D1530">
        <v>4148</v>
      </c>
      <c r="E1530">
        <v>4423814</v>
      </c>
      <c r="F1530">
        <v>30917091</v>
      </c>
      <c r="G1530">
        <v>35340905</v>
      </c>
      <c r="H1530">
        <v>1702</v>
      </c>
      <c r="I1530">
        <v>1468</v>
      </c>
      <c r="J1530">
        <v>3170</v>
      </c>
      <c r="K1530" t="b">
        <f>TrafficData[[#This Row],[disposedChallan]]+TrafficData[[#This Row],[pendingChallan]]=TrafficData[[#This Row],[totalChallan]]</f>
        <v>1</v>
      </c>
      <c r="L1530" t="b">
        <f>TrafficData[[#This Row],[pendingAmount]]+TrafficData[[#This Row],[disposedAmount]]=TrafficData[[#This Row],[totalAmount]]</f>
        <v>1</v>
      </c>
      <c r="M1530" t="b">
        <f>TrafficData[[#This Row],[pendingCourt]]+TrafficData[[#This Row],[disposedCourt]]=TrafficData[[#This Row],[totalCourt]]</f>
        <v>1</v>
      </c>
      <c r="N1530" t="b">
        <f>AND(TrafficData[[#This Row],[disposedChallan]]&lt;=TrafficData[[#This Row],[totalChallan]],TrafficData[[#This Row],[pendingChallan]]&lt;=TrafficData[[#This Row],[totalChallan]])</f>
        <v>1</v>
      </c>
      <c r="O1530" t="b">
        <f>AND(TrafficData[[#This Row],[pendingAmount]]&lt;=TrafficData[[#This Row],[totalAmount]],TrafficData[[#This Row],[disposedAmount]]&lt;=TrafficData[[#This Row],[totalAmount]])</f>
        <v>1</v>
      </c>
      <c r="P1530" t="b">
        <f>AND(TrafficData[[#This Row],[pendingCourt]]&lt;=TrafficData[[#This Row],[totalCourt]],TrafficData[[#This Row],[disposedCourt]]&lt;=TrafficData[[#This Row],[totalCourt]])</f>
        <v>1</v>
      </c>
    </row>
    <row r="1531" spans="1:16">
      <c r="A1531" s="1">
        <v>43534</v>
      </c>
      <c r="B1531">
        <v>17522</v>
      </c>
      <c r="C1531">
        <v>14296</v>
      </c>
      <c r="D1531">
        <v>3226</v>
      </c>
      <c r="E1531">
        <v>3279925</v>
      </c>
      <c r="F1531">
        <v>20086075</v>
      </c>
      <c r="G1531">
        <v>23366000</v>
      </c>
      <c r="H1531">
        <v>1389</v>
      </c>
      <c r="I1531">
        <v>1339</v>
      </c>
      <c r="J1531">
        <v>2728</v>
      </c>
      <c r="K1531" t="b">
        <f>TrafficData[[#This Row],[disposedChallan]]+TrafficData[[#This Row],[pendingChallan]]=TrafficData[[#This Row],[totalChallan]]</f>
        <v>1</v>
      </c>
      <c r="L1531" t="b">
        <f>TrafficData[[#This Row],[pendingAmount]]+TrafficData[[#This Row],[disposedAmount]]=TrafficData[[#This Row],[totalAmount]]</f>
        <v>1</v>
      </c>
      <c r="M1531" t="b">
        <f>TrafficData[[#This Row],[pendingCourt]]+TrafficData[[#This Row],[disposedCourt]]=TrafficData[[#This Row],[totalCourt]]</f>
        <v>1</v>
      </c>
      <c r="N1531" t="b">
        <f>AND(TrafficData[[#This Row],[disposedChallan]]&lt;=TrafficData[[#This Row],[totalChallan]],TrafficData[[#This Row],[pendingChallan]]&lt;=TrafficData[[#This Row],[totalChallan]])</f>
        <v>1</v>
      </c>
      <c r="O1531" t="b">
        <f>AND(TrafficData[[#This Row],[pendingAmount]]&lt;=TrafficData[[#This Row],[totalAmount]],TrafficData[[#This Row],[disposedAmount]]&lt;=TrafficData[[#This Row],[totalAmount]])</f>
        <v>1</v>
      </c>
      <c r="P1531" t="b">
        <f>AND(TrafficData[[#This Row],[pendingCourt]]&lt;=TrafficData[[#This Row],[totalCourt]],TrafficData[[#This Row],[disposedCourt]]&lt;=TrafficData[[#This Row],[totalCourt]])</f>
        <v>1</v>
      </c>
    </row>
    <row r="1532" spans="1:16">
      <c r="A1532" s="1">
        <v>43535</v>
      </c>
      <c r="B1532">
        <v>28695</v>
      </c>
      <c r="C1532">
        <v>23204</v>
      </c>
      <c r="D1532">
        <v>5491</v>
      </c>
      <c r="E1532">
        <v>6824417</v>
      </c>
      <c r="F1532">
        <v>30890584</v>
      </c>
      <c r="G1532">
        <v>37715001</v>
      </c>
      <c r="H1532">
        <v>2945</v>
      </c>
      <c r="I1532">
        <v>2250</v>
      </c>
      <c r="J1532">
        <v>5195</v>
      </c>
      <c r="K1532" t="b">
        <f>TrafficData[[#This Row],[disposedChallan]]+TrafficData[[#This Row],[pendingChallan]]=TrafficData[[#This Row],[totalChallan]]</f>
        <v>1</v>
      </c>
      <c r="L1532" t="b">
        <f>TrafficData[[#This Row],[pendingAmount]]+TrafficData[[#This Row],[disposedAmount]]=TrafficData[[#This Row],[totalAmount]]</f>
        <v>1</v>
      </c>
      <c r="M1532" t="b">
        <f>TrafficData[[#This Row],[pendingCourt]]+TrafficData[[#This Row],[disposedCourt]]=TrafficData[[#This Row],[totalCourt]]</f>
        <v>1</v>
      </c>
      <c r="N1532" t="b">
        <f>AND(TrafficData[[#This Row],[disposedChallan]]&lt;=TrafficData[[#This Row],[totalChallan]],TrafficData[[#This Row],[pendingChallan]]&lt;=TrafficData[[#This Row],[totalChallan]])</f>
        <v>1</v>
      </c>
      <c r="O1532" t="b">
        <f>AND(TrafficData[[#This Row],[pendingAmount]]&lt;=TrafficData[[#This Row],[totalAmount]],TrafficData[[#This Row],[disposedAmount]]&lt;=TrafficData[[#This Row],[totalAmount]])</f>
        <v>1</v>
      </c>
      <c r="P1532" t="b">
        <f>AND(TrafficData[[#This Row],[pendingCourt]]&lt;=TrafficData[[#This Row],[totalCourt]],TrafficData[[#This Row],[disposedCourt]]&lt;=TrafficData[[#This Row],[totalCourt]])</f>
        <v>1</v>
      </c>
    </row>
    <row r="1533" spans="1:16">
      <c r="A1533" s="1">
        <v>43536</v>
      </c>
      <c r="B1533">
        <v>33699</v>
      </c>
      <c r="C1533">
        <v>27484</v>
      </c>
      <c r="D1533">
        <v>6215</v>
      </c>
      <c r="E1533">
        <v>7897930</v>
      </c>
      <c r="F1533">
        <v>40691964</v>
      </c>
      <c r="G1533">
        <v>48589894</v>
      </c>
      <c r="H1533">
        <v>3449</v>
      </c>
      <c r="I1533">
        <v>2561</v>
      </c>
      <c r="J1533">
        <v>6010</v>
      </c>
      <c r="K1533" t="b">
        <f>TrafficData[[#This Row],[disposedChallan]]+TrafficData[[#This Row],[pendingChallan]]=TrafficData[[#This Row],[totalChallan]]</f>
        <v>1</v>
      </c>
      <c r="L1533" t="b">
        <f>TrafficData[[#This Row],[pendingAmount]]+TrafficData[[#This Row],[disposedAmount]]=TrafficData[[#This Row],[totalAmount]]</f>
        <v>1</v>
      </c>
      <c r="M1533" t="b">
        <f>TrafficData[[#This Row],[pendingCourt]]+TrafficData[[#This Row],[disposedCourt]]=TrafficData[[#This Row],[totalCourt]]</f>
        <v>1</v>
      </c>
      <c r="N1533" t="b">
        <f>AND(TrafficData[[#This Row],[disposedChallan]]&lt;=TrafficData[[#This Row],[totalChallan]],TrafficData[[#This Row],[pendingChallan]]&lt;=TrafficData[[#This Row],[totalChallan]])</f>
        <v>1</v>
      </c>
      <c r="O1533" t="b">
        <f>AND(TrafficData[[#This Row],[pendingAmount]]&lt;=TrafficData[[#This Row],[totalAmount]],TrafficData[[#This Row],[disposedAmount]]&lt;=TrafficData[[#This Row],[totalAmount]])</f>
        <v>1</v>
      </c>
      <c r="P1533" t="b">
        <f>AND(TrafficData[[#This Row],[pendingCourt]]&lt;=TrafficData[[#This Row],[totalCourt]],TrafficData[[#This Row],[disposedCourt]]&lt;=TrafficData[[#This Row],[totalCourt]])</f>
        <v>1</v>
      </c>
    </row>
    <row r="1534" spans="1:16">
      <c r="A1534" s="1">
        <v>43537</v>
      </c>
      <c r="B1534">
        <v>40010</v>
      </c>
      <c r="C1534">
        <v>30761</v>
      </c>
      <c r="D1534">
        <v>9249</v>
      </c>
      <c r="E1534">
        <v>9646563</v>
      </c>
      <c r="F1534">
        <v>43528416</v>
      </c>
      <c r="G1534">
        <v>53174979</v>
      </c>
      <c r="H1534">
        <v>6113</v>
      </c>
      <c r="I1534">
        <v>3147</v>
      </c>
      <c r="J1534">
        <v>9260</v>
      </c>
      <c r="K1534" t="b">
        <f>TrafficData[[#This Row],[disposedChallan]]+TrafficData[[#This Row],[pendingChallan]]=TrafficData[[#This Row],[totalChallan]]</f>
        <v>1</v>
      </c>
      <c r="L1534" t="b">
        <f>TrafficData[[#This Row],[pendingAmount]]+TrafficData[[#This Row],[disposedAmount]]=TrafficData[[#This Row],[totalAmount]]</f>
        <v>1</v>
      </c>
      <c r="M1534" t="b">
        <f>TrafficData[[#This Row],[pendingCourt]]+TrafficData[[#This Row],[disposedCourt]]=TrafficData[[#This Row],[totalCourt]]</f>
        <v>1</v>
      </c>
      <c r="N1534" t="b">
        <f>AND(TrafficData[[#This Row],[disposedChallan]]&lt;=TrafficData[[#This Row],[totalChallan]],TrafficData[[#This Row],[pendingChallan]]&lt;=TrafficData[[#This Row],[totalChallan]])</f>
        <v>1</v>
      </c>
      <c r="O1534" t="b">
        <f>AND(TrafficData[[#This Row],[pendingAmount]]&lt;=TrafficData[[#This Row],[totalAmount]],TrafficData[[#This Row],[disposedAmount]]&lt;=TrafficData[[#This Row],[totalAmount]])</f>
        <v>1</v>
      </c>
      <c r="P1534" t="b">
        <f>AND(TrafficData[[#This Row],[pendingCourt]]&lt;=TrafficData[[#This Row],[totalCourt]],TrafficData[[#This Row],[disposedCourt]]&lt;=TrafficData[[#This Row],[totalCourt]])</f>
        <v>1</v>
      </c>
    </row>
    <row r="1535" spans="1:16">
      <c r="A1535" s="1">
        <v>43538</v>
      </c>
      <c r="B1535">
        <v>32928</v>
      </c>
      <c r="C1535">
        <v>26814</v>
      </c>
      <c r="D1535">
        <v>6114</v>
      </c>
      <c r="E1535">
        <v>7839895</v>
      </c>
      <c r="F1535">
        <v>37496912</v>
      </c>
      <c r="G1535">
        <v>45336807</v>
      </c>
      <c r="H1535">
        <v>3168</v>
      </c>
      <c r="I1535">
        <v>2828</v>
      </c>
      <c r="J1535">
        <v>5996</v>
      </c>
      <c r="K1535" t="b">
        <f>TrafficData[[#This Row],[disposedChallan]]+TrafficData[[#This Row],[pendingChallan]]=TrafficData[[#This Row],[totalChallan]]</f>
        <v>1</v>
      </c>
      <c r="L1535" t="b">
        <f>TrafficData[[#This Row],[pendingAmount]]+TrafficData[[#This Row],[disposedAmount]]=TrafficData[[#This Row],[totalAmount]]</f>
        <v>1</v>
      </c>
      <c r="M1535" t="b">
        <f>TrafficData[[#This Row],[pendingCourt]]+TrafficData[[#This Row],[disposedCourt]]=TrafficData[[#This Row],[totalCourt]]</f>
        <v>1</v>
      </c>
      <c r="N1535" t="b">
        <f>AND(TrafficData[[#This Row],[disposedChallan]]&lt;=TrafficData[[#This Row],[totalChallan]],TrafficData[[#This Row],[pendingChallan]]&lt;=TrafficData[[#This Row],[totalChallan]])</f>
        <v>1</v>
      </c>
      <c r="O1535" t="b">
        <f>AND(TrafficData[[#This Row],[pendingAmount]]&lt;=TrafficData[[#This Row],[totalAmount]],TrafficData[[#This Row],[disposedAmount]]&lt;=TrafficData[[#This Row],[totalAmount]])</f>
        <v>1</v>
      </c>
      <c r="P1535" t="b">
        <f>AND(TrafficData[[#This Row],[pendingCourt]]&lt;=TrafficData[[#This Row],[totalCourt]],TrafficData[[#This Row],[disposedCourt]]&lt;=TrafficData[[#This Row],[totalCourt]])</f>
        <v>1</v>
      </c>
    </row>
    <row r="1536" spans="1:16">
      <c r="A1536" s="1">
        <v>43539</v>
      </c>
      <c r="B1536">
        <v>41846</v>
      </c>
      <c r="C1536">
        <v>32440</v>
      </c>
      <c r="D1536">
        <v>9406</v>
      </c>
      <c r="E1536">
        <v>10063735</v>
      </c>
      <c r="F1536">
        <v>45328004</v>
      </c>
      <c r="G1536">
        <v>55391739</v>
      </c>
      <c r="H1536">
        <v>5898</v>
      </c>
      <c r="I1536">
        <v>3408</v>
      </c>
      <c r="J1536">
        <v>9306</v>
      </c>
      <c r="K1536" t="b">
        <f>TrafficData[[#This Row],[disposedChallan]]+TrafficData[[#This Row],[pendingChallan]]=TrafficData[[#This Row],[totalChallan]]</f>
        <v>1</v>
      </c>
      <c r="L1536" t="b">
        <f>TrafficData[[#This Row],[pendingAmount]]+TrafficData[[#This Row],[disposedAmount]]=TrafficData[[#This Row],[totalAmount]]</f>
        <v>1</v>
      </c>
      <c r="M1536" t="b">
        <f>TrafficData[[#This Row],[pendingCourt]]+TrafficData[[#This Row],[disposedCourt]]=TrafficData[[#This Row],[totalCourt]]</f>
        <v>1</v>
      </c>
      <c r="N1536" t="b">
        <f>AND(TrafficData[[#This Row],[disposedChallan]]&lt;=TrafficData[[#This Row],[totalChallan]],TrafficData[[#This Row],[pendingChallan]]&lt;=TrafficData[[#This Row],[totalChallan]])</f>
        <v>1</v>
      </c>
      <c r="O1536" t="b">
        <f>AND(TrafficData[[#This Row],[pendingAmount]]&lt;=TrafficData[[#This Row],[totalAmount]],TrafficData[[#This Row],[disposedAmount]]&lt;=TrafficData[[#This Row],[totalAmount]])</f>
        <v>1</v>
      </c>
      <c r="P1536" t="b">
        <f>AND(TrafficData[[#This Row],[pendingCourt]]&lt;=TrafficData[[#This Row],[totalCourt]],TrafficData[[#This Row],[disposedCourt]]&lt;=TrafficData[[#This Row],[totalCourt]])</f>
        <v>1</v>
      </c>
    </row>
    <row r="1537" spans="1:16">
      <c r="A1537" s="1">
        <v>43540</v>
      </c>
      <c r="B1537">
        <v>34654</v>
      </c>
      <c r="C1537">
        <v>27894</v>
      </c>
      <c r="D1537">
        <v>6760</v>
      </c>
      <c r="E1537">
        <v>9890005</v>
      </c>
      <c r="F1537">
        <v>38077059</v>
      </c>
      <c r="G1537">
        <v>47967064</v>
      </c>
      <c r="H1537">
        <v>4686</v>
      </c>
      <c r="I1537">
        <v>2748</v>
      </c>
      <c r="J1537">
        <v>7434</v>
      </c>
      <c r="K1537" t="b">
        <f>TrafficData[[#This Row],[disposedChallan]]+TrafficData[[#This Row],[pendingChallan]]=TrafficData[[#This Row],[totalChallan]]</f>
        <v>1</v>
      </c>
      <c r="L1537" t="b">
        <f>TrafficData[[#This Row],[pendingAmount]]+TrafficData[[#This Row],[disposedAmount]]=TrafficData[[#This Row],[totalAmount]]</f>
        <v>1</v>
      </c>
      <c r="M1537" t="b">
        <f>TrafficData[[#This Row],[pendingCourt]]+TrafficData[[#This Row],[disposedCourt]]=TrafficData[[#This Row],[totalCourt]]</f>
        <v>1</v>
      </c>
      <c r="N1537" t="b">
        <f>AND(TrafficData[[#This Row],[disposedChallan]]&lt;=TrafficData[[#This Row],[totalChallan]],TrafficData[[#This Row],[pendingChallan]]&lt;=TrafficData[[#This Row],[totalChallan]])</f>
        <v>1</v>
      </c>
      <c r="O1537" t="b">
        <f>AND(TrafficData[[#This Row],[pendingAmount]]&lt;=TrafficData[[#This Row],[totalAmount]],TrafficData[[#This Row],[disposedAmount]]&lt;=TrafficData[[#This Row],[totalAmount]])</f>
        <v>1</v>
      </c>
      <c r="P1537" t="b">
        <f>AND(TrafficData[[#This Row],[pendingCourt]]&lt;=TrafficData[[#This Row],[totalCourt]],TrafficData[[#This Row],[disposedCourt]]&lt;=TrafficData[[#This Row],[totalCourt]])</f>
        <v>1</v>
      </c>
    </row>
    <row r="1538" spans="1:16">
      <c r="A1538" s="1">
        <v>43541</v>
      </c>
      <c r="B1538">
        <v>26343</v>
      </c>
      <c r="C1538">
        <v>20969</v>
      </c>
      <c r="D1538">
        <v>5374</v>
      </c>
      <c r="E1538">
        <v>4413548</v>
      </c>
      <c r="F1538">
        <v>25672711</v>
      </c>
      <c r="G1538">
        <v>30086259</v>
      </c>
      <c r="H1538">
        <v>4383</v>
      </c>
      <c r="I1538">
        <v>2563</v>
      </c>
      <c r="J1538">
        <v>6946</v>
      </c>
      <c r="K1538" t="b">
        <f>TrafficData[[#This Row],[disposedChallan]]+TrafficData[[#This Row],[pendingChallan]]=TrafficData[[#This Row],[totalChallan]]</f>
        <v>1</v>
      </c>
      <c r="L1538" t="b">
        <f>TrafficData[[#This Row],[pendingAmount]]+TrafficData[[#This Row],[disposedAmount]]=TrafficData[[#This Row],[totalAmount]]</f>
        <v>1</v>
      </c>
      <c r="M1538" t="b">
        <f>TrafficData[[#This Row],[pendingCourt]]+TrafficData[[#This Row],[disposedCourt]]=TrafficData[[#This Row],[totalCourt]]</f>
        <v>1</v>
      </c>
      <c r="N1538" t="b">
        <f>AND(TrafficData[[#This Row],[disposedChallan]]&lt;=TrafficData[[#This Row],[totalChallan]],TrafficData[[#This Row],[pendingChallan]]&lt;=TrafficData[[#This Row],[totalChallan]])</f>
        <v>1</v>
      </c>
      <c r="O1538" t="b">
        <f>AND(TrafficData[[#This Row],[pendingAmount]]&lt;=TrafficData[[#This Row],[totalAmount]],TrafficData[[#This Row],[disposedAmount]]&lt;=TrafficData[[#This Row],[totalAmount]])</f>
        <v>1</v>
      </c>
      <c r="P1538" t="b">
        <f>AND(TrafficData[[#This Row],[pendingCourt]]&lt;=TrafficData[[#This Row],[totalCourt]],TrafficData[[#This Row],[disposedCourt]]&lt;=TrafficData[[#This Row],[totalCourt]])</f>
        <v>1</v>
      </c>
    </row>
    <row r="1539" spans="1:16">
      <c r="A1539" s="1">
        <v>43542</v>
      </c>
      <c r="B1539">
        <v>34745</v>
      </c>
      <c r="C1539">
        <v>27726</v>
      </c>
      <c r="D1539">
        <v>7019</v>
      </c>
      <c r="E1539">
        <v>8447053</v>
      </c>
      <c r="F1539">
        <v>32269655</v>
      </c>
      <c r="G1539">
        <v>40716708</v>
      </c>
      <c r="H1539">
        <v>5352</v>
      </c>
      <c r="I1539">
        <v>3194</v>
      </c>
      <c r="J1539">
        <v>8546</v>
      </c>
      <c r="K1539" t="b">
        <f>TrafficData[[#This Row],[disposedChallan]]+TrafficData[[#This Row],[pendingChallan]]=TrafficData[[#This Row],[totalChallan]]</f>
        <v>1</v>
      </c>
      <c r="L1539" t="b">
        <f>TrafficData[[#This Row],[pendingAmount]]+TrafficData[[#This Row],[disposedAmount]]=TrafficData[[#This Row],[totalAmount]]</f>
        <v>1</v>
      </c>
      <c r="M1539" t="b">
        <f>TrafficData[[#This Row],[pendingCourt]]+TrafficData[[#This Row],[disposedCourt]]=TrafficData[[#This Row],[totalCourt]]</f>
        <v>1</v>
      </c>
      <c r="N1539" t="b">
        <f>AND(TrafficData[[#This Row],[disposedChallan]]&lt;=TrafficData[[#This Row],[totalChallan]],TrafficData[[#This Row],[pendingChallan]]&lt;=TrafficData[[#This Row],[totalChallan]])</f>
        <v>1</v>
      </c>
      <c r="O1539" t="b">
        <f>AND(TrafficData[[#This Row],[pendingAmount]]&lt;=TrafficData[[#This Row],[totalAmount]],TrafficData[[#This Row],[disposedAmount]]&lt;=TrafficData[[#This Row],[totalAmount]])</f>
        <v>1</v>
      </c>
      <c r="P1539" t="b">
        <f>AND(TrafficData[[#This Row],[pendingCourt]]&lt;=TrafficData[[#This Row],[totalCourt]],TrafficData[[#This Row],[disposedCourt]]&lt;=TrafficData[[#This Row],[totalCourt]])</f>
        <v>1</v>
      </c>
    </row>
    <row r="1540" spans="1:16">
      <c r="A1540" s="1">
        <v>43543</v>
      </c>
      <c r="B1540">
        <v>40875</v>
      </c>
      <c r="C1540">
        <v>31372</v>
      </c>
      <c r="D1540">
        <v>9503</v>
      </c>
      <c r="E1540">
        <v>9030656</v>
      </c>
      <c r="F1540">
        <v>39891137</v>
      </c>
      <c r="G1540">
        <v>48921793</v>
      </c>
      <c r="H1540">
        <v>6103</v>
      </c>
      <c r="I1540">
        <v>3411</v>
      </c>
      <c r="J1540">
        <v>9514</v>
      </c>
      <c r="K1540" t="b">
        <f>TrafficData[[#This Row],[disposedChallan]]+TrafficData[[#This Row],[pendingChallan]]=TrafficData[[#This Row],[totalChallan]]</f>
        <v>1</v>
      </c>
      <c r="L1540" t="b">
        <f>TrafficData[[#This Row],[pendingAmount]]+TrafficData[[#This Row],[disposedAmount]]=TrafficData[[#This Row],[totalAmount]]</f>
        <v>1</v>
      </c>
      <c r="M1540" t="b">
        <f>TrafficData[[#This Row],[pendingCourt]]+TrafficData[[#This Row],[disposedCourt]]=TrafficData[[#This Row],[totalCourt]]</f>
        <v>1</v>
      </c>
      <c r="N1540" t="b">
        <f>AND(TrafficData[[#This Row],[disposedChallan]]&lt;=TrafficData[[#This Row],[totalChallan]],TrafficData[[#This Row],[pendingChallan]]&lt;=TrafficData[[#This Row],[totalChallan]])</f>
        <v>1</v>
      </c>
      <c r="O1540" t="b">
        <f>AND(TrafficData[[#This Row],[pendingAmount]]&lt;=TrafficData[[#This Row],[totalAmount]],TrafficData[[#This Row],[disposedAmount]]&lt;=TrafficData[[#This Row],[totalAmount]])</f>
        <v>1</v>
      </c>
      <c r="P1540" t="b">
        <f>AND(TrafficData[[#This Row],[pendingCourt]]&lt;=TrafficData[[#This Row],[totalCourt]],TrafficData[[#This Row],[disposedCourt]]&lt;=TrafficData[[#This Row],[totalCourt]])</f>
        <v>1</v>
      </c>
    </row>
    <row r="1541" spans="1:16">
      <c r="A1541" s="1">
        <v>43544</v>
      </c>
      <c r="B1541">
        <v>23885</v>
      </c>
      <c r="C1541">
        <v>18656</v>
      </c>
      <c r="D1541">
        <v>5229</v>
      </c>
      <c r="E1541">
        <v>9273140</v>
      </c>
      <c r="F1541">
        <v>17240683</v>
      </c>
      <c r="G1541">
        <v>26513823</v>
      </c>
      <c r="H1541">
        <v>1898</v>
      </c>
      <c r="I1541">
        <v>1769</v>
      </c>
      <c r="J1541">
        <v>3667</v>
      </c>
      <c r="K1541" t="b">
        <f>TrafficData[[#This Row],[disposedChallan]]+TrafficData[[#This Row],[pendingChallan]]=TrafficData[[#This Row],[totalChallan]]</f>
        <v>1</v>
      </c>
      <c r="L1541" t="b">
        <f>TrafficData[[#This Row],[pendingAmount]]+TrafficData[[#This Row],[disposedAmount]]=TrafficData[[#This Row],[totalAmount]]</f>
        <v>1</v>
      </c>
      <c r="M1541" t="b">
        <f>TrafficData[[#This Row],[pendingCourt]]+TrafficData[[#This Row],[disposedCourt]]=TrafficData[[#This Row],[totalCourt]]</f>
        <v>1</v>
      </c>
      <c r="N1541" t="b">
        <f>AND(TrafficData[[#This Row],[disposedChallan]]&lt;=TrafficData[[#This Row],[totalChallan]],TrafficData[[#This Row],[pendingChallan]]&lt;=TrafficData[[#This Row],[totalChallan]])</f>
        <v>1</v>
      </c>
      <c r="O1541" t="b">
        <f>AND(TrafficData[[#This Row],[pendingAmount]]&lt;=TrafficData[[#This Row],[totalAmount]],TrafficData[[#This Row],[disposedAmount]]&lt;=TrafficData[[#This Row],[totalAmount]])</f>
        <v>1</v>
      </c>
      <c r="P1541" t="b">
        <f>AND(TrafficData[[#This Row],[pendingCourt]]&lt;=TrafficData[[#This Row],[totalCourt]],TrafficData[[#This Row],[disposedCourt]]&lt;=TrafficData[[#This Row],[totalCourt]])</f>
        <v>1</v>
      </c>
    </row>
    <row r="1542" spans="1:16">
      <c r="A1542" s="1">
        <v>43545</v>
      </c>
      <c r="B1542">
        <v>10194</v>
      </c>
      <c r="C1542">
        <v>6868</v>
      </c>
      <c r="D1542">
        <v>3326</v>
      </c>
      <c r="E1542">
        <v>1519215</v>
      </c>
      <c r="F1542">
        <v>7902322</v>
      </c>
      <c r="G1542">
        <v>9421537</v>
      </c>
      <c r="H1542">
        <v>609</v>
      </c>
      <c r="I1542">
        <v>1058</v>
      </c>
      <c r="J1542">
        <v>1667</v>
      </c>
      <c r="K1542" t="b">
        <f>TrafficData[[#This Row],[disposedChallan]]+TrafficData[[#This Row],[pendingChallan]]=TrafficData[[#This Row],[totalChallan]]</f>
        <v>1</v>
      </c>
      <c r="L1542" t="b">
        <f>TrafficData[[#This Row],[pendingAmount]]+TrafficData[[#This Row],[disposedAmount]]=TrafficData[[#This Row],[totalAmount]]</f>
        <v>1</v>
      </c>
      <c r="M1542" t="b">
        <f>TrafficData[[#This Row],[pendingCourt]]+TrafficData[[#This Row],[disposedCourt]]=TrafficData[[#This Row],[totalCourt]]</f>
        <v>1</v>
      </c>
      <c r="N1542" t="b">
        <f>AND(TrafficData[[#This Row],[disposedChallan]]&lt;=TrafficData[[#This Row],[totalChallan]],TrafficData[[#This Row],[pendingChallan]]&lt;=TrafficData[[#This Row],[totalChallan]])</f>
        <v>1</v>
      </c>
      <c r="O1542" t="b">
        <f>AND(TrafficData[[#This Row],[pendingAmount]]&lt;=TrafficData[[#This Row],[totalAmount]],TrafficData[[#This Row],[disposedAmount]]&lt;=TrafficData[[#This Row],[totalAmount]])</f>
        <v>1</v>
      </c>
      <c r="P1542" t="b">
        <f>AND(TrafficData[[#This Row],[pendingCourt]]&lt;=TrafficData[[#This Row],[totalCourt]],TrafficData[[#This Row],[disposedCourt]]&lt;=TrafficData[[#This Row],[totalCourt]])</f>
        <v>1</v>
      </c>
    </row>
    <row r="1543" spans="1:16">
      <c r="A1543" s="1">
        <v>43546</v>
      </c>
      <c r="B1543">
        <v>25297</v>
      </c>
      <c r="C1543">
        <v>19766</v>
      </c>
      <c r="D1543">
        <v>5531</v>
      </c>
      <c r="E1543">
        <v>4480330</v>
      </c>
      <c r="F1543">
        <v>14099986</v>
      </c>
      <c r="G1543">
        <v>18580316</v>
      </c>
      <c r="H1543">
        <v>2069</v>
      </c>
      <c r="I1543">
        <v>1201</v>
      </c>
      <c r="J1543">
        <v>3270</v>
      </c>
      <c r="K1543" t="b">
        <f>TrafficData[[#This Row],[disposedChallan]]+TrafficData[[#This Row],[pendingChallan]]=TrafficData[[#This Row],[totalChallan]]</f>
        <v>1</v>
      </c>
      <c r="L1543" t="b">
        <f>TrafficData[[#This Row],[pendingAmount]]+TrafficData[[#This Row],[disposedAmount]]=TrafficData[[#This Row],[totalAmount]]</f>
        <v>1</v>
      </c>
      <c r="M1543" t="b">
        <f>TrafficData[[#This Row],[pendingCourt]]+TrafficData[[#This Row],[disposedCourt]]=TrafficData[[#This Row],[totalCourt]]</f>
        <v>1</v>
      </c>
      <c r="N1543" t="b">
        <f>AND(TrafficData[[#This Row],[disposedChallan]]&lt;=TrafficData[[#This Row],[totalChallan]],TrafficData[[#This Row],[pendingChallan]]&lt;=TrafficData[[#This Row],[totalChallan]])</f>
        <v>1</v>
      </c>
      <c r="O1543" t="b">
        <f>AND(TrafficData[[#This Row],[pendingAmount]]&lt;=TrafficData[[#This Row],[totalAmount]],TrafficData[[#This Row],[disposedAmount]]&lt;=TrafficData[[#This Row],[totalAmount]])</f>
        <v>1</v>
      </c>
      <c r="P1543" t="b">
        <f>AND(TrafficData[[#This Row],[pendingCourt]]&lt;=TrafficData[[#This Row],[totalCourt]],TrafficData[[#This Row],[disposedCourt]]&lt;=TrafficData[[#This Row],[totalCourt]])</f>
        <v>1</v>
      </c>
    </row>
    <row r="1544" spans="1:16">
      <c r="A1544" s="1">
        <v>43547</v>
      </c>
      <c r="B1544">
        <v>28777</v>
      </c>
      <c r="C1544">
        <v>23097</v>
      </c>
      <c r="D1544">
        <v>5680</v>
      </c>
      <c r="E1544">
        <v>4989725</v>
      </c>
      <c r="F1544">
        <v>23111914</v>
      </c>
      <c r="G1544">
        <v>28101639</v>
      </c>
      <c r="H1544">
        <v>2206</v>
      </c>
      <c r="I1544">
        <v>2567</v>
      </c>
      <c r="J1544">
        <v>4773</v>
      </c>
      <c r="K1544" t="b">
        <f>TrafficData[[#This Row],[disposedChallan]]+TrafficData[[#This Row],[pendingChallan]]=TrafficData[[#This Row],[totalChallan]]</f>
        <v>1</v>
      </c>
      <c r="L1544" t="b">
        <f>TrafficData[[#This Row],[pendingAmount]]+TrafficData[[#This Row],[disposedAmount]]=TrafficData[[#This Row],[totalAmount]]</f>
        <v>1</v>
      </c>
      <c r="M1544" t="b">
        <f>TrafficData[[#This Row],[pendingCourt]]+TrafficData[[#This Row],[disposedCourt]]=TrafficData[[#This Row],[totalCourt]]</f>
        <v>1</v>
      </c>
      <c r="N1544" t="b">
        <f>AND(TrafficData[[#This Row],[disposedChallan]]&lt;=TrafficData[[#This Row],[totalChallan]],TrafficData[[#This Row],[pendingChallan]]&lt;=TrafficData[[#This Row],[totalChallan]])</f>
        <v>1</v>
      </c>
      <c r="O1544" t="b">
        <f>AND(TrafficData[[#This Row],[pendingAmount]]&lt;=TrafficData[[#This Row],[totalAmount]],TrafficData[[#This Row],[disposedAmount]]&lt;=TrafficData[[#This Row],[totalAmount]])</f>
        <v>1</v>
      </c>
      <c r="P1544" t="b">
        <f>AND(TrafficData[[#This Row],[pendingCourt]]&lt;=TrafficData[[#This Row],[totalCourt]],TrafficData[[#This Row],[disposedCourt]]&lt;=TrafficData[[#This Row],[totalCourt]])</f>
        <v>1</v>
      </c>
    </row>
    <row r="1545" spans="1:16">
      <c r="A1545" s="1">
        <v>43548</v>
      </c>
      <c r="B1545">
        <v>21670</v>
      </c>
      <c r="C1545">
        <v>17295</v>
      </c>
      <c r="D1545">
        <v>4375</v>
      </c>
      <c r="E1545">
        <v>4158760</v>
      </c>
      <c r="F1545">
        <v>18495203</v>
      </c>
      <c r="G1545">
        <v>22653963</v>
      </c>
      <c r="H1545">
        <v>1627</v>
      </c>
      <c r="I1545">
        <v>2303</v>
      </c>
      <c r="J1545">
        <v>3930</v>
      </c>
      <c r="K1545" t="b">
        <f>TrafficData[[#This Row],[disposedChallan]]+TrafficData[[#This Row],[pendingChallan]]=TrafficData[[#This Row],[totalChallan]]</f>
        <v>1</v>
      </c>
      <c r="L1545" t="b">
        <f>TrafficData[[#This Row],[pendingAmount]]+TrafficData[[#This Row],[disposedAmount]]=TrafficData[[#This Row],[totalAmount]]</f>
        <v>1</v>
      </c>
      <c r="M1545" t="b">
        <f>TrafficData[[#This Row],[pendingCourt]]+TrafficData[[#This Row],[disposedCourt]]=TrafficData[[#This Row],[totalCourt]]</f>
        <v>1</v>
      </c>
      <c r="N1545" t="b">
        <f>AND(TrafficData[[#This Row],[disposedChallan]]&lt;=TrafficData[[#This Row],[totalChallan]],TrafficData[[#This Row],[pendingChallan]]&lt;=TrafficData[[#This Row],[totalChallan]])</f>
        <v>1</v>
      </c>
      <c r="O1545" t="b">
        <f>AND(TrafficData[[#This Row],[pendingAmount]]&lt;=TrafficData[[#This Row],[totalAmount]],TrafficData[[#This Row],[disposedAmount]]&lt;=TrafficData[[#This Row],[totalAmount]])</f>
        <v>1</v>
      </c>
      <c r="P1545" t="b">
        <f>AND(TrafficData[[#This Row],[pendingCourt]]&lt;=TrafficData[[#This Row],[totalCourt]],TrafficData[[#This Row],[disposedCourt]]&lt;=TrafficData[[#This Row],[totalCourt]])</f>
        <v>1</v>
      </c>
    </row>
    <row r="1546" spans="1:16">
      <c r="A1546" s="1">
        <v>43549</v>
      </c>
      <c r="B1546">
        <v>32612</v>
      </c>
      <c r="C1546">
        <v>25739</v>
      </c>
      <c r="D1546">
        <v>6873</v>
      </c>
      <c r="E1546">
        <v>6450067</v>
      </c>
      <c r="F1546">
        <v>30966800</v>
      </c>
      <c r="G1546">
        <v>37416867</v>
      </c>
      <c r="H1546">
        <v>3051</v>
      </c>
      <c r="I1546">
        <v>3422</v>
      </c>
      <c r="J1546">
        <v>6473</v>
      </c>
      <c r="K1546" t="b">
        <f>TrafficData[[#This Row],[disposedChallan]]+TrafficData[[#This Row],[pendingChallan]]=TrafficData[[#This Row],[totalChallan]]</f>
        <v>1</v>
      </c>
      <c r="L1546" t="b">
        <f>TrafficData[[#This Row],[pendingAmount]]+TrafficData[[#This Row],[disposedAmount]]=TrafficData[[#This Row],[totalAmount]]</f>
        <v>1</v>
      </c>
      <c r="M1546" t="b">
        <f>TrafficData[[#This Row],[pendingCourt]]+TrafficData[[#This Row],[disposedCourt]]=TrafficData[[#This Row],[totalCourt]]</f>
        <v>1</v>
      </c>
      <c r="N1546" t="b">
        <f>AND(TrafficData[[#This Row],[disposedChallan]]&lt;=TrafficData[[#This Row],[totalChallan]],TrafficData[[#This Row],[pendingChallan]]&lt;=TrafficData[[#This Row],[totalChallan]])</f>
        <v>1</v>
      </c>
      <c r="O1546" t="b">
        <f>AND(TrafficData[[#This Row],[pendingAmount]]&lt;=TrafficData[[#This Row],[totalAmount]],TrafficData[[#This Row],[disposedAmount]]&lt;=TrafficData[[#This Row],[totalAmount]])</f>
        <v>1</v>
      </c>
      <c r="P1546" t="b">
        <f>AND(TrafficData[[#This Row],[pendingCourt]]&lt;=TrafficData[[#This Row],[totalCourt]],TrafficData[[#This Row],[disposedCourt]]&lt;=TrafficData[[#This Row],[totalCourt]])</f>
        <v>1</v>
      </c>
    </row>
    <row r="1547" spans="1:16">
      <c r="A1547" s="1">
        <v>43550</v>
      </c>
      <c r="B1547">
        <v>32488</v>
      </c>
      <c r="C1547">
        <v>26638</v>
      </c>
      <c r="D1547">
        <v>5850</v>
      </c>
      <c r="E1547">
        <v>7624245</v>
      </c>
      <c r="F1547">
        <v>40568327</v>
      </c>
      <c r="G1547">
        <v>48192572</v>
      </c>
      <c r="H1547">
        <v>2578</v>
      </c>
      <c r="I1547">
        <v>3120</v>
      </c>
      <c r="J1547">
        <v>5698</v>
      </c>
      <c r="K1547" t="b">
        <f>TrafficData[[#This Row],[disposedChallan]]+TrafficData[[#This Row],[pendingChallan]]=TrafficData[[#This Row],[totalChallan]]</f>
        <v>1</v>
      </c>
      <c r="L1547" t="b">
        <f>TrafficData[[#This Row],[pendingAmount]]+TrafficData[[#This Row],[disposedAmount]]=TrafficData[[#This Row],[totalAmount]]</f>
        <v>1</v>
      </c>
      <c r="M1547" t="b">
        <f>TrafficData[[#This Row],[pendingCourt]]+TrafficData[[#This Row],[disposedCourt]]=TrafficData[[#This Row],[totalCourt]]</f>
        <v>1</v>
      </c>
      <c r="N1547" t="b">
        <f>AND(TrafficData[[#This Row],[disposedChallan]]&lt;=TrafficData[[#This Row],[totalChallan]],TrafficData[[#This Row],[pendingChallan]]&lt;=TrafficData[[#This Row],[totalChallan]])</f>
        <v>1</v>
      </c>
      <c r="O1547" t="b">
        <f>AND(TrafficData[[#This Row],[pendingAmount]]&lt;=TrafficData[[#This Row],[totalAmount]],TrafficData[[#This Row],[disposedAmount]]&lt;=TrafficData[[#This Row],[totalAmount]])</f>
        <v>1</v>
      </c>
      <c r="P1547" t="b">
        <f>AND(TrafficData[[#This Row],[pendingCourt]]&lt;=TrafficData[[#This Row],[totalCourt]],TrafficData[[#This Row],[disposedCourt]]&lt;=TrafficData[[#This Row],[totalCourt]])</f>
        <v>1</v>
      </c>
    </row>
    <row r="1548" spans="1:16">
      <c r="A1548" s="1">
        <v>43551</v>
      </c>
      <c r="B1548">
        <v>38841</v>
      </c>
      <c r="C1548">
        <v>30140</v>
      </c>
      <c r="D1548">
        <v>8701</v>
      </c>
      <c r="E1548">
        <v>10591219</v>
      </c>
      <c r="F1548">
        <v>43062834</v>
      </c>
      <c r="G1548">
        <v>53654053</v>
      </c>
      <c r="H1548">
        <v>5203</v>
      </c>
      <c r="I1548">
        <v>3861</v>
      </c>
      <c r="J1548">
        <v>9064</v>
      </c>
      <c r="K1548" t="b">
        <f>TrafficData[[#This Row],[disposedChallan]]+TrafficData[[#This Row],[pendingChallan]]=TrafficData[[#This Row],[totalChallan]]</f>
        <v>1</v>
      </c>
      <c r="L1548" t="b">
        <f>TrafficData[[#This Row],[pendingAmount]]+TrafficData[[#This Row],[disposedAmount]]=TrafficData[[#This Row],[totalAmount]]</f>
        <v>1</v>
      </c>
      <c r="M1548" t="b">
        <f>TrafficData[[#This Row],[pendingCourt]]+TrafficData[[#This Row],[disposedCourt]]=TrafficData[[#This Row],[totalCourt]]</f>
        <v>1</v>
      </c>
      <c r="N1548" t="b">
        <f>AND(TrafficData[[#This Row],[disposedChallan]]&lt;=TrafficData[[#This Row],[totalChallan]],TrafficData[[#This Row],[pendingChallan]]&lt;=TrafficData[[#This Row],[totalChallan]])</f>
        <v>1</v>
      </c>
      <c r="O1548" t="b">
        <f>AND(TrafficData[[#This Row],[pendingAmount]]&lt;=TrafficData[[#This Row],[totalAmount]],TrafficData[[#This Row],[disposedAmount]]&lt;=TrafficData[[#This Row],[totalAmount]])</f>
        <v>1</v>
      </c>
      <c r="P1548" t="b">
        <f>AND(TrafficData[[#This Row],[pendingCourt]]&lt;=TrafficData[[#This Row],[totalCourt]],TrafficData[[#This Row],[disposedCourt]]&lt;=TrafficData[[#This Row],[totalCourt]])</f>
        <v>1</v>
      </c>
    </row>
    <row r="1549" spans="1:16">
      <c r="A1549" s="1">
        <v>43552</v>
      </c>
      <c r="B1549">
        <v>30454</v>
      </c>
      <c r="C1549">
        <v>25006</v>
      </c>
      <c r="D1549">
        <v>5448</v>
      </c>
      <c r="E1549">
        <v>6168227</v>
      </c>
      <c r="F1549">
        <v>33372105</v>
      </c>
      <c r="G1549">
        <v>39540332</v>
      </c>
      <c r="H1549">
        <v>2604</v>
      </c>
      <c r="I1549">
        <v>3487</v>
      </c>
      <c r="J1549">
        <v>6091</v>
      </c>
      <c r="K1549" t="b">
        <f>TrafficData[[#This Row],[disposedChallan]]+TrafficData[[#This Row],[pendingChallan]]=TrafficData[[#This Row],[totalChallan]]</f>
        <v>1</v>
      </c>
      <c r="L1549" t="b">
        <f>TrafficData[[#This Row],[pendingAmount]]+TrafficData[[#This Row],[disposedAmount]]=TrafficData[[#This Row],[totalAmount]]</f>
        <v>1</v>
      </c>
      <c r="M1549" t="b">
        <f>TrafficData[[#This Row],[pendingCourt]]+TrafficData[[#This Row],[disposedCourt]]=TrafficData[[#This Row],[totalCourt]]</f>
        <v>1</v>
      </c>
      <c r="N1549" t="b">
        <f>AND(TrafficData[[#This Row],[disposedChallan]]&lt;=TrafficData[[#This Row],[totalChallan]],TrafficData[[#This Row],[pendingChallan]]&lt;=TrafficData[[#This Row],[totalChallan]])</f>
        <v>1</v>
      </c>
      <c r="O1549" t="b">
        <f>AND(TrafficData[[#This Row],[pendingAmount]]&lt;=TrafficData[[#This Row],[totalAmount]],TrafficData[[#This Row],[disposedAmount]]&lt;=TrafficData[[#This Row],[totalAmount]])</f>
        <v>1</v>
      </c>
      <c r="P1549" t="b">
        <f>AND(TrafficData[[#This Row],[pendingCourt]]&lt;=TrafficData[[#This Row],[totalCourt]],TrafficData[[#This Row],[disposedCourt]]&lt;=TrafficData[[#This Row],[totalCourt]])</f>
        <v>1</v>
      </c>
    </row>
    <row r="1550" spans="1:16">
      <c r="A1550" s="1">
        <v>43553</v>
      </c>
      <c r="B1550">
        <v>30978</v>
      </c>
      <c r="C1550">
        <v>25447</v>
      </c>
      <c r="D1550">
        <v>5531</v>
      </c>
      <c r="E1550">
        <v>7227179</v>
      </c>
      <c r="F1550">
        <v>35075129</v>
      </c>
      <c r="G1550">
        <v>42302308</v>
      </c>
      <c r="H1550">
        <v>2528</v>
      </c>
      <c r="I1550">
        <v>3605</v>
      </c>
      <c r="J1550">
        <v>6133</v>
      </c>
      <c r="K1550" t="b">
        <f>TrafficData[[#This Row],[disposedChallan]]+TrafficData[[#This Row],[pendingChallan]]=TrafficData[[#This Row],[totalChallan]]</f>
        <v>1</v>
      </c>
      <c r="L1550" t="b">
        <f>TrafficData[[#This Row],[pendingAmount]]+TrafficData[[#This Row],[disposedAmount]]=TrafficData[[#This Row],[totalAmount]]</f>
        <v>1</v>
      </c>
      <c r="M1550" t="b">
        <f>TrafficData[[#This Row],[pendingCourt]]+TrafficData[[#This Row],[disposedCourt]]=TrafficData[[#This Row],[totalCourt]]</f>
        <v>1</v>
      </c>
      <c r="N1550" t="b">
        <f>AND(TrafficData[[#This Row],[disposedChallan]]&lt;=TrafficData[[#This Row],[totalChallan]],TrafficData[[#This Row],[pendingChallan]]&lt;=TrafficData[[#This Row],[totalChallan]])</f>
        <v>1</v>
      </c>
      <c r="O1550" t="b">
        <f>AND(TrafficData[[#This Row],[pendingAmount]]&lt;=TrafficData[[#This Row],[totalAmount]],TrafficData[[#This Row],[disposedAmount]]&lt;=TrafficData[[#This Row],[totalAmount]])</f>
        <v>1</v>
      </c>
      <c r="P1550" t="b">
        <f>AND(TrafficData[[#This Row],[pendingCourt]]&lt;=TrafficData[[#This Row],[totalCourt]],TrafficData[[#This Row],[disposedCourt]]&lt;=TrafficData[[#This Row],[totalCourt]])</f>
        <v>1</v>
      </c>
    </row>
    <row r="1551" spans="1:16">
      <c r="A1551" s="1">
        <v>43554</v>
      </c>
      <c r="B1551">
        <v>32875</v>
      </c>
      <c r="C1551">
        <v>25497</v>
      </c>
      <c r="D1551">
        <v>7378</v>
      </c>
      <c r="E1551">
        <v>7877485</v>
      </c>
      <c r="F1551">
        <v>27591767</v>
      </c>
      <c r="G1551">
        <v>35469252</v>
      </c>
      <c r="H1551">
        <v>4261</v>
      </c>
      <c r="I1551">
        <v>3436</v>
      </c>
      <c r="J1551">
        <v>7697</v>
      </c>
      <c r="K1551" t="b">
        <f>TrafficData[[#This Row],[disposedChallan]]+TrafficData[[#This Row],[pendingChallan]]=TrafficData[[#This Row],[totalChallan]]</f>
        <v>1</v>
      </c>
      <c r="L1551" t="b">
        <f>TrafficData[[#This Row],[pendingAmount]]+TrafficData[[#This Row],[disposedAmount]]=TrafficData[[#This Row],[totalAmount]]</f>
        <v>1</v>
      </c>
      <c r="M1551" t="b">
        <f>TrafficData[[#This Row],[pendingCourt]]+TrafficData[[#This Row],[disposedCourt]]=TrafficData[[#This Row],[totalCourt]]</f>
        <v>1</v>
      </c>
      <c r="N1551" t="b">
        <f>AND(TrafficData[[#This Row],[disposedChallan]]&lt;=TrafficData[[#This Row],[totalChallan]],TrafficData[[#This Row],[pendingChallan]]&lt;=TrafficData[[#This Row],[totalChallan]])</f>
        <v>1</v>
      </c>
      <c r="O1551" t="b">
        <f>AND(TrafficData[[#This Row],[pendingAmount]]&lt;=TrafficData[[#This Row],[totalAmount]],TrafficData[[#This Row],[disposedAmount]]&lt;=TrafficData[[#This Row],[totalAmount]])</f>
        <v>1</v>
      </c>
      <c r="P1551" t="b">
        <f>AND(TrafficData[[#This Row],[pendingCourt]]&lt;=TrafficData[[#This Row],[totalCourt]],TrafficData[[#This Row],[disposedCourt]]&lt;=TrafficData[[#This Row],[totalCourt]])</f>
        <v>1</v>
      </c>
    </row>
    <row r="1552" spans="1:16">
      <c r="A1552" s="1">
        <v>43555</v>
      </c>
      <c r="B1552">
        <v>22138</v>
      </c>
      <c r="C1552">
        <v>17766</v>
      </c>
      <c r="D1552">
        <v>4372</v>
      </c>
      <c r="E1552">
        <v>3647351</v>
      </c>
      <c r="F1552">
        <v>21961066</v>
      </c>
      <c r="G1552">
        <v>25608417</v>
      </c>
      <c r="H1552">
        <v>1971</v>
      </c>
      <c r="I1552">
        <v>2677</v>
      </c>
      <c r="J1552">
        <v>4648</v>
      </c>
      <c r="K1552" t="b">
        <f>TrafficData[[#This Row],[disposedChallan]]+TrafficData[[#This Row],[pendingChallan]]=TrafficData[[#This Row],[totalChallan]]</f>
        <v>1</v>
      </c>
      <c r="L1552" t="b">
        <f>TrafficData[[#This Row],[pendingAmount]]+TrafficData[[#This Row],[disposedAmount]]=TrafficData[[#This Row],[totalAmount]]</f>
        <v>1</v>
      </c>
      <c r="M1552" t="b">
        <f>TrafficData[[#This Row],[pendingCourt]]+TrafficData[[#This Row],[disposedCourt]]=TrafficData[[#This Row],[totalCourt]]</f>
        <v>1</v>
      </c>
      <c r="N1552" t="b">
        <f>AND(TrafficData[[#This Row],[disposedChallan]]&lt;=TrafficData[[#This Row],[totalChallan]],TrafficData[[#This Row],[pendingChallan]]&lt;=TrafficData[[#This Row],[totalChallan]])</f>
        <v>1</v>
      </c>
      <c r="O1552" t="b">
        <f>AND(TrafficData[[#This Row],[pendingAmount]]&lt;=TrafficData[[#This Row],[totalAmount]],TrafficData[[#This Row],[disposedAmount]]&lt;=TrafficData[[#This Row],[totalAmount]])</f>
        <v>1</v>
      </c>
      <c r="P1552" t="b">
        <f>AND(TrafficData[[#This Row],[pendingCourt]]&lt;=TrafficData[[#This Row],[totalCourt]],TrafficData[[#This Row],[disposedCourt]]&lt;=TrafficData[[#This Row],[totalCourt]])</f>
        <v>1</v>
      </c>
    </row>
    <row r="1553" spans="1:16">
      <c r="A1553" s="1">
        <v>43556</v>
      </c>
      <c r="B1553">
        <v>33326</v>
      </c>
      <c r="C1553">
        <v>27196</v>
      </c>
      <c r="D1553">
        <v>6130</v>
      </c>
      <c r="E1553">
        <v>6270770</v>
      </c>
      <c r="F1553">
        <v>34087049</v>
      </c>
      <c r="G1553">
        <v>40357819</v>
      </c>
      <c r="H1553">
        <v>4567</v>
      </c>
      <c r="I1553">
        <v>3511</v>
      </c>
      <c r="J1553">
        <v>8078</v>
      </c>
      <c r="K1553" t="b">
        <f>TrafficData[[#This Row],[disposedChallan]]+TrafficData[[#This Row],[pendingChallan]]=TrafficData[[#This Row],[totalChallan]]</f>
        <v>1</v>
      </c>
      <c r="L1553" t="b">
        <f>TrafficData[[#This Row],[pendingAmount]]+TrafficData[[#This Row],[disposedAmount]]=TrafficData[[#This Row],[totalAmount]]</f>
        <v>1</v>
      </c>
      <c r="M1553" t="b">
        <f>TrafficData[[#This Row],[pendingCourt]]+TrafficData[[#This Row],[disposedCourt]]=TrafficData[[#This Row],[totalCourt]]</f>
        <v>1</v>
      </c>
      <c r="N1553" t="b">
        <f>AND(TrafficData[[#This Row],[disposedChallan]]&lt;=TrafficData[[#This Row],[totalChallan]],TrafficData[[#This Row],[pendingChallan]]&lt;=TrafficData[[#This Row],[totalChallan]])</f>
        <v>1</v>
      </c>
      <c r="O1553" t="b">
        <f>AND(TrafficData[[#This Row],[pendingAmount]]&lt;=TrafficData[[#This Row],[totalAmount]],TrafficData[[#This Row],[disposedAmount]]&lt;=TrafficData[[#This Row],[totalAmount]])</f>
        <v>1</v>
      </c>
      <c r="P1553" t="b">
        <f>AND(TrafficData[[#This Row],[pendingCourt]]&lt;=TrafficData[[#This Row],[totalCourt]],TrafficData[[#This Row],[disposedCourt]]&lt;=TrafficData[[#This Row],[totalCourt]])</f>
        <v>1</v>
      </c>
    </row>
    <row r="1554" spans="1:16">
      <c r="A1554" s="1">
        <v>43557</v>
      </c>
      <c r="B1554">
        <v>34987</v>
      </c>
      <c r="C1554">
        <v>27827</v>
      </c>
      <c r="D1554">
        <v>7160</v>
      </c>
      <c r="E1554">
        <v>5131831</v>
      </c>
      <c r="F1554">
        <v>36105102</v>
      </c>
      <c r="G1554">
        <v>41236933</v>
      </c>
      <c r="H1554">
        <v>2811</v>
      </c>
      <c r="I1554">
        <v>3096</v>
      </c>
      <c r="J1554">
        <v>5907</v>
      </c>
      <c r="K1554" t="b">
        <f>TrafficData[[#This Row],[disposedChallan]]+TrafficData[[#This Row],[pendingChallan]]=TrafficData[[#This Row],[totalChallan]]</f>
        <v>1</v>
      </c>
      <c r="L1554" t="b">
        <f>TrafficData[[#This Row],[pendingAmount]]+TrafficData[[#This Row],[disposedAmount]]=TrafficData[[#This Row],[totalAmount]]</f>
        <v>1</v>
      </c>
      <c r="M1554" t="b">
        <f>TrafficData[[#This Row],[pendingCourt]]+TrafficData[[#This Row],[disposedCourt]]=TrafficData[[#This Row],[totalCourt]]</f>
        <v>1</v>
      </c>
      <c r="N1554" t="b">
        <f>AND(TrafficData[[#This Row],[disposedChallan]]&lt;=TrafficData[[#This Row],[totalChallan]],TrafficData[[#This Row],[pendingChallan]]&lt;=TrafficData[[#This Row],[totalChallan]])</f>
        <v>1</v>
      </c>
      <c r="O1554" t="b">
        <f>AND(TrafficData[[#This Row],[pendingAmount]]&lt;=TrafficData[[#This Row],[totalAmount]],TrafficData[[#This Row],[disposedAmount]]&lt;=TrafficData[[#This Row],[totalAmount]])</f>
        <v>1</v>
      </c>
      <c r="P1554" t="b">
        <f>AND(TrafficData[[#This Row],[pendingCourt]]&lt;=TrafficData[[#This Row],[totalCourt]],TrafficData[[#This Row],[disposedCourt]]&lt;=TrafficData[[#This Row],[totalCourt]])</f>
        <v>1</v>
      </c>
    </row>
    <row r="1555" spans="1:16">
      <c r="A1555" s="1">
        <v>43558</v>
      </c>
      <c r="B1555">
        <v>33132</v>
      </c>
      <c r="C1555">
        <v>25662</v>
      </c>
      <c r="D1555">
        <v>7470</v>
      </c>
      <c r="E1555">
        <v>7354700</v>
      </c>
      <c r="F1555">
        <v>33980073</v>
      </c>
      <c r="G1555">
        <v>41334773</v>
      </c>
      <c r="H1555">
        <v>3510</v>
      </c>
      <c r="I1555">
        <v>2534</v>
      </c>
      <c r="J1555">
        <v>6044</v>
      </c>
      <c r="K1555" t="b">
        <f>TrafficData[[#This Row],[disposedChallan]]+TrafficData[[#This Row],[pendingChallan]]=TrafficData[[#This Row],[totalChallan]]</f>
        <v>1</v>
      </c>
      <c r="L1555" t="b">
        <f>TrafficData[[#This Row],[pendingAmount]]+TrafficData[[#This Row],[disposedAmount]]=TrafficData[[#This Row],[totalAmount]]</f>
        <v>1</v>
      </c>
      <c r="M1555" t="b">
        <f>TrafficData[[#This Row],[pendingCourt]]+TrafficData[[#This Row],[disposedCourt]]=TrafficData[[#This Row],[totalCourt]]</f>
        <v>1</v>
      </c>
      <c r="N1555" t="b">
        <f>AND(TrafficData[[#This Row],[disposedChallan]]&lt;=TrafficData[[#This Row],[totalChallan]],TrafficData[[#This Row],[pendingChallan]]&lt;=TrafficData[[#This Row],[totalChallan]])</f>
        <v>1</v>
      </c>
      <c r="O1555" t="b">
        <f>AND(TrafficData[[#This Row],[pendingAmount]]&lt;=TrafficData[[#This Row],[totalAmount]],TrafficData[[#This Row],[disposedAmount]]&lt;=TrafficData[[#This Row],[totalAmount]])</f>
        <v>1</v>
      </c>
      <c r="P1555" t="b">
        <f>AND(TrafficData[[#This Row],[pendingCourt]]&lt;=TrafficData[[#This Row],[totalCourt]],TrafficData[[#This Row],[disposedCourt]]&lt;=TrafficData[[#This Row],[totalCourt]])</f>
        <v>1</v>
      </c>
    </row>
    <row r="1556" spans="1:16">
      <c r="A1556" s="1">
        <v>43559</v>
      </c>
      <c r="B1556">
        <v>32479</v>
      </c>
      <c r="C1556">
        <v>25441</v>
      </c>
      <c r="D1556">
        <v>7038</v>
      </c>
      <c r="E1556">
        <v>4555497</v>
      </c>
      <c r="F1556">
        <v>29615160</v>
      </c>
      <c r="G1556">
        <v>34170657</v>
      </c>
      <c r="H1556">
        <v>2498</v>
      </c>
      <c r="I1556">
        <v>2777</v>
      </c>
      <c r="J1556">
        <v>5275</v>
      </c>
      <c r="K1556" t="b">
        <f>TrafficData[[#This Row],[disposedChallan]]+TrafficData[[#This Row],[pendingChallan]]=TrafficData[[#This Row],[totalChallan]]</f>
        <v>1</v>
      </c>
      <c r="L1556" t="b">
        <f>TrafficData[[#This Row],[pendingAmount]]+TrafficData[[#This Row],[disposedAmount]]=TrafficData[[#This Row],[totalAmount]]</f>
        <v>1</v>
      </c>
      <c r="M1556" t="b">
        <f>TrafficData[[#This Row],[pendingCourt]]+TrafficData[[#This Row],[disposedCourt]]=TrafficData[[#This Row],[totalCourt]]</f>
        <v>1</v>
      </c>
      <c r="N1556" t="b">
        <f>AND(TrafficData[[#This Row],[disposedChallan]]&lt;=TrafficData[[#This Row],[totalChallan]],TrafficData[[#This Row],[pendingChallan]]&lt;=TrafficData[[#This Row],[totalChallan]])</f>
        <v>1</v>
      </c>
      <c r="O1556" t="b">
        <f>AND(TrafficData[[#This Row],[pendingAmount]]&lt;=TrafficData[[#This Row],[totalAmount]],TrafficData[[#This Row],[disposedAmount]]&lt;=TrafficData[[#This Row],[totalAmount]])</f>
        <v>1</v>
      </c>
      <c r="P1556" t="b">
        <f>AND(TrafficData[[#This Row],[pendingCourt]]&lt;=TrafficData[[#This Row],[totalCourt]],TrafficData[[#This Row],[disposedCourt]]&lt;=TrafficData[[#This Row],[totalCourt]])</f>
        <v>1</v>
      </c>
    </row>
    <row r="1557" spans="1:16">
      <c r="A1557" s="1">
        <v>43560</v>
      </c>
      <c r="B1557">
        <v>31372</v>
      </c>
      <c r="C1557">
        <v>24680</v>
      </c>
      <c r="D1557">
        <v>6692</v>
      </c>
      <c r="E1557">
        <v>5563780</v>
      </c>
      <c r="F1557">
        <v>34125415</v>
      </c>
      <c r="G1557">
        <v>39689195</v>
      </c>
      <c r="H1557">
        <v>3079</v>
      </c>
      <c r="I1557">
        <v>3188</v>
      </c>
      <c r="J1557">
        <v>6267</v>
      </c>
      <c r="K1557" t="b">
        <f>TrafficData[[#This Row],[disposedChallan]]+TrafficData[[#This Row],[pendingChallan]]=TrafficData[[#This Row],[totalChallan]]</f>
        <v>1</v>
      </c>
      <c r="L1557" t="b">
        <f>TrafficData[[#This Row],[pendingAmount]]+TrafficData[[#This Row],[disposedAmount]]=TrafficData[[#This Row],[totalAmount]]</f>
        <v>1</v>
      </c>
      <c r="M1557" t="b">
        <f>TrafficData[[#This Row],[pendingCourt]]+TrafficData[[#This Row],[disposedCourt]]=TrafficData[[#This Row],[totalCourt]]</f>
        <v>1</v>
      </c>
      <c r="N1557" t="b">
        <f>AND(TrafficData[[#This Row],[disposedChallan]]&lt;=TrafficData[[#This Row],[totalChallan]],TrafficData[[#This Row],[pendingChallan]]&lt;=TrafficData[[#This Row],[totalChallan]])</f>
        <v>1</v>
      </c>
      <c r="O1557" t="b">
        <f>AND(TrafficData[[#This Row],[pendingAmount]]&lt;=TrafficData[[#This Row],[totalAmount]],TrafficData[[#This Row],[disposedAmount]]&lt;=TrafficData[[#This Row],[totalAmount]])</f>
        <v>1</v>
      </c>
      <c r="P1557" t="b">
        <f>AND(TrafficData[[#This Row],[pendingCourt]]&lt;=TrafficData[[#This Row],[totalCourt]],TrafficData[[#This Row],[disposedCourt]]&lt;=TrafficData[[#This Row],[totalCourt]])</f>
        <v>1</v>
      </c>
    </row>
    <row r="1558" spans="1:16">
      <c r="A1558" s="1">
        <v>43561</v>
      </c>
      <c r="B1558">
        <v>27804</v>
      </c>
      <c r="C1558">
        <v>22080</v>
      </c>
      <c r="D1558">
        <v>5724</v>
      </c>
      <c r="E1558">
        <v>4759905</v>
      </c>
      <c r="F1558">
        <v>25795325</v>
      </c>
      <c r="G1558">
        <v>30555230</v>
      </c>
      <c r="H1558">
        <v>3017</v>
      </c>
      <c r="I1558">
        <v>2938</v>
      </c>
      <c r="J1558">
        <v>5955</v>
      </c>
      <c r="K1558" t="b">
        <f>TrafficData[[#This Row],[disposedChallan]]+TrafficData[[#This Row],[pendingChallan]]=TrafficData[[#This Row],[totalChallan]]</f>
        <v>1</v>
      </c>
      <c r="L1558" t="b">
        <f>TrafficData[[#This Row],[pendingAmount]]+TrafficData[[#This Row],[disposedAmount]]=TrafficData[[#This Row],[totalAmount]]</f>
        <v>1</v>
      </c>
      <c r="M1558" t="b">
        <f>TrafficData[[#This Row],[pendingCourt]]+TrafficData[[#This Row],[disposedCourt]]=TrafficData[[#This Row],[totalCourt]]</f>
        <v>1</v>
      </c>
      <c r="N1558" t="b">
        <f>AND(TrafficData[[#This Row],[disposedChallan]]&lt;=TrafficData[[#This Row],[totalChallan]],TrafficData[[#This Row],[pendingChallan]]&lt;=TrafficData[[#This Row],[totalChallan]])</f>
        <v>1</v>
      </c>
      <c r="O1558" t="b">
        <f>AND(TrafficData[[#This Row],[pendingAmount]]&lt;=TrafficData[[#This Row],[totalAmount]],TrafficData[[#This Row],[disposedAmount]]&lt;=TrafficData[[#This Row],[totalAmount]])</f>
        <v>1</v>
      </c>
      <c r="P1558" t="b">
        <f>AND(TrafficData[[#This Row],[pendingCourt]]&lt;=TrafficData[[#This Row],[totalCourt]],TrafficData[[#This Row],[disposedCourt]]&lt;=TrafficData[[#This Row],[totalCourt]])</f>
        <v>1</v>
      </c>
    </row>
    <row r="1559" spans="1:16">
      <c r="A1559" s="1">
        <v>43562</v>
      </c>
      <c r="B1559">
        <v>19697</v>
      </c>
      <c r="C1559">
        <v>16188</v>
      </c>
      <c r="D1559">
        <v>3509</v>
      </c>
      <c r="E1559">
        <v>3213775</v>
      </c>
      <c r="F1559">
        <v>18846291</v>
      </c>
      <c r="G1559">
        <v>22060066</v>
      </c>
      <c r="H1559">
        <v>1896</v>
      </c>
      <c r="I1559">
        <v>2643</v>
      </c>
      <c r="J1559">
        <v>4539</v>
      </c>
      <c r="K1559" t="b">
        <f>TrafficData[[#This Row],[disposedChallan]]+TrafficData[[#This Row],[pendingChallan]]=TrafficData[[#This Row],[totalChallan]]</f>
        <v>1</v>
      </c>
      <c r="L1559" t="b">
        <f>TrafficData[[#This Row],[pendingAmount]]+TrafficData[[#This Row],[disposedAmount]]=TrafficData[[#This Row],[totalAmount]]</f>
        <v>1</v>
      </c>
      <c r="M1559" t="b">
        <f>TrafficData[[#This Row],[pendingCourt]]+TrafficData[[#This Row],[disposedCourt]]=TrafficData[[#This Row],[totalCourt]]</f>
        <v>1</v>
      </c>
      <c r="N1559" t="b">
        <f>AND(TrafficData[[#This Row],[disposedChallan]]&lt;=TrafficData[[#This Row],[totalChallan]],TrafficData[[#This Row],[pendingChallan]]&lt;=TrafficData[[#This Row],[totalChallan]])</f>
        <v>1</v>
      </c>
      <c r="O1559" t="b">
        <f>AND(TrafficData[[#This Row],[pendingAmount]]&lt;=TrafficData[[#This Row],[totalAmount]],TrafficData[[#This Row],[disposedAmount]]&lt;=TrafficData[[#This Row],[totalAmount]])</f>
        <v>1</v>
      </c>
      <c r="P1559" t="b">
        <f>AND(TrafficData[[#This Row],[pendingCourt]]&lt;=TrafficData[[#This Row],[totalCourt]],TrafficData[[#This Row],[disposedCourt]]&lt;=TrafficData[[#This Row],[totalCourt]])</f>
        <v>1</v>
      </c>
    </row>
    <row r="1560" spans="1:16">
      <c r="A1560" s="1">
        <v>43563</v>
      </c>
      <c r="B1560">
        <v>25901</v>
      </c>
      <c r="C1560">
        <v>20832</v>
      </c>
      <c r="D1560">
        <v>5069</v>
      </c>
      <c r="E1560">
        <v>4633670</v>
      </c>
      <c r="F1560">
        <v>23907993</v>
      </c>
      <c r="G1560">
        <v>28541663</v>
      </c>
      <c r="H1560">
        <v>3011</v>
      </c>
      <c r="I1560">
        <v>3055</v>
      </c>
      <c r="J1560">
        <v>6066</v>
      </c>
      <c r="K1560" t="b">
        <f>TrafficData[[#This Row],[disposedChallan]]+TrafficData[[#This Row],[pendingChallan]]=TrafficData[[#This Row],[totalChallan]]</f>
        <v>1</v>
      </c>
      <c r="L1560" t="b">
        <f>TrafficData[[#This Row],[pendingAmount]]+TrafficData[[#This Row],[disposedAmount]]=TrafficData[[#This Row],[totalAmount]]</f>
        <v>1</v>
      </c>
      <c r="M1560" t="b">
        <f>TrafficData[[#This Row],[pendingCourt]]+TrafficData[[#This Row],[disposedCourt]]=TrafficData[[#This Row],[totalCourt]]</f>
        <v>1</v>
      </c>
      <c r="N1560" t="b">
        <f>AND(TrafficData[[#This Row],[disposedChallan]]&lt;=TrafficData[[#This Row],[totalChallan]],TrafficData[[#This Row],[pendingChallan]]&lt;=TrafficData[[#This Row],[totalChallan]])</f>
        <v>1</v>
      </c>
      <c r="O1560" t="b">
        <f>AND(TrafficData[[#This Row],[pendingAmount]]&lt;=TrafficData[[#This Row],[totalAmount]],TrafficData[[#This Row],[disposedAmount]]&lt;=TrafficData[[#This Row],[totalAmount]])</f>
        <v>1</v>
      </c>
      <c r="P1560" t="b">
        <f>AND(TrafficData[[#This Row],[pendingCourt]]&lt;=TrafficData[[#This Row],[totalCourt]],TrafficData[[#This Row],[disposedCourt]]&lt;=TrafficData[[#This Row],[totalCourt]])</f>
        <v>1</v>
      </c>
    </row>
    <row r="1561" spans="1:16">
      <c r="A1561" s="1">
        <v>43564</v>
      </c>
      <c r="B1561">
        <v>30803</v>
      </c>
      <c r="C1561">
        <v>23465</v>
      </c>
      <c r="D1561">
        <v>7338</v>
      </c>
      <c r="E1561">
        <v>7801176</v>
      </c>
      <c r="F1561">
        <v>27783751</v>
      </c>
      <c r="G1561">
        <v>35584927</v>
      </c>
      <c r="H1561">
        <v>4805</v>
      </c>
      <c r="I1561">
        <v>3345</v>
      </c>
      <c r="J1561">
        <v>8150</v>
      </c>
      <c r="K1561" t="b">
        <f>TrafficData[[#This Row],[disposedChallan]]+TrafficData[[#This Row],[pendingChallan]]=TrafficData[[#This Row],[totalChallan]]</f>
        <v>1</v>
      </c>
      <c r="L1561" t="b">
        <f>TrafficData[[#This Row],[pendingAmount]]+TrafficData[[#This Row],[disposedAmount]]=TrafficData[[#This Row],[totalAmount]]</f>
        <v>1</v>
      </c>
      <c r="M1561" t="b">
        <f>TrafficData[[#This Row],[pendingCourt]]+TrafficData[[#This Row],[disposedCourt]]=TrafficData[[#This Row],[totalCourt]]</f>
        <v>1</v>
      </c>
      <c r="N1561" t="b">
        <f>AND(TrafficData[[#This Row],[disposedChallan]]&lt;=TrafficData[[#This Row],[totalChallan]],TrafficData[[#This Row],[pendingChallan]]&lt;=TrafficData[[#This Row],[totalChallan]])</f>
        <v>1</v>
      </c>
      <c r="O1561" t="b">
        <f>AND(TrafficData[[#This Row],[pendingAmount]]&lt;=TrafficData[[#This Row],[totalAmount]],TrafficData[[#This Row],[disposedAmount]]&lt;=TrafficData[[#This Row],[totalAmount]])</f>
        <v>1</v>
      </c>
      <c r="P1561" t="b">
        <f>AND(TrafficData[[#This Row],[pendingCourt]]&lt;=TrafficData[[#This Row],[totalCourt]],TrafficData[[#This Row],[disposedCourt]]&lt;=TrafficData[[#This Row],[totalCourt]])</f>
        <v>1</v>
      </c>
    </row>
    <row r="1562" spans="1:16">
      <c r="A1562" s="1">
        <v>43565</v>
      </c>
      <c r="B1562">
        <v>29496</v>
      </c>
      <c r="C1562">
        <v>22420</v>
      </c>
      <c r="D1562">
        <v>7076</v>
      </c>
      <c r="E1562">
        <v>5844116</v>
      </c>
      <c r="F1562">
        <v>31860102</v>
      </c>
      <c r="G1562">
        <v>37704218</v>
      </c>
      <c r="H1562">
        <v>3193</v>
      </c>
      <c r="I1562">
        <v>2839</v>
      </c>
      <c r="J1562">
        <v>6032</v>
      </c>
      <c r="K1562" t="b">
        <f>TrafficData[[#This Row],[disposedChallan]]+TrafficData[[#This Row],[pendingChallan]]=TrafficData[[#This Row],[totalChallan]]</f>
        <v>1</v>
      </c>
      <c r="L1562" t="b">
        <f>TrafficData[[#This Row],[pendingAmount]]+TrafficData[[#This Row],[disposedAmount]]=TrafficData[[#This Row],[totalAmount]]</f>
        <v>1</v>
      </c>
      <c r="M1562" t="b">
        <f>TrafficData[[#This Row],[pendingCourt]]+TrafficData[[#This Row],[disposedCourt]]=TrafficData[[#This Row],[totalCourt]]</f>
        <v>1</v>
      </c>
      <c r="N1562" t="b">
        <f>AND(TrafficData[[#This Row],[disposedChallan]]&lt;=TrafficData[[#This Row],[totalChallan]],TrafficData[[#This Row],[pendingChallan]]&lt;=TrafficData[[#This Row],[totalChallan]])</f>
        <v>1</v>
      </c>
      <c r="O1562" t="b">
        <f>AND(TrafficData[[#This Row],[pendingAmount]]&lt;=TrafficData[[#This Row],[totalAmount]],TrafficData[[#This Row],[disposedAmount]]&lt;=TrafficData[[#This Row],[totalAmount]])</f>
        <v>1</v>
      </c>
      <c r="P1562" t="b">
        <f>AND(TrafficData[[#This Row],[pendingCourt]]&lt;=TrafficData[[#This Row],[totalCourt]],TrafficData[[#This Row],[disposedCourt]]&lt;=TrafficData[[#This Row],[totalCourt]])</f>
        <v>1</v>
      </c>
    </row>
    <row r="1563" spans="1:16">
      <c r="A1563" s="1">
        <v>43566</v>
      </c>
      <c r="B1563">
        <v>31812</v>
      </c>
      <c r="C1563">
        <v>23421</v>
      </c>
      <c r="D1563">
        <v>8391</v>
      </c>
      <c r="E1563">
        <v>13617589</v>
      </c>
      <c r="F1563">
        <v>45526777</v>
      </c>
      <c r="G1563">
        <v>59144366</v>
      </c>
      <c r="H1563">
        <v>4632</v>
      </c>
      <c r="I1563">
        <v>3166</v>
      </c>
      <c r="J1563">
        <v>7798</v>
      </c>
      <c r="K1563" t="b">
        <f>TrafficData[[#This Row],[disposedChallan]]+TrafficData[[#This Row],[pendingChallan]]=TrafficData[[#This Row],[totalChallan]]</f>
        <v>1</v>
      </c>
      <c r="L1563" t="b">
        <f>TrafficData[[#This Row],[pendingAmount]]+TrafficData[[#This Row],[disposedAmount]]=TrafficData[[#This Row],[totalAmount]]</f>
        <v>1</v>
      </c>
      <c r="M1563" t="b">
        <f>TrafficData[[#This Row],[pendingCourt]]+TrafficData[[#This Row],[disposedCourt]]=TrafficData[[#This Row],[totalCourt]]</f>
        <v>1</v>
      </c>
      <c r="N1563" t="b">
        <f>AND(TrafficData[[#This Row],[disposedChallan]]&lt;=TrafficData[[#This Row],[totalChallan]],TrafficData[[#This Row],[pendingChallan]]&lt;=TrafficData[[#This Row],[totalChallan]])</f>
        <v>1</v>
      </c>
      <c r="O1563" t="b">
        <f>AND(TrafficData[[#This Row],[pendingAmount]]&lt;=TrafficData[[#This Row],[totalAmount]],TrafficData[[#This Row],[disposedAmount]]&lt;=TrafficData[[#This Row],[totalAmount]])</f>
        <v>1</v>
      </c>
      <c r="P1563" t="b">
        <f>AND(TrafficData[[#This Row],[pendingCourt]]&lt;=TrafficData[[#This Row],[totalCourt]],TrafficData[[#This Row],[disposedCourt]]&lt;=TrafficData[[#This Row],[totalCourt]])</f>
        <v>1</v>
      </c>
    </row>
    <row r="1564" spans="1:16">
      <c r="A1564" s="1">
        <v>43567</v>
      </c>
      <c r="B1564">
        <v>25647</v>
      </c>
      <c r="C1564">
        <v>20459</v>
      </c>
      <c r="D1564">
        <v>5188</v>
      </c>
      <c r="E1564">
        <v>4890652</v>
      </c>
      <c r="F1564">
        <v>30817224</v>
      </c>
      <c r="G1564">
        <v>35707876</v>
      </c>
      <c r="H1564">
        <v>2842</v>
      </c>
      <c r="I1564">
        <v>2982</v>
      </c>
      <c r="J1564">
        <v>5824</v>
      </c>
      <c r="K1564" t="b">
        <f>TrafficData[[#This Row],[disposedChallan]]+TrafficData[[#This Row],[pendingChallan]]=TrafficData[[#This Row],[totalChallan]]</f>
        <v>1</v>
      </c>
      <c r="L1564" t="b">
        <f>TrafficData[[#This Row],[pendingAmount]]+TrafficData[[#This Row],[disposedAmount]]=TrafficData[[#This Row],[totalAmount]]</f>
        <v>1</v>
      </c>
      <c r="M1564" t="b">
        <f>TrafficData[[#This Row],[pendingCourt]]+TrafficData[[#This Row],[disposedCourt]]=TrafficData[[#This Row],[totalCourt]]</f>
        <v>1</v>
      </c>
      <c r="N1564" t="b">
        <f>AND(TrafficData[[#This Row],[disposedChallan]]&lt;=TrafficData[[#This Row],[totalChallan]],TrafficData[[#This Row],[pendingChallan]]&lt;=TrafficData[[#This Row],[totalChallan]])</f>
        <v>1</v>
      </c>
      <c r="O1564" t="b">
        <f>AND(TrafficData[[#This Row],[pendingAmount]]&lt;=TrafficData[[#This Row],[totalAmount]],TrafficData[[#This Row],[disposedAmount]]&lt;=TrafficData[[#This Row],[totalAmount]])</f>
        <v>1</v>
      </c>
      <c r="P1564" t="b">
        <f>AND(TrafficData[[#This Row],[pendingCourt]]&lt;=TrafficData[[#This Row],[totalCourt]],TrafficData[[#This Row],[disposedCourt]]&lt;=TrafficData[[#This Row],[totalCourt]])</f>
        <v>1</v>
      </c>
    </row>
    <row r="1565" spans="1:16">
      <c r="A1565" s="1">
        <v>43568</v>
      </c>
      <c r="B1565">
        <v>22959</v>
      </c>
      <c r="C1565">
        <v>17691</v>
      </c>
      <c r="D1565">
        <v>5268</v>
      </c>
      <c r="E1565">
        <v>4207425</v>
      </c>
      <c r="F1565">
        <v>20424588</v>
      </c>
      <c r="G1565">
        <v>24632013</v>
      </c>
      <c r="H1565">
        <v>2491</v>
      </c>
      <c r="I1565">
        <v>2384</v>
      </c>
      <c r="J1565">
        <v>4875</v>
      </c>
      <c r="K1565" t="b">
        <f>TrafficData[[#This Row],[disposedChallan]]+TrafficData[[#This Row],[pendingChallan]]=TrafficData[[#This Row],[totalChallan]]</f>
        <v>1</v>
      </c>
      <c r="L1565" t="b">
        <f>TrafficData[[#This Row],[pendingAmount]]+TrafficData[[#This Row],[disposedAmount]]=TrafficData[[#This Row],[totalAmount]]</f>
        <v>1</v>
      </c>
      <c r="M1565" t="b">
        <f>TrafficData[[#This Row],[pendingCourt]]+TrafficData[[#This Row],[disposedCourt]]=TrafficData[[#This Row],[totalCourt]]</f>
        <v>1</v>
      </c>
      <c r="N1565" t="b">
        <f>AND(TrafficData[[#This Row],[disposedChallan]]&lt;=TrafficData[[#This Row],[totalChallan]],TrafficData[[#This Row],[pendingChallan]]&lt;=TrafficData[[#This Row],[totalChallan]])</f>
        <v>1</v>
      </c>
      <c r="O1565" t="b">
        <f>AND(TrafficData[[#This Row],[pendingAmount]]&lt;=TrafficData[[#This Row],[totalAmount]],TrafficData[[#This Row],[disposedAmount]]&lt;=TrafficData[[#This Row],[totalAmount]])</f>
        <v>1</v>
      </c>
      <c r="P1565" t="b">
        <f>AND(TrafficData[[#This Row],[pendingCourt]]&lt;=TrafficData[[#This Row],[totalCourt]],TrafficData[[#This Row],[disposedCourt]]&lt;=TrafficData[[#This Row],[totalCourt]])</f>
        <v>1</v>
      </c>
    </row>
    <row r="1566" spans="1:16">
      <c r="A1566" s="1">
        <v>43569</v>
      </c>
      <c r="B1566">
        <v>18802</v>
      </c>
      <c r="C1566">
        <v>14687</v>
      </c>
      <c r="D1566">
        <v>4115</v>
      </c>
      <c r="E1566">
        <v>2744050</v>
      </c>
      <c r="F1566">
        <v>14933032</v>
      </c>
      <c r="G1566">
        <v>17677082</v>
      </c>
      <c r="H1566">
        <v>1695</v>
      </c>
      <c r="I1566">
        <v>2076</v>
      </c>
      <c r="J1566">
        <v>3771</v>
      </c>
      <c r="K1566" t="b">
        <f>TrafficData[[#This Row],[disposedChallan]]+TrafficData[[#This Row],[pendingChallan]]=TrafficData[[#This Row],[totalChallan]]</f>
        <v>1</v>
      </c>
      <c r="L1566" t="b">
        <f>TrafficData[[#This Row],[pendingAmount]]+TrafficData[[#This Row],[disposedAmount]]=TrafficData[[#This Row],[totalAmount]]</f>
        <v>1</v>
      </c>
      <c r="M1566" t="b">
        <f>TrafficData[[#This Row],[pendingCourt]]+TrafficData[[#This Row],[disposedCourt]]=TrafficData[[#This Row],[totalCourt]]</f>
        <v>1</v>
      </c>
      <c r="N1566" t="b">
        <f>AND(TrafficData[[#This Row],[disposedChallan]]&lt;=TrafficData[[#This Row],[totalChallan]],TrafficData[[#This Row],[pendingChallan]]&lt;=TrafficData[[#This Row],[totalChallan]])</f>
        <v>1</v>
      </c>
      <c r="O1566" t="b">
        <f>AND(TrafficData[[#This Row],[pendingAmount]]&lt;=TrafficData[[#This Row],[totalAmount]],TrafficData[[#This Row],[disposedAmount]]&lt;=TrafficData[[#This Row],[totalAmount]])</f>
        <v>1</v>
      </c>
      <c r="P1566" t="b">
        <f>AND(TrafficData[[#This Row],[pendingCourt]]&lt;=TrafficData[[#This Row],[totalCourt]],TrafficData[[#This Row],[disposedCourt]]&lt;=TrafficData[[#This Row],[totalCourt]])</f>
        <v>1</v>
      </c>
    </row>
    <row r="1567" spans="1:16">
      <c r="A1567" s="1">
        <v>43570</v>
      </c>
      <c r="B1567">
        <v>24450</v>
      </c>
      <c r="C1567">
        <v>19552</v>
      </c>
      <c r="D1567">
        <v>4898</v>
      </c>
      <c r="E1567">
        <v>5182257</v>
      </c>
      <c r="F1567">
        <v>21408494</v>
      </c>
      <c r="G1567">
        <v>26590751</v>
      </c>
      <c r="H1567">
        <v>2388</v>
      </c>
      <c r="I1567">
        <v>2757</v>
      </c>
      <c r="J1567">
        <v>5145</v>
      </c>
      <c r="K1567" t="b">
        <f>TrafficData[[#This Row],[disposedChallan]]+TrafficData[[#This Row],[pendingChallan]]=TrafficData[[#This Row],[totalChallan]]</f>
        <v>1</v>
      </c>
      <c r="L1567" t="b">
        <f>TrafficData[[#This Row],[pendingAmount]]+TrafficData[[#This Row],[disposedAmount]]=TrafficData[[#This Row],[totalAmount]]</f>
        <v>1</v>
      </c>
      <c r="M1567" t="b">
        <f>TrafficData[[#This Row],[pendingCourt]]+TrafficData[[#This Row],[disposedCourt]]=TrafficData[[#This Row],[totalCourt]]</f>
        <v>1</v>
      </c>
      <c r="N1567" t="b">
        <f>AND(TrafficData[[#This Row],[disposedChallan]]&lt;=TrafficData[[#This Row],[totalChallan]],TrafficData[[#This Row],[pendingChallan]]&lt;=TrafficData[[#This Row],[totalChallan]])</f>
        <v>1</v>
      </c>
      <c r="O1567" t="b">
        <f>AND(TrafficData[[#This Row],[pendingAmount]]&lt;=TrafficData[[#This Row],[totalAmount]],TrafficData[[#This Row],[disposedAmount]]&lt;=TrafficData[[#This Row],[totalAmount]])</f>
        <v>1</v>
      </c>
      <c r="P1567" t="b">
        <f>AND(TrafficData[[#This Row],[pendingCourt]]&lt;=TrafficData[[#This Row],[totalCourt]],TrafficData[[#This Row],[disposedCourt]]&lt;=TrafficData[[#This Row],[totalCourt]])</f>
        <v>1</v>
      </c>
    </row>
    <row r="1568" spans="1:16">
      <c r="A1568" s="1">
        <v>43571</v>
      </c>
      <c r="B1568">
        <v>26195</v>
      </c>
      <c r="C1568">
        <v>20674</v>
      </c>
      <c r="D1568">
        <v>5521</v>
      </c>
      <c r="E1568">
        <v>6375185</v>
      </c>
      <c r="F1568">
        <v>29740770</v>
      </c>
      <c r="G1568">
        <v>36115955</v>
      </c>
      <c r="H1568">
        <v>2767</v>
      </c>
      <c r="I1568">
        <v>3303</v>
      </c>
      <c r="J1568">
        <v>6070</v>
      </c>
      <c r="K1568" t="b">
        <f>TrafficData[[#This Row],[disposedChallan]]+TrafficData[[#This Row],[pendingChallan]]=TrafficData[[#This Row],[totalChallan]]</f>
        <v>1</v>
      </c>
      <c r="L1568" t="b">
        <f>TrafficData[[#This Row],[pendingAmount]]+TrafficData[[#This Row],[disposedAmount]]=TrafficData[[#This Row],[totalAmount]]</f>
        <v>1</v>
      </c>
      <c r="M1568" t="b">
        <f>TrafficData[[#This Row],[pendingCourt]]+TrafficData[[#This Row],[disposedCourt]]=TrafficData[[#This Row],[totalCourt]]</f>
        <v>1</v>
      </c>
      <c r="N1568" t="b">
        <f>AND(TrafficData[[#This Row],[disposedChallan]]&lt;=TrafficData[[#This Row],[totalChallan]],TrafficData[[#This Row],[pendingChallan]]&lt;=TrafficData[[#This Row],[totalChallan]])</f>
        <v>1</v>
      </c>
      <c r="O1568" t="b">
        <f>AND(TrafficData[[#This Row],[pendingAmount]]&lt;=TrafficData[[#This Row],[totalAmount]],TrafficData[[#This Row],[disposedAmount]]&lt;=TrafficData[[#This Row],[totalAmount]])</f>
        <v>1</v>
      </c>
      <c r="P1568" t="b">
        <f>AND(TrafficData[[#This Row],[pendingCourt]]&lt;=TrafficData[[#This Row],[totalCourt]],TrafficData[[#This Row],[disposedCourt]]&lt;=TrafficData[[#This Row],[totalCourt]])</f>
        <v>1</v>
      </c>
    </row>
    <row r="1569" spans="1:16">
      <c r="A1569" s="1">
        <v>43572</v>
      </c>
      <c r="B1569">
        <v>29331</v>
      </c>
      <c r="C1569">
        <v>22582</v>
      </c>
      <c r="D1569">
        <v>6749</v>
      </c>
      <c r="E1569">
        <v>12995975</v>
      </c>
      <c r="F1569">
        <v>46045260</v>
      </c>
      <c r="G1569">
        <v>59041235</v>
      </c>
      <c r="H1569">
        <v>4290</v>
      </c>
      <c r="I1569">
        <v>3425</v>
      </c>
      <c r="J1569">
        <v>7715</v>
      </c>
      <c r="K1569" t="b">
        <f>TrafficData[[#This Row],[disposedChallan]]+TrafficData[[#This Row],[pendingChallan]]=TrafficData[[#This Row],[totalChallan]]</f>
        <v>1</v>
      </c>
      <c r="L1569" t="b">
        <f>TrafficData[[#This Row],[pendingAmount]]+TrafficData[[#This Row],[disposedAmount]]=TrafficData[[#This Row],[totalAmount]]</f>
        <v>1</v>
      </c>
      <c r="M1569" t="b">
        <f>TrafficData[[#This Row],[pendingCourt]]+TrafficData[[#This Row],[disposedCourt]]=TrafficData[[#This Row],[totalCourt]]</f>
        <v>1</v>
      </c>
      <c r="N1569" t="b">
        <f>AND(TrafficData[[#This Row],[disposedChallan]]&lt;=TrafficData[[#This Row],[totalChallan]],TrafficData[[#This Row],[pendingChallan]]&lt;=TrafficData[[#This Row],[totalChallan]])</f>
        <v>1</v>
      </c>
      <c r="O1569" t="b">
        <f>AND(TrafficData[[#This Row],[pendingAmount]]&lt;=TrafficData[[#This Row],[totalAmount]],TrafficData[[#This Row],[disposedAmount]]&lt;=TrafficData[[#This Row],[totalAmount]])</f>
        <v>1</v>
      </c>
      <c r="P1569" t="b">
        <f>AND(TrafficData[[#This Row],[pendingCourt]]&lt;=TrafficData[[#This Row],[totalCourt]],TrafficData[[#This Row],[disposedCourt]]&lt;=TrafficData[[#This Row],[totalCourt]])</f>
        <v>1</v>
      </c>
    </row>
    <row r="1570" spans="1:16">
      <c r="A1570" s="1">
        <v>43573</v>
      </c>
      <c r="B1570">
        <v>27441</v>
      </c>
      <c r="C1570">
        <v>22039</v>
      </c>
      <c r="D1570">
        <v>5402</v>
      </c>
      <c r="E1570">
        <v>6803042</v>
      </c>
      <c r="F1570">
        <v>30776475</v>
      </c>
      <c r="G1570">
        <v>37579517</v>
      </c>
      <c r="H1570">
        <v>3067</v>
      </c>
      <c r="I1570">
        <v>3051</v>
      </c>
      <c r="J1570">
        <v>6118</v>
      </c>
      <c r="K1570" t="b">
        <f>TrafficData[[#This Row],[disposedChallan]]+TrafficData[[#This Row],[pendingChallan]]=TrafficData[[#This Row],[totalChallan]]</f>
        <v>1</v>
      </c>
      <c r="L1570" t="b">
        <f>TrafficData[[#This Row],[pendingAmount]]+TrafficData[[#This Row],[disposedAmount]]=TrafficData[[#This Row],[totalAmount]]</f>
        <v>1</v>
      </c>
      <c r="M1570" t="b">
        <f>TrafficData[[#This Row],[pendingCourt]]+TrafficData[[#This Row],[disposedCourt]]=TrafficData[[#This Row],[totalCourt]]</f>
        <v>1</v>
      </c>
      <c r="N1570" t="b">
        <f>AND(TrafficData[[#This Row],[disposedChallan]]&lt;=TrafficData[[#This Row],[totalChallan]],TrafficData[[#This Row],[pendingChallan]]&lt;=TrafficData[[#This Row],[totalChallan]])</f>
        <v>1</v>
      </c>
      <c r="O1570" t="b">
        <f>AND(TrafficData[[#This Row],[pendingAmount]]&lt;=TrafficData[[#This Row],[totalAmount]],TrafficData[[#This Row],[disposedAmount]]&lt;=TrafficData[[#This Row],[totalAmount]])</f>
        <v>1</v>
      </c>
      <c r="P1570" t="b">
        <f>AND(TrafficData[[#This Row],[pendingCourt]]&lt;=TrafficData[[#This Row],[totalCourt]],TrafficData[[#This Row],[disposedCourt]]&lt;=TrafficData[[#This Row],[totalCourt]])</f>
        <v>1</v>
      </c>
    </row>
    <row r="1571" spans="1:16">
      <c r="A1571" s="1">
        <v>43574</v>
      </c>
      <c r="B1571">
        <v>27519</v>
      </c>
      <c r="C1571">
        <v>21505</v>
      </c>
      <c r="D1571">
        <v>6014</v>
      </c>
      <c r="E1571">
        <v>5926275</v>
      </c>
      <c r="F1571">
        <v>27834100</v>
      </c>
      <c r="G1571">
        <v>33760375</v>
      </c>
      <c r="H1571">
        <v>3633</v>
      </c>
      <c r="I1571">
        <v>3026</v>
      </c>
      <c r="J1571">
        <v>6659</v>
      </c>
      <c r="K1571" t="b">
        <f>TrafficData[[#This Row],[disposedChallan]]+TrafficData[[#This Row],[pendingChallan]]=TrafficData[[#This Row],[totalChallan]]</f>
        <v>1</v>
      </c>
      <c r="L1571" t="b">
        <f>TrafficData[[#This Row],[pendingAmount]]+TrafficData[[#This Row],[disposedAmount]]=TrafficData[[#This Row],[totalAmount]]</f>
        <v>1</v>
      </c>
      <c r="M1571" t="b">
        <f>TrafficData[[#This Row],[pendingCourt]]+TrafficData[[#This Row],[disposedCourt]]=TrafficData[[#This Row],[totalCourt]]</f>
        <v>1</v>
      </c>
      <c r="N1571" t="b">
        <f>AND(TrafficData[[#This Row],[disposedChallan]]&lt;=TrafficData[[#This Row],[totalChallan]],TrafficData[[#This Row],[pendingChallan]]&lt;=TrafficData[[#This Row],[totalChallan]])</f>
        <v>1</v>
      </c>
      <c r="O1571" t="b">
        <f>AND(TrafficData[[#This Row],[pendingAmount]]&lt;=TrafficData[[#This Row],[totalAmount]],TrafficData[[#This Row],[disposedAmount]]&lt;=TrafficData[[#This Row],[totalAmount]])</f>
        <v>1</v>
      </c>
      <c r="P1571" t="b">
        <f>AND(TrafficData[[#This Row],[pendingCourt]]&lt;=TrafficData[[#This Row],[totalCourt]],TrafficData[[#This Row],[disposedCourt]]&lt;=TrafficData[[#This Row],[totalCourt]])</f>
        <v>1</v>
      </c>
    </row>
    <row r="1572" spans="1:16">
      <c r="A1572" s="1">
        <v>43575</v>
      </c>
      <c r="B1572">
        <v>27180</v>
      </c>
      <c r="C1572">
        <v>21887</v>
      </c>
      <c r="D1572">
        <v>5293</v>
      </c>
      <c r="E1572">
        <v>5630464</v>
      </c>
      <c r="F1572">
        <v>26990905</v>
      </c>
      <c r="G1572">
        <v>32621369</v>
      </c>
      <c r="H1572">
        <v>2719</v>
      </c>
      <c r="I1572">
        <v>3048</v>
      </c>
      <c r="J1572">
        <v>5767</v>
      </c>
      <c r="K1572" t="b">
        <f>TrafficData[[#This Row],[disposedChallan]]+TrafficData[[#This Row],[pendingChallan]]=TrafficData[[#This Row],[totalChallan]]</f>
        <v>1</v>
      </c>
      <c r="L1572" t="b">
        <f>TrafficData[[#This Row],[pendingAmount]]+TrafficData[[#This Row],[disposedAmount]]=TrafficData[[#This Row],[totalAmount]]</f>
        <v>1</v>
      </c>
      <c r="M1572" t="b">
        <f>TrafficData[[#This Row],[pendingCourt]]+TrafficData[[#This Row],[disposedCourt]]=TrafficData[[#This Row],[totalCourt]]</f>
        <v>1</v>
      </c>
      <c r="N1572" t="b">
        <f>AND(TrafficData[[#This Row],[disposedChallan]]&lt;=TrafficData[[#This Row],[totalChallan]],TrafficData[[#This Row],[pendingChallan]]&lt;=TrafficData[[#This Row],[totalChallan]])</f>
        <v>1</v>
      </c>
      <c r="O1572" t="b">
        <f>AND(TrafficData[[#This Row],[pendingAmount]]&lt;=TrafficData[[#This Row],[totalAmount]],TrafficData[[#This Row],[disposedAmount]]&lt;=TrafficData[[#This Row],[totalAmount]])</f>
        <v>1</v>
      </c>
      <c r="P1572" t="b">
        <f>AND(TrafficData[[#This Row],[pendingCourt]]&lt;=TrafficData[[#This Row],[totalCourt]],TrafficData[[#This Row],[disposedCourt]]&lt;=TrafficData[[#This Row],[totalCourt]])</f>
        <v>1</v>
      </c>
    </row>
    <row r="1573" spans="1:16">
      <c r="A1573" s="1">
        <v>43576</v>
      </c>
      <c r="B1573">
        <v>24999</v>
      </c>
      <c r="C1573">
        <v>19284</v>
      </c>
      <c r="D1573">
        <v>5715</v>
      </c>
      <c r="E1573">
        <v>3090385</v>
      </c>
      <c r="F1573">
        <v>20214377</v>
      </c>
      <c r="G1573">
        <v>23304762</v>
      </c>
      <c r="H1573">
        <v>2041</v>
      </c>
      <c r="I1573">
        <v>2389</v>
      </c>
      <c r="J1573">
        <v>4430</v>
      </c>
      <c r="K1573" t="b">
        <f>TrafficData[[#This Row],[disposedChallan]]+TrafficData[[#This Row],[pendingChallan]]=TrafficData[[#This Row],[totalChallan]]</f>
        <v>1</v>
      </c>
      <c r="L1573" t="b">
        <f>TrafficData[[#This Row],[pendingAmount]]+TrafficData[[#This Row],[disposedAmount]]=TrafficData[[#This Row],[totalAmount]]</f>
        <v>1</v>
      </c>
      <c r="M1573" t="b">
        <f>TrafficData[[#This Row],[pendingCourt]]+TrafficData[[#This Row],[disposedCourt]]=TrafficData[[#This Row],[totalCourt]]</f>
        <v>1</v>
      </c>
      <c r="N1573" t="b">
        <f>AND(TrafficData[[#This Row],[disposedChallan]]&lt;=TrafficData[[#This Row],[totalChallan]],TrafficData[[#This Row],[pendingChallan]]&lt;=TrafficData[[#This Row],[totalChallan]])</f>
        <v>1</v>
      </c>
      <c r="O1573" t="b">
        <f>AND(TrafficData[[#This Row],[pendingAmount]]&lt;=TrafficData[[#This Row],[totalAmount]],TrafficData[[#This Row],[disposedAmount]]&lt;=TrafficData[[#This Row],[totalAmount]])</f>
        <v>1</v>
      </c>
      <c r="P1573" t="b">
        <f>AND(TrafficData[[#This Row],[pendingCourt]]&lt;=TrafficData[[#This Row],[totalCourt]],TrafficData[[#This Row],[disposedCourt]]&lt;=TrafficData[[#This Row],[totalCourt]])</f>
        <v>1</v>
      </c>
    </row>
    <row r="1574" spans="1:16">
      <c r="A1574" s="1">
        <v>43577</v>
      </c>
      <c r="B1574">
        <v>30281</v>
      </c>
      <c r="C1574">
        <v>22823</v>
      </c>
      <c r="D1574">
        <v>7458</v>
      </c>
      <c r="E1574">
        <v>4353445</v>
      </c>
      <c r="F1574">
        <v>28862809</v>
      </c>
      <c r="G1574">
        <v>33216254</v>
      </c>
      <c r="H1574">
        <v>3742</v>
      </c>
      <c r="I1574">
        <v>3157</v>
      </c>
      <c r="J1574">
        <v>6899</v>
      </c>
      <c r="K1574" t="b">
        <f>TrafficData[[#This Row],[disposedChallan]]+TrafficData[[#This Row],[pendingChallan]]=TrafficData[[#This Row],[totalChallan]]</f>
        <v>1</v>
      </c>
      <c r="L1574" t="b">
        <f>TrafficData[[#This Row],[pendingAmount]]+TrafficData[[#This Row],[disposedAmount]]=TrafficData[[#This Row],[totalAmount]]</f>
        <v>1</v>
      </c>
      <c r="M1574" t="b">
        <f>TrafficData[[#This Row],[pendingCourt]]+TrafficData[[#This Row],[disposedCourt]]=TrafficData[[#This Row],[totalCourt]]</f>
        <v>1</v>
      </c>
      <c r="N1574" t="b">
        <f>AND(TrafficData[[#This Row],[disposedChallan]]&lt;=TrafficData[[#This Row],[totalChallan]],TrafficData[[#This Row],[pendingChallan]]&lt;=TrafficData[[#This Row],[totalChallan]])</f>
        <v>1</v>
      </c>
      <c r="O1574" t="b">
        <f>AND(TrafficData[[#This Row],[pendingAmount]]&lt;=TrafficData[[#This Row],[totalAmount]],TrafficData[[#This Row],[disposedAmount]]&lt;=TrafficData[[#This Row],[totalAmount]])</f>
        <v>1</v>
      </c>
      <c r="P1574" t="b">
        <f>AND(TrafficData[[#This Row],[pendingCourt]]&lt;=TrafficData[[#This Row],[totalCourt]],TrafficData[[#This Row],[disposedCourt]]&lt;=TrafficData[[#This Row],[totalCourt]])</f>
        <v>1</v>
      </c>
    </row>
    <row r="1575" spans="1:16">
      <c r="A1575" s="1">
        <v>43578</v>
      </c>
      <c r="B1575">
        <v>29467</v>
      </c>
      <c r="C1575">
        <v>22779</v>
      </c>
      <c r="D1575">
        <v>6688</v>
      </c>
      <c r="E1575">
        <v>5471090</v>
      </c>
      <c r="F1575">
        <v>25751550</v>
      </c>
      <c r="G1575">
        <v>31222640</v>
      </c>
      <c r="H1575">
        <v>3295</v>
      </c>
      <c r="I1575">
        <v>3099</v>
      </c>
      <c r="J1575">
        <v>6394</v>
      </c>
      <c r="K1575" t="b">
        <f>TrafficData[[#This Row],[disposedChallan]]+TrafficData[[#This Row],[pendingChallan]]=TrafficData[[#This Row],[totalChallan]]</f>
        <v>1</v>
      </c>
      <c r="L1575" t="b">
        <f>TrafficData[[#This Row],[pendingAmount]]+TrafficData[[#This Row],[disposedAmount]]=TrafficData[[#This Row],[totalAmount]]</f>
        <v>1</v>
      </c>
      <c r="M1575" t="b">
        <f>TrafficData[[#This Row],[pendingCourt]]+TrafficData[[#This Row],[disposedCourt]]=TrafficData[[#This Row],[totalCourt]]</f>
        <v>1</v>
      </c>
      <c r="N1575" t="b">
        <f>AND(TrafficData[[#This Row],[disposedChallan]]&lt;=TrafficData[[#This Row],[totalChallan]],TrafficData[[#This Row],[pendingChallan]]&lt;=TrafficData[[#This Row],[totalChallan]])</f>
        <v>1</v>
      </c>
      <c r="O1575" t="b">
        <f>AND(TrafficData[[#This Row],[pendingAmount]]&lt;=TrafficData[[#This Row],[totalAmount]],TrafficData[[#This Row],[disposedAmount]]&lt;=TrafficData[[#This Row],[totalAmount]])</f>
        <v>1</v>
      </c>
      <c r="P1575" t="b">
        <f>AND(TrafficData[[#This Row],[pendingCourt]]&lt;=TrafficData[[#This Row],[totalCourt]],TrafficData[[#This Row],[disposedCourt]]&lt;=TrafficData[[#This Row],[totalCourt]])</f>
        <v>1</v>
      </c>
    </row>
    <row r="1576" spans="1:16">
      <c r="A1576" s="1">
        <v>43579</v>
      </c>
      <c r="B1576">
        <v>29385</v>
      </c>
      <c r="C1576">
        <v>22473</v>
      </c>
      <c r="D1576">
        <v>6912</v>
      </c>
      <c r="E1576">
        <v>5231818</v>
      </c>
      <c r="F1576">
        <v>28281786</v>
      </c>
      <c r="G1576">
        <v>33513604</v>
      </c>
      <c r="H1576">
        <v>3469</v>
      </c>
      <c r="I1576">
        <v>2568</v>
      </c>
      <c r="J1576">
        <v>6037</v>
      </c>
      <c r="K1576" t="b">
        <f>TrafficData[[#This Row],[disposedChallan]]+TrafficData[[#This Row],[pendingChallan]]=TrafficData[[#This Row],[totalChallan]]</f>
        <v>1</v>
      </c>
      <c r="L1576" t="b">
        <f>TrafficData[[#This Row],[pendingAmount]]+TrafficData[[#This Row],[disposedAmount]]=TrafficData[[#This Row],[totalAmount]]</f>
        <v>1</v>
      </c>
      <c r="M1576" t="b">
        <f>TrafficData[[#This Row],[pendingCourt]]+TrafficData[[#This Row],[disposedCourt]]=TrafficData[[#This Row],[totalCourt]]</f>
        <v>1</v>
      </c>
      <c r="N1576" t="b">
        <f>AND(TrafficData[[#This Row],[disposedChallan]]&lt;=TrafficData[[#This Row],[totalChallan]],TrafficData[[#This Row],[pendingChallan]]&lt;=TrafficData[[#This Row],[totalChallan]])</f>
        <v>1</v>
      </c>
      <c r="O1576" t="b">
        <f>AND(TrafficData[[#This Row],[pendingAmount]]&lt;=TrafficData[[#This Row],[totalAmount]],TrafficData[[#This Row],[disposedAmount]]&lt;=TrafficData[[#This Row],[totalAmount]])</f>
        <v>1</v>
      </c>
      <c r="P1576" t="b">
        <f>AND(TrafficData[[#This Row],[pendingCourt]]&lt;=TrafficData[[#This Row],[totalCourt]],TrafficData[[#This Row],[disposedCourt]]&lt;=TrafficData[[#This Row],[totalCourt]])</f>
        <v>1</v>
      </c>
    </row>
    <row r="1577" spans="1:16">
      <c r="A1577" s="1">
        <v>43580</v>
      </c>
      <c r="B1577">
        <v>30934</v>
      </c>
      <c r="C1577">
        <v>23659</v>
      </c>
      <c r="D1577">
        <v>7275</v>
      </c>
      <c r="E1577">
        <v>13453945</v>
      </c>
      <c r="F1577">
        <v>47765091</v>
      </c>
      <c r="G1577">
        <v>61219036</v>
      </c>
      <c r="H1577">
        <v>3396</v>
      </c>
      <c r="I1577">
        <v>2418</v>
      </c>
      <c r="J1577">
        <v>5814</v>
      </c>
      <c r="K1577" t="b">
        <f>TrafficData[[#This Row],[disposedChallan]]+TrafficData[[#This Row],[pendingChallan]]=TrafficData[[#This Row],[totalChallan]]</f>
        <v>1</v>
      </c>
      <c r="L1577" t="b">
        <f>TrafficData[[#This Row],[pendingAmount]]+TrafficData[[#This Row],[disposedAmount]]=TrafficData[[#This Row],[totalAmount]]</f>
        <v>1</v>
      </c>
      <c r="M1577" t="b">
        <f>TrafficData[[#This Row],[pendingCourt]]+TrafficData[[#This Row],[disposedCourt]]=TrafficData[[#This Row],[totalCourt]]</f>
        <v>1</v>
      </c>
      <c r="N1577" t="b">
        <f>AND(TrafficData[[#This Row],[disposedChallan]]&lt;=TrafficData[[#This Row],[totalChallan]],TrafficData[[#This Row],[pendingChallan]]&lt;=TrafficData[[#This Row],[totalChallan]])</f>
        <v>1</v>
      </c>
      <c r="O1577" t="b">
        <f>AND(TrafficData[[#This Row],[pendingAmount]]&lt;=TrafficData[[#This Row],[totalAmount]],TrafficData[[#This Row],[disposedAmount]]&lt;=TrafficData[[#This Row],[totalAmount]])</f>
        <v>1</v>
      </c>
      <c r="P1577" t="b">
        <f>AND(TrafficData[[#This Row],[pendingCourt]]&lt;=TrafficData[[#This Row],[totalCourt]],TrafficData[[#This Row],[disposedCourt]]&lt;=TrafficData[[#This Row],[totalCourt]])</f>
        <v>1</v>
      </c>
    </row>
    <row r="1578" spans="1:16">
      <c r="A1578" s="1">
        <v>43581</v>
      </c>
      <c r="B1578">
        <v>33641</v>
      </c>
      <c r="C1578">
        <v>24906</v>
      </c>
      <c r="D1578">
        <v>8735</v>
      </c>
      <c r="E1578">
        <v>9065135</v>
      </c>
      <c r="F1578">
        <v>31777426</v>
      </c>
      <c r="G1578">
        <v>40842561</v>
      </c>
      <c r="H1578">
        <v>4957</v>
      </c>
      <c r="I1578">
        <v>2602</v>
      </c>
      <c r="J1578">
        <v>7559</v>
      </c>
      <c r="K1578" t="b">
        <f>TrafficData[[#This Row],[disposedChallan]]+TrafficData[[#This Row],[pendingChallan]]=TrafficData[[#This Row],[totalChallan]]</f>
        <v>1</v>
      </c>
      <c r="L1578" t="b">
        <f>TrafficData[[#This Row],[pendingAmount]]+TrafficData[[#This Row],[disposedAmount]]=TrafficData[[#This Row],[totalAmount]]</f>
        <v>1</v>
      </c>
      <c r="M1578" t="b">
        <f>TrafficData[[#This Row],[pendingCourt]]+TrafficData[[#This Row],[disposedCourt]]=TrafficData[[#This Row],[totalCourt]]</f>
        <v>1</v>
      </c>
      <c r="N1578" t="b">
        <f>AND(TrafficData[[#This Row],[disposedChallan]]&lt;=TrafficData[[#This Row],[totalChallan]],TrafficData[[#This Row],[pendingChallan]]&lt;=TrafficData[[#This Row],[totalChallan]])</f>
        <v>1</v>
      </c>
      <c r="O1578" t="b">
        <f>AND(TrafficData[[#This Row],[pendingAmount]]&lt;=TrafficData[[#This Row],[totalAmount]],TrafficData[[#This Row],[disposedAmount]]&lt;=TrafficData[[#This Row],[totalAmount]])</f>
        <v>1</v>
      </c>
      <c r="P1578" t="b">
        <f>AND(TrafficData[[#This Row],[pendingCourt]]&lt;=TrafficData[[#This Row],[totalCourt]],TrafficData[[#This Row],[disposedCourt]]&lt;=TrafficData[[#This Row],[totalCourt]])</f>
        <v>1</v>
      </c>
    </row>
    <row r="1579" spans="1:16">
      <c r="A1579" s="1">
        <v>43582</v>
      </c>
      <c r="B1579">
        <v>29611</v>
      </c>
      <c r="C1579">
        <v>22949</v>
      </c>
      <c r="D1579">
        <v>6662</v>
      </c>
      <c r="E1579">
        <v>6951276</v>
      </c>
      <c r="F1579">
        <v>26359189</v>
      </c>
      <c r="G1579">
        <v>33310465</v>
      </c>
      <c r="H1579">
        <v>3618</v>
      </c>
      <c r="I1579">
        <v>2626</v>
      </c>
      <c r="J1579">
        <v>6244</v>
      </c>
      <c r="K1579" t="b">
        <f>TrafficData[[#This Row],[disposedChallan]]+TrafficData[[#This Row],[pendingChallan]]=TrafficData[[#This Row],[totalChallan]]</f>
        <v>1</v>
      </c>
      <c r="L1579" t="b">
        <f>TrafficData[[#This Row],[pendingAmount]]+TrafficData[[#This Row],[disposedAmount]]=TrafficData[[#This Row],[totalAmount]]</f>
        <v>1</v>
      </c>
      <c r="M1579" t="b">
        <f>TrafficData[[#This Row],[pendingCourt]]+TrafficData[[#This Row],[disposedCourt]]=TrafficData[[#This Row],[totalCourt]]</f>
        <v>1</v>
      </c>
      <c r="N1579" t="b">
        <f>AND(TrafficData[[#This Row],[disposedChallan]]&lt;=TrafficData[[#This Row],[totalChallan]],TrafficData[[#This Row],[pendingChallan]]&lt;=TrafficData[[#This Row],[totalChallan]])</f>
        <v>1</v>
      </c>
      <c r="O1579" t="b">
        <f>AND(TrafficData[[#This Row],[pendingAmount]]&lt;=TrafficData[[#This Row],[totalAmount]],TrafficData[[#This Row],[disposedAmount]]&lt;=TrafficData[[#This Row],[totalAmount]])</f>
        <v>1</v>
      </c>
      <c r="P1579" t="b">
        <f>AND(TrafficData[[#This Row],[pendingCourt]]&lt;=TrafficData[[#This Row],[totalCourt]],TrafficData[[#This Row],[disposedCourt]]&lt;=TrafficData[[#This Row],[totalCourt]])</f>
        <v>1</v>
      </c>
    </row>
    <row r="1580" spans="1:16">
      <c r="A1580" s="1">
        <v>43583</v>
      </c>
      <c r="B1580">
        <v>21711</v>
      </c>
      <c r="C1580">
        <v>16801</v>
      </c>
      <c r="D1580">
        <v>4910</v>
      </c>
      <c r="E1580">
        <v>3047874</v>
      </c>
      <c r="F1580">
        <v>17182535</v>
      </c>
      <c r="G1580">
        <v>20230409</v>
      </c>
      <c r="H1580">
        <v>1781</v>
      </c>
      <c r="I1580">
        <v>1742</v>
      </c>
      <c r="J1580">
        <v>3523</v>
      </c>
      <c r="K1580" t="b">
        <f>TrafficData[[#This Row],[disposedChallan]]+TrafficData[[#This Row],[pendingChallan]]=TrafficData[[#This Row],[totalChallan]]</f>
        <v>1</v>
      </c>
      <c r="L1580" t="b">
        <f>TrafficData[[#This Row],[pendingAmount]]+TrafficData[[#This Row],[disposedAmount]]=TrafficData[[#This Row],[totalAmount]]</f>
        <v>1</v>
      </c>
      <c r="M1580" t="b">
        <f>TrafficData[[#This Row],[pendingCourt]]+TrafficData[[#This Row],[disposedCourt]]=TrafficData[[#This Row],[totalCourt]]</f>
        <v>1</v>
      </c>
      <c r="N1580" t="b">
        <f>AND(TrafficData[[#This Row],[disposedChallan]]&lt;=TrafficData[[#This Row],[totalChallan]],TrafficData[[#This Row],[pendingChallan]]&lt;=TrafficData[[#This Row],[totalChallan]])</f>
        <v>1</v>
      </c>
      <c r="O1580" t="b">
        <f>AND(TrafficData[[#This Row],[pendingAmount]]&lt;=TrafficData[[#This Row],[totalAmount]],TrafficData[[#This Row],[disposedAmount]]&lt;=TrafficData[[#This Row],[totalAmount]])</f>
        <v>1</v>
      </c>
      <c r="P1580" t="b">
        <f>AND(TrafficData[[#This Row],[pendingCourt]]&lt;=TrafficData[[#This Row],[totalCourt]],TrafficData[[#This Row],[disposedCourt]]&lt;=TrafficData[[#This Row],[totalCourt]])</f>
        <v>1</v>
      </c>
    </row>
    <row r="1581" spans="1:16">
      <c r="A1581" s="1">
        <v>43584</v>
      </c>
      <c r="B1581">
        <v>30755</v>
      </c>
      <c r="C1581">
        <v>22690</v>
      </c>
      <c r="D1581">
        <v>8065</v>
      </c>
      <c r="E1581">
        <v>5767725</v>
      </c>
      <c r="F1581">
        <v>25781693</v>
      </c>
      <c r="G1581">
        <v>31549418</v>
      </c>
      <c r="H1581">
        <v>4485</v>
      </c>
      <c r="I1581">
        <v>2515</v>
      </c>
      <c r="J1581">
        <v>7000</v>
      </c>
      <c r="K1581" t="b">
        <f>TrafficData[[#This Row],[disposedChallan]]+TrafficData[[#This Row],[pendingChallan]]=TrafficData[[#This Row],[totalChallan]]</f>
        <v>1</v>
      </c>
      <c r="L1581" t="b">
        <f>TrafficData[[#This Row],[pendingAmount]]+TrafficData[[#This Row],[disposedAmount]]=TrafficData[[#This Row],[totalAmount]]</f>
        <v>1</v>
      </c>
      <c r="M1581" t="b">
        <f>TrafficData[[#This Row],[pendingCourt]]+TrafficData[[#This Row],[disposedCourt]]=TrafficData[[#This Row],[totalCourt]]</f>
        <v>1</v>
      </c>
      <c r="N1581" t="b">
        <f>AND(TrafficData[[#This Row],[disposedChallan]]&lt;=TrafficData[[#This Row],[totalChallan]],TrafficData[[#This Row],[pendingChallan]]&lt;=TrafficData[[#This Row],[totalChallan]])</f>
        <v>1</v>
      </c>
      <c r="O1581" t="b">
        <f>AND(TrafficData[[#This Row],[pendingAmount]]&lt;=TrafficData[[#This Row],[totalAmount]],TrafficData[[#This Row],[disposedAmount]]&lt;=TrafficData[[#This Row],[totalAmount]])</f>
        <v>1</v>
      </c>
      <c r="P1581" t="b">
        <f>AND(TrafficData[[#This Row],[pendingCourt]]&lt;=TrafficData[[#This Row],[totalCourt]],TrafficData[[#This Row],[disposedCourt]]&lt;=TrafficData[[#This Row],[totalCourt]])</f>
        <v>1</v>
      </c>
    </row>
    <row r="1582" spans="1:16">
      <c r="A1582" s="1">
        <v>43585</v>
      </c>
      <c r="B1582">
        <v>29799</v>
      </c>
      <c r="C1582">
        <v>22429</v>
      </c>
      <c r="D1582">
        <v>7370</v>
      </c>
      <c r="E1582">
        <v>5476247</v>
      </c>
      <c r="F1582">
        <v>34627270</v>
      </c>
      <c r="G1582">
        <v>40103517</v>
      </c>
      <c r="H1582">
        <v>3344</v>
      </c>
      <c r="I1582">
        <v>2341</v>
      </c>
      <c r="J1582">
        <v>5685</v>
      </c>
      <c r="K1582" t="b">
        <f>TrafficData[[#This Row],[disposedChallan]]+TrafficData[[#This Row],[pendingChallan]]=TrafficData[[#This Row],[totalChallan]]</f>
        <v>1</v>
      </c>
      <c r="L1582" t="b">
        <f>TrafficData[[#This Row],[pendingAmount]]+TrafficData[[#This Row],[disposedAmount]]=TrafficData[[#This Row],[totalAmount]]</f>
        <v>1</v>
      </c>
      <c r="M1582" t="b">
        <f>TrafficData[[#This Row],[pendingCourt]]+TrafficData[[#This Row],[disposedCourt]]=TrafficData[[#This Row],[totalCourt]]</f>
        <v>1</v>
      </c>
      <c r="N1582" t="b">
        <f>AND(TrafficData[[#This Row],[disposedChallan]]&lt;=TrafficData[[#This Row],[totalChallan]],TrafficData[[#This Row],[pendingChallan]]&lt;=TrafficData[[#This Row],[totalChallan]])</f>
        <v>1</v>
      </c>
      <c r="O1582" t="b">
        <f>AND(TrafficData[[#This Row],[pendingAmount]]&lt;=TrafficData[[#This Row],[totalAmount]],TrafficData[[#This Row],[disposedAmount]]&lt;=TrafficData[[#This Row],[totalAmount]])</f>
        <v>1</v>
      </c>
      <c r="P1582" t="b">
        <f>AND(TrafficData[[#This Row],[pendingCourt]]&lt;=TrafficData[[#This Row],[totalCourt]],TrafficData[[#This Row],[disposedCourt]]&lt;=TrafficData[[#This Row],[totalCourt]])</f>
        <v>1</v>
      </c>
    </row>
    <row r="1583" spans="1:16">
      <c r="A1583" s="1">
        <v>43586</v>
      </c>
      <c r="B1583">
        <v>37206</v>
      </c>
      <c r="C1583">
        <v>28157</v>
      </c>
      <c r="D1583">
        <v>9049</v>
      </c>
      <c r="E1583">
        <v>7555817</v>
      </c>
      <c r="F1583">
        <v>41528979</v>
      </c>
      <c r="G1583">
        <v>49084796</v>
      </c>
      <c r="H1583">
        <v>5334</v>
      </c>
      <c r="I1583">
        <v>2774</v>
      </c>
      <c r="J1583">
        <v>8108</v>
      </c>
      <c r="K1583" t="b">
        <f>TrafficData[[#This Row],[disposedChallan]]+TrafficData[[#This Row],[pendingChallan]]=TrafficData[[#This Row],[totalChallan]]</f>
        <v>1</v>
      </c>
      <c r="L1583" t="b">
        <f>TrafficData[[#This Row],[pendingAmount]]+TrafficData[[#This Row],[disposedAmount]]=TrafficData[[#This Row],[totalAmount]]</f>
        <v>1</v>
      </c>
      <c r="M1583" t="b">
        <f>TrafficData[[#This Row],[pendingCourt]]+TrafficData[[#This Row],[disposedCourt]]=TrafficData[[#This Row],[totalCourt]]</f>
        <v>1</v>
      </c>
      <c r="N1583" t="b">
        <f>AND(TrafficData[[#This Row],[disposedChallan]]&lt;=TrafficData[[#This Row],[totalChallan]],TrafficData[[#This Row],[pendingChallan]]&lt;=TrafficData[[#This Row],[totalChallan]])</f>
        <v>1</v>
      </c>
      <c r="O1583" t="b">
        <f>AND(TrafficData[[#This Row],[pendingAmount]]&lt;=TrafficData[[#This Row],[totalAmount]],TrafficData[[#This Row],[disposedAmount]]&lt;=TrafficData[[#This Row],[totalAmount]])</f>
        <v>1</v>
      </c>
      <c r="P1583" t="b">
        <f>AND(TrafficData[[#This Row],[pendingCourt]]&lt;=TrafficData[[#This Row],[totalCourt]],TrafficData[[#This Row],[disposedCourt]]&lt;=TrafficData[[#This Row],[totalCourt]])</f>
        <v>1</v>
      </c>
    </row>
    <row r="1584" spans="1:16">
      <c r="A1584" s="1">
        <v>43587</v>
      </c>
      <c r="B1584">
        <v>33659</v>
      </c>
      <c r="C1584">
        <v>26143</v>
      </c>
      <c r="D1584">
        <v>7516</v>
      </c>
      <c r="E1584">
        <v>6471530</v>
      </c>
      <c r="F1584">
        <v>36979584</v>
      </c>
      <c r="G1584">
        <v>43451114</v>
      </c>
      <c r="H1584">
        <v>3841</v>
      </c>
      <c r="I1584">
        <v>2739</v>
      </c>
      <c r="J1584">
        <v>6580</v>
      </c>
      <c r="K1584" t="b">
        <f>TrafficData[[#This Row],[disposedChallan]]+TrafficData[[#This Row],[pendingChallan]]=TrafficData[[#This Row],[totalChallan]]</f>
        <v>1</v>
      </c>
      <c r="L1584" t="b">
        <f>TrafficData[[#This Row],[pendingAmount]]+TrafficData[[#This Row],[disposedAmount]]=TrafficData[[#This Row],[totalAmount]]</f>
        <v>1</v>
      </c>
      <c r="M1584" t="b">
        <f>TrafficData[[#This Row],[pendingCourt]]+TrafficData[[#This Row],[disposedCourt]]=TrafficData[[#This Row],[totalCourt]]</f>
        <v>1</v>
      </c>
      <c r="N1584" t="b">
        <f>AND(TrafficData[[#This Row],[disposedChallan]]&lt;=TrafficData[[#This Row],[totalChallan]],TrafficData[[#This Row],[pendingChallan]]&lt;=TrafficData[[#This Row],[totalChallan]])</f>
        <v>1</v>
      </c>
      <c r="O1584" t="b">
        <f>AND(TrafficData[[#This Row],[pendingAmount]]&lt;=TrafficData[[#This Row],[totalAmount]],TrafficData[[#This Row],[disposedAmount]]&lt;=TrafficData[[#This Row],[totalAmount]])</f>
        <v>1</v>
      </c>
      <c r="P1584" t="b">
        <f>AND(TrafficData[[#This Row],[pendingCourt]]&lt;=TrafficData[[#This Row],[totalCourt]],TrafficData[[#This Row],[disposedCourt]]&lt;=TrafficData[[#This Row],[totalCourt]])</f>
        <v>1</v>
      </c>
    </row>
    <row r="1585" spans="1:16">
      <c r="A1585" s="1">
        <v>43588</v>
      </c>
      <c r="B1585">
        <v>31220</v>
      </c>
      <c r="C1585">
        <v>24903</v>
      </c>
      <c r="D1585">
        <v>6317</v>
      </c>
      <c r="E1585">
        <v>5566043</v>
      </c>
      <c r="F1585">
        <v>30794509</v>
      </c>
      <c r="G1585">
        <v>36360552</v>
      </c>
      <c r="H1585">
        <v>3113</v>
      </c>
      <c r="I1585">
        <v>3010</v>
      </c>
      <c r="J1585">
        <v>6123</v>
      </c>
      <c r="K1585" t="b">
        <f>TrafficData[[#This Row],[disposedChallan]]+TrafficData[[#This Row],[pendingChallan]]=TrafficData[[#This Row],[totalChallan]]</f>
        <v>1</v>
      </c>
      <c r="L1585" t="b">
        <f>TrafficData[[#This Row],[pendingAmount]]+TrafficData[[#This Row],[disposedAmount]]=TrafficData[[#This Row],[totalAmount]]</f>
        <v>1</v>
      </c>
      <c r="M1585" t="b">
        <f>TrafficData[[#This Row],[pendingCourt]]+TrafficData[[#This Row],[disposedCourt]]=TrafficData[[#This Row],[totalCourt]]</f>
        <v>1</v>
      </c>
      <c r="N1585" t="b">
        <f>AND(TrafficData[[#This Row],[disposedChallan]]&lt;=TrafficData[[#This Row],[totalChallan]],TrafficData[[#This Row],[pendingChallan]]&lt;=TrafficData[[#This Row],[totalChallan]])</f>
        <v>1</v>
      </c>
      <c r="O1585" t="b">
        <f>AND(TrafficData[[#This Row],[pendingAmount]]&lt;=TrafficData[[#This Row],[totalAmount]],TrafficData[[#This Row],[disposedAmount]]&lt;=TrafficData[[#This Row],[totalAmount]])</f>
        <v>1</v>
      </c>
      <c r="P1585" t="b">
        <f>AND(TrafficData[[#This Row],[pendingCourt]]&lt;=TrafficData[[#This Row],[totalCourt]],TrafficData[[#This Row],[disposedCourt]]&lt;=TrafficData[[#This Row],[totalCourt]])</f>
        <v>1</v>
      </c>
    </row>
    <row r="1586" spans="1:16">
      <c r="A1586" s="1">
        <v>43589</v>
      </c>
      <c r="B1586">
        <v>30448</v>
      </c>
      <c r="C1586">
        <v>24759</v>
      </c>
      <c r="D1586">
        <v>5689</v>
      </c>
      <c r="E1586">
        <v>5888465</v>
      </c>
      <c r="F1586">
        <v>30332464</v>
      </c>
      <c r="G1586">
        <v>36220929</v>
      </c>
      <c r="H1586">
        <v>3102</v>
      </c>
      <c r="I1586">
        <v>3023</v>
      </c>
      <c r="J1586">
        <v>6125</v>
      </c>
      <c r="K1586" t="b">
        <f>TrafficData[[#This Row],[disposedChallan]]+TrafficData[[#This Row],[pendingChallan]]=TrafficData[[#This Row],[totalChallan]]</f>
        <v>1</v>
      </c>
      <c r="L1586" t="b">
        <f>TrafficData[[#This Row],[pendingAmount]]+TrafficData[[#This Row],[disposedAmount]]=TrafficData[[#This Row],[totalAmount]]</f>
        <v>1</v>
      </c>
      <c r="M1586" t="b">
        <f>TrafficData[[#This Row],[pendingCourt]]+TrafficData[[#This Row],[disposedCourt]]=TrafficData[[#This Row],[totalCourt]]</f>
        <v>1</v>
      </c>
      <c r="N1586" t="b">
        <f>AND(TrafficData[[#This Row],[disposedChallan]]&lt;=TrafficData[[#This Row],[totalChallan]],TrafficData[[#This Row],[pendingChallan]]&lt;=TrafficData[[#This Row],[totalChallan]])</f>
        <v>1</v>
      </c>
      <c r="O1586" t="b">
        <f>AND(TrafficData[[#This Row],[pendingAmount]]&lt;=TrafficData[[#This Row],[totalAmount]],TrafficData[[#This Row],[disposedAmount]]&lt;=TrafficData[[#This Row],[totalAmount]])</f>
        <v>1</v>
      </c>
      <c r="P1586" t="b">
        <f>AND(TrafficData[[#This Row],[pendingCourt]]&lt;=TrafficData[[#This Row],[totalCourt]],TrafficData[[#This Row],[disposedCourt]]&lt;=TrafficData[[#This Row],[totalCourt]])</f>
        <v>1</v>
      </c>
    </row>
    <row r="1587" spans="1:16">
      <c r="A1587" s="1">
        <v>43590</v>
      </c>
      <c r="B1587">
        <v>20917</v>
      </c>
      <c r="C1587">
        <v>17661</v>
      </c>
      <c r="D1587">
        <v>3256</v>
      </c>
      <c r="E1587">
        <v>3727020</v>
      </c>
      <c r="F1587">
        <v>24889088</v>
      </c>
      <c r="G1587">
        <v>28616108</v>
      </c>
      <c r="H1587">
        <v>1550</v>
      </c>
      <c r="I1587">
        <v>2400</v>
      </c>
      <c r="J1587">
        <v>3950</v>
      </c>
      <c r="K1587" t="b">
        <f>TrafficData[[#This Row],[disposedChallan]]+TrafficData[[#This Row],[pendingChallan]]=TrafficData[[#This Row],[totalChallan]]</f>
        <v>1</v>
      </c>
      <c r="L1587" t="b">
        <f>TrafficData[[#This Row],[pendingAmount]]+TrafficData[[#This Row],[disposedAmount]]=TrafficData[[#This Row],[totalAmount]]</f>
        <v>1</v>
      </c>
      <c r="M1587" t="b">
        <f>TrafficData[[#This Row],[pendingCourt]]+TrafficData[[#This Row],[disposedCourt]]=TrafficData[[#This Row],[totalCourt]]</f>
        <v>1</v>
      </c>
      <c r="N1587" t="b">
        <f>AND(TrafficData[[#This Row],[disposedChallan]]&lt;=TrafficData[[#This Row],[totalChallan]],TrafficData[[#This Row],[pendingChallan]]&lt;=TrafficData[[#This Row],[totalChallan]])</f>
        <v>1</v>
      </c>
      <c r="O1587" t="b">
        <f>AND(TrafficData[[#This Row],[pendingAmount]]&lt;=TrafficData[[#This Row],[totalAmount]],TrafficData[[#This Row],[disposedAmount]]&lt;=TrafficData[[#This Row],[totalAmount]])</f>
        <v>1</v>
      </c>
      <c r="P1587" t="b">
        <f>AND(TrafficData[[#This Row],[pendingCourt]]&lt;=TrafficData[[#This Row],[totalCourt]],TrafficData[[#This Row],[disposedCourt]]&lt;=TrafficData[[#This Row],[totalCourt]])</f>
        <v>1</v>
      </c>
    </row>
    <row r="1588" spans="1:16">
      <c r="A1588" s="1">
        <v>43591</v>
      </c>
      <c r="B1588">
        <v>29413</v>
      </c>
      <c r="C1588">
        <v>23076</v>
      </c>
      <c r="D1588">
        <v>6337</v>
      </c>
      <c r="E1588">
        <v>6461932</v>
      </c>
      <c r="F1588">
        <v>28031252</v>
      </c>
      <c r="G1588">
        <v>34493184</v>
      </c>
      <c r="H1588">
        <v>4086</v>
      </c>
      <c r="I1588">
        <v>3026</v>
      </c>
      <c r="J1588">
        <v>7112</v>
      </c>
      <c r="K1588" t="b">
        <f>TrafficData[[#This Row],[disposedChallan]]+TrafficData[[#This Row],[pendingChallan]]=TrafficData[[#This Row],[totalChallan]]</f>
        <v>1</v>
      </c>
      <c r="L1588" t="b">
        <f>TrafficData[[#This Row],[pendingAmount]]+TrafficData[[#This Row],[disposedAmount]]=TrafficData[[#This Row],[totalAmount]]</f>
        <v>1</v>
      </c>
      <c r="M1588" t="b">
        <f>TrafficData[[#This Row],[pendingCourt]]+TrafficData[[#This Row],[disposedCourt]]=TrafficData[[#This Row],[totalCourt]]</f>
        <v>1</v>
      </c>
      <c r="N1588" t="b">
        <f>AND(TrafficData[[#This Row],[disposedChallan]]&lt;=TrafficData[[#This Row],[totalChallan]],TrafficData[[#This Row],[pendingChallan]]&lt;=TrafficData[[#This Row],[totalChallan]])</f>
        <v>1</v>
      </c>
      <c r="O1588" t="b">
        <f>AND(TrafficData[[#This Row],[pendingAmount]]&lt;=TrafficData[[#This Row],[totalAmount]],TrafficData[[#This Row],[disposedAmount]]&lt;=TrafficData[[#This Row],[totalAmount]])</f>
        <v>1</v>
      </c>
      <c r="P1588" t="b">
        <f>AND(TrafficData[[#This Row],[pendingCourt]]&lt;=TrafficData[[#This Row],[totalCourt]],TrafficData[[#This Row],[disposedCourt]]&lt;=TrafficData[[#This Row],[totalCourt]])</f>
        <v>1</v>
      </c>
    </row>
    <row r="1589" spans="1:16">
      <c r="A1589" s="1">
        <v>43592</v>
      </c>
      <c r="B1589">
        <v>28423</v>
      </c>
      <c r="C1589">
        <v>22165</v>
      </c>
      <c r="D1589">
        <v>6258</v>
      </c>
      <c r="E1589">
        <v>6465945</v>
      </c>
      <c r="F1589">
        <v>27935583</v>
      </c>
      <c r="G1589">
        <v>34401528</v>
      </c>
      <c r="H1589">
        <v>3794</v>
      </c>
      <c r="I1589">
        <v>2882</v>
      </c>
      <c r="J1589">
        <v>6676</v>
      </c>
      <c r="K1589" t="b">
        <f>TrafficData[[#This Row],[disposedChallan]]+TrafficData[[#This Row],[pendingChallan]]=TrafficData[[#This Row],[totalChallan]]</f>
        <v>1</v>
      </c>
      <c r="L1589" t="b">
        <f>TrafficData[[#This Row],[pendingAmount]]+TrafficData[[#This Row],[disposedAmount]]=TrafficData[[#This Row],[totalAmount]]</f>
        <v>1</v>
      </c>
      <c r="M1589" t="b">
        <f>TrafficData[[#This Row],[pendingCourt]]+TrafficData[[#This Row],[disposedCourt]]=TrafficData[[#This Row],[totalCourt]]</f>
        <v>1</v>
      </c>
      <c r="N1589" t="b">
        <f>AND(TrafficData[[#This Row],[disposedChallan]]&lt;=TrafficData[[#This Row],[totalChallan]],TrafficData[[#This Row],[pendingChallan]]&lt;=TrafficData[[#This Row],[totalChallan]])</f>
        <v>1</v>
      </c>
      <c r="O1589" t="b">
        <f>AND(TrafficData[[#This Row],[pendingAmount]]&lt;=TrafficData[[#This Row],[totalAmount]],TrafficData[[#This Row],[disposedAmount]]&lt;=TrafficData[[#This Row],[totalAmount]])</f>
        <v>1</v>
      </c>
      <c r="P1589" t="b">
        <f>AND(TrafficData[[#This Row],[pendingCourt]]&lt;=TrafficData[[#This Row],[totalCourt]],TrafficData[[#This Row],[disposedCourt]]&lt;=TrafficData[[#This Row],[totalCourt]])</f>
        <v>1</v>
      </c>
    </row>
    <row r="1590" spans="1:16">
      <c r="A1590" s="1">
        <v>43593</v>
      </c>
      <c r="B1590">
        <v>35968</v>
      </c>
      <c r="C1590">
        <v>26428</v>
      </c>
      <c r="D1590">
        <v>9540</v>
      </c>
      <c r="E1590">
        <v>8398336</v>
      </c>
      <c r="F1590">
        <v>32777036</v>
      </c>
      <c r="G1590">
        <v>41175372</v>
      </c>
      <c r="H1590">
        <v>6530</v>
      </c>
      <c r="I1590">
        <v>3031</v>
      </c>
      <c r="J1590">
        <v>9561</v>
      </c>
      <c r="K1590" t="b">
        <f>TrafficData[[#This Row],[disposedChallan]]+TrafficData[[#This Row],[pendingChallan]]=TrafficData[[#This Row],[totalChallan]]</f>
        <v>1</v>
      </c>
      <c r="L1590" t="b">
        <f>TrafficData[[#This Row],[pendingAmount]]+TrafficData[[#This Row],[disposedAmount]]=TrafficData[[#This Row],[totalAmount]]</f>
        <v>1</v>
      </c>
      <c r="M1590" t="b">
        <f>TrafficData[[#This Row],[pendingCourt]]+TrafficData[[#This Row],[disposedCourt]]=TrafficData[[#This Row],[totalCourt]]</f>
        <v>1</v>
      </c>
      <c r="N1590" t="b">
        <f>AND(TrafficData[[#This Row],[disposedChallan]]&lt;=TrafficData[[#This Row],[totalChallan]],TrafficData[[#This Row],[pendingChallan]]&lt;=TrafficData[[#This Row],[totalChallan]])</f>
        <v>1</v>
      </c>
      <c r="O1590" t="b">
        <f>AND(TrafficData[[#This Row],[pendingAmount]]&lt;=TrafficData[[#This Row],[totalAmount]],TrafficData[[#This Row],[disposedAmount]]&lt;=TrafficData[[#This Row],[totalAmount]])</f>
        <v>1</v>
      </c>
      <c r="P1590" t="b">
        <f>AND(TrafficData[[#This Row],[pendingCourt]]&lt;=TrafficData[[#This Row],[totalCourt]],TrafficData[[#This Row],[disposedCourt]]&lt;=TrafficData[[#This Row],[totalCourt]])</f>
        <v>1</v>
      </c>
    </row>
    <row r="1591" spans="1:16">
      <c r="A1591" s="1">
        <v>43594</v>
      </c>
      <c r="B1591">
        <v>34087</v>
      </c>
      <c r="C1591">
        <v>24893</v>
      </c>
      <c r="D1591">
        <v>9194</v>
      </c>
      <c r="E1591">
        <v>7943838</v>
      </c>
      <c r="F1591">
        <v>30772225</v>
      </c>
      <c r="G1591">
        <v>38716063</v>
      </c>
      <c r="H1591">
        <v>5550</v>
      </c>
      <c r="I1591">
        <v>2555</v>
      </c>
      <c r="J1591">
        <v>8105</v>
      </c>
      <c r="K1591" t="b">
        <f>TrafficData[[#This Row],[disposedChallan]]+TrafficData[[#This Row],[pendingChallan]]=TrafficData[[#This Row],[totalChallan]]</f>
        <v>1</v>
      </c>
      <c r="L1591" t="b">
        <f>TrafficData[[#This Row],[pendingAmount]]+TrafficData[[#This Row],[disposedAmount]]=TrafficData[[#This Row],[totalAmount]]</f>
        <v>1</v>
      </c>
      <c r="M1591" t="b">
        <f>TrafficData[[#This Row],[pendingCourt]]+TrafficData[[#This Row],[disposedCourt]]=TrafficData[[#This Row],[totalCourt]]</f>
        <v>1</v>
      </c>
      <c r="N1591" t="b">
        <f>AND(TrafficData[[#This Row],[disposedChallan]]&lt;=TrafficData[[#This Row],[totalChallan]],TrafficData[[#This Row],[pendingChallan]]&lt;=TrafficData[[#This Row],[totalChallan]])</f>
        <v>1</v>
      </c>
      <c r="O1591" t="b">
        <f>AND(TrafficData[[#This Row],[pendingAmount]]&lt;=TrafficData[[#This Row],[totalAmount]],TrafficData[[#This Row],[disposedAmount]]&lt;=TrafficData[[#This Row],[totalAmount]])</f>
        <v>1</v>
      </c>
      <c r="P1591" t="b">
        <f>AND(TrafficData[[#This Row],[pendingCourt]]&lt;=TrafficData[[#This Row],[totalCourt]],TrafficData[[#This Row],[disposedCourt]]&lt;=TrafficData[[#This Row],[totalCourt]])</f>
        <v>1</v>
      </c>
    </row>
    <row r="1592" spans="1:16">
      <c r="A1592" s="1">
        <v>43595</v>
      </c>
      <c r="B1592">
        <v>28679</v>
      </c>
      <c r="C1592">
        <v>21451</v>
      </c>
      <c r="D1592">
        <v>7228</v>
      </c>
      <c r="E1592">
        <v>5869311</v>
      </c>
      <c r="F1592">
        <v>27207405</v>
      </c>
      <c r="G1592">
        <v>33076716</v>
      </c>
      <c r="H1592">
        <v>3554</v>
      </c>
      <c r="I1592">
        <v>2380</v>
      </c>
      <c r="J1592">
        <v>5934</v>
      </c>
      <c r="K1592" t="b">
        <f>TrafficData[[#This Row],[disposedChallan]]+TrafficData[[#This Row],[pendingChallan]]=TrafficData[[#This Row],[totalChallan]]</f>
        <v>1</v>
      </c>
      <c r="L1592" t="b">
        <f>TrafficData[[#This Row],[pendingAmount]]+TrafficData[[#This Row],[disposedAmount]]=TrafficData[[#This Row],[totalAmount]]</f>
        <v>1</v>
      </c>
      <c r="M1592" t="b">
        <f>TrafficData[[#This Row],[pendingCourt]]+TrafficData[[#This Row],[disposedCourt]]=TrafficData[[#This Row],[totalCourt]]</f>
        <v>1</v>
      </c>
      <c r="N1592" t="b">
        <f>AND(TrafficData[[#This Row],[disposedChallan]]&lt;=TrafficData[[#This Row],[totalChallan]],TrafficData[[#This Row],[pendingChallan]]&lt;=TrafficData[[#This Row],[totalChallan]])</f>
        <v>1</v>
      </c>
      <c r="O1592" t="b">
        <f>AND(TrafficData[[#This Row],[pendingAmount]]&lt;=TrafficData[[#This Row],[totalAmount]],TrafficData[[#This Row],[disposedAmount]]&lt;=TrafficData[[#This Row],[totalAmount]])</f>
        <v>1</v>
      </c>
      <c r="P1592" t="b">
        <f>AND(TrafficData[[#This Row],[pendingCourt]]&lt;=TrafficData[[#This Row],[totalCourt]],TrafficData[[#This Row],[disposedCourt]]&lt;=TrafficData[[#This Row],[totalCourt]])</f>
        <v>1</v>
      </c>
    </row>
    <row r="1593" spans="1:16">
      <c r="A1593" s="1">
        <v>43596</v>
      </c>
      <c r="B1593">
        <v>26332</v>
      </c>
      <c r="C1593">
        <v>19236</v>
      </c>
      <c r="D1593">
        <v>7096</v>
      </c>
      <c r="E1593">
        <v>4407487</v>
      </c>
      <c r="F1593">
        <v>74933888</v>
      </c>
      <c r="G1593">
        <v>79341375</v>
      </c>
      <c r="H1593">
        <v>3387</v>
      </c>
      <c r="I1593">
        <v>2558</v>
      </c>
      <c r="J1593">
        <v>5945</v>
      </c>
      <c r="K1593" t="b">
        <f>TrafficData[[#This Row],[disposedChallan]]+TrafficData[[#This Row],[pendingChallan]]=TrafficData[[#This Row],[totalChallan]]</f>
        <v>1</v>
      </c>
      <c r="L1593" t="b">
        <f>TrafficData[[#This Row],[pendingAmount]]+TrafficData[[#This Row],[disposedAmount]]=TrafficData[[#This Row],[totalAmount]]</f>
        <v>1</v>
      </c>
      <c r="M1593" t="b">
        <f>TrafficData[[#This Row],[pendingCourt]]+TrafficData[[#This Row],[disposedCourt]]=TrafficData[[#This Row],[totalCourt]]</f>
        <v>1</v>
      </c>
      <c r="N1593" t="b">
        <f>AND(TrafficData[[#This Row],[disposedChallan]]&lt;=TrafficData[[#This Row],[totalChallan]],TrafficData[[#This Row],[pendingChallan]]&lt;=TrafficData[[#This Row],[totalChallan]])</f>
        <v>1</v>
      </c>
      <c r="O1593" t="b">
        <f>AND(TrafficData[[#This Row],[pendingAmount]]&lt;=TrafficData[[#This Row],[totalAmount]],TrafficData[[#This Row],[disposedAmount]]&lt;=TrafficData[[#This Row],[totalAmount]])</f>
        <v>1</v>
      </c>
      <c r="P1593" t="b">
        <f>AND(TrafficData[[#This Row],[pendingCourt]]&lt;=TrafficData[[#This Row],[totalCourt]],TrafficData[[#This Row],[disposedCourt]]&lt;=TrafficData[[#This Row],[totalCourt]])</f>
        <v>1</v>
      </c>
    </row>
    <row r="1594" spans="1:16">
      <c r="A1594" s="1">
        <v>43597</v>
      </c>
      <c r="B1594">
        <v>20757</v>
      </c>
      <c r="C1594">
        <v>15582</v>
      </c>
      <c r="D1594">
        <v>5175</v>
      </c>
      <c r="E1594">
        <v>3308405</v>
      </c>
      <c r="F1594">
        <v>18851446</v>
      </c>
      <c r="G1594">
        <v>22159851</v>
      </c>
      <c r="H1594">
        <v>2136</v>
      </c>
      <c r="I1594">
        <v>2008</v>
      </c>
      <c r="J1594">
        <v>4144</v>
      </c>
      <c r="K1594" t="b">
        <f>TrafficData[[#This Row],[disposedChallan]]+TrafficData[[#This Row],[pendingChallan]]=TrafficData[[#This Row],[totalChallan]]</f>
        <v>1</v>
      </c>
      <c r="L1594" t="b">
        <f>TrafficData[[#This Row],[pendingAmount]]+TrafficData[[#This Row],[disposedAmount]]=TrafficData[[#This Row],[totalAmount]]</f>
        <v>1</v>
      </c>
      <c r="M1594" t="b">
        <f>TrafficData[[#This Row],[pendingCourt]]+TrafficData[[#This Row],[disposedCourt]]=TrafficData[[#This Row],[totalCourt]]</f>
        <v>1</v>
      </c>
      <c r="N1594" t="b">
        <f>AND(TrafficData[[#This Row],[disposedChallan]]&lt;=TrafficData[[#This Row],[totalChallan]],TrafficData[[#This Row],[pendingChallan]]&lt;=TrafficData[[#This Row],[totalChallan]])</f>
        <v>1</v>
      </c>
      <c r="O1594" t="b">
        <f>AND(TrafficData[[#This Row],[pendingAmount]]&lt;=TrafficData[[#This Row],[totalAmount]],TrafficData[[#This Row],[disposedAmount]]&lt;=TrafficData[[#This Row],[totalAmount]])</f>
        <v>1</v>
      </c>
      <c r="P1594" t="b">
        <f>AND(TrafficData[[#This Row],[pendingCourt]]&lt;=TrafficData[[#This Row],[totalCourt]],TrafficData[[#This Row],[disposedCourt]]&lt;=TrafficData[[#This Row],[totalCourt]])</f>
        <v>1</v>
      </c>
    </row>
    <row r="1595" spans="1:16">
      <c r="A1595" s="1">
        <v>43598</v>
      </c>
      <c r="B1595">
        <v>30194</v>
      </c>
      <c r="C1595">
        <v>23066</v>
      </c>
      <c r="D1595">
        <v>7128</v>
      </c>
      <c r="E1595">
        <v>5677650</v>
      </c>
      <c r="F1595">
        <v>24233546</v>
      </c>
      <c r="G1595">
        <v>29911196</v>
      </c>
      <c r="H1595">
        <v>3664</v>
      </c>
      <c r="I1595">
        <v>2677</v>
      </c>
      <c r="J1595">
        <v>6341</v>
      </c>
      <c r="K1595" t="b">
        <f>TrafficData[[#This Row],[disposedChallan]]+TrafficData[[#This Row],[pendingChallan]]=TrafficData[[#This Row],[totalChallan]]</f>
        <v>1</v>
      </c>
      <c r="L1595" t="b">
        <f>TrafficData[[#This Row],[pendingAmount]]+TrafficData[[#This Row],[disposedAmount]]=TrafficData[[#This Row],[totalAmount]]</f>
        <v>1</v>
      </c>
      <c r="M1595" t="b">
        <f>TrafficData[[#This Row],[pendingCourt]]+TrafficData[[#This Row],[disposedCourt]]=TrafficData[[#This Row],[totalCourt]]</f>
        <v>1</v>
      </c>
      <c r="N1595" t="b">
        <f>AND(TrafficData[[#This Row],[disposedChallan]]&lt;=TrafficData[[#This Row],[totalChallan]],TrafficData[[#This Row],[pendingChallan]]&lt;=TrafficData[[#This Row],[totalChallan]])</f>
        <v>1</v>
      </c>
      <c r="O1595" t="b">
        <f>AND(TrafficData[[#This Row],[pendingAmount]]&lt;=TrafficData[[#This Row],[totalAmount]],TrafficData[[#This Row],[disposedAmount]]&lt;=TrafficData[[#This Row],[totalAmount]])</f>
        <v>1</v>
      </c>
      <c r="P1595" t="b">
        <f>AND(TrafficData[[#This Row],[pendingCourt]]&lt;=TrafficData[[#This Row],[totalCourt]],TrafficData[[#This Row],[disposedCourt]]&lt;=TrafficData[[#This Row],[totalCourt]])</f>
        <v>1</v>
      </c>
    </row>
    <row r="1596" spans="1:16">
      <c r="A1596" s="1">
        <v>43599</v>
      </c>
      <c r="B1596">
        <v>36206</v>
      </c>
      <c r="C1596">
        <v>28106</v>
      </c>
      <c r="D1596">
        <v>8100</v>
      </c>
      <c r="E1596">
        <v>8512640</v>
      </c>
      <c r="F1596">
        <v>42120675</v>
      </c>
      <c r="G1596">
        <v>50633315</v>
      </c>
      <c r="H1596">
        <v>3864</v>
      </c>
      <c r="I1596">
        <v>2690</v>
      </c>
      <c r="J1596">
        <v>6554</v>
      </c>
      <c r="K1596" t="b">
        <f>TrafficData[[#This Row],[disposedChallan]]+TrafficData[[#This Row],[pendingChallan]]=TrafficData[[#This Row],[totalChallan]]</f>
        <v>1</v>
      </c>
      <c r="L1596" t="b">
        <f>TrafficData[[#This Row],[pendingAmount]]+TrafficData[[#This Row],[disposedAmount]]=TrafficData[[#This Row],[totalAmount]]</f>
        <v>1</v>
      </c>
      <c r="M1596" t="b">
        <f>TrafficData[[#This Row],[pendingCourt]]+TrafficData[[#This Row],[disposedCourt]]=TrafficData[[#This Row],[totalCourt]]</f>
        <v>1</v>
      </c>
      <c r="N1596" t="b">
        <f>AND(TrafficData[[#This Row],[disposedChallan]]&lt;=TrafficData[[#This Row],[totalChallan]],TrafficData[[#This Row],[pendingChallan]]&lt;=TrafficData[[#This Row],[totalChallan]])</f>
        <v>1</v>
      </c>
      <c r="O1596" t="b">
        <f>AND(TrafficData[[#This Row],[pendingAmount]]&lt;=TrafficData[[#This Row],[totalAmount]],TrafficData[[#This Row],[disposedAmount]]&lt;=TrafficData[[#This Row],[totalAmount]])</f>
        <v>1</v>
      </c>
      <c r="P1596" t="b">
        <f>AND(TrafficData[[#This Row],[pendingCourt]]&lt;=TrafficData[[#This Row],[totalCourt]],TrafficData[[#This Row],[disposedCourt]]&lt;=TrafficData[[#This Row],[totalCourt]])</f>
        <v>1</v>
      </c>
    </row>
    <row r="1597" spans="1:16">
      <c r="A1597" s="1">
        <v>43600</v>
      </c>
      <c r="B1597">
        <v>36432</v>
      </c>
      <c r="C1597">
        <v>28536</v>
      </c>
      <c r="D1597">
        <v>7896</v>
      </c>
      <c r="E1597">
        <v>7692170</v>
      </c>
      <c r="F1597">
        <v>38693445</v>
      </c>
      <c r="G1597">
        <v>46385615</v>
      </c>
      <c r="H1597">
        <v>3870</v>
      </c>
      <c r="I1597">
        <v>2745</v>
      </c>
      <c r="J1597">
        <v>6615</v>
      </c>
      <c r="K1597" t="b">
        <f>TrafficData[[#This Row],[disposedChallan]]+TrafficData[[#This Row],[pendingChallan]]=TrafficData[[#This Row],[totalChallan]]</f>
        <v>1</v>
      </c>
      <c r="L1597" t="b">
        <f>TrafficData[[#This Row],[pendingAmount]]+TrafficData[[#This Row],[disposedAmount]]=TrafficData[[#This Row],[totalAmount]]</f>
        <v>1</v>
      </c>
      <c r="M1597" t="b">
        <f>TrafficData[[#This Row],[pendingCourt]]+TrafficData[[#This Row],[disposedCourt]]=TrafficData[[#This Row],[totalCourt]]</f>
        <v>1</v>
      </c>
      <c r="N1597" t="b">
        <f>AND(TrafficData[[#This Row],[disposedChallan]]&lt;=TrafficData[[#This Row],[totalChallan]],TrafficData[[#This Row],[pendingChallan]]&lt;=TrafficData[[#This Row],[totalChallan]])</f>
        <v>1</v>
      </c>
      <c r="O1597" t="b">
        <f>AND(TrafficData[[#This Row],[pendingAmount]]&lt;=TrafficData[[#This Row],[totalAmount]],TrafficData[[#This Row],[disposedAmount]]&lt;=TrafficData[[#This Row],[totalAmount]])</f>
        <v>1</v>
      </c>
      <c r="P1597" t="b">
        <f>AND(TrafficData[[#This Row],[pendingCourt]]&lt;=TrafficData[[#This Row],[totalCourt]],TrafficData[[#This Row],[disposedCourt]]&lt;=TrafficData[[#This Row],[totalCourt]])</f>
        <v>1</v>
      </c>
    </row>
    <row r="1598" spans="1:16">
      <c r="A1598" s="1">
        <v>43601</v>
      </c>
      <c r="B1598">
        <v>48538</v>
      </c>
      <c r="C1598">
        <v>35398</v>
      </c>
      <c r="D1598">
        <v>13140</v>
      </c>
      <c r="E1598">
        <v>12277062</v>
      </c>
      <c r="F1598">
        <v>43813083</v>
      </c>
      <c r="G1598">
        <v>56090145</v>
      </c>
      <c r="H1598">
        <v>5821</v>
      </c>
      <c r="I1598">
        <v>3680</v>
      </c>
      <c r="J1598">
        <v>9501</v>
      </c>
      <c r="K1598" t="b">
        <f>TrafficData[[#This Row],[disposedChallan]]+TrafficData[[#This Row],[pendingChallan]]=TrafficData[[#This Row],[totalChallan]]</f>
        <v>1</v>
      </c>
      <c r="L1598" t="b">
        <f>TrafficData[[#This Row],[pendingAmount]]+TrafficData[[#This Row],[disposedAmount]]=TrafficData[[#This Row],[totalAmount]]</f>
        <v>1</v>
      </c>
      <c r="M1598" t="b">
        <f>TrafficData[[#This Row],[pendingCourt]]+TrafficData[[#This Row],[disposedCourt]]=TrafficData[[#This Row],[totalCourt]]</f>
        <v>1</v>
      </c>
      <c r="N1598" t="b">
        <f>AND(TrafficData[[#This Row],[disposedChallan]]&lt;=TrafficData[[#This Row],[totalChallan]],TrafficData[[#This Row],[pendingChallan]]&lt;=TrafficData[[#This Row],[totalChallan]])</f>
        <v>1</v>
      </c>
      <c r="O1598" t="b">
        <f>AND(TrafficData[[#This Row],[pendingAmount]]&lt;=TrafficData[[#This Row],[totalAmount]],TrafficData[[#This Row],[disposedAmount]]&lt;=TrafficData[[#This Row],[totalAmount]])</f>
        <v>1</v>
      </c>
      <c r="P1598" t="b">
        <f>AND(TrafficData[[#This Row],[pendingCourt]]&lt;=TrafficData[[#This Row],[totalCourt]],TrafficData[[#This Row],[disposedCourt]]&lt;=TrafficData[[#This Row],[totalCourt]])</f>
        <v>1</v>
      </c>
    </row>
    <row r="1599" spans="1:16">
      <c r="A1599" s="1">
        <v>43602</v>
      </c>
      <c r="B1599">
        <v>38840</v>
      </c>
      <c r="C1599">
        <v>29807</v>
      </c>
      <c r="D1599">
        <v>9033</v>
      </c>
      <c r="E1599">
        <v>9910129</v>
      </c>
      <c r="F1599">
        <v>39726816</v>
      </c>
      <c r="G1599">
        <v>49636945</v>
      </c>
      <c r="H1599">
        <v>3434</v>
      </c>
      <c r="I1599">
        <v>3239</v>
      </c>
      <c r="J1599">
        <v>6673</v>
      </c>
      <c r="K1599" t="b">
        <f>TrafficData[[#This Row],[disposedChallan]]+TrafficData[[#This Row],[pendingChallan]]=TrafficData[[#This Row],[totalChallan]]</f>
        <v>1</v>
      </c>
      <c r="L1599" t="b">
        <f>TrafficData[[#This Row],[pendingAmount]]+TrafficData[[#This Row],[disposedAmount]]=TrafficData[[#This Row],[totalAmount]]</f>
        <v>1</v>
      </c>
      <c r="M1599" t="b">
        <f>TrafficData[[#This Row],[pendingCourt]]+TrafficData[[#This Row],[disposedCourt]]=TrafficData[[#This Row],[totalCourt]]</f>
        <v>1</v>
      </c>
      <c r="N1599" t="b">
        <f>AND(TrafficData[[#This Row],[disposedChallan]]&lt;=TrafficData[[#This Row],[totalChallan]],TrafficData[[#This Row],[pendingChallan]]&lt;=TrafficData[[#This Row],[totalChallan]])</f>
        <v>1</v>
      </c>
      <c r="O1599" t="b">
        <f>AND(TrafficData[[#This Row],[pendingAmount]]&lt;=TrafficData[[#This Row],[totalAmount]],TrafficData[[#This Row],[disposedAmount]]&lt;=TrafficData[[#This Row],[totalAmount]])</f>
        <v>1</v>
      </c>
      <c r="P1599" t="b">
        <f>AND(TrafficData[[#This Row],[pendingCourt]]&lt;=TrafficData[[#This Row],[totalCourt]],TrafficData[[#This Row],[disposedCourt]]&lt;=TrafficData[[#This Row],[totalCourt]])</f>
        <v>1</v>
      </c>
    </row>
    <row r="1600" spans="1:16">
      <c r="A1600" s="1">
        <v>43603</v>
      </c>
      <c r="B1600">
        <v>39585</v>
      </c>
      <c r="C1600">
        <v>29563</v>
      </c>
      <c r="D1600">
        <v>10022</v>
      </c>
      <c r="E1600">
        <v>7946172</v>
      </c>
      <c r="F1600">
        <v>30585938</v>
      </c>
      <c r="G1600">
        <v>38532110</v>
      </c>
      <c r="H1600">
        <v>4313</v>
      </c>
      <c r="I1600">
        <v>3011</v>
      </c>
      <c r="J1600">
        <v>7324</v>
      </c>
      <c r="K1600" t="b">
        <f>TrafficData[[#This Row],[disposedChallan]]+TrafficData[[#This Row],[pendingChallan]]=TrafficData[[#This Row],[totalChallan]]</f>
        <v>1</v>
      </c>
      <c r="L1600" t="b">
        <f>TrafficData[[#This Row],[pendingAmount]]+TrafficData[[#This Row],[disposedAmount]]=TrafficData[[#This Row],[totalAmount]]</f>
        <v>1</v>
      </c>
      <c r="M1600" t="b">
        <f>TrafficData[[#This Row],[pendingCourt]]+TrafficData[[#This Row],[disposedCourt]]=TrafficData[[#This Row],[totalCourt]]</f>
        <v>1</v>
      </c>
      <c r="N1600" t="b">
        <f>AND(TrafficData[[#This Row],[disposedChallan]]&lt;=TrafficData[[#This Row],[totalChallan]],TrafficData[[#This Row],[pendingChallan]]&lt;=TrafficData[[#This Row],[totalChallan]])</f>
        <v>1</v>
      </c>
      <c r="O1600" t="b">
        <f>AND(TrafficData[[#This Row],[pendingAmount]]&lt;=TrafficData[[#This Row],[totalAmount]],TrafficData[[#This Row],[disposedAmount]]&lt;=TrafficData[[#This Row],[totalAmount]])</f>
        <v>1</v>
      </c>
      <c r="P1600" t="b">
        <f>AND(TrafficData[[#This Row],[pendingCourt]]&lt;=TrafficData[[#This Row],[totalCourt]],TrafficData[[#This Row],[disposedCourt]]&lt;=TrafficData[[#This Row],[totalCourt]])</f>
        <v>1</v>
      </c>
    </row>
    <row r="1601" spans="1:16">
      <c r="A1601" s="1">
        <v>43604</v>
      </c>
      <c r="B1601">
        <v>29464</v>
      </c>
      <c r="C1601">
        <v>21474</v>
      </c>
      <c r="D1601">
        <v>7990</v>
      </c>
      <c r="E1601">
        <v>4279450</v>
      </c>
      <c r="F1601">
        <v>19142354</v>
      </c>
      <c r="G1601">
        <v>23421804</v>
      </c>
      <c r="H1601">
        <v>2791</v>
      </c>
      <c r="I1601">
        <v>2231</v>
      </c>
      <c r="J1601">
        <v>5022</v>
      </c>
      <c r="K1601" t="b">
        <f>TrafficData[[#This Row],[disposedChallan]]+TrafficData[[#This Row],[pendingChallan]]=TrafficData[[#This Row],[totalChallan]]</f>
        <v>1</v>
      </c>
      <c r="L1601" t="b">
        <f>TrafficData[[#This Row],[pendingAmount]]+TrafficData[[#This Row],[disposedAmount]]=TrafficData[[#This Row],[totalAmount]]</f>
        <v>1</v>
      </c>
      <c r="M1601" t="b">
        <f>TrafficData[[#This Row],[pendingCourt]]+TrafficData[[#This Row],[disposedCourt]]=TrafficData[[#This Row],[totalCourt]]</f>
        <v>1</v>
      </c>
      <c r="N1601" t="b">
        <f>AND(TrafficData[[#This Row],[disposedChallan]]&lt;=TrafficData[[#This Row],[totalChallan]],TrafficData[[#This Row],[pendingChallan]]&lt;=TrafficData[[#This Row],[totalChallan]])</f>
        <v>1</v>
      </c>
      <c r="O1601" t="b">
        <f>AND(TrafficData[[#This Row],[pendingAmount]]&lt;=TrafficData[[#This Row],[totalAmount]],TrafficData[[#This Row],[disposedAmount]]&lt;=TrafficData[[#This Row],[totalAmount]])</f>
        <v>1</v>
      </c>
      <c r="P1601" t="b">
        <f>AND(TrafficData[[#This Row],[pendingCourt]]&lt;=TrafficData[[#This Row],[totalCourt]],TrafficData[[#This Row],[disposedCourt]]&lt;=TrafficData[[#This Row],[totalCourt]])</f>
        <v>1</v>
      </c>
    </row>
    <row r="1602" spans="1:16">
      <c r="A1602" s="1">
        <v>43605</v>
      </c>
      <c r="B1602">
        <v>38597</v>
      </c>
      <c r="C1602">
        <v>28804</v>
      </c>
      <c r="D1602">
        <v>9793</v>
      </c>
      <c r="E1602">
        <v>7767413</v>
      </c>
      <c r="F1602">
        <v>28444211</v>
      </c>
      <c r="G1602">
        <v>36211624</v>
      </c>
      <c r="H1602">
        <v>4904</v>
      </c>
      <c r="I1602">
        <v>3322</v>
      </c>
      <c r="J1602">
        <v>8226</v>
      </c>
      <c r="K1602" t="b">
        <f>TrafficData[[#This Row],[disposedChallan]]+TrafficData[[#This Row],[pendingChallan]]=TrafficData[[#This Row],[totalChallan]]</f>
        <v>1</v>
      </c>
      <c r="L1602" t="b">
        <f>TrafficData[[#This Row],[pendingAmount]]+TrafficData[[#This Row],[disposedAmount]]=TrafficData[[#This Row],[totalAmount]]</f>
        <v>1</v>
      </c>
      <c r="M1602" t="b">
        <f>TrafficData[[#This Row],[pendingCourt]]+TrafficData[[#This Row],[disposedCourt]]=TrafficData[[#This Row],[totalCourt]]</f>
        <v>1</v>
      </c>
      <c r="N1602" t="b">
        <f>AND(TrafficData[[#This Row],[disposedChallan]]&lt;=TrafficData[[#This Row],[totalChallan]],TrafficData[[#This Row],[pendingChallan]]&lt;=TrafficData[[#This Row],[totalChallan]])</f>
        <v>1</v>
      </c>
      <c r="O1602" t="b">
        <f>AND(TrafficData[[#This Row],[pendingAmount]]&lt;=TrafficData[[#This Row],[totalAmount]],TrafficData[[#This Row],[disposedAmount]]&lt;=TrafficData[[#This Row],[totalAmount]])</f>
        <v>1</v>
      </c>
      <c r="P1602" t="b">
        <f>AND(TrafficData[[#This Row],[pendingCourt]]&lt;=TrafficData[[#This Row],[totalCourt]],TrafficData[[#This Row],[disposedCourt]]&lt;=TrafficData[[#This Row],[totalCourt]])</f>
        <v>1</v>
      </c>
    </row>
    <row r="1603" spans="1:16">
      <c r="A1603" s="1">
        <v>43606</v>
      </c>
      <c r="B1603">
        <v>44040</v>
      </c>
      <c r="C1603">
        <v>33064</v>
      </c>
      <c r="D1603">
        <v>10976</v>
      </c>
      <c r="E1603">
        <v>10554124</v>
      </c>
      <c r="F1603">
        <v>34216650</v>
      </c>
      <c r="G1603">
        <v>44770774</v>
      </c>
      <c r="H1603">
        <v>5953</v>
      </c>
      <c r="I1603">
        <v>4502</v>
      </c>
      <c r="J1603">
        <v>10455</v>
      </c>
      <c r="K1603" t="b">
        <f>TrafficData[[#This Row],[disposedChallan]]+TrafficData[[#This Row],[pendingChallan]]=TrafficData[[#This Row],[totalChallan]]</f>
        <v>1</v>
      </c>
      <c r="L1603" t="b">
        <f>TrafficData[[#This Row],[pendingAmount]]+TrafficData[[#This Row],[disposedAmount]]=TrafficData[[#This Row],[totalAmount]]</f>
        <v>1</v>
      </c>
      <c r="M1603" t="b">
        <f>TrafficData[[#This Row],[pendingCourt]]+TrafficData[[#This Row],[disposedCourt]]=TrafficData[[#This Row],[totalCourt]]</f>
        <v>1</v>
      </c>
      <c r="N1603" t="b">
        <f>AND(TrafficData[[#This Row],[disposedChallan]]&lt;=TrafficData[[#This Row],[totalChallan]],TrafficData[[#This Row],[pendingChallan]]&lt;=TrafficData[[#This Row],[totalChallan]])</f>
        <v>1</v>
      </c>
      <c r="O1603" t="b">
        <f>AND(TrafficData[[#This Row],[pendingAmount]]&lt;=TrafficData[[#This Row],[totalAmount]],TrafficData[[#This Row],[disposedAmount]]&lt;=TrafficData[[#This Row],[totalAmount]])</f>
        <v>1</v>
      </c>
      <c r="P1603" t="b">
        <f>AND(TrafficData[[#This Row],[pendingCourt]]&lt;=TrafficData[[#This Row],[totalCourt]],TrafficData[[#This Row],[disposedCourt]]&lt;=TrafficData[[#This Row],[totalCourt]])</f>
        <v>1</v>
      </c>
    </row>
    <row r="1604" spans="1:16">
      <c r="A1604" s="1">
        <v>43607</v>
      </c>
      <c r="B1604">
        <v>38259</v>
      </c>
      <c r="C1604">
        <v>28755</v>
      </c>
      <c r="D1604">
        <v>9504</v>
      </c>
      <c r="E1604">
        <v>9927752</v>
      </c>
      <c r="F1604">
        <v>36544578</v>
      </c>
      <c r="G1604">
        <v>46472330</v>
      </c>
      <c r="H1604">
        <v>4002</v>
      </c>
      <c r="I1604">
        <v>3386</v>
      </c>
      <c r="J1604">
        <v>7388</v>
      </c>
      <c r="K1604" t="b">
        <f>TrafficData[[#This Row],[disposedChallan]]+TrafficData[[#This Row],[pendingChallan]]=TrafficData[[#This Row],[totalChallan]]</f>
        <v>1</v>
      </c>
      <c r="L1604" t="b">
        <f>TrafficData[[#This Row],[pendingAmount]]+TrafficData[[#This Row],[disposedAmount]]=TrafficData[[#This Row],[totalAmount]]</f>
        <v>1</v>
      </c>
      <c r="M1604" t="b">
        <f>TrafficData[[#This Row],[pendingCourt]]+TrafficData[[#This Row],[disposedCourt]]=TrafficData[[#This Row],[totalCourt]]</f>
        <v>1</v>
      </c>
      <c r="N1604" t="b">
        <f>AND(TrafficData[[#This Row],[disposedChallan]]&lt;=TrafficData[[#This Row],[totalChallan]],TrafficData[[#This Row],[pendingChallan]]&lt;=TrafficData[[#This Row],[totalChallan]])</f>
        <v>1</v>
      </c>
      <c r="O1604" t="b">
        <f>AND(TrafficData[[#This Row],[pendingAmount]]&lt;=TrafficData[[#This Row],[totalAmount]],TrafficData[[#This Row],[disposedAmount]]&lt;=TrafficData[[#This Row],[totalAmount]])</f>
        <v>1</v>
      </c>
      <c r="P1604" t="b">
        <f>AND(TrafficData[[#This Row],[pendingCourt]]&lt;=TrafficData[[#This Row],[totalCourt]],TrafficData[[#This Row],[disposedCourt]]&lt;=TrafficData[[#This Row],[totalCourt]])</f>
        <v>1</v>
      </c>
    </row>
    <row r="1605" spans="1:16">
      <c r="A1605" s="1">
        <v>43608</v>
      </c>
      <c r="B1605">
        <v>34353</v>
      </c>
      <c r="C1605">
        <v>23292</v>
      </c>
      <c r="D1605">
        <v>11061</v>
      </c>
      <c r="E1605">
        <v>8248393</v>
      </c>
      <c r="F1605">
        <v>27454586</v>
      </c>
      <c r="G1605">
        <v>35702979</v>
      </c>
      <c r="H1605">
        <v>5008</v>
      </c>
      <c r="I1605">
        <v>2000</v>
      </c>
      <c r="J1605">
        <v>7008</v>
      </c>
      <c r="K1605" t="b">
        <f>TrafficData[[#This Row],[disposedChallan]]+TrafficData[[#This Row],[pendingChallan]]=TrafficData[[#This Row],[totalChallan]]</f>
        <v>1</v>
      </c>
      <c r="L1605" t="b">
        <f>TrafficData[[#This Row],[pendingAmount]]+TrafficData[[#This Row],[disposedAmount]]=TrafficData[[#This Row],[totalAmount]]</f>
        <v>1</v>
      </c>
      <c r="M1605" t="b">
        <f>TrafficData[[#This Row],[pendingCourt]]+TrafficData[[#This Row],[disposedCourt]]=TrafficData[[#This Row],[totalCourt]]</f>
        <v>1</v>
      </c>
      <c r="N1605" t="b">
        <f>AND(TrafficData[[#This Row],[disposedChallan]]&lt;=TrafficData[[#This Row],[totalChallan]],TrafficData[[#This Row],[pendingChallan]]&lt;=TrafficData[[#This Row],[totalChallan]])</f>
        <v>1</v>
      </c>
      <c r="O1605" t="b">
        <f>AND(TrafficData[[#This Row],[pendingAmount]]&lt;=TrafficData[[#This Row],[totalAmount]],TrafficData[[#This Row],[disposedAmount]]&lt;=TrafficData[[#This Row],[totalAmount]])</f>
        <v>1</v>
      </c>
      <c r="P1605" t="b">
        <f>AND(TrafficData[[#This Row],[pendingCourt]]&lt;=TrafficData[[#This Row],[totalCourt]],TrafficData[[#This Row],[disposedCourt]]&lt;=TrafficData[[#This Row],[totalCourt]])</f>
        <v>1</v>
      </c>
    </row>
    <row r="1606" spans="1:16">
      <c r="A1606" s="1">
        <v>43609</v>
      </c>
      <c r="B1606">
        <v>43794</v>
      </c>
      <c r="C1606">
        <v>32011</v>
      </c>
      <c r="D1606">
        <v>11783</v>
      </c>
      <c r="E1606">
        <v>9613861</v>
      </c>
      <c r="F1606">
        <v>33145260</v>
      </c>
      <c r="G1606">
        <v>42759121</v>
      </c>
      <c r="H1606">
        <v>4696</v>
      </c>
      <c r="I1606">
        <v>3422</v>
      </c>
      <c r="J1606">
        <v>8118</v>
      </c>
      <c r="K1606" t="b">
        <f>TrafficData[[#This Row],[disposedChallan]]+TrafficData[[#This Row],[pendingChallan]]=TrafficData[[#This Row],[totalChallan]]</f>
        <v>1</v>
      </c>
      <c r="L1606" t="b">
        <f>TrafficData[[#This Row],[pendingAmount]]+TrafficData[[#This Row],[disposedAmount]]=TrafficData[[#This Row],[totalAmount]]</f>
        <v>1</v>
      </c>
      <c r="M1606" t="b">
        <f>TrafficData[[#This Row],[pendingCourt]]+TrafficData[[#This Row],[disposedCourt]]=TrafficData[[#This Row],[totalCourt]]</f>
        <v>1</v>
      </c>
      <c r="N1606" t="b">
        <f>AND(TrafficData[[#This Row],[disposedChallan]]&lt;=TrafficData[[#This Row],[totalChallan]],TrafficData[[#This Row],[pendingChallan]]&lt;=TrafficData[[#This Row],[totalChallan]])</f>
        <v>1</v>
      </c>
      <c r="O1606" t="b">
        <f>AND(TrafficData[[#This Row],[pendingAmount]]&lt;=TrafficData[[#This Row],[totalAmount]],TrafficData[[#This Row],[disposedAmount]]&lt;=TrafficData[[#This Row],[totalAmount]])</f>
        <v>1</v>
      </c>
      <c r="P1606" t="b">
        <f>AND(TrafficData[[#This Row],[pendingCourt]]&lt;=TrafficData[[#This Row],[totalCourt]],TrafficData[[#This Row],[disposedCourt]]&lt;=TrafficData[[#This Row],[totalCourt]])</f>
        <v>1</v>
      </c>
    </row>
    <row r="1607" spans="1:16">
      <c r="A1607" s="1">
        <v>43610</v>
      </c>
      <c r="B1607">
        <v>39552</v>
      </c>
      <c r="C1607">
        <v>29805</v>
      </c>
      <c r="D1607">
        <v>9747</v>
      </c>
      <c r="E1607">
        <v>9257737</v>
      </c>
      <c r="F1607">
        <v>35734486</v>
      </c>
      <c r="G1607">
        <v>44992223</v>
      </c>
      <c r="H1607">
        <v>3506</v>
      </c>
      <c r="I1607">
        <v>3190</v>
      </c>
      <c r="J1607">
        <v>6696</v>
      </c>
      <c r="K1607" t="b">
        <f>TrafficData[[#This Row],[disposedChallan]]+TrafficData[[#This Row],[pendingChallan]]=TrafficData[[#This Row],[totalChallan]]</f>
        <v>1</v>
      </c>
      <c r="L1607" t="b">
        <f>TrafficData[[#This Row],[pendingAmount]]+TrafficData[[#This Row],[disposedAmount]]=TrafficData[[#This Row],[totalAmount]]</f>
        <v>1</v>
      </c>
      <c r="M1607" t="b">
        <f>TrafficData[[#This Row],[pendingCourt]]+TrafficData[[#This Row],[disposedCourt]]=TrafficData[[#This Row],[totalCourt]]</f>
        <v>1</v>
      </c>
      <c r="N1607" t="b">
        <f>AND(TrafficData[[#This Row],[disposedChallan]]&lt;=TrafficData[[#This Row],[totalChallan]],TrafficData[[#This Row],[pendingChallan]]&lt;=TrafficData[[#This Row],[totalChallan]])</f>
        <v>1</v>
      </c>
      <c r="O1607" t="b">
        <f>AND(TrafficData[[#This Row],[pendingAmount]]&lt;=TrafficData[[#This Row],[totalAmount]],TrafficData[[#This Row],[disposedAmount]]&lt;=TrafficData[[#This Row],[totalAmount]])</f>
        <v>1</v>
      </c>
      <c r="P1607" t="b">
        <f>AND(TrafficData[[#This Row],[pendingCourt]]&lt;=TrafficData[[#This Row],[totalCourt]],TrafficData[[#This Row],[disposedCourt]]&lt;=TrafficData[[#This Row],[totalCourt]])</f>
        <v>1</v>
      </c>
    </row>
    <row r="1608" spans="1:16">
      <c r="A1608" s="1">
        <v>43611</v>
      </c>
      <c r="B1608">
        <v>31670</v>
      </c>
      <c r="C1608">
        <v>22415</v>
      </c>
      <c r="D1608">
        <v>9255</v>
      </c>
      <c r="E1608">
        <v>9671184</v>
      </c>
      <c r="F1608">
        <v>24126788</v>
      </c>
      <c r="G1608">
        <v>33797972</v>
      </c>
      <c r="H1608">
        <v>2572</v>
      </c>
      <c r="I1608">
        <v>2280</v>
      </c>
      <c r="J1608">
        <v>4852</v>
      </c>
      <c r="K1608" t="b">
        <f>TrafficData[[#This Row],[disposedChallan]]+TrafficData[[#This Row],[pendingChallan]]=TrafficData[[#This Row],[totalChallan]]</f>
        <v>1</v>
      </c>
      <c r="L1608" t="b">
        <f>TrafficData[[#This Row],[pendingAmount]]+TrafficData[[#This Row],[disposedAmount]]=TrafficData[[#This Row],[totalAmount]]</f>
        <v>1</v>
      </c>
      <c r="M1608" t="b">
        <f>TrafficData[[#This Row],[pendingCourt]]+TrafficData[[#This Row],[disposedCourt]]=TrafficData[[#This Row],[totalCourt]]</f>
        <v>1</v>
      </c>
      <c r="N1608" t="b">
        <f>AND(TrafficData[[#This Row],[disposedChallan]]&lt;=TrafficData[[#This Row],[totalChallan]],TrafficData[[#This Row],[pendingChallan]]&lt;=TrafficData[[#This Row],[totalChallan]])</f>
        <v>1</v>
      </c>
      <c r="O1608" t="b">
        <f>AND(TrafficData[[#This Row],[pendingAmount]]&lt;=TrafficData[[#This Row],[totalAmount]],TrafficData[[#This Row],[disposedAmount]]&lt;=TrafficData[[#This Row],[totalAmount]])</f>
        <v>1</v>
      </c>
      <c r="P1608" t="b">
        <f>AND(TrafficData[[#This Row],[pendingCourt]]&lt;=TrafficData[[#This Row],[totalCourt]],TrafficData[[#This Row],[disposedCourt]]&lt;=TrafficData[[#This Row],[totalCourt]])</f>
        <v>1</v>
      </c>
    </row>
    <row r="1609" spans="1:16">
      <c r="A1609" s="1">
        <v>43612</v>
      </c>
      <c r="B1609">
        <v>38597</v>
      </c>
      <c r="C1609">
        <v>28058</v>
      </c>
      <c r="D1609">
        <v>10539</v>
      </c>
      <c r="E1609">
        <v>17389968</v>
      </c>
      <c r="F1609">
        <v>45597345</v>
      </c>
      <c r="G1609">
        <v>62987313</v>
      </c>
      <c r="H1609">
        <v>4394</v>
      </c>
      <c r="I1609">
        <v>2579</v>
      </c>
      <c r="J1609">
        <v>6973</v>
      </c>
      <c r="K1609" t="b">
        <f>TrafficData[[#This Row],[disposedChallan]]+TrafficData[[#This Row],[pendingChallan]]=TrafficData[[#This Row],[totalChallan]]</f>
        <v>1</v>
      </c>
      <c r="L1609" t="b">
        <f>TrafficData[[#This Row],[pendingAmount]]+TrafficData[[#This Row],[disposedAmount]]=TrafficData[[#This Row],[totalAmount]]</f>
        <v>1</v>
      </c>
      <c r="M1609" t="b">
        <f>TrafficData[[#This Row],[pendingCourt]]+TrafficData[[#This Row],[disposedCourt]]=TrafficData[[#This Row],[totalCourt]]</f>
        <v>1</v>
      </c>
      <c r="N1609" t="b">
        <f>AND(TrafficData[[#This Row],[disposedChallan]]&lt;=TrafficData[[#This Row],[totalChallan]],TrafficData[[#This Row],[pendingChallan]]&lt;=TrafficData[[#This Row],[totalChallan]])</f>
        <v>1</v>
      </c>
      <c r="O1609" t="b">
        <f>AND(TrafficData[[#This Row],[pendingAmount]]&lt;=TrafficData[[#This Row],[totalAmount]],TrafficData[[#This Row],[disposedAmount]]&lt;=TrafficData[[#This Row],[totalAmount]])</f>
        <v>1</v>
      </c>
      <c r="P1609" t="b">
        <f>AND(TrafficData[[#This Row],[pendingCourt]]&lt;=TrafficData[[#This Row],[totalCourt]],TrafficData[[#This Row],[disposedCourt]]&lt;=TrafficData[[#This Row],[totalCourt]])</f>
        <v>1</v>
      </c>
    </row>
    <row r="1610" spans="1:16">
      <c r="A1610" s="1">
        <v>43613</v>
      </c>
      <c r="B1610">
        <v>39009</v>
      </c>
      <c r="C1610">
        <v>28537</v>
      </c>
      <c r="D1610">
        <v>10472</v>
      </c>
      <c r="E1610">
        <v>11511677</v>
      </c>
      <c r="F1610">
        <v>31614886</v>
      </c>
      <c r="G1610">
        <v>43126563</v>
      </c>
      <c r="H1610">
        <v>4072</v>
      </c>
      <c r="I1610">
        <v>3132</v>
      </c>
      <c r="J1610">
        <v>7204</v>
      </c>
      <c r="K1610" t="b">
        <f>TrafficData[[#This Row],[disposedChallan]]+TrafficData[[#This Row],[pendingChallan]]=TrafficData[[#This Row],[totalChallan]]</f>
        <v>1</v>
      </c>
      <c r="L1610" t="b">
        <f>TrafficData[[#This Row],[pendingAmount]]+TrafficData[[#This Row],[disposedAmount]]=TrafficData[[#This Row],[totalAmount]]</f>
        <v>1</v>
      </c>
      <c r="M1610" t="b">
        <f>TrafficData[[#This Row],[pendingCourt]]+TrafficData[[#This Row],[disposedCourt]]=TrafficData[[#This Row],[totalCourt]]</f>
        <v>1</v>
      </c>
      <c r="N1610" t="b">
        <f>AND(TrafficData[[#This Row],[disposedChallan]]&lt;=TrafficData[[#This Row],[totalChallan]],TrafficData[[#This Row],[pendingChallan]]&lt;=TrafficData[[#This Row],[totalChallan]])</f>
        <v>1</v>
      </c>
      <c r="O1610" t="b">
        <f>AND(TrafficData[[#This Row],[pendingAmount]]&lt;=TrafficData[[#This Row],[totalAmount]],TrafficData[[#This Row],[disposedAmount]]&lt;=TrafficData[[#This Row],[totalAmount]])</f>
        <v>1</v>
      </c>
      <c r="P1610" t="b">
        <f>AND(TrafficData[[#This Row],[pendingCourt]]&lt;=TrafficData[[#This Row],[totalCourt]],TrafficData[[#This Row],[disposedCourt]]&lt;=TrafficData[[#This Row],[totalCourt]])</f>
        <v>1</v>
      </c>
    </row>
    <row r="1611" spans="1:16">
      <c r="A1611" s="1">
        <v>43614</v>
      </c>
      <c r="B1611">
        <v>47096</v>
      </c>
      <c r="C1611">
        <v>32895</v>
      </c>
      <c r="D1611">
        <v>14201</v>
      </c>
      <c r="E1611">
        <v>17439515</v>
      </c>
      <c r="F1611">
        <v>32235668</v>
      </c>
      <c r="G1611">
        <v>49675183</v>
      </c>
      <c r="H1611">
        <v>6705</v>
      </c>
      <c r="I1611">
        <v>4143</v>
      </c>
      <c r="J1611">
        <v>10848</v>
      </c>
      <c r="K1611" t="b">
        <f>TrafficData[[#This Row],[disposedChallan]]+TrafficData[[#This Row],[pendingChallan]]=TrafficData[[#This Row],[totalChallan]]</f>
        <v>1</v>
      </c>
      <c r="L1611" t="b">
        <f>TrafficData[[#This Row],[pendingAmount]]+TrafficData[[#This Row],[disposedAmount]]=TrafficData[[#This Row],[totalAmount]]</f>
        <v>1</v>
      </c>
      <c r="M1611" t="b">
        <f>TrafficData[[#This Row],[pendingCourt]]+TrafficData[[#This Row],[disposedCourt]]=TrafficData[[#This Row],[totalCourt]]</f>
        <v>1</v>
      </c>
      <c r="N1611" t="b">
        <f>AND(TrafficData[[#This Row],[disposedChallan]]&lt;=TrafficData[[#This Row],[totalChallan]],TrafficData[[#This Row],[pendingChallan]]&lt;=TrafficData[[#This Row],[totalChallan]])</f>
        <v>1</v>
      </c>
      <c r="O1611" t="b">
        <f>AND(TrafficData[[#This Row],[pendingAmount]]&lt;=TrafficData[[#This Row],[totalAmount]],TrafficData[[#This Row],[disposedAmount]]&lt;=TrafficData[[#This Row],[totalAmount]])</f>
        <v>1</v>
      </c>
      <c r="P1611" t="b">
        <f>AND(TrafficData[[#This Row],[pendingCourt]]&lt;=TrafficData[[#This Row],[totalCourt]],TrafficData[[#This Row],[disposedCourt]]&lt;=TrafficData[[#This Row],[totalCourt]])</f>
        <v>1</v>
      </c>
    </row>
    <row r="1612" spans="1:16">
      <c r="A1612" s="1">
        <v>43615</v>
      </c>
      <c r="B1612">
        <v>43205</v>
      </c>
      <c r="C1612">
        <v>30201</v>
      </c>
      <c r="D1612">
        <v>13004</v>
      </c>
      <c r="E1612">
        <v>15264319</v>
      </c>
      <c r="F1612">
        <v>32438717</v>
      </c>
      <c r="G1612">
        <v>47703036</v>
      </c>
      <c r="H1612">
        <v>4860</v>
      </c>
      <c r="I1612">
        <v>3206</v>
      </c>
      <c r="J1612">
        <v>8066</v>
      </c>
      <c r="K1612" t="b">
        <f>TrafficData[[#This Row],[disposedChallan]]+TrafficData[[#This Row],[pendingChallan]]=TrafficData[[#This Row],[totalChallan]]</f>
        <v>1</v>
      </c>
      <c r="L1612" t="b">
        <f>TrafficData[[#This Row],[pendingAmount]]+TrafficData[[#This Row],[disposedAmount]]=TrafficData[[#This Row],[totalAmount]]</f>
        <v>1</v>
      </c>
      <c r="M1612" t="b">
        <f>TrafficData[[#This Row],[pendingCourt]]+TrafficData[[#This Row],[disposedCourt]]=TrafficData[[#This Row],[totalCourt]]</f>
        <v>1</v>
      </c>
      <c r="N1612" t="b">
        <f>AND(TrafficData[[#This Row],[disposedChallan]]&lt;=TrafficData[[#This Row],[totalChallan]],TrafficData[[#This Row],[pendingChallan]]&lt;=TrafficData[[#This Row],[totalChallan]])</f>
        <v>1</v>
      </c>
      <c r="O1612" t="b">
        <f>AND(TrafficData[[#This Row],[pendingAmount]]&lt;=TrafficData[[#This Row],[totalAmount]],TrafficData[[#This Row],[disposedAmount]]&lt;=TrafficData[[#This Row],[totalAmount]])</f>
        <v>1</v>
      </c>
      <c r="P1612" t="b">
        <f>AND(TrafficData[[#This Row],[pendingCourt]]&lt;=TrafficData[[#This Row],[totalCourt]],TrafficData[[#This Row],[disposedCourt]]&lt;=TrafficData[[#This Row],[totalCourt]])</f>
        <v>1</v>
      </c>
    </row>
    <row r="1613" spans="1:16">
      <c r="A1613" s="1">
        <v>43616</v>
      </c>
      <c r="B1613">
        <v>42629</v>
      </c>
      <c r="C1613">
        <v>29904</v>
      </c>
      <c r="D1613">
        <v>12725</v>
      </c>
      <c r="E1613">
        <v>15659188</v>
      </c>
      <c r="F1613">
        <v>34046266</v>
      </c>
      <c r="G1613">
        <v>49705454</v>
      </c>
      <c r="H1613">
        <v>3293</v>
      </c>
      <c r="I1613">
        <v>3156</v>
      </c>
      <c r="J1613">
        <v>6449</v>
      </c>
      <c r="K1613" t="b">
        <f>TrafficData[[#This Row],[disposedChallan]]+TrafficData[[#This Row],[pendingChallan]]=TrafficData[[#This Row],[totalChallan]]</f>
        <v>1</v>
      </c>
      <c r="L1613" t="b">
        <f>TrafficData[[#This Row],[pendingAmount]]+TrafficData[[#This Row],[disposedAmount]]=TrafficData[[#This Row],[totalAmount]]</f>
        <v>1</v>
      </c>
      <c r="M1613" t="b">
        <f>TrafficData[[#This Row],[pendingCourt]]+TrafficData[[#This Row],[disposedCourt]]=TrafficData[[#This Row],[totalCourt]]</f>
        <v>1</v>
      </c>
      <c r="N1613" t="b">
        <f>AND(TrafficData[[#This Row],[disposedChallan]]&lt;=TrafficData[[#This Row],[totalChallan]],TrafficData[[#This Row],[pendingChallan]]&lt;=TrafficData[[#This Row],[totalChallan]])</f>
        <v>1</v>
      </c>
      <c r="O1613" t="b">
        <f>AND(TrafficData[[#This Row],[pendingAmount]]&lt;=TrafficData[[#This Row],[totalAmount]],TrafficData[[#This Row],[disposedAmount]]&lt;=TrafficData[[#This Row],[totalAmount]])</f>
        <v>1</v>
      </c>
      <c r="P1613" t="b">
        <f>AND(TrafficData[[#This Row],[pendingCourt]]&lt;=TrafficData[[#This Row],[totalCourt]],TrafficData[[#This Row],[disposedCourt]]&lt;=TrafficData[[#This Row],[totalCourt]])</f>
        <v>1</v>
      </c>
    </row>
    <row r="1614" spans="1:16">
      <c r="A1614" s="1">
        <v>43617</v>
      </c>
      <c r="B1614">
        <v>56944</v>
      </c>
      <c r="C1614">
        <v>38055</v>
      </c>
      <c r="D1614">
        <v>18889</v>
      </c>
      <c r="E1614">
        <v>17473100</v>
      </c>
      <c r="F1614">
        <v>45072960</v>
      </c>
      <c r="G1614">
        <v>62546060</v>
      </c>
      <c r="H1614">
        <v>8148</v>
      </c>
      <c r="I1614">
        <v>3799</v>
      </c>
      <c r="J1614">
        <v>11947</v>
      </c>
      <c r="K1614" t="b">
        <f>TrafficData[[#This Row],[disposedChallan]]+TrafficData[[#This Row],[pendingChallan]]=TrafficData[[#This Row],[totalChallan]]</f>
        <v>1</v>
      </c>
      <c r="L1614" t="b">
        <f>TrafficData[[#This Row],[pendingAmount]]+TrafficData[[#This Row],[disposedAmount]]=TrafficData[[#This Row],[totalAmount]]</f>
        <v>1</v>
      </c>
      <c r="M1614" t="b">
        <f>TrafficData[[#This Row],[pendingCourt]]+TrafficData[[#This Row],[disposedCourt]]=TrafficData[[#This Row],[totalCourt]]</f>
        <v>1</v>
      </c>
      <c r="N1614" t="b">
        <f>AND(TrafficData[[#This Row],[disposedChallan]]&lt;=TrafficData[[#This Row],[totalChallan]],TrafficData[[#This Row],[pendingChallan]]&lt;=TrafficData[[#This Row],[totalChallan]])</f>
        <v>1</v>
      </c>
      <c r="O1614" t="b">
        <f>AND(TrafficData[[#This Row],[pendingAmount]]&lt;=TrafficData[[#This Row],[totalAmount]],TrafficData[[#This Row],[disposedAmount]]&lt;=TrafficData[[#This Row],[totalAmount]])</f>
        <v>1</v>
      </c>
      <c r="P1614" t="b">
        <f>AND(TrafficData[[#This Row],[pendingCourt]]&lt;=TrafficData[[#This Row],[totalCourt]],TrafficData[[#This Row],[disposedCourt]]&lt;=TrafficData[[#This Row],[totalCourt]])</f>
        <v>1</v>
      </c>
    </row>
    <row r="1615" spans="1:16">
      <c r="A1615" s="1">
        <v>43618</v>
      </c>
      <c r="B1615">
        <v>43114</v>
      </c>
      <c r="C1615">
        <v>28759</v>
      </c>
      <c r="D1615">
        <v>14355</v>
      </c>
      <c r="E1615">
        <v>16433955</v>
      </c>
      <c r="F1615">
        <v>31296393</v>
      </c>
      <c r="G1615">
        <v>47730348</v>
      </c>
      <c r="H1615">
        <v>4945</v>
      </c>
      <c r="I1615">
        <v>2838</v>
      </c>
      <c r="J1615">
        <v>7783</v>
      </c>
      <c r="K1615" t="b">
        <f>TrafficData[[#This Row],[disposedChallan]]+TrafficData[[#This Row],[pendingChallan]]=TrafficData[[#This Row],[totalChallan]]</f>
        <v>1</v>
      </c>
      <c r="L1615" t="b">
        <f>TrafficData[[#This Row],[pendingAmount]]+TrafficData[[#This Row],[disposedAmount]]=TrafficData[[#This Row],[totalAmount]]</f>
        <v>1</v>
      </c>
      <c r="M1615" t="b">
        <f>TrafficData[[#This Row],[pendingCourt]]+TrafficData[[#This Row],[disposedCourt]]=TrafficData[[#This Row],[totalCourt]]</f>
        <v>1</v>
      </c>
      <c r="N1615" t="b">
        <f>AND(TrafficData[[#This Row],[disposedChallan]]&lt;=TrafficData[[#This Row],[totalChallan]],TrafficData[[#This Row],[pendingChallan]]&lt;=TrafficData[[#This Row],[totalChallan]])</f>
        <v>1</v>
      </c>
      <c r="O1615" t="b">
        <f>AND(TrafficData[[#This Row],[pendingAmount]]&lt;=TrafficData[[#This Row],[totalAmount]],TrafficData[[#This Row],[disposedAmount]]&lt;=TrafficData[[#This Row],[totalAmount]])</f>
        <v>1</v>
      </c>
      <c r="P1615" t="b">
        <f>AND(TrafficData[[#This Row],[pendingCourt]]&lt;=TrafficData[[#This Row],[totalCourt]],TrafficData[[#This Row],[disposedCourt]]&lt;=TrafficData[[#This Row],[totalCourt]])</f>
        <v>1</v>
      </c>
    </row>
    <row r="1616" spans="1:16">
      <c r="A1616" s="1">
        <v>43619</v>
      </c>
      <c r="B1616">
        <v>45692</v>
      </c>
      <c r="C1616">
        <v>31554</v>
      </c>
      <c r="D1616">
        <v>14138</v>
      </c>
      <c r="E1616">
        <v>17285357</v>
      </c>
      <c r="F1616">
        <v>32902086</v>
      </c>
      <c r="G1616">
        <v>50187443</v>
      </c>
      <c r="H1616">
        <v>4312</v>
      </c>
      <c r="I1616">
        <v>3247</v>
      </c>
      <c r="J1616">
        <v>7559</v>
      </c>
      <c r="K1616" t="b">
        <f>TrafficData[[#This Row],[disposedChallan]]+TrafficData[[#This Row],[pendingChallan]]=TrafficData[[#This Row],[totalChallan]]</f>
        <v>1</v>
      </c>
      <c r="L1616" t="b">
        <f>TrafficData[[#This Row],[pendingAmount]]+TrafficData[[#This Row],[disposedAmount]]=TrafficData[[#This Row],[totalAmount]]</f>
        <v>1</v>
      </c>
      <c r="M1616" t="b">
        <f>TrafficData[[#This Row],[pendingCourt]]+TrafficData[[#This Row],[disposedCourt]]=TrafficData[[#This Row],[totalCourt]]</f>
        <v>1</v>
      </c>
      <c r="N1616" t="b">
        <f>AND(TrafficData[[#This Row],[disposedChallan]]&lt;=TrafficData[[#This Row],[totalChallan]],TrafficData[[#This Row],[pendingChallan]]&lt;=TrafficData[[#This Row],[totalChallan]])</f>
        <v>1</v>
      </c>
      <c r="O1616" t="b">
        <f>AND(TrafficData[[#This Row],[pendingAmount]]&lt;=TrafficData[[#This Row],[totalAmount]],TrafficData[[#This Row],[disposedAmount]]&lt;=TrafficData[[#This Row],[totalAmount]])</f>
        <v>1</v>
      </c>
      <c r="P1616" t="b">
        <f>AND(TrafficData[[#This Row],[pendingCourt]]&lt;=TrafficData[[#This Row],[totalCourt]],TrafficData[[#This Row],[disposedCourt]]&lt;=TrafficData[[#This Row],[totalCourt]])</f>
        <v>1</v>
      </c>
    </row>
    <row r="1617" spans="1:16">
      <c r="A1617" s="1">
        <v>43620</v>
      </c>
      <c r="B1617">
        <v>47470</v>
      </c>
      <c r="C1617">
        <v>33725</v>
      </c>
      <c r="D1617">
        <v>13745</v>
      </c>
      <c r="E1617">
        <v>15163889</v>
      </c>
      <c r="F1617">
        <v>39572922</v>
      </c>
      <c r="G1617">
        <v>54736811</v>
      </c>
      <c r="H1617">
        <v>5071</v>
      </c>
      <c r="I1617">
        <v>3587</v>
      </c>
      <c r="J1617">
        <v>8658</v>
      </c>
      <c r="K1617" t="b">
        <f>TrafficData[[#This Row],[disposedChallan]]+TrafficData[[#This Row],[pendingChallan]]=TrafficData[[#This Row],[totalChallan]]</f>
        <v>1</v>
      </c>
      <c r="L1617" t="b">
        <f>TrafficData[[#This Row],[pendingAmount]]+TrafficData[[#This Row],[disposedAmount]]=TrafficData[[#This Row],[totalAmount]]</f>
        <v>1</v>
      </c>
      <c r="M1617" t="b">
        <f>TrafficData[[#This Row],[pendingCourt]]+TrafficData[[#This Row],[disposedCourt]]=TrafficData[[#This Row],[totalCourt]]</f>
        <v>1</v>
      </c>
      <c r="N1617" t="b">
        <f>AND(TrafficData[[#This Row],[disposedChallan]]&lt;=TrafficData[[#This Row],[totalChallan]],TrafficData[[#This Row],[pendingChallan]]&lt;=TrafficData[[#This Row],[totalChallan]])</f>
        <v>1</v>
      </c>
      <c r="O1617" t="b">
        <f>AND(TrafficData[[#This Row],[pendingAmount]]&lt;=TrafficData[[#This Row],[totalAmount]],TrafficData[[#This Row],[disposedAmount]]&lt;=TrafficData[[#This Row],[totalAmount]])</f>
        <v>1</v>
      </c>
      <c r="P1617" t="b">
        <f>AND(TrafficData[[#This Row],[pendingCourt]]&lt;=TrafficData[[#This Row],[totalCourt]],TrafficData[[#This Row],[disposedCourt]]&lt;=TrafficData[[#This Row],[totalCourt]])</f>
        <v>1</v>
      </c>
    </row>
    <row r="1618" spans="1:16">
      <c r="A1618" s="1">
        <v>43621</v>
      </c>
      <c r="B1618">
        <v>43772</v>
      </c>
      <c r="C1618">
        <v>29818</v>
      </c>
      <c r="D1618">
        <v>13954</v>
      </c>
      <c r="E1618">
        <v>7633437</v>
      </c>
      <c r="F1618">
        <v>23891798</v>
      </c>
      <c r="G1618">
        <v>31525235</v>
      </c>
      <c r="H1618">
        <v>3963</v>
      </c>
      <c r="I1618">
        <v>2392</v>
      </c>
      <c r="J1618">
        <v>6355</v>
      </c>
      <c r="K1618" t="b">
        <f>TrafficData[[#This Row],[disposedChallan]]+TrafficData[[#This Row],[pendingChallan]]=TrafficData[[#This Row],[totalChallan]]</f>
        <v>1</v>
      </c>
      <c r="L1618" t="b">
        <f>TrafficData[[#This Row],[pendingAmount]]+TrafficData[[#This Row],[disposedAmount]]=TrafficData[[#This Row],[totalAmount]]</f>
        <v>1</v>
      </c>
      <c r="M1618" t="b">
        <f>TrafficData[[#This Row],[pendingCourt]]+TrafficData[[#This Row],[disposedCourt]]=TrafficData[[#This Row],[totalCourt]]</f>
        <v>1</v>
      </c>
      <c r="N1618" t="b">
        <f>AND(TrafficData[[#This Row],[disposedChallan]]&lt;=TrafficData[[#This Row],[totalChallan]],TrafficData[[#This Row],[pendingChallan]]&lt;=TrafficData[[#This Row],[totalChallan]])</f>
        <v>1</v>
      </c>
      <c r="O1618" t="b">
        <f>AND(TrafficData[[#This Row],[pendingAmount]]&lt;=TrafficData[[#This Row],[totalAmount]],TrafficData[[#This Row],[disposedAmount]]&lt;=TrafficData[[#This Row],[totalAmount]])</f>
        <v>1</v>
      </c>
      <c r="P1618" t="b">
        <f>AND(TrafficData[[#This Row],[pendingCourt]]&lt;=TrafficData[[#This Row],[totalCourt]],TrafficData[[#This Row],[disposedCourt]]&lt;=TrafficData[[#This Row],[totalCourt]])</f>
        <v>1</v>
      </c>
    </row>
    <row r="1619" spans="1:16">
      <c r="A1619" s="1">
        <v>43622</v>
      </c>
      <c r="B1619">
        <v>54700</v>
      </c>
      <c r="C1619">
        <v>37247</v>
      </c>
      <c r="D1619">
        <v>17453</v>
      </c>
      <c r="E1619">
        <v>12362265</v>
      </c>
      <c r="F1619">
        <v>126520165</v>
      </c>
      <c r="G1619">
        <v>138882430</v>
      </c>
      <c r="H1619">
        <v>7904</v>
      </c>
      <c r="I1619">
        <v>3765</v>
      </c>
      <c r="J1619">
        <v>11669</v>
      </c>
      <c r="K1619" t="b">
        <f>TrafficData[[#This Row],[disposedChallan]]+TrafficData[[#This Row],[pendingChallan]]=TrafficData[[#This Row],[totalChallan]]</f>
        <v>1</v>
      </c>
      <c r="L1619" t="b">
        <f>TrafficData[[#This Row],[pendingAmount]]+TrafficData[[#This Row],[disposedAmount]]=TrafficData[[#This Row],[totalAmount]]</f>
        <v>1</v>
      </c>
      <c r="M1619" t="b">
        <f>TrafficData[[#This Row],[pendingCourt]]+TrafficData[[#This Row],[disposedCourt]]=TrafficData[[#This Row],[totalCourt]]</f>
        <v>1</v>
      </c>
      <c r="N1619" t="b">
        <f>AND(TrafficData[[#This Row],[disposedChallan]]&lt;=TrafficData[[#This Row],[totalChallan]],TrafficData[[#This Row],[pendingChallan]]&lt;=TrafficData[[#This Row],[totalChallan]])</f>
        <v>1</v>
      </c>
      <c r="O1619" t="b">
        <f>AND(TrafficData[[#This Row],[pendingAmount]]&lt;=TrafficData[[#This Row],[totalAmount]],TrafficData[[#This Row],[disposedAmount]]&lt;=TrafficData[[#This Row],[totalAmount]])</f>
        <v>1</v>
      </c>
      <c r="P1619" t="b">
        <f>AND(TrafficData[[#This Row],[pendingCourt]]&lt;=TrafficData[[#This Row],[totalCourt]],TrafficData[[#This Row],[disposedCourt]]&lt;=TrafficData[[#This Row],[totalCourt]])</f>
        <v>1</v>
      </c>
    </row>
    <row r="1620" spans="1:16">
      <c r="A1620" s="1">
        <v>43623</v>
      </c>
      <c r="B1620">
        <v>55885</v>
      </c>
      <c r="C1620">
        <v>38088</v>
      </c>
      <c r="D1620">
        <v>17797</v>
      </c>
      <c r="E1620">
        <v>13386183</v>
      </c>
      <c r="F1620">
        <v>32343039</v>
      </c>
      <c r="G1620">
        <v>45729222</v>
      </c>
      <c r="H1620">
        <v>7922</v>
      </c>
      <c r="I1620">
        <v>3943</v>
      </c>
      <c r="J1620">
        <v>11865</v>
      </c>
      <c r="K1620" t="b">
        <f>TrafficData[[#This Row],[disposedChallan]]+TrafficData[[#This Row],[pendingChallan]]=TrafficData[[#This Row],[totalChallan]]</f>
        <v>1</v>
      </c>
      <c r="L1620" t="b">
        <f>TrafficData[[#This Row],[pendingAmount]]+TrafficData[[#This Row],[disposedAmount]]=TrafficData[[#This Row],[totalAmount]]</f>
        <v>1</v>
      </c>
      <c r="M1620" t="b">
        <f>TrafficData[[#This Row],[pendingCourt]]+TrafficData[[#This Row],[disposedCourt]]=TrafficData[[#This Row],[totalCourt]]</f>
        <v>1</v>
      </c>
      <c r="N1620" t="b">
        <f>AND(TrafficData[[#This Row],[disposedChallan]]&lt;=TrafficData[[#This Row],[totalChallan]],TrafficData[[#This Row],[pendingChallan]]&lt;=TrafficData[[#This Row],[totalChallan]])</f>
        <v>1</v>
      </c>
      <c r="O1620" t="b">
        <f>AND(TrafficData[[#This Row],[pendingAmount]]&lt;=TrafficData[[#This Row],[totalAmount]],TrafficData[[#This Row],[disposedAmount]]&lt;=TrafficData[[#This Row],[totalAmount]])</f>
        <v>1</v>
      </c>
      <c r="P1620" t="b">
        <f>AND(TrafficData[[#This Row],[pendingCourt]]&lt;=TrafficData[[#This Row],[totalCourt]],TrafficData[[#This Row],[disposedCourt]]&lt;=TrafficData[[#This Row],[totalCourt]])</f>
        <v>1</v>
      </c>
    </row>
    <row r="1621" spans="1:16">
      <c r="A1621" s="1">
        <v>43624</v>
      </c>
      <c r="B1621">
        <v>48778</v>
      </c>
      <c r="C1621">
        <v>35546</v>
      </c>
      <c r="D1621">
        <v>13232</v>
      </c>
      <c r="E1621">
        <v>8899978</v>
      </c>
      <c r="F1621">
        <v>29145353</v>
      </c>
      <c r="G1621">
        <v>38045331</v>
      </c>
      <c r="H1621">
        <v>5459</v>
      </c>
      <c r="I1621">
        <v>3225</v>
      </c>
      <c r="J1621">
        <v>8684</v>
      </c>
      <c r="K1621" t="b">
        <f>TrafficData[[#This Row],[disposedChallan]]+TrafficData[[#This Row],[pendingChallan]]=TrafficData[[#This Row],[totalChallan]]</f>
        <v>1</v>
      </c>
      <c r="L1621" t="b">
        <f>TrafficData[[#This Row],[pendingAmount]]+TrafficData[[#This Row],[disposedAmount]]=TrafficData[[#This Row],[totalAmount]]</f>
        <v>1</v>
      </c>
      <c r="M1621" t="b">
        <f>TrafficData[[#This Row],[pendingCourt]]+TrafficData[[#This Row],[disposedCourt]]=TrafficData[[#This Row],[totalCourt]]</f>
        <v>1</v>
      </c>
      <c r="N1621" t="b">
        <f>AND(TrafficData[[#This Row],[disposedChallan]]&lt;=TrafficData[[#This Row],[totalChallan]],TrafficData[[#This Row],[pendingChallan]]&lt;=TrafficData[[#This Row],[totalChallan]])</f>
        <v>1</v>
      </c>
      <c r="O1621" t="b">
        <f>AND(TrafficData[[#This Row],[pendingAmount]]&lt;=TrafficData[[#This Row],[totalAmount]],TrafficData[[#This Row],[disposedAmount]]&lt;=TrafficData[[#This Row],[totalAmount]])</f>
        <v>1</v>
      </c>
      <c r="P1621" t="b">
        <f>AND(TrafficData[[#This Row],[pendingCourt]]&lt;=TrafficData[[#This Row],[totalCourt]],TrafficData[[#This Row],[disposedCourt]]&lt;=TrafficData[[#This Row],[totalCourt]])</f>
        <v>1</v>
      </c>
    </row>
    <row r="1622" spans="1:16">
      <c r="A1622" s="1">
        <v>43625</v>
      </c>
      <c r="B1622">
        <v>33876</v>
      </c>
      <c r="C1622">
        <v>25281</v>
      </c>
      <c r="D1622">
        <v>8595</v>
      </c>
      <c r="E1622">
        <v>5337305</v>
      </c>
      <c r="F1622">
        <v>22416989</v>
      </c>
      <c r="G1622">
        <v>27754294</v>
      </c>
      <c r="H1622">
        <v>3024</v>
      </c>
      <c r="I1622">
        <v>2664</v>
      </c>
      <c r="J1622">
        <v>5688</v>
      </c>
      <c r="K1622" t="b">
        <f>TrafficData[[#This Row],[disposedChallan]]+TrafficData[[#This Row],[pendingChallan]]=TrafficData[[#This Row],[totalChallan]]</f>
        <v>1</v>
      </c>
      <c r="L1622" t="b">
        <f>TrafficData[[#This Row],[pendingAmount]]+TrafficData[[#This Row],[disposedAmount]]=TrafficData[[#This Row],[totalAmount]]</f>
        <v>1</v>
      </c>
      <c r="M1622" t="b">
        <f>TrafficData[[#This Row],[pendingCourt]]+TrafficData[[#This Row],[disposedCourt]]=TrafficData[[#This Row],[totalCourt]]</f>
        <v>1</v>
      </c>
      <c r="N1622" t="b">
        <f>AND(TrafficData[[#This Row],[disposedChallan]]&lt;=TrafficData[[#This Row],[totalChallan]],TrafficData[[#This Row],[pendingChallan]]&lt;=TrafficData[[#This Row],[totalChallan]])</f>
        <v>1</v>
      </c>
      <c r="O1622" t="b">
        <f>AND(TrafficData[[#This Row],[pendingAmount]]&lt;=TrafficData[[#This Row],[totalAmount]],TrafficData[[#This Row],[disposedAmount]]&lt;=TrafficData[[#This Row],[totalAmount]])</f>
        <v>1</v>
      </c>
      <c r="P1622" t="b">
        <f>AND(TrafficData[[#This Row],[pendingCourt]]&lt;=TrafficData[[#This Row],[totalCourt]],TrafficData[[#This Row],[disposedCourt]]&lt;=TrafficData[[#This Row],[totalCourt]])</f>
        <v>1</v>
      </c>
    </row>
    <row r="1623" spans="1:16">
      <c r="A1623" s="1">
        <v>43626</v>
      </c>
      <c r="B1623">
        <v>45911</v>
      </c>
      <c r="C1623">
        <v>33480</v>
      </c>
      <c r="D1623">
        <v>12431</v>
      </c>
      <c r="E1623">
        <v>8965239</v>
      </c>
      <c r="F1623">
        <v>32092342</v>
      </c>
      <c r="G1623">
        <v>41057581</v>
      </c>
      <c r="H1623">
        <v>4042</v>
      </c>
      <c r="I1623">
        <v>2967</v>
      </c>
      <c r="J1623">
        <v>7009</v>
      </c>
      <c r="K1623" t="b">
        <f>TrafficData[[#This Row],[disposedChallan]]+TrafficData[[#This Row],[pendingChallan]]=TrafficData[[#This Row],[totalChallan]]</f>
        <v>1</v>
      </c>
      <c r="L1623" t="b">
        <f>TrafficData[[#This Row],[pendingAmount]]+TrafficData[[#This Row],[disposedAmount]]=TrafficData[[#This Row],[totalAmount]]</f>
        <v>1</v>
      </c>
      <c r="M1623" t="b">
        <f>TrafficData[[#This Row],[pendingCourt]]+TrafficData[[#This Row],[disposedCourt]]=TrafficData[[#This Row],[totalCourt]]</f>
        <v>1</v>
      </c>
      <c r="N1623" t="b">
        <f>AND(TrafficData[[#This Row],[disposedChallan]]&lt;=TrafficData[[#This Row],[totalChallan]],TrafficData[[#This Row],[pendingChallan]]&lt;=TrafficData[[#This Row],[totalChallan]])</f>
        <v>1</v>
      </c>
      <c r="O1623" t="b">
        <f>AND(TrafficData[[#This Row],[pendingAmount]]&lt;=TrafficData[[#This Row],[totalAmount]],TrafficData[[#This Row],[disposedAmount]]&lt;=TrafficData[[#This Row],[totalAmount]])</f>
        <v>1</v>
      </c>
      <c r="P1623" t="b">
        <f>AND(TrafficData[[#This Row],[pendingCourt]]&lt;=TrafficData[[#This Row],[totalCourt]],TrafficData[[#This Row],[disposedCourt]]&lt;=TrafficData[[#This Row],[totalCourt]])</f>
        <v>1</v>
      </c>
    </row>
    <row r="1624" spans="1:16">
      <c r="A1624" s="1">
        <v>43627</v>
      </c>
      <c r="B1624">
        <v>46349</v>
      </c>
      <c r="C1624">
        <v>34100</v>
      </c>
      <c r="D1624">
        <v>12249</v>
      </c>
      <c r="E1624">
        <v>9043596</v>
      </c>
      <c r="F1624">
        <v>38998563</v>
      </c>
      <c r="G1624">
        <v>48042159</v>
      </c>
      <c r="H1624">
        <v>4620</v>
      </c>
      <c r="I1624">
        <v>2909</v>
      </c>
      <c r="J1624">
        <v>7529</v>
      </c>
      <c r="K1624" t="b">
        <f>TrafficData[[#This Row],[disposedChallan]]+TrafficData[[#This Row],[pendingChallan]]=TrafficData[[#This Row],[totalChallan]]</f>
        <v>1</v>
      </c>
      <c r="L1624" t="b">
        <f>TrafficData[[#This Row],[pendingAmount]]+TrafficData[[#This Row],[disposedAmount]]=TrafficData[[#This Row],[totalAmount]]</f>
        <v>1</v>
      </c>
      <c r="M1624" t="b">
        <f>TrafficData[[#This Row],[pendingCourt]]+TrafficData[[#This Row],[disposedCourt]]=TrafficData[[#This Row],[totalCourt]]</f>
        <v>1</v>
      </c>
      <c r="N1624" t="b">
        <f>AND(TrafficData[[#This Row],[disposedChallan]]&lt;=TrafficData[[#This Row],[totalChallan]],TrafficData[[#This Row],[pendingChallan]]&lt;=TrafficData[[#This Row],[totalChallan]])</f>
        <v>1</v>
      </c>
      <c r="O1624" t="b">
        <f>AND(TrafficData[[#This Row],[pendingAmount]]&lt;=TrafficData[[#This Row],[totalAmount]],TrafficData[[#This Row],[disposedAmount]]&lt;=TrafficData[[#This Row],[totalAmount]])</f>
        <v>1</v>
      </c>
      <c r="P1624" t="b">
        <f>AND(TrafficData[[#This Row],[pendingCourt]]&lt;=TrafficData[[#This Row],[totalCourt]],TrafficData[[#This Row],[disposedCourt]]&lt;=TrafficData[[#This Row],[totalCourt]])</f>
        <v>1</v>
      </c>
    </row>
    <row r="1625" spans="1:16">
      <c r="A1625" s="1">
        <v>43628</v>
      </c>
      <c r="B1625">
        <v>55361</v>
      </c>
      <c r="C1625">
        <v>37857</v>
      </c>
      <c r="D1625">
        <v>17504</v>
      </c>
      <c r="E1625">
        <v>12989893</v>
      </c>
      <c r="F1625">
        <v>39698506</v>
      </c>
      <c r="G1625">
        <v>52688399</v>
      </c>
      <c r="H1625">
        <v>7617</v>
      </c>
      <c r="I1625">
        <v>3758</v>
      </c>
      <c r="J1625">
        <v>11375</v>
      </c>
      <c r="K1625" t="b">
        <f>TrafficData[[#This Row],[disposedChallan]]+TrafficData[[#This Row],[pendingChallan]]=TrafficData[[#This Row],[totalChallan]]</f>
        <v>1</v>
      </c>
      <c r="L1625" t="b">
        <f>TrafficData[[#This Row],[pendingAmount]]+TrafficData[[#This Row],[disposedAmount]]=TrafficData[[#This Row],[totalAmount]]</f>
        <v>1</v>
      </c>
      <c r="M1625" t="b">
        <f>TrafficData[[#This Row],[pendingCourt]]+TrafficData[[#This Row],[disposedCourt]]=TrafficData[[#This Row],[totalCourt]]</f>
        <v>1</v>
      </c>
      <c r="N1625" t="b">
        <f>AND(TrafficData[[#This Row],[disposedChallan]]&lt;=TrafficData[[#This Row],[totalChallan]],TrafficData[[#This Row],[pendingChallan]]&lt;=TrafficData[[#This Row],[totalChallan]])</f>
        <v>1</v>
      </c>
      <c r="O1625" t="b">
        <f>AND(TrafficData[[#This Row],[pendingAmount]]&lt;=TrafficData[[#This Row],[totalAmount]],TrafficData[[#This Row],[disposedAmount]]&lt;=TrafficData[[#This Row],[totalAmount]])</f>
        <v>1</v>
      </c>
      <c r="P1625" t="b">
        <f>AND(TrafficData[[#This Row],[pendingCourt]]&lt;=TrafficData[[#This Row],[totalCourt]],TrafficData[[#This Row],[disposedCourt]]&lt;=TrafficData[[#This Row],[totalCourt]])</f>
        <v>1</v>
      </c>
    </row>
    <row r="1626" spans="1:16">
      <c r="A1626" s="1">
        <v>43629</v>
      </c>
      <c r="B1626">
        <v>50059</v>
      </c>
      <c r="C1626">
        <v>35634</v>
      </c>
      <c r="D1626">
        <v>14425</v>
      </c>
      <c r="E1626">
        <v>10728810</v>
      </c>
      <c r="F1626">
        <v>37274563</v>
      </c>
      <c r="G1626">
        <v>48003373</v>
      </c>
      <c r="H1626">
        <v>5166</v>
      </c>
      <c r="I1626">
        <v>3315</v>
      </c>
      <c r="J1626">
        <v>8481</v>
      </c>
      <c r="K1626" t="b">
        <f>TrafficData[[#This Row],[disposedChallan]]+TrafficData[[#This Row],[pendingChallan]]=TrafficData[[#This Row],[totalChallan]]</f>
        <v>1</v>
      </c>
      <c r="L1626" t="b">
        <f>TrafficData[[#This Row],[pendingAmount]]+TrafficData[[#This Row],[disposedAmount]]=TrafficData[[#This Row],[totalAmount]]</f>
        <v>1</v>
      </c>
      <c r="M1626" t="b">
        <f>TrafficData[[#This Row],[pendingCourt]]+TrafficData[[#This Row],[disposedCourt]]=TrafficData[[#This Row],[totalCourt]]</f>
        <v>1</v>
      </c>
      <c r="N1626" t="b">
        <f>AND(TrafficData[[#This Row],[disposedChallan]]&lt;=TrafficData[[#This Row],[totalChallan]],TrafficData[[#This Row],[pendingChallan]]&lt;=TrafficData[[#This Row],[totalChallan]])</f>
        <v>1</v>
      </c>
      <c r="O1626" t="b">
        <f>AND(TrafficData[[#This Row],[pendingAmount]]&lt;=TrafficData[[#This Row],[totalAmount]],TrafficData[[#This Row],[disposedAmount]]&lt;=TrafficData[[#This Row],[totalAmount]])</f>
        <v>1</v>
      </c>
      <c r="P1626" t="b">
        <f>AND(TrafficData[[#This Row],[pendingCourt]]&lt;=TrafficData[[#This Row],[totalCourt]],TrafficData[[#This Row],[disposedCourt]]&lt;=TrafficData[[#This Row],[totalCourt]])</f>
        <v>1</v>
      </c>
    </row>
    <row r="1627" spans="1:16">
      <c r="A1627" s="1">
        <v>43630</v>
      </c>
      <c r="B1627">
        <v>56173</v>
      </c>
      <c r="C1627">
        <v>38680</v>
      </c>
      <c r="D1627">
        <v>17493</v>
      </c>
      <c r="E1627">
        <v>18262066</v>
      </c>
      <c r="F1627">
        <v>40910792</v>
      </c>
      <c r="G1627">
        <v>59172858</v>
      </c>
      <c r="H1627">
        <v>8577</v>
      </c>
      <c r="I1627">
        <v>4399</v>
      </c>
      <c r="J1627">
        <v>12976</v>
      </c>
      <c r="K1627" t="b">
        <f>TrafficData[[#This Row],[disposedChallan]]+TrafficData[[#This Row],[pendingChallan]]=TrafficData[[#This Row],[totalChallan]]</f>
        <v>1</v>
      </c>
      <c r="L1627" t="b">
        <f>TrafficData[[#This Row],[pendingAmount]]+TrafficData[[#This Row],[disposedAmount]]=TrafficData[[#This Row],[totalAmount]]</f>
        <v>1</v>
      </c>
      <c r="M1627" t="b">
        <f>TrafficData[[#This Row],[pendingCourt]]+TrafficData[[#This Row],[disposedCourt]]=TrafficData[[#This Row],[totalCourt]]</f>
        <v>1</v>
      </c>
      <c r="N1627" t="b">
        <f>AND(TrafficData[[#This Row],[disposedChallan]]&lt;=TrafficData[[#This Row],[totalChallan]],TrafficData[[#This Row],[pendingChallan]]&lt;=TrafficData[[#This Row],[totalChallan]])</f>
        <v>1</v>
      </c>
      <c r="O1627" t="b">
        <f>AND(TrafficData[[#This Row],[pendingAmount]]&lt;=TrafficData[[#This Row],[totalAmount]],TrafficData[[#This Row],[disposedAmount]]&lt;=TrafficData[[#This Row],[totalAmount]])</f>
        <v>1</v>
      </c>
      <c r="P1627" t="b">
        <f>AND(TrafficData[[#This Row],[pendingCourt]]&lt;=TrafficData[[#This Row],[totalCourt]],TrafficData[[#This Row],[disposedCourt]]&lt;=TrafficData[[#This Row],[totalCourt]])</f>
        <v>1</v>
      </c>
    </row>
    <row r="1628" spans="1:16">
      <c r="A1628" s="1">
        <v>43631</v>
      </c>
      <c r="B1628">
        <v>53782</v>
      </c>
      <c r="C1628">
        <v>38196</v>
      </c>
      <c r="D1628">
        <v>15586</v>
      </c>
      <c r="E1628">
        <v>12402205</v>
      </c>
      <c r="F1628">
        <v>40172526</v>
      </c>
      <c r="G1628">
        <v>52574731</v>
      </c>
      <c r="H1628">
        <v>6374</v>
      </c>
      <c r="I1628">
        <v>3413</v>
      </c>
      <c r="J1628">
        <v>9787</v>
      </c>
      <c r="K1628" t="b">
        <f>TrafficData[[#This Row],[disposedChallan]]+TrafficData[[#This Row],[pendingChallan]]=TrafficData[[#This Row],[totalChallan]]</f>
        <v>1</v>
      </c>
      <c r="L1628" t="b">
        <f>TrafficData[[#This Row],[pendingAmount]]+TrafficData[[#This Row],[disposedAmount]]=TrafficData[[#This Row],[totalAmount]]</f>
        <v>1</v>
      </c>
      <c r="M1628" t="b">
        <f>TrafficData[[#This Row],[pendingCourt]]+TrafficData[[#This Row],[disposedCourt]]=TrafficData[[#This Row],[totalCourt]]</f>
        <v>1</v>
      </c>
      <c r="N1628" t="b">
        <f>AND(TrafficData[[#This Row],[disposedChallan]]&lt;=TrafficData[[#This Row],[totalChallan]],TrafficData[[#This Row],[pendingChallan]]&lt;=TrafficData[[#This Row],[totalChallan]])</f>
        <v>1</v>
      </c>
      <c r="O1628" t="b">
        <f>AND(TrafficData[[#This Row],[pendingAmount]]&lt;=TrafficData[[#This Row],[totalAmount]],TrafficData[[#This Row],[disposedAmount]]&lt;=TrafficData[[#This Row],[totalAmount]])</f>
        <v>1</v>
      </c>
      <c r="P1628" t="b">
        <f>AND(TrafficData[[#This Row],[pendingCourt]]&lt;=TrafficData[[#This Row],[totalCourt]],TrafficData[[#This Row],[disposedCourt]]&lt;=TrafficData[[#This Row],[totalCourt]])</f>
        <v>1</v>
      </c>
    </row>
    <row r="1629" spans="1:16">
      <c r="A1629" s="1">
        <v>43632</v>
      </c>
      <c r="B1629">
        <v>45275</v>
      </c>
      <c r="C1629">
        <v>31474</v>
      </c>
      <c r="D1629">
        <v>13801</v>
      </c>
      <c r="E1629">
        <v>10628365</v>
      </c>
      <c r="F1629">
        <v>28602036</v>
      </c>
      <c r="G1629">
        <v>39230401</v>
      </c>
      <c r="H1629">
        <v>5617</v>
      </c>
      <c r="I1629">
        <v>3218</v>
      </c>
      <c r="J1629">
        <v>8835</v>
      </c>
      <c r="K1629" t="b">
        <f>TrafficData[[#This Row],[disposedChallan]]+TrafficData[[#This Row],[pendingChallan]]=TrafficData[[#This Row],[totalChallan]]</f>
        <v>1</v>
      </c>
      <c r="L1629" t="b">
        <f>TrafficData[[#This Row],[pendingAmount]]+TrafficData[[#This Row],[disposedAmount]]=TrafficData[[#This Row],[totalAmount]]</f>
        <v>1</v>
      </c>
      <c r="M1629" t="b">
        <f>TrafficData[[#This Row],[pendingCourt]]+TrafficData[[#This Row],[disposedCourt]]=TrafficData[[#This Row],[totalCourt]]</f>
        <v>1</v>
      </c>
      <c r="N1629" t="b">
        <f>AND(TrafficData[[#This Row],[disposedChallan]]&lt;=TrafficData[[#This Row],[totalChallan]],TrafficData[[#This Row],[pendingChallan]]&lt;=TrafficData[[#This Row],[totalChallan]])</f>
        <v>1</v>
      </c>
      <c r="O1629" t="b">
        <f>AND(TrafficData[[#This Row],[pendingAmount]]&lt;=TrafficData[[#This Row],[totalAmount]],TrafficData[[#This Row],[disposedAmount]]&lt;=TrafficData[[#This Row],[totalAmount]])</f>
        <v>1</v>
      </c>
      <c r="P1629" t="b">
        <f>AND(TrafficData[[#This Row],[pendingCourt]]&lt;=TrafficData[[#This Row],[totalCourt]],TrafficData[[#This Row],[disposedCourt]]&lt;=TrafficData[[#This Row],[totalCourt]])</f>
        <v>1</v>
      </c>
    </row>
    <row r="1630" spans="1:16">
      <c r="A1630" s="1">
        <v>43633</v>
      </c>
      <c r="B1630">
        <v>63266</v>
      </c>
      <c r="C1630">
        <v>46044</v>
      </c>
      <c r="D1630">
        <v>17222</v>
      </c>
      <c r="E1630">
        <v>15322607</v>
      </c>
      <c r="F1630">
        <v>39724756</v>
      </c>
      <c r="G1630">
        <v>55047363</v>
      </c>
      <c r="H1630">
        <v>7976</v>
      </c>
      <c r="I1630">
        <v>4055</v>
      </c>
      <c r="J1630">
        <v>12031</v>
      </c>
      <c r="K1630" t="b">
        <f>TrafficData[[#This Row],[disposedChallan]]+TrafficData[[#This Row],[pendingChallan]]=TrafficData[[#This Row],[totalChallan]]</f>
        <v>1</v>
      </c>
      <c r="L1630" t="b">
        <f>TrafficData[[#This Row],[pendingAmount]]+TrafficData[[#This Row],[disposedAmount]]=TrafficData[[#This Row],[totalAmount]]</f>
        <v>1</v>
      </c>
      <c r="M1630" t="b">
        <f>TrafficData[[#This Row],[pendingCourt]]+TrafficData[[#This Row],[disposedCourt]]=TrafficData[[#This Row],[totalCourt]]</f>
        <v>1</v>
      </c>
      <c r="N1630" t="b">
        <f>AND(TrafficData[[#This Row],[disposedChallan]]&lt;=TrafficData[[#This Row],[totalChallan]],TrafficData[[#This Row],[pendingChallan]]&lt;=TrafficData[[#This Row],[totalChallan]])</f>
        <v>1</v>
      </c>
      <c r="O1630" t="b">
        <f>AND(TrafficData[[#This Row],[pendingAmount]]&lt;=TrafficData[[#This Row],[totalAmount]],TrafficData[[#This Row],[disposedAmount]]&lt;=TrafficData[[#This Row],[totalAmount]])</f>
        <v>1</v>
      </c>
      <c r="P1630" t="b">
        <f>AND(TrafficData[[#This Row],[pendingCourt]]&lt;=TrafficData[[#This Row],[totalCourt]],TrafficData[[#This Row],[disposedCourt]]&lt;=TrafficData[[#This Row],[totalCourt]])</f>
        <v>1</v>
      </c>
    </row>
    <row r="1631" spans="1:16">
      <c r="A1631" s="1">
        <v>43634</v>
      </c>
      <c r="B1631">
        <v>79743</v>
      </c>
      <c r="C1631">
        <v>58372</v>
      </c>
      <c r="D1631">
        <v>21371</v>
      </c>
      <c r="E1631">
        <v>24353888</v>
      </c>
      <c r="F1631">
        <v>67451963</v>
      </c>
      <c r="G1631">
        <v>91805851</v>
      </c>
      <c r="H1631">
        <v>9766</v>
      </c>
      <c r="I1631">
        <v>5310</v>
      </c>
      <c r="J1631">
        <v>15076</v>
      </c>
      <c r="K1631" t="b">
        <f>TrafficData[[#This Row],[disposedChallan]]+TrafficData[[#This Row],[pendingChallan]]=TrafficData[[#This Row],[totalChallan]]</f>
        <v>1</v>
      </c>
      <c r="L1631" t="b">
        <f>TrafficData[[#This Row],[pendingAmount]]+TrafficData[[#This Row],[disposedAmount]]=TrafficData[[#This Row],[totalAmount]]</f>
        <v>1</v>
      </c>
      <c r="M1631" t="b">
        <f>TrafficData[[#This Row],[pendingCourt]]+TrafficData[[#This Row],[disposedCourt]]=TrafficData[[#This Row],[totalCourt]]</f>
        <v>1</v>
      </c>
      <c r="N1631" t="b">
        <f>AND(TrafficData[[#This Row],[disposedChallan]]&lt;=TrafficData[[#This Row],[totalChallan]],TrafficData[[#This Row],[pendingChallan]]&lt;=TrafficData[[#This Row],[totalChallan]])</f>
        <v>1</v>
      </c>
      <c r="O1631" t="b">
        <f>AND(TrafficData[[#This Row],[pendingAmount]]&lt;=TrafficData[[#This Row],[totalAmount]],TrafficData[[#This Row],[disposedAmount]]&lt;=TrafficData[[#This Row],[totalAmount]])</f>
        <v>1</v>
      </c>
      <c r="P1631" t="b">
        <f>AND(TrafficData[[#This Row],[pendingCourt]]&lt;=TrafficData[[#This Row],[totalCourt]],TrafficData[[#This Row],[disposedCourt]]&lt;=TrafficData[[#This Row],[totalCourt]])</f>
        <v>1</v>
      </c>
    </row>
    <row r="1632" spans="1:16">
      <c r="A1632" s="1">
        <v>43635</v>
      </c>
      <c r="B1632">
        <v>83242</v>
      </c>
      <c r="C1632">
        <v>63136</v>
      </c>
      <c r="D1632">
        <v>20106</v>
      </c>
      <c r="E1632">
        <v>20870092</v>
      </c>
      <c r="F1632">
        <v>59100911</v>
      </c>
      <c r="G1632">
        <v>79971003</v>
      </c>
      <c r="H1632">
        <v>8895</v>
      </c>
      <c r="I1632">
        <v>5496</v>
      </c>
      <c r="J1632">
        <v>14391</v>
      </c>
      <c r="K1632" t="b">
        <f>TrafficData[[#This Row],[disposedChallan]]+TrafficData[[#This Row],[pendingChallan]]=TrafficData[[#This Row],[totalChallan]]</f>
        <v>1</v>
      </c>
      <c r="L1632" t="b">
        <f>TrafficData[[#This Row],[pendingAmount]]+TrafficData[[#This Row],[disposedAmount]]=TrafficData[[#This Row],[totalAmount]]</f>
        <v>1</v>
      </c>
      <c r="M1632" t="b">
        <f>TrafficData[[#This Row],[pendingCourt]]+TrafficData[[#This Row],[disposedCourt]]=TrafficData[[#This Row],[totalCourt]]</f>
        <v>1</v>
      </c>
      <c r="N1632" t="b">
        <f>AND(TrafficData[[#This Row],[disposedChallan]]&lt;=TrafficData[[#This Row],[totalChallan]],TrafficData[[#This Row],[pendingChallan]]&lt;=TrafficData[[#This Row],[totalChallan]])</f>
        <v>1</v>
      </c>
      <c r="O1632" t="b">
        <f>AND(TrafficData[[#This Row],[pendingAmount]]&lt;=TrafficData[[#This Row],[totalAmount]],TrafficData[[#This Row],[disposedAmount]]&lt;=TrafficData[[#This Row],[totalAmount]])</f>
        <v>1</v>
      </c>
      <c r="P1632" t="b">
        <f>AND(TrafficData[[#This Row],[pendingCourt]]&lt;=TrafficData[[#This Row],[totalCourt]],TrafficData[[#This Row],[disposedCourt]]&lt;=TrafficData[[#This Row],[totalCourt]])</f>
        <v>1</v>
      </c>
    </row>
    <row r="1633" spans="1:16">
      <c r="A1633" s="1">
        <v>43636</v>
      </c>
      <c r="B1633">
        <v>89442</v>
      </c>
      <c r="C1633">
        <v>66312</v>
      </c>
      <c r="D1633">
        <v>23130</v>
      </c>
      <c r="E1633">
        <v>25060295</v>
      </c>
      <c r="F1633">
        <v>55349235</v>
      </c>
      <c r="G1633">
        <v>80409530</v>
      </c>
      <c r="H1633">
        <v>10713</v>
      </c>
      <c r="I1633">
        <v>6814</v>
      </c>
      <c r="J1633">
        <v>17527</v>
      </c>
      <c r="K1633" t="b">
        <f>TrafficData[[#This Row],[disposedChallan]]+TrafficData[[#This Row],[pendingChallan]]=TrafficData[[#This Row],[totalChallan]]</f>
        <v>1</v>
      </c>
      <c r="L1633" t="b">
        <f>TrafficData[[#This Row],[pendingAmount]]+TrafficData[[#This Row],[disposedAmount]]=TrafficData[[#This Row],[totalAmount]]</f>
        <v>1</v>
      </c>
      <c r="M1633" t="b">
        <f>TrafficData[[#This Row],[pendingCourt]]+TrafficData[[#This Row],[disposedCourt]]=TrafficData[[#This Row],[totalCourt]]</f>
        <v>1</v>
      </c>
      <c r="N1633" t="b">
        <f>AND(TrafficData[[#This Row],[disposedChallan]]&lt;=TrafficData[[#This Row],[totalChallan]],TrafficData[[#This Row],[pendingChallan]]&lt;=TrafficData[[#This Row],[totalChallan]])</f>
        <v>1</v>
      </c>
      <c r="O1633" t="b">
        <f>AND(TrafficData[[#This Row],[pendingAmount]]&lt;=TrafficData[[#This Row],[totalAmount]],TrafficData[[#This Row],[disposedAmount]]&lt;=TrafficData[[#This Row],[totalAmount]])</f>
        <v>1</v>
      </c>
      <c r="P1633" t="b">
        <f>AND(TrafficData[[#This Row],[pendingCourt]]&lt;=TrafficData[[#This Row],[totalCourt]],TrafficData[[#This Row],[disposedCourt]]&lt;=TrafficData[[#This Row],[totalCourt]])</f>
        <v>1</v>
      </c>
    </row>
    <row r="1634" spans="1:16">
      <c r="A1634" s="1">
        <v>43637</v>
      </c>
      <c r="B1634">
        <v>80952</v>
      </c>
      <c r="C1634">
        <v>62117</v>
      </c>
      <c r="D1634">
        <v>18835</v>
      </c>
      <c r="E1634">
        <v>15317758</v>
      </c>
      <c r="F1634">
        <v>52328438</v>
      </c>
      <c r="G1634">
        <v>67646196</v>
      </c>
      <c r="H1634">
        <v>6620</v>
      </c>
      <c r="I1634">
        <v>5393</v>
      </c>
      <c r="J1634">
        <v>12013</v>
      </c>
      <c r="K1634" t="b">
        <f>TrafficData[[#This Row],[disposedChallan]]+TrafficData[[#This Row],[pendingChallan]]=TrafficData[[#This Row],[totalChallan]]</f>
        <v>1</v>
      </c>
      <c r="L1634" t="b">
        <f>TrafficData[[#This Row],[pendingAmount]]+TrafficData[[#This Row],[disposedAmount]]=TrafficData[[#This Row],[totalAmount]]</f>
        <v>1</v>
      </c>
      <c r="M1634" t="b">
        <f>TrafficData[[#This Row],[pendingCourt]]+TrafficData[[#This Row],[disposedCourt]]=TrafficData[[#This Row],[totalCourt]]</f>
        <v>1</v>
      </c>
      <c r="N1634" t="b">
        <f>AND(TrafficData[[#This Row],[disposedChallan]]&lt;=TrafficData[[#This Row],[totalChallan]],TrafficData[[#This Row],[pendingChallan]]&lt;=TrafficData[[#This Row],[totalChallan]])</f>
        <v>1</v>
      </c>
      <c r="O1634" t="b">
        <f>AND(TrafficData[[#This Row],[pendingAmount]]&lt;=TrafficData[[#This Row],[totalAmount]],TrafficData[[#This Row],[disposedAmount]]&lt;=TrafficData[[#This Row],[totalAmount]])</f>
        <v>1</v>
      </c>
      <c r="P1634" t="b">
        <f>AND(TrafficData[[#This Row],[pendingCourt]]&lt;=TrafficData[[#This Row],[totalCourt]],TrafficData[[#This Row],[disposedCourt]]&lt;=TrafficData[[#This Row],[totalCourt]])</f>
        <v>1</v>
      </c>
    </row>
    <row r="1635" spans="1:16">
      <c r="A1635" s="1">
        <v>43638</v>
      </c>
      <c r="B1635">
        <v>84453</v>
      </c>
      <c r="C1635">
        <v>66440</v>
      </c>
      <c r="D1635">
        <v>18013</v>
      </c>
      <c r="E1635">
        <v>14878367</v>
      </c>
      <c r="F1635">
        <v>48102198</v>
      </c>
      <c r="G1635">
        <v>62980565</v>
      </c>
      <c r="H1635">
        <v>6741</v>
      </c>
      <c r="I1635">
        <v>6886</v>
      </c>
      <c r="J1635">
        <v>13627</v>
      </c>
      <c r="K1635" t="b">
        <f>TrafficData[[#This Row],[disposedChallan]]+TrafficData[[#This Row],[pendingChallan]]=TrafficData[[#This Row],[totalChallan]]</f>
        <v>1</v>
      </c>
      <c r="L1635" t="b">
        <f>TrafficData[[#This Row],[pendingAmount]]+TrafficData[[#This Row],[disposedAmount]]=TrafficData[[#This Row],[totalAmount]]</f>
        <v>1</v>
      </c>
      <c r="M1635" t="b">
        <f>TrafficData[[#This Row],[pendingCourt]]+TrafficData[[#This Row],[disposedCourt]]=TrafficData[[#This Row],[totalCourt]]</f>
        <v>1</v>
      </c>
      <c r="N1635" t="b">
        <f>AND(TrafficData[[#This Row],[disposedChallan]]&lt;=TrafficData[[#This Row],[totalChallan]],TrafficData[[#This Row],[pendingChallan]]&lt;=TrafficData[[#This Row],[totalChallan]])</f>
        <v>1</v>
      </c>
      <c r="O1635" t="b">
        <f>AND(TrafficData[[#This Row],[pendingAmount]]&lt;=TrafficData[[#This Row],[totalAmount]],TrafficData[[#This Row],[disposedAmount]]&lt;=TrafficData[[#This Row],[totalAmount]])</f>
        <v>1</v>
      </c>
      <c r="P1635" t="b">
        <f>AND(TrafficData[[#This Row],[pendingCourt]]&lt;=TrafficData[[#This Row],[totalCourt]],TrafficData[[#This Row],[disposedCourt]]&lt;=TrafficData[[#This Row],[totalCourt]])</f>
        <v>1</v>
      </c>
    </row>
    <row r="1636" spans="1:16">
      <c r="A1636" s="1">
        <v>43639</v>
      </c>
      <c r="B1636">
        <v>70130</v>
      </c>
      <c r="C1636">
        <v>53586</v>
      </c>
      <c r="D1636">
        <v>16544</v>
      </c>
      <c r="E1636">
        <v>11739756</v>
      </c>
      <c r="F1636">
        <v>29478630</v>
      </c>
      <c r="G1636">
        <v>41218386</v>
      </c>
      <c r="H1636">
        <v>5902</v>
      </c>
      <c r="I1636">
        <v>5261</v>
      </c>
      <c r="J1636">
        <v>11163</v>
      </c>
      <c r="K1636" t="b">
        <f>TrafficData[[#This Row],[disposedChallan]]+TrafficData[[#This Row],[pendingChallan]]=TrafficData[[#This Row],[totalChallan]]</f>
        <v>1</v>
      </c>
      <c r="L1636" t="b">
        <f>TrafficData[[#This Row],[pendingAmount]]+TrafficData[[#This Row],[disposedAmount]]=TrafficData[[#This Row],[totalAmount]]</f>
        <v>1</v>
      </c>
      <c r="M1636" t="b">
        <f>TrafficData[[#This Row],[pendingCourt]]+TrafficData[[#This Row],[disposedCourt]]=TrafficData[[#This Row],[totalCourt]]</f>
        <v>1</v>
      </c>
      <c r="N1636" t="b">
        <f>AND(TrafficData[[#This Row],[disposedChallan]]&lt;=TrafficData[[#This Row],[totalChallan]],TrafficData[[#This Row],[pendingChallan]]&lt;=TrafficData[[#This Row],[totalChallan]])</f>
        <v>1</v>
      </c>
      <c r="O1636" t="b">
        <f>AND(TrafficData[[#This Row],[pendingAmount]]&lt;=TrafficData[[#This Row],[totalAmount]],TrafficData[[#This Row],[disposedAmount]]&lt;=TrafficData[[#This Row],[totalAmount]])</f>
        <v>1</v>
      </c>
      <c r="P1636" t="b">
        <f>AND(TrafficData[[#This Row],[pendingCourt]]&lt;=TrafficData[[#This Row],[totalCourt]],TrafficData[[#This Row],[disposedCourt]]&lt;=TrafficData[[#This Row],[totalCourt]])</f>
        <v>1</v>
      </c>
    </row>
    <row r="1637" spans="1:16">
      <c r="A1637" s="1">
        <v>43640</v>
      </c>
      <c r="B1637">
        <v>82979</v>
      </c>
      <c r="C1637">
        <v>64471</v>
      </c>
      <c r="D1637">
        <v>18508</v>
      </c>
      <c r="E1637">
        <v>15292297</v>
      </c>
      <c r="F1637">
        <v>44232194</v>
      </c>
      <c r="G1637">
        <v>59524491</v>
      </c>
      <c r="H1637">
        <v>7309</v>
      </c>
      <c r="I1637">
        <v>6122</v>
      </c>
      <c r="J1637">
        <v>13431</v>
      </c>
      <c r="K1637" t="b">
        <f>TrafficData[[#This Row],[disposedChallan]]+TrafficData[[#This Row],[pendingChallan]]=TrafficData[[#This Row],[totalChallan]]</f>
        <v>1</v>
      </c>
      <c r="L1637" t="b">
        <f>TrafficData[[#This Row],[pendingAmount]]+TrafficData[[#This Row],[disposedAmount]]=TrafficData[[#This Row],[totalAmount]]</f>
        <v>1</v>
      </c>
      <c r="M1637" t="b">
        <f>TrafficData[[#This Row],[pendingCourt]]+TrafficData[[#This Row],[disposedCourt]]=TrafficData[[#This Row],[totalCourt]]</f>
        <v>1</v>
      </c>
      <c r="N1637" t="b">
        <f>AND(TrafficData[[#This Row],[disposedChallan]]&lt;=TrafficData[[#This Row],[totalChallan]],TrafficData[[#This Row],[pendingChallan]]&lt;=TrafficData[[#This Row],[totalChallan]])</f>
        <v>1</v>
      </c>
      <c r="O1637" t="b">
        <f>AND(TrafficData[[#This Row],[pendingAmount]]&lt;=TrafficData[[#This Row],[totalAmount]],TrafficData[[#This Row],[disposedAmount]]&lt;=TrafficData[[#This Row],[totalAmount]])</f>
        <v>1</v>
      </c>
      <c r="P1637" t="b">
        <f>AND(TrafficData[[#This Row],[pendingCourt]]&lt;=TrafficData[[#This Row],[totalCourt]],TrafficData[[#This Row],[disposedCourt]]&lt;=TrafficData[[#This Row],[totalCourt]])</f>
        <v>1</v>
      </c>
    </row>
    <row r="1638" spans="1:16">
      <c r="A1638" s="1">
        <v>43641</v>
      </c>
      <c r="B1638">
        <v>86718</v>
      </c>
      <c r="C1638">
        <v>66208</v>
      </c>
      <c r="D1638">
        <v>20510</v>
      </c>
      <c r="E1638">
        <v>18809560</v>
      </c>
      <c r="F1638">
        <v>52588668</v>
      </c>
      <c r="G1638">
        <v>71398228</v>
      </c>
      <c r="H1638">
        <v>8543</v>
      </c>
      <c r="I1638">
        <v>7177</v>
      </c>
      <c r="J1638">
        <v>15720</v>
      </c>
      <c r="K1638" t="b">
        <f>TrafficData[[#This Row],[disposedChallan]]+TrafficData[[#This Row],[pendingChallan]]=TrafficData[[#This Row],[totalChallan]]</f>
        <v>1</v>
      </c>
      <c r="L1638" t="b">
        <f>TrafficData[[#This Row],[pendingAmount]]+TrafficData[[#This Row],[disposedAmount]]=TrafficData[[#This Row],[totalAmount]]</f>
        <v>1</v>
      </c>
      <c r="M1638" t="b">
        <f>TrafficData[[#This Row],[pendingCourt]]+TrafficData[[#This Row],[disposedCourt]]=TrafficData[[#This Row],[totalCourt]]</f>
        <v>1</v>
      </c>
      <c r="N1638" t="b">
        <f>AND(TrafficData[[#This Row],[disposedChallan]]&lt;=TrafficData[[#This Row],[totalChallan]],TrafficData[[#This Row],[pendingChallan]]&lt;=TrafficData[[#This Row],[totalChallan]])</f>
        <v>1</v>
      </c>
      <c r="O1638" t="b">
        <f>AND(TrafficData[[#This Row],[pendingAmount]]&lt;=TrafficData[[#This Row],[totalAmount]],TrafficData[[#This Row],[disposedAmount]]&lt;=TrafficData[[#This Row],[totalAmount]])</f>
        <v>1</v>
      </c>
      <c r="P1638" t="b">
        <f>AND(TrafficData[[#This Row],[pendingCourt]]&lt;=TrafficData[[#This Row],[totalCourt]],TrafficData[[#This Row],[disposedCourt]]&lt;=TrafficData[[#This Row],[totalCourt]])</f>
        <v>1</v>
      </c>
    </row>
    <row r="1639" spans="1:16">
      <c r="A1639" s="1">
        <v>43642</v>
      </c>
      <c r="B1639">
        <v>89655</v>
      </c>
      <c r="C1639">
        <v>68106</v>
      </c>
      <c r="D1639">
        <v>21549</v>
      </c>
      <c r="E1639">
        <v>22797350</v>
      </c>
      <c r="F1639">
        <v>67994841</v>
      </c>
      <c r="G1639">
        <v>90792191</v>
      </c>
      <c r="H1639">
        <v>10230</v>
      </c>
      <c r="I1639">
        <v>7848</v>
      </c>
      <c r="J1639">
        <v>18078</v>
      </c>
      <c r="K1639" t="b">
        <f>TrafficData[[#This Row],[disposedChallan]]+TrafficData[[#This Row],[pendingChallan]]=TrafficData[[#This Row],[totalChallan]]</f>
        <v>1</v>
      </c>
      <c r="L1639" t="b">
        <f>TrafficData[[#This Row],[pendingAmount]]+TrafficData[[#This Row],[disposedAmount]]=TrafficData[[#This Row],[totalAmount]]</f>
        <v>1</v>
      </c>
      <c r="M1639" t="b">
        <f>TrafficData[[#This Row],[pendingCourt]]+TrafficData[[#This Row],[disposedCourt]]=TrafficData[[#This Row],[totalCourt]]</f>
        <v>1</v>
      </c>
      <c r="N1639" t="b">
        <f>AND(TrafficData[[#This Row],[disposedChallan]]&lt;=TrafficData[[#This Row],[totalChallan]],TrafficData[[#This Row],[pendingChallan]]&lt;=TrafficData[[#This Row],[totalChallan]])</f>
        <v>1</v>
      </c>
      <c r="O1639" t="b">
        <f>AND(TrafficData[[#This Row],[pendingAmount]]&lt;=TrafficData[[#This Row],[totalAmount]],TrafficData[[#This Row],[disposedAmount]]&lt;=TrafficData[[#This Row],[totalAmount]])</f>
        <v>1</v>
      </c>
      <c r="P1639" t="b">
        <f>AND(TrafficData[[#This Row],[pendingCourt]]&lt;=TrafficData[[#This Row],[totalCourt]],TrafficData[[#This Row],[disposedCourt]]&lt;=TrafficData[[#This Row],[totalCourt]])</f>
        <v>1</v>
      </c>
    </row>
    <row r="1640" spans="1:16">
      <c r="A1640" s="1">
        <v>43643</v>
      </c>
      <c r="B1640">
        <v>84609</v>
      </c>
      <c r="C1640">
        <v>64677</v>
      </c>
      <c r="D1640">
        <v>19932</v>
      </c>
      <c r="E1640">
        <v>15872270</v>
      </c>
      <c r="F1640">
        <v>53708728</v>
      </c>
      <c r="G1640">
        <v>69580998</v>
      </c>
      <c r="H1640">
        <v>8631</v>
      </c>
      <c r="I1640">
        <v>7700</v>
      </c>
      <c r="J1640">
        <v>16331</v>
      </c>
      <c r="K1640" t="b">
        <f>TrafficData[[#This Row],[disposedChallan]]+TrafficData[[#This Row],[pendingChallan]]=TrafficData[[#This Row],[totalChallan]]</f>
        <v>1</v>
      </c>
      <c r="L1640" t="b">
        <f>TrafficData[[#This Row],[pendingAmount]]+TrafficData[[#This Row],[disposedAmount]]=TrafficData[[#This Row],[totalAmount]]</f>
        <v>1</v>
      </c>
      <c r="M1640" t="b">
        <f>TrafficData[[#This Row],[pendingCourt]]+TrafficData[[#This Row],[disposedCourt]]=TrafficData[[#This Row],[totalCourt]]</f>
        <v>1</v>
      </c>
      <c r="N1640" t="b">
        <f>AND(TrafficData[[#This Row],[disposedChallan]]&lt;=TrafficData[[#This Row],[totalChallan]],TrafficData[[#This Row],[pendingChallan]]&lt;=TrafficData[[#This Row],[totalChallan]])</f>
        <v>1</v>
      </c>
      <c r="O1640" t="b">
        <f>AND(TrafficData[[#This Row],[pendingAmount]]&lt;=TrafficData[[#This Row],[totalAmount]],TrafficData[[#This Row],[disposedAmount]]&lt;=TrafficData[[#This Row],[totalAmount]])</f>
        <v>1</v>
      </c>
      <c r="P1640" t="b">
        <f>AND(TrafficData[[#This Row],[pendingCourt]]&lt;=TrafficData[[#This Row],[totalCourt]],TrafficData[[#This Row],[disposedCourt]]&lt;=TrafficData[[#This Row],[totalCourt]])</f>
        <v>1</v>
      </c>
    </row>
    <row r="1641" spans="1:16">
      <c r="A1641" s="1">
        <v>43644</v>
      </c>
      <c r="B1641">
        <v>86555</v>
      </c>
      <c r="C1641">
        <v>66146</v>
      </c>
      <c r="D1641">
        <v>20409</v>
      </c>
      <c r="E1641">
        <v>19709963</v>
      </c>
      <c r="F1641">
        <v>45768491</v>
      </c>
      <c r="G1641">
        <v>65478454</v>
      </c>
      <c r="H1641">
        <v>10417</v>
      </c>
      <c r="I1641">
        <v>8150</v>
      </c>
      <c r="J1641">
        <v>18567</v>
      </c>
      <c r="K1641" t="b">
        <f>TrafficData[[#This Row],[disposedChallan]]+TrafficData[[#This Row],[pendingChallan]]=TrafficData[[#This Row],[totalChallan]]</f>
        <v>1</v>
      </c>
      <c r="L1641" t="b">
        <f>TrafficData[[#This Row],[pendingAmount]]+TrafficData[[#This Row],[disposedAmount]]=TrafficData[[#This Row],[totalAmount]]</f>
        <v>1</v>
      </c>
      <c r="M1641" t="b">
        <f>TrafficData[[#This Row],[pendingCourt]]+TrafficData[[#This Row],[disposedCourt]]=TrafficData[[#This Row],[totalCourt]]</f>
        <v>1</v>
      </c>
      <c r="N1641" t="b">
        <f>AND(TrafficData[[#This Row],[disposedChallan]]&lt;=TrafficData[[#This Row],[totalChallan]],TrafficData[[#This Row],[pendingChallan]]&lt;=TrafficData[[#This Row],[totalChallan]])</f>
        <v>1</v>
      </c>
      <c r="O1641" t="b">
        <f>AND(TrafficData[[#This Row],[pendingAmount]]&lt;=TrafficData[[#This Row],[totalAmount]],TrafficData[[#This Row],[disposedAmount]]&lt;=TrafficData[[#This Row],[totalAmount]])</f>
        <v>1</v>
      </c>
      <c r="P1641" t="b">
        <f>AND(TrafficData[[#This Row],[pendingCourt]]&lt;=TrafficData[[#This Row],[totalCourt]],TrafficData[[#This Row],[disposedCourt]]&lt;=TrafficData[[#This Row],[totalCourt]])</f>
        <v>1</v>
      </c>
    </row>
    <row r="1642" spans="1:16">
      <c r="A1642" s="1">
        <v>43645</v>
      </c>
      <c r="B1642">
        <v>87716</v>
      </c>
      <c r="C1642">
        <v>68406</v>
      </c>
      <c r="D1642">
        <v>19310</v>
      </c>
      <c r="E1642">
        <v>14264508</v>
      </c>
      <c r="F1642">
        <v>43094384</v>
      </c>
      <c r="G1642">
        <v>57358892</v>
      </c>
      <c r="H1642">
        <v>8691</v>
      </c>
      <c r="I1642">
        <v>7860</v>
      </c>
      <c r="J1642">
        <v>16551</v>
      </c>
      <c r="K1642" t="b">
        <f>TrafficData[[#This Row],[disposedChallan]]+TrafficData[[#This Row],[pendingChallan]]=TrafficData[[#This Row],[totalChallan]]</f>
        <v>1</v>
      </c>
      <c r="L1642" t="b">
        <f>TrafficData[[#This Row],[pendingAmount]]+TrafficData[[#This Row],[disposedAmount]]=TrafficData[[#This Row],[totalAmount]]</f>
        <v>1</v>
      </c>
      <c r="M1642" t="b">
        <f>TrafficData[[#This Row],[pendingCourt]]+TrafficData[[#This Row],[disposedCourt]]=TrafficData[[#This Row],[totalCourt]]</f>
        <v>1</v>
      </c>
      <c r="N1642" t="b">
        <f>AND(TrafficData[[#This Row],[disposedChallan]]&lt;=TrafficData[[#This Row],[totalChallan]],TrafficData[[#This Row],[pendingChallan]]&lt;=TrafficData[[#This Row],[totalChallan]])</f>
        <v>1</v>
      </c>
      <c r="O1642" t="b">
        <f>AND(TrafficData[[#This Row],[pendingAmount]]&lt;=TrafficData[[#This Row],[totalAmount]],TrafficData[[#This Row],[disposedAmount]]&lt;=TrafficData[[#This Row],[totalAmount]])</f>
        <v>1</v>
      </c>
      <c r="P1642" t="b">
        <f>AND(TrafficData[[#This Row],[pendingCourt]]&lt;=TrafficData[[#This Row],[totalCourt]],TrafficData[[#This Row],[disposedCourt]]&lt;=TrafficData[[#This Row],[totalCourt]])</f>
        <v>1</v>
      </c>
    </row>
    <row r="1643" spans="1:16">
      <c r="A1643" s="1">
        <v>43646</v>
      </c>
      <c r="B1643">
        <v>74612</v>
      </c>
      <c r="C1643">
        <v>57825</v>
      </c>
      <c r="D1643">
        <v>16787</v>
      </c>
      <c r="E1643">
        <v>11673587</v>
      </c>
      <c r="F1643">
        <v>35641872</v>
      </c>
      <c r="G1643">
        <v>47315459</v>
      </c>
      <c r="H1643">
        <v>6466</v>
      </c>
      <c r="I1643">
        <v>6019</v>
      </c>
      <c r="J1643">
        <v>12485</v>
      </c>
      <c r="K1643" t="b">
        <f>TrafficData[[#This Row],[disposedChallan]]+TrafficData[[#This Row],[pendingChallan]]=TrafficData[[#This Row],[totalChallan]]</f>
        <v>1</v>
      </c>
      <c r="L1643" t="b">
        <f>TrafficData[[#This Row],[pendingAmount]]+TrafficData[[#This Row],[disposedAmount]]=TrafficData[[#This Row],[totalAmount]]</f>
        <v>1</v>
      </c>
      <c r="M1643" t="b">
        <f>TrafficData[[#This Row],[pendingCourt]]+TrafficData[[#This Row],[disposedCourt]]=TrafficData[[#This Row],[totalCourt]]</f>
        <v>1</v>
      </c>
      <c r="N1643" t="b">
        <f>AND(TrafficData[[#This Row],[disposedChallan]]&lt;=TrafficData[[#This Row],[totalChallan]],TrafficData[[#This Row],[pendingChallan]]&lt;=TrafficData[[#This Row],[totalChallan]])</f>
        <v>1</v>
      </c>
      <c r="O1643" t="b">
        <f>AND(TrafficData[[#This Row],[pendingAmount]]&lt;=TrafficData[[#This Row],[totalAmount]],TrafficData[[#This Row],[disposedAmount]]&lt;=TrafficData[[#This Row],[totalAmount]])</f>
        <v>1</v>
      </c>
      <c r="P1643" t="b">
        <f>AND(TrafficData[[#This Row],[pendingCourt]]&lt;=TrafficData[[#This Row],[totalCourt]],TrafficData[[#This Row],[disposedCourt]]&lt;=TrafficData[[#This Row],[totalCourt]])</f>
        <v>1</v>
      </c>
    </row>
    <row r="1644" spans="1:16">
      <c r="A1644" s="1">
        <v>43647</v>
      </c>
      <c r="B1644">
        <v>84747</v>
      </c>
      <c r="C1644">
        <v>65278</v>
      </c>
      <c r="D1644">
        <v>19469</v>
      </c>
      <c r="E1644">
        <v>13917870</v>
      </c>
      <c r="F1644">
        <v>47995633</v>
      </c>
      <c r="G1644">
        <v>61913503</v>
      </c>
      <c r="H1644">
        <v>7373</v>
      </c>
      <c r="I1644">
        <v>7178</v>
      </c>
      <c r="J1644">
        <v>14551</v>
      </c>
      <c r="K1644" t="b">
        <f>TrafficData[[#This Row],[disposedChallan]]+TrafficData[[#This Row],[pendingChallan]]=TrafficData[[#This Row],[totalChallan]]</f>
        <v>1</v>
      </c>
      <c r="L1644" t="b">
        <f>TrafficData[[#This Row],[pendingAmount]]+TrafficData[[#This Row],[disposedAmount]]=TrafficData[[#This Row],[totalAmount]]</f>
        <v>1</v>
      </c>
      <c r="M1644" t="b">
        <f>TrafficData[[#This Row],[pendingCourt]]+TrafficData[[#This Row],[disposedCourt]]=TrafficData[[#This Row],[totalCourt]]</f>
        <v>1</v>
      </c>
      <c r="N1644" t="b">
        <f>AND(TrafficData[[#This Row],[disposedChallan]]&lt;=TrafficData[[#This Row],[totalChallan]],TrafficData[[#This Row],[pendingChallan]]&lt;=TrafficData[[#This Row],[totalChallan]])</f>
        <v>1</v>
      </c>
      <c r="O1644" t="b">
        <f>AND(TrafficData[[#This Row],[pendingAmount]]&lt;=TrafficData[[#This Row],[totalAmount]],TrafficData[[#This Row],[disposedAmount]]&lt;=TrafficData[[#This Row],[totalAmount]])</f>
        <v>1</v>
      </c>
      <c r="P1644" t="b">
        <f>AND(TrafficData[[#This Row],[pendingCourt]]&lt;=TrafficData[[#This Row],[totalCourt]],TrafficData[[#This Row],[disposedCourt]]&lt;=TrafficData[[#This Row],[totalCourt]])</f>
        <v>1</v>
      </c>
    </row>
    <row r="1645" spans="1:16">
      <c r="A1645" s="1">
        <v>43648</v>
      </c>
      <c r="B1645">
        <v>91379</v>
      </c>
      <c r="C1645">
        <v>70098</v>
      </c>
      <c r="D1645">
        <v>21281</v>
      </c>
      <c r="E1645">
        <v>15658798</v>
      </c>
      <c r="F1645">
        <v>52729202</v>
      </c>
      <c r="G1645">
        <v>68388000</v>
      </c>
      <c r="H1645">
        <v>8435</v>
      </c>
      <c r="I1645">
        <v>7118</v>
      </c>
      <c r="J1645">
        <v>15553</v>
      </c>
      <c r="K1645" t="b">
        <f>TrafficData[[#This Row],[disposedChallan]]+TrafficData[[#This Row],[pendingChallan]]=TrafficData[[#This Row],[totalChallan]]</f>
        <v>1</v>
      </c>
      <c r="L1645" t="b">
        <f>TrafficData[[#This Row],[pendingAmount]]+TrafficData[[#This Row],[disposedAmount]]=TrafficData[[#This Row],[totalAmount]]</f>
        <v>1</v>
      </c>
      <c r="M1645" t="b">
        <f>TrafficData[[#This Row],[pendingCourt]]+TrafficData[[#This Row],[disposedCourt]]=TrafficData[[#This Row],[totalCourt]]</f>
        <v>1</v>
      </c>
      <c r="N1645" t="b">
        <f>AND(TrafficData[[#This Row],[disposedChallan]]&lt;=TrafficData[[#This Row],[totalChallan]],TrafficData[[#This Row],[pendingChallan]]&lt;=TrafficData[[#This Row],[totalChallan]])</f>
        <v>1</v>
      </c>
      <c r="O1645" t="b">
        <f>AND(TrafficData[[#This Row],[pendingAmount]]&lt;=TrafficData[[#This Row],[totalAmount]],TrafficData[[#This Row],[disposedAmount]]&lt;=TrafficData[[#This Row],[totalAmount]])</f>
        <v>1</v>
      </c>
      <c r="P1645" t="b">
        <f>AND(TrafficData[[#This Row],[pendingCourt]]&lt;=TrafficData[[#This Row],[totalCourt]],TrafficData[[#This Row],[disposedCourt]]&lt;=TrafficData[[#This Row],[totalCourt]])</f>
        <v>1</v>
      </c>
    </row>
    <row r="1646" spans="1:16">
      <c r="A1646" s="1">
        <v>43649</v>
      </c>
      <c r="B1646">
        <v>99341</v>
      </c>
      <c r="C1646">
        <v>74973</v>
      </c>
      <c r="D1646">
        <v>24368</v>
      </c>
      <c r="E1646">
        <v>16656258</v>
      </c>
      <c r="F1646">
        <v>52255271</v>
      </c>
      <c r="G1646">
        <v>68911529</v>
      </c>
      <c r="H1646">
        <v>10094</v>
      </c>
      <c r="I1646">
        <v>8044</v>
      </c>
      <c r="J1646">
        <v>18138</v>
      </c>
      <c r="K1646" t="b">
        <f>TrafficData[[#This Row],[disposedChallan]]+TrafficData[[#This Row],[pendingChallan]]=TrafficData[[#This Row],[totalChallan]]</f>
        <v>1</v>
      </c>
      <c r="L1646" t="b">
        <f>TrafficData[[#This Row],[pendingAmount]]+TrafficData[[#This Row],[disposedAmount]]=TrafficData[[#This Row],[totalAmount]]</f>
        <v>1</v>
      </c>
      <c r="M1646" t="b">
        <f>TrafficData[[#This Row],[pendingCourt]]+TrafficData[[#This Row],[disposedCourt]]=TrafficData[[#This Row],[totalCourt]]</f>
        <v>1</v>
      </c>
      <c r="N1646" t="b">
        <f>AND(TrafficData[[#This Row],[disposedChallan]]&lt;=TrafficData[[#This Row],[totalChallan]],TrafficData[[#This Row],[pendingChallan]]&lt;=TrafficData[[#This Row],[totalChallan]])</f>
        <v>1</v>
      </c>
      <c r="O1646" t="b">
        <f>AND(TrafficData[[#This Row],[pendingAmount]]&lt;=TrafficData[[#This Row],[totalAmount]],TrafficData[[#This Row],[disposedAmount]]&lt;=TrafficData[[#This Row],[totalAmount]])</f>
        <v>1</v>
      </c>
      <c r="P1646" t="b">
        <f>AND(TrafficData[[#This Row],[pendingCourt]]&lt;=TrafficData[[#This Row],[totalCourt]],TrafficData[[#This Row],[disposedCourt]]&lt;=TrafficData[[#This Row],[totalCourt]])</f>
        <v>1</v>
      </c>
    </row>
    <row r="1647" spans="1:16">
      <c r="A1647" s="1">
        <v>43650</v>
      </c>
      <c r="B1647">
        <v>97616</v>
      </c>
      <c r="C1647">
        <v>71127</v>
      </c>
      <c r="D1647">
        <v>26489</v>
      </c>
      <c r="E1647">
        <v>20519228</v>
      </c>
      <c r="F1647">
        <v>48895701</v>
      </c>
      <c r="G1647">
        <v>69414929</v>
      </c>
      <c r="H1647">
        <v>12223</v>
      </c>
      <c r="I1647">
        <v>7519</v>
      </c>
      <c r="J1647">
        <v>19742</v>
      </c>
      <c r="K1647" t="b">
        <f>TrafficData[[#This Row],[disposedChallan]]+TrafficData[[#This Row],[pendingChallan]]=TrafficData[[#This Row],[totalChallan]]</f>
        <v>1</v>
      </c>
      <c r="L1647" t="b">
        <f>TrafficData[[#This Row],[pendingAmount]]+TrafficData[[#This Row],[disposedAmount]]=TrafficData[[#This Row],[totalAmount]]</f>
        <v>1</v>
      </c>
      <c r="M1647" t="b">
        <f>TrafficData[[#This Row],[pendingCourt]]+TrafficData[[#This Row],[disposedCourt]]=TrafficData[[#This Row],[totalCourt]]</f>
        <v>1</v>
      </c>
      <c r="N1647" t="b">
        <f>AND(TrafficData[[#This Row],[disposedChallan]]&lt;=TrafficData[[#This Row],[totalChallan]],TrafficData[[#This Row],[pendingChallan]]&lt;=TrafficData[[#This Row],[totalChallan]])</f>
        <v>1</v>
      </c>
      <c r="O1647" t="b">
        <f>AND(TrafficData[[#This Row],[pendingAmount]]&lt;=TrafficData[[#This Row],[totalAmount]],TrafficData[[#This Row],[disposedAmount]]&lt;=TrafficData[[#This Row],[totalAmount]])</f>
        <v>1</v>
      </c>
      <c r="P1647" t="b">
        <f>AND(TrafficData[[#This Row],[pendingCourt]]&lt;=TrafficData[[#This Row],[totalCourt]],TrafficData[[#This Row],[disposedCourt]]&lt;=TrafficData[[#This Row],[totalCourt]])</f>
        <v>1</v>
      </c>
    </row>
    <row r="1648" spans="1:16">
      <c r="A1648" s="1">
        <v>43651</v>
      </c>
      <c r="B1648">
        <v>98261</v>
      </c>
      <c r="C1648">
        <v>72569</v>
      </c>
      <c r="D1648">
        <v>25692</v>
      </c>
      <c r="E1648">
        <v>20919519</v>
      </c>
      <c r="F1648">
        <v>45622371</v>
      </c>
      <c r="G1648">
        <v>66541890</v>
      </c>
      <c r="H1648">
        <v>12070</v>
      </c>
      <c r="I1648">
        <v>6664</v>
      </c>
      <c r="J1648">
        <v>18734</v>
      </c>
      <c r="K1648" t="b">
        <f>TrafficData[[#This Row],[disposedChallan]]+TrafficData[[#This Row],[pendingChallan]]=TrafficData[[#This Row],[totalChallan]]</f>
        <v>1</v>
      </c>
      <c r="L1648" t="b">
        <f>TrafficData[[#This Row],[pendingAmount]]+TrafficData[[#This Row],[disposedAmount]]=TrafficData[[#This Row],[totalAmount]]</f>
        <v>1</v>
      </c>
      <c r="M1648" t="b">
        <f>TrafficData[[#This Row],[pendingCourt]]+TrafficData[[#This Row],[disposedCourt]]=TrafficData[[#This Row],[totalCourt]]</f>
        <v>1</v>
      </c>
      <c r="N1648" t="b">
        <f>AND(TrafficData[[#This Row],[disposedChallan]]&lt;=TrafficData[[#This Row],[totalChallan]],TrafficData[[#This Row],[pendingChallan]]&lt;=TrafficData[[#This Row],[totalChallan]])</f>
        <v>1</v>
      </c>
      <c r="O1648" t="b">
        <f>AND(TrafficData[[#This Row],[pendingAmount]]&lt;=TrafficData[[#This Row],[totalAmount]],TrafficData[[#This Row],[disposedAmount]]&lt;=TrafficData[[#This Row],[totalAmount]])</f>
        <v>1</v>
      </c>
      <c r="P1648" t="b">
        <f>AND(TrafficData[[#This Row],[pendingCourt]]&lt;=TrafficData[[#This Row],[totalCourt]],TrafficData[[#This Row],[disposedCourt]]&lt;=TrafficData[[#This Row],[totalCourt]])</f>
        <v>1</v>
      </c>
    </row>
    <row r="1649" spans="1:16">
      <c r="A1649" s="1">
        <v>43652</v>
      </c>
      <c r="B1649">
        <v>92219</v>
      </c>
      <c r="C1649">
        <v>69818</v>
      </c>
      <c r="D1649">
        <v>22401</v>
      </c>
      <c r="E1649">
        <v>16934842</v>
      </c>
      <c r="F1649">
        <v>43923886</v>
      </c>
      <c r="G1649">
        <v>60858728</v>
      </c>
      <c r="H1649">
        <v>9773</v>
      </c>
      <c r="I1649">
        <v>6063</v>
      </c>
      <c r="J1649">
        <v>15836</v>
      </c>
      <c r="K1649" t="b">
        <f>TrafficData[[#This Row],[disposedChallan]]+TrafficData[[#This Row],[pendingChallan]]=TrafficData[[#This Row],[totalChallan]]</f>
        <v>1</v>
      </c>
      <c r="L1649" t="b">
        <f>TrafficData[[#This Row],[pendingAmount]]+TrafficData[[#This Row],[disposedAmount]]=TrafficData[[#This Row],[totalAmount]]</f>
        <v>1</v>
      </c>
      <c r="M1649" t="b">
        <f>TrafficData[[#This Row],[pendingCourt]]+TrafficData[[#This Row],[disposedCourt]]=TrafficData[[#This Row],[totalCourt]]</f>
        <v>1</v>
      </c>
      <c r="N1649" t="b">
        <f>AND(TrafficData[[#This Row],[disposedChallan]]&lt;=TrafficData[[#This Row],[totalChallan]],TrafficData[[#This Row],[pendingChallan]]&lt;=TrafficData[[#This Row],[totalChallan]])</f>
        <v>1</v>
      </c>
      <c r="O1649" t="b">
        <f>AND(TrafficData[[#This Row],[pendingAmount]]&lt;=TrafficData[[#This Row],[totalAmount]],TrafficData[[#This Row],[disposedAmount]]&lt;=TrafficData[[#This Row],[totalAmount]])</f>
        <v>1</v>
      </c>
      <c r="P1649" t="b">
        <f>AND(TrafficData[[#This Row],[pendingCourt]]&lt;=TrafficData[[#This Row],[totalCourt]],TrafficData[[#This Row],[disposedCourt]]&lt;=TrafficData[[#This Row],[totalCourt]])</f>
        <v>1</v>
      </c>
    </row>
    <row r="1650" spans="1:16">
      <c r="A1650" s="1">
        <v>43653</v>
      </c>
      <c r="B1650">
        <v>81019</v>
      </c>
      <c r="C1650">
        <v>60827</v>
      </c>
      <c r="D1650">
        <v>20192</v>
      </c>
      <c r="E1650">
        <v>12951693</v>
      </c>
      <c r="F1650">
        <v>35202665</v>
      </c>
      <c r="G1650">
        <v>48154358</v>
      </c>
      <c r="H1650">
        <v>8569</v>
      </c>
      <c r="I1650">
        <v>5739</v>
      </c>
      <c r="J1650">
        <v>14308</v>
      </c>
      <c r="K1650" t="b">
        <f>TrafficData[[#This Row],[disposedChallan]]+TrafficData[[#This Row],[pendingChallan]]=TrafficData[[#This Row],[totalChallan]]</f>
        <v>1</v>
      </c>
      <c r="L1650" t="b">
        <f>TrafficData[[#This Row],[pendingAmount]]+TrafficData[[#This Row],[disposedAmount]]=TrafficData[[#This Row],[totalAmount]]</f>
        <v>1</v>
      </c>
      <c r="M1650" t="b">
        <f>TrafficData[[#This Row],[pendingCourt]]+TrafficData[[#This Row],[disposedCourt]]=TrafficData[[#This Row],[totalCourt]]</f>
        <v>1</v>
      </c>
      <c r="N1650" t="b">
        <f>AND(TrafficData[[#This Row],[disposedChallan]]&lt;=TrafficData[[#This Row],[totalChallan]],TrafficData[[#This Row],[pendingChallan]]&lt;=TrafficData[[#This Row],[totalChallan]])</f>
        <v>1</v>
      </c>
      <c r="O1650" t="b">
        <f>AND(TrafficData[[#This Row],[pendingAmount]]&lt;=TrafficData[[#This Row],[totalAmount]],TrafficData[[#This Row],[disposedAmount]]&lt;=TrafficData[[#This Row],[totalAmount]])</f>
        <v>1</v>
      </c>
      <c r="P1650" t="b">
        <f>AND(TrafficData[[#This Row],[pendingCourt]]&lt;=TrafficData[[#This Row],[totalCourt]],TrafficData[[#This Row],[disposedCourt]]&lt;=TrafficData[[#This Row],[totalCourt]])</f>
        <v>1</v>
      </c>
    </row>
    <row r="1651" spans="1:16">
      <c r="A1651" s="1">
        <v>43655</v>
      </c>
      <c r="B1651">
        <v>99541</v>
      </c>
      <c r="C1651">
        <v>73737</v>
      </c>
      <c r="D1651">
        <v>25804</v>
      </c>
      <c r="E1651">
        <v>19450480</v>
      </c>
      <c r="F1651">
        <v>48145472</v>
      </c>
      <c r="G1651">
        <v>67595952</v>
      </c>
      <c r="H1651">
        <v>11508</v>
      </c>
      <c r="I1651">
        <v>7376</v>
      </c>
      <c r="J1651">
        <v>18884</v>
      </c>
      <c r="K1651" t="b">
        <f>TrafficData[[#This Row],[disposedChallan]]+TrafficData[[#This Row],[pendingChallan]]=TrafficData[[#This Row],[totalChallan]]</f>
        <v>1</v>
      </c>
      <c r="L1651" t="b">
        <f>TrafficData[[#This Row],[pendingAmount]]+TrafficData[[#This Row],[disposedAmount]]=TrafficData[[#This Row],[totalAmount]]</f>
        <v>1</v>
      </c>
      <c r="M1651" t="b">
        <f>TrafficData[[#This Row],[pendingCourt]]+TrafficData[[#This Row],[disposedCourt]]=TrafficData[[#This Row],[totalCourt]]</f>
        <v>1</v>
      </c>
      <c r="N1651" t="b">
        <f>AND(TrafficData[[#This Row],[disposedChallan]]&lt;=TrafficData[[#This Row],[totalChallan]],TrafficData[[#This Row],[pendingChallan]]&lt;=TrafficData[[#This Row],[totalChallan]])</f>
        <v>1</v>
      </c>
      <c r="O1651" t="b">
        <f>AND(TrafficData[[#This Row],[pendingAmount]]&lt;=TrafficData[[#This Row],[totalAmount]],TrafficData[[#This Row],[disposedAmount]]&lt;=TrafficData[[#This Row],[totalAmount]])</f>
        <v>1</v>
      </c>
      <c r="P1651" t="b">
        <f>AND(TrafficData[[#This Row],[pendingCourt]]&lt;=TrafficData[[#This Row],[totalCourt]],TrafficData[[#This Row],[disposedCourt]]&lt;=TrafficData[[#This Row],[totalCourt]])</f>
        <v>1</v>
      </c>
    </row>
    <row r="1652" spans="1:16">
      <c r="A1652" s="1">
        <v>43656</v>
      </c>
      <c r="B1652">
        <v>97566</v>
      </c>
      <c r="C1652">
        <v>72058</v>
      </c>
      <c r="D1652">
        <v>25508</v>
      </c>
      <c r="E1652">
        <v>17071307</v>
      </c>
      <c r="F1652">
        <v>49412436</v>
      </c>
      <c r="G1652">
        <v>66483743</v>
      </c>
      <c r="H1652">
        <v>9593</v>
      </c>
      <c r="I1652">
        <v>6373</v>
      </c>
      <c r="J1652">
        <v>15966</v>
      </c>
      <c r="K1652" t="b">
        <f>TrafficData[[#This Row],[disposedChallan]]+TrafficData[[#This Row],[pendingChallan]]=TrafficData[[#This Row],[totalChallan]]</f>
        <v>1</v>
      </c>
      <c r="L1652" t="b">
        <f>TrafficData[[#This Row],[pendingAmount]]+TrafficData[[#This Row],[disposedAmount]]=TrafficData[[#This Row],[totalAmount]]</f>
        <v>1</v>
      </c>
      <c r="M1652" t="b">
        <f>TrafficData[[#This Row],[pendingCourt]]+TrafficData[[#This Row],[disposedCourt]]=TrafficData[[#This Row],[totalCourt]]</f>
        <v>1</v>
      </c>
      <c r="N1652" t="b">
        <f>AND(TrafficData[[#This Row],[disposedChallan]]&lt;=TrafficData[[#This Row],[totalChallan]],TrafficData[[#This Row],[pendingChallan]]&lt;=TrafficData[[#This Row],[totalChallan]])</f>
        <v>1</v>
      </c>
      <c r="O1652" t="b">
        <f>AND(TrafficData[[#This Row],[pendingAmount]]&lt;=TrafficData[[#This Row],[totalAmount]],TrafficData[[#This Row],[disposedAmount]]&lt;=TrafficData[[#This Row],[totalAmount]])</f>
        <v>1</v>
      </c>
      <c r="P1652" t="b">
        <f>AND(TrafficData[[#This Row],[pendingCourt]]&lt;=TrafficData[[#This Row],[totalCourt]],TrafficData[[#This Row],[disposedCourt]]&lt;=TrafficData[[#This Row],[totalCourt]])</f>
        <v>1</v>
      </c>
    </row>
    <row r="1653" spans="1:16">
      <c r="A1653" s="1">
        <v>43657</v>
      </c>
      <c r="B1653">
        <v>96689</v>
      </c>
      <c r="C1653">
        <v>73033</v>
      </c>
      <c r="D1653">
        <v>23656</v>
      </c>
      <c r="E1653">
        <v>17405716</v>
      </c>
      <c r="F1653">
        <v>54317326</v>
      </c>
      <c r="G1653">
        <v>71723042</v>
      </c>
      <c r="H1653">
        <v>10217</v>
      </c>
      <c r="I1653">
        <v>7582</v>
      </c>
      <c r="J1653">
        <v>17799</v>
      </c>
      <c r="K1653" t="b">
        <f>TrafficData[[#This Row],[disposedChallan]]+TrafficData[[#This Row],[pendingChallan]]=TrafficData[[#This Row],[totalChallan]]</f>
        <v>1</v>
      </c>
      <c r="L1653" t="b">
        <f>TrafficData[[#This Row],[pendingAmount]]+TrafficData[[#This Row],[disposedAmount]]=TrafficData[[#This Row],[totalAmount]]</f>
        <v>1</v>
      </c>
      <c r="M1653" t="b">
        <f>TrafficData[[#This Row],[pendingCourt]]+TrafficData[[#This Row],[disposedCourt]]=TrafficData[[#This Row],[totalCourt]]</f>
        <v>1</v>
      </c>
      <c r="N1653" t="b">
        <f>AND(TrafficData[[#This Row],[disposedChallan]]&lt;=TrafficData[[#This Row],[totalChallan]],TrafficData[[#This Row],[pendingChallan]]&lt;=TrafficData[[#This Row],[totalChallan]])</f>
        <v>1</v>
      </c>
      <c r="O1653" t="b">
        <f>AND(TrafficData[[#This Row],[pendingAmount]]&lt;=TrafficData[[#This Row],[totalAmount]],TrafficData[[#This Row],[disposedAmount]]&lt;=TrafficData[[#This Row],[totalAmount]])</f>
        <v>1</v>
      </c>
      <c r="P1653" t="b">
        <f>AND(TrafficData[[#This Row],[pendingCourt]]&lt;=TrafficData[[#This Row],[totalCourt]],TrafficData[[#This Row],[disposedCourt]]&lt;=TrafficData[[#This Row],[totalCourt]])</f>
        <v>1</v>
      </c>
    </row>
    <row r="1654" spans="1:16">
      <c r="A1654" s="1">
        <v>43658</v>
      </c>
      <c r="B1654">
        <v>92004</v>
      </c>
      <c r="C1654">
        <v>70472</v>
      </c>
      <c r="D1654">
        <v>21532</v>
      </c>
      <c r="E1654">
        <v>17981394</v>
      </c>
      <c r="F1654">
        <v>50835192</v>
      </c>
      <c r="G1654">
        <v>68816586</v>
      </c>
      <c r="H1654">
        <v>9884</v>
      </c>
      <c r="I1654">
        <v>7283</v>
      </c>
      <c r="J1654">
        <v>17167</v>
      </c>
      <c r="K1654" t="b">
        <f>TrafficData[[#This Row],[disposedChallan]]+TrafficData[[#This Row],[pendingChallan]]=TrafficData[[#This Row],[totalChallan]]</f>
        <v>1</v>
      </c>
      <c r="L1654" t="b">
        <f>TrafficData[[#This Row],[pendingAmount]]+TrafficData[[#This Row],[disposedAmount]]=TrafficData[[#This Row],[totalAmount]]</f>
        <v>1</v>
      </c>
      <c r="M1654" t="b">
        <f>TrafficData[[#This Row],[pendingCourt]]+TrafficData[[#This Row],[disposedCourt]]=TrafficData[[#This Row],[totalCourt]]</f>
        <v>1</v>
      </c>
      <c r="N1654" t="b">
        <f>AND(TrafficData[[#This Row],[disposedChallan]]&lt;=TrafficData[[#This Row],[totalChallan]],TrafficData[[#This Row],[pendingChallan]]&lt;=TrafficData[[#This Row],[totalChallan]])</f>
        <v>1</v>
      </c>
      <c r="O1654" t="b">
        <f>AND(TrafficData[[#This Row],[pendingAmount]]&lt;=TrafficData[[#This Row],[totalAmount]],TrafficData[[#This Row],[disposedAmount]]&lt;=TrafficData[[#This Row],[totalAmount]])</f>
        <v>1</v>
      </c>
      <c r="P1654" t="b">
        <f>AND(TrafficData[[#This Row],[pendingCourt]]&lt;=TrafficData[[#This Row],[totalCourt]],TrafficData[[#This Row],[disposedCourt]]&lt;=TrafficData[[#This Row],[totalCourt]])</f>
        <v>1</v>
      </c>
    </row>
    <row r="1655" spans="1:16">
      <c r="A1655" s="1">
        <v>43659</v>
      </c>
      <c r="B1655">
        <v>98442</v>
      </c>
      <c r="C1655">
        <v>74191</v>
      </c>
      <c r="D1655">
        <v>24251</v>
      </c>
      <c r="E1655">
        <v>19647964</v>
      </c>
      <c r="F1655">
        <v>44488873</v>
      </c>
      <c r="G1655">
        <v>64136837</v>
      </c>
      <c r="H1655">
        <v>11526</v>
      </c>
      <c r="I1655">
        <v>8363</v>
      </c>
      <c r="J1655">
        <v>19889</v>
      </c>
      <c r="K1655" t="b">
        <f>TrafficData[[#This Row],[disposedChallan]]+TrafficData[[#This Row],[pendingChallan]]=TrafficData[[#This Row],[totalChallan]]</f>
        <v>1</v>
      </c>
      <c r="L1655" t="b">
        <f>TrafficData[[#This Row],[pendingAmount]]+TrafficData[[#This Row],[disposedAmount]]=TrafficData[[#This Row],[totalAmount]]</f>
        <v>1</v>
      </c>
      <c r="M1655" t="b">
        <f>TrafficData[[#This Row],[pendingCourt]]+TrafficData[[#This Row],[disposedCourt]]=TrafficData[[#This Row],[totalCourt]]</f>
        <v>1</v>
      </c>
      <c r="N1655" t="b">
        <f>AND(TrafficData[[#This Row],[disposedChallan]]&lt;=TrafficData[[#This Row],[totalChallan]],TrafficData[[#This Row],[pendingChallan]]&lt;=TrafficData[[#This Row],[totalChallan]])</f>
        <v>1</v>
      </c>
      <c r="O1655" t="b">
        <f>AND(TrafficData[[#This Row],[pendingAmount]]&lt;=TrafficData[[#This Row],[totalAmount]],TrafficData[[#This Row],[disposedAmount]]&lt;=TrafficData[[#This Row],[totalAmount]])</f>
        <v>1</v>
      </c>
      <c r="P1655" t="b">
        <f>AND(TrafficData[[#This Row],[pendingCourt]]&lt;=TrafficData[[#This Row],[totalCourt]],TrafficData[[#This Row],[disposedCourt]]&lt;=TrafficData[[#This Row],[totalCourt]])</f>
        <v>1</v>
      </c>
    </row>
    <row r="1656" spans="1:16">
      <c r="A1656" s="1">
        <v>43660</v>
      </c>
      <c r="B1656">
        <v>82225</v>
      </c>
      <c r="C1656">
        <v>61936</v>
      </c>
      <c r="D1656">
        <v>20289</v>
      </c>
      <c r="E1656">
        <v>14111438</v>
      </c>
      <c r="F1656">
        <v>33586567</v>
      </c>
      <c r="G1656">
        <v>47698005</v>
      </c>
      <c r="H1656">
        <v>7243</v>
      </c>
      <c r="I1656">
        <v>5160</v>
      </c>
      <c r="J1656">
        <v>12403</v>
      </c>
      <c r="K1656" t="b">
        <f>TrafficData[[#This Row],[disposedChallan]]+TrafficData[[#This Row],[pendingChallan]]=TrafficData[[#This Row],[totalChallan]]</f>
        <v>1</v>
      </c>
      <c r="L1656" t="b">
        <f>TrafficData[[#This Row],[pendingAmount]]+TrafficData[[#This Row],[disposedAmount]]=TrafficData[[#This Row],[totalAmount]]</f>
        <v>1</v>
      </c>
      <c r="M1656" t="b">
        <f>TrafficData[[#This Row],[pendingCourt]]+TrafficData[[#This Row],[disposedCourt]]=TrafficData[[#This Row],[totalCourt]]</f>
        <v>1</v>
      </c>
      <c r="N1656" t="b">
        <f>AND(TrafficData[[#This Row],[disposedChallan]]&lt;=TrafficData[[#This Row],[totalChallan]],TrafficData[[#This Row],[pendingChallan]]&lt;=TrafficData[[#This Row],[totalChallan]])</f>
        <v>1</v>
      </c>
      <c r="O1656" t="b">
        <f>AND(TrafficData[[#This Row],[pendingAmount]]&lt;=TrafficData[[#This Row],[totalAmount]],TrafficData[[#This Row],[disposedAmount]]&lt;=TrafficData[[#This Row],[totalAmount]])</f>
        <v>1</v>
      </c>
      <c r="P1656" t="b">
        <f>AND(TrafficData[[#This Row],[pendingCourt]]&lt;=TrafficData[[#This Row],[totalCourt]],TrafficData[[#This Row],[disposedCourt]]&lt;=TrafficData[[#This Row],[totalCourt]])</f>
        <v>1</v>
      </c>
    </row>
    <row r="1657" spans="1:16">
      <c r="A1657" s="1">
        <v>43661</v>
      </c>
      <c r="B1657">
        <v>83202</v>
      </c>
      <c r="C1657">
        <v>62456</v>
      </c>
      <c r="D1657">
        <v>20746</v>
      </c>
      <c r="E1657">
        <v>15383343</v>
      </c>
      <c r="F1657">
        <v>41837990</v>
      </c>
      <c r="G1657">
        <v>57221333</v>
      </c>
      <c r="H1657">
        <v>8193</v>
      </c>
      <c r="I1657">
        <v>6332</v>
      </c>
      <c r="J1657">
        <v>14525</v>
      </c>
      <c r="K1657" t="b">
        <f>TrafficData[[#This Row],[disposedChallan]]+TrafficData[[#This Row],[pendingChallan]]=TrafficData[[#This Row],[totalChallan]]</f>
        <v>1</v>
      </c>
      <c r="L1657" t="b">
        <f>TrafficData[[#This Row],[pendingAmount]]+TrafficData[[#This Row],[disposedAmount]]=TrafficData[[#This Row],[totalAmount]]</f>
        <v>1</v>
      </c>
      <c r="M1657" t="b">
        <f>TrafficData[[#This Row],[pendingCourt]]+TrafficData[[#This Row],[disposedCourt]]=TrafficData[[#This Row],[totalCourt]]</f>
        <v>1</v>
      </c>
      <c r="N1657" t="b">
        <f>AND(TrafficData[[#This Row],[disposedChallan]]&lt;=TrafficData[[#This Row],[totalChallan]],TrafficData[[#This Row],[pendingChallan]]&lt;=TrafficData[[#This Row],[totalChallan]])</f>
        <v>1</v>
      </c>
      <c r="O1657" t="b">
        <f>AND(TrafficData[[#This Row],[pendingAmount]]&lt;=TrafficData[[#This Row],[totalAmount]],TrafficData[[#This Row],[disposedAmount]]&lt;=TrafficData[[#This Row],[totalAmount]])</f>
        <v>1</v>
      </c>
      <c r="P1657" t="b">
        <f>AND(TrafficData[[#This Row],[pendingCourt]]&lt;=TrafficData[[#This Row],[totalCourt]],TrafficData[[#This Row],[disposedCourt]]&lt;=TrafficData[[#This Row],[totalCourt]])</f>
        <v>1</v>
      </c>
    </row>
    <row r="1658" spans="1:16">
      <c r="A1658" s="1">
        <v>43662</v>
      </c>
      <c r="B1658">
        <v>94025</v>
      </c>
      <c r="C1658">
        <v>70561</v>
      </c>
      <c r="D1658">
        <v>23464</v>
      </c>
      <c r="E1658">
        <v>21578275</v>
      </c>
      <c r="F1658">
        <v>51249944</v>
      </c>
      <c r="G1658">
        <v>72828219</v>
      </c>
      <c r="H1658">
        <v>10743</v>
      </c>
      <c r="I1658">
        <v>6454</v>
      </c>
      <c r="J1658">
        <v>17197</v>
      </c>
      <c r="K1658" t="b">
        <f>TrafficData[[#This Row],[disposedChallan]]+TrafficData[[#This Row],[pendingChallan]]=TrafficData[[#This Row],[totalChallan]]</f>
        <v>1</v>
      </c>
      <c r="L1658" t="b">
        <f>TrafficData[[#This Row],[pendingAmount]]+TrafficData[[#This Row],[disposedAmount]]=TrafficData[[#This Row],[totalAmount]]</f>
        <v>1</v>
      </c>
      <c r="M1658" t="b">
        <f>TrafficData[[#This Row],[pendingCourt]]+TrafficData[[#This Row],[disposedCourt]]=TrafficData[[#This Row],[totalCourt]]</f>
        <v>1</v>
      </c>
      <c r="N1658" t="b">
        <f>AND(TrafficData[[#This Row],[disposedChallan]]&lt;=TrafficData[[#This Row],[totalChallan]],TrafficData[[#This Row],[pendingChallan]]&lt;=TrafficData[[#This Row],[totalChallan]])</f>
        <v>1</v>
      </c>
      <c r="O1658" t="b">
        <f>AND(TrafficData[[#This Row],[pendingAmount]]&lt;=TrafficData[[#This Row],[totalAmount]],TrafficData[[#This Row],[disposedAmount]]&lt;=TrafficData[[#This Row],[totalAmount]])</f>
        <v>1</v>
      </c>
      <c r="P1658" t="b">
        <f>AND(TrafficData[[#This Row],[pendingCourt]]&lt;=TrafficData[[#This Row],[totalCourt]],TrafficData[[#This Row],[disposedCourt]]&lt;=TrafficData[[#This Row],[totalCourt]])</f>
        <v>1</v>
      </c>
    </row>
    <row r="1659" spans="1:16">
      <c r="A1659" s="1">
        <v>43663</v>
      </c>
      <c r="B1659">
        <v>92596</v>
      </c>
      <c r="C1659">
        <v>69667</v>
      </c>
      <c r="D1659">
        <v>22929</v>
      </c>
      <c r="E1659">
        <v>24601025</v>
      </c>
      <c r="F1659">
        <v>48250618</v>
      </c>
      <c r="G1659">
        <v>72851643</v>
      </c>
      <c r="H1659">
        <v>11923</v>
      </c>
      <c r="I1659">
        <v>7539</v>
      </c>
      <c r="J1659">
        <v>19462</v>
      </c>
      <c r="K1659" t="b">
        <f>TrafficData[[#This Row],[disposedChallan]]+TrafficData[[#This Row],[pendingChallan]]=TrafficData[[#This Row],[totalChallan]]</f>
        <v>1</v>
      </c>
      <c r="L1659" t="b">
        <f>TrafficData[[#This Row],[pendingAmount]]+TrafficData[[#This Row],[disposedAmount]]=TrafficData[[#This Row],[totalAmount]]</f>
        <v>1</v>
      </c>
      <c r="M1659" t="b">
        <f>TrafficData[[#This Row],[pendingCourt]]+TrafficData[[#This Row],[disposedCourt]]=TrafficData[[#This Row],[totalCourt]]</f>
        <v>1</v>
      </c>
      <c r="N1659" t="b">
        <f>AND(TrafficData[[#This Row],[disposedChallan]]&lt;=TrafficData[[#This Row],[totalChallan]],TrafficData[[#This Row],[pendingChallan]]&lt;=TrafficData[[#This Row],[totalChallan]])</f>
        <v>1</v>
      </c>
      <c r="O1659" t="b">
        <f>AND(TrafficData[[#This Row],[pendingAmount]]&lt;=TrafficData[[#This Row],[totalAmount]],TrafficData[[#This Row],[disposedAmount]]&lt;=TrafficData[[#This Row],[totalAmount]])</f>
        <v>1</v>
      </c>
      <c r="P1659" t="b">
        <f>AND(TrafficData[[#This Row],[pendingCourt]]&lt;=TrafficData[[#This Row],[totalCourt]],TrafficData[[#This Row],[disposedCourt]]&lt;=TrafficData[[#This Row],[totalCourt]])</f>
        <v>1</v>
      </c>
    </row>
    <row r="1660" spans="1:16">
      <c r="A1660" s="1">
        <v>43664</v>
      </c>
      <c r="B1660">
        <v>88353</v>
      </c>
      <c r="C1660">
        <v>68215</v>
      </c>
      <c r="D1660">
        <v>20138</v>
      </c>
      <c r="E1660">
        <v>23180142</v>
      </c>
      <c r="F1660">
        <v>52402734</v>
      </c>
      <c r="G1660">
        <v>75582876</v>
      </c>
      <c r="H1660">
        <v>11714</v>
      </c>
      <c r="I1660">
        <v>8180</v>
      </c>
      <c r="J1660">
        <v>19894</v>
      </c>
      <c r="K1660" t="b">
        <f>TrafficData[[#This Row],[disposedChallan]]+TrafficData[[#This Row],[pendingChallan]]=TrafficData[[#This Row],[totalChallan]]</f>
        <v>1</v>
      </c>
      <c r="L1660" t="b">
        <f>TrafficData[[#This Row],[pendingAmount]]+TrafficData[[#This Row],[disposedAmount]]=TrafficData[[#This Row],[totalAmount]]</f>
        <v>1</v>
      </c>
      <c r="M1660" t="b">
        <f>TrafficData[[#This Row],[pendingCourt]]+TrafficData[[#This Row],[disposedCourt]]=TrafficData[[#This Row],[totalCourt]]</f>
        <v>1</v>
      </c>
      <c r="N1660" t="b">
        <f>AND(TrafficData[[#This Row],[disposedChallan]]&lt;=TrafficData[[#This Row],[totalChallan]],TrafficData[[#This Row],[pendingChallan]]&lt;=TrafficData[[#This Row],[totalChallan]])</f>
        <v>1</v>
      </c>
      <c r="O1660" t="b">
        <f>AND(TrafficData[[#This Row],[pendingAmount]]&lt;=TrafficData[[#This Row],[totalAmount]],TrafficData[[#This Row],[disposedAmount]]&lt;=TrafficData[[#This Row],[totalAmount]])</f>
        <v>1</v>
      </c>
      <c r="P1660" t="b">
        <f>AND(TrafficData[[#This Row],[pendingCourt]]&lt;=TrafficData[[#This Row],[totalCourt]],TrafficData[[#This Row],[disposedCourt]]&lt;=TrafficData[[#This Row],[totalCourt]])</f>
        <v>1</v>
      </c>
    </row>
    <row r="1661" spans="1:16">
      <c r="A1661" s="1">
        <v>43665</v>
      </c>
      <c r="B1661">
        <v>84868</v>
      </c>
      <c r="C1661">
        <v>67890</v>
      </c>
      <c r="D1661">
        <v>16978</v>
      </c>
      <c r="E1661">
        <v>19456510</v>
      </c>
      <c r="F1661">
        <v>51244899</v>
      </c>
      <c r="G1661">
        <v>70701409</v>
      </c>
      <c r="H1661">
        <v>9049</v>
      </c>
      <c r="I1661">
        <v>7733</v>
      </c>
      <c r="J1661">
        <v>16782</v>
      </c>
      <c r="K1661" t="b">
        <f>TrafficData[[#This Row],[disposedChallan]]+TrafficData[[#This Row],[pendingChallan]]=TrafficData[[#This Row],[totalChallan]]</f>
        <v>1</v>
      </c>
      <c r="L1661" t="b">
        <f>TrafficData[[#This Row],[pendingAmount]]+TrafficData[[#This Row],[disposedAmount]]=TrafficData[[#This Row],[totalAmount]]</f>
        <v>1</v>
      </c>
      <c r="M1661" t="b">
        <f>TrafficData[[#This Row],[pendingCourt]]+TrafficData[[#This Row],[disposedCourt]]=TrafficData[[#This Row],[totalCourt]]</f>
        <v>1</v>
      </c>
      <c r="N1661" t="b">
        <f>AND(TrafficData[[#This Row],[disposedChallan]]&lt;=TrafficData[[#This Row],[totalChallan]],TrafficData[[#This Row],[pendingChallan]]&lt;=TrafficData[[#This Row],[totalChallan]])</f>
        <v>1</v>
      </c>
      <c r="O1661" t="b">
        <f>AND(TrafficData[[#This Row],[pendingAmount]]&lt;=TrafficData[[#This Row],[totalAmount]],TrafficData[[#This Row],[disposedAmount]]&lt;=TrafficData[[#This Row],[totalAmount]])</f>
        <v>1</v>
      </c>
      <c r="P1661" t="b">
        <f>AND(TrafficData[[#This Row],[pendingCourt]]&lt;=TrafficData[[#This Row],[totalCourt]],TrafficData[[#This Row],[disposedCourt]]&lt;=TrafficData[[#This Row],[totalCourt]])</f>
        <v>1</v>
      </c>
    </row>
    <row r="1662" spans="1:16">
      <c r="A1662" s="1">
        <v>43666</v>
      </c>
      <c r="B1662">
        <v>85554</v>
      </c>
      <c r="C1662">
        <v>66978</v>
      </c>
      <c r="D1662">
        <v>18576</v>
      </c>
      <c r="E1662">
        <v>18112994</v>
      </c>
      <c r="F1662">
        <v>48298977</v>
      </c>
      <c r="G1662">
        <v>66411971</v>
      </c>
      <c r="H1662">
        <v>9552</v>
      </c>
      <c r="I1662">
        <v>6875</v>
      </c>
      <c r="J1662">
        <v>16427</v>
      </c>
      <c r="K1662" t="b">
        <f>TrafficData[[#This Row],[disposedChallan]]+TrafficData[[#This Row],[pendingChallan]]=TrafficData[[#This Row],[totalChallan]]</f>
        <v>1</v>
      </c>
      <c r="L1662" t="b">
        <f>TrafficData[[#This Row],[pendingAmount]]+TrafficData[[#This Row],[disposedAmount]]=TrafficData[[#This Row],[totalAmount]]</f>
        <v>1</v>
      </c>
      <c r="M1662" t="b">
        <f>TrafficData[[#This Row],[pendingCourt]]+TrafficData[[#This Row],[disposedCourt]]=TrafficData[[#This Row],[totalCourt]]</f>
        <v>1</v>
      </c>
      <c r="N1662" t="b">
        <f>AND(TrafficData[[#This Row],[disposedChallan]]&lt;=TrafficData[[#This Row],[totalChallan]],TrafficData[[#This Row],[pendingChallan]]&lt;=TrafficData[[#This Row],[totalChallan]])</f>
        <v>1</v>
      </c>
      <c r="O1662" t="b">
        <f>AND(TrafficData[[#This Row],[pendingAmount]]&lt;=TrafficData[[#This Row],[totalAmount]],TrafficData[[#This Row],[disposedAmount]]&lt;=TrafficData[[#This Row],[totalAmount]])</f>
        <v>1</v>
      </c>
      <c r="P1662" t="b">
        <f>AND(TrafficData[[#This Row],[pendingCourt]]&lt;=TrafficData[[#This Row],[totalCourt]],TrafficData[[#This Row],[disposedCourt]]&lt;=TrafficData[[#This Row],[totalCourt]])</f>
        <v>1</v>
      </c>
    </row>
    <row r="1663" spans="1:16">
      <c r="A1663" s="1">
        <v>43667</v>
      </c>
      <c r="B1663">
        <v>67066</v>
      </c>
      <c r="C1663">
        <v>52526</v>
      </c>
      <c r="D1663">
        <v>14540</v>
      </c>
      <c r="E1663">
        <v>11019815</v>
      </c>
      <c r="F1663">
        <v>32536679</v>
      </c>
      <c r="G1663">
        <v>43556494</v>
      </c>
      <c r="H1663">
        <v>6180</v>
      </c>
      <c r="I1663">
        <v>6120</v>
      </c>
      <c r="J1663">
        <v>12300</v>
      </c>
      <c r="K1663" t="b">
        <f>TrafficData[[#This Row],[disposedChallan]]+TrafficData[[#This Row],[pendingChallan]]=TrafficData[[#This Row],[totalChallan]]</f>
        <v>1</v>
      </c>
      <c r="L1663" t="b">
        <f>TrafficData[[#This Row],[pendingAmount]]+TrafficData[[#This Row],[disposedAmount]]=TrafficData[[#This Row],[totalAmount]]</f>
        <v>1</v>
      </c>
      <c r="M1663" t="b">
        <f>TrafficData[[#This Row],[pendingCourt]]+TrafficData[[#This Row],[disposedCourt]]=TrafficData[[#This Row],[totalCourt]]</f>
        <v>1</v>
      </c>
      <c r="N1663" t="b">
        <f>AND(TrafficData[[#This Row],[disposedChallan]]&lt;=TrafficData[[#This Row],[totalChallan]],TrafficData[[#This Row],[pendingChallan]]&lt;=TrafficData[[#This Row],[totalChallan]])</f>
        <v>1</v>
      </c>
      <c r="O1663" t="b">
        <f>AND(TrafficData[[#This Row],[pendingAmount]]&lt;=TrafficData[[#This Row],[totalAmount]],TrafficData[[#This Row],[disposedAmount]]&lt;=TrafficData[[#This Row],[totalAmount]])</f>
        <v>1</v>
      </c>
      <c r="P1663" t="b">
        <f>AND(TrafficData[[#This Row],[pendingCourt]]&lt;=TrafficData[[#This Row],[totalCourt]],TrafficData[[#This Row],[disposedCourt]]&lt;=TrafficData[[#This Row],[totalCourt]])</f>
        <v>1</v>
      </c>
    </row>
    <row r="1664" spans="1:16">
      <c r="A1664" s="1">
        <v>43668</v>
      </c>
      <c r="B1664">
        <v>78311</v>
      </c>
      <c r="C1664">
        <v>62537</v>
      </c>
      <c r="D1664">
        <v>15774</v>
      </c>
      <c r="E1664">
        <v>16137880</v>
      </c>
      <c r="F1664">
        <v>39294196</v>
      </c>
      <c r="G1664">
        <v>55432076</v>
      </c>
      <c r="H1664">
        <v>8459</v>
      </c>
      <c r="I1664">
        <v>7542</v>
      </c>
      <c r="J1664">
        <v>16001</v>
      </c>
      <c r="K1664" t="b">
        <f>TrafficData[[#This Row],[disposedChallan]]+TrafficData[[#This Row],[pendingChallan]]=TrafficData[[#This Row],[totalChallan]]</f>
        <v>1</v>
      </c>
      <c r="L1664" t="b">
        <f>TrafficData[[#This Row],[pendingAmount]]+TrafficData[[#This Row],[disposedAmount]]=TrafficData[[#This Row],[totalAmount]]</f>
        <v>1</v>
      </c>
      <c r="M1664" t="b">
        <f>TrafficData[[#This Row],[pendingCourt]]+TrafficData[[#This Row],[disposedCourt]]=TrafficData[[#This Row],[totalCourt]]</f>
        <v>1</v>
      </c>
      <c r="N1664" t="b">
        <f>AND(TrafficData[[#This Row],[disposedChallan]]&lt;=TrafficData[[#This Row],[totalChallan]],TrafficData[[#This Row],[pendingChallan]]&lt;=TrafficData[[#This Row],[totalChallan]])</f>
        <v>1</v>
      </c>
      <c r="O1664" t="b">
        <f>AND(TrafficData[[#This Row],[pendingAmount]]&lt;=TrafficData[[#This Row],[totalAmount]],TrafficData[[#This Row],[disposedAmount]]&lt;=TrafficData[[#This Row],[totalAmount]])</f>
        <v>1</v>
      </c>
      <c r="P1664" t="b">
        <f>AND(TrafficData[[#This Row],[pendingCourt]]&lt;=TrafficData[[#This Row],[totalCourt]],TrafficData[[#This Row],[disposedCourt]]&lt;=TrafficData[[#This Row],[totalCourt]])</f>
        <v>1</v>
      </c>
    </row>
    <row r="1665" spans="1:16">
      <c r="A1665" s="1">
        <v>43669</v>
      </c>
      <c r="B1665">
        <v>79397</v>
      </c>
      <c r="C1665">
        <v>64690</v>
      </c>
      <c r="D1665">
        <v>14707</v>
      </c>
      <c r="E1665">
        <v>17584751</v>
      </c>
      <c r="F1665">
        <v>49904772</v>
      </c>
      <c r="G1665">
        <v>67489523</v>
      </c>
      <c r="H1665">
        <v>7630</v>
      </c>
      <c r="I1665">
        <v>8084</v>
      </c>
      <c r="J1665">
        <v>15714</v>
      </c>
      <c r="K1665" t="b">
        <f>TrafficData[[#This Row],[disposedChallan]]+TrafficData[[#This Row],[pendingChallan]]=TrafficData[[#This Row],[totalChallan]]</f>
        <v>1</v>
      </c>
      <c r="L1665" t="b">
        <f>TrafficData[[#This Row],[pendingAmount]]+TrafficData[[#This Row],[disposedAmount]]=TrafficData[[#This Row],[totalAmount]]</f>
        <v>1</v>
      </c>
      <c r="M1665" t="b">
        <f>TrafficData[[#This Row],[pendingCourt]]+TrafficData[[#This Row],[disposedCourt]]=TrafficData[[#This Row],[totalCourt]]</f>
        <v>1</v>
      </c>
      <c r="N1665" t="b">
        <f>AND(TrafficData[[#This Row],[disposedChallan]]&lt;=TrafficData[[#This Row],[totalChallan]],TrafficData[[#This Row],[pendingChallan]]&lt;=TrafficData[[#This Row],[totalChallan]])</f>
        <v>1</v>
      </c>
      <c r="O1665" t="b">
        <f>AND(TrafficData[[#This Row],[pendingAmount]]&lt;=TrafficData[[#This Row],[totalAmount]],TrafficData[[#This Row],[disposedAmount]]&lt;=TrafficData[[#This Row],[totalAmount]])</f>
        <v>1</v>
      </c>
      <c r="P1665" t="b">
        <f>AND(TrafficData[[#This Row],[pendingCourt]]&lt;=TrafficData[[#This Row],[totalCourt]],TrafficData[[#This Row],[disposedCourt]]&lt;=TrafficData[[#This Row],[totalCourt]])</f>
        <v>1</v>
      </c>
    </row>
    <row r="1666" spans="1:16">
      <c r="A1666" s="1">
        <v>43670</v>
      </c>
      <c r="B1666">
        <v>78398</v>
      </c>
      <c r="C1666">
        <v>63925</v>
      </c>
      <c r="D1666">
        <v>14473</v>
      </c>
      <c r="E1666">
        <v>17148310</v>
      </c>
      <c r="F1666">
        <v>53533287</v>
      </c>
      <c r="G1666">
        <v>70681597</v>
      </c>
      <c r="H1666">
        <v>7383</v>
      </c>
      <c r="I1666">
        <v>7693</v>
      </c>
      <c r="J1666">
        <v>15076</v>
      </c>
      <c r="K1666" t="b">
        <f>TrafficData[[#This Row],[disposedChallan]]+TrafficData[[#This Row],[pendingChallan]]=TrafficData[[#This Row],[totalChallan]]</f>
        <v>1</v>
      </c>
      <c r="L1666" t="b">
        <f>TrafficData[[#This Row],[pendingAmount]]+TrafficData[[#This Row],[disposedAmount]]=TrafficData[[#This Row],[totalAmount]]</f>
        <v>1</v>
      </c>
      <c r="M1666" t="b">
        <f>TrafficData[[#This Row],[pendingCourt]]+TrafficData[[#This Row],[disposedCourt]]=TrafficData[[#This Row],[totalCourt]]</f>
        <v>1</v>
      </c>
      <c r="N1666" t="b">
        <f>AND(TrafficData[[#This Row],[disposedChallan]]&lt;=TrafficData[[#This Row],[totalChallan]],TrafficData[[#This Row],[pendingChallan]]&lt;=TrafficData[[#This Row],[totalChallan]])</f>
        <v>1</v>
      </c>
      <c r="O1666" t="b">
        <f>AND(TrafficData[[#This Row],[pendingAmount]]&lt;=TrafficData[[#This Row],[totalAmount]],TrafficData[[#This Row],[disposedAmount]]&lt;=TrafficData[[#This Row],[totalAmount]])</f>
        <v>1</v>
      </c>
      <c r="P1666" t="b">
        <f>AND(TrafficData[[#This Row],[pendingCourt]]&lt;=TrafficData[[#This Row],[totalCourt]],TrafficData[[#This Row],[disposedCourt]]&lt;=TrafficData[[#This Row],[totalCourt]])</f>
        <v>1</v>
      </c>
    </row>
    <row r="1667" spans="1:16">
      <c r="A1667" s="1">
        <v>43671</v>
      </c>
      <c r="B1667">
        <v>85720</v>
      </c>
      <c r="C1667">
        <v>65409</v>
      </c>
      <c r="D1667">
        <v>20311</v>
      </c>
      <c r="E1667">
        <v>24150728</v>
      </c>
      <c r="F1667">
        <v>47327824</v>
      </c>
      <c r="G1667">
        <v>71478552</v>
      </c>
      <c r="H1667">
        <v>12650</v>
      </c>
      <c r="I1667">
        <v>7494</v>
      </c>
      <c r="J1667">
        <v>20144</v>
      </c>
      <c r="K1667" t="b">
        <f>TrafficData[[#This Row],[disposedChallan]]+TrafficData[[#This Row],[pendingChallan]]=TrafficData[[#This Row],[totalChallan]]</f>
        <v>1</v>
      </c>
      <c r="L1667" t="b">
        <f>TrafficData[[#This Row],[pendingAmount]]+TrafficData[[#This Row],[disposedAmount]]=TrafficData[[#This Row],[totalAmount]]</f>
        <v>1</v>
      </c>
      <c r="M1667" t="b">
        <f>TrafficData[[#This Row],[pendingCourt]]+TrafficData[[#This Row],[disposedCourt]]=TrafficData[[#This Row],[totalCourt]]</f>
        <v>1</v>
      </c>
      <c r="N1667" t="b">
        <f>AND(TrafficData[[#This Row],[disposedChallan]]&lt;=TrafficData[[#This Row],[totalChallan]],TrafficData[[#This Row],[pendingChallan]]&lt;=TrafficData[[#This Row],[totalChallan]])</f>
        <v>1</v>
      </c>
      <c r="O1667" t="b">
        <f>AND(TrafficData[[#This Row],[pendingAmount]]&lt;=TrafficData[[#This Row],[totalAmount]],TrafficData[[#This Row],[disposedAmount]]&lt;=TrafficData[[#This Row],[totalAmount]])</f>
        <v>1</v>
      </c>
      <c r="P1667" t="b">
        <f>AND(TrafficData[[#This Row],[pendingCourt]]&lt;=TrafficData[[#This Row],[totalCourt]],TrafficData[[#This Row],[disposedCourt]]&lt;=TrafficData[[#This Row],[totalCourt]])</f>
        <v>1</v>
      </c>
    </row>
    <row r="1668" spans="1:16">
      <c r="A1668" s="1">
        <v>43672</v>
      </c>
      <c r="B1668">
        <v>79580</v>
      </c>
      <c r="C1668">
        <v>60138</v>
      </c>
      <c r="D1668">
        <v>19442</v>
      </c>
      <c r="E1668">
        <v>21140201</v>
      </c>
      <c r="F1668">
        <v>44795204</v>
      </c>
      <c r="G1668">
        <v>65935405</v>
      </c>
      <c r="H1668">
        <v>11176</v>
      </c>
      <c r="I1668">
        <v>6916</v>
      </c>
      <c r="J1668">
        <v>18092</v>
      </c>
      <c r="K1668" t="b">
        <f>TrafficData[[#This Row],[disposedChallan]]+TrafficData[[#This Row],[pendingChallan]]=TrafficData[[#This Row],[totalChallan]]</f>
        <v>1</v>
      </c>
      <c r="L1668" t="b">
        <f>TrafficData[[#This Row],[pendingAmount]]+TrafficData[[#This Row],[disposedAmount]]=TrafficData[[#This Row],[totalAmount]]</f>
        <v>1</v>
      </c>
      <c r="M1668" t="b">
        <f>TrafficData[[#This Row],[pendingCourt]]+TrafficData[[#This Row],[disposedCourt]]=TrafficData[[#This Row],[totalCourt]]</f>
        <v>1</v>
      </c>
      <c r="N1668" t="b">
        <f>AND(TrafficData[[#This Row],[disposedChallan]]&lt;=TrafficData[[#This Row],[totalChallan]],TrafficData[[#This Row],[pendingChallan]]&lt;=TrafficData[[#This Row],[totalChallan]])</f>
        <v>1</v>
      </c>
      <c r="O1668" t="b">
        <f>AND(TrafficData[[#This Row],[pendingAmount]]&lt;=TrafficData[[#This Row],[totalAmount]],TrafficData[[#This Row],[disposedAmount]]&lt;=TrafficData[[#This Row],[totalAmount]])</f>
        <v>1</v>
      </c>
      <c r="P1668" t="b">
        <f>AND(TrafficData[[#This Row],[pendingCourt]]&lt;=TrafficData[[#This Row],[totalCourt]],TrafficData[[#This Row],[disposedCourt]]&lt;=TrafficData[[#This Row],[totalCourt]])</f>
        <v>1</v>
      </c>
    </row>
    <row r="1669" spans="1:16">
      <c r="A1669" s="1">
        <v>43673</v>
      </c>
      <c r="B1669">
        <v>74423</v>
      </c>
      <c r="C1669">
        <v>57993</v>
      </c>
      <c r="D1669">
        <v>16430</v>
      </c>
      <c r="E1669">
        <v>15264453</v>
      </c>
      <c r="F1669">
        <v>42401379</v>
      </c>
      <c r="G1669">
        <v>57665832</v>
      </c>
      <c r="H1669">
        <v>8403</v>
      </c>
      <c r="I1669">
        <v>6437</v>
      </c>
      <c r="J1669">
        <v>14840</v>
      </c>
      <c r="K1669" t="b">
        <f>TrafficData[[#This Row],[disposedChallan]]+TrafficData[[#This Row],[pendingChallan]]=TrafficData[[#This Row],[totalChallan]]</f>
        <v>1</v>
      </c>
      <c r="L1669" t="b">
        <f>TrafficData[[#This Row],[pendingAmount]]+TrafficData[[#This Row],[disposedAmount]]=TrafficData[[#This Row],[totalAmount]]</f>
        <v>1</v>
      </c>
      <c r="M1669" t="b">
        <f>TrafficData[[#This Row],[pendingCourt]]+TrafficData[[#This Row],[disposedCourt]]=TrafficData[[#This Row],[totalCourt]]</f>
        <v>1</v>
      </c>
      <c r="N1669" t="b">
        <f>AND(TrafficData[[#This Row],[disposedChallan]]&lt;=TrafficData[[#This Row],[totalChallan]],TrafficData[[#This Row],[pendingChallan]]&lt;=TrafficData[[#This Row],[totalChallan]])</f>
        <v>1</v>
      </c>
      <c r="O1669" t="b">
        <f>AND(TrafficData[[#This Row],[pendingAmount]]&lt;=TrafficData[[#This Row],[totalAmount]],TrafficData[[#This Row],[disposedAmount]]&lt;=TrafficData[[#This Row],[totalAmount]])</f>
        <v>1</v>
      </c>
      <c r="P1669" t="b">
        <f>AND(TrafficData[[#This Row],[pendingCourt]]&lt;=TrafficData[[#This Row],[totalCourt]],TrafficData[[#This Row],[disposedCourt]]&lt;=TrafficData[[#This Row],[totalCourt]])</f>
        <v>1</v>
      </c>
    </row>
    <row r="1670" spans="1:16">
      <c r="A1670" s="1">
        <v>43674</v>
      </c>
      <c r="B1670">
        <v>66733</v>
      </c>
      <c r="C1670">
        <v>51822</v>
      </c>
      <c r="D1670">
        <v>14911</v>
      </c>
      <c r="E1670">
        <v>12147870</v>
      </c>
      <c r="F1670">
        <v>37867637</v>
      </c>
      <c r="G1670">
        <v>50015507</v>
      </c>
      <c r="H1670">
        <v>6403</v>
      </c>
      <c r="I1670">
        <v>5299</v>
      </c>
      <c r="J1670">
        <v>11702</v>
      </c>
      <c r="K1670" t="b">
        <f>TrafficData[[#This Row],[disposedChallan]]+TrafficData[[#This Row],[pendingChallan]]=TrafficData[[#This Row],[totalChallan]]</f>
        <v>1</v>
      </c>
      <c r="L1670" t="b">
        <f>TrafficData[[#This Row],[pendingAmount]]+TrafficData[[#This Row],[disposedAmount]]=TrafficData[[#This Row],[totalAmount]]</f>
        <v>1</v>
      </c>
      <c r="M1670" t="b">
        <f>TrafficData[[#This Row],[pendingCourt]]+TrafficData[[#This Row],[disposedCourt]]=TrafficData[[#This Row],[totalCourt]]</f>
        <v>1</v>
      </c>
      <c r="N1670" t="b">
        <f>AND(TrafficData[[#This Row],[disposedChallan]]&lt;=TrafficData[[#This Row],[totalChallan]],TrafficData[[#This Row],[pendingChallan]]&lt;=TrafficData[[#This Row],[totalChallan]])</f>
        <v>1</v>
      </c>
      <c r="O1670" t="b">
        <f>AND(TrafficData[[#This Row],[pendingAmount]]&lt;=TrafficData[[#This Row],[totalAmount]],TrafficData[[#This Row],[disposedAmount]]&lt;=TrafficData[[#This Row],[totalAmount]])</f>
        <v>1</v>
      </c>
      <c r="P1670" t="b">
        <f>AND(TrafficData[[#This Row],[pendingCourt]]&lt;=TrafficData[[#This Row],[totalCourt]],TrafficData[[#This Row],[disposedCourt]]&lt;=TrafficData[[#This Row],[totalCourt]])</f>
        <v>1</v>
      </c>
    </row>
    <row r="1671" spans="1:16">
      <c r="A1671" s="1">
        <v>43675</v>
      </c>
      <c r="B1671">
        <v>62629</v>
      </c>
      <c r="C1671">
        <v>49371</v>
      </c>
      <c r="D1671">
        <v>13258</v>
      </c>
      <c r="E1671">
        <v>14333030</v>
      </c>
      <c r="F1671">
        <v>34218124</v>
      </c>
      <c r="G1671">
        <v>48551154</v>
      </c>
      <c r="H1671">
        <v>7420</v>
      </c>
      <c r="I1671">
        <v>5814</v>
      </c>
      <c r="J1671">
        <v>13234</v>
      </c>
      <c r="K1671" t="b">
        <f>TrafficData[[#This Row],[disposedChallan]]+TrafficData[[#This Row],[pendingChallan]]=TrafficData[[#This Row],[totalChallan]]</f>
        <v>1</v>
      </c>
      <c r="L1671" t="b">
        <f>TrafficData[[#This Row],[pendingAmount]]+TrafficData[[#This Row],[disposedAmount]]=TrafficData[[#This Row],[totalAmount]]</f>
        <v>1</v>
      </c>
      <c r="M1671" t="b">
        <f>TrafficData[[#This Row],[pendingCourt]]+TrafficData[[#This Row],[disposedCourt]]=TrafficData[[#This Row],[totalCourt]]</f>
        <v>1</v>
      </c>
      <c r="N1671" t="b">
        <f>AND(TrafficData[[#This Row],[disposedChallan]]&lt;=TrafficData[[#This Row],[totalChallan]],TrafficData[[#This Row],[pendingChallan]]&lt;=TrafficData[[#This Row],[totalChallan]])</f>
        <v>1</v>
      </c>
      <c r="O1671" t="b">
        <f>AND(TrafficData[[#This Row],[pendingAmount]]&lt;=TrafficData[[#This Row],[totalAmount]],TrafficData[[#This Row],[disposedAmount]]&lt;=TrafficData[[#This Row],[totalAmount]])</f>
        <v>1</v>
      </c>
      <c r="P1671" t="b">
        <f>AND(TrafficData[[#This Row],[pendingCourt]]&lt;=TrafficData[[#This Row],[totalCourt]],TrafficData[[#This Row],[disposedCourt]]&lt;=TrafficData[[#This Row],[totalCourt]])</f>
        <v>1</v>
      </c>
    </row>
    <row r="1672" spans="1:16">
      <c r="A1672" s="1">
        <v>43676</v>
      </c>
      <c r="B1672">
        <v>70885</v>
      </c>
      <c r="C1672">
        <v>55828</v>
      </c>
      <c r="D1672">
        <v>15057</v>
      </c>
      <c r="E1672">
        <v>14914353</v>
      </c>
      <c r="F1672">
        <v>37004430</v>
      </c>
      <c r="G1672">
        <v>51918783</v>
      </c>
      <c r="H1672">
        <v>7630</v>
      </c>
      <c r="I1672">
        <v>6303</v>
      </c>
      <c r="J1672">
        <v>13933</v>
      </c>
      <c r="K1672" t="b">
        <f>TrafficData[[#This Row],[disposedChallan]]+TrafficData[[#This Row],[pendingChallan]]=TrafficData[[#This Row],[totalChallan]]</f>
        <v>1</v>
      </c>
      <c r="L1672" t="b">
        <f>TrafficData[[#This Row],[pendingAmount]]+TrafficData[[#This Row],[disposedAmount]]=TrafficData[[#This Row],[totalAmount]]</f>
        <v>1</v>
      </c>
      <c r="M1672" t="b">
        <f>TrafficData[[#This Row],[pendingCourt]]+TrafficData[[#This Row],[disposedCourt]]=TrafficData[[#This Row],[totalCourt]]</f>
        <v>1</v>
      </c>
      <c r="N1672" t="b">
        <f>AND(TrafficData[[#This Row],[disposedChallan]]&lt;=TrafficData[[#This Row],[totalChallan]],TrafficData[[#This Row],[pendingChallan]]&lt;=TrafficData[[#This Row],[totalChallan]])</f>
        <v>1</v>
      </c>
      <c r="O1672" t="b">
        <f>AND(TrafficData[[#This Row],[pendingAmount]]&lt;=TrafficData[[#This Row],[totalAmount]],TrafficData[[#This Row],[disposedAmount]]&lt;=TrafficData[[#This Row],[totalAmount]])</f>
        <v>1</v>
      </c>
      <c r="P1672" t="b">
        <f>AND(TrafficData[[#This Row],[pendingCourt]]&lt;=TrafficData[[#This Row],[totalCourt]],TrafficData[[#This Row],[disposedCourt]]&lt;=TrafficData[[#This Row],[totalCourt]])</f>
        <v>1</v>
      </c>
    </row>
    <row r="1673" spans="1:16">
      <c r="A1673" s="1">
        <v>43677</v>
      </c>
      <c r="B1673">
        <v>92092</v>
      </c>
      <c r="C1673">
        <v>68981</v>
      </c>
      <c r="D1673">
        <v>23111</v>
      </c>
      <c r="E1673">
        <v>20602301</v>
      </c>
      <c r="F1673">
        <v>46839314</v>
      </c>
      <c r="G1673">
        <v>67441615</v>
      </c>
      <c r="H1673">
        <v>10627</v>
      </c>
      <c r="I1673">
        <v>8708</v>
      </c>
      <c r="J1673">
        <v>19335</v>
      </c>
      <c r="K1673" t="b">
        <f>TrafficData[[#This Row],[disposedChallan]]+TrafficData[[#This Row],[pendingChallan]]=TrafficData[[#This Row],[totalChallan]]</f>
        <v>1</v>
      </c>
      <c r="L1673" t="b">
        <f>TrafficData[[#This Row],[pendingAmount]]+TrafficData[[#This Row],[disposedAmount]]=TrafficData[[#This Row],[totalAmount]]</f>
        <v>1</v>
      </c>
      <c r="M1673" t="b">
        <f>TrafficData[[#This Row],[pendingCourt]]+TrafficData[[#This Row],[disposedCourt]]=TrafficData[[#This Row],[totalCourt]]</f>
        <v>1</v>
      </c>
      <c r="N1673" t="b">
        <f>AND(TrafficData[[#This Row],[disposedChallan]]&lt;=TrafficData[[#This Row],[totalChallan]],TrafficData[[#This Row],[pendingChallan]]&lt;=TrafficData[[#This Row],[totalChallan]])</f>
        <v>1</v>
      </c>
      <c r="O1673" t="b">
        <f>AND(TrafficData[[#This Row],[pendingAmount]]&lt;=TrafficData[[#This Row],[totalAmount]],TrafficData[[#This Row],[disposedAmount]]&lt;=TrafficData[[#This Row],[totalAmount]])</f>
        <v>1</v>
      </c>
      <c r="P1673" t="b">
        <f>AND(TrafficData[[#This Row],[pendingCourt]]&lt;=TrafficData[[#This Row],[totalCourt]],TrafficData[[#This Row],[disposedCourt]]&lt;=TrafficData[[#This Row],[totalCourt]])</f>
        <v>1</v>
      </c>
    </row>
    <row r="1674" spans="1:16">
      <c r="A1674" s="1">
        <v>43678</v>
      </c>
      <c r="B1674">
        <v>100772</v>
      </c>
      <c r="C1674">
        <v>74077</v>
      </c>
      <c r="D1674">
        <v>26695</v>
      </c>
      <c r="E1674">
        <v>17229640</v>
      </c>
      <c r="F1674">
        <v>52147017</v>
      </c>
      <c r="G1674">
        <v>69376657</v>
      </c>
      <c r="H1674">
        <v>7159</v>
      </c>
      <c r="I1674">
        <v>8229</v>
      </c>
      <c r="J1674">
        <v>15388</v>
      </c>
      <c r="K1674" t="b">
        <f>TrafficData[[#This Row],[disposedChallan]]+TrafficData[[#This Row],[pendingChallan]]=TrafficData[[#This Row],[totalChallan]]</f>
        <v>1</v>
      </c>
      <c r="L1674" t="b">
        <f>TrafficData[[#This Row],[pendingAmount]]+TrafficData[[#This Row],[disposedAmount]]=TrafficData[[#This Row],[totalAmount]]</f>
        <v>1</v>
      </c>
      <c r="M1674" t="b">
        <f>TrafficData[[#This Row],[pendingCourt]]+TrafficData[[#This Row],[disposedCourt]]=TrafficData[[#This Row],[totalCourt]]</f>
        <v>1</v>
      </c>
      <c r="N1674" t="b">
        <f>AND(TrafficData[[#This Row],[disposedChallan]]&lt;=TrafficData[[#This Row],[totalChallan]],TrafficData[[#This Row],[pendingChallan]]&lt;=TrafficData[[#This Row],[totalChallan]])</f>
        <v>1</v>
      </c>
      <c r="O1674" t="b">
        <f>AND(TrafficData[[#This Row],[pendingAmount]]&lt;=TrafficData[[#This Row],[totalAmount]],TrafficData[[#This Row],[disposedAmount]]&lt;=TrafficData[[#This Row],[totalAmount]])</f>
        <v>1</v>
      </c>
      <c r="P1674" t="b">
        <f>AND(TrafficData[[#This Row],[pendingCourt]]&lt;=TrafficData[[#This Row],[totalCourt]],TrafficData[[#This Row],[disposedCourt]]&lt;=TrafficData[[#This Row],[totalCourt]])</f>
        <v>1</v>
      </c>
    </row>
    <row r="1675" spans="1:16">
      <c r="A1675" s="1">
        <v>43679</v>
      </c>
      <c r="B1675">
        <v>103794</v>
      </c>
      <c r="C1675">
        <v>73346</v>
      </c>
      <c r="D1675">
        <v>30448</v>
      </c>
      <c r="E1675">
        <v>26698541</v>
      </c>
      <c r="F1675">
        <v>52841068</v>
      </c>
      <c r="G1675">
        <v>79539609</v>
      </c>
      <c r="H1675">
        <v>11787</v>
      </c>
      <c r="I1675">
        <v>7266</v>
      </c>
      <c r="J1675">
        <v>19053</v>
      </c>
      <c r="K1675" t="b">
        <f>TrafficData[[#This Row],[disposedChallan]]+TrafficData[[#This Row],[pendingChallan]]=TrafficData[[#This Row],[totalChallan]]</f>
        <v>1</v>
      </c>
      <c r="L1675" t="b">
        <f>TrafficData[[#This Row],[pendingAmount]]+TrafficData[[#This Row],[disposedAmount]]=TrafficData[[#This Row],[totalAmount]]</f>
        <v>1</v>
      </c>
      <c r="M1675" t="b">
        <f>TrafficData[[#This Row],[pendingCourt]]+TrafficData[[#This Row],[disposedCourt]]=TrafficData[[#This Row],[totalCourt]]</f>
        <v>1</v>
      </c>
      <c r="N1675" t="b">
        <f>AND(TrafficData[[#This Row],[disposedChallan]]&lt;=TrafficData[[#This Row],[totalChallan]],TrafficData[[#This Row],[pendingChallan]]&lt;=TrafficData[[#This Row],[totalChallan]])</f>
        <v>1</v>
      </c>
      <c r="O1675" t="b">
        <f>AND(TrafficData[[#This Row],[pendingAmount]]&lt;=TrafficData[[#This Row],[totalAmount]],TrafficData[[#This Row],[disposedAmount]]&lt;=TrafficData[[#This Row],[totalAmount]])</f>
        <v>1</v>
      </c>
      <c r="P1675" t="b">
        <f>AND(TrafficData[[#This Row],[pendingCourt]]&lt;=TrafficData[[#This Row],[totalCourt]],TrafficData[[#This Row],[disposedCourt]]&lt;=TrafficData[[#This Row],[totalCourt]])</f>
        <v>1</v>
      </c>
    </row>
    <row r="1676" spans="1:16">
      <c r="A1676" s="1">
        <v>43680</v>
      </c>
      <c r="B1676">
        <v>100100</v>
      </c>
      <c r="C1676">
        <v>72458</v>
      </c>
      <c r="D1676">
        <v>27642</v>
      </c>
      <c r="E1676">
        <v>18540294</v>
      </c>
      <c r="F1676">
        <v>50268452</v>
      </c>
      <c r="G1676">
        <v>68808746</v>
      </c>
      <c r="H1676">
        <v>8155</v>
      </c>
      <c r="I1676">
        <v>6007</v>
      </c>
      <c r="J1676">
        <v>14162</v>
      </c>
      <c r="K1676" t="b">
        <f>TrafficData[[#This Row],[disposedChallan]]+TrafficData[[#This Row],[pendingChallan]]=TrafficData[[#This Row],[totalChallan]]</f>
        <v>1</v>
      </c>
      <c r="L1676" t="b">
        <f>TrafficData[[#This Row],[pendingAmount]]+TrafficData[[#This Row],[disposedAmount]]=TrafficData[[#This Row],[totalAmount]]</f>
        <v>1</v>
      </c>
      <c r="M1676" t="b">
        <f>TrafficData[[#This Row],[pendingCourt]]+TrafficData[[#This Row],[disposedCourt]]=TrafficData[[#This Row],[totalCourt]]</f>
        <v>1</v>
      </c>
      <c r="N1676" t="b">
        <f>AND(TrafficData[[#This Row],[disposedChallan]]&lt;=TrafficData[[#This Row],[totalChallan]],TrafficData[[#This Row],[pendingChallan]]&lt;=TrafficData[[#This Row],[totalChallan]])</f>
        <v>1</v>
      </c>
      <c r="O1676" t="b">
        <f>AND(TrafficData[[#This Row],[pendingAmount]]&lt;=TrafficData[[#This Row],[totalAmount]],TrafficData[[#This Row],[disposedAmount]]&lt;=TrafficData[[#This Row],[totalAmount]])</f>
        <v>1</v>
      </c>
      <c r="P1676" t="b">
        <f>AND(TrafficData[[#This Row],[pendingCourt]]&lt;=TrafficData[[#This Row],[totalCourt]],TrafficData[[#This Row],[disposedCourt]]&lt;=TrafficData[[#This Row],[totalCourt]])</f>
        <v>1</v>
      </c>
    </row>
    <row r="1677" spans="1:16">
      <c r="A1677" s="1">
        <v>43681</v>
      </c>
      <c r="B1677">
        <v>82703</v>
      </c>
      <c r="C1677">
        <v>60391</v>
      </c>
      <c r="D1677">
        <v>22312</v>
      </c>
      <c r="E1677">
        <v>12134155</v>
      </c>
      <c r="F1677">
        <v>33112258</v>
      </c>
      <c r="G1677">
        <v>45246413</v>
      </c>
      <c r="H1677">
        <v>5201</v>
      </c>
      <c r="I1677">
        <v>5784</v>
      </c>
      <c r="J1677">
        <v>10985</v>
      </c>
      <c r="K1677" t="b">
        <f>TrafficData[[#This Row],[disposedChallan]]+TrafficData[[#This Row],[pendingChallan]]=TrafficData[[#This Row],[totalChallan]]</f>
        <v>1</v>
      </c>
      <c r="L1677" t="b">
        <f>TrafficData[[#This Row],[pendingAmount]]+TrafficData[[#This Row],[disposedAmount]]=TrafficData[[#This Row],[totalAmount]]</f>
        <v>1</v>
      </c>
      <c r="M1677" t="b">
        <f>TrafficData[[#This Row],[pendingCourt]]+TrafficData[[#This Row],[disposedCourt]]=TrafficData[[#This Row],[totalCourt]]</f>
        <v>1</v>
      </c>
      <c r="N1677" t="b">
        <f>AND(TrafficData[[#This Row],[disposedChallan]]&lt;=TrafficData[[#This Row],[totalChallan]],TrafficData[[#This Row],[pendingChallan]]&lt;=TrafficData[[#This Row],[totalChallan]])</f>
        <v>1</v>
      </c>
      <c r="O1677" t="b">
        <f>AND(TrafficData[[#This Row],[pendingAmount]]&lt;=TrafficData[[#This Row],[totalAmount]],TrafficData[[#This Row],[disposedAmount]]&lt;=TrafficData[[#This Row],[totalAmount]])</f>
        <v>1</v>
      </c>
      <c r="P1677" t="b">
        <f>AND(TrafficData[[#This Row],[pendingCourt]]&lt;=TrafficData[[#This Row],[totalCourt]],TrafficData[[#This Row],[disposedCourt]]&lt;=TrafficData[[#This Row],[totalCourt]])</f>
        <v>1</v>
      </c>
    </row>
    <row r="1678" spans="1:16">
      <c r="A1678" s="1">
        <v>43682</v>
      </c>
      <c r="B1678">
        <v>86351</v>
      </c>
      <c r="C1678">
        <v>64286</v>
      </c>
      <c r="D1678">
        <v>22065</v>
      </c>
      <c r="E1678">
        <v>15237838</v>
      </c>
      <c r="F1678">
        <v>42033846</v>
      </c>
      <c r="G1678">
        <v>57271684</v>
      </c>
      <c r="H1678">
        <v>7152</v>
      </c>
      <c r="I1678">
        <v>5407</v>
      </c>
      <c r="J1678">
        <v>12559</v>
      </c>
      <c r="K1678" t="b">
        <f>TrafficData[[#This Row],[disposedChallan]]+TrafficData[[#This Row],[pendingChallan]]=TrafficData[[#This Row],[totalChallan]]</f>
        <v>1</v>
      </c>
      <c r="L1678" t="b">
        <f>TrafficData[[#This Row],[pendingAmount]]+TrafficData[[#This Row],[disposedAmount]]=TrafficData[[#This Row],[totalAmount]]</f>
        <v>1</v>
      </c>
      <c r="M1678" t="b">
        <f>TrafficData[[#This Row],[pendingCourt]]+TrafficData[[#This Row],[disposedCourt]]=TrafficData[[#This Row],[totalCourt]]</f>
        <v>1</v>
      </c>
      <c r="N1678" t="b">
        <f>AND(TrafficData[[#This Row],[disposedChallan]]&lt;=TrafficData[[#This Row],[totalChallan]],TrafficData[[#This Row],[pendingChallan]]&lt;=TrafficData[[#This Row],[totalChallan]])</f>
        <v>1</v>
      </c>
      <c r="O1678" t="b">
        <f>AND(TrafficData[[#This Row],[pendingAmount]]&lt;=TrafficData[[#This Row],[totalAmount]],TrafficData[[#This Row],[disposedAmount]]&lt;=TrafficData[[#This Row],[totalAmount]])</f>
        <v>1</v>
      </c>
      <c r="P1678" t="b">
        <f>AND(TrafficData[[#This Row],[pendingCourt]]&lt;=TrafficData[[#This Row],[totalCourt]],TrafficData[[#This Row],[disposedCourt]]&lt;=TrafficData[[#This Row],[totalCourt]])</f>
        <v>1</v>
      </c>
    </row>
    <row r="1679" spans="1:16">
      <c r="A1679" s="1">
        <v>43683</v>
      </c>
      <c r="B1679">
        <v>88968</v>
      </c>
      <c r="C1679">
        <v>64045</v>
      </c>
      <c r="D1679">
        <v>24923</v>
      </c>
      <c r="E1679">
        <v>21516600</v>
      </c>
      <c r="F1679">
        <v>49622893</v>
      </c>
      <c r="G1679">
        <v>71139493</v>
      </c>
      <c r="H1679">
        <v>10365</v>
      </c>
      <c r="I1679">
        <v>5707</v>
      </c>
      <c r="J1679">
        <v>16072</v>
      </c>
      <c r="K1679" t="b">
        <f>TrafficData[[#This Row],[disposedChallan]]+TrafficData[[#This Row],[pendingChallan]]=TrafficData[[#This Row],[totalChallan]]</f>
        <v>1</v>
      </c>
      <c r="L1679" t="b">
        <f>TrafficData[[#This Row],[pendingAmount]]+TrafficData[[#This Row],[disposedAmount]]=TrafficData[[#This Row],[totalAmount]]</f>
        <v>1</v>
      </c>
      <c r="M1679" t="b">
        <f>TrafficData[[#This Row],[pendingCourt]]+TrafficData[[#This Row],[disposedCourt]]=TrafficData[[#This Row],[totalCourt]]</f>
        <v>1</v>
      </c>
      <c r="N1679" t="b">
        <f>AND(TrafficData[[#This Row],[disposedChallan]]&lt;=TrafficData[[#This Row],[totalChallan]],TrafficData[[#This Row],[pendingChallan]]&lt;=TrafficData[[#This Row],[totalChallan]])</f>
        <v>1</v>
      </c>
      <c r="O1679" t="b">
        <f>AND(TrafficData[[#This Row],[pendingAmount]]&lt;=TrafficData[[#This Row],[totalAmount]],TrafficData[[#This Row],[disposedAmount]]&lt;=TrafficData[[#This Row],[totalAmount]])</f>
        <v>1</v>
      </c>
      <c r="P1679" t="b">
        <f>AND(TrafficData[[#This Row],[pendingCourt]]&lt;=TrafficData[[#This Row],[totalCourt]],TrafficData[[#This Row],[disposedCourt]]&lt;=TrafficData[[#This Row],[totalCourt]])</f>
        <v>1</v>
      </c>
    </row>
    <row r="1680" spans="1:16">
      <c r="A1680" s="1">
        <v>43684</v>
      </c>
      <c r="B1680">
        <v>89323</v>
      </c>
      <c r="C1680">
        <v>66508</v>
      </c>
      <c r="D1680">
        <v>22815</v>
      </c>
      <c r="E1680">
        <v>18686690</v>
      </c>
      <c r="F1680">
        <v>53422714</v>
      </c>
      <c r="G1680">
        <v>72109404</v>
      </c>
      <c r="H1680">
        <v>8530</v>
      </c>
      <c r="I1680">
        <v>6681</v>
      </c>
      <c r="J1680">
        <v>15211</v>
      </c>
      <c r="K1680" t="b">
        <f>TrafficData[[#This Row],[disposedChallan]]+TrafficData[[#This Row],[pendingChallan]]=TrafficData[[#This Row],[totalChallan]]</f>
        <v>1</v>
      </c>
      <c r="L1680" t="b">
        <f>TrafficData[[#This Row],[pendingAmount]]+TrafficData[[#This Row],[disposedAmount]]=TrafficData[[#This Row],[totalAmount]]</f>
        <v>1</v>
      </c>
      <c r="M1680" t="b">
        <f>TrafficData[[#This Row],[pendingCourt]]+TrafficData[[#This Row],[disposedCourt]]=TrafficData[[#This Row],[totalCourt]]</f>
        <v>1</v>
      </c>
      <c r="N1680" t="b">
        <f>AND(TrafficData[[#This Row],[disposedChallan]]&lt;=TrafficData[[#This Row],[totalChallan]],TrafficData[[#This Row],[pendingChallan]]&lt;=TrafficData[[#This Row],[totalChallan]])</f>
        <v>1</v>
      </c>
      <c r="O1680" t="b">
        <f>AND(TrafficData[[#This Row],[pendingAmount]]&lt;=TrafficData[[#This Row],[totalAmount]],TrafficData[[#This Row],[disposedAmount]]&lt;=TrafficData[[#This Row],[totalAmount]])</f>
        <v>1</v>
      </c>
      <c r="P1680" t="b">
        <f>AND(TrafficData[[#This Row],[pendingCourt]]&lt;=TrafficData[[#This Row],[totalCourt]],TrafficData[[#This Row],[disposedCourt]]&lt;=TrafficData[[#This Row],[totalCourt]])</f>
        <v>1</v>
      </c>
    </row>
    <row r="1681" spans="1:16">
      <c r="A1681" s="1">
        <v>43685</v>
      </c>
      <c r="B1681">
        <v>103454</v>
      </c>
      <c r="C1681">
        <v>73647</v>
      </c>
      <c r="D1681">
        <v>29807</v>
      </c>
      <c r="E1681">
        <v>27908159</v>
      </c>
      <c r="F1681">
        <v>58034290</v>
      </c>
      <c r="G1681">
        <v>85942449</v>
      </c>
      <c r="H1681">
        <v>13042</v>
      </c>
      <c r="I1681">
        <v>7068</v>
      </c>
      <c r="J1681">
        <v>20110</v>
      </c>
      <c r="K1681" t="b">
        <f>TrafficData[[#This Row],[disposedChallan]]+TrafficData[[#This Row],[pendingChallan]]=TrafficData[[#This Row],[totalChallan]]</f>
        <v>1</v>
      </c>
      <c r="L1681" t="b">
        <f>TrafficData[[#This Row],[pendingAmount]]+TrafficData[[#This Row],[disposedAmount]]=TrafficData[[#This Row],[totalAmount]]</f>
        <v>1</v>
      </c>
      <c r="M1681" t="b">
        <f>TrafficData[[#This Row],[pendingCourt]]+TrafficData[[#This Row],[disposedCourt]]=TrafficData[[#This Row],[totalCourt]]</f>
        <v>1</v>
      </c>
      <c r="N1681" t="b">
        <f>AND(TrafficData[[#This Row],[disposedChallan]]&lt;=TrafficData[[#This Row],[totalChallan]],TrafficData[[#This Row],[pendingChallan]]&lt;=TrafficData[[#This Row],[totalChallan]])</f>
        <v>1</v>
      </c>
      <c r="O1681" t="b">
        <f>AND(TrafficData[[#This Row],[pendingAmount]]&lt;=TrafficData[[#This Row],[totalAmount]],TrafficData[[#This Row],[disposedAmount]]&lt;=TrafficData[[#This Row],[totalAmount]])</f>
        <v>1</v>
      </c>
      <c r="P1681" t="b">
        <f>AND(TrafficData[[#This Row],[pendingCourt]]&lt;=TrafficData[[#This Row],[totalCourt]],TrafficData[[#This Row],[disposedCourt]]&lt;=TrafficData[[#This Row],[totalCourt]])</f>
        <v>1</v>
      </c>
    </row>
    <row r="1682" spans="1:16">
      <c r="A1682" s="1">
        <v>43686</v>
      </c>
      <c r="B1682">
        <v>97008</v>
      </c>
      <c r="C1682">
        <v>70200</v>
      </c>
      <c r="D1682">
        <v>26808</v>
      </c>
      <c r="E1682">
        <v>18728070</v>
      </c>
      <c r="F1682">
        <v>55502386</v>
      </c>
      <c r="G1682">
        <v>74230456</v>
      </c>
      <c r="H1682">
        <v>8945</v>
      </c>
      <c r="I1682">
        <v>6072</v>
      </c>
      <c r="J1682">
        <v>15017</v>
      </c>
      <c r="K1682" t="b">
        <f>TrafficData[[#This Row],[disposedChallan]]+TrafficData[[#This Row],[pendingChallan]]=TrafficData[[#This Row],[totalChallan]]</f>
        <v>1</v>
      </c>
      <c r="L1682" t="b">
        <f>TrafficData[[#This Row],[pendingAmount]]+TrafficData[[#This Row],[disposedAmount]]=TrafficData[[#This Row],[totalAmount]]</f>
        <v>1</v>
      </c>
      <c r="M1682" t="b">
        <f>TrafficData[[#This Row],[pendingCourt]]+TrafficData[[#This Row],[disposedCourt]]=TrafficData[[#This Row],[totalCourt]]</f>
        <v>1</v>
      </c>
      <c r="N1682" t="b">
        <f>AND(TrafficData[[#This Row],[disposedChallan]]&lt;=TrafficData[[#This Row],[totalChallan]],TrafficData[[#This Row],[pendingChallan]]&lt;=TrafficData[[#This Row],[totalChallan]])</f>
        <v>1</v>
      </c>
      <c r="O1682" t="b">
        <f>AND(TrafficData[[#This Row],[pendingAmount]]&lt;=TrafficData[[#This Row],[totalAmount]],TrafficData[[#This Row],[disposedAmount]]&lt;=TrafficData[[#This Row],[totalAmount]])</f>
        <v>1</v>
      </c>
      <c r="P1682" t="b">
        <f>AND(TrafficData[[#This Row],[pendingCourt]]&lt;=TrafficData[[#This Row],[totalCourt]],TrafficData[[#This Row],[disposedCourt]]&lt;=TrafficData[[#This Row],[totalCourt]])</f>
        <v>1</v>
      </c>
    </row>
    <row r="1683" spans="1:16">
      <c r="A1683" s="1">
        <v>43687</v>
      </c>
      <c r="B1683">
        <v>98436</v>
      </c>
      <c r="C1683">
        <v>69331</v>
      </c>
      <c r="D1683">
        <v>29105</v>
      </c>
      <c r="E1683">
        <v>18189821</v>
      </c>
      <c r="F1683">
        <v>46725505</v>
      </c>
      <c r="G1683">
        <v>64915326</v>
      </c>
      <c r="H1683">
        <v>8773</v>
      </c>
      <c r="I1683">
        <v>5976</v>
      </c>
      <c r="J1683">
        <v>14749</v>
      </c>
      <c r="K1683" t="b">
        <f>TrafficData[[#This Row],[disposedChallan]]+TrafficData[[#This Row],[pendingChallan]]=TrafficData[[#This Row],[totalChallan]]</f>
        <v>1</v>
      </c>
      <c r="L1683" t="b">
        <f>TrafficData[[#This Row],[pendingAmount]]+TrafficData[[#This Row],[disposedAmount]]=TrafficData[[#This Row],[totalAmount]]</f>
        <v>1</v>
      </c>
      <c r="M1683" t="b">
        <f>TrafficData[[#This Row],[pendingCourt]]+TrafficData[[#This Row],[disposedCourt]]=TrafficData[[#This Row],[totalCourt]]</f>
        <v>1</v>
      </c>
      <c r="N1683" t="b">
        <f>AND(TrafficData[[#This Row],[disposedChallan]]&lt;=TrafficData[[#This Row],[totalChallan]],TrafficData[[#This Row],[pendingChallan]]&lt;=TrafficData[[#This Row],[totalChallan]])</f>
        <v>1</v>
      </c>
      <c r="O1683" t="b">
        <f>AND(TrafficData[[#This Row],[pendingAmount]]&lt;=TrafficData[[#This Row],[totalAmount]],TrafficData[[#This Row],[disposedAmount]]&lt;=TrafficData[[#This Row],[totalAmount]])</f>
        <v>1</v>
      </c>
      <c r="P1683" t="b">
        <f>AND(TrafficData[[#This Row],[pendingCourt]]&lt;=TrafficData[[#This Row],[totalCourt]],TrafficData[[#This Row],[disposedCourt]]&lt;=TrafficData[[#This Row],[totalCourt]])</f>
        <v>1</v>
      </c>
    </row>
    <row r="1684" spans="1:16">
      <c r="A1684" s="1">
        <v>43688</v>
      </c>
      <c r="B1684">
        <v>88597</v>
      </c>
      <c r="C1684">
        <v>58588</v>
      </c>
      <c r="D1684">
        <v>30009</v>
      </c>
      <c r="E1684">
        <v>15508350</v>
      </c>
      <c r="F1684">
        <v>35879551</v>
      </c>
      <c r="G1684">
        <v>51387901</v>
      </c>
      <c r="H1684">
        <v>7050</v>
      </c>
      <c r="I1684">
        <v>4792</v>
      </c>
      <c r="J1684">
        <v>11842</v>
      </c>
      <c r="K1684" t="b">
        <f>TrafficData[[#This Row],[disposedChallan]]+TrafficData[[#This Row],[pendingChallan]]=TrafficData[[#This Row],[totalChallan]]</f>
        <v>1</v>
      </c>
      <c r="L1684" t="b">
        <f>TrafficData[[#This Row],[pendingAmount]]+TrafficData[[#This Row],[disposedAmount]]=TrafficData[[#This Row],[totalAmount]]</f>
        <v>1</v>
      </c>
      <c r="M1684" t="b">
        <f>TrafficData[[#This Row],[pendingCourt]]+TrafficData[[#This Row],[disposedCourt]]=TrafficData[[#This Row],[totalCourt]]</f>
        <v>1</v>
      </c>
      <c r="N1684" t="b">
        <f>AND(TrafficData[[#This Row],[disposedChallan]]&lt;=TrafficData[[#This Row],[totalChallan]],TrafficData[[#This Row],[pendingChallan]]&lt;=TrafficData[[#This Row],[totalChallan]])</f>
        <v>1</v>
      </c>
      <c r="O1684" t="b">
        <f>AND(TrafficData[[#This Row],[pendingAmount]]&lt;=TrafficData[[#This Row],[totalAmount]],TrafficData[[#This Row],[disposedAmount]]&lt;=TrafficData[[#This Row],[totalAmount]])</f>
        <v>1</v>
      </c>
      <c r="P1684" t="b">
        <f>AND(TrafficData[[#This Row],[pendingCourt]]&lt;=TrafficData[[#This Row],[totalCourt]],TrafficData[[#This Row],[disposedCourt]]&lt;=TrafficData[[#This Row],[totalCourt]])</f>
        <v>1</v>
      </c>
    </row>
    <row r="1685" spans="1:16">
      <c r="A1685" s="1">
        <v>43689</v>
      </c>
      <c r="B1685">
        <v>87392</v>
      </c>
      <c r="C1685">
        <v>59620</v>
      </c>
      <c r="D1685">
        <v>27772</v>
      </c>
      <c r="E1685">
        <v>12317050</v>
      </c>
      <c r="F1685">
        <v>25714881</v>
      </c>
      <c r="G1685">
        <v>38031931</v>
      </c>
      <c r="H1685">
        <v>5898</v>
      </c>
      <c r="I1685">
        <v>4064</v>
      </c>
      <c r="J1685">
        <v>9962</v>
      </c>
      <c r="K1685" t="b">
        <f>TrafficData[[#This Row],[disposedChallan]]+TrafficData[[#This Row],[pendingChallan]]=TrafficData[[#This Row],[totalChallan]]</f>
        <v>1</v>
      </c>
      <c r="L1685" t="b">
        <f>TrafficData[[#This Row],[pendingAmount]]+TrafficData[[#This Row],[disposedAmount]]=TrafficData[[#This Row],[totalAmount]]</f>
        <v>1</v>
      </c>
      <c r="M1685" t="b">
        <f>TrafficData[[#This Row],[pendingCourt]]+TrafficData[[#This Row],[disposedCourt]]=TrafficData[[#This Row],[totalCourt]]</f>
        <v>1</v>
      </c>
      <c r="N1685" t="b">
        <f>AND(TrafficData[[#This Row],[disposedChallan]]&lt;=TrafficData[[#This Row],[totalChallan]],TrafficData[[#This Row],[pendingChallan]]&lt;=TrafficData[[#This Row],[totalChallan]])</f>
        <v>1</v>
      </c>
      <c r="O1685" t="b">
        <f>AND(TrafficData[[#This Row],[pendingAmount]]&lt;=TrafficData[[#This Row],[totalAmount]],TrafficData[[#This Row],[disposedAmount]]&lt;=TrafficData[[#This Row],[totalAmount]])</f>
        <v>1</v>
      </c>
      <c r="P1685" t="b">
        <f>AND(TrafficData[[#This Row],[pendingCourt]]&lt;=TrafficData[[#This Row],[totalCourt]],TrafficData[[#This Row],[disposedCourt]]&lt;=TrafficData[[#This Row],[totalCourt]])</f>
        <v>1</v>
      </c>
    </row>
    <row r="1686" spans="1:16">
      <c r="A1686" s="1">
        <v>43690</v>
      </c>
      <c r="B1686">
        <v>88353</v>
      </c>
      <c r="C1686">
        <v>56850</v>
      </c>
      <c r="D1686">
        <v>31503</v>
      </c>
      <c r="E1686">
        <v>16780559</v>
      </c>
      <c r="F1686">
        <v>42512830</v>
      </c>
      <c r="G1686">
        <v>59293389</v>
      </c>
      <c r="H1686">
        <v>7519</v>
      </c>
      <c r="I1686">
        <v>5770</v>
      </c>
      <c r="J1686">
        <v>13289</v>
      </c>
      <c r="K1686" t="b">
        <f>TrafficData[[#This Row],[disposedChallan]]+TrafficData[[#This Row],[pendingChallan]]=TrafficData[[#This Row],[totalChallan]]</f>
        <v>1</v>
      </c>
      <c r="L1686" t="b">
        <f>TrafficData[[#This Row],[pendingAmount]]+TrafficData[[#This Row],[disposedAmount]]=TrafficData[[#This Row],[totalAmount]]</f>
        <v>1</v>
      </c>
      <c r="M1686" t="b">
        <f>TrafficData[[#This Row],[pendingCourt]]+TrafficData[[#This Row],[disposedCourt]]=TrafficData[[#This Row],[totalCourt]]</f>
        <v>1</v>
      </c>
      <c r="N1686" t="b">
        <f>AND(TrafficData[[#This Row],[disposedChallan]]&lt;=TrafficData[[#This Row],[totalChallan]],TrafficData[[#This Row],[pendingChallan]]&lt;=TrafficData[[#This Row],[totalChallan]])</f>
        <v>1</v>
      </c>
      <c r="O1686" t="b">
        <f>AND(TrafficData[[#This Row],[pendingAmount]]&lt;=TrafficData[[#This Row],[totalAmount]],TrafficData[[#This Row],[disposedAmount]]&lt;=TrafficData[[#This Row],[totalAmount]])</f>
        <v>1</v>
      </c>
      <c r="P1686" t="b">
        <f>AND(TrafficData[[#This Row],[pendingCourt]]&lt;=TrafficData[[#This Row],[totalCourt]],TrafficData[[#This Row],[disposedCourt]]&lt;=TrafficData[[#This Row],[totalCourt]])</f>
        <v>1</v>
      </c>
    </row>
    <row r="1687" spans="1:16">
      <c r="A1687" s="1">
        <v>43691</v>
      </c>
      <c r="B1687">
        <v>104998</v>
      </c>
      <c r="C1687">
        <v>71160</v>
      </c>
      <c r="D1687">
        <v>33838</v>
      </c>
      <c r="E1687">
        <v>21646303</v>
      </c>
      <c r="F1687">
        <v>51050277</v>
      </c>
      <c r="G1687">
        <v>72696580</v>
      </c>
      <c r="H1687">
        <v>11035</v>
      </c>
      <c r="I1687">
        <v>6688</v>
      </c>
      <c r="J1687">
        <v>17723</v>
      </c>
      <c r="K1687" t="b">
        <f>TrafficData[[#This Row],[disposedChallan]]+TrafficData[[#This Row],[pendingChallan]]=TrafficData[[#This Row],[totalChallan]]</f>
        <v>1</v>
      </c>
      <c r="L1687" t="b">
        <f>TrafficData[[#This Row],[pendingAmount]]+TrafficData[[#This Row],[disposedAmount]]=TrafficData[[#This Row],[totalAmount]]</f>
        <v>1</v>
      </c>
      <c r="M1687" t="b">
        <f>TrafficData[[#This Row],[pendingCourt]]+TrafficData[[#This Row],[disposedCourt]]=TrafficData[[#This Row],[totalCourt]]</f>
        <v>1</v>
      </c>
      <c r="N1687" t="b">
        <f>AND(TrafficData[[#This Row],[disposedChallan]]&lt;=TrafficData[[#This Row],[totalChallan]],TrafficData[[#This Row],[pendingChallan]]&lt;=TrafficData[[#This Row],[totalChallan]])</f>
        <v>1</v>
      </c>
      <c r="O1687" t="b">
        <f>AND(TrafficData[[#This Row],[pendingAmount]]&lt;=TrafficData[[#This Row],[totalAmount]],TrafficData[[#This Row],[disposedAmount]]&lt;=TrafficData[[#This Row],[totalAmount]])</f>
        <v>1</v>
      </c>
      <c r="P1687" t="b">
        <f>AND(TrafficData[[#This Row],[pendingCourt]]&lt;=TrafficData[[#This Row],[totalCourt]],TrafficData[[#This Row],[disposedCourt]]&lt;=TrafficData[[#This Row],[totalCourt]])</f>
        <v>1</v>
      </c>
    </row>
    <row r="1688" spans="1:16">
      <c r="A1688" s="1">
        <v>43692</v>
      </c>
      <c r="B1688">
        <v>63886</v>
      </c>
      <c r="C1688">
        <v>37490</v>
      </c>
      <c r="D1688">
        <v>26396</v>
      </c>
      <c r="E1688">
        <v>10606532</v>
      </c>
      <c r="F1688">
        <v>19696548</v>
      </c>
      <c r="G1688">
        <v>30303080</v>
      </c>
      <c r="H1688">
        <v>4838</v>
      </c>
      <c r="I1688">
        <v>2537</v>
      </c>
      <c r="J1688">
        <v>7375</v>
      </c>
      <c r="K1688" t="b">
        <f>TrafficData[[#This Row],[disposedChallan]]+TrafficData[[#This Row],[pendingChallan]]=TrafficData[[#This Row],[totalChallan]]</f>
        <v>1</v>
      </c>
      <c r="L1688" t="b">
        <f>TrafficData[[#This Row],[pendingAmount]]+TrafficData[[#This Row],[disposedAmount]]=TrafficData[[#This Row],[totalAmount]]</f>
        <v>1</v>
      </c>
      <c r="M1688" t="b">
        <f>TrafficData[[#This Row],[pendingCourt]]+TrafficData[[#This Row],[disposedCourt]]=TrafficData[[#This Row],[totalCourt]]</f>
        <v>1</v>
      </c>
      <c r="N1688" t="b">
        <f>AND(TrafficData[[#This Row],[disposedChallan]]&lt;=TrafficData[[#This Row],[totalChallan]],TrafficData[[#This Row],[pendingChallan]]&lt;=TrafficData[[#This Row],[totalChallan]])</f>
        <v>1</v>
      </c>
      <c r="O1688" t="b">
        <f>AND(TrafficData[[#This Row],[pendingAmount]]&lt;=TrafficData[[#This Row],[totalAmount]],TrafficData[[#This Row],[disposedAmount]]&lt;=TrafficData[[#This Row],[totalAmount]])</f>
        <v>1</v>
      </c>
      <c r="P1688" t="b">
        <f>AND(TrafficData[[#This Row],[pendingCourt]]&lt;=TrafficData[[#This Row],[totalCourt]],TrafficData[[#This Row],[disposedCourt]]&lt;=TrafficData[[#This Row],[totalCourt]])</f>
        <v>1</v>
      </c>
    </row>
    <row r="1689" spans="1:16">
      <c r="A1689" s="1">
        <v>43693</v>
      </c>
      <c r="B1689">
        <v>106479</v>
      </c>
      <c r="C1689">
        <v>72357</v>
      </c>
      <c r="D1689">
        <v>34122</v>
      </c>
      <c r="E1689">
        <v>24050958</v>
      </c>
      <c r="F1689">
        <v>42021550</v>
      </c>
      <c r="G1689">
        <v>66072508</v>
      </c>
      <c r="H1689">
        <v>11528</v>
      </c>
      <c r="I1689">
        <v>6931</v>
      </c>
      <c r="J1689">
        <v>18459</v>
      </c>
      <c r="K1689" t="b">
        <f>TrafficData[[#This Row],[disposedChallan]]+TrafficData[[#This Row],[pendingChallan]]=TrafficData[[#This Row],[totalChallan]]</f>
        <v>1</v>
      </c>
      <c r="L1689" t="b">
        <f>TrafficData[[#This Row],[pendingAmount]]+TrafficData[[#This Row],[disposedAmount]]=TrafficData[[#This Row],[totalAmount]]</f>
        <v>1</v>
      </c>
      <c r="M1689" t="b">
        <f>TrafficData[[#This Row],[pendingCourt]]+TrafficData[[#This Row],[disposedCourt]]=TrafficData[[#This Row],[totalCourt]]</f>
        <v>1</v>
      </c>
      <c r="N1689" t="b">
        <f>AND(TrafficData[[#This Row],[disposedChallan]]&lt;=TrafficData[[#This Row],[totalChallan]],TrafficData[[#This Row],[pendingChallan]]&lt;=TrafficData[[#This Row],[totalChallan]])</f>
        <v>1</v>
      </c>
      <c r="O1689" t="b">
        <f>AND(TrafficData[[#This Row],[pendingAmount]]&lt;=TrafficData[[#This Row],[totalAmount]],TrafficData[[#This Row],[disposedAmount]]&lt;=TrafficData[[#This Row],[totalAmount]])</f>
        <v>1</v>
      </c>
      <c r="P1689" t="b">
        <f>AND(TrafficData[[#This Row],[pendingCourt]]&lt;=TrafficData[[#This Row],[totalCourt]],TrafficData[[#This Row],[disposedCourt]]&lt;=TrafficData[[#This Row],[totalCourt]])</f>
        <v>1</v>
      </c>
    </row>
    <row r="1690" spans="1:16">
      <c r="A1690" s="1">
        <v>43694</v>
      </c>
      <c r="B1690">
        <v>104194</v>
      </c>
      <c r="C1690">
        <v>71975</v>
      </c>
      <c r="D1690">
        <v>32219</v>
      </c>
      <c r="E1690">
        <v>22196180</v>
      </c>
      <c r="F1690">
        <v>47049032</v>
      </c>
      <c r="G1690">
        <v>69245212</v>
      </c>
      <c r="H1690">
        <v>10347</v>
      </c>
      <c r="I1690">
        <v>7173</v>
      </c>
      <c r="J1690">
        <v>17520</v>
      </c>
      <c r="K1690" t="b">
        <f>TrafficData[[#This Row],[disposedChallan]]+TrafficData[[#This Row],[pendingChallan]]=TrafficData[[#This Row],[totalChallan]]</f>
        <v>1</v>
      </c>
      <c r="L1690" t="b">
        <f>TrafficData[[#This Row],[pendingAmount]]+TrafficData[[#This Row],[disposedAmount]]=TrafficData[[#This Row],[totalAmount]]</f>
        <v>1</v>
      </c>
      <c r="M1690" t="b">
        <f>TrafficData[[#This Row],[pendingCourt]]+TrafficData[[#This Row],[disposedCourt]]=TrafficData[[#This Row],[totalCourt]]</f>
        <v>1</v>
      </c>
      <c r="N1690" t="b">
        <f>AND(TrafficData[[#This Row],[disposedChallan]]&lt;=TrafficData[[#This Row],[totalChallan]],TrafficData[[#This Row],[pendingChallan]]&lt;=TrafficData[[#This Row],[totalChallan]])</f>
        <v>1</v>
      </c>
      <c r="O1690" t="b">
        <f>AND(TrafficData[[#This Row],[pendingAmount]]&lt;=TrafficData[[#This Row],[totalAmount]],TrafficData[[#This Row],[disposedAmount]]&lt;=TrafficData[[#This Row],[totalAmount]])</f>
        <v>1</v>
      </c>
      <c r="P1690" t="b">
        <f>AND(TrafficData[[#This Row],[pendingCourt]]&lt;=TrafficData[[#This Row],[totalCourt]],TrafficData[[#This Row],[disposedCourt]]&lt;=TrafficData[[#This Row],[totalCourt]])</f>
        <v>1</v>
      </c>
    </row>
    <row r="1691" spans="1:16">
      <c r="A1691" s="1">
        <v>43695</v>
      </c>
      <c r="B1691">
        <v>90433</v>
      </c>
      <c r="C1691">
        <v>63095</v>
      </c>
      <c r="D1691">
        <v>27338</v>
      </c>
      <c r="E1691">
        <v>14083950</v>
      </c>
      <c r="F1691">
        <v>32401875</v>
      </c>
      <c r="G1691">
        <v>46485825</v>
      </c>
      <c r="H1691">
        <v>6687</v>
      </c>
      <c r="I1691">
        <v>5380</v>
      </c>
      <c r="J1691">
        <v>12067</v>
      </c>
      <c r="K1691" t="b">
        <f>TrafficData[[#This Row],[disposedChallan]]+TrafficData[[#This Row],[pendingChallan]]=TrafficData[[#This Row],[totalChallan]]</f>
        <v>1</v>
      </c>
      <c r="L1691" t="b">
        <f>TrafficData[[#This Row],[pendingAmount]]+TrafficData[[#This Row],[disposedAmount]]=TrafficData[[#This Row],[totalAmount]]</f>
        <v>1</v>
      </c>
      <c r="M1691" t="b">
        <f>TrafficData[[#This Row],[pendingCourt]]+TrafficData[[#This Row],[disposedCourt]]=TrafficData[[#This Row],[totalCourt]]</f>
        <v>1</v>
      </c>
      <c r="N1691" t="b">
        <f>AND(TrafficData[[#This Row],[disposedChallan]]&lt;=TrafficData[[#This Row],[totalChallan]],TrafficData[[#This Row],[pendingChallan]]&lt;=TrafficData[[#This Row],[totalChallan]])</f>
        <v>1</v>
      </c>
      <c r="O1691" t="b">
        <f>AND(TrafficData[[#This Row],[pendingAmount]]&lt;=TrafficData[[#This Row],[totalAmount]],TrafficData[[#This Row],[disposedAmount]]&lt;=TrafficData[[#This Row],[totalAmount]])</f>
        <v>1</v>
      </c>
      <c r="P1691" t="b">
        <f>AND(TrafficData[[#This Row],[pendingCourt]]&lt;=TrafficData[[#This Row],[totalCourt]],TrafficData[[#This Row],[disposedCourt]]&lt;=TrafficData[[#This Row],[totalCourt]])</f>
        <v>1</v>
      </c>
    </row>
    <row r="1692" spans="1:16">
      <c r="A1692" s="1">
        <v>43696</v>
      </c>
      <c r="B1692">
        <v>108997</v>
      </c>
      <c r="C1692">
        <v>76146</v>
      </c>
      <c r="D1692">
        <v>32851</v>
      </c>
      <c r="E1692">
        <v>21155292</v>
      </c>
      <c r="F1692">
        <v>51390195</v>
      </c>
      <c r="G1692">
        <v>72545487</v>
      </c>
      <c r="H1692">
        <v>9164</v>
      </c>
      <c r="I1692">
        <v>7639</v>
      </c>
      <c r="J1692">
        <v>16803</v>
      </c>
      <c r="K1692" t="b">
        <f>TrafficData[[#This Row],[disposedChallan]]+TrafficData[[#This Row],[pendingChallan]]=TrafficData[[#This Row],[totalChallan]]</f>
        <v>1</v>
      </c>
      <c r="L1692" t="b">
        <f>TrafficData[[#This Row],[pendingAmount]]+TrafficData[[#This Row],[disposedAmount]]=TrafficData[[#This Row],[totalAmount]]</f>
        <v>1</v>
      </c>
      <c r="M1692" t="b">
        <f>TrafficData[[#This Row],[pendingCourt]]+TrafficData[[#This Row],[disposedCourt]]=TrafficData[[#This Row],[totalCourt]]</f>
        <v>1</v>
      </c>
      <c r="N1692" t="b">
        <f>AND(TrafficData[[#This Row],[disposedChallan]]&lt;=TrafficData[[#This Row],[totalChallan]],TrafficData[[#This Row],[pendingChallan]]&lt;=TrafficData[[#This Row],[totalChallan]])</f>
        <v>1</v>
      </c>
      <c r="O1692" t="b">
        <f>AND(TrafficData[[#This Row],[pendingAmount]]&lt;=TrafficData[[#This Row],[totalAmount]],TrafficData[[#This Row],[disposedAmount]]&lt;=TrafficData[[#This Row],[totalAmount]])</f>
        <v>1</v>
      </c>
      <c r="P1692" t="b">
        <f>AND(TrafficData[[#This Row],[pendingCourt]]&lt;=TrafficData[[#This Row],[totalCourt]],TrafficData[[#This Row],[disposedCourt]]&lt;=TrafficData[[#This Row],[totalCourt]])</f>
        <v>1</v>
      </c>
    </row>
    <row r="1693" spans="1:16">
      <c r="A1693" s="1">
        <v>43697</v>
      </c>
      <c r="B1693">
        <v>111421</v>
      </c>
      <c r="C1693">
        <v>80367</v>
      </c>
      <c r="D1693">
        <v>31054</v>
      </c>
      <c r="E1693">
        <v>19585145</v>
      </c>
      <c r="F1693">
        <v>60285389</v>
      </c>
      <c r="G1693">
        <v>79870534</v>
      </c>
      <c r="H1693">
        <v>9101</v>
      </c>
      <c r="I1693">
        <v>8366</v>
      </c>
      <c r="J1693">
        <v>17467</v>
      </c>
      <c r="K1693" t="b">
        <f>TrafficData[[#This Row],[disposedChallan]]+TrafficData[[#This Row],[pendingChallan]]=TrafficData[[#This Row],[totalChallan]]</f>
        <v>1</v>
      </c>
      <c r="L1693" t="b">
        <f>TrafficData[[#This Row],[pendingAmount]]+TrafficData[[#This Row],[disposedAmount]]=TrafficData[[#This Row],[totalAmount]]</f>
        <v>1</v>
      </c>
      <c r="M1693" t="b">
        <f>TrafficData[[#This Row],[pendingCourt]]+TrafficData[[#This Row],[disposedCourt]]=TrafficData[[#This Row],[totalCourt]]</f>
        <v>1</v>
      </c>
      <c r="N1693" t="b">
        <f>AND(TrafficData[[#This Row],[disposedChallan]]&lt;=TrafficData[[#This Row],[totalChallan]],TrafficData[[#This Row],[pendingChallan]]&lt;=TrafficData[[#This Row],[totalChallan]])</f>
        <v>1</v>
      </c>
      <c r="O1693" t="b">
        <f>AND(TrafficData[[#This Row],[pendingAmount]]&lt;=TrafficData[[#This Row],[totalAmount]],TrafficData[[#This Row],[disposedAmount]]&lt;=TrafficData[[#This Row],[totalAmount]])</f>
        <v>1</v>
      </c>
      <c r="P1693" t="b">
        <f>AND(TrafficData[[#This Row],[pendingCourt]]&lt;=TrafficData[[#This Row],[totalCourt]],TrafficData[[#This Row],[disposedCourt]]&lt;=TrafficData[[#This Row],[totalCourt]])</f>
        <v>1</v>
      </c>
    </row>
    <row r="1694" spans="1:16">
      <c r="A1694" s="1">
        <v>43698</v>
      </c>
      <c r="B1694">
        <v>108106</v>
      </c>
      <c r="C1694">
        <v>75845</v>
      </c>
      <c r="D1694">
        <v>32261</v>
      </c>
      <c r="E1694">
        <v>24152230</v>
      </c>
      <c r="F1694">
        <v>54522699</v>
      </c>
      <c r="G1694">
        <v>78674929</v>
      </c>
      <c r="H1694">
        <v>12036</v>
      </c>
      <c r="I1694">
        <v>7312</v>
      </c>
      <c r="J1694">
        <v>19348</v>
      </c>
      <c r="K1694" t="b">
        <f>TrafficData[[#This Row],[disposedChallan]]+TrafficData[[#This Row],[pendingChallan]]=TrafficData[[#This Row],[totalChallan]]</f>
        <v>1</v>
      </c>
      <c r="L1694" t="b">
        <f>TrafficData[[#This Row],[pendingAmount]]+TrafficData[[#This Row],[disposedAmount]]=TrafficData[[#This Row],[totalAmount]]</f>
        <v>1</v>
      </c>
      <c r="M1694" t="b">
        <f>TrafficData[[#This Row],[pendingCourt]]+TrafficData[[#This Row],[disposedCourt]]=TrafficData[[#This Row],[totalCourt]]</f>
        <v>1</v>
      </c>
      <c r="N1694" t="b">
        <f>AND(TrafficData[[#This Row],[disposedChallan]]&lt;=TrafficData[[#This Row],[totalChallan]],TrafficData[[#This Row],[pendingChallan]]&lt;=TrafficData[[#This Row],[totalChallan]])</f>
        <v>1</v>
      </c>
      <c r="O1694" t="b">
        <f>AND(TrafficData[[#This Row],[pendingAmount]]&lt;=TrafficData[[#This Row],[totalAmount]],TrafficData[[#This Row],[disposedAmount]]&lt;=TrafficData[[#This Row],[totalAmount]])</f>
        <v>1</v>
      </c>
      <c r="P1694" t="b">
        <f>AND(TrafficData[[#This Row],[pendingCourt]]&lt;=TrafficData[[#This Row],[totalCourt]],TrafficData[[#This Row],[disposedCourt]]&lt;=TrafficData[[#This Row],[totalCourt]])</f>
        <v>1</v>
      </c>
    </row>
    <row r="1695" spans="1:16">
      <c r="A1695" s="1">
        <v>43699</v>
      </c>
      <c r="B1695">
        <v>111180</v>
      </c>
      <c r="C1695">
        <v>78548</v>
      </c>
      <c r="D1695">
        <v>32632</v>
      </c>
      <c r="E1695">
        <v>24111032</v>
      </c>
      <c r="F1695">
        <v>56477375</v>
      </c>
      <c r="G1695">
        <v>80588407</v>
      </c>
      <c r="H1695">
        <v>11639</v>
      </c>
      <c r="I1695">
        <v>6743</v>
      </c>
      <c r="J1695">
        <v>18382</v>
      </c>
      <c r="K1695" t="b">
        <f>TrafficData[[#This Row],[disposedChallan]]+TrafficData[[#This Row],[pendingChallan]]=TrafficData[[#This Row],[totalChallan]]</f>
        <v>1</v>
      </c>
      <c r="L1695" t="b">
        <f>TrafficData[[#This Row],[pendingAmount]]+TrafficData[[#This Row],[disposedAmount]]=TrafficData[[#This Row],[totalAmount]]</f>
        <v>1</v>
      </c>
      <c r="M1695" t="b">
        <f>TrafficData[[#This Row],[pendingCourt]]+TrafficData[[#This Row],[disposedCourt]]=TrafficData[[#This Row],[totalCourt]]</f>
        <v>1</v>
      </c>
      <c r="N1695" t="b">
        <f>AND(TrafficData[[#This Row],[disposedChallan]]&lt;=TrafficData[[#This Row],[totalChallan]],TrafficData[[#This Row],[pendingChallan]]&lt;=TrafficData[[#This Row],[totalChallan]])</f>
        <v>1</v>
      </c>
      <c r="O1695" t="b">
        <f>AND(TrafficData[[#This Row],[pendingAmount]]&lt;=TrafficData[[#This Row],[totalAmount]],TrafficData[[#This Row],[disposedAmount]]&lt;=TrafficData[[#This Row],[totalAmount]])</f>
        <v>1</v>
      </c>
      <c r="P1695" t="b">
        <f>AND(TrafficData[[#This Row],[pendingCourt]]&lt;=TrafficData[[#This Row],[totalCourt]],TrafficData[[#This Row],[disposedCourt]]&lt;=TrafficData[[#This Row],[totalCourt]])</f>
        <v>1</v>
      </c>
    </row>
    <row r="1696" spans="1:16">
      <c r="A1696" s="1">
        <v>43700</v>
      </c>
      <c r="B1696">
        <v>102175</v>
      </c>
      <c r="C1696">
        <v>73657</v>
      </c>
      <c r="D1696">
        <v>28518</v>
      </c>
      <c r="E1696">
        <v>14876440</v>
      </c>
      <c r="F1696">
        <v>42336774</v>
      </c>
      <c r="G1696">
        <v>57213214</v>
      </c>
      <c r="H1696">
        <v>7586</v>
      </c>
      <c r="I1696">
        <v>5129</v>
      </c>
      <c r="J1696">
        <v>12715</v>
      </c>
      <c r="K1696" t="b">
        <f>TrafficData[[#This Row],[disposedChallan]]+TrafficData[[#This Row],[pendingChallan]]=TrafficData[[#This Row],[totalChallan]]</f>
        <v>1</v>
      </c>
      <c r="L1696" t="b">
        <f>TrafficData[[#This Row],[pendingAmount]]+TrafficData[[#This Row],[disposedAmount]]=TrafficData[[#This Row],[totalAmount]]</f>
        <v>1</v>
      </c>
      <c r="M1696" t="b">
        <f>TrafficData[[#This Row],[pendingCourt]]+TrafficData[[#This Row],[disposedCourt]]=TrafficData[[#This Row],[totalCourt]]</f>
        <v>1</v>
      </c>
      <c r="N1696" t="b">
        <f>AND(TrafficData[[#This Row],[disposedChallan]]&lt;=TrafficData[[#This Row],[totalChallan]],TrafficData[[#This Row],[pendingChallan]]&lt;=TrafficData[[#This Row],[totalChallan]])</f>
        <v>1</v>
      </c>
      <c r="O1696" t="b">
        <f>AND(TrafficData[[#This Row],[pendingAmount]]&lt;=TrafficData[[#This Row],[totalAmount]],TrafficData[[#This Row],[disposedAmount]]&lt;=TrafficData[[#This Row],[totalAmount]])</f>
        <v>1</v>
      </c>
      <c r="P1696" t="b">
        <f>AND(TrafficData[[#This Row],[pendingCourt]]&lt;=TrafficData[[#This Row],[totalCourt]],TrafficData[[#This Row],[disposedCourt]]&lt;=TrafficData[[#This Row],[totalCourt]])</f>
        <v>1</v>
      </c>
    </row>
    <row r="1697" spans="1:16">
      <c r="A1697" s="1">
        <v>43701</v>
      </c>
      <c r="B1697">
        <v>94065</v>
      </c>
      <c r="C1697">
        <v>68052</v>
      </c>
      <c r="D1697">
        <v>26013</v>
      </c>
      <c r="E1697">
        <v>14290504</v>
      </c>
      <c r="F1697">
        <v>40462120</v>
      </c>
      <c r="G1697">
        <v>54752624</v>
      </c>
      <c r="H1697">
        <v>8435</v>
      </c>
      <c r="I1697">
        <v>5846</v>
      </c>
      <c r="J1697">
        <v>14281</v>
      </c>
      <c r="K1697" t="b">
        <f>TrafficData[[#This Row],[disposedChallan]]+TrafficData[[#This Row],[pendingChallan]]=TrafficData[[#This Row],[totalChallan]]</f>
        <v>1</v>
      </c>
      <c r="L1697" t="b">
        <f>TrafficData[[#This Row],[pendingAmount]]+TrafficData[[#This Row],[disposedAmount]]=TrafficData[[#This Row],[totalAmount]]</f>
        <v>1</v>
      </c>
      <c r="M1697" t="b">
        <f>TrafficData[[#This Row],[pendingCourt]]+TrafficData[[#This Row],[disposedCourt]]=TrafficData[[#This Row],[totalCourt]]</f>
        <v>1</v>
      </c>
      <c r="N1697" t="b">
        <f>AND(TrafficData[[#This Row],[disposedChallan]]&lt;=TrafficData[[#This Row],[totalChallan]],TrafficData[[#This Row],[pendingChallan]]&lt;=TrafficData[[#This Row],[totalChallan]])</f>
        <v>1</v>
      </c>
      <c r="O1697" t="b">
        <f>AND(TrafficData[[#This Row],[pendingAmount]]&lt;=TrafficData[[#This Row],[totalAmount]],TrafficData[[#This Row],[disposedAmount]]&lt;=TrafficData[[#This Row],[totalAmount]])</f>
        <v>1</v>
      </c>
      <c r="P1697" t="b">
        <f>AND(TrafficData[[#This Row],[pendingCourt]]&lt;=TrafficData[[#This Row],[totalCourt]],TrafficData[[#This Row],[disposedCourt]]&lt;=TrafficData[[#This Row],[totalCourt]])</f>
        <v>1</v>
      </c>
    </row>
    <row r="1698" spans="1:16">
      <c r="A1698" s="1">
        <v>43702</v>
      </c>
      <c r="B1698">
        <v>88384</v>
      </c>
      <c r="C1698">
        <v>61055</v>
      </c>
      <c r="D1698">
        <v>27329</v>
      </c>
      <c r="E1698">
        <v>12578615</v>
      </c>
      <c r="F1698">
        <v>32043512</v>
      </c>
      <c r="G1698">
        <v>44622127</v>
      </c>
      <c r="H1698">
        <v>6357</v>
      </c>
      <c r="I1698">
        <v>4545</v>
      </c>
      <c r="J1698">
        <v>10902</v>
      </c>
      <c r="K1698" t="b">
        <f>TrafficData[[#This Row],[disposedChallan]]+TrafficData[[#This Row],[pendingChallan]]=TrafficData[[#This Row],[totalChallan]]</f>
        <v>1</v>
      </c>
      <c r="L1698" t="b">
        <f>TrafficData[[#This Row],[pendingAmount]]+TrafficData[[#This Row],[disposedAmount]]=TrafficData[[#This Row],[totalAmount]]</f>
        <v>1</v>
      </c>
      <c r="M1698" t="b">
        <f>TrafficData[[#This Row],[pendingCourt]]+TrafficData[[#This Row],[disposedCourt]]=TrafficData[[#This Row],[totalCourt]]</f>
        <v>1</v>
      </c>
      <c r="N1698" t="b">
        <f>AND(TrafficData[[#This Row],[disposedChallan]]&lt;=TrafficData[[#This Row],[totalChallan]],TrafficData[[#This Row],[pendingChallan]]&lt;=TrafficData[[#This Row],[totalChallan]])</f>
        <v>1</v>
      </c>
      <c r="O1698" t="b">
        <f>AND(TrafficData[[#This Row],[pendingAmount]]&lt;=TrafficData[[#This Row],[totalAmount]],TrafficData[[#This Row],[disposedAmount]]&lt;=TrafficData[[#This Row],[totalAmount]])</f>
        <v>1</v>
      </c>
      <c r="P1698" t="b">
        <f>AND(TrafficData[[#This Row],[pendingCourt]]&lt;=TrafficData[[#This Row],[totalCourt]],TrafficData[[#This Row],[disposedCourt]]&lt;=TrafficData[[#This Row],[totalCourt]])</f>
        <v>1</v>
      </c>
    </row>
    <row r="1699" spans="1:16">
      <c r="A1699" s="1">
        <v>43703</v>
      </c>
      <c r="B1699">
        <v>106728</v>
      </c>
      <c r="C1699">
        <v>77037</v>
      </c>
      <c r="D1699">
        <v>29691</v>
      </c>
      <c r="E1699">
        <v>18687535</v>
      </c>
      <c r="F1699">
        <v>49218090</v>
      </c>
      <c r="G1699">
        <v>67905625</v>
      </c>
      <c r="H1699">
        <v>9062</v>
      </c>
      <c r="I1699">
        <v>6998</v>
      </c>
      <c r="J1699">
        <v>16060</v>
      </c>
      <c r="K1699" t="b">
        <f>TrafficData[[#This Row],[disposedChallan]]+TrafficData[[#This Row],[pendingChallan]]=TrafficData[[#This Row],[totalChallan]]</f>
        <v>1</v>
      </c>
      <c r="L1699" t="b">
        <f>TrafficData[[#This Row],[pendingAmount]]+TrafficData[[#This Row],[disposedAmount]]=TrafficData[[#This Row],[totalAmount]]</f>
        <v>1</v>
      </c>
      <c r="M1699" t="b">
        <f>TrafficData[[#This Row],[pendingCourt]]+TrafficData[[#This Row],[disposedCourt]]=TrafficData[[#This Row],[totalCourt]]</f>
        <v>1</v>
      </c>
      <c r="N1699" t="b">
        <f>AND(TrafficData[[#This Row],[disposedChallan]]&lt;=TrafficData[[#This Row],[totalChallan]],TrafficData[[#This Row],[pendingChallan]]&lt;=TrafficData[[#This Row],[totalChallan]])</f>
        <v>1</v>
      </c>
      <c r="O1699" t="b">
        <f>AND(TrafficData[[#This Row],[pendingAmount]]&lt;=TrafficData[[#This Row],[totalAmount]],TrafficData[[#This Row],[disposedAmount]]&lt;=TrafficData[[#This Row],[totalAmount]])</f>
        <v>1</v>
      </c>
      <c r="P1699" t="b">
        <f>AND(TrafficData[[#This Row],[pendingCourt]]&lt;=TrafficData[[#This Row],[totalCourt]],TrafficData[[#This Row],[disposedCourt]]&lt;=TrafficData[[#This Row],[totalCourt]])</f>
        <v>1</v>
      </c>
    </row>
    <row r="1700" spans="1:16">
      <c r="A1700" s="1">
        <v>43704</v>
      </c>
      <c r="B1700">
        <v>104045</v>
      </c>
      <c r="C1700">
        <v>76020</v>
      </c>
      <c r="D1700">
        <v>28025</v>
      </c>
      <c r="E1700">
        <v>19530876</v>
      </c>
      <c r="F1700">
        <v>53846710</v>
      </c>
      <c r="G1700">
        <v>73377586</v>
      </c>
      <c r="H1700">
        <v>8854</v>
      </c>
      <c r="I1700">
        <v>6234</v>
      </c>
      <c r="J1700">
        <v>15088</v>
      </c>
      <c r="K1700" t="b">
        <f>TrafficData[[#This Row],[disposedChallan]]+TrafficData[[#This Row],[pendingChallan]]=TrafficData[[#This Row],[totalChallan]]</f>
        <v>1</v>
      </c>
      <c r="L1700" t="b">
        <f>TrafficData[[#This Row],[pendingAmount]]+TrafficData[[#This Row],[disposedAmount]]=TrafficData[[#This Row],[totalAmount]]</f>
        <v>1</v>
      </c>
      <c r="M1700" t="b">
        <f>TrafficData[[#This Row],[pendingCourt]]+TrafficData[[#This Row],[disposedCourt]]=TrafficData[[#This Row],[totalCourt]]</f>
        <v>1</v>
      </c>
      <c r="N1700" t="b">
        <f>AND(TrafficData[[#This Row],[disposedChallan]]&lt;=TrafficData[[#This Row],[totalChallan]],TrafficData[[#This Row],[pendingChallan]]&lt;=TrafficData[[#This Row],[totalChallan]])</f>
        <v>1</v>
      </c>
      <c r="O1700" t="b">
        <f>AND(TrafficData[[#This Row],[pendingAmount]]&lt;=TrafficData[[#This Row],[totalAmount]],TrafficData[[#This Row],[disposedAmount]]&lt;=TrafficData[[#This Row],[totalAmount]])</f>
        <v>1</v>
      </c>
      <c r="P1700" t="b">
        <f>AND(TrafficData[[#This Row],[pendingCourt]]&lt;=TrafficData[[#This Row],[totalCourt]],TrafficData[[#This Row],[disposedCourt]]&lt;=TrafficData[[#This Row],[totalCourt]])</f>
        <v>1</v>
      </c>
    </row>
    <row r="1701" spans="1:16">
      <c r="A1701" s="1">
        <v>43705</v>
      </c>
      <c r="B1701">
        <v>112331</v>
      </c>
      <c r="C1701">
        <v>80609</v>
      </c>
      <c r="D1701">
        <v>31722</v>
      </c>
      <c r="E1701">
        <v>26359206</v>
      </c>
      <c r="F1701">
        <v>53284630</v>
      </c>
      <c r="G1701">
        <v>79643836</v>
      </c>
      <c r="H1701">
        <v>13179</v>
      </c>
      <c r="I1701">
        <v>6596</v>
      </c>
      <c r="J1701">
        <v>19775</v>
      </c>
      <c r="K1701" t="b">
        <f>TrafficData[[#This Row],[disposedChallan]]+TrafficData[[#This Row],[pendingChallan]]=TrafficData[[#This Row],[totalChallan]]</f>
        <v>1</v>
      </c>
      <c r="L1701" t="b">
        <f>TrafficData[[#This Row],[pendingAmount]]+TrafficData[[#This Row],[disposedAmount]]=TrafficData[[#This Row],[totalAmount]]</f>
        <v>1</v>
      </c>
      <c r="M1701" t="b">
        <f>TrafficData[[#This Row],[pendingCourt]]+TrafficData[[#This Row],[disposedCourt]]=TrafficData[[#This Row],[totalCourt]]</f>
        <v>1</v>
      </c>
      <c r="N1701" t="b">
        <f>AND(TrafficData[[#This Row],[disposedChallan]]&lt;=TrafficData[[#This Row],[totalChallan]],TrafficData[[#This Row],[pendingChallan]]&lt;=TrafficData[[#This Row],[totalChallan]])</f>
        <v>1</v>
      </c>
      <c r="O1701" t="b">
        <f>AND(TrafficData[[#This Row],[pendingAmount]]&lt;=TrafficData[[#This Row],[totalAmount]],TrafficData[[#This Row],[disposedAmount]]&lt;=TrafficData[[#This Row],[totalAmount]])</f>
        <v>1</v>
      </c>
      <c r="P1701" t="b">
        <f>AND(TrafficData[[#This Row],[pendingCourt]]&lt;=TrafficData[[#This Row],[totalCourt]],TrafficData[[#This Row],[disposedCourt]]&lt;=TrafficData[[#This Row],[totalCourt]])</f>
        <v>1</v>
      </c>
    </row>
    <row r="1702" spans="1:16">
      <c r="A1702" s="1">
        <v>43706</v>
      </c>
      <c r="B1702">
        <v>106490</v>
      </c>
      <c r="C1702">
        <v>77633</v>
      </c>
      <c r="D1702">
        <v>28857</v>
      </c>
      <c r="E1702">
        <v>19658851</v>
      </c>
      <c r="F1702">
        <v>53723735</v>
      </c>
      <c r="G1702">
        <v>73382586</v>
      </c>
      <c r="H1702">
        <v>8298</v>
      </c>
      <c r="I1702">
        <v>5879</v>
      </c>
      <c r="J1702">
        <v>14177</v>
      </c>
      <c r="K1702" t="b">
        <f>TrafficData[[#This Row],[disposedChallan]]+TrafficData[[#This Row],[pendingChallan]]=TrafficData[[#This Row],[totalChallan]]</f>
        <v>1</v>
      </c>
      <c r="L1702" t="b">
        <f>TrafficData[[#This Row],[pendingAmount]]+TrafficData[[#This Row],[disposedAmount]]=TrafficData[[#This Row],[totalAmount]]</f>
        <v>1</v>
      </c>
      <c r="M1702" t="b">
        <f>TrafficData[[#This Row],[pendingCourt]]+TrafficData[[#This Row],[disposedCourt]]=TrafficData[[#This Row],[totalCourt]]</f>
        <v>1</v>
      </c>
      <c r="N1702" t="b">
        <f>AND(TrafficData[[#This Row],[disposedChallan]]&lt;=TrafficData[[#This Row],[totalChallan]],TrafficData[[#This Row],[pendingChallan]]&lt;=TrafficData[[#This Row],[totalChallan]])</f>
        <v>1</v>
      </c>
      <c r="O1702" t="b">
        <f>AND(TrafficData[[#This Row],[pendingAmount]]&lt;=TrafficData[[#This Row],[totalAmount]],TrafficData[[#This Row],[disposedAmount]]&lt;=TrafficData[[#This Row],[totalAmount]])</f>
        <v>1</v>
      </c>
      <c r="P1702" t="b">
        <f>AND(TrafficData[[#This Row],[pendingCourt]]&lt;=TrafficData[[#This Row],[totalCourt]],TrafficData[[#This Row],[disposedCourt]]&lt;=TrafficData[[#This Row],[totalCourt]])</f>
        <v>1</v>
      </c>
    </row>
    <row r="1703" spans="1:16">
      <c r="A1703" s="1">
        <v>43707</v>
      </c>
      <c r="B1703">
        <v>115826</v>
      </c>
      <c r="C1703">
        <v>78278</v>
      </c>
      <c r="D1703">
        <v>37548</v>
      </c>
      <c r="E1703">
        <v>25785980</v>
      </c>
      <c r="F1703">
        <v>50824890</v>
      </c>
      <c r="G1703">
        <v>76610870</v>
      </c>
      <c r="H1703">
        <v>10812</v>
      </c>
      <c r="I1703">
        <v>6258</v>
      </c>
      <c r="J1703">
        <v>17070</v>
      </c>
      <c r="K1703" t="b">
        <f>TrafficData[[#This Row],[disposedChallan]]+TrafficData[[#This Row],[pendingChallan]]=TrafficData[[#This Row],[totalChallan]]</f>
        <v>1</v>
      </c>
      <c r="L1703" t="b">
        <f>TrafficData[[#This Row],[pendingAmount]]+TrafficData[[#This Row],[disposedAmount]]=TrafficData[[#This Row],[totalAmount]]</f>
        <v>1</v>
      </c>
      <c r="M1703" t="b">
        <f>TrafficData[[#This Row],[pendingCourt]]+TrafficData[[#This Row],[disposedCourt]]=TrafficData[[#This Row],[totalCourt]]</f>
        <v>1</v>
      </c>
      <c r="N1703" t="b">
        <f>AND(TrafficData[[#This Row],[disposedChallan]]&lt;=TrafficData[[#This Row],[totalChallan]],TrafficData[[#This Row],[pendingChallan]]&lt;=TrafficData[[#This Row],[totalChallan]])</f>
        <v>1</v>
      </c>
      <c r="O1703" t="b">
        <f>AND(TrafficData[[#This Row],[pendingAmount]]&lt;=TrafficData[[#This Row],[totalAmount]],TrafficData[[#This Row],[disposedAmount]]&lt;=TrafficData[[#This Row],[totalAmount]])</f>
        <v>1</v>
      </c>
      <c r="P1703" t="b">
        <f>AND(TrafficData[[#This Row],[pendingCourt]]&lt;=TrafficData[[#This Row],[totalCourt]],TrafficData[[#This Row],[disposedCourt]]&lt;=TrafficData[[#This Row],[totalCourt]])</f>
        <v>1</v>
      </c>
    </row>
    <row r="1704" spans="1:16">
      <c r="A1704" s="1">
        <v>43708</v>
      </c>
      <c r="B1704">
        <v>104223</v>
      </c>
      <c r="C1704">
        <v>73703</v>
      </c>
      <c r="D1704">
        <v>30520</v>
      </c>
      <c r="E1704">
        <v>17282802</v>
      </c>
      <c r="F1704">
        <v>51087442</v>
      </c>
      <c r="G1704">
        <v>68370244</v>
      </c>
      <c r="H1704">
        <v>9730</v>
      </c>
      <c r="I1704">
        <v>4392</v>
      </c>
      <c r="J1704">
        <v>14122</v>
      </c>
      <c r="K1704" t="b">
        <f>TrafficData[[#This Row],[disposedChallan]]+TrafficData[[#This Row],[pendingChallan]]=TrafficData[[#This Row],[totalChallan]]</f>
        <v>1</v>
      </c>
      <c r="L1704" t="b">
        <f>TrafficData[[#This Row],[pendingAmount]]+TrafficData[[#This Row],[disposedAmount]]=TrafficData[[#This Row],[totalAmount]]</f>
        <v>1</v>
      </c>
      <c r="M1704" t="b">
        <f>TrafficData[[#This Row],[pendingCourt]]+TrafficData[[#This Row],[disposedCourt]]=TrafficData[[#This Row],[totalCourt]]</f>
        <v>1</v>
      </c>
      <c r="N1704" t="b">
        <f>AND(TrafficData[[#This Row],[disposedChallan]]&lt;=TrafficData[[#This Row],[totalChallan]],TrafficData[[#This Row],[pendingChallan]]&lt;=TrafficData[[#This Row],[totalChallan]])</f>
        <v>1</v>
      </c>
      <c r="O1704" t="b">
        <f>AND(TrafficData[[#This Row],[pendingAmount]]&lt;=TrafficData[[#This Row],[totalAmount]],TrafficData[[#This Row],[disposedAmount]]&lt;=TrafficData[[#This Row],[totalAmount]])</f>
        <v>1</v>
      </c>
      <c r="P1704" t="b">
        <f>AND(TrafficData[[#This Row],[pendingCourt]]&lt;=TrafficData[[#This Row],[totalCourt]],TrafficData[[#This Row],[disposedCourt]]&lt;=TrafficData[[#This Row],[totalCourt]])</f>
        <v>1</v>
      </c>
    </row>
    <row r="1705" spans="1:16">
      <c r="A1705" s="1">
        <v>43709</v>
      </c>
      <c r="B1705">
        <v>70264</v>
      </c>
      <c r="C1705">
        <v>36492</v>
      </c>
      <c r="D1705">
        <v>33772</v>
      </c>
      <c r="E1705">
        <v>10555741</v>
      </c>
      <c r="F1705">
        <v>43986952</v>
      </c>
      <c r="G1705">
        <v>54542693</v>
      </c>
      <c r="H1705">
        <v>26633</v>
      </c>
      <c r="I1705">
        <v>6172</v>
      </c>
      <c r="J1705">
        <v>32805</v>
      </c>
      <c r="K1705" t="b">
        <f>TrafficData[[#This Row],[disposedChallan]]+TrafficData[[#This Row],[pendingChallan]]=TrafficData[[#This Row],[totalChallan]]</f>
        <v>1</v>
      </c>
      <c r="L1705" t="b">
        <f>TrafficData[[#This Row],[pendingAmount]]+TrafficData[[#This Row],[disposedAmount]]=TrafficData[[#This Row],[totalAmount]]</f>
        <v>1</v>
      </c>
      <c r="M1705" t="b">
        <f>TrafficData[[#This Row],[pendingCourt]]+TrafficData[[#This Row],[disposedCourt]]=TrafficData[[#This Row],[totalCourt]]</f>
        <v>1</v>
      </c>
      <c r="N1705" t="b">
        <f>AND(TrafficData[[#This Row],[disposedChallan]]&lt;=TrafficData[[#This Row],[totalChallan]],TrafficData[[#This Row],[pendingChallan]]&lt;=TrafficData[[#This Row],[totalChallan]])</f>
        <v>1</v>
      </c>
      <c r="O1705" t="b">
        <f>AND(TrafficData[[#This Row],[pendingAmount]]&lt;=TrafficData[[#This Row],[totalAmount]],TrafficData[[#This Row],[disposedAmount]]&lt;=TrafficData[[#This Row],[totalAmount]])</f>
        <v>1</v>
      </c>
      <c r="P1705" t="b">
        <f>AND(TrafficData[[#This Row],[pendingCourt]]&lt;=TrafficData[[#This Row],[totalCourt]],TrafficData[[#This Row],[disposedCourt]]&lt;=TrafficData[[#This Row],[totalCourt]])</f>
        <v>1</v>
      </c>
    </row>
    <row r="1706" spans="1:16">
      <c r="A1706" s="1">
        <v>43710</v>
      </c>
      <c r="B1706">
        <v>73830</v>
      </c>
      <c r="C1706">
        <v>36856</v>
      </c>
      <c r="D1706">
        <v>36974</v>
      </c>
      <c r="E1706">
        <v>14446912</v>
      </c>
      <c r="F1706">
        <v>52419227</v>
      </c>
      <c r="G1706">
        <v>66866139</v>
      </c>
      <c r="H1706">
        <v>31278</v>
      </c>
      <c r="I1706">
        <v>8009</v>
      </c>
      <c r="J1706">
        <v>39287</v>
      </c>
      <c r="K1706" t="b">
        <f>TrafficData[[#This Row],[disposedChallan]]+TrafficData[[#This Row],[pendingChallan]]=TrafficData[[#This Row],[totalChallan]]</f>
        <v>1</v>
      </c>
      <c r="L1706" t="b">
        <f>TrafficData[[#This Row],[pendingAmount]]+TrafficData[[#This Row],[disposedAmount]]=TrafficData[[#This Row],[totalAmount]]</f>
        <v>1</v>
      </c>
      <c r="M1706" t="b">
        <f>TrafficData[[#This Row],[pendingCourt]]+TrafficData[[#This Row],[disposedCourt]]=TrafficData[[#This Row],[totalCourt]]</f>
        <v>1</v>
      </c>
      <c r="N1706" t="b">
        <f>AND(TrafficData[[#This Row],[disposedChallan]]&lt;=TrafficData[[#This Row],[totalChallan]],TrafficData[[#This Row],[pendingChallan]]&lt;=TrafficData[[#This Row],[totalChallan]])</f>
        <v>1</v>
      </c>
      <c r="O1706" t="b">
        <f>AND(TrafficData[[#This Row],[pendingAmount]]&lt;=TrafficData[[#This Row],[totalAmount]],TrafficData[[#This Row],[disposedAmount]]&lt;=TrafficData[[#This Row],[totalAmount]])</f>
        <v>1</v>
      </c>
      <c r="P1706" t="b">
        <f>AND(TrafficData[[#This Row],[pendingCourt]]&lt;=TrafficData[[#This Row],[totalCourt]],TrafficData[[#This Row],[disposedCourt]]&lt;=TrafficData[[#This Row],[totalCourt]])</f>
        <v>1</v>
      </c>
    </row>
    <row r="1707" spans="1:16">
      <c r="A1707" s="1">
        <v>43711</v>
      </c>
      <c r="B1707">
        <v>83429</v>
      </c>
      <c r="C1707">
        <v>41855</v>
      </c>
      <c r="D1707">
        <v>41574</v>
      </c>
      <c r="E1707">
        <v>17086235</v>
      </c>
      <c r="F1707">
        <v>58741166</v>
      </c>
      <c r="G1707">
        <v>75827401</v>
      </c>
      <c r="H1707">
        <v>34344</v>
      </c>
      <c r="I1707">
        <v>8474</v>
      </c>
      <c r="J1707">
        <v>42818</v>
      </c>
      <c r="K1707" t="b">
        <f>TrafficData[[#This Row],[disposedChallan]]+TrafficData[[#This Row],[pendingChallan]]=TrafficData[[#This Row],[totalChallan]]</f>
        <v>1</v>
      </c>
      <c r="L1707" t="b">
        <f>TrafficData[[#This Row],[pendingAmount]]+TrafficData[[#This Row],[disposedAmount]]=TrafficData[[#This Row],[totalAmount]]</f>
        <v>1</v>
      </c>
      <c r="M1707" t="b">
        <f>TrafficData[[#This Row],[pendingCourt]]+TrafficData[[#This Row],[disposedCourt]]=TrafficData[[#This Row],[totalCourt]]</f>
        <v>1</v>
      </c>
      <c r="N1707" t="b">
        <f>AND(TrafficData[[#This Row],[disposedChallan]]&lt;=TrafficData[[#This Row],[totalChallan]],TrafficData[[#This Row],[pendingChallan]]&lt;=TrafficData[[#This Row],[totalChallan]])</f>
        <v>1</v>
      </c>
      <c r="O1707" t="b">
        <f>AND(TrafficData[[#This Row],[pendingAmount]]&lt;=TrafficData[[#This Row],[totalAmount]],TrafficData[[#This Row],[disposedAmount]]&lt;=TrafficData[[#This Row],[totalAmount]])</f>
        <v>1</v>
      </c>
      <c r="P1707" t="b">
        <f>AND(TrafficData[[#This Row],[pendingCourt]]&lt;=TrafficData[[#This Row],[totalCourt]],TrafficData[[#This Row],[disposedCourt]]&lt;=TrafficData[[#This Row],[totalCourt]])</f>
        <v>1</v>
      </c>
    </row>
    <row r="1708" spans="1:16">
      <c r="A1708" s="1">
        <v>43712</v>
      </c>
      <c r="B1708">
        <v>82278</v>
      </c>
      <c r="C1708">
        <v>38030</v>
      </c>
      <c r="D1708">
        <v>44248</v>
      </c>
      <c r="E1708">
        <v>17453783</v>
      </c>
      <c r="F1708">
        <v>57277652</v>
      </c>
      <c r="G1708">
        <v>74731435</v>
      </c>
      <c r="H1708">
        <v>39181</v>
      </c>
      <c r="I1708">
        <v>8325</v>
      </c>
      <c r="J1708">
        <v>47506</v>
      </c>
      <c r="K1708" t="b">
        <f>TrafficData[[#This Row],[disposedChallan]]+TrafficData[[#This Row],[pendingChallan]]=TrafficData[[#This Row],[totalChallan]]</f>
        <v>1</v>
      </c>
      <c r="L1708" t="b">
        <f>TrafficData[[#This Row],[pendingAmount]]+TrafficData[[#This Row],[disposedAmount]]=TrafficData[[#This Row],[totalAmount]]</f>
        <v>1</v>
      </c>
      <c r="M1708" t="b">
        <f>TrafficData[[#This Row],[pendingCourt]]+TrafficData[[#This Row],[disposedCourt]]=TrafficData[[#This Row],[totalCourt]]</f>
        <v>1</v>
      </c>
      <c r="N1708" t="b">
        <f>AND(TrafficData[[#This Row],[disposedChallan]]&lt;=TrafficData[[#This Row],[totalChallan]],TrafficData[[#This Row],[pendingChallan]]&lt;=TrafficData[[#This Row],[totalChallan]])</f>
        <v>1</v>
      </c>
      <c r="O1708" t="b">
        <f>AND(TrafficData[[#This Row],[pendingAmount]]&lt;=TrafficData[[#This Row],[totalAmount]],TrafficData[[#This Row],[disposedAmount]]&lt;=TrafficData[[#This Row],[totalAmount]])</f>
        <v>1</v>
      </c>
      <c r="P1708" t="b">
        <f>AND(TrafficData[[#This Row],[pendingCourt]]&lt;=TrafficData[[#This Row],[totalCourt]],TrafficData[[#This Row],[disposedCourt]]&lt;=TrafficData[[#This Row],[totalCourt]])</f>
        <v>1</v>
      </c>
    </row>
    <row r="1709" spans="1:16">
      <c r="A1709" s="1">
        <v>43713</v>
      </c>
      <c r="B1709">
        <v>90140</v>
      </c>
      <c r="C1709">
        <v>41864</v>
      </c>
      <c r="D1709">
        <v>48276</v>
      </c>
      <c r="E1709">
        <v>21762494</v>
      </c>
      <c r="F1709">
        <v>64760087</v>
      </c>
      <c r="G1709">
        <v>86522581</v>
      </c>
      <c r="H1709">
        <v>41529</v>
      </c>
      <c r="I1709">
        <v>8278</v>
      </c>
      <c r="J1709">
        <v>49807</v>
      </c>
      <c r="K1709" t="b">
        <f>TrafficData[[#This Row],[disposedChallan]]+TrafficData[[#This Row],[pendingChallan]]=TrafficData[[#This Row],[totalChallan]]</f>
        <v>1</v>
      </c>
      <c r="L1709" t="b">
        <f>TrafficData[[#This Row],[pendingAmount]]+TrafficData[[#This Row],[disposedAmount]]=TrafficData[[#This Row],[totalAmount]]</f>
        <v>1</v>
      </c>
      <c r="M1709" t="b">
        <f>TrafficData[[#This Row],[pendingCourt]]+TrafficData[[#This Row],[disposedCourt]]=TrafficData[[#This Row],[totalCourt]]</f>
        <v>1</v>
      </c>
      <c r="N1709" t="b">
        <f>AND(TrafficData[[#This Row],[disposedChallan]]&lt;=TrafficData[[#This Row],[totalChallan]],TrafficData[[#This Row],[pendingChallan]]&lt;=TrafficData[[#This Row],[totalChallan]])</f>
        <v>1</v>
      </c>
      <c r="O1709" t="b">
        <f>AND(TrafficData[[#This Row],[pendingAmount]]&lt;=TrafficData[[#This Row],[totalAmount]],TrafficData[[#This Row],[disposedAmount]]&lt;=TrafficData[[#This Row],[totalAmount]])</f>
        <v>1</v>
      </c>
      <c r="P1709" t="b">
        <f>AND(TrafficData[[#This Row],[pendingCourt]]&lt;=TrafficData[[#This Row],[totalCourt]],TrafficData[[#This Row],[disposedCourt]]&lt;=TrafficData[[#This Row],[totalCourt]])</f>
        <v>1</v>
      </c>
    </row>
    <row r="1710" spans="1:16">
      <c r="A1710" s="1">
        <v>43714</v>
      </c>
      <c r="B1710">
        <v>82552</v>
      </c>
      <c r="C1710">
        <v>39083</v>
      </c>
      <c r="D1710">
        <v>43469</v>
      </c>
      <c r="E1710">
        <v>19288616</v>
      </c>
      <c r="F1710">
        <v>55700340</v>
      </c>
      <c r="G1710">
        <v>74988956</v>
      </c>
      <c r="H1710">
        <v>37114</v>
      </c>
      <c r="I1710">
        <v>7762</v>
      </c>
      <c r="J1710">
        <v>44876</v>
      </c>
      <c r="K1710" t="b">
        <f>TrafficData[[#This Row],[disposedChallan]]+TrafficData[[#This Row],[pendingChallan]]=TrafficData[[#This Row],[totalChallan]]</f>
        <v>1</v>
      </c>
      <c r="L1710" t="b">
        <f>TrafficData[[#This Row],[pendingAmount]]+TrafficData[[#This Row],[disposedAmount]]=TrafficData[[#This Row],[totalAmount]]</f>
        <v>1</v>
      </c>
      <c r="M1710" t="b">
        <f>TrafficData[[#This Row],[pendingCourt]]+TrafficData[[#This Row],[disposedCourt]]=TrafficData[[#This Row],[totalCourt]]</f>
        <v>1</v>
      </c>
      <c r="N1710" t="b">
        <f>AND(TrafficData[[#This Row],[disposedChallan]]&lt;=TrafficData[[#This Row],[totalChallan]],TrafficData[[#This Row],[pendingChallan]]&lt;=TrafficData[[#This Row],[totalChallan]])</f>
        <v>1</v>
      </c>
      <c r="O1710" t="b">
        <f>AND(TrafficData[[#This Row],[pendingAmount]]&lt;=TrafficData[[#This Row],[totalAmount]],TrafficData[[#This Row],[disposedAmount]]&lt;=TrafficData[[#This Row],[totalAmount]])</f>
        <v>1</v>
      </c>
      <c r="P1710" t="b">
        <f>AND(TrafficData[[#This Row],[pendingCourt]]&lt;=TrafficData[[#This Row],[totalCourt]],TrafficData[[#This Row],[disposedCourt]]&lt;=TrafficData[[#This Row],[totalCourt]])</f>
        <v>1</v>
      </c>
    </row>
    <row r="1711" spans="1:16">
      <c r="A1711" s="1">
        <v>43715</v>
      </c>
      <c r="B1711">
        <v>74925</v>
      </c>
      <c r="C1711">
        <v>38946</v>
      </c>
      <c r="D1711">
        <v>35979</v>
      </c>
      <c r="E1711">
        <v>14411980</v>
      </c>
      <c r="F1711">
        <v>57827892</v>
      </c>
      <c r="G1711">
        <v>72239872</v>
      </c>
      <c r="H1711">
        <v>29284</v>
      </c>
      <c r="I1711">
        <v>8136</v>
      </c>
      <c r="J1711">
        <v>37420</v>
      </c>
      <c r="K1711" t="b">
        <f>TrafficData[[#This Row],[disposedChallan]]+TrafficData[[#This Row],[pendingChallan]]=TrafficData[[#This Row],[totalChallan]]</f>
        <v>1</v>
      </c>
      <c r="L1711" t="b">
        <f>TrafficData[[#This Row],[pendingAmount]]+TrafficData[[#This Row],[disposedAmount]]=TrafficData[[#This Row],[totalAmount]]</f>
        <v>1</v>
      </c>
      <c r="M1711" t="b">
        <f>TrafficData[[#This Row],[pendingCourt]]+TrafficData[[#This Row],[disposedCourt]]=TrafficData[[#This Row],[totalCourt]]</f>
        <v>1</v>
      </c>
      <c r="N1711" t="b">
        <f>AND(TrafficData[[#This Row],[disposedChallan]]&lt;=TrafficData[[#This Row],[totalChallan]],TrafficData[[#This Row],[pendingChallan]]&lt;=TrafficData[[#This Row],[totalChallan]])</f>
        <v>1</v>
      </c>
      <c r="O1711" t="b">
        <f>AND(TrafficData[[#This Row],[pendingAmount]]&lt;=TrafficData[[#This Row],[totalAmount]],TrafficData[[#This Row],[disposedAmount]]&lt;=TrafficData[[#This Row],[totalAmount]])</f>
        <v>1</v>
      </c>
      <c r="P1711" t="b">
        <f>AND(TrafficData[[#This Row],[pendingCourt]]&lt;=TrafficData[[#This Row],[totalCourt]],TrafficData[[#This Row],[disposedCourt]]&lt;=TrafficData[[#This Row],[totalCourt]])</f>
        <v>1</v>
      </c>
    </row>
    <row r="1712" spans="1:16">
      <c r="A1712" s="1">
        <v>43716</v>
      </c>
      <c r="B1712">
        <v>60917</v>
      </c>
      <c r="C1712">
        <v>29267</v>
      </c>
      <c r="D1712">
        <v>31650</v>
      </c>
      <c r="E1712">
        <v>9033470</v>
      </c>
      <c r="F1712">
        <v>39752963</v>
      </c>
      <c r="G1712">
        <v>48786433</v>
      </c>
      <c r="H1712">
        <v>26922</v>
      </c>
      <c r="I1712">
        <v>7027</v>
      </c>
      <c r="J1712">
        <v>33949</v>
      </c>
      <c r="K1712" t="b">
        <f>TrafficData[[#This Row],[disposedChallan]]+TrafficData[[#This Row],[pendingChallan]]=TrafficData[[#This Row],[totalChallan]]</f>
        <v>1</v>
      </c>
      <c r="L1712" t="b">
        <f>TrafficData[[#This Row],[pendingAmount]]+TrafficData[[#This Row],[disposedAmount]]=TrafficData[[#This Row],[totalAmount]]</f>
        <v>1</v>
      </c>
      <c r="M1712" t="b">
        <f>TrafficData[[#This Row],[pendingCourt]]+TrafficData[[#This Row],[disposedCourt]]=TrafficData[[#This Row],[totalCourt]]</f>
        <v>1</v>
      </c>
      <c r="N1712" t="b">
        <f>AND(TrafficData[[#This Row],[disposedChallan]]&lt;=TrafficData[[#This Row],[totalChallan]],TrafficData[[#This Row],[pendingChallan]]&lt;=TrafficData[[#This Row],[totalChallan]])</f>
        <v>1</v>
      </c>
      <c r="O1712" t="b">
        <f>AND(TrafficData[[#This Row],[pendingAmount]]&lt;=TrafficData[[#This Row],[totalAmount]],TrafficData[[#This Row],[disposedAmount]]&lt;=TrafficData[[#This Row],[totalAmount]])</f>
        <v>1</v>
      </c>
      <c r="P1712" t="b">
        <f>AND(TrafficData[[#This Row],[pendingCourt]]&lt;=TrafficData[[#This Row],[totalCourt]],TrafficData[[#This Row],[disposedCourt]]&lt;=TrafficData[[#This Row],[totalCourt]])</f>
        <v>1</v>
      </c>
    </row>
    <row r="1713" spans="1:16">
      <c r="A1713" s="1">
        <v>43717</v>
      </c>
      <c r="B1713">
        <v>74239</v>
      </c>
      <c r="C1713">
        <v>39305</v>
      </c>
      <c r="D1713">
        <v>34934</v>
      </c>
      <c r="E1713">
        <v>13035937</v>
      </c>
      <c r="F1713">
        <v>52652149</v>
      </c>
      <c r="G1713">
        <v>65688086</v>
      </c>
      <c r="H1713">
        <v>28201</v>
      </c>
      <c r="I1713">
        <v>8434</v>
      </c>
      <c r="J1713">
        <v>36635</v>
      </c>
      <c r="K1713" t="b">
        <f>TrafficData[[#This Row],[disposedChallan]]+TrafficData[[#This Row],[pendingChallan]]=TrafficData[[#This Row],[totalChallan]]</f>
        <v>1</v>
      </c>
      <c r="L1713" t="b">
        <f>TrafficData[[#This Row],[pendingAmount]]+TrafficData[[#This Row],[disposedAmount]]=TrafficData[[#This Row],[totalAmount]]</f>
        <v>1</v>
      </c>
      <c r="M1713" t="b">
        <f>TrafficData[[#This Row],[pendingCourt]]+TrafficData[[#This Row],[disposedCourt]]=TrafficData[[#This Row],[totalCourt]]</f>
        <v>1</v>
      </c>
      <c r="N1713" t="b">
        <f>AND(TrafficData[[#This Row],[disposedChallan]]&lt;=TrafficData[[#This Row],[totalChallan]],TrafficData[[#This Row],[pendingChallan]]&lt;=TrafficData[[#This Row],[totalChallan]])</f>
        <v>1</v>
      </c>
      <c r="O1713" t="b">
        <f>AND(TrafficData[[#This Row],[pendingAmount]]&lt;=TrafficData[[#This Row],[totalAmount]],TrafficData[[#This Row],[disposedAmount]]&lt;=TrafficData[[#This Row],[totalAmount]])</f>
        <v>1</v>
      </c>
      <c r="P1713" t="b">
        <f>AND(TrafficData[[#This Row],[pendingCourt]]&lt;=TrafficData[[#This Row],[totalCourt]],TrafficData[[#This Row],[disposedCourt]]&lt;=TrafficData[[#This Row],[totalCourt]])</f>
        <v>1</v>
      </c>
    </row>
    <row r="1714" spans="1:16">
      <c r="A1714" s="1">
        <v>43718</v>
      </c>
      <c r="B1714">
        <v>64685</v>
      </c>
      <c r="C1714">
        <v>32889</v>
      </c>
      <c r="D1714">
        <v>31796</v>
      </c>
      <c r="E1714">
        <v>10466612</v>
      </c>
      <c r="F1714">
        <v>44511244</v>
      </c>
      <c r="G1714">
        <v>54977856</v>
      </c>
      <c r="H1714">
        <v>25761</v>
      </c>
      <c r="I1714">
        <v>6723</v>
      </c>
      <c r="J1714">
        <v>32484</v>
      </c>
      <c r="K1714" t="b">
        <f>TrafficData[[#This Row],[disposedChallan]]+TrafficData[[#This Row],[pendingChallan]]=TrafficData[[#This Row],[totalChallan]]</f>
        <v>1</v>
      </c>
      <c r="L1714" t="b">
        <f>TrafficData[[#This Row],[pendingAmount]]+TrafficData[[#This Row],[disposedAmount]]=TrafficData[[#This Row],[totalAmount]]</f>
        <v>1</v>
      </c>
      <c r="M1714" t="b">
        <f>TrafficData[[#This Row],[pendingCourt]]+TrafficData[[#This Row],[disposedCourt]]=TrafficData[[#This Row],[totalCourt]]</f>
        <v>1</v>
      </c>
      <c r="N1714" t="b">
        <f>AND(TrafficData[[#This Row],[disposedChallan]]&lt;=TrafficData[[#This Row],[totalChallan]],TrafficData[[#This Row],[pendingChallan]]&lt;=TrafficData[[#This Row],[totalChallan]])</f>
        <v>1</v>
      </c>
      <c r="O1714" t="b">
        <f>AND(TrafficData[[#This Row],[pendingAmount]]&lt;=TrafficData[[#This Row],[totalAmount]],TrafficData[[#This Row],[disposedAmount]]&lt;=TrafficData[[#This Row],[totalAmount]])</f>
        <v>1</v>
      </c>
      <c r="P1714" t="b">
        <f>AND(TrafficData[[#This Row],[pendingCourt]]&lt;=TrafficData[[#This Row],[totalCourt]],TrafficData[[#This Row],[disposedCourt]]&lt;=TrafficData[[#This Row],[totalCourt]])</f>
        <v>1</v>
      </c>
    </row>
    <row r="1715" spans="1:16">
      <c r="A1715" s="1">
        <v>43719</v>
      </c>
      <c r="B1715">
        <v>69783</v>
      </c>
      <c r="C1715">
        <v>36231</v>
      </c>
      <c r="D1715">
        <v>33552</v>
      </c>
      <c r="E1715">
        <v>18214309</v>
      </c>
      <c r="F1715">
        <v>54968465</v>
      </c>
      <c r="G1715">
        <v>73182774</v>
      </c>
      <c r="H1715">
        <v>27928</v>
      </c>
      <c r="I1715">
        <v>9173</v>
      </c>
      <c r="J1715">
        <v>37101</v>
      </c>
      <c r="K1715" t="b">
        <f>TrafficData[[#This Row],[disposedChallan]]+TrafficData[[#This Row],[pendingChallan]]=TrafficData[[#This Row],[totalChallan]]</f>
        <v>1</v>
      </c>
      <c r="L1715" t="b">
        <f>TrafficData[[#This Row],[pendingAmount]]+TrafficData[[#This Row],[disposedAmount]]=TrafficData[[#This Row],[totalAmount]]</f>
        <v>1</v>
      </c>
      <c r="M1715" t="b">
        <f>TrafficData[[#This Row],[pendingCourt]]+TrafficData[[#This Row],[disposedCourt]]=TrafficData[[#This Row],[totalCourt]]</f>
        <v>1</v>
      </c>
      <c r="N1715" t="b">
        <f>AND(TrafficData[[#This Row],[disposedChallan]]&lt;=TrafficData[[#This Row],[totalChallan]],TrafficData[[#This Row],[pendingChallan]]&lt;=TrafficData[[#This Row],[totalChallan]])</f>
        <v>1</v>
      </c>
      <c r="O1715" t="b">
        <f>AND(TrafficData[[#This Row],[pendingAmount]]&lt;=TrafficData[[#This Row],[totalAmount]],TrafficData[[#This Row],[disposedAmount]]&lt;=TrafficData[[#This Row],[totalAmount]])</f>
        <v>1</v>
      </c>
      <c r="P1715" t="b">
        <f>AND(TrafficData[[#This Row],[pendingCourt]]&lt;=TrafficData[[#This Row],[totalCourt]],TrafficData[[#This Row],[disposedCourt]]&lt;=TrafficData[[#This Row],[totalCourt]])</f>
        <v>1</v>
      </c>
    </row>
    <row r="1716" spans="1:16">
      <c r="A1716" s="1">
        <v>43720</v>
      </c>
      <c r="B1716">
        <v>67875</v>
      </c>
      <c r="C1716">
        <v>32893</v>
      </c>
      <c r="D1716">
        <v>34982</v>
      </c>
      <c r="E1716">
        <v>14279090</v>
      </c>
      <c r="F1716">
        <v>58381077</v>
      </c>
      <c r="G1716">
        <v>72660167</v>
      </c>
      <c r="H1716">
        <v>28754</v>
      </c>
      <c r="I1716">
        <v>7624</v>
      </c>
      <c r="J1716">
        <v>36378</v>
      </c>
      <c r="K1716" t="b">
        <f>TrafficData[[#This Row],[disposedChallan]]+TrafficData[[#This Row],[pendingChallan]]=TrafficData[[#This Row],[totalChallan]]</f>
        <v>1</v>
      </c>
      <c r="L1716" t="b">
        <f>TrafficData[[#This Row],[pendingAmount]]+TrafficData[[#This Row],[disposedAmount]]=TrafficData[[#This Row],[totalAmount]]</f>
        <v>1</v>
      </c>
      <c r="M1716" t="b">
        <f>TrafficData[[#This Row],[pendingCourt]]+TrafficData[[#This Row],[disposedCourt]]=TrafficData[[#This Row],[totalCourt]]</f>
        <v>1</v>
      </c>
      <c r="N1716" t="b">
        <f>AND(TrafficData[[#This Row],[disposedChallan]]&lt;=TrafficData[[#This Row],[totalChallan]],TrafficData[[#This Row],[pendingChallan]]&lt;=TrafficData[[#This Row],[totalChallan]])</f>
        <v>1</v>
      </c>
      <c r="O1716" t="b">
        <f>AND(TrafficData[[#This Row],[pendingAmount]]&lt;=TrafficData[[#This Row],[totalAmount]],TrafficData[[#This Row],[disposedAmount]]&lt;=TrafficData[[#This Row],[totalAmount]])</f>
        <v>1</v>
      </c>
      <c r="P1716" t="b">
        <f>AND(TrafficData[[#This Row],[pendingCourt]]&lt;=TrafficData[[#This Row],[totalCourt]],TrafficData[[#This Row],[disposedCourt]]&lt;=TrafficData[[#This Row],[totalCourt]])</f>
        <v>1</v>
      </c>
    </row>
    <row r="1717" spans="1:16">
      <c r="A1717" s="1">
        <v>43721</v>
      </c>
      <c r="B1717">
        <v>73085</v>
      </c>
      <c r="C1717">
        <v>36272</v>
      </c>
      <c r="D1717">
        <v>36813</v>
      </c>
      <c r="E1717">
        <v>17096194</v>
      </c>
      <c r="F1717">
        <v>54325503</v>
      </c>
      <c r="G1717">
        <v>71421697</v>
      </c>
      <c r="H1717">
        <v>30458</v>
      </c>
      <c r="I1717">
        <v>8396</v>
      </c>
      <c r="J1717">
        <v>38854</v>
      </c>
      <c r="K1717" t="b">
        <f>TrafficData[[#This Row],[disposedChallan]]+TrafficData[[#This Row],[pendingChallan]]=TrafficData[[#This Row],[totalChallan]]</f>
        <v>1</v>
      </c>
      <c r="L1717" t="b">
        <f>TrafficData[[#This Row],[pendingAmount]]+TrafficData[[#This Row],[disposedAmount]]=TrafficData[[#This Row],[totalAmount]]</f>
        <v>1</v>
      </c>
      <c r="M1717" t="b">
        <f>TrafficData[[#This Row],[pendingCourt]]+TrafficData[[#This Row],[disposedCourt]]=TrafficData[[#This Row],[totalCourt]]</f>
        <v>1</v>
      </c>
      <c r="N1717" t="b">
        <f>AND(TrafficData[[#This Row],[disposedChallan]]&lt;=TrafficData[[#This Row],[totalChallan]],TrafficData[[#This Row],[pendingChallan]]&lt;=TrafficData[[#This Row],[totalChallan]])</f>
        <v>1</v>
      </c>
      <c r="O1717" t="b">
        <f>AND(TrafficData[[#This Row],[pendingAmount]]&lt;=TrafficData[[#This Row],[totalAmount]],TrafficData[[#This Row],[disposedAmount]]&lt;=TrafficData[[#This Row],[totalAmount]])</f>
        <v>1</v>
      </c>
      <c r="P1717" t="b">
        <f>AND(TrafficData[[#This Row],[pendingCourt]]&lt;=TrafficData[[#This Row],[totalCourt]],TrafficData[[#This Row],[disposedCourt]]&lt;=TrafficData[[#This Row],[totalCourt]])</f>
        <v>1</v>
      </c>
    </row>
    <row r="1718" spans="1:16">
      <c r="A1718" s="1">
        <v>43722</v>
      </c>
      <c r="B1718">
        <v>76206</v>
      </c>
      <c r="C1718">
        <v>40290</v>
      </c>
      <c r="D1718">
        <v>35916</v>
      </c>
      <c r="E1718">
        <v>12149670</v>
      </c>
      <c r="F1718">
        <v>50465812</v>
      </c>
      <c r="G1718">
        <v>62615482</v>
      </c>
      <c r="H1718">
        <v>27237</v>
      </c>
      <c r="I1718">
        <v>8223</v>
      </c>
      <c r="J1718">
        <v>35460</v>
      </c>
      <c r="K1718" t="b">
        <f>TrafficData[[#This Row],[disposedChallan]]+TrafficData[[#This Row],[pendingChallan]]=TrafficData[[#This Row],[totalChallan]]</f>
        <v>1</v>
      </c>
      <c r="L1718" t="b">
        <f>TrafficData[[#This Row],[pendingAmount]]+TrafficData[[#This Row],[disposedAmount]]=TrafficData[[#This Row],[totalAmount]]</f>
        <v>1</v>
      </c>
      <c r="M1718" t="b">
        <f>TrafficData[[#This Row],[pendingCourt]]+TrafficData[[#This Row],[disposedCourt]]=TrafficData[[#This Row],[totalCourt]]</f>
        <v>1</v>
      </c>
      <c r="N1718" t="b">
        <f>AND(TrafficData[[#This Row],[disposedChallan]]&lt;=TrafficData[[#This Row],[totalChallan]],TrafficData[[#This Row],[pendingChallan]]&lt;=TrafficData[[#This Row],[totalChallan]])</f>
        <v>1</v>
      </c>
      <c r="O1718" t="b">
        <f>AND(TrafficData[[#This Row],[pendingAmount]]&lt;=TrafficData[[#This Row],[totalAmount]],TrafficData[[#This Row],[disposedAmount]]&lt;=TrafficData[[#This Row],[totalAmount]])</f>
        <v>1</v>
      </c>
      <c r="P1718" t="b">
        <f>AND(TrafficData[[#This Row],[pendingCourt]]&lt;=TrafficData[[#This Row],[totalCourt]],TrafficData[[#This Row],[disposedCourt]]&lt;=TrafficData[[#This Row],[totalCourt]])</f>
        <v>1</v>
      </c>
    </row>
    <row r="1719" spans="1:16">
      <c r="A1719" s="1">
        <v>43723</v>
      </c>
      <c r="B1719">
        <v>66391</v>
      </c>
      <c r="C1719">
        <v>32999</v>
      </c>
      <c r="D1719">
        <v>33392</v>
      </c>
      <c r="E1719">
        <v>8979374</v>
      </c>
      <c r="F1719">
        <v>38389594</v>
      </c>
      <c r="G1719">
        <v>47368968</v>
      </c>
      <c r="H1719">
        <v>26083</v>
      </c>
      <c r="I1719">
        <v>7982</v>
      </c>
      <c r="J1719">
        <v>34065</v>
      </c>
      <c r="K1719" t="b">
        <f>TrafficData[[#This Row],[disposedChallan]]+TrafficData[[#This Row],[pendingChallan]]=TrafficData[[#This Row],[totalChallan]]</f>
        <v>1</v>
      </c>
      <c r="L1719" t="b">
        <f>TrafficData[[#This Row],[pendingAmount]]+TrafficData[[#This Row],[disposedAmount]]=TrafficData[[#This Row],[totalAmount]]</f>
        <v>1</v>
      </c>
      <c r="M1719" t="b">
        <f>TrafficData[[#This Row],[pendingCourt]]+TrafficData[[#This Row],[disposedCourt]]=TrafficData[[#This Row],[totalCourt]]</f>
        <v>1</v>
      </c>
      <c r="N1719" t="b">
        <f>AND(TrafficData[[#This Row],[disposedChallan]]&lt;=TrafficData[[#This Row],[totalChallan]],TrafficData[[#This Row],[pendingChallan]]&lt;=TrafficData[[#This Row],[totalChallan]])</f>
        <v>1</v>
      </c>
      <c r="O1719" t="b">
        <f>AND(TrafficData[[#This Row],[pendingAmount]]&lt;=TrafficData[[#This Row],[totalAmount]],TrafficData[[#This Row],[disposedAmount]]&lt;=TrafficData[[#This Row],[totalAmount]])</f>
        <v>1</v>
      </c>
      <c r="P1719" t="b">
        <f>AND(TrafficData[[#This Row],[pendingCourt]]&lt;=TrafficData[[#This Row],[totalCourt]],TrafficData[[#This Row],[disposedCourt]]&lt;=TrafficData[[#This Row],[totalCourt]])</f>
        <v>1</v>
      </c>
    </row>
    <row r="1720" spans="1:16">
      <c r="A1720" s="1">
        <v>43724</v>
      </c>
      <c r="B1720">
        <v>60214</v>
      </c>
      <c r="C1720">
        <v>30919</v>
      </c>
      <c r="D1720">
        <v>29295</v>
      </c>
      <c r="E1720">
        <v>10638041</v>
      </c>
      <c r="F1720">
        <v>51316590</v>
      </c>
      <c r="G1720">
        <v>61954631</v>
      </c>
      <c r="H1720">
        <v>23880</v>
      </c>
      <c r="I1720">
        <v>8698</v>
      </c>
      <c r="J1720">
        <v>32578</v>
      </c>
      <c r="K1720" t="b">
        <f>TrafficData[[#This Row],[disposedChallan]]+TrafficData[[#This Row],[pendingChallan]]=TrafficData[[#This Row],[totalChallan]]</f>
        <v>1</v>
      </c>
      <c r="L1720" t="b">
        <f>TrafficData[[#This Row],[pendingAmount]]+TrafficData[[#This Row],[disposedAmount]]=TrafficData[[#This Row],[totalAmount]]</f>
        <v>1</v>
      </c>
      <c r="M1720" t="b">
        <f>TrafficData[[#This Row],[pendingCourt]]+TrafficData[[#This Row],[disposedCourt]]=TrafficData[[#This Row],[totalCourt]]</f>
        <v>1</v>
      </c>
      <c r="N1720" t="b">
        <f>AND(TrafficData[[#This Row],[disposedChallan]]&lt;=TrafficData[[#This Row],[totalChallan]],TrafficData[[#This Row],[pendingChallan]]&lt;=TrafficData[[#This Row],[totalChallan]])</f>
        <v>1</v>
      </c>
      <c r="O1720" t="b">
        <f>AND(TrafficData[[#This Row],[pendingAmount]]&lt;=TrafficData[[#This Row],[totalAmount]],TrafficData[[#This Row],[disposedAmount]]&lt;=TrafficData[[#This Row],[totalAmount]])</f>
        <v>1</v>
      </c>
      <c r="P1720" t="b">
        <f>AND(TrafficData[[#This Row],[pendingCourt]]&lt;=TrafficData[[#This Row],[totalCourt]],TrafficData[[#This Row],[disposedCourt]]&lt;=TrafficData[[#This Row],[totalCourt]])</f>
        <v>1</v>
      </c>
    </row>
    <row r="1721" spans="1:16">
      <c r="A1721" s="1">
        <v>43725</v>
      </c>
      <c r="B1721">
        <v>62590</v>
      </c>
      <c r="C1721">
        <v>33467</v>
      </c>
      <c r="D1721">
        <v>29123</v>
      </c>
      <c r="E1721">
        <v>10429480</v>
      </c>
      <c r="F1721">
        <v>56186042</v>
      </c>
      <c r="G1721">
        <v>66615522</v>
      </c>
      <c r="H1721">
        <v>22438</v>
      </c>
      <c r="I1721">
        <v>8805</v>
      </c>
      <c r="J1721">
        <v>31243</v>
      </c>
      <c r="K1721" t="b">
        <f>TrafficData[[#This Row],[disposedChallan]]+TrafficData[[#This Row],[pendingChallan]]=TrafficData[[#This Row],[totalChallan]]</f>
        <v>1</v>
      </c>
      <c r="L1721" t="b">
        <f>TrafficData[[#This Row],[pendingAmount]]+TrafficData[[#This Row],[disposedAmount]]=TrafficData[[#This Row],[totalAmount]]</f>
        <v>1</v>
      </c>
      <c r="M1721" t="b">
        <f>TrafficData[[#This Row],[pendingCourt]]+TrafficData[[#This Row],[disposedCourt]]=TrafficData[[#This Row],[totalCourt]]</f>
        <v>1</v>
      </c>
      <c r="N1721" t="b">
        <f>AND(TrafficData[[#This Row],[disposedChallan]]&lt;=TrafficData[[#This Row],[totalChallan]],TrafficData[[#This Row],[pendingChallan]]&lt;=TrafficData[[#This Row],[totalChallan]])</f>
        <v>1</v>
      </c>
      <c r="O1721" t="b">
        <f>AND(TrafficData[[#This Row],[pendingAmount]]&lt;=TrafficData[[#This Row],[totalAmount]],TrafficData[[#This Row],[disposedAmount]]&lt;=TrafficData[[#This Row],[totalAmount]])</f>
        <v>1</v>
      </c>
      <c r="P1721" t="b">
        <f>AND(TrafficData[[#This Row],[pendingCourt]]&lt;=TrafficData[[#This Row],[totalCourt]],TrafficData[[#This Row],[disposedCourt]]&lt;=TrafficData[[#This Row],[totalCourt]])</f>
        <v>1</v>
      </c>
    </row>
    <row r="1722" spans="1:16">
      <c r="A1722" s="1">
        <v>43726</v>
      </c>
      <c r="B1722">
        <v>70333</v>
      </c>
      <c r="C1722">
        <v>36844</v>
      </c>
      <c r="D1722">
        <v>33489</v>
      </c>
      <c r="E1722">
        <v>15568927</v>
      </c>
      <c r="F1722">
        <v>51988509</v>
      </c>
      <c r="G1722">
        <v>67557436</v>
      </c>
      <c r="H1722">
        <v>25982</v>
      </c>
      <c r="I1722">
        <v>8759</v>
      </c>
      <c r="J1722">
        <v>34741</v>
      </c>
      <c r="K1722" t="b">
        <f>TrafficData[[#This Row],[disposedChallan]]+TrafficData[[#This Row],[pendingChallan]]=TrafficData[[#This Row],[totalChallan]]</f>
        <v>1</v>
      </c>
      <c r="L1722" t="b">
        <f>TrafficData[[#This Row],[pendingAmount]]+TrafficData[[#This Row],[disposedAmount]]=TrafficData[[#This Row],[totalAmount]]</f>
        <v>1</v>
      </c>
      <c r="M1722" t="b">
        <f>TrafficData[[#This Row],[pendingCourt]]+TrafficData[[#This Row],[disposedCourt]]=TrafficData[[#This Row],[totalCourt]]</f>
        <v>1</v>
      </c>
      <c r="N1722" t="b">
        <f>AND(TrafficData[[#This Row],[disposedChallan]]&lt;=TrafficData[[#This Row],[totalChallan]],TrafficData[[#This Row],[pendingChallan]]&lt;=TrafficData[[#This Row],[totalChallan]])</f>
        <v>1</v>
      </c>
      <c r="O1722" t="b">
        <f>AND(TrafficData[[#This Row],[pendingAmount]]&lt;=TrafficData[[#This Row],[totalAmount]],TrafficData[[#This Row],[disposedAmount]]&lt;=TrafficData[[#This Row],[totalAmount]])</f>
        <v>1</v>
      </c>
      <c r="P1722" t="b">
        <f>AND(TrafficData[[#This Row],[pendingCourt]]&lt;=TrafficData[[#This Row],[totalCourt]],TrafficData[[#This Row],[disposedCourt]]&lt;=TrafficData[[#This Row],[totalCourt]])</f>
        <v>1</v>
      </c>
    </row>
    <row r="1723" spans="1:16">
      <c r="A1723" s="1">
        <v>43727</v>
      </c>
      <c r="B1723">
        <v>72533</v>
      </c>
      <c r="C1723">
        <v>36050</v>
      </c>
      <c r="D1723">
        <v>36483</v>
      </c>
      <c r="E1723">
        <v>16435711</v>
      </c>
      <c r="F1723">
        <v>56017567</v>
      </c>
      <c r="G1723">
        <v>72453278</v>
      </c>
      <c r="H1723">
        <v>29272</v>
      </c>
      <c r="I1723">
        <v>8658</v>
      </c>
      <c r="J1723">
        <v>37930</v>
      </c>
      <c r="K1723" t="b">
        <f>TrafficData[[#This Row],[disposedChallan]]+TrafficData[[#This Row],[pendingChallan]]=TrafficData[[#This Row],[totalChallan]]</f>
        <v>1</v>
      </c>
      <c r="L1723" t="b">
        <f>TrafficData[[#This Row],[pendingAmount]]+TrafficData[[#This Row],[disposedAmount]]=TrafficData[[#This Row],[totalAmount]]</f>
        <v>1</v>
      </c>
      <c r="M1723" t="b">
        <f>TrafficData[[#This Row],[pendingCourt]]+TrafficData[[#This Row],[disposedCourt]]=TrafficData[[#This Row],[totalCourt]]</f>
        <v>1</v>
      </c>
      <c r="N1723" t="b">
        <f>AND(TrafficData[[#This Row],[disposedChallan]]&lt;=TrafficData[[#This Row],[totalChallan]],TrafficData[[#This Row],[pendingChallan]]&lt;=TrafficData[[#This Row],[totalChallan]])</f>
        <v>1</v>
      </c>
      <c r="O1723" t="b">
        <f>AND(TrafficData[[#This Row],[pendingAmount]]&lt;=TrafficData[[#This Row],[totalAmount]],TrafficData[[#This Row],[disposedAmount]]&lt;=TrafficData[[#This Row],[totalAmount]])</f>
        <v>1</v>
      </c>
      <c r="P1723" t="b">
        <f>AND(TrafficData[[#This Row],[pendingCourt]]&lt;=TrafficData[[#This Row],[totalCourt]],TrafficData[[#This Row],[disposedCourt]]&lt;=TrafficData[[#This Row],[totalCourt]])</f>
        <v>1</v>
      </c>
    </row>
    <row r="1724" spans="1:16">
      <c r="A1724" s="1">
        <v>43728</v>
      </c>
      <c r="B1724">
        <v>72847</v>
      </c>
      <c r="C1724">
        <v>38783</v>
      </c>
      <c r="D1724">
        <v>34064</v>
      </c>
      <c r="E1724">
        <v>12559065</v>
      </c>
      <c r="F1724">
        <v>56249977</v>
      </c>
      <c r="G1724">
        <v>68809042</v>
      </c>
      <c r="H1724">
        <v>25882</v>
      </c>
      <c r="I1724">
        <v>8733</v>
      </c>
      <c r="J1724">
        <v>34615</v>
      </c>
      <c r="K1724" t="b">
        <f>TrafficData[[#This Row],[disposedChallan]]+TrafficData[[#This Row],[pendingChallan]]=TrafficData[[#This Row],[totalChallan]]</f>
        <v>1</v>
      </c>
      <c r="L1724" t="b">
        <f>TrafficData[[#This Row],[pendingAmount]]+TrafficData[[#This Row],[disposedAmount]]=TrafficData[[#This Row],[totalAmount]]</f>
        <v>1</v>
      </c>
      <c r="M1724" t="b">
        <f>TrafficData[[#This Row],[pendingCourt]]+TrafficData[[#This Row],[disposedCourt]]=TrafficData[[#This Row],[totalCourt]]</f>
        <v>1</v>
      </c>
      <c r="N1724" t="b">
        <f>AND(TrafficData[[#This Row],[disposedChallan]]&lt;=TrafficData[[#This Row],[totalChallan]],TrafficData[[#This Row],[pendingChallan]]&lt;=TrafficData[[#This Row],[totalChallan]])</f>
        <v>1</v>
      </c>
      <c r="O1724" t="b">
        <f>AND(TrafficData[[#This Row],[pendingAmount]]&lt;=TrafficData[[#This Row],[totalAmount]],TrafficData[[#This Row],[disposedAmount]]&lt;=TrafficData[[#This Row],[totalAmount]])</f>
        <v>1</v>
      </c>
      <c r="P1724" t="b">
        <f>AND(TrafficData[[#This Row],[pendingCourt]]&lt;=TrafficData[[#This Row],[totalCourt]],TrafficData[[#This Row],[disposedCourt]]&lt;=TrafficData[[#This Row],[totalCourt]])</f>
        <v>1</v>
      </c>
    </row>
    <row r="1725" spans="1:16">
      <c r="A1725" s="1">
        <v>43729</v>
      </c>
      <c r="B1725">
        <v>68546</v>
      </c>
      <c r="C1725">
        <v>36176</v>
      </c>
      <c r="D1725">
        <v>32370</v>
      </c>
      <c r="E1725">
        <v>10724807</v>
      </c>
      <c r="F1725">
        <v>53567337</v>
      </c>
      <c r="G1725">
        <v>64292144</v>
      </c>
      <c r="H1725">
        <v>24770</v>
      </c>
      <c r="I1725">
        <v>7779</v>
      </c>
      <c r="J1725">
        <v>32549</v>
      </c>
      <c r="K1725" t="b">
        <f>TrafficData[[#This Row],[disposedChallan]]+TrafficData[[#This Row],[pendingChallan]]=TrafficData[[#This Row],[totalChallan]]</f>
        <v>1</v>
      </c>
      <c r="L1725" t="b">
        <f>TrafficData[[#This Row],[pendingAmount]]+TrafficData[[#This Row],[disposedAmount]]=TrafficData[[#This Row],[totalAmount]]</f>
        <v>1</v>
      </c>
      <c r="M1725" t="b">
        <f>TrafficData[[#This Row],[pendingCourt]]+TrafficData[[#This Row],[disposedCourt]]=TrafficData[[#This Row],[totalCourt]]</f>
        <v>1</v>
      </c>
      <c r="N1725" t="b">
        <f>AND(TrafficData[[#This Row],[disposedChallan]]&lt;=TrafficData[[#This Row],[totalChallan]],TrafficData[[#This Row],[pendingChallan]]&lt;=TrafficData[[#This Row],[totalChallan]])</f>
        <v>1</v>
      </c>
      <c r="O1725" t="b">
        <f>AND(TrafficData[[#This Row],[pendingAmount]]&lt;=TrafficData[[#This Row],[totalAmount]],TrafficData[[#This Row],[disposedAmount]]&lt;=TrafficData[[#This Row],[totalAmount]])</f>
        <v>1</v>
      </c>
      <c r="P1725" t="b">
        <f>AND(TrafficData[[#This Row],[pendingCourt]]&lt;=TrafficData[[#This Row],[totalCourt]],TrafficData[[#This Row],[disposedCourt]]&lt;=TrafficData[[#This Row],[totalCourt]])</f>
        <v>1</v>
      </c>
    </row>
    <row r="1726" spans="1:16">
      <c r="A1726" s="1">
        <v>43730</v>
      </c>
      <c r="B1726">
        <v>60383</v>
      </c>
      <c r="C1726">
        <v>31730</v>
      </c>
      <c r="D1726">
        <v>28653</v>
      </c>
      <c r="E1726">
        <v>8002056</v>
      </c>
      <c r="F1726">
        <v>37970095</v>
      </c>
      <c r="G1726">
        <v>45972151</v>
      </c>
      <c r="H1726">
        <v>21233</v>
      </c>
      <c r="I1726">
        <v>7278</v>
      </c>
      <c r="J1726">
        <v>28511</v>
      </c>
      <c r="K1726" t="b">
        <f>TrafficData[[#This Row],[disposedChallan]]+TrafficData[[#This Row],[pendingChallan]]=TrafficData[[#This Row],[totalChallan]]</f>
        <v>1</v>
      </c>
      <c r="L1726" t="b">
        <f>TrafficData[[#This Row],[pendingAmount]]+TrafficData[[#This Row],[disposedAmount]]=TrafficData[[#This Row],[totalAmount]]</f>
        <v>1</v>
      </c>
      <c r="M1726" t="b">
        <f>TrafficData[[#This Row],[pendingCourt]]+TrafficData[[#This Row],[disposedCourt]]=TrafficData[[#This Row],[totalCourt]]</f>
        <v>1</v>
      </c>
      <c r="N1726" t="b">
        <f>AND(TrafficData[[#This Row],[disposedChallan]]&lt;=TrafficData[[#This Row],[totalChallan]],TrafficData[[#This Row],[pendingChallan]]&lt;=TrafficData[[#This Row],[totalChallan]])</f>
        <v>1</v>
      </c>
      <c r="O1726" t="b">
        <f>AND(TrafficData[[#This Row],[pendingAmount]]&lt;=TrafficData[[#This Row],[totalAmount]],TrafficData[[#This Row],[disposedAmount]]&lt;=TrafficData[[#This Row],[totalAmount]])</f>
        <v>1</v>
      </c>
      <c r="P1726" t="b">
        <f>AND(TrafficData[[#This Row],[pendingCourt]]&lt;=TrafficData[[#This Row],[totalCourt]],TrafficData[[#This Row],[disposedCourt]]&lt;=TrafficData[[#This Row],[totalCourt]])</f>
        <v>1</v>
      </c>
    </row>
    <row r="1727" spans="1:16">
      <c r="A1727" s="1">
        <v>43731</v>
      </c>
      <c r="B1727">
        <v>64978</v>
      </c>
      <c r="C1727">
        <v>35548</v>
      </c>
      <c r="D1727">
        <v>29430</v>
      </c>
      <c r="E1727">
        <v>9503786</v>
      </c>
      <c r="F1727">
        <v>45157137</v>
      </c>
      <c r="G1727">
        <v>54660923</v>
      </c>
      <c r="H1727">
        <v>22064</v>
      </c>
      <c r="I1727">
        <v>8639</v>
      </c>
      <c r="J1727">
        <v>30703</v>
      </c>
      <c r="K1727" t="b">
        <f>TrafficData[[#This Row],[disposedChallan]]+TrafficData[[#This Row],[pendingChallan]]=TrafficData[[#This Row],[totalChallan]]</f>
        <v>1</v>
      </c>
      <c r="L1727" t="b">
        <f>TrafficData[[#This Row],[pendingAmount]]+TrafficData[[#This Row],[disposedAmount]]=TrafficData[[#This Row],[totalAmount]]</f>
        <v>1</v>
      </c>
      <c r="M1727" t="b">
        <f>TrafficData[[#This Row],[pendingCourt]]+TrafficData[[#This Row],[disposedCourt]]=TrafficData[[#This Row],[totalCourt]]</f>
        <v>1</v>
      </c>
      <c r="N1727" t="b">
        <f>AND(TrafficData[[#This Row],[disposedChallan]]&lt;=TrafficData[[#This Row],[totalChallan]],TrafficData[[#This Row],[pendingChallan]]&lt;=TrafficData[[#This Row],[totalChallan]])</f>
        <v>1</v>
      </c>
      <c r="O1727" t="b">
        <f>AND(TrafficData[[#This Row],[pendingAmount]]&lt;=TrafficData[[#This Row],[totalAmount]],TrafficData[[#This Row],[disposedAmount]]&lt;=TrafficData[[#This Row],[totalAmount]])</f>
        <v>1</v>
      </c>
      <c r="P1727" t="b">
        <f>AND(TrafficData[[#This Row],[pendingCourt]]&lt;=TrafficData[[#This Row],[totalCourt]],TrafficData[[#This Row],[disposedCourt]]&lt;=TrafficData[[#This Row],[totalCourt]])</f>
        <v>1</v>
      </c>
    </row>
    <row r="1728" spans="1:16">
      <c r="A1728" s="1">
        <v>43732</v>
      </c>
      <c r="B1728">
        <v>68463</v>
      </c>
      <c r="C1728">
        <v>38486</v>
      </c>
      <c r="D1728">
        <v>29977</v>
      </c>
      <c r="E1728">
        <v>12641720</v>
      </c>
      <c r="F1728">
        <v>53560621</v>
      </c>
      <c r="G1728">
        <v>66202341</v>
      </c>
      <c r="H1728">
        <v>22061</v>
      </c>
      <c r="I1728">
        <v>9032</v>
      </c>
      <c r="J1728">
        <v>31093</v>
      </c>
      <c r="K1728" t="b">
        <f>TrafficData[[#This Row],[disposedChallan]]+TrafficData[[#This Row],[pendingChallan]]=TrafficData[[#This Row],[totalChallan]]</f>
        <v>1</v>
      </c>
      <c r="L1728" t="b">
        <f>TrafficData[[#This Row],[pendingAmount]]+TrafficData[[#This Row],[disposedAmount]]=TrafficData[[#This Row],[totalAmount]]</f>
        <v>1</v>
      </c>
      <c r="M1728" t="b">
        <f>TrafficData[[#This Row],[pendingCourt]]+TrafficData[[#This Row],[disposedCourt]]=TrafficData[[#This Row],[totalCourt]]</f>
        <v>1</v>
      </c>
      <c r="N1728" t="b">
        <f>AND(TrafficData[[#This Row],[disposedChallan]]&lt;=TrafficData[[#This Row],[totalChallan]],TrafficData[[#This Row],[pendingChallan]]&lt;=TrafficData[[#This Row],[totalChallan]])</f>
        <v>1</v>
      </c>
      <c r="O1728" t="b">
        <f>AND(TrafficData[[#This Row],[pendingAmount]]&lt;=TrafficData[[#This Row],[totalAmount]],TrafficData[[#This Row],[disposedAmount]]&lt;=TrafficData[[#This Row],[totalAmount]])</f>
        <v>1</v>
      </c>
      <c r="P1728" t="b">
        <f>AND(TrafficData[[#This Row],[pendingCourt]]&lt;=TrafficData[[#This Row],[totalCourt]],TrafficData[[#This Row],[disposedCourt]]&lt;=TrafficData[[#This Row],[totalCourt]])</f>
        <v>1</v>
      </c>
    </row>
    <row r="1729" spans="1:16">
      <c r="A1729" s="1">
        <v>43733</v>
      </c>
      <c r="B1729">
        <v>64528</v>
      </c>
      <c r="C1729">
        <v>36934</v>
      </c>
      <c r="D1729">
        <v>27594</v>
      </c>
      <c r="E1729">
        <v>11879533</v>
      </c>
      <c r="F1729">
        <v>57940827</v>
      </c>
      <c r="G1729">
        <v>69820360</v>
      </c>
      <c r="H1729">
        <v>19943</v>
      </c>
      <c r="I1729">
        <v>8865</v>
      </c>
      <c r="J1729">
        <v>28808</v>
      </c>
      <c r="K1729" t="b">
        <f>TrafficData[[#This Row],[disposedChallan]]+TrafficData[[#This Row],[pendingChallan]]=TrafficData[[#This Row],[totalChallan]]</f>
        <v>1</v>
      </c>
      <c r="L1729" t="b">
        <f>TrafficData[[#This Row],[pendingAmount]]+TrafficData[[#This Row],[disposedAmount]]=TrafficData[[#This Row],[totalAmount]]</f>
        <v>1</v>
      </c>
      <c r="M1729" t="b">
        <f>TrafficData[[#This Row],[pendingCourt]]+TrafficData[[#This Row],[disposedCourt]]=TrafficData[[#This Row],[totalCourt]]</f>
        <v>1</v>
      </c>
      <c r="N1729" t="b">
        <f>AND(TrafficData[[#This Row],[disposedChallan]]&lt;=TrafficData[[#This Row],[totalChallan]],TrafficData[[#This Row],[pendingChallan]]&lt;=TrafficData[[#This Row],[totalChallan]])</f>
        <v>1</v>
      </c>
      <c r="O1729" t="b">
        <f>AND(TrafficData[[#This Row],[pendingAmount]]&lt;=TrafficData[[#This Row],[totalAmount]],TrafficData[[#This Row],[disposedAmount]]&lt;=TrafficData[[#This Row],[totalAmount]])</f>
        <v>1</v>
      </c>
      <c r="P1729" t="b">
        <f>AND(TrafficData[[#This Row],[pendingCourt]]&lt;=TrafficData[[#This Row],[totalCourt]],TrafficData[[#This Row],[disposedCourt]]&lt;=TrafficData[[#This Row],[totalCourt]])</f>
        <v>1</v>
      </c>
    </row>
    <row r="1730" spans="1:16">
      <c r="A1730" s="1">
        <v>43734</v>
      </c>
      <c r="B1730">
        <v>61105</v>
      </c>
      <c r="C1730">
        <v>36312</v>
      </c>
      <c r="D1730">
        <v>24793</v>
      </c>
      <c r="E1730">
        <v>11329309</v>
      </c>
      <c r="F1730">
        <v>52809816</v>
      </c>
      <c r="G1730">
        <v>64139125</v>
      </c>
      <c r="H1730">
        <v>17038</v>
      </c>
      <c r="I1730">
        <v>7809</v>
      </c>
      <c r="J1730">
        <v>24847</v>
      </c>
      <c r="K1730" t="b">
        <f>TrafficData[[#This Row],[disposedChallan]]+TrafficData[[#This Row],[pendingChallan]]=TrafficData[[#This Row],[totalChallan]]</f>
        <v>1</v>
      </c>
      <c r="L1730" t="b">
        <f>TrafficData[[#This Row],[pendingAmount]]+TrafficData[[#This Row],[disposedAmount]]=TrafficData[[#This Row],[totalAmount]]</f>
        <v>1</v>
      </c>
      <c r="M1730" t="b">
        <f>TrafficData[[#This Row],[pendingCourt]]+TrafficData[[#This Row],[disposedCourt]]=TrafficData[[#This Row],[totalCourt]]</f>
        <v>1</v>
      </c>
      <c r="N1730" t="b">
        <f>AND(TrafficData[[#This Row],[disposedChallan]]&lt;=TrafficData[[#This Row],[totalChallan]],TrafficData[[#This Row],[pendingChallan]]&lt;=TrafficData[[#This Row],[totalChallan]])</f>
        <v>1</v>
      </c>
      <c r="O1730" t="b">
        <f>AND(TrafficData[[#This Row],[pendingAmount]]&lt;=TrafficData[[#This Row],[totalAmount]],TrafficData[[#This Row],[disposedAmount]]&lt;=TrafficData[[#This Row],[totalAmount]])</f>
        <v>1</v>
      </c>
      <c r="P1730" t="b">
        <f>AND(TrafficData[[#This Row],[pendingCourt]]&lt;=TrafficData[[#This Row],[totalCourt]],TrafficData[[#This Row],[disposedCourt]]&lt;=TrafficData[[#This Row],[totalCourt]])</f>
        <v>1</v>
      </c>
    </row>
    <row r="1731" spans="1:16">
      <c r="A1731" s="1">
        <v>43735</v>
      </c>
      <c r="B1731">
        <v>58425</v>
      </c>
      <c r="C1731">
        <v>35368</v>
      </c>
      <c r="D1731">
        <v>23057</v>
      </c>
      <c r="E1731">
        <v>13215002</v>
      </c>
      <c r="F1731">
        <v>53787364</v>
      </c>
      <c r="G1731">
        <v>67002366</v>
      </c>
      <c r="H1731">
        <v>15761</v>
      </c>
      <c r="I1731">
        <v>8387</v>
      </c>
      <c r="J1731">
        <v>24148</v>
      </c>
      <c r="K1731" t="b">
        <f>TrafficData[[#This Row],[disposedChallan]]+TrafficData[[#This Row],[pendingChallan]]=TrafficData[[#This Row],[totalChallan]]</f>
        <v>1</v>
      </c>
      <c r="L1731" t="b">
        <f>TrafficData[[#This Row],[pendingAmount]]+TrafficData[[#This Row],[disposedAmount]]=TrafficData[[#This Row],[totalAmount]]</f>
        <v>1</v>
      </c>
      <c r="M1731" t="b">
        <f>TrafficData[[#This Row],[pendingCourt]]+TrafficData[[#This Row],[disposedCourt]]=TrafficData[[#This Row],[totalCourt]]</f>
        <v>1</v>
      </c>
      <c r="N1731" t="b">
        <f>AND(TrafficData[[#This Row],[disposedChallan]]&lt;=TrafficData[[#This Row],[totalChallan]],TrafficData[[#This Row],[pendingChallan]]&lt;=TrafficData[[#This Row],[totalChallan]])</f>
        <v>1</v>
      </c>
      <c r="O1731" t="b">
        <f>AND(TrafficData[[#This Row],[pendingAmount]]&lt;=TrafficData[[#This Row],[totalAmount]],TrafficData[[#This Row],[disposedAmount]]&lt;=TrafficData[[#This Row],[totalAmount]])</f>
        <v>1</v>
      </c>
      <c r="P1731" t="b">
        <f>AND(TrafficData[[#This Row],[pendingCourt]]&lt;=TrafficData[[#This Row],[totalCourt]],TrafficData[[#This Row],[disposedCourt]]&lt;=TrafficData[[#This Row],[totalCourt]])</f>
        <v>1</v>
      </c>
    </row>
    <row r="1732" spans="1:16">
      <c r="A1732" s="1">
        <v>43736</v>
      </c>
      <c r="B1732">
        <v>52509</v>
      </c>
      <c r="C1732">
        <v>32739</v>
      </c>
      <c r="D1732">
        <v>19770</v>
      </c>
      <c r="E1732">
        <v>13156065</v>
      </c>
      <c r="F1732">
        <v>44874488</v>
      </c>
      <c r="G1732">
        <v>58030553</v>
      </c>
      <c r="H1732">
        <v>13525</v>
      </c>
      <c r="I1732">
        <v>8295</v>
      </c>
      <c r="J1732">
        <v>21820</v>
      </c>
      <c r="K1732" t="b">
        <f>TrafficData[[#This Row],[disposedChallan]]+TrafficData[[#This Row],[pendingChallan]]=TrafficData[[#This Row],[totalChallan]]</f>
        <v>1</v>
      </c>
      <c r="L1732" t="b">
        <f>TrafficData[[#This Row],[pendingAmount]]+TrafficData[[#This Row],[disposedAmount]]=TrafficData[[#This Row],[totalAmount]]</f>
        <v>1</v>
      </c>
      <c r="M1732" t="b">
        <f>TrafficData[[#This Row],[pendingCourt]]+TrafficData[[#This Row],[disposedCourt]]=TrafficData[[#This Row],[totalCourt]]</f>
        <v>1</v>
      </c>
      <c r="N1732" t="b">
        <f>AND(TrafficData[[#This Row],[disposedChallan]]&lt;=TrafficData[[#This Row],[totalChallan]],TrafficData[[#This Row],[pendingChallan]]&lt;=TrafficData[[#This Row],[totalChallan]])</f>
        <v>1</v>
      </c>
      <c r="O1732" t="b">
        <f>AND(TrafficData[[#This Row],[pendingAmount]]&lt;=TrafficData[[#This Row],[totalAmount]],TrafficData[[#This Row],[disposedAmount]]&lt;=TrafficData[[#This Row],[totalAmount]])</f>
        <v>1</v>
      </c>
      <c r="P1732" t="b">
        <f>AND(TrafficData[[#This Row],[pendingCourt]]&lt;=TrafficData[[#This Row],[totalCourt]],TrafficData[[#This Row],[disposedCourt]]&lt;=TrafficData[[#This Row],[totalCourt]])</f>
        <v>1</v>
      </c>
    </row>
    <row r="1733" spans="1:16">
      <c r="A1733" s="1">
        <v>43737</v>
      </c>
      <c r="B1733">
        <v>43907</v>
      </c>
      <c r="C1733">
        <v>26574</v>
      </c>
      <c r="D1733">
        <v>17333</v>
      </c>
      <c r="E1733">
        <v>7558826</v>
      </c>
      <c r="F1733">
        <v>33411408</v>
      </c>
      <c r="G1733">
        <v>40970234</v>
      </c>
      <c r="H1733">
        <v>11699</v>
      </c>
      <c r="I1733">
        <v>6861</v>
      </c>
      <c r="J1733">
        <v>18560</v>
      </c>
      <c r="K1733" t="b">
        <f>TrafficData[[#This Row],[disposedChallan]]+TrafficData[[#This Row],[pendingChallan]]=TrafficData[[#This Row],[totalChallan]]</f>
        <v>1</v>
      </c>
      <c r="L1733" t="b">
        <f>TrafficData[[#This Row],[pendingAmount]]+TrafficData[[#This Row],[disposedAmount]]=TrafficData[[#This Row],[totalAmount]]</f>
        <v>1</v>
      </c>
      <c r="M1733" t="b">
        <f>TrafficData[[#This Row],[pendingCourt]]+TrafficData[[#This Row],[disposedCourt]]=TrafficData[[#This Row],[totalCourt]]</f>
        <v>1</v>
      </c>
      <c r="N1733" t="b">
        <f>AND(TrafficData[[#This Row],[disposedChallan]]&lt;=TrafficData[[#This Row],[totalChallan]],TrafficData[[#This Row],[pendingChallan]]&lt;=TrafficData[[#This Row],[totalChallan]])</f>
        <v>1</v>
      </c>
      <c r="O1733" t="b">
        <f>AND(TrafficData[[#This Row],[pendingAmount]]&lt;=TrafficData[[#This Row],[totalAmount]],TrafficData[[#This Row],[disposedAmount]]&lt;=TrafficData[[#This Row],[totalAmount]])</f>
        <v>1</v>
      </c>
      <c r="P1733" t="b">
        <f>AND(TrafficData[[#This Row],[pendingCourt]]&lt;=TrafficData[[#This Row],[totalCourt]],TrafficData[[#This Row],[disposedCourt]]&lt;=TrafficData[[#This Row],[totalCourt]])</f>
        <v>1</v>
      </c>
    </row>
    <row r="1734" spans="1:16">
      <c r="A1734" s="1">
        <v>43738</v>
      </c>
      <c r="B1734">
        <v>46016</v>
      </c>
      <c r="C1734">
        <v>31505</v>
      </c>
      <c r="D1734">
        <v>14511</v>
      </c>
      <c r="E1734">
        <v>8597585</v>
      </c>
      <c r="F1734">
        <v>42585196</v>
      </c>
      <c r="G1734">
        <v>51182781</v>
      </c>
      <c r="H1734">
        <v>9031</v>
      </c>
      <c r="I1734">
        <v>8445</v>
      </c>
      <c r="J1734">
        <v>17476</v>
      </c>
      <c r="K1734" t="b">
        <f>TrafficData[[#This Row],[disposedChallan]]+TrafficData[[#This Row],[pendingChallan]]=TrafficData[[#This Row],[totalChallan]]</f>
        <v>1</v>
      </c>
      <c r="L1734" t="b">
        <f>TrafficData[[#This Row],[pendingAmount]]+TrafficData[[#This Row],[disposedAmount]]=TrafficData[[#This Row],[totalAmount]]</f>
        <v>1</v>
      </c>
      <c r="M1734" t="b">
        <f>TrafficData[[#This Row],[pendingCourt]]+TrafficData[[#This Row],[disposedCourt]]=TrafficData[[#This Row],[totalCourt]]</f>
        <v>1</v>
      </c>
      <c r="N1734" t="b">
        <f>AND(TrafficData[[#This Row],[disposedChallan]]&lt;=TrafficData[[#This Row],[totalChallan]],TrafficData[[#This Row],[pendingChallan]]&lt;=TrafficData[[#This Row],[totalChallan]])</f>
        <v>1</v>
      </c>
      <c r="O1734" t="b">
        <f>AND(TrafficData[[#This Row],[pendingAmount]]&lt;=TrafficData[[#This Row],[totalAmount]],TrafficData[[#This Row],[disposedAmount]]&lt;=TrafficData[[#This Row],[totalAmount]])</f>
        <v>1</v>
      </c>
      <c r="P1734" t="b">
        <f>AND(TrafficData[[#This Row],[pendingCourt]]&lt;=TrafficData[[#This Row],[totalCourt]],TrafficData[[#This Row],[disposedCourt]]&lt;=TrafficData[[#This Row],[totalCourt]])</f>
        <v>1</v>
      </c>
    </row>
    <row r="1735" spans="1:16">
      <c r="A1735" s="1">
        <v>43739</v>
      </c>
      <c r="B1735">
        <v>55464</v>
      </c>
      <c r="C1735">
        <v>37958</v>
      </c>
      <c r="D1735">
        <v>17506</v>
      </c>
      <c r="E1735">
        <v>13963680</v>
      </c>
      <c r="F1735">
        <v>363229210</v>
      </c>
      <c r="G1735">
        <v>377192890</v>
      </c>
      <c r="H1735">
        <v>11160</v>
      </c>
      <c r="I1735">
        <v>8966</v>
      </c>
      <c r="J1735">
        <v>20126</v>
      </c>
      <c r="K1735" t="b">
        <f>TrafficData[[#This Row],[disposedChallan]]+TrafficData[[#This Row],[pendingChallan]]=TrafficData[[#This Row],[totalChallan]]</f>
        <v>1</v>
      </c>
      <c r="L1735" t="b">
        <f>TrafficData[[#This Row],[pendingAmount]]+TrafficData[[#This Row],[disposedAmount]]=TrafficData[[#This Row],[totalAmount]]</f>
        <v>1</v>
      </c>
      <c r="M1735" t="b">
        <f>TrafficData[[#This Row],[pendingCourt]]+TrafficData[[#This Row],[disposedCourt]]=TrafficData[[#This Row],[totalCourt]]</f>
        <v>1</v>
      </c>
      <c r="N1735" t="b">
        <f>AND(TrafficData[[#This Row],[disposedChallan]]&lt;=TrafficData[[#This Row],[totalChallan]],TrafficData[[#This Row],[pendingChallan]]&lt;=TrafficData[[#This Row],[totalChallan]])</f>
        <v>1</v>
      </c>
      <c r="O1735" t="b">
        <f>AND(TrafficData[[#This Row],[pendingAmount]]&lt;=TrafficData[[#This Row],[totalAmount]],TrafficData[[#This Row],[disposedAmount]]&lt;=TrafficData[[#This Row],[totalAmount]])</f>
        <v>1</v>
      </c>
      <c r="P1735" t="b">
        <f>AND(TrafficData[[#This Row],[pendingCourt]]&lt;=TrafficData[[#This Row],[totalCourt]],TrafficData[[#This Row],[disposedCourt]]&lt;=TrafficData[[#This Row],[totalCourt]])</f>
        <v>1</v>
      </c>
    </row>
    <row r="1736" spans="1:16">
      <c r="A1736" s="1">
        <v>43740</v>
      </c>
      <c r="B1736">
        <v>44148</v>
      </c>
      <c r="C1736">
        <v>32078</v>
      </c>
      <c r="D1736">
        <v>12070</v>
      </c>
      <c r="E1736">
        <v>8412305</v>
      </c>
      <c r="F1736">
        <v>45854178</v>
      </c>
      <c r="G1736">
        <v>54266483</v>
      </c>
      <c r="H1736">
        <v>6263</v>
      </c>
      <c r="I1736">
        <v>7109</v>
      </c>
      <c r="J1736">
        <v>13372</v>
      </c>
      <c r="K1736" t="b">
        <f>TrafficData[[#This Row],[disposedChallan]]+TrafficData[[#This Row],[pendingChallan]]=TrafficData[[#This Row],[totalChallan]]</f>
        <v>1</v>
      </c>
      <c r="L1736" t="b">
        <f>TrafficData[[#This Row],[pendingAmount]]+TrafficData[[#This Row],[disposedAmount]]=TrafficData[[#This Row],[totalAmount]]</f>
        <v>1</v>
      </c>
      <c r="M1736" t="b">
        <f>TrafficData[[#This Row],[pendingCourt]]+TrafficData[[#This Row],[disposedCourt]]=TrafficData[[#This Row],[totalCourt]]</f>
        <v>1</v>
      </c>
      <c r="N1736" t="b">
        <f>AND(TrafficData[[#This Row],[disposedChallan]]&lt;=TrafficData[[#This Row],[totalChallan]],TrafficData[[#This Row],[pendingChallan]]&lt;=TrafficData[[#This Row],[totalChallan]])</f>
        <v>1</v>
      </c>
      <c r="O1736" t="b">
        <f>AND(TrafficData[[#This Row],[pendingAmount]]&lt;=TrafficData[[#This Row],[totalAmount]],TrafficData[[#This Row],[disposedAmount]]&lt;=TrafficData[[#This Row],[totalAmount]])</f>
        <v>1</v>
      </c>
      <c r="P1736" t="b">
        <f>AND(TrafficData[[#This Row],[pendingCourt]]&lt;=TrafficData[[#This Row],[totalCourt]],TrafficData[[#This Row],[disposedCourt]]&lt;=TrafficData[[#This Row],[totalCourt]])</f>
        <v>1</v>
      </c>
    </row>
    <row r="1737" spans="1:16">
      <c r="A1737" s="1">
        <v>43741</v>
      </c>
      <c r="B1737">
        <v>57347</v>
      </c>
      <c r="C1737">
        <v>39693</v>
      </c>
      <c r="D1737">
        <v>17654</v>
      </c>
      <c r="E1737">
        <v>15431141</v>
      </c>
      <c r="F1737">
        <v>60823495</v>
      </c>
      <c r="G1737">
        <v>76254636</v>
      </c>
      <c r="H1737">
        <v>11207</v>
      </c>
      <c r="I1737">
        <v>9584</v>
      </c>
      <c r="J1737">
        <v>20791</v>
      </c>
      <c r="K1737" t="b">
        <f>TrafficData[[#This Row],[disposedChallan]]+TrafficData[[#This Row],[pendingChallan]]=TrafficData[[#This Row],[totalChallan]]</f>
        <v>1</v>
      </c>
      <c r="L1737" t="b">
        <f>TrafficData[[#This Row],[pendingAmount]]+TrafficData[[#This Row],[disposedAmount]]=TrafficData[[#This Row],[totalAmount]]</f>
        <v>1</v>
      </c>
      <c r="M1737" t="b">
        <f>TrafficData[[#This Row],[pendingCourt]]+TrafficData[[#This Row],[disposedCourt]]=TrafficData[[#This Row],[totalCourt]]</f>
        <v>1</v>
      </c>
      <c r="N1737" t="b">
        <f>AND(TrafficData[[#This Row],[disposedChallan]]&lt;=TrafficData[[#This Row],[totalChallan]],TrafficData[[#This Row],[pendingChallan]]&lt;=TrafficData[[#This Row],[totalChallan]])</f>
        <v>1</v>
      </c>
      <c r="O1737" t="b">
        <f>AND(TrafficData[[#This Row],[pendingAmount]]&lt;=TrafficData[[#This Row],[totalAmount]],TrafficData[[#This Row],[disposedAmount]]&lt;=TrafficData[[#This Row],[totalAmount]])</f>
        <v>1</v>
      </c>
      <c r="P1737" t="b">
        <f>AND(TrafficData[[#This Row],[pendingCourt]]&lt;=TrafficData[[#This Row],[totalCourt]],TrafficData[[#This Row],[disposedCourt]]&lt;=TrafficData[[#This Row],[totalCourt]])</f>
        <v>1</v>
      </c>
    </row>
    <row r="1738" spans="1:16">
      <c r="A1738" s="1">
        <v>43742</v>
      </c>
      <c r="B1738">
        <v>50839</v>
      </c>
      <c r="C1738">
        <v>36093</v>
      </c>
      <c r="D1738">
        <v>14746</v>
      </c>
      <c r="E1738">
        <v>11470327</v>
      </c>
      <c r="F1738">
        <v>56741417</v>
      </c>
      <c r="G1738">
        <v>68211744</v>
      </c>
      <c r="H1738">
        <v>8330</v>
      </c>
      <c r="I1738">
        <v>8546</v>
      </c>
      <c r="J1738">
        <v>16876</v>
      </c>
      <c r="K1738" t="b">
        <f>TrafficData[[#This Row],[disposedChallan]]+TrafficData[[#This Row],[pendingChallan]]=TrafficData[[#This Row],[totalChallan]]</f>
        <v>1</v>
      </c>
      <c r="L1738" t="b">
        <f>TrafficData[[#This Row],[pendingAmount]]+TrafficData[[#This Row],[disposedAmount]]=TrafficData[[#This Row],[totalAmount]]</f>
        <v>1</v>
      </c>
      <c r="M1738" t="b">
        <f>TrafficData[[#This Row],[pendingCourt]]+TrafficData[[#This Row],[disposedCourt]]=TrafficData[[#This Row],[totalCourt]]</f>
        <v>1</v>
      </c>
      <c r="N1738" t="b">
        <f>AND(TrafficData[[#This Row],[disposedChallan]]&lt;=TrafficData[[#This Row],[totalChallan]],TrafficData[[#This Row],[pendingChallan]]&lt;=TrafficData[[#This Row],[totalChallan]])</f>
        <v>1</v>
      </c>
      <c r="O1738" t="b">
        <f>AND(TrafficData[[#This Row],[pendingAmount]]&lt;=TrafficData[[#This Row],[totalAmount]],TrafficData[[#This Row],[disposedAmount]]&lt;=TrafficData[[#This Row],[totalAmount]])</f>
        <v>1</v>
      </c>
      <c r="P1738" t="b">
        <f>AND(TrafficData[[#This Row],[pendingCourt]]&lt;=TrafficData[[#This Row],[totalCourt]],TrafficData[[#This Row],[disposedCourt]]&lt;=TrafficData[[#This Row],[totalCourt]])</f>
        <v>1</v>
      </c>
    </row>
    <row r="1739" spans="1:16">
      <c r="A1739" s="1">
        <v>43743</v>
      </c>
      <c r="B1739">
        <v>52614</v>
      </c>
      <c r="C1739">
        <v>35094</v>
      </c>
      <c r="D1739">
        <v>17520</v>
      </c>
      <c r="E1739">
        <v>11811611</v>
      </c>
      <c r="F1739">
        <v>51884367</v>
      </c>
      <c r="G1739">
        <v>63695978</v>
      </c>
      <c r="H1739">
        <v>10750</v>
      </c>
      <c r="I1739">
        <v>8514</v>
      </c>
      <c r="J1739">
        <v>19264</v>
      </c>
      <c r="K1739" t="b">
        <f>TrafficData[[#This Row],[disposedChallan]]+TrafficData[[#This Row],[pendingChallan]]=TrafficData[[#This Row],[totalChallan]]</f>
        <v>1</v>
      </c>
      <c r="L1739" t="b">
        <f>TrafficData[[#This Row],[pendingAmount]]+TrafficData[[#This Row],[disposedAmount]]=TrafficData[[#This Row],[totalAmount]]</f>
        <v>1</v>
      </c>
      <c r="M1739" t="b">
        <f>TrafficData[[#This Row],[pendingCourt]]+TrafficData[[#This Row],[disposedCourt]]=TrafficData[[#This Row],[totalCourt]]</f>
        <v>1</v>
      </c>
      <c r="N1739" t="b">
        <f>AND(TrafficData[[#This Row],[disposedChallan]]&lt;=TrafficData[[#This Row],[totalChallan]],TrafficData[[#This Row],[pendingChallan]]&lt;=TrafficData[[#This Row],[totalChallan]])</f>
        <v>1</v>
      </c>
      <c r="O1739" t="b">
        <f>AND(TrafficData[[#This Row],[pendingAmount]]&lt;=TrafficData[[#This Row],[totalAmount]],TrafficData[[#This Row],[disposedAmount]]&lt;=TrafficData[[#This Row],[totalAmount]])</f>
        <v>1</v>
      </c>
      <c r="P1739" t="b">
        <f>AND(TrafficData[[#This Row],[pendingCourt]]&lt;=TrafficData[[#This Row],[totalCourt]],TrafficData[[#This Row],[disposedCourt]]&lt;=TrafficData[[#This Row],[totalCourt]])</f>
        <v>1</v>
      </c>
    </row>
    <row r="1740" spans="1:16">
      <c r="A1740" s="1">
        <v>43744</v>
      </c>
      <c r="B1740">
        <v>45479</v>
      </c>
      <c r="C1740">
        <v>30830</v>
      </c>
      <c r="D1740">
        <v>14649</v>
      </c>
      <c r="E1740">
        <v>6946089</v>
      </c>
      <c r="F1740">
        <v>37107283</v>
      </c>
      <c r="G1740">
        <v>44053372</v>
      </c>
      <c r="H1740">
        <v>7401</v>
      </c>
      <c r="I1740">
        <v>7724</v>
      </c>
      <c r="J1740">
        <v>15125</v>
      </c>
      <c r="K1740" t="b">
        <f>TrafficData[[#This Row],[disposedChallan]]+TrafficData[[#This Row],[pendingChallan]]=TrafficData[[#This Row],[totalChallan]]</f>
        <v>1</v>
      </c>
      <c r="L1740" t="b">
        <f>TrafficData[[#This Row],[pendingAmount]]+TrafficData[[#This Row],[disposedAmount]]=TrafficData[[#This Row],[totalAmount]]</f>
        <v>1</v>
      </c>
      <c r="M1740" t="b">
        <f>TrafficData[[#This Row],[pendingCourt]]+TrafficData[[#This Row],[disposedCourt]]=TrafficData[[#This Row],[totalCourt]]</f>
        <v>1</v>
      </c>
      <c r="N1740" t="b">
        <f>AND(TrafficData[[#This Row],[disposedChallan]]&lt;=TrafficData[[#This Row],[totalChallan]],TrafficData[[#This Row],[pendingChallan]]&lt;=TrafficData[[#This Row],[totalChallan]])</f>
        <v>1</v>
      </c>
      <c r="O1740" t="b">
        <f>AND(TrafficData[[#This Row],[pendingAmount]]&lt;=TrafficData[[#This Row],[totalAmount]],TrafficData[[#This Row],[disposedAmount]]&lt;=TrafficData[[#This Row],[totalAmount]])</f>
        <v>1</v>
      </c>
      <c r="P1740" t="b">
        <f>AND(TrafficData[[#This Row],[pendingCourt]]&lt;=TrafficData[[#This Row],[totalCourt]],TrafficData[[#This Row],[disposedCourt]]&lt;=TrafficData[[#This Row],[totalCourt]])</f>
        <v>1</v>
      </c>
    </row>
    <row r="1741" spans="1:16">
      <c r="A1741" s="1">
        <v>43745</v>
      </c>
      <c r="B1741">
        <v>43069</v>
      </c>
      <c r="C1741">
        <v>28854</v>
      </c>
      <c r="D1741">
        <v>14215</v>
      </c>
      <c r="E1741">
        <v>7272763</v>
      </c>
      <c r="F1741">
        <v>40043555</v>
      </c>
      <c r="G1741">
        <v>47316318</v>
      </c>
      <c r="H1741">
        <v>8303</v>
      </c>
      <c r="I1741">
        <v>8566</v>
      </c>
      <c r="J1741">
        <v>16869</v>
      </c>
      <c r="K1741" t="b">
        <f>TrafficData[[#This Row],[disposedChallan]]+TrafficData[[#This Row],[pendingChallan]]=TrafficData[[#This Row],[totalChallan]]</f>
        <v>1</v>
      </c>
      <c r="L1741" t="b">
        <f>TrafficData[[#This Row],[pendingAmount]]+TrafficData[[#This Row],[disposedAmount]]=TrafficData[[#This Row],[totalAmount]]</f>
        <v>1</v>
      </c>
      <c r="M1741" t="b">
        <f>TrafficData[[#This Row],[pendingCourt]]+TrafficData[[#This Row],[disposedCourt]]=TrafficData[[#This Row],[totalCourt]]</f>
        <v>1</v>
      </c>
      <c r="N1741" t="b">
        <f>AND(TrafficData[[#This Row],[disposedChallan]]&lt;=TrafficData[[#This Row],[totalChallan]],TrafficData[[#This Row],[pendingChallan]]&lt;=TrafficData[[#This Row],[totalChallan]])</f>
        <v>1</v>
      </c>
      <c r="O1741" t="b">
        <f>AND(TrafficData[[#This Row],[pendingAmount]]&lt;=TrafficData[[#This Row],[totalAmount]],TrafficData[[#This Row],[disposedAmount]]&lt;=TrafficData[[#This Row],[totalAmount]])</f>
        <v>1</v>
      </c>
      <c r="P1741" t="b">
        <f>AND(TrafficData[[#This Row],[pendingCourt]]&lt;=TrafficData[[#This Row],[totalCourt]],TrafficData[[#This Row],[disposedCourt]]&lt;=TrafficData[[#This Row],[totalCourt]])</f>
        <v>1</v>
      </c>
    </row>
    <row r="1742" spans="1:16">
      <c r="A1742" s="1">
        <v>43746</v>
      </c>
      <c r="B1742">
        <v>40428</v>
      </c>
      <c r="C1742">
        <v>27150</v>
      </c>
      <c r="D1742">
        <v>13278</v>
      </c>
      <c r="E1742">
        <v>5804695</v>
      </c>
      <c r="F1742">
        <v>30846084</v>
      </c>
      <c r="G1742">
        <v>36650779</v>
      </c>
      <c r="H1742">
        <v>7062</v>
      </c>
      <c r="I1742">
        <v>6807</v>
      </c>
      <c r="J1742">
        <v>13869</v>
      </c>
      <c r="K1742" t="b">
        <f>TrafficData[[#This Row],[disposedChallan]]+TrafficData[[#This Row],[pendingChallan]]=TrafficData[[#This Row],[totalChallan]]</f>
        <v>1</v>
      </c>
      <c r="L1742" t="b">
        <f>TrafficData[[#This Row],[pendingAmount]]+TrafficData[[#This Row],[disposedAmount]]=TrafficData[[#This Row],[totalAmount]]</f>
        <v>1</v>
      </c>
      <c r="M1742" t="b">
        <f>TrafficData[[#This Row],[pendingCourt]]+TrafficData[[#This Row],[disposedCourt]]=TrafficData[[#This Row],[totalCourt]]</f>
        <v>1</v>
      </c>
      <c r="N1742" t="b">
        <f>AND(TrafficData[[#This Row],[disposedChallan]]&lt;=TrafficData[[#This Row],[totalChallan]],TrafficData[[#This Row],[pendingChallan]]&lt;=TrafficData[[#This Row],[totalChallan]])</f>
        <v>1</v>
      </c>
      <c r="O1742" t="b">
        <f>AND(TrafficData[[#This Row],[pendingAmount]]&lt;=TrafficData[[#This Row],[totalAmount]],TrafficData[[#This Row],[disposedAmount]]&lt;=TrafficData[[#This Row],[totalAmount]])</f>
        <v>1</v>
      </c>
      <c r="P1742" t="b">
        <f>AND(TrafficData[[#This Row],[pendingCourt]]&lt;=TrafficData[[#This Row],[totalCourt]],TrafficData[[#This Row],[disposedCourt]]&lt;=TrafficData[[#This Row],[totalCourt]])</f>
        <v>1</v>
      </c>
    </row>
    <row r="1743" spans="1:16">
      <c r="A1743" s="1">
        <v>43747</v>
      </c>
      <c r="B1743">
        <v>47460</v>
      </c>
      <c r="C1743">
        <v>32152</v>
      </c>
      <c r="D1743">
        <v>15308</v>
      </c>
      <c r="E1743">
        <v>9452980</v>
      </c>
      <c r="F1743">
        <v>44706945</v>
      </c>
      <c r="G1743">
        <v>54159925</v>
      </c>
      <c r="H1743">
        <v>9175</v>
      </c>
      <c r="I1743">
        <v>8769</v>
      </c>
      <c r="J1743">
        <v>17944</v>
      </c>
      <c r="K1743" t="b">
        <f>TrafficData[[#This Row],[disposedChallan]]+TrafficData[[#This Row],[pendingChallan]]=TrafficData[[#This Row],[totalChallan]]</f>
        <v>1</v>
      </c>
      <c r="L1743" t="b">
        <f>TrafficData[[#This Row],[pendingAmount]]+TrafficData[[#This Row],[disposedAmount]]=TrafficData[[#This Row],[totalAmount]]</f>
        <v>1</v>
      </c>
      <c r="M1743" t="b">
        <f>TrafficData[[#This Row],[pendingCourt]]+TrafficData[[#This Row],[disposedCourt]]=TrafficData[[#This Row],[totalCourt]]</f>
        <v>1</v>
      </c>
      <c r="N1743" t="b">
        <f>AND(TrafficData[[#This Row],[disposedChallan]]&lt;=TrafficData[[#This Row],[totalChallan]],TrafficData[[#This Row],[pendingChallan]]&lt;=TrafficData[[#This Row],[totalChallan]])</f>
        <v>1</v>
      </c>
      <c r="O1743" t="b">
        <f>AND(TrafficData[[#This Row],[pendingAmount]]&lt;=TrafficData[[#This Row],[totalAmount]],TrafficData[[#This Row],[disposedAmount]]&lt;=TrafficData[[#This Row],[totalAmount]])</f>
        <v>1</v>
      </c>
      <c r="P1743" t="b">
        <f>AND(TrafficData[[#This Row],[pendingCourt]]&lt;=TrafficData[[#This Row],[totalCourt]],TrafficData[[#This Row],[disposedCourt]]&lt;=TrafficData[[#This Row],[totalCourt]])</f>
        <v>1</v>
      </c>
    </row>
    <row r="1744" spans="1:16">
      <c r="A1744" s="1">
        <v>43748</v>
      </c>
      <c r="B1744">
        <v>51656</v>
      </c>
      <c r="C1744">
        <v>34002</v>
      </c>
      <c r="D1744">
        <v>17654</v>
      </c>
      <c r="E1744">
        <v>14089726</v>
      </c>
      <c r="F1744">
        <v>55858794</v>
      </c>
      <c r="G1744">
        <v>69948520</v>
      </c>
      <c r="H1744">
        <v>12248</v>
      </c>
      <c r="I1744">
        <v>9675</v>
      </c>
      <c r="J1744">
        <v>21923</v>
      </c>
      <c r="K1744" t="b">
        <f>TrafficData[[#This Row],[disposedChallan]]+TrafficData[[#This Row],[pendingChallan]]=TrafficData[[#This Row],[totalChallan]]</f>
        <v>1</v>
      </c>
      <c r="L1744" t="b">
        <f>TrafficData[[#This Row],[pendingAmount]]+TrafficData[[#This Row],[disposedAmount]]=TrafficData[[#This Row],[totalAmount]]</f>
        <v>1</v>
      </c>
      <c r="M1744" t="b">
        <f>TrafficData[[#This Row],[pendingCourt]]+TrafficData[[#This Row],[disposedCourt]]=TrafficData[[#This Row],[totalCourt]]</f>
        <v>1</v>
      </c>
      <c r="N1744" t="b">
        <f>AND(TrafficData[[#This Row],[disposedChallan]]&lt;=TrafficData[[#This Row],[totalChallan]],TrafficData[[#This Row],[pendingChallan]]&lt;=TrafficData[[#This Row],[totalChallan]])</f>
        <v>1</v>
      </c>
      <c r="O1744" t="b">
        <f>AND(TrafficData[[#This Row],[pendingAmount]]&lt;=TrafficData[[#This Row],[totalAmount]],TrafficData[[#This Row],[disposedAmount]]&lt;=TrafficData[[#This Row],[totalAmount]])</f>
        <v>1</v>
      </c>
      <c r="P1744" t="b">
        <f>AND(TrafficData[[#This Row],[pendingCourt]]&lt;=TrafficData[[#This Row],[totalCourt]],TrafficData[[#This Row],[disposedCourt]]&lt;=TrafficData[[#This Row],[totalCourt]])</f>
        <v>1</v>
      </c>
    </row>
    <row r="1745" spans="1:16">
      <c r="A1745" s="1">
        <v>43749</v>
      </c>
      <c r="B1745">
        <v>48772</v>
      </c>
      <c r="C1745">
        <v>32606</v>
      </c>
      <c r="D1745">
        <v>16166</v>
      </c>
      <c r="E1745">
        <v>12795217</v>
      </c>
      <c r="F1745">
        <v>58268756</v>
      </c>
      <c r="G1745">
        <v>71063973</v>
      </c>
      <c r="H1745">
        <v>10971</v>
      </c>
      <c r="I1745">
        <v>9000</v>
      </c>
      <c r="J1745">
        <v>19971</v>
      </c>
      <c r="K1745" t="b">
        <f>TrafficData[[#This Row],[disposedChallan]]+TrafficData[[#This Row],[pendingChallan]]=TrafficData[[#This Row],[totalChallan]]</f>
        <v>1</v>
      </c>
      <c r="L1745" t="b">
        <f>TrafficData[[#This Row],[pendingAmount]]+TrafficData[[#This Row],[disposedAmount]]=TrafficData[[#This Row],[totalAmount]]</f>
        <v>1</v>
      </c>
      <c r="M1745" t="b">
        <f>TrafficData[[#This Row],[pendingCourt]]+TrafficData[[#This Row],[disposedCourt]]=TrafficData[[#This Row],[totalCourt]]</f>
        <v>1</v>
      </c>
      <c r="N1745" t="b">
        <f>AND(TrafficData[[#This Row],[disposedChallan]]&lt;=TrafficData[[#This Row],[totalChallan]],TrafficData[[#This Row],[pendingChallan]]&lt;=TrafficData[[#This Row],[totalChallan]])</f>
        <v>1</v>
      </c>
      <c r="O1745" t="b">
        <f>AND(TrafficData[[#This Row],[pendingAmount]]&lt;=TrafficData[[#This Row],[totalAmount]],TrafficData[[#This Row],[disposedAmount]]&lt;=TrafficData[[#This Row],[totalAmount]])</f>
        <v>1</v>
      </c>
      <c r="P1745" t="b">
        <f>AND(TrafficData[[#This Row],[pendingCourt]]&lt;=TrafficData[[#This Row],[totalCourt]],TrafficData[[#This Row],[disposedCourt]]&lt;=TrafficData[[#This Row],[totalCourt]])</f>
        <v>1</v>
      </c>
    </row>
    <row r="1746" spans="1:16">
      <c r="A1746" s="1">
        <v>43750</v>
      </c>
      <c r="B1746">
        <v>42151</v>
      </c>
      <c r="C1746">
        <v>29881</v>
      </c>
      <c r="D1746">
        <v>12270</v>
      </c>
      <c r="E1746">
        <v>8827645</v>
      </c>
      <c r="F1746">
        <v>49559102</v>
      </c>
      <c r="G1746">
        <v>58386747</v>
      </c>
      <c r="H1746">
        <v>7585</v>
      </c>
      <c r="I1746">
        <v>7869</v>
      </c>
      <c r="J1746">
        <v>15454</v>
      </c>
      <c r="K1746" t="b">
        <f>TrafficData[[#This Row],[disposedChallan]]+TrafficData[[#This Row],[pendingChallan]]=TrafficData[[#This Row],[totalChallan]]</f>
        <v>1</v>
      </c>
      <c r="L1746" t="b">
        <f>TrafficData[[#This Row],[pendingAmount]]+TrafficData[[#This Row],[disposedAmount]]=TrafficData[[#This Row],[totalAmount]]</f>
        <v>1</v>
      </c>
      <c r="M1746" t="b">
        <f>TrafficData[[#This Row],[pendingCourt]]+TrafficData[[#This Row],[disposedCourt]]=TrafficData[[#This Row],[totalCourt]]</f>
        <v>1</v>
      </c>
      <c r="N1746" t="b">
        <f>AND(TrafficData[[#This Row],[disposedChallan]]&lt;=TrafficData[[#This Row],[totalChallan]],TrafficData[[#This Row],[pendingChallan]]&lt;=TrafficData[[#This Row],[totalChallan]])</f>
        <v>1</v>
      </c>
      <c r="O1746" t="b">
        <f>AND(TrafficData[[#This Row],[pendingAmount]]&lt;=TrafficData[[#This Row],[totalAmount]],TrafficData[[#This Row],[disposedAmount]]&lt;=TrafficData[[#This Row],[totalAmount]])</f>
        <v>1</v>
      </c>
      <c r="P1746" t="b">
        <f>AND(TrafficData[[#This Row],[pendingCourt]]&lt;=TrafficData[[#This Row],[totalCourt]],TrafficData[[#This Row],[disposedCourt]]&lt;=TrafficData[[#This Row],[totalCourt]])</f>
        <v>1</v>
      </c>
    </row>
    <row r="1747" spans="1:16">
      <c r="A1747" s="1">
        <v>43751</v>
      </c>
      <c r="B1747">
        <v>42632</v>
      </c>
      <c r="C1747">
        <v>29395</v>
      </c>
      <c r="D1747">
        <v>13237</v>
      </c>
      <c r="E1747">
        <v>6529475</v>
      </c>
      <c r="F1747">
        <v>38497993</v>
      </c>
      <c r="G1747">
        <v>45027468</v>
      </c>
      <c r="H1747">
        <v>7346</v>
      </c>
      <c r="I1747">
        <v>7063</v>
      </c>
      <c r="J1747">
        <v>14409</v>
      </c>
      <c r="K1747" t="b">
        <f>TrafficData[[#This Row],[disposedChallan]]+TrafficData[[#This Row],[pendingChallan]]=TrafficData[[#This Row],[totalChallan]]</f>
        <v>1</v>
      </c>
      <c r="L1747" t="b">
        <f>TrafficData[[#This Row],[pendingAmount]]+TrafficData[[#This Row],[disposedAmount]]=TrafficData[[#This Row],[totalAmount]]</f>
        <v>1</v>
      </c>
      <c r="M1747" t="b">
        <f>TrafficData[[#This Row],[pendingCourt]]+TrafficData[[#This Row],[disposedCourt]]=TrafficData[[#This Row],[totalCourt]]</f>
        <v>1</v>
      </c>
      <c r="N1747" t="b">
        <f>AND(TrafficData[[#This Row],[disposedChallan]]&lt;=TrafficData[[#This Row],[totalChallan]],TrafficData[[#This Row],[pendingChallan]]&lt;=TrafficData[[#This Row],[totalChallan]])</f>
        <v>1</v>
      </c>
      <c r="O1747" t="b">
        <f>AND(TrafficData[[#This Row],[pendingAmount]]&lt;=TrafficData[[#This Row],[totalAmount]],TrafficData[[#This Row],[disposedAmount]]&lt;=TrafficData[[#This Row],[totalAmount]])</f>
        <v>1</v>
      </c>
      <c r="P1747" t="b">
        <f>AND(TrafficData[[#This Row],[pendingCourt]]&lt;=TrafficData[[#This Row],[totalCourt]],TrafficData[[#This Row],[disposedCourt]]&lt;=TrafficData[[#This Row],[totalCourt]])</f>
        <v>1</v>
      </c>
    </row>
    <row r="1748" spans="1:16">
      <c r="A1748" s="1">
        <v>43752</v>
      </c>
      <c r="B1748">
        <v>53087</v>
      </c>
      <c r="C1748">
        <v>36355</v>
      </c>
      <c r="D1748">
        <v>16732</v>
      </c>
      <c r="E1748">
        <v>9992006</v>
      </c>
      <c r="F1748">
        <v>49272772</v>
      </c>
      <c r="G1748">
        <v>59264778</v>
      </c>
      <c r="H1748">
        <v>9395</v>
      </c>
      <c r="I1748">
        <v>8219</v>
      </c>
      <c r="J1748">
        <v>17614</v>
      </c>
      <c r="K1748" t="b">
        <f>TrafficData[[#This Row],[disposedChallan]]+TrafficData[[#This Row],[pendingChallan]]=TrafficData[[#This Row],[totalChallan]]</f>
        <v>1</v>
      </c>
      <c r="L1748" t="b">
        <f>TrafficData[[#This Row],[pendingAmount]]+TrafficData[[#This Row],[disposedAmount]]=TrafficData[[#This Row],[totalAmount]]</f>
        <v>1</v>
      </c>
      <c r="M1748" t="b">
        <f>TrafficData[[#This Row],[pendingCourt]]+TrafficData[[#This Row],[disposedCourt]]=TrafficData[[#This Row],[totalCourt]]</f>
        <v>1</v>
      </c>
      <c r="N1748" t="b">
        <f>AND(TrafficData[[#This Row],[disposedChallan]]&lt;=TrafficData[[#This Row],[totalChallan]],TrafficData[[#This Row],[pendingChallan]]&lt;=TrafficData[[#This Row],[totalChallan]])</f>
        <v>1</v>
      </c>
      <c r="O1748" t="b">
        <f>AND(TrafficData[[#This Row],[pendingAmount]]&lt;=TrafficData[[#This Row],[totalAmount]],TrafficData[[#This Row],[disposedAmount]]&lt;=TrafficData[[#This Row],[totalAmount]])</f>
        <v>1</v>
      </c>
      <c r="P1748" t="b">
        <f>AND(TrafficData[[#This Row],[pendingCourt]]&lt;=TrafficData[[#This Row],[totalCourt]],TrafficData[[#This Row],[disposedCourt]]&lt;=TrafficData[[#This Row],[totalCourt]])</f>
        <v>1</v>
      </c>
    </row>
    <row r="1749" spans="1:16">
      <c r="A1749" s="1">
        <v>43753</v>
      </c>
      <c r="B1749">
        <v>53986</v>
      </c>
      <c r="C1749">
        <v>36358</v>
      </c>
      <c r="D1749">
        <v>17628</v>
      </c>
      <c r="E1749">
        <v>11455990</v>
      </c>
      <c r="F1749">
        <v>53411051</v>
      </c>
      <c r="G1749">
        <v>64867041</v>
      </c>
      <c r="H1749">
        <v>10125</v>
      </c>
      <c r="I1749">
        <v>8247</v>
      </c>
      <c r="J1749">
        <v>18372</v>
      </c>
      <c r="K1749" t="b">
        <f>TrafficData[[#This Row],[disposedChallan]]+TrafficData[[#This Row],[pendingChallan]]=TrafficData[[#This Row],[totalChallan]]</f>
        <v>1</v>
      </c>
      <c r="L1749" t="b">
        <f>TrafficData[[#This Row],[pendingAmount]]+TrafficData[[#This Row],[disposedAmount]]=TrafficData[[#This Row],[totalAmount]]</f>
        <v>1</v>
      </c>
      <c r="M1749" t="b">
        <f>TrafficData[[#This Row],[pendingCourt]]+TrafficData[[#This Row],[disposedCourt]]=TrafficData[[#This Row],[totalCourt]]</f>
        <v>1</v>
      </c>
      <c r="N1749" t="b">
        <f>AND(TrafficData[[#This Row],[disposedChallan]]&lt;=TrafficData[[#This Row],[totalChallan]],TrafficData[[#This Row],[pendingChallan]]&lt;=TrafficData[[#This Row],[totalChallan]])</f>
        <v>1</v>
      </c>
      <c r="O1749" t="b">
        <f>AND(TrafficData[[#This Row],[pendingAmount]]&lt;=TrafficData[[#This Row],[totalAmount]],TrafficData[[#This Row],[disposedAmount]]&lt;=TrafficData[[#This Row],[totalAmount]])</f>
        <v>1</v>
      </c>
      <c r="P1749" t="b">
        <f>AND(TrafficData[[#This Row],[pendingCourt]]&lt;=TrafficData[[#This Row],[totalCourt]],TrafficData[[#This Row],[disposedCourt]]&lt;=TrafficData[[#This Row],[totalCourt]])</f>
        <v>1</v>
      </c>
    </row>
    <row r="1750" spans="1:16">
      <c r="A1750" s="1">
        <v>43754</v>
      </c>
      <c r="B1750">
        <v>54877</v>
      </c>
      <c r="C1750">
        <v>36490</v>
      </c>
      <c r="D1750">
        <v>18387</v>
      </c>
      <c r="E1750">
        <v>13703941</v>
      </c>
      <c r="F1750">
        <v>57900760</v>
      </c>
      <c r="G1750">
        <v>71604701</v>
      </c>
      <c r="H1750">
        <v>11834</v>
      </c>
      <c r="I1750">
        <v>9354</v>
      </c>
      <c r="J1750">
        <v>21188</v>
      </c>
      <c r="K1750" t="b">
        <f>TrafficData[[#This Row],[disposedChallan]]+TrafficData[[#This Row],[pendingChallan]]=TrafficData[[#This Row],[totalChallan]]</f>
        <v>1</v>
      </c>
      <c r="L1750" t="b">
        <f>TrafficData[[#This Row],[pendingAmount]]+TrafficData[[#This Row],[disposedAmount]]=TrafficData[[#This Row],[totalAmount]]</f>
        <v>1</v>
      </c>
      <c r="M1750" t="b">
        <f>TrafficData[[#This Row],[pendingCourt]]+TrafficData[[#This Row],[disposedCourt]]=TrafficData[[#This Row],[totalCourt]]</f>
        <v>1</v>
      </c>
      <c r="N1750" t="b">
        <f>AND(TrafficData[[#This Row],[disposedChallan]]&lt;=TrafficData[[#This Row],[totalChallan]],TrafficData[[#This Row],[pendingChallan]]&lt;=TrafficData[[#This Row],[totalChallan]])</f>
        <v>1</v>
      </c>
      <c r="O1750" t="b">
        <f>AND(TrafficData[[#This Row],[pendingAmount]]&lt;=TrafficData[[#This Row],[totalAmount]],TrafficData[[#This Row],[disposedAmount]]&lt;=TrafficData[[#This Row],[totalAmount]])</f>
        <v>1</v>
      </c>
      <c r="P1750" t="b">
        <f>AND(TrafficData[[#This Row],[pendingCourt]]&lt;=TrafficData[[#This Row],[totalCourt]],TrafficData[[#This Row],[disposedCourt]]&lt;=TrafficData[[#This Row],[totalCourt]])</f>
        <v>1</v>
      </c>
    </row>
    <row r="1751" spans="1:16">
      <c r="A1751" s="1">
        <v>43755</v>
      </c>
      <c r="B1751">
        <v>48225</v>
      </c>
      <c r="C1751">
        <v>33691</v>
      </c>
      <c r="D1751">
        <v>14534</v>
      </c>
      <c r="E1751">
        <v>10479771</v>
      </c>
      <c r="F1751">
        <v>54578410</v>
      </c>
      <c r="G1751">
        <v>65058181</v>
      </c>
      <c r="H1751">
        <v>8439</v>
      </c>
      <c r="I1751">
        <v>8877</v>
      </c>
      <c r="J1751">
        <v>17316</v>
      </c>
      <c r="K1751" t="b">
        <f>TrafficData[[#This Row],[disposedChallan]]+TrafficData[[#This Row],[pendingChallan]]=TrafficData[[#This Row],[totalChallan]]</f>
        <v>1</v>
      </c>
      <c r="L1751" t="b">
        <f>TrafficData[[#This Row],[pendingAmount]]+TrafficData[[#This Row],[disposedAmount]]=TrafficData[[#This Row],[totalAmount]]</f>
        <v>1</v>
      </c>
      <c r="M1751" t="b">
        <f>TrafficData[[#This Row],[pendingCourt]]+TrafficData[[#This Row],[disposedCourt]]=TrafficData[[#This Row],[totalCourt]]</f>
        <v>1</v>
      </c>
      <c r="N1751" t="b">
        <f>AND(TrafficData[[#This Row],[disposedChallan]]&lt;=TrafficData[[#This Row],[totalChallan]],TrafficData[[#This Row],[pendingChallan]]&lt;=TrafficData[[#This Row],[totalChallan]])</f>
        <v>1</v>
      </c>
      <c r="O1751" t="b">
        <f>AND(TrafficData[[#This Row],[pendingAmount]]&lt;=TrafficData[[#This Row],[totalAmount]],TrafficData[[#This Row],[disposedAmount]]&lt;=TrafficData[[#This Row],[totalAmount]])</f>
        <v>1</v>
      </c>
      <c r="P1751" t="b">
        <f>AND(TrafficData[[#This Row],[pendingCourt]]&lt;=TrafficData[[#This Row],[totalCourt]],TrafficData[[#This Row],[disposedCourt]]&lt;=TrafficData[[#This Row],[totalCourt]])</f>
        <v>1</v>
      </c>
    </row>
    <row r="1752" spans="1:16">
      <c r="A1752" s="1">
        <v>43756</v>
      </c>
      <c r="B1752">
        <v>56735</v>
      </c>
      <c r="C1752">
        <v>38670</v>
      </c>
      <c r="D1752">
        <v>18065</v>
      </c>
      <c r="E1752">
        <v>11744350</v>
      </c>
      <c r="F1752">
        <v>55660344</v>
      </c>
      <c r="G1752">
        <v>67404694</v>
      </c>
      <c r="H1752">
        <v>10412</v>
      </c>
      <c r="I1752">
        <v>9634</v>
      </c>
      <c r="J1752">
        <v>20046</v>
      </c>
      <c r="K1752" t="b">
        <f>TrafficData[[#This Row],[disposedChallan]]+TrafficData[[#This Row],[pendingChallan]]=TrafficData[[#This Row],[totalChallan]]</f>
        <v>1</v>
      </c>
      <c r="L1752" t="b">
        <f>TrafficData[[#This Row],[pendingAmount]]+TrafficData[[#This Row],[disposedAmount]]=TrafficData[[#This Row],[totalAmount]]</f>
        <v>1</v>
      </c>
      <c r="M1752" t="b">
        <f>TrafficData[[#This Row],[pendingCourt]]+TrafficData[[#This Row],[disposedCourt]]=TrafficData[[#This Row],[totalCourt]]</f>
        <v>1</v>
      </c>
      <c r="N1752" t="b">
        <f>AND(TrafficData[[#This Row],[disposedChallan]]&lt;=TrafficData[[#This Row],[totalChallan]],TrafficData[[#This Row],[pendingChallan]]&lt;=TrafficData[[#This Row],[totalChallan]])</f>
        <v>1</v>
      </c>
      <c r="O1752" t="b">
        <f>AND(TrafficData[[#This Row],[pendingAmount]]&lt;=TrafficData[[#This Row],[totalAmount]],TrafficData[[#This Row],[disposedAmount]]&lt;=TrafficData[[#This Row],[totalAmount]])</f>
        <v>1</v>
      </c>
      <c r="P1752" t="b">
        <f>AND(TrafficData[[#This Row],[pendingCourt]]&lt;=TrafficData[[#This Row],[totalCourt]],TrafficData[[#This Row],[disposedCourt]]&lt;=TrafficData[[#This Row],[totalCourt]])</f>
        <v>1</v>
      </c>
    </row>
    <row r="1753" spans="1:16">
      <c r="A1753" s="1">
        <v>43757</v>
      </c>
      <c r="B1753">
        <v>53495</v>
      </c>
      <c r="C1753">
        <v>37637</v>
      </c>
      <c r="D1753">
        <v>15858</v>
      </c>
      <c r="E1753">
        <v>9831200</v>
      </c>
      <c r="F1753">
        <v>57626246</v>
      </c>
      <c r="G1753">
        <v>67457446</v>
      </c>
      <c r="H1753">
        <v>8990</v>
      </c>
      <c r="I1753">
        <v>9565</v>
      </c>
      <c r="J1753">
        <v>18555</v>
      </c>
      <c r="K1753" t="b">
        <f>TrafficData[[#This Row],[disposedChallan]]+TrafficData[[#This Row],[pendingChallan]]=TrafficData[[#This Row],[totalChallan]]</f>
        <v>1</v>
      </c>
      <c r="L1753" t="b">
        <f>TrafficData[[#This Row],[pendingAmount]]+TrafficData[[#This Row],[disposedAmount]]=TrafficData[[#This Row],[totalAmount]]</f>
        <v>1</v>
      </c>
      <c r="M1753" t="b">
        <f>TrafficData[[#This Row],[pendingCourt]]+TrafficData[[#This Row],[disposedCourt]]=TrafficData[[#This Row],[totalCourt]]</f>
        <v>1</v>
      </c>
      <c r="N1753" t="b">
        <f>AND(TrafficData[[#This Row],[disposedChallan]]&lt;=TrafficData[[#This Row],[totalChallan]],TrafficData[[#This Row],[pendingChallan]]&lt;=TrafficData[[#This Row],[totalChallan]])</f>
        <v>1</v>
      </c>
      <c r="O1753" t="b">
        <f>AND(TrafficData[[#This Row],[pendingAmount]]&lt;=TrafficData[[#This Row],[totalAmount]],TrafficData[[#This Row],[disposedAmount]]&lt;=TrafficData[[#This Row],[totalAmount]])</f>
        <v>1</v>
      </c>
      <c r="P1753" t="b">
        <f>AND(TrafficData[[#This Row],[pendingCourt]]&lt;=TrafficData[[#This Row],[totalCourt]],TrafficData[[#This Row],[disposedCourt]]&lt;=TrafficData[[#This Row],[totalCourt]])</f>
        <v>1</v>
      </c>
    </row>
    <row r="1754" spans="1:16">
      <c r="A1754" s="1">
        <v>43758</v>
      </c>
      <c r="B1754">
        <v>43779</v>
      </c>
      <c r="C1754">
        <v>29814</v>
      </c>
      <c r="D1754">
        <v>13965</v>
      </c>
      <c r="E1754">
        <v>7104282</v>
      </c>
      <c r="F1754">
        <v>44254892</v>
      </c>
      <c r="G1754">
        <v>51359174</v>
      </c>
      <c r="H1754">
        <v>8330</v>
      </c>
      <c r="I1754">
        <v>8588</v>
      </c>
      <c r="J1754">
        <v>16918</v>
      </c>
      <c r="K1754" t="b">
        <f>TrafficData[[#This Row],[disposedChallan]]+TrafficData[[#This Row],[pendingChallan]]=TrafficData[[#This Row],[totalChallan]]</f>
        <v>1</v>
      </c>
      <c r="L1754" t="b">
        <f>TrafficData[[#This Row],[pendingAmount]]+TrafficData[[#This Row],[disposedAmount]]=TrafficData[[#This Row],[totalAmount]]</f>
        <v>1</v>
      </c>
      <c r="M1754" t="b">
        <f>TrafficData[[#This Row],[pendingCourt]]+TrafficData[[#This Row],[disposedCourt]]=TrafficData[[#This Row],[totalCourt]]</f>
        <v>1</v>
      </c>
      <c r="N1754" t="b">
        <f>AND(TrafficData[[#This Row],[disposedChallan]]&lt;=TrafficData[[#This Row],[totalChallan]],TrafficData[[#This Row],[pendingChallan]]&lt;=TrafficData[[#This Row],[totalChallan]])</f>
        <v>1</v>
      </c>
      <c r="O1754" t="b">
        <f>AND(TrafficData[[#This Row],[pendingAmount]]&lt;=TrafficData[[#This Row],[totalAmount]],TrafficData[[#This Row],[disposedAmount]]&lt;=TrafficData[[#This Row],[totalAmount]])</f>
        <v>1</v>
      </c>
      <c r="P1754" t="b">
        <f>AND(TrafficData[[#This Row],[pendingCourt]]&lt;=TrafficData[[#This Row],[totalCourt]],TrafficData[[#This Row],[disposedCourt]]&lt;=TrafficData[[#This Row],[totalCourt]])</f>
        <v>1</v>
      </c>
    </row>
    <row r="1755" spans="1:16">
      <c r="A1755" s="1">
        <v>43759</v>
      </c>
      <c r="B1755">
        <v>50434</v>
      </c>
      <c r="C1755">
        <v>34266</v>
      </c>
      <c r="D1755">
        <v>16168</v>
      </c>
      <c r="E1755">
        <v>11707603</v>
      </c>
      <c r="F1755">
        <v>52586760</v>
      </c>
      <c r="G1755">
        <v>64294363</v>
      </c>
      <c r="H1755">
        <v>9704</v>
      </c>
      <c r="I1755">
        <v>9322</v>
      </c>
      <c r="J1755">
        <v>19026</v>
      </c>
      <c r="K1755" t="b">
        <f>TrafficData[[#This Row],[disposedChallan]]+TrafficData[[#This Row],[pendingChallan]]=TrafficData[[#This Row],[totalChallan]]</f>
        <v>1</v>
      </c>
      <c r="L1755" t="b">
        <f>TrafficData[[#This Row],[pendingAmount]]+TrafficData[[#This Row],[disposedAmount]]=TrafficData[[#This Row],[totalAmount]]</f>
        <v>1</v>
      </c>
      <c r="M1755" t="b">
        <f>TrafficData[[#This Row],[pendingCourt]]+TrafficData[[#This Row],[disposedCourt]]=TrafficData[[#This Row],[totalCourt]]</f>
        <v>1</v>
      </c>
      <c r="N1755" t="b">
        <f>AND(TrafficData[[#This Row],[disposedChallan]]&lt;=TrafficData[[#This Row],[totalChallan]],TrafficData[[#This Row],[pendingChallan]]&lt;=TrafficData[[#This Row],[totalChallan]])</f>
        <v>1</v>
      </c>
      <c r="O1755" t="b">
        <f>AND(TrafficData[[#This Row],[pendingAmount]]&lt;=TrafficData[[#This Row],[totalAmount]],TrafficData[[#This Row],[disposedAmount]]&lt;=TrafficData[[#This Row],[totalAmount]])</f>
        <v>1</v>
      </c>
      <c r="P1755" t="b">
        <f>AND(TrafficData[[#This Row],[pendingCourt]]&lt;=TrafficData[[#This Row],[totalCourt]],TrafficData[[#This Row],[disposedCourt]]&lt;=TrafficData[[#This Row],[totalCourt]])</f>
        <v>1</v>
      </c>
    </row>
    <row r="1756" spans="1:16">
      <c r="A1756" s="1">
        <v>43760</v>
      </c>
      <c r="B1756">
        <v>52395</v>
      </c>
      <c r="C1756">
        <v>35970</v>
      </c>
      <c r="D1756">
        <v>16425</v>
      </c>
      <c r="E1756">
        <v>11625457</v>
      </c>
      <c r="F1756">
        <v>59826618</v>
      </c>
      <c r="G1756">
        <v>71452075</v>
      </c>
      <c r="H1756">
        <v>10033</v>
      </c>
      <c r="I1756">
        <v>9946</v>
      </c>
      <c r="J1756">
        <v>19979</v>
      </c>
      <c r="K1756" t="b">
        <f>TrafficData[[#This Row],[disposedChallan]]+TrafficData[[#This Row],[pendingChallan]]=TrafficData[[#This Row],[totalChallan]]</f>
        <v>1</v>
      </c>
      <c r="L1756" t="b">
        <f>TrafficData[[#This Row],[pendingAmount]]+TrafficData[[#This Row],[disposedAmount]]=TrafficData[[#This Row],[totalAmount]]</f>
        <v>1</v>
      </c>
      <c r="M1756" t="b">
        <f>TrafficData[[#This Row],[pendingCourt]]+TrafficData[[#This Row],[disposedCourt]]=TrafficData[[#This Row],[totalCourt]]</f>
        <v>1</v>
      </c>
      <c r="N1756" t="b">
        <f>AND(TrafficData[[#This Row],[disposedChallan]]&lt;=TrafficData[[#This Row],[totalChallan]],TrafficData[[#This Row],[pendingChallan]]&lt;=TrafficData[[#This Row],[totalChallan]])</f>
        <v>1</v>
      </c>
      <c r="O1756" t="b">
        <f>AND(TrafficData[[#This Row],[pendingAmount]]&lt;=TrafficData[[#This Row],[totalAmount]],TrafficData[[#This Row],[disposedAmount]]&lt;=TrafficData[[#This Row],[totalAmount]])</f>
        <v>1</v>
      </c>
      <c r="P1756" t="b">
        <f>AND(TrafficData[[#This Row],[pendingCourt]]&lt;=TrafficData[[#This Row],[totalCourt]],TrafficData[[#This Row],[disposedCourt]]&lt;=TrafficData[[#This Row],[totalCourt]])</f>
        <v>1</v>
      </c>
    </row>
    <row r="1757" spans="1:16">
      <c r="A1757" s="1">
        <v>43761</v>
      </c>
      <c r="B1757">
        <v>56389</v>
      </c>
      <c r="C1757">
        <v>37865</v>
      </c>
      <c r="D1757">
        <v>18524</v>
      </c>
      <c r="E1757">
        <v>15395149</v>
      </c>
      <c r="F1757">
        <v>60125218</v>
      </c>
      <c r="G1757">
        <v>75520367</v>
      </c>
      <c r="H1757">
        <v>11742</v>
      </c>
      <c r="I1757">
        <v>10615</v>
      </c>
      <c r="J1757">
        <v>22357</v>
      </c>
      <c r="K1757" t="b">
        <f>TrafficData[[#This Row],[disposedChallan]]+TrafficData[[#This Row],[pendingChallan]]=TrafficData[[#This Row],[totalChallan]]</f>
        <v>1</v>
      </c>
      <c r="L1757" t="b">
        <f>TrafficData[[#This Row],[pendingAmount]]+TrafficData[[#This Row],[disposedAmount]]=TrafficData[[#This Row],[totalAmount]]</f>
        <v>1</v>
      </c>
      <c r="M1757" t="b">
        <f>TrafficData[[#This Row],[pendingCourt]]+TrafficData[[#This Row],[disposedCourt]]=TrafficData[[#This Row],[totalCourt]]</f>
        <v>1</v>
      </c>
      <c r="N1757" t="b">
        <f>AND(TrafficData[[#This Row],[disposedChallan]]&lt;=TrafficData[[#This Row],[totalChallan]],TrafficData[[#This Row],[pendingChallan]]&lt;=TrafficData[[#This Row],[totalChallan]])</f>
        <v>1</v>
      </c>
      <c r="O1757" t="b">
        <f>AND(TrafficData[[#This Row],[pendingAmount]]&lt;=TrafficData[[#This Row],[totalAmount]],TrafficData[[#This Row],[disposedAmount]]&lt;=TrafficData[[#This Row],[totalAmount]])</f>
        <v>1</v>
      </c>
      <c r="P1757" t="b">
        <f>AND(TrafficData[[#This Row],[pendingCourt]]&lt;=TrafficData[[#This Row],[totalCourt]],TrafficData[[#This Row],[disposedCourt]]&lt;=TrafficData[[#This Row],[totalCourt]])</f>
        <v>1</v>
      </c>
    </row>
    <row r="1758" spans="1:16">
      <c r="A1758" s="1">
        <v>43762</v>
      </c>
      <c r="B1758">
        <v>47505</v>
      </c>
      <c r="C1758">
        <v>31326</v>
      </c>
      <c r="D1758">
        <v>16179</v>
      </c>
      <c r="E1758">
        <v>12001375</v>
      </c>
      <c r="F1758">
        <v>53766475</v>
      </c>
      <c r="G1758">
        <v>65767850</v>
      </c>
      <c r="H1758">
        <v>10118</v>
      </c>
      <c r="I1758">
        <v>8699</v>
      </c>
      <c r="J1758">
        <v>18817</v>
      </c>
      <c r="K1758" t="b">
        <f>TrafficData[[#This Row],[disposedChallan]]+TrafficData[[#This Row],[pendingChallan]]=TrafficData[[#This Row],[totalChallan]]</f>
        <v>1</v>
      </c>
      <c r="L1758" t="b">
        <f>TrafficData[[#This Row],[pendingAmount]]+TrafficData[[#This Row],[disposedAmount]]=TrafficData[[#This Row],[totalAmount]]</f>
        <v>1</v>
      </c>
      <c r="M1758" t="b">
        <f>TrafficData[[#This Row],[pendingCourt]]+TrafficData[[#This Row],[disposedCourt]]=TrafficData[[#This Row],[totalCourt]]</f>
        <v>1</v>
      </c>
      <c r="N1758" t="b">
        <f>AND(TrafficData[[#This Row],[disposedChallan]]&lt;=TrafficData[[#This Row],[totalChallan]],TrafficData[[#This Row],[pendingChallan]]&lt;=TrafficData[[#This Row],[totalChallan]])</f>
        <v>1</v>
      </c>
      <c r="O1758" t="b">
        <f>AND(TrafficData[[#This Row],[pendingAmount]]&lt;=TrafficData[[#This Row],[totalAmount]],TrafficData[[#This Row],[disposedAmount]]&lt;=TrafficData[[#This Row],[totalAmount]])</f>
        <v>1</v>
      </c>
      <c r="P1758" t="b">
        <f>AND(TrafficData[[#This Row],[pendingCourt]]&lt;=TrafficData[[#This Row],[totalCourt]],TrafficData[[#This Row],[disposedCourt]]&lt;=TrafficData[[#This Row],[totalCourt]])</f>
        <v>1</v>
      </c>
    </row>
    <row r="1759" spans="1:16">
      <c r="A1759" s="1">
        <v>43763</v>
      </c>
      <c r="B1759">
        <v>51100</v>
      </c>
      <c r="C1759">
        <v>30021</v>
      </c>
      <c r="D1759">
        <v>21079</v>
      </c>
      <c r="E1759">
        <v>12189525</v>
      </c>
      <c r="F1759">
        <v>44876084</v>
      </c>
      <c r="G1759">
        <v>57065609</v>
      </c>
      <c r="H1759">
        <v>15289</v>
      </c>
      <c r="I1759">
        <v>8562</v>
      </c>
      <c r="J1759">
        <v>23851</v>
      </c>
      <c r="K1759" t="b">
        <f>TrafficData[[#This Row],[disposedChallan]]+TrafficData[[#This Row],[pendingChallan]]=TrafficData[[#This Row],[totalChallan]]</f>
        <v>1</v>
      </c>
      <c r="L1759" t="b">
        <f>TrafficData[[#This Row],[pendingAmount]]+TrafficData[[#This Row],[disposedAmount]]=TrafficData[[#This Row],[totalAmount]]</f>
        <v>1</v>
      </c>
      <c r="M1759" t="b">
        <f>TrafficData[[#This Row],[pendingCourt]]+TrafficData[[#This Row],[disposedCourt]]=TrafficData[[#This Row],[totalCourt]]</f>
        <v>1</v>
      </c>
      <c r="N1759" t="b">
        <f>AND(TrafficData[[#This Row],[disposedChallan]]&lt;=TrafficData[[#This Row],[totalChallan]],TrafficData[[#This Row],[pendingChallan]]&lt;=TrafficData[[#This Row],[totalChallan]])</f>
        <v>1</v>
      </c>
      <c r="O1759" t="b">
        <f>AND(TrafficData[[#This Row],[pendingAmount]]&lt;=TrafficData[[#This Row],[totalAmount]],TrafficData[[#This Row],[disposedAmount]]&lt;=TrafficData[[#This Row],[totalAmount]])</f>
        <v>1</v>
      </c>
      <c r="P1759" t="b">
        <f>AND(TrafficData[[#This Row],[pendingCourt]]&lt;=TrafficData[[#This Row],[totalCourt]],TrafficData[[#This Row],[disposedCourt]]&lt;=TrafficData[[#This Row],[totalCourt]])</f>
        <v>1</v>
      </c>
    </row>
    <row r="1760" spans="1:16">
      <c r="A1760" s="1">
        <v>43764</v>
      </c>
      <c r="B1760">
        <v>39200</v>
      </c>
      <c r="C1760">
        <v>20947</v>
      </c>
      <c r="D1760">
        <v>18253</v>
      </c>
      <c r="E1760">
        <v>5559980</v>
      </c>
      <c r="F1760">
        <v>29046494</v>
      </c>
      <c r="G1760">
        <v>34606474</v>
      </c>
      <c r="H1760">
        <v>14291</v>
      </c>
      <c r="I1760">
        <v>6333</v>
      </c>
      <c r="J1760">
        <v>20624</v>
      </c>
      <c r="K1760" t="b">
        <f>TrafficData[[#This Row],[disposedChallan]]+TrafficData[[#This Row],[pendingChallan]]=TrafficData[[#This Row],[totalChallan]]</f>
        <v>1</v>
      </c>
      <c r="L1760" t="b">
        <f>TrafficData[[#This Row],[pendingAmount]]+TrafficData[[#This Row],[disposedAmount]]=TrafficData[[#This Row],[totalAmount]]</f>
        <v>1</v>
      </c>
      <c r="M1760" t="b">
        <f>TrafficData[[#This Row],[pendingCourt]]+TrafficData[[#This Row],[disposedCourt]]=TrafficData[[#This Row],[totalCourt]]</f>
        <v>1</v>
      </c>
      <c r="N1760" t="b">
        <f>AND(TrafficData[[#This Row],[disposedChallan]]&lt;=TrafficData[[#This Row],[totalChallan]],TrafficData[[#This Row],[pendingChallan]]&lt;=TrafficData[[#This Row],[totalChallan]])</f>
        <v>1</v>
      </c>
      <c r="O1760" t="b">
        <f>AND(TrafficData[[#This Row],[pendingAmount]]&lt;=TrafficData[[#This Row],[totalAmount]],TrafficData[[#This Row],[disposedAmount]]&lt;=TrafficData[[#This Row],[totalAmount]])</f>
        <v>1</v>
      </c>
      <c r="P1760" t="b">
        <f>AND(TrafficData[[#This Row],[pendingCourt]]&lt;=TrafficData[[#This Row],[totalCourt]],TrafficData[[#This Row],[disposedCourt]]&lt;=TrafficData[[#This Row],[totalCourt]])</f>
        <v>1</v>
      </c>
    </row>
    <row r="1761" spans="1:16">
      <c r="A1761" s="1">
        <v>43765</v>
      </c>
      <c r="B1761">
        <v>21401</v>
      </c>
      <c r="C1761">
        <v>7885</v>
      </c>
      <c r="D1761">
        <v>13516</v>
      </c>
      <c r="E1761">
        <v>2706210</v>
      </c>
      <c r="F1761">
        <v>12424670</v>
      </c>
      <c r="G1761">
        <v>15130880</v>
      </c>
      <c r="H1761">
        <v>12403</v>
      </c>
      <c r="I1761">
        <v>2754</v>
      </c>
      <c r="J1761">
        <v>15157</v>
      </c>
      <c r="K1761" t="b">
        <f>TrafficData[[#This Row],[disposedChallan]]+TrafficData[[#This Row],[pendingChallan]]=TrafficData[[#This Row],[totalChallan]]</f>
        <v>1</v>
      </c>
      <c r="L1761" t="b">
        <f>TrafficData[[#This Row],[pendingAmount]]+TrafficData[[#This Row],[disposedAmount]]=TrafficData[[#This Row],[totalAmount]]</f>
        <v>1</v>
      </c>
      <c r="M1761" t="b">
        <f>TrafficData[[#This Row],[pendingCourt]]+TrafficData[[#This Row],[disposedCourt]]=TrafficData[[#This Row],[totalCourt]]</f>
        <v>1</v>
      </c>
      <c r="N1761" t="b">
        <f>AND(TrafficData[[#This Row],[disposedChallan]]&lt;=TrafficData[[#This Row],[totalChallan]],TrafficData[[#This Row],[pendingChallan]]&lt;=TrafficData[[#This Row],[totalChallan]])</f>
        <v>1</v>
      </c>
      <c r="O1761" t="b">
        <f>AND(TrafficData[[#This Row],[pendingAmount]]&lt;=TrafficData[[#This Row],[totalAmount]],TrafficData[[#This Row],[disposedAmount]]&lt;=TrafficData[[#This Row],[totalAmount]])</f>
        <v>1</v>
      </c>
      <c r="P1761" t="b">
        <f>AND(TrafficData[[#This Row],[pendingCourt]]&lt;=TrafficData[[#This Row],[totalCourt]],TrafficData[[#This Row],[disposedCourt]]&lt;=TrafficData[[#This Row],[totalCourt]])</f>
        <v>1</v>
      </c>
    </row>
    <row r="1762" spans="1:16">
      <c r="A1762" s="1">
        <v>43766</v>
      </c>
      <c r="B1762">
        <v>43071</v>
      </c>
      <c r="C1762">
        <v>19776</v>
      </c>
      <c r="D1762">
        <v>23295</v>
      </c>
      <c r="E1762">
        <v>3773560</v>
      </c>
      <c r="F1762">
        <v>18399261</v>
      </c>
      <c r="G1762">
        <v>22172821</v>
      </c>
      <c r="H1762">
        <v>17860</v>
      </c>
      <c r="I1762">
        <v>4865</v>
      </c>
      <c r="J1762">
        <v>22725</v>
      </c>
      <c r="K1762" t="b">
        <f>TrafficData[[#This Row],[disposedChallan]]+TrafficData[[#This Row],[pendingChallan]]=TrafficData[[#This Row],[totalChallan]]</f>
        <v>1</v>
      </c>
      <c r="L1762" t="b">
        <f>TrafficData[[#This Row],[pendingAmount]]+TrafficData[[#This Row],[disposedAmount]]=TrafficData[[#This Row],[totalAmount]]</f>
        <v>1</v>
      </c>
      <c r="M1762" t="b">
        <f>TrafficData[[#This Row],[pendingCourt]]+TrafficData[[#This Row],[disposedCourt]]=TrafficData[[#This Row],[totalCourt]]</f>
        <v>1</v>
      </c>
      <c r="N1762" t="b">
        <f>AND(TrafficData[[#This Row],[disposedChallan]]&lt;=TrafficData[[#This Row],[totalChallan]],TrafficData[[#This Row],[pendingChallan]]&lt;=TrafficData[[#This Row],[totalChallan]])</f>
        <v>1</v>
      </c>
      <c r="O1762" t="b">
        <f>AND(TrafficData[[#This Row],[pendingAmount]]&lt;=TrafficData[[#This Row],[totalAmount]],TrafficData[[#This Row],[disposedAmount]]&lt;=TrafficData[[#This Row],[totalAmount]])</f>
        <v>1</v>
      </c>
      <c r="P1762" t="b">
        <f>AND(TrafficData[[#This Row],[pendingCourt]]&lt;=TrafficData[[#This Row],[totalCourt]],TrafficData[[#This Row],[disposedCourt]]&lt;=TrafficData[[#This Row],[totalCourt]])</f>
        <v>1</v>
      </c>
    </row>
    <row r="1763" spans="1:16">
      <c r="A1763" s="1">
        <v>43767</v>
      </c>
      <c r="B1763">
        <v>48847</v>
      </c>
      <c r="C1763">
        <v>25112</v>
      </c>
      <c r="D1763">
        <v>23735</v>
      </c>
      <c r="E1763">
        <v>5376689</v>
      </c>
      <c r="F1763">
        <v>27738388</v>
      </c>
      <c r="G1763">
        <v>33115077</v>
      </c>
      <c r="H1763">
        <v>18775</v>
      </c>
      <c r="I1763">
        <v>7425</v>
      </c>
      <c r="J1763">
        <v>26200</v>
      </c>
      <c r="K1763" t="b">
        <f>TrafficData[[#This Row],[disposedChallan]]+TrafficData[[#This Row],[pendingChallan]]=TrafficData[[#This Row],[totalChallan]]</f>
        <v>1</v>
      </c>
      <c r="L1763" t="b">
        <f>TrafficData[[#This Row],[pendingAmount]]+TrafficData[[#This Row],[disposedAmount]]=TrafficData[[#This Row],[totalAmount]]</f>
        <v>1</v>
      </c>
      <c r="M1763" t="b">
        <f>TrafficData[[#This Row],[pendingCourt]]+TrafficData[[#This Row],[disposedCourt]]=TrafficData[[#This Row],[totalCourt]]</f>
        <v>1</v>
      </c>
      <c r="N1763" t="b">
        <f>AND(TrafficData[[#This Row],[disposedChallan]]&lt;=TrafficData[[#This Row],[totalChallan]],TrafficData[[#This Row],[pendingChallan]]&lt;=TrafficData[[#This Row],[totalChallan]])</f>
        <v>1</v>
      </c>
      <c r="O1763" t="b">
        <f>AND(TrafficData[[#This Row],[pendingAmount]]&lt;=TrafficData[[#This Row],[totalAmount]],TrafficData[[#This Row],[disposedAmount]]&lt;=TrafficData[[#This Row],[totalAmount]])</f>
        <v>1</v>
      </c>
      <c r="P1763" t="b">
        <f>AND(TrafficData[[#This Row],[pendingCourt]]&lt;=TrafficData[[#This Row],[totalCourt]],TrafficData[[#This Row],[disposedCourt]]&lt;=TrafficData[[#This Row],[totalCourt]])</f>
        <v>1</v>
      </c>
    </row>
    <row r="1764" spans="1:16">
      <c r="A1764" s="1">
        <v>43768</v>
      </c>
      <c r="B1764">
        <v>47874</v>
      </c>
      <c r="C1764">
        <v>25488</v>
      </c>
      <c r="D1764">
        <v>22386</v>
      </c>
      <c r="E1764">
        <v>8653955</v>
      </c>
      <c r="F1764">
        <v>40298689</v>
      </c>
      <c r="G1764">
        <v>48952644</v>
      </c>
      <c r="H1764">
        <v>18294</v>
      </c>
      <c r="I1764">
        <v>8286</v>
      </c>
      <c r="J1764">
        <v>26580</v>
      </c>
      <c r="K1764" t="b">
        <f>TrafficData[[#This Row],[disposedChallan]]+TrafficData[[#This Row],[pendingChallan]]=TrafficData[[#This Row],[totalChallan]]</f>
        <v>1</v>
      </c>
      <c r="L1764" t="b">
        <f>TrafficData[[#This Row],[pendingAmount]]+TrafficData[[#This Row],[disposedAmount]]=TrafficData[[#This Row],[totalAmount]]</f>
        <v>1</v>
      </c>
      <c r="M1764" t="b">
        <f>TrafficData[[#This Row],[pendingCourt]]+TrafficData[[#This Row],[disposedCourt]]=TrafficData[[#This Row],[totalCourt]]</f>
        <v>1</v>
      </c>
      <c r="N1764" t="b">
        <f>AND(TrafficData[[#This Row],[disposedChallan]]&lt;=TrafficData[[#This Row],[totalChallan]],TrafficData[[#This Row],[pendingChallan]]&lt;=TrafficData[[#This Row],[totalChallan]])</f>
        <v>1</v>
      </c>
      <c r="O1764" t="b">
        <f>AND(TrafficData[[#This Row],[pendingAmount]]&lt;=TrafficData[[#This Row],[totalAmount]],TrafficData[[#This Row],[disposedAmount]]&lt;=TrafficData[[#This Row],[totalAmount]])</f>
        <v>1</v>
      </c>
      <c r="P1764" t="b">
        <f>AND(TrafficData[[#This Row],[pendingCourt]]&lt;=TrafficData[[#This Row],[totalCourt]],TrafficData[[#This Row],[disposedCourt]]&lt;=TrafficData[[#This Row],[totalCourt]])</f>
        <v>1</v>
      </c>
    </row>
    <row r="1765" spans="1:16">
      <c r="A1765" s="1">
        <v>43769</v>
      </c>
      <c r="B1765">
        <v>50724</v>
      </c>
      <c r="C1765">
        <v>29678</v>
      </c>
      <c r="D1765">
        <v>21046</v>
      </c>
      <c r="E1765">
        <v>10874020</v>
      </c>
      <c r="F1765">
        <v>47757908</v>
      </c>
      <c r="G1765">
        <v>58631928</v>
      </c>
      <c r="H1765">
        <v>15524</v>
      </c>
      <c r="I1765">
        <v>7817</v>
      </c>
      <c r="J1765">
        <v>23341</v>
      </c>
      <c r="K1765" t="b">
        <f>TrafficData[[#This Row],[disposedChallan]]+TrafficData[[#This Row],[pendingChallan]]=TrafficData[[#This Row],[totalChallan]]</f>
        <v>1</v>
      </c>
      <c r="L1765" t="b">
        <f>TrafficData[[#This Row],[pendingAmount]]+TrafficData[[#This Row],[disposedAmount]]=TrafficData[[#This Row],[totalAmount]]</f>
        <v>1</v>
      </c>
      <c r="M1765" t="b">
        <f>TrafficData[[#This Row],[pendingCourt]]+TrafficData[[#This Row],[disposedCourt]]=TrafficData[[#This Row],[totalCourt]]</f>
        <v>1</v>
      </c>
      <c r="N1765" t="b">
        <f>AND(TrafficData[[#This Row],[disposedChallan]]&lt;=TrafficData[[#This Row],[totalChallan]],TrafficData[[#This Row],[pendingChallan]]&lt;=TrafficData[[#This Row],[totalChallan]])</f>
        <v>1</v>
      </c>
      <c r="O1765" t="b">
        <f>AND(TrafficData[[#This Row],[pendingAmount]]&lt;=TrafficData[[#This Row],[totalAmount]],TrafficData[[#This Row],[disposedAmount]]&lt;=TrafficData[[#This Row],[totalAmount]])</f>
        <v>1</v>
      </c>
      <c r="P1765" t="b">
        <f>AND(TrafficData[[#This Row],[pendingCourt]]&lt;=TrafficData[[#This Row],[totalCourt]],TrafficData[[#This Row],[disposedCourt]]&lt;=TrafficData[[#This Row],[totalCourt]])</f>
        <v>1</v>
      </c>
    </row>
    <row r="1766" spans="1:16">
      <c r="A1766" s="1">
        <v>43770</v>
      </c>
      <c r="B1766">
        <v>64005</v>
      </c>
      <c r="C1766">
        <v>38220</v>
      </c>
      <c r="D1766">
        <v>25785</v>
      </c>
      <c r="E1766">
        <v>14887686</v>
      </c>
      <c r="F1766">
        <v>57309757</v>
      </c>
      <c r="G1766">
        <v>72197443</v>
      </c>
      <c r="H1766">
        <v>18650</v>
      </c>
      <c r="I1766">
        <v>8806</v>
      </c>
      <c r="J1766">
        <v>27456</v>
      </c>
      <c r="K1766" t="b">
        <f>TrafficData[[#This Row],[disposedChallan]]+TrafficData[[#This Row],[pendingChallan]]=TrafficData[[#This Row],[totalChallan]]</f>
        <v>1</v>
      </c>
      <c r="L1766" t="b">
        <f>TrafficData[[#This Row],[pendingAmount]]+TrafficData[[#This Row],[disposedAmount]]=TrafficData[[#This Row],[totalAmount]]</f>
        <v>1</v>
      </c>
      <c r="M1766" t="b">
        <f>TrafficData[[#This Row],[pendingCourt]]+TrafficData[[#This Row],[disposedCourt]]=TrafficData[[#This Row],[totalCourt]]</f>
        <v>1</v>
      </c>
      <c r="N1766" t="b">
        <f>AND(TrafficData[[#This Row],[disposedChallan]]&lt;=TrafficData[[#This Row],[totalChallan]],TrafficData[[#This Row],[pendingChallan]]&lt;=TrafficData[[#This Row],[totalChallan]])</f>
        <v>1</v>
      </c>
      <c r="O1766" t="b">
        <f>AND(TrafficData[[#This Row],[pendingAmount]]&lt;=TrafficData[[#This Row],[totalAmount]],TrafficData[[#This Row],[disposedAmount]]&lt;=TrafficData[[#This Row],[totalAmount]])</f>
        <v>1</v>
      </c>
      <c r="P1766" t="b">
        <f>AND(TrafficData[[#This Row],[pendingCourt]]&lt;=TrafficData[[#This Row],[totalCourt]],TrafficData[[#This Row],[disposedCourt]]&lt;=TrafficData[[#This Row],[totalCourt]])</f>
        <v>1</v>
      </c>
    </row>
    <row r="1767" spans="1:16">
      <c r="A1767" s="1">
        <v>43771</v>
      </c>
      <c r="B1767">
        <v>65956</v>
      </c>
      <c r="C1767">
        <v>38843</v>
      </c>
      <c r="D1767">
        <v>27113</v>
      </c>
      <c r="E1767">
        <v>17934067</v>
      </c>
      <c r="F1767">
        <v>56045561</v>
      </c>
      <c r="G1767">
        <v>73979628</v>
      </c>
      <c r="H1767">
        <v>19945</v>
      </c>
      <c r="I1767">
        <v>9017</v>
      </c>
      <c r="J1767">
        <v>28962</v>
      </c>
      <c r="K1767" t="b">
        <f>TrafficData[[#This Row],[disposedChallan]]+TrafficData[[#This Row],[pendingChallan]]=TrafficData[[#This Row],[totalChallan]]</f>
        <v>1</v>
      </c>
      <c r="L1767" t="b">
        <f>TrafficData[[#This Row],[pendingAmount]]+TrafficData[[#This Row],[disposedAmount]]=TrafficData[[#This Row],[totalAmount]]</f>
        <v>1</v>
      </c>
      <c r="M1767" t="b">
        <f>TrafficData[[#This Row],[pendingCourt]]+TrafficData[[#This Row],[disposedCourt]]=TrafficData[[#This Row],[totalCourt]]</f>
        <v>1</v>
      </c>
      <c r="N1767" t="b">
        <f>AND(TrafficData[[#This Row],[disposedChallan]]&lt;=TrafficData[[#This Row],[totalChallan]],TrafficData[[#This Row],[pendingChallan]]&lt;=TrafficData[[#This Row],[totalChallan]])</f>
        <v>1</v>
      </c>
      <c r="O1767" t="b">
        <f>AND(TrafficData[[#This Row],[pendingAmount]]&lt;=TrafficData[[#This Row],[totalAmount]],TrafficData[[#This Row],[disposedAmount]]&lt;=TrafficData[[#This Row],[totalAmount]])</f>
        <v>1</v>
      </c>
      <c r="P1767" t="b">
        <f>AND(TrafficData[[#This Row],[pendingCourt]]&lt;=TrafficData[[#This Row],[totalCourt]],TrafficData[[#This Row],[disposedCourt]]&lt;=TrafficData[[#This Row],[totalCourt]])</f>
        <v>1</v>
      </c>
    </row>
    <row r="1768" spans="1:16">
      <c r="A1768" s="1">
        <v>43772</v>
      </c>
      <c r="B1768">
        <v>55726</v>
      </c>
      <c r="C1768">
        <v>32957</v>
      </c>
      <c r="D1768">
        <v>22769</v>
      </c>
      <c r="E1768">
        <v>11686665</v>
      </c>
      <c r="F1768">
        <v>42520550</v>
      </c>
      <c r="G1768">
        <v>54207215</v>
      </c>
      <c r="H1768">
        <v>15881</v>
      </c>
      <c r="I1768">
        <v>7692</v>
      </c>
      <c r="J1768">
        <v>23573</v>
      </c>
      <c r="K1768" t="b">
        <f>TrafficData[[#This Row],[disposedChallan]]+TrafficData[[#This Row],[pendingChallan]]=TrafficData[[#This Row],[totalChallan]]</f>
        <v>1</v>
      </c>
      <c r="L1768" t="b">
        <f>TrafficData[[#This Row],[pendingAmount]]+TrafficData[[#This Row],[disposedAmount]]=TrafficData[[#This Row],[totalAmount]]</f>
        <v>1</v>
      </c>
      <c r="M1768" t="b">
        <f>TrafficData[[#This Row],[pendingCourt]]+TrafficData[[#This Row],[disposedCourt]]=TrafficData[[#This Row],[totalCourt]]</f>
        <v>1</v>
      </c>
      <c r="N1768" t="b">
        <f>AND(TrafficData[[#This Row],[disposedChallan]]&lt;=TrafficData[[#This Row],[totalChallan]],TrafficData[[#This Row],[pendingChallan]]&lt;=TrafficData[[#This Row],[totalChallan]])</f>
        <v>1</v>
      </c>
      <c r="O1768" t="b">
        <f>AND(TrafficData[[#This Row],[pendingAmount]]&lt;=TrafficData[[#This Row],[totalAmount]],TrafficData[[#This Row],[disposedAmount]]&lt;=TrafficData[[#This Row],[totalAmount]])</f>
        <v>1</v>
      </c>
      <c r="P1768" t="b">
        <f>AND(TrafficData[[#This Row],[pendingCourt]]&lt;=TrafficData[[#This Row],[totalCourt]],TrafficData[[#This Row],[disposedCourt]]&lt;=TrafficData[[#This Row],[totalCourt]])</f>
        <v>1</v>
      </c>
    </row>
    <row r="1769" spans="1:16">
      <c r="A1769" s="1">
        <v>43773</v>
      </c>
      <c r="B1769">
        <v>64444</v>
      </c>
      <c r="C1769">
        <v>40202</v>
      </c>
      <c r="D1769">
        <v>24242</v>
      </c>
      <c r="E1769">
        <v>15790308</v>
      </c>
      <c r="F1769">
        <v>55190757</v>
      </c>
      <c r="G1769">
        <v>70981065</v>
      </c>
      <c r="H1769">
        <v>16606</v>
      </c>
      <c r="I1769">
        <v>9555</v>
      </c>
      <c r="J1769">
        <v>26161</v>
      </c>
      <c r="K1769" t="b">
        <f>TrafficData[[#This Row],[disposedChallan]]+TrafficData[[#This Row],[pendingChallan]]=TrafficData[[#This Row],[totalChallan]]</f>
        <v>1</v>
      </c>
      <c r="L1769" t="b">
        <f>TrafficData[[#This Row],[pendingAmount]]+TrafficData[[#This Row],[disposedAmount]]=TrafficData[[#This Row],[totalAmount]]</f>
        <v>1</v>
      </c>
      <c r="M1769" t="b">
        <f>TrafficData[[#This Row],[pendingCourt]]+TrafficData[[#This Row],[disposedCourt]]=TrafficData[[#This Row],[totalCourt]]</f>
        <v>1</v>
      </c>
      <c r="N1769" t="b">
        <f>AND(TrafficData[[#This Row],[disposedChallan]]&lt;=TrafficData[[#This Row],[totalChallan]],TrafficData[[#This Row],[pendingChallan]]&lt;=TrafficData[[#This Row],[totalChallan]])</f>
        <v>1</v>
      </c>
      <c r="O1769" t="b">
        <f>AND(TrafficData[[#This Row],[pendingAmount]]&lt;=TrafficData[[#This Row],[totalAmount]],TrafficData[[#This Row],[disposedAmount]]&lt;=TrafficData[[#This Row],[totalAmount]])</f>
        <v>1</v>
      </c>
      <c r="P1769" t="b">
        <f>AND(TrafficData[[#This Row],[pendingCourt]]&lt;=TrafficData[[#This Row],[totalCourt]],TrafficData[[#This Row],[disposedCourt]]&lt;=TrafficData[[#This Row],[totalCourt]])</f>
        <v>1</v>
      </c>
    </row>
    <row r="1770" spans="1:16">
      <c r="A1770" s="1">
        <v>43774</v>
      </c>
      <c r="B1770">
        <v>62089</v>
      </c>
      <c r="C1770">
        <v>39074</v>
      </c>
      <c r="D1770">
        <v>23015</v>
      </c>
      <c r="E1770">
        <v>16398906</v>
      </c>
      <c r="F1770">
        <v>63154025</v>
      </c>
      <c r="G1770">
        <v>79552931</v>
      </c>
      <c r="H1770">
        <v>15650</v>
      </c>
      <c r="I1770">
        <v>8613</v>
      </c>
      <c r="J1770">
        <v>24263</v>
      </c>
      <c r="K1770" t="b">
        <f>TrafficData[[#This Row],[disposedChallan]]+TrafficData[[#This Row],[pendingChallan]]=TrafficData[[#This Row],[totalChallan]]</f>
        <v>1</v>
      </c>
      <c r="L1770" t="b">
        <f>TrafficData[[#This Row],[pendingAmount]]+TrafficData[[#This Row],[disposedAmount]]=TrafficData[[#This Row],[totalAmount]]</f>
        <v>1</v>
      </c>
      <c r="M1770" t="b">
        <f>TrafficData[[#This Row],[pendingCourt]]+TrafficData[[#This Row],[disposedCourt]]=TrafficData[[#This Row],[totalCourt]]</f>
        <v>1</v>
      </c>
      <c r="N1770" t="b">
        <f>AND(TrafficData[[#This Row],[disposedChallan]]&lt;=TrafficData[[#This Row],[totalChallan]],TrafficData[[#This Row],[pendingChallan]]&lt;=TrafficData[[#This Row],[totalChallan]])</f>
        <v>1</v>
      </c>
      <c r="O1770" t="b">
        <f>AND(TrafficData[[#This Row],[pendingAmount]]&lt;=TrafficData[[#This Row],[totalAmount]],TrafficData[[#This Row],[disposedAmount]]&lt;=TrafficData[[#This Row],[totalAmount]])</f>
        <v>1</v>
      </c>
      <c r="P1770" t="b">
        <f>AND(TrafficData[[#This Row],[pendingCourt]]&lt;=TrafficData[[#This Row],[totalCourt]],TrafficData[[#This Row],[disposedCourt]]&lt;=TrafficData[[#This Row],[totalCourt]])</f>
        <v>1</v>
      </c>
    </row>
    <row r="1771" spans="1:16">
      <c r="A1771" s="1">
        <v>43775</v>
      </c>
      <c r="B1771">
        <v>71176</v>
      </c>
      <c r="C1771">
        <v>44037</v>
      </c>
      <c r="D1771">
        <v>27139</v>
      </c>
      <c r="E1771">
        <v>19383900</v>
      </c>
      <c r="F1771">
        <v>61818569</v>
      </c>
      <c r="G1771">
        <v>81202469</v>
      </c>
      <c r="H1771">
        <v>19497</v>
      </c>
      <c r="I1771">
        <v>11232</v>
      </c>
      <c r="J1771">
        <v>30729</v>
      </c>
      <c r="K1771" t="b">
        <f>TrafficData[[#This Row],[disposedChallan]]+TrafficData[[#This Row],[pendingChallan]]=TrafficData[[#This Row],[totalChallan]]</f>
        <v>1</v>
      </c>
      <c r="L1771" t="b">
        <f>TrafficData[[#This Row],[pendingAmount]]+TrafficData[[#This Row],[disposedAmount]]=TrafficData[[#This Row],[totalAmount]]</f>
        <v>1</v>
      </c>
      <c r="M1771" t="b">
        <f>TrafficData[[#This Row],[pendingCourt]]+TrafficData[[#This Row],[disposedCourt]]=TrafficData[[#This Row],[totalCourt]]</f>
        <v>1</v>
      </c>
      <c r="N1771" t="b">
        <f>AND(TrafficData[[#This Row],[disposedChallan]]&lt;=TrafficData[[#This Row],[totalChallan]],TrafficData[[#This Row],[pendingChallan]]&lt;=TrafficData[[#This Row],[totalChallan]])</f>
        <v>1</v>
      </c>
      <c r="O1771" t="b">
        <f>AND(TrafficData[[#This Row],[pendingAmount]]&lt;=TrafficData[[#This Row],[totalAmount]],TrafficData[[#This Row],[disposedAmount]]&lt;=TrafficData[[#This Row],[totalAmount]])</f>
        <v>1</v>
      </c>
      <c r="P1771" t="b">
        <f>AND(TrafficData[[#This Row],[pendingCourt]]&lt;=TrafficData[[#This Row],[totalCourt]],TrafficData[[#This Row],[disposedCourt]]&lt;=TrafficData[[#This Row],[totalCourt]])</f>
        <v>1</v>
      </c>
    </row>
    <row r="1772" spans="1:16">
      <c r="A1772" s="1">
        <v>43776</v>
      </c>
      <c r="B1772">
        <v>68947</v>
      </c>
      <c r="C1772">
        <v>41670</v>
      </c>
      <c r="D1772">
        <v>27277</v>
      </c>
      <c r="E1772">
        <v>19553428</v>
      </c>
      <c r="F1772">
        <v>58828888</v>
      </c>
      <c r="G1772">
        <v>78382316</v>
      </c>
      <c r="H1772">
        <v>19865</v>
      </c>
      <c r="I1772">
        <v>10056</v>
      </c>
      <c r="J1772">
        <v>29921</v>
      </c>
      <c r="K1772" t="b">
        <f>TrafficData[[#This Row],[disposedChallan]]+TrafficData[[#This Row],[pendingChallan]]=TrafficData[[#This Row],[totalChallan]]</f>
        <v>1</v>
      </c>
      <c r="L1772" t="b">
        <f>TrafficData[[#This Row],[pendingAmount]]+TrafficData[[#This Row],[disposedAmount]]=TrafficData[[#This Row],[totalAmount]]</f>
        <v>1</v>
      </c>
      <c r="M1772" t="b">
        <f>TrafficData[[#This Row],[pendingCourt]]+TrafficData[[#This Row],[disposedCourt]]=TrafficData[[#This Row],[totalCourt]]</f>
        <v>1</v>
      </c>
      <c r="N1772" t="b">
        <f>AND(TrafficData[[#This Row],[disposedChallan]]&lt;=TrafficData[[#This Row],[totalChallan]],TrafficData[[#This Row],[pendingChallan]]&lt;=TrafficData[[#This Row],[totalChallan]])</f>
        <v>1</v>
      </c>
      <c r="O1772" t="b">
        <f>AND(TrafficData[[#This Row],[pendingAmount]]&lt;=TrafficData[[#This Row],[totalAmount]],TrafficData[[#This Row],[disposedAmount]]&lt;=TrafficData[[#This Row],[totalAmount]])</f>
        <v>1</v>
      </c>
      <c r="P1772" t="b">
        <f>AND(TrafficData[[#This Row],[pendingCourt]]&lt;=TrafficData[[#This Row],[totalCourt]],TrafficData[[#This Row],[disposedCourt]]&lt;=TrafficData[[#This Row],[totalCourt]])</f>
        <v>1</v>
      </c>
    </row>
    <row r="1773" spans="1:16">
      <c r="A1773" s="1">
        <v>43777</v>
      </c>
      <c r="B1773">
        <v>62713</v>
      </c>
      <c r="C1773">
        <v>39346</v>
      </c>
      <c r="D1773">
        <v>23367</v>
      </c>
      <c r="E1773">
        <v>13953700</v>
      </c>
      <c r="F1773">
        <v>60192749</v>
      </c>
      <c r="G1773">
        <v>74146449</v>
      </c>
      <c r="H1773">
        <v>16623</v>
      </c>
      <c r="I1773">
        <v>10427</v>
      </c>
      <c r="J1773">
        <v>27050</v>
      </c>
      <c r="K1773" t="b">
        <f>TrafficData[[#This Row],[disposedChallan]]+TrafficData[[#This Row],[pendingChallan]]=TrafficData[[#This Row],[totalChallan]]</f>
        <v>1</v>
      </c>
      <c r="L1773" t="b">
        <f>TrafficData[[#This Row],[pendingAmount]]+TrafficData[[#This Row],[disposedAmount]]=TrafficData[[#This Row],[totalAmount]]</f>
        <v>1</v>
      </c>
      <c r="M1773" t="b">
        <f>TrafficData[[#This Row],[pendingCourt]]+TrafficData[[#This Row],[disposedCourt]]=TrafficData[[#This Row],[totalCourt]]</f>
        <v>1</v>
      </c>
      <c r="N1773" t="b">
        <f>AND(TrafficData[[#This Row],[disposedChallan]]&lt;=TrafficData[[#This Row],[totalChallan]],TrafficData[[#This Row],[pendingChallan]]&lt;=TrafficData[[#This Row],[totalChallan]])</f>
        <v>1</v>
      </c>
      <c r="O1773" t="b">
        <f>AND(TrafficData[[#This Row],[pendingAmount]]&lt;=TrafficData[[#This Row],[totalAmount]],TrafficData[[#This Row],[disposedAmount]]&lt;=TrafficData[[#This Row],[totalAmount]])</f>
        <v>1</v>
      </c>
      <c r="P1773" t="b">
        <f>AND(TrafficData[[#This Row],[pendingCourt]]&lt;=TrafficData[[#This Row],[totalCourt]],TrafficData[[#This Row],[disposedCourt]]&lt;=TrafficData[[#This Row],[totalCourt]])</f>
        <v>1</v>
      </c>
    </row>
    <row r="1774" spans="1:16">
      <c r="A1774" s="1">
        <v>43778</v>
      </c>
      <c r="B1774">
        <v>55980</v>
      </c>
      <c r="C1774">
        <v>27584</v>
      </c>
      <c r="D1774">
        <v>28396</v>
      </c>
      <c r="E1774">
        <v>8028195</v>
      </c>
      <c r="F1774">
        <v>46563676</v>
      </c>
      <c r="G1774">
        <v>54591871</v>
      </c>
      <c r="H1774">
        <v>24160</v>
      </c>
      <c r="I1774">
        <v>6762</v>
      </c>
      <c r="J1774">
        <v>30922</v>
      </c>
      <c r="K1774" t="b">
        <f>TrafficData[[#This Row],[disposedChallan]]+TrafficData[[#This Row],[pendingChallan]]=TrafficData[[#This Row],[totalChallan]]</f>
        <v>1</v>
      </c>
      <c r="L1774" t="b">
        <f>TrafficData[[#This Row],[pendingAmount]]+TrafficData[[#This Row],[disposedAmount]]=TrafficData[[#This Row],[totalAmount]]</f>
        <v>1</v>
      </c>
      <c r="M1774" t="b">
        <f>TrafficData[[#This Row],[pendingCourt]]+TrafficData[[#This Row],[disposedCourt]]=TrafficData[[#This Row],[totalCourt]]</f>
        <v>1</v>
      </c>
      <c r="N1774" t="b">
        <f>AND(TrafficData[[#This Row],[disposedChallan]]&lt;=TrafficData[[#This Row],[totalChallan]],TrafficData[[#This Row],[pendingChallan]]&lt;=TrafficData[[#This Row],[totalChallan]])</f>
        <v>1</v>
      </c>
      <c r="O1774" t="b">
        <f>AND(TrafficData[[#This Row],[pendingAmount]]&lt;=TrafficData[[#This Row],[totalAmount]],TrafficData[[#This Row],[disposedAmount]]&lt;=TrafficData[[#This Row],[totalAmount]])</f>
        <v>1</v>
      </c>
      <c r="P1774" t="b">
        <f>AND(TrafficData[[#This Row],[pendingCourt]]&lt;=TrafficData[[#This Row],[totalCourt]],TrafficData[[#This Row],[disposedCourt]]&lt;=TrafficData[[#This Row],[totalCourt]])</f>
        <v>1</v>
      </c>
    </row>
    <row r="1775" spans="1:16">
      <c r="A1775" s="1">
        <v>43779</v>
      </c>
      <c r="B1775">
        <v>60509</v>
      </c>
      <c r="C1775">
        <v>27577</v>
      </c>
      <c r="D1775">
        <v>32932</v>
      </c>
      <c r="E1775">
        <v>7475107</v>
      </c>
      <c r="F1775">
        <v>36589754</v>
      </c>
      <c r="G1775">
        <v>44064861</v>
      </c>
      <c r="H1775">
        <v>28120</v>
      </c>
      <c r="I1775">
        <v>7022</v>
      </c>
      <c r="J1775">
        <v>35142</v>
      </c>
      <c r="K1775" t="b">
        <f>TrafficData[[#This Row],[disposedChallan]]+TrafficData[[#This Row],[pendingChallan]]=TrafficData[[#This Row],[totalChallan]]</f>
        <v>1</v>
      </c>
      <c r="L1775" t="b">
        <f>TrafficData[[#This Row],[pendingAmount]]+TrafficData[[#This Row],[disposedAmount]]=TrafficData[[#This Row],[totalAmount]]</f>
        <v>1</v>
      </c>
      <c r="M1775" t="b">
        <f>TrafficData[[#This Row],[pendingCourt]]+TrafficData[[#This Row],[disposedCourt]]=TrafficData[[#This Row],[totalCourt]]</f>
        <v>1</v>
      </c>
      <c r="N1775" t="b">
        <f>AND(TrafficData[[#This Row],[disposedChallan]]&lt;=TrafficData[[#This Row],[totalChallan]],TrafficData[[#This Row],[pendingChallan]]&lt;=TrafficData[[#This Row],[totalChallan]])</f>
        <v>1</v>
      </c>
      <c r="O1775" t="b">
        <f>AND(TrafficData[[#This Row],[pendingAmount]]&lt;=TrafficData[[#This Row],[totalAmount]],TrafficData[[#This Row],[disposedAmount]]&lt;=TrafficData[[#This Row],[totalAmount]])</f>
        <v>1</v>
      </c>
      <c r="P1775" t="b">
        <f>AND(TrafficData[[#This Row],[pendingCourt]]&lt;=TrafficData[[#This Row],[totalCourt]],TrafficData[[#This Row],[disposedCourt]]&lt;=TrafficData[[#This Row],[totalCourt]])</f>
        <v>1</v>
      </c>
    </row>
    <row r="1776" spans="1:16">
      <c r="A1776" s="1">
        <v>43780</v>
      </c>
      <c r="B1776">
        <v>67393</v>
      </c>
      <c r="C1776">
        <v>35455</v>
      </c>
      <c r="D1776">
        <v>31938</v>
      </c>
      <c r="E1776">
        <v>13248506</v>
      </c>
      <c r="F1776">
        <v>59459752</v>
      </c>
      <c r="G1776">
        <v>72708258</v>
      </c>
      <c r="H1776">
        <v>25998</v>
      </c>
      <c r="I1776">
        <v>9220</v>
      </c>
      <c r="J1776">
        <v>35218</v>
      </c>
      <c r="K1776" t="b">
        <f>TrafficData[[#This Row],[disposedChallan]]+TrafficData[[#This Row],[pendingChallan]]=TrafficData[[#This Row],[totalChallan]]</f>
        <v>1</v>
      </c>
      <c r="L1776" t="b">
        <f>TrafficData[[#This Row],[pendingAmount]]+TrafficData[[#This Row],[disposedAmount]]=TrafficData[[#This Row],[totalAmount]]</f>
        <v>1</v>
      </c>
      <c r="M1776" t="b">
        <f>TrafficData[[#This Row],[pendingCourt]]+TrafficData[[#This Row],[disposedCourt]]=TrafficData[[#This Row],[totalCourt]]</f>
        <v>1</v>
      </c>
      <c r="N1776" t="b">
        <f>AND(TrafficData[[#This Row],[disposedChallan]]&lt;=TrafficData[[#This Row],[totalChallan]],TrafficData[[#This Row],[pendingChallan]]&lt;=TrafficData[[#This Row],[totalChallan]])</f>
        <v>1</v>
      </c>
      <c r="O1776" t="b">
        <f>AND(TrafficData[[#This Row],[pendingAmount]]&lt;=TrafficData[[#This Row],[totalAmount]],TrafficData[[#This Row],[disposedAmount]]&lt;=TrafficData[[#This Row],[totalAmount]])</f>
        <v>1</v>
      </c>
      <c r="P1776" t="b">
        <f>AND(TrafficData[[#This Row],[pendingCourt]]&lt;=TrafficData[[#This Row],[totalCourt]],TrafficData[[#This Row],[disposedCourt]]&lt;=TrafficData[[#This Row],[totalCourt]])</f>
        <v>1</v>
      </c>
    </row>
    <row r="1777" spans="1:16">
      <c r="A1777" s="1">
        <v>43781</v>
      </c>
      <c r="B1777">
        <v>69561</v>
      </c>
      <c r="C1777">
        <v>35364</v>
      </c>
      <c r="D1777">
        <v>34197</v>
      </c>
      <c r="E1777">
        <v>12116870</v>
      </c>
      <c r="F1777">
        <v>46650200</v>
      </c>
      <c r="G1777">
        <v>58767070</v>
      </c>
      <c r="H1777">
        <v>28004</v>
      </c>
      <c r="I1777">
        <v>8528</v>
      </c>
      <c r="J1777">
        <v>36532</v>
      </c>
      <c r="K1777" t="b">
        <f>TrafficData[[#This Row],[disposedChallan]]+TrafficData[[#This Row],[pendingChallan]]=TrafficData[[#This Row],[totalChallan]]</f>
        <v>1</v>
      </c>
      <c r="L1777" t="b">
        <f>TrafficData[[#This Row],[pendingAmount]]+TrafficData[[#This Row],[disposedAmount]]=TrafficData[[#This Row],[totalAmount]]</f>
        <v>1</v>
      </c>
      <c r="M1777" t="b">
        <f>TrafficData[[#This Row],[pendingCourt]]+TrafficData[[#This Row],[disposedCourt]]=TrafficData[[#This Row],[totalCourt]]</f>
        <v>1</v>
      </c>
      <c r="N1777" t="b">
        <f>AND(TrafficData[[#This Row],[disposedChallan]]&lt;=TrafficData[[#This Row],[totalChallan]],TrafficData[[#This Row],[pendingChallan]]&lt;=TrafficData[[#This Row],[totalChallan]])</f>
        <v>1</v>
      </c>
      <c r="O1777" t="b">
        <f>AND(TrafficData[[#This Row],[pendingAmount]]&lt;=TrafficData[[#This Row],[totalAmount]],TrafficData[[#This Row],[disposedAmount]]&lt;=TrafficData[[#This Row],[totalAmount]])</f>
        <v>1</v>
      </c>
      <c r="P1777" t="b">
        <f>AND(TrafficData[[#This Row],[pendingCourt]]&lt;=TrafficData[[#This Row],[totalCourt]],TrafficData[[#This Row],[disposedCourt]]&lt;=TrafficData[[#This Row],[totalCourt]])</f>
        <v>1</v>
      </c>
    </row>
    <row r="1778" spans="1:16">
      <c r="A1778" s="1">
        <v>43782</v>
      </c>
      <c r="B1778">
        <v>80566</v>
      </c>
      <c r="C1778">
        <v>42925</v>
      </c>
      <c r="D1778">
        <v>37641</v>
      </c>
      <c r="E1778">
        <v>20639280</v>
      </c>
      <c r="F1778">
        <v>61008115</v>
      </c>
      <c r="G1778">
        <v>81647395</v>
      </c>
      <c r="H1778">
        <v>30596</v>
      </c>
      <c r="I1778">
        <v>10950</v>
      </c>
      <c r="J1778">
        <v>41546</v>
      </c>
      <c r="K1778" t="b">
        <f>TrafficData[[#This Row],[disposedChallan]]+TrafficData[[#This Row],[pendingChallan]]=TrafficData[[#This Row],[totalChallan]]</f>
        <v>1</v>
      </c>
      <c r="L1778" t="b">
        <f>TrafficData[[#This Row],[pendingAmount]]+TrafficData[[#This Row],[disposedAmount]]=TrafficData[[#This Row],[totalAmount]]</f>
        <v>1</v>
      </c>
      <c r="M1778" t="b">
        <f>TrafficData[[#This Row],[pendingCourt]]+TrafficData[[#This Row],[disposedCourt]]=TrafficData[[#This Row],[totalCourt]]</f>
        <v>1</v>
      </c>
      <c r="N1778" t="b">
        <f>AND(TrafficData[[#This Row],[disposedChallan]]&lt;=TrafficData[[#This Row],[totalChallan]],TrafficData[[#This Row],[pendingChallan]]&lt;=TrafficData[[#This Row],[totalChallan]])</f>
        <v>1</v>
      </c>
      <c r="O1778" t="b">
        <f>AND(TrafficData[[#This Row],[pendingAmount]]&lt;=TrafficData[[#This Row],[totalAmount]],TrafficData[[#This Row],[disposedAmount]]&lt;=TrafficData[[#This Row],[totalAmount]])</f>
        <v>1</v>
      </c>
      <c r="P1778" t="b">
        <f>AND(TrafficData[[#This Row],[pendingCourt]]&lt;=TrafficData[[#This Row],[totalCourt]],TrafficData[[#This Row],[disposedCourt]]&lt;=TrafficData[[#This Row],[totalCourt]])</f>
        <v>1</v>
      </c>
    </row>
    <row r="1779" spans="1:16">
      <c r="A1779" s="1">
        <v>43783</v>
      </c>
      <c r="B1779">
        <v>73270</v>
      </c>
      <c r="C1779">
        <v>41462</v>
      </c>
      <c r="D1779">
        <v>31808</v>
      </c>
      <c r="E1779">
        <v>17087899</v>
      </c>
      <c r="F1779">
        <v>68884832</v>
      </c>
      <c r="G1779">
        <v>85972731</v>
      </c>
      <c r="H1779">
        <v>25323</v>
      </c>
      <c r="I1779">
        <v>10477</v>
      </c>
      <c r="J1779">
        <v>35800</v>
      </c>
      <c r="K1779" t="b">
        <f>TrafficData[[#This Row],[disposedChallan]]+TrafficData[[#This Row],[pendingChallan]]=TrafficData[[#This Row],[totalChallan]]</f>
        <v>1</v>
      </c>
      <c r="L1779" t="b">
        <f>TrafficData[[#This Row],[pendingAmount]]+TrafficData[[#This Row],[disposedAmount]]=TrafficData[[#This Row],[totalAmount]]</f>
        <v>1</v>
      </c>
      <c r="M1779" t="b">
        <f>TrafficData[[#This Row],[pendingCourt]]+TrafficData[[#This Row],[disposedCourt]]=TrafficData[[#This Row],[totalCourt]]</f>
        <v>1</v>
      </c>
      <c r="N1779" t="b">
        <f>AND(TrafficData[[#This Row],[disposedChallan]]&lt;=TrafficData[[#This Row],[totalChallan]],TrafficData[[#This Row],[pendingChallan]]&lt;=TrafficData[[#This Row],[totalChallan]])</f>
        <v>1</v>
      </c>
      <c r="O1779" t="b">
        <f>AND(TrafficData[[#This Row],[pendingAmount]]&lt;=TrafficData[[#This Row],[totalAmount]],TrafficData[[#This Row],[disposedAmount]]&lt;=TrafficData[[#This Row],[totalAmount]])</f>
        <v>1</v>
      </c>
      <c r="P1779" t="b">
        <f>AND(TrafficData[[#This Row],[pendingCourt]]&lt;=TrafficData[[#This Row],[totalCourt]],TrafficData[[#This Row],[disposedCourt]]&lt;=TrafficData[[#This Row],[totalCourt]])</f>
        <v>1</v>
      </c>
    </row>
    <row r="1780" spans="1:16">
      <c r="A1780" s="1">
        <v>43784</v>
      </c>
      <c r="B1780">
        <v>78828</v>
      </c>
      <c r="C1780">
        <v>43382</v>
      </c>
      <c r="D1780">
        <v>35446</v>
      </c>
      <c r="E1780">
        <v>19532160</v>
      </c>
      <c r="F1780">
        <v>66115717</v>
      </c>
      <c r="G1780">
        <v>85647877</v>
      </c>
      <c r="H1780">
        <v>28916</v>
      </c>
      <c r="I1780">
        <v>11437</v>
      </c>
      <c r="J1780">
        <v>40353</v>
      </c>
      <c r="K1780" t="b">
        <f>TrafficData[[#This Row],[disposedChallan]]+TrafficData[[#This Row],[pendingChallan]]=TrafficData[[#This Row],[totalChallan]]</f>
        <v>1</v>
      </c>
      <c r="L1780" t="b">
        <f>TrafficData[[#This Row],[pendingAmount]]+TrafficData[[#This Row],[disposedAmount]]=TrafficData[[#This Row],[totalAmount]]</f>
        <v>1</v>
      </c>
      <c r="M1780" t="b">
        <f>TrafficData[[#This Row],[pendingCourt]]+TrafficData[[#This Row],[disposedCourt]]=TrafficData[[#This Row],[totalCourt]]</f>
        <v>1</v>
      </c>
      <c r="N1780" t="b">
        <f>AND(TrafficData[[#This Row],[disposedChallan]]&lt;=TrafficData[[#This Row],[totalChallan]],TrafficData[[#This Row],[pendingChallan]]&lt;=TrafficData[[#This Row],[totalChallan]])</f>
        <v>1</v>
      </c>
      <c r="O1780" t="b">
        <f>AND(TrafficData[[#This Row],[pendingAmount]]&lt;=TrafficData[[#This Row],[totalAmount]],TrafficData[[#This Row],[disposedAmount]]&lt;=TrafficData[[#This Row],[totalAmount]])</f>
        <v>1</v>
      </c>
      <c r="P1780" t="b">
        <f>AND(TrafficData[[#This Row],[pendingCourt]]&lt;=TrafficData[[#This Row],[totalCourt]],TrafficData[[#This Row],[disposedCourt]]&lt;=TrafficData[[#This Row],[totalCourt]])</f>
        <v>1</v>
      </c>
    </row>
    <row r="1781" spans="1:16">
      <c r="A1781" s="1">
        <v>43785</v>
      </c>
      <c r="B1781">
        <v>78837</v>
      </c>
      <c r="C1781">
        <v>43370</v>
      </c>
      <c r="D1781">
        <v>35467</v>
      </c>
      <c r="E1781">
        <v>17738112</v>
      </c>
      <c r="F1781">
        <v>66695399</v>
      </c>
      <c r="G1781">
        <v>84433511</v>
      </c>
      <c r="H1781">
        <v>28128</v>
      </c>
      <c r="I1781">
        <v>11797</v>
      </c>
      <c r="J1781">
        <v>39925</v>
      </c>
      <c r="K1781" t="b">
        <f>TrafficData[[#This Row],[disposedChallan]]+TrafficData[[#This Row],[pendingChallan]]=TrafficData[[#This Row],[totalChallan]]</f>
        <v>1</v>
      </c>
      <c r="L1781" t="b">
        <f>TrafficData[[#This Row],[pendingAmount]]+TrafficData[[#This Row],[disposedAmount]]=TrafficData[[#This Row],[totalAmount]]</f>
        <v>1</v>
      </c>
      <c r="M1781" t="b">
        <f>TrafficData[[#This Row],[pendingCourt]]+TrafficData[[#This Row],[disposedCourt]]=TrafficData[[#This Row],[totalCourt]]</f>
        <v>1</v>
      </c>
      <c r="N1781" t="b">
        <f>AND(TrafficData[[#This Row],[disposedChallan]]&lt;=TrafficData[[#This Row],[totalChallan]],TrafficData[[#This Row],[pendingChallan]]&lt;=TrafficData[[#This Row],[totalChallan]])</f>
        <v>1</v>
      </c>
      <c r="O1781" t="b">
        <f>AND(TrafficData[[#This Row],[pendingAmount]]&lt;=TrafficData[[#This Row],[totalAmount]],TrafficData[[#This Row],[disposedAmount]]&lt;=TrafficData[[#This Row],[totalAmount]])</f>
        <v>1</v>
      </c>
      <c r="P1781" t="b">
        <f>AND(TrafficData[[#This Row],[pendingCourt]]&lt;=TrafficData[[#This Row],[totalCourt]],TrafficData[[#This Row],[disposedCourt]]&lt;=TrafficData[[#This Row],[totalCourt]])</f>
        <v>1</v>
      </c>
    </row>
    <row r="1782" spans="1:16">
      <c r="A1782" s="1">
        <v>43786</v>
      </c>
      <c r="B1782">
        <v>73218</v>
      </c>
      <c r="C1782">
        <v>37863</v>
      </c>
      <c r="D1782">
        <v>35355</v>
      </c>
      <c r="E1782">
        <v>12800480</v>
      </c>
      <c r="F1782">
        <v>46919063</v>
      </c>
      <c r="G1782">
        <v>59719543</v>
      </c>
      <c r="H1782">
        <v>28648</v>
      </c>
      <c r="I1782">
        <v>10494</v>
      </c>
      <c r="J1782">
        <v>39142</v>
      </c>
      <c r="K1782" t="b">
        <f>TrafficData[[#This Row],[disposedChallan]]+TrafficData[[#This Row],[pendingChallan]]=TrafficData[[#This Row],[totalChallan]]</f>
        <v>1</v>
      </c>
      <c r="L1782" t="b">
        <f>TrafficData[[#This Row],[pendingAmount]]+TrafficData[[#This Row],[disposedAmount]]=TrafficData[[#This Row],[totalAmount]]</f>
        <v>1</v>
      </c>
      <c r="M1782" t="b">
        <f>TrafficData[[#This Row],[pendingCourt]]+TrafficData[[#This Row],[disposedCourt]]=TrafficData[[#This Row],[totalCourt]]</f>
        <v>1</v>
      </c>
      <c r="N1782" t="b">
        <f>AND(TrafficData[[#This Row],[disposedChallan]]&lt;=TrafficData[[#This Row],[totalChallan]],TrafficData[[#This Row],[pendingChallan]]&lt;=TrafficData[[#This Row],[totalChallan]])</f>
        <v>1</v>
      </c>
      <c r="O1782" t="b">
        <f>AND(TrafficData[[#This Row],[pendingAmount]]&lt;=TrafficData[[#This Row],[totalAmount]],TrafficData[[#This Row],[disposedAmount]]&lt;=TrafficData[[#This Row],[totalAmount]])</f>
        <v>1</v>
      </c>
      <c r="P1782" t="b">
        <f>AND(TrafficData[[#This Row],[pendingCourt]]&lt;=TrafficData[[#This Row],[totalCourt]],TrafficData[[#This Row],[disposedCourt]]&lt;=TrafficData[[#This Row],[totalCourt]])</f>
        <v>1</v>
      </c>
    </row>
    <row r="1783" spans="1:16">
      <c r="A1783" s="1">
        <v>43787</v>
      </c>
      <c r="B1783">
        <v>81759</v>
      </c>
      <c r="C1783">
        <v>44124</v>
      </c>
      <c r="D1783">
        <v>37635</v>
      </c>
      <c r="E1783">
        <v>18826120</v>
      </c>
      <c r="F1783">
        <v>57327067</v>
      </c>
      <c r="G1783">
        <v>76153187</v>
      </c>
      <c r="H1783">
        <v>30292</v>
      </c>
      <c r="I1783">
        <v>11695</v>
      </c>
      <c r="J1783">
        <v>41987</v>
      </c>
      <c r="K1783" t="b">
        <f>TrafficData[[#This Row],[disposedChallan]]+TrafficData[[#This Row],[pendingChallan]]=TrafficData[[#This Row],[totalChallan]]</f>
        <v>1</v>
      </c>
      <c r="L1783" t="b">
        <f>TrafficData[[#This Row],[pendingAmount]]+TrafficData[[#This Row],[disposedAmount]]=TrafficData[[#This Row],[totalAmount]]</f>
        <v>1</v>
      </c>
      <c r="M1783" t="b">
        <f>TrafficData[[#This Row],[pendingCourt]]+TrafficData[[#This Row],[disposedCourt]]=TrafficData[[#This Row],[totalCourt]]</f>
        <v>1</v>
      </c>
      <c r="N1783" t="b">
        <f>AND(TrafficData[[#This Row],[disposedChallan]]&lt;=TrafficData[[#This Row],[totalChallan]],TrafficData[[#This Row],[pendingChallan]]&lt;=TrafficData[[#This Row],[totalChallan]])</f>
        <v>1</v>
      </c>
      <c r="O1783" t="b">
        <f>AND(TrafficData[[#This Row],[pendingAmount]]&lt;=TrafficData[[#This Row],[totalAmount]],TrafficData[[#This Row],[disposedAmount]]&lt;=TrafficData[[#This Row],[totalAmount]])</f>
        <v>1</v>
      </c>
      <c r="P1783" t="b">
        <f>AND(TrafficData[[#This Row],[pendingCourt]]&lt;=TrafficData[[#This Row],[totalCourt]],TrafficData[[#This Row],[disposedCourt]]&lt;=TrafficData[[#This Row],[totalCourt]])</f>
        <v>1</v>
      </c>
    </row>
    <row r="1784" spans="1:16">
      <c r="A1784" s="1">
        <v>43788</v>
      </c>
      <c r="B1784">
        <v>81659</v>
      </c>
      <c r="C1784">
        <v>45379</v>
      </c>
      <c r="D1784">
        <v>36280</v>
      </c>
      <c r="E1784">
        <v>18411931</v>
      </c>
      <c r="F1784">
        <v>66357231</v>
      </c>
      <c r="G1784">
        <v>84769162</v>
      </c>
      <c r="H1784">
        <v>28719</v>
      </c>
      <c r="I1784">
        <v>11616</v>
      </c>
      <c r="J1784">
        <v>40335</v>
      </c>
      <c r="K1784" t="b">
        <f>TrafficData[[#This Row],[disposedChallan]]+TrafficData[[#This Row],[pendingChallan]]=TrafficData[[#This Row],[totalChallan]]</f>
        <v>1</v>
      </c>
      <c r="L1784" t="b">
        <f>TrafficData[[#This Row],[pendingAmount]]+TrafficData[[#This Row],[disposedAmount]]=TrafficData[[#This Row],[totalAmount]]</f>
        <v>1</v>
      </c>
      <c r="M1784" t="b">
        <f>TrafficData[[#This Row],[pendingCourt]]+TrafficData[[#This Row],[disposedCourt]]=TrafficData[[#This Row],[totalCourt]]</f>
        <v>1</v>
      </c>
      <c r="N1784" t="b">
        <f>AND(TrafficData[[#This Row],[disposedChallan]]&lt;=TrafficData[[#This Row],[totalChallan]],TrafficData[[#This Row],[pendingChallan]]&lt;=TrafficData[[#This Row],[totalChallan]])</f>
        <v>1</v>
      </c>
      <c r="O1784" t="b">
        <f>AND(TrafficData[[#This Row],[pendingAmount]]&lt;=TrafficData[[#This Row],[totalAmount]],TrafficData[[#This Row],[disposedAmount]]&lt;=TrafficData[[#This Row],[totalAmount]])</f>
        <v>1</v>
      </c>
      <c r="P1784" t="b">
        <f>AND(TrafficData[[#This Row],[pendingCourt]]&lt;=TrafficData[[#This Row],[totalCourt]],TrafficData[[#This Row],[disposedCourt]]&lt;=TrafficData[[#This Row],[totalCourt]])</f>
        <v>1</v>
      </c>
    </row>
    <row r="1785" spans="1:16">
      <c r="A1785" s="1">
        <v>43789</v>
      </c>
      <c r="B1785">
        <v>82314</v>
      </c>
      <c r="C1785">
        <v>44334</v>
      </c>
      <c r="D1785">
        <v>37980</v>
      </c>
      <c r="E1785">
        <v>18299243</v>
      </c>
      <c r="F1785">
        <v>60628149</v>
      </c>
      <c r="G1785">
        <v>78927392</v>
      </c>
      <c r="H1785">
        <v>29828</v>
      </c>
      <c r="I1785">
        <v>11758</v>
      </c>
      <c r="J1785">
        <v>41586</v>
      </c>
      <c r="K1785" t="b">
        <f>TrafficData[[#This Row],[disposedChallan]]+TrafficData[[#This Row],[pendingChallan]]=TrafficData[[#This Row],[totalChallan]]</f>
        <v>1</v>
      </c>
      <c r="L1785" t="b">
        <f>TrafficData[[#This Row],[pendingAmount]]+TrafficData[[#This Row],[disposedAmount]]=TrafficData[[#This Row],[totalAmount]]</f>
        <v>1</v>
      </c>
      <c r="M1785" t="b">
        <f>TrafficData[[#This Row],[pendingCourt]]+TrafficData[[#This Row],[disposedCourt]]=TrafficData[[#This Row],[totalCourt]]</f>
        <v>1</v>
      </c>
      <c r="N1785" t="b">
        <f>AND(TrafficData[[#This Row],[disposedChallan]]&lt;=TrafficData[[#This Row],[totalChallan]],TrafficData[[#This Row],[pendingChallan]]&lt;=TrafficData[[#This Row],[totalChallan]])</f>
        <v>1</v>
      </c>
      <c r="O1785" t="b">
        <f>AND(TrafficData[[#This Row],[pendingAmount]]&lt;=TrafficData[[#This Row],[totalAmount]],TrafficData[[#This Row],[disposedAmount]]&lt;=TrafficData[[#This Row],[totalAmount]])</f>
        <v>1</v>
      </c>
      <c r="P1785" t="b">
        <f>AND(TrafficData[[#This Row],[pendingCourt]]&lt;=TrafficData[[#This Row],[totalCourt]],TrafficData[[#This Row],[disposedCourt]]&lt;=TrafficData[[#This Row],[totalCourt]])</f>
        <v>1</v>
      </c>
    </row>
    <row r="1786" spans="1:16">
      <c r="A1786" s="1">
        <v>43790</v>
      </c>
      <c r="B1786">
        <v>86041</v>
      </c>
      <c r="C1786">
        <v>45738</v>
      </c>
      <c r="D1786">
        <v>40303</v>
      </c>
      <c r="E1786">
        <v>20202785</v>
      </c>
      <c r="F1786">
        <v>57960523</v>
      </c>
      <c r="G1786">
        <v>78163308</v>
      </c>
      <c r="H1786">
        <v>32084</v>
      </c>
      <c r="I1786">
        <v>12153</v>
      </c>
      <c r="J1786">
        <v>44237</v>
      </c>
      <c r="K1786" t="b">
        <f>TrafficData[[#This Row],[disposedChallan]]+TrafficData[[#This Row],[pendingChallan]]=TrafficData[[#This Row],[totalChallan]]</f>
        <v>1</v>
      </c>
      <c r="L1786" t="b">
        <f>TrafficData[[#This Row],[pendingAmount]]+TrafficData[[#This Row],[disposedAmount]]=TrafficData[[#This Row],[totalAmount]]</f>
        <v>1</v>
      </c>
      <c r="M1786" t="b">
        <f>TrafficData[[#This Row],[pendingCourt]]+TrafficData[[#This Row],[disposedCourt]]=TrafficData[[#This Row],[totalCourt]]</f>
        <v>1</v>
      </c>
      <c r="N1786" t="b">
        <f>AND(TrafficData[[#This Row],[disposedChallan]]&lt;=TrafficData[[#This Row],[totalChallan]],TrafficData[[#This Row],[pendingChallan]]&lt;=TrafficData[[#This Row],[totalChallan]])</f>
        <v>1</v>
      </c>
      <c r="O1786" t="b">
        <f>AND(TrafficData[[#This Row],[pendingAmount]]&lt;=TrafficData[[#This Row],[totalAmount]],TrafficData[[#This Row],[disposedAmount]]&lt;=TrafficData[[#This Row],[totalAmount]])</f>
        <v>1</v>
      </c>
      <c r="P1786" t="b">
        <f>AND(TrafficData[[#This Row],[pendingCourt]]&lt;=TrafficData[[#This Row],[totalCourt]],TrafficData[[#This Row],[disposedCourt]]&lt;=TrafficData[[#This Row],[totalCourt]])</f>
        <v>1</v>
      </c>
    </row>
    <row r="1787" spans="1:16">
      <c r="A1787" s="1">
        <v>43791</v>
      </c>
      <c r="B1787">
        <v>82941</v>
      </c>
      <c r="C1787">
        <v>46638</v>
      </c>
      <c r="D1787">
        <v>36303</v>
      </c>
      <c r="E1787">
        <v>17659233</v>
      </c>
      <c r="F1787">
        <v>58185207</v>
      </c>
      <c r="G1787">
        <v>75844440</v>
      </c>
      <c r="H1787">
        <v>28107</v>
      </c>
      <c r="I1787">
        <v>13137</v>
      </c>
      <c r="J1787">
        <v>41244</v>
      </c>
      <c r="K1787" t="b">
        <f>TrafficData[[#This Row],[disposedChallan]]+TrafficData[[#This Row],[pendingChallan]]=TrafficData[[#This Row],[totalChallan]]</f>
        <v>1</v>
      </c>
      <c r="L1787" t="b">
        <f>TrafficData[[#This Row],[pendingAmount]]+TrafficData[[#This Row],[disposedAmount]]=TrafficData[[#This Row],[totalAmount]]</f>
        <v>1</v>
      </c>
      <c r="M1787" t="b">
        <f>TrafficData[[#This Row],[pendingCourt]]+TrafficData[[#This Row],[disposedCourt]]=TrafficData[[#This Row],[totalCourt]]</f>
        <v>1</v>
      </c>
      <c r="N1787" t="b">
        <f>AND(TrafficData[[#This Row],[disposedChallan]]&lt;=TrafficData[[#This Row],[totalChallan]],TrafficData[[#This Row],[pendingChallan]]&lt;=TrafficData[[#This Row],[totalChallan]])</f>
        <v>1</v>
      </c>
      <c r="O1787" t="b">
        <f>AND(TrafficData[[#This Row],[pendingAmount]]&lt;=TrafficData[[#This Row],[totalAmount]],TrafficData[[#This Row],[disposedAmount]]&lt;=TrafficData[[#This Row],[totalAmount]])</f>
        <v>1</v>
      </c>
      <c r="P1787" t="b">
        <f>AND(TrafficData[[#This Row],[pendingCourt]]&lt;=TrafficData[[#This Row],[totalCourt]],TrafficData[[#This Row],[disposedCourt]]&lt;=TrafficData[[#This Row],[totalCourt]])</f>
        <v>1</v>
      </c>
    </row>
    <row r="1788" spans="1:16">
      <c r="A1788" s="1">
        <v>43792</v>
      </c>
      <c r="B1788">
        <v>84609</v>
      </c>
      <c r="C1788">
        <v>46961</v>
      </c>
      <c r="D1788">
        <v>37648</v>
      </c>
      <c r="E1788">
        <v>18282165</v>
      </c>
      <c r="F1788">
        <v>55663647</v>
      </c>
      <c r="G1788">
        <v>73945812</v>
      </c>
      <c r="H1788">
        <v>29212</v>
      </c>
      <c r="I1788">
        <v>13220</v>
      </c>
      <c r="J1788">
        <v>42432</v>
      </c>
      <c r="K1788" t="b">
        <f>TrafficData[[#This Row],[disposedChallan]]+TrafficData[[#This Row],[pendingChallan]]=TrafficData[[#This Row],[totalChallan]]</f>
        <v>1</v>
      </c>
      <c r="L1788" t="b">
        <f>TrafficData[[#This Row],[pendingAmount]]+TrafficData[[#This Row],[disposedAmount]]=TrafficData[[#This Row],[totalAmount]]</f>
        <v>1</v>
      </c>
      <c r="M1788" t="b">
        <f>TrafficData[[#This Row],[pendingCourt]]+TrafficData[[#This Row],[disposedCourt]]=TrafficData[[#This Row],[totalCourt]]</f>
        <v>1</v>
      </c>
      <c r="N1788" t="b">
        <f>AND(TrafficData[[#This Row],[disposedChallan]]&lt;=TrafficData[[#This Row],[totalChallan]],TrafficData[[#This Row],[pendingChallan]]&lt;=TrafficData[[#This Row],[totalChallan]])</f>
        <v>1</v>
      </c>
      <c r="O1788" t="b">
        <f>AND(TrafficData[[#This Row],[pendingAmount]]&lt;=TrafficData[[#This Row],[totalAmount]],TrafficData[[#This Row],[disposedAmount]]&lt;=TrafficData[[#This Row],[totalAmount]])</f>
        <v>1</v>
      </c>
      <c r="P1788" t="b">
        <f>AND(TrafficData[[#This Row],[pendingCourt]]&lt;=TrafficData[[#This Row],[totalCourt]],TrafficData[[#This Row],[disposedCourt]]&lt;=TrafficData[[#This Row],[totalCourt]])</f>
        <v>1</v>
      </c>
    </row>
    <row r="1789" spans="1:16">
      <c r="A1789" s="1">
        <v>43793</v>
      </c>
      <c r="B1789">
        <v>76712</v>
      </c>
      <c r="C1789">
        <v>41690</v>
      </c>
      <c r="D1789">
        <v>35022</v>
      </c>
      <c r="E1789">
        <v>14653148</v>
      </c>
      <c r="F1789">
        <v>45487206</v>
      </c>
      <c r="G1789">
        <v>60140354</v>
      </c>
      <c r="H1789">
        <v>28569</v>
      </c>
      <c r="I1789">
        <v>12958</v>
      </c>
      <c r="J1789">
        <v>41527</v>
      </c>
      <c r="K1789" t="b">
        <f>TrafficData[[#This Row],[disposedChallan]]+TrafficData[[#This Row],[pendingChallan]]=TrafficData[[#This Row],[totalChallan]]</f>
        <v>1</v>
      </c>
      <c r="L1789" t="b">
        <f>TrafficData[[#This Row],[pendingAmount]]+TrafficData[[#This Row],[disposedAmount]]=TrafficData[[#This Row],[totalAmount]]</f>
        <v>1</v>
      </c>
      <c r="M1789" t="b">
        <f>TrafficData[[#This Row],[pendingCourt]]+TrafficData[[#This Row],[disposedCourt]]=TrafficData[[#This Row],[totalCourt]]</f>
        <v>1</v>
      </c>
      <c r="N1789" t="b">
        <f>AND(TrafficData[[#This Row],[disposedChallan]]&lt;=TrafficData[[#This Row],[totalChallan]],TrafficData[[#This Row],[pendingChallan]]&lt;=TrafficData[[#This Row],[totalChallan]])</f>
        <v>1</v>
      </c>
      <c r="O1789" t="b">
        <f>AND(TrafficData[[#This Row],[pendingAmount]]&lt;=TrafficData[[#This Row],[totalAmount]],TrafficData[[#This Row],[disposedAmount]]&lt;=TrafficData[[#This Row],[totalAmount]])</f>
        <v>1</v>
      </c>
      <c r="P1789" t="b">
        <f>AND(TrafficData[[#This Row],[pendingCourt]]&lt;=TrafficData[[#This Row],[totalCourt]],TrafficData[[#This Row],[disposedCourt]]&lt;=TrafficData[[#This Row],[totalCourt]])</f>
        <v>1</v>
      </c>
    </row>
    <row r="1790" spans="1:16">
      <c r="A1790" s="1">
        <v>43794</v>
      </c>
      <c r="B1790">
        <v>84728</v>
      </c>
      <c r="C1790">
        <v>49416</v>
      </c>
      <c r="D1790">
        <v>35312</v>
      </c>
      <c r="E1790">
        <v>20687932</v>
      </c>
      <c r="F1790">
        <v>57511369</v>
      </c>
      <c r="G1790">
        <v>78199301</v>
      </c>
      <c r="H1790">
        <v>27809</v>
      </c>
      <c r="I1790">
        <v>14001</v>
      </c>
      <c r="J1790">
        <v>41810</v>
      </c>
      <c r="K1790" t="b">
        <f>TrafficData[[#This Row],[disposedChallan]]+TrafficData[[#This Row],[pendingChallan]]=TrafficData[[#This Row],[totalChallan]]</f>
        <v>1</v>
      </c>
      <c r="L1790" t="b">
        <f>TrafficData[[#This Row],[pendingAmount]]+TrafficData[[#This Row],[disposedAmount]]=TrafficData[[#This Row],[totalAmount]]</f>
        <v>1</v>
      </c>
      <c r="M1790" t="b">
        <f>TrafficData[[#This Row],[pendingCourt]]+TrafficData[[#This Row],[disposedCourt]]=TrafficData[[#This Row],[totalCourt]]</f>
        <v>1</v>
      </c>
      <c r="N1790" t="b">
        <f>AND(TrafficData[[#This Row],[disposedChallan]]&lt;=TrafficData[[#This Row],[totalChallan]],TrafficData[[#This Row],[pendingChallan]]&lt;=TrafficData[[#This Row],[totalChallan]])</f>
        <v>1</v>
      </c>
      <c r="O1790" t="b">
        <f>AND(TrafficData[[#This Row],[pendingAmount]]&lt;=TrafficData[[#This Row],[totalAmount]],TrafficData[[#This Row],[disposedAmount]]&lt;=TrafficData[[#This Row],[totalAmount]])</f>
        <v>1</v>
      </c>
      <c r="P1790" t="b">
        <f>AND(TrafficData[[#This Row],[pendingCourt]]&lt;=TrafficData[[#This Row],[totalCourt]],TrafficData[[#This Row],[disposedCourt]]&lt;=TrafficData[[#This Row],[totalCourt]])</f>
        <v>1</v>
      </c>
    </row>
    <row r="1791" spans="1:16">
      <c r="A1791" s="1">
        <v>43795</v>
      </c>
      <c r="B1791">
        <v>94377</v>
      </c>
      <c r="C1791">
        <v>48408</v>
      </c>
      <c r="D1791">
        <v>45969</v>
      </c>
      <c r="E1791">
        <v>21187245</v>
      </c>
      <c r="F1791">
        <v>69294672</v>
      </c>
      <c r="G1791">
        <v>90481917</v>
      </c>
      <c r="H1791">
        <v>37982</v>
      </c>
      <c r="I1791">
        <v>13405</v>
      </c>
      <c r="J1791">
        <v>51387</v>
      </c>
      <c r="K1791" t="b">
        <f>TrafficData[[#This Row],[disposedChallan]]+TrafficData[[#This Row],[pendingChallan]]=TrafficData[[#This Row],[totalChallan]]</f>
        <v>1</v>
      </c>
      <c r="L1791" t="b">
        <f>TrafficData[[#This Row],[pendingAmount]]+TrafficData[[#This Row],[disposedAmount]]=TrafficData[[#This Row],[totalAmount]]</f>
        <v>1</v>
      </c>
      <c r="M1791" t="b">
        <f>TrafficData[[#This Row],[pendingCourt]]+TrafficData[[#This Row],[disposedCourt]]=TrafficData[[#This Row],[totalCourt]]</f>
        <v>1</v>
      </c>
      <c r="N1791" t="b">
        <f>AND(TrafficData[[#This Row],[disposedChallan]]&lt;=TrafficData[[#This Row],[totalChallan]],TrafficData[[#This Row],[pendingChallan]]&lt;=TrafficData[[#This Row],[totalChallan]])</f>
        <v>1</v>
      </c>
      <c r="O1791" t="b">
        <f>AND(TrafficData[[#This Row],[pendingAmount]]&lt;=TrafficData[[#This Row],[totalAmount]],TrafficData[[#This Row],[disposedAmount]]&lt;=TrafficData[[#This Row],[totalAmount]])</f>
        <v>1</v>
      </c>
      <c r="P1791" t="b">
        <f>AND(TrafficData[[#This Row],[pendingCourt]]&lt;=TrafficData[[#This Row],[totalCourt]],TrafficData[[#This Row],[disposedCourt]]&lt;=TrafficData[[#This Row],[totalCourt]])</f>
        <v>1</v>
      </c>
    </row>
    <row r="1792" spans="1:16">
      <c r="A1792" s="1">
        <v>43796</v>
      </c>
      <c r="B1792">
        <v>94593</v>
      </c>
      <c r="C1792">
        <v>47989</v>
      </c>
      <c r="D1792">
        <v>46604</v>
      </c>
      <c r="E1792">
        <v>19639448</v>
      </c>
      <c r="F1792">
        <v>62252851</v>
      </c>
      <c r="G1792">
        <v>81892299</v>
      </c>
      <c r="H1792">
        <v>38301</v>
      </c>
      <c r="I1792">
        <v>13104</v>
      </c>
      <c r="J1792">
        <v>51405</v>
      </c>
      <c r="K1792" t="b">
        <f>TrafficData[[#This Row],[disposedChallan]]+TrafficData[[#This Row],[pendingChallan]]=TrafficData[[#This Row],[totalChallan]]</f>
        <v>1</v>
      </c>
      <c r="L1792" t="b">
        <f>TrafficData[[#This Row],[pendingAmount]]+TrafficData[[#This Row],[disposedAmount]]=TrafficData[[#This Row],[totalAmount]]</f>
        <v>1</v>
      </c>
      <c r="M1792" t="b">
        <f>TrafficData[[#This Row],[pendingCourt]]+TrafficData[[#This Row],[disposedCourt]]=TrafficData[[#This Row],[totalCourt]]</f>
        <v>1</v>
      </c>
      <c r="N1792" t="b">
        <f>AND(TrafficData[[#This Row],[disposedChallan]]&lt;=TrafficData[[#This Row],[totalChallan]],TrafficData[[#This Row],[pendingChallan]]&lt;=TrafficData[[#This Row],[totalChallan]])</f>
        <v>1</v>
      </c>
      <c r="O1792" t="b">
        <f>AND(TrafficData[[#This Row],[pendingAmount]]&lt;=TrafficData[[#This Row],[totalAmount]],TrafficData[[#This Row],[disposedAmount]]&lt;=TrafficData[[#This Row],[totalAmount]])</f>
        <v>1</v>
      </c>
      <c r="P1792" t="b">
        <f>AND(TrafficData[[#This Row],[pendingCourt]]&lt;=TrafficData[[#This Row],[totalCourt]],TrafficData[[#This Row],[disposedCourt]]&lt;=TrafficData[[#This Row],[totalCourt]])</f>
        <v>1</v>
      </c>
    </row>
    <row r="1793" spans="1:16">
      <c r="A1793" s="1">
        <v>43797</v>
      </c>
      <c r="B1793">
        <v>95516</v>
      </c>
      <c r="C1793">
        <v>45118</v>
      </c>
      <c r="D1793">
        <v>50398</v>
      </c>
      <c r="E1793">
        <v>21128704</v>
      </c>
      <c r="F1793">
        <v>58233937</v>
      </c>
      <c r="G1793">
        <v>79362641</v>
      </c>
      <c r="H1793">
        <v>42158</v>
      </c>
      <c r="I1793">
        <v>12801</v>
      </c>
      <c r="J1793">
        <v>54959</v>
      </c>
      <c r="K1793" t="b">
        <f>TrafficData[[#This Row],[disposedChallan]]+TrafficData[[#This Row],[pendingChallan]]=TrafficData[[#This Row],[totalChallan]]</f>
        <v>1</v>
      </c>
      <c r="L1793" t="b">
        <f>TrafficData[[#This Row],[pendingAmount]]+TrafficData[[#This Row],[disposedAmount]]=TrafficData[[#This Row],[totalAmount]]</f>
        <v>1</v>
      </c>
      <c r="M1793" t="b">
        <f>TrafficData[[#This Row],[pendingCourt]]+TrafficData[[#This Row],[disposedCourt]]=TrafficData[[#This Row],[totalCourt]]</f>
        <v>1</v>
      </c>
      <c r="N1793" t="b">
        <f>AND(TrafficData[[#This Row],[disposedChallan]]&lt;=TrafficData[[#This Row],[totalChallan]],TrafficData[[#This Row],[pendingChallan]]&lt;=TrafficData[[#This Row],[totalChallan]])</f>
        <v>1</v>
      </c>
      <c r="O1793" t="b">
        <f>AND(TrafficData[[#This Row],[pendingAmount]]&lt;=TrafficData[[#This Row],[totalAmount]],TrafficData[[#This Row],[disposedAmount]]&lt;=TrafficData[[#This Row],[totalAmount]])</f>
        <v>1</v>
      </c>
      <c r="P1793" t="b">
        <f>AND(TrafficData[[#This Row],[pendingCourt]]&lt;=TrafficData[[#This Row],[totalCourt]],TrafficData[[#This Row],[disposedCourt]]&lt;=TrafficData[[#This Row],[totalCourt]])</f>
        <v>1</v>
      </c>
    </row>
    <row r="1794" spans="1:16">
      <c r="A1794" s="1">
        <v>43798</v>
      </c>
      <c r="B1794">
        <v>96888</v>
      </c>
      <c r="C1794">
        <v>46997</v>
      </c>
      <c r="D1794">
        <v>49891</v>
      </c>
      <c r="E1794">
        <v>18987241</v>
      </c>
      <c r="F1794">
        <v>60720409</v>
      </c>
      <c r="G1794">
        <v>79707650</v>
      </c>
      <c r="H1794">
        <v>42902</v>
      </c>
      <c r="I1794">
        <v>14194</v>
      </c>
      <c r="J1794">
        <v>57096</v>
      </c>
      <c r="K1794" t="b">
        <f>TrafficData[[#This Row],[disposedChallan]]+TrafficData[[#This Row],[pendingChallan]]=TrafficData[[#This Row],[totalChallan]]</f>
        <v>1</v>
      </c>
      <c r="L1794" t="b">
        <f>TrafficData[[#This Row],[pendingAmount]]+TrafficData[[#This Row],[disposedAmount]]=TrafficData[[#This Row],[totalAmount]]</f>
        <v>1</v>
      </c>
      <c r="M1794" t="b">
        <f>TrafficData[[#This Row],[pendingCourt]]+TrafficData[[#This Row],[disposedCourt]]=TrafficData[[#This Row],[totalCourt]]</f>
        <v>1</v>
      </c>
      <c r="N1794" t="b">
        <f>AND(TrafficData[[#This Row],[disposedChallan]]&lt;=TrafficData[[#This Row],[totalChallan]],TrafficData[[#This Row],[pendingChallan]]&lt;=TrafficData[[#This Row],[totalChallan]])</f>
        <v>1</v>
      </c>
      <c r="O1794" t="b">
        <f>AND(TrafficData[[#This Row],[pendingAmount]]&lt;=TrafficData[[#This Row],[totalAmount]],TrafficData[[#This Row],[disposedAmount]]&lt;=TrafficData[[#This Row],[totalAmount]])</f>
        <v>1</v>
      </c>
      <c r="P1794" t="b">
        <f>AND(TrafficData[[#This Row],[pendingCourt]]&lt;=TrafficData[[#This Row],[totalCourt]],TrafficData[[#This Row],[disposedCourt]]&lt;=TrafficData[[#This Row],[totalCourt]])</f>
        <v>1</v>
      </c>
    </row>
    <row r="1795" spans="1:16">
      <c r="A1795" s="1">
        <v>43799</v>
      </c>
      <c r="B1795">
        <v>88768</v>
      </c>
      <c r="C1795">
        <v>40005</v>
      </c>
      <c r="D1795">
        <v>48763</v>
      </c>
      <c r="E1795">
        <v>17622780</v>
      </c>
      <c r="F1795">
        <v>47774017</v>
      </c>
      <c r="G1795">
        <v>65396797</v>
      </c>
      <c r="H1795">
        <v>42942</v>
      </c>
      <c r="I1795">
        <v>11276</v>
      </c>
      <c r="J1795">
        <v>54218</v>
      </c>
      <c r="K1795" t="b">
        <f>TrafficData[[#This Row],[disposedChallan]]+TrafficData[[#This Row],[pendingChallan]]=TrafficData[[#This Row],[totalChallan]]</f>
        <v>1</v>
      </c>
      <c r="L1795" t="b">
        <f>TrafficData[[#This Row],[pendingAmount]]+TrafficData[[#This Row],[disposedAmount]]=TrafficData[[#This Row],[totalAmount]]</f>
        <v>1</v>
      </c>
      <c r="M1795" t="b">
        <f>TrafficData[[#This Row],[pendingCourt]]+TrafficData[[#This Row],[disposedCourt]]=TrafficData[[#This Row],[totalCourt]]</f>
        <v>1</v>
      </c>
      <c r="N1795" t="b">
        <f>AND(TrafficData[[#This Row],[disposedChallan]]&lt;=TrafficData[[#This Row],[totalChallan]],TrafficData[[#This Row],[pendingChallan]]&lt;=TrafficData[[#This Row],[totalChallan]])</f>
        <v>1</v>
      </c>
      <c r="O1795" t="b">
        <f>AND(TrafficData[[#This Row],[pendingAmount]]&lt;=TrafficData[[#This Row],[totalAmount]],TrafficData[[#This Row],[disposedAmount]]&lt;=TrafficData[[#This Row],[totalAmount]])</f>
        <v>1</v>
      </c>
      <c r="P1795" t="b">
        <f>AND(TrafficData[[#This Row],[pendingCourt]]&lt;=TrafficData[[#This Row],[totalCourt]],TrafficData[[#This Row],[disposedCourt]]&lt;=TrafficData[[#This Row],[totalCourt]])</f>
        <v>1</v>
      </c>
    </row>
    <row r="1796" spans="1:16">
      <c r="A1796" s="1">
        <v>43800</v>
      </c>
      <c r="B1796">
        <v>76940</v>
      </c>
      <c r="C1796">
        <v>30379</v>
      </c>
      <c r="D1796">
        <v>46561</v>
      </c>
      <c r="E1796">
        <v>8944264</v>
      </c>
      <c r="F1796">
        <v>39688376</v>
      </c>
      <c r="G1796">
        <v>48632640</v>
      </c>
      <c r="H1796">
        <v>41227</v>
      </c>
      <c r="I1796">
        <v>8109</v>
      </c>
      <c r="J1796">
        <v>49336</v>
      </c>
      <c r="K1796" t="b">
        <f>TrafficData[[#This Row],[disposedChallan]]+TrafficData[[#This Row],[pendingChallan]]=TrafficData[[#This Row],[totalChallan]]</f>
        <v>1</v>
      </c>
      <c r="L1796" t="b">
        <f>TrafficData[[#This Row],[pendingAmount]]+TrafficData[[#This Row],[disposedAmount]]=TrafficData[[#This Row],[totalAmount]]</f>
        <v>1</v>
      </c>
      <c r="M1796" t="b">
        <f>TrafficData[[#This Row],[pendingCourt]]+TrafficData[[#This Row],[disposedCourt]]=TrafficData[[#This Row],[totalCourt]]</f>
        <v>1</v>
      </c>
      <c r="N1796" t="b">
        <f>AND(TrafficData[[#This Row],[disposedChallan]]&lt;=TrafficData[[#This Row],[totalChallan]],TrafficData[[#This Row],[pendingChallan]]&lt;=TrafficData[[#This Row],[totalChallan]])</f>
        <v>1</v>
      </c>
      <c r="O1796" t="b">
        <f>AND(TrafficData[[#This Row],[pendingAmount]]&lt;=TrafficData[[#This Row],[totalAmount]],TrafficData[[#This Row],[disposedAmount]]&lt;=TrafficData[[#This Row],[totalAmount]])</f>
        <v>1</v>
      </c>
      <c r="P1796" t="b">
        <f>AND(TrafficData[[#This Row],[pendingCourt]]&lt;=TrafficData[[#This Row],[totalCourt]],TrafficData[[#This Row],[disposedCourt]]&lt;=TrafficData[[#This Row],[totalCourt]])</f>
        <v>1</v>
      </c>
    </row>
    <row r="1797" spans="1:16">
      <c r="A1797" s="1">
        <v>43801</v>
      </c>
      <c r="B1797">
        <v>92572</v>
      </c>
      <c r="C1797">
        <v>41696</v>
      </c>
      <c r="D1797">
        <v>50876</v>
      </c>
      <c r="E1797">
        <v>12937015</v>
      </c>
      <c r="F1797">
        <v>52190870</v>
      </c>
      <c r="G1797">
        <v>65127885</v>
      </c>
      <c r="H1797">
        <v>42982</v>
      </c>
      <c r="I1797">
        <v>10437</v>
      </c>
      <c r="J1797">
        <v>53419</v>
      </c>
      <c r="K1797" t="b">
        <f>TrafficData[[#This Row],[disposedChallan]]+TrafficData[[#This Row],[pendingChallan]]=TrafficData[[#This Row],[totalChallan]]</f>
        <v>1</v>
      </c>
      <c r="L1797" t="b">
        <f>TrafficData[[#This Row],[pendingAmount]]+TrafficData[[#This Row],[disposedAmount]]=TrafficData[[#This Row],[totalAmount]]</f>
        <v>1</v>
      </c>
      <c r="M1797" t="b">
        <f>TrafficData[[#This Row],[pendingCourt]]+TrafficData[[#This Row],[disposedCourt]]=TrafficData[[#This Row],[totalCourt]]</f>
        <v>1</v>
      </c>
      <c r="N1797" t="b">
        <f>AND(TrafficData[[#This Row],[disposedChallan]]&lt;=TrafficData[[#This Row],[totalChallan]],TrafficData[[#This Row],[pendingChallan]]&lt;=TrafficData[[#This Row],[totalChallan]])</f>
        <v>1</v>
      </c>
      <c r="O1797" t="b">
        <f>AND(TrafficData[[#This Row],[pendingAmount]]&lt;=TrafficData[[#This Row],[totalAmount]],TrafficData[[#This Row],[disposedAmount]]&lt;=TrafficData[[#This Row],[totalAmount]])</f>
        <v>1</v>
      </c>
      <c r="P1797" t="b">
        <f>AND(TrafficData[[#This Row],[pendingCourt]]&lt;=TrafficData[[#This Row],[totalCourt]],TrafficData[[#This Row],[disposedCourt]]&lt;=TrafficData[[#This Row],[totalCourt]])</f>
        <v>1</v>
      </c>
    </row>
    <row r="1798" spans="1:16">
      <c r="A1798" s="1">
        <v>43802</v>
      </c>
      <c r="B1798">
        <v>98351</v>
      </c>
      <c r="C1798">
        <v>43384</v>
      </c>
      <c r="D1798">
        <v>54967</v>
      </c>
      <c r="E1798">
        <v>17794086</v>
      </c>
      <c r="F1798">
        <v>57248949</v>
      </c>
      <c r="G1798">
        <v>75043035</v>
      </c>
      <c r="H1798">
        <v>46667</v>
      </c>
      <c r="I1798">
        <v>10885</v>
      </c>
      <c r="J1798">
        <v>57552</v>
      </c>
      <c r="K1798" t="b">
        <f>TrafficData[[#This Row],[disposedChallan]]+TrafficData[[#This Row],[pendingChallan]]=TrafficData[[#This Row],[totalChallan]]</f>
        <v>1</v>
      </c>
      <c r="L1798" t="b">
        <f>TrafficData[[#This Row],[pendingAmount]]+TrafficData[[#This Row],[disposedAmount]]=TrafficData[[#This Row],[totalAmount]]</f>
        <v>1</v>
      </c>
      <c r="M1798" t="b">
        <f>TrafficData[[#This Row],[pendingCourt]]+TrafficData[[#This Row],[disposedCourt]]=TrafficData[[#This Row],[totalCourt]]</f>
        <v>1</v>
      </c>
      <c r="N1798" t="b">
        <f>AND(TrafficData[[#This Row],[disposedChallan]]&lt;=TrafficData[[#This Row],[totalChallan]],TrafficData[[#This Row],[pendingChallan]]&lt;=TrafficData[[#This Row],[totalChallan]])</f>
        <v>1</v>
      </c>
      <c r="O1798" t="b">
        <f>AND(TrafficData[[#This Row],[pendingAmount]]&lt;=TrafficData[[#This Row],[totalAmount]],TrafficData[[#This Row],[disposedAmount]]&lt;=TrafficData[[#This Row],[totalAmount]])</f>
        <v>1</v>
      </c>
      <c r="P1798" t="b">
        <f>AND(TrafficData[[#This Row],[pendingCourt]]&lt;=TrafficData[[#This Row],[totalCourt]],TrafficData[[#This Row],[disposedCourt]]&lt;=TrafficData[[#This Row],[totalCourt]])</f>
        <v>1</v>
      </c>
    </row>
    <row r="1799" spans="1:16">
      <c r="A1799" s="1">
        <v>43803</v>
      </c>
      <c r="B1799">
        <v>95855</v>
      </c>
      <c r="C1799">
        <v>43120</v>
      </c>
      <c r="D1799">
        <v>52735</v>
      </c>
      <c r="E1799">
        <v>15817121</v>
      </c>
      <c r="F1799">
        <v>60407293</v>
      </c>
      <c r="G1799">
        <v>76224414</v>
      </c>
      <c r="H1799">
        <v>43872</v>
      </c>
      <c r="I1799">
        <v>10749</v>
      </c>
      <c r="J1799">
        <v>54621</v>
      </c>
      <c r="K1799" t="b">
        <f>TrafficData[[#This Row],[disposedChallan]]+TrafficData[[#This Row],[pendingChallan]]=TrafficData[[#This Row],[totalChallan]]</f>
        <v>1</v>
      </c>
      <c r="L1799" t="b">
        <f>TrafficData[[#This Row],[pendingAmount]]+TrafficData[[#This Row],[disposedAmount]]=TrafficData[[#This Row],[totalAmount]]</f>
        <v>1</v>
      </c>
      <c r="M1799" t="b">
        <f>TrafficData[[#This Row],[pendingCourt]]+TrafficData[[#This Row],[disposedCourt]]=TrafficData[[#This Row],[totalCourt]]</f>
        <v>1</v>
      </c>
      <c r="N1799" t="b">
        <f>AND(TrafficData[[#This Row],[disposedChallan]]&lt;=TrafficData[[#This Row],[totalChallan]],TrafficData[[#This Row],[pendingChallan]]&lt;=TrafficData[[#This Row],[totalChallan]])</f>
        <v>1</v>
      </c>
      <c r="O1799" t="b">
        <f>AND(TrafficData[[#This Row],[pendingAmount]]&lt;=TrafficData[[#This Row],[totalAmount]],TrafficData[[#This Row],[disposedAmount]]&lt;=TrafficData[[#This Row],[totalAmount]])</f>
        <v>1</v>
      </c>
      <c r="P1799" t="b">
        <f>AND(TrafficData[[#This Row],[pendingCourt]]&lt;=TrafficData[[#This Row],[totalCourt]],TrafficData[[#This Row],[disposedCourt]]&lt;=TrafficData[[#This Row],[totalCourt]])</f>
        <v>1</v>
      </c>
    </row>
    <row r="1800" spans="1:16">
      <c r="A1800" s="1">
        <v>43804</v>
      </c>
      <c r="B1800">
        <v>102041</v>
      </c>
      <c r="C1800">
        <v>42157</v>
      </c>
      <c r="D1800">
        <v>59884</v>
      </c>
      <c r="E1800">
        <v>14745864</v>
      </c>
      <c r="F1800">
        <v>58516011</v>
      </c>
      <c r="G1800">
        <v>73261875</v>
      </c>
      <c r="H1800">
        <v>52083</v>
      </c>
      <c r="I1800">
        <v>11086</v>
      </c>
      <c r="J1800">
        <v>63169</v>
      </c>
      <c r="K1800" t="b">
        <f>TrafficData[[#This Row],[disposedChallan]]+TrafficData[[#This Row],[pendingChallan]]=TrafficData[[#This Row],[totalChallan]]</f>
        <v>1</v>
      </c>
      <c r="L1800" t="b">
        <f>TrafficData[[#This Row],[pendingAmount]]+TrafficData[[#This Row],[disposedAmount]]=TrafficData[[#This Row],[totalAmount]]</f>
        <v>1</v>
      </c>
      <c r="M1800" t="b">
        <f>TrafficData[[#This Row],[pendingCourt]]+TrafficData[[#This Row],[disposedCourt]]=TrafficData[[#This Row],[totalCourt]]</f>
        <v>1</v>
      </c>
      <c r="N1800" t="b">
        <f>AND(TrafficData[[#This Row],[disposedChallan]]&lt;=TrafficData[[#This Row],[totalChallan]],TrafficData[[#This Row],[pendingChallan]]&lt;=TrafficData[[#This Row],[totalChallan]])</f>
        <v>1</v>
      </c>
      <c r="O1800" t="b">
        <f>AND(TrafficData[[#This Row],[pendingAmount]]&lt;=TrafficData[[#This Row],[totalAmount]],TrafficData[[#This Row],[disposedAmount]]&lt;=TrafficData[[#This Row],[totalAmount]])</f>
        <v>1</v>
      </c>
      <c r="P1800" t="b">
        <f>AND(TrafficData[[#This Row],[pendingCourt]]&lt;=TrafficData[[#This Row],[totalCourt]],TrafficData[[#This Row],[disposedCourt]]&lt;=TrafficData[[#This Row],[totalCourt]])</f>
        <v>1</v>
      </c>
    </row>
    <row r="1801" spans="1:16">
      <c r="A1801" s="1">
        <v>43805</v>
      </c>
      <c r="B1801">
        <v>106815</v>
      </c>
      <c r="C1801">
        <v>43008</v>
      </c>
      <c r="D1801">
        <v>63807</v>
      </c>
      <c r="E1801">
        <v>18811635</v>
      </c>
      <c r="F1801">
        <v>58867587</v>
      </c>
      <c r="G1801">
        <v>77679222</v>
      </c>
      <c r="H1801">
        <v>55606</v>
      </c>
      <c r="I1801">
        <v>10994</v>
      </c>
      <c r="J1801">
        <v>66600</v>
      </c>
      <c r="K1801" t="b">
        <f>TrafficData[[#This Row],[disposedChallan]]+TrafficData[[#This Row],[pendingChallan]]=TrafficData[[#This Row],[totalChallan]]</f>
        <v>1</v>
      </c>
      <c r="L1801" t="b">
        <f>TrafficData[[#This Row],[pendingAmount]]+TrafficData[[#This Row],[disposedAmount]]=TrafficData[[#This Row],[totalAmount]]</f>
        <v>1</v>
      </c>
      <c r="M1801" t="b">
        <f>TrafficData[[#This Row],[pendingCourt]]+TrafficData[[#This Row],[disposedCourt]]=TrafficData[[#This Row],[totalCourt]]</f>
        <v>1</v>
      </c>
      <c r="N1801" t="b">
        <f>AND(TrafficData[[#This Row],[disposedChallan]]&lt;=TrafficData[[#This Row],[totalChallan]],TrafficData[[#This Row],[pendingChallan]]&lt;=TrafficData[[#This Row],[totalChallan]])</f>
        <v>1</v>
      </c>
      <c r="O1801" t="b">
        <f>AND(TrafficData[[#This Row],[pendingAmount]]&lt;=TrafficData[[#This Row],[totalAmount]],TrafficData[[#This Row],[disposedAmount]]&lt;=TrafficData[[#This Row],[totalAmount]])</f>
        <v>1</v>
      </c>
      <c r="P1801" t="b">
        <f>AND(TrafficData[[#This Row],[pendingCourt]]&lt;=TrafficData[[#This Row],[totalCourt]],TrafficData[[#This Row],[disposedCourt]]&lt;=TrafficData[[#This Row],[totalCourt]])</f>
        <v>1</v>
      </c>
    </row>
    <row r="1802" spans="1:16">
      <c r="A1802" s="1">
        <v>43806</v>
      </c>
      <c r="B1802">
        <v>99036</v>
      </c>
      <c r="C1802">
        <v>41599</v>
      </c>
      <c r="D1802">
        <v>57437</v>
      </c>
      <c r="E1802">
        <v>15071165</v>
      </c>
      <c r="F1802">
        <v>54417884</v>
      </c>
      <c r="G1802">
        <v>69489049</v>
      </c>
      <c r="H1802">
        <v>49109</v>
      </c>
      <c r="I1802">
        <v>10368</v>
      </c>
      <c r="J1802">
        <v>59477</v>
      </c>
      <c r="K1802" t="b">
        <f>TrafficData[[#This Row],[disposedChallan]]+TrafficData[[#This Row],[pendingChallan]]=TrafficData[[#This Row],[totalChallan]]</f>
        <v>1</v>
      </c>
      <c r="L1802" t="b">
        <f>TrafficData[[#This Row],[pendingAmount]]+TrafficData[[#This Row],[disposedAmount]]=TrafficData[[#This Row],[totalAmount]]</f>
        <v>1</v>
      </c>
      <c r="M1802" t="b">
        <f>TrafficData[[#This Row],[pendingCourt]]+TrafficData[[#This Row],[disposedCourt]]=TrafficData[[#This Row],[totalCourt]]</f>
        <v>1</v>
      </c>
      <c r="N1802" t="b">
        <f>AND(TrafficData[[#This Row],[disposedChallan]]&lt;=TrafficData[[#This Row],[totalChallan]],TrafficData[[#This Row],[pendingChallan]]&lt;=TrafficData[[#This Row],[totalChallan]])</f>
        <v>1</v>
      </c>
      <c r="O1802" t="b">
        <f>AND(TrafficData[[#This Row],[pendingAmount]]&lt;=TrafficData[[#This Row],[totalAmount]],TrafficData[[#This Row],[disposedAmount]]&lt;=TrafficData[[#This Row],[totalAmount]])</f>
        <v>1</v>
      </c>
      <c r="P1802" t="b">
        <f>AND(TrafficData[[#This Row],[pendingCourt]]&lt;=TrafficData[[#This Row],[totalCourt]],TrafficData[[#This Row],[disposedCourt]]&lt;=TrafficData[[#This Row],[totalCourt]])</f>
        <v>1</v>
      </c>
    </row>
    <row r="1803" spans="1:16">
      <c r="A1803" s="1">
        <v>43807</v>
      </c>
      <c r="B1803">
        <v>88764</v>
      </c>
      <c r="C1803">
        <v>33523</v>
      </c>
      <c r="D1803">
        <v>55241</v>
      </c>
      <c r="E1803">
        <v>9863340</v>
      </c>
      <c r="F1803">
        <v>38542005</v>
      </c>
      <c r="G1803">
        <v>48405345</v>
      </c>
      <c r="H1803">
        <v>48932</v>
      </c>
      <c r="I1803">
        <v>8349</v>
      </c>
      <c r="J1803">
        <v>57281</v>
      </c>
      <c r="K1803" t="b">
        <f>TrafficData[[#This Row],[disposedChallan]]+TrafficData[[#This Row],[pendingChallan]]=TrafficData[[#This Row],[totalChallan]]</f>
        <v>1</v>
      </c>
      <c r="L1803" t="b">
        <f>TrafficData[[#This Row],[pendingAmount]]+TrafficData[[#This Row],[disposedAmount]]=TrafficData[[#This Row],[totalAmount]]</f>
        <v>1</v>
      </c>
      <c r="M1803" t="b">
        <f>TrafficData[[#This Row],[pendingCourt]]+TrafficData[[#This Row],[disposedCourt]]=TrafficData[[#This Row],[totalCourt]]</f>
        <v>1</v>
      </c>
      <c r="N1803" t="b">
        <f>AND(TrafficData[[#This Row],[disposedChallan]]&lt;=TrafficData[[#This Row],[totalChallan]],TrafficData[[#This Row],[pendingChallan]]&lt;=TrafficData[[#This Row],[totalChallan]])</f>
        <v>1</v>
      </c>
      <c r="O1803" t="b">
        <f>AND(TrafficData[[#This Row],[pendingAmount]]&lt;=TrafficData[[#This Row],[totalAmount]],TrafficData[[#This Row],[disposedAmount]]&lt;=TrafficData[[#This Row],[totalAmount]])</f>
        <v>1</v>
      </c>
      <c r="P1803" t="b">
        <f>AND(TrafficData[[#This Row],[pendingCourt]]&lt;=TrafficData[[#This Row],[totalCourt]],TrafficData[[#This Row],[disposedCourt]]&lt;=TrafficData[[#This Row],[totalCourt]])</f>
        <v>1</v>
      </c>
    </row>
    <row r="1804" spans="1:16">
      <c r="A1804" s="1">
        <v>43808</v>
      </c>
      <c r="B1804">
        <v>92374</v>
      </c>
      <c r="C1804">
        <v>40372</v>
      </c>
      <c r="D1804">
        <v>52002</v>
      </c>
      <c r="E1804">
        <v>15609184</v>
      </c>
      <c r="F1804">
        <v>51326034</v>
      </c>
      <c r="G1804">
        <v>66935218</v>
      </c>
      <c r="H1804">
        <v>44453</v>
      </c>
      <c r="I1804">
        <v>10172</v>
      </c>
      <c r="J1804">
        <v>54625</v>
      </c>
      <c r="K1804" t="b">
        <f>TrafficData[[#This Row],[disposedChallan]]+TrafficData[[#This Row],[pendingChallan]]=TrafficData[[#This Row],[totalChallan]]</f>
        <v>1</v>
      </c>
      <c r="L1804" t="b">
        <f>TrafficData[[#This Row],[pendingAmount]]+TrafficData[[#This Row],[disposedAmount]]=TrafficData[[#This Row],[totalAmount]]</f>
        <v>1</v>
      </c>
      <c r="M1804" t="b">
        <f>TrafficData[[#This Row],[pendingCourt]]+TrafficData[[#This Row],[disposedCourt]]=TrafficData[[#This Row],[totalCourt]]</f>
        <v>1</v>
      </c>
      <c r="N1804" t="b">
        <f>AND(TrafficData[[#This Row],[disposedChallan]]&lt;=TrafficData[[#This Row],[totalChallan]],TrafficData[[#This Row],[pendingChallan]]&lt;=TrafficData[[#This Row],[totalChallan]])</f>
        <v>1</v>
      </c>
      <c r="O1804" t="b">
        <f>AND(TrafficData[[#This Row],[pendingAmount]]&lt;=TrafficData[[#This Row],[totalAmount]],TrafficData[[#This Row],[disposedAmount]]&lt;=TrafficData[[#This Row],[totalAmount]])</f>
        <v>1</v>
      </c>
      <c r="P1804" t="b">
        <f>AND(TrafficData[[#This Row],[pendingCourt]]&lt;=TrafficData[[#This Row],[totalCourt]],TrafficData[[#This Row],[disposedCourt]]&lt;=TrafficData[[#This Row],[totalCourt]])</f>
        <v>1</v>
      </c>
    </row>
    <row r="1805" spans="1:16">
      <c r="A1805" s="1">
        <v>43809</v>
      </c>
      <c r="B1805">
        <v>95241</v>
      </c>
      <c r="C1805">
        <v>42020</v>
      </c>
      <c r="D1805">
        <v>53221</v>
      </c>
      <c r="E1805">
        <v>16870532</v>
      </c>
      <c r="F1805">
        <v>58755332</v>
      </c>
      <c r="G1805">
        <v>75625864</v>
      </c>
      <c r="H1805">
        <v>45232</v>
      </c>
      <c r="I1805">
        <v>10775</v>
      </c>
      <c r="J1805">
        <v>56007</v>
      </c>
      <c r="K1805" t="b">
        <f>TrafficData[[#This Row],[disposedChallan]]+TrafficData[[#This Row],[pendingChallan]]=TrafficData[[#This Row],[totalChallan]]</f>
        <v>1</v>
      </c>
      <c r="L1805" t="b">
        <f>TrafficData[[#This Row],[pendingAmount]]+TrafficData[[#This Row],[disposedAmount]]=TrafficData[[#This Row],[totalAmount]]</f>
        <v>1</v>
      </c>
      <c r="M1805" t="b">
        <f>TrafficData[[#This Row],[pendingCourt]]+TrafficData[[#This Row],[disposedCourt]]=TrafficData[[#This Row],[totalCourt]]</f>
        <v>1</v>
      </c>
      <c r="N1805" t="b">
        <f>AND(TrafficData[[#This Row],[disposedChallan]]&lt;=TrafficData[[#This Row],[totalChallan]],TrafficData[[#This Row],[pendingChallan]]&lt;=TrafficData[[#This Row],[totalChallan]])</f>
        <v>1</v>
      </c>
      <c r="O1805" t="b">
        <f>AND(TrafficData[[#This Row],[pendingAmount]]&lt;=TrafficData[[#This Row],[totalAmount]],TrafficData[[#This Row],[disposedAmount]]&lt;=TrafficData[[#This Row],[totalAmount]])</f>
        <v>1</v>
      </c>
      <c r="P1805" t="b">
        <f>AND(TrafficData[[#This Row],[pendingCourt]]&lt;=TrafficData[[#This Row],[totalCourt]],TrafficData[[#This Row],[disposedCourt]]&lt;=TrafficData[[#This Row],[totalCourt]])</f>
        <v>1</v>
      </c>
    </row>
    <row r="1806" spans="1:16">
      <c r="A1806" s="1">
        <v>43810</v>
      </c>
      <c r="B1806">
        <v>99930</v>
      </c>
      <c r="C1806">
        <v>43828</v>
      </c>
      <c r="D1806">
        <v>56102</v>
      </c>
      <c r="E1806">
        <v>18539352</v>
      </c>
      <c r="F1806">
        <v>57638324</v>
      </c>
      <c r="G1806">
        <v>76177676</v>
      </c>
      <c r="H1806">
        <v>47512</v>
      </c>
      <c r="I1806">
        <v>11368</v>
      </c>
      <c r="J1806">
        <v>58880</v>
      </c>
      <c r="K1806" t="b">
        <f>TrafficData[[#This Row],[disposedChallan]]+TrafficData[[#This Row],[pendingChallan]]=TrafficData[[#This Row],[totalChallan]]</f>
        <v>1</v>
      </c>
      <c r="L1806" t="b">
        <f>TrafficData[[#This Row],[pendingAmount]]+TrafficData[[#This Row],[disposedAmount]]=TrafficData[[#This Row],[totalAmount]]</f>
        <v>1</v>
      </c>
      <c r="M1806" t="b">
        <f>TrafficData[[#This Row],[pendingCourt]]+TrafficData[[#This Row],[disposedCourt]]=TrafficData[[#This Row],[totalCourt]]</f>
        <v>1</v>
      </c>
      <c r="N1806" t="b">
        <f>AND(TrafficData[[#This Row],[disposedChallan]]&lt;=TrafficData[[#This Row],[totalChallan]],TrafficData[[#This Row],[pendingChallan]]&lt;=TrafficData[[#This Row],[totalChallan]])</f>
        <v>1</v>
      </c>
      <c r="O1806" t="b">
        <f>AND(TrafficData[[#This Row],[pendingAmount]]&lt;=TrafficData[[#This Row],[totalAmount]],TrafficData[[#This Row],[disposedAmount]]&lt;=TrafficData[[#This Row],[totalAmount]])</f>
        <v>1</v>
      </c>
      <c r="P1806" t="b">
        <f>AND(TrafficData[[#This Row],[pendingCourt]]&lt;=TrafficData[[#This Row],[totalCourt]],TrafficData[[#This Row],[disposedCourt]]&lt;=TrafficData[[#This Row],[totalCourt]])</f>
        <v>1</v>
      </c>
    </row>
    <row r="1807" spans="1:16">
      <c r="A1807" s="1">
        <v>43811</v>
      </c>
      <c r="B1807">
        <v>99962</v>
      </c>
      <c r="C1807">
        <v>42015</v>
      </c>
      <c r="D1807">
        <v>57947</v>
      </c>
      <c r="E1807">
        <v>17717918</v>
      </c>
      <c r="F1807">
        <v>54340528</v>
      </c>
      <c r="G1807">
        <v>72058446</v>
      </c>
      <c r="H1807">
        <v>48523</v>
      </c>
      <c r="I1807">
        <v>10517</v>
      </c>
      <c r="J1807">
        <v>59040</v>
      </c>
      <c r="K1807" t="b">
        <f>TrafficData[[#This Row],[disposedChallan]]+TrafficData[[#This Row],[pendingChallan]]=TrafficData[[#This Row],[totalChallan]]</f>
        <v>1</v>
      </c>
      <c r="L1807" t="b">
        <f>TrafficData[[#This Row],[pendingAmount]]+TrafficData[[#This Row],[disposedAmount]]=TrafficData[[#This Row],[totalAmount]]</f>
        <v>1</v>
      </c>
      <c r="M1807" t="b">
        <f>TrafficData[[#This Row],[pendingCourt]]+TrafficData[[#This Row],[disposedCourt]]=TrafficData[[#This Row],[totalCourt]]</f>
        <v>1</v>
      </c>
      <c r="N1807" t="b">
        <f>AND(TrafficData[[#This Row],[disposedChallan]]&lt;=TrafficData[[#This Row],[totalChallan]],TrafficData[[#This Row],[pendingChallan]]&lt;=TrafficData[[#This Row],[totalChallan]])</f>
        <v>1</v>
      </c>
      <c r="O1807" t="b">
        <f>AND(TrafficData[[#This Row],[pendingAmount]]&lt;=TrafficData[[#This Row],[totalAmount]],TrafficData[[#This Row],[disposedAmount]]&lt;=TrafficData[[#This Row],[totalAmount]])</f>
        <v>1</v>
      </c>
      <c r="P1807" t="b">
        <f>AND(TrafficData[[#This Row],[pendingCourt]]&lt;=TrafficData[[#This Row],[totalCourt]],TrafficData[[#This Row],[disposedCourt]]&lt;=TrafficData[[#This Row],[totalCourt]])</f>
        <v>1</v>
      </c>
    </row>
    <row r="1808" spans="1:16">
      <c r="A1808" s="1">
        <v>43812</v>
      </c>
      <c r="B1808">
        <v>90039</v>
      </c>
      <c r="C1808">
        <v>38265</v>
      </c>
      <c r="D1808">
        <v>51774</v>
      </c>
      <c r="E1808">
        <v>13172121</v>
      </c>
      <c r="F1808">
        <v>48274723</v>
      </c>
      <c r="G1808">
        <v>61446844</v>
      </c>
      <c r="H1808">
        <v>43156</v>
      </c>
      <c r="I1808">
        <v>9241</v>
      </c>
      <c r="J1808">
        <v>52397</v>
      </c>
      <c r="K1808" t="b">
        <f>TrafficData[[#This Row],[disposedChallan]]+TrafficData[[#This Row],[pendingChallan]]=TrafficData[[#This Row],[totalChallan]]</f>
        <v>1</v>
      </c>
      <c r="L1808" t="b">
        <f>TrafficData[[#This Row],[pendingAmount]]+TrafficData[[#This Row],[disposedAmount]]=TrafficData[[#This Row],[totalAmount]]</f>
        <v>1</v>
      </c>
      <c r="M1808" t="b">
        <f>TrafficData[[#This Row],[pendingCourt]]+TrafficData[[#This Row],[disposedCourt]]=TrafficData[[#This Row],[totalCourt]]</f>
        <v>1</v>
      </c>
      <c r="N1808" t="b">
        <f>AND(TrafficData[[#This Row],[disposedChallan]]&lt;=TrafficData[[#This Row],[totalChallan]],TrafficData[[#This Row],[pendingChallan]]&lt;=TrafficData[[#This Row],[totalChallan]])</f>
        <v>1</v>
      </c>
      <c r="O1808" t="b">
        <f>AND(TrafficData[[#This Row],[pendingAmount]]&lt;=TrafficData[[#This Row],[totalAmount]],TrafficData[[#This Row],[disposedAmount]]&lt;=TrafficData[[#This Row],[totalAmount]])</f>
        <v>1</v>
      </c>
      <c r="P1808" t="b">
        <f>AND(TrafficData[[#This Row],[pendingCourt]]&lt;=TrafficData[[#This Row],[totalCourt]],TrafficData[[#This Row],[disposedCourt]]&lt;=TrafficData[[#This Row],[totalCourt]])</f>
        <v>1</v>
      </c>
    </row>
    <row r="1809" spans="1:16">
      <c r="A1809" s="1">
        <v>43813</v>
      </c>
      <c r="B1809">
        <v>100972</v>
      </c>
      <c r="C1809">
        <v>41343</v>
      </c>
      <c r="D1809">
        <v>59629</v>
      </c>
      <c r="E1809">
        <v>14095495</v>
      </c>
      <c r="F1809">
        <v>53897877</v>
      </c>
      <c r="G1809">
        <v>67993372</v>
      </c>
      <c r="H1809">
        <v>50911</v>
      </c>
      <c r="I1809">
        <v>9528</v>
      </c>
      <c r="J1809">
        <v>60439</v>
      </c>
      <c r="K1809" t="b">
        <f>TrafficData[[#This Row],[disposedChallan]]+TrafficData[[#This Row],[pendingChallan]]=TrafficData[[#This Row],[totalChallan]]</f>
        <v>1</v>
      </c>
      <c r="L1809" t="b">
        <f>TrafficData[[#This Row],[pendingAmount]]+TrafficData[[#This Row],[disposedAmount]]=TrafficData[[#This Row],[totalAmount]]</f>
        <v>1</v>
      </c>
      <c r="M1809" t="b">
        <f>TrafficData[[#This Row],[pendingCourt]]+TrafficData[[#This Row],[disposedCourt]]=TrafficData[[#This Row],[totalCourt]]</f>
        <v>1</v>
      </c>
      <c r="N1809" t="b">
        <f>AND(TrafficData[[#This Row],[disposedChallan]]&lt;=TrafficData[[#This Row],[totalChallan]],TrafficData[[#This Row],[pendingChallan]]&lt;=TrafficData[[#This Row],[totalChallan]])</f>
        <v>1</v>
      </c>
      <c r="O1809" t="b">
        <f>AND(TrafficData[[#This Row],[pendingAmount]]&lt;=TrafficData[[#This Row],[totalAmount]],TrafficData[[#This Row],[disposedAmount]]&lt;=TrafficData[[#This Row],[totalAmount]])</f>
        <v>1</v>
      </c>
      <c r="P1809" t="b">
        <f>AND(TrafficData[[#This Row],[pendingCourt]]&lt;=TrafficData[[#This Row],[totalCourt]],TrafficData[[#This Row],[disposedCourt]]&lt;=TrafficData[[#This Row],[totalCourt]])</f>
        <v>1</v>
      </c>
    </row>
    <row r="1810" spans="1:16">
      <c r="A1810" s="1">
        <v>43814</v>
      </c>
      <c r="B1810">
        <v>99763</v>
      </c>
      <c r="C1810">
        <v>37039</v>
      </c>
      <c r="D1810">
        <v>62724</v>
      </c>
      <c r="E1810">
        <v>14357516</v>
      </c>
      <c r="F1810">
        <v>39185434</v>
      </c>
      <c r="G1810">
        <v>53542950</v>
      </c>
      <c r="H1810">
        <v>52719</v>
      </c>
      <c r="I1810">
        <v>9090</v>
      </c>
      <c r="J1810">
        <v>61809</v>
      </c>
      <c r="K1810" t="b">
        <f>TrafficData[[#This Row],[disposedChallan]]+TrafficData[[#This Row],[pendingChallan]]=TrafficData[[#This Row],[totalChallan]]</f>
        <v>1</v>
      </c>
      <c r="L1810" t="b">
        <f>TrafficData[[#This Row],[pendingAmount]]+TrafficData[[#This Row],[disposedAmount]]=TrafficData[[#This Row],[totalAmount]]</f>
        <v>1</v>
      </c>
      <c r="M1810" t="b">
        <f>TrafficData[[#This Row],[pendingCourt]]+TrafficData[[#This Row],[disposedCourt]]=TrafficData[[#This Row],[totalCourt]]</f>
        <v>1</v>
      </c>
      <c r="N1810" t="b">
        <f>AND(TrafficData[[#This Row],[disposedChallan]]&lt;=TrafficData[[#This Row],[totalChallan]],TrafficData[[#This Row],[pendingChallan]]&lt;=TrafficData[[#This Row],[totalChallan]])</f>
        <v>1</v>
      </c>
      <c r="O1810" t="b">
        <f>AND(TrafficData[[#This Row],[pendingAmount]]&lt;=TrafficData[[#This Row],[totalAmount]],TrafficData[[#This Row],[disposedAmount]]&lt;=TrafficData[[#This Row],[totalAmount]])</f>
        <v>1</v>
      </c>
      <c r="P1810" t="b">
        <f>AND(TrafficData[[#This Row],[pendingCourt]]&lt;=TrafficData[[#This Row],[totalCourt]],TrafficData[[#This Row],[disposedCourt]]&lt;=TrafficData[[#This Row],[totalCourt]])</f>
        <v>1</v>
      </c>
    </row>
    <row r="1811" spans="1:16">
      <c r="A1811" s="1">
        <v>43815</v>
      </c>
      <c r="B1811">
        <v>100018</v>
      </c>
      <c r="C1811">
        <v>41421</v>
      </c>
      <c r="D1811">
        <v>58597</v>
      </c>
      <c r="E1811">
        <v>15425311</v>
      </c>
      <c r="F1811">
        <v>50786337</v>
      </c>
      <c r="G1811">
        <v>66211648</v>
      </c>
      <c r="H1811">
        <v>48631</v>
      </c>
      <c r="I1811">
        <v>10425</v>
      </c>
      <c r="J1811">
        <v>59056</v>
      </c>
      <c r="K1811" t="b">
        <f>TrafficData[[#This Row],[disposedChallan]]+TrafficData[[#This Row],[pendingChallan]]=TrafficData[[#This Row],[totalChallan]]</f>
        <v>1</v>
      </c>
      <c r="L1811" t="b">
        <f>TrafficData[[#This Row],[pendingAmount]]+TrafficData[[#This Row],[disposedAmount]]=TrafficData[[#This Row],[totalAmount]]</f>
        <v>1</v>
      </c>
      <c r="M1811" t="b">
        <f>TrafficData[[#This Row],[pendingCourt]]+TrafficData[[#This Row],[disposedCourt]]=TrafficData[[#This Row],[totalCourt]]</f>
        <v>1</v>
      </c>
      <c r="N1811" t="b">
        <f>AND(TrafficData[[#This Row],[disposedChallan]]&lt;=TrafficData[[#This Row],[totalChallan]],TrafficData[[#This Row],[pendingChallan]]&lt;=TrafficData[[#This Row],[totalChallan]])</f>
        <v>1</v>
      </c>
      <c r="O1811" t="b">
        <f>AND(TrafficData[[#This Row],[pendingAmount]]&lt;=TrafficData[[#This Row],[totalAmount]],TrafficData[[#This Row],[disposedAmount]]&lt;=TrafficData[[#This Row],[totalAmount]])</f>
        <v>1</v>
      </c>
      <c r="P1811" t="b">
        <f>AND(TrafficData[[#This Row],[pendingCourt]]&lt;=TrafficData[[#This Row],[totalCourt]],TrafficData[[#This Row],[disposedCourt]]&lt;=TrafficData[[#This Row],[totalCourt]])</f>
        <v>1</v>
      </c>
    </row>
    <row r="1812" spans="1:16">
      <c r="A1812" s="1">
        <v>43816</v>
      </c>
      <c r="B1812">
        <v>101881</v>
      </c>
      <c r="C1812">
        <v>43357</v>
      </c>
      <c r="D1812">
        <v>58524</v>
      </c>
      <c r="E1812">
        <v>14111243</v>
      </c>
      <c r="F1812">
        <v>53778673</v>
      </c>
      <c r="G1812">
        <v>67889916</v>
      </c>
      <c r="H1812">
        <v>47913</v>
      </c>
      <c r="I1812">
        <v>10050</v>
      </c>
      <c r="J1812">
        <v>57963</v>
      </c>
      <c r="K1812" t="b">
        <f>TrafficData[[#This Row],[disposedChallan]]+TrafficData[[#This Row],[pendingChallan]]=TrafficData[[#This Row],[totalChallan]]</f>
        <v>1</v>
      </c>
      <c r="L1812" t="b">
        <f>TrafficData[[#This Row],[pendingAmount]]+TrafficData[[#This Row],[disposedAmount]]=TrafficData[[#This Row],[totalAmount]]</f>
        <v>1</v>
      </c>
      <c r="M1812" t="b">
        <f>TrafficData[[#This Row],[pendingCourt]]+TrafficData[[#This Row],[disposedCourt]]=TrafficData[[#This Row],[totalCourt]]</f>
        <v>1</v>
      </c>
      <c r="N1812" t="b">
        <f>AND(TrafficData[[#This Row],[disposedChallan]]&lt;=TrafficData[[#This Row],[totalChallan]],TrafficData[[#This Row],[pendingChallan]]&lt;=TrafficData[[#This Row],[totalChallan]])</f>
        <v>1</v>
      </c>
      <c r="O1812" t="b">
        <f>AND(TrafficData[[#This Row],[pendingAmount]]&lt;=TrafficData[[#This Row],[totalAmount]],TrafficData[[#This Row],[disposedAmount]]&lt;=TrafficData[[#This Row],[totalAmount]])</f>
        <v>1</v>
      </c>
      <c r="P1812" t="b">
        <f>AND(TrafficData[[#This Row],[pendingCourt]]&lt;=TrafficData[[#This Row],[totalCourt]],TrafficData[[#This Row],[disposedCourt]]&lt;=TrafficData[[#This Row],[totalCourt]])</f>
        <v>1</v>
      </c>
    </row>
    <row r="1813" spans="1:16">
      <c r="A1813" s="1">
        <v>43817</v>
      </c>
      <c r="B1813">
        <v>102916</v>
      </c>
      <c r="C1813">
        <v>43646</v>
      </c>
      <c r="D1813">
        <v>59270</v>
      </c>
      <c r="E1813">
        <v>15988061</v>
      </c>
      <c r="F1813">
        <v>56910717</v>
      </c>
      <c r="G1813">
        <v>72898778</v>
      </c>
      <c r="H1813">
        <v>49207</v>
      </c>
      <c r="I1813">
        <v>10799</v>
      </c>
      <c r="J1813">
        <v>60006</v>
      </c>
      <c r="K1813" t="b">
        <f>TrafficData[[#This Row],[disposedChallan]]+TrafficData[[#This Row],[pendingChallan]]=TrafficData[[#This Row],[totalChallan]]</f>
        <v>1</v>
      </c>
      <c r="L1813" t="b">
        <f>TrafficData[[#This Row],[pendingAmount]]+TrafficData[[#This Row],[disposedAmount]]=TrafficData[[#This Row],[totalAmount]]</f>
        <v>1</v>
      </c>
      <c r="M1813" t="b">
        <f>TrafficData[[#This Row],[pendingCourt]]+TrafficData[[#This Row],[disposedCourt]]=TrafficData[[#This Row],[totalCourt]]</f>
        <v>1</v>
      </c>
      <c r="N1813" t="b">
        <f>AND(TrafficData[[#This Row],[disposedChallan]]&lt;=TrafficData[[#This Row],[totalChallan]],TrafficData[[#This Row],[pendingChallan]]&lt;=TrafficData[[#This Row],[totalChallan]])</f>
        <v>1</v>
      </c>
      <c r="O1813" t="b">
        <f>AND(TrafficData[[#This Row],[pendingAmount]]&lt;=TrafficData[[#This Row],[totalAmount]],TrafficData[[#This Row],[disposedAmount]]&lt;=TrafficData[[#This Row],[totalAmount]])</f>
        <v>1</v>
      </c>
      <c r="P1813" t="b">
        <f>AND(TrafficData[[#This Row],[pendingCourt]]&lt;=TrafficData[[#This Row],[totalCourt]],TrafficData[[#This Row],[disposedCourt]]&lt;=TrafficData[[#This Row],[totalCourt]])</f>
        <v>1</v>
      </c>
    </row>
    <row r="1814" spans="1:16">
      <c r="A1814" s="1">
        <v>43818</v>
      </c>
      <c r="B1814">
        <v>100275</v>
      </c>
      <c r="C1814">
        <v>42052</v>
      </c>
      <c r="D1814">
        <v>58223</v>
      </c>
      <c r="E1814">
        <v>17866120</v>
      </c>
      <c r="F1814">
        <v>54891260</v>
      </c>
      <c r="G1814">
        <v>72757380</v>
      </c>
      <c r="H1814">
        <v>47634</v>
      </c>
      <c r="I1814">
        <v>9572</v>
      </c>
      <c r="J1814">
        <v>57206</v>
      </c>
      <c r="K1814" t="b">
        <f>TrafficData[[#This Row],[disposedChallan]]+TrafficData[[#This Row],[pendingChallan]]=TrafficData[[#This Row],[totalChallan]]</f>
        <v>1</v>
      </c>
      <c r="L1814" t="b">
        <f>TrafficData[[#This Row],[pendingAmount]]+TrafficData[[#This Row],[disposedAmount]]=TrafficData[[#This Row],[totalAmount]]</f>
        <v>1</v>
      </c>
      <c r="M1814" t="b">
        <f>TrafficData[[#This Row],[pendingCourt]]+TrafficData[[#This Row],[disposedCourt]]=TrafficData[[#This Row],[totalCourt]]</f>
        <v>1</v>
      </c>
      <c r="N1814" t="b">
        <f>AND(TrafficData[[#This Row],[disposedChallan]]&lt;=TrafficData[[#This Row],[totalChallan]],TrafficData[[#This Row],[pendingChallan]]&lt;=TrafficData[[#This Row],[totalChallan]])</f>
        <v>1</v>
      </c>
      <c r="O1814" t="b">
        <f>AND(TrafficData[[#This Row],[pendingAmount]]&lt;=TrafficData[[#This Row],[totalAmount]],TrafficData[[#This Row],[disposedAmount]]&lt;=TrafficData[[#This Row],[totalAmount]])</f>
        <v>1</v>
      </c>
      <c r="P1814" t="b">
        <f>AND(TrafficData[[#This Row],[pendingCourt]]&lt;=TrafficData[[#This Row],[totalCourt]],TrafficData[[#This Row],[disposedCourt]]&lt;=TrafficData[[#This Row],[totalCourt]])</f>
        <v>1</v>
      </c>
    </row>
    <row r="1815" spans="1:16">
      <c r="A1815" s="1">
        <v>43819</v>
      </c>
      <c r="B1815">
        <v>91479</v>
      </c>
      <c r="C1815">
        <v>37935</v>
      </c>
      <c r="D1815">
        <v>53544</v>
      </c>
      <c r="E1815">
        <v>12914989</v>
      </c>
      <c r="F1815">
        <v>51829483</v>
      </c>
      <c r="G1815">
        <v>64744472</v>
      </c>
      <c r="H1815">
        <v>43524</v>
      </c>
      <c r="I1815">
        <v>8114</v>
      </c>
      <c r="J1815">
        <v>51638</v>
      </c>
      <c r="K1815" t="b">
        <f>TrafficData[[#This Row],[disposedChallan]]+TrafficData[[#This Row],[pendingChallan]]=TrafficData[[#This Row],[totalChallan]]</f>
        <v>1</v>
      </c>
      <c r="L1815" t="b">
        <f>TrafficData[[#This Row],[pendingAmount]]+TrafficData[[#This Row],[disposedAmount]]=TrafficData[[#This Row],[totalAmount]]</f>
        <v>1</v>
      </c>
      <c r="M1815" t="b">
        <f>TrafficData[[#This Row],[pendingCourt]]+TrafficData[[#This Row],[disposedCourt]]=TrafficData[[#This Row],[totalCourt]]</f>
        <v>1</v>
      </c>
      <c r="N1815" t="b">
        <f>AND(TrafficData[[#This Row],[disposedChallan]]&lt;=TrafficData[[#This Row],[totalChallan]],TrafficData[[#This Row],[pendingChallan]]&lt;=TrafficData[[#This Row],[totalChallan]])</f>
        <v>1</v>
      </c>
      <c r="O1815" t="b">
        <f>AND(TrafficData[[#This Row],[pendingAmount]]&lt;=TrafficData[[#This Row],[totalAmount]],TrafficData[[#This Row],[disposedAmount]]&lt;=TrafficData[[#This Row],[totalAmount]])</f>
        <v>1</v>
      </c>
      <c r="P1815" t="b">
        <f>AND(TrafficData[[#This Row],[pendingCourt]]&lt;=TrafficData[[#This Row],[totalCourt]],TrafficData[[#This Row],[disposedCourt]]&lt;=TrafficData[[#This Row],[totalCourt]])</f>
        <v>1</v>
      </c>
    </row>
    <row r="1816" spans="1:16">
      <c r="A1816" s="1">
        <v>43820</v>
      </c>
      <c r="B1816">
        <v>100939</v>
      </c>
      <c r="C1816">
        <v>39109</v>
      </c>
      <c r="D1816">
        <v>61830</v>
      </c>
      <c r="E1816">
        <v>12257122</v>
      </c>
      <c r="F1816">
        <v>46317061</v>
      </c>
      <c r="G1816">
        <v>58574183</v>
      </c>
      <c r="H1816">
        <v>50373</v>
      </c>
      <c r="I1816">
        <v>7837</v>
      </c>
      <c r="J1816">
        <v>58210</v>
      </c>
      <c r="K1816" t="b">
        <f>TrafficData[[#This Row],[disposedChallan]]+TrafficData[[#This Row],[pendingChallan]]=TrafficData[[#This Row],[totalChallan]]</f>
        <v>1</v>
      </c>
      <c r="L1816" t="b">
        <f>TrafficData[[#This Row],[pendingAmount]]+TrafficData[[#This Row],[disposedAmount]]=TrafficData[[#This Row],[totalAmount]]</f>
        <v>1</v>
      </c>
      <c r="M1816" t="b">
        <f>TrafficData[[#This Row],[pendingCourt]]+TrafficData[[#This Row],[disposedCourt]]=TrafficData[[#This Row],[totalCourt]]</f>
        <v>1</v>
      </c>
      <c r="N1816" t="b">
        <f>AND(TrafficData[[#This Row],[disposedChallan]]&lt;=TrafficData[[#This Row],[totalChallan]],TrafficData[[#This Row],[pendingChallan]]&lt;=TrafficData[[#This Row],[totalChallan]])</f>
        <v>1</v>
      </c>
      <c r="O1816" t="b">
        <f>AND(TrafficData[[#This Row],[pendingAmount]]&lt;=TrafficData[[#This Row],[totalAmount]],TrafficData[[#This Row],[disposedAmount]]&lt;=TrafficData[[#This Row],[totalAmount]])</f>
        <v>1</v>
      </c>
      <c r="P1816" t="b">
        <f>AND(TrafficData[[#This Row],[pendingCourt]]&lt;=TrafficData[[#This Row],[totalCourt]],TrafficData[[#This Row],[disposedCourt]]&lt;=TrafficData[[#This Row],[totalCourt]])</f>
        <v>1</v>
      </c>
    </row>
    <row r="1817" spans="1:16">
      <c r="A1817" s="1">
        <v>43821</v>
      </c>
      <c r="B1817">
        <v>95760</v>
      </c>
      <c r="C1817">
        <v>32788</v>
      </c>
      <c r="D1817">
        <v>62972</v>
      </c>
      <c r="E1817">
        <v>8884144</v>
      </c>
      <c r="F1817">
        <v>33060598</v>
      </c>
      <c r="G1817">
        <v>41944742</v>
      </c>
      <c r="H1817">
        <v>53251</v>
      </c>
      <c r="I1817">
        <v>7062</v>
      </c>
      <c r="J1817">
        <v>60313</v>
      </c>
      <c r="K1817" t="b">
        <f>TrafficData[[#This Row],[disposedChallan]]+TrafficData[[#This Row],[pendingChallan]]=TrafficData[[#This Row],[totalChallan]]</f>
        <v>1</v>
      </c>
      <c r="L1817" t="b">
        <f>TrafficData[[#This Row],[pendingAmount]]+TrafficData[[#This Row],[disposedAmount]]=TrafficData[[#This Row],[totalAmount]]</f>
        <v>1</v>
      </c>
      <c r="M1817" t="b">
        <f>TrafficData[[#This Row],[pendingCourt]]+TrafficData[[#This Row],[disposedCourt]]=TrafficData[[#This Row],[totalCourt]]</f>
        <v>1</v>
      </c>
      <c r="N1817" t="b">
        <f>AND(TrafficData[[#This Row],[disposedChallan]]&lt;=TrafficData[[#This Row],[totalChallan]],TrafficData[[#This Row],[pendingChallan]]&lt;=TrafficData[[#This Row],[totalChallan]])</f>
        <v>1</v>
      </c>
      <c r="O1817" t="b">
        <f>AND(TrafficData[[#This Row],[pendingAmount]]&lt;=TrafficData[[#This Row],[totalAmount]],TrafficData[[#This Row],[disposedAmount]]&lt;=TrafficData[[#This Row],[totalAmount]])</f>
        <v>1</v>
      </c>
      <c r="P1817" t="b">
        <f>AND(TrafficData[[#This Row],[pendingCourt]]&lt;=TrafficData[[#This Row],[totalCourt]],TrafficData[[#This Row],[disposedCourt]]&lt;=TrafficData[[#This Row],[totalCourt]])</f>
        <v>1</v>
      </c>
    </row>
    <row r="1818" spans="1:16">
      <c r="A1818" s="1">
        <v>43822</v>
      </c>
      <c r="B1818">
        <v>103875</v>
      </c>
      <c r="C1818">
        <v>41495</v>
      </c>
      <c r="D1818">
        <v>62380</v>
      </c>
      <c r="E1818">
        <v>14899985</v>
      </c>
      <c r="F1818">
        <v>50776661</v>
      </c>
      <c r="G1818">
        <v>65676646</v>
      </c>
      <c r="H1818">
        <v>51707</v>
      </c>
      <c r="I1818">
        <v>10029</v>
      </c>
      <c r="J1818">
        <v>61736</v>
      </c>
      <c r="K1818" t="b">
        <f>TrafficData[[#This Row],[disposedChallan]]+TrafficData[[#This Row],[pendingChallan]]=TrafficData[[#This Row],[totalChallan]]</f>
        <v>1</v>
      </c>
      <c r="L1818" t="b">
        <f>TrafficData[[#This Row],[pendingAmount]]+TrafficData[[#This Row],[disposedAmount]]=TrafficData[[#This Row],[totalAmount]]</f>
        <v>1</v>
      </c>
      <c r="M1818" t="b">
        <f>TrafficData[[#This Row],[pendingCourt]]+TrafficData[[#This Row],[disposedCourt]]=TrafficData[[#This Row],[totalCourt]]</f>
        <v>1</v>
      </c>
      <c r="N1818" t="b">
        <f>AND(TrafficData[[#This Row],[disposedChallan]]&lt;=TrafficData[[#This Row],[totalChallan]],TrafficData[[#This Row],[pendingChallan]]&lt;=TrafficData[[#This Row],[totalChallan]])</f>
        <v>1</v>
      </c>
      <c r="O1818" t="b">
        <f>AND(TrafficData[[#This Row],[pendingAmount]]&lt;=TrafficData[[#This Row],[totalAmount]],TrafficData[[#This Row],[disposedAmount]]&lt;=TrafficData[[#This Row],[totalAmount]])</f>
        <v>1</v>
      </c>
      <c r="P1818" t="b">
        <f>AND(TrafficData[[#This Row],[pendingCourt]]&lt;=TrafficData[[#This Row],[totalCourt]],TrafficData[[#This Row],[disposedCourt]]&lt;=TrafficData[[#This Row],[totalCourt]])</f>
        <v>1</v>
      </c>
    </row>
    <row r="1819" spans="1:16">
      <c r="A1819" s="1">
        <v>43823</v>
      </c>
      <c r="B1819">
        <v>106629</v>
      </c>
      <c r="C1819">
        <v>40478</v>
      </c>
      <c r="D1819">
        <v>66151</v>
      </c>
      <c r="E1819">
        <v>17036592</v>
      </c>
      <c r="F1819">
        <v>54393301</v>
      </c>
      <c r="G1819">
        <v>71429893</v>
      </c>
      <c r="H1819">
        <v>56320</v>
      </c>
      <c r="I1819">
        <v>9877</v>
      </c>
      <c r="J1819">
        <v>66197</v>
      </c>
      <c r="K1819" t="b">
        <f>TrafficData[[#This Row],[disposedChallan]]+TrafficData[[#This Row],[pendingChallan]]=TrafficData[[#This Row],[totalChallan]]</f>
        <v>1</v>
      </c>
      <c r="L1819" t="b">
        <f>TrafficData[[#This Row],[pendingAmount]]+TrafficData[[#This Row],[disposedAmount]]=TrafficData[[#This Row],[totalAmount]]</f>
        <v>1</v>
      </c>
      <c r="M1819" t="b">
        <f>TrafficData[[#This Row],[pendingCourt]]+TrafficData[[#This Row],[disposedCourt]]=TrafficData[[#This Row],[totalCourt]]</f>
        <v>1</v>
      </c>
      <c r="N1819" t="b">
        <f>AND(TrafficData[[#This Row],[disposedChallan]]&lt;=TrafficData[[#This Row],[totalChallan]],TrafficData[[#This Row],[pendingChallan]]&lt;=TrafficData[[#This Row],[totalChallan]])</f>
        <v>1</v>
      </c>
      <c r="O1819" t="b">
        <f>AND(TrafficData[[#This Row],[pendingAmount]]&lt;=TrafficData[[#This Row],[totalAmount]],TrafficData[[#This Row],[disposedAmount]]&lt;=TrafficData[[#This Row],[totalAmount]])</f>
        <v>1</v>
      </c>
      <c r="P1819" t="b">
        <f>AND(TrafficData[[#This Row],[pendingCourt]]&lt;=TrafficData[[#This Row],[totalCourt]],TrafficData[[#This Row],[disposedCourt]]&lt;=TrafficData[[#This Row],[totalCourt]])</f>
        <v>1</v>
      </c>
    </row>
    <row r="1820" spans="1:16">
      <c r="A1820" s="1">
        <v>43824</v>
      </c>
      <c r="B1820">
        <v>98905</v>
      </c>
      <c r="C1820">
        <v>34319</v>
      </c>
      <c r="D1820">
        <v>64586</v>
      </c>
      <c r="E1820">
        <v>13346277</v>
      </c>
      <c r="F1820">
        <v>44165969</v>
      </c>
      <c r="G1820">
        <v>57512246</v>
      </c>
      <c r="H1820">
        <v>57831</v>
      </c>
      <c r="I1820">
        <v>8306</v>
      </c>
      <c r="J1820">
        <v>66137</v>
      </c>
      <c r="K1820" t="b">
        <f>TrafficData[[#This Row],[disposedChallan]]+TrafficData[[#This Row],[pendingChallan]]=TrafficData[[#This Row],[totalChallan]]</f>
        <v>1</v>
      </c>
      <c r="L1820" t="b">
        <f>TrafficData[[#This Row],[pendingAmount]]+TrafficData[[#This Row],[disposedAmount]]=TrafficData[[#This Row],[totalAmount]]</f>
        <v>1</v>
      </c>
      <c r="M1820" t="b">
        <f>TrafficData[[#This Row],[pendingCourt]]+TrafficData[[#This Row],[disposedCourt]]=TrafficData[[#This Row],[totalCourt]]</f>
        <v>1</v>
      </c>
      <c r="N1820" t="b">
        <f>AND(TrafficData[[#This Row],[disposedChallan]]&lt;=TrafficData[[#This Row],[totalChallan]],TrafficData[[#This Row],[pendingChallan]]&lt;=TrafficData[[#This Row],[totalChallan]])</f>
        <v>1</v>
      </c>
      <c r="O1820" t="b">
        <f>AND(TrafficData[[#This Row],[pendingAmount]]&lt;=TrafficData[[#This Row],[totalAmount]],TrafficData[[#This Row],[disposedAmount]]&lt;=TrafficData[[#This Row],[totalAmount]])</f>
        <v>1</v>
      </c>
      <c r="P1820" t="b">
        <f>AND(TrafficData[[#This Row],[pendingCourt]]&lt;=TrafficData[[#This Row],[totalCourt]],TrafficData[[#This Row],[disposedCourt]]&lt;=TrafficData[[#This Row],[totalCourt]])</f>
        <v>1</v>
      </c>
    </row>
    <row r="1821" spans="1:16">
      <c r="A1821" s="1">
        <v>43825</v>
      </c>
      <c r="B1821">
        <v>91994</v>
      </c>
      <c r="C1821">
        <v>33962</v>
      </c>
      <c r="D1821">
        <v>58032</v>
      </c>
      <c r="E1821">
        <v>12957480</v>
      </c>
      <c r="F1821">
        <v>47522127</v>
      </c>
      <c r="G1821">
        <v>60479607</v>
      </c>
      <c r="H1821">
        <v>52008</v>
      </c>
      <c r="I1821">
        <v>8849</v>
      </c>
      <c r="J1821">
        <v>60857</v>
      </c>
      <c r="K1821" t="b">
        <f>TrafficData[[#This Row],[disposedChallan]]+TrafficData[[#This Row],[pendingChallan]]=TrafficData[[#This Row],[totalChallan]]</f>
        <v>1</v>
      </c>
      <c r="L1821" t="b">
        <f>TrafficData[[#This Row],[pendingAmount]]+TrafficData[[#This Row],[disposedAmount]]=TrafficData[[#This Row],[totalAmount]]</f>
        <v>1</v>
      </c>
      <c r="M1821" t="b">
        <f>TrafficData[[#This Row],[pendingCourt]]+TrafficData[[#This Row],[disposedCourt]]=TrafficData[[#This Row],[totalCourt]]</f>
        <v>1</v>
      </c>
      <c r="N1821" t="b">
        <f>AND(TrafficData[[#This Row],[disposedChallan]]&lt;=TrafficData[[#This Row],[totalChallan]],TrafficData[[#This Row],[pendingChallan]]&lt;=TrafficData[[#This Row],[totalChallan]])</f>
        <v>1</v>
      </c>
      <c r="O1821" t="b">
        <f>AND(TrafficData[[#This Row],[pendingAmount]]&lt;=TrafficData[[#This Row],[totalAmount]],TrafficData[[#This Row],[disposedAmount]]&lt;=TrafficData[[#This Row],[totalAmount]])</f>
        <v>1</v>
      </c>
      <c r="P1821" t="b">
        <f>AND(TrafficData[[#This Row],[pendingCourt]]&lt;=TrafficData[[#This Row],[totalCourt]],TrafficData[[#This Row],[disposedCourt]]&lt;=TrafficData[[#This Row],[totalCourt]])</f>
        <v>1</v>
      </c>
    </row>
    <row r="1822" spans="1:16">
      <c r="A1822" s="1">
        <v>43826</v>
      </c>
      <c r="B1822">
        <v>93563</v>
      </c>
      <c r="C1822">
        <v>32960</v>
      </c>
      <c r="D1822">
        <v>60603</v>
      </c>
      <c r="E1822">
        <v>12012516</v>
      </c>
      <c r="F1822">
        <v>49948867</v>
      </c>
      <c r="G1822">
        <v>61961383</v>
      </c>
      <c r="H1822">
        <v>54531</v>
      </c>
      <c r="I1822">
        <v>7675</v>
      </c>
      <c r="J1822">
        <v>62206</v>
      </c>
      <c r="K1822" t="b">
        <f>TrafficData[[#This Row],[disposedChallan]]+TrafficData[[#This Row],[pendingChallan]]=TrafficData[[#This Row],[totalChallan]]</f>
        <v>1</v>
      </c>
      <c r="L1822" t="b">
        <f>TrafficData[[#This Row],[pendingAmount]]+TrafficData[[#This Row],[disposedAmount]]=TrafficData[[#This Row],[totalAmount]]</f>
        <v>1</v>
      </c>
      <c r="M1822" t="b">
        <f>TrafficData[[#This Row],[pendingCourt]]+TrafficData[[#This Row],[disposedCourt]]=TrafficData[[#This Row],[totalCourt]]</f>
        <v>1</v>
      </c>
      <c r="N1822" t="b">
        <f>AND(TrafficData[[#This Row],[disposedChallan]]&lt;=TrafficData[[#This Row],[totalChallan]],TrafficData[[#This Row],[pendingChallan]]&lt;=TrafficData[[#This Row],[totalChallan]])</f>
        <v>1</v>
      </c>
      <c r="O1822" t="b">
        <f>AND(TrafficData[[#This Row],[pendingAmount]]&lt;=TrafficData[[#This Row],[totalAmount]],TrafficData[[#This Row],[disposedAmount]]&lt;=TrafficData[[#This Row],[totalAmount]])</f>
        <v>1</v>
      </c>
      <c r="P1822" t="b">
        <f>AND(TrafficData[[#This Row],[pendingCourt]]&lt;=TrafficData[[#This Row],[totalCourt]],TrafficData[[#This Row],[disposedCourt]]&lt;=TrafficData[[#This Row],[totalCourt]])</f>
        <v>1</v>
      </c>
    </row>
    <row r="1823" spans="1:16">
      <c r="A1823" s="1">
        <v>43827</v>
      </c>
      <c r="B1823">
        <v>94077</v>
      </c>
      <c r="C1823">
        <v>32875</v>
      </c>
      <c r="D1823">
        <v>61202</v>
      </c>
      <c r="E1823">
        <v>14375602</v>
      </c>
      <c r="F1823">
        <v>48630822</v>
      </c>
      <c r="G1823">
        <v>63006424</v>
      </c>
      <c r="H1823">
        <v>55080</v>
      </c>
      <c r="I1823">
        <v>7948</v>
      </c>
      <c r="J1823">
        <v>63028</v>
      </c>
      <c r="K1823" t="b">
        <f>TrafficData[[#This Row],[disposedChallan]]+TrafficData[[#This Row],[pendingChallan]]=TrafficData[[#This Row],[totalChallan]]</f>
        <v>1</v>
      </c>
      <c r="L1823" t="b">
        <f>TrafficData[[#This Row],[pendingAmount]]+TrafficData[[#This Row],[disposedAmount]]=TrafficData[[#This Row],[totalAmount]]</f>
        <v>1</v>
      </c>
      <c r="M1823" t="b">
        <f>TrafficData[[#This Row],[pendingCourt]]+TrafficData[[#This Row],[disposedCourt]]=TrafficData[[#This Row],[totalCourt]]</f>
        <v>1</v>
      </c>
      <c r="N1823" t="b">
        <f>AND(TrafficData[[#This Row],[disposedChallan]]&lt;=TrafficData[[#This Row],[totalChallan]],TrafficData[[#This Row],[pendingChallan]]&lt;=TrafficData[[#This Row],[totalChallan]])</f>
        <v>1</v>
      </c>
      <c r="O1823" t="b">
        <f>AND(TrafficData[[#This Row],[pendingAmount]]&lt;=TrafficData[[#This Row],[totalAmount]],TrafficData[[#This Row],[disposedAmount]]&lt;=TrafficData[[#This Row],[totalAmount]])</f>
        <v>1</v>
      </c>
      <c r="P1823" t="b">
        <f>AND(TrafficData[[#This Row],[pendingCourt]]&lt;=TrafficData[[#This Row],[totalCourt]],TrafficData[[#This Row],[disposedCourt]]&lt;=TrafficData[[#This Row],[totalCourt]])</f>
        <v>1</v>
      </c>
    </row>
    <row r="1824" spans="1:16">
      <c r="A1824" s="1">
        <v>43828</v>
      </c>
      <c r="B1824">
        <v>74871</v>
      </c>
      <c r="C1824">
        <v>27454</v>
      </c>
      <c r="D1824">
        <v>47417</v>
      </c>
      <c r="E1824">
        <v>8883435</v>
      </c>
      <c r="F1824">
        <v>31665024</v>
      </c>
      <c r="G1824">
        <v>40548459</v>
      </c>
      <c r="H1824">
        <v>42660</v>
      </c>
      <c r="I1824">
        <v>7946</v>
      </c>
      <c r="J1824">
        <v>50606</v>
      </c>
      <c r="K1824" t="b">
        <f>TrafficData[[#This Row],[disposedChallan]]+TrafficData[[#This Row],[pendingChallan]]=TrafficData[[#This Row],[totalChallan]]</f>
        <v>1</v>
      </c>
      <c r="L1824" t="b">
        <f>TrafficData[[#This Row],[pendingAmount]]+TrafficData[[#This Row],[disposedAmount]]=TrafficData[[#This Row],[totalAmount]]</f>
        <v>1</v>
      </c>
      <c r="M1824" t="b">
        <f>TrafficData[[#This Row],[pendingCourt]]+TrafficData[[#This Row],[disposedCourt]]=TrafficData[[#This Row],[totalCourt]]</f>
        <v>1</v>
      </c>
      <c r="N1824" t="b">
        <f>AND(TrafficData[[#This Row],[disposedChallan]]&lt;=TrafficData[[#This Row],[totalChallan]],TrafficData[[#This Row],[pendingChallan]]&lt;=TrafficData[[#This Row],[totalChallan]])</f>
        <v>1</v>
      </c>
      <c r="O1824" t="b">
        <f>AND(TrafficData[[#This Row],[pendingAmount]]&lt;=TrafficData[[#This Row],[totalAmount]],TrafficData[[#This Row],[disposedAmount]]&lt;=TrafficData[[#This Row],[totalAmount]])</f>
        <v>1</v>
      </c>
      <c r="P1824" t="b">
        <f>AND(TrafficData[[#This Row],[pendingCourt]]&lt;=TrafficData[[#This Row],[totalCourt]],TrafficData[[#This Row],[disposedCourt]]&lt;=TrafficData[[#This Row],[totalCourt]])</f>
        <v>1</v>
      </c>
    </row>
    <row r="1825" spans="1:16">
      <c r="A1825" s="1">
        <v>43829</v>
      </c>
      <c r="B1825">
        <v>73888</v>
      </c>
      <c r="C1825">
        <v>30800</v>
      </c>
      <c r="D1825">
        <v>43088</v>
      </c>
      <c r="E1825">
        <v>9564740</v>
      </c>
      <c r="F1825">
        <v>38576102</v>
      </c>
      <c r="G1825">
        <v>48140842</v>
      </c>
      <c r="H1825">
        <v>37926</v>
      </c>
      <c r="I1825">
        <v>7939</v>
      </c>
      <c r="J1825">
        <v>45865</v>
      </c>
      <c r="K1825" t="b">
        <f>TrafficData[[#This Row],[disposedChallan]]+TrafficData[[#This Row],[pendingChallan]]=TrafficData[[#This Row],[totalChallan]]</f>
        <v>1</v>
      </c>
      <c r="L1825" t="b">
        <f>TrafficData[[#This Row],[pendingAmount]]+TrafficData[[#This Row],[disposedAmount]]=TrafficData[[#This Row],[totalAmount]]</f>
        <v>1</v>
      </c>
      <c r="M1825" t="b">
        <f>TrafficData[[#This Row],[pendingCourt]]+TrafficData[[#This Row],[disposedCourt]]=TrafficData[[#This Row],[totalCourt]]</f>
        <v>1</v>
      </c>
      <c r="N1825" t="b">
        <f>AND(TrafficData[[#This Row],[disposedChallan]]&lt;=TrafficData[[#This Row],[totalChallan]],TrafficData[[#This Row],[pendingChallan]]&lt;=TrafficData[[#This Row],[totalChallan]])</f>
        <v>1</v>
      </c>
      <c r="O1825" t="b">
        <f>AND(TrafficData[[#This Row],[pendingAmount]]&lt;=TrafficData[[#This Row],[totalAmount]],TrafficData[[#This Row],[disposedAmount]]&lt;=TrafficData[[#This Row],[totalAmount]])</f>
        <v>1</v>
      </c>
      <c r="P1825" t="b">
        <f>AND(TrafficData[[#This Row],[pendingCourt]]&lt;=TrafficData[[#This Row],[totalCourt]],TrafficData[[#This Row],[disposedCourt]]&lt;=TrafficData[[#This Row],[totalCourt]])</f>
        <v>1</v>
      </c>
    </row>
    <row r="1826" spans="1:16">
      <c r="A1826" s="1">
        <v>43830</v>
      </c>
      <c r="B1826">
        <v>80884</v>
      </c>
      <c r="C1826">
        <v>30996</v>
      </c>
      <c r="D1826">
        <v>49888</v>
      </c>
      <c r="E1826">
        <v>11576705</v>
      </c>
      <c r="F1826">
        <v>38143259</v>
      </c>
      <c r="G1826">
        <v>49719964</v>
      </c>
      <c r="H1826">
        <v>44142</v>
      </c>
      <c r="I1826">
        <v>7939</v>
      </c>
      <c r="J1826">
        <v>52081</v>
      </c>
      <c r="K1826" t="b">
        <f>TrafficData[[#This Row],[disposedChallan]]+TrafficData[[#This Row],[pendingChallan]]=TrafficData[[#This Row],[totalChallan]]</f>
        <v>1</v>
      </c>
      <c r="L1826" t="b">
        <f>TrafficData[[#This Row],[pendingAmount]]+TrafficData[[#This Row],[disposedAmount]]=TrafficData[[#This Row],[totalAmount]]</f>
        <v>1</v>
      </c>
      <c r="M1826" t="b">
        <f>TrafficData[[#This Row],[pendingCourt]]+TrafficData[[#This Row],[disposedCourt]]=TrafficData[[#This Row],[totalCourt]]</f>
        <v>1</v>
      </c>
      <c r="N1826" t="b">
        <f>AND(TrafficData[[#This Row],[disposedChallan]]&lt;=TrafficData[[#This Row],[totalChallan]],TrafficData[[#This Row],[pendingChallan]]&lt;=TrafficData[[#This Row],[totalChallan]])</f>
        <v>1</v>
      </c>
      <c r="O1826" t="b">
        <f>AND(TrafficData[[#This Row],[pendingAmount]]&lt;=TrafficData[[#This Row],[totalAmount]],TrafficData[[#This Row],[disposedAmount]]&lt;=TrafficData[[#This Row],[totalAmount]])</f>
        <v>1</v>
      </c>
      <c r="P1826" t="b">
        <f>AND(TrafficData[[#This Row],[pendingCourt]]&lt;=TrafficData[[#This Row],[totalCourt]],TrafficData[[#This Row],[disposedCourt]]&lt;=TrafficData[[#This Row],[totalCourt]])</f>
        <v>1</v>
      </c>
    </row>
    <row r="1827" spans="1:16">
      <c r="A1827" s="1">
        <v>43831</v>
      </c>
      <c r="B1827">
        <v>62373</v>
      </c>
      <c r="C1827">
        <v>19772</v>
      </c>
      <c r="D1827">
        <v>42601</v>
      </c>
      <c r="E1827">
        <v>9311310</v>
      </c>
      <c r="F1827">
        <v>27250967</v>
      </c>
      <c r="G1827">
        <v>36562277</v>
      </c>
      <c r="H1827">
        <v>40277</v>
      </c>
      <c r="I1827">
        <v>7000</v>
      </c>
      <c r="J1827">
        <v>47277</v>
      </c>
      <c r="K1827" t="b">
        <f>TrafficData[[#This Row],[disposedChallan]]+TrafficData[[#This Row],[pendingChallan]]=TrafficData[[#This Row],[totalChallan]]</f>
        <v>1</v>
      </c>
      <c r="L1827" t="b">
        <f>TrafficData[[#This Row],[pendingAmount]]+TrafficData[[#This Row],[disposedAmount]]=TrafficData[[#This Row],[totalAmount]]</f>
        <v>1</v>
      </c>
      <c r="M1827" t="b">
        <f>TrafficData[[#This Row],[pendingCourt]]+TrafficData[[#This Row],[disposedCourt]]=TrafficData[[#This Row],[totalCourt]]</f>
        <v>1</v>
      </c>
      <c r="N1827" t="b">
        <f>AND(TrafficData[[#This Row],[disposedChallan]]&lt;=TrafficData[[#This Row],[totalChallan]],TrafficData[[#This Row],[pendingChallan]]&lt;=TrafficData[[#This Row],[totalChallan]])</f>
        <v>1</v>
      </c>
      <c r="O1827" t="b">
        <f>AND(TrafficData[[#This Row],[pendingAmount]]&lt;=TrafficData[[#This Row],[totalAmount]],TrafficData[[#This Row],[disposedAmount]]&lt;=TrafficData[[#This Row],[totalAmount]])</f>
        <v>1</v>
      </c>
      <c r="P1827" t="b">
        <f>AND(TrafficData[[#This Row],[pendingCourt]]&lt;=TrafficData[[#This Row],[totalCourt]],TrafficData[[#This Row],[disposedCourt]]&lt;=TrafficData[[#This Row],[totalCourt]])</f>
        <v>1</v>
      </c>
    </row>
    <row r="1828" spans="1:16">
      <c r="A1828" s="1">
        <v>43832</v>
      </c>
      <c r="B1828">
        <v>95174</v>
      </c>
      <c r="C1828">
        <v>39497</v>
      </c>
      <c r="D1828">
        <v>55677</v>
      </c>
      <c r="E1828">
        <v>15241332</v>
      </c>
      <c r="F1828">
        <v>40006391</v>
      </c>
      <c r="G1828">
        <v>55247723</v>
      </c>
      <c r="H1828">
        <v>48978</v>
      </c>
      <c r="I1828">
        <v>10464</v>
      </c>
      <c r="J1828">
        <v>59442</v>
      </c>
      <c r="K1828" t="b">
        <f>TrafficData[[#This Row],[disposedChallan]]+TrafficData[[#This Row],[pendingChallan]]=TrafficData[[#This Row],[totalChallan]]</f>
        <v>1</v>
      </c>
      <c r="L1828" t="b">
        <f>TrafficData[[#This Row],[pendingAmount]]+TrafficData[[#This Row],[disposedAmount]]=TrafficData[[#This Row],[totalAmount]]</f>
        <v>1</v>
      </c>
      <c r="M1828" t="b">
        <f>TrafficData[[#This Row],[pendingCourt]]+TrafficData[[#This Row],[disposedCourt]]=TrafficData[[#This Row],[totalCourt]]</f>
        <v>1</v>
      </c>
      <c r="N1828" t="b">
        <f>AND(TrafficData[[#This Row],[disposedChallan]]&lt;=TrafficData[[#This Row],[totalChallan]],TrafficData[[#This Row],[pendingChallan]]&lt;=TrafficData[[#This Row],[totalChallan]])</f>
        <v>1</v>
      </c>
      <c r="O1828" t="b">
        <f>AND(TrafficData[[#This Row],[pendingAmount]]&lt;=TrafficData[[#This Row],[totalAmount]],TrafficData[[#This Row],[disposedAmount]]&lt;=TrafficData[[#This Row],[totalAmount]])</f>
        <v>1</v>
      </c>
      <c r="P1828" t="b">
        <f>AND(TrafficData[[#This Row],[pendingCourt]]&lt;=TrafficData[[#This Row],[totalCourt]],TrafficData[[#This Row],[disposedCourt]]&lt;=TrafficData[[#This Row],[totalCourt]])</f>
        <v>1</v>
      </c>
    </row>
    <row r="1829" spans="1:16">
      <c r="A1829" s="1">
        <v>43833</v>
      </c>
      <c r="B1829">
        <v>106365</v>
      </c>
      <c r="C1829">
        <v>41590</v>
      </c>
      <c r="D1829">
        <v>64775</v>
      </c>
      <c r="E1829">
        <v>17199010</v>
      </c>
      <c r="F1829">
        <v>49333653</v>
      </c>
      <c r="G1829">
        <v>66532663</v>
      </c>
      <c r="H1829">
        <v>56986</v>
      </c>
      <c r="I1829">
        <v>10921</v>
      </c>
      <c r="J1829">
        <v>67907</v>
      </c>
      <c r="K1829" t="b">
        <f>TrafficData[[#This Row],[disposedChallan]]+TrafficData[[#This Row],[pendingChallan]]=TrafficData[[#This Row],[totalChallan]]</f>
        <v>1</v>
      </c>
      <c r="L1829" t="b">
        <f>TrafficData[[#This Row],[pendingAmount]]+TrafficData[[#This Row],[disposedAmount]]=TrafficData[[#This Row],[totalAmount]]</f>
        <v>1</v>
      </c>
      <c r="M1829" t="b">
        <f>TrafficData[[#This Row],[pendingCourt]]+TrafficData[[#This Row],[disposedCourt]]=TrafficData[[#This Row],[totalCourt]]</f>
        <v>1</v>
      </c>
      <c r="N1829" t="b">
        <f>AND(TrafficData[[#This Row],[disposedChallan]]&lt;=TrafficData[[#This Row],[totalChallan]],TrafficData[[#This Row],[pendingChallan]]&lt;=TrafficData[[#This Row],[totalChallan]])</f>
        <v>1</v>
      </c>
      <c r="O1829" t="b">
        <f>AND(TrafficData[[#This Row],[pendingAmount]]&lt;=TrafficData[[#This Row],[totalAmount]],TrafficData[[#This Row],[disposedAmount]]&lt;=TrafficData[[#This Row],[totalAmount]])</f>
        <v>1</v>
      </c>
      <c r="P1829" t="b">
        <f>AND(TrafficData[[#This Row],[pendingCourt]]&lt;=TrafficData[[#This Row],[totalCourt]],TrafficData[[#This Row],[disposedCourt]]&lt;=TrafficData[[#This Row],[totalCourt]])</f>
        <v>1</v>
      </c>
    </row>
    <row r="1830" spans="1:16">
      <c r="A1830" s="1">
        <v>43834</v>
      </c>
      <c r="B1830">
        <v>102706</v>
      </c>
      <c r="C1830">
        <v>44796</v>
      </c>
      <c r="D1830">
        <v>57910</v>
      </c>
      <c r="E1830">
        <v>17485004</v>
      </c>
      <c r="F1830">
        <v>49748601</v>
      </c>
      <c r="G1830">
        <v>67233605</v>
      </c>
      <c r="H1830">
        <v>47532</v>
      </c>
      <c r="I1830">
        <v>10252</v>
      </c>
      <c r="J1830">
        <v>57784</v>
      </c>
      <c r="K1830" t="b">
        <f>TrafficData[[#This Row],[disposedChallan]]+TrafficData[[#This Row],[pendingChallan]]=TrafficData[[#This Row],[totalChallan]]</f>
        <v>1</v>
      </c>
      <c r="L1830" t="b">
        <f>TrafficData[[#This Row],[pendingAmount]]+TrafficData[[#This Row],[disposedAmount]]=TrafficData[[#This Row],[totalAmount]]</f>
        <v>1</v>
      </c>
      <c r="M1830" t="b">
        <f>TrafficData[[#This Row],[pendingCourt]]+TrafficData[[#This Row],[disposedCourt]]=TrafficData[[#This Row],[totalCourt]]</f>
        <v>1</v>
      </c>
      <c r="N1830" t="b">
        <f>AND(TrafficData[[#This Row],[disposedChallan]]&lt;=TrafficData[[#This Row],[totalChallan]],TrafficData[[#This Row],[pendingChallan]]&lt;=TrafficData[[#This Row],[totalChallan]])</f>
        <v>1</v>
      </c>
      <c r="O1830" t="b">
        <f>AND(TrafficData[[#This Row],[pendingAmount]]&lt;=TrafficData[[#This Row],[totalAmount]],TrafficData[[#This Row],[disposedAmount]]&lt;=TrafficData[[#This Row],[totalAmount]])</f>
        <v>1</v>
      </c>
      <c r="P1830" t="b">
        <f>AND(TrafficData[[#This Row],[pendingCourt]]&lt;=TrafficData[[#This Row],[totalCourt]],TrafficData[[#This Row],[disposedCourt]]&lt;=TrafficData[[#This Row],[totalCourt]])</f>
        <v>1</v>
      </c>
    </row>
    <row r="1831" spans="1:16">
      <c r="A1831" s="1">
        <v>43835</v>
      </c>
      <c r="B1831">
        <v>101030</v>
      </c>
      <c r="C1831">
        <v>36907</v>
      </c>
      <c r="D1831">
        <v>64123</v>
      </c>
      <c r="E1831">
        <v>11687372</v>
      </c>
      <c r="F1831">
        <v>38821745</v>
      </c>
      <c r="G1831">
        <v>50509117</v>
      </c>
      <c r="H1831">
        <v>54732</v>
      </c>
      <c r="I1831">
        <v>9115</v>
      </c>
      <c r="J1831">
        <v>63847</v>
      </c>
      <c r="K1831" t="b">
        <f>TrafficData[[#This Row],[disposedChallan]]+TrafficData[[#This Row],[pendingChallan]]=TrafficData[[#This Row],[totalChallan]]</f>
        <v>1</v>
      </c>
      <c r="L1831" t="b">
        <f>TrafficData[[#This Row],[pendingAmount]]+TrafficData[[#This Row],[disposedAmount]]=TrafficData[[#This Row],[totalAmount]]</f>
        <v>1</v>
      </c>
      <c r="M1831" t="b">
        <f>TrafficData[[#This Row],[pendingCourt]]+TrafficData[[#This Row],[disposedCourt]]=TrafficData[[#This Row],[totalCourt]]</f>
        <v>1</v>
      </c>
      <c r="N1831" t="b">
        <f>AND(TrafficData[[#This Row],[disposedChallan]]&lt;=TrafficData[[#This Row],[totalChallan]],TrafficData[[#This Row],[pendingChallan]]&lt;=TrafficData[[#This Row],[totalChallan]])</f>
        <v>1</v>
      </c>
      <c r="O1831" t="b">
        <f>AND(TrafficData[[#This Row],[pendingAmount]]&lt;=TrafficData[[#This Row],[totalAmount]],TrafficData[[#This Row],[disposedAmount]]&lt;=TrafficData[[#This Row],[totalAmount]])</f>
        <v>1</v>
      </c>
      <c r="P1831" t="b">
        <f>AND(TrafficData[[#This Row],[pendingCourt]]&lt;=TrafficData[[#This Row],[totalCourt]],TrafficData[[#This Row],[disposedCourt]]&lt;=TrafficData[[#This Row],[totalCourt]])</f>
        <v>1</v>
      </c>
    </row>
    <row r="1832" spans="1:16">
      <c r="A1832" s="1">
        <v>43836</v>
      </c>
      <c r="B1832">
        <v>109716</v>
      </c>
      <c r="C1832">
        <v>41515</v>
      </c>
      <c r="D1832">
        <v>68201</v>
      </c>
      <c r="E1832">
        <v>14988394</v>
      </c>
      <c r="F1832">
        <v>46639476</v>
      </c>
      <c r="G1832">
        <v>61627870</v>
      </c>
      <c r="H1832">
        <v>58189</v>
      </c>
      <c r="I1832">
        <v>10490</v>
      </c>
      <c r="J1832">
        <v>68679</v>
      </c>
      <c r="K1832" t="b">
        <f>TrafficData[[#This Row],[disposedChallan]]+TrafficData[[#This Row],[pendingChallan]]=TrafficData[[#This Row],[totalChallan]]</f>
        <v>1</v>
      </c>
      <c r="L1832" t="b">
        <f>TrafficData[[#This Row],[pendingAmount]]+TrafficData[[#This Row],[disposedAmount]]=TrafficData[[#This Row],[totalAmount]]</f>
        <v>1</v>
      </c>
      <c r="M1832" t="b">
        <f>TrafficData[[#This Row],[pendingCourt]]+TrafficData[[#This Row],[disposedCourt]]=TrafficData[[#This Row],[totalCourt]]</f>
        <v>1</v>
      </c>
      <c r="N1832" t="b">
        <f>AND(TrafficData[[#This Row],[disposedChallan]]&lt;=TrafficData[[#This Row],[totalChallan]],TrafficData[[#This Row],[pendingChallan]]&lt;=TrafficData[[#This Row],[totalChallan]])</f>
        <v>1</v>
      </c>
      <c r="O1832" t="b">
        <f>AND(TrafficData[[#This Row],[pendingAmount]]&lt;=TrafficData[[#This Row],[totalAmount]],TrafficData[[#This Row],[disposedAmount]]&lt;=TrafficData[[#This Row],[totalAmount]])</f>
        <v>1</v>
      </c>
      <c r="P1832" t="b">
        <f>AND(TrafficData[[#This Row],[pendingCourt]]&lt;=TrafficData[[#This Row],[totalCourt]],TrafficData[[#This Row],[disposedCourt]]&lt;=TrafficData[[#This Row],[totalCourt]])</f>
        <v>1</v>
      </c>
    </row>
    <row r="1833" spans="1:16">
      <c r="A1833" s="1">
        <v>43837</v>
      </c>
      <c r="B1833">
        <v>121703</v>
      </c>
      <c r="C1833">
        <v>47717</v>
      </c>
      <c r="D1833">
        <v>73986</v>
      </c>
      <c r="E1833">
        <v>21193168</v>
      </c>
      <c r="F1833">
        <v>55109653</v>
      </c>
      <c r="G1833">
        <v>76302821</v>
      </c>
      <c r="H1833">
        <v>61015</v>
      </c>
      <c r="I1833">
        <v>11603</v>
      </c>
      <c r="J1833">
        <v>72618</v>
      </c>
      <c r="K1833" t="b">
        <f>TrafficData[[#This Row],[disposedChallan]]+TrafficData[[#This Row],[pendingChallan]]=TrafficData[[#This Row],[totalChallan]]</f>
        <v>1</v>
      </c>
      <c r="L1833" t="b">
        <f>TrafficData[[#This Row],[pendingAmount]]+TrafficData[[#This Row],[disposedAmount]]=TrafficData[[#This Row],[totalAmount]]</f>
        <v>1</v>
      </c>
      <c r="M1833" t="b">
        <f>TrafficData[[#This Row],[pendingCourt]]+TrafficData[[#This Row],[disposedCourt]]=TrafficData[[#This Row],[totalCourt]]</f>
        <v>1</v>
      </c>
      <c r="N1833" t="b">
        <f>AND(TrafficData[[#This Row],[disposedChallan]]&lt;=TrafficData[[#This Row],[totalChallan]],TrafficData[[#This Row],[pendingChallan]]&lt;=TrafficData[[#This Row],[totalChallan]])</f>
        <v>1</v>
      </c>
      <c r="O1833" t="b">
        <f>AND(TrafficData[[#This Row],[pendingAmount]]&lt;=TrafficData[[#This Row],[totalAmount]],TrafficData[[#This Row],[disposedAmount]]&lt;=TrafficData[[#This Row],[totalAmount]])</f>
        <v>1</v>
      </c>
      <c r="P1833" t="b">
        <f>AND(TrafficData[[#This Row],[pendingCourt]]&lt;=TrafficData[[#This Row],[totalCourt]],TrafficData[[#This Row],[disposedCourt]]&lt;=TrafficData[[#This Row],[totalCourt]])</f>
        <v>1</v>
      </c>
    </row>
    <row r="1834" spans="1:16">
      <c r="A1834" s="1">
        <v>43838</v>
      </c>
      <c r="B1834">
        <v>92969</v>
      </c>
      <c r="C1834">
        <v>37998</v>
      </c>
      <c r="D1834">
        <v>54971</v>
      </c>
      <c r="E1834">
        <v>15826648</v>
      </c>
      <c r="F1834">
        <v>47923682</v>
      </c>
      <c r="G1834">
        <v>63750330</v>
      </c>
      <c r="H1834">
        <v>44358</v>
      </c>
      <c r="I1834">
        <v>8844</v>
      </c>
      <c r="J1834">
        <v>53202</v>
      </c>
      <c r="K1834" t="b">
        <f>TrafficData[[#This Row],[disposedChallan]]+TrafficData[[#This Row],[pendingChallan]]=TrafficData[[#This Row],[totalChallan]]</f>
        <v>1</v>
      </c>
      <c r="L1834" t="b">
        <f>TrafficData[[#This Row],[pendingAmount]]+TrafficData[[#This Row],[disposedAmount]]=TrafficData[[#This Row],[totalAmount]]</f>
        <v>1</v>
      </c>
      <c r="M1834" t="b">
        <f>TrafficData[[#This Row],[pendingCourt]]+TrafficData[[#This Row],[disposedCourt]]=TrafficData[[#This Row],[totalCourt]]</f>
        <v>1</v>
      </c>
      <c r="N1834" t="b">
        <f>AND(TrafficData[[#This Row],[disposedChallan]]&lt;=TrafficData[[#This Row],[totalChallan]],TrafficData[[#This Row],[pendingChallan]]&lt;=TrafficData[[#This Row],[totalChallan]])</f>
        <v>1</v>
      </c>
      <c r="O1834" t="b">
        <f>AND(TrafficData[[#This Row],[pendingAmount]]&lt;=TrafficData[[#This Row],[totalAmount]],TrafficData[[#This Row],[disposedAmount]]&lt;=TrafficData[[#This Row],[totalAmount]])</f>
        <v>1</v>
      </c>
      <c r="P1834" t="b">
        <f>AND(TrafficData[[#This Row],[pendingCourt]]&lt;=TrafficData[[#This Row],[totalCourt]],TrafficData[[#This Row],[disposedCourt]]&lt;=TrafficData[[#This Row],[totalCourt]])</f>
        <v>1</v>
      </c>
    </row>
    <row r="1835" spans="1:16">
      <c r="A1835" s="1">
        <v>43839</v>
      </c>
      <c r="B1835">
        <v>107883</v>
      </c>
      <c r="C1835">
        <v>45808</v>
      </c>
      <c r="D1835">
        <v>62075</v>
      </c>
      <c r="E1835">
        <v>16832970</v>
      </c>
      <c r="F1835">
        <v>51630202</v>
      </c>
      <c r="G1835">
        <v>68463172</v>
      </c>
      <c r="H1835">
        <v>50820</v>
      </c>
      <c r="I1835">
        <v>11246</v>
      </c>
      <c r="J1835">
        <v>62066</v>
      </c>
      <c r="K1835" t="b">
        <f>TrafficData[[#This Row],[disposedChallan]]+TrafficData[[#This Row],[pendingChallan]]=TrafficData[[#This Row],[totalChallan]]</f>
        <v>1</v>
      </c>
      <c r="L1835" t="b">
        <f>TrafficData[[#This Row],[pendingAmount]]+TrafficData[[#This Row],[disposedAmount]]=TrafficData[[#This Row],[totalAmount]]</f>
        <v>1</v>
      </c>
      <c r="M1835" t="b">
        <f>TrafficData[[#This Row],[pendingCourt]]+TrafficData[[#This Row],[disposedCourt]]=TrafficData[[#This Row],[totalCourt]]</f>
        <v>1</v>
      </c>
      <c r="N1835" t="b">
        <f>AND(TrafficData[[#This Row],[disposedChallan]]&lt;=TrafficData[[#This Row],[totalChallan]],TrafficData[[#This Row],[pendingChallan]]&lt;=TrafficData[[#This Row],[totalChallan]])</f>
        <v>1</v>
      </c>
      <c r="O1835" t="b">
        <f>AND(TrafficData[[#This Row],[pendingAmount]]&lt;=TrafficData[[#This Row],[totalAmount]],TrafficData[[#This Row],[disposedAmount]]&lt;=TrafficData[[#This Row],[totalAmount]])</f>
        <v>1</v>
      </c>
      <c r="P1835" t="b">
        <f>AND(TrafficData[[#This Row],[pendingCourt]]&lt;=TrafficData[[#This Row],[totalCourt]],TrafficData[[#This Row],[disposedCourt]]&lt;=TrafficData[[#This Row],[totalCourt]])</f>
        <v>1</v>
      </c>
    </row>
    <row r="1836" spans="1:16">
      <c r="A1836" s="1">
        <v>43840</v>
      </c>
      <c r="B1836">
        <v>109136</v>
      </c>
      <c r="C1836">
        <v>42862</v>
      </c>
      <c r="D1836">
        <v>66274</v>
      </c>
      <c r="E1836">
        <v>15506005</v>
      </c>
      <c r="F1836">
        <v>51650140</v>
      </c>
      <c r="G1836">
        <v>67156145</v>
      </c>
      <c r="H1836">
        <v>56568</v>
      </c>
      <c r="I1836">
        <v>11109</v>
      </c>
      <c r="J1836">
        <v>67677</v>
      </c>
      <c r="K1836" t="b">
        <f>TrafficData[[#This Row],[disposedChallan]]+TrafficData[[#This Row],[pendingChallan]]=TrafficData[[#This Row],[totalChallan]]</f>
        <v>1</v>
      </c>
      <c r="L1836" t="b">
        <f>TrafficData[[#This Row],[pendingAmount]]+TrafficData[[#This Row],[disposedAmount]]=TrafficData[[#This Row],[totalAmount]]</f>
        <v>1</v>
      </c>
      <c r="M1836" t="b">
        <f>TrafficData[[#This Row],[pendingCourt]]+TrafficData[[#This Row],[disposedCourt]]=TrafficData[[#This Row],[totalCourt]]</f>
        <v>1</v>
      </c>
      <c r="N1836" t="b">
        <f>AND(TrafficData[[#This Row],[disposedChallan]]&lt;=TrafficData[[#This Row],[totalChallan]],TrafficData[[#This Row],[pendingChallan]]&lt;=TrafficData[[#This Row],[totalChallan]])</f>
        <v>1</v>
      </c>
      <c r="O1836" t="b">
        <f>AND(TrafficData[[#This Row],[pendingAmount]]&lt;=TrafficData[[#This Row],[totalAmount]],TrafficData[[#This Row],[disposedAmount]]&lt;=TrafficData[[#This Row],[totalAmount]])</f>
        <v>1</v>
      </c>
      <c r="P1836" t="b">
        <f>AND(TrafficData[[#This Row],[pendingCourt]]&lt;=TrafficData[[#This Row],[totalCourt]],TrafficData[[#This Row],[disposedCourt]]&lt;=TrafficData[[#This Row],[totalCourt]])</f>
        <v>1</v>
      </c>
    </row>
    <row r="1837" spans="1:16">
      <c r="A1837" s="1">
        <v>43841</v>
      </c>
      <c r="B1837">
        <v>97526</v>
      </c>
      <c r="C1837">
        <v>39559</v>
      </c>
      <c r="D1837">
        <v>57967</v>
      </c>
      <c r="E1837">
        <v>13259800</v>
      </c>
      <c r="F1837">
        <v>41448084</v>
      </c>
      <c r="G1837">
        <v>54707884</v>
      </c>
      <c r="H1837">
        <v>50571</v>
      </c>
      <c r="I1837">
        <v>10835</v>
      </c>
      <c r="J1837">
        <v>61406</v>
      </c>
      <c r="K1837" t="b">
        <f>TrafficData[[#This Row],[disposedChallan]]+TrafficData[[#This Row],[pendingChallan]]=TrafficData[[#This Row],[totalChallan]]</f>
        <v>1</v>
      </c>
      <c r="L1837" t="b">
        <f>TrafficData[[#This Row],[pendingAmount]]+TrafficData[[#This Row],[disposedAmount]]=TrafficData[[#This Row],[totalAmount]]</f>
        <v>1</v>
      </c>
      <c r="M1837" t="b">
        <f>TrafficData[[#This Row],[pendingCourt]]+TrafficData[[#This Row],[disposedCourt]]=TrafficData[[#This Row],[totalCourt]]</f>
        <v>1</v>
      </c>
      <c r="N1837" t="b">
        <f>AND(TrafficData[[#This Row],[disposedChallan]]&lt;=TrafficData[[#This Row],[totalChallan]],TrafficData[[#This Row],[pendingChallan]]&lt;=TrafficData[[#This Row],[totalChallan]])</f>
        <v>1</v>
      </c>
      <c r="O1837" t="b">
        <f>AND(TrafficData[[#This Row],[pendingAmount]]&lt;=TrafficData[[#This Row],[totalAmount]],TrafficData[[#This Row],[disposedAmount]]&lt;=TrafficData[[#This Row],[totalAmount]])</f>
        <v>1</v>
      </c>
      <c r="P1837" t="b">
        <f>AND(TrafficData[[#This Row],[pendingCourt]]&lt;=TrafficData[[#This Row],[totalCourt]],TrafficData[[#This Row],[disposedCourt]]&lt;=TrafficData[[#This Row],[totalCourt]])</f>
        <v>1</v>
      </c>
    </row>
    <row r="1838" spans="1:16">
      <c r="A1838" s="1">
        <v>43842</v>
      </c>
      <c r="B1838">
        <v>84909</v>
      </c>
      <c r="C1838">
        <v>35694</v>
      </c>
      <c r="D1838">
        <v>49215</v>
      </c>
      <c r="E1838">
        <v>12416490</v>
      </c>
      <c r="F1838">
        <v>39903045</v>
      </c>
      <c r="G1838">
        <v>52319535</v>
      </c>
      <c r="H1838">
        <v>40909</v>
      </c>
      <c r="I1838">
        <v>9198</v>
      </c>
      <c r="J1838">
        <v>50107</v>
      </c>
      <c r="K1838" t="b">
        <f>TrafficData[[#This Row],[disposedChallan]]+TrafficData[[#This Row],[pendingChallan]]=TrafficData[[#This Row],[totalChallan]]</f>
        <v>1</v>
      </c>
      <c r="L1838" t="b">
        <f>TrafficData[[#This Row],[pendingAmount]]+TrafficData[[#This Row],[disposedAmount]]=TrafficData[[#This Row],[totalAmount]]</f>
        <v>1</v>
      </c>
      <c r="M1838" t="b">
        <f>TrafficData[[#This Row],[pendingCourt]]+TrafficData[[#This Row],[disposedCourt]]=TrafficData[[#This Row],[totalCourt]]</f>
        <v>1</v>
      </c>
      <c r="N1838" t="b">
        <f>AND(TrafficData[[#This Row],[disposedChallan]]&lt;=TrafficData[[#This Row],[totalChallan]],TrafficData[[#This Row],[pendingChallan]]&lt;=TrafficData[[#This Row],[totalChallan]])</f>
        <v>1</v>
      </c>
      <c r="O1838" t="b">
        <f>AND(TrafficData[[#This Row],[pendingAmount]]&lt;=TrafficData[[#This Row],[totalAmount]],TrafficData[[#This Row],[disposedAmount]]&lt;=TrafficData[[#This Row],[totalAmount]])</f>
        <v>1</v>
      </c>
      <c r="P1838" t="b">
        <f>AND(TrafficData[[#This Row],[pendingCourt]]&lt;=TrafficData[[#This Row],[totalCourt]],TrafficData[[#This Row],[disposedCourt]]&lt;=TrafficData[[#This Row],[totalCourt]])</f>
        <v>1</v>
      </c>
    </row>
    <row r="1839" spans="1:16">
      <c r="A1839" s="1">
        <v>43843</v>
      </c>
      <c r="B1839">
        <v>98706</v>
      </c>
      <c r="C1839">
        <v>45678</v>
      </c>
      <c r="D1839">
        <v>53028</v>
      </c>
      <c r="E1839">
        <v>16090963</v>
      </c>
      <c r="F1839">
        <v>46871263</v>
      </c>
      <c r="G1839">
        <v>62962226</v>
      </c>
      <c r="H1839">
        <v>40394</v>
      </c>
      <c r="I1839">
        <v>11017</v>
      </c>
      <c r="J1839">
        <v>51411</v>
      </c>
      <c r="K1839" t="b">
        <f>TrafficData[[#This Row],[disposedChallan]]+TrafficData[[#This Row],[pendingChallan]]=TrafficData[[#This Row],[totalChallan]]</f>
        <v>1</v>
      </c>
      <c r="L1839" t="b">
        <f>TrafficData[[#This Row],[pendingAmount]]+TrafficData[[#This Row],[disposedAmount]]=TrafficData[[#This Row],[totalAmount]]</f>
        <v>1</v>
      </c>
      <c r="M1839" t="b">
        <f>TrafficData[[#This Row],[pendingCourt]]+TrafficData[[#This Row],[disposedCourt]]=TrafficData[[#This Row],[totalCourt]]</f>
        <v>1</v>
      </c>
      <c r="N1839" t="b">
        <f>AND(TrafficData[[#This Row],[disposedChallan]]&lt;=TrafficData[[#This Row],[totalChallan]],TrafficData[[#This Row],[pendingChallan]]&lt;=TrafficData[[#This Row],[totalChallan]])</f>
        <v>1</v>
      </c>
      <c r="O1839" t="b">
        <f>AND(TrafficData[[#This Row],[pendingAmount]]&lt;=TrafficData[[#This Row],[totalAmount]],TrafficData[[#This Row],[disposedAmount]]&lt;=TrafficData[[#This Row],[totalAmount]])</f>
        <v>1</v>
      </c>
      <c r="P1839" t="b">
        <f>AND(TrafficData[[#This Row],[pendingCourt]]&lt;=TrafficData[[#This Row],[totalCourt]],TrafficData[[#This Row],[disposedCourt]]&lt;=TrafficData[[#This Row],[totalCourt]])</f>
        <v>1</v>
      </c>
    </row>
    <row r="1840" spans="1:16">
      <c r="A1840" s="1">
        <v>43844</v>
      </c>
      <c r="B1840">
        <v>119145</v>
      </c>
      <c r="C1840">
        <v>46820</v>
      </c>
      <c r="D1840">
        <v>72325</v>
      </c>
      <c r="E1840">
        <v>16260960</v>
      </c>
      <c r="F1840">
        <v>53408189</v>
      </c>
      <c r="G1840">
        <v>69669149</v>
      </c>
      <c r="H1840">
        <v>59090</v>
      </c>
      <c r="I1840">
        <v>12262</v>
      </c>
      <c r="J1840">
        <v>71352</v>
      </c>
      <c r="K1840" t="b">
        <f>TrafficData[[#This Row],[disposedChallan]]+TrafficData[[#This Row],[pendingChallan]]=TrafficData[[#This Row],[totalChallan]]</f>
        <v>1</v>
      </c>
      <c r="L1840" t="b">
        <f>TrafficData[[#This Row],[pendingAmount]]+TrafficData[[#This Row],[disposedAmount]]=TrafficData[[#This Row],[totalAmount]]</f>
        <v>1</v>
      </c>
      <c r="M1840" t="b">
        <f>TrafficData[[#This Row],[pendingCourt]]+TrafficData[[#This Row],[disposedCourt]]=TrafficData[[#This Row],[totalCourt]]</f>
        <v>1</v>
      </c>
      <c r="N1840" t="b">
        <f>AND(TrafficData[[#This Row],[disposedChallan]]&lt;=TrafficData[[#This Row],[totalChallan]],TrafficData[[#This Row],[pendingChallan]]&lt;=TrafficData[[#This Row],[totalChallan]])</f>
        <v>1</v>
      </c>
      <c r="O1840" t="b">
        <f>AND(TrafficData[[#This Row],[pendingAmount]]&lt;=TrafficData[[#This Row],[totalAmount]],TrafficData[[#This Row],[disposedAmount]]&lt;=TrafficData[[#This Row],[totalAmount]])</f>
        <v>1</v>
      </c>
      <c r="P1840" t="b">
        <f>AND(TrafficData[[#This Row],[pendingCourt]]&lt;=TrafficData[[#This Row],[totalCourt]],TrafficData[[#This Row],[disposedCourt]]&lt;=TrafficData[[#This Row],[totalCourt]])</f>
        <v>1</v>
      </c>
    </row>
    <row r="1841" spans="1:16">
      <c r="A1841" s="1">
        <v>43845</v>
      </c>
      <c r="B1841">
        <v>108952</v>
      </c>
      <c r="C1841">
        <v>34116</v>
      </c>
      <c r="D1841">
        <v>74836</v>
      </c>
      <c r="E1841">
        <v>14245209</v>
      </c>
      <c r="F1841">
        <v>48191812</v>
      </c>
      <c r="G1841">
        <v>62437021</v>
      </c>
      <c r="H1841">
        <v>67734</v>
      </c>
      <c r="I1841">
        <v>11445</v>
      </c>
      <c r="J1841">
        <v>79179</v>
      </c>
      <c r="K1841" t="b">
        <f>TrafficData[[#This Row],[disposedChallan]]+TrafficData[[#This Row],[pendingChallan]]=TrafficData[[#This Row],[totalChallan]]</f>
        <v>1</v>
      </c>
      <c r="L1841" t="b">
        <f>TrafficData[[#This Row],[pendingAmount]]+TrafficData[[#This Row],[disposedAmount]]=TrafficData[[#This Row],[totalAmount]]</f>
        <v>1</v>
      </c>
      <c r="M1841" t="b">
        <f>TrafficData[[#This Row],[pendingCourt]]+TrafficData[[#This Row],[disposedCourt]]=TrafficData[[#This Row],[totalCourt]]</f>
        <v>1</v>
      </c>
      <c r="N1841" t="b">
        <f>AND(TrafficData[[#This Row],[disposedChallan]]&lt;=TrafficData[[#This Row],[totalChallan]],TrafficData[[#This Row],[pendingChallan]]&lt;=TrafficData[[#This Row],[totalChallan]])</f>
        <v>1</v>
      </c>
      <c r="O1841" t="b">
        <f>AND(TrafficData[[#This Row],[pendingAmount]]&lt;=TrafficData[[#This Row],[totalAmount]],TrafficData[[#This Row],[disposedAmount]]&lt;=TrafficData[[#This Row],[totalAmount]])</f>
        <v>1</v>
      </c>
      <c r="P1841" t="b">
        <f>AND(TrafficData[[#This Row],[pendingCourt]]&lt;=TrafficData[[#This Row],[totalCourt]],TrafficData[[#This Row],[disposedCourt]]&lt;=TrafficData[[#This Row],[totalCourt]])</f>
        <v>1</v>
      </c>
    </row>
    <row r="1842" spans="1:16">
      <c r="A1842" s="1">
        <v>43846</v>
      </c>
      <c r="B1842">
        <v>92249</v>
      </c>
      <c r="C1842">
        <v>34708</v>
      </c>
      <c r="D1842">
        <v>57541</v>
      </c>
      <c r="E1842">
        <v>13162725</v>
      </c>
      <c r="F1842">
        <v>45711734</v>
      </c>
      <c r="G1842">
        <v>58874459</v>
      </c>
      <c r="H1842">
        <v>49429</v>
      </c>
      <c r="I1842">
        <v>10308</v>
      </c>
      <c r="J1842">
        <v>59737</v>
      </c>
      <c r="K1842" t="b">
        <f>TrafficData[[#This Row],[disposedChallan]]+TrafficData[[#This Row],[pendingChallan]]=TrafficData[[#This Row],[totalChallan]]</f>
        <v>1</v>
      </c>
      <c r="L1842" t="b">
        <f>TrafficData[[#This Row],[pendingAmount]]+TrafficData[[#This Row],[disposedAmount]]=TrafficData[[#This Row],[totalAmount]]</f>
        <v>1</v>
      </c>
      <c r="M1842" t="b">
        <f>TrafficData[[#This Row],[pendingCourt]]+TrafficData[[#This Row],[disposedCourt]]=TrafficData[[#This Row],[totalCourt]]</f>
        <v>1</v>
      </c>
      <c r="N1842" t="b">
        <f>AND(TrafficData[[#This Row],[disposedChallan]]&lt;=TrafficData[[#This Row],[totalChallan]],TrafficData[[#This Row],[pendingChallan]]&lt;=TrafficData[[#This Row],[totalChallan]])</f>
        <v>1</v>
      </c>
      <c r="O1842" t="b">
        <f>AND(TrafficData[[#This Row],[pendingAmount]]&lt;=TrafficData[[#This Row],[totalAmount]],TrafficData[[#This Row],[disposedAmount]]&lt;=TrafficData[[#This Row],[totalAmount]])</f>
        <v>1</v>
      </c>
      <c r="P1842" t="b">
        <f>AND(TrafficData[[#This Row],[pendingCourt]]&lt;=TrafficData[[#This Row],[totalCourt]],TrafficData[[#This Row],[disposedCourt]]&lt;=TrafficData[[#This Row],[totalCourt]])</f>
        <v>1</v>
      </c>
    </row>
    <row r="1843" spans="1:16">
      <c r="A1843" s="1">
        <v>43847</v>
      </c>
      <c r="B1843">
        <v>92202</v>
      </c>
      <c r="C1843">
        <v>38461</v>
      </c>
      <c r="D1843">
        <v>53741</v>
      </c>
      <c r="E1843">
        <v>13876294</v>
      </c>
      <c r="F1843">
        <v>45664738</v>
      </c>
      <c r="G1843">
        <v>59541032</v>
      </c>
      <c r="H1843">
        <v>43659</v>
      </c>
      <c r="I1843">
        <v>10868</v>
      </c>
      <c r="J1843">
        <v>54527</v>
      </c>
      <c r="K1843" t="b">
        <f>TrafficData[[#This Row],[disposedChallan]]+TrafficData[[#This Row],[pendingChallan]]=TrafficData[[#This Row],[totalChallan]]</f>
        <v>1</v>
      </c>
      <c r="L1843" t="b">
        <f>TrafficData[[#This Row],[pendingAmount]]+TrafficData[[#This Row],[disposedAmount]]=TrafficData[[#This Row],[totalAmount]]</f>
        <v>1</v>
      </c>
      <c r="M1843" t="b">
        <f>TrafficData[[#This Row],[pendingCourt]]+TrafficData[[#This Row],[disposedCourt]]=TrafficData[[#This Row],[totalCourt]]</f>
        <v>1</v>
      </c>
      <c r="N1843" t="b">
        <f>AND(TrafficData[[#This Row],[disposedChallan]]&lt;=TrafficData[[#This Row],[totalChallan]],TrafficData[[#This Row],[pendingChallan]]&lt;=TrafficData[[#This Row],[totalChallan]])</f>
        <v>1</v>
      </c>
      <c r="O1843" t="b">
        <f>AND(TrafficData[[#This Row],[pendingAmount]]&lt;=TrafficData[[#This Row],[totalAmount]],TrafficData[[#This Row],[disposedAmount]]&lt;=TrafficData[[#This Row],[totalAmount]])</f>
        <v>1</v>
      </c>
      <c r="P1843" t="b">
        <f>AND(TrafficData[[#This Row],[pendingCourt]]&lt;=TrafficData[[#This Row],[totalCourt]],TrafficData[[#This Row],[disposedCourt]]&lt;=TrafficData[[#This Row],[totalCourt]])</f>
        <v>1</v>
      </c>
    </row>
    <row r="1844" spans="1:16">
      <c r="A1844" s="1">
        <v>43848</v>
      </c>
      <c r="B1844">
        <v>108209</v>
      </c>
      <c r="C1844">
        <v>44843</v>
      </c>
      <c r="D1844">
        <v>63366</v>
      </c>
      <c r="E1844">
        <v>18925491</v>
      </c>
      <c r="F1844">
        <v>50122460</v>
      </c>
      <c r="G1844">
        <v>69047951</v>
      </c>
      <c r="H1844">
        <v>51535</v>
      </c>
      <c r="I1844">
        <v>9965</v>
      </c>
      <c r="J1844">
        <v>61500</v>
      </c>
      <c r="K1844" t="b">
        <f>TrafficData[[#This Row],[disposedChallan]]+TrafficData[[#This Row],[pendingChallan]]=TrafficData[[#This Row],[totalChallan]]</f>
        <v>1</v>
      </c>
      <c r="L1844" t="b">
        <f>TrafficData[[#This Row],[pendingAmount]]+TrafficData[[#This Row],[disposedAmount]]=TrafficData[[#This Row],[totalAmount]]</f>
        <v>1</v>
      </c>
      <c r="M1844" t="b">
        <f>TrafficData[[#This Row],[pendingCourt]]+TrafficData[[#This Row],[disposedCourt]]=TrafficData[[#This Row],[totalCourt]]</f>
        <v>1</v>
      </c>
      <c r="N1844" t="b">
        <f>AND(TrafficData[[#This Row],[disposedChallan]]&lt;=TrafficData[[#This Row],[totalChallan]],TrafficData[[#This Row],[pendingChallan]]&lt;=TrafficData[[#This Row],[totalChallan]])</f>
        <v>1</v>
      </c>
      <c r="O1844" t="b">
        <f>AND(TrafficData[[#This Row],[pendingAmount]]&lt;=TrafficData[[#This Row],[totalAmount]],TrafficData[[#This Row],[disposedAmount]]&lt;=TrafficData[[#This Row],[totalAmount]])</f>
        <v>1</v>
      </c>
      <c r="P1844" t="b">
        <f>AND(TrafficData[[#This Row],[pendingCourt]]&lt;=TrafficData[[#This Row],[totalCourt]],TrafficData[[#This Row],[disposedCourt]]&lt;=TrafficData[[#This Row],[totalCourt]])</f>
        <v>1</v>
      </c>
    </row>
    <row r="1845" spans="1:16">
      <c r="A1845" s="1">
        <v>43849</v>
      </c>
      <c r="B1845">
        <v>97095</v>
      </c>
      <c r="C1845">
        <v>38647</v>
      </c>
      <c r="D1845">
        <v>58448</v>
      </c>
      <c r="E1845">
        <v>11906331</v>
      </c>
      <c r="F1845">
        <v>38466716</v>
      </c>
      <c r="G1845">
        <v>50373047</v>
      </c>
      <c r="H1845">
        <v>47546</v>
      </c>
      <c r="I1845">
        <v>9388</v>
      </c>
      <c r="J1845">
        <v>56934</v>
      </c>
      <c r="K1845" t="b">
        <f>TrafficData[[#This Row],[disposedChallan]]+TrafficData[[#This Row],[pendingChallan]]=TrafficData[[#This Row],[totalChallan]]</f>
        <v>1</v>
      </c>
      <c r="L1845" t="b">
        <f>TrafficData[[#This Row],[pendingAmount]]+TrafficData[[#This Row],[disposedAmount]]=TrafficData[[#This Row],[totalAmount]]</f>
        <v>1</v>
      </c>
      <c r="M1845" t="b">
        <f>TrafficData[[#This Row],[pendingCourt]]+TrafficData[[#This Row],[disposedCourt]]=TrafficData[[#This Row],[totalCourt]]</f>
        <v>1</v>
      </c>
      <c r="N1845" t="b">
        <f>AND(TrafficData[[#This Row],[disposedChallan]]&lt;=TrafficData[[#This Row],[totalChallan]],TrafficData[[#This Row],[pendingChallan]]&lt;=TrafficData[[#This Row],[totalChallan]])</f>
        <v>1</v>
      </c>
      <c r="O1845" t="b">
        <f>AND(TrafficData[[#This Row],[pendingAmount]]&lt;=TrafficData[[#This Row],[totalAmount]],TrafficData[[#This Row],[disposedAmount]]&lt;=TrafficData[[#This Row],[totalAmount]])</f>
        <v>1</v>
      </c>
      <c r="P1845" t="b">
        <f>AND(TrafficData[[#This Row],[pendingCourt]]&lt;=TrafficData[[#This Row],[totalCourt]],TrafficData[[#This Row],[disposedCourt]]&lt;=TrafficData[[#This Row],[totalCourt]])</f>
        <v>1</v>
      </c>
    </row>
    <row r="1846" spans="1:16">
      <c r="A1846" s="1">
        <v>43850</v>
      </c>
      <c r="B1846">
        <v>105669</v>
      </c>
      <c r="C1846">
        <v>44607</v>
      </c>
      <c r="D1846">
        <v>61062</v>
      </c>
      <c r="E1846">
        <v>16046092</v>
      </c>
      <c r="F1846">
        <v>49669293</v>
      </c>
      <c r="G1846">
        <v>65715385</v>
      </c>
      <c r="H1846">
        <v>49210</v>
      </c>
      <c r="I1846">
        <v>9052</v>
      </c>
      <c r="J1846">
        <v>58262</v>
      </c>
      <c r="K1846" t="b">
        <f>TrafficData[[#This Row],[disposedChallan]]+TrafficData[[#This Row],[pendingChallan]]=TrafficData[[#This Row],[totalChallan]]</f>
        <v>1</v>
      </c>
      <c r="L1846" t="b">
        <f>TrafficData[[#This Row],[pendingAmount]]+TrafficData[[#This Row],[disposedAmount]]=TrafficData[[#This Row],[totalAmount]]</f>
        <v>1</v>
      </c>
      <c r="M1846" t="b">
        <f>TrafficData[[#This Row],[pendingCourt]]+TrafficData[[#This Row],[disposedCourt]]=TrafficData[[#This Row],[totalCourt]]</f>
        <v>1</v>
      </c>
      <c r="N1846" t="b">
        <f>AND(TrafficData[[#This Row],[disposedChallan]]&lt;=TrafficData[[#This Row],[totalChallan]],TrafficData[[#This Row],[pendingChallan]]&lt;=TrafficData[[#This Row],[totalChallan]])</f>
        <v>1</v>
      </c>
      <c r="O1846" t="b">
        <f>AND(TrafficData[[#This Row],[pendingAmount]]&lt;=TrafficData[[#This Row],[totalAmount]],TrafficData[[#This Row],[disposedAmount]]&lt;=TrafficData[[#This Row],[totalAmount]])</f>
        <v>1</v>
      </c>
      <c r="P1846" t="b">
        <f>AND(TrafficData[[#This Row],[pendingCourt]]&lt;=TrafficData[[#This Row],[totalCourt]],TrafficData[[#This Row],[disposedCourt]]&lt;=TrafficData[[#This Row],[totalCourt]])</f>
        <v>1</v>
      </c>
    </row>
    <row r="1847" spans="1:16">
      <c r="A1847" s="1">
        <v>43851</v>
      </c>
      <c r="B1847">
        <v>96906</v>
      </c>
      <c r="C1847">
        <v>48489</v>
      </c>
      <c r="D1847">
        <v>48417</v>
      </c>
      <c r="E1847">
        <v>20522682</v>
      </c>
      <c r="F1847">
        <v>56670384</v>
      </c>
      <c r="G1847">
        <v>77193066</v>
      </c>
      <c r="H1847">
        <v>34445</v>
      </c>
      <c r="I1847">
        <v>10089</v>
      </c>
      <c r="J1847">
        <v>44534</v>
      </c>
      <c r="K1847" t="b">
        <f>TrafficData[[#This Row],[disposedChallan]]+TrafficData[[#This Row],[pendingChallan]]=TrafficData[[#This Row],[totalChallan]]</f>
        <v>1</v>
      </c>
      <c r="L1847" t="b">
        <f>TrafficData[[#This Row],[pendingAmount]]+TrafficData[[#This Row],[disposedAmount]]=TrafficData[[#This Row],[totalAmount]]</f>
        <v>1</v>
      </c>
      <c r="M1847" t="b">
        <f>TrafficData[[#This Row],[pendingCourt]]+TrafficData[[#This Row],[disposedCourt]]=TrafficData[[#This Row],[totalCourt]]</f>
        <v>1</v>
      </c>
      <c r="N1847" t="b">
        <f>AND(TrafficData[[#This Row],[disposedChallan]]&lt;=TrafficData[[#This Row],[totalChallan]],TrafficData[[#This Row],[pendingChallan]]&lt;=TrafficData[[#This Row],[totalChallan]])</f>
        <v>1</v>
      </c>
      <c r="O1847" t="b">
        <f>AND(TrafficData[[#This Row],[pendingAmount]]&lt;=TrafficData[[#This Row],[totalAmount]],TrafficData[[#This Row],[disposedAmount]]&lt;=TrafficData[[#This Row],[totalAmount]])</f>
        <v>1</v>
      </c>
      <c r="P1847" t="b">
        <f>AND(TrafficData[[#This Row],[pendingCourt]]&lt;=TrafficData[[#This Row],[totalCourt]],TrafficData[[#This Row],[disposedCourt]]&lt;=TrafficData[[#This Row],[totalCourt]])</f>
        <v>1</v>
      </c>
    </row>
    <row r="1848" spans="1:16">
      <c r="A1848" s="1">
        <v>43852</v>
      </c>
      <c r="B1848">
        <v>94759</v>
      </c>
      <c r="C1848">
        <v>51543</v>
      </c>
      <c r="D1848">
        <v>43216</v>
      </c>
      <c r="E1848">
        <v>19796617</v>
      </c>
      <c r="F1848">
        <v>58692021</v>
      </c>
      <c r="G1848">
        <v>78488638</v>
      </c>
      <c r="H1848">
        <v>26243</v>
      </c>
      <c r="I1848">
        <v>9433</v>
      </c>
      <c r="J1848">
        <v>35676</v>
      </c>
      <c r="K1848" t="b">
        <f>TrafficData[[#This Row],[disposedChallan]]+TrafficData[[#This Row],[pendingChallan]]=TrafficData[[#This Row],[totalChallan]]</f>
        <v>1</v>
      </c>
      <c r="L1848" t="b">
        <f>TrafficData[[#This Row],[pendingAmount]]+TrafficData[[#This Row],[disposedAmount]]=TrafficData[[#This Row],[totalAmount]]</f>
        <v>1</v>
      </c>
      <c r="M1848" t="b">
        <f>TrafficData[[#This Row],[pendingCourt]]+TrafficData[[#This Row],[disposedCourt]]=TrafficData[[#This Row],[totalCourt]]</f>
        <v>1</v>
      </c>
      <c r="N1848" t="b">
        <f>AND(TrafficData[[#This Row],[disposedChallan]]&lt;=TrafficData[[#This Row],[totalChallan]],TrafficData[[#This Row],[pendingChallan]]&lt;=TrafficData[[#This Row],[totalChallan]])</f>
        <v>1</v>
      </c>
      <c r="O1848" t="b">
        <f>AND(TrafficData[[#This Row],[pendingAmount]]&lt;=TrafficData[[#This Row],[totalAmount]],TrafficData[[#This Row],[disposedAmount]]&lt;=TrafficData[[#This Row],[totalAmount]])</f>
        <v>1</v>
      </c>
      <c r="P1848" t="b">
        <f>AND(TrafficData[[#This Row],[pendingCourt]]&lt;=TrafficData[[#This Row],[totalCourt]],TrafficData[[#This Row],[disposedCourt]]&lt;=TrafficData[[#This Row],[totalCourt]])</f>
        <v>1</v>
      </c>
    </row>
    <row r="1849" spans="1:16">
      <c r="A1849" s="1">
        <v>43853</v>
      </c>
      <c r="B1849">
        <v>87995</v>
      </c>
      <c r="C1849">
        <v>50975</v>
      </c>
      <c r="D1849">
        <v>37020</v>
      </c>
      <c r="E1849">
        <v>19076022</v>
      </c>
      <c r="F1849">
        <v>59264328</v>
      </c>
      <c r="G1849">
        <v>78340350</v>
      </c>
      <c r="H1849">
        <v>19426</v>
      </c>
      <c r="I1849">
        <v>8362</v>
      </c>
      <c r="J1849">
        <v>27788</v>
      </c>
      <c r="K1849" t="b">
        <f>TrafficData[[#This Row],[disposedChallan]]+TrafficData[[#This Row],[pendingChallan]]=TrafficData[[#This Row],[totalChallan]]</f>
        <v>1</v>
      </c>
      <c r="L1849" t="b">
        <f>TrafficData[[#This Row],[pendingAmount]]+TrafficData[[#This Row],[disposedAmount]]=TrafficData[[#This Row],[totalAmount]]</f>
        <v>1</v>
      </c>
      <c r="M1849" t="b">
        <f>TrafficData[[#This Row],[pendingCourt]]+TrafficData[[#This Row],[disposedCourt]]=TrafficData[[#This Row],[totalCourt]]</f>
        <v>1</v>
      </c>
      <c r="N1849" t="b">
        <f>AND(TrafficData[[#This Row],[disposedChallan]]&lt;=TrafficData[[#This Row],[totalChallan]],TrafficData[[#This Row],[pendingChallan]]&lt;=TrafficData[[#This Row],[totalChallan]])</f>
        <v>1</v>
      </c>
      <c r="O1849" t="b">
        <f>AND(TrafficData[[#This Row],[pendingAmount]]&lt;=TrafficData[[#This Row],[totalAmount]],TrafficData[[#This Row],[disposedAmount]]&lt;=TrafficData[[#This Row],[totalAmount]])</f>
        <v>1</v>
      </c>
      <c r="P1849" t="b">
        <f>AND(TrafficData[[#This Row],[pendingCourt]]&lt;=TrafficData[[#This Row],[totalCourt]],TrafficData[[#This Row],[disposedCourt]]&lt;=TrafficData[[#This Row],[totalCourt]])</f>
        <v>1</v>
      </c>
    </row>
    <row r="1850" spans="1:16">
      <c r="A1850" s="1">
        <v>43854</v>
      </c>
      <c r="B1850">
        <v>90257</v>
      </c>
      <c r="C1850">
        <v>51985</v>
      </c>
      <c r="D1850">
        <v>38272</v>
      </c>
      <c r="E1850">
        <v>21517524</v>
      </c>
      <c r="F1850">
        <v>60177090</v>
      </c>
      <c r="G1850">
        <v>81694614</v>
      </c>
      <c r="H1850">
        <v>21509</v>
      </c>
      <c r="I1850">
        <v>10682</v>
      </c>
      <c r="J1850">
        <v>32191</v>
      </c>
      <c r="K1850" t="b">
        <f>TrafficData[[#This Row],[disposedChallan]]+TrafficData[[#This Row],[pendingChallan]]=TrafficData[[#This Row],[totalChallan]]</f>
        <v>1</v>
      </c>
      <c r="L1850" t="b">
        <f>TrafficData[[#This Row],[pendingAmount]]+TrafficData[[#This Row],[disposedAmount]]=TrafficData[[#This Row],[totalAmount]]</f>
        <v>1</v>
      </c>
      <c r="M1850" t="b">
        <f>TrafficData[[#This Row],[pendingCourt]]+TrafficData[[#This Row],[disposedCourt]]=TrafficData[[#This Row],[totalCourt]]</f>
        <v>1</v>
      </c>
      <c r="N1850" t="b">
        <f>AND(TrafficData[[#This Row],[disposedChallan]]&lt;=TrafficData[[#This Row],[totalChallan]],TrafficData[[#This Row],[pendingChallan]]&lt;=TrafficData[[#This Row],[totalChallan]])</f>
        <v>1</v>
      </c>
      <c r="O1850" t="b">
        <f>AND(TrafficData[[#This Row],[pendingAmount]]&lt;=TrafficData[[#This Row],[totalAmount]],TrafficData[[#This Row],[disposedAmount]]&lt;=TrafficData[[#This Row],[totalAmount]])</f>
        <v>1</v>
      </c>
      <c r="P1850" t="b">
        <f>AND(TrafficData[[#This Row],[pendingCourt]]&lt;=TrafficData[[#This Row],[totalCourt]],TrafficData[[#This Row],[disposedCourt]]&lt;=TrafficData[[#This Row],[totalCourt]])</f>
        <v>1</v>
      </c>
    </row>
    <row r="1851" spans="1:16">
      <c r="A1851" s="1">
        <v>43855</v>
      </c>
      <c r="B1851">
        <v>89725</v>
      </c>
      <c r="C1851">
        <v>49876</v>
      </c>
      <c r="D1851">
        <v>39849</v>
      </c>
      <c r="E1851">
        <v>15849123</v>
      </c>
      <c r="F1851">
        <v>50948342</v>
      </c>
      <c r="G1851">
        <v>66797465</v>
      </c>
      <c r="H1851">
        <v>24267</v>
      </c>
      <c r="I1851">
        <v>10613</v>
      </c>
      <c r="J1851">
        <v>34880</v>
      </c>
      <c r="K1851" t="b">
        <f>TrafficData[[#This Row],[disposedChallan]]+TrafficData[[#This Row],[pendingChallan]]=TrafficData[[#This Row],[totalChallan]]</f>
        <v>1</v>
      </c>
      <c r="L1851" t="b">
        <f>TrafficData[[#This Row],[pendingAmount]]+TrafficData[[#This Row],[disposedAmount]]=TrafficData[[#This Row],[totalAmount]]</f>
        <v>1</v>
      </c>
      <c r="M1851" t="b">
        <f>TrafficData[[#This Row],[pendingCourt]]+TrafficData[[#This Row],[disposedCourt]]=TrafficData[[#This Row],[totalCourt]]</f>
        <v>1</v>
      </c>
      <c r="N1851" t="b">
        <f>AND(TrafficData[[#This Row],[disposedChallan]]&lt;=TrafficData[[#This Row],[totalChallan]],TrafficData[[#This Row],[pendingChallan]]&lt;=TrafficData[[#This Row],[totalChallan]])</f>
        <v>1</v>
      </c>
      <c r="O1851" t="b">
        <f>AND(TrafficData[[#This Row],[pendingAmount]]&lt;=TrafficData[[#This Row],[totalAmount]],TrafficData[[#This Row],[disposedAmount]]&lt;=TrafficData[[#This Row],[totalAmount]])</f>
        <v>1</v>
      </c>
      <c r="P1851" t="b">
        <f>AND(TrafficData[[#This Row],[pendingCourt]]&lt;=TrafficData[[#This Row],[totalCourt]],TrafficData[[#This Row],[disposedCourt]]&lt;=TrafficData[[#This Row],[totalCourt]])</f>
        <v>1</v>
      </c>
    </row>
    <row r="1852" spans="1:16">
      <c r="A1852" s="1">
        <v>43856</v>
      </c>
      <c r="B1852">
        <v>96617</v>
      </c>
      <c r="C1852">
        <v>30605</v>
      </c>
      <c r="D1852">
        <v>66012</v>
      </c>
      <c r="E1852">
        <v>8827777</v>
      </c>
      <c r="F1852">
        <v>23402213</v>
      </c>
      <c r="G1852">
        <v>32229990</v>
      </c>
      <c r="H1852">
        <v>50713</v>
      </c>
      <c r="I1852">
        <v>3319</v>
      </c>
      <c r="J1852">
        <v>54032</v>
      </c>
      <c r="K1852" t="b">
        <f>TrafficData[[#This Row],[disposedChallan]]+TrafficData[[#This Row],[pendingChallan]]=TrafficData[[#This Row],[totalChallan]]</f>
        <v>1</v>
      </c>
      <c r="L1852" t="b">
        <f>TrafficData[[#This Row],[pendingAmount]]+TrafficData[[#This Row],[disposedAmount]]=TrafficData[[#This Row],[totalAmount]]</f>
        <v>1</v>
      </c>
      <c r="M1852" t="b">
        <f>TrafficData[[#This Row],[pendingCourt]]+TrafficData[[#This Row],[disposedCourt]]=TrafficData[[#This Row],[totalCourt]]</f>
        <v>1</v>
      </c>
      <c r="N1852" t="b">
        <f>AND(TrafficData[[#This Row],[disposedChallan]]&lt;=TrafficData[[#This Row],[totalChallan]],TrafficData[[#This Row],[pendingChallan]]&lt;=TrafficData[[#This Row],[totalChallan]])</f>
        <v>1</v>
      </c>
      <c r="O1852" t="b">
        <f>AND(TrafficData[[#This Row],[pendingAmount]]&lt;=TrafficData[[#This Row],[totalAmount]],TrafficData[[#This Row],[disposedAmount]]&lt;=TrafficData[[#This Row],[totalAmount]])</f>
        <v>1</v>
      </c>
      <c r="P1852" t="b">
        <f>AND(TrafficData[[#This Row],[pendingCourt]]&lt;=TrafficData[[#This Row],[totalCourt]],TrafficData[[#This Row],[disposedCourt]]&lt;=TrafficData[[#This Row],[totalCourt]])</f>
        <v>1</v>
      </c>
    </row>
    <row r="1853" spans="1:16">
      <c r="A1853" s="1">
        <v>43857</v>
      </c>
      <c r="B1853">
        <v>116877</v>
      </c>
      <c r="C1853">
        <v>51515</v>
      </c>
      <c r="D1853">
        <v>65362</v>
      </c>
      <c r="E1853">
        <v>18100229</v>
      </c>
      <c r="F1853">
        <v>49547145</v>
      </c>
      <c r="G1853">
        <v>67647374</v>
      </c>
      <c r="H1853">
        <v>47803</v>
      </c>
      <c r="I1853">
        <v>11181</v>
      </c>
      <c r="J1853">
        <v>58984</v>
      </c>
      <c r="K1853" t="b">
        <f>TrafficData[[#This Row],[disposedChallan]]+TrafficData[[#This Row],[pendingChallan]]=TrafficData[[#This Row],[totalChallan]]</f>
        <v>1</v>
      </c>
      <c r="L1853" t="b">
        <f>TrafficData[[#This Row],[pendingAmount]]+TrafficData[[#This Row],[disposedAmount]]=TrafficData[[#This Row],[totalAmount]]</f>
        <v>1</v>
      </c>
      <c r="M1853" t="b">
        <f>TrafficData[[#This Row],[pendingCourt]]+TrafficData[[#This Row],[disposedCourt]]=TrafficData[[#This Row],[totalCourt]]</f>
        <v>1</v>
      </c>
      <c r="N1853" t="b">
        <f>AND(TrafficData[[#This Row],[disposedChallan]]&lt;=TrafficData[[#This Row],[totalChallan]],TrafficData[[#This Row],[pendingChallan]]&lt;=TrafficData[[#This Row],[totalChallan]])</f>
        <v>1</v>
      </c>
      <c r="O1853" t="b">
        <f>AND(TrafficData[[#This Row],[pendingAmount]]&lt;=TrafficData[[#This Row],[totalAmount]],TrafficData[[#This Row],[disposedAmount]]&lt;=TrafficData[[#This Row],[totalAmount]])</f>
        <v>1</v>
      </c>
      <c r="P1853" t="b">
        <f>AND(TrafficData[[#This Row],[pendingCourt]]&lt;=TrafficData[[#This Row],[totalCourt]],TrafficData[[#This Row],[disposedCourt]]&lt;=TrafficData[[#This Row],[totalCourt]])</f>
        <v>1</v>
      </c>
    </row>
    <row r="1854" spans="1:16">
      <c r="A1854" s="1">
        <v>43858</v>
      </c>
      <c r="B1854">
        <v>119409</v>
      </c>
      <c r="C1854">
        <v>53113</v>
      </c>
      <c r="D1854">
        <v>66296</v>
      </c>
      <c r="E1854">
        <v>21219204</v>
      </c>
      <c r="F1854">
        <v>55032382</v>
      </c>
      <c r="G1854">
        <v>76251586</v>
      </c>
      <c r="H1854">
        <v>47425</v>
      </c>
      <c r="I1854">
        <v>10354</v>
      </c>
      <c r="J1854">
        <v>57779</v>
      </c>
      <c r="K1854" t="b">
        <f>TrafficData[[#This Row],[disposedChallan]]+TrafficData[[#This Row],[pendingChallan]]=TrafficData[[#This Row],[totalChallan]]</f>
        <v>1</v>
      </c>
      <c r="L1854" t="b">
        <f>TrafficData[[#This Row],[pendingAmount]]+TrafficData[[#This Row],[disposedAmount]]=TrafficData[[#This Row],[totalAmount]]</f>
        <v>1</v>
      </c>
      <c r="M1854" t="b">
        <f>TrafficData[[#This Row],[pendingCourt]]+TrafficData[[#This Row],[disposedCourt]]=TrafficData[[#This Row],[totalCourt]]</f>
        <v>1</v>
      </c>
      <c r="N1854" t="b">
        <f>AND(TrafficData[[#This Row],[disposedChallan]]&lt;=TrafficData[[#This Row],[totalChallan]],TrafficData[[#This Row],[pendingChallan]]&lt;=TrafficData[[#This Row],[totalChallan]])</f>
        <v>1</v>
      </c>
      <c r="O1854" t="b">
        <f>AND(TrafficData[[#This Row],[pendingAmount]]&lt;=TrafficData[[#This Row],[totalAmount]],TrafficData[[#This Row],[disposedAmount]]&lt;=TrafficData[[#This Row],[totalAmount]])</f>
        <v>1</v>
      </c>
      <c r="P1854" t="b">
        <f>AND(TrafficData[[#This Row],[pendingCourt]]&lt;=TrafficData[[#This Row],[totalCourt]],TrafficData[[#This Row],[disposedCourt]]&lt;=TrafficData[[#This Row],[totalCourt]])</f>
        <v>1</v>
      </c>
    </row>
    <row r="1855" spans="1:16">
      <c r="A1855" s="1">
        <v>43859</v>
      </c>
      <c r="B1855">
        <v>132953</v>
      </c>
      <c r="C1855">
        <v>54157</v>
      </c>
      <c r="D1855">
        <v>78796</v>
      </c>
      <c r="E1855">
        <v>18877250</v>
      </c>
      <c r="F1855">
        <v>52780433</v>
      </c>
      <c r="G1855">
        <v>71657683</v>
      </c>
      <c r="H1855">
        <v>59405</v>
      </c>
      <c r="I1855">
        <v>10629</v>
      </c>
      <c r="J1855">
        <v>70034</v>
      </c>
      <c r="K1855" t="b">
        <f>TrafficData[[#This Row],[disposedChallan]]+TrafficData[[#This Row],[pendingChallan]]=TrafficData[[#This Row],[totalChallan]]</f>
        <v>1</v>
      </c>
      <c r="L1855" t="b">
        <f>TrafficData[[#This Row],[pendingAmount]]+TrafficData[[#This Row],[disposedAmount]]=TrafficData[[#This Row],[totalAmount]]</f>
        <v>1</v>
      </c>
      <c r="M1855" t="b">
        <f>TrafficData[[#This Row],[pendingCourt]]+TrafficData[[#This Row],[disposedCourt]]=TrafficData[[#This Row],[totalCourt]]</f>
        <v>1</v>
      </c>
      <c r="N1855" t="b">
        <f>AND(TrafficData[[#This Row],[disposedChallan]]&lt;=TrafficData[[#This Row],[totalChallan]],TrafficData[[#This Row],[pendingChallan]]&lt;=TrafficData[[#This Row],[totalChallan]])</f>
        <v>1</v>
      </c>
      <c r="O1855" t="b">
        <f>AND(TrafficData[[#This Row],[pendingAmount]]&lt;=TrafficData[[#This Row],[totalAmount]],TrafficData[[#This Row],[disposedAmount]]&lt;=TrafficData[[#This Row],[totalAmount]])</f>
        <v>1</v>
      </c>
      <c r="P1855" t="b">
        <f>AND(TrafficData[[#This Row],[pendingCourt]]&lt;=TrafficData[[#This Row],[totalCourt]],TrafficData[[#This Row],[disposedCourt]]&lt;=TrafficData[[#This Row],[totalCourt]])</f>
        <v>1</v>
      </c>
    </row>
    <row r="1856" spans="1:16">
      <c r="A1856" s="1">
        <v>43860</v>
      </c>
      <c r="B1856">
        <v>131829</v>
      </c>
      <c r="C1856">
        <v>49856</v>
      </c>
      <c r="D1856">
        <v>81973</v>
      </c>
      <c r="E1856">
        <v>19731924</v>
      </c>
      <c r="F1856">
        <v>48487112</v>
      </c>
      <c r="G1856">
        <v>68219036</v>
      </c>
      <c r="H1856">
        <v>66397</v>
      </c>
      <c r="I1856">
        <v>10696</v>
      </c>
      <c r="J1856">
        <v>77093</v>
      </c>
      <c r="K1856" t="b">
        <f>TrafficData[[#This Row],[disposedChallan]]+TrafficData[[#This Row],[pendingChallan]]=TrafficData[[#This Row],[totalChallan]]</f>
        <v>1</v>
      </c>
      <c r="L1856" t="b">
        <f>TrafficData[[#This Row],[pendingAmount]]+TrafficData[[#This Row],[disposedAmount]]=TrafficData[[#This Row],[totalAmount]]</f>
        <v>1</v>
      </c>
      <c r="M1856" t="b">
        <f>TrafficData[[#This Row],[pendingCourt]]+TrafficData[[#This Row],[disposedCourt]]=TrafficData[[#This Row],[totalCourt]]</f>
        <v>1</v>
      </c>
      <c r="N1856" t="b">
        <f>AND(TrafficData[[#This Row],[disposedChallan]]&lt;=TrafficData[[#This Row],[totalChallan]],TrafficData[[#This Row],[pendingChallan]]&lt;=TrafficData[[#This Row],[totalChallan]])</f>
        <v>1</v>
      </c>
      <c r="O1856" t="b">
        <f>AND(TrafficData[[#This Row],[pendingAmount]]&lt;=TrafficData[[#This Row],[totalAmount]],TrafficData[[#This Row],[disposedAmount]]&lt;=TrafficData[[#This Row],[totalAmount]])</f>
        <v>1</v>
      </c>
      <c r="P1856" t="b">
        <f>AND(TrafficData[[#This Row],[pendingCourt]]&lt;=TrafficData[[#This Row],[totalCourt]],TrafficData[[#This Row],[disposedCourt]]&lt;=TrafficData[[#This Row],[totalCourt]])</f>
        <v>1</v>
      </c>
    </row>
    <row r="1857" spans="1:16">
      <c r="A1857" s="1">
        <v>43861</v>
      </c>
      <c r="B1857">
        <v>122876</v>
      </c>
      <c r="C1857">
        <v>50994</v>
      </c>
      <c r="D1857">
        <v>71882</v>
      </c>
      <c r="E1857">
        <v>17558302</v>
      </c>
      <c r="F1857">
        <v>49819631</v>
      </c>
      <c r="G1857">
        <v>67377933</v>
      </c>
      <c r="H1857">
        <v>54636</v>
      </c>
      <c r="I1857">
        <v>10625</v>
      </c>
      <c r="J1857">
        <v>65261</v>
      </c>
      <c r="K1857" t="b">
        <f>TrafficData[[#This Row],[disposedChallan]]+TrafficData[[#This Row],[pendingChallan]]=TrafficData[[#This Row],[totalChallan]]</f>
        <v>1</v>
      </c>
      <c r="L1857" t="b">
        <f>TrafficData[[#This Row],[pendingAmount]]+TrafficData[[#This Row],[disposedAmount]]=TrafficData[[#This Row],[totalAmount]]</f>
        <v>1</v>
      </c>
      <c r="M1857" t="b">
        <f>TrafficData[[#This Row],[pendingCourt]]+TrafficData[[#This Row],[disposedCourt]]=TrafficData[[#This Row],[totalCourt]]</f>
        <v>1</v>
      </c>
      <c r="N1857" t="b">
        <f>AND(TrafficData[[#This Row],[disposedChallan]]&lt;=TrafficData[[#This Row],[totalChallan]],TrafficData[[#This Row],[pendingChallan]]&lt;=TrafficData[[#This Row],[totalChallan]])</f>
        <v>1</v>
      </c>
      <c r="O1857" t="b">
        <f>AND(TrafficData[[#This Row],[pendingAmount]]&lt;=TrafficData[[#This Row],[totalAmount]],TrafficData[[#This Row],[disposedAmount]]&lt;=TrafficData[[#This Row],[totalAmount]])</f>
        <v>1</v>
      </c>
      <c r="P1857" t="b">
        <f>AND(TrafficData[[#This Row],[pendingCourt]]&lt;=TrafficData[[#This Row],[totalCourt]],TrafficData[[#This Row],[disposedCourt]]&lt;=TrafficData[[#This Row],[totalCourt]])</f>
        <v>1</v>
      </c>
    </row>
    <row r="1858" spans="1:16">
      <c r="A1858" s="1">
        <v>43862</v>
      </c>
      <c r="B1858">
        <v>139364</v>
      </c>
      <c r="C1858">
        <v>53520</v>
      </c>
      <c r="D1858">
        <v>85844</v>
      </c>
      <c r="E1858">
        <v>15531301</v>
      </c>
      <c r="F1858">
        <v>57596369</v>
      </c>
      <c r="G1858">
        <v>73127670</v>
      </c>
      <c r="H1858">
        <v>69992</v>
      </c>
      <c r="I1858">
        <v>9836</v>
      </c>
      <c r="J1858">
        <v>79828</v>
      </c>
      <c r="K1858" t="b">
        <f>TrafficData[[#This Row],[disposedChallan]]+TrafficData[[#This Row],[pendingChallan]]=TrafficData[[#This Row],[totalChallan]]</f>
        <v>1</v>
      </c>
      <c r="L1858" t="b">
        <f>TrafficData[[#This Row],[pendingAmount]]+TrafficData[[#This Row],[disposedAmount]]=TrafficData[[#This Row],[totalAmount]]</f>
        <v>1</v>
      </c>
      <c r="M1858" t="b">
        <f>TrafficData[[#This Row],[pendingCourt]]+TrafficData[[#This Row],[disposedCourt]]=TrafficData[[#This Row],[totalCourt]]</f>
        <v>1</v>
      </c>
      <c r="N1858" t="b">
        <f>AND(TrafficData[[#This Row],[disposedChallan]]&lt;=TrafficData[[#This Row],[totalChallan]],TrafficData[[#This Row],[pendingChallan]]&lt;=TrafficData[[#This Row],[totalChallan]])</f>
        <v>1</v>
      </c>
      <c r="O1858" t="b">
        <f>AND(TrafficData[[#This Row],[pendingAmount]]&lt;=TrafficData[[#This Row],[totalAmount]],TrafficData[[#This Row],[disposedAmount]]&lt;=TrafficData[[#This Row],[totalAmount]])</f>
        <v>1</v>
      </c>
      <c r="P1858" t="b">
        <f>AND(TrafficData[[#This Row],[pendingCourt]]&lt;=TrafficData[[#This Row],[totalCourt]],TrafficData[[#This Row],[disposedCourt]]&lt;=TrafficData[[#This Row],[totalCourt]])</f>
        <v>1</v>
      </c>
    </row>
    <row r="1859" spans="1:16">
      <c r="A1859" s="1">
        <v>43863</v>
      </c>
      <c r="B1859">
        <v>137774</v>
      </c>
      <c r="C1859">
        <v>45525</v>
      </c>
      <c r="D1859">
        <v>92249</v>
      </c>
      <c r="E1859">
        <v>13094355</v>
      </c>
      <c r="F1859">
        <v>42600197</v>
      </c>
      <c r="G1859">
        <v>55694552</v>
      </c>
      <c r="H1859">
        <v>77489</v>
      </c>
      <c r="I1859">
        <v>8528</v>
      </c>
      <c r="J1859">
        <v>86017</v>
      </c>
      <c r="K1859" t="b">
        <f>TrafficData[[#This Row],[disposedChallan]]+TrafficData[[#This Row],[pendingChallan]]=TrafficData[[#This Row],[totalChallan]]</f>
        <v>1</v>
      </c>
      <c r="L1859" t="b">
        <f>TrafficData[[#This Row],[pendingAmount]]+TrafficData[[#This Row],[disposedAmount]]=TrafficData[[#This Row],[totalAmount]]</f>
        <v>1</v>
      </c>
      <c r="M1859" t="b">
        <f>TrafficData[[#This Row],[pendingCourt]]+TrafficData[[#This Row],[disposedCourt]]=TrafficData[[#This Row],[totalCourt]]</f>
        <v>1</v>
      </c>
      <c r="N1859" t="b">
        <f>AND(TrafficData[[#This Row],[disposedChallan]]&lt;=TrafficData[[#This Row],[totalChallan]],TrafficData[[#This Row],[pendingChallan]]&lt;=TrafficData[[#This Row],[totalChallan]])</f>
        <v>1</v>
      </c>
      <c r="O1859" t="b">
        <f>AND(TrafficData[[#This Row],[pendingAmount]]&lt;=TrafficData[[#This Row],[totalAmount]],TrafficData[[#This Row],[disposedAmount]]&lt;=TrafficData[[#This Row],[totalAmount]])</f>
        <v>1</v>
      </c>
      <c r="P1859" t="b">
        <f>AND(TrafficData[[#This Row],[pendingCourt]]&lt;=TrafficData[[#This Row],[totalCourt]],TrafficData[[#This Row],[disposedCourt]]&lt;=TrafficData[[#This Row],[totalCourt]])</f>
        <v>1</v>
      </c>
    </row>
    <row r="1860" spans="1:16">
      <c r="A1860" s="1">
        <v>43864</v>
      </c>
      <c r="B1860">
        <v>142692</v>
      </c>
      <c r="C1860">
        <v>54862</v>
      </c>
      <c r="D1860">
        <v>87830</v>
      </c>
      <c r="E1860">
        <v>17588065</v>
      </c>
      <c r="F1860">
        <v>57992900</v>
      </c>
      <c r="G1860">
        <v>75580965</v>
      </c>
      <c r="H1860">
        <v>70442</v>
      </c>
      <c r="I1860">
        <v>11050</v>
      </c>
      <c r="J1860">
        <v>81492</v>
      </c>
      <c r="K1860" t="b">
        <f>TrafficData[[#This Row],[disposedChallan]]+TrafficData[[#This Row],[pendingChallan]]=TrafficData[[#This Row],[totalChallan]]</f>
        <v>1</v>
      </c>
      <c r="L1860" t="b">
        <f>TrafficData[[#This Row],[pendingAmount]]+TrafficData[[#This Row],[disposedAmount]]=TrafficData[[#This Row],[totalAmount]]</f>
        <v>1</v>
      </c>
      <c r="M1860" t="b">
        <f>TrafficData[[#This Row],[pendingCourt]]+TrafficData[[#This Row],[disposedCourt]]=TrafficData[[#This Row],[totalCourt]]</f>
        <v>1</v>
      </c>
      <c r="N1860" t="b">
        <f>AND(TrafficData[[#This Row],[disposedChallan]]&lt;=TrafficData[[#This Row],[totalChallan]],TrafficData[[#This Row],[pendingChallan]]&lt;=TrafficData[[#This Row],[totalChallan]])</f>
        <v>1</v>
      </c>
      <c r="O1860" t="b">
        <f>AND(TrafficData[[#This Row],[pendingAmount]]&lt;=TrafficData[[#This Row],[totalAmount]],TrafficData[[#This Row],[disposedAmount]]&lt;=TrafficData[[#This Row],[totalAmount]])</f>
        <v>1</v>
      </c>
      <c r="P1860" t="b">
        <f>AND(TrafficData[[#This Row],[pendingCourt]]&lt;=TrafficData[[#This Row],[totalCourt]],TrafficData[[#This Row],[disposedCourt]]&lt;=TrafficData[[#This Row],[totalCourt]])</f>
        <v>1</v>
      </c>
    </row>
    <row r="1861" spans="1:16">
      <c r="A1861" s="1">
        <v>43865</v>
      </c>
      <c r="B1861">
        <v>138725</v>
      </c>
      <c r="C1861">
        <v>56374</v>
      </c>
      <c r="D1861">
        <v>82351</v>
      </c>
      <c r="E1861">
        <v>21105031</v>
      </c>
      <c r="F1861">
        <v>66906468</v>
      </c>
      <c r="G1861">
        <v>88011499</v>
      </c>
      <c r="H1861">
        <v>65122</v>
      </c>
      <c r="I1861">
        <v>11284</v>
      </c>
      <c r="J1861">
        <v>76406</v>
      </c>
      <c r="K1861" t="b">
        <f>TrafficData[[#This Row],[disposedChallan]]+TrafficData[[#This Row],[pendingChallan]]=TrafficData[[#This Row],[totalChallan]]</f>
        <v>1</v>
      </c>
      <c r="L1861" t="b">
        <f>TrafficData[[#This Row],[pendingAmount]]+TrafficData[[#This Row],[disposedAmount]]=TrafficData[[#This Row],[totalAmount]]</f>
        <v>1</v>
      </c>
      <c r="M1861" t="b">
        <f>TrafficData[[#This Row],[pendingCourt]]+TrafficData[[#This Row],[disposedCourt]]=TrafficData[[#This Row],[totalCourt]]</f>
        <v>1</v>
      </c>
      <c r="N1861" t="b">
        <f>AND(TrafficData[[#This Row],[disposedChallan]]&lt;=TrafficData[[#This Row],[totalChallan]],TrafficData[[#This Row],[pendingChallan]]&lt;=TrafficData[[#This Row],[totalChallan]])</f>
        <v>1</v>
      </c>
      <c r="O1861" t="b">
        <f>AND(TrafficData[[#This Row],[pendingAmount]]&lt;=TrafficData[[#This Row],[totalAmount]],TrafficData[[#This Row],[disposedAmount]]&lt;=TrafficData[[#This Row],[totalAmount]])</f>
        <v>1</v>
      </c>
      <c r="P1861" t="b">
        <f>AND(TrafficData[[#This Row],[pendingCourt]]&lt;=TrafficData[[#This Row],[totalCourt]],TrafficData[[#This Row],[disposedCourt]]&lt;=TrafficData[[#This Row],[totalCourt]])</f>
        <v>1</v>
      </c>
    </row>
    <row r="1862" spans="1:16">
      <c r="A1862" s="1">
        <v>43866</v>
      </c>
      <c r="B1862">
        <v>129256</v>
      </c>
      <c r="C1862">
        <v>49281</v>
      </c>
      <c r="D1862">
        <v>79975</v>
      </c>
      <c r="E1862">
        <v>18327370</v>
      </c>
      <c r="F1862">
        <v>54905960</v>
      </c>
      <c r="G1862">
        <v>73233330</v>
      </c>
      <c r="H1862">
        <v>7467</v>
      </c>
      <c r="I1862">
        <v>7954</v>
      </c>
      <c r="J1862">
        <v>15421</v>
      </c>
      <c r="K1862" t="b">
        <f>TrafficData[[#This Row],[disposedChallan]]+TrafficData[[#This Row],[pendingChallan]]=TrafficData[[#This Row],[totalChallan]]</f>
        <v>1</v>
      </c>
      <c r="L1862" t="b">
        <f>TrafficData[[#This Row],[pendingAmount]]+TrafficData[[#This Row],[disposedAmount]]=TrafficData[[#This Row],[totalAmount]]</f>
        <v>1</v>
      </c>
      <c r="M1862" t="b">
        <f>TrafficData[[#This Row],[pendingCourt]]+TrafficData[[#This Row],[disposedCourt]]=TrafficData[[#This Row],[totalCourt]]</f>
        <v>1</v>
      </c>
      <c r="N1862" t="b">
        <f>AND(TrafficData[[#This Row],[disposedChallan]]&lt;=TrafficData[[#This Row],[totalChallan]],TrafficData[[#This Row],[pendingChallan]]&lt;=TrafficData[[#This Row],[totalChallan]])</f>
        <v>1</v>
      </c>
      <c r="O1862" t="b">
        <f>AND(TrafficData[[#This Row],[pendingAmount]]&lt;=TrafficData[[#This Row],[totalAmount]],TrafficData[[#This Row],[disposedAmount]]&lt;=TrafficData[[#This Row],[totalAmount]])</f>
        <v>1</v>
      </c>
      <c r="P1862" t="b">
        <f>AND(TrafficData[[#This Row],[pendingCourt]]&lt;=TrafficData[[#This Row],[totalCourt]],TrafficData[[#This Row],[disposedCourt]]&lt;=TrafficData[[#This Row],[totalCourt]])</f>
        <v>1</v>
      </c>
    </row>
    <row r="1863" spans="1:16">
      <c r="A1863" s="1">
        <v>43867</v>
      </c>
      <c r="B1863">
        <v>132567</v>
      </c>
      <c r="C1863">
        <v>51471</v>
      </c>
      <c r="D1863">
        <v>81096</v>
      </c>
      <c r="E1863">
        <v>20296936</v>
      </c>
      <c r="F1863">
        <v>63940355</v>
      </c>
      <c r="G1863">
        <v>84237291</v>
      </c>
      <c r="H1863">
        <v>64543</v>
      </c>
      <c r="I1863">
        <v>7649</v>
      </c>
      <c r="J1863">
        <v>72192</v>
      </c>
      <c r="K1863" t="b">
        <f>TrafficData[[#This Row],[disposedChallan]]+TrafficData[[#This Row],[pendingChallan]]=TrafficData[[#This Row],[totalChallan]]</f>
        <v>1</v>
      </c>
      <c r="L1863" t="b">
        <f>TrafficData[[#This Row],[pendingAmount]]+TrafficData[[#This Row],[disposedAmount]]=TrafficData[[#This Row],[totalAmount]]</f>
        <v>1</v>
      </c>
      <c r="M1863" t="b">
        <f>TrafficData[[#This Row],[pendingCourt]]+TrafficData[[#This Row],[disposedCourt]]=TrafficData[[#This Row],[totalCourt]]</f>
        <v>1</v>
      </c>
      <c r="N1863" t="b">
        <f>AND(TrafficData[[#This Row],[disposedChallan]]&lt;=TrafficData[[#This Row],[totalChallan]],TrafficData[[#This Row],[pendingChallan]]&lt;=TrafficData[[#This Row],[totalChallan]])</f>
        <v>1</v>
      </c>
      <c r="O1863" t="b">
        <f>AND(TrafficData[[#This Row],[pendingAmount]]&lt;=TrafficData[[#This Row],[totalAmount]],TrafficData[[#This Row],[disposedAmount]]&lt;=TrafficData[[#This Row],[totalAmount]])</f>
        <v>1</v>
      </c>
      <c r="P1863" t="b">
        <f>AND(TrafficData[[#This Row],[pendingCourt]]&lt;=TrafficData[[#This Row],[totalCourt]],TrafficData[[#This Row],[disposedCourt]]&lt;=TrafficData[[#This Row],[totalCourt]])</f>
        <v>1</v>
      </c>
    </row>
    <row r="1864" spans="1:16">
      <c r="A1864" s="1">
        <v>43868</v>
      </c>
      <c r="B1864">
        <v>152391</v>
      </c>
      <c r="C1864">
        <v>56010</v>
      </c>
      <c r="D1864">
        <v>96381</v>
      </c>
      <c r="E1864">
        <v>22818452</v>
      </c>
      <c r="F1864">
        <v>61247111</v>
      </c>
      <c r="G1864">
        <v>84065563</v>
      </c>
      <c r="H1864">
        <v>75037</v>
      </c>
      <c r="I1864">
        <v>6846</v>
      </c>
      <c r="J1864">
        <v>81883</v>
      </c>
      <c r="K1864" t="b">
        <f>TrafficData[[#This Row],[disposedChallan]]+TrafficData[[#This Row],[pendingChallan]]=TrafficData[[#This Row],[totalChallan]]</f>
        <v>1</v>
      </c>
      <c r="L1864" t="b">
        <f>TrafficData[[#This Row],[pendingAmount]]+TrafficData[[#This Row],[disposedAmount]]=TrafficData[[#This Row],[totalAmount]]</f>
        <v>1</v>
      </c>
      <c r="M1864" t="b">
        <f>TrafficData[[#This Row],[pendingCourt]]+TrafficData[[#This Row],[disposedCourt]]=TrafficData[[#This Row],[totalCourt]]</f>
        <v>1</v>
      </c>
      <c r="N1864" t="b">
        <f>AND(TrafficData[[#This Row],[disposedChallan]]&lt;=TrafficData[[#This Row],[totalChallan]],TrafficData[[#This Row],[pendingChallan]]&lt;=TrafficData[[#This Row],[totalChallan]])</f>
        <v>1</v>
      </c>
      <c r="O1864" t="b">
        <f>AND(TrafficData[[#This Row],[pendingAmount]]&lt;=TrafficData[[#This Row],[totalAmount]],TrafficData[[#This Row],[disposedAmount]]&lt;=TrafficData[[#This Row],[totalAmount]])</f>
        <v>1</v>
      </c>
      <c r="P1864" t="b">
        <f>AND(TrafficData[[#This Row],[pendingCourt]]&lt;=TrafficData[[#This Row],[totalCourt]],TrafficData[[#This Row],[disposedCourt]]&lt;=TrafficData[[#This Row],[totalCourt]])</f>
        <v>1</v>
      </c>
    </row>
    <row r="1865" spans="1:16">
      <c r="A1865" s="1">
        <v>43869</v>
      </c>
      <c r="B1865">
        <v>149517</v>
      </c>
      <c r="C1865">
        <v>48067</v>
      </c>
      <c r="D1865">
        <v>101450</v>
      </c>
      <c r="E1865">
        <v>18329615</v>
      </c>
      <c r="F1865">
        <v>50918407</v>
      </c>
      <c r="G1865">
        <v>69248022</v>
      </c>
      <c r="H1865">
        <v>85669</v>
      </c>
      <c r="I1865">
        <v>6120</v>
      </c>
      <c r="J1865">
        <v>91789</v>
      </c>
      <c r="K1865" t="b">
        <f>TrafficData[[#This Row],[disposedChallan]]+TrafficData[[#This Row],[pendingChallan]]=TrafficData[[#This Row],[totalChallan]]</f>
        <v>1</v>
      </c>
      <c r="L1865" t="b">
        <f>TrafficData[[#This Row],[pendingAmount]]+TrafficData[[#This Row],[disposedAmount]]=TrafficData[[#This Row],[totalAmount]]</f>
        <v>1</v>
      </c>
      <c r="M1865" t="b">
        <f>TrafficData[[#This Row],[pendingCourt]]+TrafficData[[#This Row],[disposedCourt]]=TrafficData[[#This Row],[totalCourt]]</f>
        <v>1</v>
      </c>
      <c r="N1865" t="b">
        <f>AND(TrafficData[[#This Row],[disposedChallan]]&lt;=TrafficData[[#This Row],[totalChallan]],TrafficData[[#This Row],[pendingChallan]]&lt;=TrafficData[[#This Row],[totalChallan]])</f>
        <v>1</v>
      </c>
      <c r="O1865" t="b">
        <f>AND(TrafficData[[#This Row],[pendingAmount]]&lt;=TrafficData[[#This Row],[totalAmount]],TrafficData[[#This Row],[disposedAmount]]&lt;=TrafficData[[#This Row],[totalAmount]])</f>
        <v>1</v>
      </c>
      <c r="P1865" t="b">
        <f>AND(TrafficData[[#This Row],[pendingCourt]]&lt;=TrafficData[[#This Row],[totalCourt]],TrafficData[[#This Row],[disposedCourt]]&lt;=TrafficData[[#This Row],[totalCourt]])</f>
        <v>1</v>
      </c>
    </row>
    <row r="1866" spans="1:16">
      <c r="A1866" s="1">
        <v>43870</v>
      </c>
      <c r="B1866">
        <v>133030</v>
      </c>
      <c r="C1866">
        <v>41995</v>
      </c>
      <c r="D1866">
        <v>91035</v>
      </c>
      <c r="E1866">
        <v>12185780</v>
      </c>
      <c r="F1866">
        <v>37351911</v>
      </c>
      <c r="G1866">
        <v>49537691</v>
      </c>
      <c r="H1866">
        <v>75574</v>
      </c>
      <c r="I1866">
        <v>5971</v>
      </c>
      <c r="J1866">
        <v>81545</v>
      </c>
      <c r="K1866" t="b">
        <f>TrafficData[[#This Row],[disposedChallan]]+TrafficData[[#This Row],[pendingChallan]]=TrafficData[[#This Row],[totalChallan]]</f>
        <v>1</v>
      </c>
      <c r="L1866" t="b">
        <f>TrafficData[[#This Row],[pendingAmount]]+TrafficData[[#This Row],[disposedAmount]]=TrafficData[[#This Row],[totalAmount]]</f>
        <v>1</v>
      </c>
      <c r="M1866" t="b">
        <f>TrafficData[[#This Row],[pendingCourt]]+TrafficData[[#This Row],[disposedCourt]]=TrafficData[[#This Row],[totalCourt]]</f>
        <v>1</v>
      </c>
      <c r="N1866" t="b">
        <f>AND(TrafficData[[#This Row],[disposedChallan]]&lt;=TrafficData[[#This Row],[totalChallan]],TrafficData[[#This Row],[pendingChallan]]&lt;=TrafficData[[#This Row],[totalChallan]])</f>
        <v>1</v>
      </c>
      <c r="O1866" t="b">
        <f>AND(TrafficData[[#This Row],[pendingAmount]]&lt;=TrafficData[[#This Row],[totalAmount]],TrafficData[[#This Row],[disposedAmount]]&lt;=TrafficData[[#This Row],[totalAmount]])</f>
        <v>1</v>
      </c>
      <c r="P1866" t="b">
        <f>AND(TrafficData[[#This Row],[pendingCourt]]&lt;=TrafficData[[#This Row],[totalCourt]],TrafficData[[#This Row],[disposedCourt]]&lt;=TrafficData[[#This Row],[totalCourt]])</f>
        <v>1</v>
      </c>
    </row>
    <row r="1867" spans="1:16">
      <c r="A1867" s="1">
        <v>43871</v>
      </c>
      <c r="B1867">
        <v>154233</v>
      </c>
      <c r="C1867">
        <v>59679</v>
      </c>
      <c r="D1867">
        <v>94554</v>
      </c>
      <c r="E1867">
        <v>20434818</v>
      </c>
      <c r="F1867">
        <v>62177232</v>
      </c>
      <c r="G1867">
        <v>82612050</v>
      </c>
      <c r="H1867">
        <v>72927</v>
      </c>
      <c r="I1867">
        <v>11025</v>
      </c>
      <c r="J1867">
        <v>83952</v>
      </c>
      <c r="K1867" t="b">
        <f>TrafficData[[#This Row],[disposedChallan]]+TrafficData[[#This Row],[pendingChallan]]=TrafficData[[#This Row],[totalChallan]]</f>
        <v>1</v>
      </c>
      <c r="L1867" t="b">
        <f>TrafficData[[#This Row],[pendingAmount]]+TrafficData[[#This Row],[disposedAmount]]=TrafficData[[#This Row],[totalAmount]]</f>
        <v>1</v>
      </c>
      <c r="M1867" t="b">
        <f>TrafficData[[#This Row],[pendingCourt]]+TrafficData[[#This Row],[disposedCourt]]=TrafficData[[#This Row],[totalCourt]]</f>
        <v>1</v>
      </c>
      <c r="N1867" t="b">
        <f>AND(TrafficData[[#This Row],[disposedChallan]]&lt;=TrafficData[[#This Row],[totalChallan]],TrafficData[[#This Row],[pendingChallan]]&lt;=TrafficData[[#This Row],[totalChallan]])</f>
        <v>1</v>
      </c>
      <c r="O1867" t="b">
        <f>AND(TrafficData[[#This Row],[pendingAmount]]&lt;=TrafficData[[#This Row],[totalAmount]],TrafficData[[#This Row],[disposedAmount]]&lt;=TrafficData[[#This Row],[totalAmount]])</f>
        <v>1</v>
      </c>
      <c r="P1867" t="b">
        <f>AND(TrafficData[[#This Row],[pendingCourt]]&lt;=TrafficData[[#This Row],[totalCourt]],TrafficData[[#This Row],[disposedCourt]]&lt;=TrafficData[[#This Row],[totalCourt]])</f>
        <v>1</v>
      </c>
    </row>
    <row r="1868" spans="1:16">
      <c r="A1868" s="1">
        <v>43872</v>
      </c>
      <c r="B1868">
        <v>140389</v>
      </c>
      <c r="C1868">
        <v>59760</v>
      </c>
      <c r="D1868">
        <v>80629</v>
      </c>
      <c r="E1868">
        <v>21939095</v>
      </c>
      <c r="F1868">
        <v>68853546</v>
      </c>
      <c r="G1868">
        <v>90792641</v>
      </c>
      <c r="H1868">
        <v>59640</v>
      </c>
      <c r="I1868">
        <v>10113</v>
      </c>
      <c r="J1868">
        <v>69753</v>
      </c>
      <c r="K1868" t="b">
        <f>TrafficData[[#This Row],[disposedChallan]]+TrafficData[[#This Row],[pendingChallan]]=TrafficData[[#This Row],[totalChallan]]</f>
        <v>1</v>
      </c>
      <c r="L1868" t="b">
        <f>TrafficData[[#This Row],[pendingAmount]]+TrafficData[[#This Row],[disposedAmount]]=TrafficData[[#This Row],[totalAmount]]</f>
        <v>1</v>
      </c>
      <c r="M1868" t="b">
        <f>TrafficData[[#This Row],[pendingCourt]]+TrafficData[[#This Row],[disposedCourt]]=TrafficData[[#This Row],[totalCourt]]</f>
        <v>1</v>
      </c>
      <c r="N1868" t="b">
        <f>AND(TrafficData[[#This Row],[disposedChallan]]&lt;=TrafficData[[#This Row],[totalChallan]],TrafficData[[#This Row],[pendingChallan]]&lt;=TrafficData[[#This Row],[totalChallan]])</f>
        <v>1</v>
      </c>
      <c r="O1868" t="b">
        <f>AND(TrafficData[[#This Row],[pendingAmount]]&lt;=TrafficData[[#This Row],[totalAmount]],TrafficData[[#This Row],[disposedAmount]]&lt;=TrafficData[[#This Row],[totalAmount]])</f>
        <v>1</v>
      </c>
      <c r="P1868" t="b">
        <f>AND(TrafficData[[#This Row],[pendingCourt]]&lt;=TrafficData[[#This Row],[totalCourt]],TrafficData[[#This Row],[disposedCourt]]&lt;=TrafficData[[#This Row],[totalCourt]])</f>
        <v>1</v>
      </c>
    </row>
    <row r="1869" spans="1:16">
      <c r="A1869" s="1">
        <v>43873</v>
      </c>
      <c r="B1869">
        <v>140912</v>
      </c>
      <c r="C1869">
        <v>59407</v>
      </c>
      <c r="D1869">
        <v>81505</v>
      </c>
      <c r="E1869">
        <v>23507385</v>
      </c>
      <c r="F1869">
        <v>66534896</v>
      </c>
      <c r="G1869">
        <v>90042281</v>
      </c>
      <c r="H1869">
        <v>60753</v>
      </c>
      <c r="I1869">
        <v>11719</v>
      </c>
      <c r="J1869">
        <v>72472</v>
      </c>
      <c r="K1869" t="b">
        <f>TrafficData[[#This Row],[disposedChallan]]+TrafficData[[#This Row],[pendingChallan]]=TrafficData[[#This Row],[totalChallan]]</f>
        <v>1</v>
      </c>
      <c r="L1869" t="b">
        <f>TrafficData[[#This Row],[pendingAmount]]+TrafficData[[#This Row],[disposedAmount]]=TrafficData[[#This Row],[totalAmount]]</f>
        <v>1</v>
      </c>
      <c r="M1869" t="b">
        <f>TrafficData[[#This Row],[pendingCourt]]+TrafficData[[#This Row],[disposedCourt]]=TrafficData[[#This Row],[totalCourt]]</f>
        <v>1</v>
      </c>
      <c r="N1869" t="b">
        <f>AND(TrafficData[[#This Row],[disposedChallan]]&lt;=TrafficData[[#This Row],[totalChallan]],TrafficData[[#This Row],[pendingChallan]]&lt;=TrafficData[[#This Row],[totalChallan]])</f>
        <v>1</v>
      </c>
      <c r="O1869" t="b">
        <f>AND(TrafficData[[#This Row],[pendingAmount]]&lt;=TrafficData[[#This Row],[totalAmount]],TrafficData[[#This Row],[disposedAmount]]&lt;=TrafficData[[#This Row],[totalAmount]])</f>
        <v>1</v>
      </c>
      <c r="P1869" t="b">
        <f>AND(TrafficData[[#This Row],[pendingCourt]]&lt;=TrafficData[[#This Row],[totalCourt]],TrafficData[[#This Row],[disposedCourt]]&lt;=TrafficData[[#This Row],[totalCourt]])</f>
        <v>1</v>
      </c>
    </row>
    <row r="1870" spans="1:16">
      <c r="A1870" s="1">
        <v>43874</v>
      </c>
      <c r="B1870">
        <v>157679</v>
      </c>
      <c r="C1870">
        <v>68898</v>
      </c>
      <c r="D1870">
        <v>88781</v>
      </c>
      <c r="E1870">
        <v>29628704</v>
      </c>
      <c r="F1870">
        <v>67923327</v>
      </c>
      <c r="G1870">
        <v>97552031</v>
      </c>
      <c r="H1870">
        <v>65677</v>
      </c>
      <c r="I1870">
        <v>14960</v>
      </c>
      <c r="J1870">
        <v>80637</v>
      </c>
      <c r="K1870" t="b">
        <f>TrafficData[[#This Row],[disposedChallan]]+TrafficData[[#This Row],[pendingChallan]]=TrafficData[[#This Row],[totalChallan]]</f>
        <v>1</v>
      </c>
      <c r="L1870" t="b">
        <f>TrafficData[[#This Row],[pendingAmount]]+TrafficData[[#This Row],[disposedAmount]]=TrafficData[[#This Row],[totalAmount]]</f>
        <v>1</v>
      </c>
      <c r="M1870" t="b">
        <f>TrafficData[[#This Row],[pendingCourt]]+TrafficData[[#This Row],[disposedCourt]]=TrafficData[[#This Row],[totalCourt]]</f>
        <v>1</v>
      </c>
      <c r="N1870" t="b">
        <f>AND(TrafficData[[#This Row],[disposedChallan]]&lt;=TrafficData[[#This Row],[totalChallan]],TrafficData[[#This Row],[pendingChallan]]&lt;=TrafficData[[#This Row],[totalChallan]])</f>
        <v>1</v>
      </c>
      <c r="O1870" t="b">
        <f>AND(TrafficData[[#This Row],[pendingAmount]]&lt;=TrafficData[[#This Row],[totalAmount]],TrafficData[[#This Row],[disposedAmount]]&lt;=TrafficData[[#This Row],[totalAmount]])</f>
        <v>1</v>
      </c>
      <c r="P1870" t="b">
        <f>AND(TrafficData[[#This Row],[pendingCourt]]&lt;=TrafficData[[#This Row],[totalCourt]],TrafficData[[#This Row],[disposedCourt]]&lt;=TrafficData[[#This Row],[totalCourt]])</f>
        <v>1</v>
      </c>
    </row>
    <row r="1871" spans="1:16">
      <c r="A1871" s="1">
        <v>43875</v>
      </c>
      <c r="B1871">
        <v>154824</v>
      </c>
      <c r="C1871">
        <v>62208</v>
      </c>
      <c r="D1871">
        <v>92616</v>
      </c>
      <c r="E1871">
        <v>24085150</v>
      </c>
      <c r="F1871">
        <v>70533277</v>
      </c>
      <c r="G1871">
        <v>94618427</v>
      </c>
      <c r="H1871">
        <v>71297</v>
      </c>
      <c r="I1871">
        <v>13002</v>
      </c>
      <c r="J1871">
        <v>84299</v>
      </c>
      <c r="K1871" t="b">
        <f>TrafficData[[#This Row],[disposedChallan]]+TrafficData[[#This Row],[pendingChallan]]=TrafficData[[#This Row],[totalChallan]]</f>
        <v>1</v>
      </c>
      <c r="L1871" t="b">
        <f>TrafficData[[#This Row],[pendingAmount]]+TrafficData[[#This Row],[disposedAmount]]=TrafficData[[#This Row],[totalAmount]]</f>
        <v>1</v>
      </c>
      <c r="M1871" t="b">
        <f>TrafficData[[#This Row],[pendingCourt]]+TrafficData[[#This Row],[disposedCourt]]=TrafficData[[#This Row],[totalCourt]]</f>
        <v>1</v>
      </c>
      <c r="N1871" t="b">
        <f>AND(TrafficData[[#This Row],[disposedChallan]]&lt;=TrafficData[[#This Row],[totalChallan]],TrafficData[[#This Row],[pendingChallan]]&lt;=TrafficData[[#This Row],[totalChallan]])</f>
        <v>1</v>
      </c>
      <c r="O1871" t="b">
        <f>AND(TrafficData[[#This Row],[pendingAmount]]&lt;=TrafficData[[#This Row],[totalAmount]],TrafficData[[#This Row],[disposedAmount]]&lt;=TrafficData[[#This Row],[totalAmount]])</f>
        <v>1</v>
      </c>
      <c r="P1871" t="b">
        <f>AND(TrafficData[[#This Row],[pendingCourt]]&lt;=TrafficData[[#This Row],[totalCourt]],TrafficData[[#This Row],[disposedCourt]]&lt;=TrafficData[[#This Row],[totalCourt]])</f>
        <v>1</v>
      </c>
    </row>
    <row r="1872" spans="1:16">
      <c r="A1872" s="1">
        <v>43876</v>
      </c>
      <c r="B1872">
        <v>147275</v>
      </c>
      <c r="C1872">
        <v>56576</v>
      </c>
      <c r="D1872">
        <v>90699</v>
      </c>
      <c r="E1872">
        <v>20730617</v>
      </c>
      <c r="F1872">
        <v>60611623</v>
      </c>
      <c r="G1872">
        <v>81342240</v>
      </c>
      <c r="H1872">
        <v>71209</v>
      </c>
      <c r="I1872">
        <v>10943</v>
      </c>
      <c r="J1872">
        <v>82152</v>
      </c>
      <c r="K1872" t="b">
        <f>TrafficData[[#This Row],[disposedChallan]]+TrafficData[[#This Row],[pendingChallan]]=TrafficData[[#This Row],[totalChallan]]</f>
        <v>1</v>
      </c>
      <c r="L1872" t="b">
        <f>TrafficData[[#This Row],[pendingAmount]]+TrafficData[[#This Row],[disposedAmount]]=TrafficData[[#This Row],[totalAmount]]</f>
        <v>1</v>
      </c>
      <c r="M1872" t="b">
        <f>TrafficData[[#This Row],[pendingCourt]]+TrafficData[[#This Row],[disposedCourt]]=TrafficData[[#This Row],[totalCourt]]</f>
        <v>1</v>
      </c>
      <c r="N1872" t="b">
        <f>AND(TrafficData[[#This Row],[disposedChallan]]&lt;=TrafficData[[#This Row],[totalChallan]],TrafficData[[#This Row],[pendingChallan]]&lt;=TrafficData[[#This Row],[totalChallan]])</f>
        <v>1</v>
      </c>
      <c r="O1872" t="b">
        <f>AND(TrafficData[[#This Row],[pendingAmount]]&lt;=TrafficData[[#This Row],[totalAmount]],TrafficData[[#This Row],[disposedAmount]]&lt;=TrafficData[[#This Row],[totalAmount]])</f>
        <v>1</v>
      </c>
      <c r="P1872" t="b">
        <f>AND(TrafficData[[#This Row],[pendingCourt]]&lt;=TrafficData[[#This Row],[totalCourt]],TrafficData[[#This Row],[disposedCourt]]&lt;=TrafficData[[#This Row],[totalCourt]])</f>
        <v>1</v>
      </c>
    </row>
    <row r="1873" spans="1:16">
      <c r="A1873" s="1">
        <v>43877</v>
      </c>
      <c r="B1873">
        <v>137378</v>
      </c>
      <c r="C1873">
        <v>48806</v>
      </c>
      <c r="D1873">
        <v>88572</v>
      </c>
      <c r="E1873">
        <v>15812650</v>
      </c>
      <c r="F1873">
        <v>46342731</v>
      </c>
      <c r="G1873">
        <v>62155381</v>
      </c>
      <c r="H1873">
        <v>68481</v>
      </c>
      <c r="I1873">
        <v>8487</v>
      </c>
      <c r="J1873">
        <v>76968</v>
      </c>
      <c r="K1873" t="b">
        <f>TrafficData[[#This Row],[disposedChallan]]+TrafficData[[#This Row],[pendingChallan]]=TrafficData[[#This Row],[totalChallan]]</f>
        <v>1</v>
      </c>
      <c r="L1873" t="b">
        <f>TrafficData[[#This Row],[pendingAmount]]+TrafficData[[#This Row],[disposedAmount]]=TrafficData[[#This Row],[totalAmount]]</f>
        <v>1</v>
      </c>
      <c r="M1873" t="b">
        <f>TrafficData[[#This Row],[pendingCourt]]+TrafficData[[#This Row],[disposedCourt]]=TrafficData[[#This Row],[totalCourt]]</f>
        <v>1</v>
      </c>
      <c r="N1873" t="b">
        <f>AND(TrafficData[[#This Row],[disposedChallan]]&lt;=TrafficData[[#This Row],[totalChallan]],TrafficData[[#This Row],[pendingChallan]]&lt;=TrafficData[[#This Row],[totalChallan]])</f>
        <v>1</v>
      </c>
      <c r="O1873" t="b">
        <f>AND(TrafficData[[#This Row],[pendingAmount]]&lt;=TrafficData[[#This Row],[totalAmount]],TrafficData[[#This Row],[disposedAmount]]&lt;=TrafficData[[#This Row],[totalAmount]])</f>
        <v>1</v>
      </c>
      <c r="P1873" t="b">
        <f>AND(TrafficData[[#This Row],[pendingCourt]]&lt;=TrafficData[[#This Row],[totalCourt]],TrafficData[[#This Row],[disposedCourt]]&lt;=TrafficData[[#This Row],[totalCourt]])</f>
        <v>1</v>
      </c>
    </row>
    <row r="1874" spans="1:16">
      <c r="A1874" s="1">
        <v>43878</v>
      </c>
      <c r="B1874">
        <v>150879</v>
      </c>
      <c r="C1874">
        <v>61000</v>
      </c>
      <c r="D1874">
        <v>89879</v>
      </c>
      <c r="E1874">
        <v>23354464</v>
      </c>
      <c r="F1874">
        <v>59839115</v>
      </c>
      <c r="G1874">
        <v>83193579</v>
      </c>
      <c r="H1874">
        <v>67660</v>
      </c>
      <c r="I1874">
        <v>11718</v>
      </c>
      <c r="J1874">
        <v>79378</v>
      </c>
      <c r="K1874" t="b">
        <f>TrafficData[[#This Row],[disposedChallan]]+TrafficData[[#This Row],[pendingChallan]]=TrafficData[[#This Row],[totalChallan]]</f>
        <v>1</v>
      </c>
      <c r="L1874" t="b">
        <f>TrafficData[[#This Row],[pendingAmount]]+TrafficData[[#This Row],[disposedAmount]]=TrafficData[[#This Row],[totalAmount]]</f>
        <v>1</v>
      </c>
      <c r="M1874" t="b">
        <f>TrafficData[[#This Row],[pendingCourt]]+TrafficData[[#This Row],[disposedCourt]]=TrafficData[[#This Row],[totalCourt]]</f>
        <v>1</v>
      </c>
      <c r="N1874" t="b">
        <f>AND(TrafficData[[#This Row],[disposedChallan]]&lt;=TrafficData[[#This Row],[totalChallan]],TrafficData[[#This Row],[pendingChallan]]&lt;=TrafficData[[#This Row],[totalChallan]])</f>
        <v>1</v>
      </c>
      <c r="O1874" t="b">
        <f>AND(TrafficData[[#This Row],[pendingAmount]]&lt;=TrafficData[[#This Row],[totalAmount]],TrafficData[[#This Row],[disposedAmount]]&lt;=TrafficData[[#This Row],[totalAmount]])</f>
        <v>1</v>
      </c>
      <c r="P1874" t="b">
        <f>AND(TrafficData[[#This Row],[pendingCourt]]&lt;=TrafficData[[#This Row],[totalCourt]],TrafficData[[#This Row],[disposedCourt]]&lt;=TrafficData[[#This Row],[totalCourt]])</f>
        <v>1</v>
      </c>
    </row>
    <row r="1875" spans="1:16">
      <c r="A1875" s="1">
        <v>43879</v>
      </c>
      <c r="B1875">
        <v>139178</v>
      </c>
      <c r="C1875">
        <v>59967</v>
      </c>
      <c r="D1875">
        <v>79211</v>
      </c>
      <c r="E1875">
        <v>23538199</v>
      </c>
      <c r="F1875">
        <v>61236853</v>
      </c>
      <c r="G1875">
        <v>84775052</v>
      </c>
      <c r="H1875">
        <v>58158</v>
      </c>
      <c r="I1875">
        <v>11274</v>
      </c>
      <c r="J1875">
        <v>69432</v>
      </c>
      <c r="K1875" t="b">
        <f>TrafficData[[#This Row],[disposedChallan]]+TrafficData[[#This Row],[pendingChallan]]=TrafficData[[#This Row],[totalChallan]]</f>
        <v>1</v>
      </c>
      <c r="L1875" t="b">
        <f>TrafficData[[#This Row],[pendingAmount]]+TrafficData[[#This Row],[disposedAmount]]=TrafficData[[#This Row],[totalAmount]]</f>
        <v>1</v>
      </c>
      <c r="M1875" t="b">
        <f>TrafficData[[#This Row],[pendingCourt]]+TrafficData[[#This Row],[disposedCourt]]=TrafficData[[#This Row],[totalCourt]]</f>
        <v>1</v>
      </c>
      <c r="N1875" t="b">
        <f>AND(TrafficData[[#This Row],[disposedChallan]]&lt;=TrafficData[[#This Row],[totalChallan]],TrafficData[[#This Row],[pendingChallan]]&lt;=TrafficData[[#This Row],[totalChallan]])</f>
        <v>1</v>
      </c>
      <c r="O1875" t="b">
        <f>AND(TrafficData[[#This Row],[pendingAmount]]&lt;=TrafficData[[#This Row],[totalAmount]],TrafficData[[#This Row],[disposedAmount]]&lt;=TrafficData[[#This Row],[totalAmount]])</f>
        <v>1</v>
      </c>
      <c r="P1875" t="b">
        <f>AND(TrafficData[[#This Row],[pendingCourt]]&lt;=TrafficData[[#This Row],[totalCourt]],TrafficData[[#This Row],[disposedCourt]]&lt;=TrafficData[[#This Row],[totalCourt]])</f>
        <v>1</v>
      </c>
    </row>
    <row r="1876" spans="1:16">
      <c r="A1876" s="1">
        <v>43880</v>
      </c>
      <c r="B1876">
        <v>136592</v>
      </c>
      <c r="C1876">
        <v>57177</v>
      </c>
      <c r="D1876">
        <v>79415</v>
      </c>
      <c r="E1876">
        <v>23643967</v>
      </c>
      <c r="F1876">
        <v>65219999</v>
      </c>
      <c r="G1876">
        <v>88863966</v>
      </c>
      <c r="H1876">
        <v>62431</v>
      </c>
      <c r="I1876">
        <v>12404</v>
      </c>
      <c r="J1876">
        <v>74835</v>
      </c>
      <c r="K1876" t="b">
        <f>TrafficData[[#This Row],[disposedChallan]]+TrafficData[[#This Row],[pendingChallan]]=TrafficData[[#This Row],[totalChallan]]</f>
        <v>1</v>
      </c>
      <c r="L1876" t="b">
        <f>TrafficData[[#This Row],[pendingAmount]]+TrafficData[[#This Row],[disposedAmount]]=TrafficData[[#This Row],[totalAmount]]</f>
        <v>1</v>
      </c>
      <c r="M1876" t="b">
        <f>TrafficData[[#This Row],[pendingCourt]]+TrafficData[[#This Row],[disposedCourt]]=TrafficData[[#This Row],[totalCourt]]</f>
        <v>1</v>
      </c>
      <c r="N1876" t="b">
        <f>AND(TrafficData[[#This Row],[disposedChallan]]&lt;=TrafficData[[#This Row],[totalChallan]],TrafficData[[#This Row],[pendingChallan]]&lt;=TrafficData[[#This Row],[totalChallan]])</f>
        <v>1</v>
      </c>
      <c r="O1876" t="b">
        <f>AND(TrafficData[[#This Row],[pendingAmount]]&lt;=TrafficData[[#This Row],[totalAmount]],TrafficData[[#This Row],[disposedAmount]]&lt;=TrafficData[[#This Row],[totalAmount]])</f>
        <v>1</v>
      </c>
      <c r="P1876" t="b">
        <f>AND(TrafficData[[#This Row],[pendingCourt]]&lt;=TrafficData[[#This Row],[totalCourt]],TrafficData[[#This Row],[disposedCourt]]&lt;=TrafficData[[#This Row],[totalCourt]])</f>
        <v>1</v>
      </c>
    </row>
    <row r="1877" spans="1:16">
      <c r="A1877" s="1">
        <v>43881</v>
      </c>
      <c r="B1877">
        <v>130094</v>
      </c>
      <c r="C1877">
        <v>58096</v>
      </c>
      <c r="D1877">
        <v>71998</v>
      </c>
      <c r="E1877">
        <v>19297825</v>
      </c>
      <c r="F1877">
        <v>63606703</v>
      </c>
      <c r="G1877">
        <v>82904528</v>
      </c>
      <c r="H1877">
        <v>53219</v>
      </c>
      <c r="I1877">
        <v>11873</v>
      </c>
      <c r="J1877">
        <v>65092</v>
      </c>
      <c r="K1877" t="b">
        <f>TrafficData[[#This Row],[disposedChallan]]+TrafficData[[#This Row],[pendingChallan]]=TrafficData[[#This Row],[totalChallan]]</f>
        <v>1</v>
      </c>
      <c r="L1877" t="b">
        <f>TrafficData[[#This Row],[pendingAmount]]+TrafficData[[#This Row],[disposedAmount]]=TrafficData[[#This Row],[totalAmount]]</f>
        <v>1</v>
      </c>
      <c r="M1877" t="b">
        <f>TrafficData[[#This Row],[pendingCourt]]+TrafficData[[#This Row],[disposedCourt]]=TrafficData[[#This Row],[totalCourt]]</f>
        <v>1</v>
      </c>
      <c r="N1877" t="b">
        <f>AND(TrafficData[[#This Row],[disposedChallan]]&lt;=TrafficData[[#This Row],[totalChallan]],TrafficData[[#This Row],[pendingChallan]]&lt;=TrafficData[[#This Row],[totalChallan]])</f>
        <v>1</v>
      </c>
      <c r="O1877" t="b">
        <f>AND(TrafficData[[#This Row],[pendingAmount]]&lt;=TrafficData[[#This Row],[totalAmount]],TrafficData[[#This Row],[disposedAmount]]&lt;=TrafficData[[#This Row],[totalAmount]])</f>
        <v>1</v>
      </c>
      <c r="P1877" t="b">
        <f>AND(TrafficData[[#This Row],[pendingCourt]]&lt;=TrafficData[[#This Row],[totalCourt]],TrafficData[[#This Row],[disposedCourt]]&lt;=TrafficData[[#This Row],[totalCourt]])</f>
        <v>1</v>
      </c>
    </row>
    <row r="1878" spans="1:16">
      <c r="A1878" s="1">
        <v>43882</v>
      </c>
      <c r="B1878">
        <v>133987</v>
      </c>
      <c r="C1878">
        <v>45906</v>
      </c>
      <c r="D1878">
        <v>88081</v>
      </c>
      <c r="E1878">
        <v>13028381</v>
      </c>
      <c r="F1878">
        <v>40859665</v>
      </c>
      <c r="G1878">
        <v>53888046</v>
      </c>
      <c r="H1878">
        <v>73324</v>
      </c>
      <c r="I1878">
        <v>8853</v>
      </c>
      <c r="J1878">
        <v>82177</v>
      </c>
      <c r="K1878" t="b">
        <f>TrafficData[[#This Row],[disposedChallan]]+TrafficData[[#This Row],[pendingChallan]]=TrafficData[[#This Row],[totalChallan]]</f>
        <v>1</v>
      </c>
      <c r="L1878" t="b">
        <f>TrafficData[[#This Row],[pendingAmount]]+TrafficData[[#This Row],[disposedAmount]]=TrafficData[[#This Row],[totalAmount]]</f>
        <v>1</v>
      </c>
      <c r="M1878" t="b">
        <f>TrafficData[[#This Row],[pendingCourt]]+TrafficData[[#This Row],[disposedCourt]]=TrafficData[[#This Row],[totalCourt]]</f>
        <v>1</v>
      </c>
      <c r="N1878" t="b">
        <f>AND(TrafficData[[#This Row],[disposedChallan]]&lt;=TrafficData[[#This Row],[totalChallan]],TrafficData[[#This Row],[pendingChallan]]&lt;=TrafficData[[#This Row],[totalChallan]])</f>
        <v>1</v>
      </c>
      <c r="O1878" t="b">
        <f>AND(TrafficData[[#This Row],[pendingAmount]]&lt;=TrafficData[[#This Row],[totalAmount]],TrafficData[[#This Row],[disposedAmount]]&lt;=TrafficData[[#This Row],[totalAmount]])</f>
        <v>1</v>
      </c>
      <c r="P1878" t="b">
        <f>AND(TrafficData[[#This Row],[pendingCourt]]&lt;=TrafficData[[#This Row],[totalCourt]],TrafficData[[#This Row],[disposedCourt]]&lt;=TrafficData[[#This Row],[totalCourt]])</f>
        <v>1</v>
      </c>
    </row>
    <row r="1879" spans="1:16">
      <c r="A1879" s="1">
        <v>43883</v>
      </c>
      <c r="B1879">
        <v>145145</v>
      </c>
      <c r="C1879">
        <v>55188</v>
      </c>
      <c r="D1879">
        <v>89957</v>
      </c>
      <c r="E1879">
        <v>19763649</v>
      </c>
      <c r="F1879">
        <v>55913784</v>
      </c>
      <c r="G1879">
        <v>75677433</v>
      </c>
      <c r="H1879">
        <v>72123</v>
      </c>
      <c r="I1879">
        <v>10851</v>
      </c>
      <c r="J1879">
        <v>82974</v>
      </c>
      <c r="K1879" t="b">
        <f>TrafficData[[#This Row],[disposedChallan]]+TrafficData[[#This Row],[pendingChallan]]=TrafficData[[#This Row],[totalChallan]]</f>
        <v>1</v>
      </c>
      <c r="L1879" t="b">
        <f>TrafficData[[#This Row],[pendingAmount]]+TrafficData[[#This Row],[disposedAmount]]=TrafficData[[#This Row],[totalAmount]]</f>
        <v>1</v>
      </c>
      <c r="M1879" t="b">
        <f>TrafficData[[#This Row],[pendingCourt]]+TrafficData[[#This Row],[disposedCourt]]=TrafficData[[#This Row],[totalCourt]]</f>
        <v>1</v>
      </c>
      <c r="N1879" t="b">
        <f>AND(TrafficData[[#This Row],[disposedChallan]]&lt;=TrafficData[[#This Row],[totalChallan]],TrafficData[[#This Row],[pendingChallan]]&lt;=TrafficData[[#This Row],[totalChallan]])</f>
        <v>1</v>
      </c>
      <c r="O1879" t="b">
        <f>AND(TrafficData[[#This Row],[pendingAmount]]&lt;=TrafficData[[#This Row],[totalAmount]],TrafficData[[#This Row],[disposedAmount]]&lt;=TrafficData[[#This Row],[totalAmount]])</f>
        <v>1</v>
      </c>
      <c r="P1879" t="b">
        <f>AND(TrafficData[[#This Row],[pendingCourt]]&lt;=TrafficData[[#This Row],[totalCourt]],TrafficData[[#This Row],[disposedCourt]]&lt;=TrafficData[[#This Row],[totalCourt]])</f>
        <v>1</v>
      </c>
    </row>
    <row r="1880" spans="1:16">
      <c r="A1880" s="1">
        <v>43884</v>
      </c>
      <c r="B1880">
        <v>125672</v>
      </c>
      <c r="C1880">
        <v>45010</v>
      </c>
      <c r="D1880">
        <v>80662</v>
      </c>
      <c r="E1880">
        <v>15548060</v>
      </c>
      <c r="F1880">
        <v>45442454</v>
      </c>
      <c r="G1880">
        <v>60990514</v>
      </c>
      <c r="H1880">
        <v>66083</v>
      </c>
      <c r="I1880">
        <v>9078</v>
      </c>
      <c r="J1880">
        <v>75161</v>
      </c>
      <c r="K1880" t="b">
        <f>TrafficData[[#This Row],[disposedChallan]]+TrafficData[[#This Row],[pendingChallan]]=TrafficData[[#This Row],[totalChallan]]</f>
        <v>1</v>
      </c>
      <c r="L1880" t="b">
        <f>TrafficData[[#This Row],[pendingAmount]]+TrafficData[[#This Row],[disposedAmount]]=TrafficData[[#This Row],[totalAmount]]</f>
        <v>1</v>
      </c>
      <c r="M1880" t="b">
        <f>TrafficData[[#This Row],[pendingCourt]]+TrafficData[[#This Row],[disposedCourt]]=TrafficData[[#This Row],[totalCourt]]</f>
        <v>1</v>
      </c>
      <c r="N1880" t="b">
        <f>AND(TrafficData[[#This Row],[disposedChallan]]&lt;=TrafficData[[#This Row],[totalChallan]],TrafficData[[#This Row],[pendingChallan]]&lt;=TrafficData[[#This Row],[totalChallan]])</f>
        <v>1</v>
      </c>
      <c r="O1880" t="b">
        <f>AND(TrafficData[[#This Row],[pendingAmount]]&lt;=TrafficData[[#This Row],[totalAmount]],TrafficData[[#This Row],[disposedAmount]]&lt;=TrafficData[[#This Row],[totalAmount]])</f>
        <v>1</v>
      </c>
      <c r="P1880" t="b">
        <f>AND(TrafficData[[#This Row],[pendingCourt]]&lt;=TrafficData[[#This Row],[totalCourt]],TrafficData[[#This Row],[disposedCourt]]&lt;=TrafficData[[#This Row],[totalCourt]])</f>
        <v>1</v>
      </c>
    </row>
    <row r="1881" spans="1:16">
      <c r="A1881" s="1">
        <v>43885</v>
      </c>
      <c r="B1881">
        <v>142419</v>
      </c>
      <c r="C1881">
        <v>55637</v>
      </c>
      <c r="D1881">
        <v>86782</v>
      </c>
      <c r="E1881">
        <v>22247010</v>
      </c>
      <c r="F1881">
        <v>53910672</v>
      </c>
      <c r="G1881">
        <v>76157682</v>
      </c>
      <c r="H1881">
        <v>66562</v>
      </c>
      <c r="I1881">
        <v>10506</v>
      </c>
      <c r="J1881">
        <v>77068</v>
      </c>
      <c r="K1881" t="b">
        <f>TrafficData[[#This Row],[disposedChallan]]+TrafficData[[#This Row],[pendingChallan]]=TrafficData[[#This Row],[totalChallan]]</f>
        <v>1</v>
      </c>
      <c r="L1881" t="b">
        <f>TrafficData[[#This Row],[pendingAmount]]+TrafficData[[#This Row],[disposedAmount]]=TrafficData[[#This Row],[totalAmount]]</f>
        <v>1</v>
      </c>
      <c r="M1881" t="b">
        <f>TrafficData[[#This Row],[pendingCourt]]+TrafficData[[#This Row],[disposedCourt]]=TrafficData[[#This Row],[totalCourt]]</f>
        <v>1</v>
      </c>
      <c r="N1881" t="b">
        <f>AND(TrafficData[[#This Row],[disposedChallan]]&lt;=TrafficData[[#This Row],[totalChallan]],TrafficData[[#This Row],[pendingChallan]]&lt;=TrafficData[[#This Row],[totalChallan]])</f>
        <v>1</v>
      </c>
      <c r="O1881" t="b">
        <f>AND(TrafficData[[#This Row],[pendingAmount]]&lt;=TrafficData[[#This Row],[totalAmount]],TrafficData[[#This Row],[disposedAmount]]&lt;=TrafficData[[#This Row],[totalAmount]])</f>
        <v>1</v>
      </c>
      <c r="P1881" t="b">
        <f>AND(TrafficData[[#This Row],[pendingCourt]]&lt;=TrafficData[[#This Row],[totalCourt]],TrafficData[[#This Row],[disposedCourt]]&lt;=TrafficData[[#This Row],[totalCourt]])</f>
        <v>1</v>
      </c>
    </row>
    <row r="1882" spans="1:16">
      <c r="A1882" s="1">
        <v>43886</v>
      </c>
      <c r="B1882">
        <v>139027</v>
      </c>
      <c r="C1882">
        <v>55687</v>
      </c>
      <c r="D1882">
        <v>83340</v>
      </c>
      <c r="E1882">
        <v>23547344</v>
      </c>
      <c r="F1882">
        <v>58144280</v>
      </c>
      <c r="G1882">
        <v>81691624</v>
      </c>
      <c r="H1882">
        <v>65212</v>
      </c>
      <c r="I1882">
        <v>9494</v>
      </c>
      <c r="J1882">
        <v>74706</v>
      </c>
      <c r="K1882" t="b">
        <f>TrafficData[[#This Row],[disposedChallan]]+TrafficData[[#This Row],[pendingChallan]]=TrafficData[[#This Row],[totalChallan]]</f>
        <v>1</v>
      </c>
      <c r="L1882" t="b">
        <f>TrafficData[[#This Row],[pendingAmount]]+TrafficData[[#This Row],[disposedAmount]]=TrafficData[[#This Row],[totalAmount]]</f>
        <v>1</v>
      </c>
      <c r="M1882" t="b">
        <f>TrafficData[[#This Row],[pendingCourt]]+TrafficData[[#This Row],[disposedCourt]]=TrafficData[[#This Row],[totalCourt]]</f>
        <v>1</v>
      </c>
      <c r="N1882" t="b">
        <f>AND(TrafficData[[#This Row],[disposedChallan]]&lt;=TrafficData[[#This Row],[totalChallan]],TrafficData[[#This Row],[pendingChallan]]&lt;=TrafficData[[#This Row],[totalChallan]])</f>
        <v>1</v>
      </c>
      <c r="O1882" t="b">
        <f>AND(TrafficData[[#This Row],[pendingAmount]]&lt;=TrafficData[[#This Row],[totalAmount]],TrafficData[[#This Row],[disposedAmount]]&lt;=TrafficData[[#This Row],[totalAmount]])</f>
        <v>1</v>
      </c>
      <c r="P1882" t="b">
        <f>AND(TrafficData[[#This Row],[pendingCourt]]&lt;=TrafficData[[#This Row],[totalCourt]],TrafficData[[#This Row],[disposedCourt]]&lt;=TrafficData[[#This Row],[totalCourt]])</f>
        <v>1</v>
      </c>
    </row>
    <row r="1883" spans="1:16">
      <c r="A1883" s="1">
        <v>43887</v>
      </c>
      <c r="B1883">
        <v>144293</v>
      </c>
      <c r="C1883">
        <v>55074</v>
      </c>
      <c r="D1883">
        <v>89219</v>
      </c>
      <c r="E1883">
        <v>21585605</v>
      </c>
      <c r="F1883">
        <v>54968223</v>
      </c>
      <c r="G1883">
        <v>76553828</v>
      </c>
      <c r="H1883">
        <v>71065</v>
      </c>
      <c r="I1883">
        <v>10803</v>
      </c>
      <c r="J1883">
        <v>81868</v>
      </c>
      <c r="K1883" t="b">
        <f>TrafficData[[#This Row],[disposedChallan]]+TrafficData[[#This Row],[pendingChallan]]=TrafficData[[#This Row],[totalChallan]]</f>
        <v>1</v>
      </c>
      <c r="L1883" t="b">
        <f>TrafficData[[#This Row],[pendingAmount]]+TrafficData[[#This Row],[disposedAmount]]=TrafficData[[#This Row],[totalAmount]]</f>
        <v>1</v>
      </c>
      <c r="M1883" t="b">
        <f>TrafficData[[#This Row],[pendingCourt]]+TrafficData[[#This Row],[disposedCourt]]=TrafficData[[#This Row],[totalCourt]]</f>
        <v>1</v>
      </c>
      <c r="N1883" t="b">
        <f>AND(TrafficData[[#This Row],[disposedChallan]]&lt;=TrafficData[[#This Row],[totalChallan]],TrafficData[[#This Row],[pendingChallan]]&lt;=TrafficData[[#This Row],[totalChallan]])</f>
        <v>1</v>
      </c>
      <c r="O1883" t="b">
        <f>AND(TrafficData[[#This Row],[pendingAmount]]&lt;=TrafficData[[#This Row],[totalAmount]],TrafficData[[#This Row],[disposedAmount]]&lt;=TrafficData[[#This Row],[totalAmount]])</f>
        <v>1</v>
      </c>
      <c r="P1883" t="b">
        <f>AND(TrafficData[[#This Row],[pendingCourt]]&lt;=TrafficData[[#This Row],[totalCourt]],TrafficData[[#This Row],[disposedCourt]]&lt;=TrafficData[[#This Row],[totalCourt]])</f>
        <v>1</v>
      </c>
    </row>
    <row r="1884" spans="1:16">
      <c r="A1884" s="1">
        <v>43888</v>
      </c>
      <c r="B1884">
        <v>159366</v>
      </c>
      <c r="C1884">
        <v>59746</v>
      </c>
      <c r="D1884">
        <v>99620</v>
      </c>
      <c r="E1884">
        <v>23509940</v>
      </c>
      <c r="F1884">
        <v>61736492</v>
      </c>
      <c r="G1884">
        <v>85246432</v>
      </c>
      <c r="H1884">
        <v>79432</v>
      </c>
      <c r="I1884">
        <v>11535</v>
      </c>
      <c r="J1884">
        <v>90967</v>
      </c>
      <c r="K1884" t="b">
        <f>TrafficData[[#This Row],[disposedChallan]]+TrafficData[[#This Row],[pendingChallan]]=TrafficData[[#This Row],[totalChallan]]</f>
        <v>1</v>
      </c>
      <c r="L1884" t="b">
        <f>TrafficData[[#This Row],[pendingAmount]]+TrafficData[[#This Row],[disposedAmount]]=TrafficData[[#This Row],[totalAmount]]</f>
        <v>1</v>
      </c>
      <c r="M1884" t="b">
        <f>TrafficData[[#This Row],[pendingCourt]]+TrafficData[[#This Row],[disposedCourt]]=TrafficData[[#This Row],[totalCourt]]</f>
        <v>1</v>
      </c>
      <c r="N1884" t="b">
        <f>AND(TrafficData[[#This Row],[disposedChallan]]&lt;=TrafficData[[#This Row],[totalChallan]],TrafficData[[#This Row],[pendingChallan]]&lt;=TrafficData[[#This Row],[totalChallan]])</f>
        <v>1</v>
      </c>
      <c r="O1884" t="b">
        <f>AND(TrafficData[[#This Row],[pendingAmount]]&lt;=TrafficData[[#This Row],[totalAmount]],TrafficData[[#This Row],[disposedAmount]]&lt;=TrafficData[[#This Row],[totalAmount]])</f>
        <v>1</v>
      </c>
      <c r="P1884" t="b">
        <f>AND(TrafficData[[#This Row],[pendingCourt]]&lt;=TrafficData[[#This Row],[totalCourt]],TrafficData[[#This Row],[disposedCourt]]&lt;=TrafficData[[#This Row],[totalCourt]])</f>
        <v>1</v>
      </c>
    </row>
    <row r="1885" spans="1:16">
      <c r="A1885" s="1">
        <v>43889</v>
      </c>
      <c r="B1885">
        <v>143278</v>
      </c>
      <c r="C1885">
        <v>54381</v>
      </c>
      <c r="D1885">
        <v>88897</v>
      </c>
      <c r="E1885">
        <v>21581820</v>
      </c>
      <c r="F1885">
        <v>60449292</v>
      </c>
      <c r="G1885">
        <v>82031112</v>
      </c>
      <c r="H1885">
        <v>72992</v>
      </c>
      <c r="I1885">
        <v>11729</v>
      </c>
      <c r="J1885">
        <v>84721</v>
      </c>
      <c r="K1885" t="b">
        <f>TrafficData[[#This Row],[disposedChallan]]+TrafficData[[#This Row],[pendingChallan]]=TrafficData[[#This Row],[totalChallan]]</f>
        <v>1</v>
      </c>
      <c r="L1885" t="b">
        <f>TrafficData[[#This Row],[pendingAmount]]+TrafficData[[#This Row],[disposedAmount]]=TrafficData[[#This Row],[totalAmount]]</f>
        <v>1</v>
      </c>
      <c r="M1885" t="b">
        <f>TrafficData[[#This Row],[pendingCourt]]+TrafficData[[#This Row],[disposedCourt]]=TrafficData[[#This Row],[totalCourt]]</f>
        <v>1</v>
      </c>
      <c r="N1885" t="b">
        <f>AND(TrafficData[[#This Row],[disposedChallan]]&lt;=TrafficData[[#This Row],[totalChallan]],TrafficData[[#This Row],[pendingChallan]]&lt;=TrafficData[[#This Row],[totalChallan]])</f>
        <v>1</v>
      </c>
      <c r="O1885" t="b">
        <f>AND(TrafficData[[#This Row],[pendingAmount]]&lt;=TrafficData[[#This Row],[totalAmount]],TrafficData[[#This Row],[disposedAmount]]&lt;=TrafficData[[#This Row],[totalAmount]])</f>
        <v>1</v>
      </c>
      <c r="P1885" t="b">
        <f>AND(TrafficData[[#This Row],[pendingCourt]]&lt;=TrafficData[[#This Row],[totalCourt]],TrafficData[[#This Row],[disposedCourt]]&lt;=TrafficData[[#This Row],[totalCourt]])</f>
        <v>1</v>
      </c>
    </row>
    <row r="1886" spans="1:16">
      <c r="A1886" s="1">
        <v>43890</v>
      </c>
      <c r="B1886">
        <v>130668</v>
      </c>
      <c r="C1886">
        <v>49830</v>
      </c>
      <c r="D1886">
        <v>80838</v>
      </c>
      <c r="E1886">
        <v>17237660</v>
      </c>
      <c r="F1886">
        <v>51917074</v>
      </c>
      <c r="G1886">
        <v>69154734</v>
      </c>
      <c r="H1886">
        <v>64474</v>
      </c>
      <c r="I1886">
        <v>9888</v>
      </c>
      <c r="J1886">
        <v>74362</v>
      </c>
      <c r="K1886" t="b">
        <f>TrafficData[[#This Row],[disposedChallan]]+TrafficData[[#This Row],[pendingChallan]]=TrafficData[[#This Row],[totalChallan]]</f>
        <v>1</v>
      </c>
      <c r="L1886" t="b">
        <f>TrafficData[[#This Row],[pendingAmount]]+TrafficData[[#This Row],[disposedAmount]]=TrafficData[[#This Row],[totalAmount]]</f>
        <v>1</v>
      </c>
      <c r="M1886" t="b">
        <f>TrafficData[[#This Row],[pendingCourt]]+TrafficData[[#This Row],[disposedCourt]]=TrafficData[[#This Row],[totalCourt]]</f>
        <v>1</v>
      </c>
      <c r="N1886" t="b">
        <f>AND(TrafficData[[#This Row],[disposedChallan]]&lt;=TrafficData[[#This Row],[totalChallan]],TrafficData[[#This Row],[pendingChallan]]&lt;=TrafficData[[#This Row],[totalChallan]])</f>
        <v>1</v>
      </c>
      <c r="O1886" t="b">
        <f>AND(TrafficData[[#This Row],[pendingAmount]]&lt;=TrafficData[[#This Row],[totalAmount]],TrafficData[[#This Row],[disposedAmount]]&lt;=TrafficData[[#This Row],[totalAmount]])</f>
        <v>1</v>
      </c>
      <c r="P1886" t="b">
        <f>AND(TrafficData[[#This Row],[pendingCourt]]&lt;=TrafficData[[#This Row],[totalCourt]],TrafficData[[#This Row],[disposedCourt]]&lt;=TrafficData[[#This Row],[totalCourt]])</f>
        <v>1</v>
      </c>
    </row>
    <row r="1887" spans="1:16">
      <c r="A1887" s="1">
        <v>43891</v>
      </c>
      <c r="B1887">
        <v>133173</v>
      </c>
      <c r="C1887">
        <v>52943</v>
      </c>
      <c r="D1887">
        <v>80230</v>
      </c>
      <c r="E1887">
        <v>21128345</v>
      </c>
      <c r="F1887">
        <v>62104146</v>
      </c>
      <c r="G1887">
        <v>83232491</v>
      </c>
      <c r="H1887">
        <v>61594</v>
      </c>
      <c r="I1887">
        <v>10217</v>
      </c>
      <c r="J1887">
        <v>71811</v>
      </c>
      <c r="K1887" t="b">
        <f>TrafficData[[#This Row],[disposedChallan]]+TrafficData[[#This Row],[pendingChallan]]=TrafficData[[#This Row],[totalChallan]]</f>
        <v>1</v>
      </c>
      <c r="L1887" t="b">
        <f>TrafficData[[#This Row],[pendingAmount]]+TrafficData[[#This Row],[disposedAmount]]=TrafficData[[#This Row],[totalAmount]]</f>
        <v>1</v>
      </c>
      <c r="M1887" t="b">
        <f>TrafficData[[#This Row],[pendingCourt]]+TrafficData[[#This Row],[disposedCourt]]=TrafficData[[#This Row],[totalCourt]]</f>
        <v>1</v>
      </c>
      <c r="N1887" t="b">
        <f>AND(TrafficData[[#This Row],[disposedChallan]]&lt;=TrafficData[[#This Row],[totalChallan]],TrafficData[[#This Row],[pendingChallan]]&lt;=TrafficData[[#This Row],[totalChallan]])</f>
        <v>1</v>
      </c>
      <c r="O1887" t="b">
        <f>AND(TrafficData[[#This Row],[pendingAmount]]&lt;=TrafficData[[#This Row],[totalAmount]],TrafficData[[#This Row],[disposedAmount]]&lt;=TrafficData[[#This Row],[totalAmount]])</f>
        <v>1</v>
      </c>
      <c r="P1887" t="b">
        <f>AND(TrafficData[[#This Row],[pendingCourt]]&lt;=TrafficData[[#This Row],[totalCourt]],TrafficData[[#This Row],[disposedCourt]]&lt;=TrafficData[[#This Row],[totalCourt]])</f>
        <v>1</v>
      </c>
    </row>
    <row r="1888" spans="1:16">
      <c r="A1888" s="1">
        <v>43892</v>
      </c>
      <c r="B1888">
        <v>150994</v>
      </c>
      <c r="C1888">
        <v>63076</v>
      </c>
      <c r="D1888">
        <v>87918</v>
      </c>
      <c r="E1888">
        <v>25031352</v>
      </c>
      <c r="F1888">
        <v>76047949</v>
      </c>
      <c r="G1888">
        <v>101079301</v>
      </c>
      <c r="H1888">
        <v>67745</v>
      </c>
      <c r="I1888">
        <v>11808</v>
      </c>
      <c r="J1888">
        <v>79553</v>
      </c>
      <c r="K1888" t="b">
        <f>TrafficData[[#This Row],[disposedChallan]]+TrafficData[[#This Row],[pendingChallan]]=TrafficData[[#This Row],[totalChallan]]</f>
        <v>1</v>
      </c>
      <c r="L1888" t="b">
        <f>TrafficData[[#This Row],[pendingAmount]]+TrafficData[[#This Row],[disposedAmount]]=TrafficData[[#This Row],[totalAmount]]</f>
        <v>1</v>
      </c>
      <c r="M1888" t="b">
        <f>TrafficData[[#This Row],[pendingCourt]]+TrafficData[[#This Row],[disposedCourt]]=TrafficData[[#This Row],[totalCourt]]</f>
        <v>1</v>
      </c>
      <c r="N1888" t="b">
        <f>AND(TrafficData[[#This Row],[disposedChallan]]&lt;=TrafficData[[#This Row],[totalChallan]],TrafficData[[#This Row],[pendingChallan]]&lt;=TrafficData[[#This Row],[totalChallan]])</f>
        <v>1</v>
      </c>
      <c r="O1888" t="b">
        <f>AND(TrafficData[[#This Row],[pendingAmount]]&lt;=TrafficData[[#This Row],[totalAmount]],TrafficData[[#This Row],[disposedAmount]]&lt;=TrafficData[[#This Row],[totalAmount]])</f>
        <v>1</v>
      </c>
      <c r="P1888" t="b">
        <f>AND(TrafficData[[#This Row],[pendingCourt]]&lt;=TrafficData[[#This Row],[totalCourt]],TrafficData[[#This Row],[disposedCourt]]&lt;=TrafficData[[#This Row],[totalCourt]])</f>
        <v>1</v>
      </c>
    </row>
    <row r="1889" spans="1:16">
      <c r="A1889" s="1">
        <v>43893</v>
      </c>
      <c r="B1889">
        <v>164189</v>
      </c>
      <c r="C1889">
        <v>63203</v>
      </c>
      <c r="D1889">
        <v>100986</v>
      </c>
      <c r="E1889">
        <v>29181217</v>
      </c>
      <c r="F1889">
        <v>85924954</v>
      </c>
      <c r="G1889">
        <v>115106171</v>
      </c>
      <c r="H1889">
        <v>81247</v>
      </c>
      <c r="I1889">
        <v>11998</v>
      </c>
      <c r="J1889">
        <v>93245</v>
      </c>
      <c r="K1889" t="b">
        <f>TrafficData[[#This Row],[disposedChallan]]+TrafficData[[#This Row],[pendingChallan]]=TrafficData[[#This Row],[totalChallan]]</f>
        <v>1</v>
      </c>
      <c r="L1889" t="b">
        <f>TrafficData[[#This Row],[pendingAmount]]+TrafficData[[#This Row],[disposedAmount]]=TrafficData[[#This Row],[totalAmount]]</f>
        <v>1</v>
      </c>
      <c r="M1889" t="b">
        <f>TrafficData[[#This Row],[pendingCourt]]+TrafficData[[#This Row],[disposedCourt]]=TrafficData[[#This Row],[totalCourt]]</f>
        <v>1</v>
      </c>
      <c r="N1889" t="b">
        <f>AND(TrafficData[[#This Row],[disposedChallan]]&lt;=TrafficData[[#This Row],[totalChallan]],TrafficData[[#This Row],[pendingChallan]]&lt;=TrafficData[[#This Row],[totalChallan]])</f>
        <v>1</v>
      </c>
      <c r="O1889" t="b">
        <f>AND(TrafficData[[#This Row],[pendingAmount]]&lt;=TrafficData[[#This Row],[totalAmount]],TrafficData[[#This Row],[disposedAmount]]&lt;=TrafficData[[#This Row],[totalAmount]])</f>
        <v>1</v>
      </c>
      <c r="P1889" t="b">
        <f>AND(TrafficData[[#This Row],[pendingCourt]]&lt;=TrafficData[[#This Row],[totalCourt]],TrafficData[[#This Row],[disposedCourt]]&lt;=TrafficData[[#This Row],[totalCourt]])</f>
        <v>1</v>
      </c>
    </row>
    <row r="1890" spans="1:16">
      <c r="A1890" s="1">
        <v>43894</v>
      </c>
      <c r="B1890">
        <v>149204</v>
      </c>
      <c r="C1890">
        <v>63453</v>
      </c>
      <c r="D1890">
        <v>85751</v>
      </c>
      <c r="E1890">
        <v>27897812</v>
      </c>
      <c r="F1890">
        <v>92455789</v>
      </c>
      <c r="G1890">
        <v>120353601</v>
      </c>
      <c r="H1890">
        <v>67663</v>
      </c>
      <c r="I1890">
        <v>12539</v>
      </c>
      <c r="J1890">
        <v>80202</v>
      </c>
      <c r="K1890" t="b">
        <f>TrafficData[[#This Row],[disposedChallan]]+TrafficData[[#This Row],[pendingChallan]]=TrafficData[[#This Row],[totalChallan]]</f>
        <v>1</v>
      </c>
      <c r="L1890" t="b">
        <f>TrafficData[[#This Row],[pendingAmount]]+TrafficData[[#This Row],[disposedAmount]]=TrafficData[[#This Row],[totalAmount]]</f>
        <v>1</v>
      </c>
      <c r="M1890" t="b">
        <f>TrafficData[[#This Row],[pendingCourt]]+TrafficData[[#This Row],[disposedCourt]]=TrafficData[[#This Row],[totalCourt]]</f>
        <v>1</v>
      </c>
      <c r="N1890" t="b">
        <f>AND(TrafficData[[#This Row],[disposedChallan]]&lt;=TrafficData[[#This Row],[totalChallan]],TrafficData[[#This Row],[pendingChallan]]&lt;=TrafficData[[#This Row],[totalChallan]])</f>
        <v>1</v>
      </c>
      <c r="O1890" t="b">
        <f>AND(TrafficData[[#This Row],[pendingAmount]]&lt;=TrafficData[[#This Row],[totalAmount]],TrafficData[[#This Row],[disposedAmount]]&lt;=TrafficData[[#This Row],[totalAmount]])</f>
        <v>1</v>
      </c>
      <c r="P1890" t="b">
        <f>AND(TrafficData[[#This Row],[pendingCourt]]&lt;=TrafficData[[#This Row],[totalCourt]],TrafficData[[#This Row],[disposedCourt]]&lt;=TrafficData[[#This Row],[totalCourt]])</f>
        <v>1</v>
      </c>
    </row>
    <row r="1891" spans="1:16">
      <c r="A1891" s="1">
        <v>43895</v>
      </c>
      <c r="B1891">
        <v>127118</v>
      </c>
      <c r="C1891">
        <v>62519</v>
      </c>
      <c r="D1891">
        <v>64599</v>
      </c>
      <c r="E1891">
        <v>27264761</v>
      </c>
      <c r="F1891">
        <v>84676894</v>
      </c>
      <c r="G1891">
        <v>111941655</v>
      </c>
      <c r="H1891">
        <v>45299</v>
      </c>
      <c r="I1891">
        <v>12681</v>
      </c>
      <c r="J1891">
        <v>57980</v>
      </c>
      <c r="K1891" t="b">
        <f>TrafficData[[#This Row],[disposedChallan]]+TrafficData[[#This Row],[pendingChallan]]=TrafficData[[#This Row],[totalChallan]]</f>
        <v>1</v>
      </c>
      <c r="L1891" t="b">
        <f>TrafficData[[#This Row],[pendingAmount]]+TrafficData[[#This Row],[disposedAmount]]=TrafficData[[#This Row],[totalAmount]]</f>
        <v>1</v>
      </c>
      <c r="M1891" t="b">
        <f>TrafficData[[#This Row],[pendingCourt]]+TrafficData[[#This Row],[disposedCourt]]=TrafficData[[#This Row],[totalCourt]]</f>
        <v>1</v>
      </c>
      <c r="N1891" t="b">
        <f>AND(TrafficData[[#This Row],[disposedChallan]]&lt;=TrafficData[[#This Row],[totalChallan]],TrafficData[[#This Row],[pendingChallan]]&lt;=TrafficData[[#This Row],[totalChallan]])</f>
        <v>1</v>
      </c>
      <c r="O1891" t="b">
        <f>AND(TrafficData[[#This Row],[pendingAmount]]&lt;=TrafficData[[#This Row],[totalAmount]],TrafficData[[#This Row],[disposedAmount]]&lt;=TrafficData[[#This Row],[totalAmount]])</f>
        <v>1</v>
      </c>
      <c r="P1891" t="b">
        <f>AND(TrafficData[[#This Row],[pendingCourt]]&lt;=TrafficData[[#This Row],[totalCourt]],TrafficData[[#This Row],[disposedCourt]]&lt;=TrafficData[[#This Row],[totalCourt]])</f>
        <v>1</v>
      </c>
    </row>
    <row r="1892" spans="1:16">
      <c r="A1892" s="1">
        <v>43896</v>
      </c>
      <c r="B1892">
        <v>130909</v>
      </c>
      <c r="C1892">
        <v>54834</v>
      </c>
      <c r="D1892">
        <v>76075</v>
      </c>
      <c r="E1892">
        <v>24870359</v>
      </c>
      <c r="F1892">
        <v>72211935</v>
      </c>
      <c r="G1892">
        <v>97082294</v>
      </c>
      <c r="H1892">
        <v>58435</v>
      </c>
      <c r="I1892">
        <v>10243</v>
      </c>
      <c r="J1892">
        <v>68678</v>
      </c>
      <c r="K1892" t="b">
        <f>TrafficData[[#This Row],[disposedChallan]]+TrafficData[[#This Row],[pendingChallan]]=TrafficData[[#This Row],[totalChallan]]</f>
        <v>1</v>
      </c>
      <c r="L1892" t="b">
        <f>TrafficData[[#This Row],[pendingAmount]]+TrafficData[[#This Row],[disposedAmount]]=TrafficData[[#This Row],[totalAmount]]</f>
        <v>1</v>
      </c>
      <c r="M1892" t="b">
        <f>TrafficData[[#This Row],[pendingCourt]]+TrafficData[[#This Row],[disposedCourt]]=TrafficData[[#This Row],[totalCourt]]</f>
        <v>1</v>
      </c>
      <c r="N1892" t="b">
        <f>AND(TrafficData[[#This Row],[disposedChallan]]&lt;=TrafficData[[#This Row],[totalChallan]],TrafficData[[#This Row],[pendingChallan]]&lt;=TrafficData[[#This Row],[totalChallan]])</f>
        <v>1</v>
      </c>
      <c r="O1892" t="b">
        <f>AND(TrafficData[[#This Row],[pendingAmount]]&lt;=TrafficData[[#This Row],[totalAmount]],TrafficData[[#This Row],[disposedAmount]]&lt;=TrafficData[[#This Row],[totalAmount]])</f>
        <v>1</v>
      </c>
      <c r="P1892" t="b">
        <f>AND(TrafficData[[#This Row],[pendingCourt]]&lt;=TrafficData[[#This Row],[totalCourt]],TrafficData[[#This Row],[disposedCourt]]&lt;=TrafficData[[#This Row],[totalCourt]])</f>
        <v>1</v>
      </c>
    </row>
    <row r="1893" spans="1:16">
      <c r="A1893" s="1">
        <v>43897</v>
      </c>
      <c r="B1893">
        <v>152217</v>
      </c>
      <c r="C1893">
        <v>62123</v>
      </c>
      <c r="D1893">
        <v>90094</v>
      </c>
      <c r="E1893">
        <v>24066752</v>
      </c>
      <c r="F1893">
        <v>70865732</v>
      </c>
      <c r="G1893">
        <v>94932484</v>
      </c>
      <c r="H1893">
        <v>71018</v>
      </c>
      <c r="I1893">
        <v>12992</v>
      </c>
      <c r="J1893">
        <v>84010</v>
      </c>
      <c r="K1893" t="b">
        <f>TrafficData[[#This Row],[disposedChallan]]+TrafficData[[#This Row],[pendingChallan]]=TrafficData[[#This Row],[totalChallan]]</f>
        <v>1</v>
      </c>
      <c r="L1893" t="b">
        <f>TrafficData[[#This Row],[pendingAmount]]+TrafficData[[#This Row],[disposedAmount]]=TrafficData[[#This Row],[totalAmount]]</f>
        <v>1</v>
      </c>
      <c r="M1893" t="b">
        <f>TrafficData[[#This Row],[pendingCourt]]+TrafficData[[#This Row],[disposedCourt]]=TrafficData[[#This Row],[totalCourt]]</f>
        <v>1</v>
      </c>
      <c r="N1893" t="b">
        <f>AND(TrafficData[[#This Row],[disposedChallan]]&lt;=TrafficData[[#This Row],[totalChallan]],TrafficData[[#This Row],[pendingChallan]]&lt;=TrafficData[[#This Row],[totalChallan]])</f>
        <v>1</v>
      </c>
      <c r="O1893" t="b">
        <f>AND(TrafficData[[#This Row],[pendingAmount]]&lt;=TrafficData[[#This Row],[totalAmount]],TrafficData[[#This Row],[disposedAmount]]&lt;=TrafficData[[#This Row],[totalAmount]])</f>
        <v>1</v>
      </c>
      <c r="P1893" t="b">
        <f>AND(TrafficData[[#This Row],[pendingCourt]]&lt;=TrafficData[[#This Row],[totalCourt]],TrafficData[[#This Row],[disposedCourt]]&lt;=TrafficData[[#This Row],[totalCourt]])</f>
        <v>1</v>
      </c>
    </row>
    <row r="1894" spans="1:16">
      <c r="A1894" s="1">
        <v>43898</v>
      </c>
      <c r="B1894">
        <v>132866</v>
      </c>
      <c r="C1894">
        <v>51428</v>
      </c>
      <c r="D1894">
        <v>81438</v>
      </c>
      <c r="E1894">
        <v>17639105</v>
      </c>
      <c r="F1894">
        <v>54508482</v>
      </c>
      <c r="G1894">
        <v>72147587</v>
      </c>
      <c r="H1894">
        <v>65932</v>
      </c>
      <c r="I1894">
        <v>10441</v>
      </c>
      <c r="J1894">
        <v>76373</v>
      </c>
      <c r="K1894" t="b">
        <f>TrafficData[[#This Row],[disposedChallan]]+TrafficData[[#This Row],[pendingChallan]]=TrafficData[[#This Row],[totalChallan]]</f>
        <v>1</v>
      </c>
      <c r="L1894" t="b">
        <f>TrafficData[[#This Row],[pendingAmount]]+TrafficData[[#This Row],[disposedAmount]]=TrafficData[[#This Row],[totalAmount]]</f>
        <v>1</v>
      </c>
      <c r="M1894" t="b">
        <f>TrafficData[[#This Row],[pendingCourt]]+TrafficData[[#This Row],[disposedCourt]]=TrafficData[[#This Row],[totalCourt]]</f>
        <v>1</v>
      </c>
      <c r="N1894" t="b">
        <f>AND(TrafficData[[#This Row],[disposedChallan]]&lt;=TrafficData[[#This Row],[totalChallan]],TrafficData[[#This Row],[pendingChallan]]&lt;=TrafficData[[#This Row],[totalChallan]])</f>
        <v>1</v>
      </c>
      <c r="O1894" t="b">
        <f>AND(TrafficData[[#This Row],[pendingAmount]]&lt;=TrafficData[[#This Row],[totalAmount]],TrafficData[[#This Row],[disposedAmount]]&lt;=TrafficData[[#This Row],[totalAmount]])</f>
        <v>1</v>
      </c>
      <c r="P1894" t="b">
        <f>AND(TrafficData[[#This Row],[pendingCourt]]&lt;=TrafficData[[#This Row],[totalCourt]],TrafficData[[#This Row],[disposedCourt]]&lt;=TrafficData[[#This Row],[totalCourt]])</f>
        <v>1</v>
      </c>
    </row>
    <row r="1895" spans="1:16">
      <c r="A1895" s="1">
        <v>43899</v>
      </c>
      <c r="B1895">
        <v>117447</v>
      </c>
      <c r="C1895">
        <v>50859</v>
      </c>
      <c r="D1895">
        <v>66588</v>
      </c>
      <c r="E1895">
        <v>15370174</v>
      </c>
      <c r="F1895">
        <v>39187079</v>
      </c>
      <c r="G1895">
        <v>54557253</v>
      </c>
      <c r="H1895">
        <v>46663</v>
      </c>
      <c r="I1895">
        <v>8742</v>
      </c>
      <c r="J1895">
        <v>55405</v>
      </c>
      <c r="K1895" t="b">
        <f>TrafficData[[#This Row],[disposedChallan]]+TrafficData[[#This Row],[pendingChallan]]=TrafficData[[#This Row],[totalChallan]]</f>
        <v>1</v>
      </c>
      <c r="L1895" t="b">
        <f>TrafficData[[#This Row],[pendingAmount]]+TrafficData[[#This Row],[disposedAmount]]=TrafficData[[#This Row],[totalAmount]]</f>
        <v>1</v>
      </c>
      <c r="M1895" t="b">
        <f>TrafficData[[#This Row],[pendingCourt]]+TrafficData[[#This Row],[disposedCourt]]=TrafficData[[#This Row],[totalCourt]]</f>
        <v>1</v>
      </c>
      <c r="N1895" t="b">
        <f>AND(TrafficData[[#This Row],[disposedChallan]]&lt;=TrafficData[[#This Row],[totalChallan]],TrafficData[[#This Row],[pendingChallan]]&lt;=TrafficData[[#This Row],[totalChallan]])</f>
        <v>1</v>
      </c>
      <c r="O1895" t="b">
        <f>AND(TrafficData[[#This Row],[pendingAmount]]&lt;=TrafficData[[#This Row],[totalAmount]],TrafficData[[#This Row],[disposedAmount]]&lt;=TrafficData[[#This Row],[totalAmount]])</f>
        <v>1</v>
      </c>
      <c r="P1895" t="b">
        <f>AND(TrafficData[[#This Row],[pendingCourt]]&lt;=TrafficData[[#This Row],[totalCourt]],TrafficData[[#This Row],[disposedCourt]]&lt;=TrafficData[[#This Row],[totalCourt]])</f>
        <v>1</v>
      </c>
    </row>
    <row r="1896" spans="1:16">
      <c r="A1896" s="1">
        <v>43900</v>
      </c>
      <c r="B1896">
        <v>129411</v>
      </c>
      <c r="C1896">
        <v>39850</v>
      </c>
      <c r="D1896">
        <v>89561</v>
      </c>
      <c r="E1896">
        <v>10891090</v>
      </c>
      <c r="F1896">
        <v>23045022</v>
      </c>
      <c r="G1896">
        <v>33936112</v>
      </c>
      <c r="H1896">
        <v>69164</v>
      </c>
      <c r="I1896">
        <v>5793</v>
      </c>
      <c r="J1896">
        <v>74957</v>
      </c>
      <c r="K1896" t="b">
        <f>TrafficData[[#This Row],[disposedChallan]]+TrafficData[[#This Row],[pendingChallan]]=TrafficData[[#This Row],[totalChallan]]</f>
        <v>1</v>
      </c>
      <c r="L1896" t="b">
        <f>TrafficData[[#This Row],[pendingAmount]]+TrafficData[[#This Row],[disposedAmount]]=TrafficData[[#This Row],[totalAmount]]</f>
        <v>1</v>
      </c>
      <c r="M1896" t="b">
        <f>TrafficData[[#This Row],[pendingCourt]]+TrafficData[[#This Row],[disposedCourt]]=TrafficData[[#This Row],[totalCourt]]</f>
        <v>1</v>
      </c>
      <c r="N1896" t="b">
        <f>AND(TrafficData[[#This Row],[disposedChallan]]&lt;=TrafficData[[#This Row],[totalChallan]],TrafficData[[#This Row],[pendingChallan]]&lt;=TrafficData[[#This Row],[totalChallan]])</f>
        <v>1</v>
      </c>
      <c r="O1896" t="b">
        <f>AND(TrafficData[[#This Row],[pendingAmount]]&lt;=TrafficData[[#This Row],[totalAmount]],TrafficData[[#This Row],[disposedAmount]]&lt;=TrafficData[[#This Row],[totalAmount]])</f>
        <v>1</v>
      </c>
      <c r="P1896" t="b">
        <f>AND(TrafficData[[#This Row],[pendingCourt]]&lt;=TrafficData[[#This Row],[totalCourt]],TrafficData[[#This Row],[disposedCourt]]&lt;=TrafficData[[#This Row],[totalCourt]])</f>
        <v>1</v>
      </c>
    </row>
    <row r="1897" spans="1:16">
      <c r="A1897" s="1">
        <v>43901</v>
      </c>
      <c r="B1897">
        <v>150868</v>
      </c>
      <c r="C1897">
        <v>52968</v>
      </c>
      <c r="D1897">
        <v>97900</v>
      </c>
      <c r="E1897">
        <v>17762218</v>
      </c>
      <c r="F1897">
        <v>44456326</v>
      </c>
      <c r="G1897">
        <v>62218544</v>
      </c>
      <c r="H1897">
        <v>75186</v>
      </c>
      <c r="I1897">
        <v>8730</v>
      </c>
      <c r="J1897">
        <v>83916</v>
      </c>
      <c r="K1897" t="b">
        <f>TrafficData[[#This Row],[disposedChallan]]+TrafficData[[#This Row],[pendingChallan]]=TrafficData[[#This Row],[totalChallan]]</f>
        <v>1</v>
      </c>
      <c r="L1897" t="b">
        <f>TrafficData[[#This Row],[pendingAmount]]+TrafficData[[#This Row],[disposedAmount]]=TrafficData[[#This Row],[totalAmount]]</f>
        <v>1</v>
      </c>
      <c r="M1897" t="b">
        <f>TrafficData[[#This Row],[pendingCourt]]+TrafficData[[#This Row],[disposedCourt]]=TrafficData[[#This Row],[totalCourt]]</f>
        <v>1</v>
      </c>
      <c r="N1897" t="b">
        <f>AND(TrafficData[[#This Row],[disposedChallan]]&lt;=TrafficData[[#This Row],[totalChallan]],TrafficData[[#This Row],[pendingChallan]]&lt;=TrafficData[[#This Row],[totalChallan]])</f>
        <v>1</v>
      </c>
      <c r="O1897" t="b">
        <f>AND(TrafficData[[#This Row],[pendingAmount]]&lt;=TrafficData[[#This Row],[totalAmount]],TrafficData[[#This Row],[disposedAmount]]&lt;=TrafficData[[#This Row],[totalAmount]])</f>
        <v>1</v>
      </c>
      <c r="P1897" t="b">
        <f>AND(TrafficData[[#This Row],[pendingCourt]]&lt;=TrafficData[[#This Row],[totalCourt]],TrafficData[[#This Row],[disposedCourt]]&lt;=TrafficData[[#This Row],[totalCourt]])</f>
        <v>1</v>
      </c>
    </row>
    <row r="1898" spans="1:16">
      <c r="A1898" s="1">
        <v>43902</v>
      </c>
      <c r="B1898">
        <v>175687</v>
      </c>
      <c r="C1898">
        <v>61915</v>
      </c>
      <c r="D1898">
        <v>113772</v>
      </c>
      <c r="E1898">
        <v>27255979</v>
      </c>
      <c r="F1898">
        <v>61092378</v>
      </c>
      <c r="G1898">
        <v>88348357</v>
      </c>
      <c r="H1898">
        <v>91397</v>
      </c>
      <c r="I1898">
        <v>11704</v>
      </c>
      <c r="J1898">
        <v>103101</v>
      </c>
      <c r="K1898" t="b">
        <f>TrafficData[[#This Row],[disposedChallan]]+TrafficData[[#This Row],[pendingChallan]]=TrafficData[[#This Row],[totalChallan]]</f>
        <v>1</v>
      </c>
      <c r="L1898" t="b">
        <f>TrafficData[[#This Row],[pendingAmount]]+TrafficData[[#This Row],[disposedAmount]]=TrafficData[[#This Row],[totalAmount]]</f>
        <v>1</v>
      </c>
      <c r="M1898" t="b">
        <f>TrafficData[[#This Row],[pendingCourt]]+TrafficData[[#This Row],[disposedCourt]]=TrafficData[[#This Row],[totalCourt]]</f>
        <v>1</v>
      </c>
      <c r="N1898" t="b">
        <f>AND(TrafficData[[#This Row],[disposedChallan]]&lt;=TrafficData[[#This Row],[totalChallan]],TrafficData[[#This Row],[pendingChallan]]&lt;=TrafficData[[#This Row],[totalChallan]])</f>
        <v>1</v>
      </c>
      <c r="O1898" t="b">
        <f>AND(TrafficData[[#This Row],[pendingAmount]]&lt;=TrafficData[[#This Row],[totalAmount]],TrafficData[[#This Row],[disposedAmount]]&lt;=TrafficData[[#This Row],[totalAmount]])</f>
        <v>1</v>
      </c>
      <c r="P1898" t="b">
        <f>AND(TrafficData[[#This Row],[pendingCourt]]&lt;=TrafficData[[#This Row],[totalCourt]],TrafficData[[#This Row],[disposedCourt]]&lt;=TrafficData[[#This Row],[totalCourt]])</f>
        <v>1</v>
      </c>
    </row>
    <row r="1899" spans="1:16">
      <c r="A1899" s="1">
        <v>43903</v>
      </c>
      <c r="B1899">
        <v>174420</v>
      </c>
      <c r="C1899">
        <v>62758</v>
      </c>
      <c r="D1899">
        <v>111662</v>
      </c>
      <c r="E1899">
        <v>26080500</v>
      </c>
      <c r="F1899">
        <v>75754802</v>
      </c>
      <c r="G1899">
        <v>101835302</v>
      </c>
      <c r="H1899">
        <v>89628</v>
      </c>
      <c r="I1899">
        <v>11777</v>
      </c>
      <c r="J1899">
        <v>101405</v>
      </c>
      <c r="K1899" t="b">
        <f>TrafficData[[#This Row],[disposedChallan]]+TrafficData[[#This Row],[pendingChallan]]=TrafficData[[#This Row],[totalChallan]]</f>
        <v>1</v>
      </c>
      <c r="L1899" t="b">
        <f>TrafficData[[#This Row],[pendingAmount]]+TrafficData[[#This Row],[disposedAmount]]=TrafficData[[#This Row],[totalAmount]]</f>
        <v>1</v>
      </c>
      <c r="M1899" t="b">
        <f>TrafficData[[#This Row],[pendingCourt]]+TrafficData[[#This Row],[disposedCourt]]=TrafficData[[#This Row],[totalCourt]]</f>
        <v>1</v>
      </c>
      <c r="N1899" t="b">
        <f>AND(TrafficData[[#This Row],[disposedChallan]]&lt;=TrafficData[[#This Row],[totalChallan]],TrafficData[[#This Row],[pendingChallan]]&lt;=TrafficData[[#This Row],[totalChallan]])</f>
        <v>1</v>
      </c>
      <c r="O1899" t="b">
        <f>AND(TrafficData[[#This Row],[pendingAmount]]&lt;=TrafficData[[#This Row],[totalAmount]],TrafficData[[#This Row],[disposedAmount]]&lt;=TrafficData[[#This Row],[totalAmount]])</f>
        <v>1</v>
      </c>
      <c r="P1899" t="b">
        <f>AND(TrafficData[[#This Row],[pendingCourt]]&lt;=TrafficData[[#This Row],[totalCourt]],TrafficData[[#This Row],[disposedCourt]]&lt;=TrafficData[[#This Row],[totalCourt]])</f>
        <v>1</v>
      </c>
    </row>
    <row r="1900" spans="1:16">
      <c r="A1900" s="1">
        <v>43904</v>
      </c>
      <c r="B1900">
        <v>147700</v>
      </c>
      <c r="C1900">
        <v>71697</v>
      </c>
      <c r="D1900">
        <v>76003</v>
      </c>
      <c r="E1900">
        <v>104133773</v>
      </c>
      <c r="F1900">
        <v>82635788</v>
      </c>
      <c r="G1900">
        <v>186769561</v>
      </c>
      <c r="H1900">
        <v>17191</v>
      </c>
      <c r="I1900">
        <v>14413</v>
      </c>
      <c r="J1900">
        <v>31604</v>
      </c>
      <c r="K1900" t="b">
        <f>TrafficData[[#This Row],[disposedChallan]]+TrafficData[[#This Row],[pendingChallan]]=TrafficData[[#This Row],[totalChallan]]</f>
        <v>1</v>
      </c>
      <c r="L1900" t="b">
        <f>TrafficData[[#This Row],[pendingAmount]]+TrafficData[[#This Row],[disposedAmount]]=TrafficData[[#This Row],[totalAmount]]</f>
        <v>1</v>
      </c>
      <c r="M1900" t="b">
        <f>TrafficData[[#This Row],[pendingCourt]]+TrafficData[[#This Row],[disposedCourt]]=TrafficData[[#This Row],[totalCourt]]</f>
        <v>1</v>
      </c>
      <c r="N1900" t="b">
        <f>AND(TrafficData[[#This Row],[disposedChallan]]&lt;=TrafficData[[#This Row],[totalChallan]],TrafficData[[#This Row],[pendingChallan]]&lt;=TrafficData[[#This Row],[totalChallan]])</f>
        <v>1</v>
      </c>
      <c r="O1900" t="b">
        <f>AND(TrafficData[[#This Row],[pendingAmount]]&lt;=TrafficData[[#This Row],[totalAmount]],TrafficData[[#This Row],[disposedAmount]]&lt;=TrafficData[[#This Row],[totalAmount]])</f>
        <v>1</v>
      </c>
      <c r="P1900" t="b">
        <f>AND(TrafficData[[#This Row],[pendingCourt]]&lt;=TrafficData[[#This Row],[totalCourt]],TrafficData[[#This Row],[disposedCourt]]&lt;=TrafficData[[#This Row],[totalCourt]])</f>
        <v>1</v>
      </c>
    </row>
    <row r="1901" spans="1:16">
      <c r="A1901" s="1">
        <v>43905</v>
      </c>
      <c r="B1901">
        <v>158270</v>
      </c>
      <c r="C1901">
        <v>73249</v>
      </c>
      <c r="D1901">
        <v>85021</v>
      </c>
      <c r="E1901">
        <v>123623217</v>
      </c>
      <c r="F1901">
        <v>90799726</v>
      </c>
      <c r="G1901">
        <v>214422943</v>
      </c>
      <c r="H1901">
        <v>28748</v>
      </c>
      <c r="I1901">
        <v>15227</v>
      </c>
      <c r="J1901">
        <v>43975</v>
      </c>
      <c r="K1901" t="b">
        <f>TrafficData[[#This Row],[disposedChallan]]+TrafficData[[#This Row],[pendingChallan]]=TrafficData[[#This Row],[totalChallan]]</f>
        <v>1</v>
      </c>
      <c r="L1901" t="b">
        <f>TrafficData[[#This Row],[pendingAmount]]+TrafficData[[#This Row],[disposedAmount]]=TrafficData[[#This Row],[totalAmount]]</f>
        <v>1</v>
      </c>
      <c r="M1901" t="b">
        <f>TrafficData[[#This Row],[pendingCourt]]+TrafficData[[#This Row],[disposedCourt]]=TrafficData[[#This Row],[totalCourt]]</f>
        <v>1</v>
      </c>
      <c r="N1901" t="b">
        <f>AND(TrafficData[[#This Row],[disposedChallan]]&lt;=TrafficData[[#This Row],[totalChallan]],TrafficData[[#This Row],[pendingChallan]]&lt;=TrafficData[[#This Row],[totalChallan]])</f>
        <v>1</v>
      </c>
      <c r="O1901" t="b">
        <f>AND(TrafficData[[#This Row],[pendingAmount]]&lt;=TrafficData[[#This Row],[totalAmount]],TrafficData[[#This Row],[disposedAmount]]&lt;=TrafficData[[#This Row],[totalAmount]])</f>
        <v>1</v>
      </c>
      <c r="P1901" t="b">
        <f>AND(TrafficData[[#This Row],[pendingCourt]]&lt;=TrafficData[[#This Row],[totalCourt]],TrafficData[[#This Row],[disposedCourt]]&lt;=TrafficData[[#This Row],[totalCourt]])</f>
        <v>1</v>
      </c>
    </row>
    <row r="1902" spans="1:16">
      <c r="A1902" s="1">
        <v>43906</v>
      </c>
      <c r="B1902">
        <v>164419</v>
      </c>
      <c r="C1902">
        <v>78859</v>
      </c>
      <c r="D1902">
        <v>85560</v>
      </c>
      <c r="E1902">
        <v>127576829</v>
      </c>
      <c r="F1902">
        <v>97635918</v>
      </c>
      <c r="G1902">
        <v>225212747</v>
      </c>
      <c r="H1902">
        <v>26453</v>
      </c>
      <c r="I1902">
        <v>11382</v>
      </c>
      <c r="J1902">
        <v>37835</v>
      </c>
      <c r="K1902" t="b">
        <f>TrafficData[[#This Row],[disposedChallan]]+TrafficData[[#This Row],[pendingChallan]]=TrafficData[[#This Row],[totalChallan]]</f>
        <v>1</v>
      </c>
      <c r="L1902" t="b">
        <f>TrafficData[[#This Row],[pendingAmount]]+TrafficData[[#This Row],[disposedAmount]]=TrafficData[[#This Row],[totalAmount]]</f>
        <v>1</v>
      </c>
      <c r="M1902" t="b">
        <f>TrafficData[[#This Row],[pendingCourt]]+TrafficData[[#This Row],[disposedCourt]]=TrafficData[[#This Row],[totalCourt]]</f>
        <v>1</v>
      </c>
      <c r="N1902" t="b">
        <f>AND(TrafficData[[#This Row],[disposedChallan]]&lt;=TrafficData[[#This Row],[totalChallan]],TrafficData[[#This Row],[pendingChallan]]&lt;=TrafficData[[#This Row],[totalChallan]])</f>
        <v>1</v>
      </c>
      <c r="O1902" t="b">
        <f>AND(TrafficData[[#This Row],[pendingAmount]]&lt;=TrafficData[[#This Row],[totalAmount]],TrafficData[[#This Row],[disposedAmount]]&lt;=TrafficData[[#This Row],[totalAmount]])</f>
        <v>1</v>
      </c>
      <c r="P1902" t="b">
        <f>AND(TrafficData[[#This Row],[pendingCourt]]&lt;=TrafficData[[#This Row],[totalCourt]],TrafficData[[#This Row],[disposedCourt]]&lt;=TrafficData[[#This Row],[totalCourt]])</f>
        <v>1</v>
      </c>
    </row>
    <row r="1903" spans="1:16">
      <c r="A1903" s="1">
        <v>43907</v>
      </c>
      <c r="B1903">
        <v>159426</v>
      </c>
      <c r="C1903">
        <v>75985</v>
      </c>
      <c r="D1903">
        <v>83441</v>
      </c>
      <c r="E1903">
        <v>124823655</v>
      </c>
      <c r="F1903">
        <v>96174103</v>
      </c>
      <c r="G1903">
        <v>220997758</v>
      </c>
      <c r="H1903">
        <v>19931</v>
      </c>
      <c r="I1903">
        <v>10404</v>
      </c>
      <c r="J1903">
        <v>30335</v>
      </c>
      <c r="K1903" t="b">
        <f>TrafficData[[#This Row],[disposedChallan]]+TrafficData[[#This Row],[pendingChallan]]=TrafficData[[#This Row],[totalChallan]]</f>
        <v>1</v>
      </c>
      <c r="L1903" t="b">
        <f>TrafficData[[#This Row],[pendingAmount]]+TrafficData[[#This Row],[disposedAmount]]=TrafficData[[#This Row],[totalAmount]]</f>
        <v>1</v>
      </c>
      <c r="M1903" t="b">
        <f>TrafficData[[#This Row],[pendingCourt]]+TrafficData[[#This Row],[disposedCourt]]=TrafficData[[#This Row],[totalCourt]]</f>
        <v>1</v>
      </c>
      <c r="N1903" t="b">
        <f>AND(TrafficData[[#This Row],[disposedChallan]]&lt;=TrafficData[[#This Row],[totalChallan]],TrafficData[[#This Row],[pendingChallan]]&lt;=TrafficData[[#This Row],[totalChallan]])</f>
        <v>1</v>
      </c>
      <c r="O1903" t="b">
        <f>AND(TrafficData[[#This Row],[pendingAmount]]&lt;=TrafficData[[#This Row],[totalAmount]],TrafficData[[#This Row],[disposedAmount]]&lt;=TrafficData[[#This Row],[totalAmount]])</f>
        <v>1</v>
      </c>
      <c r="P1903" t="b">
        <f>AND(TrafficData[[#This Row],[pendingCourt]]&lt;=TrafficData[[#This Row],[totalCourt]],TrafficData[[#This Row],[disposedCourt]]&lt;=TrafficData[[#This Row],[totalCourt]])</f>
        <v>1</v>
      </c>
    </row>
    <row r="1904" spans="1:16">
      <c r="A1904" s="1">
        <v>43908</v>
      </c>
      <c r="B1904">
        <v>158170</v>
      </c>
      <c r="C1904">
        <v>74927</v>
      </c>
      <c r="D1904">
        <v>83243</v>
      </c>
      <c r="E1904">
        <v>126581232</v>
      </c>
      <c r="F1904">
        <v>96520587</v>
      </c>
      <c r="G1904">
        <v>223101819</v>
      </c>
      <c r="H1904">
        <v>19566</v>
      </c>
      <c r="I1904">
        <v>11368</v>
      </c>
      <c r="J1904">
        <v>30934</v>
      </c>
      <c r="K1904" t="b">
        <f>TrafficData[[#This Row],[disposedChallan]]+TrafficData[[#This Row],[pendingChallan]]=TrafficData[[#This Row],[totalChallan]]</f>
        <v>1</v>
      </c>
      <c r="L1904" t="b">
        <f>TrafficData[[#This Row],[pendingAmount]]+TrafficData[[#This Row],[disposedAmount]]=TrafficData[[#This Row],[totalAmount]]</f>
        <v>1</v>
      </c>
      <c r="M1904" t="b">
        <f>TrafficData[[#This Row],[pendingCourt]]+TrafficData[[#This Row],[disposedCourt]]=TrafficData[[#This Row],[totalCourt]]</f>
        <v>1</v>
      </c>
      <c r="N1904" t="b">
        <f>AND(TrafficData[[#This Row],[disposedChallan]]&lt;=TrafficData[[#This Row],[totalChallan]],TrafficData[[#This Row],[pendingChallan]]&lt;=TrafficData[[#This Row],[totalChallan]])</f>
        <v>1</v>
      </c>
      <c r="O1904" t="b">
        <f>AND(TrafficData[[#This Row],[pendingAmount]]&lt;=TrafficData[[#This Row],[totalAmount]],TrafficData[[#This Row],[disposedAmount]]&lt;=TrafficData[[#This Row],[totalAmount]])</f>
        <v>1</v>
      </c>
      <c r="P1904" t="b">
        <f>AND(TrafficData[[#This Row],[pendingCourt]]&lt;=TrafficData[[#This Row],[totalCourt]],TrafficData[[#This Row],[disposedCourt]]&lt;=TrafficData[[#This Row],[totalCourt]])</f>
        <v>1</v>
      </c>
    </row>
    <row r="1905" spans="1:16">
      <c r="A1905" s="1">
        <v>43909</v>
      </c>
      <c r="B1905">
        <v>164232</v>
      </c>
      <c r="C1905">
        <v>75209</v>
      </c>
      <c r="D1905">
        <v>89023</v>
      </c>
      <c r="E1905">
        <v>135037728</v>
      </c>
      <c r="F1905">
        <v>93969364</v>
      </c>
      <c r="G1905">
        <v>229007092</v>
      </c>
      <c r="H1905">
        <v>18843</v>
      </c>
      <c r="I1905">
        <v>11029</v>
      </c>
      <c r="J1905">
        <v>29872</v>
      </c>
      <c r="K1905" t="b">
        <f>TrafficData[[#This Row],[disposedChallan]]+TrafficData[[#This Row],[pendingChallan]]=TrafficData[[#This Row],[totalChallan]]</f>
        <v>1</v>
      </c>
      <c r="L1905" t="b">
        <f>TrafficData[[#This Row],[pendingAmount]]+TrafficData[[#This Row],[disposedAmount]]=TrafficData[[#This Row],[totalAmount]]</f>
        <v>1</v>
      </c>
      <c r="M1905" t="b">
        <f>TrafficData[[#This Row],[pendingCourt]]+TrafficData[[#This Row],[disposedCourt]]=TrafficData[[#This Row],[totalCourt]]</f>
        <v>1</v>
      </c>
      <c r="N1905" t="b">
        <f>AND(TrafficData[[#This Row],[disposedChallan]]&lt;=TrafficData[[#This Row],[totalChallan]],TrafficData[[#This Row],[pendingChallan]]&lt;=TrafficData[[#This Row],[totalChallan]])</f>
        <v>1</v>
      </c>
      <c r="O1905" t="b">
        <f>AND(TrafficData[[#This Row],[pendingAmount]]&lt;=TrafficData[[#This Row],[totalAmount]],TrafficData[[#This Row],[disposedAmount]]&lt;=TrafficData[[#This Row],[totalAmount]])</f>
        <v>1</v>
      </c>
      <c r="P1905" t="b">
        <f>AND(TrafficData[[#This Row],[pendingCourt]]&lt;=TrafficData[[#This Row],[totalCourt]],TrafficData[[#This Row],[disposedCourt]]&lt;=TrafficData[[#This Row],[totalCourt]])</f>
        <v>1</v>
      </c>
    </row>
    <row r="1906" spans="1:16">
      <c r="A1906" s="1">
        <v>43910</v>
      </c>
      <c r="B1906">
        <v>151376</v>
      </c>
      <c r="C1906">
        <v>63333</v>
      </c>
      <c r="D1906">
        <v>88043</v>
      </c>
      <c r="E1906">
        <v>131180169</v>
      </c>
      <c r="F1906">
        <v>82751353</v>
      </c>
      <c r="G1906">
        <v>213931522</v>
      </c>
      <c r="H1906">
        <v>17718</v>
      </c>
      <c r="I1906">
        <v>7128</v>
      </c>
      <c r="J1906">
        <v>24846</v>
      </c>
      <c r="K1906" t="b">
        <f>TrafficData[[#This Row],[disposedChallan]]+TrafficData[[#This Row],[pendingChallan]]=TrafficData[[#This Row],[totalChallan]]</f>
        <v>1</v>
      </c>
      <c r="L1906" t="b">
        <f>TrafficData[[#This Row],[pendingAmount]]+TrafficData[[#This Row],[disposedAmount]]=TrafficData[[#This Row],[totalAmount]]</f>
        <v>1</v>
      </c>
      <c r="M1906" t="b">
        <f>TrafficData[[#This Row],[pendingCourt]]+TrafficData[[#This Row],[disposedCourt]]=TrafficData[[#This Row],[totalCourt]]</f>
        <v>1</v>
      </c>
      <c r="N1906" t="b">
        <f>AND(TrafficData[[#This Row],[disposedChallan]]&lt;=TrafficData[[#This Row],[totalChallan]],TrafficData[[#This Row],[pendingChallan]]&lt;=TrafficData[[#This Row],[totalChallan]])</f>
        <v>1</v>
      </c>
      <c r="O1906" t="b">
        <f>AND(TrafficData[[#This Row],[pendingAmount]]&lt;=TrafficData[[#This Row],[totalAmount]],TrafficData[[#This Row],[disposedAmount]]&lt;=TrafficData[[#This Row],[totalAmount]])</f>
        <v>1</v>
      </c>
      <c r="P1906" t="b">
        <f>AND(TrafficData[[#This Row],[pendingCourt]]&lt;=TrafficData[[#This Row],[totalCourt]],TrafficData[[#This Row],[disposedCourt]]&lt;=TrafficData[[#This Row],[totalCourt]])</f>
        <v>1</v>
      </c>
    </row>
    <row r="1907" spans="1:16">
      <c r="A1907" s="1">
        <v>43911</v>
      </c>
      <c r="B1907">
        <v>142211</v>
      </c>
      <c r="C1907">
        <v>56672</v>
      </c>
      <c r="D1907">
        <v>85539</v>
      </c>
      <c r="E1907">
        <v>123955875</v>
      </c>
      <c r="F1907">
        <v>68105829</v>
      </c>
      <c r="G1907">
        <v>192061704</v>
      </c>
      <c r="H1907">
        <v>15409</v>
      </c>
      <c r="I1907">
        <v>7697</v>
      </c>
      <c r="J1907">
        <v>23106</v>
      </c>
      <c r="K1907" t="b">
        <f>TrafficData[[#This Row],[disposedChallan]]+TrafficData[[#This Row],[pendingChallan]]=TrafficData[[#This Row],[totalChallan]]</f>
        <v>1</v>
      </c>
      <c r="L1907" t="b">
        <f>TrafficData[[#This Row],[pendingAmount]]+TrafficData[[#This Row],[disposedAmount]]=TrafficData[[#This Row],[totalAmount]]</f>
        <v>1</v>
      </c>
      <c r="M1907" t="b">
        <f>TrafficData[[#This Row],[pendingCourt]]+TrafficData[[#This Row],[disposedCourt]]=TrafficData[[#This Row],[totalCourt]]</f>
        <v>1</v>
      </c>
      <c r="N1907" t="b">
        <f>AND(TrafficData[[#This Row],[disposedChallan]]&lt;=TrafficData[[#This Row],[totalChallan]],TrafficData[[#This Row],[pendingChallan]]&lt;=TrafficData[[#This Row],[totalChallan]])</f>
        <v>1</v>
      </c>
      <c r="O1907" t="b">
        <f>AND(TrafficData[[#This Row],[pendingAmount]]&lt;=TrafficData[[#This Row],[totalAmount]],TrafficData[[#This Row],[disposedAmount]]&lt;=TrafficData[[#This Row],[totalAmount]])</f>
        <v>1</v>
      </c>
      <c r="P1907" t="b">
        <f>AND(TrafficData[[#This Row],[pendingCourt]]&lt;=TrafficData[[#This Row],[totalCourt]],TrafficData[[#This Row],[disposedCourt]]&lt;=TrafficData[[#This Row],[totalCourt]])</f>
        <v>1</v>
      </c>
    </row>
    <row r="1908" spans="1:16">
      <c r="A1908" s="1">
        <v>43912</v>
      </c>
      <c r="B1908">
        <v>42874</v>
      </c>
      <c r="C1908">
        <v>15470</v>
      </c>
      <c r="D1908">
        <v>27404</v>
      </c>
      <c r="E1908">
        <v>42535720</v>
      </c>
      <c r="F1908">
        <v>21515481</v>
      </c>
      <c r="G1908">
        <v>64051201</v>
      </c>
      <c r="H1908">
        <v>6284</v>
      </c>
      <c r="I1908">
        <v>3031</v>
      </c>
      <c r="J1908">
        <v>9315</v>
      </c>
      <c r="K1908" t="b">
        <f>TrafficData[[#This Row],[disposedChallan]]+TrafficData[[#This Row],[pendingChallan]]=TrafficData[[#This Row],[totalChallan]]</f>
        <v>1</v>
      </c>
      <c r="L1908" t="b">
        <f>TrafficData[[#This Row],[pendingAmount]]+TrafficData[[#This Row],[disposedAmount]]=TrafficData[[#This Row],[totalAmount]]</f>
        <v>1</v>
      </c>
      <c r="M1908" t="b">
        <f>TrafficData[[#This Row],[pendingCourt]]+TrafficData[[#This Row],[disposedCourt]]=TrafficData[[#This Row],[totalCourt]]</f>
        <v>1</v>
      </c>
      <c r="N1908" t="b">
        <f>AND(TrafficData[[#This Row],[disposedChallan]]&lt;=TrafficData[[#This Row],[totalChallan]],TrafficData[[#This Row],[pendingChallan]]&lt;=TrafficData[[#This Row],[totalChallan]])</f>
        <v>1</v>
      </c>
      <c r="O1908" t="b">
        <f>AND(TrafficData[[#This Row],[pendingAmount]]&lt;=TrafficData[[#This Row],[totalAmount]],TrafficData[[#This Row],[disposedAmount]]&lt;=TrafficData[[#This Row],[totalAmount]])</f>
        <v>1</v>
      </c>
      <c r="P1908" t="b">
        <f>AND(TrafficData[[#This Row],[pendingCourt]]&lt;=TrafficData[[#This Row],[totalCourt]],TrafficData[[#This Row],[disposedCourt]]&lt;=TrafficData[[#This Row],[totalCourt]])</f>
        <v>1</v>
      </c>
    </row>
    <row r="1909" spans="1:16">
      <c r="A1909" s="1">
        <v>43913</v>
      </c>
      <c r="B1909">
        <v>97574</v>
      </c>
      <c r="C1909">
        <v>43672</v>
      </c>
      <c r="D1909">
        <v>53902</v>
      </c>
      <c r="E1909">
        <v>76042055</v>
      </c>
      <c r="F1909">
        <v>48232757</v>
      </c>
      <c r="G1909">
        <v>124274812</v>
      </c>
      <c r="H1909">
        <v>15176</v>
      </c>
      <c r="I1909">
        <v>8517</v>
      </c>
      <c r="J1909">
        <v>23693</v>
      </c>
      <c r="K1909" t="b">
        <f>TrafficData[[#This Row],[disposedChallan]]+TrafficData[[#This Row],[pendingChallan]]=TrafficData[[#This Row],[totalChallan]]</f>
        <v>1</v>
      </c>
      <c r="L1909" t="b">
        <f>TrafficData[[#This Row],[pendingAmount]]+TrafficData[[#This Row],[disposedAmount]]=TrafficData[[#This Row],[totalAmount]]</f>
        <v>1</v>
      </c>
      <c r="M1909" t="b">
        <f>TrafficData[[#This Row],[pendingCourt]]+TrafficData[[#This Row],[disposedCourt]]=TrafficData[[#This Row],[totalCourt]]</f>
        <v>1</v>
      </c>
      <c r="N1909" t="b">
        <f>AND(TrafficData[[#This Row],[disposedChallan]]&lt;=TrafficData[[#This Row],[totalChallan]],TrafficData[[#This Row],[pendingChallan]]&lt;=TrafficData[[#This Row],[totalChallan]])</f>
        <v>1</v>
      </c>
      <c r="O1909" t="b">
        <f>AND(TrafficData[[#This Row],[pendingAmount]]&lt;=TrafficData[[#This Row],[totalAmount]],TrafficData[[#This Row],[disposedAmount]]&lt;=TrafficData[[#This Row],[totalAmount]])</f>
        <v>1</v>
      </c>
      <c r="P1909" t="b">
        <f>AND(TrafficData[[#This Row],[pendingCourt]]&lt;=TrafficData[[#This Row],[totalCourt]],TrafficData[[#This Row],[disposedCourt]]&lt;=TrafficData[[#This Row],[totalCourt]])</f>
        <v>1</v>
      </c>
    </row>
    <row r="1910" spans="1:16">
      <c r="A1910" s="1">
        <v>43914</v>
      </c>
      <c r="B1910">
        <v>73047</v>
      </c>
      <c r="C1910">
        <v>35077</v>
      </c>
      <c r="D1910">
        <v>37970</v>
      </c>
      <c r="E1910">
        <v>60769515</v>
      </c>
      <c r="F1910">
        <v>40356457</v>
      </c>
      <c r="G1910">
        <v>101125972</v>
      </c>
      <c r="H1910">
        <v>18262</v>
      </c>
      <c r="I1910">
        <v>9347</v>
      </c>
      <c r="J1910">
        <v>27609</v>
      </c>
      <c r="K1910" t="b">
        <f>TrafficData[[#This Row],[disposedChallan]]+TrafficData[[#This Row],[pendingChallan]]=TrafficData[[#This Row],[totalChallan]]</f>
        <v>1</v>
      </c>
      <c r="L1910" t="b">
        <f>TrafficData[[#This Row],[pendingAmount]]+TrafficData[[#This Row],[disposedAmount]]=TrafficData[[#This Row],[totalAmount]]</f>
        <v>1</v>
      </c>
      <c r="M1910" t="b">
        <f>TrafficData[[#This Row],[pendingCourt]]+TrafficData[[#This Row],[disposedCourt]]=TrafficData[[#This Row],[totalCourt]]</f>
        <v>1</v>
      </c>
      <c r="N1910" t="b">
        <f>AND(TrafficData[[#This Row],[disposedChallan]]&lt;=TrafficData[[#This Row],[totalChallan]],TrafficData[[#This Row],[pendingChallan]]&lt;=TrafficData[[#This Row],[totalChallan]])</f>
        <v>1</v>
      </c>
      <c r="O1910" t="b">
        <f>AND(TrafficData[[#This Row],[pendingAmount]]&lt;=TrafficData[[#This Row],[totalAmount]],TrafficData[[#This Row],[disposedAmount]]&lt;=TrafficData[[#This Row],[totalAmount]])</f>
        <v>1</v>
      </c>
      <c r="P1910" t="b">
        <f>AND(TrafficData[[#This Row],[pendingCourt]]&lt;=TrafficData[[#This Row],[totalCourt]],TrafficData[[#This Row],[disposedCourt]]&lt;=TrafficData[[#This Row],[totalCourt]])</f>
        <v>1</v>
      </c>
    </row>
    <row r="1911" spans="1:16">
      <c r="A1911" s="1">
        <v>43915</v>
      </c>
      <c r="B1911">
        <v>53059</v>
      </c>
      <c r="C1911">
        <v>24636</v>
      </c>
      <c r="D1911">
        <v>28423</v>
      </c>
      <c r="E1911">
        <v>40767894</v>
      </c>
      <c r="F1911">
        <v>26295786</v>
      </c>
      <c r="G1911">
        <v>67063680</v>
      </c>
      <c r="H1911">
        <v>13161</v>
      </c>
      <c r="I1911">
        <v>6590</v>
      </c>
      <c r="J1911">
        <v>19751</v>
      </c>
      <c r="K1911" t="b">
        <f>TrafficData[[#This Row],[disposedChallan]]+TrafficData[[#This Row],[pendingChallan]]=TrafficData[[#This Row],[totalChallan]]</f>
        <v>1</v>
      </c>
      <c r="L1911" t="b">
        <f>TrafficData[[#This Row],[pendingAmount]]+TrafficData[[#This Row],[disposedAmount]]=TrafficData[[#This Row],[totalAmount]]</f>
        <v>1</v>
      </c>
      <c r="M1911" t="b">
        <f>TrafficData[[#This Row],[pendingCourt]]+TrafficData[[#This Row],[disposedCourt]]=TrafficData[[#This Row],[totalCourt]]</f>
        <v>1</v>
      </c>
      <c r="N1911" t="b">
        <f>AND(TrafficData[[#This Row],[disposedChallan]]&lt;=TrafficData[[#This Row],[totalChallan]],TrafficData[[#This Row],[pendingChallan]]&lt;=TrafficData[[#This Row],[totalChallan]])</f>
        <v>1</v>
      </c>
      <c r="O1911" t="b">
        <f>AND(TrafficData[[#This Row],[pendingAmount]]&lt;=TrafficData[[#This Row],[totalAmount]],TrafficData[[#This Row],[disposedAmount]]&lt;=TrafficData[[#This Row],[totalAmount]])</f>
        <v>1</v>
      </c>
      <c r="P1911" t="b">
        <f>AND(TrafficData[[#This Row],[pendingCourt]]&lt;=TrafficData[[#This Row],[totalCourt]],TrafficData[[#This Row],[disposedCourt]]&lt;=TrafficData[[#This Row],[totalCourt]])</f>
        <v>1</v>
      </c>
    </row>
    <row r="1912" spans="1:16">
      <c r="A1912" s="1">
        <v>43916</v>
      </c>
      <c r="B1912">
        <v>48015</v>
      </c>
      <c r="C1912">
        <v>20669</v>
      </c>
      <c r="D1912">
        <v>27346</v>
      </c>
      <c r="E1912">
        <v>35948581</v>
      </c>
      <c r="F1912">
        <v>21413801</v>
      </c>
      <c r="G1912">
        <v>57362382</v>
      </c>
      <c r="H1912">
        <v>10386</v>
      </c>
      <c r="I1912">
        <v>4822</v>
      </c>
      <c r="J1912">
        <v>15208</v>
      </c>
      <c r="K1912" t="b">
        <f>TrafficData[[#This Row],[disposedChallan]]+TrafficData[[#This Row],[pendingChallan]]=TrafficData[[#This Row],[totalChallan]]</f>
        <v>1</v>
      </c>
      <c r="L1912" t="b">
        <f>TrafficData[[#This Row],[pendingAmount]]+TrafficData[[#This Row],[disposedAmount]]=TrafficData[[#This Row],[totalAmount]]</f>
        <v>1</v>
      </c>
      <c r="M1912" t="b">
        <f>TrafficData[[#This Row],[pendingCourt]]+TrafficData[[#This Row],[disposedCourt]]=TrafficData[[#This Row],[totalCourt]]</f>
        <v>1</v>
      </c>
      <c r="N1912" t="b">
        <f>AND(TrafficData[[#This Row],[disposedChallan]]&lt;=TrafficData[[#This Row],[totalChallan]],TrafficData[[#This Row],[pendingChallan]]&lt;=TrafficData[[#This Row],[totalChallan]])</f>
        <v>1</v>
      </c>
      <c r="O1912" t="b">
        <f>AND(TrafficData[[#This Row],[pendingAmount]]&lt;=TrafficData[[#This Row],[totalAmount]],TrafficData[[#This Row],[disposedAmount]]&lt;=TrafficData[[#This Row],[totalAmount]])</f>
        <v>1</v>
      </c>
      <c r="P1912" t="b">
        <f>AND(TrafficData[[#This Row],[pendingCourt]]&lt;=TrafficData[[#This Row],[totalCourt]],TrafficData[[#This Row],[disposedCourt]]&lt;=TrafficData[[#This Row],[totalCourt]])</f>
        <v>1</v>
      </c>
    </row>
    <row r="1913" spans="1:16">
      <c r="A1913" s="1">
        <v>43917</v>
      </c>
      <c r="B1913">
        <v>42563</v>
      </c>
      <c r="C1913">
        <v>17705</v>
      </c>
      <c r="D1913">
        <v>24858</v>
      </c>
      <c r="E1913">
        <v>32185307</v>
      </c>
      <c r="F1913">
        <v>17698954</v>
      </c>
      <c r="G1913">
        <v>49884261</v>
      </c>
      <c r="H1913">
        <v>7159</v>
      </c>
      <c r="I1913">
        <v>3943</v>
      </c>
      <c r="J1913">
        <v>11102</v>
      </c>
      <c r="K1913" t="b">
        <f>TrafficData[[#This Row],[disposedChallan]]+TrafficData[[#This Row],[pendingChallan]]=TrafficData[[#This Row],[totalChallan]]</f>
        <v>1</v>
      </c>
      <c r="L1913" t="b">
        <f>TrafficData[[#This Row],[pendingAmount]]+TrafficData[[#This Row],[disposedAmount]]=TrafficData[[#This Row],[totalAmount]]</f>
        <v>1</v>
      </c>
      <c r="M1913" t="b">
        <f>TrafficData[[#This Row],[pendingCourt]]+TrafficData[[#This Row],[disposedCourt]]=TrafficData[[#This Row],[totalCourt]]</f>
        <v>1</v>
      </c>
      <c r="N1913" t="b">
        <f>AND(TrafficData[[#This Row],[disposedChallan]]&lt;=TrafficData[[#This Row],[totalChallan]],TrafficData[[#This Row],[pendingChallan]]&lt;=TrafficData[[#This Row],[totalChallan]])</f>
        <v>1</v>
      </c>
      <c r="O1913" t="b">
        <f>AND(TrafficData[[#This Row],[pendingAmount]]&lt;=TrafficData[[#This Row],[totalAmount]],TrafficData[[#This Row],[disposedAmount]]&lt;=TrafficData[[#This Row],[totalAmount]])</f>
        <v>1</v>
      </c>
      <c r="P1913" t="b">
        <f>AND(TrafficData[[#This Row],[pendingCourt]]&lt;=TrafficData[[#This Row],[totalCourt]],TrafficData[[#This Row],[disposedCourt]]&lt;=TrafficData[[#This Row],[totalCourt]])</f>
        <v>1</v>
      </c>
    </row>
    <row r="1914" spans="1:16">
      <c r="A1914" s="1">
        <v>43918</v>
      </c>
      <c r="B1914">
        <v>38587</v>
      </c>
      <c r="C1914">
        <v>16306</v>
      </c>
      <c r="D1914">
        <v>22281</v>
      </c>
      <c r="E1914">
        <v>28588690</v>
      </c>
      <c r="F1914">
        <v>16198240</v>
      </c>
      <c r="G1914">
        <v>44786930</v>
      </c>
      <c r="H1914">
        <v>6550</v>
      </c>
      <c r="I1914">
        <v>3588</v>
      </c>
      <c r="J1914">
        <v>10138</v>
      </c>
      <c r="K1914" t="b">
        <f>TrafficData[[#This Row],[disposedChallan]]+TrafficData[[#This Row],[pendingChallan]]=TrafficData[[#This Row],[totalChallan]]</f>
        <v>1</v>
      </c>
      <c r="L1914" t="b">
        <f>TrafficData[[#This Row],[pendingAmount]]+TrafficData[[#This Row],[disposedAmount]]=TrafficData[[#This Row],[totalAmount]]</f>
        <v>1</v>
      </c>
      <c r="M1914" t="b">
        <f>TrafficData[[#This Row],[pendingCourt]]+TrafficData[[#This Row],[disposedCourt]]=TrafficData[[#This Row],[totalCourt]]</f>
        <v>1</v>
      </c>
      <c r="N1914" t="b">
        <f>AND(TrafficData[[#This Row],[disposedChallan]]&lt;=TrafficData[[#This Row],[totalChallan]],TrafficData[[#This Row],[pendingChallan]]&lt;=TrafficData[[#This Row],[totalChallan]])</f>
        <v>1</v>
      </c>
      <c r="O1914" t="b">
        <f>AND(TrafficData[[#This Row],[pendingAmount]]&lt;=TrafficData[[#This Row],[totalAmount]],TrafficData[[#This Row],[disposedAmount]]&lt;=TrafficData[[#This Row],[totalAmount]])</f>
        <v>1</v>
      </c>
      <c r="P1914" t="b">
        <f>AND(TrafficData[[#This Row],[pendingCourt]]&lt;=TrafficData[[#This Row],[totalCourt]],TrafficData[[#This Row],[disposedCourt]]&lt;=TrafficData[[#This Row],[totalCourt]])</f>
        <v>1</v>
      </c>
    </row>
    <row r="1915" spans="1:16">
      <c r="A1915" s="1">
        <v>43919</v>
      </c>
      <c r="B1915">
        <v>35462</v>
      </c>
      <c r="C1915">
        <v>14310</v>
      </c>
      <c r="D1915">
        <v>21152</v>
      </c>
      <c r="E1915">
        <v>25517370</v>
      </c>
      <c r="F1915">
        <v>14568958</v>
      </c>
      <c r="G1915">
        <v>40086328</v>
      </c>
      <c r="H1915">
        <v>6505</v>
      </c>
      <c r="I1915">
        <v>3374</v>
      </c>
      <c r="J1915">
        <v>9879</v>
      </c>
      <c r="K1915" t="b">
        <f>TrafficData[[#This Row],[disposedChallan]]+TrafficData[[#This Row],[pendingChallan]]=TrafficData[[#This Row],[totalChallan]]</f>
        <v>1</v>
      </c>
      <c r="L1915" t="b">
        <f>TrafficData[[#This Row],[pendingAmount]]+TrafficData[[#This Row],[disposedAmount]]=TrafficData[[#This Row],[totalAmount]]</f>
        <v>1</v>
      </c>
      <c r="M1915" t="b">
        <f>TrafficData[[#This Row],[pendingCourt]]+TrafficData[[#This Row],[disposedCourt]]=TrafficData[[#This Row],[totalCourt]]</f>
        <v>1</v>
      </c>
      <c r="N1915" t="b">
        <f>AND(TrafficData[[#This Row],[disposedChallan]]&lt;=TrafficData[[#This Row],[totalChallan]],TrafficData[[#This Row],[pendingChallan]]&lt;=TrafficData[[#This Row],[totalChallan]])</f>
        <v>1</v>
      </c>
      <c r="O1915" t="b">
        <f>AND(TrafficData[[#This Row],[pendingAmount]]&lt;=TrafficData[[#This Row],[totalAmount]],TrafficData[[#This Row],[disposedAmount]]&lt;=TrafficData[[#This Row],[totalAmount]])</f>
        <v>1</v>
      </c>
      <c r="P1915" t="b">
        <f>AND(TrafficData[[#This Row],[pendingCourt]]&lt;=TrafficData[[#This Row],[totalCourt]],TrafficData[[#This Row],[disposedCourt]]&lt;=TrafficData[[#This Row],[totalCourt]])</f>
        <v>1</v>
      </c>
    </row>
    <row r="1916" spans="1:16">
      <c r="A1916" s="1">
        <v>43920</v>
      </c>
      <c r="B1916">
        <v>49416</v>
      </c>
      <c r="C1916">
        <v>20305</v>
      </c>
      <c r="D1916">
        <v>29111</v>
      </c>
      <c r="E1916">
        <v>36580495</v>
      </c>
      <c r="F1916">
        <v>20796095</v>
      </c>
      <c r="G1916">
        <v>57376590</v>
      </c>
      <c r="H1916">
        <v>9235</v>
      </c>
      <c r="I1916">
        <v>4819</v>
      </c>
      <c r="J1916">
        <v>14054</v>
      </c>
      <c r="K1916" t="b">
        <f>TrafficData[[#This Row],[disposedChallan]]+TrafficData[[#This Row],[pendingChallan]]=TrafficData[[#This Row],[totalChallan]]</f>
        <v>1</v>
      </c>
      <c r="L1916" t="b">
        <f>TrafficData[[#This Row],[pendingAmount]]+TrafficData[[#This Row],[disposedAmount]]=TrafficData[[#This Row],[totalAmount]]</f>
        <v>1</v>
      </c>
      <c r="M1916" t="b">
        <f>TrafficData[[#This Row],[pendingCourt]]+TrafficData[[#This Row],[disposedCourt]]=TrafficData[[#This Row],[totalCourt]]</f>
        <v>1</v>
      </c>
      <c r="N1916" t="b">
        <f>AND(TrafficData[[#This Row],[disposedChallan]]&lt;=TrafficData[[#This Row],[totalChallan]],TrafficData[[#This Row],[pendingChallan]]&lt;=TrafficData[[#This Row],[totalChallan]])</f>
        <v>1</v>
      </c>
      <c r="O1916" t="b">
        <f>AND(TrafficData[[#This Row],[pendingAmount]]&lt;=TrafficData[[#This Row],[totalAmount]],TrafficData[[#This Row],[disposedAmount]]&lt;=TrafficData[[#This Row],[totalAmount]])</f>
        <v>1</v>
      </c>
      <c r="P1916" t="b">
        <f>AND(TrafficData[[#This Row],[pendingCourt]]&lt;=TrafficData[[#This Row],[totalCourt]],TrafficData[[#This Row],[disposedCourt]]&lt;=TrafficData[[#This Row],[totalCourt]])</f>
        <v>1</v>
      </c>
    </row>
    <row r="1917" spans="1:16">
      <c r="A1917" s="1">
        <v>43921</v>
      </c>
      <c r="B1917">
        <v>54470</v>
      </c>
      <c r="C1917">
        <v>21702</v>
      </c>
      <c r="D1917">
        <v>32768</v>
      </c>
      <c r="E1917">
        <v>39402195</v>
      </c>
      <c r="F1917">
        <v>21470350</v>
      </c>
      <c r="G1917">
        <v>60872545</v>
      </c>
      <c r="H1917">
        <v>11396</v>
      </c>
      <c r="I1917">
        <v>4649</v>
      </c>
      <c r="J1917">
        <v>16045</v>
      </c>
      <c r="K1917" t="b">
        <f>TrafficData[[#This Row],[disposedChallan]]+TrafficData[[#This Row],[pendingChallan]]=TrafficData[[#This Row],[totalChallan]]</f>
        <v>1</v>
      </c>
      <c r="L1917" t="b">
        <f>TrafficData[[#This Row],[pendingAmount]]+TrafficData[[#This Row],[disposedAmount]]=TrafficData[[#This Row],[totalAmount]]</f>
        <v>1</v>
      </c>
      <c r="M1917" t="b">
        <f>TrafficData[[#This Row],[pendingCourt]]+TrafficData[[#This Row],[disposedCourt]]=TrafficData[[#This Row],[totalCourt]]</f>
        <v>1</v>
      </c>
      <c r="N1917" t="b">
        <f>AND(TrafficData[[#This Row],[disposedChallan]]&lt;=TrafficData[[#This Row],[totalChallan]],TrafficData[[#This Row],[pendingChallan]]&lt;=TrafficData[[#This Row],[totalChallan]])</f>
        <v>1</v>
      </c>
      <c r="O1917" t="b">
        <f>AND(TrafficData[[#This Row],[pendingAmount]]&lt;=TrafficData[[#This Row],[totalAmount]],TrafficData[[#This Row],[disposedAmount]]&lt;=TrafficData[[#This Row],[totalAmount]])</f>
        <v>1</v>
      </c>
      <c r="P1917" t="b">
        <f>AND(TrafficData[[#This Row],[pendingCourt]]&lt;=TrafficData[[#This Row],[totalCourt]],TrafficData[[#This Row],[disposedCourt]]&lt;=TrafficData[[#This Row],[totalCourt]])</f>
        <v>1</v>
      </c>
    </row>
    <row r="1918" spans="1:16">
      <c r="A1918" s="1">
        <v>43922</v>
      </c>
      <c r="B1918">
        <v>49376</v>
      </c>
      <c r="C1918">
        <v>21468</v>
      </c>
      <c r="D1918">
        <v>27908</v>
      </c>
      <c r="E1918">
        <v>32646450</v>
      </c>
      <c r="F1918">
        <v>20009195</v>
      </c>
      <c r="G1918">
        <v>52655645</v>
      </c>
      <c r="H1918">
        <v>10173</v>
      </c>
      <c r="I1918">
        <v>5357</v>
      </c>
      <c r="J1918">
        <v>15530</v>
      </c>
      <c r="K1918" t="b">
        <f>TrafficData[[#This Row],[disposedChallan]]+TrafficData[[#This Row],[pendingChallan]]=TrafficData[[#This Row],[totalChallan]]</f>
        <v>1</v>
      </c>
      <c r="L1918" t="b">
        <f>TrafficData[[#This Row],[pendingAmount]]+TrafficData[[#This Row],[disposedAmount]]=TrafficData[[#This Row],[totalAmount]]</f>
        <v>1</v>
      </c>
      <c r="M1918" t="b">
        <f>TrafficData[[#This Row],[pendingCourt]]+TrafficData[[#This Row],[disposedCourt]]=TrafficData[[#This Row],[totalCourt]]</f>
        <v>1</v>
      </c>
      <c r="N1918" t="b">
        <f>AND(TrafficData[[#This Row],[disposedChallan]]&lt;=TrafficData[[#This Row],[totalChallan]],TrafficData[[#This Row],[pendingChallan]]&lt;=TrafficData[[#This Row],[totalChallan]])</f>
        <v>1</v>
      </c>
      <c r="O1918" t="b">
        <f>AND(TrafficData[[#This Row],[pendingAmount]]&lt;=TrafficData[[#This Row],[totalAmount]],TrafficData[[#This Row],[disposedAmount]]&lt;=TrafficData[[#This Row],[totalAmount]])</f>
        <v>1</v>
      </c>
      <c r="P1918" t="b">
        <f>AND(TrafficData[[#This Row],[pendingCourt]]&lt;=TrafficData[[#This Row],[totalCourt]],TrafficData[[#This Row],[disposedCourt]]&lt;=TrafficData[[#This Row],[totalCourt]])</f>
        <v>1</v>
      </c>
    </row>
    <row r="1919" spans="1:16">
      <c r="A1919" s="1">
        <v>43923</v>
      </c>
      <c r="B1919">
        <v>45937</v>
      </c>
      <c r="C1919">
        <v>20351</v>
      </c>
      <c r="D1919">
        <v>25586</v>
      </c>
      <c r="E1919">
        <v>30416035</v>
      </c>
      <c r="F1919">
        <v>17299398</v>
      </c>
      <c r="G1919">
        <v>47715433</v>
      </c>
      <c r="H1919">
        <v>10697</v>
      </c>
      <c r="I1919">
        <v>5253</v>
      </c>
      <c r="J1919">
        <v>15950</v>
      </c>
      <c r="K1919" t="b">
        <f>TrafficData[[#This Row],[disposedChallan]]+TrafficData[[#This Row],[pendingChallan]]=TrafficData[[#This Row],[totalChallan]]</f>
        <v>1</v>
      </c>
      <c r="L1919" t="b">
        <f>TrafficData[[#This Row],[pendingAmount]]+TrafficData[[#This Row],[disposedAmount]]=TrafficData[[#This Row],[totalAmount]]</f>
        <v>1</v>
      </c>
      <c r="M1919" t="b">
        <f>TrafficData[[#This Row],[pendingCourt]]+TrafficData[[#This Row],[disposedCourt]]=TrafficData[[#This Row],[totalCourt]]</f>
        <v>1</v>
      </c>
      <c r="N1919" t="b">
        <f>AND(TrafficData[[#This Row],[disposedChallan]]&lt;=TrafficData[[#This Row],[totalChallan]],TrafficData[[#This Row],[pendingChallan]]&lt;=TrafficData[[#This Row],[totalChallan]])</f>
        <v>1</v>
      </c>
      <c r="O1919" t="b">
        <f>AND(TrafficData[[#This Row],[pendingAmount]]&lt;=TrafficData[[#This Row],[totalAmount]],TrafficData[[#This Row],[disposedAmount]]&lt;=TrafficData[[#This Row],[totalAmount]])</f>
        <v>1</v>
      </c>
      <c r="P1919" t="b">
        <f>AND(TrafficData[[#This Row],[pendingCourt]]&lt;=TrafficData[[#This Row],[totalCourt]],TrafficData[[#This Row],[disposedCourt]]&lt;=TrafficData[[#This Row],[totalCourt]])</f>
        <v>1</v>
      </c>
    </row>
    <row r="1920" spans="1:16">
      <c r="A1920" s="1">
        <v>43924</v>
      </c>
      <c r="B1920">
        <v>52882</v>
      </c>
      <c r="C1920">
        <v>23503</v>
      </c>
      <c r="D1920">
        <v>29379</v>
      </c>
      <c r="E1920">
        <v>38787560</v>
      </c>
      <c r="F1920">
        <v>21453055</v>
      </c>
      <c r="G1920">
        <v>60240615</v>
      </c>
      <c r="H1920">
        <v>10451</v>
      </c>
      <c r="I1920">
        <v>5919</v>
      </c>
      <c r="J1920">
        <v>16370</v>
      </c>
      <c r="K1920" t="b">
        <f>TrafficData[[#This Row],[disposedChallan]]+TrafficData[[#This Row],[pendingChallan]]=TrafficData[[#This Row],[totalChallan]]</f>
        <v>1</v>
      </c>
      <c r="L1920" t="b">
        <f>TrafficData[[#This Row],[pendingAmount]]+TrafficData[[#This Row],[disposedAmount]]=TrafficData[[#This Row],[totalAmount]]</f>
        <v>1</v>
      </c>
      <c r="M1920" t="b">
        <f>TrafficData[[#This Row],[pendingCourt]]+TrafficData[[#This Row],[disposedCourt]]=TrafficData[[#This Row],[totalCourt]]</f>
        <v>1</v>
      </c>
      <c r="N1920" t="b">
        <f>AND(TrafficData[[#This Row],[disposedChallan]]&lt;=TrafficData[[#This Row],[totalChallan]],TrafficData[[#This Row],[pendingChallan]]&lt;=TrafficData[[#This Row],[totalChallan]])</f>
        <v>1</v>
      </c>
      <c r="O1920" t="b">
        <f>AND(TrafficData[[#This Row],[pendingAmount]]&lt;=TrafficData[[#This Row],[totalAmount]],TrafficData[[#This Row],[disposedAmount]]&lt;=TrafficData[[#This Row],[totalAmount]])</f>
        <v>1</v>
      </c>
      <c r="P1920" t="b">
        <f>AND(TrafficData[[#This Row],[pendingCourt]]&lt;=TrafficData[[#This Row],[totalCourt]],TrafficData[[#This Row],[disposedCourt]]&lt;=TrafficData[[#This Row],[totalCourt]])</f>
        <v>1</v>
      </c>
    </row>
    <row r="1921" spans="1:16">
      <c r="A1921" s="1">
        <v>43925</v>
      </c>
      <c r="B1921">
        <v>54628</v>
      </c>
      <c r="C1921">
        <v>22506</v>
      </c>
      <c r="D1921">
        <v>32122</v>
      </c>
      <c r="E1921">
        <v>40300795</v>
      </c>
      <c r="F1921">
        <v>22142231</v>
      </c>
      <c r="G1921">
        <v>62443026</v>
      </c>
      <c r="H1921">
        <v>12973</v>
      </c>
      <c r="I1921">
        <v>4911</v>
      </c>
      <c r="J1921">
        <v>17884</v>
      </c>
      <c r="K1921" t="b">
        <f>TrafficData[[#This Row],[disposedChallan]]+TrafficData[[#This Row],[pendingChallan]]=TrafficData[[#This Row],[totalChallan]]</f>
        <v>1</v>
      </c>
      <c r="L1921" t="b">
        <f>TrafficData[[#This Row],[pendingAmount]]+TrafficData[[#This Row],[disposedAmount]]=TrafficData[[#This Row],[totalAmount]]</f>
        <v>1</v>
      </c>
      <c r="M1921" t="b">
        <f>TrafficData[[#This Row],[pendingCourt]]+TrafficData[[#This Row],[disposedCourt]]=TrafficData[[#This Row],[totalCourt]]</f>
        <v>1</v>
      </c>
      <c r="N1921" t="b">
        <f>AND(TrafficData[[#This Row],[disposedChallan]]&lt;=TrafficData[[#This Row],[totalChallan]],TrafficData[[#This Row],[pendingChallan]]&lt;=TrafficData[[#This Row],[totalChallan]])</f>
        <v>1</v>
      </c>
      <c r="O1921" t="b">
        <f>AND(TrafficData[[#This Row],[pendingAmount]]&lt;=TrafficData[[#This Row],[totalAmount]],TrafficData[[#This Row],[disposedAmount]]&lt;=TrafficData[[#This Row],[totalAmount]])</f>
        <v>1</v>
      </c>
      <c r="P1921" t="b">
        <f>AND(TrafficData[[#This Row],[pendingCourt]]&lt;=TrafficData[[#This Row],[totalCourt]],TrafficData[[#This Row],[disposedCourt]]&lt;=TrafficData[[#This Row],[totalCourt]])</f>
        <v>1</v>
      </c>
    </row>
    <row r="1922" spans="1:16">
      <c r="A1922" s="1">
        <v>43926</v>
      </c>
      <c r="B1922">
        <v>45483</v>
      </c>
      <c r="C1922">
        <v>18418</v>
      </c>
      <c r="D1922">
        <v>27065</v>
      </c>
      <c r="E1922">
        <v>31928061</v>
      </c>
      <c r="F1922">
        <v>17091385</v>
      </c>
      <c r="G1922">
        <v>49019446</v>
      </c>
      <c r="H1922">
        <v>12166</v>
      </c>
      <c r="I1922">
        <v>4225</v>
      </c>
      <c r="J1922">
        <v>16391</v>
      </c>
      <c r="K1922" t="b">
        <f>TrafficData[[#This Row],[disposedChallan]]+TrafficData[[#This Row],[pendingChallan]]=TrafficData[[#This Row],[totalChallan]]</f>
        <v>1</v>
      </c>
      <c r="L1922" t="b">
        <f>TrafficData[[#This Row],[pendingAmount]]+TrafficData[[#This Row],[disposedAmount]]=TrafficData[[#This Row],[totalAmount]]</f>
        <v>1</v>
      </c>
      <c r="M1922" t="b">
        <f>TrafficData[[#This Row],[pendingCourt]]+TrafficData[[#This Row],[disposedCourt]]=TrafficData[[#This Row],[totalCourt]]</f>
        <v>1</v>
      </c>
      <c r="N1922" t="b">
        <f>AND(TrafficData[[#This Row],[disposedChallan]]&lt;=TrafficData[[#This Row],[totalChallan]],TrafficData[[#This Row],[pendingChallan]]&lt;=TrafficData[[#This Row],[totalChallan]])</f>
        <v>1</v>
      </c>
      <c r="O1922" t="b">
        <f>AND(TrafficData[[#This Row],[pendingAmount]]&lt;=TrafficData[[#This Row],[totalAmount]],TrafficData[[#This Row],[disposedAmount]]&lt;=TrafficData[[#This Row],[totalAmount]])</f>
        <v>1</v>
      </c>
      <c r="P1922" t="b">
        <f>AND(TrafficData[[#This Row],[pendingCourt]]&lt;=TrafficData[[#This Row],[totalCourt]],TrafficData[[#This Row],[disposedCourt]]&lt;=TrafficData[[#This Row],[totalCourt]])</f>
        <v>1</v>
      </c>
    </row>
    <row r="1923" spans="1:16">
      <c r="A1923" s="1">
        <v>43927</v>
      </c>
      <c r="B1923">
        <v>54417</v>
      </c>
      <c r="C1923">
        <v>22852</v>
      </c>
      <c r="D1923">
        <v>31565</v>
      </c>
      <c r="E1923">
        <v>38193461</v>
      </c>
      <c r="F1923">
        <v>21922493</v>
      </c>
      <c r="G1923">
        <v>60115954</v>
      </c>
      <c r="H1923">
        <v>14818</v>
      </c>
      <c r="I1923">
        <v>4481</v>
      </c>
      <c r="J1923">
        <v>19299</v>
      </c>
      <c r="K1923" t="b">
        <f>TrafficData[[#This Row],[disposedChallan]]+TrafficData[[#This Row],[pendingChallan]]=TrafficData[[#This Row],[totalChallan]]</f>
        <v>1</v>
      </c>
      <c r="L1923" t="b">
        <f>TrafficData[[#This Row],[pendingAmount]]+TrafficData[[#This Row],[disposedAmount]]=TrafficData[[#This Row],[totalAmount]]</f>
        <v>1</v>
      </c>
      <c r="M1923" t="b">
        <f>TrafficData[[#This Row],[pendingCourt]]+TrafficData[[#This Row],[disposedCourt]]=TrafficData[[#This Row],[totalCourt]]</f>
        <v>1</v>
      </c>
      <c r="N1923" t="b">
        <f>AND(TrafficData[[#This Row],[disposedChallan]]&lt;=TrafficData[[#This Row],[totalChallan]],TrafficData[[#This Row],[pendingChallan]]&lt;=TrafficData[[#This Row],[totalChallan]])</f>
        <v>1</v>
      </c>
      <c r="O1923" t="b">
        <f>AND(TrafficData[[#This Row],[pendingAmount]]&lt;=TrafficData[[#This Row],[totalAmount]],TrafficData[[#This Row],[disposedAmount]]&lt;=TrafficData[[#This Row],[totalAmount]])</f>
        <v>1</v>
      </c>
      <c r="P1923" t="b">
        <f>AND(TrafficData[[#This Row],[pendingCourt]]&lt;=TrafficData[[#This Row],[totalCourt]],TrafficData[[#This Row],[disposedCourt]]&lt;=TrafficData[[#This Row],[totalCourt]])</f>
        <v>1</v>
      </c>
    </row>
    <row r="1924" spans="1:16">
      <c r="A1924" s="1">
        <v>43928</v>
      </c>
      <c r="B1924">
        <v>61269</v>
      </c>
      <c r="C1924">
        <v>26420</v>
      </c>
      <c r="D1924">
        <v>34849</v>
      </c>
      <c r="E1924">
        <v>44829120</v>
      </c>
      <c r="F1924">
        <v>25921071</v>
      </c>
      <c r="G1924">
        <v>70750191</v>
      </c>
      <c r="H1924">
        <v>14293</v>
      </c>
      <c r="I1924">
        <v>4715</v>
      </c>
      <c r="J1924">
        <v>19008</v>
      </c>
      <c r="K1924" t="b">
        <f>TrafficData[[#This Row],[disposedChallan]]+TrafficData[[#This Row],[pendingChallan]]=TrafficData[[#This Row],[totalChallan]]</f>
        <v>1</v>
      </c>
      <c r="L1924" t="b">
        <f>TrafficData[[#This Row],[pendingAmount]]+TrafficData[[#This Row],[disposedAmount]]=TrafficData[[#This Row],[totalAmount]]</f>
        <v>1</v>
      </c>
      <c r="M1924" t="b">
        <f>TrafficData[[#This Row],[pendingCourt]]+TrafficData[[#This Row],[disposedCourt]]=TrafficData[[#This Row],[totalCourt]]</f>
        <v>1</v>
      </c>
      <c r="N1924" t="b">
        <f>AND(TrafficData[[#This Row],[disposedChallan]]&lt;=TrafficData[[#This Row],[totalChallan]],TrafficData[[#This Row],[pendingChallan]]&lt;=TrafficData[[#This Row],[totalChallan]])</f>
        <v>1</v>
      </c>
      <c r="O1924" t="b">
        <f>AND(TrafficData[[#This Row],[pendingAmount]]&lt;=TrafficData[[#This Row],[totalAmount]],TrafficData[[#This Row],[disposedAmount]]&lt;=TrafficData[[#This Row],[totalAmount]])</f>
        <v>1</v>
      </c>
      <c r="P1924" t="b">
        <f>AND(TrafficData[[#This Row],[pendingCourt]]&lt;=TrafficData[[#This Row],[totalCourt]],TrafficData[[#This Row],[disposedCourt]]&lt;=TrafficData[[#This Row],[totalCourt]])</f>
        <v>1</v>
      </c>
    </row>
    <row r="1925" spans="1:16">
      <c r="A1925" s="1">
        <v>43929</v>
      </c>
      <c r="B1925">
        <v>67083</v>
      </c>
      <c r="C1925">
        <v>29164</v>
      </c>
      <c r="D1925">
        <v>37919</v>
      </c>
      <c r="E1925">
        <v>46223800</v>
      </c>
      <c r="F1925">
        <v>26083253</v>
      </c>
      <c r="G1925">
        <v>72307053</v>
      </c>
      <c r="H1925">
        <v>17450</v>
      </c>
      <c r="I1925">
        <v>6478</v>
      </c>
      <c r="J1925">
        <v>23928</v>
      </c>
      <c r="K1925" t="b">
        <f>TrafficData[[#This Row],[disposedChallan]]+TrafficData[[#This Row],[pendingChallan]]=TrafficData[[#This Row],[totalChallan]]</f>
        <v>1</v>
      </c>
      <c r="L1925" t="b">
        <f>TrafficData[[#This Row],[pendingAmount]]+TrafficData[[#This Row],[disposedAmount]]=TrafficData[[#This Row],[totalAmount]]</f>
        <v>1</v>
      </c>
      <c r="M1925" t="b">
        <f>TrafficData[[#This Row],[pendingCourt]]+TrafficData[[#This Row],[disposedCourt]]=TrafficData[[#This Row],[totalCourt]]</f>
        <v>1</v>
      </c>
      <c r="N1925" t="b">
        <f>AND(TrafficData[[#This Row],[disposedChallan]]&lt;=TrafficData[[#This Row],[totalChallan]],TrafficData[[#This Row],[pendingChallan]]&lt;=TrafficData[[#This Row],[totalChallan]])</f>
        <v>1</v>
      </c>
      <c r="O1925" t="b">
        <f>AND(TrafficData[[#This Row],[pendingAmount]]&lt;=TrafficData[[#This Row],[totalAmount]],TrafficData[[#This Row],[disposedAmount]]&lt;=TrafficData[[#This Row],[totalAmount]])</f>
        <v>1</v>
      </c>
      <c r="P1925" t="b">
        <f>AND(TrafficData[[#This Row],[pendingCourt]]&lt;=TrafficData[[#This Row],[totalCourt]],TrafficData[[#This Row],[disposedCourt]]&lt;=TrafficData[[#This Row],[totalCourt]])</f>
        <v>1</v>
      </c>
    </row>
    <row r="1926" spans="1:16">
      <c r="A1926" s="1">
        <v>43930</v>
      </c>
      <c r="B1926">
        <v>63886</v>
      </c>
      <c r="C1926">
        <v>27979</v>
      </c>
      <c r="D1926">
        <v>35907</v>
      </c>
      <c r="E1926">
        <v>43785700</v>
      </c>
      <c r="F1926">
        <v>24972876</v>
      </c>
      <c r="G1926">
        <v>68758576</v>
      </c>
      <c r="H1926">
        <v>14871</v>
      </c>
      <c r="I1926">
        <v>5456</v>
      </c>
      <c r="J1926">
        <v>20327</v>
      </c>
      <c r="K1926" t="b">
        <f>TrafficData[[#This Row],[disposedChallan]]+TrafficData[[#This Row],[pendingChallan]]=TrafficData[[#This Row],[totalChallan]]</f>
        <v>1</v>
      </c>
      <c r="L1926" t="b">
        <f>TrafficData[[#This Row],[pendingAmount]]+TrafficData[[#This Row],[disposedAmount]]=TrafficData[[#This Row],[totalAmount]]</f>
        <v>1</v>
      </c>
      <c r="M1926" t="b">
        <f>TrafficData[[#This Row],[pendingCourt]]+TrafficData[[#This Row],[disposedCourt]]=TrafficData[[#This Row],[totalCourt]]</f>
        <v>1</v>
      </c>
      <c r="N1926" t="b">
        <f>AND(TrafficData[[#This Row],[disposedChallan]]&lt;=TrafficData[[#This Row],[totalChallan]],TrafficData[[#This Row],[pendingChallan]]&lt;=TrafficData[[#This Row],[totalChallan]])</f>
        <v>1</v>
      </c>
      <c r="O1926" t="b">
        <f>AND(TrafficData[[#This Row],[pendingAmount]]&lt;=TrafficData[[#This Row],[totalAmount]],TrafficData[[#This Row],[disposedAmount]]&lt;=TrafficData[[#This Row],[totalAmount]])</f>
        <v>1</v>
      </c>
      <c r="P1926" t="b">
        <f>AND(TrafficData[[#This Row],[pendingCourt]]&lt;=TrafficData[[#This Row],[totalCourt]],TrafficData[[#This Row],[disposedCourt]]&lt;=TrafficData[[#This Row],[totalCourt]])</f>
        <v>1</v>
      </c>
    </row>
    <row r="1927" spans="1:16">
      <c r="A1927" s="1">
        <v>43931</v>
      </c>
      <c r="B1927">
        <v>57835</v>
      </c>
      <c r="C1927">
        <v>25710</v>
      </c>
      <c r="D1927">
        <v>32125</v>
      </c>
      <c r="E1927">
        <v>42882220</v>
      </c>
      <c r="F1927">
        <v>24018517</v>
      </c>
      <c r="G1927">
        <v>66900737</v>
      </c>
      <c r="H1927">
        <v>12089</v>
      </c>
      <c r="I1927">
        <v>4937</v>
      </c>
      <c r="J1927">
        <v>17026</v>
      </c>
      <c r="K1927" t="b">
        <f>TrafficData[[#This Row],[disposedChallan]]+TrafficData[[#This Row],[pendingChallan]]=TrafficData[[#This Row],[totalChallan]]</f>
        <v>1</v>
      </c>
      <c r="L1927" t="b">
        <f>TrafficData[[#This Row],[pendingAmount]]+TrafficData[[#This Row],[disposedAmount]]=TrafficData[[#This Row],[totalAmount]]</f>
        <v>1</v>
      </c>
      <c r="M1927" t="b">
        <f>TrafficData[[#This Row],[pendingCourt]]+TrafficData[[#This Row],[disposedCourt]]=TrafficData[[#This Row],[totalCourt]]</f>
        <v>1</v>
      </c>
      <c r="N1927" t="b">
        <f>AND(TrafficData[[#This Row],[disposedChallan]]&lt;=TrafficData[[#This Row],[totalChallan]],TrafficData[[#This Row],[pendingChallan]]&lt;=TrafficData[[#This Row],[totalChallan]])</f>
        <v>1</v>
      </c>
      <c r="O1927" t="b">
        <f>AND(TrafficData[[#This Row],[pendingAmount]]&lt;=TrafficData[[#This Row],[totalAmount]],TrafficData[[#This Row],[disposedAmount]]&lt;=TrafficData[[#This Row],[totalAmount]])</f>
        <v>1</v>
      </c>
      <c r="P1927" t="b">
        <f>AND(TrafficData[[#This Row],[pendingCourt]]&lt;=TrafficData[[#This Row],[totalCourt]],TrafficData[[#This Row],[disposedCourt]]&lt;=TrafficData[[#This Row],[totalCourt]])</f>
        <v>1</v>
      </c>
    </row>
    <row r="1928" spans="1:16">
      <c r="A1928" s="1">
        <v>43932</v>
      </c>
      <c r="B1928">
        <v>61024</v>
      </c>
      <c r="C1928">
        <v>26530</v>
      </c>
      <c r="D1928">
        <v>34494</v>
      </c>
      <c r="E1928">
        <v>46712980</v>
      </c>
      <c r="F1928">
        <v>25976712</v>
      </c>
      <c r="G1928">
        <v>72689692</v>
      </c>
      <c r="H1928">
        <v>14852</v>
      </c>
      <c r="I1928">
        <v>4572</v>
      </c>
      <c r="J1928">
        <v>19424</v>
      </c>
      <c r="K1928" t="b">
        <f>TrafficData[[#This Row],[disposedChallan]]+TrafficData[[#This Row],[pendingChallan]]=TrafficData[[#This Row],[totalChallan]]</f>
        <v>1</v>
      </c>
      <c r="L1928" t="b">
        <f>TrafficData[[#This Row],[pendingAmount]]+TrafficData[[#This Row],[disposedAmount]]=TrafficData[[#This Row],[totalAmount]]</f>
        <v>1</v>
      </c>
      <c r="M1928" t="b">
        <f>TrafficData[[#This Row],[pendingCourt]]+TrafficData[[#This Row],[disposedCourt]]=TrafficData[[#This Row],[totalCourt]]</f>
        <v>1</v>
      </c>
      <c r="N1928" t="b">
        <f>AND(TrafficData[[#This Row],[disposedChallan]]&lt;=TrafficData[[#This Row],[totalChallan]],TrafficData[[#This Row],[pendingChallan]]&lt;=TrafficData[[#This Row],[totalChallan]])</f>
        <v>1</v>
      </c>
      <c r="O1928" t="b">
        <f>AND(TrafficData[[#This Row],[pendingAmount]]&lt;=TrafficData[[#This Row],[totalAmount]],TrafficData[[#This Row],[disposedAmount]]&lt;=TrafficData[[#This Row],[totalAmount]])</f>
        <v>1</v>
      </c>
      <c r="P1928" t="b">
        <f>AND(TrafficData[[#This Row],[pendingCourt]]&lt;=TrafficData[[#This Row],[totalCourt]],TrafficData[[#This Row],[disposedCourt]]&lt;=TrafficData[[#This Row],[totalCourt]])</f>
        <v>1</v>
      </c>
    </row>
    <row r="1929" spans="1:16">
      <c r="A1929" s="1">
        <v>43933</v>
      </c>
      <c r="B1929">
        <v>53950</v>
      </c>
      <c r="C1929">
        <v>23064</v>
      </c>
      <c r="D1929">
        <v>30886</v>
      </c>
      <c r="E1929">
        <v>40837060</v>
      </c>
      <c r="F1929">
        <v>21437932</v>
      </c>
      <c r="G1929">
        <v>62274992</v>
      </c>
      <c r="H1929">
        <v>13190</v>
      </c>
      <c r="I1929">
        <v>4721</v>
      </c>
      <c r="J1929">
        <v>17911</v>
      </c>
      <c r="K1929" t="b">
        <f>TrafficData[[#This Row],[disposedChallan]]+TrafficData[[#This Row],[pendingChallan]]=TrafficData[[#This Row],[totalChallan]]</f>
        <v>1</v>
      </c>
      <c r="L1929" t="b">
        <f>TrafficData[[#This Row],[pendingAmount]]+TrafficData[[#This Row],[disposedAmount]]=TrafficData[[#This Row],[totalAmount]]</f>
        <v>1</v>
      </c>
      <c r="M1929" t="b">
        <f>TrafficData[[#This Row],[pendingCourt]]+TrafficData[[#This Row],[disposedCourt]]=TrafficData[[#This Row],[totalCourt]]</f>
        <v>1</v>
      </c>
      <c r="N1929" t="b">
        <f>AND(TrafficData[[#This Row],[disposedChallan]]&lt;=TrafficData[[#This Row],[totalChallan]],TrafficData[[#This Row],[pendingChallan]]&lt;=TrafficData[[#This Row],[totalChallan]])</f>
        <v>1</v>
      </c>
      <c r="O1929" t="b">
        <f>AND(TrafficData[[#This Row],[pendingAmount]]&lt;=TrafficData[[#This Row],[totalAmount]],TrafficData[[#This Row],[disposedAmount]]&lt;=TrafficData[[#This Row],[totalAmount]])</f>
        <v>1</v>
      </c>
      <c r="P1929" t="b">
        <f>AND(TrafficData[[#This Row],[pendingCourt]]&lt;=TrafficData[[#This Row],[totalCourt]],TrafficData[[#This Row],[disposedCourt]]&lt;=TrafficData[[#This Row],[totalCourt]])</f>
        <v>1</v>
      </c>
    </row>
    <row r="1930" spans="1:16">
      <c r="A1930" s="1">
        <v>43934</v>
      </c>
      <c r="B1930">
        <v>69587</v>
      </c>
      <c r="C1930">
        <v>31208</v>
      </c>
      <c r="D1930">
        <v>38379</v>
      </c>
      <c r="E1930">
        <v>51513610</v>
      </c>
      <c r="F1930">
        <v>31096422</v>
      </c>
      <c r="G1930">
        <v>82610032</v>
      </c>
      <c r="H1930">
        <v>16803</v>
      </c>
      <c r="I1930">
        <v>5428</v>
      </c>
      <c r="J1930">
        <v>22231</v>
      </c>
      <c r="K1930" t="b">
        <f>TrafficData[[#This Row],[disposedChallan]]+TrafficData[[#This Row],[pendingChallan]]=TrafficData[[#This Row],[totalChallan]]</f>
        <v>1</v>
      </c>
      <c r="L1930" t="b">
        <f>TrafficData[[#This Row],[pendingAmount]]+TrafficData[[#This Row],[disposedAmount]]=TrafficData[[#This Row],[totalAmount]]</f>
        <v>1</v>
      </c>
      <c r="M1930" t="b">
        <f>TrafficData[[#This Row],[pendingCourt]]+TrafficData[[#This Row],[disposedCourt]]=TrafficData[[#This Row],[totalCourt]]</f>
        <v>1</v>
      </c>
      <c r="N1930" t="b">
        <f>AND(TrafficData[[#This Row],[disposedChallan]]&lt;=TrafficData[[#This Row],[totalChallan]],TrafficData[[#This Row],[pendingChallan]]&lt;=TrafficData[[#This Row],[totalChallan]])</f>
        <v>1</v>
      </c>
      <c r="O1930" t="b">
        <f>AND(TrafficData[[#This Row],[pendingAmount]]&lt;=TrafficData[[#This Row],[totalAmount]],TrafficData[[#This Row],[disposedAmount]]&lt;=TrafficData[[#This Row],[totalAmount]])</f>
        <v>1</v>
      </c>
      <c r="P1930" t="b">
        <f>AND(TrafficData[[#This Row],[pendingCourt]]&lt;=TrafficData[[#This Row],[totalCourt]],TrafficData[[#This Row],[disposedCourt]]&lt;=TrafficData[[#This Row],[totalCourt]])</f>
        <v>1</v>
      </c>
    </row>
    <row r="1931" spans="1:16">
      <c r="A1931" s="1">
        <v>43935</v>
      </c>
      <c r="B1931">
        <v>64555</v>
      </c>
      <c r="C1931">
        <v>30414</v>
      </c>
      <c r="D1931">
        <v>34141</v>
      </c>
      <c r="E1931">
        <v>46422118</v>
      </c>
      <c r="F1931">
        <v>32061980</v>
      </c>
      <c r="G1931">
        <v>78484098</v>
      </c>
      <c r="H1931">
        <v>19943</v>
      </c>
      <c r="I1931">
        <v>5655</v>
      </c>
      <c r="J1931">
        <v>25598</v>
      </c>
      <c r="K1931" t="b">
        <f>TrafficData[[#This Row],[disposedChallan]]+TrafficData[[#This Row],[pendingChallan]]=TrafficData[[#This Row],[totalChallan]]</f>
        <v>1</v>
      </c>
      <c r="L1931" t="b">
        <f>TrafficData[[#This Row],[pendingAmount]]+TrafficData[[#This Row],[disposedAmount]]=TrafficData[[#This Row],[totalAmount]]</f>
        <v>1</v>
      </c>
      <c r="M1931" t="b">
        <f>TrafficData[[#This Row],[pendingCourt]]+TrafficData[[#This Row],[disposedCourt]]=TrafficData[[#This Row],[totalCourt]]</f>
        <v>1</v>
      </c>
      <c r="N1931" t="b">
        <f>AND(TrafficData[[#This Row],[disposedChallan]]&lt;=TrafficData[[#This Row],[totalChallan]],TrafficData[[#This Row],[pendingChallan]]&lt;=TrafficData[[#This Row],[totalChallan]])</f>
        <v>1</v>
      </c>
      <c r="O1931" t="b">
        <f>AND(TrafficData[[#This Row],[pendingAmount]]&lt;=TrafficData[[#This Row],[totalAmount]],TrafficData[[#This Row],[disposedAmount]]&lt;=TrafficData[[#This Row],[totalAmount]])</f>
        <v>1</v>
      </c>
      <c r="P1931" t="b">
        <f>AND(TrafficData[[#This Row],[pendingCourt]]&lt;=TrafficData[[#This Row],[totalCourt]],TrafficData[[#This Row],[disposedCourt]]&lt;=TrafficData[[#This Row],[totalCourt]])</f>
        <v>1</v>
      </c>
    </row>
    <row r="1932" spans="1:16">
      <c r="A1932" s="1">
        <v>43936</v>
      </c>
      <c r="B1932">
        <v>75208</v>
      </c>
      <c r="C1932">
        <v>35242</v>
      </c>
      <c r="D1932">
        <v>39966</v>
      </c>
      <c r="E1932">
        <v>54528290</v>
      </c>
      <c r="F1932">
        <v>35896171</v>
      </c>
      <c r="G1932">
        <v>90424461</v>
      </c>
      <c r="H1932">
        <v>22667</v>
      </c>
      <c r="I1932">
        <v>6471</v>
      </c>
      <c r="J1932">
        <v>29138</v>
      </c>
      <c r="K1932" t="b">
        <f>TrafficData[[#This Row],[disposedChallan]]+TrafficData[[#This Row],[pendingChallan]]=TrafficData[[#This Row],[totalChallan]]</f>
        <v>1</v>
      </c>
      <c r="L1932" t="b">
        <f>TrafficData[[#This Row],[pendingAmount]]+TrafficData[[#This Row],[disposedAmount]]=TrafficData[[#This Row],[totalAmount]]</f>
        <v>1</v>
      </c>
      <c r="M1932" t="b">
        <f>TrafficData[[#This Row],[pendingCourt]]+TrafficData[[#This Row],[disposedCourt]]=TrafficData[[#This Row],[totalCourt]]</f>
        <v>1</v>
      </c>
      <c r="N1932" t="b">
        <f>AND(TrafficData[[#This Row],[disposedChallan]]&lt;=TrafficData[[#This Row],[totalChallan]],TrafficData[[#This Row],[pendingChallan]]&lt;=TrafficData[[#This Row],[totalChallan]])</f>
        <v>1</v>
      </c>
      <c r="O1932" t="b">
        <f>AND(TrafficData[[#This Row],[pendingAmount]]&lt;=TrafficData[[#This Row],[totalAmount]],TrafficData[[#This Row],[disposedAmount]]&lt;=TrafficData[[#This Row],[totalAmount]])</f>
        <v>1</v>
      </c>
      <c r="P1932" t="b">
        <f>AND(TrafficData[[#This Row],[pendingCourt]]&lt;=TrafficData[[#This Row],[totalCourt]],TrafficData[[#This Row],[disposedCourt]]&lt;=TrafficData[[#This Row],[totalCourt]])</f>
        <v>1</v>
      </c>
    </row>
    <row r="1933" spans="1:16">
      <c r="A1933" s="1">
        <v>43937</v>
      </c>
      <c r="B1933">
        <v>78671</v>
      </c>
      <c r="C1933">
        <v>36259</v>
      </c>
      <c r="D1933">
        <v>42412</v>
      </c>
      <c r="E1933">
        <v>54937600</v>
      </c>
      <c r="F1933">
        <v>33761344</v>
      </c>
      <c r="G1933">
        <v>88698944</v>
      </c>
      <c r="H1933">
        <v>20047</v>
      </c>
      <c r="I1933">
        <v>6733</v>
      </c>
      <c r="J1933">
        <v>26780</v>
      </c>
      <c r="K1933" t="b">
        <f>TrafficData[[#This Row],[disposedChallan]]+TrafficData[[#This Row],[pendingChallan]]=TrafficData[[#This Row],[totalChallan]]</f>
        <v>1</v>
      </c>
      <c r="L1933" t="b">
        <f>TrafficData[[#This Row],[pendingAmount]]+TrafficData[[#This Row],[disposedAmount]]=TrafficData[[#This Row],[totalAmount]]</f>
        <v>1</v>
      </c>
      <c r="M1933" t="b">
        <f>TrafficData[[#This Row],[pendingCourt]]+TrafficData[[#This Row],[disposedCourt]]=TrafficData[[#This Row],[totalCourt]]</f>
        <v>1</v>
      </c>
      <c r="N1933" t="b">
        <f>AND(TrafficData[[#This Row],[disposedChallan]]&lt;=TrafficData[[#This Row],[totalChallan]],TrafficData[[#This Row],[pendingChallan]]&lt;=TrafficData[[#This Row],[totalChallan]])</f>
        <v>1</v>
      </c>
      <c r="O1933" t="b">
        <f>AND(TrafficData[[#This Row],[pendingAmount]]&lt;=TrafficData[[#This Row],[totalAmount]],TrafficData[[#This Row],[disposedAmount]]&lt;=TrafficData[[#This Row],[totalAmount]])</f>
        <v>1</v>
      </c>
      <c r="P1933" t="b">
        <f>AND(TrafficData[[#This Row],[pendingCourt]]&lt;=TrafficData[[#This Row],[totalCourt]],TrafficData[[#This Row],[disposedCourt]]&lt;=TrafficData[[#This Row],[totalCourt]])</f>
        <v>1</v>
      </c>
    </row>
    <row r="1934" spans="1:16">
      <c r="A1934" s="1">
        <v>43938</v>
      </c>
      <c r="B1934">
        <v>86057</v>
      </c>
      <c r="C1934">
        <v>40449</v>
      </c>
      <c r="D1934">
        <v>45608</v>
      </c>
      <c r="E1934">
        <v>53403095</v>
      </c>
      <c r="F1934">
        <v>36051574</v>
      </c>
      <c r="G1934">
        <v>89454669</v>
      </c>
      <c r="H1934">
        <v>22631</v>
      </c>
      <c r="I1934">
        <v>5801</v>
      </c>
      <c r="J1934">
        <v>28432</v>
      </c>
      <c r="K1934" t="b">
        <f>TrafficData[[#This Row],[disposedChallan]]+TrafficData[[#This Row],[pendingChallan]]=TrafficData[[#This Row],[totalChallan]]</f>
        <v>1</v>
      </c>
      <c r="L1934" t="b">
        <f>TrafficData[[#This Row],[pendingAmount]]+TrafficData[[#This Row],[disposedAmount]]=TrafficData[[#This Row],[totalAmount]]</f>
        <v>1</v>
      </c>
      <c r="M1934" t="b">
        <f>TrafficData[[#This Row],[pendingCourt]]+TrafficData[[#This Row],[disposedCourt]]=TrafficData[[#This Row],[totalCourt]]</f>
        <v>1</v>
      </c>
      <c r="N1934" t="b">
        <f>AND(TrafficData[[#This Row],[disposedChallan]]&lt;=TrafficData[[#This Row],[totalChallan]],TrafficData[[#This Row],[pendingChallan]]&lt;=TrafficData[[#This Row],[totalChallan]])</f>
        <v>1</v>
      </c>
      <c r="O1934" t="b">
        <f>AND(TrafficData[[#This Row],[pendingAmount]]&lt;=TrafficData[[#This Row],[totalAmount]],TrafficData[[#This Row],[disposedAmount]]&lt;=TrafficData[[#This Row],[totalAmount]])</f>
        <v>1</v>
      </c>
      <c r="P1934" t="b">
        <f>AND(TrafficData[[#This Row],[pendingCourt]]&lt;=TrafficData[[#This Row],[totalCourt]],TrafficData[[#This Row],[disposedCourt]]&lt;=TrafficData[[#This Row],[totalCourt]])</f>
        <v>1</v>
      </c>
    </row>
    <row r="1935" spans="1:16">
      <c r="A1935" s="1">
        <v>43939</v>
      </c>
      <c r="B1935">
        <v>89430</v>
      </c>
      <c r="C1935">
        <v>42436</v>
      </c>
      <c r="D1935">
        <v>46994</v>
      </c>
      <c r="E1935">
        <v>47476010</v>
      </c>
      <c r="F1935">
        <v>36802084</v>
      </c>
      <c r="G1935">
        <v>84278094</v>
      </c>
      <c r="H1935">
        <v>25981</v>
      </c>
      <c r="I1935">
        <v>9170</v>
      </c>
      <c r="J1935">
        <v>35151</v>
      </c>
      <c r="K1935" t="b">
        <f>TrafficData[[#This Row],[disposedChallan]]+TrafficData[[#This Row],[pendingChallan]]=TrafficData[[#This Row],[totalChallan]]</f>
        <v>1</v>
      </c>
      <c r="L1935" t="b">
        <f>TrafficData[[#This Row],[pendingAmount]]+TrafficData[[#This Row],[disposedAmount]]=TrafficData[[#This Row],[totalAmount]]</f>
        <v>1</v>
      </c>
      <c r="M1935" t="b">
        <f>TrafficData[[#This Row],[pendingCourt]]+TrafficData[[#This Row],[disposedCourt]]=TrafficData[[#This Row],[totalCourt]]</f>
        <v>1</v>
      </c>
      <c r="N1935" t="b">
        <f>AND(TrafficData[[#This Row],[disposedChallan]]&lt;=TrafficData[[#This Row],[totalChallan]],TrafficData[[#This Row],[pendingChallan]]&lt;=TrafficData[[#This Row],[totalChallan]])</f>
        <v>1</v>
      </c>
      <c r="O1935" t="b">
        <f>AND(TrafficData[[#This Row],[pendingAmount]]&lt;=TrafficData[[#This Row],[totalAmount]],TrafficData[[#This Row],[disposedAmount]]&lt;=TrafficData[[#This Row],[totalAmount]])</f>
        <v>1</v>
      </c>
      <c r="P1935" t="b">
        <f>AND(TrafficData[[#This Row],[pendingCourt]]&lt;=TrafficData[[#This Row],[totalCourt]],TrafficData[[#This Row],[disposedCourt]]&lt;=TrafficData[[#This Row],[totalCourt]])</f>
        <v>1</v>
      </c>
    </row>
    <row r="1936" spans="1:16">
      <c r="A1936" s="1">
        <v>43940</v>
      </c>
      <c r="B1936">
        <v>80760</v>
      </c>
      <c r="C1936">
        <v>38087</v>
      </c>
      <c r="D1936">
        <v>42673</v>
      </c>
      <c r="E1936">
        <v>39930110</v>
      </c>
      <c r="F1936">
        <v>27891543</v>
      </c>
      <c r="G1936">
        <v>67821653</v>
      </c>
      <c r="H1936">
        <v>23082</v>
      </c>
      <c r="I1936">
        <v>10112</v>
      </c>
      <c r="J1936">
        <v>33194</v>
      </c>
      <c r="K1936" t="b">
        <f>TrafficData[[#This Row],[disposedChallan]]+TrafficData[[#This Row],[pendingChallan]]=TrafficData[[#This Row],[totalChallan]]</f>
        <v>1</v>
      </c>
      <c r="L1936" t="b">
        <f>TrafficData[[#This Row],[pendingAmount]]+TrafficData[[#This Row],[disposedAmount]]=TrafficData[[#This Row],[totalAmount]]</f>
        <v>1</v>
      </c>
      <c r="M1936" t="b">
        <f>TrafficData[[#This Row],[pendingCourt]]+TrafficData[[#This Row],[disposedCourt]]=TrafficData[[#This Row],[totalCourt]]</f>
        <v>1</v>
      </c>
      <c r="N1936" t="b">
        <f>AND(TrafficData[[#This Row],[disposedChallan]]&lt;=TrafficData[[#This Row],[totalChallan]],TrafficData[[#This Row],[pendingChallan]]&lt;=TrafficData[[#This Row],[totalChallan]])</f>
        <v>1</v>
      </c>
      <c r="O1936" t="b">
        <f>AND(TrafficData[[#This Row],[pendingAmount]]&lt;=TrafficData[[#This Row],[totalAmount]],TrafficData[[#This Row],[disposedAmount]]&lt;=TrafficData[[#This Row],[totalAmount]])</f>
        <v>1</v>
      </c>
      <c r="P1936" t="b">
        <f>AND(TrafficData[[#This Row],[pendingCourt]]&lt;=TrafficData[[#This Row],[totalCourt]],TrafficData[[#This Row],[disposedCourt]]&lt;=TrafficData[[#This Row],[totalCourt]])</f>
        <v>1</v>
      </c>
    </row>
    <row r="1937" spans="1:16">
      <c r="A1937" s="1">
        <v>43941</v>
      </c>
      <c r="B1937">
        <v>107714</v>
      </c>
      <c r="C1937">
        <v>52010</v>
      </c>
      <c r="D1937">
        <v>55704</v>
      </c>
      <c r="E1937">
        <v>58049925</v>
      </c>
      <c r="F1937">
        <v>43822132</v>
      </c>
      <c r="G1937">
        <v>101872057</v>
      </c>
      <c r="H1937">
        <v>31172</v>
      </c>
      <c r="I1937">
        <v>12470</v>
      </c>
      <c r="J1937">
        <v>43642</v>
      </c>
      <c r="K1937" t="b">
        <f>TrafficData[[#This Row],[disposedChallan]]+TrafficData[[#This Row],[pendingChallan]]=TrafficData[[#This Row],[totalChallan]]</f>
        <v>1</v>
      </c>
      <c r="L1937" t="b">
        <f>TrafficData[[#This Row],[pendingAmount]]+TrafficData[[#This Row],[disposedAmount]]=TrafficData[[#This Row],[totalAmount]]</f>
        <v>1</v>
      </c>
      <c r="M1937" t="b">
        <f>TrafficData[[#This Row],[pendingCourt]]+TrafficData[[#This Row],[disposedCourt]]=TrafficData[[#This Row],[totalCourt]]</f>
        <v>1</v>
      </c>
      <c r="N1937" t="b">
        <f>AND(TrafficData[[#This Row],[disposedChallan]]&lt;=TrafficData[[#This Row],[totalChallan]],TrafficData[[#This Row],[pendingChallan]]&lt;=TrafficData[[#This Row],[totalChallan]])</f>
        <v>1</v>
      </c>
      <c r="O1937" t="b">
        <f>AND(TrafficData[[#This Row],[pendingAmount]]&lt;=TrafficData[[#This Row],[totalAmount]],TrafficData[[#This Row],[disposedAmount]]&lt;=TrafficData[[#This Row],[totalAmount]])</f>
        <v>1</v>
      </c>
      <c r="P1937" t="b">
        <f>AND(TrafficData[[#This Row],[pendingCourt]]&lt;=TrafficData[[#This Row],[totalCourt]],TrafficData[[#This Row],[disposedCourt]]&lt;=TrafficData[[#This Row],[totalCourt]])</f>
        <v>1</v>
      </c>
    </row>
    <row r="1938" spans="1:16">
      <c r="A1938" s="1">
        <v>43942</v>
      </c>
      <c r="B1938">
        <v>106109</v>
      </c>
      <c r="C1938">
        <v>52044</v>
      </c>
      <c r="D1938">
        <v>54065</v>
      </c>
      <c r="E1938">
        <v>57267520</v>
      </c>
      <c r="F1938">
        <v>44699297</v>
      </c>
      <c r="G1938">
        <v>101966817</v>
      </c>
      <c r="H1938">
        <v>30125</v>
      </c>
      <c r="I1938">
        <v>8531</v>
      </c>
      <c r="J1938">
        <v>38656</v>
      </c>
      <c r="K1938" t="b">
        <f>TrafficData[[#This Row],[disposedChallan]]+TrafficData[[#This Row],[pendingChallan]]=TrafficData[[#This Row],[totalChallan]]</f>
        <v>1</v>
      </c>
      <c r="L1938" t="b">
        <f>TrafficData[[#This Row],[pendingAmount]]+TrafficData[[#This Row],[disposedAmount]]=TrafficData[[#This Row],[totalAmount]]</f>
        <v>1</v>
      </c>
      <c r="M1938" t="b">
        <f>TrafficData[[#This Row],[pendingCourt]]+TrafficData[[#This Row],[disposedCourt]]=TrafficData[[#This Row],[totalCourt]]</f>
        <v>1</v>
      </c>
      <c r="N1938" t="b">
        <f>AND(TrafficData[[#This Row],[disposedChallan]]&lt;=TrafficData[[#This Row],[totalChallan]],TrafficData[[#This Row],[pendingChallan]]&lt;=TrafficData[[#This Row],[totalChallan]])</f>
        <v>1</v>
      </c>
      <c r="O1938" t="b">
        <f>AND(TrafficData[[#This Row],[pendingAmount]]&lt;=TrafficData[[#This Row],[totalAmount]],TrafficData[[#This Row],[disposedAmount]]&lt;=TrafficData[[#This Row],[totalAmount]])</f>
        <v>1</v>
      </c>
      <c r="P1938" t="b">
        <f>AND(TrafficData[[#This Row],[pendingCourt]]&lt;=TrafficData[[#This Row],[totalCourt]],TrafficData[[#This Row],[disposedCourt]]&lt;=TrafficData[[#This Row],[totalCourt]])</f>
        <v>1</v>
      </c>
    </row>
    <row r="1939" spans="1:16">
      <c r="A1939" s="1">
        <v>43943</v>
      </c>
      <c r="B1939">
        <v>106959</v>
      </c>
      <c r="C1939">
        <v>51402</v>
      </c>
      <c r="D1939">
        <v>55557</v>
      </c>
      <c r="E1939">
        <v>58595830</v>
      </c>
      <c r="F1939">
        <v>43454292</v>
      </c>
      <c r="G1939">
        <v>102050122</v>
      </c>
      <c r="H1939">
        <v>15968</v>
      </c>
      <c r="I1939">
        <v>10820</v>
      </c>
      <c r="J1939">
        <v>26788</v>
      </c>
      <c r="K1939" t="b">
        <f>TrafficData[[#This Row],[disposedChallan]]+TrafficData[[#This Row],[pendingChallan]]=TrafficData[[#This Row],[totalChallan]]</f>
        <v>1</v>
      </c>
      <c r="L1939" t="b">
        <f>TrafficData[[#This Row],[pendingAmount]]+TrafficData[[#This Row],[disposedAmount]]=TrafficData[[#This Row],[totalAmount]]</f>
        <v>1</v>
      </c>
      <c r="M1939" t="b">
        <f>TrafficData[[#This Row],[pendingCourt]]+TrafficData[[#This Row],[disposedCourt]]=TrafficData[[#This Row],[totalCourt]]</f>
        <v>1</v>
      </c>
      <c r="N1939" t="b">
        <f>AND(TrafficData[[#This Row],[disposedChallan]]&lt;=TrafficData[[#This Row],[totalChallan]],TrafficData[[#This Row],[pendingChallan]]&lt;=TrafficData[[#This Row],[totalChallan]])</f>
        <v>1</v>
      </c>
      <c r="O1939" t="b">
        <f>AND(TrafficData[[#This Row],[pendingAmount]]&lt;=TrafficData[[#This Row],[totalAmount]],TrafficData[[#This Row],[disposedAmount]]&lt;=TrafficData[[#This Row],[totalAmount]])</f>
        <v>1</v>
      </c>
      <c r="P1939" t="b">
        <f>AND(TrafficData[[#This Row],[pendingCourt]]&lt;=TrafficData[[#This Row],[totalCourt]],TrafficData[[#This Row],[disposedCourt]]&lt;=TrafficData[[#This Row],[totalCourt]])</f>
        <v>1</v>
      </c>
    </row>
    <row r="1940" spans="1:16">
      <c r="A1940" s="1">
        <v>43944</v>
      </c>
      <c r="B1940">
        <v>102730</v>
      </c>
      <c r="C1940">
        <v>48429</v>
      </c>
      <c r="D1940">
        <v>54301</v>
      </c>
      <c r="E1940">
        <v>60651630</v>
      </c>
      <c r="F1940">
        <v>41694036</v>
      </c>
      <c r="G1940">
        <v>102345666</v>
      </c>
      <c r="H1940">
        <v>13861</v>
      </c>
      <c r="I1940">
        <v>7017</v>
      </c>
      <c r="J1940">
        <v>20878</v>
      </c>
      <c r="K1940" t="b">
        <f>TrafficData[[#This Row],[disposedChallan]]+TrafficData[[#This Row],[pendingChallan]]=TrafficData[[#This Row],[totalChallan]]</f>
        <v>1</v>
      </c>
      <c r="L1940" t="b">
        <f>TrafficData[[#This Row],[pendingAmount]]+TrafficData[[#This Row],[disposedAmount]]=TrafficData[[#This Row],[totalAmount]]</f>
        <v>1</v>
      </c>
      <c r="M1940" t="b">
        <f>TrafficData[[#This Row],[pendingCourt]]+TrafficData[[#This Row],[disposedCourt]]=TrafficData[[#This Row],[totalCourt]]</f>
        <v>1</v>
      </c>
      <c r="N1940" t="b">
        <f>AND(TrafficData[[#This Row],[disposedChallan]]&lt;=TrafficData[[#This Row],[totalChallan]],TrafficData[[#This Row],[pendingChallan]]&lt;=TrafficData[[#This Row],[totalChallan]])</f>
        <v>1</v>
      </c>
      <c r="O1940" t="b">
        <f>AND(TrafficData[[#This Row],[pendingAmount]]&lt;=TrafficData[[#This Row],[totalAmount]],TrafficData[[#This Row],[disposedAmount]]&lt;=TrafficData[[#This Row],[totalAmount]])</f>
        <v>1</v>
      </c>
      <c r="P1940" t="b">
        <f>AND(TrafficData[[#This Row],[pendingCourt]]&lt;=TrafficData[[#This Row],[totalCourt]],TrafficData[[#This Row],[disposedCourt]]&lt;=TrafficData[[#This Row],[totalCourt]])</f>
        <v>1</v>
      </c>
    </row>
    <row r="1941" spans="1:16">
      <c r="A1941" s="1">
        <v>43945</v>
      </c>
      <c r="B1941">
        <v>97504</v>
      </c>
      <c r="C1941">
        <v>46099</v>
      </c>
      <c r="D1941">
        <v>51405</v>
      </c>
      <c r="E1941">
        <v>56675249</v>
      </c>
      <c r="F1941">
        <v>39936189</v>
      </c>
      <c r="G1941">
        <v>96611438</v>
      </c>
      <c r="H1941">
        <v>27845</v>
      </c>
      <c r="I1941">
        <v>6000</v>
      </c>
      <c r="J1941">
        <v>33845</v>
      </c>
      <c r="K1941" t="b">
        <f>TrafficData[[#This Row],[disposedChallan]]+TrafficData[[#This Row],[pendingChallan]]=TrafficData[[#This Row],[totalChallan]]</f>
        <v>1</v>
      </c>
      <c r="L1941" t="b">
        <f>TrafficData[[#This Row],[pendingAmount]]+TrafficData[[#This Row],[disposedAmount]]=TrafficData[[#This Row],[totalAmount]]</f>
        <v>1</v>
      </c>
      <c r="M1941" t="b">
        <f>TrafficData[[#This Row],[pendingCourt]]+TrafficData[[#This Row],[disposedCourt]]=TrafficData[[#This Row],[totalCourt]]</f>
        <v>1</v>
      </c>
      <c r="N1941" t="b">
        <f>AND(TrafficData[[#This Row],[disposedChallan]]&lt;=TrafficData[[#This Row],[totalChallan]],TrafficData[[#This Row],[pendingChallan]]&lt;=TrafficData[[#This Row],[totalChallan]])</f>
        <v>1</v>
      </c>
      <c r="O1941" t="b">
        <f>AND(TrafficData[[#This Row],[pendingAmount]]&lt;=TrafficData[[#This Row],[totalAmount]],TrafficData[[#This Row],[disposedAmount]]&lt;=TrafficData[[#This Row],[totalAmount]])</f>
        <v>1</v>
      </c>
      <c r="P1941" t="b">
        <f>AND(TrafficData[[#This Row],[pendingCourt]]&lt;=TrafficData[[#This Row],[totalCourt]],TrafficData[[#This Row],[disposedCourt]]&lt;=TrafficData[[#This Row],[totalCourt]])</f>
        <v>1</v>
      </c>
    </row>
    <row r="1942" spans="1:16">
      <c r="A1942" s="1">
        <v>43946</v>
      </c>
      <c r="B1942">
        <v>88020</v>
      </c>
      <c r="C1942">
        <v>40487</v>
      </c>
      <c r="D1942">
        <v>47533</v>
      </c>
      <c r="E1942">
        <v>54074079</v>
      </c>
      <c r="F1942">
        <v>33595554</v>
      </c>
      <c r="G1942">
        <v>87669633</v>
      </c>
      <c r="H1942">
        <v>17906</v>
      </c>
      <c r="I1942">
        <v>7453</v>
      </c>
      <c r="J1942">
        <v>25359</v>
      </c>
      <c r="K1942" t="b">
        <f>TrafficData[[#This Row],[disposedChallan]]+TrafficData[[#This Row],[pendingChallan]]=TrafficData[[#This Row],[totalChallan]]</f>
        <v>1</v>
      </c>
      <c r="L1942" t="b">
        <f>TrafficData[[#This Row],[pendingAmount]]+TrafficData[[#This Row],[disposedAmount]]=TrafficData[[#This Row],[totalAmount]]</f>
        <v>1</v>
      </c>
      <c r="M1942" t="b">
        <f>TrafficData[[#This Row],[pendingCourt]]+TrafficData[[#This Row],[disposedCourt]]=TrafficData[[#This Row],[totalCourt]]</f>
        <v>1</v>
      </c>
      <c r="N1942" t="b">
        <f>AND(TrafficData[[#This Row],[disposedChallan]]&lt;=TrafficData[[#This Row],[totalChallan]],TrafficData[[#This Row],[pendingChallan]]&lt;=TrafficData[[#This Row],[totalChallan]])</f>
        <v>1</v>
      </c>
      <c r="O1942" t="b">
        <f>AND(TrafficData[[#This Row],[pendingAmount]]&lt;=TrafficData[[#This Row],[totalAmount]],TrafficData[[#This Row],[disposedAmount]]&lt;=TrafficData[[#This Row],[totalAmount]])</f>
        <v>1</v>
      </c>
      <c r="P1942" t="b">
        <f>AND(TrafficData[[#This Row],[pendingCourt]]&lt;=TrafficData[[#This Row],[totalCourt]],TrafficData[[#This Row],[disposedCourt]]&lt;=TrafficData[[#This Row],[totalCourt]])</f>
        <v>1</v>
      </c>
    </row>
    <row r="1943" spans="1:16">
      <c r="A1943" s="1">
        <v>43947</v>
      </c>
      <c r="B1943">
        <v>67450</v>
      </c>
      <c r="C1943">
        <v>30882</v>
      </c>
      <c r="D1943">
        <v>36568</v>
      </c>
      <c r="E1943">
        <v>41222810</v>
      </c>
      <c r="F1943">
        <v>25654996</v>
      </c>
      <c r="G1943">
        <v>66877806</v>
      </c>
      <c r="H1943">
        <v>15216</v>
      </c>
      <c r="I1943">
        <v>6793</v>
      </c>
      <c r="J1943">
        <v>22009</v>
      </c>
      <c r="K1943" t="b">
        <f>TrafficData[[#This Row],[disposedChallan]]+TrafficData[[#This Row],[pendingChallan]]=TrafficData[[#This Row],[totalChallan]]</f>
        <v>1</v>
      </c>
      <c r="L1943" t="b">
        <f>TrafficData[[#This Row],[pendingAmount]]+TrafficData[[#This Row],[disposedAmount]]=TrafficData[[#This Row],[totalAmount]]</f>
        <v>1</v>
      </c>
      <c r="M1943" t="b">
        <f>TrafficData[[#This Row],[pendingCourt]]+TrafficData[[#This Row],[disposedCourt]]=TrafficData[[#This Row],[totalCourt]]</f>
        <v>1</v>
      </c>
      <c r="N1943" t="b">
        <f>AND(TrafficData[[#This Row],[disposedChallan]]&lt;=TrafficData[[#This Row],[totalChallan]],TrafficData[[#This Row],[pendingChallan]]&lt;=TrafficData[[#This Row],[totalChallan]])</f>
        <v>1</v>
      </c>
      <c r="O1943" t="b">
        <f>AND(TrafficData[[#This Row],[pendingAmount]]&lt;=TrafficData[[#This Row],[totalAmount]],TrafficData[[#This Row],[disposedAmount]]&lt;=TrafficData[[#This Row],[totalAmount]])</f>
        <v>1</v>
      </c>
      <c r="P1943" t="b">
        <f>AND(TrafficData[[#This Row],[pendingCourt]]&lt;=TrafficData[[#This Row],[totalCourt]],TrafficData[[#This Row],[disposedCourt]]&lt;=TrafficData[[#This Row],[totalCourt]])</f>
        <v>1</v>
      </c>
    </row>
    <row r="1944" spans="1:16">
      <c r="A1944" s="1">
        <v>43948</v>
      </c>
      <c r="B1944">
        <v>86028</v>
      </c>
      <c r="C1944">
        <v>39162</v>
      </c>
      <c r="D1944">
        <v>46866</v>
      </c>
      <c r="E1944">
        <v>54161610</v>
      </c>
      <c r="F1944">
        <v>31763590</v>
      </c>
      <c r="G1944">
        <v>85925200</v>
      </c>
      <c r="H1944">
        <v>17848</v>
      </c>
      <c r="I1944">
        <v>7891</v>
      </c>
      <c r="J1944">
        <v>25739</v>
      </c>
      <c r="K1944" t="b">
        <f>TrafficData[[#This Row],[disposedChallan]]+TrafficData[[#This Row],[pendingChallan]]=TrafficData[[#This Row],[totalChallan]]</f>
        <v>1</v>
      </c>
      <c r="L1944" t="b">
        <f>TrafficData[[#This Row],[pendingAmount]]+TrafficData[[#This Row],[disposedAmount]]=TrafficData[[#This Row],[totalAmount]]</f>
        <v>1</v>
      </c>
      <c r="M1944" t="b">
        <f>TrafficData[[#This Row],[pendingCourt]]+TrafficData[[#This Row],[disposedCourt]]=TrafficData[[#This Row],[totalCourt]]</f>
        <v>1</v>
      </c>
      <c r="N1944" t="b">
        <f>AND(TrafficData[[#This Row],[disposedChallan]]&lt;=TrafficData[[#This Row],[totalChallan]],TrafficData[[#This Row],[pendingChallan]]&lt;=TrafficData[[#This Row],[totalChallan]])</f>
        <v>1</v>
      </c>
      <c r="O1944" t="b">
        <f>AND(TrafficData[[#This Row],[pendingAmount]]&lt;=TrafficData[[#This Row],[totalAmount]],TrafficData[[#This Row],[disposedAmount]]&lt;=TrafficData[[#This Row],[totalAmount]])</f>
        <v>1</v>
      </c>
      <c r="P1944" t="b">
        <f>AND(TrafficData[[#This Row],[pendingCourt]]&lt;=TrafficData[[#This Row],[totalCourt]],TrafficData[[#This Row],[disposedCourt]]&lt;=TrafficData[[#This Row],[totalCourt]])</f>
        <v>1</v>
      </c>
    </row>
    <row r="1945" spans="1:16">
      <c r="A1945" s="1">
        <v>43949</v>
      </c>
      <c r="B1945">
        <v>79861</v>
      </c>
      <c r="C1945">
        <v>36702</v>
      </c>
      <c r="D1945">
        <v>43159</v>
      </c>
      <c r="E1945">
        <v>49415760</v>
      </c>
      <c r="F1945">
        <v>29248260</v>
      </c>
      <c r="G1945">
        <v>78664020</v>
      </c>
      <c r="H1945">
        <v>15798</v>
      </c>
      <c r="I1945">
        <v>7159</v>
      </c>
      <c r="J1945">
        <v>22957</v>
      </c>
      <c r="K1945" t="b">
        <f>TrafficData[[#This Row],[disposedChallan]]+TrafficData[[#This Row],[pendingChallan]]=TrafficData[[#This Row],[totalChallan]]</f>
        <v>1</v>
      </c>
      <c r="L1945" t="b">
        <f>TrafficData[[#This Row],[pendingAmount]]+TrafficData[[#This Row],[disposedAmount]]=TrafficData[[#This Row],[totalAmount]]</f>
        <v>1</v>
      </c>
      <c r="M1945" t="b">
        <f>TrafficData[[#This Row],[pendingCourt]]+TrafficData[[#This Row],[disposedCourt]]=TrafficData[[#This Row],[totalCourt]]</f>
        <v>1</v>
      </c>
      <c r="N1945" t="b">
        <f>AND(TrafficData[[#This Row],[disposedChallan]]&lt;=TrafficData[[#This Row],[totalChallan]],TrafficData[[#This Row],[pendingChallan]]&lt;=TrafficData[[#This Row],[totalChallan]])</f>
        <v>1</v>
      </c>
      <c r="O1945" t="b">
        <f>AND(TrafficData[[#This Row],[pendingAmount]]&lt;=TrafficData[[#This Row],[totalAmount]],TrafficData[[#This Row],[disposedAmount]]&lt;=TrafficData[[#This Row],[totalAmount]])</f>
        <v>1</v>
      </c>
      <c r="P1945" t="b">
        <f>AND(TrafficData[[#This Row],[pendingCourt]]&lt;=TrafficData[[#This Row],[totalCourt]],TrafficData[[#This Row],[disposedCourt]]&lt;=TrafficData[[#This Row],[totalCourt]])</f>
        <v>1</v>
      </c>
    </row>
    <row r="1946" spans="1:16">
      <c r="A1946" s="1">
        <v>43950</v>
      </c>
      <c r="B1946">
        <v>75650</v>
      </c>
      <c r="C1946">
        <v>35504</v>
      </c>
      <c r="D1946">
        <v>40146</v>
      </c>
      <c r="E1946">
        <v>44658655</v>
      </c>
      <c r="F1946">
        <v>27362194</v>
      </c>
      <c r="G1946">
        <v>72020849</v>
      </c>
      <c r="H1946">
        <v>14745</v>
      </c>
      <c r="I1946">
        <v>6485</v>
      </c>
      <c r="J1946">
        <v>21230</v>
      </c>
      <c r="K1946" t="b">
        <f>TrafficData[[#This Row],[disposedChallan]]+TrafficData[[#This Row],[pendingChallan]]=TrafficData[[#This Row],[totalChallan]]</f>
        <v>1</v>
      </c>
      <c r="L1946" t="b">
        <f>TrafficData[[#This Row],[pendingAmount]]+TrafficData[[#This Row],[disposedAmount]]=TrafficData[[#This Row],[totalAmount]]</f>
        <v>1</v>
      </c>
      <c r="M1946" t="b">
        <f>TrafficData[[#This Row],[pendingCourt]]+TrafficData[[#This Row],[disposedCourt]]=TrafficData[[#This Row],[totalCourt]]</f>
        <v>1</v>
      </c>
      <c r="N1946" t="b">
        <f>AND(TrafficData[[#This Row],[disposedChallan]]&lt;=TrafficData[[#This Row],[totalChallan]],TrafficData[[#This Row],[pendingChallan]]&lt;=TrafficData[[#This Row],[totalChallan]])</f>
        <v>1</v>
      </c>
      <c r="O1946" t="b">
        <f>AND(TrafficData[[#This Row],[pendingAmount]]&lt;=TrafficData[[#This Row],[totalAmount]],TrafficData[[#This Row],[disposedAmount]]&lt;=TrafficData[[#This Row],[totalAmount]])</f>
        <v>1</v>
      </c>
      <c r="P1946" t="b">
        <f>AND(TrafficData[[#This Row],[pendingCourt]]&lt;=TrafficData[[#This Row],[totalCourt]],TrafficData[[#This Row],[disposedCourt]]&lt;=TrafficData[[#This Row],[totalCourt]])</f>
        <v>1</v>
      </c>
    </row>
    <row r="1947" spans="1:16">
      <c r="A1947" s="1">
        <v>43951</v>
      </c>
      <c r="B1947">
        <v>74435</v>
      </c>
      <c r="C1947">
        <v>34525</v>
      </c>
      <c r="D1947">
        <v>39910</v>
      </c>
      <c r="E1947">
        <v>42020545</v>
      </c>
      <c r="F1947">
        <v>26223890</v>
      </c>
      <c r="G1947">
        <v>68244435</v>
      </c>
      <c r="H1947">
        <v>9467</v>
      </c>
      <c r="I1947">
        <v>5920</v>
      </c>
      <c r="J1947">
        <v>15387</v>
      </c>
      <c r="K1947" t="b">
        <f>TrafficData[[#This Row],[disposedChallan]]+TrafficData[[#This Row],[pendingChallan]]=TrafficData[[#This Row],[totalChallan]]</f>
        <v>1</v>
      </c>
      <c r="L1947" t="b">
        <f>TrafficData[[#This Row],[pendingAmount]]+TrafficData[[#This Row],[disposedAmount]]=TrafficData[[#This Row],[totalAmount]]</f>
        <v>1</v>
      </c>
      <c r="M1947" t="b">
        <f>TrafficData[[#This Row],[pendingCourt]]+TrafficData[[#This Row],[disposedCourt]]=TrafficData[[#This Row],[totalCourt]]</f>
        <v>1</v>
      </c>
      <c r="N1947" t="b">
        <f>AND(TrafficData[[#This Row],[disposedChallan]]&lt;=TrafficData[[#This Row],[totalChallan]],TrafficData[[#This Row],[pendingChallan]]&lt;=TrafficData[[#This Row],[totalChallan]])</f>
        <v>1</v>
      </c>
      <c r="O1947" t="b">
        <f>AND(TrafficData[[#This Row],[pendingAmount]]&lt;=TrafficData[[#This Row],[totalAmount]],TrafficData[[#This Row],[disposedAmount]]&lt;=TrafficData[[#This Row],[totalAmount]])</f>
        <v>1</v>
      </c>
      <c r="P1947" t="b">
        <f>AND(TrafficData[[#This Row],[pendingCourt]]&lt;=TrafficData[[#This Row],[totalCourt]],TrafficData[[#This Row],[disposedCourt]]&lt;=TrafficData[[#This Row],[totalCourt]])</f>
        <v>1</v>
      </c>
    </row>
    <row r="1948" spans="1:16">
      <c r="A1948" s="1">
        <v>43952</v>
      </c>
      <c r="B1948">
        <v>69584</v>
      </c>
      <c r="C1948">
        <v>33234</v>
      </c>
      <c r="D1948">
        <v>36350</v>
      </c>
      <c r="E1948">
        <v>40284809</v>
      </c>
      <c r="F1948">
        <v>24550723</v>
      </c>
      <c r="G1948">
        <v>64835532</v>
      </c>
      <c r="H1948">
        <v>11663</v>
      </c>
      <c r="I1948">
        <v>4419</v>
      </c>
      <c r="J1948">
        <v>16082</v>
      </c>
      <c r="K1948" t="b">
        <f>TrafficData[[#This Row],[disposedChallan]]+TrafficData[[#This Row],[pendingChallan]]=TrafficData[[#This Row],[totalChallan]]</f>
        <v>1</v>
      </c>
      <c r="L1948" t="b">
        <f>TrafficData[[#This Row],[pendingAmount]]+TrafficData[[#This Row],[disposedAmount]]=TrafficData[[#This Row],[totalAmount]]</f>
        <v>1</v>
      </c>
      <c r="M1948" t="b">
        <f>TrafficData[[#This Row],[pendingCourt]]+TrafficData[[#This Row],[disposedCourt]]=TrafficData[[#This Row],[totalCourt]]</f>
        <v>1</v>
      </c>
      <c r="N1948" t="b">
        <f>AND(TrafficData[[#This Row],[disposedChallan]]&lt;=TrafficData[[#This Row],[totalChallan]],TrafficData[[#This Row],[pendingChallan]]&lt;=TrafficData[[#This Row],[totalChallan]])</f>
        <v>1</v>
      </c>
      <c r="O1948" t="b">
        <f>AND(TrafficData[[#This Row],[pendingAmount]]&lt;=TrafficData[[#This Row],[totalAmount]],TrafficData[[#This Row],[disposedAmount]]&lt;=TrafficData[[#This Row],[totalAmount]])</f>
        <v>1</v>
      </c>
      <c r="P1948" t="b">
        <f>AND(TrafficData[[#This Row],[pendingCourt]]&lt;=TrafficData[[#This Row],[totalCourt]],TrafficData[[#This Row],[disposedCourt]]&lt;=TrafficData[[#This Row],[totalCourt]])</f>
        <v>1</v>
      </c>
    </row>
    <row r="1949" spans="1:16">
      <c r="A1949" s="1">
        <v>43953</v>
      </c>
      <c r="B1949">
        <v>71796</v>
      </c>
      <c r="C1949">
        <v>33674</v>
      </c>
      <c r="D1949">
        <v>38122</v>
      </c>
      <c r="E1949">
        <v>39346650</v>
      </c>
      <c r="F1949">
        <v>24371595</v>
      </c>
      <c r="G1949">
        <v>63718245</v>
      </c>
      <c r="H1949">
        <v>12032</v>
      </c>
      <c r="I1949">
        <v>5355</v>
      </c>
      <c r="J1949">
        <v>17387</v>
      </c>
      <c r="K1949" t="b">
        <f>TrafficData[[#This Row],[disposedChallan]]+TrafficData[[#This Row],[pendingChallan]]=TrafficData[[#This Row],[totalChallan]]</f>
        <v>1</v>
      </c>
      <c r="L1949" t="b">
        <f>TrafficData[[#This Row],[pendingAmount]]+TrafficData[[#This Row],[disposedAmount]]=TrafficData[[#This Row],[totalAmount]]</f>
        <v>1</v>
      </c>
      <c r="M1949" t="b">
        <f>TrafficData[[#This Row],[pendingCourt]]+TrafficData[[#This Row],[disposedCourt]]=TrafficData[[#This Row],[totalCourt]]</f>
        <v>1</v>
      </c>
      <c r="N1949" t="b">
        <f>AND(TrafficData[[#This Row],[disposedChallan]]&lt;=TrafficData[[#This Row],[totalChallan]],TrafficData[[#This Row],[pendingChallan]]&lt;=TrafficData[[#This Row],[totalChallan]])</f>
        <v>1</v>
      </c>
      <c r="O1949" t="b">
        <f>AND(TrafficData[[#This Row],[pendingAmount]]&lt;=TrafficData[[#This Row],[totalAmount]],TrafficData[[#This Row],[disposedAmount]]&lt;=TrafficData[[#This Row],[totalAmount]])</f>
        <v>1</v>
      </c>
      <c r="P1949" t="b">
        <f>AND(TrafficData[[#This Row],[pendingCourt]]&lt;=TrafficData[[#This Row],[totalCourt]],TrafficData[[#This Row],[disposedCourt]]&lt;=TrafficData[[#This Row],[totalCourt]])</f>
        <v>1</v>
      </c>
    </row>
    <row r="1950" spans="1:16">
      <c r="A1950" s="1">
        <v>43954</v>
      </c>
      <c r="B1950">
        <v>58063</v>
      </c>
      <c r="C1950">
        <v>27014</v>
      </c>
      <c r="D1950">
        <v>31049</v>
      </c>
      <c r="E1950">
        <v>30365551</v>
      </c>
      <c r="F1950">
        <v>19276364</v>
      </c>
      <c r="G1950">
        <v>49641915</v>
      </c>
      <c r="H1950">
        <v>10438</v>
      </c>
      <c r="I1950">
        <v>4904</v>
      </c>
      <c r="J1950">
        <v>15342</v>
      </c>
      <c r="K1950" t="b">
        <f>TrafficData[[#This Row],[disposedChallan]]+TrafficData[[#This Row],[pendingChallan]]=TrafficData[[#This Row],[totalChallan]]</f>
        <v>1</v>
      </c>
      <c r="L1950" t="b">
        <f>TrafficData[[#This Row],[pendingAmount]]+TrafficData[[#This Row],[disposedAmount]]=TrafficData[[#This Row],[totalAmount]]</f>
        <v>1</v>
      </c>
      <c r="M1950" t="b">
        <f>TrafficData[[#This Row],[pendingCourt]]+TrafficData[[#This Row],[disposedCourt]]=TrafficData[[#This Row],[totalCourt]]</f>
        <v>1</v>
      </c>
      <c r="N1950" t="b">
        <f>AND(TrafficData[[#This Row],[disposedChallan]]&lt;=TrafficData[[#This Row],[totalChallan]],TrafficData[[#This Row],[pendingChallan]]&lt;=TrafficData[[#This Row],[totalChallan]])</f>
        <v>1</v>
      </c>
      <c r="O1950" t="b">
        <f>AND(TrafficData[[#This Row],[pendingAmount]]&lt;=TrafficData[[#This Row],[totalAmount]],TrafficData[[#This Row],[disposedAmount]]&lt;=TrafficData[[#This Row],[totalAmount]])</f>
        <v>1</v>
      </c>
      <c r="P1950" t="b">
        <f>AND(TrafficData[[#This Row],[pendingCourt]]&lt;=TrafficData[[#This Row],[totalCourt]],TrafficData[[#This Row],[disposedCourt]]&lt;=TrafficData[[#This Row],[totalCourt]])</f>
        <v>1</v>
      </c>
    </row>
    <row r="1951" spans="1:16">
      <c r="A1951" s="1">
        <v>43955</v>
      </c>
      <c r="B1951">
        <v>83308</v>
      </c>
      <c r="C1951">
        <v>38212</v>
      </c>
      <c r="D1951">
        <v>45096</v>
      </c>
      <c r="E1951">
        <v>46450806</v>
      </c>
      <c r="F1951">
        <v>28832007</v>
      </c>
      <c r="G1951">
        <v>75282813</v>
      </c>
      <c r="H1951">
        <v>16517</v>
      </c>
      <c r="I1951">
        <v>7960</v>
      </c>
      <c r="J1951">
        <v>24477</v>
      </c>
      <c r="K1951" t="b">
        <f>TrafficData[[#This Row],[disposedChallan]]+TrafficData[[#This Row],[pendingChallan]]=TrafficData[[#This Row],[totalChallan]]</f>
        <v>1</v>
      </c>
      <c r="L1951" t="b">
        <f>TrafficData[[#This Row],[pendingAmount]]+TrafficData[[#This Row],[disposedAmount]]=TrafficData[[#This Row],[totalAmount]]</f>
        <v>1</v>
      </c>
      <c r="M1951" t="b">
        <f>TrafficData[[#This Row],[pendingCourt]]+TrafficData[[#This Row],[disposedCourt]]=TrafficData[[#This Row],[totalCourt]]</f>
        <v>1</v>
      </c>
      <c r="N1951" t="b">
        <f>AND(TrafficData[[#This Row],[disposedChallan]]&lt;=TrafficData[[#This Row],[totalChallan]],TrafficData[[#This Row],[pendingChallan]]&lt;=TrafficData[[#This Row],[totalChallan]])</f>
        <v>1</v>
      </c>
      <c r="O1951" t="b">
        <f>AND(TrafficData[[#This Row],[pendingAmount]]&lt;=TrafficData[[#This Row],[totalAmount]],TrafficData[[#This Row],[disposedAmount]]&lt;=TrafficData[[#This Row],[totalAmount]])</f>
        <v>1</v>
      </c>
      <c r="P1951" t="b">
        <f>AND(TrafficData[[#This Row],[pendingCourt]]&lt;=TrafficData[[#This Row],[totalCourt]],TrafficData[[#This Row],[disposedCourt]]&lt;=TrafficData[[#This Row],[totalCourt]])</f>
        <v>1</v>
      </c>
    </row>
    <row r="1952" spans="1:16">
      <c r="A1952" s="1">
        <v>43956</v>
      </c>
      <c r="B1952">
        <v>87926</v>
      </c>
      <c r="C1952">
        <v>39960</v>
      </c>
      <c r="D1952">
        <v>47966</v>
      </c>
      <c r="E1952">
        <v>48942928</v>
      </c>
      <c r="F1952">
        <v>28777697</v>
      </c>
      <c r="G1952">
        <v>77720625</v>
      </c>
      <c r="H1952">
        <v>16944</v>
      </c>
      <c r="I1952">
        <v>6539</v>
      </c>
      <c r="J1952">
        <v>23483</v>
      </c>
      <c r="K1952" t="b">
        <f>TrafficData[[#This Row],[disposedChallan]]+TrafficData[[#This Row],[pendingChallan]]=TrafficData[[#This Row],[totalChallan]]</f>
        <v>1</v>
      </c>
      <c r="L1952" t="b">
        <f>TrafficData[[#This Row],[pendingAmount]]+TrafficData[[#This Row],[disposedAmount]]=TrafficData[[#This Row],[totalAmount]]</f>
        <v>1</v>
      </c>
      <c r="M1952" t="b">
        <f>TrafficData[[#This Row],[pendingCourt]]+TrafficData[[#This Row],[disposedCourt]]=TrafficData[[#This Row],[totalCourt]]</f>
        <v>1</v>
      </c>
      <c r="N1952" t="b">
        <f>AND(TrafficData[[#This Row],[disposedChallan]]&lt;=TrafficData[[#This Row],[totalChallan]],TrafficData[[#This Row],[pendingChallan]]&lt;=TrafficData[[#This Row],[totalChallan]])</f>
        <v>1</v>
      </c>
      <c r="O1952" t="b">
        <f>AND(TrafficData[[#This Row],[pendingAmount]]&lt;=TrafficData[[#This Row],[totalAmount]],TrafficData[[#This Row],[disposedAmount]]&lt;=TrafficData[[#This Row],[totalAmount]])</f>
        <v>1</v>
      </c>
      <c r="P1952" t="b">
        <f>AND(TrafficData[[#This Row],[pendingCourt]]&lt;=TrafficData[[#This Row],[totalCourt]],TrafficData[[#This Row],[disposedCourt]]&lt;=TrafficData[[#This Row],[totalCourt]])</f>
        <v>1</v>
      </c>
    </row>
    <row r="1953" spans="1:16">
      <c r="A1953" s="1">
        <v>43957</v>
      </c>
      <c r="B1953">
        <v>87311</v>
      </c>
      <c r="C1953">
        <v>39769</v>
      </c>
      <c r="D1953">
        <v>47542</v>
      </c>
      <c r="E1953">
        <v>52231260</v>
      </c>
      <c r="F1953">
        <v>31872477</v>
      </c>
      <c r="G1953">
        <v>84103737</v>
      </c>
      <c r="H1953">
        <v>17496</v>
      </c>
      <c r="I1953">
        <v>8471</v>
      </c>
      <c r="J1953">
        <v>25967</v>
      </c>
      <c r="K1953" t="b">
        <f>TrafficData[[#This Row],[disposedChallan]]+TrafficData[[#This Row],[pendingChallan]]=TrafficData[[#This Row],[totalChallan]]</f>
        <v>1</v>
      </c>
      <c r="L1953" t="b">
        <f>TrafficData[[#This Row],[pendingAmount]]+TrafficData[[#This Row],[disposedAmount]]=TrafficData[[#This Row],[totalAmount]]</f>
        <v>1</v>
      </c>
      <c r="M1953" t="b">
        <f>TrafficData[[#This Row],[pendingCourt]]+TrafficData[[#This Row],[disposedCourt]]=TrafficData[[#This Row],[totalCourt]]</f>
        <v>1</v>
      </c>
      <c r="N1953" t="b">
        <f>AND(TrafficData[[#This Row],[disposedChallan]]&lt;=TrafficData[[#This Row],[totalChallan]],TrafficData[[#This Row],[pendingChallan]]&lt;=TrafficData[[#This Row],[totalChallan]])</f>
        <v>1</v>
      </c>
      <c r="O1953" t="b">
        <f>AND(TrafficData[[#This Row],[pendingAmount]]&lt;=TrafficData[[#This Row],[totalAmount]],TrafficData[[#This Row],[disposedAmount]]&lt;=TrafficData[[#This Row],[totalAmount]])</f>
        <v>1</v>
      </c>
      <c r="P1953" t="b">
        <f>AND(TrafficData[[#This Row],[pendingCourt]]&lt;=TrafficData[[#This Row],[totalCourt]],TrafficData[[#This Row],[disposedCourt]]&lt;=TrafficData[[#This Row],[totalCourt]])</f>
        <v>1</v>
      </c>
    </row>
    <row r="1954" spans="1:16">
      <c r="A1954" s="1">
        <v>43958</v>
      </c>
      <c r="B1954">
        <v>74929</v>
      </c>
      <c r="C1954">
        <v>35977</v>
      </c>
      <c r="D1954">
        <v>38952</v>
      </c>
      <c r="E1954">
        <v>43099667</v>
      </c>
      <c r="F1954">
        <v>27522052</v>
      </c>
      <c r="G1954">
        <v>70621719</v>
      </c>
      <c r="H1954">
        <v>15631</v>
      </c>
      <c r="I1954">
        <v>8063</v>
      </c>
      <c r="J1954">
        <v>23694</v>
      </c>
      <c r="K1954" t="b">
        <f>TrafficData[[#This Row],[disposedChallan]]+TrafficData[[#This Row],[pendingChallan]]=TrafficData[[#This Row],[totalChallan]]</f>
        <v>1</v>
      </c>
      <c r="L1954" t="b">
        <f>TrafficData[[#This Row],[pendingAmount]]+TrafficData[[#This Row],[disposedAmount]]=TrafficData[[#This Row],[totalAmount]]</f>
        <v>1</v>
      </c>
      <c r="M1954" t="b">
        <f>TrafficData[[#This Row],[pendingCourt]]+TrafficData[[#This Row],[disposedCourt]]=TrafficData[[#This Row],[totalCourt]]</f>
        <v>1</v>
      </c>
      <c r="N1954" t="b">
        <f>AND(TrafficData[[#This Row],[disposedChallan]]&lt;=TrafficData[[#This Row],[totalChallan]],TrafficData[[#This Row],[pendingChallan]]&lt;=TrafficData[[#This Row],[totalChallan]])</f>
        <v>1</v>
      </c>
      <c r="O1954" t="b">
        <f>AND(TrafficData[[#This Row],[pendingAmount]]&lt;=TrafficData[[#This Row],[totalAmount]],TrafficData[[#This Row],[disposedAmount]]&lt;=TrafficData[[#This Row],[totalAmount]])</f>
        <v>1</v>
      </c>
      <c r="P1954" t="b">
        <f>AND(TrafficData[[#This Row],[pendingCourt]]&lt;=TrafficData[[#This Row],[totalCourt]],TrafficData[[#This Row],[disposedCourt]]&lt;=TrafficData[[#This Row],[totalCourt]])</f>
        <v>1</v>
      </c>
    </row>
    <row r="1955" spans="1:16">
      <c r="A1955" s="1">
        <v>43959</v>
      </c>
      <c r="B1955">
        <v>78608</v>
      </c>
      <c r="C1955">
        <v>35821</v>
      </c>
      <c r="D1955">
        <v>42787</v>
      </c>
      <c r="E1955">
        <v>48981395</v>
      </c>
      <c r="F1955">
        <v>33030589</v>
      </c>
      <c r="G1955">
        <v>82011984</v>
      </c>
      <c r="H1955">
        <v>16218</v>
      </c>
      <c r="I1955">
        <v>5879</v>
      </c>
      <c r="J1955">
        <v>22097</v>
      </c>
      <c r="K1955" t="b">
        <f>TrafficData[[#This Row],[disposedChallan]]+TrafficData[[#This Row],[pendingChallan]]=TrafficData[[#This Row],[totalChallan]]</f>
        <v>1</v>
      </c>
      <c r="L1955" t="b">
        <f>TrafficData[[#This Row],[pendingAmount]]+TrafficData[[#This Row],[disposedAmount]]=TrafficData[[#This Row],[totalAmount]]</f>
        <v>1</v>
      </c>
      <c r="M1955" t="b">
        <f>TrafficData[[#This Row],[pendingCourt]]+TrafficData[[#This Row],[disposedCourt]]=TrafficData[[#This Row],[totalCourt]]</f>
        <v>1</v>
      </c>
      <c r="N1955" t="b">
        <f>AND(TrafficData[[#This Row],[disposedChallan]]&lt;=TrafficData[[#This Row],[totalChallan]],TrafficData[[#This Row],[pendingChallan]]&lt;=TrafficData[[#This Row],[totalChallan]])</f>
        <v>1</v>
      </c>
      <c r="O1955" t="b">
        <f>AND(TrafficData[[#This Row],[pendingAmount]]&lt;=TrafficData[[#This Row],[totalAmount]],TrafficData[[#This Row],[disposedAmount]]&lt;=TrafficData[[#This Row],[totalAmount]])</f>
        <v>1</v>
      </c>
      <c r="P1955" t="b">
        <f>AND(TrafficData[[#This Row],[pendingCourt]]&lt;=TrafficData[[#This Row],[totalCourt]],TrafficData[[#This Row],[disposedCourt]]&lt;=TrafficData[[#This Row],[totalCourt]])</f>
        <v>1</v>
      </c>
    </row>
    <row r="1956" spans="1:16">
      <c r="A1956" s="1">
        <v>43960</v>
      </c>
      <c r="B1956">
        <v>81648</v>
      </c>
      <c r="C1956">
        <v>36944</v>
      </c>
      <c r="D1956">
        <v>44704</v>
      </c>
      <c r="E1956">
        <v>47738510</v>
      </c>
      <c r="F1956">
        <v>29447833</v>
      </c>
      <c r="G1956">
        <v>77186343</v>
      </c>
      <c r="H1956">
        <v>16288</v>
      </c>
      <c r="I1956">
        <v>6489</v>
      </c>
      <c r="J1956">
        <v>22777</v>
      </c>
      <c r="K1956" t="b">
        <f>TrafficData[[#This Row],[disposedChallan]]+TrafficData[[#This Row],[pendingChallan]]=TrafficData[[#This Row],[totalChallan]]</f>
        <v>1</v>
      </c>
      <c r="L1956" t="b">
        <f>TrafficData[[#This Row],[pendingAmount]]+TrafficData[[#This Row],[disposedAmount]]=TrafficData[[#This Row],[totalAmount]]</f>
        <v>1</v>
      </c>
      <c r="M1956" t="b">
        <f>TrafficData[[#This Row],[pendingCourt]]+TrafficData[[#This Row],[disposedCourt]]=TrafficData[[#This Row],[totalCourt]]</f>
        <v>1</v>
      </c>
      <c r="N1956" t="b">
        <f>AND(TrafficData[[#This Row],[disposedChallan]]&lt;=TrafficData[[#This Row],[totalChallan]],TrafficData[[#This Row],[pendingChallan]]&lt;=TrafficData[[#This Row],[totalChallan]])</f>
        <v>1</v>
      </c>
      <c r="O1956" t="b">
        <f>AND(TrafficData[[#This Row],[pendingAmount]]&lt;=TrafficData[[#This Row],[totalAmount]],TrafficData[[#This Row],[disposedAmount]]&lt;=TrafficData[[#This Row],[totalAmount]])</f>
        <v>1</v>
      </c>
      <c r="P1956" t="b">
        <f>AND(TrafficData[[#This Row],[pendingCourt]]&lt;=TrafficData[[#This Row],[totalCourt]],TrafficData[[#This Row],[disposedCourt]]&lt;=TrafficData[[#This Row],[totalCourt]])</f>
        <v>1</v>
      </c>
    </row>
    <row r="1957" spans="1:16">
      <c r="A1957" s="1">
        <v>43961</v>
      </c>
      <c r="B1957">
        <v>71075</v>
      </c>
      <c r="C1957">
        <v>30983</v>
      </c>
      <c r="D1957">
        <v>40092</v>
      </c>
      <c r="E1957">
        <v>40980085</v>
      </c>
      <c r="F1957">
        <v>23974234</v>
      </c>
      <c r="G1957">
        <v>64954319</v>
      </c>
      <c r="H1957">
        <v>13914</v>
      </c>
      <c r="I1957">
        <v>6126</v>
      </c>
      <c r="J1957">
        <v>20040</v>
      </c>
      <c r="K1957" t="b">
        <f>TrafficData[[#This Row],[disposedChallan]]+TrafficData[[#This Row],[pendingChallan]]=TrafficData[[#This Row],[totalChallan]]</f>
        <v>1</v>
      </c>
      <c r="L1957" t="b">
        <f>TrafficData[[#This Row],[pendingAmount]]+TrafficData[[#This Row],[disposedAmount]]=TrafficData[[#This Row],[totalAmount]]</f>
        <v>1</v>
      </c>
      <c r="M1957" t="b">
        <f>TrafficData[[#This Row],[pendingCourt]]+TrafficData[[#This Row],[disposedCourt]]=TrafficData[[#This Row],[totalCourt]]</f>
        <v>1</v>
      </c>
      <c r="N1957" t="b">
        <f>AND(TrafficData[[#This Row],[disposedChallan]]&lt;=TrafficData[[#This Row],[totalChallan]],TrafficData[[#This Row],[pendingChallan]]&lt;=TrafficData[[#This Row],[totalChallan]])</f>
        <v>1</v>
      </c>
      <c r="O1957" t="b">
        <f>AND(TrafficData[[#This Row],[pendingAmount]]&lt;=TrafficData[[#This Row],[totalAmount]],TrafficData[[#This Row],[disposedAmount]]&lt;=TrafficData[[#This Row],[totalAmount]])</f>
        <v>1</v>
      </c>
      <c r="P1957" t="b">
        <f>AND(TrafficData[[#This Row],[pendingCourt]]&lt;=TrafficData[[#This Row],[totalCourt]],TrafficData[[#This Row],[disposedCourt]]&lt;=TrafficData[[#This Row],[totalCourt]])</f>
        <v>1</v>
      </c>
    </row>
    <row r="1958" spans="1:16">
      <c r="A1958" s="1">
        <v>43962</v>
      </c>
      <c r="B1958">
        <v>95434</v>
      </c>
      <c r="C1958">
        <v>43079</v>
      </c>
      <c r="D1958">
        <v>52355</v>
      </c>
      <c r="E1958">
        <v>53915300</v>
      </c>
      <c r="F1958">
        <v>33334335</v>
      </c>
      <c r="G1958">
        <v>87249635</v>
      </c>
      <c r="H1958">
        <v>17485</v>
      </c>
      <c r="I1958">
        <v>6614</v>
      </c>
      <c r="J1958">
        <v>24099</v>
      </c>
      <c r="K1958" t="b">
        <f>TrafficData[[#This Row],[disposedChallan]]+TrafficData[[#This Row],[pendingChallan]]=TrafficData[[#This Row],[totalChallan]]</f>
        <v>1</v>
      </c>
      <c r="L1958" t="b">
        <f>TrafficData[[#This Row],[pendingAmount]]+TrafficData[[#This Row],[disposedAmount]]=TrafficData[[#This Row],[totalAmount]]</f>
        <v>1</v>
      </c>
      <c r="M1958" t="b">
        <f>TrafficData[[#This Row],[pendingCourt]]+TrafficData[[#This Row],[disposedCourt]]=TrafficData[[#This Row],[totalCourt]]</f>
        <v>1</v>
      </c>
      <c r="N1958" t="b">
        <f>AND(TrafficData[[#This Row],[disposedChallan]]&lt;=TrafficData[[#This Row],[totalChallan]],TrafficData[[#This Row],[pendingChallan]]&lt;=TrafficData[[#This Row],[totalChallan]])</f>
        <v>1</v>
      </c>
      <c r="O1958" t="b">
        <f>AND(TrafficData[[#This Row],[pendingAmount]]&lt;=TrafficData[[#This Row],[totalAmount]],TrafficData[[#This Row],[disposedAmount]]&lt;=TrafficData[[#This Row],[totalAmount]])</f>
        <v>1</v>
      </c>
      <c r="P1958" t="b">
        <f>AND(TrafficData[[#This Row],[pendingCourt]]&lt;=TrafficData[[#This Row],[totalCourt]],TrafficData[[#This Row],[disposedCourt]]&lt;=TrafficData[[#This Row],[totalCourt]])</f>
        <v>1</v>
      </c>
    </row>
    <row r="1959" spans="1:16">
      <c r="A1959" s="1">
        <v>43963</v>
      </c>
      <c r="B1959">
        <v>97802</v>
      </c>
      <c r="C1959">
        <v>43761</v>
      </c>
      <c r="D1959">
        <v>54041</v>
      </c>
      <c r="E1959">
        <v>56940220</v>
      </c>
      <c r="F1959">
        <v>34125480</v>
      </c>
      <c r="G1959">
        <v>91065700</v>
      </c>
      <c r="H1959">
        <v>18564</v>
      </c>
      <c r="I1959">
        <v>7786</v>
      </c>
      <c r="J1959">
        <v>26350</v>
      </c>
      <c r="K1959" t="b">
        <f>TrafficData[[#This Row],[disposedChallan]]+TrafficData[[#This Row],[pendingChallan]]=TrafficData[[#This Row],[totalChallan]]</f>
        <v>1</v>
      </c>
      <c r="L1959" t="b">
        <f>TrafficData[[#This Row],[pendingAmount]]+TrafficData[[#This Row],[disposedAmount]]=TrafficData[[#This Row],[totalAmount]]</f>
        <v>1</v>
      </c>
      <c r="M1959" t="b">
        <f>TrafficData[[#This Row],[pendingCourt]]+TrafficData[[#This Row],[disposedCourt]]=TrafficData[[#This Row],[totalCourt]]</f>
        <v>1</v>
      </c>
      <c r="N1959" t="b">
        <f>AND(TrafficData[[#This Row],[disposedChallan]]&lt;=TrafficData[[#This Row],[totalChallan]],TrafficData[[#This Row],[pendingChallan]]&lt;=TrafficData[[#This Row],[totalChallan]])</f>
        <v>1</v>
      </c>
      <c r="O1959" t="b">
        <f>AND(TrafficData[[#This Row],[pendingAmount]]&lt;=TrafficData[[#This Row],[totalAmount]],TrafficData[[#This Row],[disposedAmount]]&lt;=TrafficData[[#This Row],[totalAmount]])</f>
        <v>1</v>
      </c>
      <c r="P1959" t="b">
        <f>AND(TrafficData[[#This Row],[pendingCourt]]&lt;=TrafficData[[#This Row],[totalCourt]],TrafficData[[#This Row],[disposedCourt]]&lt;=TrafficData[[#This Row],[totalCourt]])</f>
        <v>1</v>
      </c>
    </row>
    <row r="1960" spans="1:16">
      <c r="A1960" s="1">
        <v>43964</v>
      </c>
      <c r="B1960">
        <v>102793</v>
      </c>
      <c r="C1960">
        <v>45058</v>
      </c>
      <c r="D1960">
        <v>57735</v>
      </c>
      <c r="E1960">
        <v>63230420</v>
      </c>
      <c r="F1960">
        <v>34610376</v>
      </c>
      <c r="G1960">
        <v>97840796</v>
      </c>
      <c r="H1960">
        <v>18452</v>
      </c>
      <c r="I1960">
        <v>8153</v>
      </c>
      <c r="J1960">
        <v>26605</v>
      </c>
      <c r="K1960" t="b">
        <f>TrafficData[[#This Row],[disposedChallan]]+TrafficData[[#This Row],[pendingChallan]]=TrafficData[[#This Row],[totalChallan]]</f>
        <v>1</v>
      </c>
      <c r="L1960" t="b">
        <f>TrafficData[[#This Row],[pendingAmount]]+TrafficData[[#This Row],[disposedAmount]]=TrafficData[[#This Row],[totalAmount]]</f>
        <v>1</v>
      </c>
      <c r="M1960" t="b">
        <f>TrafficData[[#This Row],[pendingCourt]]+TrafficData[[#This Row],[disposedCourt]]=TrafficData[[#This Row],[totalCourt]]</f>
        <v>1</v>
      </c>
      <c r="N1960" t="b">
        <f>AND(TrafficData[[#This Row],[disposedChallan]]&lt;=TrafficData[[#This Row],[totalChallan]],TrafficData[[#This Row],[pendingChallan]]&lt;=TrafficData[[#This Row],[totalChallan]])</f>
        <v>1</v>
      </c>
      <c r="O1960" t="b">
        <f>AND(TrafficData[[#This Row],[pendingAmount]]&lt;=TrafficData[[#This Row],[totalAmount]],TrafficData[[#This Row],[disposedAmount]]&lt;=TrafficData[[#This Row],[totalAmount]])</f>
        <v>1</v>
      </c>
      <c r="P1960" t="b">
        <f>AND(TrafficData[[#This Row],[pendingCourt]]&lt;=TrafficData[[#This Row],[totalCourt]],TrafficData[[#This Row],[disposedCourt]]&lt;=TrafficData[[#This Row],[totalCourt]])</f>
        <v>1</v>
      </c>
    </row>
    <row r="1961" spans="1:16">
      <c r="A1961" s="1">
        <v>43965</v>
      </c>
      <c r="B1961">
        <v>97431</v>
      </c>
      <c r="C1961">
        <v>43041</v>
      </c>
      <c r="D1961">
        <v>54390</v>
      </c>
      <c r="E1961">
        <v>57568500</v>
      </c>
      <c r="F1961">
        <v>35599702</v>
      </c>
      <c r="G1961">
        <v>93168202</v>
      </c>
      <c r="H1961">
        <v>16212</v>
      </c>
      <c r="I1961">
        <v>7620</v>
      </c>
      <c r="J1961">
        <v>23832</v>
      </c>
      <c r="K1961" t="b">
        <f>TrafficData[[#This Row],[disposedChallan]]+TrafficData[[#This Row],[pendingChallan]]=TrafficData[[#This Row],[totalChallan]]</f>
        <v>1</v>
      </c>
      <c r="L1961" t="b">
        <f>TrafficData[[#This Row],[pendingAmount]]+TrafficData[[#This Row],[disposedAmount]]=TrafficData[[#This Row],[totalAmount]]</f>
        <v>1</v>
      </c>
      <c r="M1961" t="b">
        <f>TrafficData[[#This Row],[pendingCourt]]+TrafficData[[#This Row],[disposedCourt]]=TrafficData[[#This Row],[totalCourt]]</f>
        <v>1</v>
      </c>
      <c r="N1961" t="b">
        <f>AND(TrafficData[[#This Row],[disposedChallan]]&lt;=TrafficData[[#This Row],[totalChallan]],TrafficData[[#This Row],[pendingChallan]]&lt;=TrafficData[[#This Row],[totalChallan]])</f>
        <v>1</v>
      </c>
      <c r="O1961" t="b">
        <f>AND(TrafficData[[#This Row],[pendingAmount]]&lt;=TrafficData[[#This Row],[totalAmount]],TrafficData[[#This Row],[disposedAmount]]&lt;=TrafficData[[#This Row],[totalAmount]])</f>
        <v>1</v>
      </c>
      <c r="P1961" t="b">
        <f>AND(TrafficData[[#This Row],[pendingCourt]]&lt;=TrafficData[[#This Row],[totalCourt]],TrafficData[[#This Row],[disposedCourt]]&lt;=TrafficData[[#This Row],[totalCourt]])</f>
        <v>1</v>
      </c>
    </row>
    <row r="1962" spans="1:16">
      <c r="A1962" s="1">
        <v>43966</v>
      </c>
      <c r="B1962">
        <v>95497</v>
      </c>
      <c r="C1962">
        <v>42323</v>
      </c>
      <c r="D1962">
        <v>53174</v>
      </c>
      <c r="E1962">
        <v>59635240</v>
      </c>
      <c r="F1962">
        <v>34837126</v>
      </c>
      <c r="G1962">
        <v>94472366</v>
      </c>
      <c r="H1962">
        <v>14489</v>
      </c>
      <c r="I1962">
        <v>6598</v>
      </c>
      <c r="J1962">
        <v>21087</v>
      </c>
      <c r="K1962" t="b">
        <f>TrafficData[[#This Row],[disposedChallan]]+TrafficData[[#This Row],[pendingChallan]]=TrafficData[[#This Row],[totalChallan]]</f>
        <v>1</v>
      </c>
      <c r="L1962" t="b">
        <f>TrafficData[[#This Row],[pendingAmount]]+TrafficData[[#This Row],[disposedAmount]]=TrafficData[[#This Row],[totalAmount]]</f>
        <v>1</v>
      </c>
      <c r="M1962" t="b">
        <f>TrafficData[[#This Row],[pendingCourt]]+TrafficData[[#This Row],[disposedCourt]]=TrafficData[[#This Row],[totalCourt]]</f>
        <v>1</v>
      </c>
      <c r="N1962" t="b">
        <f>AND(TrafficData[[#This Row],[disposedChallan]]&lt;=TrafficData[[#This Row],[totalChallan]],TrafficData[[#This Row],[pendingChallan]]&lt;=TrafficData[[#This Row],[totalChallan]])</f>
        <v>1</v>
      </c>
      <c r="O1962" t="b">
        <f>AND(TrafficData[[#This Row],[pendingAmount]]&lt;=TrafficData[[#This Row],[totalAmount]],TrafficData[[#This Row],[disposedAmount]]&lt;=TrafficData[[#This Row],[totalAmount]])</f>
        <v>1</v>
      </c>
      <c r="P1962" t="b">
        <f>AND(TrafficData[[#This Row],[pendingCourt]]&lt;=TrafficData[[#This Row],[totalCourt]],TrafficData[[#This Row],[disposedCourt]]&lt;=TrafficData[[#This Row],[totalCourt]])</f>
        <v>1</v>
      </c>
    </row>
    <row r="1963" spans="1:16">
      <c r="A1963" s="1">
        <v>43967</v>
      </c>
      <c r="B1963">
        <v>89045</v>
      </c>
      <c r="C1963">
        <v>39416</v>
      </c>
      <c r="D1963">
        <v>49629</v>
      </c>
      <c r="E1963">
        <v>59879960</v>
      </c>
      <c r="F1963">
        <v>35397833</v>
      </c>
      <c r="G1963">
        <v>95277793</v>
      </c>
      <c r="H1963">
        <v>14484</v>
      </c>
      <c r="I1963">
        <v>7659</v>
      </c>
      <c r="J1963">
        <v>22143</v>
      </c>
      <c r="K1963" t="b">
        <f>TrafficData[[#This Row],[disposedChallan]]+TrafficData[[#This Row],[pendingChallan]]=TrafficData[[#This Row],[totalChallan]]</f>
        <v>1</v>
      </c>
      <c r="L1963" t="b">
        <f>TrafficData[[#This Row],[pendingAmount]]+TrafficData[[#This Row],[disposedAmount]]=TrafficData[[#This Row],[totalAmount]]</f>
        <v>1</v>
      </c>
      <c r="M1963" t="b">
        <f>TrafficData[[#This Row],[pendingCourt]]+TrafficData[[#This Row],[disposedCourt]]=TrafficData[[#This Row],[totalCourt]]</f>
        <v>1</v>
      </c>
      <c r="N1963" t="b">
        <f>AND(TrafficData[[#This Row],[disposedChallan]]&lt;=TrafficData[[#This Row],[totalChallan]],TrafficData[[#This Row],[pendingChallan]]&lt;=TrafficData[[#This Row],[totalChallan]])</f>
        <v>1</v>
      </c>
      <c r="O1963" t="b">
        <f>AND(TrafficData[[#This Row],[pendingAmount]]&lt;=TrafficData[[#This Row],[totalAmount]],TrafficData[[#This Row],[disposedAmount]]&lt;=TrafficData[[#This Row],[totalAmount]])</f>
        <v>1</v>
      </c>
      <c r="P1963" t="b">
        <f>AND(TrafficData[[#This Row],[pendingCourt]]&lt;=TrafficData[[#This Row],[totalCourt]],TrafficData[[#This Row],[disposedCourt]]&lt;=TrafficData[[#This Row],[totalCourt]])</f>
        <v>1</v>
      </c>
    </row>
    <row r="1964" spans="1:16">
      <c r="A1964" s="1">
        <v>43968</v>
      </c>
      <c r="B1964">
        <v>78301</v>
      </c>
      <c r="C1964">
        <v>33228</v>
      </c>
      <c r="D1964">
        <v>45073</v>
      </c>
      <c r="E1964">
        <v>52751990</v>
      </c>
      <c r="F1964">
        <v>29097281</v>
      </c>
      <c r="G1964">
        <v>81849271</v>
      </c>
      <c r="H1964">
        <v>13252</v>
      </c>
      <c r="I1964">
        <v>6369</v>
      </c>
      <c r="J1964">
        <v>19621</v>
      </c>
      <c r="K1964" t="b">
        <f>TrafficData[[#This Row],[disposedChallan]]+TrafficData[[#This Row],[pendingChallan]]=TrafficData[[#This Row],[totalChallan]]</f>
        <v>1</v>
      </c>
      <c r="L1964" t="b">
        <f>TrafficData[[#This Row],[pendingAmount]]+TrafficData[[#This Row],[disposedAmount]]=TrafficData[[#This Row],[totalAmount]]</f>
        <v>1</v>
      </c>
      <c r="M1964" t="b">
        <f>TrafficData[[#This Row],[pendingCourt]]+TrafficData[[#This Row],[disposedCourt]]=TrafficData[[#This Row],[totalCourt]]</f>
        <v>1</v>
      </c>
      <c r="N1964" t="b">
        <f>AND(TrafficData[[#This Row],[disposedChallan]]&lt;=TrafficData[[#This Row],[totalChallan]],TrafficData[[#This Row],[pendingChallan]]&lt;=TrafficData[[#This Row],[totalChallan]])</f>
        <v>1</v>
      </c>
      <c r="O1964" t="b">
        <f>AND(TrafficData[[#This Row],[pendingAmount]]&lt;=TrafficData[[#This Row],[totalAmount]],TrafficData[[#This Row],[disposedAmount]]&lt;=TrafficData[[#This Row],[totalAmount]])</f>
        <v>1</v>
      </c>
      <c r="P1964" t="b">
        <f>AND(TrafficData[[#This Row],[pendingCourt]]&lt;=TrafficData[[#This Row],[totalCourt]],TrafficData[[#This Row],[disposedCourt]]&lt;=TrafficData[[#This Row],[totalCourt]])</f>
        <v>1</v>
      </c>
    </row>
    <row r="1965" spans="1:16">
      <c r="A1965" s="1">
        <v>43969</v>
      </c>
      <c r="B1965">
        <v>89762</v>
      </c>
      <c r="C1965">
        <v>39345</v>
      </c>
      <c r="D1965">
        <v>50417</v>
      </c>
      <c r="E1965">
        <v>58710680</v>
      </c>
      <c r="F1965">
        <v>35031593</v>
      </c>
      <c r="G1965">
        <v>93742273</v>
      </c>
      <c r="H1965">
        <v>15323</v>
      </c>
      <c r="I1965">
        <v>7596</v>
      </c>
      <c r="J1965">
        <v>22919</v>
      </c>
      <c r="K1965" t="b">
        <f>TrafficData[[#This Row],[disposedChallan]]+TrafficData[[#This Row],[pendingChallan]]=TrafficData[[#This Row],[totalChallan]]</f>
        <v>1</v>
      </c>
      <c r="L1965" t="b">
        <f>TrafficData[[#This Row],[pendingAmount]]+TrafficData[[#This Row],[disposedAmount]]=TrafficData[[#This Row],[totalAmount]]</f>
        <v>1</v>
      </c>
      <c r="M1965" t="b">
        <f>TrafficData[[#This Row],[pendingCourt]]+TrafficData[[#This Row],[disposedCourt]]=TrafficData[[#This Row],[totalCourt]]</f>
        <v>1</v>
      </c>
      <c r="N1965" t="b">
        <f>AND(TrafficData[[#This Row],[disposedChallan]]&lt;=TrafficData[[#This Row],[totalChallan]],TrafficData[[#This Row],[pendingChallan]]&lt;=TrafficData[[#This Row],[totalChallan]])</f>
        <v>1</v>
      </c>
      <c r="O1965" t="b">
        <f>AND(TrafficData[[#This Row],[pendingAmount]]&lt;=TrafficData[[#This Row],[totalAmount]],TrafficData[[#This Row],[disposedAmount]]&lt;=TrafficData[[#This Row],[totalAmount]])</f>
        <v>1</v>
      </c>
      <c r="P1965" t="b">
        <f>AND(TrafficData[[#This Row],[pendingCourt]]&lt;=TrafficData[[#This Row],[totalCourt]],TrafficData[[#This Row],[disposedCourt]]&lt;=TrafficData[[#This Row],[totalCourt]])</f>
        <v>1</v>
      </c>
    </row>
    <row r="1966" spans="1:16">
      <c r="A1966" s="1">
        <v>43970</v>
      </c>
      <c r="B1966">
        <v>97947</v>
      </c>
      <c r="C1966">
        <v>41591</v>
      </c>
      <c r="D1966">
        <v>56356</v>
      </c>
      <c r="E1966">
        <v>64329369</v>
      </c>
      <c r="F1966">
        <v>37860968</v>
      </c>
      <c r="G1966">
        <v>102190337</v>
      </c>
      <c r="H1966">
        <v>16227</v>
      </c>
      <c r="I1966">
        <v>6389</v>
      </c>
      <c r="J1966">
        <v>22616</v>
      </c>
      <c r="K1966" t="b">
        <f>TrafficData[[#This Row],[disposedChallan]]+TrafficData[[#This Row],[pendingChallan]]=TrafficData[[#This Row],[totalChallan]]</f>
        <v>1</v>
      </c>
      <c r="L1966" t="b">
        <f>TrafficData[[#This Row],[pendingAmount]]+TrafficData[[#This Row],[disposedAmount]]=TrafficData[[#This Row],[totalAmount]]</f>
        <v>1</v>
      </c>
      <c r="M1966" t="b">
        <f>TrafficData[[#This Row],[pendingCourt]]+TrafficData[[#This Row],[disposedCourt]]=TrafficData[[#This Row],[totalCourt]]</f>
        <v>1</v>
      </c>
      <c r="N1966" t="b">
        <f>AND(TrafficData[[#This Row],[disposedChallan]]&lt;=TrafficData[[#This Row],[totalChallan]],TrafficData[[#This Row],[pendingChallan]]&lt;=TrafficData[[#This Row],[totalChallan]])</f>
        <v>1</v>
      </c>
      <c r="O1966" t="b">
        <f>AND(TrafficData[[#This Row],[pendingAmount]]&lt;=TrafficData[[#This Row],[totalAmount]],TrafficData[[#This Row],[disposedAmount]]&lt;=TrafficData[[#This Row],[totalAmount]])</f>
        <v>1</v>
      </c>
      <c r="P1966" t="b">
        <f>AND(TrafficData[[#This Row],[pendingCourt]]&lt;=TrafficData[[#This Row],[totalCourt]],TrafficData[[#This Row],[disposedCourt]]&lt;=TrafficData[[#This Row],[totalCourt]])</f>
        <v>1</v>
      </c>
    </row>
    <row r="1967" spans="1:16">
      <c r="A1967" s="1">
        <v>43971</v>
      </c>
      <c r="B1967">
        <v>99574</v>
      </c>
      <c r="C1967">
        <v>44034</v>
      </c>
      <c r="D1967">
        <v>55540</v>
      </c>
      <c r="E1967">
        <v>64586350</v>
      </c>
      <c r="F1967">
        <v>38225573</v>
      </c>
      <c r="G1967">
        <v>102811923</v>
      </c>
      <c r="H1967">
        <v>15656</v>
      </c>
      <c r="I1967">
        <v>8846</v>
      </c>
      <c r="J1967">
        <v>24502</v>
      </c>
      <c r="K1967" t="b">
        <f>TrafficData[[#This Row],[disposedChallan]]+TrafficData[[#This Row],[pendingChallan]]=TrafficData[[#This Row],[totalChallan]]</f>
        <v>1</v>
      </c>
      <c r="L1967" t="b">
        <f>TrafficData[[#This Row],[pendingAmount]]+TrafficData[[#This Row],[disposedAmount]]=TrafficData[[#This Row],[totalAmount]]</f>
        <v>1</v>
      </c>
      <c r="M1967" t="b">
        <f>TrafficData[[#This Row],[pendingCourt]]+TrafficData[[#This Row],[disposedCourt]]=TrafficData[[#This Row],[totalCourt]]</f>
        <v>1</v>
      </c>
      <c r="N1967" t="b">
        <f>AND(TrafficData[[#This Row],[disposedChallan]]&lt;=TrafficData[[#This Row],[totalChallan]],TrafficData[[#This Row],[pendingChallan]]&lt;=TrafficData[[#This Row],[totalChallan]])</f>
        <v>1</v>
      </c>
      <c r="O1967" t="b">
        <f>AND(TrafficData[[#This Row],[pendingAmount]]&lt;=TrafficData[[#This Row],[totalAmount]],TrafficData[[#This Row],[disposedAmount]]&lt;=TrafficData[[#This Row],[totalAmount]])</f>
        <v>1</v>
      </c>
      <c r="P1967" t="b">
        <f>AND(TrafficData[[#This Row],[pendingCourt]]&lt;=TrafficData[[#This Row],[totalCourt]],TrafficData[[#This Row],[disposedCourt]]&lt;=TrafficData[[#This Row],[totalCourt]])</f>
        <v>1</v>
      </c>
    </row>
    <row r="1968" spans="1:16">
      <c r="A1968" s="1">
        <v>43972</v>
      </c>
      <c r="B1968">
        <v>102215</v>
      </c>
      <c r="C1968">
        <v>43953</v>
      </c>
      <c r="D1968">
        <v>58262</v>
      </c>
      <c r="E1968">
        <v>66925280</v>
      </c>
      <c r="F1968">
        <v>39325549</v>
      </c>
      <c r="G1968">
        <v>106250829</v>
      </c>
      <c r="H1968">
        <v>16849</v>
      </c>
      <c r="I1968">
        <v>6930</v>
      </c>
      <c r="J1968">
        <v>23779</v>
      </c>
      <c r="K1968" t="b">
        <f>TrafficData[[#This Row],[disposedChallan]]+TrafficData[[#This Row],[pendingChallan]]=TrafficData[[#This Row],[totalChallan]]</f>
        <v>1</v>
      </c>
      <c r="L1968" t="b">
        <f>TrafficData[[#This Row],[pendingAmount]]+TrafficData[[#This Row],[disposedAmount]]=TrafficData[[#This Row],[totalAmount]]</f>
        <v>1</v>
      </c>
      <c r="M1968" t="b">
        <f>TrafficData[[#This Row],[pendingCourt]]+TrafficData[[#This Row],[disposedCourt]]=TrafficData[[#This Row],[totalCourt]]</f>
        <v>1</v>
      </c>
      <c r="N1968" t="b">
        <f>AND(TrafficData[[#This Row],[disposedChallan]]&lt;=TrafficData[[#This Row],[totalChallan]],TrafficData[[#This Row],[pendingChallan]]&lt;=TrafficData[[#This Row],[totalChallan]])</f>
        <v>1</v>
      </c>
      <c r="O1968" t="b">
        <f>AND(TrafficData[[#This Row],[pendingAmount]]&lt;=TrafficData[[#This Row],[totalAmount]],TrafficData[[#This Row],[disposedAmount]]&lt;=TrafficData[[#This Row],[totalAmount]])</f>
        <v>1</v>
      </c>
      <c r="P1968" t="b">
        <f>AND(TrafficData[[#This Row],[pendingCourt]]&lt;=TrafficData[[#This Row],[totalCourt]],TrafficData[[#This Row],[disposedCourt]]&lt;=TrafficData[[#This Row],[totalCourt]])</f>
        <v>1</v>
      </c>
    </row>
    <row r="1969" spans="1:16">
      <c r="A1969" s="1">
        <v>43973</v>
      </c>
      <c r="B1969">
        <v>105012</v>
      </c>
      <c r="C1969">
        <v>44791</v>
      </c>
      <c r="D1969">
        <v>60221</v>
      </c>
      <c r="E1969">
        <v>72583420</v>
      </c>
      <c r="F1969">
        <v>40506309</v>
      </c>
      <c r="G1969">
        <v>113089729</v>
      </c>
      <c r="H1969">
        <v>15766</v>
      </c>
      <c r="I1969">
        <v>7569</v>
      </c>
      <c r="J1969">
        <v>23335</v>
      </c>
      <c r="K1969" t="b">
        <f>TrafficData[[#This Row],[disposedChallan]]+TrafficData[[#This Row],[pendingChallan]]=TrafficData[[#This Row],[totalChallan]]</f>
        <v>1</v>
      </c>
      <c r="L1969" t="b">
        <f>TrafficData[[#This Row],[pendingAmount]]+TrafficData[[#This Row],[disposedAmount]]=TrafficData[[#This Row],[totalAmount]]</f>
        <v>1</v>
      </c>
      <c r="M1969" t="b">
        <f>TrafficData[[#This Row],[pendingCourt]]+TrafficData[[#This Row],[disposedCourt]]=TrafficData[[#This Row],[totalCourt]]</f>
        <v>1</v>
      </c>
      <c r="N1969" t="b">
        <f>AND(TrafficData[[#This Row],[disposedChallan]]&lt;=TrafficData[[#This Row],[totalChallan]],TrafficData[[#This Row],[pendingChallan]]&lt;=TrafficData[[#This Row],[totalChallan]])</f>
        <v>1</v>
      </c>
      <c r="O1969" t="b">
        <f>AND(TrafficData[[#This Row],[pendingAmount]]&lt;=TrafficData[[#This Row],[totalAmount]],TrafficData[[#This Row],[disposedAmount]]&lt;=TrafficData[[#This Row],[totalAmount]])</f>
        <v>1</v>
      </c>
      <c r="P1969" t="b">
        <f>AND(TrafficData[[#This Row],[pendingCourt]]&lt;=TrafficData[[#This Row],[totalCourt]],TrafficData[[#This Row],[disposedCourt]]&lt;=TrafficData[[#This Row],[totalCourt]])</f>
        <v>1</v>
      </c>
    </row>
    <row r="1970" spans="1:16">
      <c r="A1970" s="1">
        <v>43974</v>
      </c>
      <c r="B1970">
        <v>107193</v>
      </c>
      <c r="C1970">
        <v>45829</v>
      </c>
      <c r="D1970">
        <v>61364</v>
      </c>
      <c r="E1970">
        <v>71460495</v>
      </c>
      <c r="F1970">
        <v>41649439</v>
      </c>
      <c r="G1970">
        <v>113109934</v>
      </c>
      <c r="H1970">
        <v>17037</v>
      </c>
      <c r="I1970">
        <v>8481</v>
      </c>
      <c r="J1970">
        <v>25518</v>
      </c>
      <c r="K1970" t="b">
        <f>TrafficData[[#This Row],[disposedChallan]]+TrafficData[[#This Row],[pendingChallan]]=TrafficData[[#This Row],[totalChallan]]</f>
        <v>1</v>
      </c>
      <c r="L1970" t="b">
        <f>TrafficData[[#This Row],[pendingAmount]]+TrafficData[[#This Row],[disposedAmount]]=TrafficData[[#This Row],[totalAmount]]</f>
        <v>1</v>
      </c>
      <c r="M1970" t="b">
        <f>TrafficData[[#This Row],[pendingCourt]]+TrafficData[[#This Row],[disposedCourt]]=TrafficData[[#This Row],[totalCourt]]</f>
        <v>1</v>
      </c>
      <c r="N1970" t="b">
        <f>AND(TrafficData[[#This Row],[disposedChallan]]&lt;=TrafficData[[#This Row],[totalChallan]],TrafficData[[#This Row],[pendingChallan]]&lt;=TrafficData[[#This Row],[totalChallan]])</f>
        <v>1</v>
      </c>
      <c r="O1970" t="b">
        <f>AND(TrafficData[[#This Row],[pendingAmount]]&lt;=TrafficData[[#This Row],[totalAmount]],TrafficData[[#This Row],[disposedAmount]]&lt;=TrafficData[[#This Row],[totalAmount]])</f>
        <v>1</v>
      </c>
      <c r="P1970" t="b">
        <f>AND(TrafficData[[#This Row],[pendingCourt]]&lt;=TrafficData[[#This Row],[totalCourt]],TrafficData[[#This Row],[disposedCourt]]&lt;=TrafficData[[#This Row],[totalCourt]])</f>
        <v>1</v>
      </c>
    </row>
    <row r="1971" spans="1:16">
      <c r="A1971" s="1">
        <v>43975</v>
      </c>
      <c r="B1971">
        <v>80606</v>
      </c>
      <c r="C1971">
        <v>34571</v>
      </c>
      <c r="D1971">
        <v>46035</v>
      </c>
      <c r="E1971">
        <v>43837295</v>
      </c>
      <c r="F1971">
        <v>28678108</v>
      </c>
      <c r="G1971">
        <v>72515403</v>
      </c>
      <c r="H1971">
        <v>14464</v>
      </c>
      <c r="I1971">
        <v>6303</v>
      </c>
      <c r="J1971">
        <v>20767</v>
      </c>
      <c r="K1971" t="b">
        <f>TrafficData[[#This Row],[disposedChallan]]+TrafficData[[#This Row],[pendingChallan]]=TrafficData[[#This Row],[totalChallan]]</f>
        <v>1</v>
      </c>
      <c r="L1971" t="b">
        <f>TrafficData[[#This Row],[pendingAmount]]+TrafficData[[#This Row],[disposedAmount]]=TrafficData[[#This Row],[totalAmount]]</f>
        <v>1</v>
      </c>
      <c r="M1971" t="b">
        <f>TrafficData[[#This Row],[pendingCourt]]+TrafficData[[#This Row],[disposedCourt]]=TrafficData[[#This Row],[totalCourt]]</f>
        <v>1</v>
      </c>
      <c r="N1971" t="b">
        <f>AND(TrafficData[[#This Row],[disposedChallan]]&lt;=TrafficData[[#This Row],[totalChallan]],TrafficData[[#This Row],[pendingChallan]]&lt;=TrafficData[[#This Row],[totalChallan]])</f>
        <v>1</v>
      </c>
      <c r="O1971" t="b">
        <f>AND(TrafficData[[#This Row],[pendingAmount]]&lt;=TrafficData[[#This Row],[totalAmount]],TrafficData[[#This Row],[disposedAmount]]&lt;=TrafficData[[#This Row],[totalAmount]])</f>
        <v>1</v>
      </c>
      <c r="P1971" t="b">
        <f>AND(TrafficData[[#This Row],[pendingCourt]]&lt;=TrafficData[[#This Row],[totalCourt]],TrafficData[[#This Row],[disposedCourt]]&lt;=TrafficData[[#This Row],[totalCourt]])</f>
        <v>1</v>
      </c>
    </row>
    <row r="1972" spans="1:16">
      <c r="A1972" s="1">
        <v>43976</v>
      </c>
      <c r="B1972">
        <v>95598</v>
      </c>
      <c r="C1972">
        <v>39249</v>
      </c>
      <c r="D1972">
        <v>56349</v>
      </c>
      <c r="E1972">
        <v>65666393</v>
      </c>
      <c r="F1972">
        <v>33386417</v>
      </c>
      <c r="G1972">
        <v>99052810</v>
      </c>
      <c r="H1972">
        <v>13048</v>
      </c>
      <c r="I1972">
        <v>6690</v>
      </c>
      <c r="J1972">
        <v>19738</v>
      </c>
      <c r="K1972" t="b">
        <f>TrafficData[[#This Row],[disposedChallan]]+TrafficData[[#This Row],[pendingChallan]]=TrafficData[[#This Row],[totalChallan]]</f>
        <v>1</v>
      </c>
      <c r="L1972" t="b">
        <f>TrafficData[[#This Row],[pendingAmount]]+TrafficData[[#This Row],[disposedAmount]]=TrafficData[[#This Row],[totalAmount]]</f>
        <v>1</v>
      </c>
      <c r="M1972" t="b">
        <f>TrafficData[[#This Row],[pendingCourt]]+TrafficData[[#This Row],[disposedCourt]]=TrafficData[[#This Row],[totalCourt]]</f>
        <v>1</v>
      </c>
      <c r="N1972" t="b">
        <f>AND(TrafficData[[#This Row],[disposedChallan]]&lt;=TrafficData[[#This Row],[totalChallan]],TrafficData[[#This Row],[pendingChallan]]&lt;=TrafficData[[#This Row],[totalChallan]])</f>
        <v>1</v>
      </c>
      <c r="O1972" t="b">
        <f>AND(TrafficData[[#This Row],[pendingAmount]]&lt;=TrafficData[[#This Row],[totalAmount]],TrafficData[[#This Row],[disposedAmount]]&lt;=TrafficData[[#This Row],[totalAmount]])</f>
        <v>1</v>
      </c>
      <c r="P1972" t="b">
        <f>AND(TrafficData[[#This Row],[pendingCourt]]&lt;=TrafficData[[#This Row],[totalCourt]],TrafficData[[#This Row],[disposedCourt]]&lt;=TrafficData[[#This Row],[totalCourt]])</f>
        <v>1</v>
      </c>
    </row>
    <row r="1973" spans="1:16">
      <c r="A1973" s="1">
        <v>43977</v>
      </c>
      <c r="B1973">
        <v>109705</v>
      </c>
      <c r="C1973">
        <v>46624</v>
      </c>
      <c r="D1973">
        <v>63081</v>
      </c>
      <c r="E1973">
        <v>74076330</v>
      </c>
      <c r="F1973">
        <v>39979686</v>
      </c>
      <c r="G1973">
        <v>114056016</v>
      </c>
      <c r="H1973">
        <v>16984</v>
      </c>
      <c r="I1973">
        <v>7579</v>
      </c>
      <c r="J1973">
        <v>24563</v>
      </c>
      <c r="K1973" t="b">
        <f>TrafficData[[#This Row],[disposedChallan]]+TrafficData[[#This Row],[pendingChallan]]=TrafficData[[#This Row],[totalChallan]]</f>
        <v>1</v>
      </c>
      <c r="L1973" t="b">
        <f>TrafficData[[#This Row],[pendingAmount]]+TrafficData[[#This Row],[disposedAmount]]=TrafficData[[#This Row],[totalAmount]]</f>
        <v>1</v>
      </c>
      <c r="M1973" t="b">
        <f>TrafficData[[#This Row],[pendingCourt]]+TrafficData[[#This Row],[disposedCourt]]=TrafficData[[#This Row],[totalCourt]]</f>
        <v>1</v>
      </c>
      <c r="N1973" t="b">
        <f>AND(TrafficData[[#This Row],[disposedChallan]]&lt;=TrafficData[[#This Row],[totalChallan]],TrafficData[[#This Row],[pendingChallan]]&lt;=TrafficData[[#This Row],[totalChallan]])</f>
        <v>1</v>
      </c>
      <c r="O1973" t="b">
        <f>AND(TrafficData[[#This Row],[pendingAmount]]&lt;=TrafficData[[#This Row],[totalAmount]],TrafficData[[#This Row],[disposedAmount]]&lt;=TrafficData[[#This Row],[totalAmount]])</f>
        <v>1</v>
      </c>
      <c r="P1973" t="b">
        <f>AND(TrafficData[[#This Row],[pendingCourt]]&lt;=TrafficData[[#This Row],[totalCourt]],TrafficData[[#This Row],[disposedCourt]]&lt;=TrafficData[[#This Row],[totalCourt]])</f>
        <v>1</v>
      </c>
    </row>
    <row r="1974" spans="1:16">
      <c r="A1974" s="1">
        <v>43978</v>
      </c>
      <c r="B1974">
        <v>110255</v>
      </c>
      <c r="C1974">
        <v>47986</v>
      </c>
      <c r="D1974">
        <v>62269</v>
      </c>
      <c r="E1974">
        <v>73762731</v>
      </c>
      <c r="F1974">
        <v>42619074</v>
      </c>
      <c r="G1974">
        <v>116381805</v>
      </c>
      <c r="H1974">
        <v>15750</v>
      </c>
      <c r="I1974">
        <v>7542</v>
      </c>
      <c r="J1974">
        <v>23292</v>
      </c>
      <c r="K1974" t="b">
        <f>TrafficData[[#This Row],[disposedChallan]]+TrafficData[[#This Row],[pendingChallan]]=TrafficData[[#This Row],[totalChallan]]</f>
        <v>1</v>
      </c>
      <c r="L1974" t="b">
        <f>TrafficData[[#This Row],[pendingAmount]]+TrafficData[[#This Row],[disposedAmount]]=TrafficData[[#This Row],[totalAmount]]</f>
        <v>1</v>
      </c>
      <c r="M1974" t="b">
        <f>TrafficData[[#This Row],[pendingCourt]]+TrafficData[[#This Row],[disposedCourt]]=TrafficData[[#This Row],[totalCourt]]</f>
        <v>1</v>
      </c>
      <c r="N1974" t="b">
        <f>AND(TrafficData[[#This Row],[disposedChallan]]&lt;=TrafficData[[#This Row],[totalChallan]],TrafficData[[#This Row],[pendingChallan]]&lt;=TrafficData[[#This Row],[totalChallan]])</f>
        <v>1</v>
      </c>
      <c r="O1974" t="b">
        <f>AND(TrafficData[[#This Row],[pendingAmount]]&lt;=TrafficData[[#This Row],[totalAmount]],TrafficData[[#This Row],[disposedAmount]]&lt;=TrafficData[[#This Row],[totalAmount]])</f>
        <v>1</v>
      </c>
      <c r="P1974" t="b">
        <f>AND(TrafficData[[#This Row],[pendingCourt]]&lt;=TrafficData[[#This Row],[totalCourt]],TrafficData[[#This Row],[disposedCourt]]&lt;=TrafficData[[#This Row],[totalCourt]])</f>
        <v>1</v>
      </c>
    </row>
    <row r="1975" spans="1:16">
      <c r="A1975" s="1">
        <v>43979</v>
      </c>
      <c r="B1975">
        <v>109330</v>
      </c>
      <c r="C1975">
        <v>47012</v>
      </c>
      <c r="D1975">
        <v>62318</v>
      </c>
      <c r="E1975">
        <v>73027440</v>
      </c>
      <c r="F1975">
        <v>45520644</v>
      </c>
      <c r="G1975">
        <v>118548084</v>
      </c>
      <c r="H1975">
        <v>14522</v>
      </c>
      <c r="I1975">
        <v>8288</v>
      </c>
      <c r="J1975">
        <v>22810</v>
      </c>
      <c r="K1975" t="b">
        <f>TrafficData[[#This Row],[disposedChallan]]+TrafficData[[#This Row],[pendingChallan]]=TrafficData[[#This Row],[totalChallan]]</f>
        <v>1</v>
      </c>
      <c r="L1975" t="b">
        <f>TrafficData[[#This Row],[pendingAmount]]+TrafficData[[#This Row],[disposedAmount]]=TrafficData[[#This Row],[totalAmount]]</f>
        <v>1</v>
      </c>
      <c r="M1975" t="b">
        <f>TrafficData[[#This Row],[pendingCourt]]+TrafficData[[#This Row],[disposedCourt]]=TrafficData[[#This Row],[totalCourt]]</f>
        <v>1</v>
      </c>
      <c r="N1975" t="b">
        <f>AND(TrafficData[[#This Row],[disposedChallan]]&lt;=TrafficData[[#This Row],[totalChallan]],TrafficData[[#This Row],[pendingChallan]]&lt;=TrafficData[[#This Row],[totalChallan]])</f>
        <v>1</v>
      </c>
      <c r="O1975" t="b">
        <f>AND(TrafficData[[#This Row],[pendingAmount]]&lt;=TrafficData[[#This Row],[totalAmount]],TrafficData[[#This Row],[disposedAmount]]&lt;=TrafficData[[#This Row],[totalAmount]])</f>
        <v>1</v>
      </c>
      <c r="P1975" t="b">
        <f>AND(TrafficData[[#This Row],[pendingCourt]]&lt;=TrafficData[[#This Row],[totalCourt]],TrafficData[[#This Row],[disposedCourt]]&lt;=TrafficData[[#This Row],[totalCourt]])</f>
        <v>1</v>
      </c>
    </row>
    <row r="1976" spans="1:16">
      <c r="A1976" s="1">
        <v>43980</v>
      </c>
      <c r="B1976">
        <v>118005</v>
      </c>
      <c r="C1976">
        <v>51157</v>
      </c>
      <c r="D1976">
        <v>66848</v>
      </c>
      <c r="E1976">
        <v>72806940</v>
      </c>
      <c r="F1976">
        <v>45308054</v>
      </c>
      <c r="G1976">
        <v>118114994</v>
      </c>
      <c r="H1976">
        <v>16956</v>
      </c>
      <c r="I1976">
        <v>8965</v>
      </c>
      <c r="J1976">
        <v>25921</v>
      </c>
      <c r="K1976" t="b">
        <f>TrafficData[[#This Row],[disposedChallan]]+TrafficData[[#This Row],[pendingChallan]]=TrafficData[[#This Row],[totalChallan]]</f>
        <v>1</v>
      </c>
      <c r="L1976" t="b">
        <f>TrafficData[[#This Row],[pendingAmount]]+TrafficData[[#This Row],[disposedAmount]]=TrafficData[[#This Row],[totalAmount]]</f>
        <v>1</v>
      </c>
      <c r="M1976" t="b">
        <f>TrafficData[[#This Row],[pendingCourt]]+TrafficData[[#This Row],[disposedCourt]]=TrafficData[[#This Row],[totalCourt]]</f>
        <v>1</v>
      </c>
      <c r="N1976" t="b">
        <f>AND(TrafficData[[#This Row],[disposedChallan]]&lt;=TrafficData[[#This Row],[totalChallan]],TrafficData[[#This Row],[pendingChallan]]&lt;=TrafficData[[#This Row],[totalChallan]])</f>
        <v>1</v>
      </c>
      <c r="O1976" t="b">
        <f>AND(TrafficData[[#This Row],[pendingAmount]]&lt;=TrafficData[[#This Row],[totalAmount]],TrafficData[[#This Row],[disposedAmount]]&lt;=TrafficData[[#This Row],[totalAmount]])</f>
        <v>1</v>
      </c>
      <c r="P1976" t="b">
        <f>AND(TrafficData[[#This Row],[pendingCourt]]&lt;=TrafficData[[#This Row],[totalCourt]],TrafficData[[#This Row],[disposedCourt]]&lt;=TrafficData[[#This Row],[totalCourt]])</f>
        <v>1</v>
      </c>
    </row>
    <row r="1977" spans="1:16">
      <c r="A1977" s="1">
        <v>43981</v>
      </c>
      <c r="B1977">
        <v>117818</v>
      </c>
      <c r="C1977">
        <v>52192</v>
      </c>
      <c r="D1977">
        <v>65626</v>
      </c>
      <c r="E1977">
        <v>70912480</v>
      </c>
      <c r="F1977">
        <v>44064190</v>
      </c>
      <c r="G1977">
        <v>114976670</v>
      </c>
      <c r="H1977">
        <v>15315</v>
      </c>
      <c r="I1977">
        <v>9110</v>
      </c>
      <c r="J1977">
        <v>24425</v>
      </c>
      <c r="K1977" t="b">
        <f>TrafficData[[#This Row],[disposedChallan]]+TrafficData[[#This Row],[pendingChallan]]=TrafficData[[#This Row],[totalChallan]]</f>
        <v>1</v>
      </c>
      <c r="L1977" t="b">
        <f>TrafficData[[#This Row],[pendingAmount]]+TrafficData[[#This Row],[disposedAmount]]=TrafficData[[#This Row],[totalAmount]]</f>
        <v>1</v>
      </c>
      <c r="M1977" t="b">
        <f>TrafficData[[#This Row],[pendingCourt]]+TrafficData[[#This Row],[disposedCourt]]=TrafficData[[#This Row],[totalCourt]]</f>
        <v>1</v>
      </c>
      <c r="N1977" t="b">
        <f>AND(TrafficData[[#This Row],[disposedChallan]]&lt;=TrafficData[[#This Row],[totalChallan]],TrafficData[[#This Row],[pendingChallan]]&lt;=TrafficData[[#This Row],[totalChallan]])</f>
        <v>1</v>
      </c>
      <c r="O1977" t="b">
        <f>AND(TrafficData[[#This Row],[pendingAmount]]&lt;=TrafficData[[#This Row],[totalAmount]],TrafficData[[#This Row],[disposedAmount]]&lt;=TrafficData[[#This Row],[totalAmount]])</f>
        <v>1</v>
      </c>
      <c r="P1977" t="b">
        <f>AND(TrafficData[[#This Row],[pendingCourt]]&lt;=TrafficData[[#This Row],[totalCourt]],TrafficData[[#This Row],[disposedCourt]]&lt;=TrafficData[[#This Row],[totalCourt]])</f>
        <v>1</v>
      </c>
    </row>
    <row r="1978" spans="1:16">
      <c r="A1978" s="1">
        <v>43982</v>
      </c>
      <c r="B1978">
        <v>101466</v>
      </c>
      <c r="C1978">
        <v>42445</v>
      </c>
      <c r="D1978">
        <v>59021</v>
      </c>
      <c r="E1978">
        <v>61750659</v>
      </c>
      <c r="F1978">
        <v>35216422</v>
      </c>
      <c r="G1978">
        <v>96967081</v>
      </c>
      <c r="H1978">
        <v>12762</v>
      </c>
      <c r="I1978">
        <v>7609</v>
      </c>
      <c r="J1978">
        <v>20371</v>
      </c>
      <c r="K1978" t="b">
        <f>TrafficData[[#This Row],[disposedChallan]]+TrafficData[[#This Row],[pendingChallan]]=TrafficData[[#This Row],[totalChallan]]</f>
        <v>1</v>
      </c>
      <c r="L1978" t="b">
        <f>TrafficData[[#This Row],[pendingAmount]]+TrafficData[[#This Row],[disposedAmount]]=TrafficData[[#This Row],[totalAmount]]</f>
        <v>1</v>
      </c>
      <c r="M1978" t="b">
        <f>TrafficData[[#This Row],[pendingCourt]]+TrafficData[[#This Row],[disposedCourt]]=TrafficData[[#This Row],[totalCourt]]</f>
        <v>1</v>
      </c>
      <c r="N1978" t="b">
        <f>AND(TrafficData[[#This Row],[disposedChallan]]&lt;=TrafficData[[#This Row],[totalChallan]],TrafficData[[#This Row],[pendingChallan]]&lt;=TrafficData[[#This Row],[totalChallan]])</f>
        <v>1</v>
      </c>
      <c r="O1978" t="b">
        <f>AND(TrafficData[[#This Row],[pendingAmount]]&lt;=TrafficData[[#This Row],[totalAmount]],TrafficData[[#This Row],[disposedAmount]]&lt;=TrafficData[[#This Row],[totalAmount]])</f>
        <v>1</v>
      </c>
      <c r="P1978" t="b">
        <f>AND(TrafficData[[#This Row],[pendingCourt]]&lt;=TrafficData[[#This Row],[totalCourt]],TrafficData[[#This Row],[disposedCourt]]&lt;=TrafficData[[#This Row],[totalCourt]])</f>
        <v>1</v>
      </c>
    </row>
    <row r="1979" spans="1:16">
      <c r="A1979" s="1">
        <v>43983</v>
      </c>
      <c r="B1979">
        <v>118616</v>
      </c>
      <c r="C1979">
        <v>50817</v>
      </c>
      <c r="D1979">
        <v>67799</v>
      </c>
      <c r="E1979">
        <v>76492259</v>
      </c>
      <c r="F1979">
        <v>48033758</v>
      </c>
      <c r="G1979">
        <v>124526017</v>
      </c>
      <c r="H1979">
        <v>17459</v>
      </c>
      <c r="I1979">
        <v>9047</v>
      </c>
      <c r="J1979">
        <v>26506</v>
      </c>
      <c r="K1979" t="b">
        <f>TrafficData[[#This Row],[disposedChallan]]+TrafficData[[#This Row],[pendingChallan]]=TrafficData[[#This Row],[totalChallan]]</f>
        <v>1</v>
      </c>
      <c r="L1979" t="b">
        <f>TrafficData[[#This Row],[pendingAmount]]+TrafficData[[#This Row],[disposedAmount]]=TrafficData[[#This Row],[totalAmount]]</f>
        <v>1</v>
      </c>
      <c r="M1979" t="b">
        <f>TrafficData[[#This Row],[pendingCourt]]+TrafficData[[#This Row],[disposedCourt]]=TrafficData[[#This Row],[totalCourt]]</f>
        <v>1</v>
      </c>
      <c r="N1979" t="b">
        <f>AND(TrafficData[[#This Row],[disposedChallan]]&lt;=TrafficData[[#This Row],[totalChallan]],TrafficData[[#This Row],[pendingChallan]]&lt;=TrafficData[[#This Row],[totalChallan]])</f>
        <v>1</v>
      </c>
      <c r="O1979" t="b">
        <f>AND(TrafficData[[#This Row],[pendingAmount]]&lt;=TrafficData[[#This Row],[totalAmount]],TrafficData[[#This Row],[disposedAmount]]&lt;=TrafficData[[#This Row],[totalAmount]])</f>
        <v>1</v>
      </c>
      <c r="P1979" t="b">
        <f>AND(TrafficData[[#This Row],[pendingCourt]]&lt;=TrafficData[[#This Row],[totalCourt]],TrafficData[[#This Row],[disposedCourt]]&lt;=TrafficData[[#This Row],[totalCourt]])</f>
        <v>1</v>
      </c>
    </row>
    <row r="1980" spans="1:16">
      <c r="A1980" s="1">
        <v>43984</v>
      </c>
      <c r="B1980">
        <v>121273</v>
      </c>
      <c r="C1980">
        <v>50474</v>
      </c>
      <c r="D1980">
        <v>70799</v>
      </c>
      <c r="E1980">
        <v>78565336</v>
      </c>
      <c r="F1980">
        <v>53557598</v>
      </c>
      <c r="G1980">
        <v>132122934</v>
      </c>
      <c r="H1980">
        <v>17574</v>
      </c>
      <c r="I1980">
        <v>9071</v>
      </c>
      <c r="J1980">
        <v>26645</v>
      </c>
      <c r="K1980" t="b">
        <f>TrafficData[[#This Row],[disposedChallan]]+TrafficData[[#This Row],[pendingChallan]]=TrafficData[[#This Row],[totalChallan]]</f>
        <v>1</v>
      </c>
      <c r="L1980" t="b">
        <f>TrafficData[[#This Row],[pendingAmount]]+TrafficData[[#This Row],[disposedAmount]]=TrafficData[[#This Row],[totalAmount]]</f>
        <v>1</v>
      </c>
      <c r="M1980" t="b">
        <f>TrafficData[[#This Row],[pendingCourt]]+TrafficData[[#This Row],[disposedCourt]]=TrafficData[[#This Row],[totalCourt]]</f>
        <v>1</v>
      </c>
      <c r="N1980" t="b">
        <f>AND(TrafficData[[#This Row],[disposedChallan]]&lt;=TrafficData[[#This Row],[totalChallan]],TrafficData[[#This Row],[pendingChallan]]&lt;=TrafficData[[#This Row],[totalChallan]])</f>
        <v>1</v>
      </c>
      <c r="O1980" t="b">
        <f>AND(TrafficData[[#This Row],[pendingAmount]]&lt;=TrafficData[[#This Row],[totalAmount]],TrafficData[[#This Row],[disposedAmount]]&lt;=TrafficData[[#This Row],[totalAmount]])</f>
        <v>1</v>
      </c>
      <c r="P1980" t="b">
        <f>AND(TrafficData[[#This Row],[pendingCourt]]&lt;=TrafficData[[#This Row],[totalCourt]],TrafficData[[#This Row],[disposedCourt]]&lt;=TrafficData[[#This Row],[totalCourt]])</f>
        <v>1</v>
      </c>
    </row>
    <row r="1981" spans="1:16">
      <c r="A1981" s="1">
        <v>43985</v>
      </c>
      <c r="B1981">
        <v>125624</v>
      </c>
      <c r="C1981">
        <v>52725</v>
      </c>
      <c r="D1981">
        <v>72899</v>
      </c>
      <c r="E1981">
        <v>83605210</v>
      </c>
      <c r="F1981">
        <v>53410597</v>
      </c>
      <c r="G1981">
        <v>137015807</v>
      </c>
      <c r="H1981">
        <v>16956</v>
      </c>
      <c r="I1981">
        <v>9090</v>
      </c>
      <c r="J1981">
        <v>26046</v>
      </c>
      <c r="K1981" t="b">
        <f>TrafficData[[#This Row],[disposedChallan]]+TrafficData[[#This Row],[pendingChallan]]=TrafficData[[#This Row],[totalChallan]]</f>
        <v>1</v>
      </c>
      <c r="L1981" t="b">
        <f>TrafficData[[#This Row],[pendingAmount]]+TrafficData[[#This Row],[disposedAmount]]=TrafficData[[#This Row],[totalAmount]]</f>
        <v>1</v>
      </c>
      <c r="M1981" t="b">
        <f>TrafficData[[#This Row],[pendingCourt]]+TrafficData[[#This Row],[disposedCourt]]=TrafficData[[#This Row],[totalCourt]]</f>
        <v>1</v>
      </c>
      <c r="N1981" t="b">
        <f>AND(TrafficData[[#This Row],[disposedChallan]]&lt;=TrafficData[[#This Row],[totalChallan]],TrafficData[[#This Row],[pendingChallan]]&lt;=TrafficData[[#This Row],[totalChallan]])</f>
        <v>1</v>
      </c>
      <c r="O1981" t="b">
        <f>AND(TrafficData[[#This Row],[pendingAmount]]&lt;=TrafficData[[#This Row],[totalAmount]],TrafficData[[#This Row],[disposedAmount]]&lt;=TrafficData[[#This Row],[totalAmount]])</f>
        <v>1</v>
      </c>
      <c r="P1981" t="b">
        <f>AND(TrafficData[[#This Row],[pendingCourt]]&lt;=TrafficData[[#This Row],[totalCourt]],TrafficData[[#This Row],[disposedCourt]]&lt;=TrafficData[[#This Row],[totalCourt]])</f>
        <v>1</v>
      </c>
    </row>
    <row r="1982" spans="1:16">
      <c r="A1982" s="1">
        <v>43986</v>
      </c>
      <c r="B1982">
        <v>124772</v>
      </c>
      <c r="C1982">
        <v>53172</v>
      </c>
      <c r="D1982">
        <v>71600</v>
      </c>
      <c r="E1982">
        <v>82516637</v>
      </c>
      <c r="F1982">
        <v>56845982</v>
      </c>
      <c r="G1982">
        <v>139362619</v>
      </c>
      <c r="H1982">
        <v>15656</v>
      </c>
      <c r="I1982">
        <v>8481</v>
      </c>
      <c r="J1982">
        <v>24137</v>
      </c>
      <c r="K1982" t="b">
        <f>TrafficData[[#This Row],[disposedChallan]]+TrafficData[[#This Row],[pendingChallan]]=TrafficData[[#This Row],[totalChallan]]</f>
        <v>1</v>
      </c>
      <c r="L1982" t="b">
        <f>TrafficData[[#This Row],[pendingAmount]]+TrafficData[[#This Row],[disposedAmount]]=TrafficData[[#This Row],[totalAmount]]</f>
        <v>1</v>
      </c>
      <c r="M1982" t="b">
        <f>TrafficData[[#This Row],[pendingCourt]]+TrafficData[[#This Row],[disposedCourt]]=TrafficData[[#This Row],[totalCourt]]</f>
        <v>1</v>
      </c>
      <c r="N1982" t="b">
        <f>AND(TrafficData[[#This Row],[disposedChallan]]&lt;=TrafficData[[#This Row],[totalChallan]],TrafficData[[#This Row],[pendingChallan]]&lt;=TrafficData[[#This Row],[totalChallan]])</f>
        <v>1</v>
      </c>
      <c r="O1982" t="b">
        <f>AND(TrafficData[[#This Row],[pendingAmount]]&lt;=TrafficData[[#This Row],[totalAmount]],TrafficData[[#This Row],[disposedAmount]]&lt;=TrafficData[[#This Row],[totalAmount]])</f>
        <v>1</v>
      </c>
      <c r="P1982" t="b">
        <f>AND(TrafficData[[#This Row],[pendingCourt]]&lt;=TrafficData[[#This Row],[totalCourt]],TrafficData[[#This Row],[disposedCourt]]&lt;=TrafficData[[#This Row],[totalCourt]])</f>
        <v>1</v>
      </c>
    </row>
    <row r="1983" spans="1:16">
      <c r="A1983" s="1">
        <v>43987</v>
      </c>
      <c r="B1983">
        <v>121733</v>
      </c>
      <c r="C1983">
        <v>51648</v>
      </c>
      <c r="D1983">
        <v>70085</v>
      </c>
      <c r="E1983">
        <v>82443155</v>
      </c>
      <c r="F1983">
        <v>53721299</v>
      </c>
      <c r="G1983">
        <v>136164454</v>
      </c>
      <c r="H1983">
        <v>13992</v>
      </c>
      <c r="I1983">
        <v>7930</v>
      </c>
      <c r="J1983">
        <v>21922</v>
      </c>
      <c r="K1983" t="b">
        <f>TrafficData[[#This Row],[disposedChallan]]+TrafficData[[#This Row],[pendingChallan]]=TrafficData[[#This Row],[totalChallan]]</f>
        <v>1</v>
      </c>
      <c r="L1983" t="b">
        <f>TrafficData[[#This Row],[pendingAmount]]+TrafficData[[#This Row],[disposedAmount]]=TrafficData[[#This Row],[totalAmount]]</f>
        <v>1</v>
      </c>
      <c r="M1983" t="b">
        <f>TrafficData[[#This Row],[pendingCourt]]+TrafficData[[#This Row],[disposedCourt]]=TrafficData[[#This Row],[totalCourt]]</f>
        <v>1</v>
      </c>
      <c r="N1983" t="b">
        <f>AND(TrafficData[[#This Row],[disposedChallan]]&lt;=TrafficData[[#This Row],[totalChallan]],TrafficData[[#This Row],[pendingChallan]]&lt;=TrafficData[[#This Row],[totalChallan]])</f>
        <v>1</v>
      </c>
      <c r="O1983" t="b">
        <f>AND(TrafficData[[#This Row],[pendingAmount]]&lt;=TrafficData[[#This Row],[totalAmount]],TrafficData[[#This Row],[disposedAmount]]&lt;=TrafficData[[#This Row],[totalAmount]])</f>
        <v>1</v>
      </c>
      <c r="P1983" t="b">
        <f>AND(TrafficData[[#This Row],[pendingCourt]]&lt;=TrafficData[[#This Row],[totalCourt]],TrafficData[[#This Row],[disposedCourt]]&lt;=TrafficData[[#This Row],[totalCourt]])</f>
        <v>1</v>
      </c>
    </row>
    <row r="1984" spans="1:16">
      <c r="A1984" s="1">
        <v>43988</v>
      </c>
      <c r="B1984">
        <v>126482</v>
      </c>
      <c r="C1984">
        <v>54730</v>
      </c>
      <c r="D1984">
        <v>71752</v>
      </c>
      <c r="E1984">
        <v>87238072</v>
      </c>
      <c r="F1984">
        <v>57081556</v>
      </c>
      <c r="G1984">
        <v>144319628</v>
      </c>
      <c r="H1984">
        <v>16175</v>
      </c>
      <c r="I1984">
        <v>8865</v>
      </c>
      <c r="J1984">
        <v>25040</v>
      </c>
      <c r="K1984" t="b">
        <f>TrafficData[[#This Row],[disposedChallan]]+TrafficData[[#This Row],[pendingChallan]]=TrafficData[[#This Row],[totalChallan]]</f>
        <v>1</v>
      </c>
      <c r="L1984" t="b">
        <f>TrafficData[[#This Row],[pendingAmount]]+TrafficData[[#This Row],[disposedAmount]]=TrafficData[[#This Row],[totalAmount]]</f>
        <v>1</v>
      </c>
      <c r="M1984" t="b">
        <f>TrafficData[[#This Row],[pendingCourt]]+TrafficData[[#This Row],[disposedCourt]]=TrafficData[[#This Row],[totalCourt]]</f>
        <v>1</v>
      </c>
      <c r="N1984" t="b">
        <f>AND(TrafficData[[#This Row],[disposedChallan]]&lt;=TrafficData[[#This Row],[totalChallan]],TrafficData[[#This Row],[pendingChallan]]&lt;=TrafficData[[#This Row],[totalChallan]])</f>
        <v>1</v>
      </c>
      <c r="O1984" t="b">
        <f>AND(TrafficData[[#This Row],[pendingAmount]]&lt;=TrafficData[[#This Row],[totalAmount]],TrafficData[[#This Row],[disposedAmount]]&lt;=TrafficData[[#This Row],[totalAmount]])</f>
        <v>1</v>
      </c>
      <c r="P1984" t="b">
        <f>AND(TrafficData[[#This Row],[pendingCourt]]&lt;=TrafficData[[#This Row],[totalCourt]],TrafficData[[#This Row],[disposedCourt]]&lt;=TrafficData[[#This Row],[totalCourt]])</f>
        <v>1</v>
      </c>
    </row>
    <row r="1985" spans="1:16">
      <c r="A1985" s="1">
        <v>43989</v>
      </c>
      <c r="B1985">
        <v>115257</v>
      </c>
      <c r="C1985">
        <v>47641</v>
      </c>
      <c r="D1985">
        <v>67616</v>
      </c>
      <c r="E1985">
        <v>78652380</v>
      </c>
      <c r="F1985">
        <v>48040348</v>
      </c>
      <c r="G1985">
        <v>126692728</v>
      </c>
      <c r="H1985">
        <v>13198</v>
      </c>
      <c r="I1985">
        <v>6548</v>
      </c>
      <c r="J1985">
        <v>19746</v>
      </c>
      <c r="K1985" t="b">
        <f>TrafficData[[#This Row],[disposedChallan]]+TrafficData[[#This Row],[pendingChallan]]=TrafficData[[#This Row],[totalChallan]]</f>
        <v>1</v>
      </c>
      <c r="L1985" t="b">
        <f>TrafficData[[#This Row],[pendingAmount]]+TrafficData[[#This Row],[disposedAmount]]=TrafficData[[#This Row],[totalAmount]]</f>
        <v>1</v>
      </c>
      <c r="M1985" t="b">
        <f>TrafficData[[#This Row],[pendingCourt]]+TrafficData[[#This Row],[disposedCourt]]=TrafficData[[#This Row],[totalCourt]]</f>
        <v>1</v>
      </c>
      <c r="N1985" t="b">
        <f>AND(TrafficData[[#This Row],[disposedChallan]]&lt;=TrafficData[[#This Row],[totalChallan]],TrafficData[[#This Row],[pendingChallan]]&lt;=TrafficData[[#This Row],[totalChallan]])</f>
        <v>1</v>
      </c>
      <c r="O1985" t="b">
        <f>AND(TrafficData[[#This Row],[pendingAmount]]&lt;=TrafficData[[#This Row],[totalAmount]],TrafficData[[#This Row],[disposedAmount]]&lt;=TrafficData[[#This Row],[totalAmount]])</f>
        <v>1</v>
      </c>
      <c r="P1985" t="b">
        <f>AND(TrafficData[[#This Row],[pendingCourt]]&lt;=TrafficData[[#This Row],[totalCourt]],TrafficData[[#This Row],[disposedCourt]]&lt;=TrafficData[[#This Row],[totalCourt]])</f>
        <v>1</v>
      </c>
    </row>
    <row r="1986" spans="1:16">
      <c r="A1986" s="1">
        <v>43990</v>
      </c>
      <c r="B1986">
        <v>120656</v>
      </c>
      <c r="C1986">
        <v>51377</v>
      </c>
      <c r="D1986">
        <v>69279</v>
      </c>
      <c r="E1986">
        <v>81273986</v>
      </c>
      <c r="F1986">
        <v>53229000</v>
      </c>
      <c r="G1986">
        <v>134502986</v>
      </c>
      <c r="H1986">
        <v>15408</v>
      </c>
      <c r="I1986">
        <v>8704</v>
      </c>
      <c r="J1986">
        <v>24112</v>
      </c>
      <c r="K1986" t="b">
        <f>TrafficData[[#This Row],[disposedChallan]]+TrafficData[[#This Row],[pendingChallan]]=TrafficData[[#This Row],[totalChallan]]</f>
        <v>1</v>
      </c>
      <c r="L1986" t="b">
        <f>TrafficData[[#This Row],[pendingAmount]]+TrafficData[[#This Row],[disposedAmount]]=TrafficData[[#This Row],[totalAmount]]</f>
        <v>1</v>
      </c>
      <c r="M1986" t="b">
        <f>TrafficData[[#This Row],[pendingCourt]]+TrafficData[[#This Row],[disposedCourt]]=TrafficData[[#This Row],[totalCourt]]</f>
        <v>1</v>
      </c>
      <c r="N1986" t="b">
        <f>AND(TrafficData[[#This Row],[disposedChallan]]&lt;=TrafficData[[#This Row],[totalChallan]],TrafficData[[#This Row],[pendingChallan]]&lt;=TrafficData[[#This Row],[totalChallan]])</f>
        <v>1</v>
      </c>
      <c r="O1986" t="b">
        <f>AND(TrafficData[[#This Row],[pendingAmount]]&lt;=TrafficData[[#This Row],[totalAmount]],TrafficData[[#This Row],[disposedAmount]]&lt;=TrafficData[[#This Row],[totalAmount]])</f>
        <v>1</v>
      </c>
      <c r="P1986" t="b">
        <f>AND(TrafficData[[#This Row],[pendingCourt]]&lt;=TrafficData[[#This Row],[totalCourt]],TrafficData[[#This Row],[disposedCourt]]&lt;=TrafficData[[#This Row],[totalCourt]])</f>
        <v>1</v>
      </c>
    </row>
    <row r="1987" spans="1:16">
      <c r="A1987" s="1">
        <v>43991</v>
      </c>
      <c r="B1987">
        <v>122835</v>
      </c>
      <c r="C1987">
        <v>52510</v>
      </c>
      <c r="D1987">
        <v>70325</v>
      </c>
      <c r="E1987">
        <v>84361660</v>
      </c>
      <c r="F1987">
        <v>60638780</v>
      </c>
      <c r="G1987">
        <v>145000440</v>
      </c>
      <c r="H1987">
        <v>16663</v>
      </c>
      <c r="I1987">
        <v>8713</v>
      </c>
      <c r="J1987">
        <v>25376</v>
      </c>
      <c r="K1987" t="b">
        <f>TrafficData[[#This Row],[disposedChallan]]+TrafficData[[#This Row],[pendingChallan]]=TrafficData[[#This Row],[totalChallan]]</f>
        <v>1</v>
      </c>
      <c r="L1987" t="b">
        <f>TrafficData[[#This Row],[pendingAmount]]+TrafficData[[#This Row],[disposedAmount]]=TrafficData[[#This Row],[totalAmount]]</f>
        <v>1</v>
      </c>
      <c r="M1987" t="b">
        <f>TrafficData[[#This Row],[pendingCourt]]+TrafficData[[#This Row],[disposedCourt]]=TrafficData[[#This Row],[totalCourt]]</f>
        <v>1</v>
      </c>
      <c r="N1987" t="b">
        <f>AND(TrafficData[[#This Row],[disposedChallan]]&lt;=TrafficData[[#This Row],[totalChallan]],TrafficData[[#This Row],[pendingChallan]]&lt;=TrafficData[[#This Row],[totalChallan]])</f>
        <v>1</v>
      </c>
      <c r="O1987" t="b">
        <f>AND(TrafficData[[#This Row],[pendingAmount]]&lt;=TrafficData[[#This Row],[totalAmount]],TrafficData[[#This Row],[disposedAmount]]&lt;=TrafficData[[#This Row],[totalAmount]])</f>
        <v>1</v>
      </c>
      <c r="P1987" t="b">
        <f>AND(TrafficData[[#This Row],[pendingCourt]]&lt;=TrafficData[[#This Row],[totalCourt]],TrafficData[[#This Row],[disposedCourt]]&lt;=TrafficData[[#This Row],[totalCourt]])</f>
        <v>1</v>
      </c>
    </row>
    <row r="1988" spans="1:16">
      <c r="A1988" s="1">
        <v>43992</v>
      </c>
      <c r="B1988">
        <v>122484</v>
      </c>
      <c r="C1988">
        <v>53173</v>
      </c>
      <c r="D1988">
        <v>69311</v>
      </c>
      <c r="E1988">
        <v>80482155</v>
      </c>
      <c r="F1988">
        <v>55950277</v>
      </c>
      <c r="G1988">
        <v>136432432</v>
      </c>
      <c r="H1988">
        <v>16027</v>
      </c>
      <c r="I1988">
        <v>7992</v>
      </c>
      <c r="J1988">
        <v>24019</v>
      </c>
      <c r="K1988" t="b">
        <f>TrafficData[[#This Row],[disposedChallan]]+TrafficData[[#This Row],[pendingChallan]]=TrafficData[[#This Row],[totalChallan]]</f>
        <v>1</v>
      </c>
      <c r="L1988" t="b">
        <f>TrafficData[[#This Row],[pendingAmount]]+TrafficData[[#This Row],[disposedAmount]]=TrafficData[[#This Row],[totalAmount]]</f>
        <v>1</v>
      </c>
      <c r="M1988" t="b">
        <f>TrafficData[[#This Row],[pendingCourt]]+TrafficData[[#This Row],[disposedCourt]]=TrafficData[[#This Row],[totalCourt]]</f>
        <v>1</v>
      </c>
      <c r="N1988" t="b">
        <f>AND(TrafficData[[#This Row],[disposedChallan]]&lt;=TrafficData[[#This Row],[totalChallan]],TrafficData[[#This Row],[pendingChallan]]&lt;=TrafficData[[#This Row],[totalChallan]])</f>
        <v>1</v>
      </c>
      <c r="O1988" t="b">
        <f>AND(TrafficData[[#This Row],[pendingAmount]]&lt;=TrafficData[[#This Row],[totalAmount]],TrafficData[[#This Row],[disposedAmount]]&lt;=TrafficData[[#This Row],[totalAmount]])</f>
        <v>1</v>
      </c>
      <c r="P1988" t="b">
        <f>AND(TrafficData[[#This Row],[pendingCourt]]&lt;=TrafficData[[#This Row],[totalCourt]],TrafficData[[#This Row],[disposedCourt]]&lt;=TrafficData[[#This Row],[totalCourt]])</f>
        <v>1</v>
      </c>
    </row>
    <row r="1989" spans="1:16">
      <c r="A1989" s="1">
        <v>43993</v>
      </c>
      <c r="B1989">
        <v>123716</v>
      </c>
      <c r="C1989">
        <v>53530</v>
      </c>
      <c r="D1989">
        <v>70186</v>
      </c>
      <c r="E1989">
        <v>75729543</v>
      </c>
      <c r="F1989">
        <v>55841188</v>
      </c>
      <c r="G1989">
        <v>131570731</v>
      </c>
      <c r="H1989">
        <v>16096</v>
      </c>
      <c r="I1989">
        <v>7950</v>
      </c>
      <c r="J1989">
        <v>24046</v>
      </c>
      <c r="K1989" t="b">
        <f>TrafficData[[#This Row],[disposedChallan]]+TrafficData[[#This Row],[pendingChallan]]=TrafficData[[#This Row],[totalChallan]]</f>
        <v>1</v>
      </c>
      <c r="L1989" t="b">
        <f>TrafficData[[#This Row],[pendingAmount]]+TrafficData[[#This Row],[disposedAmount]]=TrafficData[[#This Row],[totalAmount]]</f>
        <v>1</v>
      </c>
      <c r="M1989" t="b">
        <f>TrafficData[[#This Row],[pendingCourt]]+TrafficData[[#This Row],[disposedCourt]]=TrafficData[[#This Row],[totalCourt]]</f>
        <v>1</v>
      </c>
      <c r="N1989" t="b">
        <f>AND(TrafficData[[#This Row],[disposedChallan]]&lt;=TrafficData[[#This Row],[totalChallan]],TrafficData[[#This Row],[pendingChallan]]&lt;=TrafficData[[#This Row],[totalChallan]])</f>
        <v>1</v>
      </c>
      <c r="O1989" t="b">
        <f>AND(TrafficData[[#This Row],[pendingAmount]]&lt;=TrafficData[[#This Row],[totalAmount]],TrafficData[[#This Row],[disposedAmount]]&lt;=TrafficData[[#This Row],[totalAmount]])</f>
        <v>1</v>
      </c>
      <c r="P1989" t="b">
        <f>AND(TrafficData[[#This Row],[pendingCourt]]&lt;=TrafficData[[#This Row],[totalCourt]],TrafficData[[#This Row],[disposedCourt]]&lt;=TrafficData[[#This Row],[totalCourt]])</f>
        <v>1</v>
      </c>
    </row>
    <row r="1990" spans="1:16">
      <c r="A1990" s="1">
        <v>43994</v>
      </c>
      <c r="B1990">
        <v>123962</v>
      </c>
      <c r="C1990">
        <v>52260</v>
      </c>
      <c r="D1990">
        <v>71702</v>
      </c>
      <c r="E1990">
        <v>79295495</v>
      </c>
      <c r="F1990">
        <v>56996490</v>
      </c>
      <c r="G1990">
        <v>136291985</v>
      </c>
      <c r="H1990">
        <v>15889</v>
      </c>
      <c r="I1990">
        <v>7671</v>
      </c>
      <c r="J1990">
        <v>23560</v>
      </c>
      <c r="K1990" t="b">
        <f>TrafficData[[#This Row],[disposedChallan]]+TrafficData[[#This Row],[pendingChallan]]=TrafficData[[#This Row],[totalChallan]]</f>
        <v>1</v>
      </c>
      <c r="L1990" t="b">
        <f>TrafficData[[#This Row],[pendingAmount]]+TrafficData[[#This Row],[disposedAmount]]=TrafficData[[#This Row],[totalAmount]]</f>
        <v>1</v>
      </c>
      <c r="M1990" t="b">
        <f>TrafficData[[#This Row],[pendingCourt]]+TrafficData[[#This Row],[disposedCourt]]=TrafficData[[#This Row],[totalCourt]]</f>
        <v>1</v>
      </c>
      <c r="N1990" t="b">
        <f>AND(TrafficData[[#This Row],[disposedChallan]]&lt;=TrafficData[[#This Row],[totalChallan]],TrafficData[[#This Row],[pendingChallan]]&lt;=TrafficData[[#This Row],[totalChallan]])</f>
        <v>1</v>
      </c>
      <c r="O1990" t="b">
        <f>AND(TrafficData[[#This Row],[pendingAmount]]&lt;=TrafficData[[#This Row],[totalAmount]],TrafficData[[#This Row],[disposedAmount]]&lt;=TrafficData[[#This Row],[totalAmount]])</f>
        <v>1</v>
      </c>
      <c r="P1990" t="b">
        <f>AND(TrafficData[[#This Row],[pendingCourt]]&lt;=TrafficData[[#This Row],[totalCourt]],TrafficData[[#This Row],[disposedCourt]]&lt;=TrafficData[[#This Row],[totalCourt]])</f>
        <v>1</v>
      </c>
    </row>
    <row r="1991" spans="1:16">
      <c r="A1991" s="1">
        <v>43995</v>
      </c>
      <c r="B1991">
        <v>125255</v>
      </c>
      <c r="C1991">
        <v>53938</v>
      </c>
      <c r="D1991">
        <v>71317</v>
      </c>
      <c r="E1991">
        <v>75941066</v>
      </c>
      <c r="F1991">
        <v>52459897</v>
      </c>
      <c r="G1991">
        <v>128400963</v>
      </c>
      <c r="H1991">
        <v>15740</v>
      </c>
      <c r="I1991">
        <v>7484</v>
      </c>
      <c r="J1991">
        <v>23224</v>
      </c>
      <c r="K1991" t="b">
        <f>TrafficData[[#This Row],[disposedChallan]]+TrafficData[[#This Row],[pendingChallan]]=TrafficData[[#This Row],[totalChallan]]</f>
        <v>1</v>
      </c>
      <c r="L1991" t="b">
        <f>TrafficData[[#This Row],[pendingAmount]]+TrafficData[[#This Row],[disposedAmount]]=TrafficData[[#This Row],[totalAmount]]</f>
        <v>1</v>
      </c>
      <c r="M1991" t="b">
        <f>TrafficData[[#This Row],[pendingCourt]]+TrafficData[[#This Row],[disposedCourt]]=TrafficData[[#This Row],[totalCourt]]</f>
        <v>1</v>
      </c>
      <c r="N1991" t="b">
        <f>AND(TrafficData[[#This Row],[disposedChallan]]&lt;=TrafficData[[#This Row],[totalChallan]],TrafficData[[#This Row],[pendingChallan]]&lt;=TrafficData[[#This Row],[totalChallan]])</f>
        <v>1</v>
      </c>
      <c r="O1991" t="b">
        <f>AND(TrafficData[[#This Row],[pendingAmount]]&lt;=TrafficData[[#This Row],[totalAmount]],TrafficData[[#This Row],[disposedAmount]]&lt;=TrafficData[[#This Row],[totalAmount]])</f>
        <v>1</v>
      </c>
      <c r="P1991" t="b">
        <f>AND(TrafficData[[#This Row],[pendingCourt]]&lt;=TrafficData[[#This Row],[totalCourt]],TrafficData[[#This Row],[disposedCourt]]&lt;=TrafficData[[#This Row],[totalCourt]])</f>
        <v>1</v>
      </c>
    </row>
    <row r="1992" spans="1:16">
      <c r="A1992" s="1">
        <v>43996</v>
      </c>
      <c r="B1992">
        <v>116282</v>
      </c>
      <c r="C1992">
        <v>46965</v>
      </c>
      <c r="D1992">
        <v>69317</v>
      </c>
      <c r="E1992">
        <v>79446070</v>
      </c>
      <c r="F1992">
        <v>45571676</v>
      </c>
      <c r="G1992">
        <v>125017746</v>
      </c>
      <c r="H1992">
        <v>12299</v>
      </c>
      <c r="I1992">
        <v>6248</v>
      </c>
      <c r="J1992">
        <v>18547</v>
      </c>
      <c r="K1992" t="b">
        <f>TrafficData[[#This Row],[disposedChallan]]+TrafficData[[#This Row],[pendingChallan]]=TrafficData[[#This Row],[totalChallan]]</f>
        <v>1</v>
      </c>
      <c r="L1992" t="b">
        <f>TrafficData[[#This Row],[pendingAmount]]+TrafficData[[#This Row],[disposedAmount]]=TrafficData[[#This Row],[totalAmount]]</f>
        <v>1</v>
      </c>
      <c r="M1992" t="b">
        <f>TrafficData[[#This Row],[pendingCourt]]+TrafficData[[#This Row],[disposedCourt]]=TrafficData[[#This Row],[totalCourt]]</f>
        <v>1</v>
      </c>
      <c r="N1992" t="b">
        <f>AND(TrafficData[[#This Row],[disposedChallan]]&lt;=TrafficData[[#This Row],[totalChallan]],TrafficData[[#This Row],[pendingChallan]]&lt;=TrafficData[[#This Row],[totalChallan]])</f>
        <v>1</v>
      </c>
      <c r="O1992" t="b">
        <f>AND(TrafficData[[#This Row],[pendingAmount]]&lt;=TrafficData[[#This Row],[totalAmount]],TrafficData[[#This Row],[disposedAmount]]&lt;=TrafficData[[#This Row],[totalAmount]])</f>
        <v>1</v>
      </c>
      <c r="P1992" t="b">
        <f>AND(TrafficData[[#This Row],[pendingCourt]]&lt;=TrafficData[[#This Row],[totalCourt]],TrafficData[[#This Row],[disposedCourt]]&lt;=TrafficData[[#This Row],[totalCourt]])</f>
        <v>1</v>
      </c>
    </row>
    <row r="1993" spans="1:16">
      <c r="A1993" s="1">
        <v>43997</v>
      </c>
      <c r="B1993">
        <v>125271</v>
      </c>
      <c r="C1993">
        <v>54085</v>
      </c>
      <c r="D1993">
        <v>71186</v>
      </c>
      <c r="E1993">
        <v>77918290</v>
      </c>
      <c r="F1993">
        <v>48298364</v>
      </c>
      <c r="G1993">
        <v>126216654</v>
      </c>
      <c r="H1993">
        <v>16009</v>
      </c>
      <c r="I1993">
        <v>8007</v>
      </c>
      <c r="J1993">
        <v>24016</v>
      </c>
      <c r="K1993" t="b">
        <f>TrafficData[[#This Row],[disposedChallan]]+TrafficData[[#This Row],[pendingChallan]]=TrafficData[[#This Row],[totalChallan]]</f>
        <v>1</v>
      </c>
      <c r="L1993" t="b">
        <f>TrafficData[[#This Row],[pendingAmount]]+TrafficData[[#This Row],[disposedAmount]]=TrafficData[[#This Row],[totalAmount]]</f>
        <v>1</v>
      </c>
      <c r="M1993" t="b">
        <f>TrafficData[[#This Row],[pendingCourt]]+TrafficData[[#This Row],[disposedCourt]]=TrafficData[[#This Row],[totalCourt]]</f>
        <v>1</v>
      </c>
      <c r="N1993" t="b">
        <f>AND(TrafficData[[#This Row],[disposedChallan]]&lt;=TrafficData[[#This Row],[totalChallan]],TrafficData[[#This Row],[pendingChallan]]&lt;=TrafficData[[#This Row],[totalChallan]])</f>
        <v>1</v>
      </c>
      <c r="O1993" t="b">
        <f>AND(TrafficData[[#This Row],[pendingAmount]]&lt;=TrafficData[[#This Row],[totalAmount]],TrafficData[[#This Row],[disposedAmount]]&lt;=TrafficData[[#This Row],[totalAmount]])</f>
        <v>1</v>
      </c>
      <c r="P1993" t="b">
        <f>AND(TrafficData[[#This Row],[pendingCourt]]&lt;=TrafficData[[#This Row],[totalCourt]],TrafficData[[#This Row],[disposedCourt]]&lt;=TrafficData[[#This Row],[totalCourt]])</f>
        <v>1</v>
      </c>
    </row>
    <row r="1994" spans="1:16">
      <c r="A1994" s="1">
        <v>43998</v>
      </c>
      <c r="B1994">
        <v>125005</v>
      </c>
      <c r="C1994">
        <v>53682</v>
      </c>
      <c r="D1994">
        <v>71323</v>
      </c>
      <c r="E1994">
        <v>77090843</v>
      </c>
      <c r="F1994">
        <v>53702245</v>
      </c>
      <c r="G1994">
        <v>130793088</v>
      </c>
      <c r="H1994">
        <v>16709</v>
      </c>
      <c r="I1994">
        <v>7949</v>
      </c>
      <c r="J1994">
        <v>24658</v>
      </c>
      <c r="K1994" t="b">
        <f>TrafficData[[#This Row],[disposedChallan]]+TrafficData[[#This Row],[pendingChallan]]=TrafficData[[#This Row],[totalChallan]]</f>
        <v>1</v>
      </c>
      <c r="L1994" t="b">
        <f>TrafficData[[#This Row],[pendingAmount]]+TrafficData[[#This Row],[disposedAmount]]=TrafficData[[#This Row],[totalAmount]]</f>
        <v>1</v>
      </c>
      <c r="M1994" t="b">
        <f>TrafficData[[#This Row],[pendingCourt]]+TrafficData[[#This Row],[disposedCourt]]=TrafficData[[#This Row],[totalCourt]]</f>
        <v>1</v>
      </c>
      <c r="N1994" t="b">
        <f>AND(TrafficData[[#This Row],[disposedChallan]]&lt;=TrafficData[[#This Row],[totalChallan]],TrafficData[[#This Row],[pendingChallan]]&lt;=TrafficData[[#This Row],[totalChallan]])</f>
        <v>1</v>
      </c>
      <c r="O1994" t="b">
        <f>AND(TrafficData[[#This Row],[pendingAmount]]&lt;=TrafficData[[#This Row],[totalAmount]],TrafficData[[#This Row],[disposedAmount]]&lt;=TrafficData[[#This Row],[totalAmount]])</f>
        <v>1</v>
      </c>
      <c r="P1994" t="b">
        <f>AND(TrafficData[[#This Row],[pendingCourt]]&lt;=TrafficData[[#This Row],[totalCourt]],TrafficData[[#This Row],[disposedCourt]]&lt;=TrafficData[[#This Row],[totalCourt]])</f>
        <v>1</v>
      </c>
    </row>
    <row r="1995" spans="1:16">
      <c r="A1995" s="1">
        <v>43999</v>
      </c>
      <c r="B1995">
        <v>130187</v>
      </c>
      <c r="C1995">
        <v>56446</v>
      </c>
      <c r="D1995">
        <v>73741</v>
      </c>
      <c r="E1995">
        <v>78562225</v>
      </c>
      <c r="F1995">
        <v>58368087</v>
      </c>
      <c r="G1995">
        <v>136930312</v>
      </c>
      <c r="H1995">
        <v>20972</v>
      </c>
      <c r="I1995">
        <v>8512</v>
      </c>
      <c r="J1995">
        <v>29484</v>
      </c>
      <c r="K1995" t="b">
        <f>TrafficData[[#This Row],[disposedChallan]]+TrafficData[[#This Row],[pendingChallan]]=TrafficData[[#This Row],[totalChallan]]</f>
        <v>1</v>
      </c>
      <c r="L1995" t="b">
        <f>TrafficData[[#This Row],[pendingAmount]]+TrafficData[[#This Row],[disposedAmount]]=TrafficData[[#This Row],[totalAmount]]</f>
        <v>1</v>
      </c>
      <c r="M1995" t="b">
        <f>TrafficData[[#This Row],[pendingCourt]]+TrafficData[[#This Row],[disposedCourt]]=TrafficData[[#This Row],[totalCourt]]</f>
        <v>1</v>
      </c>
      <c r="N1995" t="b">
        <f>AND(TrafficData[[#This Row],[disposedChallan]]&lt;=TrafficData[[#This Row],[totalChallan]],TrafficData[[#This Row],[pendingChallan]]&lt;=TrafficData[[#This Row],[totalChallan]])</f>
        <v>1</v>
      </c>
      <c r="O1995" t="b">
        <f>AND(TrafficData[[#This Row],[pendingAmount]]&lt;=TrafficData[[#This Row],[totalAmount]],TrafficData[[#This Row],[disposedAmount]]&lt;=TrafficData[[#This Row],[totalAmount]])</f>
        <v>1</v>
      </c>
      <c r="P1995" t="b">
        <f>AND(TrafficData[[#This Row],[pendingCourt]]&lt;=TrafficData[[#This Row],[totalCourt]],TrafficData[[#This Row],[disposedCourt]]&lt;=TrafficData[[#This Row],[totalCourt]])</f>
        <v>1</v>
      </c>
    </row>
    <row r="1996" spans="1:16">
      <c r="A1996" s="1">
        <v>44000</v>
      </c>
      <c r="B1996">
        <v>127829</v>
      </c>
      <c r="C1996">
        <v>56357</v>
      </c>
      <c r="D1996">
        <v>71472</v>
      </c>
      <c r="E1996">
        <v>75266254</v>
      </c>
      <c r="F1996">
        <v>57955459</v>
      </c>
      <c r="G1996">
        <v>133221713</v>
      </c>
      <c r="H1996">
        <v>21894</v>
      </c>
      <c r="I1996">
        <v>9390</v>
      </c>
      <c r="J1996">
        <v>31284</v>
      </c>
      <c r="K1996" t="b">
        <f>TrafficData[[#This Row],[disposedChallan]]+TrafficData[[#This Row],[pendingChallan]]=TrafficData[[#This Row],[totalChallan]]</f>
        <v>1</v>
      </c>
      <c r="L1996" t="b">
        <f>TrafficData[[#This Row],[pendingAmount]]+TrafficData[[#This Row],[disposedAmount]]=TrafficData[[#This Row],[totalAmount]]</f>
        <v>1</v>
      </c>
      <c r="M1996" t="b">
        <f>TrafficData[[#This Row],[pendingCourt]]+TrafficData[[#This Row],[disposedCourt]]=TrafficData[[#This Row],[totalCourt]]</f>
        <v>1</v>
      </c>
      <c r="N1996" t="b">
        <f>AND(TrafficData[[#This Row],[disposedChallan]]&lt;=TrafficData[[#This Row],[totalChallan]],TrafficData[[#This Row],[pendingChallan]]&lt;=TrafficData[[#This Row],[totalChallan]])</f>
        <v>1</v>
      </c>
      <c r="O1996" t="b">
        <f>AND(TrafficData[[#This Row],[pendingAmount]]&lt;=TrafficData[[#This Row],[totalAmount]],TrafficData[[#This Row],[disposedAmount]]&lt;=TrafficData[[#This Row],[totalAmount]])</f>
        <v>1</v>
      </c>
      <c r="P1996" t="b">
        <f>AND(TrafficData[[#This Row],[pendingCourt]]&lt;=TrafficData[[#This Row],[totalCourt]],TrafficData[[#This Row],[disposedCourt]]&lt;=TrafficData[[#This Row],[totalCourt]])</f>
        <v>1</v>
      </c>
    </row>
    <row r="1997" spans="1:16">
      <c r="A1997" s="1">
        <v>44001</v>
      </c>
      <c r="B1997">
        <v>129811</v>
      </c>
      <c r="C1997">
        <v>58825</v>
      </c>
      <c r="D1997">
        <v>70986</v>
      </c>
      <c r="E1997">
        <v>75448681</v>
      </c>
      <c r="F1997">
        <v>61248664</v>
      </c>
      <c r="G1997">
        <v>136697345</v>
      </c>
      <c r="H1997">
        <v>22846</v>
      </c>
      <c r="I1997">
        <v>10137</v>
      </c>
      <c r="J1997">
        <v>32983</v>
      </c>
      <c r="K1997" t="b">
        <f>TrafficData[[#This Row],[disposedChallan]]+TrafficData[[#This Row],[pendingChallan]]=TrafficData[[#This Row],[totalChallan]]</f>
        <v>1</v>
      </c>
      <c r="L1997" t="b">
        <f>TrafficData[[#This Row],[pendingAmount]]+TrafficData[[#This Row],[disposedAmount]]=TrafficData[[#This Row],[totalAmount]]</f>
        <v>1</v>
      </c>
      <c r="M1997" t="b">
        <f>TrafficData[[#This Row],[pendingCourt]]+TrafficData[[#This Row],[disposedCourt]]=TrafficData[[#This Row],[totalCourt]]</f>
        <v>1</v>
      </c>
      <c r="N1997" t="b">
        <f>AND(TrafficData[[#This Row],[disposedChallan]]&lt;=TrafficData[[#This Row],[totalChallan]],TrafficData[[#This Row],[pendingChallan]]&lt;=TrafficData[[#This Row],[totalChallan]])</f>
        <v>1</v>
      </c>
      <c r="O1997" t="b">
        <f>AND(TrafficData[[#This Row],[pendingAmount]]&lt;=TrafficData[[#This Row],[totalAmount]],TrafficData[[#This Row],[disposedAmount]]&lt;=TrafficData[[#This Row],[totalAmount]])</f>
        <v>1</v>
      </c>
      <c r="P1997" t="b">
        <f>AND(TrafficData[[#This Row],[pendingCourt]]&lt;=TrafficData[[#This Row],[totalCourt]],TrafficData[[#This Row],[disposedCourt]]&lt;=TrafficData[[#This Row],[totalCourt]])</f>
        <v>1</v>
      </c>
    </row>
    <row r="1998" spans="1:16">
      <c r="A1998" s="1">
        <v>44002</v>
      </c>
      <c r="B1998">
        <v>123359</v>
      </c>
      <c r="C1998">
        <v>56996</v>
      </c>
      <c r="D1998">
        <v>66363</v>
      </c>
      <c r="E1998">
        <v>66683540</v>
      </c>
      <c r="F1998">
        <v>53580706</v>
      </c>
      <c r="G1998">
        <v>120264246</v>
      </c>
      <c r="H1998">
        <v>20522</v>
      </c>
      <c r="I1998">
        <v>9259</v>
      </c>
      <c r="J1998">
        <v>29781</v>
      </c>
      <c r="K1998" t="b">
        <f>TrafficData[[#This Row],[disposedChallan]]+TrafficData[[#This Row],[pendingChallan]]=TrafficData[[#This Row],[totalChallan]]</f>
        <v>1</v>
      </c>
      <c r="L1998" t="b">
        <f>TrafficData[[#This Row],[pendingAmount]]+TrafficData[[#This Row],[disposedAmount]]=TrafficData[[#This Row],[totalAmount]]</f>
        <v>1</v>
      </c>
      <c r="M1998" t="b">
        <f>TrafficData[[#This Row],[pendingCourt]]+TrafficData[[#This Row],[disposedCourt]]=TrafficData[[#This Row],[totalCourt]]</f>
        <v>1</v>
      </c>
      <c r="N1998" t="b">
        <f>AND(TrafficData[[#This Row],[disposedChallan]]&lt;=TrafficData[[#This Row],[totalChallan]],TrafficData[[#This Row],[pendingChallan]]&lt;=TrafficData[[#This Row],[totalChallan]])</f>
        <v>1</v>
      </c>
      <c r="O1998" t="b">
        <f>AND(TrafficData[[#This Row],[pendingAmount]]&lt;=TrafficData[[#This Row],[totalAmount]],TrafficData[[#This Row],[disposedAmount]]&lt;=TrafficData[[#This Row],[totalAmount]])</f>
        <v>1</v>
      </c>
      <c r="P1998" t="b">
        <f>AND(TrafficData[[#This Row],[pendingCourt]]&lt;=TrafficData[[#This Row],[totalCourt]],TrafficData[[#This Row],[disposedCourt]]&lt;=TrafficData[[#This Row],[totalCourt]])</f>
        <v>1</v>
      </c>
    </row>
    <row r="1999" spans="1:16">
      <c r="A1999" s="1">
        <v>44003</v>
      </c>
      <c r="B1999">
        <v>107835</v>
      </c>
      <c r="C1999">
        <v>45787</v>
      </c>
      <c r="D1999">
        <v>62048</v>
      </c>
      <c r="E1999">
        <v>63704710</v>
      </c>
      <c r="F1999">
        <v>42279954</v>
      </c>
      <c r="G1999">
        <v>105984664</v>
      </c>
      <c r="H1999">
        <v>17209</v>
      </c>
      <c r="I1999">
        <v>7915</v>
      </c>
      <c r="J1999">
        <v>25124</v>
      </c>
      <c r="K1999" t="b">
        <f>TrafficData[[#This Row],[disposedChallan]]+TrafficData[[#This Row],[pendingChallan]]=TrafficData[[#This Row],[totalChallan]]</f>
        <v>1</v>
      </c>
      <c r="L1999" t="b">
        <f>TrafficData[[#This Row],[pendingAmount]]+TrafficData[[#This Row],[disposedAmount]]=TrafficData[[#This Row],[totalAmount]]</f>
        <v>1</v>
      </c>
      <c r="M1999" t="b">
        <f>TrafficData[[#This Row],[pendingCourt]]+TrafficData[[#This Row],[disposedCourt]]=TrafficData[[#This Row],[totalCourt]]</f>
        <v>1</v>
      </c>
      <c r="N1999" t="b">
        <f>AND(TrafficData[[#This Row],[disposedChallan]]&lt;=TrafficData[[#This Row],[totalChallan]],TrafficData[[#This Row],[pendingChallan]]&lt;=TrafficData[[#This Row],[totalChallan]])</f>
        <v>1</v>
      </c>
      <c r="O1999" t="b">
        <f>AND(TrafficData[[#This Row],[pendingAmount]]&lt;=TrafficData[[#This Row],[totalAmount]],TrafficData[[#This Row],[disposedAmount]]&lt;=TrafficData[[#This Row],[totalAmount]])</f>
        <v>1</v>
      </c>
      <c r="P1999" t="b">
        <f>AND(TrafficData[[#This Row],[pendingCourt]]&lt;=TrafficData[[#This Row],[totalCourt]],TrafficData[[#This Row],[disposedCourt]]&lt;=TrafficData[[#This Row],[totalCourt]])</f>
        <v>1</v>
      </c>
    </row>
    <row r="2000" spans="1:16">
      <c r="A2000" s="1">
        <v>44004</v>
      </c>
      <c r="B2000">
        <v>119471</v>
      </c>
      <c r="C2000">
        <v>55042</v>
      </c>
      <c r="D2000">
        <v>64429</v>
      </c>
      <c r="E2000">
        <v>60147165</v>
      </c>
      <c r="F2000">
        <v>49588163</v>
      </c>
      <c r="G2000">
        <v>109735328</v>
      </c>
      <c r="H2000">
        <v>20443</v>
      </c>
      <c r="I2000">
        <v>8831</v>
      </c>
      <c r="J2000">
        <v>29274</v>
      </c>
      <c r="K2000" t="b">
        <f>TrafficData[[#This Row],[disposedChallan]]+TrafficData[[#This Row],[pendingChallan]]=TrafficData[[#This Row],[totalChallan]]</f>
        <v>1</v>
      </c>
      <c r="L2000" t="b">
        <f>TrafficData[[#This Row],[pendingAmount]]+TrafficData[[#This Row],[disposedAmount]]=TrafficData[[#This Row],[totalAmount]]</f>
        <v>1</v>
      </c>
      <c r="M2000" t="b">
        <f>TrafficData[[#This Row],[pendingCourt]]+TrafficData[[#This Row],[disposedCourt]]=TrafficData[[#This Row],[totalCourt]]</f>
        <v>1</v>
      </c>
      <c r="N2000" t="b">
        <f>AND(TrafficData[[#This Row],[disposedChallan]]&lt;=TrafficData[[#This Row],[totalChallan]],TrafficData[[#This Row],[pendingChallan]]&lt;=TrafficData[[#This Row],[totalChallan]])</f>
        <v>1</v>
      </c>
      <c r="O2000" t="b">
        <f>AND(TrafficData[[#This Row],[pendingAmount]]&lt;=TrafficData[[#This Row],[totalAmount]],TrafficData[[#This Row],[disposedAmount]]&lt;=TrafficData[[#This Row],[totalAmount]])</f>
        <v>1</v>
      </c>
      <c r="P2000" t="b">
        <f>AND(TrafficData[[#This Row],[pendingCourt]]&lt;=TrafficData[[#This Row],[totalCourt]],TrafficData[[#This Row],[disposedCourt]]&lt;=TrafficData[[#This Row],[totalCourt]])</f>
        <v>1</v>
      </c>
    </row>
    <row r="2001" spans="1:16">
      <c r="A2001" s="1">
        <v>44005</v>
      </c>
      <c r="B2001">
        <v>125525</v>
      </c>
      <c r="C2001">
        <v>56692</v>
      </c>
      <c r="D2001">
        <v>68833</v>
      </c>
      <c r="E2001">
        <v>67570269</v>
      </c>
      <c r="F2001">
        <v>56912101</v>
      </c>
      <c r="G2001">
        <v>124482370</v>
      </c>
      <c r="H2001">
        <v>21934</v>
      </c>
      <c r="I2001">
        <v>9685</v>
      </c>
      <c r="J2001">
        <v>31619</v>
      </c>
      <c r="K2001" t="b">
        <f>TrafficData[[#This Row],[disposedChallan]]+TrafficData[[#This Row],[pendingChallan]]=TrafficData[[#This Row],[totalChallan]]</f>
        <v>1</v>
      </c>
      <c r="L2001" t="b">
        <f>TrafficData[[#This Row],[pendingAmount]]+TrafficData[[#This Row],[disposedAmount]]=TrafficData[[#This Row],[totalAmount]]</f>
        <v>1</v>
      </c>
      <c r="M2001" t="b">
        <f>TrafficData[[#This Row],[pendingCourt]]+TrafficData[[#This Row],[disposedCourt]]=TrafficData[[#This Row],[totalCourt]]</f>
        <v>1</v>
      </c>
      <c r="N2001" t="b">
        <f>AND(TrafficData[[#This Row],[disposedChallan]]&lt;=TrafficData[[#This Row],[totalChallan]],TrafficData[[#This Row],[pendingChallan]]&lt;=TrafficData[[#This Row],[totalChallan]])</f>
        <v>1</v>
      </c>
      <c r="O2001" t="b">
        <f>AND(TrafficData[[#This Row],[pendingAmount]]&lt;=TrafficData[[#This Row],[totalAmount]],TrafficData[[#This Row],[disposedAmount]]&lt;=TrafficData[[#This Row],[totalAmount]])</f>
        <v>1</v>
      </c>
      <c r="P2001" t="b">
        <f>AND(TrafficData[[#This Row],[pendingCourt]]&lt;=TrafficData[[#This Row],[totalCourt]],TrafficData[[#This Row],[disposedCourt]]&lt;=TrafficData[[#This Row],[totalCourt]])</f>
        <v>1</v>
      </c>
    </row>
    <row r="2002" spans="1:16">
      <c r="A2002" s="1">
        <v>44006</v>
      </c>
      <c r="B2002">
        <v>119745</v>
      </c>
      <c r="C2002">
        <v>54706</v>
      </c>
      <c r="D2002">
        <v>65039</v>
      </c>
      <c r="E2002">
        <v>66508119</v>
      </c>
      <c r="F2002">
        <v>54064436</v>
      </c>
      <c r="G2002">
        <v>120572555</v>
      </c>
      <c r="H2002">
        <v>20512</v>
      </c>
      <c r="I2002">
        <v>9658</v>
      </c>
      <c r="J2002">
        <v>30170</v>
      </c>
      <c r="K2002" t="b">
        <f>TrafficData[[#This Row],[disposedChallan]]+TrafficData[[#This Row],[pendingChallan]]=TrafficData[[#This Row],[totalChallan]]</f>
        <v>1</v>
      </c>
      <c r="L2002" t="b">
        <f>TrafficData[[#This Row],[pendingAmount]]+TrafficData[[#This Row],[disposedAmount]]=TrafficData[[#This Row],[totalAmount]]</f>
        <v>1</v>
      </c>
      <c r="M2002" t="b">
        <f>TrafficData[[#This Row],[pendingCourt]]+TrafficData[[#This Row],[disposedCourt]]=TrafficData[[#This Row],[totalCourt]]</f>
        <v>1</v>
      </c>
      <c r="N2002" t="b">
        <f>AND(TrafficData[[#This Row],[disposedChallan]]&lt;=TrafficData[[#This Row],[totalChallan]],TrafficData[[#This Row],[pendingChallan]]&lt;=TrafficData[[#This Row],[totalChallan]])</f>
        <v>1</v>
      </c>
      <c r="O2002" t="b">
        <f>AND(TrafficData[[#This Row],[pendingAmount]]&lt;=TrafficData[[#This Row],[totalAmount]],TrafficData[[#This Row],[disposedAmount]]&lt;=TrafficData[[#This Row],[totalAmount]])</f>
        <v>1</v>
      </c>
      <c r="P2002" t="b">
        <f>AND(TrafficData[[#This Row],[pendingCourt]]&lt;=TrafficData[[#This Row],[totalCourt]],TrafficData[[#This Row],[disposedCourt]]&lt;=TrafficData[[#This Row],[totalCourt]])</f>
        <v>1</v>
      </c>
    </row>
    <row r="2003" spans="1:16">
      <c r="A2003" s="1">
        <v>44007</v>
      </c>
      <c r="B2003">
        <v>119212</v>
      </c>
      <c r="C2003">
        <v>54001</v>
      </c>
      <c r="D2003">
        <v>65211</v>
      </c>
      <c r="E2003">
        <v>68509095</v>
      </c>
      <c r="F2003">
        <v>54696642</v>
      </c>
      <c r="G2003">
        <v>123205737</v>
      </c>
      <c r="H2003">
        <v>19173</v>
      </c>
      <c r="I2003">
        <v>9271</v>
      </c>
      <c r="J2003">
        <v>28444</v>
      </c>
      <c r="K2003" t="b">
        <f>TrafficData[[#This Row],[disposedChallan]]+TrafficData[[#This Row],[pendingChallan]]=TrafficData[[#This Row],[totalChallan]]</f>
        <v>1</v>
      </c>
      <c r="L2003" t="b">
        <f>TrafficData[[#This Row],[pendingAmount]]+TrafficData[[#This Row],[disposedAmount]]=TrafficData[[#This Row],[totalAmount]]</f>
        <v>1</v>
      </c>
      <c r="M2003" t="b">
        <f>TrafficData[[#This Row],[pendingCourt]]+TrafficData[[#This Row],[disposedCourt]]=TrafficData[[#This Row],[totalCourt]]</f>
        <v>1</v>
      </c>
      <c r="N2003" t="b">
        <f>AND(TrafficData[[#This Row],[disposedChallan]]&lt;=TrafficData[[#This Row],[totalChallan]],TrafficData[[#This Row],[pendingChallan]]&lt;=TrafficData[[#This Row],[totalChallan]])</f>
        <v>1</v>
      </c>
      <c r="O2003" t="b">
        <f>AND(TrafficData[[#This Row],[pendingAmount]]&lt;=TrafficData[[#This Row],[totalAmount]],TrafficData[[#This Row],[disposedAmount]]&lt;=TrafficData[[#This Row],[totalAmount]])</f>
        <v>1</v>
      </c>
      <c r="P2003" t="b">
        <f>AND(TrafficData[[#This Row],[pendingCourt]]&lt;=TrafficData[[#This Row],[totalCourt]],TrafficData[[#This Row],[disposedCourt]]&lt;=TrafficData[[#This Row],[totalCourt]])</f>
        <v>1</v>
      </c>
    </row>
    <row r="2004" spans="1:16">
      <c r="A2004" s="1">
        <v>44008</v>
      </c>
      <c r="B2004">
        <v>125137</v>
      </c>
      <c r="C2004">
        <v>55895</v>
      </c>
      <c r="D2004">
        <v>69242</v>
      </c>
      <c r="E2004">
        <v>69271685</v>
      </c>
      <c r="F2004">
        <v>57874467</v>
      </c>
      <c r="G2004">
        <v>127146152</v>
      </c>
      <c r="H2004">
        <v>21007</v>
      </c>
      <c r="I2004">
        <v>8853</v>
      </c>
      <c r="J2004">
        <v>29860</v>
      </c>
      <c r="K2004" t="b">
        <f>TrafficData[[#This Row],[disposedChallan]]+TrafficData[[#This Row],[pendingChallan]]=TrafficData[[#This Row],[totalChallan]]</f>
        <v>1</v>
      </c>
      <c r="L2004" t="b">
        <f>TrafficData[[#This Row],[pendingAmount]]+TrafficData[[#This Row],[disposedAmount]]=TrafficData[[#This Row],[totalAmount]]</f>
        <v>1</v>
      </c>
      <c r="M2004" t="b">
        <f>TrafficData[[#This Row],[pendingCourt]]+TrafficData[[#This Row],[disposedCourt]]=TrafficData[[#This Row],[totalCourt]]</f>
        <v>1</v>
      </c>
      <c r="N2004" t="b">
        <f>AND(TrafficData[[#This Row],[disposedChallan]]&lt;=TrafficData[[#This Row],[totalChallan]],TrafficData[[#This Row],[pendingChallan]]&lt;=TrafficData[[#This Row],[totalChallan]])</f>
        <v>1</v>
      </c>
      <c r="O2004" t="b">
        <f>AND(TrafficData[[#This Row],[pendingAmount]]&lt;=TrafficData[[#This Row],[totalAmount]],TrafficData[[#This Row],[disposedAmount]]&lt;=TrafficData[[#This Row],[totalAmount]])</f>
        <v>1</v>
      </c>
      <c r="P2004" t="b">
        <f>AND(TrafficData[[#This Row],[pendingCourt]]&lt;=TrafficData[[#This Row],[totalCourt]],TrafficData[[#This Row],[disposedCourt]]&lt;=TrafficData[[#This Row],[totalCourt]])</f>
        <v>1</v>
      </c>
    </row>
    <row r="2005" spans="1:16">
      <c r="A2005" s="1">
        <v>44009</v>
      </c>
      <c r="B2005">
        <v>129269</v>
      </c>
      <c r="C2005">
        <v>56582</v>
      </c>
      <c r="D2005">
        <v>72687</v>
      </c>
      <c r="E2005">
        <v>78269950</v>
      </c>
      <c r="F2005">
        <v>61488085</v>
      </c>
      <c r="G2005">
        <v>139758035</v>
      </c>
      <c r="H2005">
        <v>20815</v>
      </c>
      <c r="I2005">
        <v>8183</v>
      </c>
      <c r="J2005">
        <v>28998</v>
      </c>
      <c r="K2005" t="b">
        <f>TrafficData[[#This Row],[disposedChallan]]+TrafficData[[#This Row],[pendingChallan]]=TrafficData[[#This Row],[totalChallan]]</f>
        <v>1</v>
      </c>
      <c r="L2005" t="b">
        <f>TrafficData[[#This Row],[pendingAmount]]+TrafficData[[#This Row],[disposedAmount]]=TrafficData[[#This Row],[totalAmount]]</f>
        <v>1</v>
      </c>
      <c r="M2005" t="b">
        <f>TrafficData[[#This Row],[pendingCourt]]+TrafficData[[#This Row],[disposedCourt]]=TrafficData[[#This Row],[totalCourt]]</f>
        <v>1</v>
      </c>
      <c r="N2005" t="b">
        <f>AND(TrafficData[[#This Row],[disposedChallan]]&lt;=TrafficData[[#This Row],[totalChallan]],TrafficData[[#This Row],[pendingChallan]]&lt;=TrafficData[[#This Row],[totalChallan]])</f>
        <v>1</v>
      </c>
      <c r="O2005" t="b">
        <f>AND(TrafficData[[#This Row],[pendingAmount]]&lt;=TrafficData[[#This Row],[totalAmount]],TrafficData[[#This Row],[disposedAmount]]&lt;=TrafficData[[#This Row],[totalAmount]])</f>
        <v>1</v>
      </c>
      <c r="P2005" t="b">
        <f>AND(TrafficData[[#This Row],[pendingCourt]]&lt;=TrafficData[[#This Row],[totalCourt]],TrafficData[[#This Row],[disposedCourt]]&lt;=TrafficData[[#This Row],[totalCourt]])</f>
        <v>1</v>
      </c>
    </row>
    <row r="2006" spans="1:16">
      <c r="A2006" s="1">
        <v>44010</v>
      </c>
      <c r="B2006">
        <v>116218</v>
      </c>
      <c r="C2006">
        <v>48653</v>
      </c>
      <c r="D2006">
        <v>67565</v>
      </c>
      <c r="E2006">
        <v>76923995</v>
      </c>
      <c r="F2006">
        <v>51671409</v>
      </c>
      <c r="G2006">
        <v>128595404</v>
      </c>
      <c r="H2006">
        <v>17682</v>
      </c>
      <c r="I2006">
        <v>7263</v>
      </c>
      <c r="J2006">
        <v>24945</v>
      </c>
      <c r="K2006" t="b">
        <f>TrafficData[[#This Row],[disposedChallan]]+TrafficData[[#This Row],[pendingChallan]]=TrafficData[[#This Row],[totalChallan]]</f>
        <v>1</v>
      </c>
      <c r="L2006" t="b">
        <f>TrafficData[[#This Row],[pendingAmount]]+TrafficData[[#This Row],[disposedAmount]]=TrafficData[[#This Row],[totalAmount]]</f>
        <v>1</v>
      </c>
      <c r="M2006" t="b">
        <f>TrafficData[[#This Row],[pendingCourt]]+TrafficData[[#This Row],[disposedCourt]]=TrafficData[[#This Row],[totalCourt]]</f>
        <v>1</v>
      </c>
      <c r="N2006" t="b">
        <f>AND(TrafficData[[#This Row],[disposedChallan]]&lt;=TrafficData[[#This Row],[totalChallan]],TrafficData[[#This Row],[pendingChallan]]&lt;=TrafficData[[#This Row],[totalChallan]])</f>
        <v>1</v>
      </c>
      <c r="O2006" t="b">
        <f>AND(TrafficData[[#This Row],[pendingAmount]]&lt;=TrafficData[[#This Row],[totalAmount]],TrafficData[[#This Row],[disposedAmount]]&lt;=TrafficData[[#This Row],[totalAmount]])</f>
        <v>1</v>
      </c>
      <c r="P2006" t="b">
        <f>AND(TrafficData[[#This Row],[pendingCourt]]&lt;=TrafficData[[#This Row],[totalCourt]],TrafficData[[#This Row],[disposedCourt]]&lt;=TrafficData[[#This Row],[totalCourt]])</f>
        <v>1</v>
      </c>
    </row>
    <row r="2007" spans="1:16">
      <c r="A2007" s="1">
        <v>44011</v>
      </c>
      <c r="B2007">
        <v>124327</v>
      </c>
      <c r="C2007">
        <v>54590</v>
      </c>
      <c r="D2007">
        <v>69737</v>
      </c>
      <c r="E2007">
        <v>70896862</v>
      </c>
      <c r="F2007">
        <v>52193873</v>
      </c>
      <c r="G2007">
        <v>123090735</v>
      </c>
      <c r="H2007">
        <v>20399</v>
      </c>
      <c r="I2007">
        <v>8386</v>
      </c>
      <c r="J2007">
        <v>28785</v>
      </c>
      <c r="K2007" t="b">
        <f>TrafficData[[#This Row],[disposedChallan]]+TrafficData[[#This Row],[pendingChallan]]=TrafficData[[#This Row],[totalChallan]]</f>
        <v>1</v>
      </c>
      <c r="L2007" t="b">
        <f>TrafficData[[#This Row],[pendingAmount]]+TrafficData[[#This Row],[disposedAmount]]=TrafficData[[#This Row],[totalAmount]]</f>
        <v>1</v>
      </c>
      <c r="M2007" t="b">
        <f>TrafficData[[#This Row],[pendingCourt]]+TrafficData[[#This Row],[disposedCourt]]=TrafficData[[#This Row],[totalCourt]]</f>
        <v>1</v>
      </c>
      <c r="N2007" t="b">
        <f>AND(TrafficData[[#This Row],[disposedChallan]]&lt;=TrafficData[[#This Row],[totalChallan]],TrafficData[[#This Row],[pendingChallan]]&lt;=TrafficData[[#This Row],[totalChallan]])</f>
        <v>1</v>
      </c>
      <c r="O2007" t="b">
        <f>AND(TrafficData[[#This Row],[pendingAmount]]&lt;=TrafficData[[#This Row],[totalAmount]],TrafficData[[#This Row],[disposedAmount]]&lt;=TrafficData[[#This Row],[totalAmount]])</f>
        <v>1</v>
      </c>
      <c r="P2007" t="b">
        <f>AND(TrafficData[[#This Row],[pendingCourt]]&lt;=TrafficData[[#This Row],[totalCourt]],TrafficData[[#This Row],[disposedCourt]]&lt;=TrafficData[[#This Row],[totalCourt]])</f>
        <v>1</v>
      </c>
    </row>
    <row r="2008" spans="1:16">
      <c r="A2008" s="1">
        <v>44012</v>
      </c>
      <c r="B2008">
        <v>127874</v>
      </c>
      <c r="C2008">
        <v>55574</v>
      </c>
      <c r="D2008">
        <v>72300</v>
      </c>
      <c r="E2008">
        <v>76476788</v>
      </c>
      <c r="F2008">
        <v>59460322</v>
      </c>
      <c r="G2008">
        <v>135937110</v>
      </c>
      <c r="H2008">
        <v>22625</v>
      </c>
      <c r="I2008">
        <v>8981</v>
      </c>
      <c r="J2008">
        <v>31606</v>
      </c>
      <c r="K2008" t="b">
        <f>TrafficData[[#This Row],[disposedChallan]]+TrafficData[[#This Row],[pendingChallan]]=TrafficData[[#This Row],[totalChallan]]</f>
        <v>1</v>
      </c>
      <c r="L2008" t="b">
        <f>TrafficData[[#This Row],[pendingAmount]]+TrafficData[[#This Row],[disposedAmount]]=TrafficData[[#This Row],[totalAmount]]</f>
        <v>1</v>
      </c>
      <c r="M2008" t="b">
        <f>TrafficData[[#This Row],[pendingCourt]]+TrafficData[[#This Row],[disposedCourt]]=TrafficData[[#This Row],[totalCourt]]</f>
        <v>1</v>
      </c>
      <c r="N2008" t="b">
        <f>AND(TrafficData[[#This Row],[disposedChallan]]&lt;=TrafficData[[#This Row],[totalChallan]],TrafficData[[#This Row],[pendingChallan]]&lt;=TrafficData[[#This Row],[totalChallan]])</f>
        <v>1</v>
      </c>
      <c r="O2008" t="b">
        <f>AND(TrafficData[[#This Row],[pendingAmount]]&lt;=TrafficData[[#This Row],[totalAmount]],TrafficData[[#This Row],[disposedAmount]]&lt;=TrafficData[[#This Row],[totalAmount]])</f>
        <v>1</v>
      </c>
      <c r="P2008" t="b">
        <f>AND(TrafficData[[#This Row],[pendingCourt]]&lt;=TrafficData[[#This Row],[totalCourt]],TrafficData[[#This Row],[disposedCourt]]&lt;=TrafficData[[#This Row],[totalCourt]])</f>
        <v>1</v>
      </c>
    </row>
    <row r="2009" spans="1:16">
      <c r="A2009" s="1">
        <v>44013</v>
      </c>
      <c r="B2009">
        <v>130387</v>
      </c>
      <c r="C2009">
        <v>56293</v>
      </c>
      <c r="D2009">
        <v>74094</v>
      </c>
      <c r="E2009">
        <v>77437920</v>
      </c>
      <c r="F2009">
        <v>61032550</v>
      </c>
      <c r="G2009">
        <v>138470470</v>
      </c>
      <c r="H2009">
        <v>23845</v>
      </c>
      <c r="I2009">
        <v>8907</v>
      </c>
      <c r="J2009">
        <v>32752</v>
      </c>
      <c r="K2009" t="b">
        <f>TrafficData[[#This Row],[disposedChallan]]+TrafficData[[#This Row],[pendingChallan]]=TrafficData[[#This Row],[totalChallan]]</f>
        <v>1</v>
      </c>
      <c r="L2009" t="b">
        <f>TrafficData[[#This Row],[pendingAmount]]+TrafficData[[#This Row],[disposedAmount]]=TrafficData[[#This Row],[totalAmount]]</f>
        <v>1</v>
      </c>
      <c r="M2009" t="b">
        <f>TrafficData[[#This Row],[pendingCourt]]+TrafficData[[#This Row],[disposedCourt]]=TrafficData[[#This Row],[totalCourt]]</f>
        <v>1</v>
      </c>
      <c r="N2009" t="b">
        <f>AND(TrafficData[[#This Row],[disposedChallan]]&lt;=TrafficData[[#This Row],[totalChallan]],TrafficData[[#This Row],[pendingChallan]]&lt;=TrafficData[[#This Row],[totalChallan]])</f>
        <v>1</v>
      </c>
      <c r="O2009" t="b">
        <f>AND(TrafficData[[#This Row],[pendingAmount]]&lt;=TrafficData[[#This Row],[totalAmount]],TrafficData[[#This Row],[disposedAmount]]&lt;=TrafficData[[#This Row],[totalAmount]])</f>
        <v>1</v>
      </c>
      <c r="P2009" t="b">
        <f>AND(TrafficData[[#This Row],[pendingCourt]]&lt;=TrafficData[[#This Row],[totalCourt]],TrafficData[[#This Row],[disposedCourt]]&lt;=TrafficData[[#This Row],[totalCourt]])</f>
        <v>1</v>
      </c>
    </row>
    <row r="2010" spans="1:16">
      <c r="A2010" s="1">
        <v>44014</v>
      </c>
      <c r="B2010">
        <v>124280</v>
      </c>
      <c r="C2010">
        <v>52747</v>
      </c>
      <c r="D2010">
        <v>71533</v>
      </c>
      <c r="E2010">
        <v>75488710</v>
      </c>
      <c r="F2010">
        <v>58552891</v>
      </c>
      <c r="G2010">
        <v>134041601</v>
      </c>
      <c r="H2010">
        <v>21822</v>
      </c>
      <c r="I2010">
        <v>7901</v>
      </c>
      <c r="J2010">
        <v>29723</v>
      </c>
      <c r="K2010" t="b">
        <f>TrafficData[[#This Row],[disposedChallan]]+TrafficData[[#This Row],[pendingChallan]]=TrafficData[[#This Row],[totalChallan]]</f>
        <v>1</v>
      </c>
      <c r="L2010" t="b">
        <f>TrafficData[[#This Row],[pendingAmount]]+TrafficData[[#This Row],[disposedAmount]]=TrafficData[[#This Row],[totalAmount]]</f>
        <v>1</v>
      </c>
      <c r="M2010" t="b">
        <f>TrafficData[[#This Row],[pendingCourt]]+TrafficData[[#This Row],[disposedCourt]]=TrafficData[[#This Row],[totalCourt]]</f>
        <v>1</v>
      </c>
      <c r="N2010" t="b">
        <f>AND(TrafficData[[#This Row],[disposedChallan]]&lt;=TrafficData[[#This Row],[totalChallan]],TrafficData[[#This Row],[pendingChallan]]&lt;=TrafficData[[#This Row],[totalChallan]])</f>
        <v>1</v>
      </c>
      <c r="O2010" t="b">
        <f>AND(TrafficData[[#This Row],[pendingAmount]]&lt;=TrafficData[[#This Row],[totalAmount]],TrafficData[[#This Row],[disposedAmount]]&lt;=TrafficData[[#This Row],[totalAmount]])</f>
        <v>1</v>
      </c>
      <c r="P2010" t="b">
        <f>AND(TrafficData[[#This Row],[pendingCourt]]&lt;=TrafficData[[#This Row],[totalCourt]],TrafficData[[#This Row],[disposedCourt]]&lt;=TrafficData[[#This Row],[totalCourt]])</f>
        <v>1</v>
      </c>
    </row>
    <row r="2011" spans="1:16">
      <c r="A2011" s="1">
        <v>44015</v>
      </c>
      <c r="B2011">
        <v>113885</v>
      </c>
      <c r="C2011">
        <v>48038</v>
      </c>
      <c r="D2011">
        <v>65847</v>
      </c>
      <c r="E2011">
        <v>72391609</v>
      </c>
      <c r="F2011">
        <v>56110913</v>
      </c>
      <c r="G2011">
        <v>128502522</v>
      </c>
      <c r="H2011">
        <v>21771</v>
      </c>
      <c r="I2011">
        <v>7542</v>
      </c>
      <c r="J2011">
        <v>29313</v>
      </c>
      <c r="K2011" t="b">
        <f>TrafficData[[#This Row],[disposedChallan]]+TrafficData[[#This Row],[pendingChallan]]=TrafficData[[#This Row],[totalChallan]]</f>
        <v>1</v>
      </c>
      <c r="L2011" t="b">
        <f>TrafficData[[#This Row],[pendingAmount]]+TrafficData[[#This Row],[disposedAmount]]=TrafficData[[#This Row],[totalAmount]]</f>
        <v>1</v>
      </c>
      <c r="M2011" t="b">
        <f>TrafficData[[#This Row],[pendingCourt]]+TrafficData[[#This Row],[disposedCourt]]=TrafficData[[#This Row],[totalCourt]]</f>
        <v>1</v>
      </c>
      <c r="N2011" t="b">
        <f>AND(TrafficData[[#This Row],[disposedChallan]]&lt;=TrafficData[[#This Row],[totalChallan]],TrafficData[[#This Row],[pendingChallan]]&lt;=TrafficData[[#This Row],[totalChallan]])</f>
        <v>1</v>
      </c>
      <c r="O2011" t="b">
        <f>AND(TrafficData[[#This Row],[pendingAmount]]&lt;=TrafficData[[#This Row],[totalAmount]],TrafficData[[#This Row],[disposedAmount]]&lt;=TrafficData[[#This Row],[totalAmount]])</f>
        <v>1</v>
      </c>
      <c r="P2011" t="b">
        <f>AND(TrafficData[[#This Row],[pendingCourt]]&lt;=TrafficData[[#This Row],[totalCourt]],TrafficData[[#This Row],[disposedCourt]]&lt;=TrafficData[[#This Row],[totalCourt]])</f>
        <v>1</v>
      </c>
    </row>
    <row r="2012" spans="1:16">
      <c r="A2012" s="1">
        <v>44016</v>
      </c>
      <c r="B2012">
        <v>123363</v>
      </c>
      <c r="C2012">
        <v>52797</v>
      </c>
      <c r="D2012">
        <v>70566</v>
      </c>
      <c r="E2012">
        <v>75791240</v>
      </c>
      <c r="F2012">
        <v>59520774</v>
      </c>
      <c r="G2012">
        <v>135312014</v>
      </c>
      <c r="H2012">
        <v>20608</v>
      </c>
      <c r="I2012">
        <v>7553</v>
      </c>
      <c r="J2012">
        <v>28161</v>
      </c>
      <c r="K2012" t="b">
        <f>TrafficData[[#This Row],[disposedChallan]]+TrafficData[[#This Row],[pendingChallan]]=TrafficData[[#This Row],[totalChallan]]</f>
        <v>1</v>
      </c>
      <c r="L2012" t="b">
        <f>TrafficData[[#This Row],[pendingAmount]]+TrafficData[[#This Row],[disposedAmount]]=TrafficData[[#This Row],[totalAmount]]</f>
        <v>1</v>
      </c>
      <c r="M2012" t="b">
        <f>TrafficData[[#This Row],[pendingCourt]]+TrafficData[[#This Row],[disposedCourt]]=TrafficData[[#This Row],[totalCourt]]</f>
        <v>1</v>
      </c>
      <c r="N2012" t="b">
        <f>AND(TrafficData[[#This Row],[disposedChallan]]&lt;=TrafficData[[#This Row],[totalChallan]],TrafficData[[#This Row],[pendingChallan]]&lt;=TrafficData[[#This Row],[totalChallan]])</f>
        <v>1</v>
      </c>
      <c r="O2012" t="b">
        <f>AND(TrafficData[[#This Row],[pendingAmount]]&lt;=TrafficData[[#This Row],[totalAmount]],TrafficData[[#This Row],[disposedAmount]]&lt;=TrafficData[[#This Row],[totalAmount]])</f>
        <v>1</v>
      </c>
      <c r="P2012" t="b">
        <f>AND(TrafficData[[#This Row],[pendingCourt]]&lt;=TrafficData[[#This Row],[totalCourt]],TrafficData[[#This Row],[disposedCourt]]&lt;=TrafficData[[#This Row],[totalCourt]])</f>
        <v>1</v>
      </c>
    </row>
    <row r="2013" spans="1:16">
      <c r="A2013" s="1">
        <v>44017</v>
      </c>
      <c r="B2013">
        <v>94156</v>
      </c>
      <c r="C2013">
        <v>38000</v>
      </c>
      <c r="D2013">
        <v>56156</v>
      </c>
      <c r="E2013">
        <v>67012830</v>
      </c>
      <c r="F2013">
        <v>48851396</v>
      </c>
      <c r="G2013">
        <v>115864226</v>
      </c>
      <c r="H2013">
        <v>17867</v>
      </c>
      <c r="I2013">
        <v>5837</v>
      </c>
      <c r="J2013">
        <v>23704</v>
      </c>
      <c r="K2013" t="b">
        <f>TrafficData[[#This Row],[disposedChallan]]+TrafficData[[#This Row],[pendingChallan]]=TrafficData[[#This Row],[totalChallan]]</f>
        <v>1</v>
      </c>
      <c r="L2013" t="b">
        <f>TrafficData[[#This Row],[pendingAmount]]+TrafficData[[#This Row],[disposedAmount]]=TrafficData[[#This Row],[totalAmount]]</f>
        <v>1</v>
      </c>
      <c r="M2013" t="b">
        <f>TrafficData[[#This Row],[pendingCourt]]+TrafficData[[#This Row],[disposedCourt]]=TrafficData[[#This Row],[totalCourt]]</f>
        <v>1</v>
      </c>
      <c r="N2013" t="b">
        <f>AND(TrafficData[[#This Row],[disposedChallan]]&lt;=TrafficData[[#This Row],[totalChallan]],TrafficData[[#This Row],[pendingChallan]]&lt;=TrafficData[[#This Row],[totalChallan]])</f>
        <v>1</v>
      </c>
      <c r="O2013" t="b">
        <f>AND(TrafficData[[#This Row],[pendingAmount]]&lt;=TrafficData[[#This Row],[totalAmount]],TrafficData[[#This Row],[disposedAmount]]&lt;=TrafficData[[#This Row],[totalAmount]])</f>
        <v>1</v>
      </c>
      <c r="P2013" t="b">
        <f>AND(TrafficData[[#This Row],[pendingCourt]]&lt;=TrafficData[[#This Row],[totalCourt]],TrafficData[[#This Row],[disposedCourt]]&lt;=TrafficData[[#This Row],[totalCourt]])</f>
        <v>1</v>
      </c>
    </row>
    <row r="2014" spans="1:16">
      <c r="A2014" s="1">
        <v>44018</v>
      </c>
      <c r="B2014">
        <v>116907</v>
      </c>
      <c r="C2014">
        <v>49759</v>
      </c>
      <c r="D2014">
        <v>67148</v>
      </c>
      <c r="E2014">
        <v>72946474</v>
      </c>
      <c r="F2014">
        <v>55281090</v>
      </c>
      <c r="G2014">
        <v>128227564</v>
      </c>
      <c r="H2014">
        <v>20063</v>
      </c>
      <c r="I2014">
        <v>5818</v>
      </c>
      <c r="J2014">
        <v>25881</v>
      </c>
      <c r="K2014" t="b">
        <f>TrafficData[[#This Row],[disposedChallan]]+TrafficData[[#This Row],[pendingChallan]]=TrafficData[[#This Row],[totalChallan]]</f>
        <v>1</v>
      </c>
      <c r="L2014" t="b">
        <f>TrafficData[[#This Row],[pendingAmount]]+TrafficData[[#This Row],[disposedAmount]]=TrafficData[[#This Row],[totalAmount]]</f>
        <v>1</v>
      </c>
      <c r="M2014" t="b">
        <f>TrafficData[[#This Row],[pendingCourt]]+TrafficData[[#This Row],[disposedCourt]]=TrafficData[[#This Row],[totalCourt]]</f>
        <v>1</v>
      </c>
      <c r="N2014" t="b">
        <f>AND(TrafficData[[#This Row],[disposedChallan]]&lt;=TrafficData[[#This Row],[totalChallan]],TrafficData[[#This Row],[pendingChallan]]&lt;=TrafficData[[#This Row],[totalChallan]])</f>
        <v>1</v>
      </c>
      <c r="O2014" t="b">
        <f>AND(TrafficData[[#This Row],[pendingAmount]]&lt;=TrafficData[[#This Row],[totalAmount]],TrafficData[[#This Row],[disposedAmount]]&lt;=TrafficData[[#This Row],[totalAmount]])</f>
        <v>1</v>
      </c>
      <c r="P2014" t="b">
        <f>AND(TrafficData[[#This Row],[pendingCourt]]&lt;=TrafficData[[#This Row],[totalCourt]],TrafficData[[#This Row],[disposedCourt]]&lt;=TrafficData[[#This Row],[totalCourt]])</f>
        <v>1</v>
      </c>
    </row>
    <row r="2015" spans="1:16">
      <c r="A2015" s="1">
        <v>44019</v>
      </c>
      <c r="B2015">
        <v>120381</v>
      </c>
      <c r="C2015">
        <v>50434</v>
      </c>
      <c r="D2015">
        <v>69947</v>
      </c>
      <c r="E2015">
        <v>73324671</v>
      </c>
      <c r="F2015">
        <v>59069732</v>
      </c>
      <c r="G2015">
        <v>132394403</v>
      </c>
      <c r="H2015">
        <v>20747</v>
      </c>
      <c r="I2015">
        <v>6653</v>
      </c>
      <c r="J2015">
        <v>27400</v>
      </c>
      <c r="K2015" t="b">
        <f>TrafficData[[#This Row],[disposedChallan]]+TrafficData[[#This Row],[pendingChallan]]=TrafficData[[#This Row],[totalChallan]]</f>
        <v>1</v>
      </c>
      <c r="L2015" t="b">
        <f>TrafficData[[#This Row],[pendingAmount]]+TrafficData[[#This Row],[disposedAmount]]=TrafficData[[#This Row],[totalAmount]]</f>
        <v>1</v>
      </c>
      <c r="M2015" t="b">
        <f>TrafficData[[#This Row],[pendingCourt]]+TrafficData[[#This Row],[disposedCourt]]=TrafficData[[#This Row],[totalCourt]]</f>
        <v>1</v>
      </c>
      <c r="N2015" t="b">
        <f>AND(TrafficData[[#This Row],[disposedChallan]]&lt;=TrafficData[[#This Row],[totalChallan]],TrafficData[[#This Row],[pendingChallan]]&lt;=TrafficData[[#This Row],[totalChallan]])</f>
        <v>1</v>
      </c>
      <c r="O2015" t="b">
        <f>AND(TrafficData[[#This Row],[pendingAmount]]&lt;=TrafficData[[#This Row],[totalAmount]],TrafficData[[#This Row],[disposedAmount]]&lt;=TrafficData[[#This Row],[totalAmount]])</f>
        <v>1</v>
      </c>
      <c r="P2015" t="b">
        <f>AND(TrafficData[[#This Row],[pendingCourt]]&lt;=TrafficData[[#This Row],[totalCourt]],TrafficData[[#This Row],[disposedCourt]]&lt;=TrafficData[[#This Row],[totalCourt]])</f>
        <v>1</v>
      </c>
    </row>
    <row r="2016" spans="1:16">
      <c r="A2016" s="1">
        <v>44020</v>
      </c>
      <c r="B2016">
        <v>129728</v>
      </c>
      <c r="C2016">
        <v>55344</v>
      </c>
      <c r="D2016">
        <v>74384</v>
      </c>
      <c r="E2016">
        <v>75930750</v>
      </c>
      <c r="F2016">
        <v>63153611</v>
      </c>
      <c r="G2016">
        <v>139084361</v>
      </c>
      <c r="H2016">
        <v>24972</v>
      </c>
      <c r="I2016">
        <v>8374</v>
      </c>
      <c r="J2016">
        <v>33346</v>
      </c>
      <c r="K2016" t="b">
        <f>TrafficData[[#This Row],[disposedChallan]]+TrafficData[[#This Row],[pendingChallan]]=TrafficData[[#This Row],[totalChallan]]</f>
        <v>1</v>
      </c>
      <c r="L2016" t="b">
        <f>TrafficData[[#This Row],[pendingAmount]]+TrafficData[[#This Row],[disposedAmount]]=TrafficData[[#This Row],[totalAmount]]</f>
        <v>1</v>
      </c>
      <c r="M2016" t="b">
        <f>TrafficData[[#This Row],[pendingCourt]]+TrafficData[[#This Row],[disposedCourt]]=TrafficData[[#This Row],[totalCourt]]</f>
        <v>1</v>
      </c>
      <c r="N2016" t="b">
        <f>AND(TrafficData[[#This Row],[disposedChallan]]&lt;=TrafficData[[#This Row],[totalChallan]],TrafficData[[#This Row],[pendingChallan]]&lt;=TrafficData[[#This Row],[totalChallan]])</f>
        <v>1</v>
      </c>
      <c r="O2016" t="b">
        <f>AND(TrafficData[[#This Row],[pendingAmount]]&lt;=TrafficData[[#This Row],[totalAmount]],TrafficData[[#This Row],[disposedAmount]]&lt;=TrafficData[[#This Row],[totalAmount]])</f>
        <v>1</v>
      </c>
      <c r="P2016" t="b">
        <f>AND(TrafficData[[#This Row],[pendingCourt]]&lt;=TrafficData[[#This Row],[totalCourt]],TrafficData[[#This Row],[disposedCourt]]&lt;=TrafficData[[#This Row],[totalCourt]])</f>
        <v>1</v>
      </c>
    </row>
    <row r="2017" spans="1:16">
      <c r="A2017" s="1">
        <v>44021</v>
      </c>
      <c r="B2017">
        <v>130870</v>
      </c>
      <c r="C2017">
        <v>55105</v>
      </c>
      <c r="D2017">
        <v>75765</v>
      </c>
      <c r="E2017">
        <v>75829235</v>
      </c>
      <c r="F2017">
        <v>58694609</v>
      </c>
      <c r="G2017">
        <v>134523844</v>
      </c>
      <c r="H2017">
        <v>23558</v>
      </c>
      <c r="I2017">
        <v>7790</v>
      </c>
      <c r="J2017">
        <v>31348</v>
      </c>
      <c r="K2017" t="b">
        <f>TrafficData[[#This Row],[disposedChallan]]+TrafficData[[#This Row],[pendingChallan]]=TrafficData[[#This Row],[totalChallan]]</f>
        <v>1</v>
      </c>
      <c r="L2017" t="b">
        <f>TrafficData[[#This Row],[pendingAmount]]+TrafficData[[#This Row],[disposedAmount]]=TrafficData[[#This Row],[totalAmount]]</f>
        <v>1</v>
      </c>
      <c r="M2017" t="b">
        <f>TrafficData[[#This Row],[pendingCourt]]+TrafficData[[#This Row],[disposedCourt]]=TrafficData[[#This Row],[totalCourt]]</f>
        <v>1</v>
      </c>
      <c r="N2017" t="b">
        <f>AND(TrafficData[[#This Row],[disposedChallan]]&lt;=TrafficData[[#This Row],[totalChallan]],TrafficData[[#This Row],[pendingChallan]]&lt;=TrafficData[[#This Row],[totalChallan]])</f>
        <v>1</v>
      </c>
      <c r="O2017" t="b">
        <f>AND(TrafficData[[#This Row],[pendingAmount]]&lt;=TrafficData[[#This Row],[totalAmount]],TrafficData[[#This Row],[disposedAmount]]&lt;=TrafficData[[#This Row],[totalAmount]])</f>
        <v>1</v>
      </c>
      <c r="P2017" t="b">
        <f>AND(TrafficData[[#This Row],[pendingCourt]]&lt;=TrafficData[[#This Row],[totalCourt]],TrafficData[[#This Row],[disposedCourt]]&lt;=TrafficData[[#This Row],[totalCourt]])</f>
        <v>1</v>
      </c>
    </row>
    <row r="2018" spans="1:16">
      <c r="A2018" s="1">
        <v>44022</v>
      </c>
      <c r="B2018">
        <v>127480</v>
      </c>
      <c r="C2018">
        <v>54530</v>
      </c>
      <c r="D2018">
        <v>72950</v>
      </c>
      <c r="E2018">
        <v>72963253</v>
      </c>
      <c r="F2018">
        <v>58048436</v>
      </c>
      <c r="G2018">
        <v>131011689</v>
      </c>
      <c r="H2018">
        <v>21926</v>
      </c>
      <c r="I2018">
        <v>7537</v>
      </c>
      <c r="J2018">
        <v>29463</v>
      </c>
      <c r="K2018" t="b">
        <f>TrafficData[[#This Row],[disposedChallan]]+TrafficData[[#This Row],[pendingChallan]]=TrafficData[[#This Row],[totalChallan]]</f>
        <v>1</v>
      </c>
      <c r="L2018" t="b">
        <f>TrafficData[[#This Row],[pendingAmount]]+TrafficData[[#This Row],[disposedAmount]]=TrafficData[[#This Row],[totalAmount]]</f>
        <v>1</v>
      </c>
      <c r="M2018" t="b">
        <f>TrafficData[[#This Row],[pendingCourt]]+TrafficData[[#This Row],[disposedCourt]]=TrafficData[[#This Row],[totalCourt]]</f>
        <v>1</v>
      </c>
      <c r="N2018" t="b">
        <f>AND(TrafficData[[#This Row],[disposedChallan]]&lt;=TrafficData[[#This Row],[totalChallan]],TrafficData[[#This Row],[pendingChallan]]&lt;=TrafficData[[#This Row],[totalChallan]])</f>
        <v>1</v>
      </c>
      <c r="O2018" t="b">
        <f>AND(TrafficData[[#This Row],[pendingAmount]]&lt;=TrafficData[[#This Row],[totalAmount]],TrafficData[[#This Row],[disposedAmount]]&lt;=TrafficData[[#This Row],[totalAmount]])</f>
        <v>1</v>
      </c>
      <c r="P2018" t="b">
        <f>AND(TrafficData[[#This Row],[pendingCourt]]&lt;=TrafficData[[#This Row],[totalCourt]],TrafficData[[#This Row],[disposedCourt]]&lt;=TrafficData[[#This Row],[totalCourt]])</f>
        <v>1</v>
      </c>
    </row>
    <row r="2019" spans="1:16">
      <c r="A2019" s="1">
        <v>44023</v>
      </c>
      <c r="B2019">
        <v>126246</v>
      </c>
      <c r="C2019">
        <v>54358</v>
      </c>
      <c r="D2019">
        <v>71888</v>
      </c>
      <c r="E2019">
        <v>73365980</v>
      </c>
      <c r="F2019">
        <v>54551703</v>
      </c>
      <c r="G2019">
        <v>127917683</v>
      </c>
      <c r="H2019">
        <v>24029</v>
      </c>
      <c r="I2019">
        <v>8363</v>
      </c>
      <c r="J2019">
        <v>32392</v>
      </c>
      <c r="K2019" t="b">
        <f>TrafficData[[#This Row],[disposedChallan]]+TrafficData[[#This Row],[pendingChallan]]=TrafficData[[#This Row],[totalChallan]]</f>
        <v>1</v>
      </c>
      <c r="L2019" t="b">
        <f>TrafficData[[#This Row],[pendingAmount]]+TrafficData[[#This Row],[disposedAmount]]=TrafficData[[#This Row],[totalAmount]]</f>
        <v>1</v>
      </c>
      <c r="M2019" t="b">
        <f>TrafficData[[#This Row],[pendingCourt]]+TrafficData[[#This Row],[disposedCourt]]=TrafficData[[#This Row],[totalCourt]]</f>
        <v>1</v>
      </c>
      <c r="N2019" t="b">
        <f>AND(TrafficData[[#This Row],[disposedChallan]]&lt;=TrafficData[[#This Row],[totalChallan]],TrafficData[[#This Row],[pendingChallan]]&lt;=TrafficData[[#This Row],[totalChallan]])</f>
        <v>1</v>
      </c>
      <c r="O2019" t="b">
        <f>AND(TrafficData[[#This Row],[pendingAmount]]&lt;=TrafficData[[#This Row],[totalAmount]],TrafficData[[#This Row],[disposedAmount]]&lt;=TrafficData[[#This Row],[totalAmount]])</f>
        <v>1</v>
      </c>
      <c r="P2019" t="b">
        <f>AND(TrafficData[[#This Row],[pendingCourt]]&lt;=TrafficData[[#This Row],[totalCourt]],TrafficData[[#This Row],[disposedCourt]]&lt;=TrafficData[[#This Row],[totalCourt]])</f>
        <v>1</v>
      </c>
    </row>
    <row r="2020" spans="1:16">
      <c r="A2020" s="1">
        <v>44024</v>
      </c>
      <c r="B2020">
        <v>99517</v>
      </c>
      <c r="C2020">
        <v>40646</v>
      </c>
      <c r="D2020">
        <v>58871</v>
      </c>
      <c r="E2020">
        <v>63266089</v>
      </c>
      <c r="F2020">
        <v>43691168</v>
      </c>
      <c r="G2020">
        <v>106957257</v>
      </c>
      <c r="H2020">
        <v>25011</v>
      </c>
      <c r="I2020">
        <v>8129</v>
      </c>
      <c r="J2020">
        <v>33140</v>
      </c>
      <c r="K2020" t="b">
        <f>TrafficData[[#This Row],[disposedChallan]]+TrafficData[[#This Row],[pendingChallan]]=TrafficData[[#This Row],[totalChallan]]</f>
        <v>1</v>
      </c>
      <c r="L2020" t="b">
        <f>TrafficData[[#This Row],[pendingAmount]]+TrafficData[[#This Row],[disposedAmount]]=TrafficData[[#This Row],[totalAmount]]</f>
        <v>1</v>
      </c>
      <c r="M2020" t="b">
        <f>TrafficData[[#This Row],[pendingCourt]]+TrafficData[[#This Row],[disposedCourt]]=TrafficData[[#This Row],[totalCourt]]</f>
        <v>1</v>
      </c>
      <c r="N2020" t="b">
        <f>AND(TrafficData[[#This Row],[disposedChallan]]&lt;=TrafficData[[#This Row],[totalChallan]],TrafficData[[#This Row],[pendingChallan]]&lt;=TrafficData[[#This Row],[totalChallan]])</f>
        <v>1</v>
      </c>
      <c r="O2020" t="b">
        <f>AND(TrafficData[[#This Row],[pendingAmount]]&lt;=TrafficData[[#This Row],[totalAmount]],TrafficData[[#This Row],[disposedAmount]]&lt;=TrafficData[[#This Row],[totalAmount]])</f>
        <v>1</v>
      </c>
      <c r="P2020" t="b">
        <f>AND(TrafficData[[#This Row],[pendingCourt]]&lt;=TrafficData[[#This Row],[totalCourt]],TrafficData[[#This Row],[disposedCourt]]&lt;=TrafficData[[#This Row],[totalCourt]])</f>
        <v>1</v>
      </c>
    </row>
    <row r="2021" spans="1:16">
      <c r="A2021" s="1">
        <v>44025</v>
      </c>
      <c r="B2021">
        <v>126242</v>
      </c>
      <c r="C2021">
        <v>55787</v>
      </c>
      <c r="D2021">
        <v>70455</v>
      </c>
      <c r="E2021">
        <v>65783932</v>
      </c>
      <c r="F2021">
        <v>51939321</v>
      </c>
      <c r="G2021">
        <v>117723253</v>
      </c>
      <c r="H2021">
        <v>38022</v>
      </c>
      <c r="I2021">
        <v>12795</v>
      </c>
      <c r="J2021">
        <v>50817</v>
      </c>
      <c r="K2021" t="b">
        <f>TrafficData[[#This Row],[disposedChallan]]+TrafficData[[#This Row],[pendingChallan]]=TrafficData[[#This Row],[totalChallan]]</f>
        <v>1</v>
      </c>
      <c r="L2021" t="b">
        <f>TrafficData[[#This Row],[pendingAmount]]+TrafficData[[#This Row],[disposedAmount]]=TrafficData[[#This Row],[totalAmount]]</f>
        <v>1</v>
      </c>
      <c r="M2021" t="b">
        <f>TrafficData[[#This Row],[pendingCourt]]+TrafficData[[#This Row],[disposedCourt]]=TrafficData[[#This Row],[totalCourt]]</f>
        <v>1</v>
      </c>
      <c r="N2021" t="b">
        <f>AND(TrafficData[[#This Row],[disposedChallan]]&lt;=TrafficData[[#This Row],[totalChallan]],TrafficData[[#This Row],[pendingChallan]]&lt;=TrafficData[[#This Row],[totalChallan]])</f>
        <v>1</v>
      </c>
      <c r="O2021" t="b">
        <f>AND(TrafficData[[#This Row],[pendingAmount]]&lt;=TrafficData[[#This Row],[totalAmount]],TrafficData[[#This Row],[disposedAmount]]&lt;=TrafficData[[#This Row],[totalAmount]])</f>
        <v>1</v>
      </c>
      <c r="P2021" t="b">
        <f>AND(TrafficData[[#This Row],[pendingCourt]]&lt;=TrafficData[[#This Row],[totalCourt]],TrafficData[[#This Row],[disposedCourt]]&lt;=TrafficData[[#This Row],[totalCourt]])</f>
        <v>1</v>
      </c>
    </row>
    <row r="2022" spans="1:16">
      <c r="A2022" s="1">
        <v>44026</v>
      </c>
      <c r="B2022">
        <v>125997</v>
      </c>
      <c r="C2022">
        <v>54835</v>
      </c>
      <c r="D2022">
        <v>71162</v>
      </c>
      <c r="E2022">
        <v>69128582</v>
      </c>
      <c r="F2022">
        <v>54500501</v>
      </c>
      <c r="G2022">
        <v>123629083</v>
      </c>
      <c r="H2022">
        <v>40468</v>
      </c>
      <c r="I2022">
        <v>7685</v>
      </c>
      <c r="J2022">
        <v>48153</v>
      </c>
      <c r="K2022" t="b">
        <f>TrafficData[[#This Row],[disposedChallan]]+TrafficData[[#This Row],[pendingChallan]]=TrafficData[[#This Row],[totalChallan]]</f>
        <v>1</v>
      </c>
      <c r="L2022" t="b">
        <f>TrafficData[[#This Row],[pendingAmount]]+TrafficData[[#This Row],[disposedAmount]]=TrafficData[[#This Row],[totalAmount]]</f>
        <v>1</v>
      </c>
      <c r="M2022" t="b">
        <f>TrafficData[[#This Row],[pendingCourt]]+TrafficData[[#This Row],[disposedCourt]]=TrafficData[[#This Row],[totalCourt]]</f>
        <v>1</v>
      </c>
      <c r="N2022" t="b">
        <f>AND(TrafficData[[#This Row],[disposedChallan]]&lt;=TrafficData[[#This Row],[totalChallan]],TrafficData[[#This Row],[pendingChallan]]&lt;=TrafficData[[#This Row],[totalChallan]])</f>
        <v>1</v>
      </c>
      <c r="O2022" t="b">
        <f>AND(TrafficData[[#This Row],[pendingAmount]]&lt;=TrafficData[[#This Row],[totalAmount]],TrafficData[[#This Row],[disposedAmount]]&lt;=TrafficData[[#This Row],[totalAmount]])</f>
        <v>1</v>
      </c>
      <c r="P2022" t="b">
        <f>AND(TrafficData[[#This Row],[pendingCourt]]&lt;=TrafficData[[#This Row],[totalCourt]],TrafficData[[#This Row],[disposedCourt]]&lt;=TrafficData[[#This Row],[totalCourt]])</f>
        <v>1</v>
      </c>
    </row>
    <row r="2023" spans="1:16">
      <c r="A2023" s="1">
        <v>44027</v>
      </c>
      <c r="B2023">
        <v>123162</v>
      </c>
      <c r="C2023">
        <v>54252</v>
      </c>
      <c r="D2023">
        <v>68910</v>
      </c>
      <c r="E2023">
        <v>67918185</v>
      </c>
      <c r="F2023">
        <v>59239268</v>
      </c>
      <c r="G2023">
        <v>127157453</v>
      </c>
      <c r="H2023">
        <v>40122</v>
      </c>
      <c r="I2023">
        <v>8066</v>
      </c>
      <c r="J2023">
        <v>48188</v>
      </c>
      <c r="K2023" t="b">
        <f>TrafficData[[#This Row],[disposedChallan]]+TrafficData[[#This Row],[pendingChallan]]=TrafficData[[#This Row],[totalChallan]]</f>
        <v>1</v>
      </c>
      <c r="L2023" t="b">
        <f>TrafficData[[#This Row],[pendingAmount]]+TrafficData[[#This Row],[disposedAmount]]=TrafficData[[#This Row],[totalAmount]]</f>
        <v>1</v>
      </c>
      <c r="M2023" t="b">
        <f>TrafficData[[#This Row],[pendingCourt]]+TrafficData[[#This Row],[disposedCourt]]=TrafficData[[#This Row],[totalCourt]]</f>
        <v>1</v>
      </c>
      <c r="N2023" t="b">
        <f>AND(TrafficData[[#This Row],[disposedChallan]]&lt;=TrafficData[[#This Row],[totalChallan]],TrafficData[[#This Row],[pendingChallan]]&lt;=TrafficData[[#This Row],[totalChallan]])</f>
        <v>1</v>
      </c>
      <c r="O2023" t="b">
        <f>AND(TrafficData[[#This Row],[pendingAmount]]&lt;=TrafficData[[#This Row],[totalAmount]],TrafficData[[#This Row],[disposedAmount]]&lt;=TrafficData[[#This Row],[totalAmount]])</f>
        <v>1</v>
      </c>
      <c r="P2023" t="b">
        <f>AND(TrafficData[[#This Row],[pendingCourt]]&lt;=TrafficData[[#This Row],[totalCourt]],TrafficData[[#This Row],[disposedCourt]]&lt;=TrafficData[[#This Row],[totalCourt]])</f>
        <v>1</v>
      </c>
    </row>
    <row r="2024" spans="1:16">
      <c r="A2024" s="1">
        <v>44028</v>
      </c>
      <c r="B2024">
        <v>126868</v>
      </c>
      <c r="C2024">
        <v>56006</v>
      </c>
      <c r="D2024">
        <v>70862</v>
      </c>
      <c r="E2024">
        <v>68921972</v>
      </c>
      <c r="F2024">
        <v>59897141</v>
      </c>
      <c r="G2024">
        <v>128819113</v>
      </c>
      <c r="H2024">
        <v>40457</v>
      </c>
      <c r="I2024">
        <v>7757</v>
      </c>
      <c r="J2024">
        <v>48214</v>
      </c>
      <c r="K2024" t="b">
        <f>TrafficData[[#This Row],[disposedChallan]]+TrafficData[[#This Row],[pendingChallan]]=TrafficData[[#This Row],[totalChallan]]</f>
        <v>1</v>
      </c>
      <c r="L2024" t="b">
        <f>TrafficData[[#This Row],[pendingAmount]]+TrafficData[[#This Row],[disposedAmount]]=TrafficData[[#This Row],[totalAmount]]</f>
        <v>1</v>
      </c>
      <c r="M2024" t="b">
        <f>TrafficData[[#This Row],[pendingCourt]]+TrafficData[[#This Row],[disposedCourt]]=TrafficData[[#This Row],[totalCourt]]</f>
        <v>1</v>
      </c>
      <c r="N2024" t="b">
        <f>AND(TrafficData[[#This Row],[disposedChallan]]&lt;=TrafficData[[#This Row],[totalChallan]],TrafficData[[#This Row],[pendingChallan]]&lt;=TrafficData[[#This Row],[totalChallan]])</f>
        <v>1</v>
      </c>
      <c r="O2024" t="b">
        <f>AND(TrafficData[[#This Row],[pendingAmount]]&lt;=TrafficData[[#This Row],[totalAmount]],TrafficData[[#This Row],[disposedAmount]]&lt;=TrafficData[[#This Row],[totalAmount]])</f>
        <v>1</v>
      </c>
      <c r="P2024" t="b">
        <f>AND(TrafficData[[#This Row],[pendingCourt]]&lt;=TrafficData[[#This Row],[totalCourt]],TrafficData[[#This Row],[disposedCourt]]&lt;=TrafficData[[#This Row],[totalCourt]])</f>
        <v>1</v>
      </c>
    </row>
    <row r="2025" spans="1:16">
      <c r="A2025" s="1">
        <v>44029</v>
      </c>
      <c r="B2025">
        <v>125137</v>
      </c>
      <c r="C2025">
        <v>56369</v>
      </c>
      <c r="D2025">
        <v>68768</v>
      </c>
      <c r="E2025">
        <v>67207054</v>
      </c>
      <c r="F2025">
        <v>60956777</v>
      </c>
      <c r="G2025">
        <v>128163831</v>
      </c>
      <c r="H2025">
        <v>38539</v>
      </c>
      <c r="I2025">
        <v>12393</v>
      </c>
      <c r="J2025">
        <v>50932</v>
      </c>
      <c r="K2025" t="b">
        <f>TrafficData[[#This Row],[disposedChallan]]+TrafficData[[#This Row],[pendingChallan]]=TrafficData[[#This Row],[totalChallan]]</f>
        <v>1</v>
      </c>
      <c r="L2025" t="b">
        <f>TrafficData[[#This Row],[pendingAmount]]+TrafficData[[#This Row],[disposedAmount]]=TrafficData[[#This Row],[totalAmount]]</f>
        <v>1</v>
      </c>
      <c r="M2025" t="b">
        <f>TrafficData[[#This Row],[pendingCourt]]+TrafficData[[#This Row],[disposedCourt]]=TrafficData[[#This Row],[totalCourt]]</f>
        <v>1</v>
      </c>
      <c r="N2025" t="b">
        <f>AND(TrafficData[[#This Row],[disposedChallan]]&lt;=TrafficData[[#This Row],[totalChallan]],TrafficData[[#This Row],[pendingChallan]]&lt;=TrafficData[[#This Row],[totalChallan]])</f>
        <v>1</v>
      </c>
      <c r="O2025" t="b">
        <f>AND(TrafficData[[#This Row],[pendingAmount]]&lt;=TrafficData[[#This Row],[totalAmount]],TrafficData[[#This Row],[disposedAmount]]&lt;=TrafficData[[#This Row],[totalAmount]])</f>
        <v>1</v>
      </c>
      <c r="P2025" t="b">
        <f>AND(TrafficData[[#This Row],[pendingCourt]]&lt;=TrafficData[[#This Row],[totalCourt]],TrafficData[[#This Row],[disposedCourt]]&lt;=TrafficData[[#This Row],[totalCourt]])</f>
        <v>1</v>
      </c>
    </row>
    <row r="2026" spans="1:16">
      <c r="A2026" s="1">
        <v>44030</v>
      </c>
      <c r="B2026">
        <v>129717</v>
      </c>
      <c r="C2026">
        <v>59116</v>
      </c>
      <c r="D2026">
        <v>70601</v>
      </c>
      <c r="E2026">
        <v>70351190</v>
      </c>
      <c r="F2026">
        <v>60178465</v>
      </c>
      <c r="G2026">
        <v>130529655</v>
      </c>
      <c r="H2026">
        <v>39830</v>
      </c>
      <c r="I2026">
        <v>9130</v>
      </c>
      <c r="J2026">
        <v>48960</v>
      </c>
      <c r="K2026" t="b">
        <f>TrafficData[[#This Row],[disposedChallan]]+TrafficData[[#This Row],[pendingChallan]]=TrafficData[[#This Row],[totalChallan]]</f>
        <v>1</v>
      </c>
      <c r="L2026" t="b">
        <f>TrafficData[[#This Row],[pendingAmount]]+TrafficData[[#This Row],[disposedAmount]]=TrafficData[[#This Row],[totalAmount]]</f>
        <v>1</v>
      </c>
      <c r="M2026" t="b">
        <f>TrafficData[[#This Row],[pendingCourt]]+TrafficData[[#This Row],[disposedCourt]]=TrafficData[[#This Row],[totalCourt]]</f>
        <v>1</v>
      </c>
      <c r="N2026" t="b">
        <f>AND(TrafficData[[#This Row],[disposedChallan]]&lt;=TrafficData[[#This Row],[totalChallan]],TrafficData[[#This Row],[pendingChallan]]&lt;=TrafficData[[#This Row],[totalChallan]])</f>
        <v>1</v>
      </c>
      <c r="O2026" t="b">
        <f>AND(TrafficData[[#This Row],[pendingAmount]]&lt;=TrafficData[[#This Row],[totalAmount]],TrafficData[[#This Row],[disposedAmount]]&lt;=TrafficData[[#This Row],[totalAmount]])</f>
        <v>1</v>
      </c>
      <c r="P2026" t="b">
        <f>AND(TrafficData[[#This Row],[pendingCourt]]&lt;=TrafficData[[#This Row],[totalCourt]],TrafficData[[#This Row],[disposedCourt]]&lt;=TrafficData[[#This Row],[totalCourt]])</f>
        <v>1</v>
      </c>
    </row>
    <row r="2027" spans="1:16">
      <c r="A2027" s="1">
        <v>44031</v>
      </c>
      <c r="B2027">
        <v>89412</v>
      </c>
      <c r="C2027">
        <v>39769</v>
      </c>
      <c r="D2027">
        <v>49643</v>
      </c>
      <c r="E2027">
        <v>49159800</v>
      </c>
      <c r="F2027">
        <v>39741894</v>
      </c>
      <c r="G2027">
        <v>88901694</v>
      </c>
      <c r="H2027">
        <v>32356</v>
      </c>
      <c r="I2027">
        <v>6975</v>
      </c>
      <c r="J2027">
        <v>39331</v>
      </c>
      <c r="K2027" t="b">
        <f>TrafficData[[#This Row],[disposedChallan]]+TrafficData[[#This Row],[pendingChallan]]=TrafficData[[#This Row],[totalChallan]]</f>
        <v>1</v>
      </c>
      <c r="L2027" t="b">
        <f>TrafficData[[#This Row],[pendingAmount]]+TrafficData[[#This Row],[disposedAmount]]=TrafficData[[#This Row],[totalAmount]]</f>
        <v>1</v>
      </c>
      <c r="M2027" t="b">
        <f>TrafficData[[#This Row],[pendingCourt]]+TrafficData[[#This Row],[disposedCourt]]=TrafficData[[#This Row],[totalCourt]]</f>
        <v>1</v>
      </c>
      <c r="N2027" t="b">
        <f>AND(TrafficData[[#This Row],[disposedChallan]]&lt;=TrafficData[[#This Row],[totalChallan]],TrafficData[[#This Row],[pendingChallan]]&lt;=TrafficData[[#This Row],[totalChallan]])</f>
        <v>1</v>
      </c>
      <c r="O2027" t="b">
        <f>AND(TrafficData[[#This Row],[pendingAmount]]&lt;=TrafficData[[#This Row],[totalAmount]],TrafficData[[#This Row],[disposedAmount]]&lt;=TrafficData[[#This Row],[totalAmount]])</f>
        <v>1</v>
      </c>
      <c r="P2027" t="b">
        <f>AND(TrafficData[[#This Row],[pendingCourt]]&lt;=TrafficData[[#This Row],[totalCourt]],TrafficData[[#This Row],[disposedCourt]]&lt;=TrafficData[[#This Row],[totalCourt]])</f>
        <v>1</v>
      </c>
    </row>
    <row r="2028" spans="1:16">
      <c r="A2028" s="1">
        <v>44032</v>
      </c>
      <c r="B2028">
        <v>128530</v>
      </c>
      <c r="C2028">
        <v>58802</v>
      </c>
      <c r="D2028">
        <v>69728</v>
      </c>
      <c r="E2028">
        <v>67134103</v>
      </c>
      <c r="F2028">
        <v>54825438</v>
      </c>
      <c r="G2028">
        <v>121959541</v>
      </c>
      <c r="H2028">
        <v>41237</v>
      </c>
      <c r="I2028">
        <v>9381</v>
      </c>
      <c r="J2028">
        <v>50618</v>
      </c>
      <c r="K2028" t="b">
        <f>TrafficData[[#This Row],[disposedChallan]]+TrafficData[[#This Row],[pendingChallan]]=TrafficData[[#This Row],[totalChallan]]</f>
        <v>1</v>
      </c>
      <c r="L2028" t="b">
        <f>TrafficData[[#This Row],[pendingAmount]]+TrafficData[[#This Row],[disposedAmount]]=TrafficData[[#This Row],[totalAmount]]</f>
        <v>1</v>
      </c>
      <c r="M2028" t="b">
        <f>TrafficData[[#This Row],[pendingCourt]]+TrafficData[[#This Row],[disposedCourt]]=TrafficData[[#This Row],[totalCourt]]</f>
        <v>1</v>
      </c>
      <c r="N2028" t="b">
        <f>AND(TrafficData[[#This Row],[disposedChallan]]&lt;=TrafficData[[#This Row],[totalChallan]],TrafficData[[#This Row],[pendingChallan]]&lt;=TrafficData[[#This Row],[totalChallan]])</f>
        <v>1</v>
      </c>
      <c r="O2028" t="b">
        <f>AND(TrafficData[[#This Row],[pendingAmount]]&lt;=TrafficData[[#This Row],[totalAmount]],TrafficData[[#This Row],[disposedAmount]]&lt;=TrafficData[[#This Row],[totalAmount]])</f>
        <v>1</v>
      </c>
      <c r="P2028" t="b">
        <f>AND(TrafficData[[#This Row],[pendingCourt]]&lt;=TrafficData[[#This Row],[totalCourt]],TrafficData[[#This Row],[disposedCourt]]&lt;=TrafficData[[#This Row],[totalCourt]])</f>
        <v>1</v>
      </c>
    </row>
    <row r="2029" spans="1:16">
      <c r="A2029" s="1">
        <v>44033</v>
      </c>
      <c r="B2029">
        <v>120055</v>
      </c>
      <c r="C2029">
        <v>55488</v>
      </c>
      <c r="D2029">
        <v>64567</v>
      </c>
      <c r="E2029">
        <v>60123974</v>
      </c>
      <c r="F2029">
        <v>57618216</v>
      </c>
      <c r="G2029">
        <v>117742190</v>
      </c>
      <c r="H2029">
        <v>35266</v>
      </c>
      <c r="I2029">
        <v>11527</v>
      </c>
      <c r="J2029">
        <v>46793</v>
      </c>
      <c r="K2029" t="b">
        <f>TrafficData[[#This Row],[disposedChallan]]+TrafficData[[#This Row],[pendingChallan]]=TrafficData[[#This Row],[totalChallan]]</f>
        <v>1</v>
      </c>
      <c r="L2029" t="b">
        <f>TrafficData[[#This Row],[pendingAmount]]+TrafficData[[#This Row],[disposedAmount]]=TrafficData[[#This Row],[totalAmount]]</f>
        <v>1</v>
      </c>
      <c r="M2029" t="b">
        <f>TrafficData[[#This Row],[pendingCourt]]+TrafficData[[#This Row],[disposedCourt]]=TrafficData[[#This Row],[totalCourt]]</f>
        <v>1</v>
      </c>
      <c r="N2029" t="b">
        <f>AND(TrafficData[[#This Row],[disposedChallan]]&lt;=TrafficData[[#This Row],[totalChallan]],TrafficData[[#This Row],[pendingChallan]]&lt;=TrafficData[[#This Row],[totalChallan]])</f>
        <v>1</v>
      </c>
      <c r="O2029" t="b">
        <f>AND(TrafficData[[#This Row],[pendingAmount]]&lt;=TrafficData[[#This Row],[totalAmount]],TrafficData[[#This Row],[disposedAmount]]&lt;=TrafficData[[#This Row],[totalAmount]])</f>
        <v>1</v>
      </c>
      <c r="P2029" t="b">
        <f>AND(TrafficData[[#This Row],[pendingCourt]]&lt;=TrafficData[[#This Row],[totalCourt]],TrafficData[[#This Row],[disposedCourt]]&lt;=TrafficData[[#This Row],[totalCourt]])</f>
        <v>1</v>
      </c>
    </row>
    <row r="2030" spans="1:16">
      <c r="A2030" s="1">
        <v>44034</v>
      </c>
      <c r="B2030">
        <v>123611</v>
      </c>
      <c r="C2030">
        <v>56635</v>
      </c>
      <c r="D2030">
        <v>66976</v>
      </c>
      <c r="E2030">
        <v>62102243</v>
      </c>
      <c r="F2030">
        <v>56490714</v>
      </c>
      <c r="G2030">
        <v>118592957</v>
      </c>
      <c r="H2030">
        <v>37126</v>
      </c>
      <c r="I2030">
        <v>8109</v>
      </c>
      <c r="J2030">
        <v>45235</v>
      </c>
      <c r="K2030" t="b">
        <f>TrafficData[[#This Row],[disposedChallan]]+TrafficData[[#This Row],[pendingChallan]]=TrafficData[[#This Row],[totalChallan]]</f>
        <v>1</v>
      </c>
      <c r="L2030" t="b">
        <f>TrafficData[[#This Row],[pendingAmount]]+TrafficData[[#This Row],[disposedAmount]]=TrafficData[[#This Row],[totalAmount]]</f>
        <v>1</v>
      </c>
      <c r="M2030" t="b">
        <f>TrafficData[[#This Row],[pendingCourt]]+TrafficData[[#This Row],[disposedCourt]]=TrafficData[[#This Row],[totalCourt]]</f>
        <v>1</v>
      </c>
      <c r="N2030" t="b">
        <f>AND(TrafficData[[#This Row],[disposedChallan]]&lt;=TrafficData[[#This Row],[totalChallan]],TrafficData[[#This Row],[pendingChallan]]&lt;=TrafficData[[#This Row],[totalChallan]])</f>
        <v>1</v>
      </c>
      <c r="O2030" t="b">
        <f>AND(TrafficData[[#This Row],[pendingAmount]]&lt;=TrafficData[[#This Row],[totalAmount]],TrafficData[[#This Row],[disposedAmount]]&lt;=TrafficData[[#This Row],[totalAmount]])</f>
        <v>1</v>
      </c>
      <c r="P2030" t="b">
        <f>AND(TrafficData[[#This Row],[pendingCourt]]&lt;=TrafficData[[#This Row],[totalCourt]],TrafficData[[#This Row],[disposedCourt]]&lt;=TrafficData[[#This Row],[totalCourt]])</f>
        <v>1</v>
      </c>
    </row>
    <row r="2031" spans="1:16">
      <c r="A2031" s="1">
        <v>44035</v>
      </c>
      <c r="B2031">
        <v>124499</v>
      </c>
      <c r="C2031">
        <v>56717</v>
      </c>
      <c r="D2031">
        <v>67782</v>
      </c>
      <c r="E2031">
        <v>65577280</v>
      </c>
      <c r="F2031">
        <v>60786864</v>
      </c>
      <c r="G2031">
        <v>126364144</v>
      </c>
      <c r="H2031">
        <v>37728</v>
      </c>
      <c r="I2031">
        <v>7720</v>
      </c>
      <c r="J2031">
        <v>45448</v>
      </c>
      <c r="K2031" t="b">
        <f>TrafficData[[#This Row],[disposedChallan]]+TrafficData[[#This Row],[pendingChallan]]=TrafficData[[#This Row],[totalChallan]]</f>
        <v>1</v>
      </c>
      <c r="L2031" t="b">
        <f>TrafficData[[#This Row],[pendingAmount]]+TrafficData[[#This Row],[disposedAmount]]=TrafficData[[#This Row],[totalAmount]]</f>
        <v>1</v>
      </c>
      <c r="M2031" t="b">
        <f>TrafficData[[#This Row],[pendingCourt]]+TrafficData[[#This Row],[disposedCourt]]=TrafficData[[#This Row],[totalCourt]]</f>
        <v>1</v>
      </c>
      <c r="N2031" t="b">
        <f>AND(TrafficData[[#This Row],[disposedChallan]]&lt;=TrafficData[[#This Row],[totalChallan]],TrafficData[[#This Row],[pendingChallan]]&lt;=TrafficData[[#This Row],[totalChallan]])</f>
        <v>1</v>
      </c>
      <c r="O2031" t="b">
        <f>AND(TrafficData[[#This Row],[pendingAmount]]&lt;=TrafficData[[#This Row],[totalAmount]],TrafficData[[#This Row],[disposedAmount]]&lt;=TrafficData[[#This Row],[totalAmount]])</f>
        <v>1</v>
      </c>
      <c r="P2031" t="b">
        <f>AND(TrafficData[[#This Row],[pendingCourt]]&lt;=TrafficData[[#This Row],[totalCourt]],TrafficData[[#This Row],[disposedCourt]]&lt;=TrafficData[[#This Row],[totalCourt]])</f>
        <v>1</v>
      </c>
    </row>
    <row r="2032" spans="1:16">
      <c r="A2032" s="1">
        <v>44036</v>
      </c>
      <c r="B2032">
        <v>121482</v>
      </c>
      <c r="C2032">
        <v>55354</v>
      </c>
      <c r="D2032">
        <v>66128</v>
      </c>
      <c r="E2032">
        <v>67028060</v>
      </c>
      <c r="F2032">
        <v>58027928</v>
      </c>
      <c r="G2032">
        <v>125055988</v>
      </c>
      <c r="H2032">
        <v>37195</v>
      </c>
      <c r="I2032">
        <v>7381</v>
      </c>
      <c r="J2032">
        <v>44576</v>
      </c>
      <c r="K2032" t="b">
        <f>TrafficData[[#This Row],[disposedChallan]]+TrafficData[[#This Row],[pendingChallan]]=TrafficData[[#This Row],[totalChallan]]</f>
        <v>1</v>
      </c>
      <c r="L2032" t="b">
        <f>TrafficData[[#This Row],[pendingAmount]]+TrafficData[[#This Row],[disposedAmount]]=TrafficData[[#This Row],[totalAmount]]</f>
        <v>1</v>
      </c>
      <c r="M2032" t="b">
        <f>TrafficData[[#This Row],[pendingCourt]]+TrafficData[[#This Row],[disposedCourt]]=TrafficData[[#This Row],[totalCourt]]</f>
        <v>1</v>
      </c>
      <c r="N2032" t="b">
        <f>AND(TrafficData[[#This Row],[disposedChallan]]&lt;=TrafficData[[#This Row],[totalChallan]],TrafficData[[#This Row],[pendingChallan]]&lt;=TrafficData[[#This Row],[totalChallan]])</f>
        <v>1</v>
      </c>
      <c r="O2032" t="b">
        <f>AND(TrafficData[[#This Row],[pendingAmount]]&lt;=TrafficData[[#This Row],[totalAmount]],TrafficData[[#This Row],[disposedAmount]]&lt;=TrafficData[[#This Row],[totalAmount]])</f>
        <v>1</v>
      </c>
      <c r="P2032" t="b">
        <f>AND(TrafficData[[#This Row],[pendingCourt]]&lt;=TrafficData[[#This Row],[totalCourt]],TrafficData[[#This Row],[disposedCourt]]&lt;=TrafficData[[#This Row],[totalCourt]])</f>
        <v>1</v>
      </c>
    </row>
    <row r="2033" spans="1:16">
      <c r="A2033" s="1">
        <v>44037</v>
      </c>
      <c r="B2033">
        <v>116514</v>
      </c>
      <c r="C2033">
        <v>53290</v>
      </c>
      <c r="D2033">
        <v>63224</v>
      </c>
      <c r="E2033">
        <v>68960396</v>
      </c>
      <c r="F2033">
        <v>53484329</v>
      </c>
      <c r="G2033">
        <v>122444725</v>
      </c>
      <c r="H2033">
        <v>35273</v>
      </c>
      <c r="I2033">
        <v>11587</v>
      </c>
      <c r="J2033">
        <v>46860</v>
      </c>
      <c r="K2033" t="b">
        <f>TrafficData[[#This Row],[disposedChallan]]+TrafficData[[#This Row],[pendingChallan]]=TrafficData[[#This Row],[totalChallan]]</f>
        <v>1</v>
      </c>
      <c r="L2033" t="b">
        <f>TrafficData[[#This Row],[pendingAmount]]+TrafficData[[#This Row],[disposedAmount]]=TrafficData[[#This Row],[totalAmount]]</f>
        <v>1</v>
      </c>
      <c r="M2033" t="b">
        <f>TrafficData[[#This Row],[pendingCourt]]+TrafficData[[#This Row],[disposedCourt]]=TrafficData[[#This Row],[totalCourt]]</f>
        <v>1</v>
      </c>
      <c r="N2033" t="b">
        <f>AND(TrafficData[[#This Row],[disposedChallan]]&lt;=TrafficData[[#This Row],[totalChallan]],TrafficData[[#This Row],[pendingChallan]]&lt;=TrafficData[[#This Row],[totalChallan]])</f>
        <v>1</v>
      </c>
      <c r="O2033" t="b">
        <f>AND(TrafficData[[#This Row],[pendingAmount]]&lt;=TrafficData[[#This Row],[totalAmount]],TrafficData[[#This Row],[disposedAmount]]&lt;=TrafficData[[#This Row],[totalAmount]])</f>
        <v>1</v>
      </c>
      <c r="P2033" t="b">
        <f>AND(TrafficData[[#This Row],[pendingCourt]]&lt;=TrafficData[[#This Row],[totalCourt]],TrafficData[[#This Row],[disposedCourt]]&lt;=TrafficData[[#This Row],[totalCourt]])</f>
        <v>1</v>
      </c>
    </row>
    <row r="2034" spans="1:16">
      <c r="A2034" s="1">
        <v>44038</v>
      </c>
      <c r="B2034">
        <v>96362</v>
      </c>
      <c r="C2034">
        <v>40812</v>
      </c>
      <c r="D2034">
        <v>55550</v>
      </c>
      <c r="E2034">
        <v>64694460</v>
      </c>
      <c r="F2034">
        <v>48238582</v>
      </c>
      <c r="G2034">
        <v>112933042</v>
      </c>
      <c r="H2034">
        <v>15146</v>
      </c>
      <c r="I2034">
        <v>5440</v>
      </c>
      <c r="J2034">
        <v>20586</v>
      </c>
      <c r="K2034" t="b">
        <f>TrafficData[[#This Row],[disposedChallan]]+TrafficData[[#This Row],[pendingChallan]]=TrafficData[[#This Row],[totalChallan]]</f>
        <v>1</v>
      </c>
      <c r="L2034" t="b">
        <f>TrafficData[[#This Row],[pendingAmount]]+TrafficData[[#This Row],[disposedAmount]]=TrafficData[[#This Row],[totalAmount]]</f>
        <v>1</v>
      </c>
      <c r="M2034" t="b">
        <f>TrafficData[[#This Row],[pendingCourt]]+TrafficData[[#This Row],[disposedCourt]]=TrafficData[[#This Row],[totalCourt]]</f>
        <v>1</v>
      </c>
      <c r="N2034" t="b">
        <f>AND(TrafficData[[#This Row],[disposedChallan]]&lt;=TrafficData[[#This Row],[totalChallan]],TrafficData[[#This Row],[pendingChallan]]&lt;=TrafficData[[#This Row],[totalChallan]])</f>
        <v>1</v>
      </c>
      <c r="O2034" t="b">
        <f>AND(TrafficData[[#This Row],[pendingAmount]]&lt;=TrafficData[[#This Row],[totalAmount]],TrafficData[[#This Row],[disposedAmount]]&lt;=TrafficData[[#This Row],[totalAmount]])</f>
        <v>1</v>
      </c>
      <c r="P2034" t="b">
        <f>AND(TrafficData[[#This Row],[pendingCourt]]&lt;=TrafficData[[#This Row],[totalCourt]],TrafficData[[#This Row],[disposedCourt]]&lt;=TrafficData[[#This Row],[totalCourt]])</f>
        <v>1</v>
      </c>
    </row>
    <row r="2035" spans="1:16">
      <c r="A2035" s="1">
        <v>44039</v>
      </c>
      <c r="B2035">
        <v>122770</v>
      </c>
      <c r="C2035">
        <v>56741</v>
      </c>
      <c r="D2035">
        <v>66029</v>
      </c>
      <c r="E2035">
        <v>69019790</v>
      </c>
      <c r="F2035">
        <v>54405572</v>
      </c>
      <c r="G2035">
        <v>123425362</v>
      </c>
      <c r="H2035">
        <v>35208</v>
      </c>
      <c r="I2035">
        <v>7891</v>
      </c>
      <c r="J2035">
        <v>43099</v>
      </c>
      <c r="K2035" t="b">
        <f>TrafficData[[#This Row],[disposedChallan]]+TrafficData[[#This Row],[pendingChallan]]=TrafficData[[#This Row],[totalChallan]]</f>
        <v>1</v>
      </c>
      <c r="L2035" t="b">
        <f>TrafficData[[#This Row],[pendingAmount]]+TrafficData[[#This Row],[disposedAmount]]=TrafficData[[#This Row],[totalAmount]]</f>
        <v>1</v>
      </c>
      <c r="M2035" t="b">
        <f>TrafficData[[#This Row],[pendingCourt]]+TrafficData[[#This Row],[disposedCourt]]=TrafficData[[#This Row],[totalCourt]]</f>
        <v>1</v>
      </c>
      <c r="N2035" t="b">
        <f>AND(TrafficData[[#This Row],[disposedChallan]]&lt;=TrafficData[[#This Row],[totalChallan]],TrafficData[[#This Row],[pendingChallan]]&lt;=TrafficData[[#This Row],[totalChallan]])</f>
        <v>1</v>
      </c>
      <c r="O2035" t="b">
        <f>AND(TrafficData[[#This Row],[pendingAmount]]&lt;=TrafficData[[#This Row],[totalAmount]],TrafficData[[#This Row],[disposedAmount]]&lt;=TrafficData[[#This Row],[totalAmount]])</f>
        <v>1</v>
      </c>
      <c r="P2035" t="b">
        <f>AND(TrafficData[[#This Row],[pendingCourt]]&lt;=TrafficData[[#This Row],[totalCourt]],TrafficData[[#This Row],[disposedCourt]]&lt;=TrafficData[[#This Row],[totalCourt]])</f>
        <v>1</v>
      </c>
    </row>
    <row r="2036" spans="1:16">
      <c r="A2036" s="1">
        <v>44040</v>
      </c>
      <c r="B2036">
        <v>124510</v>
      </c>
      <c r="C2036">
        <v>57435</v>
      </c>
      <c r="D2036">
        <v>67075</v>
      </c>
      <c r="E2036">
        <v>75608793</v>
      </c>
      <c r="F2036">
        <v>58201487</v>
      </c>
      <c r="G2036">
        <v>133810280</v>
      </c>
      <c r="H2036">
        <v>19076</v>
      </c>
      <c r="I2036">
        <v>8107</v>
      </c>
      <c r="J2036">
        <v>27183</v>
      </c>
      <c r="K2036" t="b">
        <f>TrafficData[[#This Row],[disposedChallan]]+TrafficData[[#This Row],[pendingChallan]]=TrafficData[[#This Row],[totalChallan]]</f>
        <v>1</v>
      </c>
      <c r="L2036" t="b">
        <f>TrafficData[[#This Row],[pendingAmount]]+TrafficData[[#This Row],[disposedAmount]]=TrafficData[[#This Row],[totalAmount]]</f>
        <v>1</v>
      </c>
      <c r="M2036" t="b">
        <f>TrafficData[[#This Row],[pendingCourt]]+TrafficData[[#This Row],[disposedCourt]]=TrafficData[[#This Row],[totalCourt]]</f>
        <v>1</v>
      </c>
      <c r="N2036" t="b">
        <f>AND(TrafficData[[#This Row],[disposedChallan]]&lt;=TrafficData[[#This Row],[totalChallan]],TrafficData[[#This Row],[pendingChallan]]&lt;=TrafficData[[#This Row],[totalChallan]])</f>
        <v>1</v>
      </c>
      <c r="O2036" t="b">
        <f>AND(TrafficData[[#This Row],[pendingAmount]]&lt;=TrafficData[[#This Row],[totalAmount]],TrafficData[[#This Row],[disposedAmount]]&lt;=TrafficData[[#This Row],[totalAmount]])</f>
        <v>1</v>
      </c>
      <c r="P2036" t="b">
        <f>AND(TrafficData[[#This Row],[pendingCourt]]&lt;=TrafficData[[#This Row],[totalCourt]],TrafficData[[#This Row],[disposedCourt]]&lt;=TrafficData[[#This Row],[totalCourt]])</f>
        <v>1</v>
      </c>
    </row>
    <row r="2037" spans="1:16">
      <c r="A2037" s="1">
        <v>44041</v>
      </c>
      <c r="B2037">
        <v>115284</v>
      </c>
      <c r="C2037">
        <v>53881</v>
      </c>
      <c r="D2037">
        <v>61403</v>
      </c>
      <c r="E2037">
        <v>67696019</v>
      </c>
      <c r="F2037">
        <v>53950346</v>
      </c>
      <c r="G2037">
        <v>121646365</v>
      </c>
      <c r="H2037">
        <v>32746</v>
      </c>
      <c r="I2037">
        <v>7686</v>
      </c>
      <c r="J2037">
        <v>40432</v>
      </c>
      <c r="K2037" t="b">
        <f>TrafficData[[#This Row],[disposedChallan]]+TrafficData[[#This Row],[pendingChallan]]=TrafficData[[#This Row],[totalChallan]]</f>
        <v>1</v>
      </c>
      <c r="L2037" t="b">
        <f>TrafficData[[#This Row],[pendingAmount]]+TrafficData[[#This Row],[disposedAmount]]=TrafficData[[#This Row],[totalAmount]]</f>
        <v>1</v>
      </c>
      <c r="M2037" t="b">
        <f>TrafficData[[#This Row],[pendingCourt]]+TrafficData[[#This Row],[disposedCourt]]=TrafficData[[#This Row],[totalCourt]]</f>
        <v>1</v>
      </c>
      <c r="N2037" t="b">
        <f>AND(TrafficData[[#This Row],[disposedChallan]]&lt;=TrafficData[[#This Row],[totalChallan]],TrafficData[[#This Row],[pendingChallan]]&lt;=TrafficData[[#This Row],[totalChallan]])</f>
        <v>1</v>
      </c>
      <c r="O2037" t="b">
        <f>AND(TrafficData[[#This Row],[pendingAmount]]&lt;=TrafficData[[#This Row],[totalAmount]],TrafficData[[#This Row],[disposedAmount]]&lt;=TrafficData[[#This Row],[totalAmount]])</f>
        <v>1</v>
      </c>
      <c r="P2037" t="b">
        <f>AND(TrafficData[[#This Row],[pendingCourt]]&lt;=TrafficData[[#This Row],[totalCourt]],TrafficData[[#This Row],[disposedCourt]]&lt;=TrafficData[[#This Row],[totalCourt]])</f>
        <v>1</v>
      </c>
    </row>
    <row r="2038" spans="1:16">
      <c r="A2038" s="1">
        <v>44042</v>
      </c>
      <c r="B2038">
        <v>124072</v>
      </c>
      <c r="C2038">
        <v>57431</v>
      </c>
      <c r="D2038">
        <v>66641</v>
      </c>
      <c r="E2038">
        <v>74024805</v>
      </c>
      <c r="F2038">
        <v>56068102</v>
      </c>
      <c r="G2038">
        <v>130092907</v>
      </c>
      <c r="H2038">
        <v>36032</v>
      </c>
      <c r="I2038">
        <v>8589</v>
      </c>
      <c r="J2038">
        <v>44621</v>
      </c>
      <c r="K2038" t="b">
        <f>TrafficData[[#This Row],[disposedChallan]]+TrafficData[[#This Row],[pendingChallan]]=TrafficData[[#This Row],[totalChallan]]</f>
        <v>1</v>
      </c>
      <c r="L2038" t="b">
        <f>TrafficData[[#This Row],[pendingAmount]]+TrafficData[[#This Row],[disposedAmount]]=TrafficData[[#This Row],[totalAmount]]</f>
        <v>1</v>
      </c>
      <c r="M2038" t="b">
        <f>TrafficData[[#This Row],[pendingCourt]]+TrafficData[[#This Row],[disposedCourt]]=TrafficData[[#This Row],[totalCourt]]</f>
        <v>1</v>
      </c>
      <c r="N2038" t="b">
        <f>AND(TrafficData[[#This Row],[disposedChallan]]&lt;=TrafficData[[#This Row],[totalChallan]],TrafficData[[#This Row],[pendingChallan]]&lt;=TrafficData[[#This Row],[totalChallan]])</f>
        <v>1</v>
      </c>
      <c r="O2038" t="b">
        <f>AND(TrafficData[[#This Row],[pendingAmount]]&lt;=TrafficData[[#This Row],[totalAmount]],TrafficData[[#This Row],[disposedAmount]]&lt;=TrafficData[[#This Row],[totalAmount]])</f>
        <v>1</v>
      </c>
      <c r="P2038" t="b">
        <f>AND(TrafficData[[#This Row],[pendingCourt]]&lt;=TrafficData[[#This Row],[totalCourt]],TrafficData[[#This Row],[disposedCourt]]&lt;=TrafficData[[#This Row],[totalCourt]])</f>
        <v>1</v>
      </c>
    </row>
    <row r="2039" spans="1:16">
      <c r="A2039" s="1">
        <v>44043</v>
      </c>
      <c r="B2039">
        <v>119856</v>
      </c>
      <c r="C2039">
        <v>55371</v>
      </c>
      <c r="D2039">
        <v>64485</v>
      </c>
      <c r="E2039">
        <v>72800325</v>
      </c>
      <c r="F2039">
        <v>48244273</v>
      </c>
      <c r="G2039">
        <v>121044598</v>
      </c>
      <c r="H2039">
        <v>17721</v>
      </c>
      <c r="I2039">
        <v>8244</v>
      </c>
      <c r="J2039">
        <v>25965</v>
      </c>
      <c r="K2039" t="b">
        <f>TrafficData[[#This Row],[disposedChallan]]+TrafficData[[#This Row],[pendingChallan]]=TrafficData[[#This Row],[totalChallan]]</f>
        <v>1</v>
      </c>
      <c r="L2039" t="b">
        <f>TrafficData[[#This Row],[pendingAmount]]+TrafficData[[#This Row],[disposedAmount]]=TrafficData[[#This Row],[totalAmount]]</f>
        <v>1</v>
      </c>
      <c r="M2039" t="b">
        <f>TrafficData[[#This Row],[pendingCourt]]+TrafficData[[#This Row],[disposedCourt]]=TrafficData[[#This Row],[totalCourt]]</f>
        <v>1</v>
      </c>
      <c r="N2039" t="b">
        <f>AND(TrafficData[[#This Row],[disposedChallan]]&lt;=TrafficData[[#This Row],[totalChallan]],TrafficData[[#This Row],[pendingChallan]]&lt;=TrafficData[[#This Row],[totalChallan]])</f>
        <v>1</v>
      </c>
      <c r="O2039" t="b">
        <f>AND(TrafficData[[#This Row],[pendingAmount]]&lt;=TrafficData[[#This Row],[totalAmount]],TrafficData[[#This Row],[disposedAmount]]&lt;=TrafficData[[#This Row],[totalAmount]])</f>
        <v>1</v>
      </c>
      <c r="P2039" t="b">
        <f>AND(TrafficData[[#This Row],[pendingCourt]]&lt;=TrafficData[[#This Row],[totalCourt]],TrafficData[[#This Row],[disposedCourt]]&lt;=TrafficData[[#This Row],[totalCourt]])</f>
        <v>1</v>
      </c>
    </row>
    <row r="2040" spans="1:16">
      <c r="A2040" s="1">
        <v>44044</v>
      </c>
      <c r="B2040">
        <v>98750</v>
      </c>
      <c r="C2040">
        <v>46061</v>
      </c>
      <c r="D2040">
        <v>52689</v>
      </c>
      <c r="E2040">
        <v>57495257</v>
      </c>
      <c r="F2040">
        <v>42268811</v>
      </c>
      <c r="G2040">
        <v>99764068</v>
      </c>
      <c r="H2040">
        <v>11549</v>
      </c>
      <c r="I2040">
        <v>5201</v>
      </c>
      <c r="J2040">
        <v>16750</v>
      </c>
      <c r="K2040" t="b">
        <f>TrafficData[[#This Row],[disposedChallan]]+TrafficData[[#This Row],[pendingChallan]]=TrafficData[[#This Row],[totalChallan]]</f>
        <v>1</v>
      </c>
      <c r="L2040" t="b">
        <f>TrafficData[[#This Row],[pendingAmount]]+TrafficData[[#This Row],[disposedAmount]]=TrafficData[[#This Row],[totalAmount]]</f>
        <v>1</v>
      </c>
      <c r="M2040" t="b">
        <f>TrafficData[[#This Row],[pendingCourt]]+TrafficData[[#This Row],[disposedCourt]]=TrafficData[[#This Row],[totalCourt]]</f>
        <v>1</v>
      </c>
      <c r="N2040" t="b">
        <f>AND(TrafficData[[#This Row],[disposedChallan]]&lt;=TrafficData[[#This Row],[totalChallan]],TrafficData[[#This Row],[pendingChallan]]&lt;=TrafficData[[#This Row],[totalChallan]])</f>
        <v>1</v>
      </c>
      <c r="O2040" t="b">
        <f>AND(TrafficData[[#This Row],[pendingAmount]]&lt;=TrafficData[[#This Row],[totalAmount]],TrafficData[[#This Row],[disposedAmount]]&lt;=TrafficData[[#This Row],[totalAmount]])</f>
        <v>1</v>
      </c>
      <c r="P2040" t="b">
        <f>AND(TrafficData[[#This Row],[pendingCourt]]&lt;=TrafficData[[#This Row],[totalCourt]],TrafficData[[#This Row],[disposedCourt]]&lt;=TrafficData[[#This Row],[totalCourt]])</f>
        <v>1</v>
      </c>
    </row>
    <row r="2041" spans="1:16">
      <c r="A2041" s="1">
        <v>44045</v>
      </c>
      <c r="B2041">
        <v>90411</v>
      </c>
      <c r="C2041">
        <v>40025</v>
      </c>
      <c r="D2041">
        <v>50386</v>
      </c>
      <c r="E2041">
        <v>60068915</v>
      </c>
      <c r="F2041">
        <v>42077400</v>
      </c>
      <c r="G2041">
        <v>102146315</v>
      </c>
      <c r="H2041">
        <v>30728</v>
      </c>
      <c r="I2041">
        <v>10542</v>
      </c>
      <c r="J2041">
        <v>41270</v>
      </c>
      <c r="K2041" t="b">
        <f>TrafficData[[#This Row],[disposedChallan]]+TrafficData[[#This Row],[pendingChallan]]=TrafficData[[#This Row],[totalChallan]]</f>
        <v>1</v>
      </c>
      <c r="L2041" t="b">
        <f>TrafficData[[#This Row],[pendingAmount]]+TrafficData[[#This Row],[disposedAmount]]=TrafficData[[#This Row],[totalAmount]]</f>
        <v>1</v>
      </c>
      <c r="M2041" t="b">
        <f>TrafficData[[#This Row],[pendingCourt]]+TrafficData[[#This Row],[disposedCourt]]=TrafficData[[#This Row],[totalCourt]]</f>
        <v>1</v>
      </c>
      <c r="N2041" t="b">
        <f>AND(TrafficData[[#This Row],[disposedChallan]]&lt;=TrafficData[[#This Row],[totalChallan]],TrafficData[[#This Row],[pendingChallan]]&lt;=TrafficData[[#This Row],[totalChallan]])</f>
        <v>1</v>
      </c>
      <c r="O2041" t="b">
        <f>AND(TrafficData[[#This Row],[pendingAmount]]&lt;=TrafficData[[#This Row],[totalAmount]],TrafficData[[#This Row],[disposedAmount]]&lt;=TrafficData[[#This Row],[totalAmount]])</f>
        <v>1</v>
      </c>
      <c r="P2041" t="b">
        <f>AND(TrafficData[[#This Row],[pendingCourt]]&lt;=TrafficData[[#This Row],[totalCourt]],TrafficData[[#This Row],[disposedCourt]]&lt;=TrafficData[[#This Row],[totalCourt]])</f>
        <v>1</v>
      </c>
    </row>
    <row r="2042" spans="1:16">
      <c r="A2042" s="1">
        <v>44046</v>
      </c>
      <c r="B2042">
        <v>108549</v>
      </c>
      <c r="C2042">
        <v>48274</v>
      </c>
      <c r="D2042">
        <v>60275</v>
      </c>
      <c r="E2042">
        <v>65872690</v>
      </c>
      <c r="F2042">
        <v>40402831</v>
      </c>
      <c r="G2042">
        <v>106275521</v>
      </c>
      <c r="H2042">
        <v>32415</v>
      </c>
      <c r="I2042">
        <v>11015</v>
      </c>
      <c r="J2042">
        <v>43430</v>
      </c>
      <c r="K2042" t="b">
        <f>TrafficData[[#This Row],[disposedChallan]]+TrafficData[[#This Row],[pendingChallan]]=TrafficData[[#This Row],[totalChallan]]</f>
        <v>1</v>
      </c>
      <c r="L2042" t="b">
        <f>TrafficData[[#This Row],[pendingAmount]]+TrafficData[[#This Row],[disposedAmount]]=TrafficData[[#This Row],[totalAmount]]</f>
        <v>1</v>
      </c>
      <c r="M2042" t="b">
        <f>TrafficData[[#This Row],[pendingCourt]]+TrafficData[[#This Row],[disposedCourt]]=TrafficData[[#This Row],[totalCourt]]</f>
        <v>1</v>
      </c>
      <c r="N2042" t="b">
        <f>AND(TrafficData[[#This Row],[disposedChallan]]&lt;=TrafficData[[#This Row],[totalChallan]],TrafficData[[#This Row],[pendingChallan]]&lt;=TrafficData[[#This Row],[totalChallan]])</f>
        <v>1</v>
      </c>
      <c r="O2042" t="b">
        <f>AND(TrafficData[[#This Row],[pendingAmount]]&lt;=TrafficData[[#This Row],[totalAmount]],TrafficData[[#This Row],[disposedAmount]]&lt;=TrafficData[[#This Row],[totalAmount]])</f>
        <v>1</v>
      </c>
      <c r="P2042" t="b">
        <f>AND(TrafficData[[#This Row],[pendingCourt]]&lt;=TrafficData[[#This Row],[totalCourt]],TrafficData[[#This Row],[disposedCourt]]&lt;=TrafficData[[#This Row],[totalCourt]])</f>
        <v>1</v>
      </c>
    </row>
    <row r="2043" spans="1:16">
      <c r="A2043" s="1">
        <v>44047</v>
      </c>
      <c r="B2043">
        <v>118359</v>
      </c>
      <c r="C2043">
        <v>55105</v>
      </c>
      <c r="D2043">
        <v>63254</v>
      </c>
      <c r="E2043">
        <v>66236931</v>
      </c>
      <c r="F2043">
        <v>48982600</v>
      </c>
      <c r="G2043">
        <v>115219531</v>
      </c>
      <c r="H2043">
        <v>20155</v>
      </c>
      <c r="I2043">
        <v>8224</v>
      </c>
      <c r="J2043">
        <v>28379</v>
      </c>
      <c r="K2043" t="b">
        <f>TrafficData[[#This Row],[disposedChallan]]+TrafficData[[#This Row],[pendingChallan]]=TrafficData[[#This Row],[totalChallan]]</f>
        <v>1</v>
      </c>
      <c r="L2043" t="b">
        <f>TrafficData[[#This Row],[pendingAmount]]+TrafficData[[#This Row],[disposedAmount]]=TrafficData[[#This Row],[totalAmount]]</f>
        <v>1</v>
      </c>
      <c r="M2043" t="b">
        <f>TrafficData[[#This Row],[pendingCourt]]+TrafficData[[#This Row],[disposedCourt]]=TrafficData[[#This Row],[totalCourt]]</f>
        <v>1</v>
      </c>
      <c r="N2043" t="b">
        <f>AND(TrafficData[[#This Row],[disposedChallan]]&lt;=TrafficData[[#This Row],[totalChallan]],TrafficData[[#This Row],[pendingChallan]]&lt;=TrafficData[[#This Row],[totalChallan]])</f>
        <v>1</v>
      </c>
      <c r="O2043" t="b">
        <f>AND(TrafficData[[#This Row],[pendingAmount]]&lt;=TrafficData[[#This Row],[totalAmount]],TrafficData[[#This Row],[disposedAmount]]&lt;=TrafficData[[#This Row],[totalAmount]])</f>
        <v>1</v>
      </c>
      <c r="P2043" t="b">
        <f>AND(TrafficData[[#This Row],[pendingCourt]]&lt;=TrafficData[[#This Row],[totalCourt]],TrafficData[[#This Row],[disposedCourt]]&lt;=TrafficData[[#This Row],[totalCourt]])</f>
        <v>1</v>
      </c>
    </row>
    <row r="2044" spans="1:16">
      <c r="A2044" s="1">
        <v>44048</v>
      </c>
      <c r="B2044">
        <v>113568</v>
      </c>
      <c r="C2044">
        <v>53721</v>
      </c>
      <c r="D2044">
        <v>59847</v>
      </c>
      <c r="E2044">
        <v>69857710</v>
      </c>
      <c r="F2044">
        <v>57641227</v>
      </c>
      <c r="G2044">
        <v>127498937</v>
      </c>
      <c r="H2044">
        <v>34717</v>
      </c>
      <c r="I2044">
        <v>8147</v>
      </c>
      <c r="J2044">
        <v>42864</v>
      </c>
      <c r="K2044" t="b">
        <f>TrafficData[[#This Row],[disposedChallan]]+TrafficData[[#This Row],[pendingChallan]]=TrafficData[[#This Row],[totalChallan]]</f>
        <v>1</v>
      </c>
      <c r="L2044" t="b">
        <f>TrafficData[[#This Row],[pendingAmount]]+TrafficData[[#This Row],[disposedAmount]]=TrafficData[[#This Row],[totalAmount]]</f>
        <v>1</v>
      </c>
      <c r="M2044" t="b">
        <f>TrafficData[[#This Row],[pendingCourt]]+TrafficData[[#This Row],[disposedCourt]]=TrafficData[[#This Row],[totalCourt]]</f>
        <v>1</v>
      </c>
      <c r="N2044" t="b">
        <f>AND(TrafficData[[#This Row],[disposedChallan]]&lt;=TrafficData[[#This Row],[totalChallan]],TrafficData[[#This Row],[pendingChallan]]&lt;=TrafficData[[#This Row],[totalChallan]])</f>
        <v>1</v>
      </c>
      <c r="O2044" t="b">
        <f>AND(TrafficData[[#This Row],[pendingAmount]]&lt;=TrafficData[[#This Row],[totalAmount]],TrafficData[[#This Row],[disposedAmount]]&lt;=TrafficData[[#This Row],[totalAmount]])</f>
        <v>1</v>
      </c>
      <c r="P2044" t="b">
        <f>AND(TrafficData[[#This Row],[pendingCourt]]&lt;=TrafficData[[#This Row],[totalCourt]],TrafficData[[#This Row],[disposedCourt]]&lt;=TrafficData[[#This Row],[totalCourt]])</f>
        <v>1</v>
      </c>
    </row>
    <row r="2045" spans="1:16">
      <c r="A2045" s="1">
        <v>44049</v>
      </c>
      <c r="B2045">
        <v>115710</v>
      </c>
      <c r="C2045">
        <v>54397</v>
      </c>
      <c r="D2045">
        <v>61313</v>
      </c>
      <c r="E2045">
        <v>70863921</v>
      </c>
      <c r="F2045">
        <v>63282410</v>
      </c>
      <c r="G2045">
        <v>134146331</v>
      </c>
      <c r="H2045">
        <v>35202</v>
      </c>
      <c r="I2045">
        <v>7708</v>
      </c>
      <c r="J2045">
        <v>42910</v>
      </c>
      <c r="K2045" t="b">
        <f>TrafficData[[#This Row],[disposedChallan]]+TrafficData[[#This Row],[pendingChallan]]=TrafficData[[#This Row],[totalChallan]]</f>
        <v>1</v>
      </c>
      <c r="L2045" t="b">
        <f>TrafficData[[#This Row],[pendingAmount]]+TrafficData[[#This Row],[disposedAmount]]=TrafficData[[#This Row],[totalAmount]]</f>
        <v>1</v>
      </c>
      <c r="M2045" t="b">
        <f>TrafficData[[#This Row],[pendingCourt]]+TrafficData[[#This Row],[disposedCourt]]=TrafficData[[#This Row],[totalCourt]]</f>
        <v>1</v>
      </c>
      <c r="N2045" t="b">
        <f>AND(TrafficData[[#This Row],[disposedChallan]]&lt;=TrafficData[[#This Row],[totalChallan]],TrafficData[[#This Row],[pendingChallan]]&lt;=TrafficData[[#This Row],[totalChallan]])</f>
        <v>1</v>
      </c>
      <c r="O2045" t="b">
        <f>AND(TrafficData[[#This Row],[pendingAmount]]&lt;=TrafficData[[#This Row],[totalAmount]],TrafficData[[#This Row],[disposedAmount]]&lt;=TrafficData[[#This Row],[totalAmount]])</f>
        <v>1</v>
      </c>
      <c r="P2045" t="b">
        <f>AND(TrafficData[[#This Row],[pendingCourt]]&lt;=TrafficData[[#This Row],[totalCourt]],TrafficData[[#This Row],[disposedCourt]]&lt;=TrafficData[[#This Row],[totalCourt]])</f>
        <v>1</v>
      </c>
    </row>
    <row r="2046" spans="1:16">
      <c r="A2046" s="1">
        <v>44050</v>
      </c>
      <c r="B2046">
        <v>119276</v>
      </c>
      <c r="C2046">
        <v>55845</v>
      </c>
      <c r="D2046">
        <v>63431</v>
      </c>
      <c r="E2046">
        <v>74734601</v>
      </c>
      <c r="F2046">
        <v>62602803</v>
      </c>
      <c r="G2046">
        <v>137337404</v>
      </c>
      <c r="H2046">
        <v>37034</v>
      </c>
      <c r="I2046">
        <v>8279</v>
      </c>
      <c r="J2046">
        <v>45313</v>
      </c>
      <c r="K2046" t="b">
        <f>TrafficData[[#This Row],[disposedChallan]]+TrafficData[[#This Row],[pendingChallan]]=TrafficData[[#This Row],[totalChallan]]</f>
        <v>1</v>
      </c>
      <c r="L2046" t="b">
        <f>TrafficData[[#This Row],[pendingAmount]]+TrafficData[[#This Row],[disposedAmount]]=TrafficData[[#This Row],[totalAmount]]</f>
        <v>1</v>
      </c>
      <c r="M2046" t="b">
        <f>TrafficData[[#This Row],[pendingCourt]]+TrafficData[[#This Row],[disposedCourt]]=TrafficData[[#This Row],[totalCourt]]</f>
        <v>1</v>
      </c>
      <c r="N2046" t="b">
        <f>AND(TrafficData[[#This Row],[disposedChallan]]&lt;=TrafficData[[#This Row],[totalChallan]],TrafficData[[#This Row],[pendingChallan]]&lt;=TrafficData[[#This Row],[totalChallan]])</f>
        <v>1</v>
      </c>
      <c r="O2046" t="b">
        <f>AND(TrafficData[[#This Row],[pendingAmount]]&lt;=TrafficData[[#This Row],[totalAmount]],TrafficData[[#This Row],[disposedAmount]]&lt;=TrafficData[[#This Row],[totalAmount]])</f>
        <v>1</v>
      </c>
      <c r="P2046" t="b">
        <f>AND(TrafficData[[#This Row],[pendingCourt]]&lt;=TrafficData[[#This Row],[totalCourt]],TrafficData[[#This Row],[disposedCourt]]&lt;=TrafficData[[#This Row],[totalCourt]])</f>
        <v>1</v>
      </c>
    </row>
    <row r="2047" spans="1:16">
      <c r="A2047" s="1">
        <v>44051</v>
      </c>
      <c r="B2047">
        <v>114158</v>
      </c>
      <c r="C2047">
        <v>53601</v>
      </c>
      <c r="D2047">
        <v>60557</v>
      </c>
      <c r="E2047">
        <v>71377748</v>
      </c>
      <c r="F2047">
        <v>59643481</v>
      </c>
      <c r="G2047">
        <v>131021229</v>
      </c>
      <c r="H2047">
        <v>32184</v>
      </c>
      <c r="I2047">
        <v>6681</v>
      </c>
      <c r="J2047">
        <v>38865</v>
      </c>
      <c r="K2047" t="b">
        <f>TrafficData[[#This Row],[disposedChallan]]+TrafficData[[#This Row],[pendingChallan]]=TrafficData[[#This Row],[totalChallan]]</f>
        <v>1</v>
      </c>
      <c r="L2047" t="b">
        <f>TrafficData[[#This Row],[pendingAmount]]+TrafficData[[#This Row],[disposedAmount]]=TrafficData[[#This Row],[totalAmount]]</f>
        <v>1</v>
      </c>
      <c r="M2047" t="b">
        <f>TrafficData[[#This Row],[pendingCourt]]+TrafficData[[#This Row],[disposedCourt]]=TrafficData[[#This Row],[totalCourt]]</f>
        <v>1</v>
      </c>
      <c r="N2047" t="b">
        <f>AND(TrafficData[[#This Row],[disposedChallan]]&lt;=TrafficData[[#This Row],[totalChallan]],TrafficData[[#This Row],[pendingChallan]]&lt;=TrafficData[[#This Row],[totalChallan]])</f>
        <v>1</v>
      </c>
      <c r="O2047" t="b">
        <f>AND(TrafficData[[#This Row],[pendingAmount]]&lt;=TrafficData[[#This Row],[totalAmount]],TrafficData[[#This Row],[disposedAmount]]&lt;=TrafficData[[#This Row],[totalAmount]])</f>
        <v>1</v>
      </c>
      <c r="P2047" t="b">
        <f>AND(TrafficData[[#This Row],[pendingCourt]]&lt;=TrafficData[[#This Row],[totalCourt]],TrafficData[[#This Row],[disposedCourt]]&lt;=TrafficData[[#This Row],[totalCourt]])</f>
        <v>1</v>
      </c>
    </row>
    <row r="2048" spans="1:16">
      <c r="A2048" s="1">
        <v>44052</v>
      </c>
      <c r="B2048">
        <v>89673</v>
      </c>
      <c r="C2048">
        <v>39869</v>
      </c>
      <c r="D2048">
        <v>49804</v>
      </c>
      <c r="E2048">
        <v>57652199</v>
      </c>
      <c r="F2048">
        <v>48574441</v>
      </c>
      <c r="G2048">
        <v>106226640</v>
      </c>
      <c r="H2048">
        <v>28157</v>
      </c>
      <c r="I2048">
        <v>5416</v>
      </c>
      <c r="J2048">
        <v>33573</v>
      </c>
      <c r="K2048" t="b">
        <f>TrafficData[[#This Row],[disposedChallan]]+TrafficData[[#This Row],[pendingChallan]]=TrafficData[[#This Row],[totalChallan]]</f>
        <v>1</v>
      </c>
      <c r="L2048" t="b">
        <f>TrafficData[[#This Row],[pendingAmount]]+TrafficData[[#This Row],[disposedAmount]]=TrafficData[[#This Row],[totalAmount]]</f>
        <v>1</v>
      </c>
      <c r="M2048" t="b">
        <f>TrafficData[[#This Row],[pendingCourt]]+TrafficData[[#This Row],[disposedCourt]]=TrafficData[[#This Row],[totalCourt]]</f>
        <v>1</v>
      </c>
      <c r="N2048" t="b">
        <f>AND(TrafficData[[#This Row],[disposedChallan]]&lt;=TrafficData[[#This Row],[totalChallan]],TrafficData[[#This Row],[pendingChallan]]&lt;=TrafficData[[#This Row],[totalChallan]])</f>
        <v>1</v>
      </c>
      <c r="O2048" t="b">
        <f>AND(TrafficData[[#This Row],[pendingAmount]]&lt;=TrafficData[[#This Row],[totalAmount]],TrafficData[[#This Row],[disposedAmount]]&lt;=TrafficData[[#This Row],[totalAmount]])</f>
        <v>1</v>
      </c>
      <c r="P2048" t="b">
        <f>AND(TrafficData[[#This Row],[pendingCourt]]&lt;=TrafficData[[#This Row],[totalCourt]],TrafficData[[#This Row],[disposedCourt]]&lt;=TrafficData[[#This Row],[totalCourt]])</f>
        <v>1</v>
      </c>
    </row>
    <row r="2049" spans="1:16">
      <c r="A2049" s="1">
        <v>44053</v>
      </c>
      <c r="B2049">
        <v>114879</v>
      </c>
      <c r="C2049">
        <v>55062</v>
      </c>
      <c r="D2049">
        <v>59817</v>
      </c>
      <c r="E2049">
        <v>65085786</v>
      </c>
      <c r="F2049">
        <v>58516881</v>
      </c>
      <c r="G2049">
        <v>123602667</v>
      </c>
      <c r="H2049">
        <v>32178</v>
      </c>
      <c r="I2049">
        <v>11450</v>
      </c>
      <c r="J2049">
        <v>43628</v>
      </c>
      <c r="K2049" t="b">
        <f>TrafficData[[#This Row],[disposedChallan]]+TrafficData[[#This Row],[pendingChallan]]=TrafficData[[#This Row],[totalChallan]]</f>
        <v>1</v>
      </c>
      <c r="L2049" t="b">
        <f>TrafficData[[#This Row],[pendingAmount]]+TrafficData[[#This Row],[disposedAmount]]=TrafficData[[#This Row],[totalAmount]]</f>
        <v>1</v>
      </c>
      <c r="M2049" t="b">
        <f>TrafficData[[#This Row],[pendingCourt]]+TrafficData[[#This Row],[disposedCourt]]=TrafficData[[#This Row],[totalCourt]]</f>
        <v>1</v>
      </c>
      <c r="N2049" t="b">
        <f>AND(TrafficData[[#This Row],[disposedChallan]]&lt;=TrafficData[[#This Row],[totalChallan]],TrafficData[[#This Row],[pendingChallan]]&lt;=TrafficData[[#This Row],[totalChallan]])</f>
        <v>1</v>
      </c>
      <c r="O2049" t="b">
        <f>AND(TrafficData[[#This Row],[pendingAmount]]&lt;=TrafficData[[#This Row],[totalAmount]],TrafficData[[#This Row],[disposedAmount]]&lt;=TrafficData[[#This Row],[totalAmount]])</f>
        <v>1</v>
      </c>
      <c r="P2049" t="b">
        <f>AND(TrafficData[[#This Row],[pendingCourt]]&lt;=TrafficData[[#This Row],[totalCourt]],TrafficData[[#This Row],[disposedCourt]]&lt;=TrafficData[[#This Row],[totalCourt]])</f>
        <v>1</v>
      </c>
    </row>
    <row r="2050" spans="1:16">
      <c r="A2050" s="1">
        <v>44054</v>
      </c>
      <c r="B2050">
        <v>101948</v>
      </c>
      <c r="C2050">
        <v>51975</v>
      </c>
      <c r="D2050">
        <v>49973</v>
      </c>
      <c r="E2050">
        <v>45858227</v>
      </c>
      <c r="F2050">
        <v>57081176</v>
      </c>
      <c r="G2050">
        <v>102939403</v>
      </c>
      <c r="H2050">
        <v>22942</v>
      </c>
      <c r="I2050">
        <v>8877</v>
      </c>
      <c r="J2050">
        <v>31819</v>
      </c>
      <c r="K2050" t="b">
        <f>TrafficData[[#This Row],[disposedChallan]]+TrafficData[[#This Row],[pendingChallan]]=TrafficData[[#This Row],[totalChallan]]</f>
        <v>1</v>
      </c>
      <c r="L2050" t="b">
        <f>TrafficData[[#This Row],[pendingAmount]]+TrafficData[[#This Row],[disposedAmount]]=TrafficData[[#This Row],[totalAmount]]</f>
        <v>1</v>
      </c>
      <c r="M2050" t="b">
        <f>TrafficData[[#This Row],[pendingCourt]]+TrafficData[[#This Row],[disposedCourt]]=TrafficData[[#This Row],[totalCourt]]</f>
        <v>1</v>
      </c>
      <c r="N2050" t="b">
        <f>AND(TrafficData[[#This Row],[disposedChallan]]&lt;=TrafficData[[#This Row],[totalChallan]],TrafficData[[#This Row],[pendingChallan]]&lt;=TrafficData[[#This Row],[totalChallan]])</f>
        <v>1</v>
      </c>
      <c r="O2050" t="b">
        <f>AND(TrafficData[[#This Row],[pendingAmount]]&lt;=TrafficData[[#This Row],[totalAmount]],TrafficData[[#This Row],[disposedAmount]]&lt;=TrafficData[[#This Row],[totalAmount]])</f>
        <v>1</v>
      </c>
      <c r="P2050" t="b">
        <f>AND(TrafficData[[#This Row],[pendingCourt]]&lt;=TrafficData[[#This Row],[totalCourt]],TrafficData[[#This Row],[disposedCourt]]&lt;=TrafficData[[#This Row],[totalCourt]])</f>
        <v>1</v>
      </c>
    </row>
    <row r="2051" spans="1:16">
      <c r="A2051" s="1">
        <v>44055</v>
      </c>
      <c r="B2051">
        <v>111453</v>
      </c>
      <c r="C2051">
        <v>53253</v>
      </c>
      <c r="D2051">
        <v>58200</v>
      </c>
      <c r="E2051">
        <v>62892600</v>
      </c>
      <c r="F2051">
        <v>53608269</v>
      </c>
      <c r="G2051">
        <v>116500869</v>
      </c>
      <c r="H2051">
        <v>29898</v>
      </c>
      <c r="I2051">
        <v>6590</v>
      </c>
      <c r="J2051">
        <v>36488</v>
      </c>
      <c r="K2051" t="b">
        <f>TrafficData[[#This Row],[disposedChallan]]+TrafficData[[#This Row],[pendingChallan]]=TrafficData[[#This Row],[totalChallan]]</f>
        <v>1</v>
      </c>
      <c r="L2051" t="b">
        <f>TrafficData[[#This Row],[pendingAmount]]+TrafficData[[#This Row],[disposedAmount]]=TrafficData[[#This Row],[totalAmount]]</f>
        <v>1</v>
      </c>
      <c r="M2051" t="b">
        <f>TrafficData[[#This Row],[pendingCourt]]+TrafficData[[#This Row],[disposedCourt]]=TrafficData[[#This Row],[totalCourt]]</f>
        <v>1</v>
      </c>
      <c r="N2051" t="b">
        <f>AND(TrafficData[[#This Row],[disposedChallan]]&lt;=TrafficData[[#This Row],[totalChallan]],TrafficData[[#This Row],[pendingChallan]]&lt;=TrafficData[[#This Row],[totalChallan]])</f>
        <v>1</v>
      </c>
      <c r="O2051" t="b">
        <f>AND(TrafficData[[#This Row],[pendingAmount]]&lt;=TrafficData[[#This Row],[totalAmount]],TrafficData[[#This Row],[disposedAmount]]&lt;=TrafficData[[#This Row],[totalAmount]])</f>
        <v>1</v>
      </c>
      <c r="P2051" t="b">
        <f>AND(TrafficData[[#This Row],[pendingCourt]]&lt;=TrafficData[[#This Row],[totalCourt]],TrafficData[[#This Row],[disposedCourt]]&lt;=TrafficData[[#This Row],[totalCourt]])</f>
        <v>1</v>
      </c>
    </row>
    <row r="2052" spans="1:16">
      <c r="A2052" s="1">
        <v>44056</v>
      </c>
      <c r="B2052">
        <v>103821</v>
      </c>
      <c r="C2052">
        <v>49719</v>
      </c>
      <c r="D2052">
        <v>54102</v>
      </c>
      <c r="E2052">
        <v>51480419</v>
      </c>
      <c r="F2052">
        <v>51492894</v>
      </c>
      <c r="G2052">
        <v>102973313</v>
      </c>
      <c r="H2052">
        <v>27089</v>
      </c>
      <c r="I2052">
        <v>6739</v>
      </c>
      <c r="J2052">
        <v>33828</v>
      </c>
      <c r="K2052" t="b">
        <f>TrafficData[[#This Row],[disposedChallan]]+TrafficData[[#This Row],[pendingChallan]]=TrafficData[[#This Row],[totalChallan]]</f>
        <v>1</v>
      </c>
      <c r="L2052" t="b">
        <f>TrafficData[[#This Row],[pendingAmount]]+TrafficData[[#This Row],[disposedAmount]]=TrafficData[[#This Row],[totalAmount]]</f>
        <v>1</v>
      </c>
      <c r="M2052" t="b">
        <f>TrafficData[[#This Row],[pendingCourt]]+TrafficData[[#This Row],[disposedCourt]]=TrafficData[[#This Row],[totalCourt]]</f>
        <v>1</v>
      </c>
      <c r="N2052" t="b">
        <f>AND(TrafficData[[#This Row],[disposedChallan]]&lt;=TrafficData[[#This Row],[totalChallan]],TrafficData[[#This Row],[pendingChallan]]&lt;=TrafficData[[#This Row],[totalChallan]])</f>
        <v>1</v>
      </c>
      <c r="O2052" t="b">
        <f>AND(TrafficData[[#This Row],[pendingAmount]]&lt;=TrafficData[[#This Row],[totalAmount]],TrafficData[[#This Row],[disposedAmount]]&lt;=TrafficData[[#This Row],[totalAmount]])</f>
        <v>1</v>
      </c>
      <c r="P2052" t="b">
        <f>AND(TrafficData[[#This Row],[pendingCourt]]&lt;=TrafficData[[#This Row],[totalCourt]],TrafficData[[#This Row],[disposedCourt]]&lt;=TrafficData[[#This Row],[totalCourt]])</f>
        <v>1</v>
      </c>
    </row>
    <row r="2053" spans="1:16">
      <c r="A2053" s="1">
        <v>44057</v>
      </c>
      <c r="B2053">
        <v>122465</v>
      </c>
      <c r="C2053">
        <v>58114</v>
      </c>
      <c r="D2053">
        <v>64351</v>
      </c>
      <c r="E2053">
        <v>74929346</v>
      </c>
      <c r="F2053">
        <v>64157105</v>
      </c>
      <c r="G2053">
        <v>139086451</v>
      </c>
      <c r="H2053">
        <v>35022</v>
      </c>
      <c r="I2053">
        <v>12986</v>
      </c>
      <c r="J2053">
        <v>48008</v>
      </c>
      <c r="K2053" t="b">
        <f>TrafficData[[#This Row],[disposedChallan]]+TrafficData[[#This Row],[pendingChallan]]=TrafficData[[#This Row],[totalChallan]]</f>
        <v>1</v>
      </c>
      <c r="L2053" t="b">
        <f>TrafficData[[#This Row],[pendingAmount]]+TrafficData[[#This Row],[disposedAmount]]=TrafficData[[#This Row],[totalAmount]]</f>
        <v>1</v>
      </c>
      <c r="M2053" t="b">
        <f>TrafficData[[#This Row],[pendingCourt]]+TrafficData[[#This Row],[disposedCourt]]=TrafficData[[#This Row],[totalCourt]]</f>
        <v>1</v>
      </c>
      <c r="N2053" t="b">
        <f>AND(TrafficData[[#This Row],[disposedChallan]]&lt;=TrafficData[[#This Row],[totalChallan]],TrafficData[[#This Row],[pendingChallan]]&lt;=TrafficData[[#This Row],[totalChallan]])</f>
        <v>1</v>
      </c>
      <c r="O2053" t="b">
        <f>AND(TrafficData[[#This Row],[pendingAmount]]&lt;=TrafficData[[#This Row],[totalAmount]],TrafficData[[#This Row],[disposedAmount]]&lt;=TrafficData[[#This Row],[totalAmount]])</f>
        <v>1</v>
      </c>
      <c r="P2053" t="b">
        <f>AND(TrafficData[[#This Row],[pendingCourt]]&lt;=TrafficData[[#This Row],[totalCourt]],TrafficData[[#This Row],[disposedCourt]]&lt;=TrafficData[[#This Row],[totalCourt]])</f>
        <v>1</v>
      </c>
    </row>
    <row r="2054" spans="1:16">
      <c r="A2054" s="1">
        <v>44058</v>
      </c>
      <c r="B2054">
        <v>90182</v>
      </c>
      <c r="C2054">
        <v>39785</v>
      </c>
      <c r="D2054">
        <v>50397</v>
      </c>
      <c r="E2054">
        <v>53925663</v>
      </c>
      <c r="F2054">
        <v>41403937</v>
      </c>
      <c r="G2054">
        <v>95329600</v>
      </c>
      <c r="H2054">
        <v>22710</v>
      </c>
      <c r="I2054">
        <v>7859</v>
      </c>
      <c r="J2054">
        <v>30569</v>
      </c>
      <c r="K2054" t="b">
        <f>TrafficData[[#This Row],[disposedChallan]]+TrafficData[[#This Row],[pendingChallan]]=TrafficData[[#This Row],[totalChallan]]</f>
        <v>1</v>
      </c>
      <c r="L2054" t="b">
        <f>TrafficData[[#This Row],[pendingAmount]]+TrafficData[[#This Row],[disposedAmount]]=TrafficData[[#This Row],[totalAmount]]</f>
        <v>1</v>
      </c>
      <c r="M2054" t="b">
        <f>TrafficData[[#This Row],[pendingCourt]]+TrafficData[[#This Row],[disposedCourt]]=TrafficData[[#This Row],[totalCourt]]</f>
        <v>1</v>
      </c>
      <c r="N2054" t="b">
        <f>AND(TrafficData[[#This Row],[disposedChallan]]&lt;=TrafficData[[#This Row],[totalChallan]],TrafficData[[#This Row],[pendingChallan]]&lt;=TrafficData[[#This Row],[totalChallan]])</f>
        <v>1</v>
      </c>
      <c r="O2054" t="b">
        <f>AND(TrafficData[[#This Row],[pendingAmount]]&lt;=TrafficData[[#This Row],[totalAmount]],TrafficData[[#This Row],[disposedAmount]]&lt;=TrafficData[[#This Row],[totalAmount]])</f>
        <v>1</v>
      </c>
      <c r="P2054" t="b">
        <f>AND(TrafficData[[#This Row],[pendingCourt]]&lt;=TrafficData[[#This Row],[totalCourt]],TrafficData[[#This Row],[disposedCourt]]&lt;=TrafficData[[#This Row],[totalCourt]])</f>
        <v>1</v>
      </c>
    </row>
    <row r="2055" spans="1:16">
      <c r="A2055" s="1">
        <v>44059</v>
      </c>
      <c r="B2055">
        <v>98720</v>
      </c>
      <c r="C2055">
        <v>43847</v>
      </c>
      <c r="D2055">
        <v>54873</v>
      </c>
      <c r="E2055">
        <v>65423455</v>
      </c>
      <c r="F2055">
        <v>45977925</v>
      </c>
      <c r="G2055">
        <v>111401380</v>
      </c>
      <c r="H2055">
        <v>29302</v>
      </c>
      <c r="I2055">
        <v>6152</v>
      </c>
      <c r="J2055">
        <v>35454</v>
      </c>
      <c r="K2055" t="b">
        <f>TrafficData[[#This Row],[disposedChallan]]+TrafficData[[#This Row],[pendingChallan]]=TrafficData[[#This Row],[totalChallan]]</f>
        <v>1</v>
      </c>
      <c r="L2055" t="b">
        <f>TrafficData[[#This Row],[pendingAmount]]+TrafficData[[#This Row],[disposedAmount]]=TrafficData[[#This Row],[totalAmount]]</f>
        <v>1</v>
      </c>
      <c r="M2055" t="b">
        <f>TrafficData[[#This Row],[pendingCourt]]+TrafficData[[#This Row],[disposedCourt]]=TrafficData[[#This Row],[totalCourt]]</f>
        <v>1</v>
      </c>
      <c r="N2055" t="b">
        <f>AND(TrafficData[[#This Row],[disposedChallan]]&lt;=TrafficData[[#This Row],[totalChallan]],TrafficData[[#This Row],[pendingChallan]]&lt;=TrafficData[[#This Row],[totalChallan]])</f>
        <v>1</v>
      </c>
      <c r="O2055" t="b">
        <f>AND(TrafficData[[#This Row],[pendingAmount]]&lt;=TrafficData[[#This Row],[totalAmount]],TrafficData[[#This Row],[disposedAmount]]&lt;=TrafficData[[#This Row],[totalAmount]])</f>
        <v>1</v>
      </c>
      <c r="P2055" t="b">
        <f>AND(TrafficData[[#This Row],[pendingCourt]]&lt;=TrafficData[[#This Row],[totalCourt]],TrafficData[[#This Row],[disposedCourt]]&lt;=TrafficData[[#This Row],[totalCourt]])</f>
        <v>1</v>
      </c>
    </row>
    <row r="2056" spans="1:16">
      <c r="A2056" s="1">
        <v>44060</v>
      </c>
      <c r="B2056">
        <v>124756</v>
      </c>
      <c r="C2056">
        <v>60461</v>
      </c>
      <c r="D2056">
        <v>64295</v>
      </c>
      <c r="E2056">
        <v>75365990</v>
      </c>
      <c r="F2056">
        <v>58892329</v>
      </c>
      <c r="G2056">
        <v>134258319</v>
      </c>
      <c r="H2056">
        <v>34417</v>
      </c>
      <c r="I2056">
        <v>12505</v>
      </c>
      <c r="J2056">
        <v>46922</v>
      </c>
      <c r="K2056" t="b">
        <f>TrafficData[[#This Row],[disposedChallan]]+TrafficData[[#This Row],[pendingChallan]]=TrafficData[[#This Row],[totalChallan]]</f>
        <v>1</v>
      </c>
      <c r="L2056" t="b">
        <f>TrafficData[[#This Row],[pendingAmount]]+TrafficData[[#This Row],[disposedAmount]]=TrafficData[[#This Row],[totalAmount]]</f>
        <v>1</v>
      </c>
      <c r="M2056" t="b">
        <f>TrafficData[[#This Row],[pendingCourt]]+TrafficData[[#This Row],[disposedCourt]]=TrafficData[[#This Row],[totalCourt]]</f>
        <v>1</v>
      </c>
      <c r="N2056" t="b">
        <f>AND(TrafficData[[#This Row],[disposedChallan]]&lt;=TrafficData[[#This Row],[totalChallan]],TrafficData[[#This Row],[pendingChallan]]&lt;=TrafficData[[#This Row],[totalChallan]])</f>
        <v>1</v>
      </c>
      <c r="O2056" t="b">
        <f>AND(TrafficData[[#This Row],[pendingAmount]]&lt;=TrafficData[[#This Row],[totalAmount]],TrafficData[[#This Row],[disposedAmount]]&lt;=TrafficData[[#This Row],[totalAmount]])</f>
        <v>1</v>
      </c>
      <c r="P2056" t="b">
        <f>AND(TrafficData[[#This Row],[pendingCourt]]&lt;=TrafficData[[#This Row],[totalCourt]],TrafficData[[#This Row],[disposedCourt]]&lt;=TrafficData[[#This Row],[totalCourt]])</f>
        <v>1</v>
      </c>
    </row>
    <row r="2057" spans="1:16">
      <c r="A2057" s="1">
        <v>44061</v>
      </c>
      <c r="B2057">
        <v>123192</v>
      </c>
      <c r="C2057">
        <v>59030</v>
      </c>
      <c r="D2057">
        <v>64162</v>
      </c>
      <c r="E2057">
        <v>74891487</v>
      </c>
      <c r="F2057">
        <v>66929197</v>
      </c>
      <c r="G2057">
        <v>141820684</v>
      </c>
      <c r="H2057">
        <v>34575</v>
      </c>
      <c r="I2057">
        <v>12008</v>
      </c>
      <c r="J2057">
        <v>46583</v>
      </c>
      <c r="K2057" t="b">
        <f>TrafficData[[#This Row],[disposedChallan]]+TrafficData[[#This Row],[pendingChallan]]=TrafficData[[#This Row],[totalChallan]]</f>
        <v>1</v>
      </c>
      <c r="L2057" t="b">
        <f>TrafficData[[#This Row],[pendingAmount]]+TrafficData[[#This Row],[disposedAmount]]=TrafficData[[#This Row],[totalAmount]]</f>
        <v>1</v>
      </c>
      <c r="M2057" t="b">
        <f>TrafficData[[#This Row],[pendingCourt]]+TrafficData[[#This Row],[disposedCourt]]=TrafficData[[#This Row],[totalCourt]]</f>
        <v>1</v>
      </c>
      <c r="N2057" t="b">
        <f>AND(TrafficData[[#This Row],[disposedChallan]]&lt;=TrafficData[[#This Row],[totalChallan]],TrafficData[[#This Row],[pendingChallan]]&lt;=TrafficData[[#This Row],[totalChallan]])</f>
        <v>1</v>
      </c>
      <c r="O2057" t="b">
        <f>AND(TrafficData[[#This Row],[pendingAmount]]&lt;=TrafficData[[#This Row],[totalAmount]],TrafficData[[#This Row],[disposedAmount]]&lt;=TrafficData[[#This Row],[totalAmount]])</f>
        <v>1</v>
      </c>
      <c r="P2057" t="b">
        <f>AND(TrafficData[[#This Row],[pendingCourt]]&lt;=TrafficData[[#This Row],[totalCourt]],TrafficData[[#This Row],[disposedCourt]]&lt;=TrafficData[[#This Row],[totalCourt]])</f>
        <v>1</v>
      </c>
    </row>
    <row r="2058" spans="1:16">
      <c r="A2058" s="1">
        <v>44062</v>
      </c>
      <c r="B2058">
        <v>110268</v>
      </c>
      <c r="C2058">
        <v>53200</v>
      </c>
      <c r="D2058">
        <v>57068</v>
      </c>
      <c r="E2058">
        <v>63151500</v>
      </c>
      <c r="F2058">
        <v>57842044</v>
      </c>
      <c r="G2058">
        <v>120993544</v>
      </c>
      <c r="H2058">
        <v>31050</v>
      </c>
      <c r="I2058">
        <v>7482</v>
      </c>
      <c r="J2058">
        <v>38532</v>
      </c>
      <c r="K2058" t="b">
        <f>TrafficData[[#This Row],[disposedChallan]]+TrafficData[[#This Row],[pendingChallan]]=TrafficData[[#This Row],[totalChallan]]</f>
        <v>1</v>
      </c>
      <c r="L2058" t="b">
        <f>TrafficData[[#This Row],[pendingAmount]]+TrafficData[[#This Row],[disposedAmount]]=TrafficData[[#This Row],[totalAmount]]</f>
        <v>1</v>
      </c>
      <c r="M2058" t="b">
        <f>TrafficData[[#This Row],[pendingCourt]]+TrafficData[[#This Row],[disposedCourt]]=TrafficData[[#This Row],[totalCourt]]</f>
        <v>1</v>
      </c>
      <c r="N2058" t="b">
        <f>AND(TrafficData[[#This Row],[disposedChallan]]&lt;=TrafficData[[#This Row],[totalChallan]],TrafficData[[#This Row],[pendingChallan]]&lt;=TrafficData[[#This Row],[totalChallan]])</f>
        <v>1</v>
      </c>
      <c r="O2058" t="b">
        <f>AND(TrafficData[[#This Row],[pendingAmount]]&lt;=TrafficData[[#This Row],[totalAmount]],TrafficData[[#This Row],[disposedAmount]]&lt;=TrafficData[[#This Row],[totalAmount]])</f>
        <v>1</v>
      </c>
      <c r="P2058" t="b">
        <f>AND(TrafficData[[#This Row],[pendingCourt]]&lt;=TrafficData[[#This Row],[totalCourt]],TrafficData[[#This Row],[disposedCourt]]&lt;=TrafficData[[#This Row],[totalCourt]])</f>
        <v>1</v>
      </c>
    </row>
    <row r="2059" spans="1:16">
      <c r="A2059" s="1">
        <v>44063</v>
      </c>
      <c r="B2059">
        <v>111932</v>
      </c>
      <c r="C2059">
        <v>54565</v>
      </c>
      <c r="D2059">
        <v>57367</v>
      </c>
      <c r="E2059">
        <v>65033553</v>
      </c>
      <c r="F2059">
        <v>61487079</v>
      </c>
      <c r="G2059">
        <v>126520632</v>
      </c>
      <c r="H2059">
        <v>30806</v>
      </c>
      <c r="I2059">
        <v>7874</v>
      </c>
      <c r="J2059">
        <v>38680</v>
      </c>
      <c r="K2059" t="b">
        <f>TrafficData[[#This Row],[disposedChallan]]+TrafficData[[#This Row],[pendingChallan]]=TrafficData[[#This Row],[totalChallan]]</f>
        <v>1</v>
      </c>
      <c r="L2059" t="b">
        <f>TrafficData[[#This Row],[pendingAmount]]+TrafficData[[#This Row],[disposedAmount]]=TrafficData[[#This Row],[totalAmount]]</f>
        <v>1</v>
      </c>
      <c r="M2059" t="b">
        <f>TrafficData[[#This Row],[pendingCourt]]+TrafficData[[#This Row],[disposedCourt]]=TrafficData[[#This Row],[totalCourt]]</f>
        <v>1</v>
      </c>
      <c r="N2059" t="b">
        <f>AND(TrafficData[[#This Row],[disposedChallan]]&lt;=TrafficData[[#This Row],[totalChallan]],TrafficData[[#This Row],[pendingChallan]]&lt;=TrafficData[[#This Row],[totalChallan]])</f>
        <v>1</v>
      </c>
      <c r="O2059" t="b">
        <f>AND(TrafficData[[#This Row],[pendingAmount]]&lt;=TrafficData[[#This Row],[totalAmount]],TrafficData[[#This Row],[disposedAmount]]&lt;=TrafficData[[#This Row],[totalAmount]])</f>
        <v>1</v>
      </c>
      <c r="P2059" t="b">
        <f>AND(TrafficData[[#This Row],[pendingCourt]]&lt;=TrafficData[[#This Row],[totalCourt]],TrafficData[[#This Row],[disposedCourt]]&lt;=TrafficData[[#This Row],[totalCourt]])</f>
        <v>1</v>
      </c>
    </row>
    <row r="2060" spans="1:16">
      <c r="A2060" s="1">
        <v>44064</v>
      </c>
      <c r="B2060">
        <v>113622</v>
      </c>
      <c r="C2060">
        <v>55458</v>
      </c>
      <c r="D2060">
        <v>58164</v>
      </c>
      <c r="E2060">
        <v>71070179</v>
      </c>
      <c r="F2060">
        <v>66748895</v>
      </c>
      <c r="G2060">
        <v>137819074</v>
      </c>
      <c r="H2060">
        <v>34108</v>
      </c>
      <c r="I2060">
        <v>12588</v>
      </c>
      <c r="J2060">
        <v>46696</v>
      </c>
      <c r="K2060" t="b">
        <f>TrafficData[[#This Row],[disposedChallan]]+TrafficData[[#This Row],[pendingChallan]]=TrafficData[[#This Row],[totalChallan]]</f>
        <v>1</v>
      </c>
      <c r="L2060" t="b">
        <f>TrafficData[[#This Row],[pendingAmount]]+TrafficData[[#This Row],[disposedAmount]]=TrafficData[[#This Row],[totalAmount]]</f>
        <v>1</v>
      </c>
      <c r="M2060" t="b">
        <f>TrafficData[[#This Row],[pendingCourt]]+TrafficData[[#This Row],[disposedCourt]]=TrafficData[[#This Row],[totalCourt]]</f>
        <v>1</v>
      </c>
      <c r="N2060" t="b">
        <f>AND(TrafficData[[#This Row],[disposedChallan]]&lt;=TrafficData[[#This Row],[totalChallan]],TrafficData[[#This Row],[pendingChallan]]&lt;=TrafficData[[#This Row],[totalChallan]])</f>
        <v>1</v>
      </c>
      <c r="O2060" t="b">
        <f>AND(TrafficData[[#This Row],[pendingAmount]]&lt;=TrafficData[[#This Row],[totalAmount]],TrafficData[[#This Row],[disposedAmount]]&lt;=TrafficData[[#This Row],[totalAmount]])</f>
        <v>1</v>
      </c>
      <c r="P2060" t="b">
        <f>AND(TrafficData[[#This Row],[pendingCourt]]&lt;=TrafficData[[#This Row],[totalCourt]],TrafficData[[#This Row],[disposedCourt]]&lt;=TrafficData[[#This Row],[totalCourt]])</f>
        <v>1</v>
      </c>
    </row>
    <row r="2061" spans="1:16">
      <c r="A2061" s="1">
        <v>44065</v>
      </c>
      <c r="B2061">
        <v>98016</v>
      </c>
      <c r="C2061">
        <v>46665</v>
      </c>
      <c r="D2061">
        <v>51351</v>
      </c>
      <c r="E2061">
        <v>66121801</v>
      </c>
      <c r="F2061">
        <v>53240218</v>
      </c>
      <c r="G2061">
        <v>119362019</v>
      </c>
      <c r="H2061">
        <v>31598</v>
      </c>
      <c r="I2061">
        <v>7248</v>
      </c>
      <c r="J2061">
        <v>38846</v>
      </c>
      <c r="K2061" t="b">
        <f>TrafficData[[#This Row],[disposedChallan]]+TrafficData[[#This Row],[pendingChallan]]=TrafficData[[#This Row],[totalChallan]]</f>
        <v>1</v>
      </c>
      <c r="L2061" t="b">
        <f>TrafficData[[#This Row],[pendingAmount]]+TrafficData[[#This Row],[disposedAmount]]=TrafficData[[#This Row],[totalAmount]]</f>
        <v>1</v>
      </c>
      <c r="M2061" t="b">
        <f>TrafficData[[#This Row],[pendingCourt]]+TrafficData[[#This Row],[disposedCourt]]=TrafficData[[#This Row],[totalCourt]]</f>
        <v>1</v>
      </c>
      <c r="N2061" t="b">
        <f>AND(TrafficData[[#This Row],[disposedChallan]]&lt;=TrafficData[[#This Row],[totalChallan]],TrafficData[[#This Row],[pendingChallan]]&lt;=TrafficData[[#This Row],[totalChallan]])</f>
        <v>1</v>
      </c>
      <c r="O2061" t="b">
        <f>AND(TrafficData[[#This Row],[pendingAmount]]&lt;=TrafficData[[#This Row],[totalAmount]],TrafficData[[#This Row],[disposedAmount]]&lt;=TrafficData[[#This Row],[totalAmount]])</f>
        <v>1</v>
      </c>
      <c r="P2061" t="b">
        <f>AND(TrafficData[[#This Row],[pendingCourt]]&lt;=TrafficData[[#This Row],[totalCourt]],TrafficData[[#This Row],[disposedCourt]]&lt;=TrafficData[[#This Row],[totalCourt]])</f>
        <v>1</v>
      </c>
    </row>
    <row r="2062" spans="1:16">
      <c r="A2062" s="1">
        <v>44066</v>
      </c>
      <c r="B2062">
        <v>92637</v>
      </c>
      <c r="C2062">
        <v>40533</v>
      </c>
      <c r="D2062">
        <v>52104</v>
      </c>
      <c r="E2062">
        <v>64440454</v>
      </c>
      <c r="F2062">
        <v>49248132</v>
      </c>
      <c r="G2062">
        <v>113688586</v>
      </c>
      <c r="H2062">
        <v>13353</v>
      </c>
      <c r="I2062">
        <v>9521</v>
      </c>
      <c r="J2062">
        <v>22874</v>
      </c>
      <c r="K2062" t="b">
        <f>TrafficData[[#This Row],[disposedChallan]]+TrafficData[[#This Row],[pendingChallan]]=TrafficData[[#This Row],[totalChallan]]</f>
        <v>1</v>
      </c>
      <c r="L2062" t="b">
        <f>TrafficData[[#This Row],[pendingAmount]]+TrafficData[[#This Row],[disposedAmount]]=TrafficData[[#This Row],[totalAmount]]</f>
        <v>1</v>
      </c>
      <c r="M2062" t="b">
        <f>TrafficData[[#This Row],[pendingCourt]]+TrafficData[[#This Row],[disposedCourt]]=TrafficData[[#This Row],[totalCourt]]</f>
        <v>1</v>
      </c>
      <c r="N2062" t="b">
        <f>AND(TrafficData[[#This Row],[disposedChallan]]&lt;=TrafficData[[#This Row],[totalChallan]],TrafficData[[#This Row],[pendingChallan]]&lt;=TrafficData[[#This Row],[totalChallan]])</f>
        <v>1</v>
      </c>
      <c r="O2062" t="b">
        <f>AND(TrafficData[[#This Row],[pendingAmount]]&lt;=TrafficData[[#This Row],[totalAmount]],TrafficData[[#This Row],[disposedAmount]]&lt;=TrafficData[[#This Row],[totalAmount]])</f>
        <v>1</v>
      </c>
      <c r="P2062" t="b">
        <f>AND(TrafficData[[#This Row],[pendingCourt]]&lt;=TrafficData[[#This Row],[totalCourt]],TrafficData[[#This Row],[disposedCourt]]&lt;=TrafficData[[#This Row],[totalCourt]])</f>
        <v>1</v>
      </c>
    </row>
    <row r="2063" spans="1:16">
      <c r="A2063" s="1">
        <v>44067</v>
      </c>
      <c r="B2063">
        <v>134737</v>
      </c>
      <c r="C2063">
        <v>63291</v>
      </c>
      <c r="D2063">
        <v>71446</v>
      </c>
      <c r="E2063">
        <v>75582722</v>
      </c>
      <c r="F2063">
        <v>62054753</v>
      </c>
      <c r="G2063">
        <v>137637475</v>
      </c>
      <c r="H2063">
        <v>36111</v>
      </c>
      <c r="I2063">
        <v>8517</v>
      </c>
      <c r="J2063">
        <v>44628</v>
      </c>
      <c r="K2063" t="b">
        <f>TrafficData[[#This Row],[disposedChallan]]+TrafficData[[#This Row],[pendingChallan]]=TrafficData[[#This Row],[totalChallan]]</f>
        <v>1</v>
      </c>
      <c r="L2063" t="b">
        <f>TrafficData[[#This Row],[pendingAmount]]+TrafficData[[#This Row],[disposedAmount]]=TrafficData[[#This Row],[totalAmount]]</f>
        <v>1</v>
      </c>
      <c r="M2063" t="b">
        <f>TrafficData[[#This Row],[pendingCourt]]+TrafficData[[#This Row],[disposedCourt]]=TrafficData[[#This Row],[totalCourt]]</f>
        <v>1</v>
      </c>
      <c r="N2063" t="b">
        <f>AND(TrafficData[[#This Row],[disposedChallan]]&lt;=TrafficData[[#This Row],[totalChallan]],TrafficData[[#This Row],[pendingChallan]]&lt;=TrafficData[[#This Row],[totalChallan]])</f>
        <v>1</v>
      </c>
      <c r="O2063" t="b">
        <f>AND(TrafficData[[#This Row],[pendingAmount]]&lt;=TrafficData[[#This Row],[totalAmount]],TrafficData[[#This Row],[disposedAmount]]&lt;=TrafficData[[#This Row],[totalAmount]])</f>
        <v>1</v>
      </c>
      <c r="P2063" t="b">
        <f>AND(TrafficData[[#This Row],[pendingCourt]]&lt;=TrafficData[[#This Row],[totalCourt]],TrafficData[[#This Row],[disposedCourt]]&lt;=TrafficData[[#This Row],[totalCourt]])</f>
        <v>1</v>
      </c>
    </row>
    <row r="2064" spans="1:16">
      <c r="A2064" s="1">
        <v>44068</v>
      </c>
      <c r="B2064">
        <v>137954</v>
      </c>
      <c r="C2064">
        <v>65721</v>
      </c>
      <c r="D2064">
        <v>72233</v>
      </c>
      <c r="E2064">
        <v>77571619</v>
      </c>
      <c r="F2064">
        <v>68021100</v>
      </c>
      <c r="G2064">
        <v>145592719</v>
      </c>
      <c r="H2064">
        <v>35154</v>
      </c>
      <c r="I2064">
        <v>12140</v>
      </c>
      <c r="J2064">
        <v>47294</v>
      </c>
      <c r="K2064" t="b">
        <f>TrafficData[[#This Row],[disposedChallan]]+TrafficData[[#This Row],[pendingChallan]]=TrafficData[[#This Row],[totalChallan]]</f>
        <v>1</v>
      </c>
      <c r="L2064" t="b">
        <f>TrafficData[[#This Row],[pendingAmount]]+TrafficData[[#This Row],[disposedAmount]]=TrafficData[[#This Row],[totalAmount]]</f>
        <v>1</v>
      </c>
      <c r="M2064" t="b">
        <f>TrafficData[[#This Row],[pendingCourt]]+TrafficData[[#This Row],[disposedCourt]]=TrafficData[[#This Row],[totalCourt]]</f>
        <v>1</v>
      </c>
      <c r="N2064" t="b">
        <f>AND(TrafficData[[#This Row],[disposedChallan]]&lt;=TrafficData[[#This Row],[totalChallan]],TrafficData[[#This Row],[pendingChallan]]&lt;=TrafficData[[#This Row],[totalChallan]])</f>
        <v>1</v>
      </c>
      <c r="O2064" t="b">
        <f>AND(TrafficData[[#This Row],[pendingAmount]]&lt;=TrafficData[[#This Row],[totalAmount]],TrafficData[[#This Row],[disposedAmount]]&lt;=TrafficData[[#This Row],[totalAmount]])</f>
        <v>1</v>
      </c>
      <c r="P2064" t="b">
        <f>AND(TrafficData[[#This Row],[pendingCourt]]&lt;=TrafficData[[#This Row],[totalCourt]],TrafficData[[#This Row],[disposedCourt]]&lt;=TrafficData[[#This Row],[totalCourt]])</f>
        <v>1</v>
      </c>
    </row>
    <row r="2065" spans="1:16">
      <c r="A2065" s="1">
        <v>44069</v>
      </c>
      <c r="B2065">
        <v>123992</v>
      </c>
      <c r="C2065">
        <v>60720</v>
      </c>
      <c r="D2065">
        <v>63272</v>
      </c>
      <c r="E2065">
        <v>76005598</v>
      </c>
      <c r="F2065">
        <v>67954849</v>
      </c>
      <c r="G2065">
        <v>143960447</v>
      </c>
      <c r="H2065">
        <v>33805</v>
      </c>
      <c r="I2065">
        <v>8737</v>
      </c>
      <c r="J2065">
        <v>42542</v>
      </c>
      <c r="K2065" t="b">
        <f>TrafficData[[#This Row],[disposedChallan]]+TrafficData[[#This Row],[pendingChallan]]=TrafficData[[#This Row],[totalChallan]]</f>
        <v>1</v>
      </c>
      <c r="L2065" t="b">
        <f>TrafficData[[#This Row],[pendingAmount]]+TrafficData[[#This Row],[disposedAmount]]=TrafficData[[#This Row],[totalAmount]]</f>
        <v>1</v>
      </c>
      <c r="M2065" t="b">
        <f>TrafficData[[#This Row],[pendingCourt]]+TrafficData[[#This Row],[disposedCourt]]=TrafficData[[#This Row],[totalCourt]]</f>
        <v>1</v>
      </c>
      <c r="N2065" t="b">
        <f>AND(TrafficData[[#This Row],[disposedChallan]]&lt;=TrafficData[[#This Row],[totalChallan]],TrafficData[[#This Row],[pendingChallan]]&lt;=TrafficData[[#This Row],[totalChallan]])</f>
        <v>1</v>
      </c>
      <c r="O2065" t="b">
        <f>AND(TrafficData[[#This Row],[pendingAmount]]&lt;=TrafficData[[#This Row],[totalAmount]],TrafficData[[#This Row],[disposedAmount]]&lt;=TrafficData[[#This Row],[totalAmount]])</f>
        <v>1</v>
      </c>
      <c r="P2065" t="b">
        <f>AND(TrafficData[[#This Row],[pendingCourt]]&lt;=TrafficData[[#This Row],[totalCourt]],TrafficData[[#This Row],[disposedCourt]]&lt;=TrafficData[[#This Row],[totalCourt]])</f>
        <v>1</v>
      </c>
    </row>
    <row r="2066" spans="1:16">
      <c r="A2066" s="1">
        <v>44070</v>
      </c>
      <c r="B2066">
        <v>120736</v>
      </c>
      <c r="C2066">
        <v>60535</v>
      </c>
      <c r="D2066">
        <v>60201</v>
      </c>
      <c r="E2066">
        <v>74059892</v>
      </c>
      <c r="F2066">
        <v>65238657</v>
      </c>
      <c r="G2066">
        <v>139298549</v>
      </c>
      <c r="H2066">
        <v>32632</v>
      </c>
      <c r="I2066">
        <v>8825</v>
      </c>
      <c r="J2066">
        <v>41457</v>
      </c>
      <c r="K2066" t="b">
        <f>TrafficData[[#This Row],[disposedChallan]]+TrafficData[[#This Row],[pendingChallan]]=TrafficData[[#This Row],[totalChallan]]</f>
        <v>1</v>
      </c>
      <c r="L2066" t="b">
        <f>TrafficData[[#This Row],[pendingAmount]]+TrafficData[[#This Row],[disposedAmount]]=TrafficData[[#This Row],[totalAmount]]</f>
        <v>1</v>
      </c>
      <c r="M2066" t="b">
        <f>TrafficData[[#This Row],[pendingCourt]]+TrafficData[[#This Row],[disposedCourt]]=TrafficData[[#This Row],[totalCourt]]</f>
        <v>1</v>
      </c>
      <c r="N2066" t="b">
        <f>AND(TrafficData[[#This Row],[disposedChallan]]&lt;=TrafficData[[#This Row],[totalChallan]],TrafficData[[#This Row],[pendingChallan]]&lt;=TrafficData[[#This Row],[totalChallan]])</f>
        <v>1</v>
      </c>
      <c r="O2066" t="b">
        <f>AND(TrafficData[[#This Row],[pendingAmount]]&lt;=TrafficData[[#This Row],[totalAmount]],TrafficData[[#This Row],[disposedAmount]]&lt;=TrafficData[[#This Row],[totalAmount]])</f>
        <v>1</v>
      </c>
      <c r="P2066" t="b">
        <f>AND(TrafficData[[#This Row],[pendingCourt]]&lt;=TrafficData[[#This Row],[totalCourt]],TrafficData[[#This Row],[disposedCourt]]&lt;=TrafficData[[#This Row],[totalCourt]])</f>
        <v>1</v>
      </c>
    </row>
    <row r="2067" spans="1:16">
      <c r="A2067" s="1">
        <v>44071</v>
      </c>
      <c r="B2067">
        <v>116253</v>
      </c>
      <c r="C2067">
        <v>58999</v>
      </c>
      <c r="D2067">
        <v>57254</v>
      </c>
      <c r="E2067">
        <v>68668641</v>
      </c>
      <c r="F2067">
        <v>67558757</v>
      </c>
      <c r="G2067">
        <v>136227398</v>
      </c>
      <c r="H2067">
        <v>32023</v>
      </c>
      <c r="I2067">
        <v>11989</v>
      </c>
      <c r="J2067">
        <v>44012</v>
      </c>
      <c r="K2067" t="b">
        <f>TrafficData[[#This Row],[disposedChallan]]+TrafficData[[#This Row],[pendingChallan]]=TrafficData[[#This Row],[totalChallan]]</f>
        <v>1</v>
      </c>
      <c r="L2067" t="b">
        <f>TrafficData[[#This Row],[pendingAmount]]+TrafficData[[#This Row],[disposedAmount]]=TrafficData[[#This Row],[totalAmount]]</f>
        <v>1</v>
      </c>
      <c r="M2067" t="b">
        <f>TrafficData[[#This Row],[pendingCourt]]+TrafficData[[#This Row],[disposedCourt]]=TrafficData[[#This Row],[totalCourt]]</f>
        <v>1</v>
      </c>
      <c r="N2067" t="b">
        <f>AND(TrafficData[[#This Row],[disposedChallan]]&lt;=TrafficData[[#This Row],[totalChallan]],TrafficData[[#This Row],[pendingChallan]]&lt;=TrafficData[[#This Row],[totalChallan]])</f>
        <v>1</v>
      </c>
      <c r="O2067" t="b">
        <f>AND(TrafficData[[#This Row],[pendingAmount]]&lt;=TrafficData[[#This Row],[totalAmount]],TrafficData[[#This Row],[disposedAmount]]&lt;=TrafficData[[#This Row],[totalAmount]])</f>
        <v>1</v>
      </c>
      <c r="P2067" t="b">
        <f>AND(TrafficData[[#This Row],[pendingCourt]]&lt;=TrafficData[[#This Row],[totalCourt]],TrafficData[[#This Row],[disposedCourt]]&lt;=TrafficData[[#This Row],[totalCourt]])</f>
        <v>1</v>
      </c>
    </row>
    <row r="2068" spans="1:16">
      <c r="A2068" s="1">
        <v>44072</v>
      </c>
      <c r="B2068">
        <v>122622</v>
      </c>
      <c r="C2068">
        <v>60482</v>
      </c>
      <c r="D2068">
        <v>62140</v>
      </c>
      <c r="E2068">
        <v>70254542</v>
      </c>
      <c r="F2068">
        <v>68057947</v>
      </c>
      <c r="G2068">
        <v>138312489</v>
      </c>
      <c r="H2068">
        <v>31431</v>
      </c>
      <c r="I2068">
        <v>11170</v>
      </c>
      <c r="J2068">
        <v>42601</v>
      </c>
      <c r="K2068" t="b">
        <f>TrafficData[[#This Row],[disposedChallan]]+TrafficData[[#This Row],[pendingChallan]]=TrafficData[[#This Row],[totalChallan]]</f>
        <v>1</v>
      </c>
      <c r="L2068" t="b">
        <f>TrafficData[[#This Row],[pendingAmount]]+TrafficData[[#This Row],[disposedAmount]]=TrafficData[[#This Row],[totalAmount]]</f>
        <v>1</v>
      </c>
      <c r="M2068" t="b">
        <f>TrafficData[[#This Row],[pendingCourt]]+TrafficData[[#This Row],[disposedCourt]]=TrafficData[[#This Row],[totalCourt]]</f>
        <v>1</v>
      </c>
      <c r="N2068" t="b">
        <f>AND(TrafficData[[#This Row],[disposedChallan]]&lt;=TrafficData[[#This Row],[totalChallan]],TrafficData[[#This Row],[pendingChallan]]&lt;=TrafficData[[#This Row],[totalChallan]])</f>
        <v>1</v>
      </c>
      <c r="O2068" t="b">
        <f>AND(TrafficData[[#This Row],[pendingAmount]]&lt;=TrafficData[[#This Row],[totalAmount]],TrafficData[[#This Row],[disposedAmount]]&lt;=TrafficData[[#This Row],[totalAmount]])</f>
        <v>1</v>
      </c>
      <c r="P2068" t="b">
        <f>AND(TrafficData[[#This Row],[pendingCourt]]&lt;=TrafficData[[#This Row],[totalCourt]],TrafficData[[#This Row],[disposedCourt]]&lt;=TrafficData[[#This Row],[totalCourt]])</f>
        <v>1</v>
      </c>
    </row>
    <row r="2069" spans="1:16">
      <c r="A2069" s="1">
        <v>44073</v>
      </c>
      <c r="B2069">
        <v>96803</v>
      </c>
      <c r="C2069">
        <v>45012</v>
      </c>
      <c r="D2069">
        <v>51791</v>
      </c>
      <c r="E2069">
        <v>60933157</v>
      </c>
      <c r="F2069">
        <v>51985880</v>
      </c>
      <c r="G2069">
        <v>112919037</v>
      </c>
      <c r="H2069">
        <v>28150</v>
      </c>
      <c r="I2069">
        <v>9000</v>
      </c>
      <c r="J2069">
        <v>37150</v>
      </c>
      <c r="K2069" t="b">
        <f>TrafficData[[#This Row],[disposedChallan]]+TrafficData[[#This Row],[pendingChallan]]=TrafficData[[#This Row],[totalChallan]]</f>
        <v>1</v>
      </c>
      <c r="L2069" t="b">
        <f>TrafficData[[#This Row],[pendingAmount]]+TrafficData[[#This Row],[disposedAmount]]=TrafficData[[#This Row],[totalAmount]]</f>
        <v>1</v>
      </c>
      <c r="M2069" t="b">
        <f>TrafficData[[#This Row],[pendingCourt]]+TrafficData[[#This Row],[disposedCourt]]=TrafficData[[#This Row],[totalCourt]]</f>
        <v>1</v>
      </c>
      <c r="N2069" t="b">
        <f>AND(TrafficData[[#This Row],[disposedChallan]]&lt;=TrafficData[[#This Row],[totalChallan]],TrafficData[[#This Row],[pendingChallan]]&lt;=TrafficData[[#This Row],[totalChallan]])</f>
        <v>1</v>
      </c>
      <c r="O2069" t="b">
        <f>AND(TrafficData[[#This Row],[pendingAmount]]&lt;=TrafficData[[#This Row],[totalAmount]],TrafficData[[#This Row],[disposedAmount]]&lt;=TrafficData[[#This Row],[totalAmount]])</f>
        <v>1</v>
      </c>
      <c r="P2069" t="b">
        <f>AND(TrafficData[[#This Row],[pendingCourt]]&lt;=TrafficData[[#This Row],[totalCourt]],TrafficData[[#This Row],[disposedCourt]]&lt;=TrafficData[[#This Row],[totalCourt]])</f>
        <v>1</v>
      </c>
    </row>
    <row r="2070" spans="1:16">
      <c r="A2070" s="1">
        <v>44074</v>
      </c>
      <c r="B2070">
        <v>119512</v>
      </c>
      <c r="C2070">
        <v>58850</v>
      </c>
      <c r="D2070">
        <v>60662</v>
      </c>
      <c r="E2070">
        <v>69846381</v>
      </c>
      <c r="F2070">
        <v>55735653</v>
      </c>
      <c r="G2070">
        <v>125582034</v>
      </c>
      <c r="H2070">
        <v>32890</v>
      </c>
      <c r="I2070">
        <v>11757</v>
      </c>
      <c r="J2070">
        <v>44647</v>
      </c>
      <c r="K2070" t="b">
        <f>TrafficData[[#This Row],[disposedChallan]]+TrafficData[[#This Row],[pendingChallan]]=TrafficData[[#This Row],[totalChallan]]</f>
        <v>1</v>
      </c>
      <c r="L2070" t="b">
        <f>TrafficData[[#This Row],[pendingAmount]]+TrafficData[[#This Row],[disposedAmount]]=TrafficData[[#This Row],[totalAmount]]</f>
        <v>1</v>
      </c>
      <c r="M2070" t="b">
        <f>TrafficData[[#This Row],[pendingCourt]]+TrafficData[[#This Row],[disposedCourt]]=TrafficData[[#This Row],[totalCourt]]</f>
        <v>1</v>
      </c>
      <c r="N2070" t="b">
        <f>AND(TrafficData[[#This Row],[disposedChallan]]&lt;=TrafficData[[#This Row],[totalChallan]],TrafficData[[#This Row],[pendingChallan]]&lt;=TrafficData[[#This Row],[totalChallan]])</f>
        <v>1</v>
      </c>
      <c r="O2070" t="b">
        <f>AND(TrafficData[[#This Row],[pendingAmount]]&lt;=TrafficData[[#This Row],[totalAmount]],TrafficData[[#This Row],[disposedAmount]]&lt;=TrafficData[[#This Row],[totalAmount]])</f>
        <v>1</v>
      </c>
      <c r="P2070" t="b">
        <f>AND(TrafficData[[#This Row],[pendingCourt]]&lt;=TrafficData[[#This Row],[totalCourt]],TrafficData[[#This Row],[disposedCourt]]&lt;=TrafficData[[#This Row],[totalCourt]])</f>
        <v>1</v>
      </c>
    </row>
    <row r="2071" spans="1:16">
      <c r="A2071" s="1">
        <v>44075</v>
      </c>
      <c r="B2071">
        <v>116849</v>
      </c>
      <c r="C2071">
        <v>55998</v>
      </c>
      <c r="D2071">
        <v>60851</v>
      </c>
      <c r="E2071">
        <v>71633590</v>
      </c>
      <c r="F2071">
        <v>60223317</v>
      </c>
      <c r="G2071">
        <v>131856907</v>
      </c>
      <c r="H2071">
        <v>32167</v>
      </c>
      <c r="I2071">
        <v>10261</v>
      </c>
      <c r="J2071">
        <v>42428</v>
      </c>
      <c r="K2071" t="b">
        <f>TrafficData[[#This Row],[disposedChallan]]+TrafficData[[#This Row],[pendingChallan]]=TrafficData[[#This Row],[totalChallan]]</f>
        <v>1</v>
      </c>
      <c r="L2071" t="b">
        <f>TrafficData[[#This Row],[pendingAmount]]+TrafficData[[#This Row],[disposedAmount]]=TrafficData[[#This Row],[totalAmount]]</f>
        <v>1</v>
      </c>
      <c r="M2071" t="b">
        <f>TrafficData[[#This Row],[pendingCourt]]+TrafficData[[#This Row],[disposedCourt]]=TrafficData[[#This Row],[totalCourt]]</f>
        <v>1</v>
      </c>
      <c r="N2071" t="b">
        <f>AND(TrafficData[[#This Row],[disposedChallan]]&lt;=TrafficData[[#This Row],[totalChallan]],TrafficData[[#This Row],[pendingChallan]]&lt;=TrafficData[[#This Row],[totalChallan]])</f>
        <v>1</v>
      </c>
      <c r="O2071" t="b">
        <f>AND(TrafficData[[#This Row],[pendingAmount]]&lt;=TrafficData[[#This Row],[totalAmount]],TrafficData[[#This Row],[disposedAmount]]&lt;=TrafficData[[#This Row],[totalAmount]])</f>
        <v>1</v>
      </c>
      <c r="P2071" t="b">
        <f>AND(TrafficData[[#This Row],[pendingCourt]]&lt;=TrafficData[[#This Row],[totalCourt]],TrafficData[[#This Row],[disposedCourt]]&lt;=TrafficData[[#This Row],[totalCourt]])</f>
        <v>1</v>
      </c>
    </row>
    <row r="2072" spans="1:16">
      <c r="A2072" s="1">
        <v>44076</v>
      </c>
      <c r="B2072">
        <v>123607</v>
      </c>
      <c r="C2072">
        <v>59345</v>
      </c>
      <c r="D2072">
        <v>64262</v>
      </c>
      <c r="E2072">
        <v>76192013</v>
      </c>
      <c r="F2072">
        <v>64417901</v>
      </c>
      <c r="G2072">
        <v>140609914</v>
      </c>
      <c r="H2072">
        <v>34018</v>
      </c>
      <c r="I2072">
        <v>10489</v>
      </c>
      <c r="J2072">
        <v>44507</v>
      </c>
      <c r="K2072" t="b">
        <f>TrafficData[[#This Row],[disposedChallan]]+TrafficData[[#This Row],[pendingChallan]]=TrafficData[[#This Row],[totalChallan]]</f>
        <v>1</v>
      </c>
      <c r="L2072" t="b">
        <f>TrafficData[[#This Row],[pendingAmount]]+TrafficData[[#This Row],[disposedAmount]]=TrafficData[[#This Row],[totalAmount]]</f>
        <v>1</v>
      </c>
      <c r="M2072" t="b">
        <f>TrafficData[[#This Row],[pendingCourt]]+TrafficData[[#This Row],[disposedCourt]]=TrafficData[[#This Row],[totalCourt]]</f>
        <v>1</v>
      </c>
      <c r="N2072" t="b">
        <f>AND(TrafficData[[#This Row],[disposedChallan]]&lt;=TrafficData[[#This Row],[totalChallan]],TrafficData[[#This Row],[pendingChallan]]&lt;=TrafficData[[#This Row],[totalChallan]])</f>
        <v>1</v>
      </c>
      <c r="O2072" t="b">
        <f>AND(TrafficData[[#This Row],[pendingAmount]]&lt;=TrafficData[[#This Row],[totalAmount]],TrafficData[[#This Row],[disposedAmount]]&lt;=TrafficData[[#This Row],[totalAmount]])</f>
        <v>1</v>
      </c>
      <c r="P2072" t="b">
        <f>AND(TrafficData[[#This Row],[pendingCourt]]&lt;=TrafficData[[#This Row],[totalCourt]],TrafficData[[#This Row],[disposedCourt]]&lt;=TrafficData[[#This Row],[totalCourt]])</f>
        <v>1</v>
      </c>
    </row>
    <row r="2073" spans="1:16">
      <c r="A2073" s="1">
        <v>44077</v>
      </c>
      <c r="B2073">
        <v>128722</v>
      </c>
      <c r="C2073">
        <v>63037</v>
      </c>
      <c r="D2073">
        <v>65685</v>
      </c>
      <c r="E2073">
        <v>83302517</v>
      </c>
      <c r="F2073">
        <v>75155480</v>
      </c>
      <c r="G2073">
        <v>158457997</v>
      </c>
      <c r="H2073">
        <v>33225</v>
      </c>
      <c r="I2073">
        <v>8189</v>
      </c>
      <c r="J2073">
        <v>41414</v>
      </c>
      <c r="K2073" t="b">
        <f>TrafficData[[#This Row],[disposedChallan]]+TrafficData[[#This Row],[pendingChallan]]=TrafficData[[#This Row],[totalChallan]]</f>
        <v>1</v>
      </c>
      <c r="L2073" t="b">
        <f>TrafficData[[#This Row],[pendingAmount]]+TrafficData[[#This Row],[disposedAmount]]=TrafficData[[#This Row],[totalAmount]]</f>
        <v>1</v>
      </c>
      <c r="M2073" t="b">
        <f>TrafficData[[#This Row],[pendingCourt]]+TrafficData[[#This Row],[disposedCourt]]=TrafficData[[#This Row],[totalCourt]]</f>
        <v>1</v>
      </c>
      <c r="N2073" t="b">
        <f>AND(TrafficData[[#This Row],[disposedChallan]]&lt;=TrafficData[[#This Row],[totalChallan]],TrafficData[[#This Row],[pendingChallan]]&lt;=TrafficData[[#This Row],[totalChallan]])</f>
        <v>1</v>
      </c>
      <c r="O2073" t="b">
        <f>AND(TrafficData[[#This Row],[pendingAmount]]&lt;=TrafficData[[#This Row],[totalAmount]],TrafficData[[#This Row],[disposedAmount]]&lt;=TrafficData[[#This Row],[totalAmount]])</f>
        <v>1</v>
      </c>
      <c r="P2073" t="b">
        <f>AND(TrafficData[[#This Row],[pendingCourt]]&lt;=TrafficData[[#This Row],[totalCourt]],TrafficData[[#This Row],[disposedCourt]]&lt;=TrafficData[[#This Row],[totalCourt]])</f>
        <v>1</v>
      </c>
    </row>
    <row r="2074" spans="1:16">
      <c r="A2074" s="1">
        <v>44078</v>
      </c>
      <c r="B2074">
        <v>128813</v>
      </c>
      <c r="C2074">
        <v>63613</v>
      </c>
      <c r="D2074">
        <v>65200</v>
      </c>
      <c r="E2074">
        <v>81055184</v>
      </c>
      <c r="F2074">
        <v>74763515</v>
      </c>
      <c r="G2074">
        <v>155818699</v>
      </c>
      <c r="H2074">
        <v>34299</v>
      </c>
      <c r="I2074">
        <v>10686</v>
      </c>
      <c r="J2074">
        <v>44985</v>
      </c>
      <c r="K2074" t="b">
        <f>TrafficData[[#This Row],[disposedChallan]]+TrafficData[[#This Row],[pendingChallan]]=TrafficData[[#This Row],[totalChallan]]</f>
        <v>1</v>
      </c>
      <c r="L2074" t="b">
        <f>TrafficData[[#This Row],[pendingAmount]]+TrafficData[[#This Row],[disposedAmount]]=TrafficData[[#This Row],[totalAmount]]</f>
        <v>1</v>
      </c>
      <c r="M2074" t="b">
        <f>TrafficData[[#This Row],[pendingCourt]]+TrafficData[[#This Row],[disposedCourt]]=TrafficData[[#This Row],[totalCourt]]</f>
        <v>1</v>
      </c>
      <c r="N2074" t="b">
        <f>AND(TrafficData[[#This Row],[disposedChallan]]&lt;=TrafficData[[#This Row],[totalChallan]],TrafficData[[#This Row],[pendingChallan]]&lt;=TrafficData[[#This Row],[totalChallan]])</f>
        <v>1</v>
      </c>
      <c r="O2074" t="b">
        <f>AND(TrafficData[[#This Row],[pendingAmount]]&lt;=TrafficData[[#This Row],[totalAmount]],TrafficData[[#This Row],[disposedAmount]]&lt;=TrafficData[[#This Row],[totalAmount]])</f>
        <v>1</v>
      </c>
      <c r="P2074" t="b">
        <f>AND(TrafficData[[#This Row],[pendingCourt]]&lt;=TrafficData[[#This Row],[totalCourt]],TrafficData[[#This Row],[disposedCourt]]&lt;=TrafficData[[#This Row],[totalCourt]])</f>
        <v>1</v>
      </c>
    </row>
    <row r="2075" spans="1:16">
      <c r="A2075" s="1">
        <v>44079</v>
      </c>
      <c r="B2075">
        <v>121314</v>
      </c>
      <c r="C2075">
        <v>60145</v>
      </c>
      <c r="D2075">
        <v>61169</v>
      </c>
      <c r="E2075">
        <v>70616480</v>
      </c>
      <c r="F2075">
        <v>67451981</v>
      </c>
      <c r="G2075">
        <v>138068461</v>
      </c>
      <c r="H2075">
        <v>15923</v>
      </c>
      <c r="I2075">
        <v>6855</v>
      </c>
      <c r="J2075">
        <v>22778</v>
      </c>
      <c r="K2075" t="b">
        <f>TrafficData[[#This Row],[disposedChallan]]+TrafficData[[#This Row],[pendingChallan]]=TrafficData[[#This Row],[totalChallan]]</f>
        <v>1</v>
      </c>
      <c r="L2075" t="b">
        <f>TrafficData[[#This Row],[pendingAmount]]+TrafficData[[#This Row],[disposedAmount]]=TrafficData[[#This Row],[totalAmount]]</f>
        <v>1</v>
      </c>
      <c r="M2075" t="b">
        <f>TrafficData[[#This Row],[pendingCourt]]+TrafficData[[#This Row],[disposedCourt]]=TrafficData[[#This Row],[totalCourt]]</f>
        <v>1</v>
      </c>
      <c r="N2075" t="b">
        <f>AND(TrafficData[[#This Row],[disposedChallan]]&lt;=TrafficData[[#This Row],[totalChallan]],TrafficData[[#This Row],[pendingChallan]]&lt;=TrafficData[[#This Row],[totalChallan]])</f>
        <v>1</v>
      </c>
      <c r="O2075" t="b">
        <f>AND(TrafficData[[#This Row],[pendingAmount]]&lt;=TrafficData[[#This Row],[totalAmount]],TrafficData[[#This Row],[disposedAmount]]&lt;=TrafficData[[#This Row],[totalAmount]])</f>
        <v>1</v>
      </c>
      <c r="P2075" t="b">
        <f>AND(TrafficData[[#This Row],[pendingCourt]]&lt;=TrafficData[[#This Row],[totalCourt]],TrafficData[[#This Row],[disposedCourt]]&lt;=TrafficData[[#This Row],[totalCourt]])</f>
        <v>1</v>
      </c>
    </row>
    <row r="2076" spans="1:16">
      <c r="A2076" s="1">
        <v>44080</v>
      </c>
      <c r="B2076">
        <v>113927</v>
      </c>
      <c r="C2076">
        <v>52328</v>
      </c>
      <c r="D2076">
        <v>61599</v>
      </c>
      <c r="E2076">
        <v>69694612</v>
      </c>
      <c r="F2076">
        <v>86039798</v>
      </c>
      <c r="G2076">
        <v>155734410</v>
      </c>
      <c r="H2076">
        <v>28963</v>
      </c>
      <c r="I2076">
        <v>8177</v>
      </c>
      <c r="J2076">
        <v>37140</v>
      </c>
      <c r="K2076" t="b">
        <f>TrafficData[[#This Row],[disposedChallan]]+TrafficData[[#This Row],[pendingChallan]]=TrafficData[[#This Row],[totalChallan]]</f>
        <v>1</v>
      </c>
      <c r="L2076" t="b">
        <f>TrafficData[[#This Row],[pendingAmount]]+TrafficData[[#This Row],[disposedAmount]]=TrafficData[[#This Row],[totalAmount]]</f>
        <v>1</v>
      </c>
      <c r="M2076" t="b">
        <f>TrafficData[[#This Row],[pendingCourt]]+TrafficData[[#This Row],[disposedCourt]]=TrafficData[[#This Row],[totalCourt]]</f>
        <v>1</v>
      </c>
      <c r="N2076" t="b">
        <f>AND(TrafficData[[#This Row],[disposedChallan]]&lt;=TrafficData[[#This Row],[totalChallan]],TrafficData[[#This Row],[pendingChallan]]&lt;=TrafficData[[#This Row],[totalChallan]])</f>
        <v>1</v>
      </c>
      <c r="O2076" t="b">
        <f>AND(TrafficData[[#This Row],[pendingAmount]]&lt;=TrafficData[[#This Row],[totalAmount]],TrafficData[[#This Row],[disposedAmount]]&lt;=TrafficData[[#This Row],[totalAmount]])</f>
        <v>1</v>
      </c>
      <c r="P2076" t="b">
        <f>AND(TrafficData[[#This Row],[pendingCourt]]&lt;=TrafficData[[#This Row],[totalCourt]],TrafficData[[#This Row],[disposedCourt]]&lt;=TrafficData[[#This Row],[totalCourt]])</f>
        <v>1</v>
      </c>
    </row>
    <row r="2077" spans="1:16">
      <c r="A2077" s="1">
        <v>44081</v>
      </c>
      <c r="B2077">
        <v>123691</v>
      </c>
      <c r="C2077">
        <v>60131</v>
      </c>
      <c r="D2077">
        <v>63560</v>
      </c>
      <c r="E2077">
        <v>77079748</v>
      </c>
      <c r="F2077">
        <v>77175984</v>
      </c>
      <c r="G2077">
        <v>154255732</v>
      </c>
      <c r="H2077">
        <v>31934</v>
      </c>
      <c r="I2077">
        <v>10400</v>
      </c>
      <c r="J2077">
        <v>42334</v>
      </c>
      <c r="K2077" t="b">
        <f>TrafficData[[#This Row],[disposedChallan]]+TrafficData[[#This Row],[pendingChallan]]=TrafficData[[#This Row],[totalChallan]]</f>
        <v>1</v>
      </c>
      <c r="L2077" t="b">
        <f>TrafficData[[#This Row],[pendingAmount]]+TrafficData[[#This Row],[disposedAmount]]=TrafficData[[#This Row],[totalAmount]]</f>
        <v>1</v>
      </c>
      <c r="M2077" t="b">
        <f>TrafficData[[#This Row],[pendingCourt]]+TrafficData[[#This Row],[disposedCourt]]=TrafficData[[#This Row],[totalCourt]]</f>
        <v>1</v>
      </c>
      <c r="N2077" t="b">
        <f>AND(TrafficData[[#This Row],[disposedChallan]]&lt;=TrafficData[[#This Row],[totalChallan]],TrafficData[[#This Row],[pendingChallan]]&lt;=TrafficData[[#This Row],[totalChallan]])</f>
        <v>1</v>
      </c>
      <c r="O2077" t="b">
        <f>AND(TrafficData[[#This Row],[pendingAmount]]&lt;=TrafficData[[#This Row],[totalAmount]],TrafficData[[#This Row],[disposedAmount]]&lt;=TrafficData[[#This Row],[totalAmount]])</f>
        <v>1</v>
      </c>
      <c r="P2077" t="b">
        <f>AND(TrafficData[[#This Row],[pendingCourt]]&lt;=TrafficData[[#This Row],[totalCourt]],TrafficData[[#This Row],[disposedCourt]]&lt;=TrafficData[[#This Row],[totalCourt]])</f>
        <v>1</v>
      </c>
    </row>
    <row r="2078" spans="1:16">
      <c r="A2078" s="1">
        <v>44082</v>
      </c>
      <c r="B2078">
        <v>129651</v>
      </c>
      <c r="C2078">
        <v>63130</v>
      </c>
      <c r="D2078">
        <v>66521</v>
      </c>
      <c r="E2078">
        <v>84934247</v>
      </c>
      <c r="F2078">
        <v>77157410</v>
      </c>
      <c r="G2078">
        <v>162091657</v>
      </c>
      <c r="H2078">
        <v>35489</v>
      </c>
      <c r="I2078">
        <v>8091</v>
      </c>
      <c r="J2078">
        <v>43580</v>
      </c>
      <c r="K2078" t="b">
        <f>TrafficData[[#This Row],[disposedChallan]]+TrafficData[[#This Row],[pendingChallan]]=TrafficData[[#This Row],[totalChallan]]</f>
        <v>1</v>
      </c>
      <c r="L2078" t="b">
        <f>TrafficData[[#This Row],[pendingAmount]]+TrafficData[[#This Row],[disposedAmount]]=TrafficData[[#This Row],[totalAmount]]</f>
        <v>1</v>
      </c>
      <c r="M2078" t="b">
        <f>TrafficData[[#This Row],[pendingCourt]]+TrafficData[[#This Row],[disposedCourt]]=TrafficData[[#This Row],[totalCourt]]</f>
        <v>1</v>
      </c>
      <c r="N2078" t="b">
        <f>AND(TrafficData[[#This Row],[disposedChallan]]&lt;=TrafficData[[#This Row],[totalChallan]],TrafficData[[#This Row],[pendingChallan]]&lt;=TrafficData[[#This Row],[totalChallan]])</f>
        <v>1</v>
      </c>
      <c r="O2078" t="b">
        <f>AND(TrafficData[[#This Row],[pendingAmount]]&lt;=TrafficData[[#This Row],[totalAmount]],TrafficData[[#This Row],[disposedAmount]]&lt;=TrafficData[[#This Row],[totalAmount]])</f>
        <v>1</v>
      </c>
      <c r="P2078" t="b">
        <f>AND(TrafficData[[#This Row],[pendingCourt]]&lt;=TrafficData[[#This Row],[totalCourt]],TrafficData[[#This Row],[disposedCourt]]&lt;=TrafficData[[#This Row],[totalCourt]])</f>
        <v>1</v>
      </c>
    </row>
    <row r="2079" spans="1:16">
      <c r="A2079" s="1">
        <v>44083</v>
      </c>
      <c r="B2079">
        <v>118826</v>
      </c>
      <c r="C2079">
        <v>58168</v>
      </c>
      <c r="D2079">
        <v>60658</v>
      </c>
      <c r="E2079">
        <v>79792698</v>
      </c>
      <c r="F2079">
        <v>71743841</v>
      </c>
      <c r="G2079">
        <v>151536539</v>
      </c>
      <c r="H2079">
        <v>33527</v>
      </c>
      <c r="I2079">
        <v>7488</v>
      </c>
      <c r="J2079">
        <v>41015</v>
      </c>
      <c r="K2079" t="b">
        <f>TrafficData[[#This Row],[disposedChallan]]+TrafficData[[#This Row],[pendingChallan]]=TrafficData[[#This Row],[totalChallan]]</f>
        <v>1</v>
      </c>
      <c r="L2079" t="b">
        <f>TrafficData[[#This Row],[pendingAmount]]+TrafficData[[#This Row],[disposedAmount]]=TrafficData[[#This Row],[totalAmount]]</f>
        <v>1</v>
      </c>
      <c r="M2079" t="b">
        <f>TrafficData[[#This Row],[pendingCourt]]+TrafficData[[#This Row],[disposedCourt]]=TrafficData[[#This Row],[totalCourt]]</f>
        <v>1</v>
      </c>
      <c r="N2079" t="b">
        <f>AND(TrafficData[[#This Row],[disposedChallan]]&lt;=TrafficData[[#This Row],[totalChallan]],TrafficData[[#This Row],[pendingChallan]]&lt;=TrafficData[[#This Row],[totalChallan]])</f>
        <v>1</v>
      </c>
      <c r="O2079" t="b">
        <f>AND(TrafficData[[#This Row],[pendingAmount]]&lt;=TrafficData[[#This Row],[totalAmount]],TrafficData[[#This Row],[disposedAmount]]&lt;=TrafficData[[#This Row],[totalAmount]])</f>
        <v>1</v>
      </c>
      <c r="P2079" t="b">
        <f>AND(TrafficData[[#This Row],[pendingCourt]]&lt;=TrafficData[[#This Row],[totalCourt]],TrafficData[[#This Row],[disposedCourt]]&lt;=TrafficData[[#This Row],[totalCourt]])</f>
        <v>1</v>
      </c>
    </row>
    <row r="2080" spans="1:16">
      <c r="A2080" s="1">
        <v>44084</v>
      </c>
      <c r="B2080">
        <v>126883</v>
      </c>
      <c r="C2080">
        <v>61367</v>
      </c>
      <c r="D2080">
        <v>65516</v>
      </c>
      <c r="E2080">
        <v>77233807</v>
      </c>
      <c r="F2080">
        <v>70878451</v>
      </c>
      <c r="G2080">
        <v>148112258</v>
      </c>
      <c r="H2080">
        <v>34326</v>
      </c>
      <c r="I2080">
        <v>10781</v>
      </c>
      <c r="J2080">
        <v>45107</v>
      </c>
      <c r="K2080" t="b">
        <f>TrafficData[[#This Row],[disposedChallan]]+TrafficData[[#This Row],[pendingChallan]]=TrafficData[[#This Row],[totalChallan]]</f>
        <v>1</v>
      </c>
      <c r="L2080" t="b">
        <f>TrafficData[[#This Row],[pendingAmount]]+TrafficData[[#This Row],[disposedAmount]]=TrafficData[[#This Row],[totalAmount]]</f>
        <v>1</v>
      </c>
      <c r="M2080" t="b">
        <f>TrafficData[[#This Row],[pendingCourt]]+TrafficData[[#This Row],[disposedCourt]]=TrafficData[[#This Row],[totalCourt]]</f>
        <v>1</v>
      </c>
      <c r="N2080" t="b">
        <f>AND(TrafficData[[#This Row],[disposedChallan]]&lt;=TrafficData[[#This Row],[totalChallan]],TrafficData[[#This Row],[pendingChallan]]&lt;=TrafficData[[#This Row],[totalChallan]])</f>
        <v>1</v>
      </c>
      <c r="O2080" t="b">
        <f>AND(TrafficData[[#This Row],[pendingAmount]]&lt;=TrafficData[[#This Row],[totalAmount]],TrafficData[[#This Row],[disposedAmount]]&lt;=TrafficData[[#This Row],[totalAmount]])</f>
        <v>1</v>
      </c>
      <c r="P2080" t="b">
        <f>AND(TrafficData[[#This Row],[pendingCourt]]&lt;=TrafficData[[#This Row],[totalCourt]],TrafficData[[#This Row],[disposedCourt]]&lt;=TrafficData[[#This Row],[totalCourt]])</f>
        <v>1</v>
      </c>
    </row>
    <row r="2081" spans="1:16">
      <c r="A2081" s="1">
        <v>44085</v>
      </c>
      <c r="B2081">
        <v>120101</v>
      </c>
      <c r="C2081">
        <v>57820</v>
      </c>
      <c r="D2081">
        <v>62281</v>
      </c>
      <c r="E2081">
        <v>75952422</v>
      </c>
      <c r="F2081">
        <v>69243813</v>
      </c>
      <c r="G2081">
        <v>145196235</v>
      </c>
      <c r="H2081">
        <v>32270</v>
      </c>
      <c r="I2081">
        <v>10115</v>
      </c>
      <c r="J2081">
        <v>42385</v>
      </c>
      <c r="K2081" t="b">
        <f>TrafficData[[#This Row],[disposedChallan]]+TrafficData[[#This Row],[pendingChallan]]=TrafficData[[#This Row],[totalChallan]]</f>
        <v>1</v>
      </c>
      <c r="L2081" t="b">
        <f>TrafficData[[#This Row],[pendingAmount]]+TrafficData[[#This Row],[disposedAmount]]=TrafficData[[#This Row],[totalAmount]]</f>
        <v>1</v>
      </c>
      <c r="M2081" t="b">
        <f>TrafficData[[#This Row],[pendingCourt]]+TrafficData[[#This Row],[disposedCourt]]=TrafficData[[#This Row],[totalCourt]]</f>
        <v>1</v>
      </c>
      <c r="N2081" t="b">
        <f>AND(TrafficData[[#This Row],[disposedChallan]]&lt;=TrafficData[[#This Row],[totalChallan]],TrafficData[[#This Row],[pendingChallan]]&lt;=TrafficData[[#This Row],[totalChallan]])</f>
        <v>1</v>
      </c>
      <c r="O2081" t="b">
        <f>AND(TrafficData[[#This Row],[pendingAmount]]&lt;=TrafficData[[#This Row],[totalAmount]],TrafficData[[#This Row],[disposedAmount]]&lt;=TrafficData[[#This Row],[totalAmount]])</f>
        <v>1</v>
      </c>
      <c r="P2081" t="b">
        <f>AND(TrafficData[[#This Row],[pendingCourt]]&lt;=TrafficData[[#This Row],[totalCourt]],TrafficData[[#This Row],[disposedCourt]]&lt;=TrafficData[[#This Row],[totalCourt]])</f>
        <v>1</v>
      </c>
    </row>
    <row r="2082" spans="1:16">
      <c r="A2082" s="1">
        <v>44086</v>
      </c>
      <c r="B2082">
        <v>131838</v>
      </c>
      <c r="C2082">
        <v>62239</v>
      </c>
      <c r="D2082">
        <v>69599</v>
      </c>
      <c r="E2082">
        <v>77167743</v>
      </c>
      <c r="F2082">
        <v>61210583</v>
      </c>
      <c r="G2082">
        <v>138378326</v>
      </c>
      <c r="H2082">
        <v>35951</v>
      </c>
      <c r="I2082">
        <v>10825</v>
      </c>
      <c r="J2082">
        <v>46776</v>
      </c>
      <c r="K2082" t="b">
        <f>TrafficData[[#This Row],[disposedChallan]]+TrafficData[[#This Row],[pendingChallan]]=TrafficData[[#This Row],[totalChallan]]</f>
        <v>1</v>
      </c>
      <c r="L2082" t="b">
        <f>TrafficData[[#This Row],[pendingAmount]]+TrafficData[[#This Row],[disposedAmount]]=TrafficData[[#This Row],[totalAmount]]</f>
        <v>1</v>
      </c>
      <c r="M2082" t="b">
        <f>TrafficData[[#This Row],[pendingCourt]]+TrafficData[[#This Row],[disposedCourt]]=TrafficData[[#This Row],[totalCourt]]</f>
        <v>1</v>
      </c>
      <c r="N2082" t="b">
        <f>AND(TrafficData[[#This Row],[disposedChallan]]&lt;=TrafficData[[#This Row],[totalChallan]],TrafficData[[#This Row],[pendingChallan]]&lt;=TrafficData[[#This Row],[totalChallan]])</f>
        <v>1</v>
      </c>
      <c r="O2082" t="b">
        <f>AND(TrafficData[[#This Row],[pendingAmount]]&lt;=TrafficData[[#This Row],[totalAmount]],TrafficData[[#This Row],[disposedAmount]]&lt;=TrafficData[[#This Row],[totalAmount]])</f>
        <v>1</v>
      </c>
      <c r="P2082" t="b">
        <f>AND(TrafficData[[#This Row],[pendingCourt]]&lt;=TrafficData[[#This Row],[totalCourt]],TrafficData[[#This Row],[disposedCourt]]&lt;=TrafficData[[#This Row],[totalCourt]])</f>
        <v>1</v>
      </c>
    </row>
    <row r="2083" spans="1:16">
      <c r="A2083" s="1">
        <v>44087</v>
      </c>
      <c r="B2083">
        <v>112333</v>
      </c>
      <c r="C2083">
        <v>50039</v>
      </c>
      <c r="D2083">
        <v>62294</v>
      </c>
      <c r="E2083">
        <v>70599413</v>
      </c>
      <c r="F2083">
        <v>49762589</v>
      </c>
      <c r="G2083">
        <v>120362002</v>
      </c>
      <c r="H2083">
        <v>31415</v>
      </c>
      <c r="I2083">
        <v>8668</v>
      </c>
      <c r="J2083">
        <v>40083</v>
      </c>
      <c r="K2083" t="b">
        <f>TrafficData[[#This Row],[disposedChallan]]+TrafficData[[#This Row],[pendingChallan]]=TrafficData[[#This Row],[totalChallan]]</f>
        <v>1</v>
      </c>
      <c r="L2083" t="b">
        <f>TrafficData[[#This Row],[pendingAmount]]+TrafficData[[#This Row],[disposedAmount]]=TrafficData[[#This Row],[totalAmount]]</f>
        <v>1</v>
      </c>
      <c r="M2083" t="b">
        <f>TrafficData[[#This Row],[pendingCourt]]+TrafficData[[#This Row],[disposedCourt]]=TrafficData[[#This Row],[totalCourt]]</f>
        <v>1</v>
      </c>
      <c r="N2083" t="b">
        <f>AND(TrafficData[[#This Row],[disposedChallan]]&lt;=TrafficData[[#This Row],[totalChallan]],TrafficData[[#This Row],[pendingChallan]]&lt;=TrafficData[[#This Row],[totalChallan]])</f>
        <v>1</v>
      </c>
      <c r="O2083" t="b">
        <f>AND(TrafficData[[#This Row],[pendingAmount]]&lt;=TrafficData[[#This Row],[totalAmount]],TrafficData[[#This Row],[disposedAmount]]&lt;=TrafficData[[#This Row],[totalAmount]])</f>
        <v>1</v>
      </c>
      <c r="P2083" t="b">
        <f>AND(TrafficData[[#This Row],[pendingCourt]]&lt;=TrafficData[[#This Row],[totalCourt]],TrafficData[[#This Row],[disposedCourt]]&lt;=TrafficData[[#This Row],[totalCourt]])</f>
        <v>1</v>
      </c>
    </row>
    <row r="2084" spans="1:16">
      <c r="A2084" s="1">
        <v>44088</v>
      </c>
      <c r="B2084">
        <v>135908</v>
      </c>
      <c r="C2084">
        <v>63778</v>
      </c>
      <c r="D2084">
        <v>72130</v>
      </c>
      <c r="E2084">
        <v>78598302</v>
      </c>
      <c r="F2084">
        <v>61975184</v>
      </c>
      <c r="G2084">
        <v>140573486</v>
      </c>
      <c r="H2084">
        <v>19905</v>
      </c>
      <c r="I2084">
        <v>8778</v>
      </c>
      <c r="J2084">
        <v>28683</v>
      </c>
      <c r="K2084" t="b">
        <f>TrafficData[[#This Row],[disposedChallan]]+TrafficData[[#This Row],[pendingChallan]]=TrafficData[[#This Row],[totalChallan]]</f>
        <v>1</v>
      </c>
      <c r="L2084" t="b">
        <f>TrafficData[[#This Row],[pendingAmount]]+TrafficData[[#This Row],[disposedAmount]]=TrafficData[[#This Row],[totalAmount]]</f>
        <v>1</v>
      </c>
      <c r="M2084" t="b">
        <f>TrafficData[[#This Row],[pendingCourt]]+TrafficData[[#This Row],[disposedCourt]]=TrafficData[[#This Row],[totalCourt]]</f>
        <v>1</v>
      </c>
      <c r="N2084" t="b">
        <f>AND(TrafficData[[#This Row],[disposedChallan]]&lt;=TrafficData[[#This Row],[totalChallan]],TrafficData[[#This Row],[pendingChallan]]&lt;=TrafficData[[#This Row],[totalChallan]])</f>
        <v>1</v>
      </c>
      <c r="O2084" t="b">
        <f>AND(TrafficData[[#This Row],[pendingAmount]]&lt;=TrafficData[[#This Row],[totalAmount]],TrafficData[[#This Row],[disposedAmount]]&lt;=TrafficData[[#This Row],[totalAmount]])</f>
        <v>1</v>
      </c>
      <c r="P2084" t="b">
        <f>AND(TrafficData[[#This Row],[pendingCourt]]&lt;=TrafficData[[#This Row],[totalCourt]],TrafficData[[#This Row],[disposedCourt]]&lt;=TrafficData[[#This Row],[totalCourt]])</f>
        <v>1</v>
      </c>
    </row>
    <row r="2085" spans="1:16">
      <c r="A2085" s="1">
        <v>44089</v>
      </c>
      <c r="B2085">
        <v>131119</v>
      </c>
      <c r="C2085">
        <v>62327</v>
      </c>
      <c r="D2085">
        <v>68792</v>
      </c>
      <c r="E2085">
        <v>75117006</v>
      </c>
      <c r="F2085">
        <v>68882003</v>
      </c>
      <c r="G2085">
        <v>143999009</v>
      </c>
      <c r="H2085">
        <v>32297</v>
      </c>
      <c r="I2085">
        <v>10390</v>
      </c>
      <c r="J2085">
        <v>42687</v>
      </c>
      <c r="K2085" t="b">
        <f>TrafficData[[#This Row],[disposedChallan]]+TrafficData[[#This Row],[pendingChallan]]=TrafficData[[#This Row],[totalChallan]]</f>
        <v>1</v>
      </c>
      <c r="L2085" t="b">
        <f>TrafficData[[#This Row],[pendingAmount]]+TrafficData[[#This Row],[disposedAmount]]=TrafficData[[#This Row],[totalAmount]]</f>
        <v>1</v>
      </c>
      <c r="M2085" t="b">
        <f>TrafficData[[#This Row],[pendingCourt]]+TrafficData[[#This Row],[disposedCourt]]=TrafficData[[#This Row],[totalCourt]]</f>
        <v>1</v>
      </c>
      <c r="N2085" t="b">
        <f>AND(TrafficData[[#This Row],[disposedChallan]]&lt;=TrafficData[[#This Row],[totalChallan]],TrafficData[[#This Row],[pendingChallan]]&lt;=TrafficData[[#This Row],[totalChallan]])</f>
        <v>1</v>
      </c>
      <c r="O2085" t="b">
        <f>AND(TrafficData[[#This Row],[pendingAmount]]&lt;=TrafficData[[#This Row],[totalAmount]],TrafficData[[#This Row],[disposedAmount]]&lt;=TrafficData[[#This Row],[totalAmount]])</f>
        <v>1</v>
      </c>
      <c r="P2085" t="b">
        <f>AND(TrafficData[[#This Row],[pendingCourt]]&lt;=TrafficData[[#This Row],[totalCourt]],TrafficData[[#This Row],[disposedCourt]]&lt;=TrafficData[[#This Row],[totalCourt]])</f>
        <v>1</v>
      </c>
    </row>
    <row r="2086" spans="1:16">
      <c r="A2086" s="1">
        <v>44090</v>
      </c>
      <c r="B2086">
        <v>131238</v>
      </c>
      <c r="C2086">
        <v>63142</v>
      </c>
      <c r="D2086">
        <v>68096</v>
      </c>
      <c r="E2086">
        <v>79201345</v>
      </c>
      <c r="F2086">
        <v>70889418</v>
      </c>
      <c r="G2086">
        <v>150090763</v>
      </c>
      <c r="H2086">
        <v>34465</v>
      </c>
      <c r="I2086">
        <v>8852</v>
      </c>
      <c r="J2086">
        <v>43317</v>
      </c>
      <c r="K2086" t="b">
        <f>TrafficData[[#This Row],[disposedChallan]]+TrafficData[[#This Row],[pendingChallan]]=TrafficData[[#This Row],[totalChallan]]</f>
        <v>1</v>
      </c>
      <c r="L2086" t="b">
        <f>TrafficData[[#This Row],[pendingAmount]]+TrafficData[[#This Row],[disposedAmount]]=TrafficData[[#This Row],[totalAmount]]</f>
        <v>1</v>
      </c>
      <c r="M2086" t="b">
        <f>TrafficData[[#This Row],[pendingCourt]]+TrafficData[[#This Row],[disposedCourt]]=TrafficData[[#This Row],[totalCourt]]</f>
        <v>1</v>
      </c>
      <c r="N2086" t="b">
        <f>AND(TrafficData[[#This Row],[disposedChallan]]&lt;=TrafficData[[#This Row],[totalChallan]],TrafficData[[#This Row],[pendingChallan]]&lt;=TrafficData[[#This Row],[totalChallan]])</f>
        <v>1</v>
      </c>
      <c r="O2086" t="b">
        <f>AND(TrafficData[[#This Row],[pendingAmount]]&lt;=TrafficData[[#This Row],[totalAmount]],TrafficData[[#This Row],[disposedAmount]]&lt;=TrafficData[[#This Row],[totalAmount]])</f>
        <v>1</v>
      </c>
      <c r="P2086" t="b">
        <f>AND(TrafficData[[#This Row],[pendingCourt]]&lt;=TrafficData[[#This Row],[totalCourt]],TrafficData[[#This Row],[disposedCourt]]&lt;=TrafficData[[#This Row],[totalCourt]])</f>
        <v>1</v>
      </c>
    </row>
    <row r="2087" spans="1:16">
      <c r="A2087" s="1">
        <v>44091</v>
      </c>
      <c r="B2087">
        <v>127894</v>
      </c>
      <c r="C2087">
        <v>61467</v>
      </c>
      <c r="D2087">
        <v>66427</v>
      </c>
      <c r="E2087">
        <v>75383107</v>
      </c>
      <c r="F2087">
        <v>69743543</v>
      </c>
      <c r="G2087">
        <v>145126650</v>
      </c>
      <c r="H2087">
        <v>32690</v>
      </c>
      <c r="I2087">
        <v>11112</v>
      </c>
      <c r="J2087">
        <v>43802</v>
      </c>
      <c r="K2087" t="b">
        <f>TrafficData[[#This Row],[disposedChallan]]+TrafficData[[#This Row],[pendingChallan]]=TrafficData[[#This Row],[totalChallan]]</f>
        <v>1</v>
      </c>
      <c r="L2087" t="b">
        <f>TrafficData[[#This Row],[pendingAmount]]+TrafficData[[#This Row],[disposedAmount]]=TrafficData[[#This Row],[totalAmount]]</f>
        <v>1</v>
      </c>
      <c r="M2087" t="b">
        <f>TrafficData[[#This Row],[pendingCourt]]+TrafficData[[#This Row],[disposedCourt]]=TrafficData[[#This Row],[totalCourt]]</f>
        <v>1</v>
      </c>
      <c r="N2087" t="b">
        <f>AND(TrafficData[[#This Row],[disposedChallan]]&lt;=TrafficData[[#This Row],[totalChallan]],TrafficData[[#This Row],[pendingChallan]]&lt;=TrafficData[[#This Row],[totalChallan]])</f>
        <v>1</v>
      </c>
      <c r="O2087" t="b">
        <f>AND(TrafficData[[#This Row],[pendingAmount]]&lt;=TrafficData[[#This Row],[totalAmount]],TrafficData[[#This Row],[disposedAmount]]&lt;=TrafficData[[#This Row],[totalAmount]])</f>
        <v>1</v>
      </c>
      <c r="P2087" t="b">
        <f>AND(TrafficData[[#This Row],[pendingCourt]]&lt;=TrafficData[[#This Row],[totalCourt]],TrafficData[[#This Row],[disposedCourt]]&lt;=TrafficData[[#This Row],[totalCourt]])</f>
        <v>1</v>
      </c>
    </row>
    <row r="2088" spans="1:16">
      <c r="A2088" s="1">
        <v>44092</v>
      </c>
      <c r="B2088">
        <v>141600</v>
      </c>
      <c r="C2088">
        <v>67859</v>
      </c>
      <c r="D2088">
        <v>73741</v>
      </c>
      <c r="E2088">
        <v>80962779</v>
      </c>
      <c r="F2088">
        <v>67466077</v>
      </c>
      <c r="G2088">
        <v>148428856</v>
      </c>
      <c r="H2088">
        <v>35920</v>
      </c>
      <c r="I2088">
        <v>12439</v>
      </c>
      <c r="J2088">
        <v>48359</v>
      </c>
      <c r="K2088" t="b">
        <f>TrafficData[[#This Row],[disposedChallan]]+TrafficData[[#This Row],[pendingChallan]]=TrafficData[[#This Row],[totalChallan]]</f>
        <v>1</v>
      </c>
      <c r="L2088" t="b">
        <f>TrafficData[[#This Row],[pendingAmount]]+TrafficData[[#This Row],[disposedAmount]]=TrafficData[[#This Row],[totalAmount]]</f>
        <v>1</v>
      </c>
      <c r="M2088" t="b">
        <f>TrafficData[[#This Row],[pendingCourt]]+TrafficData[[#This Row],[disposedCourt]]=TrafficData[[#This Row],[totalCourt]]</f>
        <v>1</v>
      </c>
      <c r="N2088" t="b">
        <f>AND(TrafficData[[#This Row],[disposedChallan]]&lt;=TrafficData[[#This Row],[totalChallan]],TrafficData[[#This Row],[pendingChallan]]&lt;=TrafficData[[#This Row],[totalChallan]])</f>
        <v>1</v>
      </c>
      <c r="O2088" t="b">
        <f>AND(TrafficData[[#This Row],[pendingAmount]]&lt;=TrafficData[[#This Row],[totalAmount]],TrafficData[[#This Row],[disposedAmount]]&lt;=TrafficData[[#This Row],[totalAmount]])</f>
        <v>1</v>
      </c>
      <c r="P2088" t="b">
        <f>AND(TrafficData[[#This Row],[pendingCourt]]&lt;=TrafficData[[#This Row],[totalCourt]],TrafficData[[#This Row],[disposedCourt]]&lt;=TrafficData[[#This Row],[totalCourt]])</f>
        <v>1</v>
      </c>
    </row>
    <row r="2089" spans="1:16">
      <c r="A2089" s="1">
        <v>44093</v>
      </c>
      <c r="B2089">
        <v>139672</v>
      </c>
      <c r="C2089">
        <v>65793</v>
      </c>
      <c r="D2089">
        <v>73879</v>
      </c>
      <c r="E2089">
        <v>85173326</v>
      </c>
      <c r="F2089">
        <v>73927075</v>
      </c>
      <c r="G2089">
        <v>159100401</v>
      </c>
      <c r="H2089">
        <v>31589</v>
      </c>
      <c r="I2089">
        <v>11607</v>
      </c>
      <c r="J2089">
        <v>43196</v>
      </c>
      <c r="K2089" t="b">
        <f>TrafficData[[#This Row],[disposedChallan]]+TrafficData[[#This Row],[pendingChallan]]=TrafficData[[#This Row],[totalChallan]]</f>
        <v>1</v>
      </c>
      <c r="L2089" t="b">
        <f>TrafficData[[#This Row],[pendingAmount]]+TrafficData[[#This Row],[disposedAmount]]=TrafficData[[#This Row],[totalAmount]]</f>
        <v>1</v>
      </c>
      <c r="M2089" t="b">
        <f>TrafficData[[#This Row],[pendingCourt]]+TrafficData[[#This Row],[disposedCourt]]=TrafficData[[#This Row],[totalCourt]]</f>
        <v>1</v>
      </c>
      <c r="N2089" t="b">
        <f>AND(TrafficData[[#This Row],[disposedChallan]]&lt;=TrafficData[[#This Row],[totalChallan]],TrafficData[[#This Row],[pendingChallan]]&lt;=TrafficData[[#This Row],[totalChallan]])</f>
        <v>1</v>
      </c>
      <c r="O2089" t="b">
        <f>AND(TrafficData[[#This Row],[pendingAmount]]&lt;=TrafficData[[#This Row],[totalAmount]],TrafficData[[#This Row],[disposedAmount]]&lt;=TrafficData[[#This Row],[totalAmount]])</f>
        <v>1</v>
      </c>
      <c r="P2089" t="b">
        <f>AND(TrafficData[[#This Row],[pendingCourt]]&lt;=TrafficData[[#This Row],[totalCourt]],TrafficData[[#This Row],[disposedCourt]]&lt;=TrafficData[[#This Row],[totalCourt]])</f>
        <v>1</v>
      </c>
    </row>
    <row r="2090" spans="1:16">
      <c r="A2090" s="1">
        <v>44094</v>
      </c>
      <c r="B2090">
        <v>127872</v>
      </c>
      <c r="C2090">
        <v>55683</v>
      </c>
      <c r="D2090">
        <v>72189</v>
      </c>
      <c r="E2090">
        <v>77762584</v>
      </c>
      <c r="F2090">
        <v>58098157</v>
      </c>
      <c r="G2090">
        <v>135860741</v>
      </c>
      <c r="H2090">
        <v>22713</v>
      </c>
      <c r="I2090">
        <v>8819</v>
      </c>
      <c r="J2090">
        <v>31532</v>
      </c>
      <c r="K2090" t="b">
        <f>TrafficData[[#This Row],[disposedChallan]]+TrafficData[[#This Row],[pendingChallan]]=TrafficData[[#This Row],[totalChallan]]</f>
        <v>1</v>
      </c>
      <c r="L2090" t="b">
        <f>TrafficData[[#This Row],[pendingAmount]]+TrafficData[[#This Row],[disposedAmount]]=TrafficData[[#This Row],[totalAmount]]</f>
        <v>1</v>
      </c>
      <c r="M2090" t="b">
        <f>TrafficData[[#This Row],[pendingCourt]]+TrafficData[[#This Row],[disposedCourt]]=TrafficData[[#This Row],[totalCourt]]</f>
        <v>1</v>
      </c>
      <c r="N2090" t="b">
        <f>AND(TrafficData[[#This Row],[disposedChallan]]&lt;=TrafficData[[#This Row],[totalChallan]],TrafficData[[#This Row],[pendingChallan]]&lt;=TrafficData[[#This Row],[totalChallan]])</f>
        <v>1</v>
      </c>
      <c r="O2090" t="b">
        <f>AND(TrafficData[[#This Row],[pendingAmount]]&lt;=TrafficData[[#This Row],[totalAmount]],TrafficData[[#This Row],[disposedAmount]]&lt;=TrafficData[[#This Row],[totalAmount]])</f>
        <v>1</v>
      </c>
      <c r="P2090" t="b">
        <f>AND(TrafficData[[#This Row],[pendingCourt]]&lt;=TrafficData[[#This Row],[totalCourt]],TrafficData[[#This Row],[disposedCourt]]&lt;=TrafficData[[#This Row],[totalCourt]])</f>
        <v>1</v>
      </c>
    </row>
    <row r="2091" spans="1:16">
      <c r="A2091" s="1">
        <v>44095</v>
      </c>
      <c r="B2091">
        <v>127919</v>
      </c>
      <c r="C2091">
        <v>59994</v>
      </c>
      <c r="D2091">
        <v>67925</v>
      </c>
      <c r="E2091">
        <v>74881391</v>
      </c>
      <c r="F2091">
        <v>64031256</v>
      </c>
      <c r="G2091">
        <v>138912647</v>
      </c>
      <c r="H2091">
        <v>23776</v>
      </c>
      <c r="I2091">
        <v>9496</v>
      </c>
      <c r="J2091">
        <v>33272</v>
      </c>
      <c r="K2091" t="b">
        <f>TrafficData[[#This Row],[disposedChallan]]+TrafficData[[#This Row],[pendingChallan]]=TrafficData[[#This Row],[totalChallan]]</f>
        <v>1</v>
      </c>
      <c r="L2091" t="b">
        <f>TrafficData[[#This Row],[pendingAmount]]+TrafficData[[#This Row],[disposedAmount]]=TrafficData[[#This Row],[totalAmount]]</f>
        <v>1</v>
      </c>
      <c r="M2091" t="b">
        <f>TrafficData[[#This Row],[pendingCourt]]+TrafficData[[#This Row],[disposedCourt]]=TrafficData[[#This Row],[totalCourt]]</f>
        <v>1</v>
      </c>
      <c r="N2091" t="b">
        <f>AND(TrafficData[[#This Row],[disposedChallan]]&lt;=TrafficData[[#This Row],[totalChallan]],TrafficData[[#This Row],[pendingChallan]]&lt;=TrafficData[[#This Row],[totalChallan]])</f>
        <v>1</v>
      </c>
      <c r="O2091" t="b">
        <f>AND(TrafficData[[#This Row],[pendingAmount]]&lt;=TrafficData[[#This Row],[totalAmount]],TrafficData[[#This Row],[disposedAmount]]&lt;=TrafficData[[#This Row],[totalAmount]])</f>
        <v>1</v>
      </c>
      <c r="P2091" t="b">
        <f>AND(TrafficData[[#This Row],[pendingCourt]]&lt;=TrafficData[[#This Row],[totalCourt]],TrafficData[[#This Row],[disposedCourt]]&lt;=TrafficData[[#This Row],[totalCourt]])</f>
        <v>1</v>
      </c>
    </row>
    <row r="2092" spans="1:16">
      <c r="A2092" s="1">
        <v>44096</v>
      </c>
      <c r="B2092">
        <v>131332</v>
      </c>
      <c r="C2092">
        <v>63301</v>
      </c>
      <c r="D2092">
        <v>68031</v>
      </c>
      <c r="E2092">
        <v>77970174</v>
      </c>
      <c r="F2092">
        <v>71384585</v>
      </c>
      <c r="G2092">
        <v>149354759</v>
      </c>
      <c r="H2092">
        <v>24861</v>
      </c>
      <c r="I2092">
        <v>10134</v>
      </c>
      <c r="J2092">
        <v>34995</v>
      </c>
      <c r="K2092" t="b">
        <f>TrafficData[[#This Row],[disposedChallan]]+TrafficData[[#This Row],[pendingChallan]]=TrafficData[[#This Row],[totalChallan]]</f>
        <v>1</v>
      </c>
      <c r="L2092" t="b">
        <f>TrafficData[[#This Row],[pendingAmount]]+TrafficData[[#This Row],[disposedAmount]]=TrafficData[[#This Row],[totalAmount]]</f>
        <v>1</v>
      </c>
      <c r="M2092" t="b">
        <f>TrafficData[[#This Row],[pendingCourt]]+TrafficData[[#This Row],[disposedCourt]]=TrafficData[[#This Row],[totalCourt]]</f>
        <v>1</v>
      </c>
      <c r="N2092" t="b">
        <f>AND(TrafficData[[#This Row],[disposedChallan]]&lt;=TrafficData[[#This Row],[totalChallan]],TrafficData[[#This Row],[pendingChallan]]&lt;=TrafficData[[#This Row],[totalChallan]])</f>
        <v>1</v>
      </c>
      <c r="O2092" t="b">
        <f>AND(TrafficData[[#This Row],[pendingAmount]]&lt;=TrafficData[[#This Row],[totalAmount]],TrafficData[[#This Row],[disposedAmount]]&lt;=TrafficData[[#This Row],[totalAmount]])</f>
        <v>1</v>
      </c>
      <c r="P2092" t="b">
        <f>AND(TrafficData[[#This Row],[pendingCourt]]&lt;=TrafficData[[#This Row],[totalCourt]],TrafficData[[#This Row],[disposedCourt]]&lt;=TrafficData[[#This Row],[totalCourt]])</f>
        <v>1</v>
      </c>
    </row>
    <row r="2093" spans="1:16">
      <c r="A2093" s="1">
        <v>44097</v>
      </c>
      <c r="B2093">
        <v>133077</v>
      </c>
      <c r="C2093">
        <v>64131</v>
      </c>
      <c r="D2093">
        <v>68946</v>
      </c>
      <c r="E2093">
        <v>76763089</v>
      </c>
      <c r="F2093">
        <v>65326960</v>
      </c>
      <c r="G2093">
        <v>142090049</v>
      </c>
      <c r="H2093">
        <v>21512</v>
      </c>
      <c r="I2093">
        <v>9718</v>
      </c>
      <c r="J2093">
        <v>31230</v>
      </c>
      <c r="K2093" t="b">
        <f>TrafficData[[#This Row],[disposedChallan]]+TrafficData[[#This Row],[pendingChallan]]=TrafficData[[#This Row],[totalChallan]]</f>
        <v>1</v>
      </c>
      <c r="L2093" t="b">
        <f>TrafficData[[#This Row],[pendingAmount]]+TrafficData[[#This Row],[disposedAmount]]=TrafficData[[#This Row],[totalAmount]]</f>
        <v>1</v>
      </c>
      <c r="M2093" t="b">
        <f>TrafficData[[#This Row],[pendingCourt]]+TrafficData[[#This Row],[disposedCourt]]=TrafficData[[#This Row],[totalCourt]]</f>
        <v>1</v>
      </c>
      <c r="N2093" t="b">
        <f>AND(TrafficData[[#This Row],[disposedChallan]]&lt;=TrafficData[[#This Row],[totalChallan]],TrafficData[[#This Row],[pendingChallan]]&lt;=TrafficData[[#This Row],[totalChallan]])</f>
        <v>1</v>
      </c>
      <c r="O2093" t="b">
        <f>AND(TrafficData[[#This Row],[pendingAmount]]&lt;=TrafficData[[#This Row],[totalAmount]],TrafficData[[#This Row],[disposedAmount]]&lt;=TrafficData[[#This Row],[totalAmount]])</f>
        <v>1</v>
      </c>
      <c r="P2093" t="b">
        <f>AND(TrafficData[[#This Row],[pendingCourt]]&lt;=TrafficData[[#This Row],[totalCourt]],TrafficData[[#This Row],[disposedCourt]]&lt;=TrafficData[[#This Row],[totalCourt]])</f>
        <v>1</v>
      </c>
    </row>
    <row r="2094" spans="1:16">
      <c r="A2094" s="1">
        <v>44098</v>
      </c>
      <c r="B2094">
        <v>136556</v>
      </c>
      <c r="C2094">
        <v>64875</v>
      </c>
      <c r="D2094">
        <v>71681</v>
      </c>
      <c r="E2094">
        <v>74421095</v>
      </c>
      <c r="F2094">
        <v>69811413</v>
      </c>
      <c r="G2094">
        <v>144232508</v>
      </c>
      <c r="H2094">
        <v>21617</v>
      </c>
      <c r="I2094">
        <v>9436</v>
      </c>
      <c r="J2094">
        <v>31053</v>
      </c>
      <c r="K2094" t="b">
        <f>TrafficData[[#This Row],[disposedChallan]]+TrafficData[[#This Row],[pendingChallan]]=TrafficData[[#This Row],[totalChallan]]</f>
        <v>1</v>
      </c>
      <c r="L2094" t="b">
        <f>TrafficData[[#This Row],[pendingAmount]]+TrafficData[[#This Row],[disposedAmount]]=TrafficData[[#This Row],[totalAmount]]</f>
        <v>1</v>
      </c>
      <c r="M2094" t="b">
        <f>TrafficData[[#This Row],[pendingCourt]]+TrafficData[[#This Row],[disposedCourt]]=TrafficData[[#This Row],[totalCourt]]</f>
        <v>1</v>
      </c>
      <c r="N2094" t="b">
        <f>AND(TrafficData[[#This Row],[disposedChallan]]&lt;=TrafficData[[#This Row],[totalChallan]],TrafficData[[#This Row],[pendingChallan]]&lt;=TrafficData[[#This Row],[totalChallan]])</f>
        <v>1</v>
      </c>
      <c r="O2094" t="b">
        <f>AND(TrafficData[[#This Row],[pendingAmount]]&lt;=TrafficData[[#This Row],[totalAmount]],TrafficData[[#This Row],[disposedAmount]]&lt;=TrafficData[[#This Row],[totalAmount]])</f>
        <v>1</v>
      </c>
      <c r="P2094" t="b">
        <f>AND(TrafficData[[#This Row],[pendingCourt]]&lt;=TrafficData[[#This Row],[totalCourt]],TrafficData[[#This Row],[disposedCourt]]&lt;=TrafficData[[#This Row],[totalCourt]])</f>
        <v>1</v>
      </c>
    </row>
    <row r="2095" spans="1:16">
      <c r="A2095" s="1">
        <v>44099</v>
      </c>
      <c r="B2095">
        <v>112252</v>
      </c>
      <c r="C2095">
        <v>54896</v>
      </c>
      <c r="D2095">
        <v>57356</v>
      </c>
      <c r="E2095">
        <v>64914210</v>
      </c>
      <c r="F2095">
        <v>60979302</v>
      </c>
      <c r="G2095">
        <v>125893512</v>
      </c>
      <c r="H2095">
        <v>23278</v>
      </c>
      <c r="I2095">
        <v>9285</v>
      </c>
      <c r="J2095">
        <v>32563</v>
      </c>
      <c r="K2095" t="b">
        <f>TrafficData[[#This Row],[disposedChallan]]+TrafficData[[#This Row],[pendingChallan]]=TrafficData[[#This Row],[totalChallan]]</f>
        <v>1</v>
      </c>
      <c r="L2095" t="b">
        <f>TrafficData[[#This Row],[pendingAmount]]+TrafficData[[#This Row],[disposedAmount]]=TrafficData[[#This Row],[totalAmount]]</f>
        <v>1</v>
      </c>
      <c r="M2095" t="b">
        <f>TrafficData[[#This Row],[pendingCourt]]+TrafficData[[#This Row],[disposedCourt]]=TrafficData[[#This Row],[totalCourt]]</f>
        <v>1</v>
      </c>
      <c r="N2095" t="b">
        <f>AND(TrafficData[[#This Row],[disposedChallan]]&lt;=TrafficData[[#This Row],[totalChallan]],TrafficData[[#This Row],[pendingChallan]]&lt;=TrafficData[[#This Row],[totalChallan]])</f>
        <v>1</v>
      </c>
      <c r="O2095" t="b">
        <f>AND(TrafficData[[#This Row],[pendingAmount]]&lt;=TrafficData[[#This Row],[totalAmount]],TrafficData[[#This Row],[disposedAmount]]&lt;=TrafficData[[#This Row],[totalAmount]])</f>
        <v>1</v>
      </c>
      <c r="P2095" t="b">
        <f>AND(TrafficData[[#This Row],[pendingCourt]]&lt;=TrafficData[[#This Row],[totalCourt]],TrafficData[[#This Row],[disposedCourt]]&lt;=TrafficData[[#This Row],[totalCourt]])</f>
        <v>1</v>
      </c>
    </row>
    <row r="2096" spans="1:16">
      <c r="A2096" s="1">
        <v>44100</v>
      </c>
      <c r="B2096">
        <v>132421</v>
      </c>
      <c r="C2096">
        <v>66782</v>
      </c>
      <c r="D2096">
        <v>65639</v>
      </c>
      <c r="E2096">
        <v>69988223</v>
      </c>
      <c r="F2096">
        <v>66981765</v>
      </c>
      <c r="G2096">
        <v>136969988</v>
      </c>
      <c r="H2096">
        <v>31486</v>
      </c>
      <c r="I2096">
        <v>9209</v>
      </c>
      <c r="J2096">
        <v>40695</v>
      </c>
      <c r="K2096" t="b">
        <f>TrafficData[[#This Row],[disposedChallan]]+TrafficData[[#This Row],[pendingChallan]]=TrafficData[[#This Row],[totalChallan]]</f>
        <v>1</v>
      </c>
      <c r="L2096" t="b">
        <f>TrafficData[[#This Row],[pendingAmount]]+TrafficData[[#This Row],[disposedAmount]]=TrafficData[[#This Row],[totalAmount]]</f>
        <v>1</v>
      </c>
      <c r="M2096" t="b">
        <f>TrafficData[[#This Row],[pendingCourt]]+TrafficData[[#This Row],[disposedCourt]]=TrafficData[[#This Row],[totalCourt]]</f>
        <v>1</v>
      </c>
      <c r="N2096" t="b">
        <f>AND(TrafficData[[#This Row],[disposedChallan]]&lt;=TrafficData[[#This Row],[totalChallan]],TrafficData[[#This Row],[pendingChallan]]&lt;=TrafficData[[#This Row],[totalChallan]])</f>
        <v>1</v>
      </c>
      <c r="O2096" t="b">
        <f>AND(TrafficData[[#This Row],[pendingAmount]]&lt;=TrafficData[[#This Row],[totalAmount]],TrafficData[[#This Row],[disposedAmount]]&lt;=TrafficData[[#This Row],[totalAmount]])</f>
        <v>1</v>
      </c>
      <c r="P2096" t="b">
        <f>AND(TrafficData[[#This Row],[pendingCourt]]&lt;=TrafficData[[#This Row],[totalCourt]],TrafficData[[#This Row],[disposedCourt]]&lt;=TrafficData[[#This Row],[totalCourt]])</f>
        <v>1</v>
      </c>
    </row>
    <row r="2097" spans="1:16">
      <c r="A2097" s="1">
        <v>44101</v>
      </c>
      <c r="B2097">
        <v>122175</v>
      </c>
      <c r="C2097">
        <v>58767</v>
      </c>
      <c r="D2097">
        <v>63408</v>
      </c>
      <c r="E2097">
        <v>65562921</v>
      </c>
      <c r="F2097">
        <v>54625250</v>
      </c>
      <c r="G2097">
        <v>120188171</v>
      </c>
      <c r="H2097">
        <v>28940</v>
      </c>
      <c r="I2097">
        <v>8263</v>
      </c>
      <c r="J2097">
        <v>37203</v>
      </c>
      <c r="K2097" t="b">
        <f>TrafficData[[#This Row],[disposedChallan]]+TrafficData[[#This Row],[pendingChallan]]=TrafficData[[#This Row],[totalChallan]]</f>
        <v>1</v>
      </c>
      <c r="L2097" t="b">
        <f>TrafficData[[#This Row],[pendingAmount]]+TrafficData[[#This Row],[disposedAmount]]=TrafficData[[#This Row],[totalAmount]]</f>
        <v>1</v>
      </c>
      <c r="M2097" t="b">
        <f>TrafficData[[#This Row],[pendingCourt]]+TrafficData[[#This Row],[disposedCourt]]=TrafficData[[#This Row],[totalCourt]]</f>
        <v>1</v>
      </c>
      <c r="N2097" t="b">
        <f>AND(TrafficData[[#This Row],[disposedChallan]]&lt;=TrafficData[[#This Row],[totalChallan]],TrafficData[[#This Row],[pendingChallan]]&lt;=TrafficData[[#This Row],[totalChallan]])</f>
        <v>1</v>
      </c>
      <c r="O2097" t="b">
        <f>AND(TrafficData[[#This Row],[pendingAmount]]&lt;=TrafficData[[#This Row],[totalAmount]],TrafficData[[#This Row],[disposedAmount]]&lt;=TrafficData[[#This Row],[totalAmount]])</f>
        <v>1</v>
      </c>
      <c r="P2097" t="b">
        <f>AND(TrafficData[[#This Row],[pendingCourt]]&lt;=TrafficData[[#This Row],[totalCourt]],TrafficData[[#This Row],[disposedCourt]]&lt;=TrafficData[[#This Row],[totalCourt]])</f>
        <v>1</v>
      </c>
    </row>
    <row r="2098" spans="1:16">
      <c r="A2098" s="1">
        <v>44102</v>
      </c>
      <c r="B2098">
        <v>128328</v>
      </c>
      <c r="C2098">
        <v>64692</v>
      </c>
      <c r="D2098">
        <v>63636</v>
      </c>
      <c r="E2098">
        <v>67160144</v>
      </c>
      <c r="F2098">
        <v>64037321</v>
      </c>
      <c r="G2098">
        <v>131197465</v>
      </c>
      <c r="H2098">
        <v>20010</v>
      </c>
      <c r="I2098">
        <v>9532</v>
      </c>
      <c r="J2098">
        <v>29542</v>
      </c>
      <c r="K2098" t="b">
        <f>TrafficData[[#This Row],[disposedChallan]]+TrafficData[[#This Row],[pendingChallan]]=TrafficData[[#This Row],[totalChallan]]</f>
        <v>1</v>
      </c>
      <c r="L2098" t="b">
        <f>TrafficData[[#This Row],[pendingAmount]]+TrafficData[[#This Row],[disposedAmount]]=TrafficData[[#This Row],[totalAmount]]</f>
        <v>1</v>
      </c>
      <c r="M2098" t="b">
        <f>TrafficData[[#This Row],[pendingCourt]]+TrafficData[[#This Row],[disposedCourt]]=TrafficData[[#This Row],[totalCourt]]</f>
        <v>1</v>
      </c>
      <c r="N2098" t="b">
        <f>AND(TrafficData[[#This Row],[disposedChallan]]&lt;=TrafficData[[#This Row],[totalChallan]],TrafficData[[#This Row],[pendingChallan]]&lt;=TrafficData[[#This Row],[totalChallan]])</f>
        <v>1</v>
      </c>
      <c r="O2098" t="b">
        <f>AND(TrafficData[[#This Row],[pendingAmount]]&lt;=TrafficData[[#This Row],[totalAmount]],TrafficData[[#This Row],[disposedAmount]]&lt;=TrafficData[[#This Row],[totalAmount]])</f>
        <v>1</v>
      </c>
      <c r="P2098" t="b">
        <f>AND(TrafficData[[#This Row],[pendingCourt]]&lt;=TrafficData[[#This Row],[totalCourt]],TrafficData[[#This Row],[disposedCourt]]&lt;=TrafficData[[#This Row],[totalCourt]])</f>
        <v>1</v>
      </c>
    </row>
    <row r="2099" spans="1:16">
      <c r="A2099" s="1">
        <v>44103</v>
      </c>
      <c r="B2099">
        <v>127425</v>
      </c>
      <c r="C2099">
        <v>64245</v>
      </c>
      <c r="D2099">
        <v>63180</v>
      </c>
      <c r="E2099">
        <v>69314693</v>
      </c>
      <c r="F2099">
        <v>67125728</v>
      </c>
      <c r="G2099">
        <v>136440421</v>
      </c>
      <c r="H2099">
        <v>30150</v>
      </c>
      <c r="I2099">
        <v>11235</v>
      </c>
      <c r="J2099">
        <v>41385</v>
      </c>
      <c r="K2099" t="b">
        <f>TrafficData[[#This Row],[disposedChallan]]+TrafficData[[#This Row],[pendingChallan]]=TrafficData[[#This Row],[totalChallan]]</f>
        <v>1</v>
      </c>
      <c r="L2099" t="b">
        <f>TrafficData[[#This Row],[pendingAmount]]+TrafficData[[#This Row],[disposedAmount]]=TrafficData[[#This Row],[totalAmount]]</f>
        <v>1</v>
      </c>
      <c r="M2099" t="b">
        <f>TrafficData[[#This Row],[pendingCourt]]+TrafficData[[#This Row],[disposedCourt]]=TrafficData[[#This Row],[totalCourt]]</f>
        <v>1</v>
      </c>
      <c r="N2099" t="b">
        <f>AND(TrafficData[[#This Row],[disposedChallan]]&lt;=TrafficData[[#This Row],[totalChallan]],TrafficData[[#This Row],[pendingChallan]]&lt;=TrafficData[[#This Row],[totalChallan]])</f>
        <v>1</v>
      </c>
      <c r="O2099" t="b">
        <f>AND(TrafficData[[#This Row],[pendingAmount]]&lt;=TrafficData[[#This Row],[totalAmount]],TrafficData[[#This Row],[disposedAmount]]&lt;=TrafficData[[#This Row],[totalAmount]])</f>
        <v>1</v>
      </c>
      <c r="P2099" t="b">
        <f>AND(TrafficData[[#This Row],[pendingCourt]]&lt;=TrafficData[[#This Row],[totalCourt]],TrafficData[[#This Row],[disposedCourt]]&lt;=TrafficData[[#This Row],[totalCourt]])</f>
        <v>1</v>
      </c>
    </row>
    <row r="2100" spans="1:16">
      <c r="A2100" s="1">
        <v>44104</v>
      </c>
      <c r="B2100">
        <v>125335</v>
      </c>
      <c r="C2100">
        <v>62922</v>
      </c>
      <c r="D2100">
        <v>62413</v>
      </c>
      <c r="E2100">
        <v>69037141</v>
      </c>
      <c r="F2100">
        <v>87143348</v>
      </c>
      <c r="G2100">
        <v>156180489</v>
      </c>
      <c r="H2100">
        <v>30150</v>
      </c>
      <c r="I2100">
        <v>11257</v>
      </c>
      <c r="J2100">
        <v>41407</v>
      </c>
      <c r="K2100" t="b">
        <f>TrafficData[[#This Row],[disposedChallan]]+TrafficData[[#This Row],[pendingChallan]]=TrafficData[[#This Row],[totalChallan]]</f>
        <v>1</v>
      </c>
      <c r="L2100" t="b">
        <f>TrafficData[[#This Row],[pendingAmount]]+TrafficData[[#This Row],[disposedAmount]]=TrafficData[[#This Row],[totalAmount]]</f>
        <v>1</v>
      </c>
      <c r="M2100" t="b">
        <f>TrafficData[[#This Row],[pendingCourt]]+TrafficData[[#This Row],[disposedCourt]]=TrafficData[[#This Row],[totalCourt]]</f>
        <v>1</v>
      </c>
      <c r="N2100" t="b">
        <f>AND(TrafficData[[#This Row],[disposedChallan]]&lt;=TrafficData[[#This Row],[totalChallan]],TrafficData[[#This Row],[pendingChallan]]&lt;=TrafficData[[#This Row],[totalChallan]])</f>
        <v>1</v>
      </c>
      <c r="O2100" t="b">
        <f>AND(TrafficData[[#This Row],[pendingAmount]]&lt;=TrafficData[[#This Row],[totalAmount]],TrafficData[[#This Row],[disposedAmount]]&lt;=TrafficData[[#This Row],[totalAmount]])</f>
        <v>1</v>
      </c>
      <c r="P2100" t="b">
        <f>AND(TrafficData[[#This Row],[pendingCourt]]&lt;=TrafficData[[#This Row],[totalCourt]],TrafficData[[#This Row],[disposedCourt]]&lt;=TrafficData[[#This Row],[totalCourt]])</f>
        <v>1</v>
      </c>
    </row>
    <row r="2101" spans="1:16">
      <c r="A2101" s="1">
        <v>44105</v>
      </c>
      <c r="B2101">
        <v>122916</v>
      </c>
      <c r="C2101">
        <v>62406</v>
      </c>
      <c r="D2101">
        <v>60510</v>
      </c>
      <c r="E2101">
        <v>66093909</v>
      </c>
      <c r="F2101">
        <v>65740048</v>
      </c>
      <c r="G2101">
        <v>131833957</v>
      </c>
      <c r="H2101">
        <v>29056</v>
      </c>
      <c r="I2101">
        <v>11263</v>
      </c>
      <c r="J2101">
        <v>40319</v>
      </c>
      <c r="K2101" t="b">
        <f>TrafficData[[#This Row],[disposedChallan]]+TrafficData[[#This Row],[pendingChallan]]=TrafficData[[#This Row],[totalChallan]]</f>
        <v>1</v>
      </c>
      <c r="L2101" t="b">
        <f>TrafficData[[#This Row],[pendingAmount]]+TrafficData[[#This Row],[disposedAmount]]=TrafficData[[#This Row],[totalAmount]]</f>
        <v>1</v>
      </c>
      <c r="M2101" t="b">
        <f>TrafficData[[#This Row],[pendingCourt]]+TrafficData[[#This Row],[disposedCourt]]=TrafficData[[#This Row],[totalCourt]]</f>
        <v>1</v>
      </c>
      <c r="N2101" t="b">
        <f>AND(TrafficData[[#This Row],[disposedChallan]]&lt;=TrafficData[[#This Row],[totalChallan]],TrafficData[[#This Row],[pendingChallan]]&lt;=TrafficData[[#This Row],[totalChallan]])</f>
        <v>1</v>
      </c>
      <c r="O2101" t="b">
        <f>AND(TrafficData[[#This Row],[pendingAmount]]&lt;=TrafficData[[#This Row],[totalAmount]],TrafficData[[#This Row],[disposedAmount]]&lt;=TrafficData[[#This Row],[totalAmount]])</f>
        <v>1</v>
      </c>
      <c r="P2101" t="b">
        <f>AND(TrafficData[[#This Row],[pendingCourt]]&lt;=TrafficData[[#This Row],[totalCourt]],TrafficData[[#This Row],[disposedCourt]]&lt;=TrafficData[[#This Row],[totalCourt]])</f>
        <v>1</v>
      </c>
    </row>
    <row r="2102" spans="1:16">
      <c r="A2102" s="1">
        <v>44106</v>
      </c>
      <c r="B2102">
        <v>118775</v>
      </c>
      <c r="C2102">
        <v>58848</v>
      </c>
      <c r="D2102">
        <v>59927</v>
      </c>
      <c r="E2102">
        <v>61117765</v>
      </c>
      <c r="F2102">
        <v>55890601</v>
      </c>
      <c r="G2102">
        <v>117008366</v>
      </c>
      <c r="H2102">
        <v>27259</v>
      </c>
      <c r="I2102">
        <v>9973</v>
      </c>
      <c r="J2102">
        <v>37232</v>
      </c>
      <c r="K2102" t="b">
        <f>TrafficData[[#This Row],[disposedChallan]]+TrafficData[[#This Row],[pendingChallan]]=TrafficData[[#This Row],[totalChallan]]</f>
        <v>1</v>
      </c>
      <c r="L2102" t="b">
        <f>TrafficData[[#This Row],[pendingAmount]]+TrafficData[[#This Row],[disposedAmount]]=TrafficData[[#This Row],[totalAmount]]</f>
        <v>1</v>
      </c>
      <c r="M2102" t="b">
        <f>TrafficData[[#This Row],[pendingCourt]]+TrafficData[[#This Row],[disposedCourt]]=TrafficData[[#This Row],[totalCourt]]</f>
        <v>1</v>
      </c>
      <c r="N2102" t="b">
        <f>AND(TrafficData[[#This Row],[disposedChallan]]&lt;=TrafficData[[#This Row],[totalChallan]],TrafficData[[#This Row],[pendingChallan]]&lt;=TrafficData[[#This Row],[totalChallan]])</f>
        <v>1</v>
      </c>
      <c r="O2102" t="b">
        <f>AND(TrafficData[[#This Row],[pendingAmount]]&lt;=TrafficData[[#This Row],[totalAmount]],TrafficData[[#This Row],[disposedAmount]]&lt;=TrafficData[[#This Row],[totalAmount]])</f>
        <v>1</v>
      </c>
      <c r="P2102" t="b">
        <f>AND(TrafficData[[#This Row],[pendingCourt]]&lt;=TrafficData[[#This Row],[totalCourt]],TrafficData[[#This Row],[disposedCourt]]&lt;=TrafficData[[#This Row],[totalCourt]])</f>
        <v>1</v>
      </c>
    </row>
    <row r="2103" spans="1:16">
      <c r="A2103" s="1">
        <v>44107</v>
      </c>
      <c r="B2103">
        <v>123355</v>
      </c>
      <c r="C2103">
        <v>61497</v>
      </c>
      <c r="D2103">
        <v>61858</v>
      </c>
      <c r="E2103">
        <v>64638290</v>
      </c>
      <c r="F2103">
        <v>61639601</v>
      </c>
      <c r="G2103">
        <v>126277891</v>
      </c>
      <c r="H2103">
        <v>29780</v>
      </c>
      <c r="I2103">
        <v>8784</v>
      </c>
      <c r="J2103">
        <v>38564</v>
      </c>
      <c r="K2103" t="b">
        <f>TrafficData[[#This Row],[disposedChallan]]+TrafficData[[#This Row],[pendingChallan]]=TrafficData[[#This Row],[totalChallan]]</f>
        <v>1</v>
      </c>
      <c r="L2103" t="b">
        <f>TrafficData[[#This Row],[pendingAmount]]+TrafficData[[#This Row],[disposedAmount]]=TrafficData[[#This Row],[totalAmount]]</f>
        <v>1</v>
      </c>
      <c r="M2103" t="b">
        <f>TrafficData[[#This Row],[pendingCourt]]+TrafficData[[#This Row],[disposedCourt]]=TrafficData[[#This Row],[totalCourt]]</f>
        <v>1</v>
      </c>
      <c r="N2103" t="b">
        <f>AND(TrafficData[[#This Row],[disposedChallan]]&lt;=TrafficData[[#This Row],[totalChallan]],TrafficData[[#This Row],[pendingChallan]]&lt;=TrafficData[[#This Row],[totalChallan]])</f>
        <v>1</v>
      </c>
      <c r="O2103" t="b">
        <f>AND(TrafficData[[#This Row],[pendingAmount]]&lt;=TrafficData[[#This Row],[totalAmount]],TrafficData[[#This Row],[disposedAmount]]&lt;=TrafficData[[#This Row],[totalAmount]])</f>
        <v>1</v>
      </c>
      <c r="P2103" t="b">
        <f>AND(TrafficData[[#This Row],[pendingCourt]]&lt;=TrafficData[[#This Row],[totalCourt]],TrafficData[[#This Row],[disposedCourt]]&lt;=TrafficData[[#This Row],[totalCourt]])</f>
        <v>1</v>
      </c>
    </row>
    <row r="2104" spans="1:16">
      <c r="A2104" s="1">
        <v>44108</v>
      </c>
      <c r="B2104">
        <v>109302</v>
      </c>
      <c r="C2104">
        <v>50162</v>
      </c>
      <c r="D2104">
        <v>59140</v>
      </c>
      <c r="E2104">
        <v>59024078</v>
      </c>
      <c r="F2104">
        <v>48744176</v>
      </c>
      <c r="G2104">
        <v>107768254</v>
      </c>
      <c r="H2104">
        <v>27108</v>
      </c>
      <c r="I2104">
        <v>8828</v>
      </c>
      <c r="J2104">
        <v>35936</v>
      </c>
      <c r="K2104" t="b">
        <f>TrafficData[[#This Row],[disposedChallan]]+TrafficData[[#This Row],[pendingChallan]]=TrafficData[[#This Row],[totalChallan]]</f>
        <v>1</v>
      </c>
      <c r="L2104" t="b">
        <f>TrafficData[[#This Row],[pendingAmount]]+TrafficData[[#This Row],[disposedAmount]]=TrafficData[[#This Row],[totalAmount]]</f>
        <v>1</v>
      </c>
      <c r="M2104" t="b">
        <f>TrafficData[[#This Row],[pendingCourt]]+TrafficData[[#This Row],[disposedCourt]]=TrafficData[[#This Row],[totalCourt]]</f>
        <v>1</v>
      </c>
      <c r="N2104" t="b">
        <f>AND(TrafficData[[#This Row],[disposedChallan]]&lt;=TrafficData[[#This Row],[totalChallan]],TrafficData[[#This Row],[pendingChallan]]&lt;=TrafficData[[#This Row],[totalChallan]])</f>
        <v>1</v>
      </c>
      <c r="O2104" t="b">
        <f>AND(TrafficData[[#This Row],[pendingAmount]]&lt;=TrafficData[[#This Row],[totalAmount]],TrafficData[[#This Row],[disposedAmount]]&lt;=TrafficData[[#This Row],[totalAmount]])</f>
        <v>1</v>
      </c>
      <c r="P2104" t="b">
        <f>AND(TrafficData[[#This Row],[pendingCourt]]&lt;=TrafficData[[#This Row],[totalCourt]],TrafficData[[#This Row],[disposedCourt]]&lt;=TrafficData[[#This Row],[totalCourt]])</f>
        <v>1</v>
      </c>
    </row>
    <row r="2105" spans="1:16">
      <c r="A2105" s="1">
        <v>44109</v>
      </c>
      <c r="B2105">
        <v>120070</v>
      </c>
      <c r="C2105">
        <v>60434</v>
      </c>
      <c r="D2105">
        <v>59636</v>
      </c>
      <c r="E2105">
        <v>61271713</v>
      </c>
      <c r="F2105">
        <v>62321438</v>
      </c>
      <c r="G2105">
        <v>123593151</v>
      </c>
      <c r="H2105">
        <v>27765</v>
      </c>
      <c r="I2105">
        <v>8857</v>
      </c>
      <c r="J2105">
        <v>36622</v>
      </c>
      <c r="K2105" t="b">
        <f>TrafficData[[#This Row],[disposedChallan]]+TrafficData[[#This Row],[pendingChallan]]=TrafficData[[#This Row],[totalChallan]]</f>
        <v>1</v>
      </c>
      <c r="L2105" t="b">
        <f>TrafficData[[#This Row],[pendingAmount]]+TrafficData[[#This Row],[disposedAmount]]=TrafficData[[#This Row],[totalAmount]]</f>
        <v>1</v>
      </c>
      <c r="M2105" t="b">
        <f>TrafficData[[#This Row],[pendingCourt]]+TrafficData[[#This Row],[disposedCourt]]=TrafficData[[#This Row],[totalCourt]]</f>
        <v>1</v>
      </c>
      <c r="N2105" t="b">
        <f>AND(TrafficData[[#This Row],[disposedChallan]]&lt;=TrafficData[[#This Row],[totalChallan]],TrafficData[[#This Row],[pendingChallan]]&lt;=TrafficData[[#This Row],[totalChallan]])</f>
        <v>1</v>
      </c>
      <c r="O2105" t="b">
        <f>AND(TrafficData[[#This Row],[pendingAmount]]&lt;=TrafficData[[#This Row],[totalAmount]],TrafficData[[#This Row],[disposedAmount]]&lt;=TrafficData[[#This Row],[totalAmount]])</f>
        <v>1</v>
      </c>
      <c r="P2105" t="b">
        <f>AND(TrafficData[[#This Row],[pendingCourt]]&lt;=TrafficData[[#This Row],[totalCourt]],TrafficData[[#This Row],[disposedCourt]]&lt;=TrafficData[[#This Row],[totalCourt]])</f>
        <v>1</v>
      </c>
    </row>
    <row r="2106" spans="1:16">
      <c r="A2106" s="1">
        <v>44110</v>
      </c>
      <c r="B2106">
        <v>119231</v>
      </c>
      <c r="C2106">
        <v>59372</v>
      </c>
      <c r="D2106">
        <v>59859</v>
      </c>
      <c r="E2106">
        <v>64781462</v>
      </c>
      <c r="F2106">
        <v>65150031</v>
      </c>
      <c r="G2106">
        <v>129931493</v>
      </c>
      <c r="H2106">
        <v>29817</v>
      </c>
      <c r="I2106">
        <v>10984</v>
      </c>
      <c r="J2106">
        <v>40801</v>
      </c>
      <c r="K2106" t="b">
        <f>TrafficData[[#This Row],[disposedChallan]]+TrafficData[[#This Row],[pendingChallan]]=TrafficData[[#This Row],[totalChallan]]</f>
        <v>1</v>
      </c>
      <c r="L2106" t="b">
        <f>TrafficData[[#This Row],[pendingAmount]]+TrafficData[[#This Row],[disposedAmount]]=TrafficData[[#This Row],[totalAmount]]</f>
        <v>1</v>
      </c>
      <c r="M2106" t="b">
        <f>TrafficData[[#This Row],[pendingCourt]]+TrafficData[[#This Row],[disposedCourt]]=TrafficData[[#This Row],[totalCourt]]</f>
        <v>1</v>
      </c>
      <c r="N2106" t="b">
        <f>AND(TrafficData[[#This Row],[disposedChallan]]&lt;=TrafficData[[#This Row],[totalChallan]],TrafficData[[#This Row],[pendingChallan]]&lt;=TrafficData[[#This Row],[totalChallan]])</f>
        <v>1</v>
      </c>
      <c r="O2106" t="b">
        <f>AND(TrafficData[[#This Row],[pendingAmount]]&lt;=TrafficData[[#This Row],[totalAmount]],TrafficData[[#This Row],[disposedAmount]]&lt;=TrafficData[[#This Row],[totalAmount]])</f>
        <v>1</v>
      </c>
      <c r="P2106" t="b">
        <f>AND(TrafficData[[#This Row],[pendingCourt]]&lt;=TrafficData[[#This Row],[totalCourt]],TrafficData[[#This Row],[disposedCourt]]&lt;=TrafficData[[#This Row],[totalCourt]])</f>
        <v>1</v>
      </c>
    </row>
    <row r="2107" spans="1:16">
      <c r="A2107" s="1">
        <v>44111</v>
      </c>
      <c r="B2107">
        <v>125770</v>
      </c>
      <c r="C2107">
        <v>63169</v>
      </c>
      <c r="D2107">
        <v>62601</v>
      </c>
      <c r="E2107">
        <v>70154598</v>
      </c>
      <c r="F2107">
        <v>68689090</v>
      </c>
      <c r="G2107">
        <v>138843688</v>
      </c>
      <c r="H2107">
        <v>29796</v>
      </c>
      <c r="I2107">
        <v>11405</v>
      </c>
      <c r="J2107">
        <v>41201</v>
      </c>
      <c r="K2107" t="b">
        <f>TrafficData[[#This Row],[disposedChallan]]+TrafficData[[#This Row],[pendingChallan]]=TrafficData[[#This Row],[totalChallan]]</f>
        <v>1</v>
      </c>
      <c r="L2107" t="b">
        <f>TrafficData[[#This Row],[pendingAmount]]+TrafficData[[#This Row],[disposedAmount]]=TrafficData[[#This Row],[totalAmount]]</f>
        <v>1</v>
      </c>
      <c r="M2107" t="b">
        <f>TrafficData[[#This Row],[pendingCourt]]+TrafficData[[#This Row],[disposedCourt]]=TrafficData[[#This Row],[totalCourt]]</f>
        <v>1</v>
      </c>
      <c r="N2107" t="b">
        <f>AND(TrafficData[[#This Row],[disposedChallan]]&lt;=TrafficData[[#This Row],[totalChallan]],TrafficData[[#This Row],[pendingChallan]]&lt;=TrafficData[[#This Row],[totalChallan]])</f>
        <v>1</v>
      </c>
      <c r="O2107" t="b">
        <f>AND(TrafficData[[#This Row],[pendingAmount]]&lt;=TrafficData[[#This Row],[totalAmount]],TrafficData[[#This Row],[disposedAmount]]&lt;=TrafficData[[#This Row],[totalAmount]])</f>
        <v>1</v>
      </c>
      <c r="P2107" t="b">
        <f>AND(TrafficData[[#This Row],[pendingCourt]]&lt;=TrafficData[[#This Row],[totalCourt]],TrafficData[[#This Row],[disposedCourt]]&lt;=TrafficData[[#This Row],[totalCourt]])</f>
        <v>1</v>
      </c>
    </row>
    <row r="2108" spans="1:16">
      <c r="A2108" s="1">
        <v>44112</v>
      </c>
      <c r="B2108">
        <v>125874</v>
      </c>
      <c r="C2108">
        <v>62526</v>
      </c>
      <c r="D2108">
        <v>63348</v>
      </c>
      <c r="E2108">
        <v>71321935</v>
      </c>
      <c r="F2108">
        <v>75197983</v>
      </c>
      <c r="G2108">
        <v>146519918</v>
      </c>
      <c r="H2108">
        <v>20174</v>
      </c>
      <c r="I2108">
        <v>8842</v>
      </c>
      <c r="J2108">
        <v>29016</v>
      </c>
      <c r="K2108" t="b">
        <f>TrafficData[[#This Row],[disposedChallan]]+TrafficData[[#This Row],[pendingChallan]]=TrafficData[[#This Row],[totalChallan]]</f>
        <v>1</v>
      </c>
      <c r="L2108" t="b">
        <f>TrafficData[[#This Row],[pendingAmount]]+TrafficData[[#This Row],[disposedAmount]]=TrafficData[[#This Row],[totalAmount]]</f>
        <v>1</v>
      </c>
      <c r="M2108" t="b">
        <f>TrafficData[[#This Row],[pendingCourt]]+TrafficData[[#This Row],[disposedCourt]]=TrafficData[[#This Row],[totalCourt]]</f>
        <v>1</v>
      </c>
      <c r="N2108" t="b">
        <f>AND(TrafficData[[#This Row],[disposedChallan]]&lt;=TrafficData[[#This Row],[totalChallan]],TrafficData[[#This Row],[pendingChallan]]&lt;=TrafficData[[#This Row],[totalChallan]])</f>
        <v>1</v>
      </c>
      <c r="O2108" t="b">
        <f>AND(TrafficData[[#This Row],[pendingAmount]]&lt;=TrafficData[[#This Row],[totalAmount]],TrafficData[[#This Row],[disposedAmount]]&lt;=TrafficData[[#This Row],[totalAmount]])</f>
        <v>1</v>
      </c>
      <c r="P2108" t="b">
        <f>AND(TrafficData[[#This Row],[pendingCourt]]&lt;=TrafficData[[#This Row],[totalCourt]],TrafficData[[#This Row],[disposedCourt]]&lt;=TrafficData[[#This Row],[totalCourt]])</f>
        <v>1</v>
      </c>
    </row>
    <row r="2109" spans="1:16">
      <c r="A2109" s="1">
        <v>44113</v>
      </c>
      <c r="B2109">
        <v>118701</v>
      </c>
      <c r="C2109">
        <v>60240</v>
      </c>
      <c r="D2109">
        <v>58461</v>
      </c>
      <c r="E2109">
        <v>65106397</v>
      </c>
      <c r="F2109">
        <v>70002465</v>
      </c>
      <c r="G2109">
        <v>135108862</v>
      </c>
      <c r="H2109">
        <v>30280</v>
      </c>
      <c r="I2109">
        <v>11281</v>
      </c>
      <c r="J2109">
        <v>41561</v>
      </c>
      <c r="K2109" t="b">
        <f>TrafficData[[#This Row],[disposedChallan]]+TrafficData[[#This Row],[pendingChallan]]=TrafficData[[#This Row],[totalChallan]]</f>
        <v>1</v>
      </c>
      <c r="L2109" t="b">
        <f>TrafficData[[#This Row],[pendingAmount]]+TrafficData[[#This Row],[disposedAmount]]=TrafficData[[#This Row],[totalAmount]]</f>
        <v>1</v>
      </c>
      <c r="M2109" t="b">
        <f>TrafficData[[#This Row],[pendingCourt]]+TrafficData[[#This Row],[disposedCourt]]=TrafficData[[#This Row],[totalCourt]]</f>
        <v>1</v>
      </c>
      <c r="N2109" t="b">
        <f>AND(TrafficData[[#This Row],[disposedChallan]]&lt;=TrafficData[[#This Row],[totalChallan]],TrafficData[[#This Row],[pendingChallan]]&lt;=TrafficData[[#This Row],[totalChallan]])</f>
        <v>1</v>
      </c>
      <c r="O2109" t="b">
        <f>AND(TrafficData[[#This Row],[pendingAmount]]&lt;=TrafficData[[#This Row],[totalAmount]],TrafficData[[#This Row],[disposedAmount]]&lt;=TrafficData[[#This Row],[totalAmount]])</f>
        <v>1</v>
      </c>
      <c r="P2109" t="b">
        <f>AND(TrafficData[[#This Row],[pendingCourt]]&lt;=TrafficData[[#This Row],[totalCourt]],TrafficData[[#This Row],[disposedCourt]]&lt;=TrafficData[[#This Row],[totalCourt]])</f>
        <v>1</v>
      </c>
    </row>
    <row r="2110" spans="1:16">
      <c r="A2110" s="1">
        <v>44114</v>
      </c>
      <c r="B2110">
        <v>123156</v>
      </c>
      <c r="C2110">
        <v>61741</v>
      </c>
      <c r="D2110">
        <v>61415</v>
      </c>
      <c r="E2110">
        <v>64291343</v>
      </c>
      <c r="F2110">
        <v>66155734</v>
      </c>
      <c r="G2110">
        <v>130447077</v>
      </c>
      <c r="H2110">
        <v>30263</v>
      </c>
      <c r="I2110">
        <v>10711</v>
      </c>
      <c r="J2110">
        <v>40974</v>
      </c>
      <c r="K2110" t="b">
        <f>TrafficData[[#This Row],[disposedChallan]]+TrafficData[[#This Row],[pendingChallan]]=TrafficData[[#This Row],[totalChallan]]</f>
        <v>1</v>
      </c>
      <c r="L2110" t="b">
        <f>TrafficData[[#This Row],[pendingAmount]]+TrafficData[[#This Row],[disposedAmount]]=TrafficData[[#This Row],[totalAmount]]</f>
        <v>1</v>
      </c>
      <c r="M2110" t="b">
        <f>TrafficData[[#This Row],[pendingCourt]]+TrafficData[[#This Row],[disposedCourt]]=TrafficData[[#This Row],[totalCourt]]</f>
        <v>1</v>
      </c>
      <c r="N2110" t="b">
        <f>AND(TrafficData[[#This Row],[disposedChallan]]&lt;=TrafficData[[#This Row],[totalChallan]],TrafficData[[#This Row],[pendingChallan]]&lt;=TrafficData[[#This Row],[totalChallan]])</f>
        <v>1</v>
      </c>
      <c r="O2110" t="b">
        <f>AND(TrafficData[[#This Row],[pendingAmount]]&lt;=TrafficData[[#This Row],[totalAmount]],TrafficData[[#This Row],[disposedAmount]]&lt;=TrafficData[[#This Row],[totalAmount]])</f>
        <v>1</v>
      </c>
      <c r="P2110" t="b">
        <f>AND(TrafficData[[#This Row],[pendingCourt]]&lt;=TrafficData[[#This Row],[totalCourt]],TrafficData[[#This Row],[disposedCourt]]&lt;=TrafficData[[#This Row],[totalCourt]])</f>
        <v>1</v>
      </c>
    </row>
    <row r="2111" spans="1:16">
      <c r="A2111" s="1">
        <v>44115</v>
      </c>
      <c r="B2111">
        <v>116814</v>
      </c>
      <c r="C2111">
        <v>55502</v>
      </c>
      <c r="D2111">
        <v>61312</v>
      </c>
      <c r="E2111">
        <v>66577103</v>
      </c>
      <c r="F2111">
        <v>58190580</v>
      </c>
      <c r="G2111">
        <v>124767683</v>
      </c>
      <c r="H2111">
        <v>28380</v>
      </c>
      <c r="I2111">
        <v>9903</v>
      </c>
      <c r="J2111">
        <v>38283</v>
      </c>
      <c r="K2111" t="b">
        <f>TrafficData[[#This Row],[disposedChallan]]+TrafficData[[#This Row],[pendingChallan]]=TrafficData[[#This Row],[totalChallan]]</f>
        <v>1</v>
      </c>
      <c r="L2111" t="b">
        <f>TrafficData[[#This Row],[pendingAmount]]+TrafficData[[#This Row],[disposedAmount]]=TrafficData[[#This Row],[totalAmount]]</f>
        <v>1</v>
      </c>
      <c r="M2111" t="b">
        <f>TrafficData[[#This Row],[pendingCourt]]+TrafficData[[#This Row],[disposedCourt]]=TrafficData[[#This Row],[totalCourt]]</f>
        <v>1</v>
      </c>
      <c r="N2111" t="b">
        <f>AND(TrafficData[[#This Row],[disposedChallan]]&lt;=TrafficData[[#This Row],[totalChallan]],TrafficData[[#This Row],[pendingChallan]]&lt;=TrafficData[[#This Row],[totalChallan]])</f>
        <v>1</v>
      </c>
      <c r="O2111" t="b">
        <f>AND(TrafficData[[#This Row],[pendingAmount]]&lt;=TrafficData[[#This Row],[totalAmount]],TrafficData[[#This Row],[disposedAmount]]&lt;=TrafficData[[#This Row],[totalAmount]])</f>
        <v>1</v>
      </c>
      <c r="P2111" t="b">
        <f>AND(TrafficData[[#This Row],[pendingCourt]]&lt;=TrafficData[[#This Row],[totalCourt]],TrafficData[[#This Row],[disposedCourt]]&lt;=TrafficData[[#This Row],[totalCourt]])</f>
        <v>1</v>
      </c>
    </row>
    <row r="2112" spans="1:16">
      <c r="A2112" s="1">
        <v>44116</v>
      </c>
      <c r="B2112">
        <v>119550</v>
      </c>
      <c r="C2112">
        <v>59414</v>
      </c>
      <c r="D2112">
        <v>60136</v>
      </c>
      <c r="E2112">
        <v>67890550</v>
      </c>
      <c r="F2112">
        <v>69767955</v>
      </c>
      <c r="G2112">
        <v>137658505</v>
      </c>
      <c r="H2112">
        <v>30190</v>
      </c>
      <c r="I2112">
        <v>8471</v>
      </c>
      <c r="J2112">
        <v>38661</v>
      </c>
      <c r="K2112" t="b">
        <f>TrafficData[[#This Row],[disposedChallan]]+TrafficData[[#This Row],[pendingChallan]]=TrafficData[[#This Row],[totalChallan]]</f>
        <v>1</v>
      </c>
      <c r="L2112" t="b">
        <f>TrafficData[[#This Row],[pendingAmount]]+TrafficData[[#This Row],[disposedAmount]]=TrafficData[[#This Row],[totalAmount]]</f>
        <v>1</v>
      </c>
      <c r="M2112" t="b">
        <f>TrafficData[[#This Row],[pendingCourt]]+TrafficData[[#This Row],[disposedCourt]]=TrafficData[[#This Row],[totalCourt]]</f>
        <v>1</v>
      </c>
      <c r="N2112" t="b">
        <f>AND(TrafficData[[#This Row],[disposedChallan]]&lt;=TrafficData[[#This Row],[totalChallan]],TrafficData[[#This Row],[pendingChallan]]&lt;=TrafficData[[#This Row],[totalChallan]])</f>
        <v>1</v>
      </c>
      <c r="O2112" t="b">
        <f>AND(TrafficData[[#This Row],[pendingAmount]]&lt;=TrafficData[[#This Row],[totalAmount]],TrafficData[[#This Row],[disposedAmount]]&lt;=TrafficData[[#This Row],[totalAmount]])</f>
        <v>1</v>
      </c>
      <c r="P2112" t="b">
        <f>AND(TrafficData[[#This Row],[pendingCourt]]&lt;=TrafficData[[#This Row],[totalCourt]],TrafficData[[#This Row],[disposedCourt]]&lt;=TrafficData[[#This Row],[totalCourt]])</f>
        <v>1</v>
      </c>
    </row>
    <row r="2113" spans="1:16">
      <c r="A2113" s="1">
        <v>44117</v>
      </c>
      <c r="B2113">
        <v>121306</v>
      </c>
      <c r="C2113">
        <v>61425</v>
      </c>
      <c r="D2113">
        <v>59881</v>
      </c>
      <c r="E2113">
        <v>70572955</v>
      </c>
      <c r="F2113">
        <v>78572956</v>
      </c>
      <c r="G2113">
        <v>149145911</v>
      </c>
      <c r="H2113">
        <v>29966</v>
      </c>
      <c r="I2113">
        <v>10362</v>
      </c>
      <c r="J2113">
        <v>40328</v>
      </c>
      <c r="K2113" t="b">
        <f>TrafficData[[#This Row],[disposedChallan]]+TrafficData[[#This Row],[pendingChallan]]=TrafficData[[#This Row],[totalChallan]]</f>
        <v>1</v>
      </c>
      <c r="L2113" t="b">
        <f>TrafficData[[#This Row],[pendingAmount]]+TrafficData[[#This Row],[disposedAmount]]=TrafficData[[#This Row],[totalAmount]]</f>
        <v>1</v>
      </c>
      <c r="M2113" t="b">
        <f>TrafficData[[#This Row],[pendingCourt]]+TrafficData[[#This Row],[disposedCourt]]=TrafficData[[#This Row],[totalCourt]]</f>
        <v>1</v>
      </c>
      <c r="N2113" t="b">
        <f>AND(TrafficData[[#This Row],[disposedChallan]]&lt;=TrafficData[[#This Row],[totalChallan]],TrafficData[[#This Row],[pendingChallan]]&lt;=TrafficData[[#This Row],[totalChallan]])</f>
        <v>1</v>
      </c>
      <c r="O2113" t="b">
        <f>AND(TrafficData[[#This Row],[pendingAmount]]&lt;=TrafficData[[#This Row],[totalAmount]],TrafficData[[#This Row],[disposedAmount]]&lt;=TrafficData[[#This Row],[totalAmount]])</f>
        <v>1</v>
      </c>
      <c r="P2113" t="b">
        <f>AND(TrafficData[[#This Row],[pendingCourt]]&lt;=TrafficData[[#This Row],[totalCourt]],TrafficData[[#This Row],[disposedCourt]]&lt;=TrafficData[[#This Row],[totalCourt]])</f>
        <v>1</v>
      </c>
    </row>
    <row r="2114" spans="1:16">
      <c r="A2114" s="1">
        <v>44118</v>
      </c>
      <c r="B2114">
        <v>123355</v>
      </c>
      <c r="C2114">
        <v>62002</v>
      </c>
      <c r="D2114">
        <v>61353</v>
      </c>
      <c r="E2114">
        <v>70160343</v>
      </c>
      <c r="F2114">
        <v>78292106</v>
      </c>
      <c r="G2114">
        <v>148452449</v>
      </c>
      <c r="H2114">
        <v>28862</v>
      </c>
      <c r="I2114">
        <v>8132</v>
      </c>
      <c r="J2114">
        <v>36994</v>
      </c>
      <c r="K2114" t="b">
        <f>TrafficData[[#This Row],[disposedChallan]]+TrafficData[[#This Row],[pendingChallan]]=TrafficData[[#This Row],[totalChallan]]</f>
        <v>1</v>
      </c>
      <c r="L2114" t="b">
        <f>TrafficData[[#This Row],[pendingAmount]]+TrafficData[[#This Row],[disposedAmount]]=TrafficData[[#This Row],[totalAmount]]</f>
        <v>1</v>
      </c>
      <c r="M2114" t="b">
        <f>TrafficData[[#This Row],[pendingCourt]]+TrafficData[[#This Row],[disposedCourt]]=TrafficData[[#This Row],[totalCourt]]</f>
        <v>1</v>
      </c>
      <c r="N2114" t="b">
        <f>AND(TrafficData[[#This Row],[disposedChallan]]&lt;=TrafficData[[#This Row],[totalChallan]],TrafficData[[#This Row],[pendingChallan]]&lt;=TrafficData[[#This Row],[totalChallan]])</f>
        <v>1</v>
      </c>
      <c r="O2114" t="b">
        <f>AND(TrafficData[[#This Row],[pendingAmount]]&lt;=TrafficData[[#This Row],[totalAmount]],TrafficData[[#This Row],[disposedAmount]]&lt;=TrafficData[[#This Row],[totalAmount]])</f>
        <v>1</v>
      </c>
      <c r="P2114" t="b">
        <f>AND(TrafficData[[#This Row],[pendingCourt]]&lt;=TrafficData[[#This Row],[totalCourt]],TrafficData[[#This Row],[disposedCourt]]&lt;=TrafficData[[#This Row],[totalCourt]])</f>
        <v>1</v>
      </c>
    </row>
    <row r="2115" spans="1:16">
      <c r="A2115" s="1">
        <v>44119</v>
      </c>
      <c r="B2115">
        <v>135583</v>
      </c>
      <c r="C2115">
        <v>64445</v>
      </c>
      <c r="D2115">
        <v>71138</v>
      </c>
      <c r="E2115">
        <v>73410238</v>
      </c>
      <c r="F2115">
        <v>71708764</v>
      </c>
      <c r="G2115">
        <v>145119002</v>
      </c>
      <c r="H2115">
        <v>25289</v>
      </c>
      <c r="I2115">
        <v>9488</v>
      </c>
      <c r="J2115">
        <v>34777</v>
      </c>
      <c r="K2115" t="b">
        <f>TrafficData[[#This Row],[disposedChallan]]+TrafficData[[#This Row],[pendingChallan]]=TrafficData[[#This Row],[totalChallan]]</f>
        <v>1</v>
      </c>
      <c r="L2115" t="b">
        <f>TrafficData[[#This Row],[pendingAmount]]+TrafficData[[#This Row],[disposedAmount]]=TrafficData[[#This Row],[totalAmount]]</f>
        <v>1</v>
      </c>
      <c r="M2115" t="b">
        <f>TrafficData[[#This Row],[pendingCourt]]+TrafficData[[#This Row],[disposedCourt]]=TrafficData[[#This Row],[totalCourt]]</f>
        <v>1</v>
      </c>
      <c r="N2115" t="b">
        <f>AND(TrafficData[[#This Row],[disposedChallan]]&lt;=TrafficData[[#This Row],[totalChallan]],TrafficData[[#This Row],[pendingChallan]]&lt;=TrafficData[[#This Row],[totalChallan]])</f>
        <v>1</v>
      </c>
      <c r="O2115" t="b">
        <f>AND(TrafficData[[#This Row],[pendingAmount]]&lt;=TrafficData[[#This Row],[totalAmount]],TrafficData[[#This Row],[disposedAmount]]&lt;=TrafficData[[#This Row],[totalAmount]])</f>
        <v>1</v>
      </c>
      <c r="P2115" t="b">
        <f>AND(TrafficData[[#This Row],[pendingCourt]]&lt;=TrafficData[[#This Row],[totalCourt]],TrafficData[[#This Row],[disposedCourt]]&lt;=TrafficData[[#This Row],[totalCourt]])</f>
        <v>1</v>
      </c>
    </row>
    <row r="2116" spans="1:16">
      <c r="A2116" s="1">
        <v>44120</v>
      </c>
      <c r="B2116">
        <v>124047</v>
      </c>
      <c r="C2116">
        <v>61489</v>
      </c>
      <c r="D2116">
        <v>62558</v>
      </c>
      <c r="E2116">
        <v>67683972</v>
      </c>
      <c r="F2116">
        <v>74860877</v>
      </c>
      <c r="G2116">
        <v>142544849</v>
      </c>
      <c r="H2116">
        <v>30391</v>
      </c>
      <c r="I2116">
        <v>10184</v>
      </c>
      <c r="J2116">
        <v>40575</v>
      </c>
      <c r="K2116" t="b">
        <f>TrafficData[[#This Row],[disposedChallan]]+TrafficData[[#This Row],[pendingChallan]]=TrafficData[[#This Row],[totalChallan]]</f>
        <v>1</v>
      </c>
      <c r="L2116" t="b">
        <f>TrafficData[[#This Row],[pendingAmount]]+TrafficData[[#This Row],[disposedAmount]]=TrafficData[[#This Row],[totalAmount]]</f>
        <v>1</v>
      </c>
      <c r="M2116" t="b">
        <f>TrafficData[[#This Row],[pendingCourt]]+TrafficData[[#This Row],[disposedCourt]]=TrafficData[[#This Row],[totalCourt]]</f>
        <v>1</v>
      </c>
      <c r="N2116" t="b">
        <f>AND(TrafficData[[#This Row],[disposedChallan]]&lt;=TrafficData[[#This Row],[totalChallan]],TrafficData[[#This Row],[pendingChallan]]&lt;=TrafficData[[#This Row],[totalChallan]])</f>
        <v>1</v>
      </c>
      <c r="O2116" t="b">
        <f>AND(TrafficData[[#This Row],[pendingAmount]]&lt;=TrafficData[[#This Row],[totalAmount]],TrafficData[[#This Row],[disposedAmount]]&lt;=TrafficData[[#This Row],[totalAmount]])</f>
        <v>1</v>
      </c>
      <c r="P2116" t="b">
        <f>AND(TrafficData[[#This Row],[pendingCourt]]&lt;=TrafficData[[#This Row],[totalCourt]],TrafficData[[#This Row],[disposedCourt]]&lt;=TrafficData[[#This Row],[totalCourt]])</f>
        <v>1</v>
      </c>
    </row>
    <row r="2117" spans="1:16">
      <c r="A2117" s="1">
        <v>44121</v>
      </c>
      <c r="B2117">
        <v>118427</v>
      </c>
      <c r="C2117">
        <v>58869</v>
      </c>
      <c r="D2117">
        <v>59558</v>
      </c>
      <c r="E2117">
        <v>65586968</v>
      </c>
      <c r="F2117">
        <v>65378302</v>
      </c>
      <c r="G2117">
        <v>130965270</v>
      </c>
      <c r="H2117">
        <v>28375</v>
      </c>
      <c r="I2117">
        <v>9555</v>
      </c>
      <c r="J2117">
        <v>37930</v>
      </c>
      <c r="K2117" t="b">
        <f>TrafficData[[#This Row],[disposedChallan]]+TrafficData[[#This Row],[pendingChallan]]=TrafficData[[#This Row],[totalChallan]]</f>
        <v>1</v>
      </c>
      <c r="L2117" t="b">
        <f>TrafficData[[#This Row],[pendingAmount]]+TrafficData[[#This Row],[disposedAmount]]=TrafficData[[#This Row],[totalAmount]]</f>
        <v>1</v>
      </c>
      <c r="M2117" t="b">
        <f>TrafficData[[#This Row],[pendingCourt]]+TrafficData[[#This Row],[disposedCourt]]=TrafficData[[#This Row],[totalCourt]]</f>
        <v>1</v>
      </c>
      <c r="N2117" t="b">
        <f>AND(TrafficData[[#This Row],[disposedChallan]]&lt;=TrafficData[[#This Row],[totalChallan]],TrafficData[[#This Row],[pendingChallan]]&lt;=TrafficData[[#This Row],[totalChallan]])</f>
        <v>1</v>
      </c>
      <c r="O2117" t="b">
        <f>AND(TrafficData[[#This Row],[pendingAmount]]&lt;=TrafficData[[#This Row],[totalAmount]],TrafficData[[#This Row],[disposedAmount]]&lt;=TrafficData[[#This Row],[totalAmount]])</f>
        <v>1</v>
      </c>
      <c r="P2117" t="b">
        <f>AND(TrafficData[[#This Row],[pendingCourt]]&lt;=TrafficData[[#This Row],[totalCourt]],TrafficData[[#This Row],[disposedCourt]]&lt;=TrafficData[[#This Row],[totalCourt]])</f>
        <v>1</v>
      </c>
    </row>
    <row r="2118" spans="1:16">
      <c r="A2118" s="1">
        <v>44122</v>
      </c>
      <c r="B2118">
        <v>99600</v>
      </c>
      <c r="C2118">
        <v>46939</v>
      </c>
      <c r="D2118">
        <v>52661</v>
      </c>
      <c r="E2118">
        <v>55462049</v>
      </c>
      <c r="F2118">
        <v>50796232</v>
      </c>
      <c r="G2118">
        <v>106258281</v>
      </c>
      <c r="H2118">
        <v>24402</v>
      </c>
      <c r="I2118">
        <v>6138</v>
      </c>
      <c r="J2118">
        <v>30540</v>
      </c>
      <c r="K2118" t="b">
        <f>TrafficData[[#This Row],[disposedChallan]]+TrafficData[[#This Row],[pendingChallan]]=TrafficData[[#This Row],[totalChallan]]</f>
        <v>1</v>
      </c>
      <c r="L2118" t="b">
        <f>TrafficData[[#This Row],[pendingAmount]]+TrafficData[[#This Row],[disposedAmount]]=TrafficData[[#This Row],[totalAmount]]</f>
        <v>1</v>
      </c>
      <c r="M2118" t="b">
        <f>TrafficData[[#This Row],[pendingCourt]]+TrafficData[[#This Row],[disposedCourt]]=TrafficData[[#This Row],[totalCourt]]</f>
        <v>1</v>
      </c>
      <c r="N2118" t="b">
        <f>AND(TrafficData[[#This Row],[disposedChallan]]&lt;=TrafficData[[#This Row],[totalChallan]],TrafficData[[#This Row],[pendingChallan]]&lt;=TrafficData[[#This Row],[totalChallan]])</f>
        <v>1</v>
      </c>
      <c r="O2118" t="b">
        <f>AND(TrafficData[[#This Row],[pendingAmount]]&lt;=TrafficData[[#This Row],[totalAmount]],TrafficData[[#This Row],[disposedAmount]]&lt;=TrafficData[[#This Row],[totalAmount]])</f>
        <v>1</v>
      </c>
      <c r="P2118" t="b">
        <f>AND(TrafficData[[#This Row],[pendingCourt]]&lt;=TrafficData[[#This Row],[totalCourt]],TrafficData[[#This Row],[disposedCourt]]&lt;=TrafficData[[#This Row],[totalCourt]])</f>
        <v>1</v>
      </c>
    </row>
    <row r="2119" spans="1:16">
      <c r="A2119" s="1">
        <v>44123</v>
      </c>
      <c r="B2119">
        <v>116524</v>
      </c>
      <c r="C2119">
        <v>58545</v>
      </c>
      <c r="D2119">
        <v>57979</v>
      </c>
      <c r="E2119">
        <v>61402702</v>
      </c>
      <c r="F2119">
        <v>60870226</v>
      </c>
      <c r="G2119">
        <v>122272928</v>
      </c>
      <c r="H2119">
        <v>27705</v>
      </c>
      <c r="I2119">
        <v>9763</v>
      </c>
      <c r="J2119">
        <v>37468</v>
      </c>
      <c r="K2119" t="b">
        <f>TrafficData[[#This Row],[disposedChallan]]+TrafficData[[#This Row],[pendingChallan]]=TrafficData[[#This Row],[totalChallan]]</f>
        <v>1</v>
      </c>
      <c r="L2119" t="b">
        <f>TrafficData[[#This Row],[pendingAmount]]+TrafficData[[#This Row],[disposedAmount]]=TrafficData[[#This Row],[totalAmount]]</f>
        <v>1</v>
      </c>
      <c r="M2119" t="b">
        <f>TrafficData[[#This Row],[pendingCourt]]+TrafficData[[#This Row],[disposedCourt]]=TrafficData[[#This Row],[totalCourt]]</f>
        <v>1</v>
      </c>
      <c r="N2119" t="b">
        <f>AND(TrafficData[[#This Row],[disposedChallan]]&lt;=TrafficData[[#This Row],[totalChallan]],TrafficData[[#This Row],[pendingChallan]]&lt;=TrafficData[[#This Row],[totalChallan]])</f>
        <v>1</v>
      </c>
      <c r="O2119" t="b">
        <f>AND(TrafficData[[#This Row],[pendingAmount]]&lt;=TrafficData[[#This Row],[totalAmount]],TrafficData[[#This Row],[disposedAmount]]&lt;=TrafficData[[#This Row],[totalAmount]])</f>
        <v>1</v>
      </c>
      <c r="P2119" t="b">
        <f>AND(TrafficData[[#This Row],[pendingCourt]]&lt;=TrafficData[[#This Row],[totalCourt]],TrafficData[[#This Row],[disposedCourt]]&lt;=TrafficData[[#This Row],[totalCourt]])</f>
        <v>1</v>
      </c>
    </row>
    <row r="2120" spans="1:16">
      <c r="A2120" s="1">
        <v>44124</v>
      </c>
      <c r="B2120">
        <v>116546</v>
      </c>
      <c r="C2120">
        <v>57700</v>
      </c>
      <c r="D2120">
        <v>58846</v>
      </c>
      <c r="E2120">
        <v>64519418</v>
      </c>
      <c r="F2120">
        <v>65839269</v>
      </c>
      <c r="G2120">
        <v>130358687</v>
      </c>
      <c r="H2120">
        <v>27917</v>
      </c>
      <c r="I2120">
        <v>9782</v>
      </c>
      <c r="J2120">
        <v>37699</v>
      </c>
      <c r="K2120" t="b">
        <f>TrafficData[[#This Row],[disposedChallan]]+TrafficData[[#This Row],[pendingChallan]]=TrafficData[[#This Row],[totalChallan]]</f>
        <v>1</v>
      </c>
      <c r="L2120" t="b">
        <f>TrafficData[[#This Row],[pendingAmount]]+TrafficData[[#This Row],[disposedAmount]]=TrafficData[[#This Row],[totalAmount]]</f>
        <v>1</v>
      </c>
      <c r="M2120" t="b">
        <f>TrafficData[[#This Row],[pendingCourt]]+TrafficData[[#This Row],[disposedCourt]]=TrafficData[[#This Row],[totalCourt]]</f>
        <v>1</v>
      </c>
      <c r="N2120" t="b">
        <f>AND(TrafficData[[#This Row],[disposedChallan]]&lt;=TrafficData[[#This Row],[totalChallan]],TrafficData[[#This Row],[pendingChallan]]&lt;=TrafficData[[#This Row],[totalChallan]])</f>
        <v>1</v>
      </c>
      <c r="O2120" t="b">
        <f>AND(TrafficData[[#This Row],[pendingAmount]]&lt;=TrafficData[[#This Row],[totalAmount]],TrafficData[[#This Row],[disposedAmount]]&lt;=TrafficData[[#This Row],[totalAmount]])</f>
        <v>1</v>
      </c>
      <c r="P2120" t="b">
        <f>AND(TrafficData[[#This Row],[pendingCourt]]&lt;=TrafficData[[#This Row],[totalCourt]],TrafficData[[#This Row],[disposedCourt]]&lt;=TrafficData[[#This Row],[totalCourt]])</f>
        <v>1</v>
      </c>
    </row>
    <row r="2121" spans="1:16">
      <c r="A2121" s="1">
        <v>44125</v>
      </c>
      <c r="B2121">
        <v>113646</v>
      </c>
      <c r="C2121">
        <v>57612</v>
      </c>
      <c r="D2121">
        <v>56034</v>
      </c>
      <c r="E2121">
        <v>65121665</v>
      </c>
      <c r="F2121">
        <v>65762477</v>
      </c>
      <c r="G2121">
        <v>130884142</v>
      </c>
      <c r="H2121">
        <v>26368</v>
      </c>
      <c r="I2121">
        <v>9321</v>
      </c>
      <c r="J2121">
        <v>35689</v>
      </c>
      <c r="K2121" t="b">
        <f>TrafficData[[#This Row],[disposedChallan]]+TrafficData[[#This Row],[pendingChallan]]=TrafficData[[#This Row],[totalChallan]]</f>
        <v>1</v>
      </c>
      <c r="L2121" t="b">
        <f>TrafficData[[#This Row],[pendingAmount]]+TrafficData[[#This Row],[disposedAmount]]=TrafficData[[#This Row],[totalAmount]]</f>
        <v>1</v>
      </c>
      <c r="M2121" t="b">
        <f>TrafficData[[#This Row],[pendingCourt]]+TrafficData[[#This Row],[disposedCourt]]=TrafficData[[#This Row],[totalCourt]]</f>
        <v>1</v>
      </c>
      <c r="N2121" t="b">
        <f>AND(TrafficData[[#This Row],[disposedChallan]]&lt;=TrafficData[[#This Row],[totalChallan]],TrafficData[[#This Row],[pendingChallan]]&lt;=TrafficData[[#This Row],[totalChallan]])</f>
        <v>1</v>
      </c>
      <c r="O2121" t="b">
        <f>AND(TrafficData[[#This Row],[pendingAmount]]&lt;=TrafficData[[#This Row],[totalAmount]],TrafficData[[#This Row],[disposedAmount]]&lt;=TrafficData[[#This Row],[totalAmount]])</f>
        <v>1</v>
      </c>
      <c r="P2121" t="b">
        <f>AND(TrafficData[[#This Row],[pendingCourt]]&lt;=TrafficData[[#This Row],[totalCourt]],TrafficData[[#This Row],[disposedCourt]]&lt;=TrafficData[[#This Row],[totalCourt]])</f>
        <v>1</v>
      </c>
    </row>
    <row r="2122" spans="1:16">
      <c r="A2122" s="1">
        <v>44126</v>
      </c>
      <c r="B2122">
        <v>114959</v>
      </c>
      <c r="C2122">
        <v>57625</v>
      </c>
      <c r="D2122">
        <v>57334</v>
      </c>
      <c r="E2122">
        <v>64265241</v>
      </c>
      <c r="F2122">
        <v>58293033</v>
      </c>
      <c r="G2122">
        <v>122558274</v>
      </c>
      <c r="H2122">
        <v>26675</v>
      </c>
      <c r="I2122">
        <v>9267</v>
      </c>
      <c r="J2122">
        <v>35942</v>
      </c>
      <c r="K2122" t="b">
        <f>TrafficData[[#This Row],[disposedChallan]]+TrafficData[[#This Row],[pendingChallan]]=TrafficData[[#This Row],[totalChallan]]</f>
        <v>1</v>
      </c>
      <c r="L2122" t="b">
        <f>TrafficData[[#This Row],[pendingAmount]]+TrafficData[[#This Row],[disposedAmount]]=TrafficData[[#This Row],[totalAmount]]</f>
        <v>1</v>
      </c>
      <c r="M2122" t="b">
        <f>TrafficData[[#This Row],[pendingCourt]]+TrafficData[[#This Row],[disposedCourt]]=TrafficData[[#This Row],[totalCourt]]</f>
        <v>1</v>
      </c>
      <c r="N2122" t="b">
        <f>AND(TrafficData[[#This Row],[disposedChallan]]&lt;=TrafficData[[#This Row],[totalChallan]],TrafficData[[#This Row],[pendingChallan]]&lt;=TrafficData[[#This Row],[totalChallan]])</f>
        <v>1</v>
      </c>
      <c r="O2122" t="b">
        <f>AND(TrafficData[[#This Row],[pendingAmount]]&lt;=TrafficData[[#This Row],[totalAmount]],TrafficData[[#This Row],[disposedAmount]]&lt;=TrafficData[[#This Row],[totalAmount]])</f>
        <v>1</v>
      </c>
      <c r="P2122" t="b">
        <f>AND(TrafficData[[#This Row],[pendingCourt]]&lt;=TrafficData[[#This Row],[totalCourt]],TrafficData[[#This Row],[disposedCourt]]&lt;=TrafficData[[#This Row],[totalCourt]])</f>
        <v>1</v>
      </c>
    </row>
    <row r="2123" spans="1:16">
      <c r="A2123" s="1">
        <v>44127</v>
      </c>
      <c r="B2123">
        <v>111235</v>
      </c>
      <c r="C2123">
        <v>56295</v>
      </c>
      <c r="D2123">
        <v>54940</v>
      </c>
      <c r="E2123">
        <v>62206870</v>
      </c>
      <c r="F2123">
        <v>58358686</v>
      </c>
      <c r="G2123">
        <v>120565556</v>
      </c>
      <c r="H2123">
        <v>24063</v>
      </c>
      <c r="I2123">
        <v>8777</v>
      </c>
      <c r="J2123">
        <v>32840</v>
      </c>
      <c r="K2123" t="b">
        <f>TrafficData[[#This Row],[disposedChallan]]+TrafficData[[#This Row],[pendingChallan]]=TrafficData[[#This Row],[totalChallan]]</f>
        <v>1</v>
      </c>
      <c r="L2123" t="b">
        <f>TrafficData[[#This Row],[pendingAmount]]+TrafficData[[#This Row],[disposedAmount]]=TrafficData[[#This Row],[totalAmount]]</f>
        <v>1</v>
      </c>
      <c r="M2123" t="b">
        <f>TrafficData[[#This Row],[pendingCourt]]+TrafficData[[#This Row],[disposedCourt]]=TrafficData[[#This Row],[totalCourt]]</f>
        <v>1</v>
      </c>
      <c r="N2123" t="b">
        <f>AND(TrafficData[[#This Row],[disposedChallan]]&lt;=TrafficData[[#This Row],[totalChallan]],TrafficData[[#This Row],[pendingChallan]]&lt;=TrafficData[[#This Row],[totalChallan]])</f>
        <v>1</v>
      </c>
      <c r="O2123" t="b">
        <f>AND(TrafficData[[#This Row],[pendingAmount]]&lt;=TrafficData[[#This Row],[totalAmount]],TrafficData[[#This Row],[disposedAmount]]&lt;=TrafficData[[#This Row],[totalAmount]])</f>
        <v>1</v>
      </c>
      <c r="P2123" t="b">
        <f>AND(TrafficData[[#This Row],[pendingCourt]]&lt;=TrafficData[[#This Row],[totalCourt]],TrafficData[[#This Row],[disposedCourt]]&lt;=TrafficData[[#This Row],[totalCourt]])</f>
        <v>1</v>
      </c>
    </row>
    <row r="2124" spans="1:16">
      <c r="A2124" s="1">
        <v>44128</v>
      </c>
      <c r="B2124">
        <v>111086</v>
      </c>
      <c r="C2124">
        <v>55081</v>
      </c>
      <c r="D2124">
        <v>56005</v>
      </c>
      <c r="E2124">
        <v>64389153</v>
      </c>
      <c r="F2124">
        <v>50412480</v>
      </c>
      <c r="G2124">
        <v>114801633</v>
      </c>
      <c r="H2124">
        <v>28533</v>
      </c>
      <c r="I2124">
        <v>9919</v>
      </c>
      <c r="J2124">
        <v>38452</v>
      </c>
      <c r="K2124" t="b">
        <f>TrafficData[[#This Row],[disposedChallan]]+TrafficData[[#This Row],[pendingChallan]]=TrafficData[[#This Row],[totalChallan]]</f>
        <v>1</v>
      </c>
      <c r="L2124" t="b">
        <f>TrafficData[[#This Row],[pendingAmount]]+TrafficData[[#This Row],[disposedAmount]]=TrafficData[[#This Row],[totalAmount]]</f>
        <v>1</v>
      </c>
      <c r="M2124" t="b">
        <f>TrafficData[[#This Row],[pendingCourt]]+TrafficData[[#This Row],[disposedCourt]]=TrafficData[[#This Row],[totalCourt]]</f>
        <v>1</v>
      </c>
      <c r="N2124" t="b">
        <f>AND(TrafficData[[#This Row],[disposedChallan]]&lt;=TrafficData[[#This Row],[totalChallan]],TrafficData[[#This Row],[pendingChallan]]&lt;=TrafficData[[#This Row],[totalChallan]])</f>
        <v>1</v>
      </c>
      <c r="O2124" t="b">
        <f>AND(TrafficData[[#This Row],[pendingAmount]]&lt;=TrafficData[[#This Row],[totalAmount]],TrafficData[[#This Row],[disposedAmount]]&lt;=TrafficData[[#This Row],[totalAmount]])</f>
        <v>1</v>
      </c>
      <c r="P2124" t="b">
        <f>AND(TrafficData[[#This Row],[pendingCourt]]&lt;=TrafficData[[#This Row],[totalCourt]],TrafficData[[#This Row],[disposedCourt]]&lt;=TrafficData[[#This Row],[totalCourt]])</f>
        <v>1</v>
      </c>
    </row>
    <row r="2125" spans="1:16">
      <c r="A2125" s="1">
        <v>44129</v>
      </c>
      <c r="B2125">
        <v>100295</v>
      </c>
      <c r="C2125">
        <v>45816</v>
      </c>
      <c r="D2125">
        <v>54479</v>
      </c>
      <c r="E2125">
        <v>61743236</v>
      </c>
      <c r="F2125">
        <v>39113339</v>
      </c>
      <c r="G2125">
        <v>100856575</v>
      </c>
      <c r="H2125">
        <v>26465</v>
      </c>
      <c r="I2125">
        <v>8652</v>
      </c>
      <c r="J2125">
        <v>35117</v>
      </c>
      <c r="K2125" t="b">
        <f>TrafficData[[#This Row],[disposedChallan]]+TrafficData[[#This Row],[pendingChallan]]=TrafficData[[#This Row],[totalChallan]]</f>
        <v>1</v>
      </c>
      <c r="L2125" t="b">
        <f>TrafficData[[#This Row],[pendingAmount]]+TrafficData[[#This Row],[disposedAmount]]=TrafficData[[#This Row],[totalAmount]]</f>
        <v>1</v>
      </c>
      <c r="M2125" t="b">
        <f>TrafficData[[#This Row],[pendingCourt]]+TrafficData[[#This Row],[disposedCourt]]=TrafficData[[#This Row],[totalCourt]]</f>
        <v>1</v>
      </c>
      <c r="N2125" t="b">
        <f>AND(TrafficData[[#This Row],[disposedChallan]]&lt;=TrafficData[[#This Row],[totalChallan]],TrafficData[[#This Row],[pendingChallan]]&lt;=TrafficData[[#This Row],[totalChallan]])</f>
        <v>1</v>
      </c>
      <c r="O2125" t="b">
        <f>AND(TrafficData[[#This Row],[pendingAmount]]&lt;=TrafficData[[#This Row],[totalAmount]],TrafficData[[#This Row],[disposedAmount]]&lt;=TrafficData[[#This Row],[totalAmount]])</f>
        <v>1</v>
      </c>
      <c r="P2125" t="b">
        <f>AND(TrafficData[[#This Row],[pendingCourt]]&lt;=TrafficData[[#This Row],[totalCourt]],TrafficData[[#This Row],[disposedCourt]]&lt;=TrafficData[[#This Row],[totalCourt]])</f>
        <v>1</v>
      </c>
    </row>
    <row r="2126" spans="1:16">
      <c r="A2126" s="1">
        <v>44130</v>
      </c>
      <c r="B2126">
        <v>112405</v>
      </c>
      <c r="C2126">
        <v>55542</v>
      </c>
      <c r="D2126">
        <v>56863</v>
      </c>
      <c r="E2126">
        <v>65501969</v>
      </c>
      <c r="F2126">
        <v>50298001</v>
      </c>
      <c r="G2126">
        <v>115799970</v>
      </c>
      <c r="H2126">
        <v>28403</v>
      </c>
      <c r="I2126">
        <v>7255</v>
      </c>
      <c r="J2126">
        <v>35658</v>
      </c>
      <c r="K2126" t="b">
        <f>TrafficData[[#This Row],[disposedChallan]]+TrafficData[[#This Row],[pendingChallan]]=TrafficData[[#This Row],[totalChallan]]</f>
        <v>1</v>
      </c>
      <c r="L2126" t="b">
        <f>TrafficData[[#This Row],[pendingAmount]]+TrafficData[[#This Row],[disposedAmount]]=TrafficData[[#This Row],[totalAmount]]</f>
        <v>1</v>
      </c>
      <c r="M2126" t="b">
        <f>TrafficData[[#This Row],[pendingCourt]]+TrafficData[[#This Row],[disposedCourt]]=TrafficData[[#This Row],[totalCourt]]</f>
        <v>1</v>
      </c>
      <c r="N2126" t="b">
        <f>AND(TrafficData[[#This Row],[disposedChallan]]&lt;=TrafficData[[#This Row],[totalChallan]],TrafficData[[#This Row],[pendingChallan]]&lt;=TrafficData[[#This Row],[totalChallan]])</f>
        <v>1</v>
      </c>
      <c r="O2126" t="b">
        <f>AND(TrafficData[[#This Row],[pendingAmount]]&lt;=TrafficData[[#This Row],[totalAmount]],TrafficData[[#This Row],[disposedAmount]]&lt;=TrafficData[[#This Row],[totalAmount]])</f>
        <v>1</v>
      </c>
      <c r="P2126" t="b">
        <f>AND(TrafficData[[#This Row],[pendingCourt]]&lt;=TrafficData[[#This Row],[totalCourt]],TrafficData[[#This Row],[disposedCourt]]&lt;=TrafficData[[#This Row],[totalCourt]])</f>
        <v>1</v>
      </c>
    </row>
    <row r="2127" spans="1:16">
      <c r="A2127" s="1">
        <v>44131</v>
      </c>
      <c r="B2127">
        <v>108336</v>
      </c>
      <c r="C2127">
        <v>55059</v>
      </c>
      <c r="D2127">
        <v>53277</v>
      </c>
      <c r="E2127">
        <v>66407566</v>
      </c>
      <c r="F2127">
        <v>58909960</v>
      </c>
      <c r="G2127">
        <v>125317526</v>
      </c>
      <c r="H2127">
        <v>25806</v>
      </c>
      <c r="I2127">
        <v>9794</v>
      </c>
      <c r="J2127">
        <v>35600</v>
      </c>
      <c r="K2127" t="b">
        <f>TrafficData[[#This Row],[disposedChallan]]+TrafficData[[#This Row],[pendingChallan]]=TrafficData[[#This Row],[totalChallan]]</f>
        <v>1</v>
      </c>
      <c r="L2127" t="b">
        <f>TrafficData[[#This Row],[pendingAmount]]+TrafficData[[#This Row],[disposedAmount]]=TrafficData[[#This Row],[totalAmount]]</f>
        <v>1</v>
      </c>
      <c r="M2127" t="b">
        <f>TrafficData[[#This Row],[pendingCourt]]+TrafficData[[#This Row],[disposedCourt]]=TrafficData[[#This Row],[totalCourt]]</f>
        <v>1</v>
      </c>
      <c r="N2127" t="b">
        <f>AND(TrafficData[[#This Row],[disposedChallan]]&lt;=TrafficData[[#This Row],[totalChallan]],TrafficData[[#This Row],[pendingChallan]]&lt;=TrafficData[[#This Row],[totalChallan]])</f>
        <v>1</v>
      </c>
      <c r="O2127" t="b">
        <f>AND(TrafficData[[#This Row],[pendingAmount]]&lt;=TrafficData[[#This Row],[totalAmount]],TrafficData[[#This Row],[disposedAmount]]&lt;=TrafficData[[#This Row],[totalAmount]])</f>
        <v>1</v>
      </c>
      <c r="P2127" t="b">
        <f>AND(TrafficData[[#This Row],[pendingCourt]]&lt;=TrafficData[[#This Row],[totalCourt]],TrafficData[[#This Row],[disposedCourt]]&lt;=TrafficData[[#This Row],[totalCourt]])</f>
        <v>1</v>
      </c>
    </row>
    <row r="2128" spans="1:16">
      <c r="A2128" s="1">
        <v>44132</v>
      </c>
      <c r="B2128">
        <v>114961</v>
      </c>
      <c r="C2128">
        <v>57769</v>
      </c>
      <c r="D2128">
        <v>57192</v>
      </c>
      <c r="E2128">
        <v>71290574</v>
      </c>
      <c r="F2128">
        <v>61212642</v>
      </c>
      <c r="G2128">
        <v>132503216</v>
      </c>
      <c r="H2128">
        <v>30120</v>
      </c>
      <c r="I2128">
        <v>10315</v>
      </c>
      <c r="J2128">
        <v>40435</v>
      </c>
      <c r="K2128" t="b">
        <f>TrafficData[[#This Row],[disposedChallan]]+TrafficData[[#This Row],[pendingChallan]]=TrafficData[[#This Row],[totalChallan]]</f>
        <v>1</v>
      </c>
      <c r="L2128" t="b">
        <f>TrafficData[[#This Row],[pendingAmount]]+TrafficData[[#This Row],[disposedAmount]]=TrafficData[[#This Row],[totalAmount]]</f>
        <v>1</v>
      </c>
      <c r="M2128" t="b">
        <f>TrafficData[[#This Row],[pendingCourt]]+TrafficData[[#This Row],[disposedCourt]]=TrafficData[[#This Row],[totalCourt]]</f>
        <v>1</v>
      </c>
      <c r="N2128" t="b">
        <f>AND(TrafficData[[#This Row],[disposedChallan]]&lt;=TrafficData[[#This Row],[totalChallan]],TrafficData[[#This Row],[pendingChallan]]&lt;=TrafficData[[#This Row],[totalChallan]])</f>
        <v>1</v>
      </c>
      <c r="O2128" t="b">
        <f>AND(TrafficData[[#This Row],[pendingAmount]]&lt;=TrafficData[[#This Row],[totalAmount]],TrafficData[[#This Row],[disposedAmount]]&lt;=TrafficData[[#This Row],[totalAmount]])</f>
        <v>1</v>
      </c>
      <c r="P2128" t="b">
        <f>AND(TrafficData[[#This Row],[pendingCourt]]&lt;=TrafficData[[#This Row],[totalCourt]],TrafficData[[#This Row],[disposedCourt]]&lt;=TrafficData[[#This Row],[totalCourt]])</f>
        <v>1</v>
      </c>
    </row>
    <row r="2129" spans="1:16">
      <c r="A2129" s="1">
        <v>44133</v>
      </c>
      <c r="B2129">
        <v>102729</v>
      </c>
      <c r="C2129">
        <v>50993</v>
      </c>
      <c r="D2129">
        <v>51736</v>
      </c>
      <c r="E2129">
        <v>66162945</v>
      </c>
      <c r="F2129">
        <v>59117187</v>
      </c>
      <c r="G2129">
        <v>125280132</v>
      </c>
      <c r="H2129">
        <v>27773</v>
      </c>
      <c r="I2129">
        <v>7303</v>
      </c>
      <c r="J2129">
        <v>35076</v>
      </c>
      <c r="K2129" t="b">
        <f>TrafficData[[#This Row],[disposedChallan]]+TrafficData[[#This Row],[pendingChallan]]=TrafficData[[#This Row],[totalChallan]]</f>
        <v>1</v>
      </c>
      <c r="L2129" t="b">
        <f>TrafficData[[#This Row],[pendingAmount]]+TrafficData[[#This Row],[disposedAmount]]=TrafficData[[#This Row],[totalAmount]]</f>
        <v>1</v>
      </c>
      <c r="M2129" t="b">
        <f>TrafficData[[#This Row],[pendingCourt]]+TrafficData[[#This Row],[disposedCourt]]=TrafficData[[#This Row],[totalCourt]]</f>
        <v>1</v>
      </c>
      <c r="N2129" t="b">
        <f>AND(TrafficData[[#This Row],[disposedChallan]]&lt;=TrafficData[[#This Row],[totalChallan]],TrafficData[[#This Row],[pendingChallan]]&lt;=TrafficData[[#This Row],[totalChallan]])</f>
        <v>1</v>
      </c>
      <c r="O2129" t="b">
        <f>AND(TrafficData[[#This Row],[pendingAmount]]&lt;=TrafficData[[#This Row],[totalAmount]],TrafficData[[#This Row],[disposedAmount]]&lt;=TrafficData[[#This Row],[totalAmount]])</f>
        <v>1</v>
      </c>
      <c r="P2129" t="b">
        <f>AND(TrafficData[[#This Row],[pendingCourt]]&lt;=TrafficData[[#This Row],[totalCourt]],TrafficData[[#This Row],[disposedCourt]]&lt;=TrafficData[[#This Row],[totalCourt]])</f>
        <v>1</v>
      </c>
    </row>
    <row r="2130" spans="1:16">
      <c r="A2130" s="1">
        <v>44134</v>
      </c>
      <c r="B2130">
        <v>106478</v>
      </c>
      <c r="C2130">
        <v>54035</v>
      </c>
      <c r="D2130">
        <v>52443</v>
      </c>
      <c r="E2130">
        <v>71720834</v>
      </c>
      <c r="F2130">
        <v>59746773</v>
      </c>
      <c r="G2130">
        <v>131467607</v>
      </c>
      <c r="H2130">
        <v>28920</v>
      </c>
      <c r="I2130">
        <v>9695</v>
      </c>
      <c r="J2130">
        <v>38615</v>
      </c>
      <c r="K2130" t="b">
        <f>TrafficData[[#This Row],[disposedChallan]]+TrafficData[[#This Row],[pendingChallan]]=TrafficData[[#This Row],[totalChallan]]</f>
        <v>1</v>
      </c>
      <c r="L2130" t="b">
        <f>TrafficData[[#This Row],[pendingAmount]]+TrafficData[[#This Row],[disposedAmount]]=TrafficData[[#This Row],[totalAmount]]</f>
        <v>1</v>
      </c>
      <c r="M2130" t="b">
        <f>TrafficData[[#This Row],[pendingCourt]]+TrafficData[[#This Row],[disposedCourt]]=TrafficData[[#This Row],[totalCourt]]</f>
        <v>1</v>
      </c>
      <c r="N2130" t="b">
        <f>AND(TrafficData[[#This Row],[disposedChallan]]&lt;=TrafficData[[#This Row],[totalChallan]],TrafficData[[#This Row],[pendingChallan]]&lt;=TrafficData[[#This Row],[totalChallan]])</f>
        <v>1</v>
      </c>
      <c r="O2130" t="b">
        <f>AND(TrafficData[[#This Row],[pendingAmount]]&lt;=TrafficData[[#This Row],[totalAmount]],TrafficData[[#This Row],[disposedAmount]]&lt;=TrafficData[[#This Row],[totalAmount]])</f>
        <v>1</v>
      </c>
      <c r="P2130" t="b">
        <f>AND(TrafficData[[#This Row],[pendingCourt]]&lt;=TrafficData[[#This Row],[totalCourt]],TrafficData[[#This Row],[disposedCourt]]&lt;=TrafficData[[#This Row],[totalCourt]])</f>
        <v>1</v>
      </c>
    </row>
    <row r="2131" spans="1:16">
      <c r="A2131" s="1">
        <v>44135</v>
      </c>
      <c r="B2131">
        <v>109003</v>
      </c>
      <c r="C2131">
        <v>55066</v>
      </c>
      <c r="D2131">
        <v>53937</v>
      </c>
      <c r="E2131">
        <v>67561246</v>
      </c>
      <c r="F2131">
        <v>59603767</v>
      </c>
      <c r="G2131">
        <v>127165013</v>
      </c>
      <c r="H2131">
        <v>25478</v>
      </c>
      <c r="I2131">
        <v>8897</v>
      </c>
      <c r="J2131">
        <v>34375</v>
      </c>
      <c r="K2131" t="b">
        <f>TrafficData[[#This Row],[disposedChallan]]+TrafficData[[#This Row],[pendingChallan]]=TrafficData[[#This Row],[totalChallan]]</f>
        <v>1</v>
      </c>
      <c r="L2131" t="b">
        <f>TrafficData[[#This Row],[pendingAmount]]+TrafficData[[#This Row],[disposedAmount]]=TrafficData[[#This Row],[totalAmount]]</f>
        <v>1</v>
      </c>
      <c r="M2131" t="b">
        <f>TrafficData[[#This Row],[pendingCourt]]+TrafficData[[#This Row],[disposedCourt]]=TrafficData[[#This Row],[totalCourt]]</f>
        <v>1</v>
      </c>
      <c r="N2131" t="b">
        <f>AND(TrafficData[[#This Row],[disposedChallan]]&lt;=TrafficData[[#This Row],[totalChallan]],TrafficData[[#This Row],[pendingChallan]]&lt;=TrafficData[[#This Row],[totalChallan]])</f>
        <v>1</v>
      </c>
      <c r="O2131" t="b">
        <f>AND(TrafficData[[#This Row],[pendingAmount]]&lt;=TrafficData[[#This Row],[totalAmount]],TrafficData[[#This Row],[disposedAmount]]&lt;=TrafficData[[#This Row],[totalAmount]])</f>
        <v>1</v>
      </c>
      <c r="P2131" t="b">
        <f>AND(TrafficData[[#This Row],[pendingCourt]]&lt;=TrafficData[[#This Row],[totalCourt]],TrafficData[[#This Row],[disposedCourt]]&lt;=TrafficData[[#This Row],[totalCourt]])</f>
        <v>1</v>
      </c>
    </row>
    <row r="2132" spans="1:16">
      <c r="A2132" s="1">
        <v>44136</v>
      </c>
      <c r="B2132">
        <v>109331</v>
      </c>
      <c r="C2132">
        <v>52008</v>
      </c>
      <c r="D2132">
        <v>57323</v>
      </c>
      <c r="E2132">
        <v>60618130</v>
      </c>
      <c r="F2132">
        <v>48116242</v>
      </c>
      <c r="G2132">
        <v>108734372</v>
      </c>
      <c r="H2132">
        <v>23180</v>
      </c>
      <c r="I2132">
        <v>7479</v>
      </c>
      <c r="J2132">
        <v>30659</v>
      </c>
      <c r="K2132" t="b">
        <f>TrafficData[[#This Row],[disposedChallan]]+TrafficData[[#This Row],[pendingChallan]]=TrafficData[[#This Row],[totalChallan]]</f>
        <v>1</v>
      </c>
      <c r="L2132" t="b">
        <f>TrafficData[[#This Row],[pendingAmount]]+TrafficData[[#This Row],[disposedAmount]]=TrafficData[[#This Row],[totalAmount]]</f>
        <v>1</v>
      </c>
      <c r="M2132" t="b">
        <f>TrafficData[[#This Row],[pendingCourt]]+TrafficData[[#This Row],[disposedCourt]]=TrafficData[[#This Row],[totalCourt]]</f>
        <v>1</v>
      </c>
      <c r="N2132" t="b">
        <f>AND(TrafficData[[#This Row],[disposedChallan]]&lt;=TrafficData[[#This Row],[totalChallan]],TrafficData[[#This Row],[pendingChallan]]&lt;=TrafficData[[#This Row],[totalChallan]])</f>
        <v>1</v>
      </c>
      <c r="O2132" t="b">
        <f>AND(TrafficData[[#This Row],[pendingAmount]]&lt;=TrafficData[[#This Row],[totalAmount]],TrafficData[[#This Row],[disposedAmount]]&lt;=TrafficData[[#This Row],[totalAmount]])</f>
        <v>1</v>
      </c>
      <c r="P2132" t="b">
        <f>AND(TrafficData[[#This Row],[pendingCourt]]&lt;=TrafficData[[#This Row],[totalCourt]],TrafficData[[#This Row],[disposedCourt]]&lt;=TrafficData[[#This Row],[totalCourt]])</f>
        <v>1</v>
      </c>
    </row>
    <row r="2133" spans="1:16">
      <c r="A2133" s="1">
        <v>44137</v>
      </c>
      <c r="B2133">
        <v>130710</v>
      </c>
      <c r="C2133">
        <v>63977</v>
      </c>
      <c r="D2133">
        <v>66733</v>
      </c>
      <c r="E2133">
        <v>75626836</v>
      </c>
      <c r="F2133">
        <v>64569217</v>
      </c>
      <c r="G2133">
        <v>140196053</v>
      </c>
      <c r="H2133">
        <v>26981</v>
      </c>
      <c r="I2133">
        <v>12144</v>
      </c>
      <c r="J2133">
        <v>39125</v>
      </c>
      <c r="K2133" t="b">
        <f>TrafficData[[#This Row],[disposedChallan]]+TrafficData[[#This Row],[pendingChallan]]=TrafficData[[#This Row],[totalChallan]]</f>
        <v>1</v>
      </c>
      <c r="L2133" t="b">
        <f>TrafficData[[#This Row],[pendingAmount]]+TrafficData[[#This Row],[disposedAmount]]=TrafficData[[#This Row],[totalAmount]]</f>
        <v>1</v>
      </c>
      <c r="M2133" t="b">
        <f>TrafficData[[#This Row],[pendingCourt]]+TrafficData[[#This Row],[disposedCourt]]=TrafficData[[#This Row],[totalCourt]]</f>
        <v>1</v>
      </c>
      <c r="N2133" t="b">
        <f>AND(TrafficData[[#This Row],[disposedChallan]]&lt;=TrafficData[[#This Row],[totalChallan]],TrafficData[[#This Row],[pendingChallan]]&lt;=TrafficData[[#This Row],[totalChallan]])</f>
        <v>1</v>
      </c>
      <c r="O2133" t="b">
        <f>AND(TrafficData[[#This Row],[pendingAmount]]&lt;=TrafficData[[#This Row],[totalAmount]],TrafficData[[#This Row],[disposedAmount]]&lt;=TrafficData[[#This Row],[totalAmount]])</f>
        <v>1</v>
      </c>
      <c r="P2133" t="b">
        <f>AND(TrafficData[[#This Row],[pendingCourt]]&lt;=TrafficData[[#This Row],[totalCourt]],TrafficData[[#This Row],[disposedCourt]]&lt;=TrafficData[[#This Row],[totalCourt]])</f>
        <v>1</v>
      </c>
    </row>
    <row r="2134" spans="1:16">
      <c r="A2134" s="1">
        <v>44138</v>
      </c>
      <c r="B2134">
        <v>132588</v>
      </c>
      <c r="C2134">
        <v>65314</v>
      </c>
      <c r="D2134">
        <v>67274</v>
      </c>
      <c r="E2134">
        <v>75205421</v>
      </c>
      <c r="F2134">
        <v>67399456</v>
      </c>
      <c r="G2134">
        <v>142604877</v>
      </c>
      <c r="H2134">
        <v>26498</v>
      </c>
      <c r="I2134">
        <v>11816</v>
      </c>
      <c r="J2134">
        <v>38314</v>
      </c>
      <c r="K2134" t="b">
        <f>TrafficData[[#This Row],[disposedChallan]]+TrafficData[[#This Row],[pendingChallan]]=TrafficData[[#This Row],[totalChallan]]</f>
        <v>1</v>
      </c>
      <c r="L2134" t="b">
        <f>TrafficData[[#This Row],[pendingAmount]]+TrafficData[[#This Row],[disposedAmount]]=TrafficData[[#This Row],[totalAmount]]</f>
        <v>1</v>
      </c>
      <c r="M2134" t="b">
        <f>TrafficData[[#This Row],[pendingCourt]]+TrafficData[[#This Row],[disposedCourt]]=TrafficData[[#This Row],[totalCourt]]</f>
        <v>1</v>
      </c>
      <c r="N2134" t="b">
        <f>AND(TrafficData[[#This Row],[disposedChallan]]&lt;=TrafficData[[#This Row],[totalChallan]],TrafficData[[#This Row],[pendingChallan]]&lt;=TrafficData[[#This Row],[totalChallan]])</f>
        <v>1</v>
      </c>
      <c r="O2134" t="b">
        <f>AND(TrafficData[[#This Row],[pendingAmount]]&lt;=TrafficData[[#This Row],[totalAmount]],TrafficData[[#This Row],[disposedAmount]]&lt;=TrafficData[[#This Row],[totalAmount]])</f>
        <v>1</v>
      </c>
      <c r="P2134" t="b">
        <f>AND(TrafficData[[#This Row],[pendingCourt]]&lt;=TrafficData[[#This Row],[totalCourt]],TrafficData[[#This Row],[disposedCourt]]&lt;=TrafficData[[#This Row],[totalCourt]])</f>
        <v>1</v>
      </c>
    </row>
    <row r="2135" spans="1:16">
      <c r="A2135" s="1">
        <v>44139</v>
      </c>
      <c r="B2135">
        <v>123886</v>
      </c>
      <c r="C2135">
        <v>63007</v>
      </c>
      <c r="D2135">
        <v>60879</v>
      </c>
      <c r="E2135">
        <v>71520607</v>
      </c>
      <c r="F2135">
        <v>72893993</v>
      </c>
      <c r="G2135">
        <v>144414600</v>
      </c>
      <c r="H2135">
        <v>29275</v>
      </c>
      <c r="I2135">
        <v>12100</v>
      </c>
      <c r="J2135">
        <v>41375</v>
      </c>
      <c r="K2135" t="b">
        <f>TrafficData[[#This Row],[disposedChallan]]+TrafficData[[#This Row],[pendingChallan]]=TrafficData[[#This Row],[totalChallan]]</f>
        <v>1</v>
      </c>
      <c r="L2135" t="b">
        <f>TrafficData[[#This Row],[pendingAmount]]+TrafficData[[#This Row],[disposedAmount]]=TrafficData[[#This Row],[totalAmount]]</f>
        <v>1</v>
      </c>
      <c r="M2135" t="b">
        <f>TrafficData[[#This Row],[pendingCourt]]+TrafficData[[#This Row],[disposedCourt]]=TrafficData[[#This Row],[totalCourt]]</f>
        <v>1</v>
      </c>
      <c r="N2135" t="b">
        <f>AND(TrafficData[[#This Row],[disposedChallan]]&lt;=TrafficData[[#This Row],[totalChallan]],TrafficData[[#This Row],[pendingChallan]]&lt;=TrafficData[[#This Row],[totalChallan]])</f>
        <v>1</v>
      </c>
      <c r="O2135" t="b">
        <f>AND(TrafficData[[#This Row],[pendingAmount]]&lt;=TrafficData[[#This Row],[totalAmount]],TrafficData[[#This Row],[disposedAmount]]&lt;=TrafficData[[#This Row],[totalAmount]])</f>
        <v>1</v>
      </c>
      <c r="P2135" t="b">
        <f>AND(TrafficData[[#This Row],[pendingCourt]]&lt;=TrafficData[[#This Row],[totalCourt]],TrafficData[[#This Row],[disposedCourt]]&lt;=TrafficData[[#This Row],[totalCourt]])</f>
        <v>1</v>
      </c>
    </row>
    <row r="2136" spans="1:16">
      <c r="A2136" s="1">
        <v>44140</v>
      </c>
      <c r="B2136">
        <v>124225</v>
      </c>
      <c r="C2136">
        <v>64054</v>
      </c>
      <c r="D2136">
        <v>60171</v>
      </c>
      <c r="E2136">
        <v>68491617</v>
      </c>
      <c r="F2136">
        <v>92000010</v>
      </c>
      <c r="G2136">
        <v>160491627</v>
      </c>
      <c r="H2136">
        <v>32400</v>
      </c>
      <c r="I2136">
        <v>13342</v>
      </c>
      <c r="J2136">
        <v>45742</v>
      </c>
      <c r="K2136" t="b">
        <f>TrafficData[[#This Row],[disposedChallan]]+TrafficData[[#This Row],[pendingChallan]]=TrafficData[[#This Row],[totalChallan]]</f>
        <v>1</v>
      </c>
      <c r="L2136" t="b">
        <f>TrafficData[[#This Row],[pendingAmount]]+TrafficData[[#This Row],[disposedAmount]]=TrafficData[[#This Row],[totalAmount]]</f>
        <v>1</v>
      </c>
      <c r="M2136" t="b">
        <f>TrafficData[[#This Row],[pendingCourt]]+TrafficData[[#This Row],[disposedCourt]]=TrafficData[[#This Row],[totalCourt]]</f>
        <v>1</v>
      </c>
      <c r="N2136" t="b">
        <f>AND(TrafficData[[#This Row],[disposedChallan]]&lt;=TrafficData[[#This Row],[totalChallan]],TrafficData[[#This Row],[pendingChallan]]&lt;=TrafficData[[#This Row],[totalChallan]])</f>
        <v>1</v>
      </c>
      <c r="O2136" t="b">
        <f>AND(TrafficData[[#This Row],[pendingAmount]]&lt;=TrafficData[[#This Row],[totalAmount]],TrafficData[[#This Row],[disposedAmount]]&lt;=TrafficData[[#This Row],[totalAmount]])</f>
        <v>1</v>
      </c>
      <c r="P2136" t="b">
        <f>AND(TrafficData[[#This Row],[pendingCourt]]&lt;=TrafficData[[#This Row],[totalCourt]],TrafficData[[#This Row],[disposedCourt]]&lt;=TrafficData[[#This Row],[totalCourt]])</f>
        <v>1</v>
      </c>
    </row>
    <row r="2137" spans="1:16">
      <c r="A2137" s="1">
        <v>44141</v>
      </c>
      <c r="B2137">
        <v>122206</v>
      </c>
      <c r="C2137">
        <v>64031</v>
      </c>
      <c r="D2137">
        <v>58175</v>
      </c>
      <c r="E2137">
        <v>73952865</v>
      </c>
      <c r="F2137">
        <v>74335866</v>
      </c>
      <c r="G2137">
        <v>148288731</v>
      </c>
      <c r="H2137">
        <v>30942</v>
      </c>
      <c r="I2137">
        <v>12638</v>
      </c>
      <c r="J2137">
        <v>43580</v>
      </c>
      <c r="K2137" t="b">
        <f>TrafficData[[#This Row],[disposedChallan]]+TrafficData[[#This Row],[pendingChallan]]=TrafficData[[#This Row],[totalChallan]]</f>
        <v>1</v>
      </c>
      <c r="L2137" t="b">
        <f>TrafficData[[#This Row],[pendingAmount]]+TrafficData[[#This Row],[disposedAmount]]=TrafficData[[#This Row],[totalAmount]]</f>
        <v>1</v>
      </c>
      <c r="M2137" t="b">
        <f>TrafficData[[#This Row],[pendingCourt]]+TrafficData[[#This Row],[disposedCourt]]=TrafficData[[#This Row],[totalCourt]]</f>
        <v>1</v>
      </c>
      <c r="N2137" t="b">
        <f>AND(TrafficData[[#This Row],[disposedChallan]]&lt;=TrafficData[[#This Row],[totalChallan]],TrafficData[[#This Row],[pendingChallan]]&lt;=TrafficData[[#This Row],[totalChallan]])</f>
        <v>1</v>
      </c>
      <c r="O2137" t="b">
        <f>AND(TrafficData[[#This Row],[pendingAmount]]&lt;=TrafficData[[#This Row],[totalAmount]],TrafficData[[#This Row],[disposedAmount]]&lt;=TrafficData[[#This Row],[totalAmount]])</f>
        <v>1</v>
      </c>
      <c r="P2137" t="b">
        <f>AND(TrafficData[[#This Row],[pendingCourt]]&lt;=TrafficData[[#This Row],[totalCourt]],TrafficData[[#This Row],[disposedCourt]]&lt;=TrafficData[[#This Row],[totalCourt]])</f>
        <v>1</v>
      </c>
    </row>
    <row r="2138" spans="1:16">
      <c r="A2138" s="1">
        <v>44142</v>
      </c>
      <c r="B2138">
        <v>138539</v>
      </c>
      <c r="C2138">
        <v>68266</v>
      </c>
      <c r="D2138">
        <v>70273</v>
      </c>
      <c r="E2138">
        <v>81012030</v>
      </c>
      <c r="F2138">
        <v>75489264</v>
      </c>
      <c r="G2138">
        <v>156501294</v>
      </c>
      <c r="H2138">
        <v>32849</v>
      </c>
      <c r="I2138">
        <v>13471</v>
      </c>
      <c r="J2138">
        <v>46320</v>
      </c>
      <c r="K2138" t="b">
        <f>TrafficData[[#This Row],[disposedChallan]]+TrafficData[[#This Row],[pendingChallan]]=TrafficData[[#This Row],[totalChallan]]</f>
        <v>1</v>
      </c>
      <c r="L2138" t="b">
        <f>TrafficData[[#This Row],[pendingAmount]]+TrafficData[[#This Row],[disposedAmount]]=TrafficData[[#This Row],[totalAmount]]</f>
        <v>1</v>
      </c>
      <c r="M2138" t="b">
        <f>TrafficData[[#This Row],[pendingCourt]]+TrafficData[[#This Row],[disposedCourt]]=TrafficData[[#This Row],[totalCourt]]</f>
        <v>1</v>
      </c>
      <c r="N2138" t="b">
        <f>AND(TrafficData[[#This Row],[disposedChallan]]&lt;=TrafficData[[#This Row],[totalChallan]],TrafficData[[#This Row],[pendingChallan]]&lt;=TrafficData[[#This Row],[totalChallan]])</f>
        <v>1</v>
      </c>
      <c r="O2138" t="b">
        <f>AND(TrafficData[[#This Row],[pendingAmount]]&lt;=TrafficData[[#This Row],[totalAmount]],TrafficData[[#This Row],[disposedAmount]]&lt;=TrafficData[[#This Row],[totalAmount]])</f>
        <v>1</v>
      </c>
      <c r="P2138" t="b">
        <f>AND(TrafficData[[#This Row],[pendingCourt]]&lt;=TrafficData[[#This Row],[totalCourt]],TrafficData[[#This Row],[disposedCourt]]&lt;=TrafficData[[#This Row],[totalCourt]])</f>
        <v>1</v>
      </c>
    </row>
    <row r="2139" spans="1:16">
      <c r="A2139" s="1">
        <v>44143</v>
      </c>
      <c r="B2139">
        <v>128224</v>
      </c>
      <c r="C2139">
        <v>61198</v>
      </c>
      <c r="D2139">
        <v>67026</v>
      </c>
      <c r="E2139">
        <v>78276135</v>
      </c>
      <c r="F2139">
        <v>61269322</v>
      </c>
      <c r="G2139">
        <v>139545457</v>
      </c>
      <c r="H2139">
        <v>33285</v>
      </c>
      <c r="I2139">
        <v>12873</v>
      </c>
      <c r="J2139">
        <v>46158</v>
      </c>
      <c r="K2139" t="b">
        <f>TrafficData[[#This Row],[disposedChallan]]+TrafficData[[#This Row],[pendingChallan]]=TrafficData[[#This Row],[totalChallan]]</f>
        <v>1</v>
      </c>
      <c r="L2139" t="b">
        <f>TrafficData[[#This Row],[pendingAmount]]+TrafficData[[#This Row],[disposedAmount]]=TrafficData[[#This Row],[totalAmount]]</f>
        <v>1</v>
      </c>
      <c r="M2139" t="b">
        <f>TrafficData[[#This Row],[pendingCourt]]+TrafficData[[#This Row],[disposedCourt]]=TrafficData[[#This Row],[totalCourt]]</f>
        <v>1</v>
      </c>
      <c r="N2139" t="b">
        <f>AND(TrafficData[[#This Row],[disposedChallan]]&lt;=TrafficData[[#This Row],[totalChallan]],TrafficData[[#This Row],[pendingChallan]]&lt;=TrafficData[[#This Row],[totalChallan]])</f>
        <v>1</v>
      </c>
      <c r="O2139" t="b">
        <f>AND(TrafficData[[#This Row],[pendingAmount]]&lt;=TrafficData[[#This Row],[totalAmount]],TrafficData[[#This Row],[disposedAmount]]&lt;=TrafficData[[#This Row],[totalAmount]])</f>
        <v>1</v>
      </c>
      <c r="P2139" t="b">
        <f>AND(TrafficData[[#This Row],[pendingCourt]]&lt;=TrafficData[[#This Row],[totalCourt]],TrafficData[[#This Row],[disposedCourt]]&lt;=TrafficData[[#This Row],[totalCourt]])</f>
        <v>1</v>
      </c>
    </row>
    <row r="2140" spans="1:16">
      <c r="A2140" s="1">
        <v>44144</v>
      </c>
      <c r="B2140">
        <v>137320</v>
      </c>
      <c r="C2140">
        <v>68192</v>
      </c>
      <c r="D2140">
        <v>69128</v>
      </c>
      <c r="E2140">
        <v>88240549</v>
      </c>
      <c r="F2140">
        <v>75358938</v>
      </c>
      <c r="G2140">
        <v>163599487</v>
      </c>
      <c r="H2140">
        <v>38051</v>
      </c>
      <c r="I2140">
        <v>14370</v>
      </c>
      <c r="J2140">
        <v>52421</v>
      </c>
      <c r="K2140" t="b">
        <f>TrafficData[[#This Row],[disposedChallan]]+TrafficData[[#This Row],[pendingChallan]]=TrafficData[[#This Row],[totalChallan]]</f>
        <v>1</v>
      </c>
      <c r="L2140" t="b">
        <f>TrafficData[[#This Row],[pendingAmount]]+TrafficData[[#This Row],[disposedAmount]]=TrafficData[[#This Row],[totalAmount]]</f>
        <v>1</v>
      </c>
      <c r="M2140" t="b">
        <f>TrafficData[[#This Row],[pendingCourt]]+TrafficData[[#This Row],[disposedCourt]]=TrafficData[[#This Row],[totalCourt]]</f>
        <v>1</v>
      </c>
      <c r="N2140" t="b">
        <f>AND(TrafficData[[#This Row],[disposedChallan]]&lt;=TrafficData[[#This Row],[totalChallan]],TrafficData[[#This Row],[pendingChallan]]&lt;=TrafficData[[#This Row],[totalChallan]])</f>
        <v>1</v>
      </c>
      <c r="O2140" t="b">
        <f>AND(TrafficData[[#This Row],[pendingAmount]]&lt;=TrafficData[[#This Row],[totalAmount]],TrafficData[[#This Row],[disposedAmount]]&lt;=TrafficData[[#This Row],[totalAmount]])</f>
        <v>1</v>
      </c>
      <c r="P2140" t="b">
        <f>AND(TrafficData[[#This Row],[pendingCourt]]&lt;=TrafficData[[#This Row],[totalCourt]],TrafficData[[#This Row],[disposedCourt]]&lt;=TrafficData[[#This Row],[totalCourt]])</f>
        <v>1</v>
      </c>
    </row>
    <row r="2141" spans="1:16">
      <c r="A2141" s="1">
        <v>44145</v>
      </c>
      <c r="B2141">
        <v>139932</v>
      </c>
      <c r="C2141">
        <v>68261</v>
      </c>
      <c r="D2141">
        <v>71671</v>
      </c>
      <c r="E2141">
        <v>92726912</v>
      </c>
      <c r="F2141">
        <v>78717883</v>
      </c>
      <c r="G2141">
        <v>171444795</v>
      </c>
      <c r="H2141">
        <v>34784</v>
      </c>
      <c r="I2141">
        <v>13121</v>
      </c>
      <c r="J2141">
        <v>47905</v>
      </c>
      <c r="K2141" t="b">
        <f>TrafficData[[#This Row],[disposedChallan]]+TrafficData[[#This Row],[pendingChallan]]=TrafficData[[#This Row],[totalChallan]]</f>
        <v>1</v>
      </c>
      <c r="L2141" t="b">
        <f>TrafficData[[#This Row],[pendingAmount]]+TrafficData[[#This Row],[disposedAmount]]=TrafficData[[#This Row],[totalAmount]]</f>
        <v>1</v>
      </c>
      <c r="M2141" t="b">
        <f>TrafficData[[#This Row],[pendingCourt]]+TrafficData[[#This Row],[disposedCourt]]=TrafficData[[#This Row],[totalCourt]]</f>
        <v>1</v>
      </c>
      <c r="N2141" t="b">
        <f>AND(TrafficData[[#This Row],[disposedChallan]]&lt;=TrafficData[[#This Row],[totalChallan]],TrafficData[[#This Row],[pendingChallan]]&lt;=TrafficData[[#This Row],[totalChallan]])</f>
        <v>1</v>
      </c>
      <c r="O2141" t="b">
        <f>AND(TrafficData[[#This Row],[pendingAmount]]&lt;=TrafficData[[#This Row],[totalAmount]],TrafficData[[#This Row],[disposedAmount]]&lt;=TrafficData[[#This Row],[totalAmount]])</f>
        <v>1</v>
      </c>
      <c r="P2141" t="b">
        <f>AND(TrafficData[[#This Row],[pendingCourt]]&lt;=TrafficData[[#This Row],[totalCourt]],TrafficData[[#This Row],[disposedCourt]]&lt;=TrafficData[[#This Row],[totalCourt]])</f>
        <v>1</v>
      </c>
    </row>
    <row r="2142" spans="1:16">
      <c r="A2142" s="1">
        <v>44146</v>
      </c>
      <c r="B2142">
        <v>135810</v>
      </c>
      <c r="C2142">
        <v>65273</v>
      </c>
      <c r="D2142">
        <v>70537</v>
      </c>
      <c r="E2142">
        <v>89471902</v>
      </c>
      <c r="F2142">
        <v>82030147</v>
      </c>
      <c r="G2142">
        <v>171502049</v>
      </c>
      <c r="H2142">
        <v>32093</v>
      </c>
      <c r="I2142">
        <v>12511</v>
      </c>
      <c r="J2142">
        <v>44604</v>
      </c>
      <c r="K2142" t="b">
        <f>TrafficData[[#This Row],[disposedChallan]]+TrafficData[[#This Row],[pendingChallan]]=TrafficData[[#This Row],[totalChallan]]</f>
        <v>1</v>
      </c>
      <c r="L2142" t="b">
        <f>TrafficData[[#This Row],[pendingAmount]]+TrafficData[[#This Row],[disposedAmount]]=TrafficData[[#This Row],[totalAmount]]</f>
        <v>1</v>
      </c>
      <c r="M2142" t="b">
        <f>TrafficData[[#This Row],[pendingCourt]]+TrafficData[[#This Row],[disposedCourt]]=TrafficData[[#This Row],[totalCourt]]</f>
        <v>1</v>
      </c>
      <c r="N2142" t="b">
        <f>AND(TrafficData[[#This Row],[disposedChallan]]&lt;=TrafficData[[#This Row],[totalChallan]],TrafficData[[#This Row],[pendingChallan]]&lt;=TrafficData[[#This Row],[totalChallan]])</f>
        <v>1</v>
      </c>
      <c r="O2142" t="b">
        <f>AND(TrafficData[[#This Row],[pendingAmount]]&lt;=TrafficData[[#This Row],[totalAmount]],TrafficData[[#This Row],[disposedAmount]]&lt;=TrafficData[[#This Row],[totalAmount]])</f>
        <v>1</v>
      </c>
      <c r="P2142" t="b">
        <f>AND(TrafficData[[#This Row],[pendingCourt]]&lt;=TrafficData[[#This Row],[totalCourt]],TrafficData[[#This Row],[disposedCourt]]&lt;=TrafficData[[#This Row],[totalCourt]])</f>
        <v>1</v>
      </c>
    </row>
    <row r="2143" spans="1:16">
      <c r="A2143" s="1">
        <v>44147</v>
      </c>
      <c r="B2143">
        <v>130525</v>
      </c>
      <c r="C2143">
        <v>61074</v>
      </c>
      <c r="D2143">
        <v>69451</v>
      </c>
      <c r="E2143">
        <v>82295644</v>
      </c>
      <c r="F2143">
        <v>74940328</v>
      </c>
      <c r="G2143">
        <v>157235972</v>
      </c>
      <c r="H2143">
        <v>24829</v>
      </c>
      <c r="I2143">
        <v>10408</v>
      </c>
      <c r="J2143">
        <v>35237</v>
      </c>
      <c r="K2143" t="b">
        <f>TrafficData[[#This Row],[disposedChallan]]+TrafficData[[#This Row],[pendingChallan]]=TrafficData[[#This Row],[totalChallan]]</f>
        <v>1</v>
      </c>
      <c r="L2143" t="b">
        <f>TrafficData[[#This Row],[pendingAmount]]+TrafficData[[#This Row],[disposedAmount]]=TrafficData[[#This Row],[totalAmount]]</f>
        <v>1</v>
      </c>
      <c r="M2143" t="b">
        <f>TrafficData[[#This Row],[pendingCourt]]+TrafficData[[#This Row],[disposedCourt]]=TrafficData[[#This Row],[totalCourt]]</f>
        <v>1</v>
      </c>
      <c r="N2143" t="b">
        <f>AND(TrafficData[[#This Row],[disposedChallan]]&lt;=TrafficData[[#This Row],[totalChallan]],TrafficData[[#This Row],[pendingChallan]]&lt;=TrafficData[[#This Row],[totalChallan]])</f>
        <v>1</v>
      </c>
      <c r="O2143" t="b">
        <f>AND(TrafficData[[#This Row],[pendingAmount]]&lt;=TrafficData[[#This Row],[totalAmount]],TrafficData[[#This Row],[disposedAmount]]&lt;=TrafficData[[#This Row],[totalAmount]])</f>
        <v>1</v>
      </c>
      <c r="P2143" t="b">
        <f>AND(TrafficData[[#This Row],[pendingCourt]]&lt;=TrafficData[[#This Row],[totalCourt]],TrafficData[[#This Row],[disposedCourt]]&lt;=TrafficData[[#This Row],[totalCourt]])</f>
        <v>1</v>
      </c>
    </row>
    <row r="2144" spans="1:16">
      <c r="A2144" s="1">
        <v>44148</v>
      </c>
      <c r="B2144">
        <v>106601</v>
      </c>
      <c r="C2144">
        <v>48618</v>
      </c>
      <c r="D2144">
        <v>57983</v>
      </c>
      <c r="E2144">
        <v>71763194</v>
      </c>
      <c r="F2144">
        <v>52469413</v>
      </c>
      <c r="G2144">
        <v>124232607</v>
      </c>
      <c r="H2144">
        <v>20974</v>
      </c>
      <c r="I2144">
        <v>9378</v>
      </c>
      <c r="J2144">
        <v>30352</v>
      </c>
      <c r="K2144" t="b">
        <f>TrafficData[[#This Row],[disposedChallan]]+TrafficData[[#This Row],[pendingChallan]]=TrafficData[[#This Row],[totalChallan]]</f>
        <v>1</v>
      </c>
      <c r="L2144" t="b">
        <f>TrafficData[[#This Row],[pendingAmount]]+TrafficData[[#This Row],[disposedAmount]]=TrafficData[[#This Row],[totalAmount]]</f>
        <v>1</v>
      </c>
      <c r="M2144" t="b">
        <f>TrafficData[[#This Row],[pendingCourt]]+TrafficData[[#This Row],[disposedCourt]]=TrafficData[[#This Row],[totalCourt]]</f>
        <v>1</v>
      </c>
      <c r="N2144" t="b">
        <f>AND(TrafficData[[#This Row],[disposedChallan]]&lt;=TrafficData[[#This Row],[totalChallan]],TrafficData[[#This Row],[pendingChallan]]&lt;=TrafficData[[#This Row],[totalChallan]])</f>
        <v>1</v>
      </c>
      <c r="O2144" t="b">
        <f>AND(TrafficData[[#This Row],[pendingAmount]]&lt;=TrafficData[[#This Row],[totalAmount]],TrafficData[[#This Row],[disposedAmount]]&lt;=TrafficData[[#This Row],[totalAmount]])</f>
        <v>1</v>
      </c>
      <c r="P2144" t="b">
        <f>AND(TrafficData[[#This Row],[pendingCourt]]&lt;=TrafficData[[#This Row],[totalCourt]],TrafficData[[#This Row],[disposedCourt]]&lt;=TrafficData[[#This Row],[totalCourt]])</f>
        <v>1</v>
      </c>
    </row>
    <row r="2145" spans="1:16">
      <c r="A2145" s="1">
        <v>44149</v>
      </c>
      <c r="B2145">
        <v>66273</v>
      </c>
      <c r="C2145">
        <v>24456</v>
      </c>
      <c r="D2145">
        <v>41817</v>
      </c>
      <c r="E2145">
        <v>49412246</v>
      </c>
      <c r="F2145">
        <v>24333772</v>
      </c>
      <c r="G2145">
        <v>73746018</v>
      </c>
      <c r="H2145">
        <v>10069</v>
      </c>
      <c r="I2145">
        <v>4100</v>
      </c>
      <c r="J2145">
        <v>14169</v>
      </c>
      <c r="K2145" t="b">
        <f>TrafficData[[#This Row],[disposedChallan]]+TrafficData[[#This Row],[pendingChallan]]=TrafficData[[#This Row],[totalChallan]]</f>
        <v>1</v>
      </c>
      <c r="L2145" t="b">
        <f>TrafficData[[#This Row],[pendingAmount]]+TrafficData[[#This Row],[disposedAmount]]=TrafficData[[#This Row],[totalAmount]]</f>
        <v>1</v>
      </c>
      <c r="M2145" t="b">
        <f>TrafficData[[#This Row],[pendingCourt]]+TrafficData[[#This Row],[disposedCourt]]=TrafficData[[#This Row],[totalCourt]]</f>
        <v>1</v>
      </c>
      <c r="N2145" t="b">
        <f>AND(TrafficData[[#This Row],[disposedChallan]]&lt;=TrafficData[[#This Row],[totalChallan]],TrafficData[[#This Row],[pendingChallan]]&lt;=TrafficData[[#This Row],[totalChallan]])</f>
        <v>1</v>
      </c>
      <c r="O2145" t="b">
        <f>AND(TrafficData[[#This Row],[pendingAmount]]&lt;=TrafficData[[#This Row],[totalAmount]],TrafficData[[#This Row],[disposedAmount]]&lt;=TrafficData[[#This Row],[totalAmount]])</f>
        <v>1</v>
      </c>
      <c r="P2145" t="b">
        <f>AND(TrafficData[[#This Row],[pendingCourt]]&lt;=TrafficData[[#This Row],[totalCourt]],TrafficData[[#This Row],[disposedCourt]]&lt;=TrafficData[[#This Row],[totalCourt]])</f>
        <v>1</v>
      </c>
    </row>
    <row r="2146" spans="1:16">
      <c r="A2146" s="1">
        <v>44150</v>
      </c>
      <c r="B2146">
        <v>86365</v>
      </c>
      <c r="C2146">
        <v>36885</v>
      </c>
      <c r="D2146">
        <v>49480</v>
      </c>
      <c r="E2146">
        <v>50280198</v>
      </c>
      <c r="F2146">
        <v>26704456</v>
      </c>
      <c r="G2146">
        <v>76984654</v>
      </c>
      <c r="H2146">
        <v>11949</v>
      </c>
      <c r="I2146">
        <v>4729</v>
      </c>
      <c r="J2146">
        <v>16678</v>
      </c>
      <c r="K2146" t="b">
        <f>TrafficData[[#This Row],[disposedChallan]]+TrafficData[[#This Row],[pendingChallan]]=TrafficData[[#This Row],[totalChallan]]</f>
        <v>1</v>
      </c>
      <c r="L2146" t="b">
        <f>TrafficData[[#This Row],[pendingAmount]]+TrafficData[[#This Row],[disposedAmount]]=TrafficData[[#This Row],[totalAmount]]</f>
        <v>1</v>
      </c>
      <c r="M2146" t="b">
        <f>TrafficData[[#This Row],[pendingCourt]]+TrafficData[[#This Row],[disposedCourt]]=TrafficData[[#This Row],[totalCourt]]</f>
        <v>1</v>
      </c>
      <c r="N2146" t="b">
        <f>AND(TrafficData[[#This Row],[disposedChallan]]&lt;=TrafficData[[#This Row],[totalChallan]],TrafficData[[#This Row],[pendingChallan]]&lt;=TrafficData[[#This Row],[totalChallan]])</f>
        <v>1</v>
      </c>
      <c r="O2146" t="b">
        <f>AND(TrafficData[[#This Row],[pendingAmount]]&lt;=TrafficData[[#This Row],[totalAmount]],TrafficData[[#This Row],[disposedAmount]]&lt;=TrafficData[[#This Row],[totalAmount]])</f>
        <v>1</v>
      </c>
      <c r="P2146" t="b">
        <f>AND(TrafficData[[#This Row],[pendingCourt]]&lt;=TrafficData[[#This Row],[totalCourt]],TrafficData[[#This Row],[disposedCourt]]&lt;=TrafficData[[#This Row],[totalCourt]])</f>
        <v>1</v>
      </c>
    </row>
    <row r="2147" spans="1:16">
      <c r="A2147" s="1">
        <v>44151</v>
      </c>
      <c r="B2147">
        <v>100429</v>
      </c>
      <c r="C2147">
        <v>45920</v>
      </c>
      <c r="D2147">
        <v>54509</v>
      </c>
      <c r="E2147">
        <v>63787892</v>
      </c>
      <c r="F2147">
        <v>38794066</v>
      </c>
      <c r="G2147">
        <v>102581958</v>
      </c>
      <c r="H2147">
        <v>19024</v>
      </c>
      <c r="I2147">
        <v>7675</v>
      </c>
      <c r="J2147">
        <v>26699</v>
      </c>
      <c r="K2147" t="b">
        <f>TrafficData[[#This Row],[disposedChallan]]+TrafficData[[#This Row],[pendingChallan]]=TrafficData[[#This Row],[totalChallan]]</f>
        <v>1</v>
      </c>
      <c r="L2147" t="b">
        <f>TrafficData[[#This Row],[pendingAmount]]+TrafficData[[#This Row],[disposedAmount]]=TrafficData[[#This Row],[totalAmount]]</f>
        <v>1</v>
      </c>
      <c r="M2147" t="b">
        <f>TrafficData[[#This Row],[pendingCourt]]+TrafficData[[#This Row],[disposedCourt]]=TrafficData[[#This Row],[totalCourt]]</f>
        <v>1</v>
      </c>
      <c r="N2147" t="b">
        <f>AND(TrafficData[[#This Row],[disposedChallan]]&lt;=TrafficData[[#This Row],[totalChallan]],TrafficData[[#This Row],[pendingChallan]]&lt;=TrafficData[[#This Row],[totalChallan]])</f>
        <v>1</v>
      </c>
      <c r="O2147" t="b">
        <f>AND(TrafficData[[#This Row],[pendingAmount]]&lt;=TrafficData[[#This Row],[totalAmount]],TrafficData[[#This Row],[disposedAmount]]&lt;=TrafficData[[#This Row],[totalAmount]])</f>
        <v>1</v>
      </c>
      <c r="P2147" t="b">
        <f>AND(TrafficData[[#This Row],[pendingCourt]]&lt;=TrafficData[[#This Row],[totalCourt]],TrafficData[[#This Row],[disposedCourt]]&lt;=TrafficData[[#This Row],[totalCourt]])</f>
        <v>1</v>
      </c>
    </row>
    <row r="2148" spans="1:16">
      <c r="A2148" s="1">
        <v>44152</v>
      </c>
      <c r="B2148">
        <v>123214</v>
      </c>
      <c r="C2148">
        <v>58991</v>
      </c>
      <c r="D2148">
        <v>64223</v>
      </c>
      <c r="E2148">
        <v>76574520</v>
      </c>
      <c r="F2148">
        <v>52736525</v>
      </c>
      <c r="G2148">
        <v>129311045</v>
      </c>
      <c r="H2148">
        <v>29573</v>
      </c>
      <c r="I2148">
        <v>11124</v>
      </c>
      <c r="J2148">
        <v>40697</v>
      </c>
      <c r="K2148" t="b">
        <f>TrafficData[[#This Row],[disposedChallan]]+TrafficData[[#This Row],[pendingChallan]]=TrafficData[[#This Row],[totalChallan]]</f>
        <v>1</v>
      </c>
      <c r="L2148" t="b">
        <f>TrafficData[[#This Row],[pendingAmount]]+TrafficData[[#This Row],[disposedAmount]]=TrafficData[[#This Row],[totalAmount]]</f>
        <v>1</v>
      </c>
      <c r="M2148" t="b">
        <f>TrafficData[[#This Row],[pendingCourt]]+TrafficData[[#This Row],[disposedCourt]]=TrafficData[[#This Row],[totalCourt]]</f>
        <v>1</v>
      </c>
      <c r="N2148" t="b">
        <f>AND(TrafficData[[#This Row],[disposedChallan]]&lt;=TrafficData[[#This Row],[totalChallan]],TrafficData[[#This Row],[pendingChallan]]&lt;=TrafficData[[#This Row],[totalChallan]])</f>
        <v>1</v>
      </c>
      <c r="O2148" t="b">
        <f>AND(TrafficData[[#This Row],[pendingAmount]]&lt;=TrafficData[[#This Row],[totalAmount]],TrafficData[[#This Row],[disposedAmount]]&lt;=TrafficData[[#This Row],[totalAmount]])</f>
        <v>1</v>
      </c>
      <c r="P2148" t="b">
        <f>AND(TrafficData[[#This Row],[pendingCourt]]&lt;=TrafficData[[#This Row],[totalCourt]],TrafficData[[#This Row],[disposedCourt]]&lt;=TrafficData[[#This Row],[totalCourt]])</f>
        <v>1</v>
      </c>
    </row>
    <row r="2149" spans="1:16">
      <c r="A2149" s="1">
        <v>44153</v>
      </c>
      <c r="B2149">
        <v>129113</v>
      </c>
      <c r="C2149">
        <v>63164</v>
      </c>
      <c r="D2149">
        <v>65949</v>
      </c>
      <c r="E2149">
        <v>80794394</v>
      </c>
      <c r="F2149">
        <v>71515458</v>
      </c>
      <c r="G2149">
        <v>152309852</v>
      </c>
      <c r="H2149">
        <v>35349</v>
      </c>
      <c r="I2149">
        <v>12303</v>
      </c>
      <c r="J2149">
        <v>47652</v>
      </c>
      <c r="K2149" t="b">
        <f>TrafficData[[#This Row],[disposedChallan]]+TrafficData[[#This Row],[pendingChallan]]=TrafficData[[#This Row],[totalChallan]]</f>
        <v>1</v>
      </c>
      <c r="L2149" t="b">
        <f>TrafficData[[#This Row],[pendingAmount]]+TrafficData[[#This Row],[disposedAmount]]=TrafficData[[#This Row],[totalAmount]]</f>
        <v>1</v>
      </c>
      <c r="M2149" t="b">
        <f>TrafficData[[#This Row],[pendingCourt]]+TrafficData[[#This Row],[disposedCourt]]=TrafficData[[#This Row],[totalCourt]]</f>
        <v>1</v>
      </c>
      <c r="N2149" t="b">
        <f>AND(TrafficData[[#This Row],[disposedChallan]]&lt;=TrafficData[[#This Row],[totalChallan]],TrafficData[[#This Row],[pendingChallan]]&lt;=TrafficData[[#This Row],[totalChallan]])</f>
        <v>1</v>
      </c>
      <c r="O2149" t="b">
        <f>AND(TrafficData[[#This Row],[pendingAmount]]&lt;=TrafficData[[#This Row],[totalAmount]],TrafficData[[#This Row],[disposedAmount]]&lt;=TrafficData[[#This Row],[totalAmount]])</f>
        <v>1</v>
      </c>
      <c r="P2149" t="b">
        <f>AND(TrafficData[[#This Row],[pendingCourt]]&lt;=TrafficData[[#This Row],[totalCourt]],TrafficData[[#This Row],[disposedCourt]]&lt;=TrafficData[[#This Row],[totalCourt]])</f>
        <v>1</v>
      </c>
    </row>
    <row r="2150" spans="1:16">
      <c r="A2150" s="1">
        <v>44154</v>
      </c>
      <c r="B2150">
        <v>134338</v>
      </c>
      <c r="C2150">
        <v>66494</v>
      </c>
      <c r="D2150">
        <v>67844</v>
      </c>
      <c r="E2150">
        <v>85626638</v>
      </c>
      <c r="F2150">
        <v>76088783</v>
      </c>
      <c r="G2150">
        <v>161715421</v>
      </c>
      <c r="H2150">
        <v>32199</v>
      </c>
      <c r="I2150">
        <v>12117</v>
      </c>
      <c r="J2150">
        <v>44316</v>
      </c>
      <c r="K2150" t="b">
        <f>TrafficData[[#This Row],[disposedChallan]]+TrafficData[[#This Row],[pendingChallan]]=TrafficData[[#This Row],[totalChallan]]</f>
        <v>1</v>
      </c>
      <c r="L2150" t="b">
        <f>TrafficData[[#This Row],[pendingAmount]]+TrafficData[[#This Row],[disposedAmount]]=TrafficData[[#This Row],[totalAmount]]</f>
        <v>1</v>
      </c>
      <c r="M2150" t="b">
        <f>TrafficData[[#This Row],[pendingCourt]]+TrafficData[[#This Row],[disposedCourt]]=TrafficData[[#This Row],[totalCourt]]</f>
        <v>1</v>
      </c>
      <c r="N2150" t="b">
        <f>AND(TrafficData[[#This Row],[disposedChallan]]&lt;=TrafficData[[#This Row],[totalChallan]],TrafficData[[#This Row],[pendingChallan]]&lt;=TrafficData[[#This Row],[totalChallan]])</f>
        <v>1</v>
      </c>
      <c r="O2150" t="b">
        <f>AND(TrafficData[[#This Row],[pendingAmount]]&lt;=TrafficData[[#This Row],[totalAmount]],TrafficData[[#This Row],[disposedAmount]]&lt;=TrafficData[[#This Row],[totalAmount]])</f>
        <v>1</v>
      </c>
      <c r="P2150" t="b">
        <f>AND(TrafficData[[#This Row],[pendingCourt]]&lt;=TrafficData[[#This Row],[totalCourt]],TrafficData[[#This Row],[disposedCourt]]&lt;=TrafficData[[#This Row],[totalCourt]])</f>
        <v>1</v>
      </c>
    </row>
    <row r="2151" spans="1:16">
      <c r="A2151" s="1">
        <v>44155</v>
      </c>
      <c r="B2151">
        <v>121988</v>
      </c>
      <c r="C2151">
        <v>61459</v>
      </c>
      <c r="D2151">
        <v>60529</v>
      </c>
      <c r="E2151">
        <v>82174340</v>
      </c>
      <c r="F2151">
        <v>70953341</v>
      </c>
      <c r="G2151">
        <v>153127681</v>
      </c>
      <c r="H2151">
        <v>36865</v>
      </c>
      <c r="I2151">
        <v>12409</v>
      </c>
      <c r="J2151">
        <v>49274</v>
      </c>
      <c r="K2151" t="b">
        <f>TrafficData[[#This Row],[disposedChallan]]+TrafficData[[#This Row],[pendingChallan]]=TrafficData[[#This Row],[totalChallan]]</f>
        <v>1</v>
      </c>
      <c r="L2151" t="b">
        <f>TrafficData[[#This Row],[pendingAmount]]+TrafficData[[#This Row],[disposedAmount]]=TrafficData[[#This Row],[totalAmount]]</f>
        <v>1</v>
      </c>
      <c r="M2151" t="b">
        <f>TrafficData[[#This Row],[pendingCourt]]+TrafficData[[#This Row],[disposedCourt]]=TrafficData[[#This Row],[totalCourt]]</f>
        <v>1</v>
      </c>
      <c r="N2151" t="b">
        <f>AND(TrafficData[[#This Row],[disposedChallan]]&lt;=TrafficData[[#This Row],[totalChallan]],TrafficData[[#This Row],[pendingChallan]]&lt;=TrafficData[[#This Row],[totalChallan]])</f>
        <v>1</v>
      </c>
      <c r="O2151" t="b">
        <f>AND(TrafficData[[#This Row],[pendingAmount]]&lt;=TrafficData[[#This Row],[totalAmount]],TrafficData[[#This Row],[disposedAmount]]&lt;=TrafficData[[#This Row],[totalAmount]])</f>
        <v>1</v>
      </c>
      <c r="P2151" t="b">
        <f>AND(TrafficData[[#This Row],[pendingCourt]]&lt;=TrafficData[[#This Row],[totalCourt]],TrafficData[[#This Row],[disposedCourt]]&lt;=TrafficData[[#This Row],[totalCourt]])</f>
        <v>1</v>
      </c>
    </row>
    <row r="2152" spans="1:16">
      <c r="A2152" s="1">
        <v>44156</v>
      </c>
      <c r="B2152">
        <v>132669</v>
      </c>
      <c r="C2152">
        <v>66673</v>
      </c>
      <c r="D2152">
        <v>65996</v>
      </c>
      <c r="E2152">
        <v>77652201</v>
      </c>
      <c r="F2152">
        <v>66770470</v>
      </c>
      <c r="G2152">
        <v>144422671</v>
      </c>
      <c r="H2152">
        <v>37383</v>
      </c>
      <c r="I2152">
        <v>12423</v>
      </c>
      <c r="J2152">
        <v>49806</v>
      </c>
      <c r="K2152" t="b">
        <f>TrafficData[[#This Row],[disposedChallan]]+TrafficData[[#This Row],[pendingChallan]]=TrafficData[[#This Row],[totalChallan]]</f>
        <v>1</v>
      </c>
      <c r="L2152" t="b">
        <f>TrafficData[[#This Row],[pendingAmount]]+TrafficData[[#This Row],[disposedAmount]]=TrafficData[[#This Row],[totalAmount]]</f>
        <v>1</v>
      </c>
      <c r="M2152" t="b">
        <f>TrafficData[[#This Row],[pendingCourt]]+TrafficData[[#This Row],[disposedCourt]]=TrafficData[[#This Row],[totalCourt]]</f>
        <v>1</v>
      </c>
      <c r="N2152" t="b">
        <f>AND(TrafficData[[#This Row],[disposedChallan]]&lt;=TrafficData[[#This Row],[totalChallan]],TrafficData[[#This Row],[pendingChallan]]&lt;=TrafficData[[#This Row],[totalChallan]])</f>
        <v>1</v>
      </c>
      <c r="O2152" t="b">
        <f>AND(TrafficData[[#This Row],[pendingAmount]]&lt;=TrafficData[[#This Row],[totalAmount]],TrafficData[[#This Row],[disposedAmount]]&lt;=TrafficData[[#This Row],[totalAmount]])</f>
        <v>1</v>
      </c>
      <c r="P2152" t="b">
        <f>AND(TrafficData[[#This Row],[pendingCourt]]&lt;=TrafficData[[#This Row],[totalCourt]],TrafficData[[#This Row],[disposedCourt]]&lt;=TrafficData[[#This Row],[totalCourt]])</f>
        <v>1</v>
      </c>
    </row>
    <row r="2153" spans="1:16">
      <c r="A2153" s="1">
        <v>44157</v>
      </c>
      <c r="B2153">
        <v>124249</v>
      </c>
      <c r="C2153">
        <v>60231</v>
      </c>
      <c r="D2153">
        <v>64018</v>
      </c>
      <c r="E2153">
        <v>75097911</v>
      </c>
      <c r="F2153">
        <v>60474444</v>
      </c>
      <c r="G2153">
        <v>135572355</v>
      </c>
      <c r="H2153">
        <v>30709</v>
      </c>
      <c r="I2153">
        <v>10687</v>
      </c>
      <c r="J2153">
        <v>41396</v>
      </c>
      <c r="K2153" t="b">
        <f>TrafficData[[#This Row],[disposedChallan]]+TrafficData[[#This Row],[pendingChallan]]=TrafficData[[#This Row],[totalChallan]]</f>
        <v>1</v>
      </c>
      <c r="L2153" t="b">
        <f>TrafficData[[#This Row],[pendingAmount]]+TrafficData[[#This Row],[disposedAmount]]=TrafficData[[#This Row],[totalAmount]]</f>
        <v>1</v>
      </c>
      <c r="M2153" t="b">
        <f>TrafficData[[#This Row],[pendingCourt]]+TrafficData[[#This Row],[disposedCourt]]=TrafficData[[#This Row],[totalCourt]]</f>
        <v>1</v>
      </c>
      <c r="N2153" t="b">
        <f>AND(TrafficData[[#This Row],[disposedChallan]]&lt;=TrafficData[[#This Row],[totalChallan]],TrafficData[[#This Row],[pendingChallan]]&lt;=TrafficData[[#This Row],[totalChallan]])</f>
        <v>1</v>
      </c>
      <c r="O2153" t="b">
        <f>AND(TrafficData[[#This Row],[pendingAmount]]&lt;=TrafficData[[#This Row],[totalAmount]],TrafficData[[#This Row],[disposedAmount]]&lt;=TrafficData[[#This Row],[totalAmount]])</f>
        <v>1</v>
      </c>
      <c r="P2153" t="b">
        <f>AND(TrafficData[[#This Row],[pendingCourt]]&lt;=TrafficData[[#This Row],[totalCourt]],TrafficData[[#This Row],[disposedCourt]]&lt;=TrafficData[[#This Row],[totalCourt]])</f>
        <v>1</v>
      </c>
    </row>
    <row r="2154" spans="1:16">
      <c r="A2154" s="1">
        <v>44158</v>
      </c>
      <c r="B2154">
        <v>138247</v>
      </c>
      <c r="C2154">
        <v>68789</v>
      </c>
      <c r="D2154">
        <v>69458</v>
      </c>
      <c r="E2154">
        <v>80002132</v>
      </c>
      <c r="F2154">
        <v>69534719</v>
      </c>
      <c r="G2154">
        <v>149536851</v>
      </c>
      <c r="H2154">
        <v>39496</v>
      </c>
      <c r="I2154">
        <v>12384</v>
      </c>
      <c r="J2154">
        <v>51880</v>
      </c>
      <c r="K2154" t="b">
        <f>TrafficData[[#This Row],[disposedChallan]]+TrafficData[[#This Row],[pendingChallan]]=TrafficData[[#This Row],[totalChallan]]</f>
        <v>1</v>
      </c>
      <c r="L2154" t="b">
        <f>TrafficData[[#This Row],[pendingAmount]]+TrafficData[[#This Row],[disposedAmount]]=TrafficData[[#This Row],[totalAmount]]</f>
        <v>1</v>
      </c>
      <c r="M2154" t="b">
        <f>TrafficData[[#This Row],[pendingCourt]]+TrafficData[[#This Row],[disposedCourt]]=TrafficData[[#This Row],[totalCourt]]</f>
        <v>1</v>
      </c>
      <c r="N2154" t="b">
        <f>AND(TrafficData[[#This Row],[disposedChallan]]&lt;=TrafficData[[#This Row],[totalChallan]],TrafficData[[#This Row],[pendingChallan]]&lt;=TrafficData[[#This Row],[totalChallan]])</f>
        <v>1</v>
      </c>
      <c r="O2154" t="b">
        <f>AND(TrafficData[[#This Row],[pendingAmount]]&lt;=TrafficData[[#This Row],[totalAmount]],TrafficData[[#This Row],[disposedAmount]]&lt;=TrafficData[[#This Row],[totalAmount]])</f>
        <v>1</v>
      </c>
      <c r="P2154" t="b">
        <f>AND(TrafficData[[#This Row],[pendingCourt]]&lt;=TrafficData[[#This Row],[totalCourt]],TrafficData[[#This Row],[disposedCourt]]&lt;=TrafficData[[#This Row],[totalCourt]])</f>
        <v>1</v>
      </c>
    </row>
    <row r="2155" spans="1:16">
      <c r="A2155" s="1">
        <v>44159</v>
      </c>
      <c r="B2155">
        <v>120891</v>
      </c>
      <c r="C2155">
        <v>59761</v>
      </c>
      <c r="D2155">
        <v>61130</v>
      </c>
      <c r="E2155">
        <v>89004324</v>
      </c>
      <c r="F2155">
        <v>77268781</v>
      </c>
      <c r="G2155">
        <v>166273105</v>
      </c>
      <c r="H2155">
        <v>36613</v>
      </c>
      <c r="I2155">
        <v>11686</v>
      </c>
      <c r="J2155">
        <v>48299</v>
      </c>
      <c r="K2155" t="b">
        <f>TrafficData[[#This Row],[disposedChallan]]+TrafficData[[#This Row],[pendingChallan]]=TrafficData[[#This Row],[totalChallan]]</f>
        <v>1</v>
      </c>
      <c r="L2155" t="b">
        <f>TrafficData[[#This Row],[pendingAmount]]+TrafficData[[#This Row],[disposedAmount]]=TrafficData[[#This Row],[totalAmount]]</f>
        <v>1</v>
      </c>
      <c r="M2155" t="b">
        <f>TrafficData[[#This Row],[pendingCourt]]+TrafficData[[#This Row],[disposedCourt]]=TrafficData[[#This Row],[totalCourt]]</f>
        <v>1</v>
      </c>
      <c r="N2155" t="b">
        <f>AND(TrafficData[[#This Row],[disposedChallan]]&lt;=TrafficData[[#This Row],[totalChallan]],TrafficData[[#This Row],[pendingChallan]]&lt;=TrafficData[[#This Row],[totalChallan]])</f>
        <v>1</v>
      </c>
      <c r="O2155" t="b">
        <f>AND(TrafficData[[#This Row],[pendingAmount]]&lt;=TrafficData[[#This Row],[totalAmount]],TrafficData[[#This Row],[disposedAmount]]&lt;=TrafficData[[#This Row],[totalAmount]])</f>
        <v>1</v>
      </c>
      <c r="P2155" t="b">
        <f>AND(TrafficData[[#This Row],[pendingCourt]]&lt;=TrafficData[[#This Row],[totalCourt]],TrafficData[[#This Row],[disposedCourt]]&lt;=TrafficData[[#This Row],[totalCourt]])</f>
        <v>1</v>
      </c>
    </row>
    <row r="2156" spans="1:16">
      <c r="A2156" s="1">
        <v>44160</v>
      </c>
      <c r="B2156">
        <v>113843</v>
      </c>
      <c r="C2156">
        <v>54287</v>
      </c>
      <c r="D2156">
        <v>59556</v>
      </c>
      <c r="E2156">
        <v>79876992</v>
      </c>
      <c r="F2156">
        <v>74123977</v>
      </c>
      <c r="G2156">
        <v>154000969</v>
      </c>
      <c r="H2156">
        <v>37893</v>
      </c>
      <c r="I2156">
        <v>11226</v>
      </c>
      <c r="J2156">
        <v>49119</v>
      </c>
      <c r="K2156" t="b">
        <f>TrafficData[[#This Row],[disposedChallan]]+TrafficData[[#This Row],[pendingChallan]]=TrafficData[[#This Row],[totalChallan]]</f>
        <v>1</v>
      </c>
      <c r="L2156" t="b">
        <f>TrafficData[[#This Row],[pendingAmount]]+TrafficData[[#This Row],[disposedAmount]]=TrafficData[[#This Row],[totalAmount]]</f>
        <v>1</v>
      </c>
      <c r="M2156" t="b">
        <f>TrafficData[[#This Row],[pendingCourt]]+TrafficData[[#This Row],[disposedCourt]]=TrafficData[[#This Row],[totalCourt]]</f>
        <v>1</v>
      </c>
      <c r="N2156" t="b">
        <f>AND(TrafficData[[#This Row],[disposedChallan]]&lt;=TrafficData[[#This Row],[totalChallan]],TrafficData[[#This Row],[pendingChallan]]&lt;=TrafficData[[#This Row],[totalChallan]])</f>
        <v>1</v>
      </c>
      <c r="O2156" t="b">
        <f>AND(TrafficData[[#This Row],[pendingAmount]]&lt;=TrafficData[[#This Row],[totalAmount]],TrafficData[[#This Row],[disposedAmount]]&lt;=TrafficData[[#This Row],[totalAmount]])</f>
        <v>1</v>
      </c>
      <c r="P2156" t="b">
        <f>AND(TrafficData[[#This Row],[pendingCourt]]&lt;=TrafficData[[#This Row],[totalCourt]],TrafficData[[#This Row],[disposedCourt]]&lt;=TrafficData[[#This Row],[totalCourt]])</f>
        <v>1</v>
      </c>
    </row>
    <row r="2157" spans="1:16">
      <c r="A2157" s="1">
        <v>44161</v>
      </c>
      <c r="B2157">
        <v>98698</v>
      </c>
      <c r="C2157">
        <v>45602</v>
      </c>
      <c r="D2157">
        <v>53096</v>
      </c>
      <c r="E2157">
        <v>71345211</v>
      </c>
      <c r="F2157">
        <v>63251908</v>
      </c>
      <c r="G2157">
        <v>134597119</v>
      </c>
      <c r="H2157">
        <v>32716</v>
      </c>
      <c r="I2157">
        <v>9426</v>
      </c>
      <c r="J2157">
        <v>42142</v>
      </c>
      <c r="K2157" t="b">
        <f>TrafficData[[#This Row],[disposedChallan]]+TrafficData[[#This Row],[pendingChallan]]=TrafficData[[#This Row],[totalChallan]]</f>
        <v>1</v>
      </c>
      <c r="L2157" t="b">
        <f>TrafficData[[#This Row],[pendingAmount]]+TrafficData[[#This Row],[disposedAmount]]=TrafficData[[#This Row],[totalAmount]]</f>
        <v>1</v>
      </c>
      <c r="M2157" t="b">
        <f>TrafficData[[#This Row],[pendingCourt]]+TrafficData[[#This Row],[disposedCourt]]=TrafficData[[#This Row],[totalCourt]]</f>
        <v>1</v>
      </c>
      <c r="N2157" t="b">
        <f>AND(TrafficData[[#This Row],[disposedChallan]]&lt;=TrafficData[[#This Row],[totalChallan]],TrafficData[[#This Row],[pendingChallan]]&lt;=TrafficData[[#This Row],[totalChallan]])</f>
        <v>1</v>
      </c>
      <c r="O2157" t="b">
        <f>AND(TrafficData[[#This Row],[pendingAmount]]&lt;=TrafficData[[#This Row],[totalAmount]],TrafficData[[#This Row],[disposedAmount]]&lt;=TrafficData[[#This Row],[totalAmount]])</f>
        <v>1</v>
      </c>
      <c r="P2157" t="b">
        <f>AND(TrafficData[[#This Row],[pendingCourt]]&lt;=TrafficData[[#This Row],[totalCourt]],TrafficData[[#This Row],[disposedCourt]]&lt;=TrafficData[[#This Row],[totalCourt]])</f>
        <v>1</v>
      </c>
    </row>
    <row r="2158" spans="1:16">
      <c r="A2158" s="1">
        <v>44162</v>
      </c>
      <c r="B2158">
        <v>118436</v>
      </c>
      <c r="C2158">
        <v>58727</v>
      </c>
      <c r="D2158">
        <v>59709</v>
      </c>
      <c r="E2158">
        <v>73996579</v>
      </c>
      <c r="F2158">
        <v>70026293</v>
      </c>
      <c r="G2158">
        <v>144022872</v>
      </c>
      <c r="H2158">
        <v>33113</v>
      </c>
      <c r="I2158">
        <v>9569</v>
      </c>
      <c r="J2158">
        <v>42682</v>
      </c>
      <c r="K2158" t="b">
        <f>TrafficData[[#This Row],[disposedChallan]]+TrafficData[[#This Row],[pendingChallan]]=TrafficData[[#This Row],[totalChallan]]</f>
        <v>1</v>
      </c>
      <c r="L2158" t="b">
        <f>TrafficData[[#This Row],[pendingAmount]]+TrafficData[[#This Row],[disposedAmount]]=TrafficData[[#This Row],[totalAmount]]</f>
        <v>1</v>
      </c>
      <c r="M2158" t="b">
        <f>TrafficData[[#This Row],[pendingCourt]]+TrafficData[[#This Row],[disposedCourt]]=TrafficData[[#This Row],[totalCourt]]</f>
        <v>1</v>
      </c>
      <c r="N2158" t="b">
        <f>AND(TrafficData[[#This Row],[disposedChallan]]&lt;=TrafficData[[#This Row],[totalChallan]],TrafficData[[#This Row],[pendingChallan]]&lt;=TrafficData[[#This Row],[totalChallan]])</f>
        <v>1</v>
      </c>
      <c r="O2158" t="b">
        <f>AND(TrafficData[[#This Row],[pendingAmount]]&lt;=TrafficData[[#This Row],[totalAmount]],TrafficData[[#This Row],[disposedAmount]]&lt;=TrafficData[[#This Row],[totalAmount]])</f>
        <v>1</v>
      </c>
      <c r="P2158" t="b">
        <f>AND(TrafficData[[#This Row],[pendingCourt]]&lt;=TrafficData[[#This Row],[totalCourt]],TrafficData[[#This Row],[disposedCourt]]&lt;=TrafficData[[#This Row],[totalCourt]])</f>
        <v>1</v>
      </c>
    </row>
    <row r="2159" spans="1:16">
      <c r="A2159" s="1">
        <v>44163</v>
      </c>
      <c r="B2159">
        <v>123441</v>
      </c>
      <c r="C2159">
        <v>62946</v>
      </c>
      <c r="D2159">
        <v>60495</v>
      </c>
      <c r="E2159">
        <v>74353996</v>
      </c>
      <c r="F2159">
        <v>70010101</v>
      </c>
      <c r="G2159">
        <v>144364097</v>
      </c>
      <c r="H2159">
        <v>32689</v>
      </c>
      <c r="I2159">
        <v>9645</v>
      </c>
      <c r="J2159">
        <v>42334</v>
      </c>
      <c r="K2159" t="b">
        <f>TrafficData[[#This Row],[disposedChallan]]+TrafficData[[#This Row],[pendingChallan]]=TrafficData[[#This Row],[totalChallan]]</f>
        <v>1</v>
      </c>
      <c r="L2159" t="b">
        <f>TrafficData[[#This Row],[pendingAmount]]+TrafficData[[#This Row],[disposedAmount]]=TrafficData[[#This Row],[totalAmount]]</f>
        <v>1</v>
      </c>
      <c r="M2159" t="b">
        <f>TrafficData[[#This Row],[pendingCourt]]+TrafficData[[#This Row],[disposedCourt]]=TrafficData[[#This Row],[totalCourt]]</f>
        <v>1</v>
      </c>
      <c r="N2159" t="b">
        <f>AND(TrafficData[[#This Row],[disposedChallan]]&lt;=TrafficData[[#This Row],[totalChallan]],TrafficData[[#This Row],[pendingChallan]]&lt;=TrafficData[[#This Row],[totalChallan]])</f>
        <v>1</v>
      </c>
      <c r="O2159" t="b">
        <f>AND(TrafficData[[#This Row],[pendingAmount]]&lt;=TrafficData[[#This Row],[totalAmount]],TrafficData[[#This Row],[disposedAmount]]&lt;=TrafficData[[#This Row],[totalAmount]])</f>
        <v>1</v>
      </c>
      <c r="P2159" t="b">
        <f>AND(TrafficData[[#This Row],[pendingCourt]]&lt;=TrafficData[[#This Row],[totalCourt]],TrafficData[[#This Row],[disposedCourt]]&lt;=TrafficData[[#This Row],[totalCourt]])</f>
        <v>1</v>
      </c>
    </row>
    <row r="2160" spans="1:16">
      <c r="A2160" s="1">
        <v>44164</v>
      </c>
      <c r="B2160">
        <v>114761</v>
      </c>
      <c r="C2160">
        <v>56025</v>
      </c>
      <c r="D2160">
        <v>58736</v>
      </c>
      <c r="E2160">
        <v>68843414</v>
      </c>
      <c r="F2160">
        <v>55811775</v>
      </c>
      <c r="G2160">
        <v>124655189</v>
      </c>
      <c r="H2160">
        <v>32180</v>
      </c>
      <c r="I2160">
        <v>8997</v>
      </c>
      <c r="J2160">
        <v>41177</v>
      </c>
      <c r="K2160" t="b">
        <f>TrafficData[[#This Row],[disposedChallan]]+TrafficData[[#This Row],[pendingChallan]]=TrafficData[[#This Row],[totalChallan]]</f>
        <v>1</v>
      </c>
      <c r="L2160" t="b">
        <f>TrafficData[[#This Row],[pendingAmount]]+TrafficData[[#This Row],[disposedAmount]]=TrafficData[[#This Row],[totalAmount]]</f>
        <v>1</v>
      </c>
      <c r="M2160" t="b">
        <f>TrafficData[[#This Row],[pendingCourt]]+TrafficData[[#This Row],[disposedCourt]]=TrafficData[[#This Row],[totalCourt]]</f>
        <v>1</v>
      </c>
      <c r="N2160" t="b">
        <f>AND(TrafficData[[#This Row],[disposedChallan]]&lt;=TrafficData[[#This Row],[totalChallan]],TrafficData[[#This Row],[pendingChallan]]&lt;=TrafficData[[#This Row],[totalChallan]])</f>
        <v>1</v>
      </c>
      <c r="O2160" t="b">
        <f>AND(TrafficData[[#This Row],[pendingAmount]]&lt;=TrafficData[[#This Row],[totalAmount]],TrafficData[[#This Row],[disposedAmount]]&lt;=TrafficData[[#This Row],[totalAmount]])</f>
        <v>1</v>
      </c>
      <c r="P2160" t="b">
        <f>AND(TrafficData[[#This Row],[pendingCourt]]&lt;=TrafficData[[#This Row],[totalCourt]],TrafficData[[#This Row],[disposedCourt]]&lt;=TrafficData[[#This Row],[totalCourt]])</f>
        <v>1</v>
      </c>
    </row>
    <row r="2161" spans="1:16">
      <c r="A2161" s="1">
        <v>44165</v>
      </c>
      <c r="B2161">
        <v>107681</v>
      </c>
      <c r="C2161">
        <v>55235</v>
      </c>
      <c r="D2161">
        <v>52446</v>
      </c>
      <c r="E2161">
        <v>60821472</v>
      </c>
      <c r="F2161">
        <v>56356822</v>
      </c>
      <c r="G2161">
        <v>117178294</v>
      </c>
      <c r="H2161">
        <v>27688</v>
      </c>
      <c r="I2161">
        <v>7452</v>
      </c>
      <c r="J2161">
        <v>35140</v>
      </c>
      <c r="K2161" t="b">
        <f>TrafficData[[#This Row],[disposedChallan]]+TrafficData[[#This Row],[pendingChallan]]=TrafficData[[#This Row],[totalChallan]]</f>
        <v>1</v>
      </c>
      <c r="L2161" t="b">
        <f>TrafficData[[#This Row],[pendingAmount]]+TrafficData[[#This Row],[disposedAmount]]=TrafficData[[#This Row],[totalAmount]]</f>
        <v>1</v>
      </c>
      <c r="M2161" t="b">
        <f>TrafficData[[#This Row],[pendingCourt]]+TrafficData[[#This Row],[disposedCourt]]=TrafficData[[#This Row],[totalCourt]]</f>
        <v>1</v>
      </c>
      <c r="N2161" t="b">
        <f>AND(TrafficData[[#This Row],[disposedChallan]]&lt;=TrafficData[[#This Row],[totalChallan]],TrafficData[[#This Row],[pendingChallan]]&lt;=TrafficData[[#This Row],[totalChallan]])</f>
        <v>1</v>
      </c>
      <c r="O2161" t="b">
        <f>AND(TrafficData[[#This Row],[pendingAmount]]&lt;=TrafficData[[#This Row],[totalAmount]],TrafficData[[#This Row],[disposedAmount]]&lt;=TrafficData[[#This Row],[totalAmount]])</f>
        <v>1</v>
      </c>
      <c r="P2161" t="b">
        <f>AND(TrafficData[[#This Row],[pendingCourt]]&lt;=TrafficData[[#This Row],[totalCourt]],TrafficData[[#This Row],[disposedCourt]]&lt;=TrafficData[[#This Row],[totalCourt]])</f>
        <v>1</v>
      </c>
    </row>
    <row r="2162" spans="1:16">
      <c r="A2162" s="1">
        <v>44166</v>
      </c>
      <c r="B2162">
        <v>105159</v>
      </c>
      <c r="C2162">
        <v>55808</v>
      </c>
      <c r="D2162">
        <v>49351</v>
      </c>
      <c r="E2162">
        <v>57800316</v>
      </c>
      <c r="F2162">
        <v>67719317</v>
      </c>
      <c r="G2162">
        <v>125519633</v>
      </c>
      <c r="H2162">
        <v>23109</v>
      </c>
      <c r="I2162">
        <v>7599</v>
      </c>
      <c r="J2162">
        <v>30708</v>
      </c>
      <c r="K2162" t="b">
        <f>TrafficData[[#This Row],[disposedChallan]]+TrafficData[[#This Row],[pendingChallan]]=TrafficData[[#This Row],[totalChallan]]</f>
        <v>1</v>
      </c>
      <c r="L2162" t="b">
        <f>TrafficData[[#This Row],[pendingAmount]]+TrafficData[[#This Row],[disposedAmount]]=TrafficData[[#This Row],[totalAmount]]</f>
        <v>1</v>
      </c>
      <c r="M2162" t="b">
        <f>TrafficData[[#This Row],[pendingCourt]]+TrafficData[[#This Row],[disposedCourt]]=TrafficData[[#This Row],[totalCourt]]</f>
        <v>1</v>
      </c>
      <c r="N2162" t="b">
        <f>AND(TrafficData[[#This Row],[disposedChallan]]&lt;=TrafficData[[#This Row],[totalChallan]],TrafficData[[#This Row],[pendingChallan]]&lt;=TrafficData[[#This Row],[totalChallan]])</f>
        <v>1</v>
      </c>
      <c r="O2162" t="b">
        <f>AND(TrafficData[[#This Row],[pendingAmount]]&lt;=TrafficData[[#This Row],[totalAmount]],TrafficData[[#This Row],[disposedAmount]]&lt;=TrafficData[[#This Row],[totalAmount]])</f>
        <v>1</v>
      </c>
      <c r="P2162" t="b">
        <f>AND(TrafficData[[#This Row],[pendingCourt]]&lt;=TrafficData[[#This Row],[totalCourt]],TrafficData[[#This Row],[disposedCourt]]&lt;=TrafficData[[#This Row],[totalCourt]])</f>
        <v>1</v>
      </c>
    </row>
    <row r="2163" spans="1:16">
      <c r="A2163" s="1">
        <v>44167</v>
      </c>
      <c r="B2163">
        <v>106017</v>
      </c>
      <c r="C2163">
        <v>57180</v>
      </c>
      <c r="D2163">
        <v>48837</v>
      </c>
      <c r="E2163">
        <v>64678242</v>
      </c>
      <c r="F2163">
        <v>76934016</v>
      </c>
      <c r="G2163">
        <v>141612258</v>
      </c>
      <c r="H2163">
        <v>24206</v>
      </c>
      <c r="I2163">
        <v>8459</v>
      </c>
      <c r="J2163">
        <v>32665</v>
      </c>
      <c r="K2163" t="b">
        <f>TrafficData[[#This Row],[disposedChallan]]+TrafficData[[#This Row],[pendingChallan]]=TrafficData[[#This Row],[totalChallan]]</f>
        <v>1</v>
      </c>
      <c r="L2163" t="b">
        <f>TrafficData[[#This Row],[pendingAmount]]+TrafficData[[#This Row],[disposedAmount]]=TrafficData[[#This Row],[totalAmount]]</f>
        <v>1</v>
      </c>
      <c r="M2163" t="b">
        <f>TrafficData[[#This Row],[pendingCourt]]+TrafficData[[#This Row],[disposedCourt]]=TrafficData[[#This Row],[totalCourt]]</f>
        <v>1</v>
      </c>
      <c r="N2163" t="b">
        <f>AND(TrafficData[[#This Row],[disposedChallan]]&lt;=TrafficData[[#This Row],[totalChallan]],TrafficData[[#This Row],[pendingChallan]]&lt;=TrafficData[[#This Row],[totalChallan]])</f>
        <v>1</v>
      </c>
      <c r="O2163" t="b">
        <f>AND(TrafficData[[#This Row],[pendingAmount]]&lt;=TrafficData[[#This Row],[totalAmount]],TrafficData[[#This Row],[disposedAmount]]&lt;=TrafficData[[#This Row],[totalAmount]])</f>
        <v>1</v>
      </c>
      <c r="P2163" t="b">
        <f>AND(TrafficData[[#This Row],[pendingCourt]]&lt;=TrafficData[[#This Row],[totalCourt]],TrafficData[[#This Row],[disposedCourt]]&lt;=TrafficData[[#This Row],[totalCourt]])</f>
        <v>1</v>
      </c>
    </row>
    <row r="2164" spans="1:16">
      <c r="A2164" s="1">
        <v>44168</v>
      </c>
      <c r="B2164">
        <v>99578</v>
      </c>
      <c r="C2164">
        <v>51915</v>
      </c>
      <c r="D2164">
        <v>47663</v>
      </c>
      <c r="E2164">
        <v>64356630</v>
      </c>
      <c r="F2164">
        <v>78025214</v>
      </c>
      <c r="G2164">
        <v>142381844</v>
      </c>
      <c r="H2164">
        <v>26737</v>
      </c>
      <c r="I2164">
        <v>8961</v>
      </c>
      <c r="J2164">
        <v>35698</v>
      </c>
      <c r="K2164" t="b">
        <f>TrafficData[[#This Row],[disposedChallan]]+TrafficData[[#This Row],[pendingChallan]]=TrafficData[[#This Row],[totalChallan]]</f>
        <v>1</v>
      </c>
      <c r="L2164" t="b">
        <f>TrafficData[[#This Row],[pendingAmount]]+TrafficData[[#This Row],[disposedAmount]]=TrafficData[[#This Row],[totalAmount]]</f>
        <v>1</v>
      </c>
      <c r="M2164" t="b">
        <f>TrafficData[[#This Row],[pendingCourt]]+TrafficData[[#This Row],[disposedCourt]]=TrafficData[[#This Row],[totalCourt]]</f>
        <v>1</v>
      </c>
      <c r="N2164" t="b">
        <f>AND(TrafficData[[#This Row],[disposedChallan]]&lt;=TrafficData[[#This Row],[totalChallan]],TrafficData[[#This Row],[pendingChallan]]&lt;=TrafficData[[#This Row],[totalChallan]])</f>
        <v>1</v>
      </c>
      <c r="O2164" t="b">
        <f>AND(TrafficData[[#This Row],[pendingAmount]]&lt;=TrafficData[[#This Row],[totalAmount]],TrafficData[[#This Row],[disposedAmount]]&lt;=TrafficData[[#This Row],[totalAmount]])</f>
        <v>1</v>
      </c>
      <c r="P2164" t="b">
        <f>AND(TrafficData[[#This Row],[pendingCourt]]&lt;=TrafficData[[#This Row],[totalCourt]],TrafficData[[#This Row],[disposedCourt]]&lt;=TrafficData[[#This Row],[totalCourt]])</f>
        <v>1</v>
      </c>
    </row>
    <row r="2165" spans="1:16">
      <c r="A2165" s="1">
        <v>44169</v>
      </c>
      <c r="B2165">
        <v>95239</v>
      </c>
      <c r="C2165">
        <v>49737</v>
      </c>
      <c r="D2165">
        <v>45502</v>
      </c>
      <c r="E2165">
        <v>63660165</v>
      </c>
      <c r="F2165">
        <v>75553834</v>
      </c>
      <c r="G2165">
        <v>139213999</v>
      </c>
      <c r="H2165">
        <v>25116</v>
      </c>
      <c r="I2165">
        <v>8820</v>
      </c>
      <c r="J2165">
        <v>33936</v>
      </c>
      <c r="K2165" t="b">
        <f>TrafficData[[#This Row],[disposedChallan]]+TrafficData[[#This Row],[pendingChallan]]=TrafficData[[#This Row],[totalChallan]]</f>
        <v>1</v>
      </c>
      <c r="L2165" t="b">
        <f>TrafficData[[#This Row],[pendingAmount]]+TrafficData[[#This Row],[disposedAmount]]=TrafficData[[#This Row],[totalAmount]]</f>
        <v>1</v>
      </c>
      <c r="M2165" t="b">
        <f>TrafficData[[#This Row],[pendingCourt]]+TrafficData[[#This Row],[disposedCourt]]=TrafficData[[#This Row],[totalCourt]]</f>
        <v>1</v>
      </c>
      <c r="N2165" t="b">
        <f>AND(TrafficData[[#This Row],[disposedChallan]]&lt;=TrafficData[[#This Row],[totalChallan]],TrafficData[[#This Row],[pendingChallan]]&lt;=TrafficData[[#This Row],[totalChallan]])</f>
        <v>1</v>
      </c>
      <c r="O2165" t="b">
        <f>AND(TrafficData[[#This Row],[pendingAmount]]&lt;=TrafficData[[#This Row],[totalAmount]],TrafficData[[#This Row],[disposedAmount]]&lt;=TrafficData[[#This Row],[totalAmount]])</f>
        <v>1</v>
      </c>
      <c r="P2165" t="b">
        <f>AND(TrafficData[[#This Row],[pendingCourt]]&lt;=TrafficData[[#This Row],[totalCourt]],TrafficData[[#This Row],[disposedCourt]]&lt;=TrafficData[[#This Row],[totalCourt]])</f>
        <v>1</v>
      </c>
    </row>
    <row r="2166" spans="1:16">
      <c r="A2166" s="1">
        <v>44170</v>
      </c>
      <c r="B2166">
        <v>106705</v>
      </c>
      <c r="C2166">
        <v>56543</v>
      </c>
      <c r="D2166">
        <v>50162</v>
      </c>
      <c r="E2166">
        <v>65980418</v>
      </c>
      <c r="F2166">
        <v>74956336</v>
      </c>
      <c r="G2166">
        <v>140936754</v>
      </c>
      <c r="H2166">
        <v>25075</v>
      </c>
      <c r="I2166">
        <v>8418</v>
      </c>
      <c r="J2166">
        <v>33493</v>
      </c>
      <c r="K2166" t="b">
        <f>TrafficData[[#This Row],[disposedChallan]]+TrafficData[[#This Row],[pendingChallan]]=TrafficData[[#This Row],[totalChallan]]</f>
        <v>1</v>
      </c>
      <c r="L2166" t="b">
        <f>TrafficData[[#This Row],[pendingAmount]]+TrafficData[[#This Row],[disposedAmount]]=TrafficData[[#This Row],[totalAmount]]</f>
        <v>1</v>
      </c>
      <c r="M2166" t="b">
        <f>TrafficData[[#This Row],[pendingCourt]]+TrafficData[[#This Row],[disposedCourt]]=TrafficData[[#This Row],[totalCourt]]</f>
        <v>1</v>
      </c>
      <c r="N2166" t="b">
        <f>AND(TrafficData[[#This Row],[disposedChallan]]&lt;=TrafficData[[#This Row],[totalChallan]],TrafficData[[#This Row],[pendingChallan]]&lt;=TrafficData[[#This Row],[totalChallan]])</f>
        <v>1</v>
      </c>
      <c r="O2166" t="b">
        <f>AND(TrafficData[[#This Row],[pendingAmount]]&lt;=TrafficData[[#This Row],[totalAmount]],TrafficData[[#This Row],[disposedAmount]]&lt;=TrafficData[[#This Row],[totalAmount]])</f>
        <v>1</v>
      </c>
      <c r="P2166" t="b">
        <f>AND(TrafficData[[#This Row],[pendingCourt]]&lt;=TrafficData[[#This Row],[totalCourt]],TrafficData[[#This Row],[disposedCourt]]&lt;=TrafficData[[#This Row],[totalCourt]])</f>
        <v>1</v>
      </c>
    </row>
    <row r="2167" spans="1:16">
      <c r="A2167" s="1">
        <v>44171</v>
      </c>
      <c r="B2167">
        <v>98600</v>
      </c>
      <c r="C2167">
        <v>49621</v>
      </c>
      <c r="D2167">
        <v>48979</v>
      </c>
      <c r="E2167">
        <v>59333409</v>
      </c>
      <c r="F2167">
        <v>54609605</v>
      </c>
      <c r="G2167">
        <v>113943014</v>
      </c>
      <c r="H2167">
        <v>21510</v>
      </c>
      <c r="I2167">
        <v>7227</v>
      </c>
      <c r="J2167">
        <v>28737</v>
      </c>
      <c r="K2167" t="b">
        <f>TrafficData[[#This Row],[disposedChallan]]+TrafficData[[#This Row],[pendingChallan]]=TrafficData[[#This Row],[totalChallan]]</f>
        <v>1</v>
      </c>
      <c r="L2167" t="b">
        <f>TrafficData[[#This Row],[pendingAmount]]+TrafficData[[#This Row],[disposedAmount]]=TrafficData[[#This Row],[totalAmount]]</f>
        <v>1</v>
      </c>
      <c r="M2167" t="b">
        <f>TrafficData[[#This Row],[pendingCourt]]+TrafficData[[#This Row],[disposedCourt]]=TrafficData[[#This Row],[totalCourt]]</f>
        <v>1</v>
      </c>
      <c r="N2167" t="b">
        <f>AND(TrafficData[[#This Row],[disposedChallan]]&lt;=TrafficData[[#This Row],[totalChallan]],TrafficData[[#This Row],[pendingChallan]]&lt;=TrafficData[[#This Row],[totalChallan]])</f>
        <v>1</v>
      </c>
      <c r="O2167" t="b">
        <f>AND(TrafficData[[#This Row],[pendingAmount]]&lt;=TrafficData[[#This Row],[totalAmount]],TrafficData[[#This Row],[disposedAmount]]&lt;=TrafficData[[#This Row],[totalAmount]])</f>
        <v>1</v>
      </c>
      <c r="P2167" t="b">
        <f>AND(TrafficData[[#This Row],[pendingCourt]]&lt;=TrafficData[[#This Row],[totalCourt]],TrafficData[[#This Row],[disposedCourt]]&lt;=TrafficData[[#This Row],[totalCourt]])</f>
        <v>1</v>
      </c>
    </row>
    <row r="2168" spans="1:16">
      <c r="A2168" s="1">
        <v>44172</v>
      </c>
      <c r="B2168">
        <v>103122</v>
      </c>
      <c r="C2168">
        <v>53930</v>
      </c>
      <c r="D2168">
        <v>49192</v>
      </c>
      <c r="E2168">
        <v>60342753</v>
      </c>
      <c r="F2168">
        <v>58869074</v>
      </c>
      <c r="G2168">
        <v>119211827</v>
      </c>
      <c r="H2168">
        <v>23809</v>
      </c>
      <c r="I2168">
        <v>8140</v>
      </c>
      <c r="J2168">
        <v>31949</v>
      </c>
      <c r="K2168" t="b">
        <f>TrafficData[[#This Row],[disposedChallan]]+TrafficData[[#This Row],[pendingChallan]]=TrafficData[[#This Row],[totalChallan]]</f>
        <v>1</v>
      </c>
      <c r="L2168" t="b">
        <f>TrafficData[[#This Row],[pendingAmount]]+TrafficData[[#This Row],[disposedAmount]]=TrafficData[[#This Row],[totalAmount]]</f>
        <v>1</v>
      </c>
      <c r="M2168" t="b">
        <f>TrafficData[[#This Row],[pendingCourt]]+TrafficData[[#This Row],[disposedCourt]]=TrafficData[[#This Row],[totalCourt]]</f>
        <v>1</v>
      </c>
      <c r="N2168" t="b">
        <f>AND(TrafficData[[#This Row],[disposedChallan]]&lt;=TrafficData[[#This Row],[totalChallan]],TrafficData[[#This Row],[pendingChallan]]&lt;=TrafficData[[#This Row],[totalChallan]])</f>
        <v>1</v>
      </c>
      <c r="O2168" t="b">
        <f>AND(TrafficData[[#This Row],[pendingAmount]]&lt;=TrafficData[[#This Row],[totalAmount]],TrafficData[[#This Row],[disposedAmount]]&lt;=TrafficData[[#This Row],[totalAmount]])</f>
        <v>1</v>
      </c>
      <c r="P2168" t="b">
        <f>AND(TrafficData[[#This Row],[pendingCourt]]&lt;=TrafficData[[#This Row],[totalCourt]],TrafficData[[#This Row],[disposedCourt]]&lt;=TrafficData[[#This Row],[totalCourt]])</f>
        <v>1</v>
      </c>
    </row>
    <row r="2169" spans="1:16">
      <c r="A2169" s="1">
        <v>44173</v>
      </c>
      <c r="B2169">
        <v>83861</v>
      </c>
      <c r="C2169">
        <v>42071</v>
      </c>
      <c r="D2169">
        <v>41790</v>
      </c>
      <c r="E2169">
        <v>55192001</v>
      </c>
      <c r="F2169">
        <v>50337651</v>
      </c>
      <c r="G2169">
        <v>105529652</v>
      </c>
      <c r="H2169">
        <v>19883</v>
      </c>
      <c r="I2169">
        <v>6241</v>
      </c>
      <c r="J2169">
        <v>26124</v>
      </c>
      <c r="K2169" t="b">
        <f>TrafficData[[#This Row],[disposedChallan]]+TrafficData[[#This Row],[pendingChallan]]=TrafficData[[#This Row],[totalChallan]]</f>
        <v>1</v>
      </c>
      <c r="L2169" t="b">
        <f>TrafficData[[#This Row],[pendingAmount]]+TrafficData[[#This Row],[disposedAmount]]=TrafficData[[#This Row],[totalAmount]]</f>
        <v>1</v>
      </c>
      <c r="M2169" t="b">
        <f>TrafficData[[#This Row],[pendingCourt]]+TrafficData[[#This Row],[disposedCourt]]=TrafficData[[#This Row],[totalCourt]]</f>
        <v>1</v>
      </c>
      <c r="N2169" t="b">
        <f>AND(TrafficData[[#This Row],[disposedChallan]]&lt;=TrafficData[[#This Row],[totalChallan]],TrafficData[[#This Row],[pendingChallan]]&lt;=TrafficData[[#This Row],[totalChallan]])</f>
        <v>1</v>
      </c>
      <c r="O2169" t="b">
        <f>AND(TrafficData[[#This Row],[pendingAmount]]&lt;=TrafficData[[#This Row],[totalAmount]],TrafficData[[#This Row],[disposedAmount]]&lt;=TrafficData[[#This Row],[totalAmount]])</f>
        <v>1</v>
      </c>
      <c r="P2169" t="b">
        <f>AND(TrafficData[[#This Row],[pendingCourt]]&lt;=TrafficData[[#This Row],[totalCourt]],TrafficData[[#This Row],[disposedCourt]]&lt;=TrafficData[[#This Row],[totalCourt]])</f>
        <v>1</v>
      </c>
    </row>
    <row r="2170" spans="1:16">
      <c r="A2170" s="1">
        <v>44174</v>
      </c>
      <c r="B2170">
        <v>105828</v>
      </c>
      <c r="C2170">
        <v>53467</v>
      </c>
      <c r="D2170">
        <v>52361</v>
      </c>
      <c r="E2170">
        <v>62509589</v>
      </c>
      <c r="F2170">
        <v>66089028</v>
      </c>
      <c r="G2170">
        <v>128598617</v>
      </c>
      <c r="H2170">
        <v>24165</v>
      </c>
      <c r="I2170">
        <v>7959</v>
      </c>
      <c r="J2170">
        <v>32124</v>
      </c>
      <c r="K2170" t="b">
        <f>TrafficData[[#This Row],[disposedChallan]]+TrafficData[[#This Row],[pendingChallan]]=TrafficData[[#This Row],[totalChallan]]</f>
        <v>1</v>
      </c>
      <c r="L2170" t="b">
        <f>TrafficData[[#This Row],[pendingAmount]]+TrafficData[[#This Row],[disposedAmount]]=TrafficData[[#This Row],[totalAmount]]</f>
        <v>1</v>
      </c>
      <c r="M2170" t="b">
        <f>TrafficData[[#This Row],[pendingCourt]]+TrafficData[[#This Row],[disposedCourt]]=TrafficData[[#This Row],[totalCourt]]</f>
        <v>1</v>
      </c>
      <c r="N2170" t="b">
        <f>AND(TrafficData[[#This Row],[disposedChallan]]&lt;=TrafficData[[#This Row],[totalChallan]],TrafficData[[#This Row],[pendingChallan]]&lt;=TrafficData[[#This Row],[totalChallan]])</f>
        <v>1</v>
      </c>
      <c r="O2170" t="b">
        <f>AND(TrafficData[[#This Row],[pendingAmount]]&lt;=TrafficData[[#This Row],[totalAmount]],TrafficData[[#This Row],[disposedAmount]]&lt;=TrafficData[[#This Row],[totalAmount]])</f>
        <v>1</v>
      </c>
      <c r="P2170" t="b">
        <f>AND(TrafficData[[#This Row],[pendingCourt]]&lt;=TrafficData[[#This Row],[totalCourt]],TrafficData[[#This Row],[disposedCourt]]&lt;=TrafficData[[#This Row],[totalCourt]])</f>
        <v>1</v>
      </c>
    </row>
    <row r="2171" spans="1:16">
      <c r="A2171" s="1">
        <v>44175</v>
      </c>
      <c r="B2171">
        <v>109781</v>
      </c>
      <c r="C2171">
        <v>55258</v>
      </c>
      <c r="D2171">
        <v>54523</v>
      </c>
      <c r="E2171">
        <v>70460410</v>
      </c>
      <c r="F2171">
        <v>73544546</v>
      </c>
      <c r="G2171">
        <v>144004956</v>
      </c>
      <c r="H2171">
        <v>25427</v>
      </c>
      <c r="I2171">
        <v>8563</v>
      </c>
      <c r="J2171">
        <v>33990</v>
      </c>
      <c r="K2171" t="b">
        <f>TrafficData[[#This Row],[disposedChallan]]+TrafficData[[#This Row],[pendingChallan]]=TrafficData[[#This Row],[totalChallan]]</f>
        <v>1</v>
      </c>
      <c r="L2171" t="b">
        <f>TrafficData[[#This Row],[pendingAmount]]+TrafficData[[#This Row],[disposedAmount]]=TrafficData[[#This Row],[totalAmount]]</f>
        <v>1</v>
      </c>
      <c r="M2171" t="b">
        <f>TrafficData[[#This Row],[pendingCourt]]+TrafficData[[#This Row],[disposedCourt]]=TrafficData[[#This Row],[totalCourt]]</f>
        <v>1</v>
      </c>
      <c r="N2171" t="b">
        <f>AND(TrafficData[[#This Row],[disposedChallan]]&lt;=TrafficData[[#This Row],[totalChallan]],TrafficData[[#This Row],[pendingChallan]]&lt;=TrafficData[[#This Row],[totalChallan]])</f>
        <v>1</v>
      </c>
      <c r="O2171" t="b">
        <f>AND(TrafficData[[#This Row],[pendingAmount]]&lt;=TrafficData[[#This Row],[totalAmount]],TrafficData[[#This Row],[disposedAmount]]&lt;=TrafficData[[#This Row],[totalAmount]])</f>
        <v>1</v>
      </c>
      <c r="P2171" t="b">
        <f>AND(TrafficData[[#This Row],[pendingCourt]]&lt;=TrafficData[[#This Row],[totalCourt]],TrafficData[[#This Row],[disposedCourt]]&lt;=TrafficData[[#This Row],[totalCourt]])</f>
        <v>1</v>
      </c>
    </row>
    <row r="2172" spans="1:16">
      <c r="A2172" s="1">
        <v>44176</v>
      </c>
      <c r="B2172">
        <v>103282</v>
      </c>
      <c r="C2172">
        <v>52230</v>
      </c>
      <c r="D2172">
        <v>51052</v>
      </c>
      <c r="E2172">
        <v>67155271</v>
      </c>
      <c r="F2172">
        <v>70115828</v>
      </c>
      <c r="G2172">
        <v>137271099</v>
      </c>
      <c r="H2172">
        <v>25186</v>
      </c>
      <c r="I2172">
        <v>8374</v>
      </c>
      <c r="J2172">
        <v>33560</v>
      </c>
      <c r="K2172" t="b">
        <f>TrafficData[[#This Row],[disposedChallan]]+TrafficData[[#This Row],[pendingChallan]]=TrafficData[[#This Row],[totalChallan]]</f>
        <v>1</v>
      </c>
      <c r="L2172" t="b">
        <f>TrafficData[[#This Row],[pendingAmount]]+TrafficData[[#This Row],[disposedAmount]]=TrafficData[[#This Row],[totalAmount]]</f>
        <v>1</v>
      </c>
      <c r="M2172" t="b">
        <f>TrafficData[[#This Row],[pendingCourt]]+TrafficData[[#This Row],[disposedCourt]]=TrafficData[[#This Row],[totalCourt]]</f>
        <v>1</v>
      </c>
      <c r="N2172" t="b">
        <f>AND(TrafficData[[#This Row],[disposedChallan]]&lt;=TrafficData[[#This Row],[totalChallan]],TrafficData[[#This Row],[pendingChallan]]&lt;=TrafficData[[#This Row],[totalChallan]])</f>
        <v>1</v>
      </c>
      <c r="O2172" t="b">
        <f>AND(TrafficData[[#This Row],[pendingAmount]]&lt;=TrafficData[[#This Row],[totalAmount]],TrafficData[[#This Row],[disposedAmount]]&lt;=TrafficData[[#This Row],[totalAmount]])</f>
        <v>1</v>
      </c>
      <c r="P2172" t="b">
        <f>AND(TrafficData[[#This Row],[pendingCourt]]&lt;=TrafficData[[#This Row],[totalCourt]],TrafficData[[#This Row],[disposedCourt]]&lt;=TrafficData[[#This Row],[totalCourt]])</f>
        <v>1</v>
      </c>
    </row>
    <row r="2173" spans="1:16">
      <c r="A2173" s="1">
        <v>44177</v>
      </c>
      <c r="B2173">
        <v>75497</v>
      </c>
      <c r="C2173">
        <v>39795</v>
      </c>
      <c r="D2173">
        <v>35702</v>
      </c>
      <c r="E2173">
        <v>54865113</v>
      </c>
      <c r="F2173">
        <v>72769215</v>
      </c>
      <c r="G2173">
        <v>127634328</v>
      </c>
      <c r="H2173">
        <v>22198</v>
      </c>
      <c r="I2173">
        <v>7581</v>
      </c>
      <c r="J2173">
        <v>29779</v>
      </c>
      <c r="K2173" t="b">
        <f>TrafficData[[#This Row],[disposedChallan]]+TrafficData[[#This Row],[pendingChallan]]=TrafficData[[#This Row],[totalChallan]]</f>
        <v>1</v>
      </c>
      <c r="L2173" t="b">
        <f>TrafficData[[#This Row],[pendingAmount]]+TrafficData[[#This Row],[disposedAmount]]=TrafficData[[#This Row],[totalAmount]]</f>
        <v>1</v>
      </c>
      <c r="M2173" t="b">
        <f>TrafficData[[#This Row],[pendingCourt]]+TrafficData[[#This Row],[disposedCourt]]=TrafficData[[#This Row],[totalCourt]]</f>
        <v>1</v>
      </c>
      <c r="N2173" t="b">
        <f>AND(TrafficData[[#This Row],[disposedChallan]]&lt;=TrafficData[[#This Row],[totalChallan]],TrafficData[[#This Row],[pendingChallan]]&lt;=TrafficData[[#This Row],[totalChallan]])</f>
        <v>1</v>
      </c>
      <c r="O2173" t="b">
        <f>AND(TrafficData[[#This Row],[pendingAmount]]&lt;=TrafficData[[#This Row],[totalAmount]],TrafficData[[#This Row],[disposedAmount]]&lt;=TrafficData[[#This Row],[totalAmount]])</f>
        <v>1</v>
      </c>
      <c r="P2173" t="b">
        <f>AND(TrafficData[[#This Row],[pendingCourt]]&lt;=TrafficData[[#This Row],[totalCourt]],TrafficData[[#This Row],[disposedCourt]]&lt;=TrafficData[[#This Row],[totalCourt]])</f>
        <v>1</v>
      </c>
    </row>
    <row r="2174" spans="1:16">
      <c r="A2174" s="1">
        <v>44178</v>
      </c>
      <c r="B2174">
        <v>70696</v>
      </c>
      <c r="C2174">
        <v>36046</v>
      </c>
      <c r="D2174">
        <v>34650</v>
      </c>
      <c r="E2174">
        <v>51475882</v>
      </c>
      <c r="F2174">
        <v>47383196</v>
      </c>
      <c r="G2174">
        <v>98859078</v>
      </c>
      <c r="H2174">
        <v>23450</v>
      </c>
      <c r="I2174">
        <v>7698</v>
      </c>
      <c r="J2174">
        <v>31148</v>
      </c>
      <c r="K2174" t="b">
        <f>TrafficData[[#This Row],[disposedChallan]]+TrafficData[[#This Row],[pendingChallan]]=TrafficData[[#This Row],[totalChallan]]</f>
        <v>1</v>
      </c>
      <c r="L2174" t="b">
        <f>TrafficData[[#This Row],[pendingAmount]]+TrafficData[[#This Row],[disposedAmount]]=TrafficData[[#This Row],[totalAmount]]</f>
        <v>1</v>
      </c>
      <c r="M2174" t="b">
        <f>TrafficData[[#This Row],[pendingCourt]]+TrafficData[[#This Row],[disposedCourt]]=TrafficData[[#This Row],[totalCourt]]</f>
        <v>1</v>
      </c>
      <c r="N2174" t="b">
        <f>AND(TrafficData[[#This Row],[disposedChallan]]&lt;=TrafficData[[#This Row],[totalChallan]],TrafficData[[#This Row],[pendingChallan]]&lt;=TrafficData[[#This Row],[totalChallan]])</f>
        <v>1</v>
      </c>
      <c r="O2174" t="b">
        <f>AND(TrafficData[[#This Row],[pendingAmount]]&lt;=TrafficData[[#This Row],[totalAmount]],TrafficData[[#This Row],[disposedAmount]]&lt;=TrafficData[[#This Row],[totalAmount]])</f>
        <v>1</v>
      </c>
      <c r="P2174" t="b">
        <f>AND(TrafficData[[#This Row],[pendingCourt]]&lt;=TrafficData[[#This Row],[totalCourt]],TrafficData[[#This Row],[disposedCourt]]&lt;=TrafficData[[#This Row],[totalCourt]])</f>
        <v>1</v>
      </c>
    </row>
    <row r="2175" spans="1:16">
      <c r="A2175" s="1">
        <v>44179</v>
      </c>
      <c r="B2175">
        <v>104989</v>
      </c>
      <c r="C2175">
        <v>53237</v>
      </c>
      <c r="D2175">
        <v>51752</v>
      </c>
      <c r="E2175">
        <v>63777765</v>
      </c>
      <c r="F2175">
        <v>63694297</v>
      </c>
      <c r="G2175">
        <v>127472062</v>
      </c>
      <c r="H2175">
        <v>26148</v>
      </c>
      <c r="I2175">
        <v>8315</v>
      </c>
      <c r="J2175">
        <v>34463</v>
      </c>
      <c r="K2175" t="b">
        <f>TrafficData[[#This Row],[disposedChallan]]+TrafficData[[#This Row],[pendingChallan]]=TrafficData[[#This Row],[totalChallan]]</f>
        <v>1</v>
      </c>
      <c r="L2175" t="b">
        <f>TrafficData[[#This Row],[pendingAmount]]+TrafficData[[#This Row],[disposedAmount]]=TrafficData[[#This Row],[totalAmount]]</f>
        <v>1</v>
      </c>
      <c r="M2175" t="b">
        <f>TrafficData[[#This Row],[pendingCourt]]+TrafficData[[#This Row],[disposedCourt]]=TrafficData[[#This Row],[totalCourt]]</f>
        <v>1</v>
      </c>
      <c r="N2175" t="b">
        <f>AND(TrafficData[[#This Row],[disposedChallan]]&lt;=TrafficData[[#This Row],[totalChallan]],TrafficData[[#This Row],[pendingChallan]]&lt;=TrafficData[[#This Row],[totalChallan]])</f>
        <v>1</v>
      </c>
      <c r="O2175" t="b">
        <f>AND(TrafficData[[#This Row],[pendingAmount]]&lt;=TrafficData[[#This Row],[totalAmount]],TrafficData[[#This Row],[disposedAmount]]&lt;=TrafficData[[#This Row],[totalAmount]])</f>
        <v>1</v>
      </c>
      <c r="P2175" t="b">
        <f>AND(TrafficData[[#This Row],[pendingCourt]]&lt;=TrafficData[[#This Row],[totalCourt]],TrafficData[[#This Row],[disposedCourt]]&lt;=TrafficData[[#This Row],[totalCourt]])</f>
        <v>1</v>
      </c>
    </row>
    <row r="2176" spans="1:16">
      <c r="A2176" s="1">
        <v>44180</v>
      </c>
      <c r="B2176">
        <v>108586</v>
      </c>
      <c r="C2176">
        <v>57253</v>
      </c>
      <c r="D2176">
        <v>51333</v>
      </c>
      <c r="E2176">
        <v>63969794</v>
      </c>
      <c r="F2176">
        <v>71702750</v>
      </c>
      <c r="G2176">
        <v>135672544</v>
      </c>
      <c r="H2176">
        <v>22827</v>
      </c>
      <c r="I2176">
        <v>7913</v>
      </c>
      <c r="J2176">
        <v>30740</v>
      </c>
      <c r="K2176" t="b">
        <f>TrafficData[[#This Row],[disposedChallan]]+TrafficData[[#This Row],[pendingChallan]]=TrafficData[[#This Row],[totalChallan]]</f>
        <v>1</v>
      </c>
      <c r="L2176" t="b">
        <f>TrafficData[[#This Row],[pendingAmount]]+TrafficData[[#This Row],[disposedAmount]]=TrafficData[[#This Row],[totalAmount]]</f>
        <v>1</v>
      </c>
      <c r="M2176" t="b">
        <f>TrafficData[[#This Row],[pendingCourt]]+TrafficData[[#This Row],[disposedCourt]]=TrafficData[[#This Row],[totalCourt]]</f>
        <v>1</v>
      </c>
      <c r="N2176" t="b">
        <f>AND(TrafficData[[#This Row],[disposedChallan]]&lt;=TrafficData[[#This Row],[totalChallan]],TrafficData[[#This Row],[pendingChallan]]&lt;=TrafficData[[#This Row],[totalChallan]])</f>
        <v>1</v>
      </c>
      <c r="O2176" t="b">
        <f>AND(TrafficData[[#This Row],[pendingAmount]]&lt;=TrafficData[[#This Row],[totalAmount]],TrafficData[[#This Row],[disposedAmount]]&lt;=TrafficData[[#This Row],[totalAmount]])</f>
        <v>1</v>
      </c>
      <c r="P2176" t="b">
        <f>AND(TrafficData[[#This Row],[pendingCourt]]&lt;=TrafficData[[#This Row],[totalCourt]],TrafficData[[#This Row],[disposedCourt]]&lt;=TrafficData[[#This Row],[totalCourt]])</f>
        <v>1</v>
      </c>
    </row>
    <row r="2177" spans="1:16">
      <c r="A2177" s="1">
        <v>44181</v>
      </c>
      <c r="B2177">
        <v>107096</v>
      </c>
      <c r="C2177">
        <v>55409</v>
      </c>
      <c r="D2177">
        <v>51687</v>
      </c>
      <c r="E2177">
        <v>68877712</v>
      </c>
      <c r="F2177">
        <v>72801697</v>
      </c>
      <c r="G2177">
        <v>141679409</v>
      </c>
      <c r="H2177">
        <v>26495</v>
      </c>
      <c r="I2177">
        <v>8516</v>
      </c>
      <c r="J2177">
        <v>35011</v>
      </c>
      <c r="K2177" t="b">
        <f>TrafficData[[#This Row],[disposedChallan]]+TrafficData[[#This Row],[pendingChallan]]=TrafficData[[#This Row],[totalChallan]]</f>
        <v>1</v>
      </c>
      <c r="L2177" t="b">
        <f>TrafficData[[#This Row],[pendingAmount]]+TrafficData[[#This Row],[disposedAmount]]=TrafficData[[#This Row],[totalAmount]]</f>
        <v>1</v>
      </c>
      <c r="M2177" t="b">
        <f>TrafficData[[#This Row],[pendingCourt]]+TrafficData[[#This Row],[disposedCourt]]=TrafficData[[#This Row],[totalCourt]]</f>
        <v>1</v>
      </c>
      <c r="N2177" t="b">
        <f>AND(TrafficData[[#This Row],[disposedChallan]]&lt;=TrafficData[[#This Row],[totalChallan]],TrafficData[[#This Row],[pendingChallan]]&lt;=TrafficData[[#This Row],[totalChallan]])</f>
        <v>1</v>
      </c>
      <c r="O2177" t="b">
        <f>AND(TrafficData[[#This Row],[pendingAmount]]&lt;=TrafficData[[#This Row],[totalAmount]],TrafficData[[#This Row],[disposedAmount]]&lt;=TrafficData[[#This Row],[totalAmount]])</f>
        <v>1</v>
      </c>
      <c r="P2177" t="b">
        <f>AND(TrafficData[[#This Row],[pendingCourt]]&lt;=TrafficData[[#This Row],[totalCourt]],TrafficData[[#This Row],[disposedCourt]]&lt;=TrafficData[[#This Row],[totalCourt]])</f>
        <v>1</v>
      </c>
    </row>
    <row r="2178" spans="1:16">
      <c r="A2178" s="1">
        <v>44182</v>
      </c>
      <c r="B2178">
        <v>106763</v>
      </c>
      <c r="C2178">
        <v>55791</v>
      </c>
      <c r="D2178">
        <v>50972</v>
      </c>
      <c r="E2178">
        <v>67560706</v>
      </c>
      <c r="F2178">
        <v>75209276</v>
      </c>
      <c r="G2178">
        <v>142769982</v>
      </c>
      <c r="H2178">
        <v>24211</v>
      </c>
      <c r="I2178">
        <v>8088</v>
      </c>
      <c r="J2178">
        <v>32299</v>
      </c>
      <c r="K2178" t="b">
        <f>TrafficData[[#This Row],[disposedChallan]]+TrafficData[[#This Row],[pendingChallan]]=TrafficData[[#This Row],[totalChallan]]</f>
        <v>1</v>
      </c>
      <c r="L2178" t="b">
        <f>TrafficData[[#This Row],[pendingAmount]]+TrafficData[[#This Row],[disposedAmount]]=TrafficData[[#This Row],[totalAmount]]</f>
        <v>1</v>
      </c>
      <c r="M2178" t="b">
        <f>TrafficData[[#This Row],[pendingCourt]]+TrafficData[[#This Row],[disposedCourt]]=TrafficData[[#This Row],[totalCourt]]</f>
        <v>1</v>
      </c>
      <c r="N2178" t="b">
        <f>AND(TrafficData[[#This Row],[disposedChallan]]&lt;=TrafficData[[#This Row],[totalChallan]],TrafficData[[#This Row],[pendingChallan]]&lt;=TrafficData[[#This Row],[totalChallan]])</f>
        <v>1</v>
      </c>
      <c r="O2178" t="b">
        <f>AND(TrafficData[[#This Row],[pendingAmount]]&lt;=TrafficData[[#This Row],[totalAmount]],TrafficData[[#This Row],[disposedAmount]]&lt;=TrafficData[[#This Row],[totalAmount]])</f>
        <v>1</v>
      </c>
      <c r="P2178" t="b">
        <f>AND(TrafficData[[#This Row],[pendingCourt]]&lt;=TrafficData[[#This Row],[totalCourt]],TrafficData[[#This Row],[disposedCourt]]&lt;=TrafficData[[#This Row],[totalCourt]])</f>
        <v>1</v>
      </c>
    </row>
    <row r="2179" spans="1:16">
      <c r="A2179" s="1">
        <v>44183</v>
      </c>
      <c r="B2179">
        <v>112334</v>
      </c>
      <c r="C2179">
        <v>57499</v>
      </c>
      <c r="D2179">
        <v>54835</v>
      </c>
      <c r="E2179">
        <v>74705365</v>
      </c>
      <c r="F2179">
        <v>77563431</v>
      </c>
      <c r="G2179">
        <v>152268796</v>
      </c>
      <c r="H2179">
        <v>26710</v>
      </c>
      <c r="I2179">
        <v>8805</v>
      </c>
      <c r="J2179">
        <v>35515</v>
      </c>
      <c r="K2179" t="b">
        <f>TrafficData[[#This Row],[disposedChallan]]+TrafficData[[#This Row],[pendingChallan]]=TrafficData[[#This Row],[totalChallan]]</f>
        <v>1</v>
      </c>
      <c r="L2179" t="b">
        <f>TrafficData[[#This Row],[pendingAmount]]+TrafficData[[#This Row],[disposedAmount]]=TrafficData[[#This Row],[totalAmount]]</f>
        <v>1</v>
      </c>
      <c r="M2179" t="b">
        <f>TrafficData[[#This Row],[pendingCourt]]+TrafficData[[#This Row],[disposedCourt]]=TrafficData[[#This Row],[totalCourt]]</f>
        <v>1</v>
      </c>
      <c r="N2179" t="b">
        <f>AND(TrafficData[[#This Row],[disposedChallan]]&lt;=TrafficData[[#This Row],[totalChallan]],TrafficData[[#This Row],[pendingChallan]]&lt;=TrafficData[[#This Row],[totalChallan]])</f>
        <v>1</v>
      </c>
      <c r="O2179" t="b">
        <f>AND(TrafficData[[#This Row],[pendingAmount]]&lt;=TrafficData[[#This Row],[totalAmount]],TrafficData[[#This Row],[disposedAmount]]&lt;=TrafficData[[#This Row],[totalAmount]])</f>
        <v>1</v>
      </c>
      <c r="P2179" t="b">
        <f>AND(TrafficData[[#This Row],[pendingCourt]]&lt;=TrafficData[[#This Row],[totalCourt]],TrafficData[[#This Row],[disposedCourt]]&lt;=TrafficData[[#This Row],[totalCourt]])</f>
        <v>1</v>
      </c>
    </row>
    <row r="2180" spans="1:16">
      <c r="A2180" s="1">
        <v>44184</v>
      </c>
      <c r="B2180">
        <v>116092</v>
      </c>
      <c r="C2180">
        <v>59654</v>
      </c>
      <c r="D2180">
        <v>56438</v>
      </c>
      <c r="E2180">
        <v>69896245</v>
      </c>
      <c r="F2180">
        <v>79677168</v>
      </c>
      <c r="G2180">
        <v>149573413</v>
      </c>
      <c r="H2180">
        <v>26919</v>
      </c>
      <c r="I2180">
        <v>8989</v>
      </c>
      <c r="J2180">
        <v>35908</v>
      </c>
      <c r="K2180" t="b">
        <f>TrafficData[[#This Row],[disposedChallan]]+TrafficData[[#This Row],[pendingChallan]]=TrafficData[[#This Row],[totalChallan]]</f>
        <v>1</v>
      </c>
      <c r="L2180" t="b">
        <f>TrafficData[[#This Row],[pendingAmount]]+TrafficData[[#This Row],[disposedAmount]]=TrafficData[[#This Row],[totalAmount]]</f>
        <v>1</v>
      </c>
      <c r="M2180" t="b">
        <f>TrafficData[[#This Row],[pendingCourt]]+TrafficData[[#This Row],[disposedCourt]]=TrafficData[[#This Row],[totalCourt]]</f>
        <v>1</v>
      </c>
      <c r="N2180" t="b">
        <f>AND(TrafficData[[#This Row],[disposedChallan]]&lt;=TrafficData[[#This Row],[totalChallan]],TrafficData[[#This Row],[pendingChallan]]&lt;=TrafficData[[#This Row],[totalChallan]])</f>
        <v>1</v>
      </c>
      <c r="O2180" t="b">
        <f>AND(TrafficData[[#This Row],[pendingAmount]]&lt;=TrafficData[[#This Row],[totalAmount]],TrafficData[[#This Row],[disposedAmount]]&lt;=TrafficData[[#This Row],[totalAmount]])</f>
        <v>1</v>
      </c>
      <c r="P2180" t="b">
        <f>AND(TrafficData[[#This Row],[pendingCourt]]&lt;=TrafficData[[#This Row],[totalCourt]],TrafficData[[#This Row],[disposedCourt]]&lt;=TrafficData[[#This Row],[totalCourt]])</f>
        <v>1</v>
      </c>
    </row>
    <row r="2181" spans="1:16">
      <c r="A2181" s="1">
        <v>44185</v>
      </c>
      <c r="B2181">
        <v>106099</v>
      </c>
      <c r="C2181">
        <v>52659</v>
      </c>
      <c r="D2181">
        <v>53440</v>
      </c>
      <c r="E2181">
        <v>61009187</v>
      </c>
      <c r="F2181">
        <v>63871401</v>
      </c>
      <c r="G2181">
        <v>124880588</v>
      </c>
      <c r="H2181">
        <v>24669</v>
      </c>
      <c r="I2181">
        <v>7588</v>
      </c>
      <c r="J2181">
        <v>32257</v>
      </c>
      <c r="K2181" t="b">
        <f>TrafficData[[#This Row],[disposedChallan]]+TrafficData[[#This Row],[pendingChallan]]=TrafficData[[#This Row],[totalChallan]]</f>
        <v>1</v>
      </c>
      <c r="L2181" t="b">
        <f>TrafficData[[#This Row],[pendingAmount]]+TrafficData[[#This Row],[disposedAmount]]=TrafficData[[#This Row],[totalAmount]]</f>
        <v>1</v>
      </c>
      <c r="M2181" t="b">
        <f>TrafficData[[#This Row],[pendingCourt]]+TrafficData[[#This Row],[disposedCourt]]=TrafficData[[#This Row],[totalCourt]]</f>
        <v>1</v>
      </c>
      <c r="N2181" t="b">
        <f>AND(TrafficData[[#This Row],[disposedChallan]]&lt;=TrafficData[[#This Row],[totalChallan]],TrafficData[[#This Row],[pendingChallan]]&lt;=TrafficData[[#This Row],[totalChallan]])</f>
        <v>1</v>
      </c>
      <c r="O2181" t="b">
        <f>AND(TrafficData[[#This Row],[pendingAmount]]&lt;=TrafficData[[#This Row],[totalAmount]],TrafficData[[#This Row],[disposedAmount]]&lt;=TrafficData[[#This Row],[totalAmount]])</f>
        <v>1</v>
      </c>
      <c r="P2181" t="b">
        <f>AND(TrafficData[[#This Row],[pendingCourt]]&lt;=TrafficData[[#This Row],[totalCourt]],TrafficData[[#This Row],[disposedCourt]]&lt;=TrafficData[[#This Row],[totalCourt]])</f>
        <v>1</v>
      </c>
    </row>
    <row r="2182" spans="1:16">
      <c r="A2182" s="1">
        <v>44186</v>
      </c>
      <c r="B2182">
        <v>111447</v>
      </c>
      <c r="C2182">
        <v>59228</v>
      </c>
      <c r="D2182">
        <v>52219</v>
      </c>
      <c r="E2182">
        <v>74243809</v>
      </c>
      <c r="F2182">
        <v>74731244</v>
      </c>
      <c r="G2182">
        <v>148975053</v>
      </c>
      <c r="H2182">
        <v>26412</v>
      </c>
      <c r="I2182">
        <v>8578</v>
      </c>
      <c r="J2182">
        <v>34990</v>
      </c>
      <c r="K2182" t="b">
        <f>TrafficData[[#This Row],[disposedChallan]]+TrafficData[[#This Row],[pendingChallan]]=TrafficData[[#This Row],[totalChallan]]</f>
        <v>1</v>
      </c>
      <c r="L2182" t="b">
        <f>TrafficData[[#This Row],[pendingAmount]]+TrafficData[[#This Row],[disposedAmount]]=TrafficData[[#This Row],[totalAmount]]</f>
        <v>1</v>
      </c>
      <c r="M2182" t="b">
        <f>TrafficData[[#This Row],[pendingCourt]]+TrafficData[[#This Row],[disposedCourt]]=TrafficData[[#This Row],[totalCourt]]</f>
        <v>1</v>
      </c>
      <c r="N2182" t="b">
        <f>AND(TrafficData[[#This Row],[disposedChallan]]&lt;=TrafficData[[#This Row],[totalChallan]],TrafficData[[#This Row],[pendingChallan]]&lt;=TrafficData[[#This Row],[totalChallan]])</f>
        <v>1</v>
      </c>
      <c r="O2182" t="b">
        <f>AND(TrafficData[[#This Row],[pendingAmount]]&lt;=TrafficData[[#This Row],[totalAmount]],TrafficData[[#This Row],[disposedAmount]]&lt;=TrafficData[[#This Row],[totalAmount]])</f>
        <v>1</v>
      </c>
      <c r="P2182" t="b">
        <f>AND(TrafficData[[#This Row],[pendingCourt]]&lt;=TrafficData[[#This Row],[totalCourt]],TrafficData[[#This Row],[disposedCourt]]&lt;=TrafficData[[#This Row],[totalCourt]])</f>
        <v>1</v>
      </c>
    </row>
    <row r="2183" spans="1:16">
      <c r="A2183" s="1">
        <v>44187</v>
      </c>
      <c r="B2183">
        <v>117894</v>
      </c>
      <c r="C2183">
        <v>62092</v>
      </c>
      <c r="D2183">
        <v>55802</v>
      </c>
      <c r="E2183">
        <v>79846768</v>
      </c>
      <c r="F2183">
        <v>85555130</v>
      </c>
      <c r="G2183">
        <v>165401898</v>
      </c>
      <c r="H2183">
        <v>25655</v>
      </c>
      <c r="I2183">
        <v>9000</v>
      </c>
      <c r="J2183">
        <v>34655</v>
      </c>
      <c r="K2183" t="b">
        <f>TrafficData[[#This Row],[disposedChallan]]+TrafficData[[#This Row],[pendingChallan]]=TrafficData[[#This Row],[totalChallan]]</f>
        <v>1</v>
      </c>
      <c r="L2183" t="b">
        <f>TrafficData[[#This Row],[pendingAmount]]+TrafficData[[#This Row],[disposedAmount]]=TrafficData[[#This Row],[totalAmount]]</f>
        <v>1</v>
      </c>
      <c r="M2183" t="b">
        <f>TrafficData[[#This Row],[pendingCourt]]+TrafficData[[#This Row],[disposedCourt]]=TrafficData[[#This Row],[totalCourt]]</f>
        <v>1</v>
      </c>
      <c r="N2183" t="b">
        <f>AND(TrafficData[[#This Row],[disposedChallan]]&lt;=TrafficData[[#This Row],[totalChallan]],TrafficData[[#This Row],[pendingChallan]]&lt;=TrafficData[[#This Row],[totalChallan]])</f>
        <v>1</v>
      </c>
      <c r="O2183" t="b">
        <f>AND(TrafficData[[#This Row],[pendingAmount]]&lt;=TrafficData[[#This Row],[totalAmount]],TrafficData[[#This Row],[disposedAmount]]&lt;=TrafficData[[#This Row],[totalAmount]])</f>
        <v>1</v>
      </c>
      <c r="P2183" t="b">
        <f>AND(TrafficData[[#This Row],[pendingCourt]]&lt;=TrafficData[[#This Row],[totalCourt]],TrafficData[[#This Row],[disposedCourt]]&lt;=TrafficData[[#This Row],[totalCourt]])</f>
        <v>1</v>
      </c>
    </row>
    <row r="2184" spans="1:16">
      <c r="A2184" s="1">
        <v>44188</v>
      </c>
      <c r="B2184">
        <v>115322</v>
      </c>
      <c r="C2184">
        <v>60511</v>
      </c>
      <c r="D2184">
        <v>54811</v>
      </c>
      <c r="E2184">
        <v>73927457</v>
      </c>
      <c r="F2184">
        <v>86747653</v>
      </c>
      <c r="G2184">
        <v>160675110</v>
      </c>
      <c r="H2184">
        <v>21120</v>
      </c>
      <c r="I2184">
        <v>8505</v>
      </c>
      <c r="J2184">
        <v>29625</v>
      </c>
      <c r="K2184" t="b">
        <f>TrafficData[[#This Row],[disposedChallan]]+TrafficData[[#This Row],[pendingChallan]]=TrafficData[[#This Row],[totalChallan]]</f>
        <v>1</v>
      </c>
      <c r="L2184" t="b">
        <f>TrafficData[[#This Row],[pendingAmount]]+TrafficData[[#This Row],[disposedAmount]]=TrafficData[[#This Row],[totalAmount]]</f>
        <v>1</v>
      </c>
      <c r="M2184" t="b">
        <f>TrafficData[[#This Row],[pendingCourt]]+TrafficData[[#This Row],[disposedCourt]]=TrafficData[[#This Row],[totalCourt]]</f>
        <v>1</v>
      </c>
      <c r="N2184" t="b">
        <f>AND(TrafficData[[#This Row],[disposedChallan]]&lt;=TrafficData[[#This Row],[totalChallan]],TrafficData[[#This Row],[pendingChallan]]&lt;=TrafficData[[#This Row],[totalChallan]])</f>
        <v>1</v>
      </c>
      <c r="O2184" t="b">
        <f>AND(TrafficData[[#This Row],[pendingAmount]]&lt;=TrafficData[[#This Row],[totalAmount]],TrafficData[[#This Row],[disposedAmount]]&lt;=TrafficData[[#This Row],[totalAmount]])</f>
        <v>1</v>
      </c>
      <c r="P2184" t="b">
        <f>AND(TrafficData[[#This Row],[pendingCourt]]&lt;=TrafficData[[#This Row],[totalCourt]],TrafficData[[#This Row],[disposedCourt]]&lt;=TrafficData[[#This Row],[totalCourt]])</f>
        <v>1</v>
      </c>
    </row>
    <row r="2185" spans="1:16">
      <c r="A2185" s="1">
        <v>44189</v>
      </c>
      <c r="B2185">
        <v>117871</v>
      </c>
      <c r="C2185">
        <v>61232</v>
      </c>
      <c r="D2185">
        <v>56639</v>
      </c>
      <c r="E2185">
        <v>74774981</v>
      </c>
      <c r="F2185">
        <v>77287086</v>
      </c>
      <c r="G2185">
        <v>152062067</v>
      </c>
      <c r="H2185">
        <v>15579</v>
      </c>
      <c r="I2185">
        <v>8788</v>
      </c>
      <c r="J2185">
        <v>24367</v>
      </c>
      <c r="K2185" t="b">
        <f>TrafficData[[#This Row],[disposedChallan]]+TrafficData[[#This Row],[pendingChallan]]=TrafficData[[#This Row],[totalChallan]]</f>
        <v>1</v>
      </c>
      <c r="L2185" t="b">
        <f>TrafficData[[#This Row],[pendingAmount]]+TrafficData[[#This Row],[disposedAmount]]=TrafficData[[#This Row],[totalAmount]]</f>
        <v>1</v>
      </c>
      <c r="M2185" t="b">
        <f>TrafficData[[#This Row],[pendingCourt]]+TrafficData[[#This Row],[disposedCourt]]=TrafficData[[#This Row],[totalCourt]]</f>
        <v>1</v>
      </c>
      <c r="N2185" t="b">
        <f>AND(TrafficData[[#This Row],[disposedChallan]]&lt;=TrafficData[[#This Row],[totalChallan]],TrafficData[[#This Row],[pendingChallan]]&lt;=TrafficData[[#This Row],[totalChallan]])</f>
        <v>1</v>
      </c>
      <c r="O2185" t="b">
        <f>AND(TrafficData[[#This Row],[pendingAmount]]&lt;=TrafficData[[#This Row],[totalAmount]],TrafficData[[#This Row],[disposedAmount]]&lt;=TrafficData[[#This Row],[totalAmount]])</f>
        <v>1</v>
      </c>
      <c r="P2185" t="b">
        <f>AND(TrafficData[[#This Row],[pendingCourt]]&lt;=TrafficData[[#This Row],[totalCourt]],TrafficData[[#This Row],[disposedCourt]]&lt;=TrafficData[[#This Row],[totalCourt]])</f>
        <v>1</v>
      </c>
    </row>
    <row r="2186" spans="1:16">
      <c r="A2186" s="1">
        <v>44190</v>
      </c>
      <c r="B2186">
        <v>106254</v>
      </c>
      <c r="C2186">
        <v>54763</v>
      </c>
      <c r="D2186">
        <v>51491</v>
      </c>
      <c r="E2186">
        <v>63562231</v>
      </c>
      <c r="F2186">
        <v>63720109</v>
      </c>
      <c r="G2186">
        <v>127282340</v>
      </c>
      <c r="H2186">
        <v>23823</v>
      </c>
      <c r="I2186">
        <v>8034</v>
      </c>
      <c r="J2186">
        <v>31857</v>
      </c>
      <c r="K2186" t="b">
        <f>TrafficData[[#This Row],[disposedChallan]]+TrafficData[[#This Row],[pendingChallan]]=TrafficData[[#This Row],[totalChallan]]</f>
        <v>1</v>
      </c>
      <c r="L2186" t="b">
        <f>TrafficData[[#This Row],[pendingAmount]]+TrafficData[[#This Row],[disposedAmount]]=TrafficData[[#This Row],[totalAmount]]</f>
        <v>1</v>
      </c>
      <c r="M2186" t="b">
        <f>TrafficData[[#This Row],[pendingCourt]]+TrafficData[[#This Row],[disposedCourt]]=TrafficData[[#This Row],[totalCourt]]</f>
        <v>1</v>
      </c>
      <c r="N2186" t="b">
        <f>AND(TrafficData[[#This Row],[disposedChallan]]&lt;=TrafficData[[#This Row],[totalChallan]],TrafficData[[#This Row],[pendingChallan]]&lt;=TrafficData[[#This Row],[totalChallan]])</f>
        <v>1</v>
      </c>
      <c r="O2186" t="b">
        <f>AND(TrafficData[[#This Row],[pendingAmount]]&lt;=TrafficData[[#This Row],[totalAmount]],TrafficData[[#This Row],[disposedAmount]]&lt;=TrafficData[[#This Row],[totalAmount]])</f>
        <v>1</v>
      </c>
      <c r="P2186" t="b">
        <f>AND(TrafficData[[#This Row],[pendingCourt]]&lt;=TrafficData[[#This Row],[totalCourt]],TrafficData[[#This Row],[disposedCourt]]&lt;=TrafficData[[#This Row],[totalCourt]])</f>
        <v>1</v>
      </c>
    </row>
    <row r="2187" spans="1:16">
      <c r="A2187" s="1">
        <v>44191</v>
      </c>
      <c r="B2187">
        <v>117988</v>
      </c>
      <c r="C2187">
        <v>62472</v>
      </c>
      <c r="D2187">
        <v>55516</v>
      </c>
      <c r="E2187">
        <v>63505503</v>
      </c>
      <c r="F2187">
        <v>69480792</v>
      </c>
      <c r="G2187">
        <v>132986295</v>
      </c>
      <c r="H2187">
        <v>26880</v>
      </c>
      <c r="I2187">
        <v>8962</v>
      </c>
      <c r="J2187">
        <v>35842</v>
      </c>
      <c r="K2187" t="b">
        <f>TrafficData[[#This Row],[disposedChallan]]+TrafficData[[#This Row],[pendingChallan]]=TrafficData[[#This Row],[totalChallan]]</f>
        <v>1</v>
      </c>
      <c r="L2187" t="b">
        <f>TrafficData[[#This Row],[pendingAmount]]+TrafficData[[#This Row],[disposedAmount]]=TrafficData[[#This Row],[totalAmount]]</f>
        <v>1</v>
      </c>
      <c r="M2187" t="b">
        <f>TrafficData[[#This Row],[pendingCourt]]+TrafficData[[#This Row],[disposedCourt]]=TrafficData[[#This Row],[totalCourt]]</f>
        <v>1</v>
      </c>
      <c r="N2187" t="b">
        <f>AND(TrafficData[[#This Row],[disposedChallan]]&lt;=TrafficData[[#This Row],[totalChallan]],TrafficData[[#This Row],[pendingChallan]]&lt;=TrafficData[[#This Row],[totalChallan]])</f>
        <v>1</v>
      </c>
      <c r="O2187" t="b">
        <f>AND(TrafficData[[#This Row],[pendingAmount]]&lt;=TrafficData[[#This Row],[totalAmount]],TrafficData[[#This Row],[disposedAmount]]&lt;=TrafficData[[#This Row],[totalAmount]])</f>
        <v>1</v>
      </c>
      <c r="P2187" t="b">
        <f>AND(TrafficData[[#This Row],[pendingCourt]]&lt;=TrafficData[[#This Row],[totalCourt]],TrafficData[[#This Row],[disposedCourt]]&lt;=TrafficData[[#This Row],[totalCourt]])</f>
        <v>1</v>
      </c>
    </row>
    <row r="2188" spans="1:16">
      <c r="A2188" s="1">
        <v>44192</v>
      </c>
      <c r="B2188">
        <v>103830</v>
      </c>
      <c r="C2188">
        <v>51965</v>
      </c>
      <c r="D2188">
        <v>51865</v>
      </c>
      <c r="E2188">
        <v>62553421</v>
      </c>
      <c r="F2188">
        <v>52115933</v>
      </c>
      <c r="G2188">
        <v>114669354</v>
      </c>
      <c r="H2188">
        <v>25487</v>
      </c>
      <c r="I2188">
        <v>7337</v>
      </c>
      <c r="J2188">
        <v>32824</v>
      </c>
      <c r="K2188" t="b">
        <f>TrafficData[[#This Row],[disposedChallan]]+TrafficData[[#This Row],[pendingChallan]]=TrafficData[[#This Row],[totalChallan]]</f>
        <v>1</v>
      </c>
      <c r="L2188" t="b">
        <f>TrafficData[[#This Row],[pendingAmount]]+TrafficData[[#This Row],[disposedAmount]]=TrafficData[[#This Row],[totalAmount]]</f>
        <v>1</v>
      </c>
      <c r="M2188" t="b">
        <f>TrafficData[[#This Row],[pendingCourt]]+TrafficData[[#This Row],[disposedCourt]]=TrafficData[[#This Row],[totalCourt]]</f>
        <v>1</v>
      </c>
      <c r="N2188" t="b">
        <f>AND(TrafficData[[#This Row],[disposedChallan]]&lt;=TrafficData[[#This Row],[totalChallan]],TrafficData[[#This Row],[pendingChallan]]&lt;=TrafficData[[#This Row],[totalChallan]])</f>
        <v>1</v>
      </c>
      <c r="O2188" t="b">
        <f>AND(TrafficData[[#This Row],[pendingAmount]]&lt;=TrafficData[[#This Row],[totalAmount]],TrafficData[[#This Row],[disposedAmount]]&lt;=TrafficData[[#This Row],[totalAmount]])</f>
        <v>1</v>
      </c>
      <c r="P2188" t="b">
        <f>AND(TrafficData[[#This Row],[pendingCourt]]&lt;=TrafficData[[#This Row],[totalCourt]],TrafficData[[#This Row],[disposedCourt]]&lt;=TrafficData[[#This Row],[totalCourt]])</f>
        <v>1</v>
      </c>
    </row>
    <row r="2189" spans="1:16">
      <c r="A2189" s="1">
        <v>44193</v>
      </c>
      <c r="B2189">
        <v>107341</v>
      </c>
      <c r="C2189">
        <v>56350</v>
      </c>
      <c r="D2189">
        <v>50991</v>
      </c>
      <c r="E2189">
        <v>65276688</v>
      </c>
      <c r="F2189">
        <v>69075368</v>
      </c>
      <c r="G2189">
        <v>134352056</v>
      </c>
      <c r="H2189">
        <v>25633</v>
      </c>
      <c r="I2189">
        <v>8568</v>
      </c>
      <c r="J2189">
        <v>34201</v>
      </c>
      <c r="K2189" t="b">
        <f>TrafficData[[#This Row],[disposedChallan]]+TrafficData[[#This Row],[pendingChallan]]=TrafficData[[#This Row],[totalChallan]]</f>
        <v>1</v>
      </c>
      <c r="L2189" t="b">
        <f>TrafficData[[#This Row],[pendingAmount]]+TrafficData[[#This Row],[disposedAmount]]=TrafficData[[#This Row],[totalAmount]]</f>
        <v>1</v>
      </c>
      <c r="M2189" t="b">
        <f>TrafficData[[#This Row],[pendingCourt]]+TrafficData[[#This Row],[disposedCourt]]=TrafficData[[#This Row],[totalCourt]]</f>
        <v>1</v>
      </c>
      <c r="N2189" t="b">
        <f>AND(TrafficData[[#This Row],[disposedChallan]]&lt;=TrafficData[[#This Row],[totalChallan]],TrafficData[[#This Row],[pendingChallan]]&lt;=TrafficData[[#This Row],[totalChallan]])</f>
        <v>1</v>
      </c>
      <c r="O2189" t="b">
        <f>AND(TrafficData[[#This Row],[pendingAmount]]&lt;=TrafficData[[#This Row],[totalAmount]],TrafficData[[#This Row],[disposedAmount]]&lt;=TrafficData[[#This Row],[totalAmount]])</f>
        <v>1</v>
      </c>
      <c r="P2189" t="b">
        <f>AND(TrafficData[[#This Row],[pendingCourt]]&lt;=TrafficData[[#This Row],[totalCourt]],TrafficData[[#This Row],[disposedCourt]]&lt;=TrafficData[[#This Row],[totalCourt]])</f>
        <v>1</v>
      </c>
    </row>
    <row r="2190" spans="1:16">
      <c r="A2190" s="1">
        <v>44194</v>
      </c>
      <c r="B2190">
        <v>113621</v>
      </c>
      <c r="C2190">
        <v>58996</v>
      </c>
      <c r="D2190">
        <v>54625</v>
      </c>
      <c r="E2190">
        <v>72102262</v>
      </c>
      <c r="F2190">
        <v>75008763</v>
      </c>
      <c r="G2190">
        <v>147111025</v>
      </c>
      <c r="H2190">
        <v>27575</v>
      </c>
      <c r="I2190">
        <v>8889</v>
      </c>
      <c r="J2190">
        <v>36464</v>
      </c>
      <c r="K2190" t="b">
        <f>TrafficData[[#This Row],[disposedChallan]]+TrafficData[[#This Row],[pendingChallan]]=TrafficData[[#This Row],[totalChallan]]</f>
        <v>1</v>
      </c>
      <c r="L2190" t="b">
        <f>TrafficData[[#This Row],[pendingAmount]]+TrafficData[[#This Row],[disposedAmount]]=TrafficData[[#This Row],[totalAmount]]</f>
        <v>1</v>
      </c>
      <c r="M2190" t="b">
        <f>TrafficData[[#This Row],[pendingCourt]]+TrafficData[[#This Row],[disposedCourt]]=TrafficData[[#This Row],[totalCourt]]</f>
        <v>1</v>
      </c>
      <c r="N2190" t="b">
        <f>AND(TrafficData[[#This Row],[disposedChallan]]&lt;=TrafficData[[#This Row],[totalChallan]],TrafficData[[#This Row],[pendingChallan]]&lt;=TrafficData[[#This Row],[totalChallan]])</f>
        <v>1</v>
      </c>
      <c r="O2190" t="b">
        <f>AND(TrafficData[[#This Row],[pendingAmount]]&lt;=TrafficData[[#This Row],[totalAmount]],TrafficData[[#This Row],[disposedAmount]]&lt;=TrafficData[[#This Row],[totalAmount]])</f>
        <v>1</v>
      </c>
      <c r="P2190" t="b">
        <f>AND(TrafficData[[#This Row],[pendingCourt]]&lt;=TrafficData[[#This Row],[totalCourt]],TrafficData[[#This Row],[disposedCourt]]&lt;=TrafficData[[#This Row],[totalCourt]])</f>
        <v>1</v>
      </c>
    </row>
    <row r="2191" spans="1:16">
      <c r="A2191" s="1">
        <v>44195</v>
      </c>
      <c r="B2191">
        <v>113563</v>
      </c>
      <c r="C2191">
        <v>58336</v>
      </c>
      <c r="D2191">
        <v>55227</v>
      </c>
      <c r="E2191">
        <v>73726300</v>
      </c>
      <c r="F2191">
        <v>66705357</v>
      </c>
      <c r="G2191">
        <v>140431657</v>
      </c>
      <c r="H2191">
        <v>27937</v>
      </c>
      <c r="I2191">
        <v>8853</v>
      </c>
      <c r="J2191">
        <v>36790</v>
      </c>
      <c r="K2191" t="b">
        <f>TrafficData[[#This Row],[disposedChallan]]+TrafficData[[#This Row],[pendingChallan]]=TrafficData[[#This Row],[totalChallan]]</f>
        <v>1</v>
      </c>
      <c r="L2191" t="b">
        <f>TrafficData[[#This Row],[pendingAmount]]+TrafficData[[#This Row],[disposedAmount]]=TrafficData[[#This Row],[totalAmount]]</f>
        <v>1</v>
      </c>
      <c r="M2191" t="b">
        <f>TrafficData[[#This Row],[pendingCourt]]+TrafficData[[#This Row],[disposedCourt]]=TrafficData[[#This Row],[totalCourt]]</f>
        <v>1</v>
      </c>
      <c r="N2191" t="b">
        <f>AND(TrafficData[[#This Row],[disposedChallan]]&lt;=TrafficData[[#This Row],[totalChallan]],TrafficData[[#This Row],[pendingChallan]]&lt;=TrafficData[[#This Row],[totalChallan]])</f>
        <v>1</v>
      </c>
      <c r="O2191" t="b">
        <f>AND(TrafficData[[#This Row],[pendingAmount]]&lt;=TrafficData[[#This Row],[totalAmount]],TrafficData[[#This Row],[disposedAmount]]&lt;=TrafficData[[#This Row],[totalAmount]])</f>
        <v>1</v>
      </c>
      <c r="P2191" t="b">
        <f>AND(TrafficData[[#This Row],[pendingCourt]]&lt;=TrafficData[[#This Row],[totalCourt]],TrafficData[[#This Row],[disposedCourt]]&lt;=TrafficData[[#This Row],[totalCourt]])</f>
        <v>1</v>
      </c>
    </row>
    <row r="2192" spans="1:16">
      <c r="A2192" s="1">
        <v>44196</v>
      </c>
      <c r="B2192">
        <v>106056</v>
      </c>
      <c r="C2192">
        <v>53637</v>
      </c>
      <c r="D2192">
        <v>52419</v>
      </c>
      <c r="E2192">
        <v>69900465</v>
      </c>
      <c r="F2192">
        <v>62335377</v>
      </c>
      <c r="G2192">
        <v>132235842</v>
      </c>
      <c r="H2192">
        <v>26810</v>
      </c>
      <c r="I2192">
        <v>8610</v>
      </c>
      <c r="J2192">
        <v>35420</v>
      </c>
      <c r="K2192" t="b">
        <f>TrafficData[[#This Row],[disposedChallan]]+TrafficData[[#This Row],[pendingChallan]]=TrafficData[[#This Row],[totalChallan]]</f>
        <v>1</v>
      </c>
      <c r="L2192" t="b">
        <f>TrafficData[[#This Row],[pendingAmount]]+TrafficData[[#This Row],[disposedAmount]]=TrafficData[[#This Row],[totalAmount]]</f>
        <v>1</v>
      </c>
      <c r="M2192" t="b">
        <f>TrafficData[[#This Row],[pendingCourt]]+TrafficData[[#This Row],[disposedCourt]]=TrafficData[[#This Row],[totalCourt]]</f>
        <v>1</v>
      </c>
      <c r="N2192" t="b">
        <f>AND(TrafficData[[#This Row],[disposedChallan]]&lt;=TrafficData[[#This Row],[totalChallan]],TrafficData[[#This Row],[pendingChallan]]&lt;=TrafficData[[#This Row],[totalChallan]])</f>
        <v>1</v>
      </c>
      <c r="O2192" t="b">
        <f>AND(TrafficData[[#This Row],[pendingAmount]]&lt;=TrafficData[[#This Row],[totalAmount]],TrafficData[[#This Row],[disposedAmount]]&lt;=TrafficData[[#This Row],[totalAmount]])</f>
        <v>1</v>
      </c>
      <c r="P2192" t="b">
        <f>AND(TrafficData[[#This Row],[pendingCourt]]&lt;=TrafficData[[#This Row],[totalCourt]],TrafficData[[#This Row],[disposedCourt]]&lt;=TrafficData[[#This Row],[totalCourt]])</f>
        <v>1</v>
      </c>
    </row>
    <row r="2193" spans="1:16">
      <c r="A2193" s="1">
        <v>44197</v>
      </c>
      <c r="B2193">
        <v>78633</v>
      </c>
      <c r="C2193">
        <v>39445</v>
      </c>
      <c r="D2193">
        <v>39188</v>
      </c>
      <c r="E2193">
        <v>46483380</v>
      </c>
      <c r="F2193">
        <v>44075346</v>
      </c>
      <c r="G2193">
        <v>90558726</v>
      </c>
      <c r="H2193">
        <v>22604</v>
      </c>
      <c r="I2193">
        <v>7868</v>
      </c>
      <c r="J2193">
        <v>30472</v>
      </c>
      <c r="K2193" t="b">
        <f>TrafficData[[#This Row],[disposedChallan]]+TrafficData[[#This Row],[pendingChallan]]=TrafficData[[#This Row],[totalChallan]]</f>
        <v>1</v>
      </c>
      <c r="L2193" t="b">
        <f>TrafficData[[#This Row],[pendingAmount]]+TrafficData[[#This Row],[disposedAmount]]=TrafficData[[#This Row],[totalAmount]]</f>
        <v>1</v>
      </c>
      <c r="M2193" t="b">
        <f>TrafficData[[#This Row],[pendingCourt]]+TrafficData[[#This Row],[disposedCourt]]=TrafficData[[#This Row],[totalCourt]]</f>
        <v>1</v>
      </c>
      <c r="N2193" t="b">
        <f>AND(TrafficData[[#This Row],[disposedChallan]]&lt;=TrafficData[[#This Row],[totalChallan]],TrafficData[[#This Row],[pendingChallan]]&lt;=TrafficData[[#This Row],[totalChallan]])</f>
        <v>1</v>
      </c>
      <c r="O2193" t="b">
        <f>AND(TrafficData[[#This Row],[pendingAmount]]&lt;=TrafficData[[#This Row],[totalAmount]],TrafficData[[#This Row],[disposedAmount]]&lt;=TrafficData[[#This Row],[totalAmount]])</f>
        <v>1</v>
      </c>
      <c r="P2193" t="b">
        <f>AND(TrafficData[[#This Row],[pendingCourt]]&lt;=TrafficData[[#This Row],[totalCourt]],TrafficData[[#This Row],[disposedCourt]]&lt;=TrafficData[[#This Row],[totalCourt]])</f>
        <v>1</v>
      </c>
    </row>
    <row r="2194" spans="1:16">
      <c r="A2194" s="1">
        <v>44198</v>
      </c>
      <c r="B2194">
        <v>112216</v>
      </c>
      <c r="C2194">
        <v>61166</v>
      </c>
      <c r="D2194">
        <v>51050</v>
      </c>
      <c r="E2194">
        <v>60235429</v>
      </c>
      <c r="F2194">
        <v>63031674</v>
      </c>
      <c r="G2194">
        <v>123267103</v>
      </c>
      <c r="H2194">
        <v>26076</v>
      </c>
      <c r="I2194">
        <v>10216</v>
      </c>
      <c r="J2194">
        <v>36292</v>
      </c>
      <c r="K2194" t="b">
        <f>TrafficData[[#This Row],[disposedChallan]]+TrafficData[[#This Row],[pendingChallan]]=TrafficData[[#This Row],[totalChallan]]</f>
        <v>1</v>
      </c>
      <c r="L2194" t="b">
        <f>TrafficData[[#This Row],[pendingAmount]]+TrafficData[[#This Row],[disposedAmount]]=TrafficData[[#This Row],[totalAmount]]</f>
        <v>1</v>
      </c>
      <c r="M2194" t="b">
        <f>TrafficData[[#This Row],[pendingCourt]]+TrafficData[[#This Row],[disposedCourt]]=TrafficData[[#This Row],[totalCourt]]</f>
        <v>1</v>
      </c>
      <c r="N2194" t="b">
        <f>AND(TrafficData[[#This Row],[disposedChallan]]&lt;=TrafficData[[#This Row],[totalChallan]],TrafficData[[#This Row],[pendingChallan]]&lt;=TrafficData[[#This Row],[totalChallan]])</f>
        <v>1</v>
      </c>
      <c r="O2194" t="b">
        <f>AND(TrafficData[[#This Row],[pendingAmount]]&lt;=TrafficData[[#This Row],[totalAmount]],TrafficData[[#This Row],[disposedAmount]]&lt;=TrafficData[[#This Row],[totalAmount]])</f>
        <v>1</v>
      </c>
      <c r="P2194" t="b">
        <f>AND(TrafficData[[#This Row],[pendingCourt]]&lt;=TrafficData[[#This Row],[totalCourt]],TrafficData[[#This Row],[disposedCourt]]&lt;=TrafficData[[#This Row],[totalCourt]])</f>
        <v>1</v>
      </c>
    </row>
    <row r="2195" spans="1:16">
      <c r="A2195" s="1">
        <v>44199</v>
      </c>
      <c r="B2195">
        <v>90811</v>
      </c>
      <c r="C2195">
        <v>48750</v>
      </c>
      <c r="D2195">
        <v>42061</v>
      </c>
      <c r="E2195">
        <v>43540839</v>
      </c>
      <c r="F2195">
        <v>46328770</v>
      </c>
      <c r="G2195">
        <v>89869609</v>
      </c>
      <c r="H2195">
        <v>18686</v>
      </c>
      <c r="I2195">
        <v>7229</v>
      </c>
      <c r="J2195">
        <v>25915</v>
      </c>
      <c r="K2195" t="b">
        <f>TrafficData[[#This Row],[disposedChallan]]+TrafficData[[#This Row],[pendingChallan]]=TrafficData[[#This Row],[totalChallan]]</f>
        <v>1</v>
      </c>
      <c r="L2195" t="b">
        <f>TrafficData[[#This Row],[pendingAmount]]+TrafficData[[#This Row],[disposedAmount]]=TrafficData[[#This Row],[totalAmount]]</f>
        <v>1</v>
      </c>
      <c r="M2195" t="b">
        <f>TrafficData[[#This Row],[pendingCourt]]+TrafficData[[#This Row],[disposedCourt]]=TrafficData[[#This Row],[totalCourt]]</f>
        <v>1</v>
      </c>
      <c r="N2195" t="b">
        <f>AND(TrafficData[[#This Row],[disposedChallan]]&lt;=TrafficData[[#This Row],[totalChallan]],TrafficData[[#This Row],[pendingChallan]]&lt;=TrafficData[[#This Row],[totalChallan]])</f>
        <v>1</v>
      </c>
      <c r="O2195" t="b">
        <f>AND(TrafficData[[#This Row],[pendingAmount]]&lt;=TrafficData[[#This Row],[totalAmount]],TrafficData[[#This Row],[disposedAmount]]&lt;=TrafficData[[#This Row],[totalAmount]])</f>
        <v>1</v>
      </c>
      <c r="P2195" t="b">
        <f>AND(TrafficData[[#This Row],[pendingCourt]]&lt;=TrafficData[[#This Row],[totalCourt]],TrafficData[[#This Row],[disposedCourt]]&lt;=TrafficData[[#This Row],[totalCourt]])</f>
        <v>1</v>
      </c>
    </row>
    <row r="2196" spans="1:16">
      <c r="A2196" s="1">
        <v>44200</v>
      </c>
      <c r="B2196">
        <v>106092</v>
      </c>
      <c r="C2196">
        <v>59440</v>
      </c>
      <c r="D2196">
        <v>46652</v>
      </c>
      <c r="E2196">
        <v>57581087</v>
      </c>
      <c r="F2196">
        <v>68273571</v>
      </c>
      <c r="G2196">
        <v>125854658</v>
      </c>
      <c r="H2196">
        <v>22684</v>
      </c>
      <c r="I2196">
        <v>9242</v>
      </c>
      <c r="J2196">
        <v>31926</v>
      </c>
      <c r="K2196" t="b">
        <f>TrafficData[[#This Row],[disposedChallan]]+TrafficData[[#This Row],[pendingChallan]]=TrafficData[[#This Row],[totalChallan]]</f>
        <v>1</v>
      </c>
      <c r="L2196" t="b">
        <f>TrafficData[[#This Row],[pendingAmount]]+TrafficData[[#This Row],[disposedAmount]]=TrafficData[[#This Row],[totalAmount]]</f>
        <v>1</v>
      </c>
      <c r="M2196" t="b">
        <f>TrafficData[[#This Row],[pendingCourt]]+TrafficData[[#This Row],[disposedCourt]]=TrafficData[[#This Row],[totalCourt]]</f>
        <v>1</v>
      </c>
      <c r="N2196" t="b">
        <f>AND(TrafficData[[#This Row],[disposedChallan]]&lt;=TrafficData[[#This Row],[totalChallan]],TrafficData[[#This Row],[pendingChallan]]&lt;=TrafficData[[#This Row],[totalChallan]])</f>
        <v>1</v>
      </c>
      <c r="O2196" t="b">
        <f>AND(TrafficData[[#This Row],[pendingAmount]]&lt;=TrafficData[[#This Row],[totalAmount]],TrafficData[[#This Row],[disposedAmount]]&lt;=TrafficData[[#This Row],[totalAmount]])</f>
        <v>1</v>
      </c>
      <c r="P2196" t="b">
        <f>AND(TrafficData[[#This Row],[pendingCourt]]&lt;=TrafficData[[#This Row],[totalCourt]],TrafficData[[#This Row],[disposedCourt]]&lt;=TrafficData[[#This Row],[totalCourt]])</f>
        <v>1</v>
      </c>
    </row>
    <row r="2197" spans="1:16">
      <c r="A2197" s="1">
        <v>44201</v>
      </c>
      <c r="B2197">
        <v>105653</v>
      </c>
      <c r="C2197">
        <v>55620</v>
      </c>
      <c r="D2197">
        <v>50033</v>
      </c>
      <c r="E2197">
        <v>61921782</v>
      </c>
      <c r="F2197">
        <v>80345813</v>
      </c>
      <c r="G2197">
        <v>142267595</v>
      </c>
      <c r="H2197">
        <v>24115</v>
      </c>
      <c r="I2197">
        <v>9274</v>
      </c>
      <c r="J2197">
        <v>33389</v>
      </c>
      <c r="K2197" t="b">
        <f>TrafficData[[#This Row],[disposedChallan]]+TrafficData[[#This Row],[pendingChallan]]=TrafficData[[#This Row],[totalChallan]]</f>
        <v>1</v>
      </c>
      <c r="L2197" t="b">
        <f>TrafficData[[#This Row],[pendingAmount]]+TrafficData[[#This Row],[disposedAmount]]=TrafficData[[#This Row],[totalAmount]]</f>
        <v>1</v>
      </c>
      <c r="M2197" t="b">
        <f>TrafficData[[#This Row],[pendingCourt]]+TrafficData[[#This Row],[disposedCourt]]=TrafficData[[#This Row],[totalCourt]]</f>
        <v>1</v>
      </c>
      <c r="N2197" t="b">
        <f>AND(TrafficData[[#This Row],[disposedChallan]]&lt;=TrafficData[[#This Row],[totalChallan]],TrafficData[[#This Row],[pendingChallan]]&lt;=TrafficData[[#This Row],[totalChallan]])</f>
        <v>1</v>
      </c>
      <c r="O2197" t="b">
        <f>AND(TrafficData[[#This Row],[pendingAmount]]&lt;=TrafficData[[#This Row],[totalAmount]],TrafficData[[#This Row],[disposedAmount]]&lt;=TrafficData[[#This Row],[totalAmount]])</f>
        <v>1</v>
      </c>
      <c r="P2197" t="b">
        <f>AND(TrafficData[[#This Row],[pendingCourt]]&lt;=TrafficData[[#This Row],[totalCourt]],TrafficData[[#This Row],[disposedCourt]]&lt;=TrafficData[[#This Row],[totalCourt]])</f>
        <v>1</v>
      </c>
    </row>
    <row r="2198" spans="1:16">
      <c r="A2198" s="1">
        <v>44202</v>
      </c>
      <c r="B2198">
        <v>108392</v>
      </c>
      <c r="C2198">
        <v>60140</v>
      </c>
      <c r="D2198">
        <v>48252</v>
      </c>
      <c r="E2198">
        <v>64550447</v>
      </c>
      <c r="F2198">
        <v>83660141</v>
      </c>
      <c r="G2198">
        <v>148210588</v>
      </c>
      <c r="H2198">
        <v>23966</v>
      </c>
      <c r="I2198">
        <v>7951</v>
      </c>
      <c r="J2198">
        <v>31917</v>
      </c>
      <c r="K2198" t="b">
        <f>TrafficData[[#This Row],[disposedChallan]]+TrafficData[[#This Row],[pendingChallan]]=TrafficData[[#This Row],[totalChallan]]</f>
        <v>1</v>
      </c>
      <c r="L2198" t="b">
        <f>TrafficData[[#This Row],[pendingAmount]]+TrafficData[[#This Row],[disposedAmount]]=TrafficData[[#This Row],[totalAmount]]</f>
        <v>1</v>
      </c>
      <c r="M2198" t="b">
        <f>TrafficData[[#This Row],[pendingCourt]]+TrafficData[[#This Row],[disposedCourt]]=TrafficData[[#This Row],[totalCourt]]</f>
        <v>1</v>
      </c>
      <c r="N2198" t="b">
        <f>AND(TrafficData[[#This Row],[disposedChallan]]&lt;=TrafficData[[#This Row],[totalChallan]],TrafficData[[#This Row],[pendingChallan]]&lt;=TrafficData[[#This Row],[totalChallan]])</f>
        <v>1</v>
      </c>
      <c r="O2198" t="b">
        <f>AND(TrafficData[[#This Row],[pendingAmount]]&lt;=TrafficData[[#This Row],[totalAmount]],TrafficData[[#This Row],[disposedAmount]]&lt;=TrafficData[[#This Row],[totalAmount]])</f>
        <v>1</v>
      </c>
      <c r="P2198" t="b">
        <f>AND(TrafficData[[#This Row],[pendingCourt]]&lt;=TrafficData[[#This Row],[totalCourt]],TrafficData[[#This Row],[disposedCourt]]&lt;=TrafficData[[#This Row],[totalCourt]])</f>
        <v>1</v>
      </c>
    </row>
    <row r="2199" spans="1:16">
      <c r="A2199" s="1">
        <v>44203</v>
      </c>
      <c r="B2199">
        <v>115399</v>
      </c>
      <c r="C2199">
        <v>63964</v>
      </c>
      <c r="D2199">
        <v>51435</v>
      </c>
      <c r="E2199">
        <v>65771272</v>
      </c>
      <c r="F2199">
        <v>82767638</v>
      </c>
      <c r="G2199">
        <v>148538910</v>
      </c>
      <c r="H2199">
        <v>23760</v>
      </c>
      <c r="I2199">
        <v>9901</v>
      </c>
      <c r="J2199">
        <v>33661</v>
      </c>
      <c r="K2199" t="b">
        <f>TrafficData[[#This Row],[disposedChallan]]+TrafficData[[#This Row],[pendingChallan]]=TrafficData[[#This Row],[totalChallan]]</f>
        <v>1</v>
      </c>
      <c r="L2199" t="b">
        <f>TrafficData[[#This Row],[pendingAmount]]+TrafficData[[#This Row],[disposedAmount]]=TrafficData[[#This Row],[totalAmount]]</f>
        <v>1</v>
      </c>
      <c r="M2199" t="b">
        <f>TrafficData[[#This Row],[pendingCourt]]+TrafficData[[#This Row],[disposedCourt]]=TrafficData[[#This Row],[totalCourt]]</f>
        <v>1</v>
      </c>
      <c r="N2199" t="b">
        <f>AND(TrafficData[[#This Row],[disposedChallan]]&lt;=TrafficData[[#This Row],[totalChallan]],TrafficData[[#This Row],[pendingChallan]]&lt;=TrafficData[[#This Row],[totalChallan]])</f>
        <v>1</v>
      </c>
      <c r="O2199" t="b">
        <f>AND(TrafficData[[#This Row],[pendingAmount]]&lt;=TrafficData[[#This Row],[totalAmount]],TrafficData[[#This Row],[disposedAmount]]&lt;=TrafficData[[#This Row],[totalAmount]])</f>
        <v>1</v>
      </c>
      <c r="P2199" t="b">
        <f>AND(TrafficData[[#This Row],[pendingCourt]]&lt;=TrafficData[[#This Row],[totalCourt]],TrafficData[[#This Row],[disposedCourt]]&lt;=TrafficData[[#This Row],[totalCourt]])</f>
        <v>1</v>
      </c>
    </row>
    <row r="2200" spans="1:16">
      <c r="A2200" s="1">
        <v>44204</v>
      </c>
      <c r="B2200">
        <v>115614</v>
      </c>
      <c r="C2200">
        <v>64062</v>
      </c>
      <c r="D2200">
        <v>51552</v>
      </c>
      <c r="E2200">
        <v>61312534</v>
      </c>
      <c r="F2200">
        <v>80516104</v>
      </c>
      <c r="G2200">
        <v>141828638</v>
      </c>
      <c r="H2200">
        <v>23123</v>
      </c>
      <c r="I2200">
        <v>10299</v>
      </c>
      <c r="J2200">
        <v>33422</v>
      </c>
      <c r="K2200" t="b">
        <f>TrafficData[[#This Row],[disposedChallan]]+TrafficData[[#This Row],[pendingChallan]]=TrafficData[[#This Row],[totalChallan]]</f>
        <v>1</v>
      </c>
      <c r="L2200" t="b">
        <f>TrafficData[[#This Row],[pendingAmount]]+TrafficData[[#This Row],[disposedAmount]]=TrafficData[[#This Row],[totalAmount]]</f>
        <v>1</v>
      </c>
      <c r="M2200" t="b">
        <f>TrafficData[[#This Row],[pendingCourt]]+TrafficData[[#This Row],[disposedCourt]]=TrafficData[[#This Row],[totalCourt]]</f>
        <v>1</v>
      </c>
      <c r="N2200" t="b">
        <f>AND(TrafficData[[#This Row],[disposedChallan]]&lt;=TrafficData[[#This Row],[totalChallan]],TrafficData[[#This Row],[pendingChallan]]&lt;=TrafficData[[#This Row],[totalChallan]])</f>
        <v>1</v>
      </c>
      <c r="O2200" t="b">
        <f>AND(TrafficData[[#This Row],[pendingAmount]]&lt;=TrafficData[[#This Row],[totalAmount]],TrafficData[[#This Row],[disposedAmount]]&lt;=TrafficData[[#This Row],[totalAmount]])</f>
        <v>1</v>
      </c>
      <c r="P2200" t="b">
        <f>AND(TrafficData[[#This Row],[pendingCourt]]&lt;=TrafficData[[#This Row],[totalCourt]],TrafficData[[#This Row],[disposedCourt]]&lt;=TrafficData[[#This Row],[totalCourt]])</f>
        <v>1</v>
      </c>
    </row>
    <row r="2201" spans="1:16">
      <c r="A2201" s="1">
        <v>44205</v>
      </c>
      <c r="B2201">
        <v>116432</v>
      </c>
      <c r="C2201">
        <v>63687</v>
      </c>
      <c r="D2201">
        <v>52745</v>
      </c>
      <c r="E2201">
        <v>60350812</v>
      </c>
      <c r="F2201">
        <v>77790872</v>
      </c>
      <c r="G2201">
        <v>138141684</v>
      </c>
      <c r="H2201">
        <v>23606</v>
      </c>
      <c r="I2201">
        <v>10301</v>
      </c>
      <c r="J2201">
        <v>33907</v>
      </c>
      <c r="K2201" t="b">
        <f>TrafficData[[#This Row],[disposedChallan]]+TrafficData[[#This Row],[pendingChallan]]=TrafficData[[#This Row],[totalChallan]]</f>
        <v>1</v>
      </c>
      <c r="L2201" t="b">
        <f>TrafficData[[#This Row],[pendingAmount]]+TrafficData[[#This Row],[disposedAmount]]=TrafficData[[#This Row],[totalAmount]]</f>
        <v>1</v>
      </c>
      <c r="M2201" t="b">
        <f>TrafficData[[#This Row],[pendingCourt]]+TrafficData[[#This Row],[disposedCourt]]=TrafficData[[#This Row],[totalCourt]]</f>
        <v>1</v>
      </c>
      <c r="N2201" t="b">
        <f>AND(TrafficData[[#This Row],[disposedChallan]]&lt;=TrafficData[[#This Row],[totalChallan]],TrafficData[[#This Row],[pendingChallan]]&lt;=TrafficData[[#This Row],[totalChallan]])</f>
        <v>1</v>
      </c>
      <c r="O2201" t="b">
        <f>AND(TrafficData[[#This Row],[pendingAmount]]&lt;=TrafficData[[#This Row],[totalAmount]],TrafficData[[#This Row],[disposedAmount]]&lt;=TrafficData[[#This Row],[totalAmount]])</f>
        <v>1</v>
      </c>
      <c r="P2201" t="b">
        <f>AND(TrafficData[[#This Row],[pendingCourt]]&lt;=TrafficData[[#This Row],[totalCourt]],TrafficData[[#This Row],[disposedCourt]]&lt;=TrafficData[[#This Row],[totalCourt]])</f>
        <v>1</v>
      </c>
    </row>
    <row r="2202" spans="1:16">
      <c r="A2202" s="1">
        <v>44206</v>
      </c>
      <c r="B2202">
        <v>105811</v>
      </c>
      <c r="C2202">
        <v>56133</v>
      </c>
      <c r="D2202">
        <v>49678</v>
      </c>
      <c r="E2202">
        <v>55849421</v>
      </c>
      <c r="F2202">
        <v>60177868</v>
      </c>
      <c r="G2202">
        <v>116027289</v>
      </c>
      <c r="H2202">
        <v>22658</v>
      </c>
      <c r="I2202">
        <v>9033</v>
      </c>
      <c r="J2202">
        <v>31691</v>
      </c>
      <c r="K2202" t="b">
        <f>TrafficData[[#This Row],[disposedChallan]]+TrafficData[[#This Row],[pendingChallan]]=TrafficData[[#This Row],[totalChallan]]</f>
        <v>1</v>
      </c>
      <c r="L2202" t="b">
        <f>TrafficData[[#This Row],[pendingAmount]]+TrafficData[[#This Row],[disposedAmount]]=TrafficData[[#This Row],[totalAmount]]</f>
        <v>1</v>
      </c>
      <c r="M2202" t="b">
        <f>TrafficData[[#This Row],[pendingCourt]]+TrafficData[[#This Row],[disposedCourt]]=TrafficData[[#This Row],[totalCourt]]</f>
        <v>1</v>
      </c>
      <c r="N2202" t="b">
        <f>AND(TrafficData[[#This Row],[disposedChallan]]&lt;=TrafficData[[#This Row],[totalChallan]],TrafficData[[#This Row],[pendingChallan]]&lt;=TrafficData[[#This Row],[totalChallan]])</f>
        <v>1</v>
      </c>
      <c r="O2202" t="b">
        <f>AND(TrafficData[[#This Row],[pendingAmount]]&lt;=TrafficData[[#This Row],[totalAmount]],TrafficData[[#This Row],[disposedAmount]]&lt;=TrafficData[[#This Row],[totalAmount]])</f>
        <v>1</v>
      </c>
      <c r="P2202" t="b">
        <f>AND(TrafficData[[#This Row],[pendingCourt]]&lt;=TrafficData[[#This Row],[totalCourt]],TrafficData[[#This Row],[disposedCourt]]&lt;=TrafficData[[#This Row],[totalCourt]])</f>
        <v>1</v>
      </c>
    </row>
    <row r="2203" spans="1:16">
      <c r="A2203" s="1">
        <v>44207</v>
      </c>
      <c r="B2203">
        <v>115165</v>
      </c>
      <c r="C2203">
        <v>64012</v>
      </c>
      <c r="D2203">
        <v>51153</v>
      </c>
      <c r="E2203">
        <v>61429246</v>
      </c>
      <c r="F2203">
        <v>79265360</v>
      </c>
      <c r="G2203">
        <v>140694606</v>
      </c>
      <c r="H2203">
        <v>22361</v>
      </c>
      <c r="I2203">
        <v>10563</v>
      </c>
      <c r="J2203">
        <v>32924</v>
      </c>
      <c r="K2203" t="b">
        <f>TrafficData[[#This Row],[disposedChallan]]+TrafficData[[#This Row],[pendingChallan]]=TrafficData[[#This Row],[totalChallan]]</f>
        <v>1</v>
      </c>
      <c r="L2203" t="b">
        <f>TrafficData[[#This Row],[pendingAmount]]+TrafficData[[#This Row],[disposedAmount]]=TrafficData[[#This Row],[totalAmount]]</f>
        <v>1</v>
      </c>
      <c r="M2203" t="b">
        <f>TrafficData[[#This Row],[pendingCourt]]+TrafficData[[#This Row],[disposedCourt]]=TrafficData[[#This Row],[totalCourt]]</f>
        <v>1</v>
      </c>
      <c r="N2203" t="b">
        <f>AND(TrafficData[[#This Row],[disposedChallan]]&lt;=TrafficData[[#This Row],[totalChallan]],TrafficData[[#This Row],[pendingChallan]]&lt;=TrafficData[[#This Row],[totalChallan]])</f>
        <v>1</v>
      </c>
      <c r="O2203" t="b">
        <f>AND(TrafficData[[#This Row],[pendingAmount]]&lt;=TrafficData[[#This Row],[totalAmount]],TrafficData[[#This Row],[disposedAmount]]&lt;=TrafficData[[#This Row],[totalAmount]])</f>
        <v>1</v>
      </c>
      <c r="P2203" t="b">
        <f>AND(TrafficData[[#This Row],[pendingCourt]]&lt;=TrafficData[[#This Row],[totalCourt]],TrafficData[[#This Row],[disposedCourt]]&lt;=TrafficData[[#This Row],[totalCourt]])</f>
        <v>1</v>
      </c>
    </row>
    <row r="2204" spans="1:16">
      <c r="A2204" s="1">
        <v>44208</v>
      </c>
      <c r="B2204">
        <v>111458</v>
      </c>
      <c r="C2204">
        <v>61964</v>
      </c>
      <c r="D2204">
        <v>49494</v>
      </c>
      <c r="E2204">
        <v>70459713</v>
      </c>
      <c r="F2204">
        <v>86118776</v>
      </c>
      <c r="G2204">
        <v>156578489</v>
      </c>
      <c r="H2204">
        <v>24759</v>
      </c>
      <c r="I2204">
        <v>10569</v>
      </c>
      <c r="J2204">
        <v>35328</v>
      </c>
      <c r="K2204" t="b">
        <f>TrafficData[[#This Row],[disposedChallan]]+TrafficData[[#This Row],[pendingChallan]]=TrafficData[[#This Row],[totalChallan]]</f>
        <v>1</v>
      </c>
      <c r="L2204" t="b">
        <f>TrafficData[[#This Row],[pendingAmount]]+TrafficData[[#This Row],[disposedAmount]]=TrafficData[[#This Row],[totalAmount]]</f>
        <v>1</v>
      </c>
      <c r="M2204" t="b">
        <f>TrafficData[[#This Row],[pendingCourt]]+TrafficData[[#This Row],[disposedCourt]]=TrafficData[[#This Row],[totalCourt]]</f>
        <v>1</v>
      </c>
      <c r="N2204" t="b">
        <f>AND(TrafficData[[#This Row],[disposedChallan]]&lt;=TrafficData[[#This Row],[totalChallan]],TrafficData[[#This Row],[pendingChallan]]&lt;=TrafficData[[#This Row],[totalChallan]])</f>
        <v>1</v>
      </c>
      <c r="O2204" t="b">
        <f>AND(TrafficData[[#This Row],[pendingAmount]]&lt;=TrafficData[[#This Row],[totalAmount]],TrafficData[[#This Row],[disposedAmount]]&lt;=TrafficData[[#This Row],[totalAmount]])</f>
        <v>1</v>
      </c>
      <c r="P2204" t="b">
        <f>AND(TrafficData[[#This Row],[pendingCourt]]&lt;=TrafficData[[#This Row],[totalCourt]],TrafficData[[#This Row],[disposedCourt]]&lt;=TrafficData[[#This Row],[totalCourt]])</f>
        <v>1</v>
      </c>
    </row>
    <row r="2205" spans="1:16">
      <c r="A2205" s="1">
        <v>44209</v>
      </c>
      <c r="B2205">
        <v>106066</v>
      </c>
      <c r="C2205">
        <v>59100</v>
      </c>
      <c r="D2205">
        <v>46966</v>
      </c>
      <c r="E2205">
        <v>67694191</v>
      </c>
      <c r="F2205">
        <v>81603579</v>
      </c>
      <c r="G2205">
        <v>149297770</v>
      </c>
      <c r="H2205">
        <v>24951</v>
      </c>
      <c r="I2205">
        <v>10673</v>
      </c>
      <c r="J2205">
        <v>35624</v>
      </c>
      <c r="K2205" t="b">
        <f>TrafficData[[#This Row],[disposedChallan]]+TrafficData[[#This Row],[pendingChallan]]=TrafficData[[#This Row],[totalChallan]]</f>
        <v>1</v>
      </c>
      <c r="L2205" t="b">
        <f>TrafficData[[#This Row],[pendingAmount]]+TrafficData[[#This Row],[disposedAmount]]=TrafficData[[#This Row],[totalAmount]]</f>
        <v>1</v>
      </c>
      <c r="M2205" t="b">
        <f>TrafficData[[#This Row],[pendingCourt]]+TrafficData[[#This Row],[disposedCourt]]=TrafficData[[#This Row],[totalCourt]]</f>
        <v>1</v>
      </c>
      <c r="N2205" t="b">
        <f>AND(TrafficData[[#This Row],[disposedChallan]]&lt;=TrafficData[[#This Row],[totalChallan]],TrafficData[[#This Row],[pendingChallan]]&lt;=TrafficData[[#This Row],[totalChallan]])</f>
        <v>1</v>
      </c>
      <c r="O2205" t="b">
        <f>AND(TrafficData[[#This Row],[pendingAmount]]&lt;=TrafficData[[#This Row],[totalAmount]],TrafficData[[#This Row],[disposedAmount]]&lt;=TrafficData[[#This Row],[totalAmount]])</f>
        <v>1</v>
      </c>
      <c r="P2205" t="b">
        <f>AND(TrafficData[[#This Row],[pendingCourt]]&lt;=TrafficData[[#This Row],[totalCourt]],TrafficData[[#This Row],[disposedCourt]]&lt;=TrafficData[[#This Row],[totalCourt]])</f>
        <v>1</v>
      </c>
    </row>
    <row r="2206" spans="1:16">
      <c r="A2206" s="1">
        <v>44210</v>
      </c>
      <c r="B2206">
        <v>87857</v>
      </c>
      <c r="C2206">
        <v>45575</v>
      </c>
      <c r="D2206">
        <v>42282</v>
      </c>
      <c r="E2206">
        <v>58779010</v>
      </c>
      <c r="F2206">
        <v>68875042</v>
      </c>
      <c r="G2206">
        <v>127654052</v>
      </c>
      <c r="H2206">
        <v>23244</v>
      </c>
      <c r="I2206">
        <v>9036</v>
      </c>
      <c r="J2206">
        <v>32280</v>
      </c>
      <c r="K2206" t="b">
        <f>TrafficData[[#This Row],[disposedChallan]]+TrafficData[[#This Row],[pendingChallan]]=TrafficData[[#This Row],[totalChallan]]</f>
        <v>1</v>
      </c>
      <c r="L2206" t="b">
        <f>TrafficData[[#This Row],[pendingAmount]]+TrafficData[[#This Row],[disposedAmount]]=TrafficData[[#This Row],[totalAmount]]</f>
        <v>1</v>
      </c>
      <c r="M2206" t="b">
        <f>TrafficData[[#This Row],[pendingCourt]]+TrafficData[[#This Row],[disposedCourt]]=TrafficData[[#This Row],[totalCourt]]</f>
        <v>1</v>
      </c>
      <c r="N2206" t="b">
        <f>AND(TrafficData[[#This Row],[disposedChallan]]&lt;=TrafficData[[#This Row],[totalChallan]],TrafficData[[#This Row],[pendingChallan]]&lt;=TrafficData[[#This Row],[totalChallan]])</f>
        <v>1</v>
      </c>
      <c r="O2206" t="b">
        <f>AND(TrafficData[[#This Row],[pendingAmount]]&lt;=TrafficData[[#This Row],[totalAmount]],TrafficData[[#This Row],[disposedAmount]]&lt;=TrafficData[[#This Row],[totalAmount]])</f>
        <v>1</v>
      </c>
      <c r="P2206" t="b">
        <f>AND(TrafficData[[#This Row],[pendingCourt]]&lt;=TrafficData[[#This Row],[totalCourt]],TrafficData[[#This Row],[disposedCourt]]&lt;=TrafficData[[#This Row],[totalCourt]])</f>
        <v>1</v>
      </c>
    </row>
    <row r="2207" spans="1:16">
      <c r="A2207" s="1">
        <v>44211</v>
      </c>
      <c r="B2207">
        <v>97804</v>
      </c>
      <c r="C2207">
        <v>50042</v>
      </c>
      <c r="D2207">
        <v>47762</v>
      </c>
      <c r="E2207">
        <v>62659234</v>
      </c>
      <c r="F2207">
        <v>67699744</v>
      </c>
      <c r="G2207">
        <v>130358978</v>
      </c>
      <c r="H2207">
        <v>25364</v>
      </c>
      <c r="I2207">
        <v>10009</v>
      </c>
      <c r="J2207">
        <v>35373</v>
      </c>
      <c r="K2207" t="b">
        <f>TrafficData[[#This Row],[disposedChallan]]+TrafficData[[#This Row],[pendingChallan]]=TrafficData[[#This Row],[totalChallan]]</f>
        <v>1</v>
      </c>
      <c r="L2207" t="b">
        <f>TrafficData[[#This Row],[pendingAmount]]+TrafficData[[#This Row],[disposedAmount]]=TrafficData[[#This Row],[totalAmount]]</f>
        <v>1</v>
      </c>
      <c r="M2207" t="b">
        <f>TrafficData[[#This Row],[pendingCourt]]+TrafficData[[#This Row],[disposedCourt]]=TrafficData[[#This Row],[totalCourt]]</f>
        <v>1</v>
      </c>
      <c r="N2207" t="b">
        <f>AND(TrafficData[[#This Row],[disposedChallan]]&lt;=TrafficData[[#This Row],[totalChallan]],TrafficData[[#This Row],[pendingChallan]]&lt;=TrafficData[[#This Row],[totalChallan]])</f>
        <v>1</v>
      </c>
      <c r="O2207" t="b">
        <f>AND(TrafficData[[#This Row],[pendingAmount]]&lt;=TrafficData[[#This Row],[totalAmount]],TrafficData[[#This Row],[disposedAmount]]&lt;=TrafficData[[#This Row],[totalAmount]])</f>
        <v>1</v>
      </c>
      <c r="P2207" t="b">
        <f>AND(TrafficData[[#This Row],[pendingCourt]]&lt;=TrafficData[[#This Row],[totalCourt]],TrafficData[[#This Row],[disposedCourt]]&lt;=TrafficData[[#This Row],[totalCourt]])</f>
        <v>1</v>
      </c>
    </row>
    <row r="2208" spans="1:16">
      <c r="A2208" s="1">
        <v>44212</v>
      </c>
      <c r="B2208">
        <v>100445</v>
      </c>
      <c r="C2208">
        <v>54850</v>
      </c>
      <c r="D2208">
        <v>45595</v>
      </c>
      <c r="E2208">
        <v>54947000</v>
      </c>
      <c r="F2208">
        <v>66368560</v>
      </c>
      <c r="G2208">
        <v>121315560</v>
      </c>
      <c r="H2208">
        <v>20297</v>
      </c>
      <c r="I2208">
        <v>7057</v>
      </c>
      <c r="J2208">
        <v>27354</v>
      </c>
      <c r="K2208" t="b">
        <f>TrafficData[[#This Row],[disposedChallan]]+TrafficData[[#This Row],[pendingChallan]]=TrafficData[[#This Row],[totalChallan]]</f>
        <v>1</v>
      </c>
      <c r="L2208" t="b">
        <f>TrafficData[[#This Row],[pendingAmount]]+TrafficData[[#This Row],[disposedAmount]]=TrafficData[[#This Row],[totalAmount]]</f>
        <v>1</v>
      </c>
      <c r="M2208" t="b">
        <f>TrafficData[[#This Row],[pendingCourt]]+TrafficData[[#This Row],[disposedCourt]]=TrafficData[[#This Row],[totalCourt]]</f>
        <v>1</v>
      </c>
      <c r="N2208" t="b">
        <f>AND(TrafficData[[#This Row],[disposedChallan]]&lt;=TrafficData[[#This Row],[totalChallan]],TrafficData[[#This Row],[pendingChallan]]&lt;=TrafficData[[#This Row],[totalChallan]])</f>
        <v>1</v>
      </c>
      <c r="O2208" t="b">
        <f>AND(TrafficData[[#This Row],[pendingAmount]]&lt;=TrafficData[[#This Row],[totalAmount]],TrafficData[[#This Row],[disposedAmount]]&lt;=TrafficData[[#This Row],[totalAmount]])</f>
        <v>1</v>
      </c>
      <c r="P2208" t="b">
        <f>AND(TrafficData[[#This Row],[pendingCourt]]&lt;=TrafficData[[#This Row],[totalCourt]],TrafficData[[#This Row],[disposedCourt]]&lt;=TrafficData[[#This Row],[totalCourt]])</f>
        <v>1</v>
      </c>
    </row>
    <row r="2209" spans="1:16">
      <c r="A2209" s="1">
        <v>44213</v>
      </c>
      <c r="B2209">
        <v>96828</v>
      </c>
      <c r="C2209">
        <v>51616</v>
      </c>
      <c r="D2209">
        <v>45212</v>
      </c>
      <c r="E2209">
        <v>49927577</v>
      </c>
      <c r="F2209">
        <v>55146833</v>
      </c>
      <c r="G2209">
        <v>105074410</v>
      </c>
      <c r="H2209">
        <v>20549</v>
      </c>
      <c r="I2209">
        <v>8085</v>
      </c>
      <c r="J2209">
        <v>28634</v>
      </c>
      <c r="K2209" t="b">
        <f>TrafficData[[#This Row],[disposedChallan]]+TrafficData[[#This Row],[pendingChallan]]=TrafficData[[#This Row],[totalChallan]]</f>
        <v>1</v>
      </c>
      <c r="L2209" t="b">
        <f>TrafficData[[#This Row],[pendingAmount]]+TrafficData[[#This Row],[disposedAmount]]=TrafficData[[#This Row],[totalAmount]]</f>
        <v>1</v>
      </c>
      <c r="M2209" t="b">
        <f>TrafficData[[#This Row],[pendingCourt]]+TrafficData[[#This Row],[disposedCourt]]=TrafficData[[#This Row],[totalCourt]]</f>
        <v>1</v>
      </c>
      <c r="N2209" t="b">
        <f>AND(TrafficData[[#This Row],[disposedChallan]]&lt;=TrafficData[[#This Row],[totalChallan]],TrafficData[[#This Row],[pendingChallan]]&lt;=TrafficData[[#This Row],[totalChallan]])</f>
        <v>1</v>
      </c>
      <c r="O2209" t="b">
        <f>AND(TrafficData[[#This Row],[pendingAmount]]&lt;=TrafficData[[#This Row],[totalAmount]],TrafficData[[#This Row],[disposedAmount]]&lt;=TrafficData[[#This Row],[totalAmount]])</f>
        <v>1</v>
      </c>
      <c r="P2209" t="b">
        <f>AND(TrafficData[[#This Row],[pendingCourt]]&lt;=TrafficData[[#This Row],[totalCourt]],TrafficData[[#This Row],[disposedCourt]]&lt;=TrafficData[[#This Row],[totalCourt]])</f>
        <v>1</v>
      </c>
    </row>
    <row r="2210" spans="1:16">
      <c r="A2210" s="1">
        <v>44214</v>
      </c>
      <c r="B2210">
        <v>109559</v>
      </c>
      <c r="C2210">
        <v>60330</v>
      </c>
      <c r="D2210">
        <v>49229</v>
      </c>
      <c r="E2210">
        <v>53978307</v>
      </c>
      <c r="F2210">
        <v>64683452</v>
      </c>
      <c r="G2210">
        <v>118661759</v>
      </c>
      <c r="H2210">
        <v>23337</v>
      </c>
      <c r="I2210">
        <v>9538</v>
      </c>
      <c r="J2210">
        <v>32875</v>
      </c>
      <c r="K2210" t="b">
        <f>TrafficData[[#This Row],[disposedChallan]]+TrafficData[[#This Row],[pendingChallan]]=TrafficData[[#This Row],[totalChallan]]</f>
        <v>1</v>
      </c>
      <c r="L2210" t="b">
        <f>TrafficData[[#This Row],[pendingAmount]]+TrafficData[[#This Row],[disposedAmount]]=TrafficData[[#This Row],[totalAmount]]</f>
        <v>1</v>
      </c>
      <c r="M2210" t="b">
        <f>TrafficData[[#This Row],[pendingCourt]]+TrafficData[[#This Row],[disposedCourt]]=TrafficData[[#This Row],[totalCourt]]</f>
        <v>1</v>
      </c>
      <c r="N2210" t="b">
        <f>AND(TrafficData[[#This Row],[disposedChallan]]&lt;=TrafficData[[#This Row],[totalChallan]],TrafficData[[#This Row],[pendingChallan]]&lt;=TrafficData[[#This Row],[totalChallan]])</f>
        <v>1</v>
      </c>
      <c r="O2210" t="b">
        <f>AND(TrafficData[[#This Row],[pendingAmount]]&lt;=TrafficData[[#This Row],[totalAmount]],TrafficData[[#This Row],[disposedAmount]]&lt;=TrafficData[[#This Row],[totalAmount]])</f>
        <v>1</v>
      </c>
      <c r="P2210" t="b">
        <f>AND(TrafficData[[#This Row],[pendingCourt]]&lt;=TrafficData[[#This Row],[totalCourt]],TrafficData[[#This Row],[disposedCourt]]&lt;=TrafficData[[#This Row],[totalCourt]])</f>
        <v>1</v>
      </c>
    </row>
    <row r="2211" spans="1:16">
      <c r="A2211" s="1">
        <v>44215</v>
      </c>
      <c r="B2211">
        <v>113771</v>
      </c>
      <c r="C2211">
        <v>63122</v>
      </c>
      <c r="D2211">
        <v>50649</v>
      </c>
      <c r="E2211">
        <v>62148022</v>
      </c>
      <c r="F2211">
        <v>77528659</v>
      </c>
      <c r="G2211">
        <v>139676681</v>
      </c>
      <c r="H2211">
        <v>24349</v>
      </c>
      <c r="I2211">
        <v>9662</v>
      </c>
      <c r="J2211">
        <v>34011</v>
      </c>
      <c r="K2211" t="b">
        <f>TrafficData[[#This Row],[disposedChallan]]+TrafficData[[#This Row],[pendingChallan]]=TrafficData[[#This Row],[totalChallan]]</f>
        <v>1</v>
      </c>
      <c r="L2211" t="b">
        <f>TrafficData[[#This Row],[pendingAmount]]+TrafficData[[#This Row],[disposedAmount]]=TrafficData[[#This Row],[totalAmount]]</f>
        <v>1</v>
      </c>
      <c r="M2211" t="b">
        <f>TrafficData[[#This Row],[pendingCourt]]+TrafficData[[#This Row],[disposedCourt]]=TrafficData[[#This Row],[totalCourt]]</f>
        <v>1</v>
      </c>
      <c r="N2211" t="b">
        <f>AND(TrafficData[[#This Row],[disposedChallan]]&lt;=TrafficData[[#This Row],[totalChallan]],TrafficData[[#This Row],[pendingChallan]]&lt;=TrafficData[[#This Row],[totalChallan]])</f>
        <v>1</v>
      </c>
      <c r="O2211" t="b">
        <f>AND(TrafficData[[#This Row],[pendingAmount]]&lt;=TrafficData[[#This Row],[totalAmount]],TrafficData[[#This Row],[disposedAmount]]&lt;=TrafficData[[#This Row],[totalAmount]])</f>
        <v>1</v>
      </c>
      <c r="P2211" t="b">
        <f>AND(TrafficData[[#This Row],[pendingCourt]]&lt;=TrafficData[[#This Row],[totalCourt]],TrafficData[[#This Row],[disposedCourt]]&lt;=TrafficData[[#This Row],[totalCourt]])</f>
        <v>1</v>
      </c>
    </row>
    <row r="2212" spans="1:16">
      <c r="A2212" s="1">
        <v>44216</v>
      </c>
      <c r="B2212">
        <v>110284</v>
      </c>
      <c r="C2212">
        <v>60970</v>
      </c>
      <c r="D2212">
        <v>49314</v>
      </c>
      <c r="E2212">
        <v>54736033</v>
      </c>
      <c r="F2212">
        <v>74540248</v>
      </c>
      <c r="G2212">
        <v>129276281</v>
      </c>
      <c r="H2212">
        <v>24478</v>
      </c>
      <c r="I2212">
        <v>8767</v>
      </c>
      <c r="J2212">
        <v>33245</v>
      </c>
      <c r="K2212" t="b">
        <f>TrafficData[[#This Row],[disposedChallan]]+TrafficData[[#This Row],[pendingChallan]]=TrafficData[[#This Row],[totalChallan]]</f>
        <v>1</v>
      </c>
      <c r="L2212" t="b">
        <f>TrafficData[[#This Row],[pendingAmount]]+TrafficData[[#This Row],[disposedAmount]]=TrafficData[[#This Row],[totalAmount]]</f>
        <v>1</v>
      </c>
      <c r="M2212" t="b">
        <f>TrafficData[[#This Row],[pendingCourt]]+TrafficData[[#This Row],[disposedCourt]]=TrafficData[[#This Row],[totalCourt]]</f>
        <v>1</v>
      </c>
      <c r="N2212" t="b">
        <f>AND(TrafficData[[#This Row],[disposedChallan]]&lt;=TrafficData[[#This Row],[totalChallan]],TrafficData[[#This Row],[pendingChallan]]&lt;=TrafficData[[#This Row],[totalChallan]])</f>
        <v>1</v>
      </c>
      <c r="O2212" t="b">
        <f>AND(TrafficData[[#This Row],[pendingAmount]]&lt;=TrafficData[[#This Row],[totalAmount]],TrafficData[[#This Row],[disposedAmount]]&lt;=TrafficData[[#This Row],[totalAmount]])</f>
        <v>1</v>
      </c>
      <c r="P2212" t="b">
        <f>AND(TrafficData[[#This Row],[pendingCourt]]&lt;=TrafficData[[#This Row],[totalCourt]],TrafficData[[#This Row],[disposedCourt]]&lt;=TrafficData[[#This Row],[totalCourt]])</f>
        <v>1</v>
      </c>
    </row>
    <row r="2213" spans="1:16">
      <c r="A2213" s="1">
        <v>44217</v>
      </c>
      <c r="B2213">
        <v>110628</v>
      </c>
      <c r="C2213">
        <v>61530</v>
      </c>
      <c r="D2213">
        <v>49098</v>
      </c>
      <c r="E2213">
        <v>57598067</v>
      </c>
      <c r="F2213">
        <v>75272573</v>
      </c>
      <c r="G2213">
        <v>132870640</v>
      </c>
      <c r="H2213">
        <v>22222</v>
      </c>
      <c r="I2213">
        <v>8610</v>
      </c>
      <c r="J2213">
        <v>30832</v>
      </c>
      <c r="K2213" t="b">
        <f>TrafficData[[#This Row],[disposedChallan]]+TrafficData[[#This Row],[pendingChallan]]=TrafficData[[#This Row],[totalChallan]]</f>
        <v>1</v>
      </c>
      <c r="L2213" t="b">
        <f>TrafficData[[#This Row],[pendingAmount]]+TrafficData[[#This Row],[disposedAmount]]=TrafficData[[#This Row],[totalAmount]]</f>
        <v>1</v>
      </c>
      <c r="M2213" t="b">
        <f>TrafficData[[#This Row],[pendingCourt]]+TrafficData[[#This Row],[disposedCourt]]=TrafficData[[#This Row],[totalCourt]]</f>
        <v>1</v>
      </c>
      <c r="N2213" t="b">
        <f>AND(TrafficData[[#This Row],[disposedChallan]]&lt;=TrafficData[[#This Row],[totalChallan]],TrafficData[[#This Row],[pendingChallan]]&lt;=TrafficData[[#This Row],[totalChallan]])</f>
        <v>1</v>
      </c>
      <c r="O2213" t="b">
        <f>AND(TrafficData[[#This Row],[pendingAmount]]&lt;=TrafficData[[#This Row],[totalAmount]],TrafficData[[#This Row],[disposedAmount]]&lt;=TrafficData[[#This Row],[totalAmount]])</f>
        <v>1</v>
      </c>
      <c r="P2213" t="b">
        <f>AND(TrafficData[[#This Row],[pendingCourt]]&lt;=TrafficData[[#This Row],[totalCourt]],TrafficData[[#This Row],[disposedCourt]]&lt;=TrafficData[[#This Row],[totalCourt]])</f>
        <v>1</v>
      </c>
    </row>
    <row r="2214" spans="1:16">
      <c r="A2214" s="1">
        <v>44218</v>
      </c>
      <c r="B2214">
        <v>110375</v>
      </c>
      <c r="C2214">
        <v>60545</v>
      </c>
      <c r="D2214">
        <v>49830</v>
      </c>
      <c r="E2214">
        <v>59682833</v>
      </c>
      <c r="F2214">
        <v>76741166</v>
      </c>
      <c r="G2214">
        <v>136423999</v>
      </c>
      <c r="H2214">
        <v>23016</v>
      </c>
      <c r="I2214">
        <v>9734</v>
      </c>
      <c r="J2214">
        <v>32750</v>
      </c>
      <c r="K2214" t="b">
        <f>TrafficData[[#This Row],[disposedChallan]]+TrafficData[[#This Row],[pendingChallan]]=TrafficData[[#This Row],[totalChallan]]</f>
        <v>1</v>
      </c>
      <c r="L2214" t="b">
        <f>TrafficData[[#This Row],[pendingAmount]]+TrafficData[[#This Row],[disposedAmount]]=TrafficData[[#This Row],[totalAmount]]</f>
        <v>1</v>
      </c>
      <c r="M2214" t="b">
        <f>TrafficData[[#This Row],[pendingCourt]]+TrafficData[[#This Row],[disposedCourt]]=TrafficData[[#This Row],[totalCourt]]</f>
        <v>1</v>
      </c>
      <c r="N2214" t="b">
        <f>AND(TrafficData[[#This Row],[disposedChallan]]&lt;=TrafficData[[#This Row],[totalChallan]],TrafficData[[#This Row],[pendingChallan]]&lt;=TrafficData[[#This Row],[totalChallan]])</f>
        <v>1</v>
      </c>
      <c r="O2214" t="b">
        <f>AND(TrafficData[[#This Row],[pendingAmount]]&lt;=TrafficData[[#This Row],[totalAmount]],TrafficData[[#This Row],[disposedAmount]]&lt;=TrafficData[[#This Row],[totalAmount]])</f>
        <v>1</v>
      </c>
      <c r="P2214" t="b">
        <f>AND(TrafficData[[#This Row],[pendingCourt]]&lt;=TrafficData[[#This Row],[totalCourt]],TrafficData[[#This Row],[disposedCourt]]&lt;=TrafficData[[#This Row],[totalCourt]])</f>
        <v>1</v>
      </c>
    </row>
    <row r="2215" spans="1:16">
      <c r="A2215" s="1">
        <v>44219</v>
      </c>
      <c r="B2215">
        <v>106238</v>
      </c>
      <c r="C2215">
        <v>59450</v>
      </c>
      <c r="D2215">
        <v>46788</v>
      </c>
      <c r="E2215">
        <v>56888622</v>
      </c>
      <c r="F2215">
        <v>71134663</v>
      </c>
      <c r="G2215">
        <v>128023285</v>
      </c>
      <c r="H2215">
        <v>22459</v>
      </c>
      <c r="I2215">
        <v>9417</v>
      </c>
      <c r="J2215">
        <v>31876</v>
      </c>
      <c r="K2215" t="b">
        <f>TrafficData[[#This Row],[disposedChallan]]+TrafficData[[#This Row],[pendingChallan]]=TrafficData[[#This Row],[totalChallan]]</f>
        <v>1</v>
      </c>
      <c r="L2215" t="b">
        <f>TrafficData[[#This Row],[pendingAmount]]+TrafficData[[#This Row],[disposedAmount]]=TrafficData[[#This Row],[totalAmount]]</f>
        <v>1</v>
      </c>
      <c r="M2215" t="b">
        <f>TrafficData[[#This Row],[pendingCourt]]+TrafficData[[#This Row],[disposedCourt]]=TrafficData[[#This Row],[totalCourt]]</f>
        <v>1</v>
      </c>
      <c r="N2215" t="b">
        <f>AND(TrafficData[[#This Row],[disposedChallan]]&lt;=TrafficData[[#This Row],[totalChallan]],TrafficData[[#This Row],[pendingChallan]]&lt;=TrafficData[[#This Row],[totalChallan]])</f>
        <v>1</v>
      </c>
      <c r="O2215" t="b">
        <f>AND(TrafficData[[#This Row],[pendingAmount]]&lt;=TrafficData[[#This Row],[totalAmount]],TrafficData[[#This Row],[disposedAmount]]&lt;=TrafficData[[#This Row],[totalAmount]])</f>
        <v>1</v>
      </c>
      <c r="P2215" t="b">
        <f>AND(TrafficData[[#This Row],[pendingCourt]]&lt;=TrafficData[[#This Row],[totalCourt]],TrafficData[[#This Row],[disposedCourt]]&lt;=TrafficData[[#This Row],[totalCourt]])</f>
        <v>1</v>
      </c>
    </row>
    <row r="2216" spans="1:16">
      <c r="A2216" s="1">
        <v>44220</v>
      </c>
      <c r="B2216">
        <v>97096</v>
      </c>
      <c r="C2216">
        <v>51701</v>
      </c>
      <c r="D2216">
        <v>45395</v>
      </c>
      <c r="E2216">
        <v>54532866</v>
      </c>
      <c r="F2216">
        <v>57184638</v>
      </c>
      <c r="G2216">
        <v>111717504</v>
      </c>
      <c r="H2216">
        <v>21881</v>
      </c>
      <c r="I2216">
        <v>8236</v>
      </c>
      <c r="J2216">
        <v>30117</v>
      </c>
      <c r="K2216" t="b">
        <f>TrafficData[[#This Row],[disposedChallan]]+TrafficData[[#This Row],[pendingChallan]]=TrafficData[[#This Row],[totalChallan]]</f>
        <v>1</v>
      </c>
      <c r="L2216" t="b">
        <f>TrafficData[[#This Row],[pendingAmount]]+TrafficData[[#This Row],[disposedAmount]]=TrafficData[[#This Row],[totalAmount]]</f>
        <v>1</v>
      </c>
      <c r="M2216" t="b">
        <f>TrafficData[[#This Row],[pendingCourt]]+TrafficData[[#This Row],[disposedCourt]]=TrafficData[[#This Row],[totalCourt]]</f>
        <v>1</v>
      </c>
      <c r="N2216" t="b">
        <f>AND(TrafficData[[#This Row],[disposedChallan]]&lt;=TrafficData[[#This Row],[totalChallan]],TrafficData[[#This Row],[pendingChallan]]&lt;=TrafficData[[#This Row],[totalChallan]])</f>
        <v>1</v>
      </c>
      <c r="O2216" t="b">
        <f>AND(TrafficData[[#This Row],[pendingAmount]]&lt;=TrafficData[[#This Row],[totalAmount]],TrafficData[[#This Row],[disposedAmount]]&lt;=TrafficData[[#This Row],[totalAmount]])</f>
        <v>1</v>
      </c>
      <c r="P2216" t="b">
        <f>AND(TrafficData[[#This Row],[pendingCourt]]&lt;=TrafficData[[#This Row],[totalCourt]],TrafficData[[#This Row],[disposedCourt]]&lt;=TrafficData[[#This Row],[totalCourt]])</f>
        <v>1</v>
      </c>
    </row>
    <row r="2217" spans="1:16">
      <c r="A2217" s="1">
        <v>44221</v>
      </c>
      <c r="B2217">
        <v>97296</v>
      </c>
      <c r="C2217">
        <v>54204</v>
      </c>
      <c r="D2217">
        <v>43092</v>
      </c>
      <c r="E2217">
        <v>58023051</v>
      </c>
      <c r="F2217">
        <v>63731381</v>
      </c>
      <c r="G2217">
        <v>121754432</v>
      </c>
      <c r="H2217">
        <v>24170</v>
      </c>
      <c r="I2217">
        <v>9341</v>
      </c>
      <c r="J2217">
        <v>33511</v>
      </c>
      <c r="K2217" t="b">
        <f>TrafficData[[#This Row],[disposedChallan]]+TrafficData[[#This Row],[pendingChallan]]=TrafficData[[#This Row],[totalChallan]]</f>
        <v>1</v>
      </c>
      <c r="L2217" t="b">
        <f>TrafficData[[#This Row],[pendingAmount]]+TrafficData[[#This Row],[disposedAmount]]=TrafficData[[#This Row],[totalAmount]]</f>
        <v>1</v>
      </c>
      <c r="M2217" t="b">
        <f>TrafficData[[#This Row],[pendingCourt]]+TrafficData[[#This Row],[disposedCourt]]=TrafficData[[#This Row],[totalCourt]]</f>
        <v>1</v>
      </c>
      <c r="N2217" t="b">
        <f>AND(TrafficData[[#This Row],[disposedChallan]]&lt;=TrafficData[[#This Row],[totalChallan]],TrafficData[[#This Row],[pendingChallan]]&lt;=TrafficData[[#This Row],[totalChallan]])</f>
        <v>1</v>
      </c>
      <c r="O2217" t="b">
        <f>AND(TrafficData[[#This Row],[pendingAmount]]&lt;=TrafficData[[#This Row],[totalAmount]],TrafficData[[#This Row],[disposedAmount]]&lt;=TrafficData[[#This Row],[totalAmount]])</f>
        <v>1</v>
      </c>
      <c r="P2217" t="b">
        <f>AND(TrafficData[[#This Row],[pendingCourt]]&lt;=TrafficData[[#This Row],[totalCourt]],TrafficData[[#This Row],[disposedCourt]]&lt;=TrafficData[[#This Row],[totalCourt]])</f>
        <v>1</v>
      </c>
    </row>
    <row r="2218" spans="1:16">
      <c r="A2218" s="1">
        <v>44222</v>
      </c>
      <c r="B2218">
        <v>74433</v>
      </c>
      <c r="C2218">
        <v>39323</v>
      </c>
      <c r="D2218">
        <v>35110</v>
      </c>
      <c r="E2218">
        <v>32772776</v>
      </c>
      <c r="F2218">
        <v>35676412</v>
      </c>
      <c r="G2218">
        <v>68449188</v>
      </c>
      <c r="H2218">
        <v>15305</v>
      </c>
      <c r="I2218">
        <v>4367</v>
      </c>
      <c r="J2218">
        <v>19672</v>
      </c>
      <c r="K2218" t="b">
        <f>TrafficData[[#This Row],[disposedChallan]]+TrafficData[[#This Row],[pendingChallan]]=TrafficData[[#This Row],[totalChallan]]</f>
        <v>1</v>
      </c>
      <c r="L2218" t="b">
        <f>TrafficData[[#This Row],[pendingAmount]]+TrafficData[[#This Row],[disposedAmount]]=TrafficData[[#This Row],[totalAmount]]</f>
        <v>1</v>
      </c>
      <c r="M2218" t="b">
        <f>TrafficData[[#This Row],[pendingCourt]]+TrafficData[[#This Row],[disposedCourt]]=TrafficData[[#This Row],[totalCourt]]</f>
        <v>1</v>
      </c>
      <c r="N2218" t="b">
        <f>AND(TrafficData[[#This Row],[disposedChallan]]&lt;=TrafficData[[#This Row],[totalChallan]],TrafficData[[#This Row],[pendingChallan]]&lt;=TrafficData[[#This Row],[totalChallan]])</f>
        <v>1</v>
      </c>
      <c r="O2218" t="b">
        <f>AND(TrafficData[[#This Row],[pendingAmount]]&lt;=TrafficData[[#This Row],[totalAmount]],TrafficData[[#This Row],[disposedAmount]]&lt;=TrafficData[[#This Row],[totalAmount]])</f>
        <v>1</v>
      </c>
      <c r="P2218" t="b">
        <f>AND(TrafficData[[#This Row],[pendingCourt]]&lt;=TrafficData[[#This Row],[totalCourt]],TrafficData[[#This Row],[disposedCourt]]&lt;=TrafficData[[#This Row],[totalCourt]])</f>
        <v>1</v>
      </c>
    </row>
    <row r="2219" spans="1:16">
      <c r="A2219" s="1">
        <v>44223</v>
      </c>
      <c r="B2219">
        <v>104376</v>
      </c>
      <c r="C2219">
        <v>56340</v>
      </c>
      <c r="D2219">
        <v>48036</v>
      </c>
      <c r="E2219">
        <v>62848448</v>
      </c>
      <c r="F2219">
        <v>68836028</v>
      </c>
      <c r="G2219">
        <v>131684476</v>
      </c>
      <c r="H2219">
        <v>26278</v>
      </c>
      <c r="I2219">
        <v>9496</v>
      </c>
      <c r="J2219">
        <v>35774</v>
      </c>
      <c r="K2219" t="b">
        <f>TrafficData[[#This Row],[disposedChallan]]+TrafficData[[#This Row],[pendingChallan]]=TrafficData[[#This Row],[totalChallan]]</f>
        <v>1</v>
      </c>
      <c r="L2219" t="b">
        <f>TrafficData[[#This Row],[pendingAmount]]+TrafficData[[#This Row],[disposedAmount]]=TrafficData[[#This Row],[totalAmount]]</f>
        <v>1</v>
      </c>
      <c r="M2219" t="b">
        <f>TrafficData[[#This Row],[pendingCourt]]+TrafficData[[#This Row],[disposedCourt]]=TrafficData[[#This Row],[totalCourt]]</f>
        <v>1</v>
      </c>
      <c r="N2219" t="b">
        <f>AND(TrafficData[[#This Row],[disposedChallan]]&lt;=TrafficData[[#This Row],[totalChallan]],TrafficData[[#This Row],[pendingChallan]]&lt;=TrafficData[[#This Row],[totalChallan]])</f>
        <v>1</v>
      </c>
      <c r="O2219" t="b">
        <f>AND(TrafficData[[#This Row],[pendingAmount]]&lt;=TrafficData[[#This Row],[totalAmount]],TrafficData[[#This Row],[disposedAmount]]&lt;=TrafficData[[#This Row],[totalAmount]])</f>
        <v>1</v>
      </c>
      <c r="P2219" t="b">
        <f>AND(TrafficData[[#This Row],[pendingCourt]]&lt;=TrafficData[[#This Row],[totalCourt]],TrafficData[[#This Row],[disposedCourt]]&lt;=TrafficData[[#This Row],[totalCourt]])</f>
        <v>1</v>
      </c>
    </row>
    <row r="2220" spans="1:16">
      <c r="A2220" s="1">
        <v>44224</v>
      </c>
      <c r="B2220">
        <v>109304</v>
      </c>
      <c r="C2220">
        <v>60043</v>
      </c>
      <c r="D2220">
        <v>49261</v>
      </c>
      <c r="E2220">
        <v>71289368</v>
      </c>
      <c r="F2220">
        <v>84213601</v>
      </c>
      <c r="G2220">
        <v>155502969</v>
      </c>
      <c r="H2220">
        <v>24507</v>
      </c>
      <c r="I2220">
        <v>9300</v>
      </c>
      <c r="J2220">
        <v>33807</v>
      </c>
      <c r="K2220" t="b">
        <f>TrafficData[[#This Row],[disposedChallan]]+TrafficData[[#This Row],[pendingChallan]]=TrafficData[[#This Row],[totalChallan]]</f>
        <v>1</v>
      </c>
      <c r="L2220" t="b">
        <f>TrafficData[[#This Row],[pendingAmount]]+TrafficData[[#This Row],[disposedAmount]]=TrafficData[[#This Row],[totalAmount]]</f>
        <v>1</v>
      </c>
      <c r="M2220" t="b">
        <f>TrafficData[[#This Row],[pendingCourt]]+TrafficData[[#This Row],[disposedCourt]]=TrafficData[[#This Row],[totalCourt]]</f>
        <v>1</v>
      </c>
      <c r="N2220" t="b">
        <f>AND(TrafficData[[#This Row],[disposedChallan]]&lt;=TrafficData[[#This Row],[totalChallan]],TrafficData[[#This Row],[pendingChallan]]&lt;=TrafficData[[#This Row],[totalChallan]])</f>
        <v>1</v>
      </c>
      <c r="O2220" t="b">
        <f>AND(TrafficData[[#This Row],[pendingAmount]]&lt;=TrafficData[[#This Row],[totalAmount]],TrafficData[[#This Row],[disposedAmount]]&lt;=TrafficData[[#This Row],[totalAmount]])</f>
        <v>1</v>
      </c>
      <c r="P2220" t="b">
        <f>AND(TrafficData[[#This Row],[pendingCourt]]&lt;=TrafficData[[#This Row],[totalCourt]],TrafficData[[#This Row],[disposedCourt]]&lt;=TrafficData[[#This Row],[totalCourt]])</f>
        <v>1</v>
      </c>
    </row>
    <row r="2221" spans="1:16">
      <c r="A2221" s="1">
        <v>44225</v>
      </c>
      <c r="B2221">
        <v>105376</v>
      </c>
      <c r="C2221">
        <v>58445</v>
      </c>
      <c r="D2221">
        <v>46931</v>
      </c>
      <c r="E2221">
        <v>58644599</v>
      </c>
      <c r="F2221">
        <v>69710437</v>
      </c>
      <c r="G2221">
        <v>128355036</v>
      </c>
      <c r="H2221">
        <v>23047</v>
      </c>
      <c r="I2221">
        <v>9357</v>
      </c>
      <c r="J2221">
        <v>32404</v>
      </c>
      <c r="K2221" t="b">
        <f>TrafficData[[#This Row],[disposedChallan]]+TrafficData[[#This Row],[pendingChallan]]=TrafficData[[#This Row],[totalChallan]]</f>
        <v>1</v>
      </c>
      <c r="L2221" t="b">
        <f>TrafficData[[#This Row],[pendingAmount]]+TrafficData[[#This Row],[disposedAmount]]=TrafficData[[#This Row],[totalAmount]]</f>
        <v>1</v>
      </c>
      <c r="M2221" t="b">
        <f>TrafficData[[#This Row],[pendingCourt]]+TrafficData[[#This Row],[disposedCourt]]=TrafficData[[#This Row],[totalCourt]]</f>
        <v>1</v>
      </c>
      <c r="N2221" t="b">
        <f>AND(TrafficData[[#This Row],[disposedChallan]]&lt;=TrafficData[[#This Row],[totalChallan]],TrafficData[[#This Row],[pendingChallan]]&lt;=TrafficData[[#This Row],[totalChallan]])</f>
        <v>1</v>
      </c>
      <c r="O2221" t="b">
        <f>AND(TrafficData[[#This Row],[pendingAmount]]&lt;=TrafficData[[#This Row],[totalAmount]],TrafficData[[#This Row],[disposedAmount]]&lt;=TrafficData[[#This Row],[totalAmount]])</f>
        <v>1</v>
      </c>
      <c r="P2221" t="b">
        <f>AND(TrafficData[[#This Row],[pendingCourt]]&lt;=TrafficData[[#This Row],[totalCourt]],TrafficData[[#This Row],[disposedCourt]]&lt;=TrafficData[[#This Row],[totalCourt]])</f>
        <v>1</v>
      </c>
    </row>
    <row r="2222" spans="1:16">
      <c r="A2222" s="1">
        <v>44226</v>
      </c>
      <c r="B2222">
        <v>114774</v>
      </c>
      <c r="C2222">
        <v>62237</v>
      </c>
      <c r="D2222">
        <v>52537</v>
      </c>
      <c r="E2222">
        <v>60796778</v>
      </c>
      <c r="F2222">
        <v>68290013</v>
      </c>
      <c r="G2222">
        <v>129086791</v>
      </c>
      <c r="H2222">
        <v>26381</v>
      </c>
      <c r="I2222">
        <v>10036</v>
      </c>
      <c r="J2222">
        <v>36417</v>
      </c>
      <c r="K2222" t="b">
        <f>TrafficData[[#This Row],[disposedChallan]]+TrafficData[[#This Row],[pendingChallan]]=TrafficData[[#This Row],[totalChallan]]</f>
        <v>1</v>
      </c>
      <c r="L2222" t="b">
        <f>TrafficData[[#This Row],[pendingAmount]]+TrafficData[[#This Row],[disposedAmount]]=TrafficData[[#This Row],[totalAmount]]</f>
        <v>1</v>
      </c>
      <c r="M2222" t="b">
        <f>TrafficData[[#This Row],[pendingCourt]]+TrafficData[[#This Row],[disposedCourt]]=TrafficData[[#This Row],[totalCourt]]</f>
        <v>1</v>
      </c>
      <c r="N2222" t="b">
        <f>AND(TrafficData[[#This Row],[disposedChallan]]&lt;=TrafficData[[#This Row],[totalChallan]],TrafficData[[#This Row],[pendingChallan]]&lt;=TrafficData[[#This Row],[totalChallan]])</f>
        <v>1</v>
      </c>
      <c r="O2222" t="b">
        <f>AND(TrafficData[[#This Row],[pendingAmount]]&lt;=TrafficData[[#This Row],[totalAmount]],TrafficData[[#This Row],[disposedAmount]]&lt;=TrafficData[[#This Row],[totalAmount]])</f>
        <v>1</v>
      </c>
      <c r="P2222" t="b">
        <f>AND(TrafficData[[#This Row],[pendingCourt]]&lt;=TrafficData[[#This Row],[totalCourt]],TrafficData[[#This Row],[disposedCourt]]&lt;=TrafficData[[#This Row],[totalCourt]])</f>
        <v>1</v>
      </c>
    </row>
    <row r="2223" spans="1:16">
      <c r="A2223" s="1">
        <v>44227</v>
      </c>
      <c r="B2223">
        <v>96810</v>
      </c>
      <c r="C2223">
        <v>50076</v>
      </c>
      <c r="D2223">
        <v>46734</v>
      </c>
      <c r="E2223">
        <v>52456572</v>
      </c>
      <c r="F2223">
        <v>48220250</v>
      </c>
      <c r="G2223">
        <v>100676822</v>
      </c>
      <c r="H2223">
        <v>22522</v>
      </c>
      <c r="I2223">
        <v>8246</v>
      </c>
      <c r="J2223">
        <v>30768</v>
      </c>
      <c r="K2223" t="b">
        <f>TrafficData[[#This Row],[disposedChallan]]+TrafficData[[#This Row],[pendingChallan]]=TrafficData[[#This Row],[totalChallan]]</f>
        <v>1</v>
      </c>
      <c r="L2223" t="b">
        <f>TrafficData[[#This Row],[pendingAmount]]+TrafficData[[#This Row],[disposedAmount]]=TrafficData[[#This Row],[totalAmount]]</f>
        <v>1</v>
      </c>
      <c r="M2223" t="b">
        <f>TrafficData[[#This Row],[pendingCourt]]+TrafficData[[#This Row],[disposedCourt]]=TrafficData[[#This Row],[totalCourt]]</f>
        <v>1</v>
      </c>
      <c r="N2223" t="b">
        <f>AND(TrafficData[[#This Row],[disposedChallan]]&lt;=TrafficData[[#This Row],[totalChallan]],TrafficData[[#This Row],[pendingChallan]]&lt;=TrafficData[[#This Row],[totalChallan]])</f>
        <v>1</v>
      </c>
      <c r="O2223" t="b">
        <f>AND(TrafficData[[#This Row],[pendingAmount]]&lt;=TrafficData[[#This Row],[totalAmount]],TrafficData[[#This Row],[disposedAmount]]&lt;=TrafficData[[#This Row],[totalAmount]])</f>
        <v>1</v>
      </c>
      <c r="P2223" t="b">
        <f>AND(TrafficData[[#This Row],[pendingCourt]]&lt;=TrafficData[[#This Row],[totalCourt]],TrafficData[[#This Row],[disposedCourt]]&lt;=TrafficData[[#This Row],[totalCourt]])</f>
        <v>1</v>
      </c>
    </row>
    <row r="2224" spans="1:16">
      <c r="A2224" s="1">
        <v>44228</v>
      </c>
      <c r="B2224">
        <v>116078</v>
      </c>
      <c r="C2224">
        <v>61666</v>
      </c>
      <c r="D2224">
        <v>54412</v>
      </c>
      <c r="E2224">
        <v>63686238</v>
      </c>
      <c r="F2224">
        <v>69081254</v>
      </c>
      <c r="G2224">
        <v>132767492</v>
      </c>
      <c r="H2224">
        <v>27527</v>
      </c>
      <c r="I2224">
        <v>10236</v>
      </c>
      <c r="J2224">
        <v>37763</v>
      </c>
      <c r="K2224" t="b">
        <f>TrafficData[[#This Row],[disposedChallan]]+TrafficData[[#This Row],[pendingChallan]]=TrafficData[[#This Row],[totalChallan]]</f>
        <v>1</v>
      </c>
      <c r="L2224" t="b">
        <f>TrafficData[[#This Row],[pendingAmount]]+TrafficData[[#This Row],[disposedAmount]]=TrafficData[[#This Row],[totalAmount]]</f>
        <v>1</v>
      </c>
      <c r="M2224" t="b">
        <f>TrafficData[[#This Row],[pendingCourt]]+TrafficData[[#This Row],[disposedCourt]]=TrafficData[[#This Row],[totalCourt]]</f>
        <v>1</v>
      </c>
      <c r="N2224" t="b">
        <f>AND(TrafficData[[#This Row],[disposedChallan]]&lt;=TrafficData[[#This Row],[totalChallan]],TrafficData[[#This Row],[pendingChallan]]&lt;=TrafficData[[#This Row],[totalChallan]])</f>
        <v>1</v>
      </c>
      <c r="O2224" t="b">
        <f>AND(TrafficData[[#This Row],[pendingAmount]]&lt;=TrafficData[[#This Row],[totalAmount]],TrafficData[[#This Row],[disposedAmount]]&lt;=TrafficData[[#This Row],[totalAmount]])</f>
        <v>1</v>
      </c>
      <c r="P2224" t="b">
        <f>AND(TrafficData[[#This Row],[pendingCourt]]&lt;=TrafficData[[#This Row],[totalCourt]],TrafficData[[#This Row],[disposedCourt]]&lt;=TrafficData[[#This Row],[totalCourt]])</f>
        <v>1</v>
      </c>
    </row>
    <row r="2225" spans="1:16">
      <c r="A2225" s="1">
        <v>44229</v>
      </c>
      <c r="B2225">
        <v>118770</v>
      </c>
      <c r="C2225">
        <v>65037</v>
      </c>
      <c r="D2225">
        <v>53733</v>
      </c>
      <c r="E2225">
        <v>69123715</v>
      </c>
      <c r="F2225">
        <v>80492145</v>
      </c>
      <c r="G2225">
        <v>149615860</v>
      </c>
      <c r="H2225">
        <v>27443</v>
      </c>
      <c r="I2225">
        <v>10650</v>
      </c>
      <c r="J2225">
        <v>38093</v>
      </c>
      <c r="K2225" t="b">
        <f>TrafficData[[#This Row],[disposedChallan]]+TrafficData[[#This Row],[pendingChallan]]=TrafficData[[#This Row],[totalChallan]]</f>
        <v>1</v>
      </c>
      <c r="L2225" t="b">
        <f>TrafficData[[#This Row],[pendingAmount]]+TrafficData[[#This Row],[disposedAmount]]=TrafficData[[#This Row],[totalAmount]]</f>
        <v>1</v>
      </c>
      <c r="M2225" t="b">
        <f>TrafficData[[#This Row],[pendingCourt]]+TrafficData[[#This Row],[disposedCourt]]=TrafficData[[#This Row],[totalCourt]]</f>
        <v>1</v>
      </c>
      <c r="N2225" t="b">
        <f>AND(TrafficData[[#This Row],[disposedChallan]]&lt;=TrafficData[[#This Row],[totalChallan]],TrafficData[[#This Row],[pendingChallan]]&lt;=TrafficData[[#This Row],[totalChallan]])</f>
        <v>1</v>
      </c>
      <c r="O2225" t="b">
        <f>AND(TrafficData[[#This Row],[pendingAmount]]&lt;=TrafficData[[#This Row],[totalAmount]],TrafficData[[#This Row],[disposedAmount]]&lt;=TrafficData[[#This Row],[totalAmount]])</f>
        <v>1</v>
      </c>
      <c r="P2225" t="b">
        <f>AND(TrafficData[[#This Row],[pendingCourt]]&lt;=TrafficData[[#This Row],[totalCourt]],TrafficData[[#This Row],[disposedCourt]]&lt;=TrafficData[[#This Row],[totalCourt]])</f>
        <v>1</v>
      </c>
    </row>
    <row r="2226" spans="1:16">
      <c r="A2226" s="1">
        <v>44230</v>
      </c>
      <c r="B2226">
        <v>118715</v>
      </c>
      <c r="C2226">
        <v>64462</v>
      </c>
      <c r="D2226">
        <v>54253</v>
      </c>
      <c r="E2226">
        <v>71174483</v>
      </c>
      <c r="F2226">
        <v>86471226</v>
      </c>
      <c r="G2226">
        <v>157645709</v>
      </c>
      <c r="H2226">
        <v>27808</v>
      </c>
      <c r="I2226">
        <v>10133</v>
      </c>
      <c r="J2226">
        <v>37941</v>
      </c>
      <c r="K2226" t="b">
        <f>TrafficData[[#This Row],[disposedChallan]]+TrafficData[[#This Row],[pendingChallan]]=TrafficData[[#This Row],[totalChallan]]</f>
        <v>1</v>
      </c>
      <c r="L2226" t="b">
        <f>TrafficData[[#This Row],[pendingAmount]]+TrafficData[[#This Row],[disposedAmount]]=TrafficData[[#This Row],[totalAmount]]</f>
        <v>1</v>
      </c>
      <c r="M2226" t="b">
        <f>TrafficData[[#This Row],[pendingCourt]]+TrafficData[[#This Row],[disposedCourt]]=TrafficData[[#This Row],[totalCourt]]</f>
        <v>1</v>
      </c>
      <c r="N2226" t="b">
        <f>AND(TrafficData[[#This Row],[disposedChallan]]&lt;=TrafficData[[#This Row],[totalChallan]],TrafficData[[#This Row],[pendingChallan]]&lt;=TrafficData[[#This Row],[totalChallan]])</f>
        <v>1</v>
      </c>
      <c r="O2226" t="b">
        <f>AND(TrafficData[[#This Row],[pendingAmount]]&lt;=TrafficData[[#This Row],[totalAmount]],TrafficData[[#This Row],[disposedAmount]]&lt;=TrafficData[[#This Row],[totalAmount]])</f>
        <v>1</v>
      </c>
      <c r="P2226" t="b">
        <f>AND(TrafficData[[#This Row],[pendingCourt]]&lt;=TrafficData[[#This Row],[totalCourt]],TrafficData[[#This Row],[disposedCourt]]&lt;=TrafficData[[#This Row],[totalCourt]])</f>
        <v>1</v>
      </c>
    </row>
    <row r="2227" spans="1:16">
      <c r="A2227" s="1">
        <v>44231</v>
      </c>
      <c r="B2227">
        <v>114989</v>
      </c>
      <c r="C2227">
        <v>62867</v>
      </c>
      <c r="D2227">
        <v>52122</v>
      </c>
      <c r="E2227">
        <v>64635949</v>
      </c>
      <c r="F2227">
        <v>85893353</v>
      </c>
      <c r="G2227">
        <v>150529302</v>
      </c>
      <c r="H2227">
        <v>23879</v>
      </c>
      <c r="I2227">
        <v>7767</v>
      </c>
      <c r="J2227">
        <v>31646</v>
      </c>
      <c r="K2227" t="b">
        <f>TrafficData[[#This Row],[disposedChallan]]+TrafficData[[#This Row],[pendingChallan]]=TrafficData[[#This Row],[totalChallan]]</f>
        <v>1</v>
      </c>
      <c r="L2227" t="b">
        <f>TrafficData[[#This Row],[pendingAmount]]+TrafficData[[#This Row],[disposedAmount]]=TrafficData[[#This Row],[totalAmount]]</f>
        <v>1</v>
      </c>
      <c r="M2227" t="b">
        <f>TrafficData[[#This Row],[pendingCourt]]+TrafficData[[#This Row],[disposedCourt]]=TrafficData[[#This Row],[totalCourt]]</f>
        <v>1</v>
      </c>
      <c r="N2227" t="b">
        <f>AND(TrafficData[[#This Row],[disposedChallan]]&lt;=TrafficData[[#This Row],[totalChallan]],TrafficData[[#This Row],[pendingChallan]]&lt;=TrafficData[[#This Row],[totalChallan]])</f>
        <v>1</v>
      </c>
      <c r="O2227" t="b">
        <f>AND(TrafficData[[#This Row],[pendingAmount]]&lt;=TrafficData[[#This Row],[totalAmount]],TrafficData[[#This Row],[disposedAmount]]&lt;=TrafficData[[#This Row],[totalAmount]])</f>
        <v>1</v>
      </c>
      <c r="P2227" t="b">
        <f>AND(TrafficData[[#This Row],[pendingCourt]]&lt;=TrafficData[[#This Row],[totalCourt]],TrafficData[[#This Row],[disposedCourt]]&lt;=TrafficData[[#This Row],[totalCourt]])</f>
        <v>1</v>
      </c>
    </row>
    <row r="2228" spans="1:16">
      <c r="A2228" s="1">
        <v>44232</v>
      </c>
      <c r="B2228">
        <v>122142</v>
      </c>
      <c r="C2228">
        <v>66160</v>
      </c>
      <c r="D2228">
        <v>55982</v>
      </c>
      <c r="E2228">
        <v>69219575</v>
      </c>
      <c r="F2228">
        <v>88804406</v>
      </c>
      <c r="G2228">
        <v>158023981</v>
      </c>
      <c r="H2228">
        <v>26199</v>
      </c>
      <c r="I2228">
        <v>10309</v>
      </c>
      <c r="J2228">
        <v>36508</v>
      </c>
      <c r="K2228" t="b">
        <f>TrafficData[[#This Row],[disposedChallan]]+TrafficData[[#This Row],[pendingChallan]]=TrafficData[[#This Row],[totalChallan]]</f>
        <v>1</v>
      </c>
      <c r="L2228" t="b">
        <f>TrafficData[[#This Row],[pendingAmount]]+TrafficData[[#This Row],[disposedAmount]]=TrafficData[[#This Row],[totalAmount]]</f>
        <v>1</v>
      </c>
      <c r="M2228" t="b">
        <f>TrafficData[[#This Row],[pendingCourt]]+TrafficData[[#This Row],[disposedCourt]]=TrafficData[[#This Row],[totalCourt]]</f>
        <v>1</v>
      </c>
      <c r="N2228" t="b">
        <f>AND(TrafficData[[#This Row],[disposedChallan]]&lt;=TrafficData[[#This Row],[totalChallan]],TrafficData[[#This Row],[pendingChallan]]&lt;=TrafficData[[#This Row],[totalChallan]])</f>
        <v>1</v>
      </c>
      <c r="O2228" t="b">
        <f>AND(TrafficData[[#This Row],[pendingAmount]]&lt;=TrafficData[[#This Row],[totalAmount]],TrafficData[[#This Row],[disposedAmount]]&lt;=TrafficData[[#This Row],[totalAmount]])</f>
        <v>1</v>
      </c>
      <c r="P2228" t="b">
        <f>AND(TrafficData[[#This Row],[pendingCourt]]&lt;=TrafficData[[#This Row],[totalCourt]],TrafficData[[#This Row],[disposedCourt]]&lt;=TrafficData[[#This Row],[totalCourt]])</f>
        <v>1</v>
      </c>
    </row>
    <row r="2229" spans="1:16">
      <c r="A2229" s="1">
        <v>44233</v>
      </c>
      <c r="B2229">
        <v>115621</v>
      </c>
      <c r="C2229">
        <v>62569</v>
      </c>
      <c r="D2229">
        <v>53052</v>
      </c>
      <c r="E2229">
        <v>59790451</v>
      </c>
      <c r="F2229">
        <v>80440032</v>
      </c>
      <c r="G2229">
        <v>140230483</v>
      </c>
      <c r="H2229">
        <v>24622</v>
      </c>
      <c r="I2229">
        <v>9646</v>
      </c>
      <c r="J2229">
        <v>34268</v>
      </c>
      <c r="K2229" t="b">
        <f>TrafficData[[#This Row],[disposedChallan]]+TrafficData[[#This Row],[pendingChallan]]=TrafficData[[#This Row],[totalChallan]]</f>
        <v>1</v>
      </c>
      <c r="L2229" t="b">
        <f>TrafficData[[#This Row],[pendingAmount]]+TrafficData[[#This Row],[disposedAmount]]=TrafficData[[#This Row],[totalAmount]]</f>
        <v>1</v>
      </c>
      <c r="M2229" t="b">
        <f>TrafficData[[#This Row],[pendingCourt]]+TrafficData[[#This Row],[disposedCourt]]=TrafficData[[#This Row],[totalCourt]]</f>
        <v>1</v>
      </c>
      <c r="N2229" t="b">
        <f>AND(TrafficData[[#This Row],[disposedChallan]]&lt;=TrafficData[[#This Row],[totalChallan]],TrafficData[[#This Row],[pendingChallan]]&lt;=TrafficData[[#This Row],[totalChallan]])</f>
        <v>1</v>
      </c>
      <c r="O2229" t="b">
        <f>AND(TrafficData[[#This Row],[pendingAmount]]&lt;=TrafficData[[#This Row],[totalAmount]],TrafficData[[#This Row],[disposedAmount]]&lt;=TrafficData[[#This Row],[totalAmount]])</f>
        <v>1</v>
      </c>
      <c r="P2229" t="b">
        <f>AND(TrafficData[[#This Row],[pendingCourt]]&lt;=TrafficData[[#This Row],[totalCourt]],TrafficData[[#This Row],[disposedCourt]]&lt;=TrafficData[[#This Row],[totalCourt]])</f>
        <v>1</v>
      </c>
    </row>
    <row r="2230" spans="1:16">
      <c r="A2230" s="1">
        <v>44234</v>
      </c>
      <c r="B2230">
        <v>100436</v>
      </c>
      <c r="C2230">
        <v>52222</v>
      </c>
      <c r="D2230">
        <v>48214</v>
      </c>
      <c r="E2230">
        <v>54739687</v>
      </c>
      <c r="F2230">
        <v>55857148</v>
      </c>
      <c r="G2230">
        <v>110596835</v>
      </c>
      <c r="H2230">
        <v>22820</v>
      </c>
      <c r="I2230">
        <v>8463</v>
      </c>
      <c r="J2230">
        <v>31283</v>
      </c>
      <c r="K2230" t="b">
        <f>TrafficData[[#This Row],[disposedChallan]]+TrafficData[[#This Row],[pendingChallan]]=TrafficData[[#This Row],[totalChallan]]</f>
        <v>1</v>
      </c>
      <c r="L2230" t="b">
        <f>TrafficData[[#This Row],[pendingAmount]]+TrafficData[[#This Row],[disposedAmount]]=TrafficData[[#This Row],[totalAmount]]</f>
        <v>1</v>
      </c>
      <c r="M2230" t="b">
        <f>TrafficData[[#This Row],[pendingCourt]]+TrafficData[[#This Row],[disposedCourt]]=TrafficData[[#This Row],[totalCourt]]</f>
        <v>1</v>
      </c>
      <c r="N2230" t="b">
        <f>AND(TrafficData[[#This Row],[disposedChallan]]&lt;=TrafficData[[#This Row],[totalChallan]],TrafficData[[#This Row],[pendingChallan]]&lt;=TrafficData[[#This Row],[totalChallan]])</f>
        <v>1</v>
      </c>
      <c r="O2230" t="b">
        <f>AND(TrafficData[[#This Row],[pendingAmount]]&lt;=TrafficData[[#This Row],[totalAmount]],TrafficData[[#This Row],[disposedAmount]]&lt;=TrafficData[[#This Row],[totalAmount]])</f>
        <v>1</v>
      </c>
      <c r="P2230" t="b">
        <f>AND(TrafficData[[#This Row],[pendingCourt]]&lt;=TrafficData[[#This Row],[totalCourt]],TrafficData[[#This Row],[disposedCourt]]&lt;=TrafficData[[#This Row],[totalCourt]])</f>
        <v>1</v>
      </c>
    </row>
    <row r="2231" spans="1:16">
      <c r="A2231" s="1">
        <v>44235</v>
      </c>
      <c r="B2231">
        <v>109963</v>
      </c>
      <c r="C2231">
        <v>60349</v>
      </c>
      <c r="D2231">
        <v>49614</v>
      </c>
      <c r="E2231">
        <v>65445466</v>
      </c>
      <c r="F2231">
        <v>79053131</v>
      </c>
      <c r="G2231">
        <v>144498597</v>
      </c>
      <c r="H2231">
        <v>26350</v>
      </c>
      <c r="I2231">
        <v>9938</v>
      </c>
      <c r="J2231">
        <v>36288</v>
      </c>
      <c r="K2231" t="b">
        <f>TrafficData[[#This Row],[disposedChallan]]+TrafficData[[#This Row],[pendingChallan]]=TrafficData[[#This Row],[totalChallan]]</f>
        <v>1</v>
      </c>
      <c r="L2231" t="b">
        <f>TrafficData[[#This Row],[pendingAmount]]+TrafficData[[#This Row],[disposedAmount]]=TrafficData[[#This Row],[totalAmount]]</f>
        <v>1</v>
      </c>
      <c r="M2231" t="b">
        <f>TrafficData[[#This Row],[pendingCourt]]+TrafficData[[#This Row],[disposedCourt]]=TrafficData[[#This Row],[totalCourt]]</f>
        <v>1</v>
      </c>
      <c r="N2231" t="b">
        <f>AND(TrafficData[[#This Row],[disposedChallan]]&lt;=TrafficData[[#This Row],[totalChallan]],TrafficData[[#This Row],[pendingChallan]]&lt;=TrafficData[[#This Row],[totalChallan]])</f>
        <v>1</v>
      </c>
      <c r="O2231" t="b">
        <f>AND(TrafficData[[#This Row],[pendingAmount]]&lt;=TrafficData[[#This Row],[totalAmount]],TrafficData[[#This Row],[disposedAmount]]&lt;=TrafficData[[#This Row],[totalAmount]])</f>
        <v>1</v>
      </c>
      <c r="P2231" t="b">
        <f>AND(TrafficData[[#This Row],[pendingCourt]]&lt;=TrafficData[[#This Row],[totalCourt]],TrafficData[[#This Row],[disposedCourt]]&lt;=TrafficData[[#This Row],[totalCourt]])</f>
        <v>1</v>
      </c>
    </row>
    <row r="2232" spans="1:16">
      <c r="A2232" s="1">
        <v>44236</v>
      </c>
      <c r="B2232">
        <v>112499</v>
      </c>
      <c r="C2232">
        <v>62981</v>
      </c>
      <c r="D2232">
        <v>49518</v>
      </c>
      <c r="E2232">
        <v>69558673</v>
      </c>
      <c r="F2232">
        <v>84959118</v>
      </c>
      <c r="G2232">
        <v>154517791</v>
      </c>
      <c r="H2232">
        <v>25499</v>
      </c>
      <c r="I2232">
        <v>10325</v>
      </c>
      <c r="J2232">
        <v>35824</v>
      </c>
      <c r="K2232" t="b">
        <f>TrafficData[[#This Row],[disposedChallan]]+TrafficData[[#This Row],[pendingChallan]]=TrafficData[[#This Row],[totalChallan]]</f>
        <v>1</v>
      </c>
      <c r="L2232" t="b">
        <f>TrafficData[[#This Row],[pendingAmount]]+TrafficData[[#This Row],[disposedAmount]]=TrafficData[[#This Row],[totalAmount]]</f>
        <v>1</v>
      </c>
      <c r="M2232" t="b">
        <f>TrafficData[[#This Row],[pendingCourt]]+TrafficData[[#This Row],[disposedCourt]]=TrafficData[[#This Row],[totalCourt]]</f>
        <v>1</v>
      </c>
      <c r="N2232" t="b">
        <f>AND(TrafficData[[#This Row],[disposedChallan]]&lt;=TrafficData[[#This Row],[totalChallan]],TrafficData[[#This Row],[pendingChallan]]&lt;=TrafficData[[#This Row],[totalChallan]])</f>
        <v>1</v>
      </c>
      <c r="O2232" t="b">
        <f>AND(TrafficData[[#This Row],[pendingAmount]]&lt;=TrafficData[[#This Row],[totalAmount]],TrafficData[[#This Row],[disposedAmount]]&lt;=TrafficData[[#This Row],[totalAmount]])</f>
        <v>1</v>
      </c>
      <c r="P2232" t="b">
        <f>AND(TrafficData[[#This Row],[pendingCourt]]&lt;=TrafficData[[#This Row],[totalCourt]],TrafficData[[#This Row],[disposedCourt]]&lt;=TrafficData[[#This Row],[totalCourt]])</f>
        <v>1</v>
      </c>
    </row>
    <row r="2233" spans="1:16">
      <c r="A2233" s="1">
        <v>44237</v>
      </c>
      <c r="B2233">
        <v>114897</v>
      </c>
      <c r="C2233">
        <v>64196</v>
      </c>
      <c r="D2233">
        <v>50701</v>
      </c>
      <c r="E2233">
        <v>64251874</v>
      </c>
      <c r="F2233">
        <v>83503188</v>
      </c>
      <c r="G2233">
        <v>147755062</v>
      </c>
      <c r="H2233">
        <v>25917</v>
      </c>
      <c r="I2233">
        <v>10696</v>
      </c>
      <c r="J2233">
        <v>36613</v>
      </c>
      <c r="K2233" t="b">
        <f>TrafficData[[#This Row],[disposedChallan]]+TrafficData[[#This Row],[pendingChallan]]=TrafficData[[#This Row],[totalChallan]]</f>
        <v>1</v>
      </c>
      <c r="L2233" t="b">
        <f>TrafficData[[#This Row],[pendingAmount]]+TrafficData[[#This Row],[disposedAmount]]=TrafficData[[#This Row],[totalAmount]]</f>
        <v>1</v>
      </c>
      <c r="M2233" t="b">
        <f>TrafficData[[#This Row],[pendingCourt]]+TrafficData[[#This Row],[disposedCourt]]=TrafficData[[#This Row],[totalCourt]]</f>
        <v>1</v>
      </c>
      <c r="N2233" t="b">
        <f>AND(TrafficData[[#This Row],[disposedChallan]]&lt;=TrafficData[[#This Row],[totalChallan]],TrafficData[[#This Row],[pendingChallan]]&lt;=TrafficData[[#This Row],[totalChallan]])</f>
        <v>1</v>
      </c>
      <c r="O2233" t="b">
        <f>AND(TrafficData[[#This Row],[pendingAmount]]&lt;=TrafficData[[#This Row],[totalAmount]],TrafficData[[#This Row],[disposedAmount]]&lt;=TrafficData[[#This Row],[totalAmount]])</f>
        <v>1</v>
      </c>
      <c r="P2233" t="b">
        <f>AND(TrafficData[[#This Row],[pendingCourt]]&lt;=TrafficData[[#This Row],[totalCourt]],TrafficData[[#This Row],[disposedCourt]]&lt;=TrafficData[[#This Row],[totalCourt]])</f>
        <v>1</v>
      </c>
    </row>
    <row r="2234" spans="1:16">
      <c r="A2234" s="1">
        <v>44238</v>
      </c>
      <c r="B2234">
        <v>118645</v>
      </c>
      <c r="C2234">
        <v>65345</v>
      </c>
      <c r="D2234">
        <v>53300</v>
      </c>
      <c r="E2234">
        <v>65441167</v>
      </c>
      <c r="F2234">
        <v>87073342</v>
      </c>
      <c r="G2234">
        <v>152514509</v>
      </c>
      <c r="H2234">
        <v>26172</v>
      </c>
      <c r="I2234">
        <v>9960</v>
      </c>
      <c r="J2234">
        <v>36132</v>
      </c>
      <c r="K2234" t="b">
        <f>TrafficData[[#This Row],[disposedChallan]]+TrafficData[[#This Row],[pendingChallan]]=TrafficData[[#This Row],[totalChallan]]</f>
        <v>1</v>
      </c>
      <c r="L2234" t="b">
        <f>TrafficData[[#This Row],[pendingAmount]]+TrafficData[[#This Row],[disposedAmount]]=TrafficData[[#This Row],[totalAmount]]</f>
        <v>1</v>
      </c>
      <c r="M2234" t="b">
        <f>TrafficData[[#This Row],[pendingCourt]]+TrafficData[[#This Row],[disposedCourt]]=TrafficData[[#This Row],[totalCourt]]</f>
        <v>1</v>
      </c>
      <c r="N2234" t="b">
        <f>AND(TrafficData[[#This Row],[disposedChallan]]&lt;=TrafficData[[#This Row],[totalChallan]],TrafficData[[#This Row],[pendingChallan]]&lt;=TrafficData[[#This Row],[totalChallan]])</f>
        <v>1</v>
      </c>
      <c r="O2234" t="b">
        <f>AND(TrafficData[[#This Row],[pendingAmount]]&lt;=TrafficData[[#This Row],[totalAmount]],TrafficData[[#This Row],[disposedAmount]]&lt;=TrafficData[[#This Row],[totalAmount]])</f>
        <v>1</v>
      </c>
      <c r="P2234" t="b">
        <f>AND(TrafficData[[#This Row],[pendingCourt]]&lt;=TrafficData[[#This Row],[totalCourt]],TrafficData[[#This Row],[disposedCourt]]&lt;=TrafficData[[#This Row],[totalCourt]])</f>
        <v>1</v>
      </c>
    </row>
    <row r="2235" spans="1:16">
      <c r="A2235" s="1">
        <v>44239</v>
      </c>
      <c r="B2235">
        <v>116353</v>
      </c>
      <c r="C2235">
        <v>63735</v>
      </c>
      <c r="D2235">
        <v>52618</v>
      </c>
      <c r="E2235">
        <v>62599829</v>
      </c>
      <c r="F2235">
        <v>84706706</v>
      </c>
      <c r="G2235">
        <v>147306535</v>
      </c>
      <c r="H2235">
        <v>26283</v>
      </c>
      <c r="I2235">
        <v>10111</v>
      </c>
      <c r="J2235">
        <v>36394</v>
      </c>
      <c r="K2235" t="b">
        <f>TrafficData[[#This Row],[disposedChallan]]+TrafficData[[#This Row],[pendingChallan]]=TrafficData[[#This Row],[totalChallan]]</f>
        <v>1</v>
      </c>
      <c r="L2235" t="b">
        <f>TrafficData[[#This Row],[pendingAmount]]+TrafficData[[#This Row],[disposedAmount]]=TrafficData[[#This Row],[totalAmount]]</f>
        <v>1</v>
      </c>
      <c r="M2235" t="b">
        <f>TrafficData[[#This Row],[pendingCourt]]+TrafficData[[#This Row],[disposedCourt]]=TrafficData[[#This Row],[totalCourt]]</f>
        <v>1</v>
      </c>
      <c r="N2235" t="b">
        <f>AND(TrafficData[[#This Row],[disposedChallan]]&lt;=TrafficData[[#This Row],[totalChallan]],TrafficData[[#This Row],[pendingChallan]]&lt;=TrafficData[[#This Row],[totalChallan]])</f>
        <v>1</v>
      </c>
      <c r="O2235" t="b">
        <f>AND(TrafficData[[#This Row],[pendingAmount]]&lt;=TrafficData[[#This Row],[totalAmount]],TrafficData[[#This Row],[disposedAmount]]&lt;=TrafficData[[#This Row],[totalAmount]])</f>
        <v>1</v>
      </c>
      <c r="P2235" t="b">
        <f>AND(TrafficData[[#This Row],[pendingCourt]]&lt;=TrafficData[[#This Row],[totalCourt]],TrafficData[[#This Row],[disposedCourt]]&lt;=TrafficData[[#This Row],[totalCourt]])</f>
        <v>1</v>
      </c>
    </row>
    <row r="2236" spans="1:16">
      <c r="A2236" s="1">
        <v>44240</v>
      </c>
      <c r="B2236">
        <v>114611</v>
      </c>
      <c r="C2236">
        <v>63272</v>
      </c>
      <c r="D2236">
        <v>51339</v>
      </c>
      <c r="E2236">
        <v>56999546</v>
      </c>
      <c r="F2236">
        <v>78582366</v>
      </c>
      <c r="G2236">
        <v>135581912</v>
      </c>
      <c r="H2236">
        <v>23942</v>
      </c>
      <c r="I2236">
        <v>10106</v>
      </c>
      <c r="J2236">
        <v>34048</v>
      </c>
      <c r="K2236" t="b">
        <f>TrafficData[[#This Row],[disposedChallan]]+TrafficData[[#This Row],[pendingChallan]]=TrafficData[[#This Row],[totalChallan]]</f>
        <v>1</v>
      </c>
      <c r="L2236" t="b">
        <f>TrafficData[[#This Row],[pendingAmount]]+TrafficData[[#This Row],[disposedAmount]]=TrafficData[[#This Row],[totalAmount]]</f>
        <v>1</v>
      </c>
      <c r="M2236" t="b">
        <f>TrafficData[[#This Row],[pendingCourt]]+TrafficData[[#This Row],[disposedCourt]]=TrafficData[[#This Row],[totalCourt]]</f>
        <v>1</v>
      </c>
      <c r="N2236" t="b">
        <f>AND(TrafficData[[#This Row],[disposedChallan]]&lt;=TrafficData[[#This Row],[totalChallan]],TrafficData[[#This Row],[pendingChallan]]&lt;=TrafficData[[#This Row],[totalChallan]])</f>
        <v>1</v>
      </c>
      <c r="O2236" t="b">
        <f>AND(TrafficData[[#This Row],[pendingAmount]]&lt;=TrafficData[[#This Row],[totalAmount]],TrafficData[[#This Row],[disposedAmount]]&lt;=TrafficData[[#This Row],[totalAmount]])</f>
        <v>1</v>
      </c>
      <c r="P2236" t="b">
        <f>AND(TrafficData[[#This Row],[pendingCourt]]&lt;=TrafficData[[#This Row],[totalCourt]],TrafficData[[#This Row],[disposedCourt]]&lt;=TrafficData[[#This Row],[totalCourt]])</f>
        <v>1</v>
      </c>
    </row>
    <row r="2237" spans="1:16">
      <c r="A2237" s="1">
        <v>44241</v>
      </c>
      <c r="B2237">
        <v>99911</v>
      </c>
      <c r="C2237">
        <v>51622</v>
      </c>
      <c r="D2237">
        <v>48289</v>
      </c>
      <c r="E2237">
        <v>50079050</v>
      </c>
      <c r="F2237">
        <v>60422295</v>
      </c>
      <c r="G2237">
        <v>110501345</v>
      </c>
      <c r="H2237">
        <v>21944</v>
      </c>
      <c r="I2237">
        <v>8690</v>
      </c>
      <c r="J2237">
        <v>30634</v>
      </c>
      <c r="K2237" t="b">
        <f>TrafficData[[#This Row],[disposedChallan]]+TrafficData[[#This Row],[pendingChallan]]=TrafficData[[#This Row],[totalChallan]]</f>
        <v>1</v>
      </c>
      <c r="L2237" t="b">
        <f>TrafficData[[#This Row],[pendingAmount]]+TrafficData[[#This Row],[disposedAmount]]=TrafficData[[#This Row],[totalAmount]]</f>
        <v>1</v>
      </c>
      <c r="M2237" t="b">
        <f>TrafficData[[#This Row],[pendingCourt]]+TrafficData[[#This Row],[disposedCourt]]=TrafficData[[#This Row],[totalCourt]]</f>
        <v>1</v>
      </c>
      <c r="N2237" t="b">
        <f>AND(TrafficData[[#This Row],[disposedChallan]]&lt;=TrafficData[[#This Row],[totalChallan]],TrafficData[[#This Row],[pendingChallan]]&lt;=TrafficData[[#This Row],[totalChallan]])</f>
        <v>1</v>
      </c>
      <c r="O2237" t="b">
        <f>AND(TrafficData[[#This Row],[pendingAmount]]&lt;=TrafficData[[#This Row],[totalAmount]],TrafficData[[#This Row],[disposedAmount]]&lt;=TrafficData[[#This Row],[totalAmount]])</f>
        <v>1</v>
      </c>
      <c r="P2237" t="b">
        <f>AND(TrafficData[[#This Row],[pendingCourt]]&lt;=TrafficData[[#This Row],[totalCourt]],TrafficData[[#This Row],[disposedCourt]]&lt;=TrafficData[[#This Row],[totalCourt]])</f>
        <v>1</v>
      </c>
    </row>
    <row r="2238" spans="1:16">
      <c r="A2238" s="1">
        <v>44242</v>
      </c>
      <c r="B2238">
        <v>110102</v>
      </c>
      <c r="C2238">
        <v>59738</v>
      </c>
      <c r="D2238">
        <v>50364</v>
      </c>
      <c r="E2238">
        <v>53966817</v>
      </c>
      <c r="F2238">
        <v>63935403</v>
      </c>
      <c r="G2238">
        <v>117902220</v>
      </c>
      <c r="H2238">
        <v>25396</v>
      </c>
      <c r="I2238">
        <v>9378</v>
      </c>
      <c r="J2238">
        <v>34774</v>
      </c>
      <c r="K2238" t="b">
        <f>TrafficData[[#This Row],[disposedChallan]]+TrafficData[[#This Row],[pendingChallan]]=TrafficData[[#This Row],[totalChallan]]</f>
        <v>1</v>
      </c>
      <c r="L2238" t="b">
        <f>TrafficData[[#This Row],[pendingAmount]]+TrafficData[[#This Row],[disposedAmount]]=TrafficData[[#This Row],[totalAmount]]</f>
        <v>1</v>
      </c>
      <c r="M2238" t="b">
        <f>TrafficData[[#This Row],[pendingCourt]]+TrafficData[[#This Row],[disposedCourt]]=TrafficData[[#This Row],[totalCourt]]</f>
        <v>1</v>
      </c>
      <c r="N2238" t="b">
        <f>AND(TrafficData[[#This Row],[disposedChallan]]&lt;=TrafficData[[#This Row],[totalChallan]],TrafficData[[#This Row],[pendingChallan]]&lt;=TrafficData[[#This Row],[totalChallan]])</f>
        <v>1</v>
      </c>
      <c r="O2238" t="b">
        <f>AND(TrafficData[[#This Row],[pendingAmount]]&lt;=TrafficData[[#This Row],[totalAmount]],TrafficData[[#This Row],[disposedAmount]]&lt;=TrafficData[[#This Row],[totalAmount]])</f>
        <v>1</v>
      </c>
      <c r="P2238" t="b">
        <f>AND(TrafficData[[#This Row],[pendingCourt]]&lt;=TrafficData[[#This Row],[totalCourt]],TrafficData[[#This Row],[disposedCourt]]&lt;=TrafficData[[#This Row],[totalCourt]])</f>
        <v>1</v>
      </c>
    </row>
    <row r="2239" spans="1:16">
      <c r="A2239" s="1">
        <v>44243</v>
      </c>
      <c r="B2239">
        <v>112327</v>
      </c>
      <c r="C2239">
        <v>61095</v>
      </c>
      <c r="D2239">
        <v>51232</v>
      </c>
      <c r="E2239">
        <v>58166840</v>
      </c>
      <c r="F2239">
        <v>76953900</v>
      </c>
      <c r="G2239">
        <v>135120740</v>
      </c>
      <c r="H2239">
        <v>24955</v>
      </c>
      <c r="I2239">
        <v>9260</v>
      </c>
      <c r="J2239">
        <v>34215</v>
      </c>
      <c r="K2239" t="b">
        <f>TrafficData[[#This Row],[disposedChallan]]+TrafficData[[#This Row],[pendingChallan]]=TrafficData[[#This Row],[totalChallan]]</f>
        <v>1</v>
      </c>
      <c r="L2239" t="b">
        <f>TrafficData[[#This Row],[pendingAmount]]+TrafficData[[#This Row],[disposedAmount]]=TrafficData[[#This Row],[totalAmount]]</f>
        <v>1</v>
      </c>
      <c r="M2239" t="b">
        <f>TrafficData[[#This Row],[pendingCourt]]+TrafficData[[#This Row],[disposedCourt]]=TrafficData[[#This Row],[totalCourt]]</f>
        <v>1</v>
      </c>
      <c r="N2239" t="b">
        <f>AND(TrafficData[[#This Row],[disposedChallan]]&lt;=TrafficData[[#This Row],[totalChallan]],TrafficData[[#This Row],[pendingChallan]]&lt;=TrafficData[[#This Row],[totalChallan]])</f>
        <v>1</v>
      </c>
      <c r="O2239" t="b">
        <f>AND(TrafficData[[#This Row],[pendingAmount]]&lt;=TrafficData[[#This Row],[totalAmount]],TrafficData[[#This Row],[disposedAmount]]&lt;=TrafficData[[#This Row],[totalAmount]])</f>
        <v>1</v>
      </c>
      <c r="P2239" t="b">
        <f>AND(TrafficData[[#This Row],[pendingCourt]]&lt;=TrafficData[[#This Row],[totalCourt]],TrafficData[[#This Row],[disposedCourt]]&lt;=TrafficData[[#This Row],[totalCourt]])</f>
        <v>1</v>
      </c>
    </row>
    <row r="2240" spans="1:16">
      <c r="A2240" s="1">
        <v>44244</v>
      </c>
      <c r="B2240">
        <v>115784</v>
      </c>
      <c r="C2240">
        <v>63667</v>
      </c>
      <c r="D2240">
        <v>52117</v>
      </c>
      <c r="E2240">
        <v>67381698</v>
      </c>
      <c r="F2240">
        <v>80283483</v>
      </c>
      <c r="G2240">
        <v>147665181</v>
      </c>
      <c r="H2240">
        <v>27038</v>
      </c>
      <c r="I2240">
        <v>9910</v>
      </c>
      <c r="J2240">
        <v>36948</v>
      </c>
      <c r="K2240" t="b">
        <f>TrafficData[[#This Row],[disposedChallan]]+TrafficData[[#This Row],[pendingChallan]]=TrafficData[[#This Row],[totalChallan]]</f>
        <v>1</v>
      </c>
      <c r="L2240" t="b">
        <f>TrafficData[[#This Row],[pendingAmount]]+TrafficData[[#This Row],[disposedAmount]]=TrafficData[[#This Row],[totalAmount]]</f>
        <v>1</v>
      </c>
      <c r="M2240" t="b">
        <f>TrafficData[[#This Row],[pendingCourt]]+TrafficData[[#This Row],[disposedCourt]]=TrafficData[[#This Row],[totalCourt]]</f>
        <v>1</v>
      </c>
      <c r="N2240" t="b">
        <f>AND(TrafficData[[#This Row],[disposedChallan]]&lt;=TrafficData[[#This Row],[totalChallan]],TrafficData[[#This Row],[pendingChallan]]&lt;=TrafficData[[#This Row],[totalChallan]])</f>
        <v>1</v>
      </c>
      <c r="O2240" t="b">
        <f>AND(TrafficData[[#This Row],[pendingAmount]]&lt;=TrafficData[[#This Row],[totalAmount]],TrafficData[[#This Row],[disposedAmount]]&lt;=TrafficData[[#This Row],[totalAmount]])</f>
        <v>1</v>
      </c>
      <c r="P2240" t="b">
        <f>AND(TrafficData[[#This Row],[pendingCourt]]&lt;=TrafficData[[#This Row],[totalCourt]],TrafficData[[#This Row],[disposedCourt]]&lt;=TrafficData[[#This Row],[totalCourt]])</f>
        <v>1</v>
      </c>
    </row>
    <row r="2241" spans="1:16">
      <c r="A2241" s="1">
        <v>44245</v>
      </c>
      <c r="B2241">
        <v>117933</v>
      </c>
      <c r="C2241">
        <v>65147</v>
      </c>
      <c r="D2241">
        <v>52786</v>
      </c>
      <c r="E2241">
        <v>62837574</v>
      </c>
      <c r="F2241">
        <v>84676433</v>
      </c>
      <c r="G2241">
        <v>147514007</v>
      </c>
      <c r="H2241">
        <v>25160</v>
      </c>
      <c r="I2241">
        <v>9959</v>
      </c>
      <c r="J2241">
        <v>35119</v>
      </c>
      <c r="K2241" t="b">
        <f>TrafficData[[#This Row],[disposedChallan]]+TrafficData[[#This Row],[pendingChallan]]=TrafficData[[#This Row],[totalChallan]]</f>
        <v>1</v>
      </c>
      <c r="L2241" t="b">
        <f>TrafficData[[#This Row],[pendingAmount]]+TrafficData[[#This Row],[disposedAmount]]=TrafficData[[#This Row],[totalAmount]]</f>
        <v>1</v>
      </c>
      <c r="M2241" t="b">
        <f>TrafficData[[#This Row],[pendingCourt]]+TrafficData[[#This Row],[disposedCourt]]=TrafficData[[#This Row],[totalCourt]]</f>
        <v>1</v>
      </c>
      <c r="N2241" t="b">
        <f>AND(TrafficData[[#This Row],[disposedChallan]]&lt;=TrafficData[[#This Row],[totalChallan]],TrafficData[[#This Row],[pendingChallan]]&lt;=TrafficData[[#This Row],[totalChallan]])</f>
        <v>1</v>
      </c>
      <c r="O2241" t="b">
        <f>AND(TrafficData[[#This Row],[pendingAmount]]&lt;=TrafficData[[#This Row],[totalAmount]],TrafficData[[#This Row],[disposedAmount]]&lt;=TrafficData[[#This Row],[totalAmount]])</f>
        <v>1</v>
      </c>
      <c r="P2241" t="b">
        <f>AND(TrafficData[[#This Row],[pendingCourt]]&lt;=TrafficData[[#This Row],[totalCourt]],TrafficData[[#This Row],[disposedCourt]]&lt;=TrafficData[[#This Row],[totalCourt]])</f>
        <v>1</v>
      </c>
    </row>
    <row r="2242" spans="1:16">
      <c r="A2242" s="1">
        <v>44246</v>
      </c>
      <c r="B2242">
        <v>119787</v>
      </c>
      <c r="C2242">
        <v>65415</v>
      </c>
      <c r="D2242">
        <v>54372</v>
      </c>
      <c r="E2242">
        <v>66278324</v>
      </c>
      <c r="F2242">
        <v>87122606</v>
      </c>
      <c r="G2242">
        <v>153400930</v>
      </c>
      <c r="H2242">
        <v>25780</v>
      </c>
      <c r="I2242">
        <v>10328</v>
      </c>
      <c r="J2242">
        <v>36108</v>
      </c>
      <c r="K2242" t="b">
        <f>TrafficData[[#This Row],[disposedChallan]]+TrafficData[[#This Row],[pendingChallan]]=TrafficData[[#This Row],[totalChallan]]</f>
        <v>1</v>
      </c>
      <c r="L2242" t="b">
        <f>TrafficData[[#This Row],[pendingAmount]]+TrafficData[[#This Row],[disposedAmount]]=TrafficData[[#This Row],[totalAmount]]</f>
        <v>1</v>
      </c>
      <c r="M2242" t="b">
        <f>TrafficData[[#This Row],[pendingCourt]]+TrafficData[[#This Row],[disposedCourt]]=TrafficData[[#This Row],[totalCourt]]</f>
        <v>1</v>
      </c>
      <c r="N2242" t="b">
        <f>AND(TrafficData[[#This Row],[disposedChallan]]&lt;=TrafficData[[#This Row],[totalChallan]],TrafficData[[#This Row],[pendingChallan]]&lt;=TrafficData[[#This Row],[totalChallan]])</f>
        <v>1</v>
      </c>
      <c r="O2242" t="b">
        <f>AND(TrafficData[[#This Row],[pendingAmount]]&lt;=TrafficData[[#This Row],[totalAmount]],TrafficData[[#This Row],[disposedAmount]]&lt;=TrafficData[[#This Row],[totalAmount]])</f>
        <v>1</v>
      </c>
      <c r="P2242" t="b">
        <f>AND(TrafficData[[#This Row],[pendingCourt]]&lt;=TrafficData[[#This Row],[totalCourt]],TrafficData[[#This Row],[disposedCourt]]&lt;=TrafficData[[#This Row],[totalCourt]])</f>
        <v>1</v>
      </c>
    </row>
    <row r="2243" spans="1:16">
      <c r="A2243" s="1">
        <v>44247</v>
      </c>
      <c r="B2243">
        <v>118470</v>
      </c>
      <c r="C2243">
        <v>65229</v>
      </c>
      <c r="D2243">
        <v>53241</v>
      </c>
      <c r="E2243">
        <v>62385263</v>
      </c>
      <c r="F2243">
        <v>79014675</v>
      </c>
      <c r="G2243">
        <v>141399938</v>
      </c>
      <c r="H2243">
        <v>26565</v>
      </c>
      <c r="I2243">
        <v>10172</v>
      </c>
      <c r="J2243">
        <v>36737</v>
      </c>
      <c r="K2243" t="b">
        <f>TrafficData[[#This Row],[disposedChallan]]+TrafficData[[#This Row],[pendingChallan]]=TrafficData[[#This Row],[totalChallan]]</f>
        <v>1</v>
      </c>
      <c r="L2243" t="b">
        <f>TrafficData[[#This Row],[pendingAmount]]+TrafficData[[#This Row],[disposedAmount]]=TrafficData[[#This Row],[totalAmount]]</f>
        <v>1</v>
      </c>
      <c r="M2243" t="b">
        <f>TrafficData[[#This Row],[pendingCourt]]+TrafficData[[#This Row],[disposedCourt]]=TrafficData[[#This Row],[totalCourt]]</f>
        <v>1</v>
      </c>
      <c r="N2243" t="b">
        <f>AND(TrafficData[[#This Row],[disposedChallan]]&lt;=TrafficData[[#This Row],[totalChallan]],TrafficData[[#This Row],[pendingChallan]]&lt;=TrafficData[[#This Row],[totalChallan]])</f>
        <v>1</v>
      </c>
      <c r="O2243" t="b">
        <f>AND(TrafficData[[#This Row],[pendingAmount]]&lt;=TrafficData[[#This Row],[totalAmount]],TrafficData[[#This Row],[disposedAmount]]&lt;=TrafficData[[#This Row],[totalAmount]])</f>
        <v>1</v>
      </c>
      <c r="P2243" t="b">
        <f>AND(TrafficData[[#This Row],[pendingCourt]]&lt;=TrafficData[[#This Row],[totalCourt]],TrafficData[[#This Row],[disposedCourt]]&lt;=TrafficData[[#This Row],[totalCourt]])</f>
        <v>1</v>
      </c>
    </row>
    <row r="2244" spans="1:16">
      <c r="A2244" s="1">
        <v>44248</v>
      </c>
      <c r="B2244">
        <v>101495</v>
      </c>
      <c r="C2244">
        <v>53338</v>
      </c>
      <c r="D2244">
        <v>48157</v>
      </c>
      <c r="E2244">
        <v>55349078</v>
      </c>
      <c r="F2244">
        <v>62600970</v>
      </c>
      <c r="G2244">
        <v>117950048</v>
      </c>
      <c r="H2244">
        <v>24547</v>
      </c>
      <c r="I2244">
        <v>8767</v>
      </c>
      <c r="J2244">
        <v>33314</v>
      </c>
      <c r="K2244" t="b">
        <f>TrafficData[[#This Row],[disposedChallan]]+TrafficData[[#This Row],[pendingChallan]]=TrafficData[[#This Row],[totalChallan]]</f>
        <v>1</v>
      </c>
      <c r="L2244" t="b">
        <f>TrafficData[[#This Row],[pendingAmount]]+TrafficData[[#This Row],[disposedAmount]]=TrafficData[[#This Row],[totalAmount]]</f>
        <v>1</v>
      </c>
      <c r="M2244" t="b">
        <f>TrafficData[[#This Row],[pendingCourt]]+TrafficData[[#This Row],[disposedCourt]]=TrafficData[[#This Row],[totalCourt]]</f>
        <v>1</v>
      </c>
      <c r="N2244" t="b">
        <f>AND(TrafficData[[#This Row],[disposedChallan]]&lt;=TrafficData[[#This Row],[totalChallan]],TrafficData[[#This Row],[pendingChallan]]&lt;=TrafficData[[#This Row],[totalChallan]])</f>
        <v>1</v>
      </c>
      <c r="O2244" t="b">
        <f>AND(TrafficData[[#This Row],[pendingAmount]]&lt;=TrafficData[[#This Row],[totalAmount]],TrafficData[[#This Row],[disposedAmount]]&lt;=TrafficData[[#This Row],[totalAmount]])</f>
        <v>1</v>
      </c>
      <c r="P2244" t="b">
        <f>AND(TrafficData[[#This Row],[pendingCourt]]&lt;=TrafficData[[#This Row],[totalCourt]],TrafficData[[#This Row],[disposedCourt]]&lt;=TrafficData[[#This Row],[totalCourt]])</f>
        <v>1</v>
      </c>
    </row>
    <row r="2245" spans="1:16">
      <c r="A2245" s="1">
        <v>44249</v>
      </c>
      <c r="B2245">
        <v>112743</v>
      </c>
      <c r="C2245">
        <v>61249</v>
      </c>
      <c r="D2245">
        <v>51494</v>
      </c>
      <c r="E2245">
        <v>65617772</v>
      </c>
      <c r="F2245">
        <v>82234135</v>
      </c>
      <c r="G2245">
        <v>147851907</v>
      </c>
      <c r="H2245">
        <v>26849</v>
      </c>
      <c r="I2245">
        <v>9896</v>
      </c>
      <c r="J2245">
        <v>36745</v>
      </c>
      <c r="K2245" t="b">
        <f>TrafficData[[#This Row],[disposedChallan]]+TrafficData[[#This Row],[pendingChallan]]=TrafficData[[#This Row],[totalChallan]]</f>
        <v>1</v>
      </c>
      <c r="L2245" t="b">
        <f>TrafficData[[#This Row],[pendingAmount]]+TrafficData[[#This Row],[disposedAmount]]=TrafficData[[#This Row],[totalAmount]]</f>
        <v>1</v>
      </c>
      <c r="M2245" t="b">
        <f>TrafficData[[#This Row],[pendingCourt]]+TrafficData[[#This Row],[disposedCourt]]=TrafficData[[#This Row],[totalCourt]]</f>
        <v>1</v>
      </c>
      <c r="N2245" t="b">
        <f>AND(TrafficData[[#This Row],[disposedChallan]]&lt;=TrafficData[[#This Row],[totalChallan]],TrafficData[[#This Row],[pendingChallan]]&lt;=TrafficData[[#This Row],[totalChallan]])</f>
        <v>1</v>
      </c>
      <c r="O2245" t="b">
        <f>AND(TrafficData[[#This Row],[pendingAmount]]&lt;=TrafficData[[#This Row],[totalAmount]],TrafficData[[#This Row],[disposedAmount]]&lt;=TrafficData[[#This Row],[totalAmount]])</f>
        <v>1</v>
      </c>
      <c r="P2245" t="b">
        <f>AND(TrafficData[[#This Row],[pendingCourt]]&lt;=TrafficData[[#This Row],[totalCourt]],TrafficData[[#This Row],[disposedCourt]]&lt;=TrafficData[[#This Row],[totalCourt]])</f>
        <v>1</v>
      </c>
    </row>
    <row r="2246" spans="1:16">
      <c r="A2246" s="1">
        <v>44250</v>
      </c>
      <c r="B2246">
        <v>117910</v>
      </c>
      <c r="C2246">
        <v>64320</v>
      </c>
      <c r="D2246">
        <v>53590</v>
      </c>
      <c r="E2246">
        <v>71600410</v>
      </c>
      <c r="F2246">
        <v>93520341</v>
      </c>
      <c r="G2246">
        <v>165120751</v>
      </c>
      <c r="H2246">
        <v>27790</v>
      </c>
      <c r="I2246">
        <v>10271</v>
      </c>
      <c r="J2246">
        <v>38061</v>
      </c>
      <c r="K2246" t="b">
        <f>TrafficData[[#This Row],[disposedChallan]]+TrafficData[[#This Row],[pendingChallan]]=TrafficData[[#This Row],[totalChallan]]</f>
        <v>1</v>
      </c>
      <c r="L2246" t="b">
        <f>TrafficData[[#This Row],[pendingAmount]]+TrafficData[[#This Row],[disposedAmount]]=TrafficData[[#This Row],[totalAmount]]</f>
        <v>1</v>
      </c>
      <c r="M2246" t="b">
        <f>TrafficData[[#This Row],[pendingCourt]]+TrafficData[[#This Row],[disposedCourt]]=TrafficData[[#This Row],[totalCourt]]</f>
        <v>1</v>
      </c>
      <c r="N2246" t="b">
        <f>AND(TrafficData[[#This Row],[disposedChallan]]&lt;=TrafficData[[#This Row],[totalChallan]],TrafficData[[#This Row],[pendingChallan]]&lt;=TrafficData[[#This Row],[totalChallan]])</f>
        <v>1</v>
      </c>
      <c r="O2246" t="b">
        <f>AND(TrafficData[[#This Row],[pendingAmount]]&lt;=TrafficData[[#This Row],[totalAmount]],TrafficData[[#This Row],[disposedAmount]]&lt;=TrafficData[[#This Row],[totalAmount]])</f>
        <v>1</v>
      </c>
      <c r="P2246" t="b">
        <f>AND(TrafficData[[#This Row],[pendingCourt]]&lt;=TrafficData[[#This Row],[totalCourt]],TrafficData[[#This Row],[disposedCourt]]&lt;=TrafficData[[#This Row],[totalCourt]])</f>
        <v>1</v>
      </c>
    </row>
    <row r="2247" spans="1:16">
      <c r="A2247" s="1">
        <v>44251</v>
      </c>
      <c r="B2247">
        <v>113540</v>
      </c>
      <c r="C2247">
        <v>62292</v>
      </c>
      <c r="D2247">
        <v>51248</v>
      </c>
      <c r="E2247">
        <v>68207984</v>
      </c>
      <c r="F2247">
        <v>91360882</v>
      </c>
      <c r="G2247">
        <v>159568866</v>
      </c>
      <c r="H2247">
        <v>27336</v>
      </c>
      <c r="I2247">
        <v>10305</v>
      </c>
      <c r="J2247">
        <v>37641</v>
      </c>
      <c r="K2247" t="b">
        <f>TrafficData[[#This Row],[disposedChallan]]+TrafficData[[#This Row],[pendingChallan]]=TrafficData[[#This Row],[totalChallan]]</f>
        <v>1</v>
      </c>
      <c r="L2247" t="b">
        <f>TrafficData[[#This Row],[pendingAmount]]+TrafficData[[#This Row],[disposedAmount]]=TrafficData[[#This Row],[totalAmount]]</f>
        <v>1</v>
      </c>
      <c r="M2247" t="b">
        <f>TrafficData[[#This Row],[pendingCourt]]+TrafficData[[#This Row],[disposedCourt]]=TrafficData[[#This Row],[totalCourt]]</f>
        <v>1</v>
      </c>
      <c r="N2247" t="b">
        <f>AND(TrafficData[[#This Row],[disposedChallan]]&lt;=TrafficData[[#This Row],[totalChallan]],TrafficData[[#This Row],[pendingChallan]]&lt;=TrafficData[[#This Row],[totalChallan]])</f>
        <v>1</v>
      </c>
      <c r="O2247" t="b">
        <f>AND(TrafficData[[#This Row],[pendingAmount]]&lt;=TrafficData[[#This Row],[totalAmount]],TrafficData[[#This Row],[disposedAmount]]&lt;=TrafficData[[#This Row],[totalAmount]])</f>
        <v>1</v>
      </c>
      <c r="P2247" t="b">
        <f>AND(TrafficData[[#This Row],[pendingCourt]]&lt;=TrafficData[[#This Row],[totalCourt]],TrafficData[[#This Row],[disposedCourt]]&lt;=TrafficData[[#This Row],[totalCourt]])</f>
        <v>1</v>
      </c>
    </row>
    <row r="2248" spans="1:16">
      <c r="A2248" s="1">
        <v>44252</v>
      </c>
      <c r="B2248">
        <v>113152</v>
      </c>
      <c r="C2248">
        <v>62018</v>
      </c>
      <c r="D2248">
        <v>51134</v>
      </c>
      <c r="E2248">
        <v>66910871</v>
      </c>
      <c r="F2248">
        <v>90246353</v>
      </c>
      <c r="G2248">
        <v>157157224</v>
      </c>
      <c r="H2248">
        <v>27150</v>
      </c>
      <c r="I2248">
        <v>10305</v>
      </c>
      <c r="J2248">
        <v>37455</v>
      </c>
      <c r="K2248" t="b">
        <f>TrafficData[[#This Row],[disposedChallan]]+TrafficData[[#This Row],[pendingChallan]]=TrafficData[[#This Row],[totalChallan]]</f>
        <v>1</v>
      </c>
      <c r="L2248" t="b">
        <f>TrafficData[[#This Row],[pendingAmount]]+TrafficData[[#This Row],[disposedAmount]]=TrafficData[[#This Row],[totalAmount]]</f>
        <v>1</v>
      </c>
      <c r="M2248" t="b">
        <f>TrafficData[[#This Row],[pendingCourt]]+TrafficData[[#This Row],[disposedCourt]]=TrafficData[[#This Row],[totalCourt]]</f>
        <v>1</v>
      </c>
      <c r="N2248" t="b">
        <f>AND(TrafficData[[#This Row],[disposedChallan]]&lt;=TrafficData[[#This Row],[totalChallan]],TrafficData[[#This Row],[pendingChallan]]&lt;=TrafficData[[#This Row],[totalChallan]])</f>
        <v>1</v>
      </c>
      <c r="O2248" t="b">
        <f>AND(TrafficData[[#This Row],[pendingAmount]]&lt;=TrafficData[[#This Row],[totalAmount]],TrafficData[[#This Row],[disposedAmount]]&lt;=TrafficData[[#This Row],[totalAmount]])</f>
        <v>1</v>
      </c>
      <c r="P2248" t="b">
        <f>AND(TrafficData[[#This Row],[pendingCourt]]&lt;=TrafficData[[#This Row],[totalCourt]],TrafficData[[#This Row],[disposedCourt]]&lt;=TrafficData[[#This Row],[totalCourt]])</f>
        <v>1</v>
      </c>
    </row>
    <row r="2249" spans="1:16">
      <c r="A2249" s="1">
        <v>44253</v>
      </c>
      <c r="B2249">
        <v>109067</v>
      </c>
      <c r="C2249">
        <v>59356</v>
      </c>
      <c r="D2249">
        <v>49711</v>
      </c>
      <c r="E2249">
        <v>60529276</v>
      </c>
      <c r="F2249">
        <v>70592523</v>
      </c>
      <c r="G2249">
        <v>131121799</v>
      </c>
      <c r="H2249">
        <v>25862</v>
      </c>
      <c r="I2249">
        <v>10037</v>
      </c>
      <c r="J2249">
        <v>35899</v>
      </c>
      <c r="K2249" t="b">
        <f>TrafficData[[#This Row],[disposedChallan]]+TrafficData[[#This Row],[pendingChallan]]=TrafficData[[#This Row],[totalChallan]]</f>
        <v>1</v>
      </c>
      <c r="L2249" t="b">
        <f>TrafficData[[#This Row],[pendingAmount]]+TrafficData[[#This Row],[disposedAmount]]=TrafficData[[#This Row],[totalAmount]]</f>
        <v>1</v>
      </c>
      <c r="M2249" t="b">
        <f>TrafficData[[#This Row],[pendingCourt]]+TrafficData[[#This Row],[disposedCourt]]=TrafficData[[#This Row],[totalCourt]]</f>
        <v>1</v>
      </c>
      <c r="N2249" t="b">
        <f>AND(TrafficData[[#This Row],[disposedChallan]]&lt;=TrafficData[[#This Row],[totalChallan]],TrafficData[[#This Row],[pendingChallan]]&lt;=TrafficData[[#This Row],[totalChallan]])</f>
        <v>1</v>
      </c>
      <c r="O2249" t="b">
        <f>AND(TrafficData[[#This Row],[pendingAmount]]&lt;=TrafficData[[#This Row],[totalAmount]],TrafficData[[#This Row],[disposedAmount]]&lt;=TrafficData[[#This Row],[totalAmount]])</f>
        <v>1</v>
      </c>
      <c r="P2249" t="b">
        <f>AND(TrafficData[[#This Row],[pendingCourt]]&lt;=TrafficData[[#This Row],[totalCourt]],TrafficData[[#This Row],[disposedCourt]]&lt;=TrafficData[[#This Row],[totalCourt]])</f>
        <v>1</v>
      </c>
    </row>
    <row r="2250" spans="1:16">
      <c r="A2250" s="1">
        <v>44254</v>
      </c>
      <c r="B2250">
        <v>108024</v>
      </c>
      <c r="C2250">
        <v>59111</v>
      </c>
      <c r="D2250">
        <v>48913</v>
      </c>
      <c r="E2250">
        <v>62593256</v>
      </c>
      <c r="F2250">
        <v>71140058</v>
      </c>
      <c r="G2250">
        <v>133733314</v>
      </c>
      <c r="H2250">
        <v>26540</v>
      </c>
      <c r="I2250">
        <v>9905</v>
      </c>
      <c r="J2250">
        <v>36445</v>
      </c>
      <c r="K2250" t="b">
        <f>TrafficData[[#This Row],[disposedChallan]]+TrafficData[[#This Row],[pendingChallan]]=TrafficData[[#This Row],[totalChallan]]</f>
        <v>1</v>
      </c>
      <c r="L2250" t="b">
        <f>TrafficData[[#This Row],[pendingAmount]]+TrafficData[[#This Row],[disposedAmount]]=TrafficData[[#This Row],[totalAmount]]</f>
        <v>1</v>
      </c>
      <c r="M2250" t="b">
        <f>TrafficData[[#This Row],[pendingCourt]]+TrafficData[[#This Row],[disposedCourt]]=TrafficData[[#This Row],[totalCourt]]</f>
        <v>1</v>
      </c>
      <c r="N2250" t="b">
        <f>AND(TrafficData[[#This Row],[disposedChallan]]&lt;=TrafficData[[#This Row],[totalChallan]],TrafficData[[#This Row],[pendingChallan]]&lt;=TrafficData[[#This Row],[totalChallan]])</f>
        <v>1</v>
      </c>
      <c r="O2250" t="b">
        <f>AND(TrafficData[[#This Row],[pendingAmount]]&lt;=TrafficData[[#This Row],[totalAmount]],TrafficData[[#This Row],[disposedAmount]]&lt;=TrafficData[[#This Row],[totalAmount]])</f>
        <v>1</v>
      </c>
      <c r="P2250" t="b">
        <f>AND(TrafficData[[#This Row],[pendingCourt]]&lt;=TrafficData[[#This Row],[totalCourt]],TrafficData[[#This Row],[disposedCourt]]&lt;=TrafficData[[#This Row],[totalCourt]])</f>
        <v>1</v>
      </c>
    </row>
    <row r="2251" spans="1:16">
      <c r="A2251" s="1">
        <v>44255</v>
      </c>
      <c r="B2251">
        <v>96880</v>
      </c>
      <c r="C2251">
        <v>51575</v>
      </c>
      <c r="D2251">
        <v>45305</v>
      </c>
      <c r="E2251">
        <v>55095714</v>
      </c>
      <c r="F2251">
        <v>59172982</v>
      </c>
      <c r="G2251">
        <v>114268696</v>
      </c>
      <c r="H2251">
        <v>24258</v>
      </c>
      <c r="I2251">
        <v>8989</v>
      </c>
      <c r="J2251">
        <v>33247</v>
      </c>
      <c r="K2251" t="b">
        <f>TrafficData[[#This Row],[disposedChallan]]+TrafficData[[#This Row],[pendingChallan]]=TrafficData[[#This Row],[totalChallan]]</f>
        <v>1</v>
      </c>
      <c r="L2251" t="b">
        <f>TrafficData[[#This Row],[pendingAmount]]+TrafficData[[#This Row],[disposedAmount]]=TrafficData[[#This Row],[totalAmount]]</f>
        <v>1</v>
      </c>
      <c r="M2251" t="b">
        <f>TrafficData[[#This Row],[pendingCourt]]+TrafficData[[#This Row],[disposedCourt]]=TrafficData[[#This Row],[totalCourt]]</f>
        <v>1</v>
      </c>
      <c r="N2251" t="b">
        <f>AND(TrafficData[[#This Row],[disposedChallan]]&lt;=TrafficData[[#This Row],[totalChallan]],TrafficData[[#This Row],[pendingChallan]]&lt;=TrafficData[[#This Row],[totalChallan]])</f>
        <v>1</v>
      </c>
      <c r="O2251" t="b">
        <f>AND(TrafficData[[#This Row],[pendingAmount]]&lt;=TrafficData[[#This Row],[totalAmount]],TrafficData[[#This Row],[disposedAmount]]&lt;=TrafficData[[#This Row],[totalAmount]])</f>
        <v>1</v>
      </c>
      <c r="P2251" t="b">
        <f>AND(TrafficData[[#This Row],[pendingCourt]]&lt;=TrafficData[[#This Row],[totalCourt]],TrafficData[[#This Row],[disposedCourt]]&lt;=TrafficData[[#This Row],[totalCourt]])</f>
        <v>1</v>
      </c>
    </row>
    <row r="2252" spans="1:16">
      <c r="A2252" s="1">
        <v>44256</v>
      </c>
      <c r="B2252">
        <v>113508</v>
      </c>
      <c r="C2252">
        <v>63997</v>
      </c>
      <c r="D2252">
        <v>49511</v>
      </c>
      <c r="E2252">
        <v>59569760</v>
      </c>
      <c r="F2252">
        <v>94792301</v>
      </c>
      <c r="G2252">
        <v>154362061</v>
      </c>
      <c r="H2252">
        <v>26019</v>
      </c>
      <c r="I2252">
        <v>9425</v>
      </c>
      <c r="J2252">
        <v>35444</v>
      </c>
      <c r="K2252" t="b">
        <f>TrafficData[[#This Row],[disposedChallan]]+TrafficData[[#This Row],[pendingChallan]]=TrafficData[[#This Row],[totalChallan]]</f>
        <v>1</v>
      </c>
      <c r="L2252" t="b">
        <f>TrafficData[[#This Row],[pendingAmount]]+TrafficData[[#This Row],[disposedAmount]]=TrafficData[[#This Row],[totalAmount]]</f>
        <v>1</v>
      </c>
      <c r="M2252" t="b">
        <f>TrafficData[[#This Row],[pendingCourt]]+TrafficData[[#This Row],[disposedCourt]]=TrafficData[[#This Row],[totalCourt]]</f>
        <v>1</v>
      </c>
      <c r="N2252" t="b">
        <f>AND(TrafficData[[#This Row],[disposedChallan]]&lt;=TrafficData[[#This Row],[totalChallan]],TrafficData[[#This Row],[pendingChallan]]&lt;=TrafficData[[#This Row],[totalChallan]])</f>
        <v>1</v>
      </c>
      <c r="O2252" t="b">
        <f>AND(TrafficData[[#This Row],[pendingAmount]]&lt;=TrafficData[[#This Row],[totalAmount]],TrafficData[[#This Row],[disposedAmount]]&lt;=TrafficData[[#This Row],[totalAmount]])</f>
        <v>1</v>
      </c>
      <c r="P2252" t="b">
        <f>AND(TrafficData[[#This Row],[pendingCourt]]&lt;=TrafficData[[#This Row],[totalCourt]],TrafficData[[#This Row],[disposedCourt]]&lt;=TrafficData[[#This Row],[totalCourt]])</f>
        <v>1</v>
      </c>
    </row>
    <row r="2253" spans="1:16">
      <c r="A2253" s="1">
        <v>44257</v>
      </c>
      <c r="B2253">
        <v>113174</v>
      </c>
      <c r="C2253">
        <v>63736</v>
      </c>
      <c r="D2253">
        <v>49438</v>
      </c>
      <c r="E2253">
        <v>62289329</v>
      </c>
      <c r="F2253">
        <v>105044611</v>
      </c>
      <c r="G2253">
        <v>167333940</v>
      </c>
      <c r="H2253">
        <v>24785</v>
      </c>
      <c r="I2253">
        <v>9472</v>
      </c>
      <c r="J2253">
        <v>34257</v>
      </c>
      <c r="K2253" t="b">
        <f>TrafficData[[#This Row],[disposedChallan]]+TrafficData[[#This Row],[pendingChallan]]=TrafficData[[#This Row],[totalChallan]]</f>
        <v>1</v>
      </c>
      <c r="L2253" t="b">
        <f>TrafficData[[#This Row],[pendingAmount]]+TrafficData[[#This Row],[disposedAmount]]=TrafficData[[#This Row],[totalAmount]]</f>
        <v>1</v>
      </c>
      <c r="M2253" t="b">
        <f>TrafficData[[#This Row],[pendingCourt]]+TrafficData[[#This Row],[disposedCourt]]=TrafficData[[#This Row],[totalCourt]]</f>
        <v>1</v>
      </c>
      <c r="N2253" t="b">
        <f>AND(TrafficData[[#This Row],[disposedChallan]]&lt;=TrafficData[[#This Row],[totalChallan]],TrafficData[[#This Row],[pendingChallan]]&lt;=TrafficData[[#This Row],[totalChallan]])</f>
        <v>1</v>
      </c>
      <c r="O2253" t="b">
        <f>AND(TrafficData[[#This Row],[pendingAmount]]&lt;=TrafficData[[#This Row],[totalAmount]],TrafficData[[#This Row],[disposedAmount]]&lt;=TrafficData[[#This Row],[totalAmount]])</f>
        <v>1</v>
      </c>
      <c r="P2253" t="b">
        <f>AND(TrafficData[[#This Row],[pendingCourt]]&lt;=TrafficData[[#This Row],[totalCourt]],TrafficData[[#This Row],[disposedCourt]]&lt;=TrafficData[[#This Row],[totalCourt]])</f>
        <v>1</v>
      </c>
    </row>
    <row r="2254" spans="1:16">
      <c r="A2254" s="1">
        <v>44258</v>
      </c>
      <c r="B2254">
        <v>118655</v>
      </c>
      <c r="C2254">
        <v>68257</v>
      </c>
      <c r="D2254">
        <v>50398</v>
      </c>
      <c r="E2254">
        <v>64433878</v>
      </c>
      <c r="F2254">
        <v>113857100</v>
      </c>
      <c r="G2254">
        <v>178290978</v>
      </c>
      <c r="H2254">
        <v>27290</v>
      </c>
      <c r="I2254">
        <v>10561</v>
      </c>
      <c r="J2254">
        <v>37851</v>
      </c>
      <c r="K2254" t="b">
        <f>TrafficData[[#This Row],[disposedChallan]]+TrafficData[[#This Row],[pendingChallan]]=TrafficData[[#This Row],[totalChallan]]</f>
        <v>1</v>
      </c>
      <c r="L2254" t="b">
        <f>TrafficData[[#This Row],[pendingAmount]]+TrafficData[[#This Row],[disposedAmount]]=TrafficData[[#This Row],[totalAmount]]</f>
        <v>1</v>
      </c>
      <c r="M2254" t="b">
        <f>TrafficData[[#This Row],[pendingCourt]]+TrafficData[[#This Row],[disposedCourt]]=TrafficData[[#This Row],[totalCourt]]</f>
        <v>1</v>
      </c>
      <c r="N2254" t="b">
        <f>AND(TrafficData[[#This Row],[disposedChallan]]&lt;=TrafficData[[#This Row],[totalChallan]],TrafficData[[#This Row],[pendingChallan]]&lt;=TrafficData[[#This Row],[totalChallan]])</f>
        <v>1</v>
      </c>
      <c r="O2254" t="b">
        <f>AND(TrafficData[[#This Row],[pendingAmount]]&lt;=TrafficData[[#This Row],[totalAmount]],TrafficData[[#This Row],[disposedAmount]]&lt;=TrafficData[[#This Row],[totalAmount]])</f>
        <v>1</v>
      </c>
      <c r="P2254" t="b">
        <f>AND(TrafficData[[#This Row],[pendingCourt]]&lt;=TrafficData[[#This Row],[totalCourt]],TrafficData[[#This Row],[disposedCourt]]&lt;=TrafficData[[#This Row],[totalCourt]])</f>
        <v>1</v>
      </c>
    </row>
    <row r="2255" spans="1:16">
      <c r="A2255" s="1">
        <v>44259</v>
      </c>
      <c r="B2255">
        <v>120980</v>
      </c>
      <c r="C2255">
        <v>68495</v>
      </c>
      <c r="D2255">
        <v>52485</v>
      </c>
      <c r="E2255">
        <v>65262150</v>
      </c>
      <c r="F2255">
        <v>116041622</v>
      </c>
      <c r="G2255">
        <v>181303772</v>
      </c>
      <c r="H2255">
        <v>25788</v>
      </c>
      <c r="I2255">
        <v>10203</v>
      </c>
      <c r="J2255">
        <v>35991</v>
      </c>
      <c r="K2255" t="b">
        <f>TrafficData[[#This Row],[disposedChallan]]+TrafficData[[#This Row],[pendingChallan]]=TrafficData[[#This Row],[totalChallan]]</f>
        <v>1</v>
      </c>
      <c r="L2255" t="b">
        <f>TrafficData[[#This Row],[pendingAmount]]+TrafficData[[#This Row],[disposedAmount]]=TrafficData[[#This Row],[totalAmount]]</f>
        <v>1</v>
      </c>
      <c r="M2255" t="b">
        <f>TrafficData[[#This Row],[pendingCourt]]+TrafficData[[#This Row],[disposedCourt]]=TrafficData[[#This Row],[totalCourt]]</f>
        <v>1</v>
      </c>
      <c r="N2255" t="b">
        <f>AND(TrafficData[[#This Row],[disposedChallan]]&lt;=TrafficData[[#This Row],[totalChallan]],TrafficData[[#This Row],[pendingChallan]]&lt;=TrafficData[[#This Row],[totalChallan]])</f>
        <v>1</v>
      </c>
      <c r="O2255" t="b">
        <f>AND(TrafficData[[#This Row],[pendingAmount]]&lt;=TrafficData[[#This Row],[totalAmount]],TrafficData[[#This Row],[disposedAmount]]&lt;=TrafficData[[#This Row],[totalAmount]])</f>
        <v>1</v>
      </c>
      <c r="P2255" t="b">
        <f>AND(TrafficData[[#This Row],[pendingCourt]]&lt;=TrafficData[[#This Row],[totalCourt]],TrafficData[[#This Row],[disposedCourt]]&lt;=TrafficData[[#This Row],[totalCourt]])</f>
        <v>1</v>
      </c>
    </row>
    <row r="2256" spans="1:16">
      <c r="A2256" s="1">
        <v>44260</v>
      </c>
      <c r="B2256">
        <v>118620</v>
      </c>
      <c r="C2256">
        <v>66920</v>
      </c>
      <c r="D2256">
        <v>51700</v>
      </c>
      <c r="E2256">
        <v>64640761</v>
      </c>
      <c r="F2256">
        <v>106898617</v>
      </c>
      <c r="G2256">
        <v>171539378</v>
      </c>
      <c r="H2256">
        <v>25685</v>
      </c>
      <c r="I2256">
        <v>9805</v>
      </c>
      <c r="J2256">
        <v>35490</v>
      </c>
      <c r="K2256" t="b">
        <f>TrafficData[[#This Row],[disposedChallan]]+TrafficData[[#This Row],[pendingChallan]]=TrafficData[[#This Row],[totalChallan]]</f>
        <v>1</v>
      </c>
      <c r="L2256" t="b">
        <f>TrafficData[[#This Row],[pendingAmount]]+TrafficData[[#This Row],[disposedAmount]]=TrafficData[[#This Row],[totalAmount]]</f>
        <v>1</v>
      </c>
      <c r="M2256" t="b">
        <f>TrafficData[[#This Row],[pendingCourt]]+TrafficData[[#This Row],[disposedCourt]]=TrafficData[[#This Row],[totalCourt]]</f>
        <v>1</v>
      </c>
      <c r="N2256" t="b">
        <f>AND(TrafficData[[#This Row],[disposedChallan]]&lt;=TrafficData[[#This Row],[totalChallan]],TrafficData[[#This Row],[pendingChallan]]&lt;=TrafficData[[#This Row],[totalChallan]])</f>
        <v>1</v>
      </c>
      <c r="O2256" t="b">
        <f>AND(TrafficData[[#This Row],[pendingAmount]]&lt;=TrafficData[[#This Row],[totalAmount]],TrafficData[[#This Row],[disposedAmount]]&lt;=TrafficData[[#This Row],[totalAmount]])</f>
        <v>1</v>
      </c>
      <c r="P2256" t="b">
        <f>AND(TrafficData[[#This Row],[pendingCourt]]&lt;=TrafficData[[#This Row],[totalCourt]],TrafficData[[#This Row],[disposedCourt]]&lt;=TrafficData[[#This Row],[totalCourt]])</f>
        <v>1</v>
      </c>
    </row>
    <row r="2257" spans="1:16">
      <c r="A2257" s="1">
        <v>44261</v>
      </c>
      <c r="B2257">
        <v>120326</v>
      </c>
      <c r="C2257">
        <v>68512</v>
      </c>
      <c r="D2257">
        <v>51814</v>
      </c>
      <c r="E2257">
        <v>65637331</v>
      </c>
      <c r="F2257">
        <v>106492991</v>
      </c>
      <c r="G2257">
        <v>172130322</v>
      </c>
      <c r="H2257">
        <v>26426</v>
      </c>
      <c r="I2257">
        <v>10659</v>
      </c>
      <c r="J2257">
        <v>37085</v>
      </c>
      <c r="K2257" t="b">
        <f>TrafficData[[#This Row],[disposedChallan]]+TrafficData[[#This Row],[pendingChallan]]=TrafficData[[#This Row],[totalChallan]]</f>
        <v>1</v>
      </c>
      <c r="L2257" t="b">
        <f>TrafficData[[#This Row],[pendingAmount]]+TrafficData[[#This Row],[disposedAmount]]=TrafficData[[#This Row],[totalAmount]]</f>
        <v>1</v>
      </c>
      <c r="M2257" t="b">
        <f>TrafficData[[#This Row],[pendingCourt]]+TrafficData[[#This Row],[disposedCourt]]=TrafficData[[#This Row],[totalCourt]]</f>
        <v>1</v>
      </c>
      <c r="N2257" t="b">
        <f>AND(TrafficData[[#This Row],[disposedChallan]]&lt;=TrafficData[[#This Row],[totalChallan]],TrafficData[[#This Row],[pendingChallan]]&lt;=TrafficData[[#This Row],[totalChallan]])</f>
        <v>1</v>
      </c>
      <c r="O2257" t="b">
        <f>AND(TrafficData[[#This Row],[pendingAmount]]&lt;=TrafficData[[#This Row],[totalAmount]],TrafficData[[#This Row],[disposedAmount]]&lt;=TrafficData[[#This Row],[totalAmount]])</f>
        <v>1</v>
      </c>
      <c r="P2257" t="b">
        <f>AND(TrafficData[[#This Row],[pendingCourt]]&lt;=TrafficData[[#This Row],[totalCourt]],TrafficData[[#This Row],[disposedCourt]]&lt;=TrafficData[[#This Row],[totalCourt]])</f>
        <v>1</v>
      </c>
    </row>
    <row r="2258" spans="1:16">
      <c r="A2258" s="1">
        <v>44262</v>
      </c>
      <c r="B2258">
        <v>105408</v>
      </c>
      <c r="C2258">
        <v>57201</v>
      </c>
      <c r="D2258">
        <v>48207</v>
      </c>
      <c r="E2258">
        <v>54223948</v>
      </c>
      <c r="F2258">
        <v>77119317</v>
      </c>
      <c r="G2258">
        <v>131343265</v>
      </c>
      <c r="H2258">
        <v>22936</v>
      </c>
      <c r="I2258">
        <v>9426</v>
      </c>
      <c r="J2258">
        <v>32362</v>
      </c>
      <c r="K2258" t="b">
        <f>TrafficData[[#This Row],[disposedChallan]]+TrafficData[[#This Row],[pendingChallan]]=TrafficData[[#This Row],[totalChallan]]</f>
        <v>1</v>
      </c>
      <c r="L2258" t="b">
        <f>TrafficData[[#This Row],[pendingAmount]]+TrafficData[[#This Row],[disposedAmount]]=TrafficData[[#This Row],[totalAmount]]</f>
        <v>1</v>
      </c>
      <c r="M2258" t="b">
        <f>TrafficData[[#This Row],[pendingCourt]]+TrafficData[[#This Row],[disposedCourt]]=TrafficData[[#This Row],[totalCourt]]</f>
        <v>1</v>
      </c>
      <c r="N2258" t="b">
        <f>AND(TrafficData[[#This Row],[disposedChallan]]&lt;=TrafficData[[#This Row],[totalChallan]],TrafficData[[#This Row],[pendingChallan]]&lt;=TrafficData[[#This Row],[totalChallan]])</f>
        <v>1</v>
      </c>
      <c r="O2258" t="b">
        <f>AND(TrafficData[[#This Row],[pendingAmount]]&lt;=TrafficData[[#This Row],[totalAmount]],TrafficData[[#This Row],[disposedAmount]]&lt;=TrafficData[[#This Row],[totalAmount]])</f>
        <v>1</v>
      </c>
      <c r="P2258" t="b">
        <f>AND(TrafficData[[#This Row],[pendingCourt]]&lt;=TrafficData[[#This Row],[totalCourt]],TrafficData[[#This Row],[disposedCourt]]&lt;=TrafficData[[#This Row],[totalCourt]])</f>
        <v>1</v>
      </c>
    </row>
    <row r="2259" spans="1:16">
      <c r="A2259" s="1">
        <v>44263</v>
      </c>
      <c r="B2259">
        <v>113649</v>
      </c>
      <c r="C2259">
        <v>64161</v>
      </c>
      <c r="D2259">
        <v>49488</v>
      </c>
      <c r="E2259">
        <v>61473852</v>
      </c>
      <c r="F2259">
        <v>89596176</v>
      </c>
      <c r="G2259">
        <v>151070028</v>
      </c>
      <c r="H2259">
        <v>25888</v>
      </c>
      <c r="I2259">
        <v>10652</v>
      </c>
      <c r="J2259">
        <v>36540</v>
      </c>
      <c r="K2259" t="b">
        <f>TrafficData[[#This Row],[disposedChallan]]+TrafficData[[#This Row],[pendingChallan]]=TrafficData[[#This Row],[totalChallan]]</f>
        <v>1</v>
      </c>
      <c r="L2259" t="b">
        <f>TrafficData[[#This Row],[pendingAmount]]+TrafficData[[#This Row],[disposedAmount]]=TrafficData[[#This Row],[totalAmount]]</f>
        <v>1</v>
      </c>
      <c r="M2259" t="b">
        <f>TrafficData[[#This Row],[pendingCourt]]+TrafficData[[#This Row],[disposedCourt]]=TrafficData[[#This Row],[totalCourt]]</f>
        <v>1</v>
      </c>
      <c r="N2259" t="b">
        <f>AND(TrafficData[[#This Row],[disposedChallan]]&lt;=TrafficData[[#This Row],[totalChallan]],TrafficData[[#This Row],[pendingChallan]]&lt;=TrafficData[[#This Row],[totalChallan]])</f>
        <v>1</v>
      </c>
      <c r="O2259" t="b">
        <f>AND(TrafficData[[#This Row],[pendingAmount]]&lt;=TrafficData[[#This Row],[totalAmount]],TrafficData[[#This Row],[disposedAmount]]&lt;=TrafficData[[#This Row],[totalAmount]])</f>
        <v>1</v>
      </c>
      <c r="P2259" t="b">
        <f>AND(TrafficData[[#This Row],[pendingCourt]]&lt;=TrafficData[[#This Row],[totalCourt]],TrafficData[[#This Row],[disposedCourt]]&lt;=TrafficData[[#This Row],[totalCourt]])</f>
        <v>1</v>
      </c>
    </row>
    <row r="2260" spans="1:16">
      <c r="A2260" s="1">
        <v>44264</v>
      </c>
      <c r="B2260">
        <v>119455</v>
      </c>
      <c r="C2260">
        <v>66383</v>
      </c>
      <c r="D2260">
        <v>53072</v>
      </c>
      <c r="E2260">
        <v>68816107</v>
      </c>
      <c r="F2260">
        <v>99877430</v>
      </c>
      <c r="G2260">
        <v>168693537</v>
      </c>
      <c r="H2260">
        <v>27426</v>
      </c>
      <c r="I2260">
        <v>10322</v>
      </c>
      <c r="J2260">
        <v>37748</v>
      </c>
      <c r="K2260" t="b">
        <f>TrafficData[[#This Row],[disposedChallan]]+TrafficData[[#This Row],[pendingChallan]]=TrafficData[[#This Row],[totalChallan]]</f>
        <v>1</v>
      </c>
      <c r="L2260" t="b">
        <f>TrafficData[[#This Row],[pendingAmount]]+TrafficData[[#This Row],[disposedAmount]]=TrafficData[[#This Row],[totalAmount]]</f>
        <v>1</v>
      </c>
      <c r="M2260" t="b">
        <f>TrafficData[[#This Row],[pendingCourt]]+TrafficData[[#This Row],[disposedCourt]]=TrafficData[[#This Row],[totalCourt]]</f>
        <v>1</v>
      </c>
      <c r="N2260" t="b">
        <f>AND(TrafficData[[#This Row],[disposedChallan]]&lt;=TrafficData[[#This Row],[totalChallan]],TrafficData[[#This Row],[pendingChallan]]&lt;=TrafficData[[#This Row],[totalChallan]])</f>
        <v>1</v>
      </c>
      <c r="O2260" t="b">
        <f>AND(TrafficData[[#This Row],[pendingAmount]]&lt;=TrafficData[[#This Row],[totalAmount]],TrafficData[[#This Row],[disposedAmount]]&lt;=TrafficData[[#This Row],[totalAmount]])</f>
        <v>1</v>
      </c>
      <c r="P2260" t="b">
        <f>AND(TrafficData[[#This Row],[pendingCourt]]&lt;=TrafficData[[#This Row],[totalCourt]],TrafficData[[#This Row],[disposedCourt]]&lt;=TrafficData[[#This Row],[totalCourt]])</f>
        <v>1</v>
      </c>
    </row>
    <row r="2261" spans="1:16">
      <c r="A2261" s="1">
        <v>44265</v>
      </c>
      <c r="B2261">
        <v>123743</v>
      </c>
      <c r="C2261">
        <v>67898</v>
      </c>
      <c r="D2261">
        <v>55845</v>
      </c>
      <c r="E2261">
        <v>67396099</v>
      </c>
      <c r="F2261">
        <v>96855506</v>
      </c>
      <c r="G2261">
        <v>164251605</v>
      </c>
      <c r="H2261">
        <v>27426</v>
      </c>
      <c r="I2261">
        <v>10523</v>
      </c>
      <c r="J2261">
        <v>37949</v>
      </c>
      <c r="K2261" t="b">
        <f>TrafficData[[#This Row],[disposedChallan]]+TrafficData[[#This Row],[pendingChallan]]=TrafficData[[#This Row],[totalChallan]]</f>
        <v>1</v>
      </c>
      <c r="L2261" t="b">
        <f>TrafficData[[#This Row],[pendingAmount]]+TrafficData[[#This Row],[disposedAmount]]=TrafficData[[#This Row],[totalAmount]]</f>
        <v>1</v>
      </c>
      <c r="M2261" t="b">
        <f>TrafficData[[#This Row],[pendingCourt]]+TrafficData[[#This Row],[disposedCourt]]=TrafficData[[#This Row],[totalCourt]]</f>
        <v>1</v>
      </c>
      <c r="N2261" t="b">
        <f>AND(TrafficData[[#This Row],[disposedChallan]]&lt;=TrafficData[[#This Row],[totalChallan]],TrafficData[[#This Row],[pendingChallan]]&lt;=TrafficData[[#This Row],[totalChallan]])</f>
        <v>1</v>
      </c>
      <c r="O2261" t="b">
        <f>AND(TrafficData[[#This Row],[pendingAmount]]&lt;=TrafficData[[#This Row],[totalAmount]],TrafficData[[#This Row],[disposedAmount]]&lt;=TrafficData[[#This Row],[totalAmount]])</f>
        <v>1</v>
      </c>
      <c r="P2261" t="b">
        <f>AND(TrafficData[[#This Row],[pendingCourt]]&lt;=TrafficData[[#This Row],[totalCourt]],TrafficData[[#This Row],[disposedCourt]]&lt;=TrafficData[[#This Row],[totalCourt]])</f>
        <v>1</v>
      </c>
    </row>
    <row r="2262" spans="1:16">
      <c r="A2262" s="1">
        <v>44266</v>
      </c>
      <c r="B2262">
        <v>108760</v>
      </c>
      <c r="C2262">
        <v>59449</v>
      </c>
      <c r="D2262">
        <v>49311</v>
      </c>
      <c r="E2262">
        <v>56841364</v>
      </c>
      <c r="F2262">
        <v>80562670</v>
      </c>
      <c r="G2262">
        <v>137404034</v>
      </c>
      <c r="H2262">
        <v>22460</v>
      </c>
      <c r="I2262">
        <v>8345</v>
      </c>
      <c r="J2262">
        <v>30805</v>
      </c>
      <c r="K2262" t="b">
        <f>TrafficData[[#This Row],[disposedChallan]]+TrafficData[[#This Row],[pendingChallan]]=TrafficData[[#This Row],[totalChallan]]</f>
        <v>1</v>
      </c>
      <c r="L2262" t="b">
        <f>TrafficData[[#This Row],[pendingAmount]]+TrafficData[[#This Row],[disposedAmount]]=TrafficData[[#This Row],[totalAmount]]</f>
        <v>1</v>
      </c>
      <c r="M2262" t="b">
        <f>TrafficData[[#This Row],[pendingCourt]]+TrafficData[[#This Row],[disposedCourt]]=TrafficData[[#This Row],[totalCourt]]</f>
        <v>1</v>
      </c>
      <c r="N2262" t="b">
        <f>AND(TrafficData[[#This Row],[disposedChallan]]&lt;=TrafficData[[#This Row],[totalChallan]],TrafficData[[#This Row],[pendingChallan]]&lt;=TrafficData[[#This Row],[totalChallan]])</f>
        <v>1</v>
      </c>
      <c r="O2262" t="b">
        <f>AND(TrafficData[[#This Row],[pendingAmount]]&lt;=TrafficData[[#This Row],[totalAmount]],TrafficData[[#This Row],[disposedAmount]]&lt;=TrafficData[[#This Row],[totalAmount]])</f>
        <v>1</v>
      </c>
      <c r="P2262" t="b">
        <f>AND(TrafficData[[#This Row],[pendingCourt]]&lt;=TrafficData[[#This Row],[totalCourt]],TrafficData[[#This Row],[disposedCourt]]&lt;=TrafficData[[#This Row],[totalCourt]])</f>
        <v>1</v>
      </c>
    </row>
    <row r="2263" spans="1:16">
      <c r="A2263" s="1">
        <v>44267</v>
      </c>
      <c r="B2263">
        <v>120241</v>
      </c>
      <c r="C2263">
        <v>64035</v>
      </c>
      <c r="D2263">
        <v>56206</v>
      </c>
      <c r="E2263">
        <v>68818585</v>
      </c>
      <c r="F2263">
        <v>90386445</v>
      </c>
      <c r="G2263">
        <v>159205030</v>
      </c>
      <c r="H2263">
        <v>27634</v>
      </c>
      <c r="I2263">
        <v>10276</v>
      </c>
      <c r="J2263">
        <v>37910</v>
      </c>
      <c r="K2263" t="b">
        <f>TrafficData[[#This Row],[disposedChallan]]+TrafficData[[#This Row],[pendingChallan]]=TrafficData[[#This Row],[totalChallan]]</f>
        <v>1</v>
      </c>
      <c r="L2263" t="b">
        <f>TrafficData[[#This Row],[pendingAmount]]+TrafficData[[#This Row],[disposedAmount]]=TrafficData[[#This Row],[totalAmount]]</f>
        <v>1</v>
      </c>
      <c r="M2263" t="b">
        <f>TrafficData[[#This Row],[pendingCourt]]+TrafficData[[#This Row],[disposedCourt]]=TrafficData[[#This Row],[totalCourt]]</f>
        <v>1</v>
      </c>
      <c r="N2263" t="b">
        <f>AND(TrafficData[[#This Row],[disposedChallan]]&lt;=TrafficData[[#This Row],[totalChallan]],TrafficData[[#This Row],[pendingChallan]]&lt;=TrafficData[[#This Row],[totalChallan]])</f>
        <v>1</v>
      </c>
      <c r="O2263" t="b">
        <f>AND(TrafficData[[#This Row],[pendingAmount]]&lt;=TrafficData[[#This Row],[totalAmount]],TrafficData[[#This Row],[disposedAmount]]&lt;=TrafficData[[#This Row],[totalAmount]])</f>
        <v>1</v>
      </c>
      <c r="P2263" t="b">
        <f>AND(TrafficData[[#This Row],[pendingCourt]]&lt;=TrafficData[[#This Row],[totalCourt]],TrafficData[[#This Row],[disposedCourt]]&lt;=TrafficData[[#This Row],[totalCourt]])</f>
        <v>1</v>
      </c>
    </row>
    <row r="2264" spans="1:16">
      <c r="A2264" s="1">
        <v>44268</v>
      </c>
      <c r="B2264">
        <v>127968</v>
      </c>
      <c r="C2264">
        <v>69171</v>
      </c>
      <c r="D2264">
        <v>58797</v>
      </c>
      <c r="E2264">
        <v>70711438</v>
      </c>
      <c r="F2264">
        <v>92989258</v>
      </c>
      <c r="G2264">
        <v>163700696</v>
      </c>
      <c r="H2264">
        <v>27346</v>
      </c>
      <c r="I2264">
        <v>10327</v>
      </c>
      <c r="J2264">
        <v>37673</v>
      </c>
      <c r="K2264" t="b">
        <f>TrafficData[[#This Row],[disposedChallan]]+TrafficData[[#This Row],[pendingChallan]]=TrafficData[[#This Row],[totalChallan]]</f>
        <v>1</v>
      </c>
      <c r="L2264" t="b">
        <f>TrafficData[[#This Row],[pendingAmount]]+TrafficData[[#This Row],[disposedAmount]]=TrafficData[[#This Row],[totalAmount]]</f>
        <v>1</v>
      </c>
      <c r="M2264" t="b">
        <f>TrafficData[[#This Row],[pendingCourt]]+TrafficData[[#This Row],[disposedCourt]]=TrafficData[[#This Row],[totalCourt]]</f>
        <v>1</v>
      </c>
      <c r="N2264" t="b">
        <f>AND(TrafficData[[#This Row],[disposedChallan]]&lt;=TrafficData[[#This Row],[totalChallan]],TrafficData[[#This Row],[pendingChallan]]&lt;=TrafficData[[#This Row],[totalChallan]])</f>
        <v>1</v>
      </c>
      <c r="O2264" t="b">
        <f>AND(TrafficData[[#This Row],[pendingAmount]]&lt;=TrafficData[[#This Row],[totalAmount]],TrafficData[[#This Row],[disposedAmount]]&lt;=TrafficData[[#This Row],[totalAmount]])</f>
        <v>1</v>
      </c>
      <c r="P2264" t="b">
        <f>AND(TrafficData[[#This Row],[pendingCourt]]&lt;=TrafficData[[#This Row],[totalCourt]],TrafficData[[#This Row],[disposedCourt]]&lt;=TrafficData[[#This Row],[totalCourt]])</f>
        <v>1</v>
      </c>
    </row>
    <row r="2265" spans="1:16">
      <c r="A2265" s="1">
        <v>44269</v>
      </c>
      <c r="B2265">
        <v>118738</v>
      </c>
      <c r="C2265">
        <v>60626</v>
      </c>
      <c r="D2265">
        <v>58112</v>
      </c>
      <c r="E2265">
        <v>65758857</v>
      </c>
      <c r="F2265">
        <v>74464068</v>
      </c>
      <c r="G2265">
        <v>140222925</v>
      </c>
      <c r="H2265">
        <v>26046</v>
      </c>
      <c r="I2265">
        <v>9324</v>
      </c>
      <c r="J2265">
        <v>35370</v>
      </c>
      <c r="K2265" t="b">
        <f>TrafficData[[#This Row],[disposedChallan]]+TrafficData[[#This Row],[pendingChallan]]=TrafficData[[#This Row],[totalChallan]]</f>
        <v>1</v>
      </c>
      <c r="L2265" t="b">
        <f>TrafficData[[#This Row],[pendingAmount]]+TrafficData[[#This Row],[disposedAmount]]=TrafficData[[#This Row],[totalAmount]]</f>
        <v>1</v>
      </c>
      <c r="M2265" t="b">
        <f>TrafficData[[#This Row],[pendingCourt]]+TrafficData[[#This Row],[disposedCourt]]=TrafficData[[#This Row],[totalCourt]]</f>
        <v>1</v>
      </c>
      <c r="N2265" t="b">
        <f>AND(TrafficData[[#This Row],[disposedChallan]]&lt;=TrafficData[[#This Row],[totalChallan]],TrafficData[[#This Row],[pendingChallan]]&lt;=TrafficData[[#This Row],[totalChallan]])</f>
        <v>1</v>
      </c>
      <c r="O2265" t="b">
        <f>AND(TrafficData[[#This Row],[pendingAmount]]&lt;=TrafficData[[#This Row],[totalAmount]],TrafficData[[#This Row],[disposedAmount]]&lt;=TrafficData[[#This Row],[totalAmount]])</f>
        <v>1</v>
      </c>
      <c r="P2265" t="b">
        <f>AND(TrafficData[[#This Row],[pendingCourt]]&lt;=TrafficData[[#This Row],[totalCourt]],TrafficData[[#This Row],[disposedCourt]]&lt;=TrafficData[[#This Row],[totalCourt]])</f>
        <v>1</v>
      </c>
    </row>
    <row r="2266" spans="1:16">
      <c r="A2266" s="1">
        <v>44270</v>
      </c>
      <c r="B2266">
        <v>120228</v>
      </c>
      <c r="C2266">
        <v>63273</v>
      </c>
      <c r="D2266">
        <v>56955</v>
      </c>
      <c r="E2266">
        <v>74358762</v>
      </c>
      <c r="F2266">
        <v>87094132</v>
      </c>
      <c r="G2266">
        <v>161452894</v>
      </c>
      <c r="H2266">
        <v>28672</v>
      </c>
      <c r="I2266">
        <v>10258</v>
      </c>
      <c r="J2266">
        <v>38930</v>
      </c>
      <c r="K2266" t="b">
        <f>TrafficData[[#This Row],[disposedChallan]]+TrafficData[[#This Row],[pendingChallan]]=TrafficData[[#This Row],[totalChallan]]</f>
        <v>1</v>
      </c>
      <c r="L2266" t="b">
        <f>TrafficData[[#This Row],[pendingAmount]]+TrafficData[[#This Row],[disposedAmount]]=TrafficData[[#This Row],[totalAmount]]</f>
        <v>1</v>
      </c>
      <c r="M2266" t="b">
        <f>TrafficData[[#This Row],[pendingCourt]]+TrafficData[[#This Row],[disposedCourt]]=TrafficData[[#This Row],[totalCourt]]</f>
        <v>1</v>
      </c>
      <c r="N2266" t="b">
        <f>AND(TrafficData[[#This Row],[disposedChallan]]&lt;=TrafficData[[#This Row],[totalChallan]],TrafficData[[#This Row],[pendingChallan]]&lt;=TrafficData[[#This Row],[totalChallan]])</f>
        <v>1</v>
      </c>
      <c r="O2266" t="b">
        <f>AND(TrafficData[[#This Row],[pendingAmount]]&lt;=TrafficData[[#This Row],[totalAmount]],TrafficData[[#This Row],[disposedAmount]]&lt;=TrafficData[[#This Row],[totalAmount]])</f>
        <v>1</v>
      </c>
      <c r="P2266" t="b">
        <f>AND(TrafficData[[#This Row],[pendingCourt]]&lt;=TrafficData[[#This Row],[totalCourt]],TrafficData[[#This Row],[disposedCourt]]&lt;=TrafficData[[#This Row],[totalCourt]])</f>
        <v>1</v>
      </c>
    </row>
    <row r="2267" spans="1:16">
      <c r="A2267" s="1">
        <v>44271</v>
      </c>
      <c r="B2267">
        <v>132054</v>
      </c>
      <c r="C2267">
        <v>68218</v>
      </c>
      <c r="D2267">
        <v>63836</v>
      </c>
      <c r="E2267">
        <v>86662329</v>
      </c>
      <c r="F2267">
        <v>92456088</v>
      </c>
      <c r="G2267">
        <v>179118417</v>
      </c>
      <c r="H2267">
        <v>25221</v>
      </c>
      <c r="I2267">
        <v>10068</v>
      </c>
      <c r="J2267">
        <v>35289</v>
      </c>
      <c r="K2267" t="b">
        <f>TrafficData[[#This Row],[disposedChallan]]+TrafficData[[#This Row],[pendingChallan]]=TrafficData[[#This Row],[totalChallan]]</f>
        <v>1</v>
      </c>
      <c r="L2267" t="b">
        <f>TrafficData[[#This Row],[pendingAmount]]+TrafficData[[#This Row],[disposedAmount]]=TrafficData[[#This Row],[totalAmount]]</f>
        <v>1</v>
      </c>
      <c r="M2267" t="b">
        <f>TrafficData[[#This Row],[pendingCourt]]+TrafficData[[#This Row],[disposedCourt]]=TrafficData[[#This Row],[totalCourt]]</f>
        <v>1</v>
      </c>
      <c r="N2267" t="b">
        <f>AND(TrafficData[[#This Row],[disposedChallan]]&lt;=TrafficData[[#This Row],[totalChallan]],TrafficData[[#This Row],[pendingChallan]]&lt;=TrafficData[[#This Row],[totalChallan]])</f>
        <v>1</v>
      </c>
      <c r="O2267" t="b">
        <f>AND(TrafficData[[#This Row],[pendingAmount]]&lt;=TrafficData[[#This Row],[totalAmount]],TrafficData[[#This Row],[disposedAmount]]&lt;=TrafficData[[#This Row],[totalAmount]])</f>
        <v>1</v>
      </c>
      <c r="P2267" t="b">
        <f>AND(TrafficData[[#This Row],[pendingCourt]]&lt;=TrafficData[[#This Row],[totalCourt]],TrafficData[[#This Row],[disposedCourt]]&lt;=TrafficData[[#This Row],[totalCourt]])</f>
        <v>1</v>
      </c>
    </row>
    <row r="2268" spans="1:16">
      <c r="A2268" s="1">
        <v>44272</v>
      </c>
      <c r="B2268">
        <v>126550</v>
      </c>
      <c r="C2268">
        <v>67967</v>
      </c>
      <c r="D2268">
        <v>58583</v>
      </c>
      <c r="E2268">
        <v>76425778</v>
      </c>
      <c r="F2268">
        <v>96170250</v>
      </c>
      <c r="G2268">
        <v>172596028</v>
      </c>
      <c r="H2268">
        <v>23845</v>
      </c>
      <c r="I2268">
        <v>9573</v>
      </c>
      <c r="J2268">
        <v>33418</v>
      </c>
      <c r="K2268" t="b">
        <f>TrafficData[[#This Row],[disposedChallan]]+TrafficData[[#This Row],[pendingChallan]]=TrafficData[[#This Row],[totalChallan]]</f>
        <v>1</v>
      </c>
      <c r="L2268" t="b">
        <f>TrafficData[[#This Row],[pendingAmount]]+TrafficData[[#This Row],[disposedAmount]]=TrafficData[[#This Row],[totalAmount]]</f>
        <v>1</v>
      </c>
      <c r="M2268" t="b">
        <f>TrafficData[[#This Row],[pendingCourt]]+TrafficData[[#This Row],[disposedCourt]]=TrafficData[[#This Row],[totalCourt]]</f>
        <v>1</v>
      </c>
      <c r="N2268" t="b">
        <f>AND(TrafficData[[#This Row],[disposedChallan]]&lt;=TrafficData[[#This Row],[totalChallan]],TrafficData[[#This Row],[pendingChallan]]&lt;=TrafficData[[#This Row],[totalChallan]])</f>
        <v>1</v>
      </c>
      <c r="O2268" t="b">
        <f>AND(TrafficData[[#This Row],[pendingAmount]]&lt;=TrafficData[[#This Row],[totalAmount]],TrafficData[[#This Row],[disposedAmount]]&lt;=TrafficData[[#This Row],[totalAmount]])</f>
        <v>1</v>
      </c>
      <c r="P2268" t="b">
        <f>AND(TrafficData[[#This Row],[pendingCourt]]&lt;=TrafficData[[#This Row],[totalCourt]],TrafficData[[#This Row],[disposedCourt]]&lt;=TrafficData[[#This Row],[totalCourt]])</f>
        <v>1</v>
      </c>
    </row>
    <row r="2269" spans="1:16">
      <c r="A2269" s="1">
        <v>44273</v>
      </c>
      <c r="B2269">
        <v>125787</v>
      </c>
      <c r="C2269">
        <v>67800</v>
      </c>
      <c r="D2269">
        <v>57987</v>
      </c>
      <c r="E2269">
        <v>74524173</v>
      </c>
      <c r="F2269">
        <v>97392713</v>
      </c>
      <c r="G2269">
        <v>171916886</v>
      </c>
      <c r="H2269">
        <v>22814</v>
      </c>
      <c r="I2269">
        <v>9481</v>
      </c>
      <c r="J2269">
        <v>32295</v>
      </c>
      <c r="K2269" t="b">
        <f>TrafficData[[#This Row],[disposedChallan]]+TrafficData[[#This Row],[pendingChallan]]=TrafficData[[#This Row],[totalChallan]]</f>
        <v>1</v>
      </c>
      <c r="L2269" t="b">
        <f>TrafficData[[#This Row],[pendingAmount]]+TrafficData[[#This Row],[disposedAmount]]=TrafficData[[#This Row],[totalAmount]]</f>
        <v>1</v>
      </c>
      <c r="M2269" t="b">
        <f>TrafficData[[#This Row],[pendingCourt]]+TrafficData[[#This Row],[disposedCourt]]=TrafficData[[#This Row],[totalCourt]]</f>
        <v>1</v>
      </c>
      <c r="N2269" t="b">
        <f>AND(TrafficData[[#This Row],[disposedChallan]]&lt;=TrafficData[[#This Row],[totalChallan]],TrafficData[[#This Row],[pendingChallan]]&lt;=TrafficData[[#This Row],[totalChallan]])</f>
        <v>1</v>
      </c>
      <c r="O2269" t="b">
        <f>AND(TrafficData[[#This Row],[pendingAmount]]&lt;=TrafficData[[#This Row],[totalAmount]],TrafficData[[#This Row],[disposedAmount]]&lt;=TrafficData[[#This Row],[totalAmount]])</f>
        <v>1</v>
      </c>
      <c r="P2269" t="b">
        <f>AND(TrafficData[[#This Row],[pendingCourt]]&lt;=TrafficData[[#This Row],[totalCourt]],TrafficData[[#This Row],[disposedCourt]]&lt;=TrafficData[[#This Row],[totalCourt]])</f>
        <v>1</v>
      </c>
    </row>
    <row r="2270" spans="1:16">
      <c r="A2270" s="1">
        <v>44274</v>
      </c>
      <c r="B2270">
        <v>118558</v>
      </c>
      <c r="C2270">
        <v>65744</v>
      </c>
      <c r="D2270">
        <v>52814</v>
      </c>
      <c r="E2270">
        <v>56937287</v>
      </c>
      <c r="F2270">
        <v>92544357</v>
      </c>
      <c r="G2270">
        <v>149481644</v>
      </c>
      <c r="H2270">
        <v>21735</v>
      </c>
      <c r="I2270">
        <v>9218</v>
      </c>
      <c r="J2270">
        <v>30953</v>
      </c>
      <c r="K2270" t="b">
        <f>TrafficData[[#This Row],[disposedChallan]]+TrafficData[[#This Row],[pendingChallan]]=TrafficData[[#This Row],[totalChallan]]</f>
        <v>1</v>
      </c>
      <c r="L2270" t="b">
        <f>TrafficData[[#This Row],[pendingAmount]]+TrafficData[[#This Row],[disposedAmount]]=TrafficData[[#This Row],[totalAmount]]</f>
        <v>1</v>
      </c>
      <c r="M2270" t="b">
        <f>TrafficData[[#This Row],[pendingCourt]]+TrafficData[[#This Row],[disposedCourt]]=TrafficData[[#This Row],[totalCourt]]</f>
        <v>1</v>
      </c>
      <c r="N2270" t="b">
        <f>AND(TrafficData[[#This Row],[disposedChallan]]&lt;=TrafficData[[#This Row],[totalChallan]],TrafficData[[#This Row],[pendingChallan]]&lt;=TrafficData[[#This Row],[totalChallan]])</f>
        <v>1</v>
      </c>
      <c r="O2270" t="b">
        <f>AND(TrafficData[[#This Row],[pendingAmount]]&lt;=TrafficData[[#This Row],[totalAmount]],TrafficData[[#This Row],[disposedAmount]]&lt;=TrafficData[[#This Row],[totalAmount]])</f>
        <v>1</v>
      </c>
      <c r="P2270" t="b">
        <f>AND(TrafficData[[#This Row],[pendingCourt]]&lt;=TrafficData[[#This Row],[totalCourt]],TrafficData[[#This Row],[disposedCourt]]&lt;=TrafficData[[#This Row],[totalCourt]])</f>
        <v>1</v>
      </c>
    </row>
    <row r="2271" spans="1:16">
      <c r="A2271" s="1">
        <v>44275</v>
      </c>
      <c r="B2271">
        <v>117246</v>
      </c>
      <c r="C2271">
        <v>66689</v>
      </c>
      <c r="D2271">
        <v>50557</v>
      </c>
      <c r="E2271">
        <v>57695071</v>
      </c>
      <c r="F2271">
        <v>86375062</v>
      </c>
      <c r="G2271">
        <v>144070133</v>
      </c>
      <c r="H2271">
        <v>18608</v>
      </c>
      <c r="I2271">
        <v>8536</v>
      </c>
      <c r="J2271">
        <v>27144</v>
      </c>
      <c r="K2271" t="b">
        <f>TrafficData[[#This Row],[disposedChallan]]+TrafficData[[#This Row],[pendingChallan]]=TrafficData[[#This Row],[totalChallan]]</f>
        <v>1</v>
      </c>
      <c r="L2271" t="b">
        <f>TrafficData[[#This Row],[pendingAmount]]+TrafficData[[#This Row],[disposedAmount]]=TrafficData[[#This Row],[totalAmount]]</f>
        <v>1</v>
      </c>
      <c r="M2271" t="b">
        <f>TrafficData[[#This Row],[pendingCourt]]+TrafficData[[#This Row],[disposedCourt]]=TrafficData[[#This Row],[totalCourt]]</f>
        <v>1</v>
      </c>
      <c r="N2271" t="b">
        <f>AND(TrafficData[[#This Row],[disposedChallan]]&lt;=TrafficData[[#This Row],[totalChallan]],TrafficData[[#This Row],[pendingChallan]]&lt;=TrafficData[[#This Row],[totalChallan]])</f>
        <v>1</v>
      </c>
      <c r="O2271" t="b">
        <f>AND(TrafficData[[#This Row],[pendingAmount]]&lt;=TrafficData[[#This Row],[totalAmount]],TrafficData[[#This Row],[disposedAmount]]&lt;=TrafficData[[#This Row],[totalAmount]])</f>
        <v>1</v>
      </c>
      <c r="P2271" t="b">
        <f>AND(TrafficData[[#This Row],[pendingCourt]]&lt;=TrafficData[[#This Row],[totalCourt]],TrafficData[[#This Row],[disposedCourt]]&lt;=TrafficData[[#This Row],[totalCourt]])</f>
        <v>1</v>
      </c>
    </row>
    <row r="2272" spans="1:16">
      <c r="A2272" s="1">
        <v>44276</v>
      </c>
      <c r="B2272">
        <v>115092</v>
      </c>
      <c r="C2272">
        <v>57905</v>
      </c>
      <c r="D2272">
        <v>57187</v>
      </c>
      <c r="E2272">
        <v>52425510</v>
      </c>
      <c r="F2272">
        <v>67318246</v>
      </c>
      <c r="G2272">
        <v>119743756</v>
      </c>
      <c r="H2272">
        <v>15574</v>
      </c>
      <c r="I2272">
        <v>7565</v>
      </c>
      <c r="J2272">
        <v>23139</v>
      </c>
      <c r="K2272" t="b">
        <f>TrafficData[[#This Row],[disposedChallan]]+TrafficData[[#This Row],[pendingChallan]]=TrafficData[[#This Row],[totalChallan]]</f>
        <v>1</v>
      </c>
      <c r="L2272" t="b">
        <f>TrafficData[[#This Row],[pendingAmount]]+TrafficData[[#This Row],[disposedAmount]]=TrafficData[[#This Row],[totalAmount]]</f>
        <v>1</v>
      </c>
      <c r="M2272" t="b">
        <f>TrafficData[[#This Row],[pendingCourt]]+TrafficData[[#This Row],[disposedCourt]]=TrafficData[[#This Row],[totalCourt]]</f>
        <v>1</v>
      </c>
      <c r="N2272" t="b">
        <f>AND(TrafficData[[#This Row],[disposedChallan]]&lt;=TrafficData[[#This Row],[totalChallan]],TrafficData[[#This Row],[pendingChallan]]&lt;=TrafficData[[#This Row],[totalChallan]])</f>
        <v>1</v>
      </c>
      <c r="O2272" t="b">
        <f>AND(TrafficData[[#This Row],[pendingAmount]]&lt;=TrafficData[[#This Row],[totalAmount]],TrafficData[[#This Row],[disposedAmount]]&lt;=TrafficData[[#This Row],[totalAmount]])</f>
        <v>1</v>
      </c>
      <c r="P2272" t="b">
        <f>AND(TrafficData[[#This Row],[pendingCourt]]&lt;=TrafficData[[#This Row],[totalCourt]],TrafficData[[#This Row],[disposedCourt]]&lt;=TrafficData[[#This Row],[totalCourt]])</f>
        <v>1</v>
      </c>
    </row>
    <row r="2273" spans="1:16">
      <c r="A2273" s="1">
        <v>44277</v>
      </c>
      <c r="B2273">
        <v>138077</v>
      </c>
      <c r="C2273">
        <v>69218</v>
      </c>
      <c r="D2273">
        <v>68859</v>
      </c>
      <c r="E2273">
        <v>75420913</v>
      </c>
      <c r="F2273">
        <v>79973579</v>
      </c>
      <c r="G2273">
        <v>155394492</v>
      </c>
      <c r="H2273">
        <v>21484</v>
      </c>
      <c r="I2273">
        <v>9939</v>
      </c>
      <c r="J2273">
        <v>31423</v>
      </c>
      <c r="K2273" t="b">
        <f>TrafficData[[#This Row],[disposedChallan]]+TrafficData[[#This Row],[pendingChallan]]=TrafficData[[#This Row],[totalChallan]]</f>
        <v>1</v>
      </c>
      <c r="L2273" t="b">
        <f>TrafficData[[#This Row],[pendingAmount]]+TrafficData[[#This Row],[disposedAmount]]=TrafficData[[#This Row],[totalAmount]]</f>
        <v>1</v>
      </c>
      <c r="M2273" t="b">
        <f>TrafficData[[#This Row],[pendingCourt]]+TrafficData[[#This Row],[disposedCourt]]=TrafficData[[#This Row],[totalCourt]]</f>
        <v>1</v>
      </c>
      <c r="N2273" t="b">
        <f>AND(TrafficData[[#This Row],[disposedChallan]]&lt;=TrafficData[[#This Row],[totalChallan]],TrafficData[[#This Row],[pendingChallan]]&lt;=TrafficData[[#This Row],[totalChallan]])</f>
        <v>1</v>
      </c>
      <c r="O2273" t="b">
        <f>AND(TrafficData[[#This Row],[pendingAmount]]&lt;=TrafficData[[#This Row],[totalAmount]],TrafficData[[#This Row],[disposedAmount]]&lt;=TrafficData[[#This Row],[totalAmount]])</f>
        <v>1</v>
      </c>
      <c r="P2273" t="b">
        <f>AND(TrafficData[[#This Row],[pendingCourt]]&lt;=TrafficData[[#This Row],[totalCourt]],TrafficData[[#This Row],[disposedCourt]]&lt;=TrafficData[[#This Row],[totalCourt]])</f>
        <v>1</v>
      </c>
    </row>
    <row r="2274" spans="1:16">
      <c r="A2274" s="1">
        <v>44278</v>
      </c>
      <c r="B2274">
        <v>124629</v>
      </c>
      <c r="C2274">
        <v>64057</v>
      </c>
      <c r="D2274">
        <v>60572</v>
      </c>
      <c r="E2274">
        <v>69449648</v>
      </c>
      <c r="F2274">
        <v>84498641</v>
      </c>
      <c r="G2274">
        <v>153948289</v>
      </c>
      <c r="H2274">
        <v>26306</v>
      </c>
      <c r="I2274">
        <v>10207</v>
      </c>
      <c r="J2274">
        <v>36513</v>
      </c>
      <c r="K2274" t="b">
        <f>TrafficData[[#This Row],[disposedChallan]]+TrafficData[[#This Row],[pendingChallan]]=TrafficData[[#This Row],[totalChallan]]</f>
        <v>1</v>
      </c>
      <c r="L2274" t="b">
        <f>TrafficData[[#This Row],[pendingAmount]]+TrafficData[[#This Row],[disposedAmount]]=TrafficData[[#This Row],[totalAmount]]</f>
        <v>1</v>
      </c>
      <c r="M2274" t="b">
        <f>TrafficData[[#This Row],[pendingCourt]]+TrafficData[[#This Row],[disposedCourt]]=TrafficData[[#This Row],[totalCourt]]</f>
        <v>1</v>
      </c>
      <c r="N2274" t="b">
        <f>AND(TrafficData[[#This Row],[disposedChallan]]&lt;=TrafficData[[#This Row],[totalChallan]],TrafficData[[#This Row],[pendingChallan]]&lt;=TrafficData[[#This Row],[totalChallan]])</f>
        <v>1</v>
      </c>
      <c r="O2274" t="b">
        <f>AND(TrafficData[[#This Row],[pendingAmount]]&lt;=TrafficData[[#This Row],[totalAmount]],TrafficData[[#This Row],[disposedAmount]]&lt;=TrafficData[[#This Row],[totalAmount]])</f>
        <v>1</v>
      </c>
      <c r="P2274" t="b">
        <f>AND(TrafficData[[#This Row],[pendingCourt]]&lt;=TrafficData[[#This Row],[totalCourt]],TrafficData[[#This Row],[disposedCourt]]&lt;=TrafficData[[#This Row],[totalCourt]])</f>
        <v>1</v>
      </c>
    </row>
    <row r="2275" spans="1:16">
      <c r="A2275" s="1">
        <v>44279</v>
      </c>
      <c r="B2275">
        <v>134742</v>
      </c>
      <c r="C2275">
        <v>69516</v>
      </c>
      <c r="D2275">
        <v>65226</v>
      </c>
      <c r="E2275">
        <v>69942513</v>
      </c>
      <c r="F2275">
        <v>86999645</v>
      </c>
      <c r="G2275">
        <v>156942158</v>
      </c>
      <c r="H2275">
        <v>28203</v>
      </c>
      <c r="I2275">
        <v>10902</v>
      </c>
      <c r="J2275">
        <v>39105</v>
      </c>
      <c r="K2275" t="b">
        <f>TrafficData[[#This Row],[disposedChallan]]+TrafficData[[#This Row],[pendingChallan]]=TrafficData[[#This Row],[totalChallan]]</f>
        <v>1</v>
      </c>
      <c r="L2275" t="b">
        <f>TrafficData[[#This Row],[pendingAmount]]+TrafficData[[#This Row],[disposedAmount]]=TrafficData[[#This Row],[totalAmount]]</f>
        <v>1</v>
      </c>
      <c r="M2275" t="b">
        <f>TrafficData[[#This Row],[pendingCourt]]+TrafficData[[#This Row],[disposedCourt]]=TrafficData[[#This Row],[totalCourt]]</f>
        <v>1</v>
      </c>
      <c r="N2275" t="b">
        <f>AND(TrafficData[[#This Row],[disposedChallan]]&lt;=TrafficData[[#This Row],[totalChallan]],TrafficData[[#This Row],[pendingChallan]]&lt;=TrafficData[[#This Row],[totalChallan]])</f>
        <v>1</v>
      </c>
      <c r="O2275" t="b">
        <f>AND(TrafficData[[#This Row],[pendingAmount]]&lt;=TrafficData[[#This Row],[totalAmount]],TrafficData[[#This Row],[disposedAmount]]&lt;=TrafficData[[#This Row],[totalAmount]])</f>
        <v>1</v>
      </c>
      <c r="P2275" t="b">
        <f>AND(TrafficData[[#This Row],[pendingCourt]]&lt;=TrafficData[[#This Row],[totalCourt]],TrafficData[[#This Row],[disposedCourt]]&lt;=TrafficData[[#This Row],[totalCourt]])</f>
        <v>1</v>
      </c>
    </row>
    <row r="2276" spans="1:16">
      <c r="A2276" s="1">
        <v>44280</v>
      </c>
      <c r="B2276">
        <v>130642</v>
      </c>
      <c r="C2276">
        <v>68291</v>
      </c>
      <c r="D2276">
        <v>62351</v>
      </c>
      <c r="E2276">
        <v>74472206</v>
      </c>
      <c r="F2276">
        <v>86245975</v>
      </c>
      <c r="G2276">
        <v>160718181</v>
      </c>
      <c r="H2276">
        <v>25333</v>
      </c>
      <c r="I2276">
        <v>11089</v>
      </c>
      <c r="J2276">
        <v>36422</v>
      </c>
      <c r="K2276" t="b">
        <f>TrafficData[[#This Row],[disposedChallan]]+TrafficData[[#This Row],[pendingChallan]]=TrafficData[[#This Row],[totalChallan]]</f>
        <v>1</v>
      </c>
      <c r="L2276" t="b">
        <f>TrafficData[[#This Row],[pendingAmount]]+TrafficData[[#This Row],[disposedAmount]]=TrafficData[[#This Row],[totalAmount]]</f>
        <v>1</v>
      </c>
      <c r="M2276" t="b">
        <f>TrafficData[[#This Row],[pendingCourt]]+TrafficData[[#This Row],[disposedCourt]]=TrafficData[[#This Row],[totalCourt]]</f>
        <v>1</v>
      </c>
      <c r="N2276" t="b">
        <f>AND(TrafficData[[#This Row],[disposedChallan]]&lt;=TrafficData[[#This Row],[totalChallan]],TrafficData[[#This Row],[pendingChallan]]&lt;=TrafficData[[#This Row],[totalChallan]])</f>
        <v>1</v>
      </c>
      <c r="O2276" t="b">
        <f>AND(TrafficData[[#This Row],[pendingAmount]]&lt;=TrafficData[[#This Row],[totalAmount]],TrafficData[[#This Row],[disposedAmount]]&lt;=TrafficData[[#This Row],[totalAmount]])</f>
        <v>1</v>
      </c>
      <c r="P2276" t="b">
        <f>AND(TrafficData[[#This Row],[pendingCourt]]&lt;=TrafficData[[#This Row],[totalCourt]],TrafficData[[#This Row],[disposedCourt]]&lt;=TrafficData[[#This Row],[totalCourt]])</f>
        <v>1</v>
      </c>
    </row>
    <row r="2277" spans="1:16">
      <c r="A2277" s="1">
        <v>44281</v>
      </c>
      <c r="B2277">
        <v>131191</v>
      </c>
      <c r="C2277">
        <v>64247</v>
      </c>
      <c r="D2277">
        <v>66944</v>
      </c>
      <c r="E2277">
        <v>76937096</v>
      </c>
      <c r="F2277">
        <v>74026897</v>
      </c>
      <c r="G2277">
        <v>150963993</v>
      </c>
      <c r="H2277">
        <v>28444</v>
      </c>
      <c r="I2277">
        <v>11000</v>
      </c>
      <c r="J2277">
        <v>39444</v>
      </c>
      <c r="K2277" t="b">
        <f>TrafficData[[#This Row],[disposedChallan]]+TrafficData[[#This Row],[pendingChallan]]=TrafficData[[#This Row],[totalChallan]]</f>
        <v>1</v>
      </c>
      <c r="L2277" t="b">
        <f>TrafficData[[#This Row],[pendingAmount]]+TrafficData[[#This Row],[disposedAmount]]=TrafficData[[#This Row],[totalAmount]]</f>
        <v>1</v>
      </c>
      <c r="M2277" t="b">
        <f>TrafficData[[#This Row],[pendingCourt]]+TrafficData[[#This Row],[disposedCourt]]=TrafficData[[#This Row],[totalCourt]]</f>
        <v>1</v>
      </c>
      <c r="N2277" t="b">
        <f>AND(TrafficData[[#This Row],[disposedChallan]]&lt;=TrafficData[[#This Row],[totalChallan]],TrafficData[[#This Row],[pendingChallan]]&lt;=TrafficData[[#This Row],[totalChallan]])</f>
        <v>1</v>
      </c>
      <c r="O2277" t="b">
        <f>AND(TrafficData[[#This Row],[pendingAmount]]&lt;=TrafficData[[#This Row],[totalAmount]],TrafficData[[#This Row],[disposedAmount]]&lt;=TrafficData[[#This Row],[totalAmount]])</f>
        <v>1</v>
      </c>
      <c r="P2277" t="b">
        <f>AND(TrafficData[[#This Row],[pendingCourt]]&lt;=TrafficData[[#This Row],[totalCourt]],TrafficData[[#This Row],[disposedCourt]]&lt;=TrafficData[[#This Row],[totalCourt]])</f>
        <v>1</v>
      </c>
    </row>
    <row r="2278" spans="1:16">
      <c r="A2278" s="1">
        <v>44282</v>
      </c>
      <c r="B2278">
        <v>134235</v>
      </c>
      <c r="C2278">
        <v>67133</v>
      </c>
      <c r="D2278">
        <v>67102</v>
      </c>
      <c r="E2278">
        <v>72886501</v>
      </c>
      <c r="F2278">
        <v>71339943</v>
      </c>
      <c r="G2278">
        <v>144226444</v>
      </c>
      <c r="H2278">
        <v>29716</v>
      </c>
      <c r="I2278">
        <v>9123</v>
      </c>
      <c r="J2278">
        <v>38839</v>
      </c>
      <c r="K2278" t="b">
        <f>TrafficData[[#This Row],[disposedChallan]]+TrafficData[[#This Row],[pendingChallan]]=TrafficData[[#This Row],[totalChallan]]</f>
        <v>1</v>
      </c>
      <c r="L2278" t="b">
        <f>TrafficData[[#This Row],[pendingAmount]]+TrafficData[[#This Row],[disposedAmount]]=TrafficData[[#This Row],[totalAmount]]</f>
        <v>1</v>
      </c>
      <c r="M2278" t="b">
        <f>TrafficData[[#This Row],[pendingCourt]]+TrafficData[[#This Row],[disposedCourt]]=TrafficData[[#This Row],[totalCourt]]</f>
        <v>1</v>
      </c>
      <c r="N2278" t="b">
        <f>AND(TrafficData[[#This Row],[disposedChallan]]&lt;=TrafficData[[#This Row],[totalChallan]],TrafficData[[#This Row],[pendingChallan]]&lt;=TrafficData[[#This Row],[totalChallan]])</f>
        <v>1</v>
      </c>
      <c r="O2278" t="b">
        <f>AND(TrafficData[[#This Row],[pendingAmount]]&lt;=TrafficData[[#This Row],[totalAmount]],TrafficData[[#This Row],[disposedAmount]]&lt;=TrafficData[[#This Row],[totalAmount]])</f>
        <v>1</v>
      </c>
      <c r="P2278" t="b">
        <f>AND(TrafficData[[#This Row],[pendingCourt]]&lt;=TrafficData[[#This Row],[totalCourt]],TrafficData[[#This Row],[disposedCourt]]&lt;=TrafficData[[#This Row],[totalCourt]])</f>
        <v>1</v>
      </c>
    </row>
    <row r="2279" spans="1:16">
      <c r="A2279" s="1">
        <v>44283</v>
      </c>
      <c r="B2279">
        <v>102682</v>
      </c>
      <c r="C2279">
        <v>44617</v>
      </c>
      <c r="D2279">
        <v>58065</v>
      </c>
      <c r="E2279">
        <v>63875990</v>
      </c>
      <c r="F2279">
        <v>39821444</v>
      </c>
      <c r="G2279">
        <v>103697434</v>
      </c>
      <c r="H2279">
        <v>20305</v>
      </c>
      <c r="I2279">
        <v>7301</v>
      </c>
      <c r="J2279">
        <v>27606</v>
      </c>
      <c r="K2279" t="b">
        <f>TrafficData[[#This Row],[disposedChallan]]+TrafficData[[#This Row],[pendingChallan]]=TrafficData[[#This Row],[totalChallan]]</f>
        <v>1</v>
      </c>
      <c r="L2279" t="b">
        <f>TrafficData[[#This Row],[pendingAmount]]+TrafficData[[#This Row],[disposedAmount]]=TrafficData[[#This Row],[totalAmount]]</f>
        <v>1</v>
      </c>
      <c r="M2279" t="b">
        <f>TrafficData[[#This Row],[pendingCourt]]+TrafficData[[#This Row],[disposedCourt]]=TrafficData[[#This Row],[totalCourt]]</f>
        <v>1</v>
      </c>
      <c r="N2279" t="b">
        <f>AND(TrafficData[[#This Row],[disposedChallan]]&lt;=TrafficData[[#This Row],[totalChallan]],TrafficData[[#This Row],[pendingChallan]]&lt;=TrafficData[[#This Row],[totalChallan]])</f>
        <v>1</v>
      </c>
      <c r="O2279" t="b">
        <f>AND(TrafficData[[#This Row],[pendingAmount]]&lt;=TrafficData[[#This Row],[totalAmount]],TrafficData[[#This Row],[disposedAmount]]&lt;=TrafficData[[#This Row],[totalAmount]])</f>
        <v>1</v>
      </c>
      <c r="P2279" t="b">
        <f>AND(TrafficData[[#This Row],[pendingCourt]]&lt;=TrafficData[[#This Row],[totalCourt]],TrafficData[[#This Row],[disposedCourt]]&lt;=TrafficData[[#This Row],[totalCourt]])</f>
        <v>1</v>
      </c>
    </row>
    <row r="2280" spans="1:16">
      <c r="A2280" s="1">
        <v>44284</v>
      </c>
      <c r="B2280">
        <v>93696</v>
      </c>
      <c r="C2280">
        <v>38794</v>
      </c>
      <c r="D2280">
        <v>54902</v>
      </c>
      <c r="E2280">
        <v>52147905</v>
      </c>
      <c r="F2280">
        <v>27351025</v>
      </c>
      <c r="G2280">
        <v>79498930</v>
      </c>
      <c r="H2280">
        <v>18299</v>
      </c>
      <c r="I2280">
        <v>5366</v>
      </c>
      <c r="J2280">
        <v>23665</v>
      </c>
      <c r="K2280" t="b">
        <f>TrafficData[[#This Row],[disposedChallan]]+TrafficData[[#This Row],[pendingChallan]]=TrafficData[[#This Row],[totalChallan]]</f>
        <v>1</v>
      </c>
      <c r="L2280" t="b">
        <f>TrafficData[[#This Row],[pendingAmount]]+TrafficData[[#This Row],[disposedAmount]]=TrafficData[[#This Row],[totalAmount]]</f>
        <v>1</v>
      </c>
      <c r="M2280" t="b">
        <f>TrafficData[[#This Row],[pendingCourt]]+TrafficData[[#This Row],[disposedCourt]]=TrafficData[[#This Row],[totalCourt]]</f>
        <v>1</v>
      </c>
      <c r="N2280" t="b">
        <f>AND(TrafficData[[#This Row],[disposedChallan]]&lt;=TrafficData[[#This Row],[totalChallan]],TrafficData[[#This Row],[pendingChallan]]&lt;=TrafficData[[#This Row],[totalChallan]])</f>
        <v>1</v>
      </c>
      <c r="O2280" t="b">
        <f>AND(TrafficData[[#This Row],[pendingAmount]]&lt;=TrafficData[[#This Row],[totalAmount]],TrafficData[[#This Row],[disposedAmount]]&lt;=TrafficData[[#This Row],[totalAmount]])</f>
        <v>1</v>
      </c>
      <c r="P2280" t="b">
        <f>AND(TrafficData[[#This Row],[pendingCourt]]&lt;=TrafficData[[#This Row],[totalCourt]],TrafficData[[#This Row],[disposedCourt]]&lt;=TrafficData[[#This Row],[totalCourt]])</f>
        <v>1</v>
      </c>
    </row>
    <row r="2281" spans="1:16">
      <c r="A2281" s="1">
        <v>44285</v>
      </c>
      <c r="B2281">
        <v>86904</v>
      </c>
      <c r="C2281">
        <v>46083</v>
      </c>
      <c r="D2281">
        <v>40821</v>
      </c>
      <c r="E2281">
        <v>33673119</v>
      </c>
      <c r="F2281">
        <v>38117130</v>
      </c>
      <c r="G2281">
        <v>71790249</v>
      </c>
      <c r="H2281">
        <v>13633</v>
      </c>
      <c r="I2281">
        <v>5819</v>
      </c>
      <c r="J2281">
        <v>19452</v>
      </c>
      <c r="K2281" t="b">
        <f>TrafficData[[#This Row],[disposedChallan]]+TrafficData[[#This Row],[pendingChallan]]=TrafficData[[#This Row],[totalChallan]]</f>
        <v>1</v>
      </c>
      <c r="L2281" t="b">
        <f>TrafficData[[#This Row],[pendingAmount]]+TrafficData[[#This Row],[disposedAmount]]=TrafficData[[#This Row],[totalAmount]]</f>
        <v>1</v>
      </c>
      <c r="M2281" t="b">
        <f>TrafficData[[#This Row],[pendingCourt]]+TrafficData[[#This Row],[disposedCourt]]=TrafficData[[#This Row],[totalCourt]]</f>
        <v>1</v>
      </c>
      <c r="N2281" t="b">
        <f>AND(TrafficData[[#This Row],[disposedChallan]]&lt;=TrafficData[[#This Row],[totalChallan]],TrafficData[[#This Row],[pendingChallan]]&lt;=TrafficData[[#This Row],[totalChallan]])</f>
        <v>1</v>
      </c>
      <c r="O2281" t="b">
        <f>AND(TrafficData[[#This Row],[pendingAmount]]&lt;=TrafficData[[#This Row],[totalAmount]],TrafficData[[#This Row],[disposedAmount]]&lt;=TrafficData[[#This Row],[totalAmount]])</f>
        <v>1</v>
      </c>
      <c r="P2281" t="b">
        <f>AND(TrafficData[[#This Row],[pendingCourt]]&lt;=TrafficData[[#This Row],[totalCourt]],TrafficData[[#This Row],[disposedCourt]]&lt;=TrafficData[[#This Row],[totalCourt]])</f>
        <v>1</v>
      </c>
    </row>
    <row r="2282" spans="1:16">
      <c r="A2282" s="1">
        <v>44286</v>
      </c>
      <c r="B2282">
        <v>97380</v>
      </c>
      <c r="C2282">
        <v>52702</v>
      </c>
      <c r="D2282">
        <v>44678</v>
      </c>
      <c r="E2282">
        <v>49602941</v>
      </c>
      <c r="F2282">
        <v>51190518</v>
      </c>
      <c r="G2282">
        <v>100793459</v>
      </c>
      <c r="H2282">
        <v>21511</v>
      </c>
      <c r="I2282">
        <v>9501</v>
      </c>
      <c r="J2282">
        <v>31012</v>
      </c>
      <c r="K2282" t="b">
        <f>TrafficData[[#This Row],[disposedChallan]]+TrafficData[[#This Row],[pendingChallan]]=TrafficData[[#This Row],[totalChallan]]</f>
        <v>1</v>
      </c>
      <c r="L2282" t="b">
        <f>TrafficData[[#This Row],[pendingAmount]]+TrafficData[[#This Row],[disposedAmount]]=TrafficData[[#This Row],[totalAmount]]</f>
        <v>1</v>
      </c>
      <c r="M2282" t="b">
        <f>TrafficData[[#This Row],[pendingCourt]]+TrafficData[[#This Row],[disposedCourt]]=TrafficData[[#This Row],[totalCourt]]</f>
        <v>1</v>
      </c>
      <c r="N2282" t="b">
        <f>AND(TrafficData[[#This Row],[disposedChallan]]&lt;=TrafficData[[#This Row],[totalChallan]],TrafficData[[#This Row],[pendingChallan]]&lt;=TrafficData[[#This Row],[totalChallan]])</f>
        <v>1</v>
      </c>
      <c r="O2282" t="b">
        <f>AND(TrafficData[[#This Row],[pendingAmount]]&lt;=TrafficData[[#This Row],[totalAmount]],TrafficData[[#This Row],[disposedAmount]]&lt;=TrafficData[[#This Row],[totalAmount]])</f>
        <v>1</v>
      </c>
      <c r="P2282" t="b">
        <f>AND(TrafficData[[#This Row],[pendingCourt]]&lt;=TrafficData[[#This Row],[totalCourt]],TrafficData[[#This Row],[disposedCourt]]&lt;=TrafficData[[#This Row],[totalCourt]])</f>
        <v>1</v>
      </c>
    </row>
    <row r="2283" spans="1:16">
      <c r="A2283" s="1">
        <v>44287</v>
      </c>
      <c r="B2283">
        <v>108334</v>
      </c>
      <c r="C2283">
        <v>56768</v>
      </c>
      <c r="D2283">
        <v>51566</v>
      </c>
      <c r="E2283">
        <v>73483542</v>
      </c>
      <c r="F2283">
        <v>65238819</v>
      </c>
      <c r="G2283">
        <v>138722361</v>
      </c>
      <c r="H2283">
        <v>26417</v>
      </c>
      <c r="I2283">
        <v>11424</v>
      </c>
      <c r="J2283">
        <v>37841</v>
      </c>
      <c r="K2283" t="b">
        <f>TrafficData[[#This Row],[disposedChallan]]+TrafficData[[#This Row],[pendingChallan]]=TrafficData[[#This Row],[totalChallan]]</f>
        <v>1</v>
      </c>
      <c r="L2283" t="b">
        <f>TrafficData[[#This Row],[pendingAmount]]+TrafficData[[#This Row],[disposedAmount]]=TrafficData[[#This Row],[totalAmount]]</f>
        <v>1</v>
      </c>
      <c r="M2283" t="b">
        <f>TrafficData[[#This Row],[pendingCourt]]+TrafficData[[#This Row],[disposedCourt]]=TrafficData[[#This Row],[totalCourt]]</f>
        <v>1</v>
      </c>
      <c r="N2283" t="b">
        <f>AND(TrafficData[[#This Row],[disposedChallan]]&lt;=TrafficData[[#This Row],[totalChallan]],TrafficData[[#This Row],[pendingChallan]]&lt;=TrafficData[[#This Row],[totalChallan]])</f>
        <v>1</v>
      </c>
      <c r="O2283" t="b">
        <f>AND(TrafficData[[#This Row],[pendingAmount]]&lt;=TrafficData[[#This Row],[totalAmount]],TrafficData[[#This Row],[disposedAmount]]&lt;=TrafficData[[#This Row],[totalAmount]])</f>
        <v>1</v>
      </c>
      <c r="P2283" t="b">
        <f>AND(TrafficData[[#This Row],[pendingCourt]]&lt;=TrafficData[[#This Row],[totalCourt]],TrafficData[[#This Row],[disposedCourt]]&lt;=TrafficData[[#This Row],[totalCourt]])</f>
        <v>1</v>
      </c>
    </row>
    <row r="2284" spans="1:16">
      <c r="A2284" s="1">
        <v>44288</v>
      </c>
      <c r="B2284">
        <v>114683</v>
      </c>
      <c r="C2284">
        <v>56648</v>
      </c>
      <c r="D2284">
        <v>58035</v>
      </c>
      <c r="E2284">
        <v>83062698</v>
      </c>
      <c r="F2284">
        <v>70070141</v>
      </c>
      <c r="G2284">
        <v>153132839</v>
      </c>
      <c r="H2284">
        <v>24469</v>
      </c>
      <c r="I2284">
        <v>11086</v>
      </c>
      <c r="J2284">
        <v>35555</v>
      </c>
      <c r="K2284" t="b">
        <f>TrafficData[[#This Row],[disposedChallan]]+TrafficData[[#This Row],[pendingChallan]]=TrafficData[[#This Row],[totalChallan]]</f>
        <v>1</v>
      </c>
      <c r="L2284" t="b">
        <f>TrafficData[[#This Row],[pendingAmount]]+TrafficData[[#This Row],[disposedAmount]]=TrafficData[[#This Row],[totalAmount]]</f>
        <v>1</v>
      </c>
      <c r="M2284" t="b">
        <f>TrafficData[[#This Row],[pendingCourt]]+TrafficData[[#This Row],[disposedCourt]]=TrafficData[[#This Row],[totalCourt]]</f>
        <v>1</v>
      </c>
      <c r="N2284" t="b">
        <f>AND(TrafficData[[#This Row],[disposedChallan]]&lt;=TrafficData[[#This Row],[totalChallan]],TrafficData[[#This Row],[pendingChallan]]&lt;=TrafficData[[#This Row],[totalChallan]])</f>
        <v>1</v>
      </c>
      <c r="O2284" t="b">
        <f>AND(TrafficData[[#This Row],[pendingAmount]]&lt;=TrafficData[[#This Row],[totalAmount]],TrafficData[[#This Row],[disposedAmount]]&lt;=TrafficData[[#This Row],[totalAmount]])</f>
        <v>1</v>
      </c>
      <c r="P2284" t="b">
        <f>AND(TrafficData[[#This Row],[pendingCourt]]&lt;=TrafficData[[#This Row],[totalCourt]],TrafficData[[#This Row],[disposedCourt]]&lt;=TrafficData[[#This Row],[totalCourt]])</f>
        <v>1</v>
      </c>
    </row>
    <row r="2285" spans="1:16">
      <c r="A2285" s="1">
        <v>44289</v>
      </c>
      <c r="B2285">
        <v>108608</v>
      </c>
      <c r="C2285">
        <v>54606</v>
      </c>
      <c r="D2285">
        <v>54002</v>
      </c>
      <c r="E2285">
        <v>70721460</v>
      </c>
      <c r="F2285">
        <v>72607482</v>
      </c>
      <c r="G2285">
        <v>143328942</v>
      </c>
      <c r="H2285">
        <v>28307</v>
      </c>
      <c r="I2285">
        <v>11543</v>
      </c>
      <c r="J2285">
        <v>39850</v>
      </c>
      <c r="K2285" t="b">
        <f>TrafficData[[#This Row],[disposedChallan]]+TrafficData[[#This Row],[pendingChallan]]=TrafficData[[#This Row],[totalChallan]]</f>
        <v>1</v>
      </c>
      <c r="L2285" t="b">
        <f>TrafficData[[#This Row],[pendingAmount]]+TrafficData[[#This Row],[disposedAmount]]=TrafficData[[#This Row],[totalAmount]]</f>
        <v>1</v>
      </c>
      <c r="M2285" t="b">
        <f>TrafficData[[#This Row],[pendingCourt]]+TrafficData[[#This Row],[disposedCourt]]=TrafficData[[#This Row],[totalCourt]]</f>
        <v>1</v>
      </c>
      <c r="N2285" t="b">
        <f>AND(TrafficData[[#This Row],[disposedChallan]]&lt;=TrafficData[[#This Row],[totalChallan]],TrafficData[[#This Row],[pendingChallan]]&lt;=TrafficData[[#This Row],[totalChallan]])</f>
        <v>1</v>
      </c>
      <c r="O2285" t="b">
        <f>AND(TrafficData[[#This Row],[pendingAmount]]&lt;=TrafficData[[#This Row],[totalAmount]],TrafficData[[#This Row],[disposedAmount]]&lt;=TrafficData[[#This Row],[totalAmount]])</f>
        <v>1</v>
      </c>
      <c r="P2285" t="b">
        <f>AND(TrafficData[[#This Row],[pendingCourt]]&lt;=TrafficData[[#This Row],[totalCourt]],TrafficData[[#This Row],[disposedCourt]]&lt;=TrafficData[[#This Row],[totalCourt]])</f>
        <v>1</v>
      </c>
    </row>
    <row r="2286" spans="1:16">
      <c r="A2286" s="1">
        <v>44290</v>
      </c>
      <c r="B2286">
        <v>88254</v>
      </c>
      <c r="C2286">
        <v>41498</v>
      </c>
      <c r="D2286">
        <v>46756</v>
      </c>
      <c r="E2286">
        <v>71229546</v>
      </c>
      <c r="F2286">
        <v>58458649</v>
      </c>
      <c r="G2286">
        <v>129688195</v>
      </c>
      <c r="H2286">
        <v>27226</v>
      </c>
      <c r="I2286">
        <v>10929</v>
      </c>
      <c r="J2286">
        <v>38155</v>
      </c>
      <c r="K2286" t="b">
        <f>TrafficData[[#This Row],[disposedChallan]]+TrafficData[[#This Row],[pendingChallan]]=TrafficData[[#This Row],[totalChallan]]</f>
        <v>1</v>
      </c>
      <c r="L2286" t="b">
        <f>TrafficData[[#This Row],[pendingAmount]]+TrafficData[[#This Row],[disposedAmount]]=TrafficData[[#This Row],[totalAmount]]</f>
        <v>1</v>
      </c>
      <c r="M2286" t="b">
        <f>TrafficData[[#This Row],[pendingCourt]]+TrafficData[[#This Row],[disposedCourt]]=TrafficData[[#This Row],[totalCourt]]</f>
        <v>1</v>
      </c>
      <c r="N2286" t="b">
        <f>AND(TrafficData[[#This Row],[disposedChallan]]&lt;=TrafficData[[#This Row],[totalChallan]],TrafficData[[#This Row],[pendingChallan]]&lt;=TrafficData[[#This Row],[totalChallan]])</f>
        <v>1</v>
      </c>
      <c r="O2286" t="b">
        <f>AND(TrafficData[[#This Row],[pendingAmount]]&lt;=TrafficData[[#This Row],[totalAmount]],TrafficData[[#This Row],[disposedAmount]]&lt;=TrafficData[[#This Row],[totalAmount]])</f>
        <v>1</v>
      </c>
      <c r="P2286" t="b">
        <f>AND(TrafficData[[#This Row],[pendingCourt]]&lt;=TrafficData[[#This Row],[totalCourt]],TrafficData[[#This Row],[disposedCourt]]&lt;=TrafficData[[#This Row],[totalCourt]])</f>
        <v>1</v>
      </c>
    </row>
    <row r="2287" spans="1:16">
      <c r="A2287" s="1">
        <v>44291</v>
      </c>
      <c r="B2287">
        <v>78118</v>
      </c>
      <c r="C2287">
        <v>40959</v>
      </c>
      <c r="D2287">
        <v>37159</v>
      </c>
      <c r="E2287">
        <v>62922970</v>
      </c>
      <c r="F2287">
        <v>64517604</v>
      </c>
      <c r="G2287">
        <v>127440574</v>
      </c>
      <c r="H2287">
        <v>29551</v>
      </c>
      <c r="I2287">
        <v>12022</v>
      </c>
      <c r="J2287">
        <v>41573</v>
      </c>
      <c r="K2287" t="b">
        <f>TrafficData[[#This Row],[disposedChallan]]+TrafficData[[#This Row],[pendingChallan]]=TrafficData[[#This Row],[totalChallan]]</f>
        <v>1</v>
      </c>
      <c r="L2287" t="b">
        <f>TrafficData[[#This Row],[pendingAmount]]+TrafficData[[#This Row],[disposedAmount]]=TrafficData[[#This Row],[totalAmount]]</f>
        <v>1</v>
      </c>
      <c r="M2287" t="b">
        <f>TrafficData[[#This Row],[pendingCourt]]+TrafficData[[#This Row],[disposedCourt]]=TrafficData[[#This Row],[totalCourt]]</f>
        <v>1</v>
      </c>
      <c r="N2287" t="b">
        <f>AND(TrafficData[[#This Row],[disposedChallan]]&lt;=TrafficData[[#This Row],[totalChallan]],TrafficData[[#This Row],[pendingChallan]]&lt;=TrafficData[[#This Row],[totalChallan]])</f>
        <v>1</v>
      </c>
      <c r="O2287" t="b">
        <f>AND(TrafficData[[#This Row],[pendingAmount]]&lt;=TrafficData[[#This Row],[totalAmount]],TrafficData[[#This Row],[disposedAmount]]&lt;=TrafficData[[#This Row],[totalAmount]])</f>
        <v>1</v>
      </c>
      <c r="P2287" t="b">
        <f>AND(TrafficData[[#This Row],[pendingCourt]]&lt;=TrafficData[[#This Row],[totalCourt]],TrafficData[[#This Row],[disposedCourt]]&lt;=TrafficData[[#This Row],[totalCourt]])</f>
        <v>1</v>
      </c>
    </row>
    <row r="2288" spans="1:16">
      <c r="A2288" s="1">
        <v>44292</v>
      </c>
      <c r="B2288">
        <v>77376</v>
      </c>
      <c r="C2288">
        <v>40175</v>
      </c>
      <c r="D2288">
        <v>37201</v>
      </c>
      <c r="E2288">
        <v>68915363</v>
      </c>
      <c r="F2288">
        <v>69787316</v>
      </c>
      <c r="G2288">
        <v>138702679</v>
      </c>
      <c r="H2288">
        <v>30361</v>
      </c>
      <c r="I2288">
        <v>12008</v>
      </c>
      <c r="J2288">
        <v>42369</v>
      </c>
      <c r="K2288" t="b">
        <f>TrafficData[[#This Row],[disposedChallan]]+TrafficData[[#This Row],[pendingChallan]]=TrafficData[[#This Row],[totalChallan]]</f>
        <v>1</v>
      </c>
      <c r="L2288" t="b">
        <f>TrafficData[[#This Row],[pendingAmount]]+TrafficData[[#This Row],[disposedAmount]]=TrafficData[[#This Row],[totalAmount]]</f>
        <v>1</v>
      </c>
      <c r="M2288" t="b">
        <f>TrafficData[[#This Row],[pendingCourt]]+TrafficData[[#This Row],[disposedCourt]]=TrafficData[[#This Row],[totalCourt]]</f>
        <v>1</v>
      </c>
      <c r="N2288" t="b">
        <f>AND(TrafficData[[#This Row],[disposedChallan]]&lt;=TrafficData[[#This Row],[totalChallan]],TrafficData[[#This Row],[pendingChallan]]&lt;=TrafficData[[#This Row],[totalChallan]])</f>
        <v>1</v>
      </c>
      <c r="O2288" t="b">
        <f>AND(TrafficData[[#This Row],[pendingAmount]]&lt;=TrafficData[[#This Row],[totalAmount]],TrafficData[[#This Row],[disposedAmount]]&lt;=TrafficData[[#This Row],[totalAmount]])</f>
        <v>1</v>
      </c>
      <c r="P2288" t="b">
        <f>AND(TrafficData[[#This Row],[pendingCourt]]&lt;=TrafficData[[#This Row],[totalCourt]],TrafficData[[#This Row],[disposedCourt]]&lt;=TrafficData[[#This Row],[totalCourt]])</f>
        <v>1</v>
      </c>
    </row>
    <row r="2289" spans="1:16">
      <c r="A2289" s="1">
        <v>44293</v>
      </c>
      <c r="B2289">
        <v>95187</v>
      </c>
      <c r="C2289">
        <v>48113</v>
      </c>
      <c r="D2289">
        <v>47074</v>
      </c>
      <c r="E2289">
        <v>81528393</v>
      </c>
      <c r="F2289">
        <v>78942787</v>
      </c>
      <c r="G2289">
        <v>160471180</v>
      </c>
      <c r="H2289">
        <v>35174</v>
      </c>
      <c r="I2289">
        <v>12816</v>
      </c>
      <c r="J2289">
        <v>47990</v>
      </c>
      <c r="K2289" t="b">
        <f>TrafficData[[#This Row],[disposedChallan]]+TrafficData[[#This Row],[pendingChallan]]=TrafficData[[#This Row],[totalChallan]]</f>
        <v>1</v>
      </c>
      <c r="L2289" t="b">
        <f>TrafficData[[#This Row],[pendingAmount]]+TrafficData[[#This Row],[disposedAmount]]=TrafficData[[#This Row],[totalAmount]]</f>
        <v>1</v>
      </c>
      <c r="M2289" t="b">
        <f>TrafficData[[#This Row],[pendingCourt]]+TrafficData[[#This Row],[disposedCourt]]=TrafficData[[#This Row],[totalCourt]]</f>
        <v>1</v>
      </c>
      <c r="N2289" t="b">
        <f>AND(TrafficData[[#This Row],[disposedChallan]]&lt;=TrafficData[[#This Row],[totalChallan]],TrafficData[[#This Row],[pendingChallan]]&lt;=TrafficData[[#This Row],[totalChallan]])</f>
        <v>1</v>
      </c>
      <c r="O2289" t="b">
        <f>AND(TrafficData[[#This Row],[pendingAmount]]&lt;=TrafficData[[#This Row],[totalAmount]],TrafficData[[#This Row],[disposedAmount]]&lt;=TrafficData[[#This Row],[totalAmount]])</f>
        <v>1</v>
      </c>
      <c r="P2289" t="b">
        <f>AND(TrafficData[[#This Row],[pendingCourt]]&lt;=TrafficData[[#This Row],[totalCourt]],TrafficData[[#This Row],[disposedCourt]]&lt;=TrafficData[[#This Row],[totalCourt]])</f>
        <v>1</v>
      </c>
    </row>
    <row r="2290" spans="1:16">
      <c r="A2290" s="1">
        <v>44294</v>
      </c>
      <c r="B2290">
        <v>137680</v>
      </c>
      <c r="C2290">
        <v>67199</v>
      </c>
      <c r="D2290">
        <v>70481</v>
      </c>
      <c r="E2290">
        <v>89493907</v>
      </c>
      <c r="F2290">
        <v>85705465</v>
      </c>
      <c r="G2290">
        <v>175199372</v>
      </c>
      <c r="H2290">
        <v>33699</v>
      </c>
      <c r="I2290">
        <v>13260</v>
      </c>
      <c r="J2290">
        <v>46959</v>
      </c>
      <c r="K2290" t="b">
        <f>TrafficData[[#This Row],[disposedChallan]]+TrafficData[[#This Row],[pendingChallan]]=TrafficData[[#This Row],[totalChallan]]</f>
        <v>1</v>
      </c>
      <c r="L2290" t="b">
        <f>TrafficData[[#This Row],[pendingAmount]]+TrafficData[[#This Row],[disposedAmount]]=TrafficData[[#This Row],[totalAmount]]</f>
        <v>1</v>
      </c>
      <c r="M2290" t="b">
        <f>TrafficData[[#This Row],[pendingCourt]]+TrafficData[[#This Row],[disposedCourt]]=TrafficData[[#This Row],[totalCourt]]</f>
        <v>1</v>
      </c>
      <c r="N2290" t="b">
        <f>AND(TrafficData[[#This Row],[disposedChallan]]&lt;=TrafficData[[#This Row],[totalChallan]],TrafficData[[#This Row],[pendingChallan]]&lt;=TrafficData[[#This Row],[totalChallan]])</f>
        <v>1</v>
      </c>
      <c r="O2290" t="b">
        <f>AND(TrafficData[[#This Row],[pendingAmount]]&lt;=TrafficData[[#This Row],[totalAmount]],TrafficData[[#This Row],[disposedAmount]]&lt;=TrafficData[[#This Row],[totalAmount]])</f>
        <v>1</v>
      </c>
      <c r="P2290" t="b">
        <f>AND(TrafficData[[#This Row],[pendingCourt]]&lt;=TrafficData[[#This Row],[totalCourt]],TrafficData[[#This Row],[disposedCourt]]&lt;=TrafficData[[#This Row],[totalCourt]])</f>
        <v>1</v>
      </c>
    </row>
    <row r="2291" spans="1:16">
      <c r="A2291" s="1">
        <v>44295</v>
      </c>
      <c r="B2291">
        <v>169868</v>
      </c>
      <c r="C2291">
        <v>78835</v>
      </c>
      <c r="D2291">
        <v>91033</v>
      </c>
      <c r="E2291">
        <v>92025423</v>
      </c>
      <c r="F2291">
        <v>81999784</v>
      </c>
      <c r="G2291">
        <v>174025207</v>
      </c>
      <c r="H2291">
        <v>36228</v>
      </c>
      <c r="I2291">
        <v>13852</v>
      </c>
      <c r="J2291">
        <v>50080</v>
      </c>
      <c r="K2291" t="b">
        <f>TrafficData[[#This Row],[disposedChallan]]+TrafficData[[#This Row],[pendingChallan]]=TrafficData[[#This Row],[totalChallan]]</f>
        <v>1</v>
      </c>
      <c r="L2291" t="b">
        <f>TrafficData[[#This Row],[pendingAmount]]+TrafficData[[#This Row],[disposedAmount]]=TrafficData[[#This Row],[totalAmount]]</f>
        <v>1</v>
      </c>
      <c r="M2291" t="b">
        <f>TrafficData[[#This Row],[pendingCourt]]+TrafficData[[#This Row],[disposedCourt]]=TrafficData[[#This Row],[totalCourt]]</f>
        <v>1</v>
      </c>
      <c r="N2291" t="b">
        <f>AND(TrafficData[[#This Row],[disposedChallan]]&lt;=TrafficData[[#This Row],[totalChallan]],TrafficData[[#This Row],[pendingChallan]]&lt;=TrafficData[[#This Row],[totalChallan]])</f>
        <v>1</v>
      </c>
      <c r="O2291" t="b">
        <f>AND(TrafficData[[#This Row],[pendingAmount]]&lt;=TrafficData[[#This Row],[totalAmount]],TrafficData[[#This Row],[disposedAmount]]&lt;=TrafficData[[#This Row],[totalAmount]])</f>
        <v>1</v>
      </c>
      <c r="P2291" t="b">
        <f>AND(TrafficData[[#This Row],[pendingCourt]]&lt;=TrafficData[[#This Row],[totalCourt]],TrafficData[[#This Row],[disposedCourt]]&lt;=TrafficData[[#This Row],[totalCourt]])</f>
        <v>1</v>
      </c>
    </row>
    <row r="2292" spans="1:16">
      <c r="A2292" s="1">
        <v>44296</v>
      </c>
      <c r="B2292">
        <v>170959</v>
      </c>
      <c r="C2292">
        <v>78541</v>
      </c>
      <c r="D2292">
        <v>92418</v>
      </c>
      <c r="E2292">
        <v>88644043</v>
      </c>
      <c r="F2292">
        <v>76587115</v>
      </c>
      <c r="G2292">
        <v>165231158</v>
      </c>
      <c r="H2292">
        <v>31932</v>
      </c>
      <c r="I2292">
        <v>13894</v>
      </c>
      <c r="J2292">
        <v>45826</v>
      </c>
      <c r="K2292" t="b">
        <f>TrafficData[[#This Row],[disposedChallan]]+TrafficData[[#This Row],[pendingChallan]]=TrafficData[[#This Row],[totalChallan]]</f>
        <v>1</v>
      </c>
      <c r="L2292" t="b">
        <f>TrafficData[[#This Row],[pendingAmount]]+TrafficData[[#This Row],[disposedAmount]]=TrafficData[[#This Row],[totalAmount]]</f>
        <v>1</v>
      </c>
      <c r="M2292" t="b">
        <f>TrafficData[[#This Row],[pendingCourt]]+TrafficData[[#This Row],[disposedCourt]]=TrafficData[[#This Row],[totalCourt]]</f>
        <v>1</v>
      </c>
      <c r="N2292" t="b">
        <f>AND(TrafficData[[#This Row],[disposedChallan]]&lt;=TrafficData[[#This Row],[totalChallan]],TrafficData[[#This Row],[pendingChallan]]&lt;=TrafficData[[#This Row],[totalChallan]])</f>
        <v>1</v>
      </c>
      <c r="O2292" t="b">
        <f>AND(TrafficData[[#This Row],[pendingAmount]]&lt;=TrafficData[[#This Row],[totalAmount]],TrafficData[[#This Row],[disposedAmount]]&lt;=TrafficData[[#This Row],[totalAmount]])</f>
        <v>1</v>
      </c>
      <c r="P2292" t="b">
        <f>AND(TrafficData[[#This Row],[pendingCourt]]&lt;=TrafficData[[#This Row],[totalCourt]],TrafficData[[#This Row],[disposedCourt]]&lt;=TrafficData[[#This Row],[totalCourt]])</f>
        <v>1</v>
      </c>
    </row>
    <row r="2293" spans="1:16">
      <c r="A2293" s="1">
        <v>44297</v>
      </c>
      <c r="B2293">
        <v>159586</v>
      </c>
      <c r="C2293">
        <v>66752</v>
      </c>
      <c r="D2293">
        <v>92834</v>
      </c>
      <c r="E2293">
        <v>85381901</v>
      </c>
      <c r="F2293">
        <v>54644190</v>
      </c>
      <c r="G2293">
        <v>140026091</v>
      </c>
      <c r="H2293">
        <v>30638</v>
      </c>
      <c r="I2293">
        <v>12302</v>
      </c>
      <c r="J2293">
        <v>42940</v>
      </c>
      <c r="K2293" t="b">
        <f>TrafficData[[#This Row],[disposedChallan]]+TrafficData[[#This Row],[pendingChallan]]=TrafficData[[#This Row],[totalChallan]]</f>
        <v>1</v>
      </c>
      <c r="L2293" t="b">
        <f>TrafficData[[#This Row],[pendingAmount]]+TrafficData[[#This Row],[disposedAmount]]=TrafficData[[#This Row],[totalAmount]]</f>
        <v>1</v>
      </c>
      <c r="M2293" t="b">
        <f>TrafficData[[#This Row],[pendingCourt]]+TrafficData[[#This Row],[disposedCourt]]=TrafficData[[#This Row],[totalCourt]]</f>
        <v>1</v>
      </c>
      <c r="N2293" t="b">
        <f>AND(TrafficData[[#This Row],[disposedChallan]]&lt;=TrafficData[[#This Row],[totalChallan]],TrafficData[[#This Row],[pendingChallan]]&lt;=TrafficData[[#This Row],[totalChallan]])</f>
        <v>1</v>
      </c>
      <c r="O2293" t="b">
        <f>AND(TrafficData[[#This Row],[pendingAmount]]&lt;=TrafficData[[#This Row],[totalAmount]],TrafficData[[#This Row],[disposedAmount]]&lt;=TrafficData[[#This Row],[totalAmount]])</f>
        <v>1</v>
      </c>
      <c r="P2293" t="b">
        <f>AND(TrafficData[[#This Row],[pendingCourt]]&lt;=TrafficData[[#This Row],[totalCourt]],TrafficData[[#This Row],[disposedCourt]]&lt;=TrafficData[[#This Row],[totalCourt]])</f>
        <v>1</v>
      </c>
    </row>
    <row r="2294" spans="1:16">
      <c r="A2294" s="1">
        <v>44298</v>
      </c>
      <c r="B2294">
        <v>162793</v>
      </c>
      <c r="C2294">
        <v>73548</v>
      </c>
      <c r="D2294">
        <v>89245</v>
      </c>
      <c r="E2294">
        <v>80966704</v>
      </c>
      <c r="F2294">
        <v>69758528</v>
      </c>
      <c r="G2294">
        <v>150725232</v>
      </c>
      <c r="H2294">
        <v>30636</v>
      </c>
      <c r="I2294">
        <v>12582</v>
      </c>
      <c r="J2294">
        <v>43218</v>
      </c>
      <c r="K2294" t="b">
        <f>TrafficData[[#This Row],[disposedChallan]]+TrafficData[[#This Row],[pendingChallan]]=TrafficData[[#This Row],[totalChallan]]</f>
        <v>1</v>
      </c>
      <c r="L2294" t="b">
        <f>TrafficData[[#This Row],[pendingAmount]]+TrafficData[[#This Row],[disposedAmount]]=TrafficData[[#This Row],[totalAmount]]</f>
        <v>1</v>
      </c>
      <c r="M2294" t="b">
        <f>TrafficData[[#This Row],[pendingCourt]]+TrafficData[[#This Row],[disposedCourt]]=TrafficData[[#This Row],[totalCourt]]</f>
        <v>1</v>
      </c>
      <c r="N2294" t="b">
        <f>AND(TrafficData[[#This Row],[disposedChallan]]&lt;=TrafficData[[#This Row],[totalChallan]],TrafficData[[#This Row],[pendingChallan]]&lt;=TrafficData[[#This Row],[totalChallan]])</f>
        <v>1</v>
      </c>
      <c r="O2294" t="b">
        <f>AND(TrafficData[[#This Row],[pendingAmount]]&lt;=TrafficData[[#This Row],[totalAmount]],TrafficData[[#This Row],[disposedAmount]]&lt;=TrafficData[[#This Row],[totalAmount]])</f>
        <v>1</v>
      </c>
      <c r="P2294" t="b">
        <f>AND(TrafficData[[#This Row],[pendingCourt]]&lt;=TrafficData[[#This Row],[totalCourt]],TrafficData[[#This Row],[disposedCourt]]&lt;=TrafficData[[#This Row],[totalCourt]])</f>
        <v>1</v>
      </c>
    </row>
    <row r="2295" spans="1:16">
      <c r="A2295" s="1">
        <v>44299</v>
      </c>
      <c r="B2295">
        <v>154115</v>
      </c>
      <c r="C2295">
        <v>69516</v>
      </c>
      <c r="D2295">
        <v>84599</v>
      </c>
      <c r="E2295">
        <v>78830646</v>
      </c>
      <c r="F2295">
        <v>67685644</v>
      </c>
      <c r="G2295">
        <v>146516290</v>
      </c>
      <c r="H2295">
        <v>29734</v>
      </c>
      <c r="I2295">
        <v>10994</v>
      </c>
      <c r="J2295">
        <v>40728</v>
      </c>
      <c r="K2295" t="b">
        <f>TrafficData[[#This Row],[disposedChallan]]+TrafficData[[#This Row],[pendingChallan]]=TrafficData[[#This Row],[totalChallan]]</f>
        <v>1</v>
      </c>
      <c r="L2295" t="b">
        <f>TrafficData[[#This Row],[pendingAmount]]+TrafficData[[#This Row],[disposedAmount]]=TrafficData[[#This Row],[totalAmount]]</f>
        <v>1</v>
      </c>
      <c r="M2295" t="b">
        <f>TrafficData[[#This Row],[pendingCourt]]+TrafficData[[#This Row],[disposedCourt]]=TrafficData[[#This Row],[totalCourt]]</f>
        <v>1</v>
      </c>
      <c r="N2295" t="b">
        <f>AND(TrafficData[[#This Row],[disposedChallan]]&lt;=TrafficData[[#This Row],[totalChallan]],TrafficData[[#This Row],[pendingChallan]]&lt;=TrafficData[[#This Row],[totalChallan]])</f>
        <v>1</v>
      </c>
      <c r="O2295" t="b">
        <f>AND(TrafficData[[#This Row],[pendingAmount]]&lt;=TrafficData[[#This Row],[totalAmount]],TrafficData[[#This Row],[disposedAmount]]&lt;=TrafficData[[#This Row],[totalAmount]])</f>
        <v>1</v>
      </c>
      <c r="P2295" t="b">
        <f>AND(TrafficData[[#This Row],[pendingCourt]]&lt;=TrafficData[[#This Row],[totalCourt]],TrafficData[[#This Row],[disposedCourt]]&lt;=TrafficData[[#This Row],[totalCourt]])</f>
        <v>1</v>
      </c>
    </row>
    <row r="2296" spans="1:16">
      <c r="A2296" s="1">
        <v>44300</v>
      </c>
      <c r="B2296">
        <v>139374</v>
      </c>
      <c r="C2296">
        <v>60931</v>
      </c>
      <c r="D2296">
        <v>78443</v>
      </c>
      <c r="E2296">
        <v>74253629</v>
      </c>
      <c r="F2296">
        <v>59980200</v>
      </c>
      <c r="G2296">
        <v>134233829</v>
      </c>
      <c r="H2296">
        <v>28058</v>
      </c>
      <c r="I2296">
        <v>10337</v>
      </c>
      <c r="J2296">
        <v>38395</v>
      </c>
      <c r="K2296" t="b">
        <f>TrafficData[[#This Row],[disposedChallan]]+TrafficData[[#This Row],[pendingChallan]]=TrafficData[[#This Row],[totalChallan]]</f>
        <v>1</v>
      </c>
      <c r="L2296" t="b">
        <f>TrafficData[[#This Row],[pendingAmount]]+TrafficData[[#This Row],[disposedAmount]]=TrafficData[[#This Row],[totalAmount]]</f>
        <v>1</v>
      </c>
      <c r="M2296" t="b">
        <f>TrafficData[[#This Row],[pendingCourt]]+TrafficData[[#This Row],[disposedCourt]]=TrafficData[[#This Row],[totalCourt]]</f>
        <v>1</v>
      </c>
      <c r="N2296" t="b">
        <f>AND(TrafficData[[#This Row],[disposedChallan]]&lt;=TrafficData[[#This Row],[totalChallan]],TrafficData[[#This Row],[pendingChallan]]&lt;=TrafficData[[#This Row],[totalChallan]])</f>
        <v>1</v>
      </c>
      <c r="O2296" t="b">
        <f>AND(TrafficData[[#This Row],[pendingAmount]]&lt;=TrafficData[[#This Row],[totalAmount]],TrafficData[[#This Row],[disposedAmount]]&lt;=TrafficData[[#This Row],[totalAmount]])</f>
        <v>1</v>
      </c>
      <c r="P2296" t="b">
        <f>AND(TrafficData[[#This Row],[pendingCourt]]&lt;=TrafficData[[#This Row],[totalCourt]],TrafficData[[#This Row],[disposedCourt]]&lt;=TrafficData[[#This Row],[totalCourt]])</f>
        <v>1</v>
      </c>
    </row>
    <row r="2297" spans="1:16">
      <c r="A2297" s="1">
        <v>44301</v>
      </c>
      <c r="B2297">
        <v>142617</v>
      </c>
      <c r="C2297">
        <v>64398</v>
      </c>
      <c r="D2297">
        <v>78219</v>
      </c>
      <c r="E2297">
        <v>77097939</v>
      </c>
      <c r="F2297">
        <v>69081031</v>
      </c>
      <c r="G2297">
        <v>146178970</v>
      </c>
      <c r="H2297">
        <v>22870</v>
      </c>
      <c r="I2297">
        <v>9284</v>
      </c>
      <c r="J2297">
        <v>32154</v>
      </c>
      <c r="K2297" t="b">
        <f>TrafficData[[#This Row],[disposedChallan]]+TrafficData[[#This Row],[pendingChallan]]=TrafficData[[#This Row],[totalChallan]]</f>
        <v>1</v>
      </c>
      <c r="L2297" t="b">
        <f>TrafficData[[#This Row],[pendingAmount]]+TrafficData[[#This Row],[disposedAmount]]=TrafficData[[#This Row],[totalAmount]]</f>
        <v>1</v>
      </c>
      <c r="M2297" t="b">
        <f>TrafficData[[#This Row],[pendingCourt]]+TrafficData[[#This Row],[disposedCourt]]=TrafficData[[#This Row],[totalCourt]]</f>
        <v>1</v>
      </c>
      <c r="N2297" t="b">
        <f>AND(TrafficData[[#This Row],[disposedChallan]]&lt;=TrafficData[[#This Row],[totalChallan]],TrafficData[[#This Row],[pendingChallan]]&lt;=TrafficData[[#This Row],[totalChallan]])</f>
        <v>1</v>
      </c>
      <c r="O2297" t="b">
        <f>AND(TrafficData[[#This Row],[pendingAmount]]&lt;=TrafficData[[#This Row],[totalAmount]],TrafficData[[#This Row],[disposedAmount]]&lt;=TrafficData[[#This Row],[totalAmount]])</f>
        <v>1</v>
      </c>
      <c r="P2297" t="b">
        <f>AND(TrafficData[[#This Row],[pendingCourt]]&lt;=TrafficData[[#This Row],[totalCourt]],TrafficData[[#This Row],[disposedCourt]]&lt;=TrafficData[[#This Row],[totalCourt]])</f>
        <v>1</v>
      </c>
    </row>
    <row r="2298" spans="1:16">
      <c r="A2298" s="1">
        <v>44302</v>
      </c>
      <c r="B2298">
        <v>135308</v>
      </c>
      <c r="C2298">
        <v>61155</v>
      </c>
      <c r="D2298">
        <v>74153</v>
      </c>
      <c r="E2298">
        <v>70413517</v>
      </c>
      <c r="F2298">
        <v>67868634</v>
      </c>
      <c r="G2298">
        <v>138282151</v>
      </c>
      <c r="H2298">
        <v>21397</v>
      </c>
      <c r="I2298">
        <v>8498</v>
      </c>
      <c r="J2298">
        <v>29895</v>
      </c>
      <c r="K2298" t="b">
        <f>TrafficData[[#This Row],[disposedChallan]]+TrafficData[[#This Row],[pendingChallan]]=TrafficData[[#This Row],[totalChallan]]</f>
        <v>1</v>
      </c>
      <c r="L2298" t="b">
        <f>TrafficData[[#This Row],[pendingAmount]]+TrafficData[[#This Row],[disposedAmount]]=TrafficData[[#This Row],[totalAmount]]</f>
        <v>1</v>
      </c>
      <c r="M2298" t="b">
        <f>TrafficData[[#This Row],[pendingCourt]]+TrafficData[[#This Row],[disposedCourt]]=TrafficData[[#This Row],[totalCourt]]</f>
        <v>1</v>
      </c>
      <c r="N2298" t="b">
        <f>AND(TrafficData[[#This Row],[disposedChallan]]&lt;=TrafficData[[#This Row],[totalChallan]],TrafficData[[#This Row],[pendingChallan]]&lt;=TrafficData[[#This Row],[totalChallan]])</f>
        <v>1</v>
      </c>
      <c r="O2298" t="b">
        <f>AND(TrafficData[[#This Row],[pendingAmount]]&lt;=TrafficData[[#This Row],[totalAmount]],TrafficData[[#This Row],[disposedAmount]]&lt;=TrafficData[[#This Row],[totalAmount]])</f>
        <v>1</v>
      </c>
      <c r="P2298" t="b">
        <f>AND(TrafficData[[#This Row],[pendingCourt]]&lt;=TrafficData[[#This Row],[totalCourt]],TrafficData[[#This Row],[disposedCourt]]&lt;=TrafficData[[#This Row],[totalCourt]])</f>
        <v>1</v>
      </c>
    </row>
    <row r="2299" spans="1:16">
      <c r="A2299" s="1">
        <v>44303</v>
      </c>
      <c r="B2299">
        <v>133407</v>
      </c>
      <c r="C2299">
        <v>59511</v>
      </c>
      <c r="D2299">
        <v>73896</v>
      </c>
      <c r="E2299">
        <v>66207625</v>
      </c>
      <c r="F2299">
        <v>64987445</v>
      </c>
      <c r="G2299">
        <v>131195070</v>
      </c>
      <c r="H2299">
        <v>20361</v>
      </c>
      <c r="I2299">
        <v>8029</v>
      </c>
      <c r="J2299">
        <v>28390</v>
      </c>
      <c r="K2299" t="b">
        <f>TrafficData[[#This Row],[disposedChallan]]+TrafficData[[#This Row],[pendingChallan]]=TrafficData[[#This Row],[totalChallan]]</f>
        <v>1</v>
      </c>
      <c r="L2299" t="b">
        <f>TrafficData[[#This Row],[pendingAmount]]+TrafficData[[#This Row],[disposedAmount]]=TrafficData[[#This Row],[totalAmount]]</f>
        <v>1</v>
      </c>
      <c r="M2299" t="b">
        <f>TrafficData[[#This Row],[pendingCourt]]+TrafficData[[#This Row],[disposedCourt]]=TrafficData[[#This Row],[totalCourt]]</f>
        <v>1</v>
      </c>
      <c r="N2299" t="b">
        <f>AND(TrafficData[[#This Row],[disposedChallan]]&lt;=TrafficData[[#This Row],[totalChallan]],TrafficData[[#This Row],[pendingChallan]]&lt;=TrafficData[[#This Row],[totalChallan]])</f>
        <v>1</v>
      </c>
      <c r="O2299" t="b">
        <f>AND(TrafficData[[#This Row],[pendingAmount]]&lt;=TrafficData[[#This Row],[totalAmount]],TrafficData[[#This Row],[disposedAmount]]&lt;=TrafficData[[#This Row],[totalAmount]])</f>
        <v>1</v>
      </c>
      <c r="P2299" t="b">
        <f>AND(TrafficData[[#This Row],[pendingCourt]]&lt;=TrafficData[[#This Row],[totalCourt]],TrafficData[[#This Row],[disposedCourt]]&lt;=TrafficData[[#This Row],[totalCourt]])</f>
        <v>1</v>
      </c>
    </row>
    <row r="2300" spans="1:16">
      <c r="A2300" s="1">
        <v>44304</v>
      </c>
      <c r="B2300">
        <v>111606</v>
      </c>
      <c r="C2300">
        <v>46983</v>
      </c>
      <c r="D2300">
        <v>64623</v>
      </c>
      <c r="E2300">
        <v>48050336</v>
      </c>
      <c r="F2300">
        <v>44330955</v>
      </c>
      <c r="G2300">
        <v>92381291</v>
      </c>
      <c r="H2300">
        <v>17882</v>
      </c>
      <c r="I2300">
        <v>5440</v>
      </c>
      <c r="J2300">
        <v>23322</v>
      </c>
      <c r="K2300" t="b">
        <f>TrafficData[[#This Row],[disposedChallan]]+TrafficData[[#This Row],[pendingChallan]]=TrafficData[[#This Row],[totalChallan]]</f>
        <v>1</v>
      </c>
      <c r="L2300" t="b">
        <f>TrafficData[[#This Row],[pendingAmount]]+TrafficData[[#This Row],[disposedAmount]]=TrafficData[[#This Row],[totalAmount]]</f>
        <v>1</v>
      </c>
      <c r="M2300" t="b">
        <f>TrafficData[[#This Row],[pendingCourt]]+TrafficData[[#This Row],[disposedCourt]]=TrafficData[[#This Row],[totalCourt]]</f>
        <v>1</v>
      </c>
      <c r="N2300" t="b">
        <f>AND(TrafficData[[#This Row],[disposedChallan]]&lt;=TrafficData[[#This Row],[totalChallan]],TrafficData[[#This Row],[pendingChallan]]&lt;=TrafficData[[#This Row],[totalChallan]])</f>
        <v>1</v>
      </c>
      <c r="O2300" t="b">
        <f>AND(TrafficData[[#This Row],[pendingAmount]]&lt;=TrafficData[[#This Row],[totalAmount]],TrafficData[[#This Row],[disposedAmount]]&lt;=TrafficData[[#This Row],[totalAmount]])</f>
        <v>1</v>
      </c>
      <c r="P2300" t="b">
        <f>AND(TrafficData[[#This Row],[pendingCourt]]&lt;=TrafficData[[#This Row],[totalCourt]],TrafficData[[#This Row],[disposedCourt]]&lt;=TrafficData[[#This Row],[totalCourt]])</f>
        <v>1</v>
      </c>
    </row>
    <row r="2301" spans="1:16">
      <c r="A2301" s="1">
        <v>44305</v>
      </c>
      <c r="B2301">
        <v>127569</v>
      </c>
      <c r="C2301">
        <v>57355</v>
      </c>
      <c r="D2301">
        <v>70214</v>
      </c>
      <c r="E2301">
        <v>59851911</v>
      </c>
      <c r="F2301">
        <v>58087389</v>
      </c>
      <c r="G2301">
        <v>117939300</v>
      </c>
      <c r="H2301">
        <v>9967</v>
      </c>
      <c r="I2301">
        <v>7796</v>
      </c>
      <c r="J2301">
        <v>17763</v>
      </c>
      <c r="K2301" t="b">
        <f>TrafficData[[#This Row],[disposedChallan]]+TrafficData[[#This Row],[pendingChallan]]=TrafficData[[#This Row],[totalChallan]]</f>
        <v>1</v>
      </c>
      <c r="L2301" t="b">
        <f>TrafficData[[#This Row],[pendingAmount]]+TrafficData[[#This Row],[disposedAmount]]=TrafficData[[#This Row],[totalAmount]]</f>
        <v>1</v>
      </c>
      <c r="M2301" t="b">
        <f>TrafficData[[#This Row],[pendingCourt]]+TrafficData[[#This Row],[disposedCourt]]=TrafficData[[#This Row],[totalCourt]]</f>
        <v>1</v>
      </c>
      <c r="N2301" t="b">
        <f>AND(TrafficData[[#This Row],[disposedChallan]]&lt;=TrafficData[[#This Row],[totalChallan]],TrafficData[[#This Row],[pendingChallan]]&lt;=TrafficData[[#This Row],[totalChallan]])</f>
        <v>1</v>
      </c>
      <c r="O2301" t="b">
        <f>AND(TrafficData[[#This Row],[pendingAmount]]&lt;=TrafficData[[#This Row],[totalAmount]],TrafficData[[#This Row],[disposedAmount]]&lt;=TrafficData[[#This Row],[totalAmount]])</f>
        <v>1</v>
      </c>
      <c r="P2301" t="b">
        <f>AND(TrafficData[[#This Row],[pendingCourt]]&lt;=TrafficData[[#This Row],[totalCourt]],TrafficData[[#This Row],[disposedCourt]]&lt;=TrafficData[[#This Row],[totalCourt]])</f>
        <v>1</v>
      </c>
    </row>
    <row r="2302" spans="1:16">
      <c r="A2302" s="1">
        <v>44306</v>
      </c>
      <c r="B2302">
        <v>128124</v>
      </c>
      <c r="C2302">
        <v>56486</v>
      </c>
      <c r="D2302">
        <v>71638</v>
      </c>
      <c r="E2302">
        <v>70737695</v>
      </c>
      <c r="F2302">
        <v>59313194</v>
      </c>
      <c r="G2302">
        <v>130050889</v>
      </c>
      <c r="H2302">
        <v>28794</v>
      </c>
      <c r="I2302">
        <v>8590</v>
      </c>
      <c r="J2302">
        <v>37384</v>
      </c>
      <c r="K2302" t="b">
        <f>TrafficData[[#This Row],[disposedChallan]]+TrafficData[[#This Row],[pendingChallan]]=TrafficData[[#This Row],[totalChallan]]</f>
        <v>1</v>
      </c>
      <c r="L2302" t="b">
        <f>TrafficData[[#This Row],[pendingAmount]]+TrafficData[[#This Row],[disposedAmount]]=TrafficData[[#This Row],[totalAmount]]</f>
        <v>1</v>
      </c>
      <c r="M2302" t="b">
        <f>TrafficData[[#This Row],[pendingCourt]]+TrafficData[[#This Row],[disposedCourt]]=TrafficData[[#This Row],[totalCourt]]</f>
        <v>1</v>
      </c>
      <c r="N2302" t="b">
        <f>AND(TrafficData[[#This Row],[disposedChallan]]&lt;=TrafficData[[#This Row],[totalChallan]],TrafficData[[#This Row],[pendingChallan]]&lt;=TrafficData[[#This Row],[totalChallan]])</f>
        <v>1</v>
      </c>
      <c r="O2302" t="b">
        <f>AND(TrafficData[[#This Row],[pendingAmount]]&lt;=TrafficData[[#This Row],[totalAmount]],TrafficData[[#This Row],[disposedAmount]]&lt;=TrafficData[[#This Row],[totalAmount]])</f>
        <v>1</v>
      </c>
      <c r="P2302" t="b">
        <f>AND(TrafficData[[#This Row],[pendingCourt]]&lt;=TrafficData[[#This Row],[totalCourt]],TrafficData[[#This Row],[disposedCourt]]&lt;=TrafficData[[#This Row],[totalCourt]])</f>
        <v>1</v>
      </c>
    </row>
    <row r="2303" spans="1:16">
      <c r="A2303" s="1">
        <v>44307</v>
      </c>
      <c r="B2303">
        <v>128201</v>
      </c>
      <c r="C2303">
        <v>57220</v>
      </c>
      <c r="D2303">
        <v>70981</v>
      </c>
      <c r="E2303">
        <v>67703268</v>
      </c>
      <c r="F2303">
        <v>56691403</v>
      </c>
      <c r="G2303">
        <v>124394671</v>
      </c>
      <c r="H2303">
        <v>29058</v>
      </c>
      <c r="I2303">
        <v>9424</v>
      </c>
      <c r="J2303">
        <v>38482</v>
      </c>
      <c r="K2303" t="b">
        <f>TrafficData[[#This Row],[disposedChallan]]+TrafficData[[#This Row],[pendingChallan]]=TrafficData[[#This Row],[totalChallan]]</f>
        <v>1</v>
      </c>
      <c r="L2303" t="b">
        <f>TrafficData[[#This Row],[pendingAmount]]+TrafficData[[#This Row],[disposedAmount]]=TrafficData[[#This Row],[totalAmount]]</f>
        <v>1</v>
      </c>
      <c r="M2303" t="b">
        <f>TrafficData[[#This Row],[pendingCourt]]+TrafficData[[#This Row],[disposedCourt]]=TrafficData[[#This Row],[totalCourt]]</f>
        <v>1</v>
      </c>
      <c r="N2303" t="b">
        <f>AND(TrafficData[[#This Row],[disposedChallan]]&lt;=TrafficData[[#This Row],[totalChallan]],TrafficData[[#This Row],[pendingChallan]]&lt;=TrafficData[[#This Row],[totalChallan]])</f>
        <v>1</v>
      </c>
      <c r="O2303" t="b">
        <f>AND(TrafficData[[#This Row],[pendingAmount]]&lt;=TrafficData[[#This Row],[totalAmount]],TrafficData[[#This Row],[disposedAmount]]&lt;=TrafficData[[#This Row],[totalAmount]])</f>
        <v>1</v>
      </c>
      <c r="P2303" t="b">
        <f>AND(TrafficData[[#This Row],[pendingCourt]]&lt;=TrafficData[[#This Row],[totalCourt]],TrafficData[[#This Row],[disposedCourt]]&lt;=TrafficData[[#This Row],[totalCourt]])</f>
        <v>1</v>
      </c>
    </row>
    <row r="2304" spans="1:16">
      <c r="A2304" s="1">
        <v>44308</v>
      </c>
      <c r="B2304">
        <v>126404</v>
      </c>
      <c r="C2304">
        <v>56413</v>
      </c>
      <c r="D2304">
        <v>69991</v>
      </c>
      <c r="E2304">
        <v>67672307</v>
      </c>
      <c r="F2304">
        <v>59427428</v>
      </c>
      <c r="G2304">
        <v>127099735</v>
      </c>
      <c r="H2304">
        <v>27960</v>
      </c>
      <c r="I2304">
        <v>9434</v>
      </c>
      <c r="J2304">
        <v>37394</v>
      </c>
      <c r="K2304" t="b">
        <f>TrafficData[[#This Row],[disposedChallan]]+TrafficData[[#This Row],[pendingChallan]]=TrafficData[[#This Row],[totalChallan]]</f>
        <v>1</v>
      </c>
      <c r="L2304" t="b">
        <f>TrafficData[[#This Row],[pendingAmount]]+TrafficData[[#This Row],[disposedAmount]]=TrafficData[[#This Row],[totalAmount]]</f>
        <v>1</v>
      </c>
      <c r="M2304" t="b">
        <f>TrafficData[[#This Row],[pendingCourt]]+TrafficData[[#This Row],[disposedCourt]]=TrafficData[[#This Row],[totalCourt]]</f>
        <v>1</v>
      </c>
      <c r="N2304" t="b">
        <f>AND(TrafficData[[#This Row],[disposedChallan]]&lt;=TrafficData[[#This Row],[totalChallan]],TrafficData[[#This Row],[pendingChallan]]&lt;=TrafficData[[#This Row],[totalChallan]])</f>
        <v>1</v>
      </c>
      <c r="O2304" t="b">
        <f>AND(TrafficData[[#This Row],[pendingAmount]]&lt;=TrafficData[[#This Row],[totalAmount]],TrafficData[[#This Row],[disposedAmount]]&lt;=TrafficData[[#This Row],[totalAmount]])</f>
        <v>1</v>
      </c>
      <c r="P2304" t="b">
        <f>AND(TrafficData[[#This Row],[pendingCourt]]&lt;=TrafficData[[#This Row],[totalCourt]],TrafficData[[#This Row],[disposedCourt]]&lt;=TrafficData[[#This Row],[totalCourt]])</f>
        <v>1</v>
      </c>
    </row>
    <row r="2305" spans="1:16">
      <c r="A2305" s="1">
        <v>44309</v>
      </c>
      <c r="B2305">
        <v>121181</v>
      </c>
      <c r="C2305">
        <v>53033</v>
      </c>
      <c r="D2305">
        <v>68148</v>
      </c>
      <c r="E2305">
        <v>66164967</v>
      </c>
      <c r="F2305">
        <v>52281410</v>
      </c>
      <c r="G2305">
        <v>118446377</v>
      </c>
      <c r="H2305">
        <v>27223</v>
      </c>
      <c r="I2305">
        <v>8811</v>
      </c>
      <c r="J2305">
        <v>36034</v>
      </c>
      <c r="K2305" t="b">
        <f>TrafficData[[#This Row],[disposedChallan]]+TrafficData[[#This Row],[pendingChallan]]=TrafficData[[#This Row],[totalChallan]]</f>
        <v>1</v>
      </c>
      <c r="L2305" t="b">
        <f>TrafficData[[#This Row],[pendingAmount]]+TrafficData[[#This Row],[disposedAmount]]=TrafficData[[#This Row],[totalAmount]]</f>
        <v>1</v>
      </c>
      <c r="M2305" t="b">
        <f>TrafficData[[#This Row],[pendingCourt]]+TrafficData[[#This Row],[disposedCourt]]=TrafficData[[#This Row],[totalCourt]]</f>
        <v>1</v>
      </c>
      <c r="N2305" t="b">
        <f>AND(TrafficData[[#This Row],[disposedChallan]]&lt;=TrafficData[[#This Row],[totalChallan]],TrafficData[[#This Row],[pendingChallan]]&lt;=TrafficData[[#This Row],[totalChallan]])</f>
        <v>1</v>
      </c>
      <c r="O2305" t="b">
        <f>AND(TrafficData[[#This Row],[pendingAmount]]&lt;=TrafficData[[#This Row],[totalAmount]],TrafficData[[#This Row],[disposedAmount]]&lt;=TrafficData[[#This Row],[totalAmount]])</f>
        <v>1</v>
      </c>
      <c r="P2305" t="b">
        <f>AND(TrafficData[[#This Row],[pendingCourt]]&lt;=TrafficData[[#This Row],[totalCourt]],TrafficData[[#This Row],[disposedCourt]]&lt;=TrafficData[[#This Row],[totalCourt]])</f>
        <v>1</v>
      </c>
    </row>
    <row r="2306" spans="1:16">
      <c r="A2306" s="1">
        <v>44310</v>
      </c>
      <c r="B2306">
        <v>109850</v>
      </c>
      <c r="C2306">
        <v>45706</v>
      </c>
      <c r="D2306">
        <v>64144</v>
      </c>
      <c r="E2306">
        <v>57345219</v>
      </c>
      <c r="F2306">
        <v>44044737</v>
      </c>
      <c r="G2306">
        <v>101389956</v>
      </c>
      <c r="H2306">
        <v>23402</v>
      </c>
      <c r="I2306">
        <v>6568</v>
      </c>
      <c r="J2306">
        <v>29970</v>
      </c>
      <c r="K2306" t="b">
        <f>TrafficData[[#This Row],[disposedChallan]]+TrafficData[[#This Row],[pendingChallan]]=TrafficData[[#This Row],[totalChallan]]</f>
        <v>1</v>
      </c>
      <c r="L2306" t="b">
        <f>TrafficData[[#This Row],[pendingAmount]]+TrafficData[[#This Row],[disposedAmount]]=TrafficData[[#This Row],[totalAmount]]</f>
        <v>1</v>
      </c>
      <c r="M2306" t="b">
        <f>TrafficData[[#This Row],[pendingCourt]]+TrafficData[[#This Row],[disposedCourt]]=TrafficData[[#This Row],[totalCourt]]</f>
        <v>1</v>
      </c>
      <c r="N2306" t="b">
        <f>AND(TrafficData[[#This Row],[disposedChallan]]&lt;=TrafficData[[#This Row],[totalChallan]],TrafficData[[#This Row],[pendingChallan]]&lt;=TrafficData[[#This Row],[totalChallan]])</f>
        <v>1</v>
      </c>
      <c r="O2306" t="b">
        <f>AND(TrafficData[[#This Row],[pendingAmount]]&lt;=TrafficData[[#This Row],[totalAmount]],TrafficData[[#This Row],[disposedAmount]]&lt;=TrafficData[[#This Row],[totalAmount]])</f>
        <v>1</v>
      </c>
      <c r="P2306" t="b">
        <f>AND(TrafficData[[#This Row],[pendingCourt]]&lt;=TrafficData[[#This Row],[totalCourt]],TrafficData[[#This Row],[disposedCourt]]&lt;=TrafficData[[#This Row],[totalCourt]])</f>
        <v>1</v>
      </c>
    </row>
    <row r="2307" spans="1:16">
      <c r="A2307" s="1">
        <v>44311</v>
      </c>
      <c r="B2307">
        <v>65895</v>
      </c>
      <c r="C2307">
        <v>25460</v>
      </c>
      <c r="D2307">
        <v>40435</v>
      </c>
      <c r="E2307">
        <v>49445236</v>
      </c>
      <c r="F2307">
        <v>31931457</v>
      </c>
      <c r="G2307">
        <v>81376693</v>
      </c>
      <c r="H2307">
        <v>23324</v>
      </c>
      <c r="I2307">
        <v>6477</v>
      </c>
      <c r="J2307">
        <v>29801</v>
      </c>
      <c r="K2307" t="b">
        <f>TrafficData[[#This Row],[disposedChallan]]+TrafficData[[#This Row],[pendingChallan]]=TrafficData[[#This Row],[totalChallan]]</f>
        <v>1</v>
      </c>
      <c r="L2307" t="b">
        <f>TrafficData[[#This Row],[pendingAmount]]+TrafficData[[#This Row],[disposedAmount]]=TrafficData[[#This Row],[totalAmount]]</f>
        <v>1</v>
      </c>
      <c r="M2307" t="b">
        <f>TrafficData[[#This Row],[pendingCourt]]+TrafficData[[#This Row],[disposedCourt]]=TrafficData[[#This Row],[totalCourt]]</f>
        <v>1</v>
      </c>
      <c r="N2307" t="b">
        <f>AND(TrafficData[[#This Row],[disposedChallan]]&lt;=TrafficData[[#This Row],[totalChallan]],TrafficData[[#This Row],[pendingChallan]]&lt;=TrafficData[[#This Row],[totalChallan]])</f>
        <v>1</v>
      </c>
      <c r="O2307" t="b">
        <f>AND(TrafficData[[#This Row],[pendingAmount]]&lt;=TrafficData[[#This Row],[totalAmount]],TrafficData[[#This Row],[disposedAmount]]&lt;=TrafficData[[#This Row],[totalAmount]])</f>
        <v>1</v>
      </c>
      <c r="P2307" t="b">
        <f>AND(TrafficData[[#This Row],[pendingCourt]]&lt;=TrafficData[[#This Row],[totalCourt]],TrafficData[[#This Row],[disposedCourt]]&lt;=TrafficData[[#This Row],[totalCourt]])</f>
        <v>1</v>
      </c>
    </row>
    <row r="2308" spans="1:16">
      <c r="A2308" s="1">
        <v>44312</v>
      </c>
      <c r="B2308">
        <v>110029</v>
      </c>
      <c r="C2308">
        <v>45788</v>
      </c>
      <c r="D2308">
        <v>64241</v>
      </c>
      <c r="E2308">
        <v>60675740</v>
      </c>
      <c r="F2308">
        <v>44390855</v>
      </c>
      <c r="G2308">
        <v>105066595</v>
      </c>
      <c r="H2308">
        <v>24704</v>
      </c>
      <c r="I2308">
        <v>7498</v>
      </c>
      <c r="J2308">
        <v>32202</v>
      </c>
      <c r="K2308" t="b">
        <f>TrafficData[[#This Row],[disposedChallan]]+TrafficData[[#This Row],[pendingChallan]]=TrafficData[[#This Row],[totalChallan]]</f>
        <v>1</v>
      </c>
      <c r="L2308" t="b">
        <f>TrafficData[[#This Row],[pendingAmount]]+TrafficData[[#This Row],[disposedAmount]]=TrafficData[[#This Row],[totalAmount]]</f>
        <v>1</v>
      </c>
      <c r="M2308" t="b">
        <f>TrafficData[[#This Row],[pendingCourt]]+TrafficData[[#This Row],[disposedCourt]]=TrafficData[[#This Row],[totalCourt]]</f>
        <v>1</v>
      </c>
      <c r="N2308" t="b">
        <f>AND(TrafficData[[#This Row],[disposedChallan]]&lt;=TrafficData[[#This Row],[totalChallan]],TrafficData[[#This Row],[pendingChallan]]&lt;=TrafficData[[#This Row],[totalChallan]])</f>
        <v>1</v>
      </c>
      <c r="O2308" t="b">
        <f>AND(TrafficData[[#This Row],[pendingAmount]]&lt;=TrafficData[[#This Row],[totalAmount]],TrafficData[[#This Row],[disposedAmount]]&lt;=TrafficData[[#This Row],[totalAmount]])</f>
        <v>1</v>
      </c>
      <c r="P2308" t="b">
        <f>AND(TrafficData[[#This Row],[pendingCourt]]&lt;=TrafficData[[#This Row],[totalCourt]],TrafficData[[#This Row],[disposedCourt]]&lt;=TrafficData[[#This Row],[totalCourt]])</f>
        <v>1</v>
      </c>
    </row>
    <row r="2309" spans="1:16">
      <c r="A2309" s="1">
        <v>44313</v>
      </c>
      <c r="B2309">
        <v>103327</v>
      </c>
      <c r="C2309">
        <v>43254</v>
      </c>
      <c r="D2309">
        <v>60073</v>
      </c>
      <c r="E2309">
        <v>58189250</v>
      </c>
      <c r="F2309">
        <v>45946569</v>
      </c>
      <c r="G2309">
        <v>104135819</v>
      </c>
      <c r="H2309">
        <v>22209</v>
      </c>
      <c r="I2309">
        <v>7073</v>
      </c>
      <c r="J2309">
        <v>29282</v>
      </c>
      <c r="K2309" t="b">
        <f>TrafficData[[#This Row],[disposedChallan]]+TrafficData[[#This Row],[pendingChallan]]=TrafficData[[#This Row],[totalChallan]]</f>
        <v>1</v>
      </c>
      <c r="L2309" t="b">
        <f>TrafficData[[#This Row],[pendingAmount]]+TrafficData[[#This Row],[disposedAmount]]=TrafficData[[#This Row],[totalAmount]]</f>
        <v>1</v>
      </c>
      <c r="M2309" t="b">
        <f>TrafficData[[#This Row],[pendingCourt]]+TrafficData[[#This Row],[disposedCourt]]=TrafficData[[#This Row],[totalCourt]]</f>
        <v>1</v>
      </c>
      <c r="N2309" t="b">
        <f>AND(TrafficData[[#This Row],[disposedChallan]]&lt;=TrafficData[[#This Row],[totalChallan]],TrafficData[[#This Row],[pendingChallan]]&lt;=TrafficData[[#This Row],[totalChallan]])</f>
        <v>1</v>
      </c>
      <c r="O2309" t="b">
        <f>AND(TrafficData[[#This Row],[pendingAmount]]&lt;=TrafficData[[#This Row],[totalAmount]],TrafficData[[#This Row],[disposedAmount]]&lt;=TrafficData[[#This Row],[totalAmount]])</f>
        <v>1</v>
      </c>
      <c r="P2309" t="b">
        <f>AND(TrafficData[[#This Row],[pendingCourt]]&lt;=TrafficData[[#This Row],[totalCourt]],TrafficData[[#This Row],[disposedCourt]]&lt;=TrafficData[[#This Row],[totalCourt]])</f>
        <v>1</v>
      </c>
    </row>
    <row r="2310" spans="1:16">
      <c r="A2310" s="1">
        <v>44314</v>
      </c>
      <c r="B2310">
        <v>104966</v>
      </c>
      <c r="C2310">
        <v>44069</v>
      </c>
      <c r="D2310">
        <v>60897</v>
      </c>
      <c r="E2310">
        <v>58120040</v>
      </c>
      <c r="F2310">
        <v>43895399</v>
      </c>
      <c r="G2310">
        <v>102015439</v>
      </c>
      <c r="H2310">
        <v>24388</v>
      </c>
      <c r="I2310">
        <v>7173</v>
      </c>
      <c r="J2310">
        <v>31561</v>
      </c>
      <c r="K2310" t="b">
        <f>TrafficData[[#This Row],[disposedChallan]]+TrafficData[[#This Row],[pendingChallan]]=TrafficData[[#This Row],[totalChallan]]</f>
        <v>1</v>
      </c>
      <c r="L2310" t="b">
        <f>TrafficData[[#This Row],[pendingAmount]]+TrafficData[[#This Row],[disposedAmount]]=TrafficData[[#This Row],[totalAmount]]</f>
        <v>1</v>
      </c>
      <c r="M2310" t="b">
        <f>TrafficData[[#This Row],[pendingCourt]]+TrafficData[[#This Row],[disposedCourt]]=TrafficData[[#This Row],[totalCourt]]</f>
        <v>1</v>
      </c>
      <c r="N2310" t="b">
        <f>AND(TrafficData[[#This Row],[disposedChallan]]&lt;=TrafficData[[#This Row],[totalChallan]],TrafficData[[#This Row],[pendingChallan]]&lt;=TrafficData[[#This Row],[totalChallan]])</f>
        <v>1</v>
      </c>
      <c r="O2310" t="b">
        <f>AND(TrafficData[[#This Row],[pendingAmount]]&lt;=TrafficData[[#This Row],[totalAmount]],TrafficData[[#This Row],[disposedAmount]]&lt;=TrafficData[[#This Row],[totalAmount]])</f>
        <v>1</v>
      </c>
      <c r="P2310" t="b">
        <f>AND(TrafficData[[#This Row],[pendingCourt]]&lt;=TrafficData[[#This Row],[totalCourt]],TrafficData[[#This Row],[disposedCourt]]&lt;=TrafficData[[#This Row],[totalCourt]])</f>
        <v>1</v>
      </c>
    </row>
    <row r="2311" spans="1:16">
      <c r="A2311" s="1">
        <v>44315</v>
      </c>
      <c r="B2311">
        <v>101920</v>
      </c>
      <c r="C2311">
        <v>42286</v>
      </c>
      <c r="D2311">
        <v>59634</v>
      </c>
      <c r="E2311">
        <v>57410128</v>
      </c>
      <c r="F2311">
        <v>39715787</v>
      </c>
      <c r="G2311">
        <v>97125915</v>
      </c>
      <c r="H2311">
        <v>21017</v>
      </c>
      <c r="I2311">
        <v>6682</v>
      </c>
      <c r="J2311">
        <v>27699</v>
      </c>
      <c r="K2311" t="b">
        <f>TrafficData[[#This Row],[disposedChallan]]+TrafficData[[#This Row],[pendingChallan]]=TrafficData[[#This Row],[totalChallan]]</f>
        <v>1</v>
      </c>
      <c r="L2311" t="b">
        <f>TrafficData[[#This Row],[pendingAmount]]+TrafficData[[#This Row],[disposedAmount]]=TrafficData[[#This Row],[totalAmount]]</f>
        <v>1</v>
      </c>
      <c r="M2311" t="b">
        <f>TrafficData[[#This Row],[pendingCourt]]+TrafficData[[#This Row],[disposedCourt]]=TrafficData[[#This Row],[totalCourt]]</f>
        <v>1</v>
      </c>
      <c r="N2311" t="b">
        <f>AND(TrafficData[[#This Row],[disposedChallan]]&lt;=TrafficData[[#This Row],[totalChallan]],TrafficData[[#This Row],[pendingChallan]]&lt;=TrafficData[[#This Row],[totalChallan]])</f>
        <v>1</v>
      </c>
      <c r="O2311" t="b">
        <f>AND(TrafficData[[#This Row],[pendingAmount]]&lt;=TrafficData[[#This Row],[totalAmount]],TrafficData[[#This Row],[disposedAmount]]&lt;=TrafficData[[#This Row],[totalAmount]])</f>
        <v>1</v>
      </c>
      <c r="P2311" t="b">
        <f>AND(TrafficData[[#This Row],[pendingCourt]]&lt;=TrafficData[[#This Row],[totalCourt]],TrafficData[[#This Row],[disposedCourt]]&lt;=TrafficData[[#This Row],[totalCourt]])</f>
        <v>1</v>
      </c>
    </row>
    <row r="2312" spans="1:16">
      <c r="A2312" s="1">
        <v>44316</v>
      </c>
      <c r="B2312">
        <v>100472</v>
      </c>
      <c r="C2312">
        <v>40808</v>
      </c>
      <c r="D2312">
        <v>59664</v>
      </c>
      <c r="E2312">
        <v>55419609</v>
      </c>
      <c r="F2312">
        <v>37031454</v>
      </c>
      <c r="G2312">
        <v>92451063</v>
      </c>
      <c r="H2312">
        <v>21777</v>
      </c>
      <c r="I2312">
        <v>7285</v>
      </c>
      <c r="J2312">
        <v>29062</v>
      </c>
      <c r="K2312" t="b">
        <f>TrafficData[[#This Row],[disposedChallan]]+TrafficData[[#This Row],[pendingChallan]]=TrafficData[[#This Row],[totalChallan]]</f>
        <v>1</v>
      </c>
      <c r="L2312" t="b">
        <f>TrafficData[[#This Row],[pendingAmount]]+TrafficData[[#This Row],[disposedAmount]]=TrafficData[[#This Row],[totalAmount]]</f>
        <v>1</v>
      </c>
      <c r="M2312" t="b">
        <f>TrafficData[[#This Row],[pendingCourt]]+TrafficData[[#This Row],[disposedCourt]]=TrafficData[[#This Row],[totalCourt]]</f>
        <v>1</v>
      </c>
      <c r="N2312" t="b">
        <f>AND(TrafficData[[#This Row],[disposedChallan]]&lt;=TrafficData[[#This Row],[totalChallan]],TrafficData[[#This Row],[pendingChallan]]&lt;=TrafficData[[#This Row],[totalChallan]])</f>
        <v>1</v>
      </c>
      <c r="O2312" t="b">
        <f>AND(TrafficData[[#This Row],[pendingAmount]]&lt;=TrafficData[[#This Row],[totalAmount]],TrafficData[[#This Row],[disposedAmount]]&lt;=TrafficData[[#This Row],[totalAmount]])</f>
        <v>1</v>
      </c>
      <c r="P2312" t="b">
        <f>AND(TrafficData[[#This Row],[pendingCourt]]&lt;=TrafficData[[#This Row],[totalCourt]],TrafficData[[#This Row],[disposedCourt]]&lt;=TrafficData[[#This Row],[totalCourt]])</f>
        <v>1</v>
      </c>
    </row>
    <row r="2313" spans="1:16">
      <c r="A2313" s="1">
        <v>44317</v>
      </c>
      <c r="B2313">
        <v>79938</v>
      </c>
      <c r="C2313">
        <v>31473</v>
      </c>
      <c r="D2313">
        <v>48465</v>
      </c>
      <c r="E2313">
        <v>53752420</v>
      </c>
      <c r="F2313">
        <v>34770988</v>
      </c>
      <c r="G2313">
        <v>88523408</v>
      </c>
      <c r="H2313">
        <v>23508</v>
      </c>
      <c r="I2313">
        <v>6598</v>
      </c>
      <c r="J2313">
        <v>30106</v>
      </c>
      <c r="K2313" t="b">
        <f>TrafficData[[#This Row],[disposedChallan]]+TrafficData[[#This Row],[pendingChallan]]=TrafficData[[#This Row],[totalChallan]]</f>
        <v>1</v>
      </c>
      <c r="L2313" t="b">
        <f>TrafficData[[#This Row],[pendingAmount]]+TrafficData[[#This Row],[disposedAmount]]=TrafficData[[#This Row],[totalAmount]]</f>
        <v>1</v>
      </c>
      <c r="M2313" t="b">
        <f>TrafficData[[#This Row],[pendingCourt]]+TrafficData[[#This Row],[disposedCourt]]=TrafficData[[#This Row],[totalCourt]]</f>
        <v>1</v>
      </c>
      <c r="N2313" t="b">
        <f>AND(TrafficData[[#This Row],[disposedChallan]]&lt;=TrafficData[[#This Row],[totalChallan]],TrafficData[[#This Row],[pendingChallan]]&lt;=TrafficData[[#This Row],[totalChallan]])</f>
        <v>1</v>
      </c>
      <c r="O2313" t="b">
        <f>AND(TrafficData[[#This Row],[pendingAmount]]&lt;=TrafficData[[#This Row],[totalAmount]],TrafficData[[#This Row],[disposedAmount]]&lt;=TrafficData[[#This Row],[totalAmount]])</f>
        <v>1</v>
      </c>
      <c r="P2313" t="b">
        <f>AND(TrafficData[[#This Row],[pendingCourt]]&lt;=TrafficData[[#This Row],[totalCourt]],TrafficData[[#This Row],[disposedCourt]]&lt;=TrafficData[[#This Row],[totalCourt]])</f>
        <v>1</v>
      </c>
    </row>
    <row r="2314" spans="1:16">
      <c r="A2314" s="1">
        <v>44318</v>
      </c>
      <c r="B2314">
        <v>50227</v>
      </c>
      <c r="C2314">
        <v>19714</v>
      </c>
      <c r="D2314">
        <v>30513</v>
      </c>
      <c r="E2314">
        <v>46220430</v>
      </c>
      <c r="F2314">
        <v>31468176</v>
      </c>
      <c r="G2314">
        <v>77688606</v>
      </c>
      <c r="H2314">
        <v>20137</v>
      </c>
      <c r="I2314">
        <v>6226</v>
      </c>
      <c r="J2314">
        <v>26363</v>
      </c>
      <c r="K2314" t="b">
        <f>TrafficData[[#This Row],[disposedChallan]]+TrafficData[[#This Row],[pendingChallan]]=TrafficData[[#This Row],[totalChallan]]</f>
        <v>1</v>
      </c>
      <c r="L2314" t="b">
        <f>TrafficData[[#This Row],[pendingAmount]]+TrafficData[[#This Row],[disposedAmount]]=TrafficData[[#This Row],[totalAmount]]</f>
        <v>1</v>
      </c>
      <c r="M2314" t="b">
        <f>TrafficData[[#This Row],[pendingCourt]]+TrafficData[[#This Row],[disposedCourt]]=TrafficData[[#This Row],[totalCourt]]</f>
        <v>1</v>
      </c>
      <c r="N2314" t="b">
        <f>AND(TrafficData[[#This Row],[disposedChallan]]&lt;=TrafficData[[#This Row],[totalChallan]],TrafficData[[#This Row],[pendingChallan]]&lt;=TrafficData[[#This Row],[totalChallan]])</f>
        <v>1</v>
      </c>
      <c r="O2314" t="b">
        <f>AND(TrafficData[[#This Row],[pendingAmount]]&lt;=TrafficData[[#This Row],[totalAmount]],TrafficData[[#This Row],[disposedAmount]]&lt;=TrafficData[[#This Row],[totalAmount]])</f>
        <v>1</v>
      </c>
      <c r="P2314" t="b">
        <f>AND(TrafficData[[#This Row],[pendingCourt]]&lt;=TrafficData[[#This Row],[totalCourt]],TrafficData[[#This Row],[disposedCourt]]&lt;=TrafficData[[#This Row],[totalCourt]])</f>
        <v>1</v>
      </c>
    </row>
    <row r="2315" spans="1:16">
      <c r="A2315" s="1">
        <v>44319</v>
      </c>
      <c r="B2315">
        <v>91412</v>
      </c>
      <c r="C2315">
        <v>37449</v>
      </c>
      <c r="D2315">
        <v>53963</v>
      </c>
      <c r="E2315">
        <v>50058004</v>
      </c>
      <c r="F2315">
        <v>38981187</v>
      </c>
      <c r="G2315">
        <v>89039191</v>
      </c>
      <c r="H2315">
        <v>19788</v>
      </c>
      <c r="I2315">
        <v>6363</v>
      </c>
      <c r="J2315">
        <v>26151</v>
      </c>
      <c r="K2315" t="b">
        <f>TrafficData[[#This Row],[disposedChallan]]+TrafficData[[#This Row],[pendingChallan]]=TrafficData[[#This Row],[totalChallan]]</f>
        <v>1</v>
      </c>
      <c r="L2315" t="b">
        <f>TrafficData[[#This Row],[pendingAmount]]+TrafficData[[#This Row],[disposedAmount]]=TrafficData[[#This Row],[totalAmount]]</f>
        <v>1</v>
      </c>
      <c r="M2315" t="b">
        <f>TrafficData[[#This Row],[pendingCourt]]+TrafficData[[#This Row],[disposedCourt]]=TrafficData[[#This Row],[totalCourt]]</f>
        <v>1</v>
      </c>
      <c r="N2315" t="b">
        <f>AND(TrafficData[[#This Row],[disposedChallan]]&lt;=TrafficData[[#This Row],[totalChallan]],TrafficData[[#This Row],[pendingChallan]]&lt;=TrafficData[[#This Row],[totalChallan]])</f>
        <v>1</v>
      </c>
      <c r="O2315" t="b">
        <f>AND(TrafficData[[#This Row],[pendingAmount]]&lt;=TrafficData[[#This Row],[totalAmount]],TrafficData[[#This Row],[disposedAmount]]&lt;=TrafficData[[#This Row],[totalAmount]])</f>
        <v>1</v>
      </c>
      <c r="P2315" t="b">
        <f>AND(TrafficData[[#This Row],[pendingCourt]]&lt;=TrafficData[[#This Row],[totalCourt]],TrafficData[[#This Row],[disposedCourt]]&lt;=TrafficData[[#This Row],[totalCourt]])</f>
        <v>1</v>
      </c>
    </row>
    <row r="2316" spans="1:16">
      <c r="A2316" s="1">
        <v>44320</v>
      </c>
      <c r="B2316">
        <v>108685</v>
      </c>
      <c r="C2316">
        <v>42870</v>
      </c>
      <c r="D2316">
        <v>65815</v>
      </c>
      <c r="E2316">
        <v>56879919</v>
      </c>
      <c r="F2316">
        <v>40232104</v>
      </c>
      <c r="G2316">
        <v>97112023</v>
      </c>
      <c r="H2316">
        <v>23338</v>
      </c>
      <c r="I2316">
        <v>7273</v>
      </c>
      <c r="J2316">
        <v>30611</v>
      </c>
      <c r="K2316" t="b">
        <f>TrafficData[[#This Row],[disposedChallan]]+TrafficData[[#This Row],[pendingChallan]]=TrafficData[[#This Row],[totalChallan]]</f>
        <v>1</v>
      </c>
      <c r="L2316" t="b">
        <f>TrafficData[[#This Row],[pendingAmount]]+TrafficData[[#This Row],[disposedAmount]]=TrafficData[[#This Row],[totalAmount]]</f>
        <v>1</v>
      </c>
      <c r="M2316" t="b">
        <f>TrafficData[[#This Row],[pendingCourt]]+TrafficData[[#This Row],[disposedCourt]]=TrafficData[[#This Row],[totalCourt]]</f>
        <v>1</v>
      </c>
      <c r="N2316" t="b">
        <f>AND(TrafficData[[#This Row],[disposedChallan]]&lt;=TrafficData[[#This Row],[totalChallan]],TrafficData[[#This Row],[pendingChallan]]&lt;=TrafficData[[#This Row],[totalChallan]])</f>
        <v>1</v>
      </c>
      <c r="O2316" t="b">
        <f>AND(TrafficData[[#This Row],[pendingAmount]]&lt;=TrafficData[[#This Row],[totalAmount]],TrafficData[[#This Row],[disposedAmount]]&lt;=TrafficData[[#This Row],[totalAmount]])</f>
        <v>1</v>
      </c>
      <c r="P2316" t="b">
        <f>AND(TrafficData[[#This Row],[pendingCourt]]&lt;=TrafficData[[#This Row],[totalCourt]],TrafficData[[#This Row],[disposedCourt]]&lt;=TrafficData[[#This Row],[totalCourt]])</f>
        <v>1</v>
      </c>
    </row>
    <row r="2317" spans="1:16">
      <c r="A2317" s="1">
        <v>44321</v>
      </c>
      <c r="B2317">
        <v>112851</v>
      </c>
      <c r="C2317">
        <v>45099</v>
      </c>
      <c r="D2317">
        <v>67752</v>
      </c>
      <c r="E2317">
        <v>63322293</v>
      </c>
      <c r="F2317">
        <v>48354101</v>
      </c>
      <c r="G2317">
        <v>111676394</v>
      </c>
      <c r="H2317">
        <v>25836</v>
      </c>
      <c r="I2317">
        <v>7909</v>
      </c>
      <c r="J2317">
        <v>33745</v>
      </c>
      <c r="K2317" t="b">
        <f>TrafficData[[#This Row],[disposedChallan]]+TrafficData[[#This Row],[pendingChallan]]=TrafficData[[#This Row],[totalChallan]]</f>
        <v>1</v>
      </c>
      <c r="L2317" t="b">
        <f>TrafficData[[#This Row],[pendingAmount]]+TrafficData[[#This Row],[disposedAmount]]=TrafficData[[#This Row],[totalAmount]]</f>
        <v>1</v>
      </c>
      <c r="M2317" t="b">
        <f>TrafficData[[#This Row],[pendingCourt]]+TrafficData[[#This Row],[disposedCourt]]=TrafficData[[#This Row],[totalCourt]]</f>
        <v>1</v>
      </c>
      <c r="N2317" t="b">
        <f>AND(TrafficData[[#This Row],[disposedChallan]]&lt;=TrafficData[[#This Row],[totalChallan]],TrafficData[[#This Row],[pendingChallan]]&lt;=TrafficData[[#This Row],[totalChallan]])</f>
        <v>1</v>
      </c>
      <c r="O2317" t="b">
        <f>AND(TrafficData[[#This Row],[pendingAmount]]&lt;=TrafficData[[#This Row],[totalAmount]],TrafficData[[#This Row],[disposedAmount]]&lt;=TrafficData[[#This Row],[totalAmount]])</f>
        <v>1</v>
      </c>
      <c r="P2317" t="b">
        <f>AND(TrafficData[[#This Row],[pendingCourt]]&lt;=TrafficData[[#This Row],[totalCourt]],TrafficData[[#This Row],[disposedCourt]]&lt;=TrafficData[[#This Row],[totalCourt]])</f>
        <v>1</v>
      </c>
    </row>
    <row r="2318" spans="1:16">
      <c r="A2318" s="1">
        <v>44322</v>
      </c>
      <c r="B2318">
        <v>99917</v>
      </c>
      <c r="C2318">
        <v>40422</v>
      </c>
      <c r="D2318">
        <v>59495</v>
      </c>
      <c r="E2318">
        <v>56997338</v>
      </c>
      <c r="F2318">
        <v>46971442</v>
      </c>
      <c r="G2318">
        <v>103968780</v>
      </c>
      <c r="H2318">
        <v>23935</v>
      </c>
      <c r="I2318">
        <v>8294</v>
      </c>
      <c r="J2318">
        <v>32229</v>
      </c>
      <c r="K2318" t="b">
        <f>TrafficData[[#This Row],[disposedChallan]]+TrafficData[[#This Row],[pendingChallan]]=TrafficData[[#This Row],[totalChallan]]</f>
        <v>1</v>
      </c>
      <c r="L2318" t="b">
        <f>TrafficData[[#This Row],[pendingAmount]]+TrafficData[[#This Row],[disposedAmount]]=TrafficData[[#This Row],[totalAmount]]</f>
        <v>1</v>
      </c>
      <c r="M2318" t="b">
        <f>TrafficData[[#This Row],[pendingCourt]]+TrafficData[[#This Row],[disposedCourt]]=TrafficData[[#This Row],[totalCourt]]</f>
        <v>1</v>
      </c>
      <c r="N2318" t="b">
        <f>AND(TrafficData[[#This Row],[disposedChallan]]&lt;=TrafficData[[#This Row],[totalChallan]],TrafficData[[#This Row],[pendingChallan]]&lt;=TrafficData[[#This Row],[totalChallan]])</f>
        <v>1</v>
      </c>
      <c r="O2318" t="b">
        <f>AND(TrafficData[[#This Row],[pendingAmount]]&lt;=TrafficData[[#This Row],[totalAmount]],TrafficData[[#This Row],[disposedAmount]]&lt;=TrafficData[[#This Row],[totalAmount]])</f>
        <v>1</v>
      </c>
      <c r="P2318" t="b">
        <f>AND(TrafficData[[#This Row],[pendingCourt]]&lt;=TrafficData[[#This Row],[totalCourt]],TrafficData[[#This Row],[disposedCourt]]&lt;=TrafficData[[#This Row],[totalCourt]])</f>
        <v>1</v>
      </c>
    </row>
    <row r="2319" spans="1:16">
      <c r="A2319" s="1">
        <v>44323</v>
      </c>
      <c r="B2319">
        <v>102892</v>
      </c>
      <c r="C2319">
        <v>39886</v>
      </c>
      <c r="D2319">
        <v>63006</v>
      </c>
      <c r="E2319">
        <v>59894142</v>
      </c>
      <c r="F2319">
        <v>40524316</v>
      </c>
      <c r="G2319">
        <v>100418458</v>
      </c>
      <c r="H2319">
        <v>23936</v>
      </c>
      <c r="I2319">
        <v>7955</v>
      </c>
      <c r="J2319">
        <v>31891</v>
      </c>
      <c r="K2319" t="b">
        <f>TrafficData[[#This Row],[disposedChallan]]+TrafficData[[#This Row],[pendingChallan]]=TrafficData[[#This Row],[totalChallan]]</f>
        <v>1</v>
      </c>
      <c r="L2319" t="b">
        <f>TrafficData[[#This Row],[pendingAmount]]+TrafficData[[#This Row],[disposedAmount]]=TrafficData[[#This Row],[totalAmount]]</f>
        <v>1</v>
      </c>
      <c r="M2319" t="b">
        <f>TrafficData[[#This Row],[pendingCourt]]+TrafficData[[#This Row],[disposedCourt]]=TrafficData[[#This Row],[totalCourt]]</f>
        <v>1</v>
      </c>
      <c r="N2319" t="b">
        <f>AND(TrafficData[[#This Row],[disposedChallan]]&lt;=TrafficData[[#This Row],[totalChallan]],TrafficData[[#This Row],[pendingChallan]]&lt;=TrafficData[[#This Row],[totalChallan]])</f>
        <v>1</v>
      </c>
      <c r="O2319" t="b">
        <f>AND(TrafficData[[#This Row],[pendingAmount]]&lt;=TrafficData[[#This Row],[totalAmount]],TrafficData[[#This Row],[disposedAmount]]&lt;=TrafficData[[#This Row],[totalAmount]])</f>
        <v>1</v>
      </c>
      <c r="P2319" t="b">
        <f>AND(TrafficData[[#This Row],[pendingCourt]]&lt;=TrafficData[[#This Row],[totalCourt]],TrafficData[[#This Row],[disposedCourt]]&lt;=TrafficData[[#This Row],[totalCourt]])</f>
        <v>1</v>
      </c>
    </row>
    <row r="2320" spans="1:16">
      <c r="A2320" s="1">
        <v>44324</v>
      </c>
      <c r="B2320">
        <v>100672</v>
      </c>
      <c r="C2320">
        <v>39747</v>
      </c>
      <c r="D2320">
        <v>60925</v>
      </c>
      <c r="E2320">
        <v>58626041</v>
      </c>
      <c r="F2320">
        <v>41013856</v>
      </c>
      <c r="G2320">
        <v>99639897</v>
      </c>
      <c r="H2320">
        <v>25069</v>
      </c>
      <c r="I2320">
        <v>8210</v>
      </c>
      <c r="J2320">
        <v>33279</v>
      </c>
      <c r="K2320" t="b">
        <f>TrafficData[[#This Row],[disposedChallan]]+TrafficData[[#This Row],[pendingChallan]]=TrafficData[[#This Row],[totalChallan]]</f>
        <v>1</v>
      </c>
      <c r="L2320" t="b">
        <f>TrafficData[[#This Row],[pendingAmount]]+TrafficData[[#This Row],[disposedAmount]]=TrafficData[[#This Row],[totalAmount]]</f>
        <v>1</v>
      </c>
      <c r="M2320" t="b">
        <f>TrafficData[[#This Row],[pendingCourt]]+TrafficData[[#This Row],[disposedCourt]]=TrafficData[[#This Row],[totalCourt]]</f>
        <v>1</v>
      </c>
      <c r="N2320" t="b">
        <f>AND(TrafficData[[#This Row],[disposedChallan]]&lt;=TrafficData[[#This Row],[totalChallan]],TrafficData[[#This Row],[pendingChallan]]&lt;=TrafficData[[#This Row],[totalChallan]])</f>
        <v>1</v>
      </c>
      <c r="O2320" t="b">
        <f>AND(TrafficData[[#This Row],[pendingAmount]]&lt;=TrafficData[[#This Row],[totalAmount]],TrafficData[[#This Row],[disposedAmount]]&lt;=TrafficData[[#This Row],[totalAmount]])</f>
        <v>1</v>
      </c>
      <c r="P2320" t="b">
        <f>AND(TrafficData[[#This Row],[pendingCourt]]&lt;=TrafficData[[#This Row],[totalCourt]],TrafficData[[#This Row],[disposedCourt]]&lt;=TrafficData[[#This Row],[totalCourt]])</f>
        <v>1</v>
      </c>
    </row>
    <row r="2321" spans="1:16">
      <c r="A2321" s="1">
        <v>44325</v>
      </c>
      <c r="B2321">
        <v>93628</v>
      </c>
      <c r="C2321">
        <v>36642</v>
      </c>
      <c r="D2321">
        <v>56986</v>
      </c>
      <c r="E2321">
        <v>54663367</v>
      </c>
      <c r="F2321">
        <v>31645355</v>
      </c>
      <c r="G2321">
        <v>86308722</v>
      </c>
      <c r="H2321">
        <v>23566</v>
      </c>
      <c r="I2321">
        <v>8319</v>
      </c>
      <c r="J2321">
        <v>31885</v>
      </c>
      <c r="K2321" t="b">
        <f>TrafficData[[#This Row],[disposedChallan]]+TrafficData[[#This Row],[pendingChallan]]=TrafficData[[#This Row],[totalChallan]]</f>
        <v>1</v>
      </c>
      <c r="L2321" t="b">
        <f>TrafficData[[#This Row],[pendingAmount]]+TrafficData[[#This Row],[disposedAmount]]=TrafficData[[#This Row],[totalAmount]]</f>
        <v>1</v>
      </c>
      <c r="M2321" t="b">
        <f>TrafficData[[#This Row],[pendingCourt]]+TrafficData[[#This Row],[disposedCourt]]=TrafficData[[#This Row],[totalCourt]]</f>
        <v>1</v>
      </c>
      <c r="N2321" t="b">
        <f>AND(TrafficData[[#This Row],[disposedChallan]]&lt;=TrafficData[[#This Row],[totalChallan]],TrafficData[[#This Row],[pendingChallan]]&lt;=TrafficData[[#This Row],[totalChallan]])</f>
        <v>1</v>
      </c>
      <c r="O2321" t="b">
        <f>AND(TrafficData[[#This Row],[pendingAmount]]&lt;=TrafficData[[#This Row],[totalAmount]],TrafficData[[#This Row],[disposedAmount]]&lt;=TrafficData[[#This Row],[totalAmount]])</f>
        <v>1</v>
      </c>
      <c r="P2321" t="b">
        <f>AND(TrafficData[[#This Row],[pendingCourt]]&lt;=TrafficData[[#This Row],[totalCourt]],TrafficData[[#This Row],[disposedCourt]]&lt;=TrafficData[[#This Row],[totalCourt]])</f>
        <v>1</v>
      </c>
    </row>
    <row r="2322" spans="1:16">
      <c r="A2322" s="1">
        <v>44326</v>
      </c>
      <c r="B2322">
        <v>71914</v>
      </c>
      <c r="C2322">
        <v>29629</v>
      </c>
      <c r="D2322">
        <v>42285</v>
      </c>
      <c r="E2322">
        <v>51189748</v>
      </c>
      <c r="F2322">
        <v>36840414</v>
      </c>
      <c r="G2322">
        <v>88030162</v>
      </c>
      <c r="H2322">
        <v>21199</v>
      </c>
      <c r="I2322">
        <v>7859</v>
      </c>
      <c r="J2322">
        <v>29058</v>
      </c>
      <c r="K2322" t="b">
        <f>TrafficData[[#This Row],[disposedChallan]]+TrafficData[[#This Row],[pendingChallan]]=TrafficData[[#This Row],[totalChallan]]</f>
        <v>1</v>
      </c>
      <c r="L2322" t="b">
        <f>TrafficData[[#This Row],[pendingAmount]]+TrafficData[[#This Row],[disposedAmount]]=TrafficData[[#This Row],[totalAmount]]</f>
        <v>1</v>
      </c>
      <c r="M2322" t="b">
        <f>TrafficData[[#This Row],[pendingCourt]]+TrafficData[[#This Row],[disposedCourt]]=TrafficData[[#This Row],[totalCourt]]</f>
        <v>1</v>
      </c>
      <c r="N2322" t="b">
        <f>AND(TrafficData[[#This Row],[disposedChallan]]&lt;=TrafficData[[#This Row],[totalChallan]],TrafficData[[#This Row],[pendingChallan]]&lt;=TrafficData[[#This Row],[totalChallan]])</f>
        <v>1</v>
      </c>
      <c r="O2322" t="b">
        <f>AND(TrafficData[[#This Row],[pendingAmount]]&lt;=TrafficData[[#This Row],[totalAmount]],TrafficData[[#This Row],[disposedAmount]]&lt;=TrafficData[[#This Row],[totalAmount]])</f>
        <v>1</v>
      </c>
      <c r="P2322" t="b">
        <f>AND(TrafficData[[#This Row],[pendingCourt]]&lt;=TrafficData[[#This Row],[totalCourt]],TrafficData[[#This Row],[disposedCourt]]&lt;=TrafficData[[#This Row],[totalCourt]])</f>
        <v>1</v>
      </c>
    </row>
    <row r="2323" spans="1:16">
      <c r="A2323" s="1">
        <v>44327</v>
      </c>
      <c r="B2323">
        <v>74138</v>
      </c>
      <c r="C2323">
        <v>30583</v>
      </c>
      <c r="D2323">
        <v>43555</v>
      </c>
      <c r="E2323">
        <v>44702541</v>
      </c>
      <c r="F2323">
        <v>41301431</v>
      </c>
      <c r="G2323">
        <v>86003972</v>
      </c>
      <c r="H2323">
        <v>20594</v>
      </c>
      <c r="I2323">
        <v>7940</v>
      </c>
      <c r="J2323">
        <v>28534</v>
      </c>
      <c r="K2323" t="b">
        <f>TrafficData[[#This Row],[disposedChallan]]+TrafficData[[#This Row],[pendingChallan]]=TrafficData[[#This Row],[totalChallan]]</f>
        <v>1</v>
      </c>
      <c r="L2323" t="b">
        <f>TrafficData[[#This Row],[pendingAmount]]+TrafficData[[#This Row],[disposedAmount]]=TrafficData[[#This Row],[totalAmount]]</f>
        <v>1</v>
      </c>
      <c r="M2323" t="b">
        <f>TrafficData[[#This Row],[pendingCourt]]+TrafficData[[#This Row],[disposedCourt]]=TrafficData[[#This Row],[totalCourt]]</f>
        <v>1</v>
      </c>
      <c r="N2323" t="b">
        <f>AND(TrafficData[[#This Row],[disposedChallan]]&lt;=TrafficData[[#This Row],[totalChallan]],TrafficData[[#This Row],[pendingChallan]]&lt;=TrafficData[[#This Row],[totalChallan]])</f>
        <v>1</v>
      </c>
      <c r="O2323" t="b">
        <f>AND(TrafficData[[#This Row],[pendingAmount]]&lt;=TrafficData[[#This Row],[totalAmount]],TrafficData[[#This Row],[disposedAmount]]&lt;=TrafficData[[#This Row],[totalAmount]])</f>
        <v>1</v>
      </c>
      <c r="P2323" t="b">
        <f>AND(TrafficData[[#This Row],[pendingCourt]]&lt;=TrafficData[[#This Row],[totalCourt]],TrafficData[[#This Row],[disposedCourt]]&lt;=TrafficData[[#This Row],[totalCourt]])</f>
        <v>1</v>
      </c>
    </row>
    <row r="2324" spans="1:16">
      <c r="A2324" s="1">
        <v>44328</v>
      </c>
      <c r="B2324">
        <v>75250</v>
      </c>
      <c r="C2324">
        <v>30882</v>
      </c>
      <c r="D2324">
        <v>44368</v>
      </c>
      <c r="E2324">
        <v>45022381</v>
      </c>
      <c r="F2324">
        <v>40861354</v>
      </c>
      <c r="G2324">
        <v>85883735</v>
      </c>
      <c r="H2324">
        <v>21276</v>
      </c>
      <c r="I2324">
        <v>7598</v>
      </c>
      <c r="J2324">
        <v>28874</v>
      </c>
      <c r="K2324" t="b">
        <f>TrafficData[[#This Row],[disposedChallan]]+TrafficData[[#This Row],[pendingChallan]]=TrafficData[[#This Row],[totalChallan]]</f>
        <v>1</v>
      </c>
      <c r="L2324" t="b">
        <f>TrafficData[[#This Row],[pendingAmount]]+TrafficData[[#This Row],[disposedAmount]]=TrafficData[[#This Row],[totalAmount]]</f>
        <v>1</v>
      </c>
      <c r="M2324" t="b">
        <f>TrafficData[[#This Row],[pendingCourt]]+TrafficData[[#This Row],[disposedCourt]]=TrafficData[[#This Row],[totalCourt]]</f>
        <v>1</v>
      </c>
      <c r="N2324" t="b">
        <f>AND(TrafficData[[#This Row],[disposedChallan]]&lt;=TrafficData[[#This Row],[totalChallan]],TrafficData[[#This Row],[pendingChallan]]&lt;=TrafficData[[#This Row],[totalChallan]])</f>
        <v>1</v>
      </c>
      <c r="O2324" t="b">
        <f>AND(TrafficData[[#This Row],[pendingAmount]]&lt;=TrafficData[[#This Row],[totalAmount]],TrafficData[[#This Row],[disposedAmount]]&lt;=TrafficData[[#This Row],[totalAmount]])</f>
        <v>1</v>
      </c>
      <c r="P2324" t="b">
        <f>AND(TrafficData[[#This Row],[pendingCourt]]&lt;=TrafficData[[#This Row],[totalCourt]],TrafficData[[#This Row],[disposedCourt]]&lt;=TrafficData[[#This Row],[totalCourt]])</f>
        <v>1</v>
      </c>
    </row>
    <row r="2325" spans="1:16">
      <c r="A2325" s="1">
        <v>44329</v>
      </c>
      <c r="B2325">
        <v>75176</v>
      </c>
      <c r="C2325">
        <v>31564</v>
      </c>
      <c r="D2325">
        <v>43612</v>
      </c>
      <c r="E2325">
        <v>43475068</v>
      </c>
      <c r="F2325">
        <v>47213773</v>
      </c>
      <c r="G2325">
        <v>90688841</v>
      </c>
      <c r="H2325">
        <v>20347</v>
      </c>
      <c r="I2325">
        <v>7645</v>
      </c>
      <c r="J2325">
        <v>27992</v>
      </c>
      <c r="K2325" t="b">
        <f>TrafficData[[#This Row],[disposedChallan]]+TrafficData[[#This Row],[pendingChallan]]=TrafficData[[#This Row],[totalChallan]]</f>
        <v>1</v>
      </c>
      <c r="L2325" t="b">
        <f>TrafficData[[#This Row],[pendingAmount]]+TrafficData[[#This Row],[disposedAmount]]=TrafficData[[#This Row],[totalAmount]]</f>
        <v>1</v>
      </c>
      <c r="M2325" t="b">
        <f>TrafficData[[#This Row],[pendingCourt]]+TrafficData[[#This Row],[disposedCourt]]=TrafficData[[#This Row],[totalCourt]]</f>
        <v>1</v>
      </c>
      <c r="N2325" t="b">
        <f>AND(TrafficData[[#This Row],[disposedChallan]]&lt;=TrafficData[[#This Row],[totalChallan]],TrafficData[[#This Row],[pendingChallan]]&lt;=TrafficData[[#This Row],[totalChallan]])</f>
        <v>1</v>
      </c>
      <c r="O2325" t="b">
        <f>AND(TrafficData[[#This Row],[pendingAmount]]&lt;=TrafficData[[#This Row],[totalAmount]],TrafficData[[#This Row],[disposedAmount]]&lt;=TrafficData[[#This Row],[totalAmount]])</f>
        <v>1</v>
      </c>
      <c r="P2325" t="b">
        <f>AND(TrafficData[[#This Row],[pendingCourt]]&lt;=TrafficData[[#This Row],[totalCourt]],TrafficData[[#This Row],[disposedCourt]]&lt;=TrafficData[[#This Row],[totalCourt]])</f>
        <v>1</v>
      </c>
    </row>
    <row r="2326" spans="1:16">
      <c r="A2326" s="1">
        <v>44330</v>
      </c>
      <c r="B2326">
        <v>88618</v>
      </c>
      <c r="C2326">
        <v>35301</v>
      </c>
      <c r="D2326">
        <v>53317</v>
      </c>
      <c r="E2326">
        <v>48208065</v>
      </c>
      <c r="F2326">
        <v>36002461</v>
      </c>
      <c r="G2326">
        <v>84210526</v>
      </c>
      <c r="H2326">
        <v>19964</v>
      </c>
      <c r="I2326">
        <v>7112</v>
      </c>
      <c r="J2326">
        <v>27076</v>
      </c>
      <c r="K2326" t="b">
        <f>TrafficData[[#This Row],[disposedChallan]]+TrafficData[[#This Row],[pendingChallan]]=TrafficData[[#This Row],[totalChallan]]</f>
        <v>1</v>
      </c>
      <c r="L2326" t="b">
        <f>TrafficData[[#This Row],[pendingAmount]]+TrafficData[[#This Row],[disposedAmount]]=TrafficData[[#This Row],[totalAmount]]</f>
        <v>1</v>
      </c>
      <c r="M2326" t="b">
        <f>TrafficData[[#This Row],[pendingCourt]]+TrafficData[[#This Row],[disposedCourt]]=TrafficData[[#This Row],[totalCourt]]</f>
        <v>1</v>
      </c>
      <c r="N2326" t="b">
        <f>AND(TrafficData[[#This Row],[disposedChallan]]&lt;=TrafficData[[#This Row],[totalChallan]],TrafficData[[#This Row],[pendingChallan]]&lt;=TrafficData[[#This Row],[totalChallan]])</f>
        <v>1</v>
      </c>
      <c r="O2326" t="b">
        <f>AND(TrafficData[[#This Row],[pendingAmount]]&lt;=TrafficData[[#This Row],[totalAmount]],TrafficData[[#This Row],[disposedAmount]]&lt;=TrafficData[[#This Row],[totalAmount]])</f>
        <v>1</v>
      </c>
      <c r="P2326" t="b">
        <f>AND(TrafficData[[#This Row],[pendingCourt]]&lt;=TrafficData[[#This Row],[totalCourt]],TrafficData[[#This Row],[disposedCourt]]&lt;=TrafficData[[#This Row],[totalCourt]])</f>
        <v>1</v>
      </c>
    </row>
    <row r="2327" spans="1:16">
      <c r="A2327" s="1">
        <v>44331</v>
      </c>
      <c r="B2327">
        <v>89778</v>
      </c>
      <c r="C2327">
        <v>36327</v>
      </c>
      <c r="D2327">
        <v>53451</v>
      </c>
      <c r="E2327">
        <v>51470775</v>
      </c>
      <c r="F2327">
        <v>37066557</v>
      </c>
      <c r="G2327">
        <v>88537332</v>
      </c>
      <c r="H2327">
        <v>23857</v>
      </c>
      <c r="I2327">
        <v>8522</v>
      </c>
      <c r="J2327">
        <v>32379</v>
      </c>
      <c r="K2327" t="b">
        <f>TrafficData[[#This Row],[disposedChallan]]+TrafficData[[#This Row],[pendingChallan]]=TrafficData[[#This Row],[totalChallan]]</f>
        <v>1</v>
      </c>
      <c r="L2327" t="b">
        <f>TrafficData[[#This Row],[pendingAmount]]+TrafficData[[#This Row],[disposedAmount]]=TrafficData[[#This Row],[totalAmount]]</f>
        <v>1</v>
      </c>
      <c r="M2327" t="b">
        <f>TrafficData[[#This Row],[pendingCourt]]+TrafficData[[#This Row],[disposedCourt]]=TrafficData[[#This Row],[totalCourt]]</f>
        <v>1</v>
      </c>
      <c r="N2327" t="b">
        <f>AND(TrafficData[[#This Row],[disposedChallan]]&lt;=TrafficData[[#This Row],[totalChallan]],TrafficData[[#This Row],[pendingChallan]]&lt;=TrafficData[[#This Row],[totalChallan]])</f>
        <v>1</v>
      </c>
      <c r="O2327" t="b">
        <f>AND(TrafficData[[#This Row],[pendingAmount]]&lt;=TrafficData[[#This Row],[totalAmount]],TrafficData[[#This Row],[disposedAmount]]&lt;=TrafficData[[#This Row],[totalAmount]])</f>
        <v>1</v>
      </c>
      <c r="P2327" t="b">
        <f>AND(TrafficData[[#This Row],[pendingCourt]]&lt;=TrafficData[[#This Row],[totalCourt]],TrafficData[[#This Row],[disposedCourt]]&lt;=TrafficData[[#This Row],[totalCourt]])</f>
        <v>1</v>
      </c>
    </row>
    <row r="2328" spans="1:16">
      <c r="A2328" s="1">
        <v>44332</v>
      </c>
      <c r="B2328">
        <v>77260</v>
      </c>
      <c r="C2328">
        <v>29246</v>
      </c>
      <c r="D2328">
        <v>48014</v>
      </c>
      <c r="E2328">
        <v>49769140</v>
      </c>
      <c r="F2328">
        <v>39849519</v>
      </c>
      <c r="G2328">
        <v>89618659</v>
      </c>
      <c r="H2328">
        <v>21870</v>
      </c>
      <c r="I2328">
        <v>7686</v>
      </c>
      <c r="J2328">
        <v>29556</v>
      </c>
      <c r="K2328" t="b">
        <f>TrafficData[[#This Row],[disposedChallan]]+TrafficData[[#This Row],[pendingChallan]]=TrafficData[[#This Row],[totalChallan]]</f>
        <v>1</v>
      </c>
      <c r="L2328" t="b">
        <f>TrafficData[[#This Row],[pendingAmount]]+TrafficData[[#This Row],[disposedAmount]]=TrafficData[[#This Row],[totalAmount]]</f>
        <v>1</v>
      </c>
      <c r="M2328" t="b">
        <f>TrafficData[[#This Row],[pendingCourt]]+TrafficData[[#This Row],[disposedCourt]]=TrafficData[[#This Row],[totalCourt]]</f>
        <v>1</v>
      </c>
      <c r="N2328" t="b">
        <f>AND(TrafficData[[#This Row],[disposedChallan]]&lt;=TrafficData[[#This Row],[totalChallan]],TrafficData[[#This Row],[pendingChallan]]&lt;=TrafficData[[#This Row],[totalChallan]])</f>
        <v>1</v>
      </c>
      <c r="O2328" t="b">
        <f>AND(TrafficData[[#This Row],[pendingAmount]]&lt;=TrafficData[[#This Row],[totalAmount]],TrafficData[[#This Row],[disposedAmount]]&lt;=TrafficData[[#This Row],[totalAmount]])</f>
        <v>1</v>
      </c>
      <c r="P2328" t="b">
        <f>AND(TrafficData[[#This Row],[pendingCourt]]&lt;=TrafficData[[#This Row],[totalCourt]],TrafficData[[#This Row],[disposedCourt]]&lt;=TrafficData[[#This Row],[totalCourt]])</f>
        <v>1</v>
      </c>
    </row>
    <row r="2329" spans="1:16">
      <c r="A2329" s="1">
        <v>44333</v>
      </c>
      <c r="B2329">
        <v>90398</v>
      </c>
      <c r="C2329">
        <v>36838</v>
      </c>
      <c r="D2329">
        <v>53560</v>
      </c>
      <c r="E2329">
        <v>56546970</v>
      </c>
      <c r="F2329">
        <v>44679738</v>
      </c>
      <c r="G2329">
        <v>101226708</v>
      </c>
      <c r="H2329">
        <v>24442</v>
      </c>
      <c r="I2329">
        <v>9378</v>
      </c>
      <c r="J2329">
        <v>33820</v>
      </c>
      <c r="K2329" t="b">
        <f>TrafficData[[#This Row],[disposedChallan]]+TrafficData[[#This Row],[pendingChallan]]=TrafficData[[#This Row],[totalChallan]]</f>
        <v>1</v>
      </c>
      <c r="L2329" t="b">
        <f>TrafficData[[#This Row],[pendingAmount]]+TrafficData[[#This Row],[disposedAmount]]=TrafficData[[#This Row],[totalAmount]]</f>
        <v>1</v>
      </c>
      <c r="M2329" t="b">
        <f>TrafficData[[#This Row],[pendingCourt]]+TrafficData[[#This Row],[disposedCourt]]=TrafficData[[#This Row],[totalCourt]]</f>
        <v>1</v>
      </c>
      <c r="N2329" t="b">
        <f>AND(TrafficData[[#This Row],[disposedChallan]]&lt;=TrafficData[[#This Row],[totalChallan]],TrafficData[[#This Row],[pendingChallan]]&lt;=TrafficData[[#This Row],[totalChallan]])</f>
        <v>1</v>
      </c>
      <c r="O2329" t="b">
        <f>AND(TrafficData[[#This Row],[pendingAmount]]&lt;=TrafficData[[#This Row],[totalAmount]],TrafficData[[#This Row],[disposedAmount]]&lt;=TrafficData[[#This Row],[totalAmount]])</f>
        <v>1</v>
      </c>
      <c r="P2329" t="b">
        <f>AND(TrafficData[[#This Row],[pendingCourt]]&lt;=TrafficData[[#This Row],[totalCourt]],TrafficData[[#This Row],[disposedCourt]]&lt;=TrafficData[[#This Row],[totalCourt]])</f>
        <v>1</v>
      </c>
    </row>
    <row r="2330" spans="1:16">
      <c r="A2330" s="1">
        <v>44334</v>
      </c>
      <c r="B2330">
        <v>91361</v>
      </c>
      <c r="C2330">
        <v>36616</v>
      </c>
      <c r="D2330">
        <v>54745</v>
      </c>
      <c r="E2330">
        <v>53245760</v>
      </c>
      <c r="F2330">
        <v>45595625</v>
      </c>
      <c r="G2330">
        <v>98841385</v>
      </c>
      <c r="H2330">
        <v>23132</v>
      </c>
      <c r="I2330">
        <v>8226</v>
      </c>
      <c r="J2330">
        <v>31358</v>
      </c>
      <c r="K2330" t="b">
        <f>TrafficData[[#This Row],[disposedChallan]]+TrafficData[[#This Row],[pendingChallan]]=TrafficData[[#This Row],[totalChallan]]</f>
        <v>1</v>
      </c>
      <c r="L2330" t="b">
        <f>TrafficData[[#This Row],[pendingAmount]]+TrafficData[[#This Row],[disposedAmount]]=TrafficData[[#This Row],[totalAmount]]</f>
        <v>1</v>
      </c>
      <c r="M2330" t="b">
        <f>TrafficData[[#This Row],[pendingCourt]]+TrafficData[[#This Row],[disposedCourt]]=TrafficData[[#This Row],[totalCourt]]</f>
        <v>1</v>
      </c>
      <c r="N2330" t="b">
        <f>AND(TrafficData[[#This Row],[disposedChallan]]&lt;=TrafficData[[#This Row],[totalChallan]],TrafficData[[#This Row],[pendingChallan]]&lt;=TrafficData[[#This Row],[totalChallan]])</f>
        <v>1</v>
      </c>
      <c r="O2330" t="b">
        <f>AND(TrafficData[[#This Row],[pendingAmount]]&lt;=TrafficData[[#This Row],[totalAmount]],TrafficData[[#This Row],[disposedAmount]]&lt;=TrafficData[[#This Row],[totalAmount]])</f>
        <v>1</v>
      </c>
      <c r="P2330" t="b">
        <f>AND(TrafficData[[#This Row],[pendingCourt]]&lt;=TrafficData[[#This Row],[totalCourt]],TrafficData[[#This Row],[disposedCourt]]&lt;=TrafficData[[#This Row],[totalCourt]])</f>
        <v>1</v>
      </c>
    </row>
    <row r="2331" spans="1:16">
      <c r="A2331" s="1">
        <v>44335</v>
      </c>
      <c r="B2331">
        <v>76594</v>
      </c>
      <c r="C2331">
        <v>32599</v>
      </c>
      <c r="D2331">
        <v>43995</v>
      </c>
      <c r="E2331">
        <v>38276671</v>
      </c>
      <c r="F2331">
        <v>46053161</v>
      </c>
      <c r="G2331">
        <v>84329832</v>
      </c>
      <c r="H2331">
        <v>15237</v>
      </c>
      <c r="I2331">
        <v>6037</v>
      </c>
      <c r="J2331">
        <v>21274</v>
      </c>
      <c r="K2331" t="b">
        <f>TrafficData[[#This Row],[disposedChallan]]+TrafficData[[#This Row],[pendingChallan]]=TrafficData[[#This Row],[totalChallan]]</f>
        <v>1</v>
      </c>
      <c r="L2331" t="b">
        <f>TrafficData[[#This Row],[pendingAmount]]+TrafficData[[#This Row],[disposedAmount]]=TrafficData[[#This Row],[totalAmount]]</f>
        <v>1</v>
      </c>
      <c r="M2331" t="b">
        <f>TrafficData[[#This Row],[pendingCourt]]+TrafficData[[#This Row],[disposedCourt]]=TrafficData[[#This Row],[totalCourt]]</f>
        <v>1</v>
      </c>
      <c r="N2331" t="b">
        <f>AND(TrafficData[[#This Row],[disposedChallan]]&lt;=TrafficData[[#This Row],[totalChallan]],TrafficData[[#This Row],[pendingChallan]]&lt;=TrafficData[[#This Row],[totalChallan]])</f>
        <v>1</v>
      </c>
      <c r="O2331" t="b">
        <f>AND(TrafficData[[#This Row],[pendingAmount]]&lt;=TrafficData[[#This Row],[totalAmount]],TrafficData[[#This Row],[disposedAmount]]&lt;=TrafficData[[#This Row],[totalAmount]])</f>
        <v>1</v>
      </c>
      <c r="P2331" t="b">
        <f>AND(TrafficData[[#This Row],[pendingCourt]]&lt;=TrafficData[[#This Row],[totalCourt]],TrafficData[[#This Row],[disposedCourt]]&lt;=TrafficData[[#This Row],[totalCourt]])</f>
        <v>1</v>
      </c>
    </row>
    <row r="2332" spans="1:16">
      <c r="A2332" s="1">
        <v>44336</v>
      </c>
      <c r="B2332">
        <v>82852</v>
      </c>
      <c r="C2332">
        <v>35929</v>
      </c>
      <c r="D2332">
        <v>46923</v>
      </c>
      <c r="E2332">
        <v>45464415</v>
      </c>
      <c r="F2332">
        <v>47671391</v>
      </c>
      <c r="G2332">
        <v>93135806</v>
      </c>
      <c r="H2332">
        <v>19450</v>
      </c>
      <c r="I2332">
        <v>7516</v>
      </c>
      <c r="J2332">
        <v>26966</v>
      </c>
      <c r="K2332" t="b">
        <f>TrafficData[[#This Row],[disposedChallan]]+TrafficData[[#This Row],[pendingChallan]]=TrafficData[[#This Row],[totalChallan]]</f>
        <v>1</v>
      </c>
      <c r="L2332" t="b">
        <f>TrafficData[[#This Row],[pendingAmount]]+TrafficData[[#This Row],[disposedAmount]]=TrafficData[[#This Row],[totalAmount]]</f>
        <v>1</v>
      </c>
      <c r="M2332" t="b">
        <f>TrafficData[[#This Row],[pendingCourt]]+TrafficData[[#This Row],[disposedCourt]]=TrafficData[[#This Row],[totalCourt]]</f>
        <v>1</v>
      </c>
      <c r="N2332" t="b">
        <f>AND(TrafficData[[#This Row],[disposedChallan]]&lt;=TrafficData[[#This Row],[totalChallan]],TrafficData[[#This Row],[pendingChallan]]&lt;=TrafficData[[#This Row],[totalChallan]])</f>
        <v>1</v>
      </c>
      <c r="O2332" t="b">
        <f>AND(TrafficData[[#This Row],[pendingAmount]]&lt;=TrafficData[[#This Row],[totalAmount]],TrafficData[[#This Row],[disposedAmount]]&lt;=TrafficData[[#This Row],[totalAmount]])</f>
        <v>1</v>
      </c>
      <c r="P2332" t="b">
        <f>AND(TrafficData[[#This Row],[pendingCourt]]&lt;=TrafficData[[#This Row],[totalCourt]],TrafficData[[#This Row],[disposedCourt]]&lt;=TrafficData[[#This Row],[totalCourt]])</f>
        <v>1</v>
      </c>
    </row>
    <row r="2333" spans="1:16">
      <c r="A2333" s="1">
        <v>44337</v>
      </c>
      <c r="B2333">
        <v>90662</v>
      </c>
      <c r="C2333">
        <v>38375</v>
      </c>
      <c r="D2333">
        <v>52287</v>
      </c>
      <c r="E2333">
        <v>48976655</v>
      </c>
      <c r="F2333">
        <v>49485766</v>
      </c>
      <c r="G2333">
        <v>98462421</v>
      </c>
      <c r="H2333">
        <v>21600</v>
      </c>
      <c r="I2333">
        <v>7845</v>
      </c>
      <c r="J2333">
        <v>29445</v>
      </c>
      <c r="K2333" t="b">
        <f>TrafficData[[#This Row],[disposedChallan]]+TrafficData[[#This Row],[pendingChallan]]=TrafficData[[#This Row],[totalChallan]]</f>
        <v>1</v>
      </c>
      <c r="L2333" t="b">
        <f>TrafficData[[#This Row],[pendingAmount]]+TrafficData[[#This Row],[disposedAmount]]=TrafficData[[#This Row],[totalAmount]]</f>
        <v>1</v>
      </c>
      <c r="M2333" t="b">
        <f>TrafficData[[#This Row],[pendingCourt]]+TrafficData[[#This Row],[disposedCourt]]=TrafficData[[#This Row],[totalCourt]]</f>
        <v>1</v>
      </c>
      <c r="N2333" t="b">
        <f>AND(TrafficData[[#This Row],[disposedChallan]]&lt;=TrafficData[[#This Row],[totalChallan]],TrafficData[[#This Row],[pendingChallan]]&lt;=TrafficData[[#This Row],[totalChallan]])</f>
        <v>1</v>
      </c>
      <c r="O2333" t="b">
        <f>AND(TrafficData[[#This Row],[pendingAmount]]&lt;=TrafficData[[#This Row],[totalAmount]],TrafficData[[#This Row],[disposedAmount]]&lt;=TrafficData[[#This Row],[totalAmount]])</f>
        <v>1</v>
      </c>
      <c r="P2333" t="b">
        <f>AND(TrafficData[[#This Row],[pendingCourt]]&lt;=TrafficData[[#This Row],[totalCourt]],TrafficData[[#This Row],[disposedCourt]]&lt;=TrafficData[[#This Row],[totalCourt]])</f>
        <v>1</v>
      </c>
    </row>
    <row r="2334" spans="1:16">
      <c r="A2334" s="1">
        <v>44338</v>
      </c>
      <c r="B2334">
        <v>87235</v>
      </c>
      <c r="C2334">
        <v>36096</v>
      </c>
      <c r="D2334">
        <v>51139</v>
      </c>
      <c r="E2334">
        <v>48717425</v>
      </c>
      <c r="F2334">
        <v>56130300</v>
      </c>
      <c r="G2334">
        <v>104847725</v>
      </c>
      <c r="H2334">
        <v>21343</v>
      </c>
      <c r="I2334">
        <v>6654</v>
      </c>
      <c r="J2334">
        <v>27997</v>
      </c>
      <c r="K2334" t="b">
        <f>TrafficData[[#This Row],[disposedChallan]]+TrafficData[[#This Row],[pendingChallan]]=TrafficData[[#This Row],[totalChallan]]</f>
        <v>1</v>
      </c>
      <c r="L2334" t="b">
        <f>TrafficData[[#This Row],[pendingAmount]]+TrafficData[[#This Row],[disposedAmount]]=TrafficData[[#This Row],[totalAmount]]</f>
        <v>1</v>
      </c>
      <c r="M2334" t="b">
        <f>TrafficData[[#This Row],[pendingCourt]]+TrafficData[[#This Row],[disposedCourt]]=TrafficData[[#This Row],[totalCourt]]</f>
        <v>1</v>
      </c>
      <c r="N2334" t="b">
        <f>AND(TrafficData[[#This Row],[disposedChallan]]&lt;=TrafficData[[#This Row],[totalChallan]],TrafficData[[#This Row],[pendingChallan]]&lt;=TrafficData[[#This Row],[totalChallan]])</f>
        <v>1</v>
      </c>
      <c r="O2334" t="b">
        <f>AND(TrafficData[[#This Row],[pendingAmount]]&lt;=TrafficData[[#This Row],[totalAmount]],TrafficData[[#This Row],[disposedAmount]]&lt;=TrafficData[[#This Row],[totalAmount]])</f>
        <v>1</v>
      </c>
      <c r="P2334" t="b">
        <f>AND(TrafficData[[#This Row],[pendingCourt]]&lt;=TrafficData[[#This Row],[totalCourt]],TrafficData[[#This Row],[disposedCourt]]&lt;=TrafficData[[#This Row],[totalCourt]])</f>
        <v>1</v>
      </c>
    </row>
    <row r="2335" spans="1:16">
      <c r="A2335" s="1">
        <v>44339</v>
      </c>
      <c r="B2335">
        <v>76138</v>
      </c>
      <c r="C2335">
        <v>31717</v>
      </c>
      <c r="D2335">
        <v>44421</v>
      </c>
      <c r="E2335">
        <v>48823160</v>
      </c>
      <c r="F2335">
        <v>39376748</v>
      </c>
      <c r="G2335">
        <v>88199908</v>
      </c>
      <c r="H2335">
        <v>23204</v>
      </c>
      <c r="I2335">
        <v>7754</v>
      </c>
      <c r="J2335">
        <v>30958</v>
      </c>
      <c r="K2335" t="b">
        <f>TrafficData[[#This Row],[disposedChallan]]+TrafficData[[#This Row],[pendingChallan]]=TrafficData[[#This Row],[totalChallan]]</f>
        <v>1</v>
      </c>
      <c r="L2335" t="b">
        <f>TrafficData[[#This Row],[pendingAmount]]+TrafficData[[#This Row],[disposedAmount]]=TrafficData[[#This Row],[totalAmount]]</f>
        <v>1</v>
      </c>
      <c r="M2335" t="b">
        <f>TrafficData[[#This Row],[pendingCourt]]+TrafficData[[#This Row],[disposedCourt]]=TrafficData[[#This Row],[totalCourt]]</f>
        <v>1</v>
      </c>
      <c r="N2335" t="b">
        <f>AND(TrafficData[[#This Row],[disposedChallan]]&lt;=TrafficData[[#This Row],[totalChallan]],TrafficData[[#This Row],[pendingChallan]]&lt;=TrafficData[[#This Row],[totalChallan]])</f>
        <v>1</v>
      </c>
      <c r="O2335" t="b">
        <f>AND(TrafficData[[#This Row],[pendingAmount]]&lt;=TrafficData[[#This Row],[totalAmount]],TrafficData[[#This Row],[disposedAmount]]&lt;=TrafficData[[#This Row],[totalAmount]])</f>
        <v>1</v>
      </c>
      <c r="P2335" t="b">
        <f>AND(TrafficData[[#This Row],[pendingCourt]]&lt;=TrafficData[[#This Row],[totalCourt]],TrafficData[[#This Row],[disposedCourt]]&lt;=TrafficData[[#This Row],[totalCourt]])</f>
        <v>1</v>
      </c>
    </row>
    <row r="2336" spans="1:16">
      <c r="A2336" s="1">
        <v>44340</v>
      </c>
      <c r="B2336">
        <v>71609</v>
      </c>
      <c r="C2336">
        <v>33021</v>
      </c>
      <c r="D2336">
        <v>38588</v>
      </c>
      <c r="E2336">
        <v>45408207</v>
      </c>
      <c r="F2336">
        <v>47639909</v>
      </c>
      <c r="G2336">
        <v>93048116</v>
      </c>
      <c r="H2336">
        <v>21741</v>
      </c>
      <c r="I2336">
        <v>7834</v>
      </c>
      <c r="J2336">
        <v>29575</v>
      </c>
      <c r="K2336" t="b">
        <f>TrafficData[[#This Row],[disposedChallan]]+TrafficData[[#This Row],[pendingChallan]]=TrafficData[[#This Row],[totalChallan]]</f>
        <v>1</v>
      </c>
      <c r="L2336" t="b">
        <f>TrafficData[[#This Row],[pendingAmount]]+TrafficData[[#This Row],[disposedAmount]]=TrafficData[[#This Row],[totalAmount]]</f>
        <v>1</v>
      </c>
      <c r="M2336" t="b">
        <f>TrafficData[[#This Row],[pendingCourt]]+TrafficData[[#This Row],[disposedCourt]]=TrafficData[[#This Row],[totalCourt]]</f>
        <v>1</v>
      </c>
      <c r="N2336" t="b">
        <f>AND(TrafficData[[#This Row],[disposedChallan]]&lt;=TrafficData[[#This Row],[totalChallan]],TrafficData[[#This Row],[pendingChallan]]&lt;=TrafficData[[#This Row],[totalChallan]])</f>
        <v>1</v>
      </c>
      <c r="O2336" t="b">
        <f>AND(TrafficData[[#This Row],[pendingAmount]]&lt;=TrafficData[[#This Row],[totalAmount]],TrafficData[[#This Row],[disposedAmount]]&lt;=TrafficData[[#This Row],[totalAmount]])</f>
        <v>1</v>
      </c>
      <c r="P2336" t="b">
        <f>AND(TrafficData[[#This Row],[pendingCourt]]&lt;=TrafficData[[#This Row],[totalCourt]],TrafficData[[#This Row],[disposedCourt]]&lt;=TrafficData[[#This Row],[totalCourt]])</f>
        <v>1</v>
      </c>
    </row>
    <row r="2337" spans="1:16">
      <c r="A2337" s="1">
        <v>44341</v>
      </c>
      <c r="B2337">
        <v>72102</v>
      </c>
      <c r="C2337">
        <v>33229</v>
      </c>
      <c r="D2337">
        <v>38873</v>
      </c>
      <c r="E2337">
        <v>46691391</v>
      </c>
      <c r="F2337">
        <v>48145736</v>
      </c>
      <c r="G2337">
        <v>94837127</v>
      </c>
      <c r="H2337">
        <v>21649</v>
      </c>
      <c r="I2337">
        <v>7709</v>
      </c>
      <c r="J2337">
        <v>29358</v>
      </c>
      <c r="K2337" t="b">
        <f>TrafficData[[#This Row],[disposedChallan]]+TrafficData[[#This Row],[pendingChallan]]=TrafficData[[#This Row],[totalChallan]]</f>
        <v>1</v>
      </c>
      <c r="L2337" t="b">
        <f>TrafficData[[#This Row],[pendingAmount]]+TrafficData[[#This Row],[disposedAmount]]=TrafficData[[#This Row],[totalAmount]]</f>
        <v>1</v>
      </c>
      <c r="M2337" t="b">
        <f>TrafficData[[#This Row],[pendingCourt]]+TrafficData[[#This Row],[disposedCourt]]=TrafficData[[#This Row],[totalCourt]]</f>
        <v>1</v>
      </c>
      <c r="N2337" t="b">
        <f>AND(TrafficData[[#This Row],[disposedChallan]]&lt;=TrafficData[[#This Row],[totalChallan]],TrafficData[[#This Row],[pendingChallan]]&lt;=TrafficData[[#This Row],[totalChallan]])</f>
        <v>1</v>
      </c>
      <c r="O2337" t="b">
        <f>AND(TrafficData[[#This Row],[pendingAmount]]&lt;=TrafficData[[#This Row],[totalAmount]],TrafficData[[#This Row],[disposedAmount]]&lt;=TrafficData[[#This Row],[totalAmount]])</f>
        <v>1</v>
      </c>
      <c r="P2337" t="b">
        <f>AND(TrafficData[[#This Row],[pendingCourt]]&lt;=TrafficData[[#This Row],[totalCourt]],TrafficData[[#This Row],[disposedCourt]]&lt;=TrafficData[[#This Row],[totalCourt]])</f>
        <v>1</v>
      </c>
    </row>
    <row r="2338" spans="1:16">
      <c r="A2338" s="1">
        <v>44342</v>
      </c>
      <c r="B2338">
        <v>74320</v>
      </c>
      <c r="C2338">
        <v>33963</v>
      </c>
      <c r="D2338">
        <v>40357</v>
      </c>
      <c r="E2338">
        <v>47484041</v>
      </c>
      <c r="F2338">
        <v>47442609</v>
      </c>
      <c r="G2338">
        <v>94926650</v>
      </c>
      <c r="H2338">
        <v>22846</v>
      </c>
      <c r="I2338">
        <v>8348</v>
      </c>
      <c r="J2338">
        <v>31194</v>
      </c>
      <c r="K2338" t="b">
        <f>TrafficData[[#This Row],[disposedChallan]]+TrafficData[[#This Row],[pendingChallan]]=TrafficData[[#This Row],[totalChallan]]</f>
        <v>1</v>
      </c>
      <c r="L2338" t="b">
        <f>TrafficData[[#This Row],[pendingAmount]]+TrafficData[[#This Row],[disposedAmount]]=TrafficData[[#This Row],[totalAmount]]</f>
        <v>1</v>
      </c>
      <c r="M2338" t="b">
        <f>TrafficData[[#This Row],[pendingCourt]]+TrafficData[[#This Row],[disposedCourt]]=TrafficData[[#This Row],[totalCourt]]</f>
        <v>1</v>
      </c>
      <c r="N2338" t="b">
        <f>AND(TrafficData[[#This Row],[disposedChallan]]&lt;=TrafficData[[#This Row],[totalChallan]],TrafficData[[#This Row],[pendingChallan]]&lt;=TrafficData[[#This Row],[totalChallan]])</f>
        <v>1</v>
      </c>
      <c r="O2338" t="b">
        <f>AND(TrafficData[[#This Row],[pendingAmount]]&lt;=TrafficData[[#This Row],[totalAmount]],TrafficData[[#This Row],[disposedAmount]]&lt;=TrafficData[[#This Row],[totalAmount]])</f>
        <v>1</v>
      </c>
      <c r="P2338" t="b">
        <f>AND(TrafficData[[#This Row],[pendingCourt]]&lt;=TrafficData[[#This Row],[totalCourt]],TrafficData[[#This Row],[disposedCourt]]&lt;=TrafficData[[#This Row],[totalCourt]])</f>
        <v>1</v>
      </c>
    </row>
    <row r="2339" spans="1:16">
      <c r="A2339" s="1">
        <v>44343</v>
      </c>
      <c r="B2339">
        <v>75982</v>
      </c>
      <c r="C2339">
        <v>34149</v>
      </c>
      <c r="D2339">
        <v>41833</v>
      </c>
      <c r="E2339">
        <v>47996402</v>
      </c>
      <c r="F2339">
        <v>52671925</v>
      </c>
      <c r="G2339">
        <v>100668327</v>
      </c>
      <c r="H2339">
        <v>20353</v>
      </c>
      <c r="I2339">
        <v>7429</v>
      </c>
      <c r="J2339">
        <v>27782</v>
      </c>
      <c r="K2339" t="b">
        <f>TrafficData[[#This Row],[disposedChallan]]+TrafficData[[#This Row],[pendingChallan]]=TrafficData[[#This Row],[totalChallan]]</f>
        <v>1</v>
      </c>
      <c r="L2339" t="b">
        <f>TrafficData[[#This Row],[pendingAmount]]+TrafficData[[#This Row],[disposedAmount]]=TrafficData[[#This Row],[totalAmount]]</f>
        <v>1</v>
      </c>
      <c r="M2339" t="b">
        <f>TrafficData[[#This Row],[pendingCourt]]+TrafficData[[#This Row],[disposedCourt]]=TrafficData[[#This Row],[totalCourt]]</f>
        <v>1</v>
      </c>
      <c r="N2339" t="b">
        <f>AND(TrafficData[[#This Row],[disposedChallan]]&lt;=TrafficData[[#This Row],[totalChallan]],TrafficData[[#This Row],[pendingChallan]]&lt;=TrafficData[[#This Row],[totalChallan]])</f>
        <v>1</v>
      </c>
      <c r="O2339" t="b">
        <f>AND(TrafficData[[#This Row],[pendingAmount]]&lt;=TrafficData[[#This Row],[totalAmount]],TrafficData[[#This Row],[disposedAmount]]&lt;=TrafficData[[#This Row],[totalAmount]])</f>
        <v>1</v>
      </c>
      <c r="P2339" t="b">
        <f>AND(TrafficData[[#This Row],[pendingCourt]]&lt;=TrafficData[[#This Row],[totalCourt]],TrafficData[[#This Row],[disposedCourt]]&lt;=TrafficData[[#This Row],[totalCourt]])</f>
        <v>1</v>
      </c>
    </row>
    <row r="2340" spans="1:16">
      <c r="A2340" s="1">
        <v>44344</v>
      </c>
      <c r="B2340">
        <v>77086</v>
      </c>
      <c r="C2340">
        <v>35781</v>
      </c>
      <c r="D2340">
        <v>41305</v>
      </c>
      <c r="E2340">
        <v>45540175</v>
      </c>
      <c r="F2340">
        <v>47582114</v>
      </c>
      <c r="G2340">
        <v>93122289</v>
      </c>
      <c r="H2340">
        <v>19522</v>
      </c>
      <c r="I2340">
        <v>8004</v>
      </c>
      <c r="J2340">
        <v>27526</v>
      </c>
      <c r="K2340" t="b">
        <f>TrafficData[[#This Row],[disposedChallan]]+TrafficData[[#This Row],[pendingChallan]]=TrafficData[[#This Row],[totalChallan]]</f>
        <v>1</v>
      </c>
      <c r="L2340" t="b">
        <f>TrafficData[[#This Row],[pendingAmount]]+TrafficData[[#This Row],[disposedAmount]]=TrafficData[[#This Row],[totalAmount]]</f>
        <v>1</v>
      </c>
      <c r="M2340" t="b">
        <f>TrafficData[[#This Row],[pendingCourt]]+TrafficData[[#This Row],[disposedCourt]]=TrafficData[[#This Row],[totalCourt]]</f>
        <v>1</v>
      </c>
      <c r="N2340" t="b">
        <f>AND(TrafficData[[#This Row],[disposedChallan]]&lt;=TrafficData[[#This Row],[totalChallan]],TrafficData[[#This Row],[pendingChallan]]&lt;=TrafficData[[#This Row],[totalChallan]])</f>
        <v>1</v>
      </c>
      <c r="O2340" t="b">
        <f>AND(TrafficData[[#This Row],[pendingAmount]]&lt;=TrafficData[[#This Row],[totalAmount]],TrafficData[[#This Row],[disposedAmount]]&lt;=TrafficData[[#This Row],[totalAmount]])</f>
        <v>1</v>
      </c>
      <c r="P2340" t="b">
        <f>AND(TrafficData[[#This Row],[pendingCourt]]&lt;=TrafficData[[#This Row],[totalCourt]],TrafficData[[#This Row],[disposedCourt]]&lt;=TrafficData[[#This Row],[totalCourt]])</f>
        <v>1</v>
      </c>
    </row>
    <row r="2341" spans="1:16">
      <c r="A2341" s="1">
        <v>44345</v>
      </c>
      <c r="B2341">
        <v>82793</v>
      </c>
      <c r="C2341">
        <v>36297</v>
      </c>
      <c r="D2341">
        <v>46496</v>
      </c>
      <c r="E2341">
        <v>51229365</v>
      </c>
      <c r="F2341">
        <v>52580754</v>
      </c>
      <c r="G2341">
        <v>103810119</v>
      </c>
      <c r="H2341">
        <v>24174</v>
      </c>
      <c r="I2341">
        <v>8910</v>
      </c>
      <c r="J2341">
        <v>33084</v>
      </c>
      <c r="K2341" t="b">
        <f>TrafficData[[#This Row],[disposedChallan]]+TrafficData[[#This Row],[pendingChallan]]=TrafficData[[#This Row],[totalChallan]]</f>
        <v>1</v>
      </c>
      <c r="L2341" t="b">
        <f>TrafficData[[#This Row],[pendingAmount]]+TrafficData[[#This Row],[disposedAmount]]=TrafficData[[#This Row],[totalAmount]]</f>
        <v>1</v>
      </c>
      <c r="M2341" t="b">
        <f>TrafficData[[#This Row],[pendingCourt]]+TrafficData[[#This Row],[disposedCourt]]=TrafficData[[#This Row],[totalCourt]]</f>
        <v>1</v>
      </c>
      <c r="N2341" t="b">
        <f>AND(TrafficData[[#This Row],[disposedChallan]]&lt;=TrafficData[[#This Row],[totalChallan]],TrafficData[[#This Row],[pendingChallan]]&lt;=TrafficData[[#This Row],[totalChallan]])</f>
        <v>1</v>
      </c>
      <c r="O2341" t="b">
        <f>AND(TrafficData[[#This Row],[pendingAmount]]&lt;=TrafficData[[#This Row],[totalAmount]],TrafficData[[#This Row],[disposedAmount]]&lt;=TrafficData[[#This Row],[totalAmount]])</f>
        <v>1</v>
      </c>
      <c r="P2341" t="b">
        <f>AND(TrafficData[[#This Row],[pendingCourt]]&lt;=TrafficData[[#This Row],[totalCourt]],TrafficData[[#This Row],[disposedCourt]]&lt;=TrafficData[[#This Row],[totalCourt]])</f>
        <v>1</v>
      </c>
    </row>
    <row r="2342" spans="1:16">
      <c r="A2342" s="1">
        <v>44346</v>
      </c>
      <c r="B2342">
        <v>76527</v>
      </c>
      <c r="C2342">
        <v>32266</v>
      </c>
      <c r="D2342">
        <v>44261</v>
      </c>
      <c r="E2342">
        <v>48246505</v>
      </c>
      <c r="F2342">
        <v>46163707</v>
      </c>
      <c r="G2342">
        <v>94410212</v>
      </c>
      <c r="H2342">
        <v>24502</v>
      </c>
      <c r="I2342">
        <v>8536</v>
      </c>
      <c r="J2342">
        <v>33038</v>
      </c>
      <c r="K2342" t="b">
        <f>TrafficData[[#This Row],[disposedChallan]]+TrafficData[[#This Row],[pendingChallan]]=TrafficData[[#This Row],[totalChallan]]</f>
        <v>1</v>
      </c>
      <c r="L2342" t="b">
        <f>TrafficData[[#This Row],[pendingAmount]]+TrafficData[[#This Row],[disposedAmount]]=TrafficData[[#This Row],[totalAmount]]</f>
        <v>1</v>
      </c>
      <c r="M2342" t="b">
        <f>TrafficData[[#This Row],[pendingCourt]]+TrafficData[[#This Row],[disposedCourt]]=TrafficData[[#This Row],[totalCourt]]</f>
        <v>1</v>
      </c>
      <c r="N2342" t="b">
        <f>AND(TrafficData[[#This Row],[disposedChallan]]&lt;=TrafficData[[#This Row],[totalChallan]],TrafficData[[#This Row],[pendingChallan]]&lt;=TrafficData[[#This Row],[totalChallan]])</f>
        <v>1</v>
      </c>
      <c r="O2342" t="b">
        <f>AND(TrafficData[[#This Row],[pendingAmount]]&lt;=TrafficData[[#This Row],[totalAmount]],TrafficData[[#This Row],[disposedAmount]]&lt;=TrafficData[[#This Row],[totalAmount]])</f>
        <v>1</v>
      </c>
      <c r="P2342" t="b">
        <f>AND(TrafficData[[#This Row],[pendingCourt]]&lt;=TrafficData[[#This Row],[totalCourt]],TrafficData[[#This Row],[disposedCourt]]&lt;=TrafficData[[#This Row],[totalCourt]])</f>
        <v>1</v>
      </c>
    </row>
    <row r="2343" spans="1:16">
      <c r="A2343" s="1">
        <v>44347</v>
      </c>
      <c r="B2343">
        <v>88131</v>
      </c>
      <c r="C2343">
        <v>37982</v>
      </c>
      <c r="D2343">
        <v>50149</v>
      </c>
      <c r="E2343">
        <v>54773136</v>
      </c>
      <c r="F2343">
        <v>47444512</v>
      </c>
      <c r="G2343">
        <v>102217648</v>
      </c>
      <c r="H2343">
        <v>26676</v>
      </c>
      <c r="I2343">
        <v>9057</v>
      </c>
      <c r="J2343">
        <v>35733</v>
      </c>
      <c r="K2343" t="b">
        <f>TrafficData[[#This Row],[disposedChallan]]+TrafficData[[#This Row],[pendingChallan]]=TrafficData[[#This Row],[totalChallan]]</f>
        <v>1</v>
      </c>
      <c r="L2343" t="b">
        <f>TrafficData[[#This Row],[pendingAmount]]+TrafficData[[#This Row],[disposedAmount]]=TrafficData[[#This Row],[totalAmount]]</f>
        <v>1</v>
      </c>
      <c r="M2343" t="b">
        <f>TrafficData[[#This Row],[pendingCourt]]+TrafficData[[#This Row],[disposedCourt]]=TrafficData[[#This Row],[totalCourt]]</f>
        <v>1</v>
      </c>
      <c r="N2343" t="b">
        <f>AND(TrafficData[[#This Row],[disposedChallan]]&lt;=TrafficData[[#This Row],[totalChallan]],TrafficData[[#This Row],[pendingChallan]]&lt;=TrafficData[[#This Row],[totalChallan]])</f>
        <v>1</v>
      </c>
      <c r="O2343" t="b">
        <f>AND(TrafficData[[#This Row],[pendingAmount]]&lt;=TrafficData[[#This Row],[totalAmount]],TrafficData[[#This Row],[disposedAmount]]&lt;=TrafficData[[#This Row],[totalAmount]])</f>
        <v>1</v>
      </c>
      <c r="P2343" t="b">
        <f>AND(TrafficData[[#This Row],[pendingCourt]]&lt;=TrafficData[[#This Row],[totalCourt]],TrafficData[[#This Row],[disposedCourt]]&lt;=TrafficData[[#This Row],[totalCourt]])</f>
        <v>1</v>
      </c>
    </row>
    <row r="2344" spans="1:16">
      <c r="A2344" s="1">
        <v>44348</v>
      </c>
      <c r="B2344">
        <v>90279</v>
      </c>
      <c r="C2344">
        <v>40181</v>
      </c>
      <c r="D2344">
        <v>50098</v>
      </c>
      <c r="E2344">
        <v>53000676</v>
      </c>
      <c r="F2344">
        <v>55396625</v>
      </c>
      <c r="G2344">
        <v>108397301</v>
      </c>
      <c r="H2344">
        <v>26462</v>
      </c>
      <c r="I2344">
        <v>9642</v>
      </c>
      <c r="J2344">
        <v>36104</v>
      </c>
      <c r="K2344" t="b">
        <f>TrafficData[[#This Row],[disposedChallan]]+TrafficData[[#This Row],[pendingChallan]]=TrafficData[[#This Row],[totalChallan]]</f>
        <v>1</v>
      </c>
      <c r="L2344" t="b">
        <f>TrafficData[[#This Row],[pendingAmount]]+TrafficData[[#This Row],[disposedAmount]]=TrafficData[[#This Row],[totalAmount]]</f>
        <v>1</v>
      </c>
      <c r="M2344" t="b">
        <f>TrafficData[[#This Row],[pendingCourt]]+TrafficData[[#This Row],[disposedCourt]]=TrafficData[[#This Row],[totalCourt]]</f>
        <v>1</v>
      </c>
      <c r="N2344" t="b">
        <f>AND(TrafficData[[#This Row],[disposedChallan]]&lt;=TrafficData[[#This Row],[totalChallan]],TrafficData[[#This Row],[pendingChallan]]&lt;=TrafficData[[#This Row],[totalChallan]])</f>
        <v>1</v>
      </c>
      <c r="O2344" t="b">
        <f>AND(TrafficData[[#This Row],[pendingAmount]]&lt;=TrafficData[[#This Row],[totalAmount]],TrafficData[[#This Row],[disposedAmount]]&lt;=TrafficData[[#This Row],[totalAmount]])</f>
        <v>1</v>
      </c>
      <c r="P2344" t="b">
        <f>AND(TrafficData[[#This Row],[pendingCourt]]&lt;=TrafficData[[#This Row],[totalCourt]],TrafficData[[#This Row],[disposedCourt]]&lt;=TrafficData[[#This Row],[totalCourt]])</f>
        <v>1</v>
      </c>
    </row>
    <row r="2345" spans="1:16">
      <c r="A2345" s="1">
        <v>44349</v>
      </c>
      <c r="B2345">
        <v>95396</v>
      </c>
      <c r="C2345">
        <v>42297</v>
      </c>
      <c r="D2345">
        <v>53099</v>
      </c>
      <c r="E2345">
        <v>60653582</v>
      </c>
      <c r="F2345">
        <v>69280726</v>
      </c>
      <c r="G2345">
        <v>129934308</v>
      </c>
      <c r="H2345">
        <v>29067</v>
      </c>
      <c r="I2345">
        <v>10441</v>
      </c>
      <c r="J2345">
        <v>39508</v>
      </c>
      <c r="K2345" t="b">
        <f>TrafficData[[#This Row],[disposedChallan]]+TrafficData[[#This Row],[pendingChallan]]=TrafficData[[#This Row],[totalChallan]]</f>
        <v>1</v>
      </c>
      <c r="L2345" t="b">
        <f>TrafficData[[#This Row],[pendingAmount]]+TrafficData[[#This Row],[disposedAmount]]=TrafficData[[#This Row],[totalAmount]]</f>
        <v>1</v>
      </c>
      <c r="M2345" t="b">
        <f>TrafficData[[#This Row],[pendingCourt]]+TrafficData[[#This Row],[disposedCourt]]=TrafficData[[#This Row],[totalCourt]]</f>
        <v>1</v>
      </c>
      <c r="N2345" t="b">
        <f>AND(TrafficData[[#This Row],[disposedChallan]]&lt;=TrafficData[[#This Row],[totalChallan]],TrafficData[[#This Row],[pendingChallan]]&lt;=TrafficData[[#This Row],[totalChallan]])</f>
        <v>1</v>
      </c>
      <c r="O2345" t="b">
        <f>AND(TrafficData[[#This Row],[pendingAmount]]&lt;=TrafficData[[#This Row],[totalAmount]],TrafficData[[#This Row],[disposedAmount]]&lt;=TrafficData[[#This Row],[totalAmount]])</f>
        <v>1</v>
      </c>
      <c r="P2345" t="b">
        <f>AND(TrafficData[[#This Row],[pendingCourt]]&lt;=TrafficData[[#This Row],[totalCourt]],TrafficData[[#This Row],[disposedCourt]]&lt;=TrafficData[[#This Row],[totalCourt]])</f>
        <v>1</v>
      </c>
    </row>
    <row r="2346" spans="1:16">
      <c r="A2346" s="1">
        <v>44350</v>
      </c>
      <c r="B2346">
        <v>97124</v>
      </c>
      <c r="C2346">
        <v>42721</v>
      </c>
      <c r="D2346">
        <v>54403</v>
      </c>
      <c r="E2346">
        <v>59052269</v>
      </c>
      <c r="F2346">
        <v>65243810</v>
      </c>
      <c r="G2346">
        <v>124296079</v>
      </c>
      <c r="H2346">
        <v>28484</v>
      </c>
      <c r="I2346">
        <v>10103</v>
      </c>
      <c r="J2346">
        <v>38587</v>
      </c>
      <c r="K2346" t="b">
        <f>TrafficData[[#This Row],[disposedChallan]]+TrafficData[[#This Row],[pendingChallan]]=TrafficData[[#This Row],[totalChallan]]</f>
        <v>1</v>
      </c>
      <c r="L2346" t="b">
        <f>TrafficData[[#This Row],[pendingAmount]]+TrafficData[[#This Row],[disposedAmount]]=TrafficData[[#This Row],[totalAmount]]</f>
        <v>1</v>
      </c>
      <c r="M2346" t="b">
        <f>TrafficData[[#This Row],[pendingCourt]]+TrafficData[[#This Row],[disposedCourt]]=TrafficData[[#This Row],[totalCourt]]</f>
        <v>1</v>
      </c>
      <c r="N2346" t="b">
        <f>AND(TrafficData[[#This Row],[disposedChallan]]&lt;=TrafficData[[#This Row],[totalChallan]],TrafficData[[#This Row],[pendingChallan]]&lt;=TrafficData[[#This Row],[totalChallan]])</f>
        <v>1</v>
      </c>
      <c r="O2346" t="b">
        <f>AND(TrafficData[[#This Row],[pendingAmount]]&lt;=TrafficData[[#This Row],[totalAmount]],TrafficData[[#This Row],[disposedAmount]]&lt;=TrafficData[[#This Row],[totalAmount]])</f>
        <v>1</v>
      </c>
      <c r="P2346" t="b">
        <f>AND(TrafficData[[#This Row],[pendingCourt]]&lt;=TrafficData[[#This Row],[totalCourt]],TrafficData[[#This Row],[disposedCourt]]&lt;=TrafficData[[#This Row],[totalCourt]])</f>
        <v>1</v>
      </c>
    </row>
    <row r="2347" spans="1:16">
      <c r="A2347" s="1">
        <v>44351</v>
      </c>
      <c r="B2347">
        <v>94741</v>
      </c>
      <c r="C2347">
        <v>42170</v>
      </c>
      <c r="D2347">
        <v>52571</v>
      </c>
      <c r="E2347">
        <v>54892447</v>
      </c>
      <c r="F2347">
        <v>63150513</v>
      </c>
      <c r="G2347">
        <v>118042960</v>
      </c>
      <c r="H2347">
        <v>27131</v>
      </c>
      <c r="I2347">
        <v>10252</v>
      </c>
      <c r="J2347">
        <v>37383</v>
      </c>
      <c r="K2347" t="b">
        <f>TrafficData[[#This Row],[disposedChallan]]+TrafficData[[#This Row],[pendingChallan]]=TrafficData[[#This Row],[totalChallan]]</f>
        <v>1</v>
      </c>
      <c r="L2347" t="b">
        <f>TrafficData[[#This Row],[pendingAmount]]+TrafficData[[#This Row],[disposedAmount]]=TrafficData[[#This Row],[totalAmount]]</f>
        <v>1</v>
      </c>
      <c r="M2347" t="b">
        <f>TrafficData[[#This Row],[pendingCourt]]+TrafficData[[#This Row],[disposedCourt]]=TrafficData[[#This Row],[totalCourt]]</f>
        <v>1</v>
      </c>
      <c r="N2347" t="b">
        <f>AND(TrafficData[[#This Row],[disposedChallan]]&lt;=TrafficData[[#This Row],[totalChallan]],TrafficData[[#This Row],[pendingChallan]]&lt;=TrafficData[[#This Row],[totalChallan]])</f>
        <v>1</v>
      </c>
      <c r="O2347" t="b">
        <f>AND(TrafficData[[#This Row],[pendingAmount]]&lt;=TrafficData[[#This Row],[totalAmount]],TrafficData[[#This Row],[disposedAmount]]&lt;=TrafficData[[#This Row],[totalAmount]])</f>
        <v>1</v>
      </c>
      <c r="P2347" t="b">
        <f>AND(TrafficData[[#This Row],[pendingCourt]]&lt;=TrafficData[[#This Row],[totalCourt]],TrafficData[[#This Row],[disposedCourt]]&lt;=TrafficData[[#This Row],[totalCourt]])</f>
        <v>1</v>
      </c>
    </row>
    <row r="2348" spans="1:16">
      <c r="A2348" s="1">
        <v>44352</v>
      </c>
      <c r="B2348">
        <v>89741</v>
      </c>
      <c r="C2348">
        <v>40128</v>
      </c>
      <c r="D2348">
        <v>49613</v>
      </c>
      <c r="E2348">
        <v>52310412</v>
      </c>
      <c r="F2348">
        <v>61048268</v>
      </c>
      <c r="G2348">
        <v>113358680</v>
      </c>
      <c r="H2348">
        <v>25843</v>
      </c>
      <c r="I2348">
        <v>9936</v>
      </c>
      <c r="J2348">
        <v>35779</v>
      </c>
      <c r="K2348" t="b">
        <f>TrafficData[[#This Row],[disposedChallan]]+TrafficData[[#This Row],[pendingChallan]]=TrafficData[[#This Row],[totalChallan]]</f>
        <v>1</v>
      </c>
      <c r="L2348" t="b">
        <f>TrafficData[[#This Row],[pendingAmount]]+TrafficData[[#This Row],[disposedAmount]]=TrafficData[[#This Row],[totalAmount]]</f>
        <v>1</v>
      </c>
      <c r="M2348" t="b">
        <f>TrafficData[[#This Row],[pendingCourt]]+TrafficData[[#This Row],[disposedCourt]]=TrafficData[[#This Row],[totalCourt]]</f>
        <v>1</v>
      </c>
      <c r="N2348" t="b">
        <f>AND(TrafficData[[#This Row],[disposedChallan]]&lt;=TrafficData[[#This Row],[totalChallan]],TrafficData[[#This Row],[pendingChallan]]&lt;=TrafficData[[#This Row],[totalChallan]])</f>
        <v>1</v>
      </c>
      <c r="O2348" t="b">
        <f>AND(TrafficData[[#This Row],[pendingAmount]]&lt;=TrafficData[[#This Row],[totalAmount]],TrafficData[[#This Row],[disposedAmount]]&lt;=TrafficData[[#This Row],[totalAmount]])</f>
        <v>1</v>
      </c>
      <c r="P2348" t="b">
        <f>AND(TrafficData[[#This Row],[pendingCourt]]&lt;=TrafficData[[#This Row],[totalCourt]],TrafficData[[#This Row],[disposedCourt]]&lt;=TrafficData[[#This Row],[totalCourt]])</f>
        <v>1</v>
      </c>
    </row>
    <row r="2349" spans="1:16">
      <c r="A2349" s="1">
        <v>44353</v>
      </c>
      <c r="B2349">
        <v>81603</v>
      </c>
      <c r="C2349">
        <v>35194</v>
      </c>
      <c r="D2349">
        <v>46409</v>
      </c>
      <c r="E2349">
        <v>47631431</v>
      </c>
      <c r="F2349">
        <v>45185314</v>
      </c>
      <c r="G2349">
        <v>92816745</v>
      </c>
      <c r="H2349">
        <v>24380</v>
      </c>
      <c r="I2349">
        <v>9030</v>
      </c>
      <c r="J2349">
        <v>33410</v>
      </c>
      <c r="K2349" t="b">
        <f>TrafficData[[#This Row],[disposedChallan]]+TrafficData[[#This Row],[pendingChallan]]=TrafficData[[#This Row],[totalChallan]]</f>
        <v>1</v>
      </c>
      <c r="L2349" t="b">
        <f>TrafficData[[#This Row],[pendingAmount]]+TrafficData[[#This Row],[disposedAmount]]=TrafficData[[#This Row],[totalAmount]]</f>
        <v>1</v>
      </c>
      <c r="M2349" t="b">
        <f>TrafficData[[#This Row],[pendingCourt]]+TrafficData[[#This Row],[disposedCourt]]=TrafficData[[#This Row],[totalCourt]]</f>
        <v>1</v>
      </c>
      <c r="N2349" t="b">
        <f>AND(TrafficData[[#This Row],[disposedChallan]]&lt;=TrafficData[[#This Row],[totalChallan]],TrafficData[[#This Row],[pendingChallan]]&lt;=TrafficData[[#This Row],[totalChallan]])</f>
        <v>1</v>
      </c>
      <c r="O2349" t="b">
        <f>AND(TrafficData[[#This Row],[pendingAmount]]&lt;=TrafficData[[#This Row],[totalAmount]],TrafficData[[#This Row],[disposedAmount]]&lt;=TrafficData[[#This Row],[totalAmount]])</f>
        <v>1</v>
      </c>
      <c r="P2349" t="b">
        <f>AND(TrafficData[[#This Row],[pendingCourt]]&lt;=TrafficData[[#This Row],[totalCourt]],TrafficData[[#This Row],[disposedCourt]]&lt;=TrafficData[[#This Row],[totalCourt]])</f>
        <v>1</v>
      </c>
    </row>
    <row r="2350" spans="1:16">
      <c r="A2350" s="1">
        <v>44354</v>
      </c>
      <c r="B2350">
        <v>104086</v>
      </c>
      <c r="C2350">
        <v>46241</v>
      </c>
      <c r="D2350">
        <v>57845</v>
      </c>
      <c r="E2350">
        <v>57493241</v>
      </c>
      <c r="F2350">
        <v>61437211</v>
      </c>
      <c r="G2350">
        <v>118930452</v>
      </c>
      <c r="H2350">
        <v>28046</v>
      </c>
      <c r="I2350">
        <v>11122</v>
      </c>
      <c r="J2350">
        <v>39168</v>
      </c>
      <c r="K2350" t="b">
        <f>TrafficData[[#This Row],[disposedChallan]]+TrafficData[[#This Row],[pendingChallan]]=TrafficData[[#This Row],[totalChallan]]</f>
        <v>1</v>
      </c>
      <c r="L2350" t="b">
        <f>TrafficData[[#This Row],[pendingAmount]]+TrafficData[[#This Row],[disposedAmount]]=TrafficData[[#This Row],[totalAmount]]</f>
        <v>1</v>
      </c>
      <c r="M2350" t="b">
        <f>TrafficData[[#This Row],[pendingCourt]]+TrafficData[[#This Row],[disposedCourt]]=TrafficData[[#This Row],[totalCourt]]</f>
        <v>1</v>
      </c>
      <c r="N2350" t="b">
        <f>AND(TrafficData[[#This Row],[disposedChallan]]&lt;=TrafficData[[#This Row],[totalChallan]],TrafficData[[#This Row],[pendingChallan]]&lt;=TrafficData[[#This Row],[totalChallan]])</f>
        <v>1</v>
      </c>
      <c r="O2350" t="b">
        <f>AND(TrafficData[[#This Row],[pendingAmount]]&lt;=TrafficData[[#This Row],[totalAmount]],TrafficData[[#This Row],[disposedAmount]]&lt;=TrafficData[[#This Row],[totalAmount]])</f>
        <v>1</v>
      </c>
      <c r="P2350" t="b">
        <f>AND(TrafficData[[#This Row],[pendingCourt]]&lt;=TrafficData[[#This Row],[totalCourt]],TrafficData[[#This Row],[disposedCourt]]&lt;=TrafficData[[#This Row],[totalCourt]])</f>
        <v>1</v>
      </c>
    </row>
    <row r="2351" spans="1:16">
      <c r="A2351" s="1">
        <v>44355</v>
      </c>
      <c r="B2351">
        <v>104525</v>
      </c>
      <c r="C2351">
        <v>46892</v>
      </c>
      <c r="D2351">
        <v>57633</v>
      </c>
      <c r="E2351">
        <v>61626332</v>
      </c>
      <c r="F2351">
        <v>69952492</v>
      </c>
      <c r="G2351">
        <v>131578824</v>
      </c>
      <c r="H2351">
        <v>27642</v>
      </c>
      <c r="I2351">
        <v>11274</v>
      </c>
      <c r="J2351">
        <v>38916</v>
      </c>
      <c r="K2351" t="b">
        <f>TrafficData[[#This Row],[disposedChallan]]+TrafficData[[#This Row],[pendingChallan]]=TrafficData[[#This Row],[totalChallan]]</f>
        <v>1</v>
      </c>
      <c r="L2351" t="b">
        <f>TrafficData[[#This Row],[pendingAmount]]+TrafficData[[#This Row],[disposedAmount]]=TrafficData[[#This Row],[totalAmount]]</f>
        <v>1</v>
      </c>
      <c r="M2351" t="b">
        <f>TrafficData[[#This Row],[pendingCourt]]+TrafficData[[#This Row],[disposedCourt]]=TrafficData[[#This Row],[totalCourt]]</f>
        <v>1</v>
      </c>
      <c r="N2351" t="b">
        <f>AND(TrafficData[[#This Row],[disposedChallan]]&lt;=TrafficData[[#This Row],[totalChallan]],TrafficData[[#This Row],[pendingChallan]]&lt;=TrafficData[[#This Row],[totalChallan]])</f>
        <v>1</v>
      </c>
      <c r="O2351" t="b">
        <f>AND(TrafficData[[#This Row],[pendingAmount]]&lt;=TrafficData[[#This Row],[totalAmount]],TrafficData[[#This Row],[disposedAmount]]&lt;=TrafficData[[#This Row],[totalAmount]])</f>
        <v>1</v>
      </c>
      <c r="P2351" t="b">
        <f>AND(TrafficData[[#This Row],[pendingCourt]]&lt;=TrafficData[[#This Row],[totalCourt]],TrafficData[[#This Row],[disposedCourt]]&lt;=TrafficData[[#This Row],[totalCourt]])</f>
        <v>1</v>
      </c>
    </row>
    <row r="2352" spans="1:16">
      <c r="A2352" s="1">
        <v>44356</v>
      </c>
      <c r="B2352">
        <v>106639</v>
      </c>
      <c r="C2352">
        <v>48626</v>
      </c>
      <c r="D2352">
        <v>58013</v>
      </c>
      <c r="E2352">
        <v>59936671</v>
      </c>
      <c r="F2352">
        <v>72140018</v>
      </c>
      <c r="G2352">
        <v>132076689</v>
      </c>
      <c r="H2352">
        <v>26725</v>
      </c>
      <c r="I2352">
        <v>11730</v>
      </c>
      <c r="J2352">
        <v>38455</v>
      </c>
      <c r="K2352" t="b">
        <f>TrafficData[[#This Row],[disposedChallan]]+TrafficData[[#This Row],[pendingChallan]]=TrafficData[[#This Row],[totalChallan]]</f>
        <v>1</v>
      </c>
      <c r="L2352" t="b">
        <f>TrafficData[[#This Row],[pendingAmount]]+TrafficData[[#This Row],[disposedAmount]]=TrafficData[[#This Row],[totalAmount]]</f>
        <v>1</v>
      </c>
      <c r="M2352" t="b">
        <f>TrafficData[[#This Row],[pendingCourt]]+TrafficData[[#This Row],[disposedCourt]]=TrafficData[[#This Row],[totalCourt]]</f>
        <v>1</v>
      </c>
      <c r="N2352" t="b">
        <f>AND(TrafficData[[#This Row],[disposedChallan]]&lt;=TrafficData[[#This Row],[totalChallan]],TrafficData[[#This Row],[pendingChallan]]&lt;=TrafficData[[#This Row],[totalChallan]])</f>
        <v>1</v>
      </c>
      <c r="O2352" t="b">
        <f>AND(TrafficData[[#This Row],[pendingAmount]]&lt;=TrafficData[[#This Row],[totalAmount]],TrafficData[[#This Row],[disposedAmount]]&lt;=TrafficData[[#This Row],[totalAmount]])</f>
        <v>1</v>
      </c>
      <c r="P2352" t="b">
        <f>AND(TrafficData[[#This Row],[pendingCourt]]&lt;=TrafficData[[#This Row],[totalCourt]],TrafficData[[#This Row],[disposedCourt]]&lt;=TrafficData[[#This Row],[totalCourt]])</f>
        <v>1</v>
      </c>
    </row>
    <row r="2353" spans="1:16">
      <c r="A2353" s="1">
        <v>44357</v>
      </c>
      <c r="B2353">
        <v>105945</v>
      </c>
      <c r="C2353">
        <v>47844</v>
      </c>
      <c r="D2353">
        <v>58101</v>
      </c>
      <c r="E2353">
        <v>56385355</v>
      </c>
      <c r="F2353">
        <v>61998550</v>
      </c>
      <c r="G2353">
        <v>118383905</v>
      </c>
      <c r="H2353">
        <v>26727</v>
      </c>
      <c r="I2353">
        <v>11731</v>
      </c>
      <c r="J2353">
        <v>38458</v>
      </c>
      <c r="K2353" t="b">
        <f>TrafficData[[#This Row],[disposedChallan]]+TrafficData[[#This Row],[pendingChallan]]=TrafficData[[#This Row],[totalChallan]]</f>
        <v>1</v>
      </c>
      <c r="L2353" t="b">
        <f>TrafficData[[#This Row],[pendingAmount]]+TrafficData[[#This Row],[disposedAmount]]=TrafficData[[#This Row],[totalAmount]]</f>
        <v>1</v>
      </c>
      <c r="M2353" t="b">
        <f>TrafficData[[#This Row],[pendingCourt]]+TrafficData[[#This Row],[disposedCourt]]=TrafficData[[#This Row],[totalCourt]]</f>
        <v>1</v>
      </c>
      <c r="N2353" t="b">
        <f>AND(TrafficData[[#This Row],[disposedChallan]]&lt;=TrafficData[[#This Row],[totalChallan]],TrafficData[[#This Row],[pendingChallan]]&lt;=TrafficData[[#This Row],[totalChallan]])</f>
        <v>1</v>
      </c>
      <c r="O2353" t="b">
        <f>AND(TrafficData[[#This Row],[pendingAmount]]&lt;=TrafficData[[#This Row],[totalAmount]],TrafficData[[#This Row],[disposedAmount]]&lt;=TrafficData[[#This Row],[totalAmount]])</f>
        <v>1</v>
      </c>
      <c r="P2353" t="b">
        <f>AND(TrafficData[[#This Row],[pendingCourt]]&lt;=TrafficData[[#This Row],[totalCourt]],TrafficData[[#This Row],[disposedCourt]]&lt;=TrafficData[[#This Row],[totalCourt]])</f>
        <v>1</v>
      </c>
    </row>
    <row r="2354" spans="1:16">
      <c r="A2354" s="1">
        <v>44358</v>
      </c>
      <c r="B2354">
        <v>103786</v>
      </c>
      <c r="C2354">
        <v>48992</v>
      </c>
      <c r="D2354">
        <v>54794</v>
      </c>
      <c r="E2354">
        <v>54173419</v>
      </c>
      <c r="F2354">
        <v>63717034</v>
      </c>
      <c r="G2354">
        <v>117890453</v>
      </c>
      <c r="H2354">
        <v>24962</v>
      </c>
      <c r="I2354">
        <v>11995</v>
      </c>
      <c r="J2354">
        <v>36957</v>
      </c>
      <c r="K2354" t="b">
        <f>TrafficData[[#This Row],[disposedChallan]]+TrafficData[[#This Row],[pendingChallan]]=TrafficData[[#This Row],[totalChallan]]</f>
        <v>1</v>
      </c>
      <c r="L2354" t="b">
        <f>TrafficData[[#This Row],[pendingAmount]]+TrafficData[[#This Row],[disposedAmount]]=TrafficData[[#This Row],[totalAmount]]</f>
        <v>1</v>
      </c>
      <c r="M2354" t="b">
        <f>TrafficData[[#This Row],[pendingCourt]]+TrafficData[[#This Row],[disposedCourt]]=TrafficData[[#This Row],[totalCourt]]</f>
        <v>1</v>
      </c>
      <c r="N2354" t="b">
        <f>AND(TrafficData[[#This Row],[disposedChallan]]&lt;=TrafficData[[#This Row],[totalChallan]],TrafficData[[#This Row],[pendingChallan]]&lt;=TrafficData[[#This Row],[totalChallan]])</f>
        <v>1</v>
      </c>
      <c r="O2354" t="b">
        <f>AND(TrafficData[[#This Row],[pendingAmount]]&lt;=TrafficData[[#This Row],[totalAmount]],TrafficData[[#This Row],[disposedAmount]]&lt;=TrafficData[[#This Row],[totalAmount]])</f>
        <v>1</v>
      </c>
      <c r="P2354" t="b">
        <f>AND(TrafficData[[#This Row],[pendingCourt]]&lt;=TrafficData[[#This Row],[totalCourt]],TrafficData[[#This Row],[disposedCourt]]&lt;=TrafficData[[#This Row],[totalCourt]])</f>
        <v>1</v>
      </c>
    </row>
    <row r="2355" spans="1:16">
      <c r="A2355" s="1">
        <v>44359</v>
      </c>
      <c r="B2355">
        <v>101745</v>
      </c>
      <c r="C2355">
        <v>46188</v>
      </c>
      <c r="D2355">
        <v>55557</v>
      </c>
      <c r="E2355">
        <v>53417475</v>
      </c>
      <c r="F2355">
        <v>64178056</v>
      </c>
      <c r="G2355">
        <v>117595531</v>
      </c>
      <c r="H2355">
        <v>25068</v>
      </c>
      <c r="I2355">
        <v>11547</v>
      </c>
      <c r="J2355">
        <v>36615</v>
      </c>
      <c r="K2355" t="b">
        <f>TrafficData[[#This Row],[disposedChallan]]+TrafficData[[#This Row],[pendingChallan]]=TrafficData[[#This Row],[totalChallan]]</f>
        <v>1</v>
      </c>
      <c r="L2355" t="b">
        <f>TrafficData[[#This Row],[pendingAmount]]+TrafficData[[#This Row],[disposedAmount]]=TrafficData[[#This Row],[totalAmount]]</f>
        <v>1</v>
      </c>
      <c r="M2355" t="b">
        <f>TrafficData[[#This Row],[pendingCourt]]+TrafficData[[#This Row],[disposedCourt]]=TrafficData[[#This Row],[totalCourt]]</f>
        <v>1</v>
      </c>
      <c r="N2355" t="b">
        <f>AND(TrafficData[[#This Row],[disposedChallan]]&lt;=TrafficData[[#This Row],[totalChallan]],TrafficData[[#This Row],[pendingChallan]]&lt;=TrafficData[[#This Row],[totalChallan]])</f>
        <v>1</v>
      </c>
      <c r="O2355" t="b">
        <f>AND(TrafficData[[#This Row],[pendingAmount]]&lt;=TrafficData[[#This Row],[totalAmount]],TrafficData[[#This Row],[disposedAmount]]&lt;=TrafficData[[#This Row],[totalAmount]])</f>
        <v>1</v>
      </c>
      <c r="P2355" t="b">
        <f>AND(TrafficData[[#This Row],[pendingCourt]]&lt;=TrafficData[[#This Row],[totalCourt]],TrafficData[[#This Row],[disposedCourt]]&lt;=TrafficData[[#This Row],[totalCourt]])</f>
        <v>1</v>
      </c>
    </row>
    <row r="2356" spans="1:16">
      <c r="A2356" s="1">
        <v>44360</v>
      </c>
      <c r="B2356">
        <v>97502</v>
      </c>
      <c r="C2356">
        <v>42736</v>
      </c>
      <c r="D2356">
        <v>54766</v>
      </c>
      <c r="E2356">
        <v>53516949</v>
      </c>
      <c r="F2356">
        <v>47478860</v>
      </c>
      <c r="G2356">
        <v>100995809</v>
      </c>
      <c r="H2356">
        <v>25485</v>
      </c>
      <c r="I2356">
        <v>11505</v>
      </c>
      <c r="J2356">
        <v>36990</v>
      </c>
      <c r="K2356" t="b">
        <f>TrafficData[[#This Row],[disposedChallan]]+TrafficData[[#This Row],[pendingChallan]]=TrafficData[[#This Row],[totalChallan]]</f>
        <v>1</v>
      </c>
      <c r="L2356" t="b">
        <f>TrafficData[[#This Row],[pendingAmount]]+TrafficData[[#This Row],[disposedAmount]]=TrafficData[[#This Row],[totalAmount]]</f>
        <v>1</v>
      </c>
      <c r="M2356" t="b">
        <f>TrafficData[[#This Row],[pendingCourt]]+TrafficData[[#This Row],[disposedCourt]]=TrafficData[[#This Row],[totalCourt]]</f>
        <v>1</v>
      </c>
      <c r="N2356" t="b">
        <f>AND(TrafficData[[#This Row],[disposedChallan]]&lt;=TrafficData[[#This Row],[totalChallan]],TrafficData[[#This Row],[pendingChallan]]&lt;=TrafficData[[#This Row],[totalChallan]])</f>
        <v>1</v>
      </c>
      <c r="O2356" t="b">
        <f>AND(TrafficData[[#This Row],[pendingAmount]]&lt;=TrafficData[[#This Row],[totalAmount]],TrafficData[[#This Row],[disposedAmount]]&lt;=TrafficData[[#This Row],[totalAmount]])</f>
        <v>1</v>
      </c>
      <c r="P2356" t="b">
        <f>AND(TrafficData[[#This Row],[pendingCourt]]&lt;=TrafficData[[#This Row],[totalCourt]],TrafficData[[#This Row],[disposedCourt]]&lt;=TrafficData[[#This Row],[totalCourt]])</f>
        <v>1</v>
      </c>
    </row>
    <row r="2357" spans="1:16">
      <c r="A2357" s="1">
        <v>44361</v>
      </c>
      <c r="B2357">
        <v>104365</v>
      </c>
      <c r="C2357">
        <v>49348</v>
      </c>
      <c r="D2357">
        <v>55017</v>
      </c>
      <c r="E2357">
        <v>57653999</v>
      </c>
      <c r="F2357">
        <v>63035569</v>
      </c>
      <c r="G2357">
        <v>120689568</v>
      </c>
      <c r="H2357">
        <v>28378</v>
      </c>
      <c r="I2357">
        <v>13384</v>
      </c>
      <c r="J2357">
        <v>41762</v>
      </c>
      <c r="K2357" t="b">
        <f>TrafficData[[#This Row],[disposedChallan]]+TrafficData[[#This Row],[pendingChallan]]=TrafficData[[#This Row],[totalChallan]]</f>
        <v>1</v>
      </c>
      <c r="L2357" t="b">
        <f>TrafficData[[#This Row],[pendingAmount]]+TrafficData[[#This Row],[disposedAmount]]=TrafficData[[#This Row],[totalAmount]]</f>
        <v>1</v>
      </c>
      <c r="M2357" t="b">
        <f>TrafficData[[#This Row],[pendingCourt]]+TrafficData[[#This Row],[disposedCourt]]=TrafficData[[#This Row],[totalCourt]]</f>
        <v>1</v>
      </c>
      <c r="N2357" t="b">
        <f>AND(TrafficData[[#This Row],[disposedChallan]]&lt;=TrafficData[[#This Row],[totalChallan]],TrafficData[[#This Row],[pendingChallan]]&lt;=TrafficData[[#This Row],[totalChallan]])</f>
        <v>1</v>
      </c>
      <c r="O2357" t="b">
        <f>AND(TrafficData[[#This Row],[pendingAmount]]&lt;=TrafficData[[#This Row],[totalAmount]],TrafficData[[#This Row],[disposedAmount]]&lt;=TrafficData[[#This Row],[totalAmount]])</f>
        <v>1</v>
      </c>
      <c r="P2357" t="b">
        <f>AND(TrafficData[[#This Row],[pendingCourt]]&lt;=TrafficData[[#This Row],[totalCourt]],TrafficData[[#This Row],[disposedCourt]]&lt;=TrafficData[[#This Row],[totalCourt]])</f>
        <v>1</v>
      </c>
    </row>
    <row r="2358" spans="1:16">
      <c r="A2358" s="1">
        <v>44362</v>
      </c>
      <c r="B2358">
        <v>108479</v>
      </c>
      <c r="C2358">
        <v>51219</v>
      </c>
      <c r="D2358">
        <v>57260</v>
      </c>
      <c r="E2358">
        <v>62662925</v>
      </c>
      <c r="F2358">
        <v>72243605</v>
      </c>
      <c r="G2358">
        <v>134906530</v>
      </c>
      <c r="H2358">
        <v>28607</v>
      </c>
      <c r="I2358">
        <v>13740</v>
      </c>
      <c r="J2358">
        <v>42347</v>
      </c>
      <c r="K2358" t="b">
        <f>TrafficData[[#This Row],[disposedChallan]]+TrafficData[[#This Row],[pendingChallan]]=TrafficData[[#This Row],[totalChallan]]</f>
        <v>1</v>
      </c>
      <c r="L2358" t="b">
        <f>TrafficData[[#This Row],[pendingAmount]]+TrafficData[[#This Row],[disposedAmount]]=TrafficData[[#This Row],[totalAmount]]</f>
        <v>1</v>
      </c>
      <c r="M2358" t="b">
        <f>TrafficData[[#This Row],[pendingCourt]]+TrafficData[[#This Row],[disposedCourt]]=TrafficData[[#This Row],[totalCourt]]</f>
        <v>1</v>
      </c>
      <c r="N2358" t="b">
        <f>AND(TrafficData[[#This Row],[disposedChallan]]&lt;=TrafficData[[#This Row],[totalChallan]],TrafficData[[#This Row],[pendingChallan]]&lt;=TrafficData[[#This Row],[totalChallan]])</f>
        <v>1</v>
      </c>
      <c r="O2358" t="b">
        <f>AND(TrafficData[[#This Row],[pendingAmount]]&lt;=TrafficData[[#This Row],[totalAmount]],TrafficData[[#This Row],[disposedAmount]]&lt;=TrafficData[[#This Row],[totalAmount]])</f>
        <v>1</v>
      </c>
      <c r="P2358" t="b">
        <f>AND(TrafficData[[#This Row],[pendingCourt]]&lt;=TrafficData[[#This Row],[totalCourt]],TrafficData[[#This Row],[disposedCourt]]&lt;=TrafficData[[#This Row],[totalCourt]])</f>
        <v>1</v>
      </c>
    </row>
    <row r="2359" spans="1:16">
      <c r="A2359" s="1">
        <v>44363</v>
      </c>
      <c r="B2359">
        <v>111783</v>
      </c>
      <c r="C2359">
        <v>51932</v>
      </c>
      <c r="D2359">
        <v>59851</v>
      </c>
      <c r="E2359">
        <v>63326306</v>
      </c>
      <c r="F2359">
        <v>72618560</v>
      </c>
      <c r="G2359">
        <v>135944866</v>
      </c>
      <c r="H2359">
        <v>30056</v>
      </c>
      <c r="I2359">
        <v>13873</v>
      </c>
      <c r="J2359">
        <v>43929</v>
      </c>
      <c r="K2359" t="b">
        <f>TrafficData[[#This Row],[disposedChallan]]+TrafficData[[#This Row],[pendingChallan]]=TrafficData[[#This Row],[totalChallan]]</f>
        <v>1</v>
      </c>
      <c r="L2359" t="b">
        <f>TrafficData[[#This Row],[pendingAmount]]+TrafficData[[#This Row],[disposedAmount]]=TrafficData[[#This Row],[totalAmount]]</f>
        <v>1</v>
      </c>
      <c r="M2359" t="b">
        <f>TrafficData[[#This Row],[pendingCourt]]+TrafficData[[#This Row],[disposedCourt]]=TrafficData[[#This Row],[totalCourt]]</f>
        <v>1</v>
      </c>
      <c r="N2359" t="b">
        <f>AND(TrafficData[[#This Row],[disposedChallan]]&lt;=TrafficData[[#This Row],[totalChallan]],TrafficData[[#This Row],[pendingChallan]]&lt;=TrafficData[[#This Row],[totalChallan]])</f>
        <v>1</v>
      </c>
      <c r="O2359" t="b">
        <f>AND(TrafficData[[#This Row],[pendingAmount]]&lt;=TrafficData[[#This Row],[totalAmount]],TrafficData[[#This Row],[disposedAmount]]&lt;=TrafficData[[#This Row],[totalAmount]])</f>
        <v>1</v>
      </c>
      <c r="P2359" t="b">
        <f>AND(TrafficData[[#This Row],[pendingCourt]]&lt;=TrafficData[[#This Row],[totalCourt]],TrafficData[[#This Row],[disposedCourt]]&lt;=TrafficData[[#This Row],[totalCourt]])</f>
        <v>1</v>
      </c>
    </row>
    <row r="2360" spans="1:16">
      <c r="A2360" s="1">
        <v>44364</v>
      </c>
      <c r="B2360">
        <v>116921</v>
      </c>
      <c r="C2360">
        <v>54926</v>
      </c>
      <c r="D2360">
        <v>61995</v>
      </c>
      <c r="E2360">
        <v>62874950</v>
      </c>
      <c r="F2360">
        <v>67357706</v>
      </c>
      <c r="G2360">
        <v>130232656</v>
      </c>
      <c r="H2360">
        <v>29835</v>
      </c>
      <c r="I2360">
        <v>13373</v>
      </c>
      <c r="J2360">
        <v>43208</v>
      </c>
      <c r="K2360" t="b">
        <f>TrafficData[[#This Row],[disposedChallan]]+TrafficData[[#This Row],[pendingChallan]]=TrafficData[[#This Row],[totalChallan]]</f>
        <v>1</v>
      </c>
      <c r="L2360" t="b">
        <f>TrafficData[[#This Row],[pendingAmount]]+TrafficData[[#This Row],[disposedAmount]]=TrafficData[[#This Row],[totalAmount]]</f>
        <v>1</v>
      </c>
      <c r="M2360" t="b">
        <f>TrafficData[[#This Row],[pendingCourt]]+TrafficData[[#This Row],[disposedCourt]]=TrafficData[[#This Row],[totalCourt]]</f>
        <v>1</v>
      </c>
      <c r="N2360" t="b">
        <f>AND(TrafficData[[#This Row],[disposedChallan]]&lt;=TrafficData[[#This Row],[totalChallan]],TrafficData[[#This Row],[pendingChallan]]&lt;=TrafficData[[#This Row],[totalChallan]])</f>
        <v>1</v>
      </c>
      <c r="O2360" t="b">
        <f>AND(TrafficData[[#This Row],[pendingAmount]]&lt;=TrafficData[[#This Row],[totalAmount]],TrafficData[[#This Row],[disposedAmount]]&lt;=TrafficData[[#This Row],[totalAmount]])</f>
        <v>1</v>
      </c>
      <c r="P2360" t="b">
        <f>AND(TrafficData[[#This Row],[pendingCourt]]&lt;=TrafficData[[#This Row],[totalCourt]],TrafficData[[#This Row],[disposedCourt]]&lt;=TrafficData[[#This Row],[totalCourt]])</f>
        <v>1</v>
      </c>
    </row>
    <row r="2361" spans="1:16">
      <c r="A2361" s="1">
        <v>44365</v>
      </c>
      <c r="B2361">
        <v>140453</v>
      </c>
      <c r="C2361">
        <v>61926</v>
      </c>
      <c r="D2361">
        <v>78527</v>
      </c>
      <c r="E2361">
        <v>67008453</v>
      </c>
      <c r="F2361">
        <v>71014105</v>
      </c>
      <c r="G2361">
        <v>138022558</v>
      </c>
      <c r="H2361">
        <v>29813</v>
      </c>
      <c r="I2361">
        <v>12724</v>
      </c>
      <c r="J2361">
        <v>42537</v>
      </c>
      <c r="K2361" t="b">
        <f>TrafficData[[#This Row],[disposedChallan]]+TrafficData[[#This Row],[pendingChallan]]=TrafficData[[#This Row],[totalChallan]]</f>
        <v>1</v>
      </c>
      <c r="L2361" t="b">
        <f>TrafficData[[#This Row],[pendingAmount]]+TrafficData[[#This Row],[disposedAmount]]=TrafficData[[#This Row],[totalAmount]]</f>
        <v>1</v>
      </c>
      <c r="M2361" t="b">
        <f>TrafficData[[#This Row],[pendingCourt]]+TrafficData[[#This Row],[disposedCourt]]=TrafficData[[#This Row],[totalCourt]]</f>
        <v>1</v>
      </c>
      <c r="N2361" t="b">
        <f>AND(TrafficData[[#This Row],[disposedChallan]]&lt;=TrafficData[[#This Row],[totalChallan]],TrafficData[[#This Row],[pendingChallan]]&lt;=TrafficData[[#This Row],[totalChallan]])</f>
        <v>1</v>
      </c>
      <c r="O2361" t="b">
        <f>AND(TrafficData[[#This Row],[pendingAmount]]&lt;=TrafficData[[#This Row],[totalAmount]],TrafficData[[#This Row],[disposedAmount]]&lt;=TrafficData[[#This Row],[totalAmount]])</f>
        <v>1</v>
      </c>
      <c r="P2361" t="b">
        <f>AND(TrafficData[[#This Row],[pendingCourt]]&lt;=TrafficData[[#This Row],[totalCourt]],TrafficData[[#This Row],[disposedCourt]]&lt;=TrafficData[[#This Row],[totalCourt]])</f>
        <v>1</v>
      </c>
    </row>
    <row r="2362" spans="1:16">
      <c r="A2362" s="1">
        <v>44366</v>
      </c>
      <c r="B2362">
        <v>145290</v>
      </c>
      <c r="C2362">
        <v>63072</v>
      </c>
      <c r="D2362">
        <v>82218</v>
      </c>
      <c r="E2362">
        <v>65958961</v>
      </c>
      <c r="F2362">
        <v>67395269</v>
      </c>
      <c r="G2362">
        <v>133354230</v>
      </c>
      <c r="H2362">
        <v>28624</v>
      </c>
      <c r="I2362">
        <v>12952</v>
      </c>
      <c r="J2362">
        <v>41576</v>
      </c>
      <c r="K2362" t="b">
        <f>TrafficData[[#This Row],[disposedChallan]]+TrafficData[[#This Row],[pendingChallan]]=TrafficData[[#This Row],[totalChallan]]</f>
        <v>1</v>
      </c>
      <c r="L2362" t="b">
        <f>TrafficData[[#This Row],[pendingAmount]]+TrafficData[[#This Row],[disposedAmount]]=TrafficData[[#This Row],[totalAmount]]</f>
        <v>1</v>
      </c>
      <c r="M2362" t="b">
        <f>TrafficData[[#This Row],[pendingCourt]]+TrafficData[[#This Row],[disposedCourt]]=TrafficData[[#This Row],[totalCourt]]</f>
        <v>1</v>
      </c>
      <c r="N2362" t="b">
        <f>AND(TrafficData[[#This Row],[disposedChallan]]&lt;=TrafficData[[#This Row],[totalChallan]],TrafficData[[#This Row],[pendingChallan]]&lt;=TrafficData[[#This Row],[totalChallan]])</f>
        <v>1</v>
      </c>
      <c r="O2362" t="b">
        <f>AND(TrafficData[[#This Row],[pendingAmount]]&lt;=TrafficData[[#This Row],[totalAmount]],TrafficData[[#This Row],[disposedAmount]]&lt;=TrafficData[[#This Row],[totalAmount]])</f>
        <v>1</v>
      </c>
      <c r="P2362" t="b">
        <f>AND(TrafficData[[#This Row],[pendingCourt]]&lt;=TrafficData[[#This Row],[totalCourt]],TrafficData[[#This Row],[disposedCourt]]&lt;=TrafficData[[#This Row],[totalCourt]])</f>
        <v>1</v>
      </c>
    </row>
    <row r="2363" spans="1:16">
      <c r="A2363" s="1">
        <v>44367</v>
      </c>
      <c r="B2363">
        <v>142855</v>
      </c>
      <c r="C2363">
        <v>57688</v>
      </c>
      <c r="D2363">
        <v>85167</v>
      </c>
      <c r="E2363">
        <v>66852182</v>
      </c>
      <c r="F2363">
        <v>154857962</v>
      </c>
      <c r="G2363">
        <v>221710144</v>
      </c>
      <c r="H2363">
        <v>30664</v>
      </c>
      <c r="I2363">
        <v>13279</v>
      </c>
      <c r="J2363">
        <v>43943</v>
      </c>
      <c r="K2363" t="b">
        <f>TrafficData[[#This Row],[disposedChallan]]+TrafficData[[#This Row],[pendingChallan]]=TrafficData[[#This Row],[totalChallan]]</f>
        <v>1</v>
      </c>
      <c r="L2363" t="b">
        <f>TrafficData[[#This Row],[pendingAmount]]+TrafficData[[#This Row],[disposedAmount]]=TrafficData[[#This Row],[totalAmount]]</f>
        <v>1</v>
      </c>
      <c r="M2363" t="b">
        <f>TrafficData[[#This Row],[pendingCourt]]+TrafficData[[#This Row],[disposedCourt]]=TrafficData[[#This Row],[totalCourt]]</f>
        <v>1</v>
      </c>
      <c r="N2363" t="b">
        <f>AND(TrafficData[[#This Row],[disposedChallan]]&lt;=TrafficData[[#This Row],[totalChallan]],TrafficData[[#This Row],[pendingChallan]]&lt;=TrafficData[[#This Row],[totalChallan]])</f>
        <v>1</v>
      </c>
      <c r="O2363" t="b">
        <f>AND(TrafficData[[#This Row],[pendingAmount]]&lt;=TrafficData[[#This Row],[totalAmount]],TrafficData[[#This Row],[disposedAmount]]&lt;=TrafficData[[#This Row],[totalAmount]])</f>
        <v>1</v>
      </c>
      <c r="P2363" t="b">
        <f>AND(TrafficData[[#This Row],[pendingCourt]]&lt;=TrafficData[[#This Row],[totalCourt]],TrafficData[[#This Row],[disposedCourt]]&lt;=TrafficData[[#This Row],[totalCourt]])</f>
        <v>1</v>
      </c>
    </row>
    <row r="2364" spans="1:16">
      <c r="A2364" s="1">
        <v>44368</v>
      </c>
      <c r="B2364">
        <v>144783</v>
      </c>
      <c r="C2364">
        <v>63362</v>
      </c>
      <c r="D2364">
        <v>81421</v>
      </c>
      <c r="E2364">
        <v>76820279</v>
      </c>
      <c r="F2364">
        <v>69145474</v>
      </c>
      <c r="G2364">
        <v>145965753</v>
      </c>
      <c r="H2364">
        <v>36175</v>
      </c>
      <c r="I2364">
        <v>14608</v>
      </c>
      <c r="J2364">
        <v>50783</v>
      </c>
      <c r="K2364" t="b">
        <f>TrafficData[[#This Row],[disposedChallan]]+TrafficData[[#This Row],[pendingChallan]]=TrafficData[[#This Row],[totalChallan]]</f>
        <v>1</v>
      </c>
      <c r="L2364" t="b">
        <f>TrafficData[[#This Row],[pendingAmount]]+TrafficData[[#This Row],[disposedAmount]]=TrafficData[[#This Row],[totalAmount]]</f>
        <v>1</v>
      </c>
      <c r="M2364" t="b">
        <f>TrafficData[[#This Row],[pendingCourt]]+TrafficData[[#This Row],[disposedCourt]]=TrafficData[[#This Row],[totalCourt]]</f>
        <v>1</v>
      </c>
      <c r="N2364" t="b">
        <f>AND(TrafficData[[#This Row],[disposedChallan]]&lt;=TrafficData[[#This Row],[totalChallan]],TrafficData[[#This Row],[pendingChallan]]&lt;=TrafficData[[#This Row],[totalChallan]])</f>
        <v>1</v>
      </c>
      <c r="O2364" t="b">
        <f>AND(TrafficData[[#This Row],[pendingAmount]]&lt;=TrafficData[[#This Row],[totalAmount]],TrafficData[[#This Row],[disposedAmount]]&lt;=TrafficData[[#This Row],[totalAmount]])</f>
        <v>1</v>
      </c>
      <c r="P2364" t="b">
        <f>AND(TrafficData[[#This Row],[pendingCourt]]&lt;=TrafficData[[#This Row],[totalCourt]],TrafficData[[#This Row],[disposedCourt]]&lt;=TrafficData[[#This Row],[totalCourt]])</f>
        <v>1</v>
      </c>
    </row>
    <row r="2365" spans="1:16">
      <c r="A2365" s="1">
        <v>44369</v>
      </c>
      <c r="B2365">
        <v>144173</v>
      </c>
      <c r="C2365">
        <v>64825</v>
      </c>
      <c r="D2365">
        <v>79348</v>
      </c>
      <c r="E2365">
        <v>76569243</v>
      </c>
      <c r="F2365">
        <v>73427760</v>
      </c>
      <c r="G2365">
        <v>149997003</v>
      </c>
      <c r="H2365">
        <v>34628</v>
      </c>
      <c r="I2365">
        <v>14396</v>
      </c>
      <c r="J2365">
        <v>49024</v>
      </c>
      <c r="K2365" t="b">
        <f>TrafficData[[#This Row],[disposedChallan]]+TrafficData[[#This Row],[pendingChallan]]=TrafficData[[#This Row],[totalChallan]]</f>
        <v>1</v>
      </c>
      <c r="L2365" t="b">
        <f>TrafficData[[#This Row],[pendingAmount]]+TrafficData[[#This Row],[disposedAmount]]=TrafficData[[#This Row],[totalAmount]]</f>
        <v>1</v>
      </c>
      <c r="M2365" t="b">
        <f>TrafficData[[#This Row],[pendingCourt]]+TrafficData[[#This Row],[disposedCourt]]=TrafficData[[#This Row],[totalCourt]]</f>
        <v>1</v>
      </c>
      <c r="N2365" t="b">
        <f>AND(TrafficData[[#This Row],[disposedChallan]]&lt;=TrafficData[[#This Row],[totalChallan]],TrafficData[[#This Row],[pendingChallan]]&lt;=TrafficData[[#This Row],[totalChallan]])</f>
        <v>1</v>
      </c>
      <c r="O2365" t="b">
        <f>AND(TrafficData[[#This Row],[pendingAmount]]&lt;=TrafficData[[#This Row],[totalAmount]],TrafficData[[#This Row],[disposedAmount]]&lt;=TrafficData[[#This Row],[totalAmount]])</f>
        <v>1</v>
      </c>
      <c r="P2365" t="b">
        <f>AND(TrafficData[[#This Row],[pendingCourt]]&lt;=TrafficData[[#This Row],[totalCourt]],TrafficData[[#This Row],[disposedCourt]]&lt;=TrafficData[[#This Row],[totalCourt]])</f>
        <v>1</v>
      </c>
    </row>
    <row r="2366" spans="1:16">
      <c r="A2366" s="1">
        <v>44370</v>
      </c>
      <c r="B2366">
        <v>141048</v>
      </c>
      <c r="C2366">
        <v>64682</v>
      </c>
      <c r="D2366">
        <v>76366</v>
      </c>
      <c r="E2366">
        <v>74446413</v>
      </c>
      <c r="F2366">
        <v>77072435</v>
      </c>
      <c r="G2366">
        <v>151518848</v>
      </c>
      <c r="H2366">
        <v>32845</v>
      </c>
      <c r="I2366">
        <v>14032</v>
      </c>
      <c r="J2366">
        <v>46877</v>
      </c>
      <c r="K2366" t="b">
        <f>TrafficData[[#This Row],[disposedChallan]]+TrafficData[[#This Row],[pendingChallan]]=TrafficData[[#This Row],[totalChallan]]</f>
        <v>1</v>
      </c>
      <c r="L2366" t="b">
        <f>TrafficData[[#This Row],[pendingAmount]]+TrafficData[[#This Row],[disposedAmount]]=TrafficData[[#This Row],[totalAmount]]</f>
        <v>1</v>
      </c>
      <c r="M2366" t="b">
        <f>TrafficData[[#This Row],[pendingCourt]]+TrafficData[[#This Row],[disposedCourt]]=TrafficData[[#This Row],[totalCourt]]</f>
        <v>1</v>
      </c>
      <c r="N2366" t="b">
        <f>AND(TrafficData[[#This Row],[disposedChallan]]&lt;=TrafficData[[#This Row],[totalChallan]],TrafficData[[#This Row],[pendingChallan]]&lt;=TrafficData[[#This Row],[totalChallan]])</f>
        <v>1</v>
      </c>
      <c r="O2366" t="b">
        <f>AND(TrafficData[[#This Row],[pendingAmount]]&lt;=TrafficData[[#This Row],[totalAmount]],TrafficData[[#This Row],[disposedAmount]]&lt;=TrafficData[[#This Row],[totalAmount]])</f>
        <v>1</v>
      </c>
      <c r="P2366" t="b">
        <f>AND(TrafficData[[#This Row],[pendingCourt]]&lt;=TrafficData[[#This Row],[totalCourt]],TrafficData[[#This Row],[disposedCourt]]&lt;=TrafficData[[#This Row],[totalCourt]])</f>
        <v>1</v>
      </c>
    </row>
    <row r="2367" spans="1:16">
      <c r="A2367" s="1">
        <v>44371</v>
      </c>
      <c r="B2367">
        <v>142984</v>
      </c>
      <c r="C2367">
        <v>65662</v>
      </c>
      <c r="D2367">
        <v>77322</v>
      </c>
      <c r="E2367">
        <v>72403742</v>
      </c>
      <c r="F2367">
        <v>74344945</v>
      </c>
      <c r="G2367">
        <v>146748687</v>
      </c>
      <c r="H2367">
        <v>32092</v>
      </c>
      <c r="I2367">
        <v>13877</v>
      </c>
      <c r="J2367">
        <v>45969</v>
      </c>
      <c r="K2367" t="b">
        <f>TrafficData[[#This Row],[disposedChallan]]+TrafficData[[#This Row],[pendingChallan]]=TrafficData[[#This Row],[totalChallan]]</f>
        <v>1</v>
      </c>
      <c r="L2367" t="b">
        <f>TrafficData[[#This Row],[pendingAmount]]+TrafficData[[#This Row],[disposedAmount]]=TrafficData[[#This Row],[totalAmount]]</f>
        <v>1</v>
      </c>
      <c r="M2367" t="b">
        <f>TrafficData[[#This Row],[pendingCourt]]+TrafficData[[#This Row],[disposedCourt]]=TrafficData[[#This Row],[totalCourt]]</f>
        <v>1</v>
      </c>
      <c r="N2367" t="b">
        <f>AND(TrafficData[[#This Row],[disposedChallan]]&lt;=TrafficData[[#This Row],[totalChallan]],TrafficData[[#This Row],[pendingChallan]]&lt;=TrafficData[[#This Row],[totalChallan]])</f>
        <v>1</v>
      </c>
      <c r="O2367" t="b">
        <f>AND(TrafficData[[#This Row],[pendingAmount]]&lt;=TrafficData[[#This Row],[totalAmount]],TrafficData[[#This Row],[disposedAmount]]&lt;=TrafficData[[#This Row],[totalAmount]])</f>
        <v>1</v>
      </c>
      <c r="P2367" t="b">
        <f>AND(TrafficData[[#This Row],[pendingCourt]]&lt;=TrafficData[[#This Row],[totalCourt]],TrafficData[[#This Row],[disposedCourt]]&lt;=TrafficData[[#This Row],[totalCourt]])</f>
        <v>1</v>
      </c>
    </row>
    <row r="2368" spans="1:16">
      <c r="A2368" s="1">
        <v>44372</v>
      </c>
      <c r="B2368">
        <v>141548</v>
      </c>
      <c r="C2368">
        <v>65062</v>
      </c>
      <c r="D2368">
        <v>76486</v>
      </c>
      <c r="E2368">
        <v>70259685</v>
      </c>
      <c r="F2368">
        <v>77215605</v>
      </c>
      <c r="G2368">
        <v>147475290</v>
      </c>
      <c r="H2368">
        <v>30378</v>
      </c>
      <c r="I2368">
        <v>13106</v>
      </c>
      <c r="J2368">
        <v>43484</v>
      </c>
      <c r="K2368" t="b">
        <f>TrafficData[[#This Row],[disposedChallan]]+TrafficData[[#This Row],[pendingChallan]]=TrafficData[[#This Row],[totalChallan]]</f>
        <v>1</v>
      </c>
      <c r="L2368" t="b">
        <f>TrafficData[[#This Row],[pendingAmount]]+TrafficData[[#This Row],[disposedAmount]]=TrafficData[[#This Row],[totalAmount]]</f>
        <v>1</v>
      </c>
      <c r="M2368" t="b">
        <f>TrafficData[[#This Row],[pendingCourt]]+TrafficData[[#This Row],[disposedCourt]]=TrafficData[[#This Row],[totalCourt]]</f>
        <v>1</v>
      </c>
      <c r="N2368" t="b">
        <f>AND(TrafficData[[#This Row],[disposedChallan]]&lt;=TrafficData[[#This Row],[totalChallan]],TrafficData[[#This Row],[pendingChallan]]&lt;=TrafficData[[#This Row],[totalChallan]])</f>
        <v>1</v>
      </c>
      <c r="O2368" t="b">
        <f>AND(TrafficData[[#This Row],[pendingAmount]]&lt;=TrafficData[[#This Row],[totalAmount]],TrafficData[[#This Row],[disposedAmount]]&lt;=TrafficData[[#This Row],[totalAmount]])</f>
        <v>1</v>
      </c>
      <c r="P2368" t="b">
        <f>AND(TrafficData[[#This Row],[pendingCourt]]&lt;=TrafficData[[#This Row],[totalCourt]],TrafficData[[#This Row],[disposedCourt]]&lt;=TrafficData[[#This Row],[totalCourt]])</f>
        <v>1</v>
      </c>
    </row>
    <row r="2369" spans="1:16">
      <c r="A2369" s="1">
        <v>44373</v>
      </c>
      <c r="B2369">
        <v>133524</v>
      </c>
      <c r="C2369">
        <v>60850</v>
      </c>
      <c r="D2369">
        <v>72674</v>
      </c>
      <c r="E2369">
        <v>64580430</v>
      </c>
      <c r="F2369">
        <v>70163572</v>
      </c>
      <c r="G2369">
        <v>134744002</v>
      </c>
      <c r="H2369">
        <v>29706</v>
      </c>
      <c r="I2369">
        <v>12306</v>
      </c>
      <c r="J2369">
        <v>42012</v>
      </c>
      <c r="K2369" t="b">
        <f>TrafficData[[#This Row],[disposedChallan]]+TrafficData[[#This Row],[pendingChallan]]=TrafficData[[#This Row],[totalChallan]]</f>
        <v>1</v>
      </c>
      <c r="L2369" t="b">
        <f>TrafficData[[#This Row],[pendingAmount]]+TrafficData[[#This Row],[disposedAmount]]=TrafficData[[#This Row],[totalAmount]]</f>
        <v>1</v>
      </c>
      <c r="M2369" t="b">
        <f>TrafficData[[#This Row],[pendingCourt]]+TrafficData[[#This Row],[disposedCourt]]=TrafficData[[#This Row],[totalCourt]]</f>
        <v>1</v>
      </c>
      <c r="N2369" t="b">
        <f>AND(TrafficData[[#This Row],[disposedChallan]]&lt;=TrafficData[[#This Row],[totalChallan]],TrafficData[[#This Row],[pendingChallan]]&lt;=TrafficData[[#This Row],[totalChallan]])</f>
        <v>1</v>
      </c>
      <c r="O2369" t="b">
        <f>AND(TrafficData[[#This Row],[pendingAmount]]&lt;=TrafficData[[#This Row],[totalAmount]],TrafficData[[#This Row],[disposedAmount]]&lt;=TrafficData[[#This Row],[totalAmount]])</f>
        <v>1</v>
      </c>
      <c r="P2369" t="b">
        <f>AND(TrafficData[[#This Row],[pendingCourt]]&lt;=TrafficData[[#This Row],[totalCourt]],TrafficData[[#This Row],[disposedCourt]]&lt;=TrafficData[[#This Row],[totalCourt]])</f>
        <v>1</v>
      </c>
    </row>
    <row r="2370" spans="1:16">
      <c r="A2370" s="1">
        <v>44374</v>
      </c>
      <c r="B2370">
        <v>125887</v>
      </c>
      <c r="C2370">
        <v>53754</v>
      </c>
      <c r="D2370">
        <v>72133</v>
      </c>
      <c r="E2370">
        <v>64595015</v>
      </c>
      <c r="F2370">
        <v>54249040</v>
      </c>
      <c r="G2370">
        <v>118844055</v>
      </c>
      <c r="H2370">
        <v>29480</v>
      </c>
      <c r="I2370">
        <v>12252</v>
      </c>
      <c r="J2370">
        <v>41732</v>
      </c>
      <c r="K2370" t="b">
        <f>TrafficData[[#This Row],[disposedChallan]]+TrafficData[[#This Row],[pendingChallan]]=TrafficData[[#This Row],[totalChallan]]</f>
        <v>1</v>
      </c>
      <c r="L2370" t="b">
        <f>TrafficData[[#This Row],[pendingAmount]]+TrafficData[[#This Row],[disposedAmount]]=TrafficData[[#This Row],[totalAmount]]</f>
        <v>1</v>
      </c>
      <c r="M2370" t="b">
        <f>TrafficData[[#This Row],[pendingCourt]]+TrafficData[[#This Row],[disposedCourt]]=TrafficData[[#This Row],[totalCourt]]</f>
        <v>1</v>
      </c>
      <c r="N2370" t="b">
        <f>AND(TrafficData[[#This Row],[disposedChallan]]&lt;=TrafficData[[#This Row],[totalChallan]],TrafficData[[#This Row],[pendingChallan]]&lt;=TrafficData[[#This Row],[totalChallan]])</f>
        <v>1</v>
      </c>
      <c r="O2370" t="b">
        <f>AND(TrafficData[[#This Row],[pendingAmount]]&lt;=TrafficData[[#This Row],[totalAmount]],TrafficData[[#This Row],[disposedAmount]]&lt;=TrafficData[[#This Row],[totalAmount]])</f>
        <v>1</v>
      </c>
      <c r="P2370" t="b">
        <f>AND(TrafficData[[#This Row],[pendingCourt]]&lt;=TrafficData[[#This Row],[totalCourt]],TrafficData[[#This Row],[disposedCourt]]&lt;=TrafficData[[#This Row],[totalCourt]])</f>
        <v>1</v>
      </c>
    </row>
    <row r="2371" spans="1:16">
      <c r="A2371" s="1">
        <v>44375</v>
      </c>
      <c r="B2371">
        <v>145237</v>
      </c>
      <c r="C2371">
        <v>66350</v>
      </c>
      <c r="D2371">
        <v>78887</v>
      </c>
      <c r="E2371">
        <v>71872701</v>
      </c>
      <c r="F2371">
        <v>65847667</v>
      </c>
      <c r="G2371">
        <v>137720368</v>
      </c>
      <c r="H2371">
        <v>34715</v>
      </c>
      <c r="I2371">
        <v>14395</v>
      </c>
      <c r="J2371">
        <v>49110</v>
      </c>
      <c r="K2371" t="b">
        <f>TrafficData[[#This Row],[disposedChallan]]+TrafficData[[#This Row],[pendingChallan]]=TrafficData[[#This Row],[totalChallan]]</f>
        <v>1</v>
      </c>
      <c r="L2371" t="b">
        <f>TrafficData[[#This Row],[pendingAmount]]+TrafficData[[#This Row],[disposedAmount]]=TrafficData[[#This Row],[totalAmount]]</f>
        <v>1</v>
      </c>
      <c r="M2371" t="b">
        <f>TrafficData[[#This Row],[pendingCourt]]+TrafficData[[#This Row],[disposedCourt]]=TrafficData[[#This Row],[totalCourt]]</f>
        <v>1</v>
      </c>
      <c r="N2371" t="b">
        <f>AND(TrafficData[[#This Row],[disposedChallan]]&lt;=TrafficData[[#This Row],[totalChallan]],TrafficData[[#This Row],[pendingChallan]]&lt;=TrafficData[[#This Row],[totalChallan]])</f>
        <v>1</v>
      </c>
      <c r="O2371" t="b">
        <f>AND(TrafficData[[#This Row],[pendingAmount]]&lt;=TrafficData[[#This Row],[totalAmount]],TrafficData[[#This Row],[disposedAmount]]&lt;=TrafficData[[#This Row],[totalAmount]])</f>
        <v>1</v>
      </c>
      <c r="P2371" t="b">
        <f>AND(TrafficData[[#This Row],[pendingCourt]]&lt;=TrafficData[[#This Row],[totalCourt]],TrafficData[[#This Row],[disposedCourt]]&lt;=TrafficData[[#This Row],[totalCourt]])</f>
        <v>1</v>
      </c>
    </row>
    <row r="2372" spans="1:16">
      <c r="A2372" s="1">
        <v>44376</v>
      </c>
      <c r="B2372">
        <v>141911</v>
      </c>
      <c r="C2372">
        <v>66623</v>
      </c>
      <c r="D2372">
        <v>75288</v>
      </c>
      <c r="E2372">
        <v>72285567</v>
      </c>
      <c r="F2372">
        <v>68587355</v>
      </c>
      <c r="G2372">
        <v>140872922</v>
      </c>
      <c r="H2372">
        <v>31880</v>
      </c>
      <c r="I2372">
        <v>13838</v>
      </c>
      <c r="J2372">
        <v>45718</v>
      </c>
      <c r="K2372" t="b">
        <f>TrafficData[[#This Row],[disposedChallan]]+TrafficData[[#This Row],[pendingChallan]]=TrafficData[[#This Row],[totalChallan]]</f>
        <v>1</v>
      </c>
      <c r="L2372" t="b">
        <f>TrafficData[[#This Row],[pendingAmount]]+TrafficData[[#This Row],[disposedAmount]]=TrafficData[[#This Row],[totalAmount]]</f>
        <v>1</v>
      </c>
      <c r="M2372" t="b">
        <f>TrafficData[[#This Row],[pendingCourt]]+TrafficData[[#This Row],[disposedCourt]]=TrafficData[[#This Row],[totalCourt]]</f>
        <v>1</v>
      </c>
      <c r="N2372" t="b">
        <f>AND(TrafficData[[#This Row],[disposedChallan]]&lt;=TrafficData[[#This Row],[totalChallan]],TrafficData[[#This Row],[pendingChallan]]&lt;=TrafficData[[#This Row],[totalChallan]])</f>
        <v>1</v>
      </c>
      <c r="O2372" t="b">
        <f>AND(TrafficData[[#This Row],[pendingAmount]]&lt;=TrafficData[[#This Row],[totalAmount]],TrafficData[[#This Row],[disposedAmount]]&lt;=TrafficData[[#This Row],[totalAmount]])</f>
        <v>1</v>
      </c>
      <c r="P2372" t="b">
        <f>AND(TrafficData[[#This Row],[pendingCourt]]&lt;=TrafficData[[#This Row],[totalCourt]],TrafficData[[#This Row],[disposedCourt]]&lt;=TrafficData[[#This Row],[totalCourt]])</f>
        <v>1</v>
      </c>
    </row>
    <row r="2373" spans="1:16">
      <c r="A2373" s="1">
        <v>44377</v>
      </c>
      <c r="B2373">
        <v>135669</v>
      </c>
      <c r="C2373">
        <v>63898</v>
      </c>
      <c r="D2373">
        <v>71771</v>
      </c>
      <c r="E2373">
        <v>71682221</v>
      </c>
      <c r="F2373">
        <v>69347851</v>
      </c>
      <c r="G2373">
        <v>141030072</v>
      </c>
      <c r="H2373">
        <v>31504</v>
      </c>
      <c r="I2373">
        <v>13775</v>
      </c>
      <c r="J2373">
        <v>45279</v>
      </c>
      <c r="K2373" t="b">
        <f>TrafficData[[#This Row],[disposedChallan]]+TrafficData[[#This Row],[pendingChallan]]=TrafficData[[#This Row],[totalChallan]]</f>
        <v>1</v>
      </c>
      <c r="L2373" t="b">
        <f>TrafficData[[#This Row],[pendingAmount]]+TrafficData[[#This Row],[disposedAmount]]=TrafficData[[#This Row],[totalAmount]]</f>
        <v>1</v>
      </c>
      <c r="M2373" t="b">
        <f>TrafficData[[#This Row],[pendingCourt]]+TrafficData[[#This Row],[disposedCourt]]=TrafficData[[#This Row],[totalCourt]]</f>
        <v>1</v>
      </c>
      <c r="N2373" t="b">
        <f>AND(TrafficData[[#This Row],[disposedChallan]]&lt;=TrafficData[[#This Row],[totalChallan]],TrafficData[[#This Row],[pendingChallan]]&lt;=TrafficData[[#This Row],[totalChallan]])</f>
        <v>1</v>
      </c>
      <c r="O2373" t="b">
        <f>AND(TrafficData[[#This Row],[pendingAmount]]&lt;=TrafficData[[#This Row],[totalAmount]],TrafficData[[#This Row],[disposedAmount]]&lt;=TrafficData[[#This Row],[totalAmount]])</f>
        <v>1</v>
      </c>
      <c r="P2373" t="b">
        <f>AND(TrafficData[[#This Row],[pendingCourt]]&lt;=TrafficData[[#This Row],[totalCourt]],TrafficData[[#This Row],[disposedCourt]]&lt;=TrafficData[[#This Row],[totalCourt]])</f>
        <v>1</v>
      </c>
    </row>
    <row r="2374" spans="1:16">
      <c r="A2374" s="1">
        <v>44378</v>
      </c>
      <c r="B2374">
        <v>139752</v>
      </c>
      <c r="C2374">
        <v>66447</v>
      </c>
      <c r="D2374">
        <v>73305</v>
      </c>
      <c r="E2374">
        <v>71096417</v>
      </c>
      <c r="F2374">
        <v>75225530</v>
      </c>
      <c r="G2374">
        <v>146321947</v>
      </c>
      <c r="H2374">
        <v>31117</v>
      </c>
      <c r="I2374">
        <v>14144</v>
      </c>
      <c r="J2374">
        <v>45261</v>
      </c>
      <c r="K2374" t="b">
        <f>TrafficData[[#This Row],[disposedChallan]]+TrafficData[[#This Row],[pendingChallan]]=TrafficData[[#This Row],[totalChallan]]</f>
        <v>1</v>
      </c>
      <c r="L2374" t="b">
        <f>TrafficData[[#This Row],[pendingAmount]]+TrafficData[[#This Row],[disposedAmount]]=TrafficData[[#This Row],[totalAmount]]</f>
        <v>1</v>
      </c>
      <c r="M2374" t="b">
        <f>TrafficData[[#This Row],[pendingCourt]]+TrafficData[[#This Row],[disposedCourt]]=TrafficData[[#This Row],[totalCourt]]</f>
        <v>1</v>
      </c>
      <c r="N2374" t="b">
        <f>AND(TrafficData[[#This Row],[disposedChallan]]&lt;=TrafficData[[#This Row],[totalChallan]],TrafficData[[#This Row],[pendingChallan]]&lt;=TrafficData[[#This Row],[totalChallan]])</f>
        <v>1</v>
      </c>
      <c r="O2374" t="b">
        <f>AND(TrafficData[[#This Row],[pendingAmount]]&lt;=TrafficData[[#This Row],[totalAmount]],TrafficData[[#This Row],[disposedAmount]]&lt;=TrafficData[[#This Row],[totalAmount]])</f>
        <v>1</v>
      </c>
      <c r="P2374" t="b">
        <f>AND(TrafficData[[#This Row],[pendingCourt]]&lt;=TrafficData[[#This Row],[totalCourt]],TrafficData[[#This Row],[disposedCourt]]&lt;=TrafficData[[#This Row],[totalCourt]])</f>
        <v>1</v>
      </c>
    </row>
    <row r="2375" spans="1:16">
      <c r="A2375" s="1">
        <v>44379</v>
      </c>
      <c r="B2375">
        <v>141184</v>
      </c>
      <c r="C2375">
        <v>68030</v>
      </c>
      <c r="D2375">
        <v>73154</v>
      </c>
      <c r="E2375">
        <v>64676341</v>
      </c>
      <c r="F2375">
        <v>74256222</v>
      </c>
      <c r="G2375">
        <v>138932563</v>
      </c>
      <c r="H2375">
        <v>27109</v>
      </c>
      <c r="I2375">
        <v>13177</v>
      </c>
      <c r="J2375">
        <v>40286</v>
      </c>
      <c r="K2375" t="b">
        <f>TrafficData[[#This Row],[disposedChallan]]+TrafficData[[#This Row],[pendingChallan]]=TrafficData[[#This Row],[totalChallan]]</f>
        <v>1</v>
      </c>
      <c r="L2375" t="b">
        <f>TrafficData[[#This Row],[pendingAmount]]+TrafficData[[#This Row],[disposedAmount]]=TrafficData[[#This Row],[totalAmount]]</f>
        <v>1</v>
      </c>
      <c r="M2375" t="b">
        <f>TrafficData[[#This Row],[pendingCourt]]+TrafficData[[#This Row],[disposedCourt]]=TrafficData[[#This Row],[totalCourt]]</f>
        <v>1</v>
      </c>
      <c r="N2375" t="b">
        <f>AND(TrafficData[[#This Row],[disposedChallan]]&lt;=TrafficData[[#This Row],[totalChallan]],TrafficData[[#This Row],[pendingChallan]]&lt;=TrafficData[[#This Row],[totalChallan]])</f>
        <v>1</v>
      </c>
      <c r="O2375" t="b">
        <f>AND(TrafficData[[#This Row],[pendingAmount]]&lt;=TrafficData[[#This Row],[totalAmount]],TrafficData[[#This Row],[disposedAmount]]&lt;=TrafficData[[#This Row],[totalAmount]])</f>
        <v>1</v>
      </c>
      <c r="P2375" t="b">
        <f>AND(TrafficData[[#This Row],[pendingCourt]]&lt;=TrafficData[[#This Row],[totalCourt]],TrafficData[[#This Row],[disposedCourt]]&lt;=TrafficData[[#This Row],[totalCourt]])</f>
        <v>1</v>
      </c>
    </row>
    <row r="2376" spans="1:16">
      <c r="A2376" s="1">
        <v>44380</v>
      </c>
      <c r="B2376">
        <v>142143</v>
      </c>
      <c r="C2376">
        <v>68630</v>
      </c>
      <c r="D2376">
        <v>73513</v>
      </c>
      <c r="E2376">
        <v>61733999</v>
      </c>
      <c r="F2376">
        <v>71906955</v>
      </c>
      <c r="G2376">
        <v>133640954</v>
      </c>
      <c r="H2376">
        <v>27752</v>
      </c>
      <c r="I2376">
        <v>14060</v>
      </c>
      <c r="J2376">
        <v>41812</v>
      </c>
      <c r="K2376" t="b">
        <f>TrafficData[[#This Row],[disposedChallan]]+TrafficData[[#This Row],[pendingChallan]]=TrafficData[[#This Row],[totalChallan]]</f>
        <v>1</v>
      </c>
      <c r="L2376" t="b">
        <f>TrafficData[[#This Row],[pendingAmount]]+TrafficData[[#This Row],[disposedAmount]]=TrafficData[[#This Row],[totalAmount]]</f>
        <v>1</v>
      </c>
      <c r="M2376" t="b">
        <f>TrafficData[[#This Row],[pendingCourt]]+TrafficData[[#This Row],[disposedCourt]]=TrafficData[[#This Row],[totalCourt]]</f>
        <v>1</v>
      </c>
      <c r="N2376" t="b">
        <f>AND(TrafficData[[#This Row],[disposedChallan]]&lt;=TrafficData[[#This Row],[totalChallan]],TrafficData[[#This Row],[pendingChallan]]&lt;=TrafficData[[#This Row],[totalChallan]])</f>
        <v>1</v>
      </c>
      <c r="O2376" t="b">
        <f>AND(TrafficData[[#This Row],[pendingAmount]]&lt;=TrafficData[[#This Row],[totalAmount]],TrafficData[[#This Row],[disposedAmount]]&lt;=TrafficData[[#This Row],[totalAmount]])</f>
        <v>1</v>
      </c>
      <c r="P2376" t="b">
        <f>AND(TrafficData[[#This Row],[pendingCourt]]&lt;=TrafficData[[#This Row],[totalCourt]],TrafficData[[#This Row],[disposedCourt]]&lt;=TrafficData[[#This Row],[totalCourt]])</f>
        <v>1</v>
      </c>
    </row>
    <row r="2377" spans="1:16">
      <c r="A2377" s="1">
        <v>44381</v>
      </c>
      <c r="B2377">
        <v>132989</v>
      </c>
      <c r="C2377">
        <v>58896</v>
      </c>
      <c r="D2377">
        <v>74093</v>
      </c>
      <c r="E2377">
        <v>62354102</v>
      </c>
      <c r="F2377">
        <v>58143758</v>
      </c>
      <c r="G2377">
        <v>120497860</v>
      </c>
      <c r="H2377">
        <v>28104</v>
      </c>
      <c r="I2377">
        <v>13080</v>
      </c>
      <c r="J2377">
        <v>41184</v>
      </c>
      <c r="K2377" t="b">
        <f>TrafficData[[#This Row],[disposedChallan]]+TrafficData[[#This Row],[pendingChallan]]=TrafficData[[#This Row],[totalChallan]]</f>
        <v>1</v>
      </c>
      <c r="L2377" t="b">
        <f>TrafficData[[#This Row],[pendingAmount]]+TrafficData[[#This Row],[disposedAmount]]=TrafficData[[#This Row],[totalAmount]]</f>
        <v>1</v>
      </c>
      <c r="M2377" t="b">
        <f>TrafficData[[#This Row],[pendingCourt]]+TrafficData[[#This Row],[disposedCourt]]=TrafficData[[#This Row],[totalCourt]]</f>
        <v>1</v>
      </c>
      <c r="N2377" t="b">
        <f>AND(TrafficData[[#This Row],[disposedChallan]]&lt;=TrafficData[[#This Row],[totalChallan]],TrafficData[[#This Row],[pendingChallan]]&lt;=TrafficData[[#This Row],[totalChallan]])</f>
        <v>1</v>
      </c>
      <c r="O2377" t="b">
        <f>AND(TrafficData[[#This Row],[pendingAmount]]&lt;=TrafficData[[#This Row],[totalAmount]],TrafficData[[#This Row],[disposedAmount]]&lt;=TrafficData[[#This Row],[totalAmount]])</f>
        <v>1</v>
      </c>
      <c r="P2377" t="b">
        <f>AND(TrafficData[[#This Row],[pendingCourt]]&lt;=TrafficData[[#This Row],[totalCourt]],TrafficData[[#This Row],[disposedCourt]]&lt;=TrafficData[[#This Row],[totalCourt]])</f>
        <v>1</v>
      </c>
    </row>
    <row r="2378" spans="1:16">
      <c r="A2378" s="1">
        <v>44382</v>
      </c>
      <c r="B2378">
        <v>141111</v>
      </c>
      <c r="C2378">
        <v>67705</v>
      </c>
      <c r="D2378">
        <v>73406</v>
      </c>
      <c r="E2378">
        <v>72372874</v>
      </c>
      <c r="F2378">
        <v>69699211</v>
      </c>
      <c r="G2378">
        <v>142072085</v>
      </c>
      <c r="H2378">
        <v>33193</v>
      </c>
      <c r="I2378">
        <v>14542</v>
      </c>
      <c r="J2378">
        <v>47735</v>
      </c>
      <c r="K2378" t="b">
        <f>TrafficData[[#This Row],[disposedChallan]]+TrafficData[[#This Row],[pendingChallan]]=TrafficData[[#This Row],[totalChallan]]</f>
        <v>1</v>
      </c>
      <c r="L2378" t="b">
        <f>TrafficData[[#This Row],[pendingAmount]]+TrafficData[[#This Row],[disposedAmount]]=TrafficData[[#This Row],[totalAmount]]</f>
        <v>1</v>
      </c>
      <c r="M2378" t="b">
        <f>TrafficData[[#This Row],[pendingCourt]]+TrafficData[[#This Row],[disposedCourt]]=TrafficData[[#This Row],[totalCourt]]</f>
        <v>1</v>
      </c>
      <c r="N2378" t="b">
        <f>AND(TrafficData[[#This Row],[disposedChallan]]&lt;=TrafficData[[#This Row],[totalChallan]],TrafficData[[#This Row],[pendingChallan]]&lt;=TrafficData[[#This Row],[totalChallan]])</f>
        <v>1</v>
      </c>
      <c r="O2378" t="b">
        <f>AND(TrafficData[[#This Row],[pendingAmount]]&lt;=TrafficData[[#This Row],[totalAmount]],TrafficData[[#This Row],[disposedAmount]]&lt;=TrafficData[[#This Row],[totalAmount]])</f>
        <v>1</v>
      </c>
      <c r="P2378" t="b">
        <f>AND(TrafficData[[#This Row],[pendingCourt]]&lt;=TrafficData[[#This Row],[totalCourt]],TrafficData[[#This Row],[disposedCourt]]&lt;=TrafficData[[#This Row],[totalCourt]])</f>
        <v>1</v>
      </c>
    </row>
    <row r="2379" spans="1:16">
      <c r="A2379" s="1">
        <v>44383</v>
      </c>
      <c r="B2379">
        <v>138236</v>
      </c>
      <c r="C2379">
        <v>68252</v>
      </c>
      <c r="D2379">
        <v>69984</v>
      </c>
      <c r="E2379">
        <v>71460118</v>
      </c>
      <c r="F2379">
        <v>101407688</v>
      </c>
      <c r="G2379">
        <v>172867806</v>
      </c>
      <c r="H2379">
        <v>33207</v>
      </c>
      <c r="I2379">
        <v>14651</v>
      </c>
      <c r="J2379">
        <v>47858</v>
      </c>
      <c r="K2379" t="b">
        <f>TrafficData[[#This Row],[disposedChallan]]+TrafficData[[#This Row],[pendingChallan]]=TrafficData[[#This Row],[totalChallan]]</f>
        <v>1</v>
      </c>
      <c r="L2379" t="b">
        <f>TrafficData[[#This Row],[pendingAmount]]+TrafficData[[#This Row],[disposedAmount]]=TrafficData[[#This Row],[totalAmount]]</f>
        <v>1</v>
      </c>
      <c r="M2379" t="b">
        <f>TrafficData[[#This Row],[pendingCourt]]+TrafficData[[#This Row],[disposedCourt]]=TrafficData[[#This Row],[totalCourt]]</f>
        <v>1</v>
      </c>
      <c r="N2379" t="b">
        <f>AND(TrafficData[[#This Row],[disposedChallan]]&lt;=TrafficData[[#This Row],[totalChallan]],TrafficData[[#This Row],[pendingChallan]]&lt;=TrafficData[[#This Row],[totalChallan]])</f>
        <v>1</v>
      </c>
      <c r="O2379" t="b">
        <f>AND(TrafficData[[#This Row],[pendingAmount]]&lt;=TrafficData[[#This Row],[totalAmount]],TrafficData[[#This Row],[disposedAmount]]&lt;=TrafficData[[#This Row],[totalAmount]])</f>
        <v>1</v>
      </c>
      <c r="P2379" t="b">
        <f>AND(TrafficData[[#This Row],[pendingCourt]]&lt;=TrafficData[[#This Row],[totalCourt]],TrafficData[[#This Row],[disposedCourt]]&lt;=TrafficData[[#This Row],[totalCourt]])</f>
        <v>1</v>
      </c>
    </row>
    <row r="2380" spans="1:16">
      <c r="A2380" s="1">
        <v>44384</v>
      </c>
      <c r="B2380">
        <v>137263</v>
      </c>
      <c r="C2380">
        <v>69063</v>
      </c>
      <c r="D2380">
        <v>68200</v>
      </c>
      <c r="E2380">
        <v>75275160</v>
      </c>
      <c r="F2380">
        <v>78209366</v>
      </c>
      <c r="G2380">
        <v>153484526</v>
      </c>
      <c r="H2380">
        <v>33412</v>
      </c>
      <c r="I2380">
        <v>15009</v>
      </c>
      <c r="J2380">
        <v>48421</v>
      </c>
      <c r="K2380" t="b">
        <f>TrafficData[[#This Row],[disposedChallan]]+TrafficData[[#This Row],[pendingChallan]]=TrafficData[[#This Row],[totalChallan]]</f>
        <v>1</v>
      </c>
      <c r="L2380" t="b">
        <f>TrafficData[[#This Row],[pendingAmount]]+TrafficData[[#This Row],[disposedAmount]]=TrafficData[[#This Row],[totalAmount]]</f>
        <v>1</v>
      </c>
      <c r="M2380" t="b">
        <f>TrafficData[[#This Row],[pendingCourt]]+TrafficData[[#This Row],[disposedCourt]]=TrafficData[[#This Row],[totalCourt]]</f>
        <v>1</v>
      </c>
      <c r="N2380" t="b">
        <f>AND(TrafficData[[#This Row],[disposedChallan]]&lt;=TrafficData[[#This Row],[totalChallan]],TrafficData[[#This Row],[pendingChallan]]&lt;=TrafficData[[#This Row],[totalChallan]])</f>
        <v>1</v>
      </c>
      <c r="O2380" t="b">
        <f>AND(TrafficData[[#This Row],[pendingAmount]]&lt;=TrafficData[[#This Row],[totalAmount]],TrafficData[[#This Row],[disposedAmount]]&lt;=TrafficData[[#This Row],[totalAmount]])</f>
        <v>1</v>
      </c>
      <c r="P2380" t="b">
        <f>AND(TrafficData[[#This Row],[pendingCourt]]&lt;=TrafficData[[#This Row],[totalCourt]],TrafficData[[#This Row],[disposedCourt]]&lt;=TrafficData[[#This Row],[totalCourt]])</f>
        <v>1</v>
      </c>
    </row>
    <row r="2381" spans="1:16">
      <c r="A2381" s="1">
        <v>44385</v>
      </c>
      <c r="B2381">
        <v>136323</v>
      </c>
      <c r="C2381">
        <v>66304</v>
      </c>
      <c r="D2381">
        <v>70019</v>
      </c>
      <c r="E2381">
        <v>69041317</v>
      </c>
      <c r="F2381">
        <v>78200198</v>
      </c>
      <c r="G2381">
        <v>147241515</v>
      </c>
      <c r="H2381">
        <v>29249</v>
      </c>
      <c r="I2381">
        <v>12996</v>
      </c>
      <c r="J2381">
        <v>42245</v>
      </c>
      <c r="K2381" t="b">
        <f>TrafficData[[#This Row],[disposedChallan]]+TrafficData[[#This Row],[pendingChallan]]=TrafficData[[#This Row],[totalChallan]]</f>
        <v>1</v>
      </c>
      <c r="L2381" t="b">
        <f>TrafficData[[#This Row],[pendingAmount]]+TrafficData[[#This Row],[disposedAmount]]=TrafficData[[#This Row],[totalAmount]]</f>
        <v>1</v>
      </c>
      <c r="M2381" t="b">
        <f>TrafficData[[#This Row],[pendingCourt]]+TrafficData[[#This Row],[disposedCourt]]=TrafficData[[#This Row],[totalCourt]]</f>
        <v>1</v>
      </c>
      <c r="N2381" t="b">
        <f>AND(TrafficData[[#This Row],[disposedChallan]]&lt;=TrafficData[[#This Row],[totalChallan]],TrafficData[[#This Row],[pendingChallan]]&lt;=TrafficData[[#This Row],[totalChallan]])</f>
        <v>1</v>
      </c>
      <c r="O2381" t="b">
        <f>AND(TrafficData[[#This Row],[pendingAmount]]&lt;=TrafficData[[#This Row],[totalAmount]],TrafficData[[#This Row],[disposedAmount]]&lt;=TrafficData[[#This Row],[totalAmount]])</f>
        <v>1</v>
      </c>
      <c r="P2381" t="b">
        <f>AND(TrafficData[[#This Row],[pendingCourt]]&lt;=TrafficData[[#This Row],[totalCourt]],TrafficData[[#This Row],[disposedCourt]]&lt;=TrafficData[[#This Row],[totalCourt]])</f>
        <v>1</v>
      </c>
    </row>
    <row r="2382" spans="1:16">
      <c r="A2382" s="1">
        <v>44386</v>
      </c>
      <c r="B2382">
        <v>148716</v>
      </c>
      <c r="C2382">
        <v>72301</v>
      </c>
      <c r="D2382">
        <v>76415</v>
      </c>
      <c r="E2382">
        <v>73959758</v>
      </c>
      <c r="F2382">
        <v>78644538</v>
      </c>
      <c r="G2382">
        <v>152604296</v>
      </c>
      <c r="H2382">
        <v>31740</v>
      </c>
      <c r="I2382">
        <v>14618</v>
      </c>
      <c r="J2382">
        <v>46358</v>
      </c>
      <c r="K2382" t="b">
        <f>TrafficData[[#This Row],[disposedChallan]]+TrafficData[[#This Row],[pendingChallan]]=TrafficData[[#This Row],[totalChallan]]</f>
        <v>1</v>
      </c>
      <c r="L2382" t="b">
        <f>TrafficData[[#This Row],[pendingAmount]]+TrafficData[[#This Row],[disposedAmount]]=TrafficData[[#This Row],[totalAmount]]</f>
        <v>1</v>
      </c>
      <c r="M2382" t="b">
        <f>TrafficData[[#This Row],[pendingCourt]]+TrafficData[[#This Row],[disposedCourt]]=TrafficData[[#This Row],[totalCourt]]</f>
        <v>1</v>
      </c>
      <c r="N2382" t="b">
        <f>AND(TrafficData[[#This Row],[disposedChallan]]&lt;=TrafficData[[#This Row],[totalChallan]],TrafficData[[#This Row],[pendingChallan]]&lt;=TrafficData[[#This Row],[totalChallan]])</f>
        <v>1</v>
      </c>
      <c r="O2382" t="b">
        <f>AND(TrafficData[[#This Row],[pendingAmount]]&lt;=TrafficData[[#This Row],[totalAmount]],TrafficData[[#This Row],[disposedAmount]]&lt;=TrafficData[[#This Row],[totalAmount]])</f>
        <v>1</v>
      </c>
      <c r="P2382" t="b">
        <f>AND(TrafficData[[#This Row],[pendingCourt]]&lt;=TrafficData[[#This Row],[totalCourt]],TrafficData[[#This Row],[disposedCourt]]&lt;=TrafficData[[#This Row],[totalCourt]])</f>
        <v>1</v>
      </c>
    </row>
    <row r="2383" spans="1:16">
      <c r="A2383" s="1">
        <v>44387</v>
      </c>
      <c r="B2383">
        <v>141609</v>
      </c>
      <c r="C2383">
        <v>69484</v>
      </c>
      <c r="D2383">
        <v>72125</v>
      </c>
      <c r="E2383">
        <v>66209373</v>
      </c>
      <c r="F2383">
        <v>72185009</v>
      </c>
      <c r="G2383">
        <v>138394382</v>
      </c>
      <c r="H2383">
        <v>27931</v>
      </c>
      <c r="I2383">
        <v>13369</v>
      </c>
      <c r="J2383">
        <v>41300</v>
      </c>
      <c r="K2383" t="b">
        <f>TrafficData[[#This Row],[disposedChallan]]+TrafficData[[#This Row],[pendingChallan]]=TrafficData[[#This Row],[totalChallan]]</f>
        <v>1</v>
      </c>
      <c r="L2383" t="b">
        <f>TrafficData[[#This Row],[pendingAmount]]+TrafficData[[#This Row],[disposedAmount]]=TrafficData[[#This Row],[totalAmount]]</f>
        <v>1</v>
      </c>
      <c r="M2383" t="b">
        <f>TrafficData[[#This Row],[pendingCourt]]+TrafficData[[#This Row],[disposedCourt]]=TrafficData[[#This Row],[totalCourt]]</f>
        <v>1</v>
      </c>
      <c r="N2383" t="b">
        <f>AND(TrafficData[[#This Row],[disposedChallan]]&lt;=TrafficData[[#This Row],[totalChallan]],TrafficData[[#This Row],[pendingChallan]]&lt;=TrafficData[[#This Row],[totalChallan]])</f>
        <v>1</v>
      </c>
      <c r="O2383" t="b">
        <f>AND(TrafficData[[#This Row],[pendingAmount]]&lt;=TrafficData[[#This Row],[totalAmount]],TrafficData[[#This Row],[disposedAmount]]&lt;=TrafficData[[#This Row],[totalAmount]])</f>
        <v>1</v>
      </c>
      <c r="P2383" t="b">
        <f>AND(TrafficData[[#This Row],[pendingCourt]]&lt;=TrafficData[[#This Row],[totalCourt]],TrafficData[[#This Row],[disposedCourt]]&lt;=TrafficData[[#This Row],[totalCourt]])</f>
        <v>1</v>
      </c>
    </row>
    <row r="2384" spans="1:16">
      <c r="A2384" s="1">
        <v>44388</v>
      </c>
      <c r="B2384">
        <v>130879</v>
      </c>
      <c r="C2384">
        <v>60080</v>
      </c>
      <c r="D2384">
        <v>70799</v>
      </c>
      <c r="E2384">
        <v>62328701</v>
      </c>
      <c r="F2384">
        <v>57283902</v>
      </c>
      <c r="G2384">
        <v>119612603</v>
      </c>
      <c r="H2384">
        <v>28755</v>
      </c>
      <c r="I2384">
        <v>13093</v>
      </c>
      <c r="J2384">
        <v>41848</v>
      </c>
      <c r="K2384" t="b">
        <f>TrafficData[[#This Row],[disposedChallan]]+TrafficData[[#This Row],[pendingChallan]]=TrafficData[[#This Row],[totalChallan]]</f>
        <v>1</v>
      </c>
      <c r="L2384" t="b">
        <f>TrafficData[[#This Row],[pendingAmount]]+TrafficData[[#This Row],[disposedAmount]]=TrafficData[[#This Row],[totalAmount]]</f>
        <v>1</v>
      </c>
      <c r="M2384" t="b">
        <f>TrafficData[[#This Row],[pendingCourt]]+TrafficData[[#This Row],[disposedCourt]]=TrafficData[[#This Row],[totalCourt]]</f>
        <v>1</v>
      </c>
      <c r="N2384" t="b">
        <f>AND(TrafficData[[#This Row],[disposedChallan]]&lt;=TrafficData[[#This Row],[totalChallan]],TrafficData[[#This Row],[pendingChallan]]&lt;=TrafficData[[#This Row],[totalChallan]])</f>
        <v>1</v>
      </c>
      <c r="O2384" t="b">
        <f>AND(TrafficData[[#This Row],[pendingAmount]]&lt;=TrafficData[[#This Row],[totalAmount]],TrafficData[[#This Row],[disposedAmount]]&lt;=TrafficData[[#This Row],[totalAmount]])</f>
        <v>1</v>
      </c>
      <c r="P2384" t="b">
        <f>AND(TrafficData[[#This Row],[pendingCourt]]&lt;=TrafficData[[#This Row],[totalCourt]],TrafficData[[#This Row],[disposedCourt]]&lt;=TrafficData[[#This Row],[totalCourt]])</f>
        <v>1</v>
      </c>
    </row>
    <row r="2385" spans="1:16">
      <c r="A2385" s="1">
        <v>44389</v>
      </c>
      <c r="B2385">
        <v>144533</v>
      </c>
      <c r="C2385">
        <v>69449</v>
      </c>
      <c r="D2385">
        <v>75084</v>
      </c>
      <c r="E2385">
        <v>70162218</v>
      </c>
      <c r="F2385">
        <v>68656930</v>
      </c>
      <c r="G2385">
        <v>138819148</v>
      </c>
      <c r="H2385">
        <v>32519</v>
      </c>
      <c r="I2385">
        <v>15711</v>
      </c>
      <c r="J2385">
        <v>48230</v>
      </c>
      <c r="K2385" t="b">
        <f>TrafficData[[#This Row],[disposedChallan]]+TrafficData[[#This Row],[pendingChallan]]=TrafficData[[#This Row],[totalChallan]]</f>
        <v>1</v>
      </c>
      <c r="L2385" t="b">
        <f>TrafficData[[#This Row],[pendingAmount]]+TrafficData[[#This Row],[disposedAmount]]=TrafficData[[#This Row],[totalAmount]]</f>
        <v>1</v>
      </c>
      <c r="M2385" t="b">
        <f>TrafficData[[#This Row],[pendingCourt]]+TrafficData[[#This Row],[disposedCourt]]=TrafficData[[#This Row],[totalCourt]]</f>
        <v>1</v>
      </c>
      <c r="N2385" t="b">
        <f>AND(TrafficData[[#This Row],[disposedChallan]]&lt;=TrafficData[[#This Row],[totalChallan]],TrafficData[[#This Row],[pendingChallan]]&lt;=TrafficData[[#This Row],[totalChallan]])</f>
        <v>1</v>
      </c>
      <c r="O2385" t="b">
        <f>AND(TrafficData[[#This Row],[pendingAmount]]&lt;=TrafficData[[#This Row],[totalAmount]],TrafficData[[#This Row],[disposedAmount]]&lt;=TrafficData[[#This Row],[totalAmount]])</f>
        <v>1</v>
      </c>
      <c r="P2385" t="b">
        <f>AND(TrafficData[[#This Row],[pendingCourt]]&lt;=TrafficData[[#This Row],[totalCourt]],TrafficData[[#This Row],[disposedCourt]]&lt;=TrafficData[[#This Row],[totalCourt]])</f>
        <v>1</v>
      </c>
    </row>
    <row r="2386" spans="1:16">
      <c r="A2386" s="1">
        <v>44390</v>
      </c>
      <c r="B2386">
        <v>142102</v>
      </c>
      <c r="C2386">
        <v>67760</v>
      </c>
      <c r="D2386">
        <v>74342</v>
      </c>
      <c r="E2386">
        <v>67397280</v>
      </c>
      <c r="F2386">
        <v>113769361</v>
      </c>
      <c r="G2386">
        <v>181166641</v>
      </c>
      <c r="H2386">
        <v>30608</v>
      </c>
      <c r="I2386">
        <v>13191</v>
      </c>
      <c r="J2386">
        <v>43799</v>
      </c>
      <c r="K2386" t="b">
        <f>TrafficData[[#This Row],[disposedChallan]]+TrafficData[[#This Row],[pendingChallan]]=TrafficData[[#This Row],[totalChallan]]</f>
        <v>1</v>
      </c>
      <c r="L2386" t="b">
        <f>TrafficData[[#This Row],[pendingAmount]]+TrafficData[[#This Row],[disposedAmount]]=TrafficData[[#This Row],[totalAmount]]</f>
        <v>1</v>
      </c>
      <c r="M2386" t="b">
        <f>TrafficData[[#This Row],[pendingCourt]]+TrafficData[[#This Row],[disposedCourt]]=TrafficData[[#This Row],[totalCourt]]</f>
        <v>1</v>
      </c>
      <c r="N2386" t="b">
        <f>AND(TrafficData[[#This Row],[disposedChallan]]&lt;=TrafficData[[#This Row],[totalChallan]],TrafficData[[#This Row],[pendingChallan]]&lt;=TrafficData[[#This Row],[totalChallan]])</f>
        <v>1</v>
      </c>
      <c r="O2386" t="b">
        <f>AND(TrafficData[[#This Row],[pendingAmount]]&lt;=TrafficData[[#This Row],[totalAmount]],TrafficData[[#This Row],[disposedAmount]]&lt;=TrafficData[[#This Row],[totalAmount]])</f>
        <v>1</v>
      </c>
      <c r="P2386" t="b">
        <f>AND(TrafficData[[#This Row],[pendingCourt]]&lt;=TrafficData[[#This Row],[totalCourt]],TrafficData[[#This Row],[disposedCourt]]&lt;=TrafficData[[#This Row],[totalCourt]])</f>
        <v>1</v>
      </c>
    </row>
    <row r="2387" spans="1:16">
      <c r="A2387" s="1">
        <v>44391</v>
      </c>
      <c r="B2387">
        <v>134291</v>
      </c>
      <c r="C2387">
        <v>66834</v>
      </c>
      <c r="D2387">
        <v>67457</v>
      </c>
      <c r="E2387">
        <v>59424683</v>
      </c>
      <c r="F2387">
        <v>77018754</v>
      </c>
      <c r="G2387">
        <v>136443437</v>
      </c>
      <c r="H2387">
        <v>25726</v>
      </c>
      <c r="I2387">
        <v>11255</v>
      </c>
      <c r="J2387">
        <v>36981</v>
      </c>
      <c r="K2387" t="b">
        <f>TrafficData[[#This Row],[disposedChallan]]+TrafficData[[#This Row],[pendingChallan]]=TrafficData[[#This Row],[totalChallan]]</f>
        <v>1</v>
      </c>
      <c r="L2387" t="b">
        <f>TrafficData[[#This Row],[pendingAmount]]+TrafficData[[#This Row],[disposedAmount]]=TrafficData[[#This Row],[totalAmount]]</f>
        <v>1</v>
      </c>
      <c r="M2387" t="b">
        <f>TrafficData[[#This Row],[pendingCourt]]+TrafficData[[#This Row],[disposedCourt]]=TrafficData[[#This Row],[totalCourt]]</f>
        <v>1</v>
      </c>
      <c r="N2387" t="b">
        <f>AND(TrafficData[[#This Row],[disposedChallan]]&lt;=TrafficData[[#This Row],[totalChallan]],TrafficData[[#This Row],[pendingChallan]]&lt;=TrafficData[[#This Row],[totalChallan]])</f>
        <v>1</v>
      </c>
      <c r="O2387" t="b">
        <f>AND(TrafficData[[#This Row],[pendingAmount]]&lt;=TrafficData[[#This Row],[totalAmount]],TrafficData[[#This Row],[disposedAmount]]&lt;=TrafficData[[#This Row],[totalAmount]])</f>
        <v>1</v>
      </c>
      <c r="P2387" t="b">
        <f>AND(TrafficData[[#This Row],[pendingCourt]]&lt;=TrafficData[[#This Row],[totalCourt]],TrafficData[[#This Row],[disposedCourt]]&lt;=TrafficData[[#This Row],[totalCourt]])</f>
        <v>1</v>
      </c>
    </row>
    <row r="2388" spans="1:16">
      <c r="A2388" s="1">
        <v>44392</v>
      </c>
      <c r="B2388">
        <v>134029</v>
      </c>
      <c r="C2388">
        <v>67077</v>
      </c>
      <c r="D2388">
        <v>66952</v>
      </c>
      <c r="E2388">
        <v>62775072</v>
      </c>
      <c r="F2388">
        <v>74697408</v>
      </c>
      <c r="G2388">
        <v>137472480</v>
      </c>
      <c r="H2388">
        <v>27452</v>
      </c>
      <c r="I2388">
        <v>12523</v>
      </c>
      <c r="J2388">
        <v>39975</v>
      </c>
      <c r="K2388" t="b">
        <f>TrafficData[[#This Row],[disposedChallan]]+TrafficData[[#This Row],[pendingChallan]]=TrafficData[[#This Row],[totalChallan]]</f>
        <v>1</v>
      </c>
      <c r="L2388" t="b">
        <f>TrafficData[[#This Row],[pendingAmount]]+TrafficData[[#This Row],[disposedAmount]]=TrafficData[[#This Row],[totalAmount]]</f>
        <v>1</v>
      </c>
      <c r="M2388" t="b">
        <f>TrafficData[[#This Row],[pendingCourt]]+TrafficData[[#This Row],[disposedCourt]]=TrafficData[[#This Row],[totalCourt]]</f>
        <v>1</v>
      </c>
      <c r="N2388" t="b">
        <f>AND(TrafficData[[#This Row],[disposedChallan]]&lt;=TrafficData[[#This Row],[totalChallan]],TrafficData[[#This Row],[pendingChallan]]&lt;=TrafficData[[#This Row],[totalChallan]])</f>
        <v>1</v>
      </c>
      <c r="O2388" t="b">
        <f>AND(TrafficData[[#This Row],[pendingAmount]]&lt;=TrafficData[[#This Row],[totalAmount]],TrafficData[[#This Row],[disposedAmount]]&lt;=TrafficData[[#This Row],[totalAmount]])</f>
        <v>1</v>
      </c>
      <c r="P2388" t="b">
        <f>AND(TrafficData[[#This Row],[pendingCourt]]&lt;=TrafficData[[#This Row],[totalCourt]],TrafficData[[#This Row],[disposedCourt]]&lt;=TrafficData[[#This Row],[totalCourt]])</f>
        <v>1</v>
      </c>
    </row>
    <row r="2389" spans="1:16">
      <c r="A2389" s="1">
        <v>44393</v>
      </c>
      <c r="B2389">
        <v>139022</v>
      </c>
      <c r="C2389">
        <v>69202</v>
      </c>
      <c r="D2389">
        <v>69820</v>
      </c>
      <c r="E2389">
        <v>65080143</v>
      </c>
      <c r="F2389">
        <v>69356289</v>
      </c>
      <c r="G2389">
        <v>134436432</v>
      </c>
      <c r="H2389">
        <v>29590</v>
      </c>
      <c r="I2389">
        <v>13733</v>
      </c>
      <c r="J2389">
        <v>43323</v>
      </c>
      <c r="K2389" t="b">
        <f>TrafficData[[#This Row],[disposedChallan]]+TrafficData[[#This Row],[pendingChallan]]=TrafficData[[#This Row],[totalChallan]]</f>
        <v>1</v>
      </c>
      <c r="L2389" t="b">
        <f>TrafficData[[#This Row],[pendingAmount]]+TrafficData[[#This Row],[disposedAmount]]=TrafficData[[#This Row],[totalAmount]]</f>
        <v>1</v>
      </c>
      <c r="M2389" t="b">
        <f>TrafficData[[#This Row],[pendingCourt]]+TrafficData[[#This Row],[disposedCourt]]=TrafficData[[#This Row],[totalCourt]]</f>
        <v>1</v>
      </c>
      <c r="N2389" t="b">
        <f>AND(TrafficData[[#This Row],[disposedChallan]]&lt;=TrafficData[[#This Row],[totalChallan]],TrafficData[[#This Row],[pendingChallan]]&lt;=TrafficData[[#This Row],[totalChallan]])</f>
        <v>1</v>
      </c>
      <c r="O2389" t="b">
        <f>AND(TrafficData[[#This Row],[pendingAmount]]&lt;=TrafficData[[#This Row],[totalAmount]],TrafficData[[#This Row],[disposedAmount]]&lt;=TrafficData[[#This Row],[totalAmount]])</f>
        <v>1</v>
      </c>
      <c r="P2389" t="b">
        <f>AND(TrafficData[[#This Row],[pendingCourt]]&lt;=TrafficData[[#This Row],[totalCourt]],TrafficData[[#This Row],[disposedCourt]]&lt;=TrafficData[[#This Row],[totalCourt]])</f>
        <v>1</v>
      </c>
    </row>
    <row r="2390" spans="1:16">
      <c r="A2390" s="1">
        <v>44394</v>
      </c>
      <c r="B2390">
        <v>138367</v>
      </c>
      <c r="C2390">
        <v>68483</v>
      </c>
      <c r="D2390">
        <v>69884</v>
      </c>
      <c r="E2390">
        <v>64611042</v>
      </c>
      <c r="F2390">
        <v>71973302</v>
      </c>
      <c r="G2390">
        <v>136584344</v>
      </c>
      <c r="H2390">
        <v>28562</v>
      </c>
      <c r="I2390">
        <v>13018</v>
      </c>
      <c r="J2390">
        <v>41580</v>
      </c>
      <c r="K2390" t="b">
        <f>TrafficData[[#This Row],[disposedChallan]]+TrafficData[[#This Row],[pendingChallan]]=TrafficData[[#This Row],[totalChallan]]</f>
        <v>1</v>
      </c>
      <c r="L2390" t="b">
        <f>TrafficData[[#This Row],[pendingAmount]]+TrafficData[[#This Row],[disposedAmount]]=TrafficData[[#This Row],[totalAmount]]</f>
        <v>1</v>
      </c>
      <c r="M2390" t="b">
        <f>TrafficData[[#This Row],[pendingCourt]]+TrafficData[[#This Row],[disposedCourt]]=TrafficData[[#This Row],[totalCourt]]</f>
        <v>1</v>
      </c>
      <c r="N2390" t="b">
        <f>AND(TrafficData[[#This Row],[disposedChallan]]&lt;=TrafficData[[#This Row],[totalChallan]],TrafficData[[#This Row],[pendingChallan]]&lt;=TrafficData[[#This Row],[totalChallan]])</f>
        <v>1</v>
      </c>
      <c r="O2390" t="b">
        <f>AND(TrafficData[[#This Row],[pendingAmount]]&lt;=TrafficData[[#This Row],[totalAmount]],TrafficData[[#This Row],[disposedAmount]]&lt;=TrafficData[[#This Row],[totalAmount]])</f>
        <v>1</v>
      </c>
      <c r="P2390" t="b">
        <f>AND(TrafficData[[#This Row],[pendingCourt]]&lt;=TrafficData[[#This Row],[totalCourt]],TrafficData[[#This Row],[disposedCourt]]&lt;=TrafficData[[#This Row],[totalCourt]])</f>
        <v>1</v>
      </c>
    </row>
    <row r="2391" spans="1:16">
      <c r="A2391" s="1">
        <v>44395</v>
      </c>
      <c r="B2391">
        <v>128428</v>
      </c>
      <c r="C2391">
        <v>59461</v>
      </c>
      <c r="D2391">
        <v>68967</v>
      </c>
      <c r="E2391">
        <v>55254326</v>
      </c>
      <c r="F2391">
        <v>52928324</v>
      </c>
      <c r="G2391">
        <v>108182650</v>
      </c>
      <c r="H2391">
        <v>25511</v>
      </c>
      <c r="I2391">
        <v>11777</v>
      </c>
      <c r="J2391">
        <v>37288</v>
      </c>
      <c r="K2391" t="b">
        <f>TrafficData[[#This Row],[disposedChallan]]+TrafficData[[#This Row],[pendingChallan]]=TrafficData[[#This Row],[totalChallan]]</f>
        <v>1</v>
      </c>
      <c r="L2391" t="b">
        <f>TrafficData[[#This Row],[pendingAmount]]+TrafficData[[#This Row],[disposedAmount]]=TrafficData[[#This Row],[totalAmount]]</f>
        <v>1</v>
      </c>
      <c r="M2391" t="b">
        <f>TrafficData[[#This Row],[pendingCourt]]+TrafficData[[#This Row],[disposedCourt]]=TrafficData[[#This Row],[totalCourt]]</f>
        <v>1</v>
      </c>
      <c r="N2391" t="b">
        <f>AND(TrafficData[[#This Row],[disposedChallan]]&lt;=TrafficData[[#This Row],[totalChallan]],TrafficData[[#This Row],[pendingChallan]]&lt;=TrafficData[[#This Row],[totalChallan]])</f>
        <v>1</v>
      </c>
      <c r="O2391" t="b">
        <f>AND(TrafficData[[#This Row],[pendingAmount]]&lt;=TrafficData[[#This Row],[totalAmount]],TrafficData[[#This Row],[disposedAmount]]&lt;=TrafficData[[#This Row],[totalAmount]])</f>
        <v>1</v>
      </c>
      <c r="P2391" t="b">
        <f>AND(TrafficData[[#This Row],[pendingCourt]]&lt;=TrafficData[[#This Row],[totalCourt]],TrafficData[[#This Row],[disposedCourt]]&lt;=TrafficData[[#This Row],[totalCourt]])</f>
        <v>1</v>
      </c>
    </row>
    <row r="2392" spans="1:16">
      <c r="A2392" s="1">
        <v>44396</v>
      </c>
      <c r="B2392">
        <v>133589</v>
      </c>
      <c r="C2392">
        <v>65024</v>
      </c>
      <c r="D2392">
        <v>68565</v>
      </c>
      <c r="E2392">
        <v>50104065</v>
      </c>
      <c r="F2392">
        <v>59555850</v>
      </c>
      <c r="G2392">
        <v>109659915</v>
      </c>
      <c r="H2392">
        <v>24310</v>
      </c>
      <c r="I2392">
        <v>11048</v>
      </c>
      <c r="J2392">
        <v>35358</v>
      </c>
      <c r="K2392" t="b">
        <f>TrafficData[[#This Row],[disposedChallan]]+TrafficData[[#This Row],[pendingChallan]]=TrafficData[[#This Row],[totalChallan]]</f>
        <v>1</v>
      </c>
      <c r="L2392" t="b">
        <f>TrafficData[[#This Row],[pendingAmount]]+TrafficData[[#This Row],[disposedAmount]]=TrafficData[[#This Row],[totalAmount]]</f>
        <v>1</v>
      </c>
      <c r="M2392" t="b">
        <f>TrafficData[[#This Row],[pendingCourt]]+TrafficData[[#This Row],[disposedCourt]]=TrafficData[[#This Row],[totalCourt]]</f>
        <v>1</v>
      </c>
      <c r="N2392" t="b">
        <f>AND(TrafficData[[#This Row],[disposedChallan]]&lt;=TrafficData[[#This Row],[totalChallan]],TrafficData[[#This Row],[pendingChallan]]&lt;=TrafficData[[#This Row],[totalChallan]])</f>
        <v>1</v>
      </c>
      <c r="O2392" t="b">
        <f>AND(TrafficData[[#This Row],[pendingAmount]]&lt;=TrafficData[[#This Row],[totalAmount]],TrafficData[[#This Row],[disposedAmount]]&lt;=TrafficData[[#This Row],[totalAmount]])</f>
        <v>1</v>
      </c>
      <c r="P2392" t="b">
        <f>AND(TrafficData[[#This Row],[pendingCourt]]&lt;=TrafficData[[#This Row],[totalCourt]],TrafficData[[#This Row],[disposedCourt]]&lt;=TrafficData[[#This Row],[totalCourt]])</f>
        <v>1</v>
      </c>
    </row>
    <row r="2393" spans="1:16">
      <c r="A2393" s="1">
        <v>44397</v>
      </c>
      <c r="B2393">
        <v>135870</v>
      </c>
      <c r="C2393">
        <v>67320</v>
      </c>
      <c r="D2393">
        <v>68550</v>
      </c>
      <c r="E2393">
        <v>58505299</v>
      </c>
      <c r="F2393">
        <v>66574635</v>
      </c>
      <c r="G2393">
        <v>125079934</v>
      </c>
      <c r="H2393">
        <v>25676</v>
      </c>
      <c r="I2393">
        <v>11763</v>
      </c>
      <c r="J2393">
        <v>37439</v>
      </c>
      <c r="K2393" t="b">
        <f>TrafficData[[#This Row],[disposedChallan]]+TrafficData[[#This Row],[pendingChallan]]=TrafficData[[#This Row],[totalChallan]]</f>
        <v>1</v>
      </c>
      <c r="L2393" t="b">
        <f>TrafficData[[#This Row],[pendingAmount]]+TrafficData[[#This Row],[disposedAmount]]=TrafficData[[#This Row],[totalAmount]]</f>
        <v>1</v>
      </c>
      <c r="M2393" t="b">
        <f>TrafficData[[#This Row],[pendingCourt]]+TrafficData[[#This Row],[disposedCourt]]=TrafficData[[#This Row],[totalCourt]]</f>
        <v>1</v>
      </c>
      <c r="N2393" t="b">
        <f>AND(TrafficData[[#This Row],[disposedChallan]]&lt;=TrafficData[[#This Row],[totalChallan]],TrafficData[[#This Row],[pendingChallan]]&lt;=TrafficData[[#This Row],[totalChallan]])</f>
        <v>1</v>
      </c>
      <c r="O2393" t="b">
        <f>AND(TrafficData[[#This Row],[pendingAmount]]&lt;=TrafficData[[#This Row],[totalAmount]],TrafficData[[#This Row],[disposedAmount]]&lt;=TrafficData[[#This Row],[totalAmount]])</f>
        <v>1</v>
      </c>
      <c r="P2393" t="b">
        <f>AND(TrafficData[[#This Row],[pendingCourt]]&lt;=TrafficData[[#This Row],[totalCourt]],TrafficData[[#This Row],[disposedCourt]]&lt;=TrafficData[[#This Row],[totalCourt]])</f>
        <v>1</v>
      </c>
    </row>
    <row r="2394" spans="1:16">
      <c r="A2394" s="1">
        <v>44398</v>
      </c>
      <c r="B2394">
        <v>129693</v>
      </c>
      <c r="C2394">
        <v>63405</v>
      </c>
      <c r="D2394">
        <v>66288</v>
      </c>
      <c r="E2394">
        <v>57653031</v>
      </c>
      <c r="F2394">
        <v>57955206</v>
      </c>
      <c r="G2394">
        <v>115608237</v>
      </c>
      <c r="H2394">
        <v>26058</v>
      </c>
      <c r="I2394">
        <v>12048</v>
      </c>
      <c r="J2394">
        <v>38106</v>
      </c>
      <c r="K2394" t="b">
        <f>TrafficData[[#This Row],[disposedChallan]]+TrafficData[[#This Row],[pendingChallan]]=TrafficData[[#This Row],[totalChallan]]</f>
        <v>1</v>
      </c>
      <c r="L2394" t="b">
        <f>TrafficData[[#This Row],[pendingAmount]]+TrafficData[[#This Row],[disposedAmount]]=TrafficData[[#This Row],[totalAmount]]</f>
        <v>1</v>
      </c>
      <c r="M2394" t="b">
        <f>TrafficData[[#This Row],[pendingCourt]]+TrafficData[[#This Row],[disposedCourt]]=TrafficData[[#This Row],[totalCourt]]</f>
        <v>1</v>
      </c>
      <c r="N2394" t="b">
        <f>AND(TrafficData[[#This Row],[disposedChallan]]&lt;=TrafficData[[#This Row],[totalChallan]],TrafficData[[#This Row],[pendingChallan]]&lt;=TrafficData[[#This Row],[totalChallan]])</f>
        <v>1</v>
      </c>
      <c r="O2394" t="b">
        <f>AND(TrafficData[[#This Row],[pendingAmount]]&lt;=TrafficData[[#This Row],[totalAmount]],TrafficData[[#This Row],[disposedAmount]]&lt;=TrafficData[[#This Row],[totalAmount]])</f>
        <v>1</v>
      </c>
      <c r="P2394" t="b">
        <f>AND(TrafficData[[#This Row],[pendingCourt]]&lt;=TrafficData[[#This Row],[totalCourt]],TrafficData[[#This Row],[disposedCourt]]&lt;=TrafficData[[#This Row],[totalCourt]])</f>
        <v>1</v>
      </c>
    </row>
    <row r="2395" spans="1:16">
      <c r="A2395" s="1">
        <v>44399</v>
      </c>
      <c r="B2395">
        <v>138703</v>
      </c>
      <c r="C2395">
        <v>68712</v>
      </c>
      <c r="D2395">
        <v>69991</v>
      </c>
      <c r="E2395">
        <v>65328216</v>
      </c>
      <c r="F2395">
        <v>70497851</v>
      </c>
      <c r="G2395">
        <v>135826067</v>
      </c>
      <c r="H2395">
        <v>28911</v>
      </c>
      <c r="I2395">
        <v>13608</v>
      </c>
      <c r="J2395">
        <v>42519</v>
      </c>
      <c r="K2395" t="b">
        <f>TrafficData[[#This Row],[disposedChallan]]+TrafficData[[#This Row],[pendingChallan]]=TrafficData[[#This Row],[totalChallan]]</f>
        <v>1</v>
      </c>
      <c r="L2395" t="b">
        <f>TrafficData[[#This Row],[pendingAmount]]+TrafficData[[#This Row],[disposedAmount]]=TrafficData[[#This Row],[totalAmount]]</f>
        <v>1</v>
      </c>
      <c r="M2395" t="b">
        <f>TrafficData[[#This Row],[pendingCourt]]+TrafficData[[#This Row],[disposedCourt]]=TrafficData[[#This Row],[totalCourt]]</f>
        <v>1</v>
      </c>
      <c r="N2395" t="b">
        <f>AND(TrafficData[[#This Row],[disposedChallan]]&lt;=TrafficData[[#This Row],[totalChallan]],TrafficData[[#This Row],[pendingChallan]]&lt;=TrafficData[[#This Row],[totalChallan]])</f>
        <v>1</v>
      </c>
      <c r="O2395" t="b">
        <f>AND(TrafficData[[#This Row],[pendingAmount]]&lt;=TrafficData[[#This Row],[totalAmount]],TrafficData[[#This Row],[disposedAmount]]&lt;=TrafficData[[#This Row],[totalAmount]])</f>
        <v>1</v>
      </c>
      <c r="P2395" t="b">
        <f>AND(TrafficData[[#This Row],[pendingCourt]]&lt;=TrafficData[[#This Row],[totalCourt]],TrafficData[[#This Row],[disposedCourt]]&lt;=TrafficData[[#This Row],[totalCourt]])</f>
        <v>1</v>
      </c>
    </row>
    <row r="2396" spans="1:16">
      <c r="A2396" s="1">
        <v>44400</v>
      </c>
      <c r="B2396">
        <v>145771</v>
      </c>
      <c r="C2396">
        <v>71014</v>
      </c>
      <c r="D2396">
        <v>74757</v>
      </c>
      <c r="E2396">
        <v>68211788</v>
      </c>
      <c r="F2396">
        <v>69389752</v>
      </c>
      <c r="G2396">
        <v>137601540</v>
      </c>
      <c r="H2396">
        <v>30768</v>
      </c>
      <c r="I2396">
        <v>14130</v>
      </c>
      <c r="J2396">
        <v>44898</v>
      </c>
      <c r="K2396" t="b">
        <f>TrafficData[[#This Row],[disposedChallan]]+TrafficData[[#This Row],[pendingChallan]]=TrafficData[[#This Row],[totalChallan]]</f>
        <v>1</v>
      </c>
      <c r="L2396" t="b">
        <f>TrafficData[[#This Row],[pendingAmount]]+TrafficData[[#This Row],[disposedAmount]]=TrafficData[[#This Row],[totalAmount]]</f>
        <v>1</v>
      </c>
      <c r="M2396" t="b">
        <f>TrafficData[[#This Row],[pendingCourt]]+TrafficData[[#This Row],[disposedCourt]]=TrafficData[[#This Row],[totalCourt]]</f>
        <v>1</v>
      </c>
      <c r="N2396" t="b">
        <f>AND(TrafficData[[#This Row],[disposedChallan]]&lt;=TrafficData[[#This Row],[totalChallan]],TrafficData[[#This Row],[pendingChallan]]&lt;=TrafficData[[#This Row],[totalChallan]])</f>
        <v>1</v>
      </c>
      <c r="O2396" t="b">
        <f>AND(TrafficData[[#This Row],[pendingAmount]]&lt;=TrafficData[[#This Row],[totalAmount]],TrafficData[[#This Row],[disposedAmount]]&lt;=TrafficData[[#This Row],[totalAmount]])</f>
        <v>1</v>
      </c>
      <c r="P2396" t="b">
        <f>AND(TrafficData[[#This Row],[pendingCourt]]&lt;=TrafficData[[#This Row],[totalCourt]],TrafficData[[#This Row],[disposedCourt]]&lt;=TrafficData[[#This Row],[totalCourt]])</f>
        <v>1</v>
      </c>
    </row>
    <row r="2397" spans="1:16">
      <c r="A2397" s="1">
        <v>44401</v>
      </c>
      <c r="B2397">
        <v>141796</v>
      </c>
      <c r="C2397">
        <v>68986</v>
      </c>
      <c r="D2397">
        <v>72810</v>
      </c>
      <c r="E2397">
        <v>70015269</v>
      </c>
      <c r="F2397">
        <v>68961435</v>
      </c>
      <c r="G2397">
        <v>138976704</v>
      </c>
      <c r="H2397">
        <v>30166</v>
      </c>
      <c r="I2397">
        <v>13878</v>
      </c>
      <c r="J2397">
        <v>44044</v>
      </c>
      <c r="K2397" t="b">
        <f>TrafficData[[#This Row],[disposedChallan]]+TrafficData[[#This Row],[pendingChallan]]=TrafficData[[#This Row],[totalChallan]]</f>
        <v>1</v>
      </c>
      <c r="L2397" t="b">
        <f>TrafficData[[#This Row],[pendingAmount]]+TrafficData[[#This Row],[disposedAmount]]=TrafficData[[#This Row],[totalAmount]]</f>
        <v>1</v>
      </c>
      <c r="M2397" t="b">
        <f>TrafficData[[#This Row],[pendingCourt]]+TrafficData[[#This Row],[disposedCourt]]=TrafficData[[#This Row],[totalCourt]]</f>
        <v>1</v>
      </c>
      <c r="N2397" t="b">
        <f>AND(TrafficData[[#This Row],[disposedChallan]]&lt;=TrafficData[[#This Row],[totalChallan]],TrafficData[[#This Row],[pendingChallan]]&lt;=TrafficData[[#This Row],[totalChallan]])</f>
        <v>1</v>
      </c>
      <c r="O2397" t="b">
        <f>AND(TrafficData[[#This Row],[pendingAmount]]&lt;=TrafficData[[#This Row],[totalAmount]],TrafficData[[#This Row],[disposedAmount]]&lt;=TrafficData[[#This Row],[totalAmount]])</f>
        <v>1</v>
      </c>
      <c r="P2397" t="b">
        <f>AND(TrafficData[[#This Row],[pendingCourt]]&lt;=TrafficData[[#This Row],[totalCourt]],TrafficData[[#This Row],[disposedCourt]]&lt;=TrafficData[[#This Row],[totalCourt]])</f>
        <v>1</v>
      </c>
    </row>
    <row r="2398" spans="1:16">
      <c r="A2398" s="1">
        <v>44402</v>
      </c>
      <c r="B2398">
        <v>135399</v>
      </c>
      <c r="C2398">
        <v>61939</v>
      </c>
      <c r="D2398">
        <v>73460</v>
      </c>
      <c r="E2398">
        <v>67146396</v>
      </c>
      <c r="F2398">
        <v>57288607</v>
      </c>
      <c r="G2398">
        <v>124435003</v>
      </c>
      <c r="H2398">
        <v>31197</v>
      </c>
      <c r="I2398">
        <v>13910</v>
      </c>
      <c r="J2398">
        <v>45107</v>
      </c>
      <c r="K2398" t="b">
        <f>TrafficData[[#This Row],[disposedChallan]]+TrafficData[[#This Row],[pendingChallan]]=TrafficData[[#This Row],[totalChallan]]</f>
        <v>1</v>
      </c>
      <c r="L2398" t="b">
        <f>TrafficData[[#This Row],[pendingAmount]]+TrafficData[[#This Row],[disposedAmount]]=TrafficData[[#This Row],[totalAmount]]</f>
        <v>1</v>
      </c>
      <c r="M2398" t="b">
        <f>TrafficData[[#This Row],[pendingCourt]]+TrafficData[[#This Row],[disposedCourt]]=TrafficData[[#This Row],[totalCourt]]</f>
        <v>1</v>
      </c>
      <c r="N2398" t="b">
        <f>AND(TrafficData[[#This Row],[disposedChallan]]&lt;=TrafficData[[#This Row],[totalChallan]],TrafficData[[#This Row],[pendingChallan]]&lt;=TrafficData[[#This Row],[totalChallan]])</f>
        <v>1</v>
      </c>
      <c r="O2398" t="b">
        <f>AND(TrafficData[[#This Row],[pendingAmount]]&lt;=TrafficData[[#This Row],[totalAmount]],TrafficData[[#This Row],[disposedAmount]]&lt;=TrafficData[[#This Row],[totalAmount]])</f>
        <v>1</v>
      </c>
      <c r="P2398" t="b">
        <f>AND(TrafficData[[#This Row],[pendingCourt]]&lt;=TrafficData[[#This Row],[totalCourt]],TrafficData[[#This Row],[disposedCourt]]&lt;=TrafficData[[#This Row],[totalCourt]])</f>
        <v>1</v>
      </c>
    </row>
    <row r="2399" spans="1:16">
      <c r="A2399" s="1">
        <v>44403</v>
      </c>
      <c r="B2399">
        <v>142439</v>
      </c>
      <c r="C2399">
        <v>68358</v>
      </c>
      <c r="D2399">
        <v>74081</v>
      </c>
      <c r="E2399">
        <v>69830776</v>
      </c>
      <c r="F2399">
        <v>67775301</v>
      </c>
      <c r="G2399">
        <v>137606077</v>
      </c>
      <c r="H2399">
        <v>29670</v>
      </c>
      <c r="I2399">
        <v>13503</v>
      </c>
      <c r="J2399">
        <v>43173</v>
      </c>
      <c r="K2399" t="b">
        <f>TrafficData[[#This Row],[disposedChallan]]+TrafficData[[#This Row],[pendingChallan]]=TrafficData[[#This Row],[totalChallan]]</f>
        <v>1</v>
      </c>
      <c r="L2399" t="b">
        <f>TrafficData[[#This Row],[pendingAmount]]+TrafficData[[#This Row],[disposedAmount]]=TrafficData[[#This Row],[totalAmount]]</f>
        <v>1</v>
      </c>
      <c r="M2399" t="b">
        <f>TrafficData[[#This Row],[pendingCourt]]+TrafficData[[#This Row],[disposedCourt]]=TrafficData[[#This Row],[totalCourt]]</f>
        <v>1</v>
      </c>
      <c r="N2399" t="b">
        <f>AND(TrafficData[[#This Row],[disposedChallan]]&lt;=TrafficData[[#This Row],[totalChallan]],TrafficData[[#This Row],[pendingChallan]]&lt;=TrafficData[[#This Row],[totalChallan]])</f>
        <v>1</v>
      </c>
      <c r="O2399" t="b">
        <f>AND(TrafficData[[#This Row],[pendingAmount]]&lt;=TrafficData[[#This Row],[totalAmount]],TrafficData[[#This Row],[disposedAmount]]&lt;=TrafficData[[#This Row],[totalAmount]])</f>
        <v>1</v>
      </c>
      <c r="P2399" t="b">
        <f>AND(TrafficData[[#This Row],[pendingCourt]]&lt;=TrafficData[[#This Row],[totalCourt]],TrafficData[[#This Row],[disposedCourt]]&lt;=TrafficData[[#This Row],[totalCourt]])</f>
        <v>1</v>
      </c>
    </row>
    <row r="2400" spans="1:16">
      <c r="A2400" s="1">
        <v>44404</v>
      </c>
      <c r="B2400">
        <v>140113</v>
      </c>
      <c r="C2400">
        <v>68191</v>
      </c>
      <c r="D2400">
        <v>71922</v>
      </c>
      <c r="E2400">
        <v>62216347</v>
      </c>
      <c r="F2400">
        <v>67719257</v>
      </c>
      <c r="G2400">
        <v>129935604</v>
      </c>
      <c r="H2400">
        <v>28069</v>
      </c>
      <c r="I2400">
        <v>12595</v>
      </c>
      <c r="J2400">
        <v>40664</v>
      </c>
      <c r="K2400" t="b">
        <f>TrafficData[[#This Row],[disposedChallan]]+TrafficData[[#This Row],[pendingChallan]]=TrafficData[[#This Row],[totalChallan]]</f>
        <v>1</v>
      </c>
      <c r="L2400" t="b">
        <f>TrafficData[[#This Row],[pendingAmount]]+TrafficData[[#This Row],[disposedAmount]]=TrafficData[[#This Row],[totalAmount]]</f>
        <v>1</v>
      </c>
      <c r="M2400" t="b">
        <f>TrafficData[[#This Row],[pendingCourt]]+TrafficData[[#This Row],[disposedCourt]]=TrafficData[[#This Row],[totalCourt]]</f>
        <v>1</v>
      </c>
      <c r="N2400" t="b">
        <f>AND(TrafficData[[#This Row],[disposedChallan]]&lt;=TrafficData[[#This Row],[totalChallan]],TrafficData[[#This Row],[pendingChallan]]&lt;=TrafficData[[#This Row],[totalChallan]])</f>
        <v>1</v>
      </c>
      <c r="O2400" t="b">
        <f>AND(TrafficData[[#This Row],[pendingAmount]]&lt;=TrafficData[[#This Row],[totalAmount]],TrafficData[[#This Row],[disposedAmount]]&lt;=TrafficData[[#This Row],[totalAmount]])</f>
        <v>1</v>
      </c>
      <c r="P2400" t="b">
        <f>AND(TrafficData[[#This Row],[pendingCourt]]&lt;=TrafficData[[#This Row],[totalCourt]],TrafficData[[#This Row],[disposedCourt]]&lt;=TrafficData[[#This Row],[totalCourt]])</f>
        <v>1</v>
      </c>
    </row>
    <row r="2401" spans="1:16">
      <c r="A2401" s="1">
        <v>44405</v>
      </c>
      <c r="B2401">
        <v>128744</v>
      </c>
      <c r="C2401">
        <v>62676</v>
      </c>
      <c r="D2401">
        <v>66068</v>
      </c>
      <c r="E2401">
        <v>54688836</v>
      </c>
      <c r="F2401">
        <v>67518869</v>
      </c>
      <c r="G2401">
        <v>122207705</v>
      </c>
      <c r="H2401">
        <v>23074</v>
      </c>
      <c r="I2401">
        <v>9741</v>
      </c>
      <c r="J2401">
        <v>32815</v>
      </c>
      <c r="K2401" t="b">
        <f>TrafficData[[#This Row],[disposedChallan]]+TrafficData[[#This Row],[pendingChallan]]=TrafficData[[#This Row],[totalChallan]]</f>
        <v>1</v>
      </c>
      <c r="L2401" t="b">
        <f>TrafficData[[#This Row],[pendingAmount]]+TrafficData[[#This Row],[disposedAmount]]=TrafficData[[#This Row],[totalAmount]]</f>
        <v>1</v>
      </c>
      <c r="M2401" t="b">
        <f>TrafficData[[#This Row],[pendingCourt]]+TrafficData[[#This Row],[disposedCourt]]=TrafficData[[#This Row],[totalCourt]]</f>
        <v>1</v>
      </c>
      <c r="N2401" t="b">
        <f>AND(TrafficData[[#This Row],[disposedChallan]]&lt;=TrafficData[[#This Row],[totalChallan]],TrafficData[[#This Row],[pendingChallan]]&lt;=TrafficData[[#This Row],[totalChallan]])</f>
        <v>1</v>
      </c>
      <c r="O2401" t="b">
        <f>AND(TrafficData[[#This Row],[pendingAmount]]&lt;=TrafficData[[#This Row],[totalAmount]],TrafficData[[#This Row],[disposedAmount]]&lt;=TrafficData[[#This Row],[totalAmount]])</f>
        <v>1</v>
      </c>
      <c r="P2401" t="b">
        <f>AND(TrafficData[[#This Row],[pendingCourt]]&lt;=TrafficData[[#This Row],[totalCourt]],TrafficData[[#This Row],[disposedCourt]]&lt;=TrafficData[[#This Row],[totalCourt]])</f>
        <v>1</v>
      </c>
    </row>
    <row r="2402" spans="1:16">
      <c r="A2402" s="1">
        <v>44406</v>
      </c>
      <c r="B2402">
        <v>137000</v>
      </c>
      <c r="C2402">
        <v>68006</v>
      </c>
      <c r="D2402">
        <v>68994</v>
      </c>
      <c r="E2402">
        <v>61334030</v>
      </c>
      <c r="F2402">
        <v>67276752</v>
      </c>
      <c r="G2402">
        <v>128610782</v>
      </c>
      <c r="H2402">
        <v>25866</v>
      </c>
      <c r="I2402">
        <v>12168</v>
      </c>
      <c r="J2402">
        <v>38034</v>
      </c>
      <c r="K2402" t="b">
        <f>TrafficData[[#This Row],[disposedChallan]]+TrafficData[[#This Row],[pendingChallan]]=TrafficData[[#This Row],[totalChallan]]</f>
        <v>1</v>
      </c>
      <c r="L2402" t="b">
        <f>TrafficData[[#This Row],[pendingAmount]]+TrafficData[[#This Row],[disposedAmount]]=TrafficData[[#This Row],[totalAmount]]</f>
        <v>1</v>
      </c>
      <c r="M2402" t="b">
        <f>TrafficData[[#This Row],[pendingCourt]]+TrafficData[[#This Row],[disposedCourt]]=TrafficData[[#This Row],[totalCourt]]</f>
        <v>1</v>
      </c>
      <c r="N2402" t="b">
        <f>AND(TrafficData[[#This Row],[disposedChallan]]&lt;=TrafficData[[#This Row],[totalChallan]],TrafficData[[#This Row],[pendingChallan]]&lt;=TrafficData[[#This Row],[totalChallan]])</f>
        <v>1</v>
      </c>
      <c r="O2402" t="b">
        <f>AND(TrafficData[[#This Row],[pendingAmount]]&lt;=TrafficData[[#This Row],[totalAmount]],TrafficData[[#This Row],[disposedAmount]]&lt;=TrafficData[[#This Row],[totalAmount]])</f>
        <v>1</v>
      </c>
      <c r="P2402" t="b">
        <f>AND(TrafficData[[#This Row],[pendingCourt]]&lt;=TrafficData[[#This Row],[totalCourt]],TrafficData[[#This Row],[disposedCourt]]&lt;=TrafficData[[#This Row],[totalCourt]])</f>
        <v>1</v>
      </c>
    </row>
    <row r="2403" spans="1:16">
      <c r="A2403" s="1">
        <v>44407</v>
      </c>
      <c r="B2403">
        <v>127752</v>
      </c>
      <c r="C2403">
        <v>64669</v>
      </c>
      <c r="D2403">
        <v>63083</v>
      </c>
      <c r="E2403">
        <v>62888929</v>
      </c>
      <c r="F2403">
        <v>67479916</v>
      </c>
      <c r="G2403">
        <v>130368845</v>
      </c>
      <c r="H2403">
        <v>26904</v>
      </c>
      <c r="I2403">
        <v>12729</v>
      </c>
      <c r="J2403">
        <v>39633</v>
      </c>
      <c r="K2403" t="b">
        <f>TrafficData[[#This Row],[disposedChallan]]+TrafficData[[#This Row],[pendingChallan]]=TrafficData[[#This Row],[totalChallan]]</f>
        <v>1</v>
      </c>
      <c r="L2403" t="b">
        <f>TrafficData[[#This Row],[pendingAmount]]+TrafficData[[#This Row],[disposedAmount]]=TrafficData[[#This Row],[totalAmount]]</f>
        <v>1</v>
      </c>
      <c r="M2403" t="b">
        <f>TrafficData[[#This Row],[pendingCourt]]+TrafficData[[#This Row],[disposedCourt]]=TrafficData[[#This Row],[totalCourt]]</f>
        <v>1</v>
      </c>
      <c r="N2403" t="b">
        <f>AND(TrafficData[[#This Row],[disposedChallan]]&lt;=TrafficData[[#This Row],[totalChallan]],TrafficData[[#This Row],[pendingChallan]]&lt;=TrafficData[[#This Row],[totalChallan]])</f>
        <v>1</v>
      </c>
      <c r="O2403" t="b">
        <f>AND(TrafficData[[#This Row],[pendingAmount]]&lt;=TrafficData[[#This Row],[totalAmount]],TrafficData[[#This Row],[disposedAmount]]&lt;=TrafficData[[#This Row],[totalAmount]])</f>
        <v>1</v>
      </c>
      <c r="P2403" t="b">
        <f>AND(TrafficData[[#This Row],[pendingCourt]]&lt;=TrafficData[[#This Row],[totalCourt]],TrafficData[[#This Row],[disposedCourt]]&lt;=TrafficData[[#This Row],[totalCourt]])</f>
        <v>1</v>
      </c>
    </row>
    <row r="2404" spans="1:16">
      <c r="A2404" s="1">
        <v>44408</v>
      </c>
      <c r="B2404">
        <v>128358</v>
      </c>
      <c r="C2404">
        <v>64548</v>
      </c>
      <c r="D2404">
        <v>63810</v>
      </c>
      <c r="E2404">
        <v>63489670</v>
      </c>
      <c r="F2404">
        <v>65791153</v>
      </c>
      <c r="G2404">
        <v>129280823</v>
      </c>
      <c r="H2404">
        <v>26510</v>
      </c>
      <c r="I2404">
        <v>13250</v>
      </c>
      <c r="J2404">
        <v>39760</v>
      </c>
      <c r="K2404" t="b">
        <f>TrafficData[[#This Row],[disposedChallan]]+TrafficData[[#This Row],[pendingChallan]]=TrafficData[[#This Row],[totalChallan]]</f>
        <v>1</v>
      </c>
      <c r="L2404" t="b">
        <f>TrafficData[[#This Row],[pendingAmount]]+TrafficData[[#This Row],[disposedAmount]]=TrafficData[[#This Row],[totalAmount]]</f>
        <v>1</v>
      </c>
      <c r="M2404" t="b">
        <f>TrafficData[[#This Row],[pendingCourt]]+TrafficData[[#This Row],[disposedCourt]]=TrafficData[[#This Row],[totalCourt]]</f>
        <v>1</v>
      </c>
      <c r="N2404" t="b">
        <f>AND(TrafficData[[#This Row],[disposedChallan]]&lt;=TrafficData[[#This Row],[totalChallan]],TrafficData[[#This Row],[pendingChallan]]&lt;=TrafficData[[#This Row],[totalChallan]])</f>
        <v>1</v>
      </c>
      <c r="O2404" t="b">
        <f>AND(TrafficData[[#This Row],[pendingAmount]]&lt;=TrafficData[[#This Row],[totalAmount]],TrafficData[[#This Row],[disposedAmount]]&lt;=TrafficData[[#This Row],[totalAmount]])</f>
        <v>1</v>
      </c>
      <c r="P2404" t="b">
        <f>AND(TrafficData[[#This Row],[pendingCourt]]&lt;=TrafficData[[#This Row],[totalCourt]],TrafficData[[#This Row],[disposedCourt]]&lt;=TrafficData[[#This Row],[totalCourt]])</f>
        <v>1</v>
      </c>
    </row>
    <row r="2405" spans="1:16">
      <c r="A2405" s="1">
        <v>44409</v>
      </c>
      <c r="B2405">
        <v>112785</v>
      </c>
      <c r="C2405">
        <v>54369</v>
      </c>
      <c r="D2405">
        <v>58416</v>
      </c>
      <c r="E2405">
        <v>51198631</v>
      </c>
      <c r="F2405">
        <v>55083031</v>
      </c>
      <c r="G2405">
        <v>106281662</v>
      </c>
      <c r="H2405">
        <v>23250</v>
      </c>
      <c r="I2405">
        <v>11049</v>
      </c>
      <c r="J2405">
        <v>34299</v>
      </c>
      <c r="K2405" t="b">
        <f>TrafficData[[#This Row],[disposedChallan]]+TrafficData[[#This Row],[pendingChallan]]=TrafficData[[#This Row],[totalChallan]]</f>
        <v>1</v>
      </c>
      <c r="L2405" t="b">
        <f>TrafficData[[#This Row],[pendingAmount]]+TrafficData[[#This Row],[disposedAmount]]=TrafficData[[#This Row],[totalAmount]]</f>
        <v>1</v>
      </c>
      <c r="M2405" t="b">
        <f>TrafficData[[#This Row],[pendingCourt]]+TrafficData[[#This Row],[disposedCourt]]=TrafficData[[#This Row],[totalCourt]]</f>
        <v>1</v>
      </c>
      <c r="N2405" t="b">
        <f>AND(TrafficData[[#This Row],[disposedChallan]]&lt;=TrafficData[[#This Row],[totalChallan]],TrafficData[[#This Row],[pendingChallan]]&lt;=TrafficData[[#This Row],[totalChallan]])</f>
        <v>1</v>
      </c>
      <c r="O2405" t="b">
        <f>AND(TrafficData[[#This Row],[pendingAmount]]&lt;=TrafficData[[#This Row],[totalAmount]],TrafficData[[#This Row],[disposedAmount]]&lt;=TrafficData[[#This Row],[totalAmount]])</f>
        <v>1</v>
      </c>
      <c r="P2405" t="b">
        <f>AND(TrafficData[[#This Row],[pendingCourt]]&lt;=TrafficData[[#This Row],[totalCourt]],TrafficData[[#This Row],[disposedCourt]]&lt;=TrafficData[[#This Row],[totalCourt]])</f>
        <v>1</v>
      </c>
    </row>
    <row r="2406" spans="1:16">
      <c r="A2406" s="1">
        <v>44410</v>
      </c>
      <c r="B2406">
        <v>128388</v>
      </c>
      <c r="C2406">
        <v>64691</v>
      </c>
      <c r="D2406">
        <v>63697</v>
      </c>
      <c r="E2406">
        <v>63390458</v>
      </c>
      <c r="F2406">
        <v>67982309</v>
      </c>
      <c r="G2406">
        <v>131372767</v>
      </c>
      <c r="H2406">
        <v>29460</v>
      </c>
      <c r="I2406">
        <v>13832</v>
      </c>
      <c r="J2406">
        <v>43292</v>
      </c>
      <c r="K2406" t="b">
        <f>TrafficData[[#This Row],[disposedChallan]]+TrafficData[[#This Row],[pendingChallan]]=TrafficData[[#This Row],[totalChallan]]</f>
        <v>1</v>
      </c>
      <c r="L2406" t="b">
        <f>TrafficData[[#This Row],[pendingAmount]]+TrafficData[[#This Row],[disposedAmount]]=TrafficData[[#This Row],[totalAmount]]</f>
        <v>1</v>
      </c>
      <c r="M2406" t="b">
        <f>TrafficData[[#This Row],[pendingCourt]]+TrafficData[[#This Row],[disposedCourt]]=TrafficData[[#This Row],[totalCourt]]</f>
        <v>1</v>
      </c>
      <c r="N2406" t="b">
        <f>AND(TrafficData[[#This Row],[disposedChallan]]&lt;=TrafficData[[#This Row],[totalChallan]],TrafficData[[#This Row],[pendingChallan]]&lt;=TrafficData[[#This Row],[totalChallan]])</f>
        <v>1</v>
      </c>
      <c r="O2406" t="b">
        <f>AND(TrafficData[[#This Row],[pendingAmount]]&lt;=TrafficData[[#This Row],[totalAmount]],TrafficData[[#This Row],[disposedAmount]]&lt;=TrafficData[[#This Row],[totalAmount]])</f>
        <v>1</v>
      </c>
      <c r="P2406" t="b">
        <f>AND(TrafficData[[#This Row],[pendingCourt]]&lt;=TrafficData[[#This Row],[totalCourt]],TrafficData[[#This Row],[disposedCourt]]&lt;=TrafficData[[#This Row],[totalCourt]])</f>
        <v>1</v>
      </c>
    </row>
    <row r="2407" spans="1:16">
      <c r="A2407" s="1">
        <v>44411</v>
      </c>
      <c r="B2407">
        <v>133165</v>
      </c>
      <c r="C2407">
        <v>68215</v>
      </c>
      <c r="D2407">
        <v>64950</v>
      </c>
      <c r="E2407">
        <v>72008797</v>
      </c>
      <c r="F2407">
        <v>83010377</v>
      </c>
      <c r="G2407">
        <v>155019174</v>
      </c>
      <c r="H2407">
        <v>30519</v>
      </c>
      <c r="I2407">
        <v>14226</v>
      </c>
      <c r="J2407">
        <v>44745</v>
      </c>
      <c r="K2407" t="b">
        <f>TrafficData[[#This Row],[disposedChallan]]+TrafficData[[#This Row],[pendingChallan]]=TrafficData[[#This Row],[totalChallan]]</f>
        <v>1</v>
      </c>
      <c r="L2407" t="b">
        <f>TrafficData[[#This Row],[pendingAmount]]+TrafficData[[#This Row],[disposedAmount]]=TrafficData[[#This Row],[totalAmount]]</f>
        <v>1</v>
      </c>
      <c r="M2407" t="b">
        <f>TrafficData[[#This Row],[pendingCourt]]+TrafficData[[#This Row],[disposedCourt]]=TrafficData[[#This Row],[totalCourt]]</f>
        <v>1</v>
      </c>
      <c r="N2407" t="b">
        <f>AND(TrafficData[[#This Row],[disposedChallan]]&lt;=TrafficData[[#This Row],[totalChallan]],TrafficData[[#This Row],[pendingChallan]]&lt;=TrafficData[[#This Row],[totalChallan]])</f>
        <v>1</v>
      </c>
      <c r="O2407" t="b">
        <f>AND(TrafficData[[#This Row],[pendingAmount]]&lt;=TrafficData[[#This Row],[totalAmount]],TrafficData[[#This Row],[disposedAmount]]&lt;=TrafficData[[#This Row],[totalAmount]])</f>
        <v>1</v>
      </c>
      <c r="P2407" t="b">
        <f>AND(TrafficData[[#This Row],[pendingCourt]]&lt;=TrafficData[[#This Row],[totalCourt]],TrafficData[[#This Row],[disposedCourt]]&lt;=TrafficData[[#This Row],[totalCourt]])</f>
        <v>1</v>
      </c>
    </row>
    <row r="2408" spans="1:16">
      <c r="A2408" s="1">
        <v>44412</v>
      </c>
      <c r="B2408">
        <v>137367</v>
      </c>
      <c r="C2408">
        <v>70159</v>
      </c>
      <c r="D2408">
        <v>67208</v>
      </c>
      <c r="E2408">
        <v>74020504</v>
      </c>
      <c r="F2408">
        <v>86016513</v>
      </c>
      <c r="G2408">
        <v>160037017</v>
      </c>
      <c r="H2408">
        <v>31588</v>
      </c>
      <c r="I2408">
        <v>14176</v>
      </c>
      <c r="J2408">
        <v>45764</v>
      </c>
      <c r="K2408" t="b">
        <f>TrafficData[[#This Row],[disposedChallan]]+TrafficData[[#This Row],[pendingChallan]]=TrafficData[[#This Row],[totalChallan]]</f>
        <v>1</v>
      </c>
      <c r="L2408" t="b">
        <f>TrafficData[[#This Row],[pendingAmount]]+TrafficData[[#This Row],[disposedAmount]]=TrafficData[[#This Row],[totalAmount]]</f>
        <v>1</v>
      </c>
      <c r="M2408" t="b">
        <f>TrafficData[[#This Row],[pendingCourt]]+TrafficData[[#This Row],[disposedCourt]]=TrafficData[[#This Row],[totalCourt]]</f>
        <v>1</v>
      </c>
      <c r="N2408" t="b">
        <f>AND(TrafficData[[#This Row],[disposedChallan]]&lt;=TrafficData[[#This Row],[totalChallan]],TrafficData[[#This Row],[pendingChallan]]&lt;=TrafficData[[#This Row],[totalChallan]])</f>
        <v>1</v>
      </c>
      <c r="O2408" t="b">
        <f>AND(TrafficData[[#This Row],[pendingAmount]]&lt;=TrafficData[[#This Row],[totalAmount]],TrafficData[[#This Row],[disposedAmount]]&lt;=TrafficData[[#This Row],[totalAmount]])</f>
        <v>1</v>
      </c>
      <c r="P2408" t="b">
        <f>AND(TrafficData[[#This Row],[pendingCourt]]&lt;=TrafficData[[#This Row],[totalCourt]],TrafficData[[#This Row],[disposedCourt]]&lt;=TrafficData[[#This Row],[totalCourt]])</f>
        <v>1</v>
      </c>
    </row>
    <row r="2409" spans="1:16">
      <c r="A2409" s="1">
        <v>44413</v>
      </c>
      <c r="B2409">
        <v>132420</v>
      </c>
      <c r="C2409">
        <v>67830</v>
      </c>
      <c r="D2409">
        <v>64590</v>
      </c>
      <c r="E2409">
        <v>73361468</v>
      </c>
      <c r="F2409">
        <v>86872244</v>
      </c>
      <c r="G2409">
        <v>160233712</v>
      </c>
      <c r="H2409">
        <v>30585</v>
      </c>
      <c r="I2409">
        <v>13996</v>
      </c>
      <c r="J2409">
        <v>44581</v>
      </c>
      <c r="K2409" t="b">
        <f>TrafficData[[#This Row],[disposedChallan]]+TrafficData[[#This Row],[pendingChallan]]=TrafficData[[#This Row],[totalChallan]]</f>
        <v>1</v>
      </c>
      <c r="L2409" t="b">
        <f>TrafficData[[#This Row],[pendingAmount]]+TrafficData[[#This Row],[disposedAmount]]=TrafficData[[#This Row],[totalAmount]]</f>
        <v>1</v>
      </c>
      <c r="M2409" t="b">
        <f>TrafficData[[#This Row],[pendingCourt]]+TrafficData[[#This Row],[disposedCourt]]=TrafficData[[#This Row],[totalCourt]]</f>
        <v>1</v>
      </c>
      <c r="N2409" t="b">
        <f>AND(TrafficData[[#This Row],[disposedChallan]]&lt;=TrafficData[[#This Row],[totalChallan]],TrafficData[[#This Row],[pendingChallan]]&lt;=TrafficData[[#This Row],[totalChallan]])</f>
        <v>1</v>
      </c>
      <c r="O2409" t="b">
        <f>AND(TrafficData[[#This Row],[pendingAmount]]&lt;=TrafficData[[#This Row],[totalAmount]],TrafficData[[#This Row],[disposedAmount]]&lt;=TrafficData[[#This Row],[totalAmount]])</f>
        <v>1</v>
      </c>
      <c r="P2409" t="b">
        <f>AND(TrafficData[[#This Row],[pendingCourt]]&lt;=TrafficData[[#This Row],[totalCourt]],TrafficData[[#This Row],[disposedCourt]]&lt;=TrafficData[[#This Row],[totalCourt]])</f>
        <v>1</v>
      </c>
    </row>
    <row r="2410" spans="1:16">
      <c r="A2410" s="1">
        <v>44414</v>
      </c>
      <c r="B2410">
        <v>127128</v>
      </c>
      <c r="C2410">
        <v>65204</v>
      </c>
      <c r="D2410">
        <v>61924</v>
      </c>
      <c r="E2410">
        <v>67234766</v>
      </c>
      <c r="F2410">
        <v>80122671</v>
      </c>
      <c r="G2410">
        <v>147357437</v>
      </c>
      <c r="H2410">
        <v>28796</v>
      </c>
      <c r="I2410">
        <v>13381</v>
      </c>
      <c r="J2410">
        <v>42177</v>
      </c>
      <c r="K2410" t="b">
        <f>TrafficData[[#This Row],[disposedChallan]]+TrafficData[[#This Row],[pendingChallan]]=TrafficData[[#This Row],[totalChallan]]</f>
        <v>1</v>
      </c>
      <c r="L2410" t="b">
        <f>TrafficData[[#This Row],[pendingAmount]]+TrafficData[[#This Row],[disposedAmount]]=TrafficData[[#This Row],[totalAmount]]</f>
        <v>1</v>
      </c>
      <c r="M2410" t="b">
        <f>TrafficData[[#This Row],[pendingCourt]]+TrafficData[[#This Row],[disposedCourt]]=TrafficData[[#This Row],[totalCourt]]</f>
        <v>1</v>
      </c>
      <c r="N2410" t="b">
        <f>AND(TrafficData[[#This Row],[disposedChallan]]&lt;=TrafficData[[#This Row],[totalChallan]],TrafficData[[#This Row],[pendingChallan]]&lt;=TrafficData[[#This Row],[totalChallan]])</f>
        <v>1</v>
      </c>
      <c r="O2410" t="b">
        <f>AND(TrafficData[[#This Row],[pendingAmount]]&lt;=TrafficData[[#This Row],[totalAmount]],TrafficData[[#This Row],[disposedAmount]]&lt;=TrafficData[[#This Row],[totalAmount]])</f>
        <v>1</v>
      </c>
      <c r="P2410" t="b">
        <f>AND(TrafficData[[#This Row],[pendingCourt]]&lt;=TrafficData[[#This Row],[totalCourt]],TrafficData[[#This Row],[disposedCourt]]&lt;=TrafficData[[#This Row],[totalCourt]])</f>
        <v>1</v>
      </c>
    </row>
    <row r="2411" spans="1:16">
      <c r="A2411" s="1">
        <v>44415</v>
      </c>
      <c r="B2411">
        <v>129728</v>
      </c>
      <c r="C2411">
        <v>66414</v>
      </c>
      <c r="D2411">
        <v>63314</v>
      </c>
      <c r="E2411">
        <v>63596434</v>
      </c>
      <c r="F2411">
        <v>80995752</v>
      </c>
      <c r="G2411">
        <v>144592186</v>
      </c>
      <c r="H2411">
        <v>27222</v>
      </c>
      <c r="I2411">
        <v>13398</v>
      </c>
      <c r="J2411">
        <v>40620</v>
      </c>
      <c r="K2411" t="b">
        <f>TrafficData[[#This Row],[disposedChallan]]+TrafficData[[#This Row],[pendingChallan]]=TrafficData[[#This Row],[totalChallan]]</f>
        <v>1</v>
      </c>
      <c r="L2411" t="b">
        <f>TrafficData[[#This Row],[pendingAmount]]+TrafficData[[#This Row],[disposedAmount]]=TrafficData[[#This Row],[totalAmount]]</f>
        <v>1</v>
      </c>
      <c r="M2411" t="b">
        <f>TrafficData[[#This Row],[pendingCourt]]+TrafficData[[#This Row],[disposedCourt]]=TrafficData[[#This Row],[totalCourt]]</f>
        <v>1</v>
      </c>
      <c r="N2411" t="b">
        <f>AND(TrafficData[[#This Row],[disposedChallan]]&lt;=TrafficData[[#This Row],[totalChallan]],TrafficData[[#This Row],[pendingChallan]]&lt;=TrafficData[[#This Row],[totalChallan]])</f>
        <v>1</v>
      </c>
      <c r="O2411" t="b">
        <f>AND(TrafficData[[#This Row],[pendingAmount]]&lt;=TrafficData[[#This Row],[totalAmount]],TrafficData[[#This Row],[disposedAmount]]&lt;=TrafficData[[#This Row],[totalAmount]])</f>
        <v>1</v>
      </c>
      <c r="P2411" t="b">
        <f>AND(TrafficData[[#This Row],[pendingCourt]]&lt;=TrafficData[[#This Row],[totalCourt]],TrafficData[[#This Row],[disposedCourt]]&lt;=TrafficData[[#This Row],[totalCourt]])</f>
        <v>1</v>
      </c>
    </row>
    <row r="2412" spans="1:16">
      <c r="A2412" s="1">
        <v>44416</v>
      </c>
      <c r="B2412">
        <v>116573</v>
      </c>
      <c r="C2412">
        <v>55941</v>
      </c>
      <c r="D2412">
        <v>60632</v>
      </c>
      <c r="E2412">
        <v>56048534</v>
      </c>
      <c r="F2412">
        <v>58033513</v>
      </c>
      <c r="G2412">
        <v>114082047</v>
      </c>
      <c r="H2412">
        <v>24557</v>
      </c>
      <c r="I2412">
        <v>11352</v>
      </c>
      <c r="J2412">
        <v>35909</v>
      </c>
      <c r="K2412" t="b">
        <f>TrafficData[[#This Row],[disposedChallan]]+TrafficData[[#This Row],[pendingChallan]]=TrafficData[[#This Row],[totalChallan]]</f>
        <v>1</v>
      </c>
      <c r="L2412" t="b">
        <f>TrafficData[[#This Row],[pendingAmount]]+TrafficData[[#This Row],[disposedAmount]]=TrafficData[[#This Row],[totalAmount]]</f>
        <v>1</v>
      </c>
      <c r="M2412" t="b">
        <f>TrafficData[[#This Row],[pendingCourt]]+TrafficData[[#This Row],[disposedCourt]]=TrafficData[[#This Row],[totalCourt]]</f>
        <v>1</v>
      </c>
      <c r="N2412" t="b">
        <f>AND(TrafficData[[#This Row],[disposedChallan]]&lt;=TrafficData[[#This Row],[totalChallan]],TrafficData[[#This Row],[pendingChallan]]&lt;=TrafficData[[#This Row],[totalChallan]])</f>
        <v>1</v>
      </c>
      <c r="O2412" t="b">
        <f>AND(TrafficData[[#This Row],[pendingAmount]]&lt;=TrafficData[[#This Row],[totalAmount]],TrafficData[[#This Row],[disposedAmount]]&lt;=TrafficData[[#This Row],[totalAmount]])</f>
        <v>1</v>
      </c>
      <c r="P2412" t="b">
        <f>AND(TrafficData[[#This Row],[pendingCourt]]&lt;=TrafficData[[#This Row],[totalCourt]],TrafficData[[#This Row],[disposedCourt]]&lt;=TrafficData[[#This Row],[totalCourt]])</f>
        <v>1</v>
      </c>
    </row>
    <row r="2413" spans="1:16">
      <c r="A2413" s="1">
        <v>44417</v>
      </c>
      <c r="B2413">
        <v>131207</v>
      </c>
      <c r="C2413">
        <v>65564</v>
      </c>
      <c r="D2413">
        <v>65643</v>
      </c>
      <c r="E2413">
        <v>64886847</v>
      </c>
      <c r="F2413">
        <v>72580674</v>
      </c>
      <c r="G2413">
        <v>137467521</v>
      </c>
      <c r="H2413">
        <v>29530</v>
      </c>
      <c r="I2413">
        <v>12726</v>
      </c>
      <c r="J2413">
        <v>42256</v>
      </c>
      <c r="K2413" t="b">
        <f>TrafficData[[#This Row],[disposedChallan]]+TrafficData[[#This Row],[pendingChallan]]=TrafficData[[#This Row],[totalChallan]]</f>
        <v>1</v>
      </c>
      <c r="L2413" t="b">
        <f>TrafficData[[#This Row],[pendingAmount]]+TrafficData[[#This Row],[disposedAmount]]=TrafficData[[#This Row],[totalAmount]]</f>
        <v>1</v>
      </c>
      <c r="M2413" t="b">
        <f>TrafficData[[#This Row],[pendingCourt]]+TrafficData[[#This Row],[disposedCourt]]=TrafficData[[#This Row],[totalCourt]]</f>
        <v>1</v>
      </c>
      <c r="N2413" t="b">
        <f>AND(TrafficData[[#This Row],[disposedChallan]]&lt;=TrafficData[[#This Row],[totalChallan]],TrafficData[[#This Row],[pendingChallan]]&lt;=TrafficData[[#This Row],[totalChallan]])</f>
        <v>1</v>
      </c>
      <c r="O2413" t="b">
        <f>AND(TrafficData[[#This Row],[pendingAmount]]&lt;=TrafficData[[#This Row],[totalAmount]],TrafficData[[#This Row],[disposedAmount]]&lt;=TrafficData[[#This Row],[totalAmount]])</f>
        <v>1</v>
      </c>
      <c r="P2413" t="b">
        <f>AND(TrafficData[[#This Row],[pendingCourt]]&lt;=TrafficData[[#This Row],[totalCourt]],TrafficData[[#This Row],[disposedCourt]]&lt;=TrafficData[[#This Row],[totalCourt]])</f>
        <v>1</v>
      </c>
    </row>
    <row r="2414" spans="1:16">
      <c r="A2414" s="1">
        <v>44418</v>
      </c>
      <c r="B2414">
        <v>141347</v>
      </c>
      <c r="C2414">
        <v>70051</v>
      </c>
      <c r="D2414">
        <v>71296</v>
      </c>
      <c r="E2414">
        <v>70220265</v>
      </c>
      <c r="F2414">
        <v>78150661</v>
      </c>
      <c r="G2414">
        <v>148370926</v>
      </c>
      <c r="H2414">
        <v>29626</v>
      </c>
      <c r="I2414">
        <v>13377</v>
      </c>
      <c r="J2414">
        <v>43003</v>
      </c>
      <c r="K2414" t="b">
        <f>TrafficData[[#This Row],[disposedChallan]]+TrafficData[[#This Row],[pendingChallan]]=TrafficData[[#This Row],[totalChallan]]</f>
        <v>1</v>
      </c>
      <c r="L2414" t="b">
        <f>TrafficData[[#This Row],[pendingAmount]]+TrafficData[[#This Row],[disposedAmount]]=TrafficData[[#This Row],[totalAmount]]</f>
        <v>1</v>
      </c>
      <c r="M2414" t="b">
        <f>TrafficData[[#This Row],[pendingCourt]]+TrafficData[[#This Row],[disposedCourt]]=TrafficData[[#This Row],[totalCourt]]</f>
        <v>1</v>
      </c>
      <c r="N2414" t="b">
        <f>AND(TrafficData[[#This Row],[disposedChallan]]&lt;=TrafficData[[#This Row],[totalChallan]],TrafficData[[#This Row],[pendingChallan]]&lt;=TrafficData[[#This Row],[totalChallan]])</f>
        <v>1</v>
      </c>
      <c r="O2414" t="b">
        <f>AND(TrafficData[[#This Row],[pendingAmount]]&lt;=TrafficData[[#This Row],[totalAmount]],TrafficData[[#This Row],[disposedAmount]]&lt;=TrafficData[[#This Row],[totalAmount]])</f>
        <v>1</v>
      </c>
      <c r="P2414" t="b">
        <f>AND(TrafficData[[#This Row],[pendingCourt]]&lt;=TrafficData[[#This Row],[totalCourt]],TrafficData[[#This Row],[disposedCourt]]&lt;=TrafficData[[#This Row],[totalCourt]])</f>
        <v>1</v>
      </c>
    </row>
    <row r="2415" spans="1:16">
      <c r="A2415" s="1">
        <v>44419</v>
      </c>
      <c r="B2415">
        <v>130214</v>
      </c>
      <c r="C2415">
        <v>65771</v>
      </c>
      <c r="D2415">
        <v>64443</v>
      </c>
      <c r="E2415">
        <v>65585947</v>
      </c>
      <c r="F2415">
        <v>79401566</v>
      </c>
      <c r="G2415">
        <v>144987513</v>
      </c>
      <c r="H2415">
        <v>27682</v>
      </c>
      <c r="I2415">
        <v>11942</v>
      </c>
      <c r="J2415">
        <v>39624</v>
      </c>
      <c r="K2415" t="b">
        <f>TrafficData[[#This Row],[disposedChallan]]+TrafficData[[#This Row],[pendingChallan]]=TrafficData[[#This Row],[totalChallan]]</f>
        <v>1</v>
      </c>
      <c r="L2415" t="b">
        <f>TrafficData[[#This Row],[pendingAmount]]+TrafficData[[#This Row],[disposedAmount]]=TrafficData[[#This Row],[totalAmount]]</f>
        <v>1</v>
      </c>
      <c r="M2415" t="b">
        <f>TrafficData[[#This Row],[pendingCourt]]+TrafficData[[#This Row],[disposedCourt]]=TrafficData[[#This Row],[totalCourt]]</f>
        <v>1</v>
      </c>
      <c r="N2415" t="b">
        <f>AND(TrafficData[[#This Row],[disposedChallan]]&lt;=TrafficData[[#This Row],[totalChallan]],TrafficData[[#This Row],[pendingChallan]]&lt;=TrafficData[[#This Row],[totalChallan]])</f>
        <v>1</v>
      </c>
      <c r="O2415" t="b">
        <f>AND(TrafficData[[#This Row],[pendingAmount]]&lt;=TrafficData[[#This Row],[totalAmount]],TrafficData[[#This Row],[disposedAmount]]&lt;=TrafficData[[#This Row],[totalAmount]])</f>
        <v>1</v>
      </c>
      <c r="P2415" t="b">
        <f>AND(TrafficData[[#This Row],[pendingCourt]]&lt;=TrafficData[[#This Row],[totalCourt]],TrafficData[[#This Row],[disposedCourt]]&lt;=TrafficData[[#This Row],[totalCourt]])</f>
        <v>1</v>
      </c>
    </row>
    <row r="2416" spans="1:16">
      <c r="A2416" s="1">
        <v>44420</v>
      </c>
      <c r="B2416">
        <v>136802</v>
      </c>
      <c r="C2416">
        <v>68484</v>
      </c>
      <c r="D2416">
        <v>68318</v>
      </c>
      <c r="E2416">
        <v>92759964</v>
      </c>
      <c r="F2416">
        <v>80688423</v>
      </c>
      <c r="G2416">
        <v>173448387</v>
      </c>
      <c r="H2416">
        <v>29708</v>
      </c>
      <c r="I2416">
        <v>13677</v>
      </c>
      <c r="J2416">
        <v>43385</v>
      </c>
      <c r="K2416" t="b">
        <f>TrafficData[[#This Row],[disposedChallan]]+TrafficData[[#This Row],[pendingChallan]]=TrafficData[[#This Row],[totalChallan]]</f>
        <v>1</v>
      </c>
      <c r="L2416" t="b">
        <f>TrafficData[[#This Row],[pendingAmount]]+TrafficData[[#This Row],[disposedAmount]]=TrafficData[[#This Row],[totalAmount]]</f>
        <v>1</v>
      </c>
      <c r="M2416" t="b">
        <f>TrafficData[[#This Row],[pendingCourt]]+TrafficData[[#This Row],[disposedCourt]]=TrafficData[[#This Row],[totalCourt]]</f>
        <v>1</v>
      </c>
      <c r="N2416" t="b">
        <f>AND(TrafficData[[#This Row],[disposedChallan]]&lt;=TrafficData[[#This Row],[totalChallan]],TrafficData[[#This Row],[pendingChallan]]&lt;=TrafficData[[#This Row],[totalChallan]])</f>
        <v>1</v>
      </c>
      <c r="O2416" t="b">
        <f>AND(TrafficData[[#This Row],[pendingAmount]]&lt;=TrafficData[[#This Row],[totalAmount]],TrafficData[[#This Row],[disposedAmount]]&lt;=TrafficData[[#This Row],[totalAmount]])</f>
        <v>1</v>
      </c>
      <c r="P2416" t="b">
        <f>AND(TrafficData[[#This Row],[pendingCourt]]&lt;=TrafficData[[#This Row],[totalCourt]],TrafficData[[#This Row],[disposedCourt]]&lt;=TrafficData[[#This Row],[totalCourt]])</f>
        <v>1</v>
      </c>
    </row>
    <row r="2417" spans="1:16">
      <c r="A2417" s="1">
        <v>44421</v>
      </c>
      <c r="B2417">
        <v>125877</v>
      </c>
      <c r="C2417">
        <v>62874</v>
      </c>
      <c r="D2417">
        <v>63003</v>
      </c>
      <c r="E2417">
        <v>63089759</v>
      </c>
      <c r="F2417">
        <v>71545535</v>
      </c>
      <c r="G2417">
        <v>134635294</v>
      </c>
      <c r="H2417">
        <v>26442</v>
      </c>
      <c r="I2417">
        <v>11840</v>
      </c>
      <c r="J2417">
        <v>38282</v>
      </c>
      <c r="K2417" t="b">
        <f>TrafficData[[#This Row],[disposedChallan]]+TrafficData[[#This Row],[pendingChallan]]=TrafficData[[#This Row],[totalChallan]]</f>
        <v>1</v>
      </c>
      <c r="L2417" t="b">
        <f>TrafficData[[#This Row],[pendingAmount]]+TrafficData[[#This Row],[disposedAmount]]=TrafficData[[#This Row],[totalAmount]]</f>
        <v>1</v>
      </c>
      <c r="M2417" t="b">
        <f>TrafficData[[#This Row],[pendingCourt]]+TrafficData[[#This Row],[disposedCourt]]=TrafficData[[#This Row],[totalCourt]]</f>
        <v>1</v>
      </c>
      <c r="N2417" t="b">
        <f>AND(TrafficData[[#This Row],[disposedChallan]]&lt;=TrafficData[[#This Row],[totalChallan]],TrafficData[[#This Row],[pendingChallan]]&lt;=TrafficData[[#This Row],[totalChallan]])</f>
        <v>1</v>
      </c>
      <c r="O2417" t="b">
        <f>AND(TrafficData[[#This Row],[pendingAmount]]&lt;=TrafficData[[#This Row],[totalAmount]],TrafficData[[#This Row],[disposedAmount]]&lt;=TrafficData[[#This Row],[totalAmount]])</f>
        <v>1</v>
      </c>
      <c r="P2417" t="b">
        <f>AND(TrafficData[[#This Row],[pendingCourt]]&lt;=TrafficData[[#This Row],[totalCourt]],TrafficData[[#This Row],[disposedCourt]]&lt;=TrafficData[[#This Row],[totalCourt]])</f>
        <v>1</v>
      </c>
    </row>
    <row r="2418" spans="1:16">
      <c r="A2418" s="1">
        <v>44422</v>
      </c>
      <c r="B2418">
        <v>130849</v>
      </c>
      <c r="C2418">
        <v>64393</v>
      </c>
      <c r="D2418">
        <v>66456</v>
      </c>
      <c r="E2418">
        <v>65493746</v>
      </c>
      <c r="F2418">
        <v>70788589</v>
      </c>
      <c r="G2418">
        <v>136282335</v>
      </c>
      <c r="H2418">
        <v>29810</v>
      </c>
      <c r="I2418">
        <v>13779</v>
      </c>
      <c r="J2418">
        <v>43589</v>
      </c>
      <c r="K2418" t="b">
        <f>TrafficData[[#This Row],[disposedChallan]]+TrafficData[[#This Row],[pendingChallan]]=TrafficData[[#This Row],[totalChallan]]</f>
        <v>1</v>
      </c>
      <c r="L2418" t="b">
        <f>TrafficData[[#This Row],[pendingAmount]]+TrafficData[[#This Row],[disposedAmount]]=TrafficData[[#This Row],[totalAmount]]</f>
        <v>1</v>
      </c>
      <c r="M2418" t="b">
        <f>TrafficData[[#This Row],[pendingCourt]]+TrafficData[[#This Row],[disposedCourt]]=TrafficData[[#This Row],[totalCourt]]</f>
        <v>1</v>
      </c>
      <c r="N2418" t="b">
        <f>AND(TrafficData[[#This Row],[disposedChallan]]&lt;=TrafficData[[#This Row],[totalChallan]],TrafficData[[#This Row],[pendingChallan]]&lt;=TrafficData[[#This Row],[totalChallan]])</f>
        <v>1</v>
      </c>
      <c r="O2418" t="b">
        <f>AND(TrafficData[[#This Row],[pendingAmount]]&lt;=TrafficData[[#This Row],[totalAmount]],TrafficData[[#This Row],[disposedAmount]]&lt;=TrafficData[[#This Row],[totalAmount]])</f>
        <v>1</v>
      </c>
      <c r="P2418" t="b">
        <f>AND(TrafficData[[#This Row],[pendingCourt]]&lt;=TrafficData[[#This Row],[totalCourt]],TrafficData[[#This Row],[disposedCourt]]&lt;=TrafficData[[#This Row],[totalCourt]])</f>
        <v>1</v>
      </c>
    </row>
    <row r="2419" spans="1:16">
      <c r="A2419" s="1">
        <v>44423</v>
      </c>
      <c r="B2419">
        <v>89426</v>
      </c>
      <c r="C2419">
        <v>36703</v>
      </c>
      <c r="D2419">
        <v>52723</v>
      </c>
      <c r="E2419">
        <v>41228385</v>
      </c>
      <c r="F2419">
        <v>33503833</v>
      </c>
      <c r="G2419">
        <v>74732218</v>
      </c>
      <c r="H2419">
        <v>19055</v>
      </c>
      <c r="I2419">
        <v>6137</v>
      </c>
      <c r="J2419">
        <v>25192</v>
      </c>
      <c r="K2419" t="b">
        <f>TrafficData[[#This Row],[disposedChallan]]+TrafficData[[#This Row],[pendingChallan]]=TrafficData[[#This Row],[totalChallan]]</f>
        <v>1</v>
      </c>
      <c r="L2419" t="b">
        <f>TrafficData[[#This Row],[pendingAmount]]+TrafficData[[#This Row],[disposedAmount]]=TrafficData[[#This Row],[totalAmount]]</f>
        <v>1</v>
      </c>
      <c r="M2419" t="b">
        <f>TrafficData[[#This Row],[pendingCourt]]+TrafficData[[#This Row],[disposedCourt]]=TrafficData[[#This Row],[totalCourt]]</f>
        <v>1</v>
      </c>
      <c r="N2419" t="b">
        <f>AND(TrafficData[[#This Row],[disposedChallan]]&lt;=TrafficData[[#This Row],[totalChallan]],TrafficData[[#This Row],[pendingChallan]]&lt;=TrafficData[[#This Row],[totalChallan]])</f>
        <v>1</v>
      </c>
      <c r="O2419" t="b">
        <f>AND(TrafficData[[#This Row],[pendingAmount]]&lt;=TrafficData[[#This Row],[totalAmount]],TrafficData[[#This Row],[disposedAmount]]&lt;=TrafficData[[#This Row],[totalAmount]])</f>
        <v>1</v>
      </c>
      <c r="P2419" t="b">
        <f>AND(TrafficData[[#This Row],[pendingCourt]]&lt;=TrafficData[[#This Row],[totalCourt]],TrafficData[[#This Row],[disposedCourt]]&lt;=TrafficData[[#This Row],[totalCourt]])</f>
        <v>1</v>
      </c>
    </row>
    <row r="2420" spans="1:16">
      <c r="A2420" s="1">
        <v>44424</v>
      </c>
      <c r="B2420">
        <v>140131</v>
      </c>
      <c r="C2420">
        <v>65567</v>
      </c>
      <c r="D2420">
        <v>74564</v>
      </c>
      <c r="E2420">
        <v>71083451</v>
      </c>
      <c r="F2420">
        <v>71007672</v>
      </c>
      <c r="G2420">
        <v>142091123</v>
      </c>
      <c r="H2420">
        <v>31414</v>
      </c>
      <c r="I2420">
        <v>10750</v>
      </c>
      <c r="J2420">
        <v>42164</v>
      </c>
      <c r="K2420" t="b">
        <f>TrafficData[[#This Row],[disposedChallan]]+TrafficData[[#This Row],[pendingChallan]]=TrafficData[[#This Row],[totalChallan]]</f>
        <v>1</v>
      </c>
      <c r="L2420" t="b">
        <f>TrafficData[[#This Row],[pendingAmount]]+TrafficData[[#This Row],[disposedAmount]]=TrafficData[[#This Row],[totalAmount]]</f>
        <v>1</v>
      </c>
      <c r="M2420" t="b">
        <f>TrafficData[[#This Row],[pendingCourt]]+TrafficData[[#This Row],[disposedCourt]]=TrafficData[[#This Row],[totalCourt]]</f>
        <v>1</v>
      </c>
      <c r="N2420" t="b">
        <f>AND(TrafficData[[#This Row],[disposedChallan]]&lt;=TrafficData[[#This Row],[totalChallan]],TrafficData[[#This Row],[pendingChallan]]&lt;=TrafficData[[#This Row],[totalChallan]])</f>
        <v>1</v>
      </c>
      <c r="O2420" t="b">
        <f>AND(TrafficData[[#This Row],[pendingAmount]]&lt;=TrafficData[[#This Row],[totalAmount]],TrafficData[[#This Row],[disposedAmount]]&lt;=TrafficData[[#This Row],[totalAmount]])</f>
        <v>1</v>
      </c>
      <c r="P2420" t="b">
        <f>AND(TrafficData[[#This Row],[pendingCourt]]&lt;=TrafficData[[#This Row],[totalCourt]],TrafficData[[#This Row],[disposedCourt]]&lt;=TrafficData[[#This Row],[totalCourt]])</f>
        <v>1</v>
      </c>
    </row>
    <row r="2421" spans="1:16">
      <c r="A2421" s="1">
        <v>44425</v>
      </c>
      <c r="B2421">
        <v>135231</v>
      </c>
      <c r="C2421">
        <v>64080</v>
      </c>
      <c r="D2421">
        <v>71151</v>
      </c>
      <c r="E2421">
        <v>74116358</v>
      </c>
      <c r="F2421">
        <v>76430184</v>
      </c>
      <c r="G2421">
        <v>150546542</v>
      </c>
      <c r="H2421">
        <v>32702</v>
      </c>
      <c r="I2421">
        <v>10905</v>
      </c>
      <c r="J2421">
        <v>43607</v>
      </c>
      <c r="K2421" t="b">
        <f>TrafficData[[#This Row],[disposedChallan]]+TrafficData[[#This Row],[pendingChallan]]=TrafficData[[#This Row],[totalChallan]]</f>
        <v>1</v>
      </c>
      <c r="L2421" t="b">
        <f>TrafficData[[#This Row],[pendingAmount]]+TrafficData[[#This Row],[disposedAmount]]=TrafficData[[#This Row],[totalAmount]]</f>
        <v>1</v>
      </c>
      <c r="M2421" t="b">
        <f>TrafficData[[#This Row],[pendingCourt]]+TrafficData[[#This Row],[disposedCourt]]=TrafficData[[#This Row],[totalCourt]]</f>
        <v>1</v>
      </c>
      <c r="N2421" t="b">
        <f>AND(TrafficData[[#This Row],[disposedChallan]]&lt;=TrafficData[[#This Row],[totalChallan]],TrafficData[[#This Row],[pendingChallan]]&lt;=TrafficData[[#This Row],[totalChallan]])</f>
        <v>1</v>
      </c>
      <c r="O2421" t="b">
        <f>AND(TrafficData[[#This Row],[pendingAmount]]&lt;=TrafficData[[#This Row],[totalAmount]],TrafficData[[#This Row],[disposedAmount]]&lt;=TrafficData[[#This Row],[totalAmount]])</f>
        <v>1</v>
      </c>
      <c r="P2421" t="b">
        <f>AND(TrafficData[[#This Row],[pendingCourt]]&lt;=TrafficData[[#This Row],[totalCourt]],TrafficData[[#This Row],[disposedCourt]]&lt;=TrafficData[[#This Row],[totalCourt]])</f>
        <v>1</v>
      </c>
    </row>
    <row r="2422" spans="1:16">
      <c r="A2422" s="1">
        <v>44426</v>
      </c>
      <c r="B2422">
        <v>138978</v>
      </c>
      <c r="C2422">
        <v>65662</v>
      </c>
      <c r="D2422">
        <v>73316</v>
      </c>
      <c r="E2422">
        <v>71486932</v>
      </c>
      <c r="F2422">
        <v>76429032</v>
      </c>
      <c r="G2422">
        <v>147915964</v>
      </c>
      <c r="H2422">
        <v>31912</v>
      </c>
      <c r="I2422">
        <v>11253</v>
      </c>
      <c r="J2422">
        <v>43165</v>
      </c>
      <c r="K2422" t="b">
        <f>TrafficData[[#This Row],[disposedChallan]]+TrafficData[[#This Row],[pendingChallan]]=TrafficData[[#This Row],[totalChallan]]</f>
        <v>1</v>
      </c>
      <c r="L2422" t="b">
        <f>TrafficData[[#This Row],[pendingAmount]]+TrafficData[[#This Row],[disposedAmount]]=TrafficData[[#This Row],[totalAmount]]</f>
        <v>1</v>
      </c>
      <c r="M2422" t="b">
        <f>TrafficData[[#This Row],[pendingCourt]]+TrafficData[[#This Row],[disposedCourt]]=TrafficData[[#This Row],[totalCourt]]</f>
        <v>1</v>
      </c>
      <c r="N2422" t="b">
        <f>AND(TrafficData[[#This Row],[disposedChallan]]&lt;=TrafficData[[#This Row],[totalChallan]],TrafficData[[#This Row],[pendingChallan]]&lt;=TrafficData[[#This Row],[totalChallan]])</f>
        <v>1</v>
      </c>
      <c r="O2422" t="b">
        <f>AND(TrafficData[[#This Row],[pendingAmount]]&lt;=TrafficData[[#This Row],[totalAmount]],TrafficData[[#This Row],[disposedAmount]]&lt;=TrafficData[[#This Row],[totalAmount]])</f>
        <v>1</v>
      </c>
      <c r="P2422" t="b">
        <f>AND(TrafficData[[#This Row],[pendingCourt]]&lt;=TrafficData[[#This Row],[totalCourt]],TrafficData[[#This Row],[disposedCourt]]&lt;=TrafficData[[#This Row],[totalCourt]])</f>
        <v>1</v>
      </c>
    </row>
    <row r="2423" spans="1:16">
      <c r="A2423" s="1">
        <v>44427</v>
      </c>
      <c r="B2423">
        <v>130892</v>
      </c>
      <c r="C2423">
        <v>61799</v>
      </c>
      <c r="D2423">
        <v>69093</v>
      </c>
      <c r="E2423">
        <v>71515569</v>
      </c>
      <c r="F2423">
        <v>72794175</v>
      </c>
      <c r="G2423">
        <v>144309744</v>
      </c>
      <c r="H2423">
        <v>31460</v>
      </c>
      <c r="I2423">
        <v>10866</v>
      </c>
      <c r="J2423">
        <v>42326</v>
      </c>
      <c r="K2423" t="b">
        <f>TrafficData[[#This Row],[disposedChallan]]+TrafficData[[#This Row],[pendingChallan]]=TrafficData[[#This Row],[totalChallan]]</f>
        <v>1</v>
      </c>
      <c r="L2423" t="b">
        <f>TrafficData[[#This Row],[pendingAmount]]+TrafficData[[#This Row],[disposedAmount]]=TrafficData[[#This Row],[totalAmount]]</f>
        <v>1</v>
      </c>
      <c r="M2423" t="b">
        <f>TrafficData[[#This Row],[pendingCourt]]+TrafficData[[#This Row],[disposedCourt]]=TrafficData[[#This Row],[totalCourt]]</f>
        <v>1</v>
      </c>
      <c r="N2423" t="b">
        <f>AND(TrafficData[[#This Row],[disposedChallan]]&lt;=TrafficData[[#This Row],[totalChallan]],TrafficData[[#This Row],[pendingChallan]]&lt;=TrafficData[[#This Row],[totalChallan]])</f>
        <v>1</v>
      </c>
      <c r="O2423" t="b">
        <f>AND(TrafficData[[#This Row],[pendingAmount]]&lt;=TrafficData[[#This Row],[totalAmount]],TrafficData[[#This Row],[disposedAmount]]&lt;=TrafficData[[#This Row],[totalAmount]])</f>
        <v>1</v>
      </c>
      <c r="P2423" t="b">
        <f>AND(TrafficData[[#This Row],[pendingCourt]]&lt;=TrafficData[[#This Row],[totalCourt]],TrafficData[[#This Row],[disposedCourt]]&lt;=TrafficData[[#This Row],[totalCourt]])</f>
        <v>1</v>
      </c>
    </row>
    <row r="2424" spans="1:16">
      <c r="A2424" s="1">
        <v>44428</v>
      </c>
      <c r="B2424">
        <v>117209</v>
      </c>
      <c r="C2424">
        <v>56001</v>
      </c>
      <c r="D2424">
        <v>61208</v>
      </c>
      <c r="E2424">
        <v>60136667</v>
      </c>
      <c r="F2424">
        <v>63014232</v>
      </c>
      <c r="G2424">
        <v>123150899</v>
      </c>
      <c r="H2424">
        <v>26921</v>
      </c>
      <c r="I2424">
        <v>9279</v>
      </c>
      <c r="J2424">
        <v>36200</v>
      </c>
      <c r="K2424" t="b">
        <f>TrafficData[[#This Row],[disposedChallan]]+TrafficData[[#This Row],[pendingChallan]]=TrafficData[[#This Row],[totalChallan]]</f>
        <v>1</v>
      </c>
      <c r="L2424" t="b">
        <f>TrafficData[[#This Row],[pendingAmount]]+TrafficData[[#This Row],[disposedAmount]]=TrafficData[[#This Row],[totalAmount]]</f>
        <v>1</v>
      </c>
      <c r="M2424" t="b">
        <f>TrafficData[[#This Row],[pendingCourt]]+TrafficData[[#This Row],[disposedCourt]]=TrafficData[[#This Row],[totalCourt]]</f>
        <v>1</v>
      </c>
      <c r="N2424" t="b">
        <f>AND(TrafficData[[#This Row],[disposedChallan]]&lt;=TrafficData[[#This Row],[totalChallan]],TrafficData[[#This Row],[pendingChallan]]&lt;=TrafficData[[#This Row],[totalChallan]])</f>
        <v>1</v>
      </c>
      <c r="O2424" t="b">
        <f>AND(TrafficData[[#This Row],[pendingAmount]]&lt;=TrafficData[[#This Row],[totalAmount]],TrafficData[[#This Row],[disposedAmount]]&lt;=TrafficData[[#This Row],[totalAmount]])</f>
        <v>1</v>
      </c>
      <c r="P2424" t="b">
        <f>AND(TrafficData[[#This Row],[pendingCourt]]&lt;=TrafficData[[#This Row],[totalCourt]],TrafficData[[#This Row],[disposedCourt]]&lt;=TrafficData[[#This Row],[totalCourt]])</f>
        <v>1</v>
      </c>
    </row>
    <row r="2425" spans="1:16">
      <c r="A2425" s="1">
        <v>44429</v>
      </c>
      <c r="B2425">
        <v>114655</v>
      </c>
      <c r="C2425">
        <v>52395</v>
      </c>
      <c r="D2425">
        <v>62260</v>
      </c>
      <c r="E2425">
        <v>55760212</v>
      </c>
      <c r="F2425">
        <v>59008091</v>
      </c>
      <c r="G2425">
        <v>114768303</v>
      </c>
      <c r="H2425">
        <v>27013</v>
      </c>
      <c r="I2425">
        <v>9414</v>
      </c>
      <c r="J2425">
        <v>36427</v>
      </c>
      <c r="K2425" t="b">
        <f>TrafficData[[#This Row],[disposedChallan]]+TrafficData[[#This Row],[pendingChallan]]=TrafficData[[#This Row],[totalChallan]]</f>
        <v>1</v>
      </c>
      <c r="L2425" t="b">
        <f>TrafficData[[#This Row],[pendingAmount]]+TrafficData[[#This Row],[disposedAmount]]=TrafficData[[#This Row],[totalAmount]]</f>
        <v>1</v>
      </c>
      <c r="M2425" t="b">
        <f>TrafficData[[#This Row],[pendingCourt]]+TrafficData[[#This Row],[disposedCourt]]=TrafficData[[#This Row],[totalCourt]]</f>
        <v>1</v>
      </c>
      <c r="N2425" t="b">
        <f>AND(TrafficData[[#This Row],[disposedChallan]]&lt;=TrafficData[[#This Row],[totalChallan]],TrafficData[[#This Row],[pendingChallan]]&lt;=TrafficData[[#This Row],[totalChallan]])</f>
        <v>1</v>
      </c>
      <c r="O2425" t="b">
        <f>AND(TrafficData[[#This Row],[pendingAmount]]&lt;=TrafficData[[#This Row],[totalAmount]],TrafficData[[#This Row],[disposedAmount]]&lt;=TrafficData[[#This Row],[totalAmount]])</f>
        <v>1</v>
      </c>
      <c r="P2425" t="b">
        <f>AND(TrafficData[[#This Row],[pendingCourt]]&lt;=TrafficData[[#This Row],[totalCourt]],TrafficData[[#This Row],[disposedCourt]]&lt;=TrafficData[[#This Row],[totalCourt]])</f>
        <v>1</v>
      </c>
    </row>
    <row r="2426" spans="1:16">
      <c r="A2426" s="1">
        <v>44430</v>
      </c>
      <c r="B2426">
        <v>106507</v>
      </c>
      <c r="C2426">
        <v>43422</v>
      </c>
      <c r="D2426">
        <v>63085</v>
      </c>
      <c r="E2426">
        <v>46549609</v>
      </c>
      <c r="F2426">
        <v>34768973</v>
      </c>
      <c r="G2426">
        <v>81318582</v>
      </c>
      <c r="H2426">
        <v>24373</v>
      </c>
      <c r="I2426">
        <v>8203</v>
      </c>
      <c r="J2426">
        <v>32576</v>
      </c>
      <c r="K2426" t="b">
        <f>TrafficData[[#This Row],[disposedChallan]]+TrafficData[[#This Row],[pendingChallan]]=TrafficData[[#This Row],[totalChallan]]</f>
        <v>1</v>
      </c>
      <c r="L2426" t="b">
        <f>TrafficData[[#This Row],[pendingAmount]]+TrafficData[[#This Row],[disposedAmount]]=TrafficData[[#This Row],[totalAmount]]</f>
        <v>1</v>
      </c>
      <c r="M2426" t="b">
        <f>TrafficData[[#This Row],[pendingCourt]]+TrafficData[[#This Row],[disposedCourt]]=TrafficData[[#This Row],[totalCourt]]</f>
        <v>1</v>
      </c>
      <c r="N2426" t="b">
        <f>AND(TrafficData[[#This Row],[disposedChallan]]&lt;=TrafficData[[#This Row],[totalChallan]],TrafficData[[#This Row],[pendingChallan]]&lt;=TrafficData[[#This Row],[totalChallan]])</f>
        <v>1</v>
      </c>
      <c r="O2426" t="b">
        <f>AND(TrafficData[[#This Row],[pendingAmount]]&lt;=TrafficData[[#This Row],[totalAmount]],TrafficData[[#This Row],[disposedAmount]]&lt;=TrafficData[[#This Row],[totalAmount]])</f>
        <v>1</v>
      </c>
      <c r="P2426" t="b">
        <f>AND(TrafficData[[#This Row],[pendingCourt]]&lt;=TrafficData[[#This Row],[totalCourt]],TrafficData[[#This Row],[disposedCourt]]&lt;=TrafficData[[#This Row],[totalCourt]])</f>
        <v>1</v>
      </c>
    </row>
    <row r="2427" spans="1:16">
      <c r="A2427" s="1">
        <v>44431</v>
      </c>
      <c r="B2427">
        <v>123736</v>
      </c>
      <c r="C2427">
        <v>57188</v>
      </c>
      <c r="D2427">
        <v>66548</v>
      </c>
      <c r="E2427">
        <v>62372564</v>
      </c>
      <c r="F2427">
        <v>52074493</v>
      </c>
      <c r="G2427">
        <v>114447057</v>
      </c>
      <c r="H2427">
        <v>24399</v>
      </c>
      <c r="I2427">
        <v>8370</v>
      </c>
      <c r="J2427">
        <v>32769</v>
      </c>
      <c r="K2427" t="b">
        <f>TrafficData[[#This Row],[disposedChallan]]+TrafficData[[#This Row],[pendingChallan]]=TrafficData[[#This Row],[totalChallan]]</f>
        <v>1</v>
      </c>
      <c r="L2427" t="b">
        <f>TrafficData[[#This Row],[pendingAmount]]+TrafficData[[#This Row],[disposedAmount]]=TrafficData[[#This Row],[totalAmount]]</f>
        <v>1</v>
      </c>
      <c r="M2427" t="b">
        <f>TrafficData[[#This Row],[pendingCourt]]+TrafficData[[#This Row],[disposedCourt]]=TrafficData[[#This Row],[totalCourt]]</f>
        <v>1</v>
      </c>
      <c r="N2427" t="b">
        <f>AND(TrafficData[[#This Row],[disposedChallan]]&lt;=TrafficData[[#This Row],[totalChallan]],TrafficData[[#This Row],[pendingChallan]]&lt;=TrafficData[[#This Row],[totalChallan]])</f>
        <v>1</v>
      </c>
      <c r="O2427" t="b">
        <f>AND(TrafficData[[#This Row],[pendingAmount]]&lt;=TrafficData[[#This Row],[totalAmount]],TrafficData[[#This Row],[disposedAmount]]&lt;=TrafficData[[#This Row],[totalAmount]])</f>
        <v>1</v>
      </c>
      <c r="P2427" t="b">
        <f>AND(TrafficData[[#This Row],[pendingCourt]]&lt;=TrafficData[[#This Row],[totalCourt]],TrafficData[[#This Row],[disposedCourt]]&lt;=TrafficData[[#This Row],[totalCourt]])</f>
        <v>1</v>
      </c>
    </row>
    <row r="2428" spans="1:16">
      <c r="A2428" s="1">
        <v>44432</v>
      </c>
      <c r="B2428">
        <v>116264</v>
      </c>
      <c r="C2428">
        <v>57209</v>
      </c>
      <c r="D2428">
        <v>59055</v>
      </c>
      <c r="E2428">
        <v>63352866</v>
      </c>
      <c r="F2428">
        <v>69347889</v>
      </c>
      <c r="G2428">
        <v>132700755</v>
      </c>
      <c r="H2428">
        <v>29253</v>
      </c>
      <c r="I2428">
        <v>9971</v>
      </c>
      <c r="J2428">
        <v>39224</v>
      </c>
      <c r="K2428" t="b">
        <f>TrafficData[[#This Row],[disposedChallan]]+TrafficData[[#This Row],[pendingChallan]]=TrafficData[[#This Row],[totalChallan]]</f>
        <v>1</v>
      </c>
      <c r="L2428" t="b">
        <f>TrafficData[[#This Row],[pendingAmount]]+TrafficData[[#This Row],[disposedAmount]]=TrafficData[[#This Row],[totalAmount]]</f>
        <v>1</v>
      </c>
      <c r="M2428" t="b">
        <f>TrafficData[[#This Row],[pendingCourt]]+TrafficData[[#This Row],[disposedCourt]]=TrafficData[[#This Row],[totalCourt]]</f>
        <v>1</v>
      </c>
      <c r="N2428" t="b">
        <f>AND(TrafficData[[#This Row],[disposedChallan]]&lt;=TrafficData[[#This Row],[totalChallan]],TrafficData[[#This Row],[pendingChallan]]&lt;=TrafficData[[#This Row],[totalChallan]])</f>
        <v>1</v>
      </c>
      <c r="O2428" t="b">
        <f>AND(TrafficData[[#This Row],[pendingAmount]]&lt;=TrafficData[[#This Row],[totalAmount]],TrafficData[[#This Row],[disposedAmount]]&lt;=TrafficData[[#This Row],[totalAmount]])</f>
        <v>1</v>
      </c>
      <c r="P2428" t="b">
        <f>AND(TrafficData[[#This Row],[pendingCourt]]&lt;=TrafficData[[#This Row],[totalCourt]],TrafficData[[#This Row],[disposedCourt]]&lt;=TrafficData[[#This Row],[totalCourt]])</f>
        <v>1</v>
      </c>
    </row>
    <row r="2429" spans="1:16">
      <c r="A2429" s="1">
        <v>44433</v>
      </c>
      <c r="B2429">
        <v>118942</v>
      </c>
      <c r="C2429">
        <v>59497</v>
      </c>
      <c r="D2429">
        <v>59445</v>
      </c>
      <c r="E2429">
        <v>69869370</v>
      </c>
      <c r="F2429">
        <v>77662433</v>
      </c>
      <c r="G2429">
        <v>147531803</v>
      </c>
      <c r="H2429">
        <v>28977</v>
      </c>
      <c r="I2429">
        <v>9851</v>
      </c>
      <c r="J2429">
        <v>38828</v>
      </c>
      <c r="K2429" t="b">
        <f>TrafficData[[#This Row],[disposedChallan]]+TrafficData[[#This Row],[pendingChallan]]=TrafficData[[#This Row],[totalChallan]]</f>
        <v>1</v>
      </c>
      <c r="L2429" t="b">
        <f>TrafficData[[#This Row],[pendingAmount]]+TrafficData[[#This Row],[disposedAmount]]=TrafficData[[#This Row],[totalAmount]]</f>
        <v>1</v>
      </c>
      <c r="M2429" t="b">
        <f>TrafficData[[#This Row],[pendingCourt]]+TrafficData[[#This Row],[disposedCourt]]=TrafficData[[#This Row],[totalCourt]]</f>
        <v>1</v>
      </c>
      <c r="N2429" t="b">
        <f>AND(TrafficData[[#This Row],[disposedChallan]]&lt;=TrafficData[[#This Row],[totalChallan]],TrafficData[[#This Row],[pendingChallan]]&lt;=TrafficData[[#This Row],[totalChallan]])</f>
        <v>1</v>
      </c>
      <c r="O2429" t="b">
        <f>AND(TrafficData[[#This Row],[pendingAmount]]&lt;=TrafficData[[#This Row],[totalAmount]],TrafficData[[#This Row],[disposedAmount]]&lt;=TrafficData[[#This Row],[totalAmount]])</f>
        <v>1</v>
      </c>
      <c r="P2429" t="b">
        <f>AND(TrafficData[[#This Row],[pendingCourt]]&lt;=TrafficData[[#This Row],[totalCourt]],TrafficData[[#This Row],[disposedCourt]]&lt;=TrafficData[[#This Row],[totalCourt]])</f>
        <v>1</v>
      </c>
    </row>
    <row r="2430" spans="1:16">
      <c r="A2430" s="1">
        <v>44434</v>
      </c>
      <c r="B2430">
        <v>123674</v>
      </c>
      <c r="C2430">
        <v>60363</v>
      </c>
      <c r="D2430">
        <v>63311</v>
      </c>
      <c r="E2430">
        <v>71879905</v>
      </c>
      <c r="F2430">
        <v>75537979</v>
      </c>
      <c r="G2430">
        <v>147417884</v>
      </c>
      <c r="H2430">
        <v>31237</v>
      </c>
      <c r="I2430">
        <v>10691</v>
      </c>
      <c r="J2430">
        <v>41928</v>
      </c>
      <c r="K2430" t="b">
        <f>TrafficData[[#This Row],[disposedChallan]]+TrafficData[[#This Row],[pendingChallan]]=TrafficData[[#This Row],[totalChallan]]</f>
        <v>1</v>
      </c>
      <c r="L2430" t="b">
        <f>TrafficData[[#This Row],[pendingAmount]]+TrafficData[[#This Row],[disposedAmount]]=TrafficData[[#This Row],[totalAmount]]</f>
        <v>1</v>
      </c>
      <c r="M2430" t="b">
        <f>TrafficData[[#This Row],[pendingCourt]]+TrafficData[[#This Row],[disposedCourt]]=TrafficData[[#This Row],[totalCourt]]</f>
        <v>1</v>
      </c>
      <c r="N2430" t="b">
        <f>AND(TrafficData[[#This Row],[disposedChallan]]&lt;=TrafficData[[#This Row],[totalChallan]],TrafficData[[#This Row],[pendingChallan]]&lt;=TrafficData[[#This Row],[totalChallan]])</f>
        <v>1</v>
      </c>
      <c r="O2430" t="b">
        <f>AND(TrafficData[[#This Row],[pendingAmount]]&lt;=TrafficData[[#This Row],[totalAmount]],TrafficData[[#This Row],[disposedAmount]]&lt;=TrafficData[[#This Row],[totalAmount]])</f>
        <v>1</v>
      </c>
      <c r="P2430" t="b">
        <f>AND(TrafficData[[#This Row],[pendingCourt]]&lt;=TrafficData[[#This Row],[totalCourt]],TrafficData[[#This Row],[disposedCourt]]&lt;=TrafficData[[#This Row],[totalCourt]])</f>
        <v>1</v>
      </c>
    </row>
    <row r="2431" spans="1:16">
      <c r="A2431" s="1">
        <v>44435</v>
      </c>
      <c r="B2431">
        <v>123195</v>
      </c>
      <c r="C2431">
        <v>59020</v>
      </c>
      <c r="D2431">
        <v>64175</v>
      </c>
      <c r="E2431">
        <v>66754081</v>
      </c>
      <c r="F2431">
        <v>72654607</v>
      </c>
      <c r="G2431">
        <v>139408688</v>
      </c>
      <c r="H2431">
        <v>31390</v>
      </c>
      <c r="I2431">
        <v>10433</v>
      </c>
      <c r="J2431">
        <v>41823</v>
      </c>
      <c r="K2431" t="b">
        <f>TrafficData[[#This Row],[disposedChallan]]+TrafficData[[#This Row],[pendingChallan]]=TrafficData[[#This Row],[totalChallan]]</f>
        <v>1</v>
      </c>
      <c r="L2431" t="b">
        <f>TrafficData[[#This Row],[pendingAmount]]+TrafficData[[#This Row],[disposedAmount]]=TrafficData[[#This Row],[totalAmount]]</f>
        <v>1</v>
      </c>
      <c r="M2431" t="b">
        <f>TrafficData[[#This Row],[pendingCourt]]+TrafficData[[#This Row],[disposedCourt]]=TrafficData[[#This Row],[totalCourt]]</f>
        <v>1</v>
      </c>
      <c r="N2431" t="b">
        <f>AND(TrafficData[[#This Row],[disposedChallan]]&lt;=TrafficData[[#This Row],[totalChallan]],TrafficData[[#This Row],[pendingChallan]]&lt;=TrafficData[[#This Row],[totalChallan]])</f>
        <v>1</v>
      </c>
      <c r="O2431" t="b">
        <f>AND(TrafficData[[#This Row],[pendingAmount]]&lt;=TrafficData[[#This Row],[totalAmount]],TrafficData[[#This Row],[disposedAmount]]&lt;=TrafficData[[#This Row],[totalAmount]])</f>
        <v>1</v>
      </c>
      <c r="P2431" t="b">
        <f>AND(TrafficData[[#This Row],[pendingCourt]]&lt;=TrafficData[[#This Row],[totalCourt]],TrafficData[[#This Row],[disposedCourt]]&lt;=TrafficData[[#This Row],[totalCourt]])</f>
        <v>1</v>
      </c>
    </row>
    <row r="2432" spans="1:16">
      <c r="A2432" s="1">
        <v>44436</v>
      </c>
      <c r="B2432">
        <v>127901</v>
      </c>
      <c r="C2432">
        <v>61038</v>
      </c>
      <c r="D2432">
        <v>66863</v>
      </c>
      <c r="E2432">
        <v>67086550</v>
      </c>
      <c r="F2432">
        <v>70096985</v>
      </c>
      <c r="G2432">
        <v>137183535</v>
      </c>
      <c r="H2432">
        <v>29837</v>
      </c>
      <c r="I2432">
        <v>10345</v>
      </c>
      <c r="J2432">
        <v>40182</v>
      </c>
      <c r="K2432" t="b">
        <f>TrafficData[[#This Row],[disposedChallan]]+TrafficData[[#This Row],[pendingChallan]]=TrafficData[[#This Row],[totalChallan]]</f>
        <v>1</v>
      </c>
      <c r="L2432" t="b">
        <f>TrafficData[[#This Row],[pendingAmount]]+TrafficData[[#This Row],[disposedAmount]]=TrafficData[[#This Row],[totalAmount]]</f>
        <v>1</v>
      </c>
      <c r="M2432" t="b">
        <f>TrafficData[[#This Row],[pendingCourt]]+TrafficData[[#This Row],[disposedCourt]]=TrafficData[[#This Row],[totalCourt]]</f>
        <v>1</v>
      </c>
      <c r="N2432" t="b">
        <f>AND(TrafficData[[#This Row],[disposedChallan]]&lt;=TrafficData[[#This Row],[totalChallan]],TrafficData[[#This Row],[pendingChallan]]&lt;=TrafficData[[#This Row],[totalChallan]])</f>
        <v>1</v>
      </c>
      <c r="O2432" t="b">
        <f>AND(TrafficData[[#This Row],[pendingAmount]]&lt;=TrafficData[[#This Row],[totalAmount]],TrafficData[[#This Row],[disposedAmount]]&lt;=TrafficData[[#This Row],[totalAmount]])</f>
        <v>1</v>
      </c>
      <c r="P2432" t="b">
        <f>AND(TrafficData[[#This Row],[pendingCourt]]&lt;=TrafficData[[#This Row],[totalCourt]],TrafficData[[#This Row],[disposedCourt]]&lt;=TrafficData[[#This Row],[totalCourt]])</f>
        <v>1</v>
      </c>
    </row>
    <row r="2433" spans="1:16">
      <c r="A2433" s="1">
        <v>44437</v>
      </c>
      <c r="B2433">
        <v>119501</v>
      </c>
      <c r="C2433">
        <v>51919</v>
      </c>
      <c r="D2433">
        <v>67582</v>
      </c>
      <c r="E2433">
        <v>62903305</v>
      </c>
      <c r="F2433">
        <v>52320153</v>
      </c>
      <c r="G2433">
        <v>115223458</v>
      </c>
      <c r="H2433">
        <v>29310</v>
      </c>
      <c r="I2433">
        <v>9639</v>
      </c>
      <c r="J2433">
        <v>38949</v>
      </c>
      <c r="K2433" t="b">
        <f>TrafficData[[#This Row],[disposedChallan]]+TrafficData[[#This Row],[pendingChallan]]=TrafficData[[#This Row],[totalChallan]]</f>
        <v>1</v>
      </c>
      <c r="L2433" t="b">
        <f>TrafficData[[#This Row],[pendingAmount]]+TrafficData[[#This Row],[disposedAmount]]=TrafficData[[#This Row],[totalAmount]]</f>
        <v>1</v>
      </c>
      <c r="M2433" t="b">
        <f>TrafficData[[#This Row],[pendingCourt]]+TrafficData[[#This Row],[disposedCourt]]=TrafficData[[#This Row],[totalCourt]]</f>
        <v>1</v>
      </c>
      <c r="N2433" t="b">
        <f>AND(TrafficData[[#This Row],[disposedChallan]]&lt;=TrafficData[[#This Row],[totalChallan]],TrafficData[[#This Row],[pendingChallan]]&lt;=TrafficData[[#This Row],[totalChallan]])</f>
        <v>1</v>
      </c>
      <c r="O2433" t="b">
        <f>AND(TrafficData[[#This Row],[pendingAmount]]&lt;=TrafficData[[#This Row],[totalAmount]],TrafficData[[#This Row],[disposedAmount]]&lt;=TrafficData[[#This Row],[totalAmount]])</f>
        <v>1</v>
      </c>
      <c r="P2433" t="b">
        <f>AND(TrafficData[[#This Row],[pendingCourt]]&lt;=TrafficData[[#This Row],[totalCourt]],TrafficData[[#This Row],[disposedCourt]]&lt;=TrafficData[[#This Row],[totalCourt]])</f>
        <v>1</v>
      </c>
    </row>
    <row r="2434" spans="1:16">
      <c r="A2434" s="1">
        <v>44438</v>
      </c>
      <c r="B2434">
        <v>129560</v>
      </c>
      <c r="C2434">
        <v>60223</v>
      </c>
      <c r="D2434">
        <v>69337</v>
      </c>
      <c r="E2434">
        <v>57854956</v>
      </c>
      <c r="F2434">
        <v>50439765</v>
      </c>
      <c r="G2434">
        <v>108294721</v>
      </c>
      <c r="H2434">
        <v>27607</v>
      </c>
      <c r="I2434">
        <v>9113</v>
      </c>
      <c r="J2434">
        <v>36720</v>
      </c>
      <c r="K2434" t="b">
        <f>TrafficData[[#This Row],[disposedChallan]]+TrafficData[[#This Row],[pendingChallan]]=TrafficData[[#This Row],[totalChallan]]</f>
        <v>1</v>
      </c>
      <c r="L2434" t="b">
        <f>TrafficData[[#This Row],[pendingAmount]]+TrafficData[[#This Row],[disposedAmount]]=TrafficData[[#This Row],[totalAmount]]</f>
        <v>1</v>
      </c>
      <c r="M2434" t="b">
        <f>TrafficData[[#This Row],[pendingCourt]]+TrafficData[[#This Row],[disposedCourt]]=TrafficData[[#This Row],[totalCourt]]</f>
        <v>1</v>
      </c>
      <c r="N2434" t="b">
        <f>AND(TrafficData[[#This Row],[disposedChallan]]&lt;=TrafficData[[#This Row],[totalChallan]],TrafficData[[#This Row],[pendingChallan]]&lt;=TrafficData[[#This Row],[totalChallan]])</f>
        <v>1</v>
      </c>
      <c r="O2434" t="b">
        <f>AND(TrafficData[[#This Row],[pendingAmount]]&lt;=TrafficData[[#This Row],[totalAmount]],TrafficData[[#This Row],[disposedAmount]]&lt;=TrafficData[[#This Row],[totalAmount]])</f>
        <v>1</v>
      </c>
      <c r="P2434" t="b">
        <f>AND(TrafficData[[#This Row],[pendingCourt]]&lt;=TrafficData[[#This Row],[totalCourt]],TrafficData[[#This Row],[disposedCourt]]&lt;=TrafficData[[#This Row],[totalCourt]])</f>
        <v>1</v>
      </c>
    </row>
    <row r="2435" spans="1:16">
      <c r="A2435" s="1">
        <v>44439</v>
      </c>
      <c r="B2435">
        <v>126371</v>
      </c>
      <c r="C2435">
        <v>60080</v>
      </c>
      <c r="D2435">
        <v>66291</v>
      </c>
      <c r="E2435">
        <v>57166926</v>
      </c>
      <c r="F2435">
        <v>54968535</v>
      </c>
      <c r="G2435">
        <v>112135461</v>
      </c>
      <c r="H2435">
        <v>28056</v>
      </c>
      <c r="I2435">
        <v>8915</v>
      </c>
      <c r="J2435">
        <v>36971</v>
      </c>
      <c r="K2435" t="b">
        <f>TrafficData[[#This Row],[disposedChallan]]+TrafficData[[#This Row],[pendingChallan]]=TrafficData[[#This Row],[totalChallan]]</f>
        <v>1</v>
      </c>
      <c r="L2435" t="b">
        <f>TrafficData[[#This Row],[pendingAmount]]+TrafficData[[#This Row],[disposedAmount]]=TrafficData[[#This Row],[totalAmount]]</f>
        <v>1</v>
      </c>
      <c r="M2435" t="b">
        <f>TrafficData[[#This Row],[pendingCourt]]+TrafficData[[#This Row],[disposedCourt]]=TrafficData[[#This Row],[totalCourt]]</f>
        <v>1</v>
      </c>
      <c r="N2435" t="b">
        <f>AND(TrafficData[[#This Row],[disposedChallan]]&lt;=TrafficData[[#This Row],[totalChallan]],TrafficData[[#This Row],[pendingChallan]]&lt;=TrafficData[[#This Row],[totalChallan]])</f>
        <v>1</v>
      </c>
      <c r="O2435" t="b">
        <f>AND(TrafficData[[#This Row],[pendingAmount]]&lt;=TrafficData[[#This Row],[totalAmount]],TrafficData[[#This Row],[disposedAmount]]&lt;=TrafficData[[#This Row],[totalAmount]])</f>
        <v>1</v>
      </c>
      <c r="P2435" t="b">
        <f>AND(TrafficData[[#This Row],[pendingCourt]]&lt;=TrafficData[[#This Row],[totalCourt]],TrafficData[[#This Row],[disposedCourt]]&lt;=TrafficData[[#This Row],[totalCourt]])</f>
        <v>1</v>
      </c>
    </row>
    <row r="2436" spans="1:16">
      <c r="A2436" s="1">
        <v>44440</v>
      </c>
      <c r="B2436">
        <v>118888</v>
      </c>
      <c r="C2436">
        <v>59055</v>
      </c>
      <c r="D2436">
        <v>59833</v>
      </c>
      <c r="E2436">
        <v>60589527</v>
      </c>
      <c r="F2436">
        <v>69478642</v>
      </c>
      <c r="G2436">
        <v>130068169</v>
      </c>
      <c r="H2436">
        <v>27528</v>
      </c>
      <c r="I2436">
        <v>9103</v>
      </c>
      <c r="J2436">
        <v>36631</v>
      </c>
      <c r="K2436" t="b">
        <f>TrafficData[[#This Row],[disposedChallan]]+TrafficData[[#This Row],[pendingChallan]]=TrafficData[[#This Row],[totalChallan]]</f>
        <v>1</v>
      </c>
      <c r="L2436" t="b">
        <f>TrafficData[[#This Row],[pendingAmount]]+TrafficData[[#This Row],[disposedAmount]]=TrafficData[[#This Row],[totalAmount]]</f>
        <v>1</v>
      </c>
      <c r="M2436" t="b">
        <f>TrafficData[[#This Row],[pendingCourt]]+TrafficData[[#This Row],[disposedCourt]]=TrafficData[[#This Row],[totalCourt]]</f>
        <v>1</v>
      </c>
      <c r="N2436" t="b">
        <f>AND(TrafficData[[#This Row],[disposedChallan]]&lt;=TrafficData[[#This Row],[totalChallan]],TrafficData[[#This Row],[pendingChallan]]&lt;=TrafficData[[#This Row],[totalChallan]])</f>
        <v>1</v>
      </c>
      <c r="O2436" t="b">
        <f>AND(TrafficData[[#This Row],[pendingAmount]]&lt;=TrafficData[[#This Row],[totalAmount]],TrafficData[[#This Row],[disposedAmount]]&lt;=TrafficData[[#This Row],[totalAmount]])</f>
        <v>1</v>
      </c>
      <c r="P2436" t="b">
        <f>AND(TrafficData[[#This Row],[pendingCourt]]&lt;=TrafficData[[#This Row],[totalCourt]],TrafficData[[#This Row],[disposedCourt]]&lt;=TrafficData[[#This Row],[totalCourt]])</f>
        <v>1</v>
      </c>
    </row>
    <row r="2437" spans="1:16">
      <c r="A2437" s="1">
        <v>44441</v>
      </c>
      <c r="B2437">
        <v>123850</v>
      </c>
      <c r="C2437">
        <v>61494</v>
      </c>
      <c r="D2437">
        <v>62356</v>
      </c>
      <c r="E2437">
        <v>67586469</v>
      </c>
      <c r="F2437">
        <v>74492963</v>
      </c>
      <c r="G2437">
        <v>142079432</v>
      </c>
      <c r="H2437">
        <v>30347</v>
      </c>
      <c r="I2437">
        <v>10735</v>
      </c>
      <c r="J2437">
        <v>41082</v>
      </c>
      <c r="K2437" t="b">
        <f>TrafficData[[#This Row],[disposedChallan]]+TrafficData[[#This Row],[pendingChallan]]=TrafficData[[#This Row],[totalChallan]]</f>
        <v>1</v>
      </c>
      <c r="L2437" t="b">
        <f>TrafficData[[#This Row],[pendingAmount]]+TrafficData[[#This Row],[disposedAmount]]=TrafficData[[#This Row],[totalAmount]]</f>
        <v>1</v>
      </c>
      <c r="M2437" t="b">
        <f>TrafficData[[#This Row],[pendingCourt]]+TrafficData[[#This Row],[disposedCourt]]=TrafficData[[#This Row],[totalCourt]]</f>
        <v>1</v>
      </c>
      <c r="N2437" t="b">
        <f>AND(TrafficData[[#This Row],[disposedChallan]]&lt;=TrafficData[[#This Row],[totalChallan]],TrafficData[[#This Row],[pendingChallan]]&lt;=TrafficData[[#This Row],[totalChallan]])</f>
        <v>1</v>
      </c>
      <c r="O2437" t="b">
        <f>AND(TrafficData[[#This Row],[pendingAmount]]&lt;=TrafficData[[#This Row],[totalAmount]],TrafficData[[#This Row],[disposedAmount]]&lt;=TrafficData[[#This Row],[totalAmount]])</f>
        <v>1</v>
      </c>
      <c r="P2437" t="b">
        <f>AND(TrafficData[[#This Row],[pendingCourt]]&lt;=TrafficData[[#This Row],[totalCourt]],TrafficData[[#This Row],[disposedCourt]]&lt;=TrafficData[[#This Row],[totalCourt]])</f>
        <v>1</v>
      </c>
    </row>
    <row r="2438" spans="1:16">
      <c r="A2438" s="1">
        <v>44442</v>
      </c>
      <c r="B2438">
        <v>127531</v>
      </c>
      <c r="C2438">
        <v>62037</v>
      </c>
      <c r="D2438">
        <v>65494</v>
      </c>
      <c r="E2438">
        <v>69330945</v>
      </c>
      <c r="F2438">
        <v>73233021</v>
      </c>
      <c r="G2438">
        <v>142563966</v>
      </c>
      <c r="H2438">
        <v>29921</v>
      </c>
      <c r="I2438">
        <v>10609</v>
      </c>
      <c r="J2438">
        <v>40530</v>
      </c>
      <c r="K2438" t="b">
        <f>TrafficData[[#This Row],[disposedChallan]]+TrafficData[[#This Row],[pendingChallan]]=TrafficData[[#This Row],[totalChallan]]</f>
        <v>1</v>
      </c>
      <c r="L2438" t="b">
        <f>TrafficData[[#This Row],[pendingAmount]]+TrafficData[[#This Row],[disposedAmount]]=TrafficData[[#This Row],[totalAmount]]</f>
        <v>1</v>
      </c>
      <c r="M2438" t="b">
        <f>TrafficData[[#This Row],[pendingCourt]]+TrafficData[[#This Row],[disposedCourt]]=TrafficData[[#This Row],[totalCourt]]</f>
        <v>1</v>
      </c>
      <c r="N2438" t="b">
        <f>AND(TrafficData[[#This Row],[disposedChallan]]&lt;=TrafficData[[#This Row],[totalChallan]],TrafficData[[#This Row],[pendingChallan]]&lt;=TrafficData[[#This Row],[totalChallan]])</f>
        <v>1</v>
      </c>
      <c r="O2438" t="b">
        <f>AND(TrafficData[[#This Row],[pendingAmount]]&lt;=TrafficData[[#This Row],[totalAmount]],TrafficData[[#This Row],[disposedAmount]]&lt;=TrafficData[[#This Row],[totalAmount]])</f>
        <v>1</v>
      </c>
      <c r="P2438" t="b">
        <f>AND(TrafficData[[#This Row],[pendingCourt]]&lt;=TrafficData[[#This Row],[totalCourt]],TrafficData[[#This Row],[disposedCourt]]&lt;=TrafficData[[#This Row],[totalCourt]])</f>
        <v>1</v>
      </c>
    </row>
    <row r="2439" spans="1:16">
      <c r="A2439" s="1">
        <v>44443</v>
      </c>
      <c r="B2439">
        <v>127428</v>
      </c>
      <c r="C2439">
        <v>61918</v>
      </c>
      <c r="D2439">
        <v>65510</v>
      </c>
      <c r="E2439">
        <v>70091156</v>
      </c>
      <c r="F2439">
        <v>76354556</v>
      </c>
      <c r="G2439">
        <v>146445712</v>
      </c>
      <c r="H2439">
        <v>31198</v>
      </c>
      <c r="I2439">
        <v>10991</v>
      </c>
      <c r="J2439">
        <v>42189</v>
      </c>
      <c r="K2439" t="b">
        <f>TrafficData[[#This Row],[disposedChallan]]+TrafficData[[#This Row],[pendingChallan]]=TrafficData[[#This Row],[totalChallan]]</f>
        <v>1</v>
      </c>
      <c r="L2439" t="b">
        <f>TrafficData[[#This Row],[pendingAmount]]+TrafficData[[#This Row],[disposedAmount]]=TrafficData[[#This Row],[totalAmount]]</f>
        <v>1</v>
      </c>
      <c r="M2439" t="b">
        <f>TrafficData[[#This Row],[pendingCourt]]+TrafficData[[#This Row],[disposedCourt]]=TrafficData[[#This Row],[totalCourt]]</f>
        <v>1</v>
      </c>
      <c r="N2439" t="b">
        <f>AND(TrafficData[[#This Row],[disposedChallan]]&lt;=TrafficData[[#This Row],[totalChallan]],TrafficData[[#This Row],[pendingChallan]]&lt;=TrafficData[[#This Row],[totalChallan]])</f>
        <v>1</v>
      </c>
      <c r="O2439" t="b">
        <f>AND(TrafficData[[#This Row],[pendingAmount]]&lt;=TrafficData[[#This Row],[totalAmount]],TrafficData[[#This Row],[disposedAmount]]&lt;=TrafficData[[#This Row],[totalAmount]])</f>
        <v>1</v>
      </c>
      <c r="P2439" t="b">
        <f>AND(TrafficData[[#This Row],[pendingCourt]]&lt;=TrafficData[[#This Row],[totalCourt]],TrafficData[[#This Row],[disposedCourt]]&lt;=TrafficData[[#This Row],[totalCourt]])</f>
        <v>1</v>
      </c>
    </row>
    <row r="2440" spans="1:16">
      <c r="A2440" s="1">
        <v>44444</v>
      </c>
      <c r="B2440">
        <v>112924</v>
      </c>
      <c r="C2440">
        <v>51040</v>
      </c>
      <c r="D2440">
        <v>61884</v>
      </c>
      <c r="E2440">
        <v>62583877</v>
      </c>
      <c r="F2440">
        <v>57748206</v>
      </c>
      <c r="G2440">
        <v>120332083</v>
      </c>
      <c r="H2440">
        <v>29258</v>
      </c>
      <c r="I2440">
        <v>10057</v>
      </c>
      <c r="J2440">
        <v>39315</v>
      </c>
      <c r="K2440" t="b">
        <f>TrafficData[[#This Row],[disposedChallan]]+TrafficData[[#This Row],[pendingChallan]]=TrafficData[[#This Row],[totalChallan]]</f>
        <v>1</v>
      </c>
      <c r="L2440" t="b">
        <f>TrafficData[[#This Row],[pendingAmount]]+TrafficData[[#This Row],[disposedAmount]]=TrafficData[[#This Row],[totalAmount]]</f>
        <v>1</v>
      </c>
      <c r="M2440" t="b">
        <f>TrafficData[[#This Row],[pendingCourt]]+TrafficData[[#This Row],[disposedCourt]]=TrafficData[[#This Row],[totalCourt]]</f>
        <v>1</v>
      </c>
      <c r="N2440" t="b">
        <f>AND(TrafficData[[#This Row],[disposedChallan]]&lt;=TrafficData[[#This Row],[totalChallan]],TrafficData[[#This Row],[pendingChallan]]&lt;=TrafficData[[#This Row],[totalChallan]])</f>
        <v>1</v>
      </c>
      <c r="O2440" t="b">
        <f>AND(TrafficData[[#This Row],[pendingAmount]]&lt;=TrafficData[[#This Row],[totalAmount]],TrafficData[[#This Row],[disposedAmount]]&lt;=TrafficData[[#This Row],[totalAmount]])</f>
        <v>1</v>
      </c>
      <c r="P2440" t="b">
        <f>AND(TrafficData[[#This Row],[pendingCourt]]&lt;=TrafficData[[#This Row],[totalCourt]],TrafficData[[#This Row],[disposedCourt]]&lt;=TrafficData[[#This Row],[totalCourt]])</f>
        <v>1</v>
      </c>
    </row>
    <row r="2441" spans="1:16">
      <c r="A2441" s="1">
        <v>44445</v>
      </c>
      <c r="B2441">
        <v>126568</v>
      </c>
      <c r="C2441">
        <v>60637</v>
      </c>
      <c r="D2441">
        <v>65931</v>
      </c>
      <c r="E2441">
        <v>71132460</v>
      </c>
      <c r="F2441">
        <v>73502244</v>
      </c>
      <c r="G2441">
        <v>144634704</v>
      </c>
      <c r="H2441">
        <v>33030</v>
      </c>
      <c r="I2441">
        <v>11597</v>
      </c>
      <c r="J2441">
        <v>44627</v>
      </c>
      <c r="K2441" t="b">
        <f>TrafficData[[#This Row],[disposedChallan]]+TrafficData[[#This Row],[pendingChallan]]=TrafficData[[#This Row],[totalChallan]]</f>
        <v>1</v>
      </c>
      <c r="L2441" t="b">
        <f>TrafficData[[#This Row],[pendingAmount]]+TrafficData[[#This Row],[disposedAmount]]=TrafficData[[#This Row],[totalAmount]]</f>
        <v>1</v>
      </c>
      <c r="M2441" t="b">
        <f>TrafficData[[#This Row],[pendingCourt]]+TrafficData[[#This Row],[disposedCourt]]=TrafficData[[#This Row],[totalCourt]]</f>
        <v>1</v>
      </c>
      <c r="N2441" t="b">
        <f>AND(TrafficData[[#This Row],[disposedChallan]]&lt;=TrafficData[[#This Row],[totalChallan]],TrafficData[[#This Row],[pendingChallan]]&lt;=TrafficData[[#This Row],[totalChallan]])</f>
        <v>1</v>
      </c>
      <c r="O2441" t="b">
        <f>AND(TrafficData[[#This Row],[pendingAmount]]&lt;=TrafficData[[#This Row],[totalAmount]],TrafficData[[#This Row],[disposedAmount]]&lt;=TrafficData[[#This Row],[totalAmount]])</f>
        <v>1</v>
      </c>
      <c r="P2441" t="b">
        <f>AND(TrafficData[[#This Row],[pendingCourt]]&lt;=TrafficData[[#This Row],[totalCourt]],TrafficData[[#This Row],[disposedCourt]]&lt;=TrafficData[[#This Row],[totalCourt]])</f>
        <v>1</v>
      </c>
    </row>
    <row r="2442" spans="1:16">
      <c r="A2442" s="1">
        <v>44446</v>
      </c>
      <c r="B2442">
        <v>121200</v>
      </c>
      <c r="C2442">
        <v>58076</v>
      </c>
      <c r="D2442">
        <v>63124</v>
      </c>
      <c r="E2442">
        <v>68655546</v>
      </c>
      <c r="F2442">
        <v>71800128</v>
      </c>
      <c r="G2442">
        <v>140455674</v>
      </c>
      <c r="H2442">
        <v>29698</v>
      </c>
      <c r="I2442">
        <v>10546</v>
      </c>
      <c r="J2442">
        <v>40244</v>
      </c>
      <c r="K2442" t="b">
        <f>TrafficData[[#This Row],[disposedChallan]]+TrafficData[[#This Row],[pendingChallan]]=TrafficData[[#This Row],[totalChallan]]</f>
        <v>1</v>
      </c>
      <c r="L2442" t="b">
        <f>TrafficData[[#This Row],[pendingAmount]]+TrafficData[[#This Row],[disposedAmount]]=TrafficData[[#This Row],[totalAmount]]</f>
        <v>1</v>
      </c>
      <c r="M2442" t="b">
        <f>TrafficData[[#This Row],[pendingCourt]]+TrafficData[[#This Row],[disposedCourt]]=TrafficData[[#This Row],[totalCourt]]</f>
        <v>1</v>
      </c>
      <c r="N2442" t="b">
        <f>AND(TrafficData[[#This Row],[disposedChallan]]&lt;=TrafficData[[#This Row],[totalChallan]],TrafficData[[#This Row],[pendingChallan]]&lt;=TrafficData[[#This Row],[totalChallan]])</f>
        <v>1</v>
      </c>
      <c r="O2442" t="b">
        <f>AND(TrafficData[[#This Row],[pendingAmount]]&lt;=TrafficData[[#This Row],[totalAmount]],TrafficData[[#This Row],[disposedAmount]]&lt;=TrafficData[[#This Row],[totalAmount]])</f>
        <v>1</v>
      </c>
      <c r="P2442" t="b">
        <f>AND(TrafficData[[#This Row],[pendingCourt]]&lt;=TrafficData[[#This Row],[totalCourt]],TrafficData[[#This Row],[disposedCourt]]&lt;=TrafficData[[#This Row],[totalCourt]])</f>
        <v>1</v>
      </c>
    </row>
    <row r="2443" spans="1:16">
      <c r="A2443" s="1">
        <v>44447</v>
      </c>
      <c r="B2443">
        <v>125936</v>
      </c>
      <c r="C2443">
        <v>61503</v>
      </c>
      <c r="D2443">
        <v>64433</v>
      </c>
      <c r="E2443">
        <v>74103850</v>
      </c>
      <c r="F2443">
        <v>79480955</v>
      </c>
      <c r="G2443">
        <v>153584805</v>
      </c>
      <c r="H2443">
        <v>32723</v>
      </c>
      <c r="I2443">
        <v>11334</v>
      </c>
      <c r="J2443">
        <v>44057</v>
      </c>
      <c r="K2443" t="b">
        <f>TrafficData[[#This Row],[disposedChallan]]+TrafficData[[#This Row],[pendingChallan]]=TrafficData[[#This Row],[totalChallan]]</f>
        <v>1</v>
      </c>
      <c r="L2443" t="b">
        <f>TrafficData[[#This Row],[pendingAmount]]+TrafficData[[#This Row],[disposedAmount]]=TrafficData[[#This Row],[totalAmount]]</f>
        <v>1</v>
      </c>
      <c r="M2443" t="b">
        <f>TrafficData[[#This Row],[pendingCourt]]+TrafficData[[#This Row],[disposedCourt]]=TrafficData[[#This Row],[totalCourt]]</f>
        <v>1</v>
      </c>
      <c r="N2443" t="b">
        <f>AND(TrafficData[[#This Row],[disposedChallan]]&lt;=TrafficData[[#This Row],[totalChallan]],TrafficData[[#This Row],[pendingChallan]]&lt;=TrafficData[[#This Row],[totalChallan]])</f>
        <v>1</v>
      </c>
      <c r="O2443" t="b">
        <f>AND(TrafficData[[#This Row],[pendingAmount]]&lt;=TrafficData[[#This Row],[totalAmount]],TrafficData[[#This Row],[disposedAmount]]&lt;=TrafficData[[#This Row],[totalAmount]])</f>
        <v>1</v>
      </c>
      <c r="P2443" t="b">
        <f>AND(TrafficData[[#This Row],[pendingCourt]]&lt;=TrafficData[[#This Row],[totalCourt]],TrafficData[[#This Row],[disposedCourt]]&lt;=TrafficData[[#This Row],[totalCourt]])</f>
        <v>1</v>
      </c>
    </row>
    <row r="2444" spans="1:16">
      <c r="A2444" s="1">
        <v>44448</v>
      </c>
      <c r="B2444">
        <v>114436</v>
      </c>
      <c r="C2444">
        <v>56799</v>
      </c>
      <c r="D2444">
        <v>57637</v>
      </c>
      <c r="E2444">
        <v>70404426</v>
      </c>
      <c r="F2444">
        <v>75460336</v>
      </c>
      <c r="G2444">
        <v>145864762</v>
      </c>
      <c r="H2444">
        <v>30282</v>
      </c>
      <c r="I2444">
        <v>10056</v>
      </c>
      <c r="J2444">
        <v>40338</v>
      </c>
      <c r="K2444" t="b">
        <f>TrafficData[[#This Row],[disposedChallan]]+TrafficData[[#This Row],[pendingChallan]]=TrafficData[[#This Row],[totalChallan]]</f>
        <v>1</v>
      </c>
      <c r="L2444" t="b">
        <f>TrafficData[[#This Row],[pendingAmount]]+TrafficData[[#This Row],[disposedAmount]]=TrafficData[[#This Row],[totalAmount]]</f>
        <v>1</v>
      </c>
      <c r="M2444" t="b">
        <f>TrafficData[[#This Row],[pendingCourt]]+TrafficData[[#This Row],[disposedCourt]]=TrafficData[[#This Row],[totalCourt]]</f>
        <v>1</v>
      </c>
      <c r="N2444" t="b">
        <f>AND(TrafficData[[#This Row],[disposedChallan]]&lt;=TrafficData[[#This Row],[totalChallan]],TrafficData[[#This Row],[pendingChallan]]&lt;=TrafficData[[#This Row],[totalChallan]])</f>
        <v>1</v>
      </c>
      <c r="O2444" t="b">
        <f>AND(TrafficData[[#This Row],[pendingAmount]]&lt;=TrafficData[[#This Row],[totalAmount]],TrafficData[[#This Row],[disposedAmount]]&lt;=TrafficData[[#This Row],[totalAmount]])</f>
        <v>1</v>
      </c>
      <c r="P2444" t="b">
        <f>AND(TrafficData[[#This Row],[pendingCourt]]&lt;=TrafficData[[#This Row],[totalCourt]],TrafficData[[#This Row],[disposedCourt]]&lt;=TrafficData[[#This Row],[totalCourt]])</f>
        <v>1</v>
      </c>
    </row>
    <row r="2445" spans="1:16">
      <c r="A2445" s="1">
        <v>44449</v>
      </c>
      <c r="B2445">
        <v>100303</v>
      </c>
      <c r="C2445">
        <v>49900</v>
      </c>
      <c r="D2445">
        <v>50403</v>
      </c>
      <c r="E2445">
        <v>62800292</v>
      </c>
      <c r="F2445">
        <v>64859540</v>
      </c>
      <c r="G2445">
        <v>127659832</v>
      </c>
      <c r="H2445">
        <v>30948</v>
      </c>
      <c r="I2445">
        <v>10663</v>
      </c>
      <c r="J2445">
        <v>41611</v>
      </c>
      <c r="K2445" t="b">
        <f>TrafficData[[#This Row],[disposedChallan]]+TrafficData[[#This Row],[pendingChallan]]=TrafficData[[#This Row],[totalChallan]]</f>
        <v>1</v>
      </c>
      <c r="L2445" t="b">
        <f>TrafficData[[#This Row],[pendingAmount]]+TrafficData[[#This Row],[disposedAmount]]=TrafficData[[#This Row],[totalAmount]]</f>
        <v>1</v>
      </c>
      <c r="M2445" t="b">
        <f>TrafficData[[#This Row],[pendingCourt]]+TrafficData[[#This Row],[disposedCourt]]=TrafficData[[#This Row],[totalCourt]]</f>
        <v>1</v>
      </c>
      <c r="N2445" t="b">
        <f>AND(TrafficData[[#This Row],[disposedChallan]]&lt;=TrafficData[[#This Row],[totalChallan]],TrafficData[[#This Row],[pendingChallan]]&lt;=TrafficData[[#This Row],[totalChallan]])</f>
        <v>1</v>
      </c>
      <c r="O2445" t="b">
        <f>AND(TrafficData[[#This Row],[pendingAmount]]&lt;=TrafficData[[#This Row],[totalAmount]],TrafficData[[#This Row],[disposedAmount]]&lt;=TrafficData[[#This Row],[totalAmount]])</f>
        <v>1</v>
      </c>
      <c r="P2445" t="b">
        <f>AND(TrafficData[[#This Row],[pendingCourt]]&lt;=TrafficData[[#This Row],[totalCourt]],TrafficData[[#This Row],[disposedCourt]]&lt;=TrafficData[[#This Row],[totalCourt]])</f>
        <v>1</v>
      </c>
    </row>
    <row r="2446" spans="1:16">
      <c r="A2446" s="1">
        <v>44450</v>
      </c>
      <c r="B2446">
        <v>93124</v>
      </c>
      <c r="C2446">
        <v>47302</v>
      </c>
      <c r="D2446">
        <v>45822</v>
      </c>
      <c r="E2446">
        <v>41829604</v>
      </c>
      <c r="F2446">
        <v>55422011</v>
      </c>
      <c r="G2446">
        <v>97251615</v>
      </c>
      <c r="H2446">
        <v>21570</v>
      </c>
      <c r="I2446">
        <v>7102</v>
      </c>
      <c r="J2446">
        <v>28672</v>
      </c>
      <c r="K2446" t="b">
        <f>TrafficData[[#This Row],[disposedChallan]]+TrafficData[[#This Row],[pendingChallan]]=TrafficData[[#This Row],[totalChallan]]</f>
        <v>1</v>
      </c>
      <c r="L2446" t="b">
        <f>TrafficData[[#This Row],[pendingAmount]]+TrafficData[[#This Row],[disposedAmount]]=TrafficData[[#This Row],[totalAmount]]</f>
        <v>1</v>
      </c>
      <c r="M2446" t="b">
        <f>TrafficData[[#This Row],[pendingCourt]]+TrafficData[[#This Row],[disposedCourt]]=TrafficData[[#This Row],[totalCourt]]</f>
        <v>1</v>
      </c>
      <c r="N2446" t="b">
        <f>AND(TrafficData[[#This Row],[disposedChallan]]&lt;=TrafficData[[#This Row],[totalChallan]],TrafficData[[#This Row],[pendingChallan]]&lt;=TrafficData[[#This Row],[totalChallan]])</f>
        <v>1</v>
      </c>
      <c r="O2446" t="b">
        <f>AND(TrafficData[[#This Row],[pendingAmount]]&lt;=TrafficData[[#This Row],[totalAmount]],TrafficData[[#This Row],[disposedAmount]]&lt;=TrafficData[[#This Row],[totalAmount]])</f>
        <v>1</v>
      </c>
      <c r="P2446" t="b">
        <f>AND(TrafficData[[#This Row],[pendingCourt]]&lt;=TrafficData[[#This Row],[totalCourt]],TrafficData[[#This Row],[disposedCourt]]&lt;=TrafficData[[#This Row],[totalCourt]])</f>
        <v>1</v>
      </c>
    </row>
    <row r="2447" spans="1:16">
      <c r="A2447" s="1">
        <v>44451</v>
      </c>
      <c r="B2447">
        <v>85858</v>
      </c>
      <c r="C2447">
        <v>40493</v>
      </c>
      <c r="D2447">
        <v>45365</v>
      </c>
      <c r="E2447">
        <v>48459829</v>
      </c>
      <c r="F2447">
        <v>47039728</v>
      </c>
      <c r="G2447">
        <v>95499557</v>
      </c>
      <c r="H2447">
        <v>23205</v>
      </c>
      <c r="I2447">
        <v>7712</v>
      </c>
      <c r="J2447">
        <v>30917</v>
      </c>
      <c r="K2447" t="b">
        <f>TrafficData[[#This Row],[disposedChallan]]+TrafficData[[#This Row],[pendingChallan]]=TrafficData[[#This Row],[totalChallan]]</f>
        <v>1</v>
      </c>
      <c r="L2447" t="b">
        <f>TrafficData[[#This Row],[pendingAmount]]+TrafficData[[#This Row],[disposedAmount]]=TrafficData[[#This Row],[totalAmount]]</f>
        <v>1</v>
      </c>
      <c r="M2447" t="b">
        <f>TrafficData[[#This Row],[pendingCourt]]+TrafficData[[#This Row],[disposedCourt]]=TrafficData[[#This Row],[totalCourt]]</f>
        <v>1</v>
      </c>
      <c r="N2447" t="b">
        <f>AND(TrafficData[[#This Row],[disposedChallan]]&lt;=TrafficData[[#This Row],[totalChallan]],TrafficData[[#This Row],[pendingChallan]]&lt;=TrafficData[[#This Row],[totalChallan]])</f>
        <v>1</v>
      </c>
      <c r="O2447" t="b">
        <f>AND(TrafficData[[#This Row],[pendingAmount]]&lt;=TrafficData[[#This Row],[totalAmount]],TrafficData[[#This Row],[disposedAmount]]&lt;=TrafficData[[#This Row],[totalAmount]])</f>
        <v>1</v>
      </c>
      <c r="P2447" t="b">
        <f>AND(TrafficData[[#This Row],[pendingCourt]]&lt;=TrafficData[[#This Row],[totalCourt]],TrafficData[[#This Row],[disposedCourt]]&lt;=TrafficData[[#This Row],[totalCourt]])</f>
        <v>1</v>
      </c>
    </row>
    <row r="2448" spans="1:16">
      <c r="A2448" s="1">
        <v>44452</v>
      </c>
      <c r="B2448">
        <v>114015</v>
      </c>
      <c r="C2448">
        <v>54220</v>
      </c>
      <c r="D2448">
        <v>59795</v>
      </c>
      <c r="E2448">
        <v>60208941</v>
      </c>
      <c r="F2448">
        <v>62269573</v>
      </c>
      <c r="G2448">
        <v>122478514</v>
      </c>
      <c r="H2448">
        <v>29248</v>
      </c>
      <c r="I2448">
        <v>9486</v>
      </c>
      <c r="J2448">
        <v>38734</v>
      </c>
      <c r="K2448" t="b">
        <f>TrafficData[[#This Row],[disposedChallan]]+TrafficData[[#This Row],[pendingChallan]]=TrafficData[[#This Row],[totalChallan]]</f>
        <v>1</v>
      </c>
      <c r="L2448" t="b">
        <f>TrafficData[[#This Row],[pendingAmount]]+TrafficData[[#This Row],[disposedAmount]]=TrafficData[[#This Row],[totalAmount]]</f>
        <v>1</v>
      </c>
      <c r="M2448" t="b">
        <f>TrafficData[[#This Row],[pendingCourt]]+TrafficData[[#This Row],[disposedCourt]]=TrafficData[[#This Row],[totalCourt]]</f>
        <v>1</v>
      </c>
      <c r="N2448" t="b">
        <f>AND(TrafficData[[#This Row],[disposedChallan]]&lt;=TrafficData[[#This Row],[totalChallan]],TrafficData[[#This Row],[pendingChallan]]&lt;=TrafficData[[#This Row],[totalChallan]])</f>
        <v>1</v>
      </c>
      <c r="O2448" t="b">
        <f>AND(TrafficData[[#This Row],[pendingAmount]]&lt;=TrafficData[[#This Row],[totalAmount]],TrafficData[[#This Row],[disposedAmount]]&lt;=TrafficData[[#This Row],[totalAmount]])</f>
        <v>1</v>
      </c>
      <c r="P2448" t="b">
        <f>AND(TrafficData[[#This Row],[pendingCourt]]&lt;=TrafficData[[#This Row],[totalCourt]],TrafficData[[#This Row],[disposedCourt]]&lt;=TrafficData[[#This Row],[totalCourt]])</f>
        <v>1</v>
      </c>
    </row>
    <row r="2449" spans="1:16">
      <c r="A2449" s="1">
        <v>44453</v>
      </c>
      <c r="B2449">
        <v>114847</v>
      </c>
      <c r="C2449">
        <v>56021</v>
      </c>
      <c r="D2449">
        <v>58826</v>
      </c>
      <c r="E2449">
        <v>63135374</v>
      </c>
      <c r="F2449">
        <v>66054384</v>
      </c>
      <c r="G2449">
        <v>129189758</v>
      </c>
      <c r="H2449">
        <v>28969</v>
      </c>
      <c r="I2449">
        <v>9676</v>
      </c>
      <c r="J2449">
        <v>38645</v>
      </c>
      <c r="K2449" t="b">
        <f>TrafficData[[#This Row],[disposedChallan]]+TrafficData[[#This Row],[pendingChallan]]=TrafficData[[#This Row],[totalChallan]]</f>
        <v>1</v>
      </c>
      <c r="L2449" t="b">
        <f>TrafficData[[#This Row],[pendingAmount]]+TrafficData[[#This Row],[disposedAmount]]=TrafficData[[#This Row],[totalAmount]]</f>
        <v>1</v>
      </c>
      <c r="M2449" t="b">
        <f>TrafficData[[#This Row],[pendingCourt]]+TrafficData[[#This Row],[disposedCourt]]=TrafficData[[#This Row],[totalCourt]]</f>
        <v>1</v>
      </c>
      <c r="N2449" t="b">
        <f>AND(TrafficData[[#This Row],[disposedChallan]]&lt;=TrafficData[[#This Row],[totalChallan]],TrafficData[[#This Row],[pendingChallan]]&lt;=TrafficData[[#This Row],[totalChallan]])</f>
        <v>1</v>
      </c>
      <c r="O2449" t="b">
        <f>AND(TrafficData[[#This Row],[pendingAmount]]&lt;=TrafficData[[#This Row],[totalAmount]],TrafficData[[#This Row],[disposedAmount]]&lt;=TrafficData[[#This Row],[totalAmount]])</f>
        <v>1</v>
      </c>
      <c r="P2449" t="b">
        <f>AND(TrafficData[[#This Row],[pendingCourt]]&lt;=TrafficData[[#This Row],[totalCourt]],TrafficData[[#This Row],[disposedCourt]]&lt;=TrafficData[[#This Row],[totalCourt]])</f>
        <v>1</v>
      </c>
    </row>
    <row r="2450" spans="1:16">
      <c r="A2450" s="1">
        <v>44454</v>
      </c>
      <c r="B2450">
        <v>113898</v>
      </c>
      <c r="C2450">
        <v>56533</v>
      </c>
      <c r="D2450">
        <v>57365</v>
      </c>
      <c r="E2450">
        <v>63668161</v>
      </c>
      <c r="F2450">
        <v>73867797</v>
      </c>
      <c r="G2450">
        <v>137535958</v>
      </c>
      <c r="H2450">
        <v>28557</v>
      </c>
      <c r="I2450">
        <v>9329</v>
      </c>
      <c r="J2450">
        <v>37886</v>
      </c>
      <c r="K2450" t="b">
        <f>TrafficData[[#This Row],[disposedChallan]]+TrafficData[[#This Row],[pendingChallan]]=TrafficData[[#This Row],[totalChallan]]</f>
        <v>1</v>
      </c>
      <c r="L2450" t="b">
        <f>TrafficData[[#This Row],[pendingAmount]]+TrafficData[[#This Row],[disposedAmount]]=TrafficData[[#This Row],[totalAmount]]</f>
        <v>1</v>
      </c>
      <c r="M2450" t="b">
        <f>TrafficData[[#This Row],[pendingCourt]]+TrafficData[[#This Row],[disposedCourt]]=TrafficData[[#This Row],[totalCourt]]</f>
        <v>1</v>
      </c>
      <c r="N2450" t="b">
        <f>AND(TrafficData[[#This Row],[disposedChallan]]&lt;=TrafficData[[#This Row],[totalChallan]],TrafficData[[#This Row],[pendingChallan]]&lt;=TrafficData[[#This Row],[totalChallan]])</f>
        <v>1</v>
      </c>
      <c r="O2450" t="b">
        <f>AND(TrafficData[[#This Row],[pendingAmount]]&lt;=TrafficData[[#This Row],[totalAmount]],TrafficData[[#This Row],[disposedAmount]]&lt;=TrafficData[[#This Row],[totalAmount]])</f>
        <v>1</v>
      </c>
      <c r="P2450" t="b">
        <f>AND(TrafficData[[#This Row],[pendingCourt]]&lt;=TrafficData[[#This Row],[totalCourt]],TrafficData[[#This Row],[disposedCourt]]&lt;=TrafficData[[#This Row],[totalCourt]])</f>
        <v>1</v>
      </c>
    </row>
    <row r="2451" spans="1:16">
      <c r="A2451" s="1">
        <v>44455</v>
      </c>
      <c r="B2451">
        <v>98155</v>
      </c>
      <c r="C2451">
        <v>49579</v>
      </c>
      <c r="D2451">
        <v>48576</v>
      </c>
      <c r="E2451">
        <v>54187147</v>
      </c>
      <c r="F2451">
        <v>64047741</v>
      </c>
      <c r="G2451">
        <v>118234888</v>
      </c>
      <c r="H2451">
        <v>22820</v>
      </c>
      <c r="I2451">
        <v>7499</v>
      </c>
      <c r="J2451">
        <v>30319</v>
      </c>
      <c r="K2451" t="b">
        <f>TrafficData[[#This Row],[disposedChallan]]+TrafficData[[#This Row],[pendingChallan]]=TrafficData[[#This Row],[totalChallan]]</f>
        <v>1</v>
      </c>
      <c r="L2451" t="b">
        <f>TrafficData[[#This Row],[pendingAmount]]+TrafficData[[#This Row],[disposedAmount]]=TrafficData[[#This Row],[totalAmount]]</f>
        <v>1</v>
      </c>
      <c r="M2451" t="b">
        <f>TrafficData[[#This Row],[pendingCourt]]+TrafficData[[#This Row],[disposedCourt]]=TrafficData[[#This Row],[totalCourt]]</f>
        <v>1</v>
      </c>
      <c r="N2451" t="b">
        <f>AND(TrafficData[[#This Row],[disposedChallan]]&lt;=TrafficData[[#This Row],[totalChallan]],TrafficData[[#This Row],[pendingChallan]]&lt;=TrafficData[[#This Row],[totalChallan]])</f>
        <v>1</v>
      </c>
      <c r="O2451" t="b">
        <f>AND(TrafficData[[#This Row],[pendingAmount]]&lt;=TrafficData[[#This Row],[totalAmount]],TrafficData[[#This Row],[disposedAmount]]&lt;=TrafficData[[#This Row],[totalAmount]])</f>
        <v>1</v>
      </c>
      <c r="P2451" t="b">
        <f>AND(TrafficData[[#This Row],[pendingCourt]]&lt;=TrafficData[[#This Row],[totalCourt]],TrafficData[[#This Row],[disposedCourt]]&lt;=TrafficData[[#This Row],[totalCourt]])</f>
        <v>1</v>
      </c>
    </row>
    <row r="2452" spans="1:16">
      <c r="A2452" s="1">
        <v>44456</v>
      </c>
      <c r="B2452">
        <v>113806</v>
      </c>
      <c r="C2452">
        <v>56231</v>
      </c>
      <c r="D2452">
        <v>57575</v>
      </c>
      <c r="E2452">
        <v>62036881</v>
      </c>
      <c r="F2452">
        <v>61893993</v>
      </c>
      <c r="G2452">
        <v>123930874</v>
      </c>
      <c r="H2452">
        <v>28944</v>
      </c>
      <c r="I2452">
        <v>10021</v>
      </c>
      <c r="J2452">
        <v>38965</v>
      </c>
      <c r="K2452" t="b">
        <f>TrafficData[[#This Row],[disposedChallan]]+TrafficData[[#This Row],[pendingChallan]]=TrafficData[[#This Row],[totalChallan]]</f>
        <v>1</v>
      </c>
      <c r="L2452" t="b">
        <f>TrafficData[[#This Row],[pendingAmount]]+TrafficData[[#This Row],[disposedAmount]]=TrafficData[[#This Row],[totalAmount]]</f>
        <v>1</v>
      </c>
      <c r="M2452" t="b">
        <f>TrafficData[[#This Row],[pendingCourt]]+TrafficData[[#This Row],[disposedCourt]]=TrafficData[[#This Row],[totalCourt]]</f>
        <v>1</v>
      </c>
      <c r="N2452" t="b">
        <f>AND(TrafficData[[#This Row],[disposedChallan]]&lt;=TrafficData[[#This Row],[totalChallan]],TrafficData[[#This Row],[pendingChallan]]&lt;=TrafficData[[#This Row],[totalChallan]])</f>
        <v>1</v>
      </c>
      <c r="O2452" t="b">
        <f>AND(TrafficData[[#This Row],[pendingAmount]]&lt;=TrafficData[[#This Row],[totalAmount]],TrafficData[[#This Row],[disposedAmount]]&lt;=TrafficData[[#This Row],[totalAmount]])</f>
        <v>1</v>
      </c>
      <c r="P2452" t="b">
        <f>AND(TrafficData[[#This Row],[pendingCourt]]&lt;=TrafficData[[#This Row],[totalCourt]],TrafficData[[#This Row],[disposedCourt]]&lt;=TrafficData[[#This Row],[totalCourt]])</f>
        <v>1</v>
      </c>
    </row>
    <row r="2453" spans="1:16">
      <c r="A2453" s="1">
        <v>44457</v>
      </c>
      <c r="B2453">
        <v>127370</v>
      </c>
      <c r="C2453">
        <v>62762</v>
      </c>
      <c r="D2453">
        <v>64608</v>
      </c>
      <c r="E2453">
        <v>71940406</v>
      </c>
      <c r="F2453">
        <v>72639498</v>
      </c>
      <c r="G2453">
        <v>144579904</v>
      </c>
      <c r="H2453">
        <v>31098</v>
      </c>
      <c r="I2453">
        <v>10846</v>
      </c>
      <c r="J2453">
        <v>41944</v>
      </c>
      <c r="K2453" t="b">
        <f>TrafficData[[#This Row],[disposedChallan]]+TrafficData[[#This Row],[pendingChallan]]=TrafficData[[#This Row],[totalChallan]]</f>
        <v>1</v>
      </c>
      <c r="L2453" t="b">
        <f>TrafficData[[#This Row],[pendingAmount]]+TrafficData[[#This Row],[disposedAmount]]=TrafficData[[#This Row],[totalAmount]]</f>
        <v>1</v>
      </c>
      <c r="M2453" t="b">
        <f>TrafficData[[#This Row],[pendingCourt]]+TrafficData[[#This Row],[disposedCourt]]=TrafficData[[#This Row],[totalCourt]]</f>
        <v>1</v>
      </c>
      <c r="N2453" t="b">
        <f>AND(TrafficData[[#This Row],[disposedChallan]]&lt;=TrafficData[[#This Row],[totalChallan]],TrafficData[[#This Row],[pendingChallan]]&lt;=TrafficData[[#This Row],[totalChallan]])</f>
        <v>1</v>
      </c>
      <c r="O2453" t="b">
        <f>AND(TrafficData[[#This Row],[pendingAmount]]&lt;=TrafficData[[#This Row],[totalAmount]],TrafficData[[#This Row],[disposedAmount]]&lt;=TrafficData[[#This Row],[totalAmount]])</f>
        <v>1</v>
      </c>
      <c r="P2453" t="b">
        <f>AND(TrafficData[[#This Row],[pendingCourt]]&lt;=TrafficData[[#This Row],[totalCourt]],TrafficData[[#This Row],[disposedCourt]]&lt;=TrafficData[[#This Row],[totalCourt]])</f>
        <v>1</v>
      </c>
    </row>
    <row r="2454" spans="1:16">
      <c r="A2454" s="1">
        <v>44458</v>
      </c>
      <c r="B2454">
        <v>110671</v>
      </c>
      <c r="C2454">
        <v>50955</v>
      </c>
      <c r="D2454">
        <v>59716</v>
      </c>
      <c r="E2454">
        <v>60805456</v>
      </c>
      <c r="F2454">
        <v>54867449</v>
      </c>
      <c r="G2454">
        <v>115672905</v>
      </c>
      <c r="H2454">
        <v>27042</v>
      </c>
      <c r="I2454">
        <v>9316</v>
      </c>
      <c r="J2454">
        <v>36358</v>
      </c>
      <c r="K2454" t="b">
        <f>TrafficData[[#This Row],[disposedChallan]]+TrafficData[[#This Row],[pendingChallan]]=TrafficData[[#This Row],[totalChallan]]</f>
        <v>1</v>
      </c>
      <c r="L2454" t="b">
        <f>TrafficData[[#This Row],[pendingAmount]]+TrafficData[[#This Row],[disposedAmount]]=TrafficData[[#This Row],[totalAmount]]</f>
        <v>1</v>
      </c>
      <c r="M2454" t="b">
        <f>TrafficData[[#This Row],[pendingCourt]]+TrafficData[[#This Row],[disposedCourt]]=TrafficData[[#This Row],[totalCourt]]</f>
        <v>1</v>
      </c>
      <c r="N2454" t="b">
        <f>AND(TrafficData[[#This Row],[disposedChallan]]&lt;=TrafficData[[#This Row],[totalChallan]],TrafficData[[#This Row],[pendingChallan]]&lt;=TrafficData[[#This Row],[totalChallan]])</f>
        <v>1</v>
      </c>
      <c r="O2454" t="b">
        <f>AND(TrafficData[[#This Row],[pendingAmount]]&lt;=TrafficData[[#This Row],[totalAmount]],TrafficData[[#This Row],[disposedAmount]]&lt;=TrafficData[[#This Row],[totalAmount]])</f>
        <v>1</v>
      </c>
      <c r="P2454" t="b">
        <f>AND(TrafficData[[#This Row],[pendingCourt]]&lt;=TrafficData[[#This Row],[totalCourt]],TrafficData[[#This Row],[disposedCourt]]&lt;=TrafficData[[#This Row],[totalCourt]])</f>
        <v>1</v>
      </c>
    </row>
    <row r="2455" spans="1:16">
      <c r="A2455" s="1">
        <v>44459</v>
      </c>
      <c r="B2455">
        <v>124001</v>
      </c>
      <c r="C2455">
        <v>58950</v>
      </c>
      <c r="D2455">
        <v>65051</v>
      </c>
      <c r="E2455">
        <v>76963296</v>
      </c>
      <c r="F2455">
        <v>70652526</v>
      </c>
      <c r="G2455">
        <v>147615822</v>
      </c>
      <c r="H2455">
        <v>31899</v>
      </c>
      <c r="I2455">
        <v>9877</v>
      </c>
      <c r="J2455">
        <v>41776</v>
      </c>
      <c r="K2455" t="b">
        <f>TrafficData[[#This Row],[disposedChallan]]+TrafficData[[#This Row],[pendingChallan]]=TrafficData[[#This Row],[totalChallan]]</f>
        <v>1</v>
      </c>
      <c r="L2455" t="b">
        <f>TrafficData[[#This Row],[pendingAmount]]+TrafficData[[#This Row],[disposedAmount]]=TrafficData[[#This Row],[totalAmount]]</f>
        <v>1</v>
      </c>
      <c r="M2455" t="b">
        <f>TrafficData[[#This Row],[pendingCourt]]+TrafficData[[#This Row],[disposedCourt]]=TrafficData[[#This Row],[totalCourt]]</f>
        <v>1</v>
      </c>
      <c r="N2455" t="b">
        <f>AND(TrafficData[[#This Row],[disposedChallan]]&lt;=TrafficData[[#This Row],[totalChallan]],TrafficData[[#This Row],[pendingChallan]]&lt;=TrafficData[[#This Row],[totalChallan]])</f>
        <v>1</v>
      </c>
      <c r="O2455" t="b">
        <f>AND(TrafficData[[#This Row],[pendingAmount]]&lt;=TrafficData[[#This Row],[totalAmount]],TrafficData[[#This Row],[disposedAmount]]&lt;=TrafficData[[#This Row],[totalAmount]])</f>
        <v>1</v>
      </c>
      <c r="P2455" t="b">
        <f>AND(TrafficData[[#This Row],[pendingCourt]]&lt;=TrafficData[[#This Row],[totalCourt]],TrafficData[[#This Row],[disposedCourt]]&lt;=TrafficData[[#This Row],[totalCourt]])</f>
        <v>1</v>
      </c>
    </row>
    <row r="2456" spans="1:16">
      <c r="A2456" s="1">
        <v>44460</v>
      </c>
      <c r="B2456">
        <v>120851</v>
      </c>
      <c r="C2456">
        <v>58997</v>
      </c>
      <c r="D2456">
        <v>61854</v>
      </c>
      <c r="E2456">
        <v>69411559</v>
      </c>
      <c r="F2456">
        <v>72793949</v>
      </c>
      <c r="G2456">
        <v>142205508</v>
      </c>
      <c r="H2456">
        <v>28022</v>
      </c>
      <c r="I2456">
        <v>8776</v>
      </c>
      <c r="J2456">
        <v>36798</v>
      </c>
      <c r="K2456" t="b">
        <f>TrafficData[[#This Row],[disposedChallan]]+TrafficData[[#This Row],[pendingChallan]]=TrafficData[[#This Row],[totalChallan]]</f>
        <v>1</v>
      </c>
      <c r="L2456" t="b">
        <f>TrafficData[[#This Row],[pendingAmount]]+TrafficData[[#This Row],[disposedAmount]]=TrafficData[[#This Row],[totalAmount]]</f>
        <v>1</v>
      </c>
      <c r="M2456" t="b">
        <f>TrafficData[[#This Row],[pendingCourt]]+TrafficData[[#This Row],[disposedCourt]]=TrafficData[[#This Row],[totalCourt]]</f>
        <v>1</v>
      </c>
      <c r="N2456" t="b">
        <f>AND(TrafficData[[#This Row],[disposedChallan]]&lt;=TrafficData[[#This Row],[totalChallan]],TrafficData[[#This Row],[pendingChallan]]&lt;=TrafficData[[#This Row],[totalChallan]])</f>
        <v>1</v>
      </c>
      <c r="O2456" t="b">
        <f>AND(TrafficData[[#This Row],[pendingAmount]]&lt;=TrafficData[[#This Row],[totalAmount]],TrafficData[[#This Row],[disposedAmount]]&lt;=TrafficData[[#This Row],[totalAmount]])</f>
        <v>1</v>
      </c>
      <c r="P2456" t="b">
        <f>AND(TrafficData[[#This Row],[pendingCourt]]&lt;=TrafficData[[#This Row],[totalCourt]],TrafficData[[#This Row],[disposedCourt]]&lt;=TrafficData[[#This Row],[totalCourt]])</f>
        <v>1</v>
      </c>
    </row>
    <row r="2457" spans="1:16">
      <c r="A2457" s="1">
        <v>44461</v>
      </c>
      <c r="B2457">
        <v>120948</v>
      </c>
      <c r="C2457">
        <v>59074</v>
      </c>
      <c r="D2457">
        <v>61874</v>
      </c>
      <c r="E2457">
        <v>70096352</v>
      </c>
      <c r="F2457">
        <v>76026546</v>
      </c>
      <c r="G2457">
        <v>146122898</v>
      </c>
      <c r="H2457">
        <v>28408</v>
      </c>
      <c r="I2457">
        <v>9476</v>
      </c>
      <c r="J2457">
        <v>37884</v>
      </c>
      <c r="K2457" t="b">
        <f>TrafficData[[#This Row],[disposedChallan]]+TrafficData[[#This Row],[pendingChallan]]=TrafficData[[#This Row],[totalChallan]]</f>
        <v>1</v>
      </c>
      <c r="L2457" t="b">
        <f>TrafficData[[#This Row],[pendingAmount]]+TrafficData[[#This Row],[disposedAmount]]=TrafficData[[#This Row],[totalAmount]]</f>
        <v>1</v>
      </c>
      <c r="M2457" t="b">
        <f>TrafficData[[#This Row],[pendingCourt]]+TrafficData[[#This Row],[disposedCourt]]=TrafficData[[#This Row],[totalCourt]]</f>
        <v>1</v>
      </c>
      <c r="N2457" t="b">
        <f>AND(TrafficData[[#This Row],[disposedChallan]]&lt;=TrafficData[[#This Row],[totalChallan]],TrafficData[[#This Row],[pendingChallan]]&lt;=TrafficData[[#This Row],[totalChallan]])</f>
        <v>1</v>
      </c>
      <c r="O2457" t="b">
        <f>AND(TrafficData[[#This Row],[pendingAmount]]&lt;=TrafficData[[#This Row],[totalAmount]],TrafficData[[#This Row],[disposedAmount]]&lt;=TrafficData[[#This Row],[totalAmount]])</f>
        <v>1</v>
      </c>
      <c r="P2457" t="b">
        <f>AND(TrafficData[[#This Row],[pendingCourt]]&lt;=TrafficData[[#This Row],[totalCourt]],TrafficData[[#This Row],[disposedCourt]]&lt;=TrafficData[[#This Row],[totalCourt]])</f>
        <v>1</v>
      </c>
    </row>
    <row r="2458" spans="1:16">
      <c r="A2458" s="1">
        <v>44462</v>
      </c>
      <c r="B2458">
        <v>131173</v>
      </c>
      <c r="C2458">
        <v>62458</v>
      </c>
      <c r="D2458">
        <v>68715</v>
      </c>
      <c r="E2458">
        <v>73976259</v>
      </c>
      <c r="F2458">
        <v>74432303</v>
      </c>
      <c r="G2458">
        <v>148408562</v>
      </c>
      <c r="H2458">
        <v>31662</v>
      </c>
      <c r="I2458">
        <v>10035</v>
      </c>
      <c r="J2458">
        <v>41697</v>
      </c>
      <c r="K2458" t="b">
        <f>TrafficData[[#This Row],[disposedChallan]]+TrafficData[[#This Row],[pendingChallan]]=TrafficData[[#This Row],[totalChallan]]</f>
        <v>1</v>
      </c>
      <c r="L2458" t="b">
        <f>TrafficData[[#This Row],[pendingAmount]]+TrafficData[[#This Row],[disposedAmount]]=TrafficData[[#This Row],[totalAmount]]</f>
        <v>1</v>
      </c>
      <c r="M2458" t="b">
        <f>TrafficData[[#This Row],[pendingCourt]]+TrafficData[[#This Row],[disposedCourt]]=TrafficData[[#This Row],[totalCourt]]</f>
        <v>1</v>
      </c>
      <c r="N2458" t="b">
        <f>AND(TrafficData[[#This Row],[disposedChallan]]&lt;=TrafficData[[#This Row],[totalChallan]],TrafficData[[#This Row],[pendingChallan]]&lt;=TrafficData[[#This Row],[totalChallan]])</f>
        <v>1</v>
      </c>
      <c r="O2458" t="b">
        <f>AND(TrafficData[[#This Row],[pendingAmount]]&lt;=TrafficData[[#This Row],[totalAmount]],TrafficData[[#This Row],[disposedAmount]]&lt;=TrafficData[[#This Row],[totalAmount]])</f>
        <v>1</v>
      </c>
      <c r="P2458" t="b">
        <f>AND(TrafficData[[#This Row],[pendingCourt]]&lt;=TrafficData[[#This Row],[totalCourt]],TrafficData[[#This Row],[disposedCourt]]&lt;=TrafficData[[#This Row],[totalCourt]])</f>
        <v>1</v>
      </c>
    </row>
    <row r="2459" spans="1:16">
      <c r="A2459" s="1">
        <v>44463</v>
      </c>
      <c r="B2459">
        <v>128794</v>
      </c>
      <c r="C2459">
        <v>63402</v>
      </c>
      <c r="D2459">
        <v>65392</v>
      </c>
      <c r="E2459">
        <v>68170920</v>
      </c>
      <c r="F2459">
        <v>68061694</v>
      </c>
      <c r="G2459">
        <v>136232614</v>
      </c>
      <c r="H2459">
        <v>29564</v>
      </c>
      <c r="I2459">
        <v>10073</v>
      </c>
      <c r="J2459">
        <v>39637</v>
      </c>
      <c r="K2459" t="b">
        <f>TrafficData[[#This Row],[disposedChallan]]+TrafficData[[#This Row],[pendingChallan]]=TrafficData[[#This Row],[totalChallan]]</f>
        <v>1</v>
      </c>
      <c r="L2459" t="b">
        <f>TrafficData[[#This Row],[pendingAmount]]+TrafficData[[#This Row],[disposedAmount]]=TrafficData[[#This Row],[totalAmount]]</f>
        <v>1</v>
      </c>
      <c r="M2459" t="b">
        <f>TrafficData[[#This Row],[pendingCourt]]+TrafficData[[#This Row],[disposedCourt]]=TrafficData[[#This Row],[totalCourt]]</f>
        <v>1</v>
      </c>
      <c r="N2459" t="b">
        <f>AND(TrafficData[[#This Row],[disposedChallan]]&lt;=TrafficData[[#This Row],[totalChallan]],TrafficData[[#This Row],[pendingChallan]]&lt;=TrafficData[[#This Row],[totalChallan]])</f>
        <v>1</v>
      </c>
      <c r="O2459" t="b">
        <f>AND(TrafficData[[#This Row],[pendingAmount]]&lt;=TrafficData[[#This Row],[totalAmount]],TrafficData[[#This Row],[disposedAmount]]&lt;=TrafficData[[#This Row],[totalAmount]])</f>
        <v>1</v>
      </c>
      <c r="P2459" t="b">
        <f>AND(TrafficData[[#This Row],[pendingCourt]]&lt;=TrafficData[[#This Row],[totalCourt]],TrafficData[[#This Row],[disposedCourt]]&lt;=TrafficData[[#This Row],[totalCourt]])</f>
        <v>1</v>
      </c>
    </row>
    <row r="2460" spans="1:16">
      <c r="A2460" s="1">
        <v>44464</v>
      </c>
      <c r="B2460">
        <v>132823</v>
      </c>
      <c r="C2460">
        <v>64047</v>
      </c>
      <c r="D2460">
        <v>68776</v>
      </c>
      <c r="E2460">
        <v>74554314</v>
      </c>
      <c r="F2460">
        <v>69684411</v>
      </c>
      <c r="G2460">
        <v>144238725</v>
      </c>
      <c r="H2460">
        <v>30916</v>
      </c>
      <c r="I2460">
        <v>11169</v>
      </c>
      <c r="J2460">
        <v>42085</v>
      </c>
      <c r="K2460" t="b">
        <f>TrafficData[[#This Row],[disposedChallan]]+TrafficData[[#This Row],[pendingChallan]]=TrafficData[[#This Row],[totalChallan]]</f>
        <v>1</v>
      </c>
      <c r="L2460" t="b">
        <f>TrafficData[[#This Row],[pendingAmount]]+TrafficData[[#This Row],[disposedAmount]]=TrafficData[[#This Row],[totalAmount]]</f>
        <v>1</v>
      </c>
      <c r="M2460" t="b">
        <f>TrafficData[[#This Row],[pendingCourt]]+TrafficData[[#This Row],[disposedCourt]]=TrafficData[[#This Row],[totalCourt]]</f>
        <v>1</v>
      </c>
      <c r="N2460" t="b">
        <f>AND(TrafficData[[#This Row],[disposedChallan]]&lt;=TrafficData[[#This Row],[totalChallan]],TrafficData[[#This Row],[pendingChallan]]&lt;=TrafficData[[#This Row],[totalChallan]])</f>
        <v>1</v>
      </c>
      <c r="O2460" t="b">
        <f>AND(TrafficData[[#This Row],[pendingAmount]]&lt;=TrafficData[[#This Row],[totalAmount]],TrafficData[[#This Row],[disposedAmount]]&lt;=TrafficData[[#This Row],[totalAmount]])</f>
        <v>1</v>
      </c>
      <c r="P2460" t="b">
        <f>AND(TrafficData[[#This Row],[pendingCourt]]&lt;=TrafficData[[#This Row],[totalCourt]],TrafficData[[#This Row],[disposedCourt]]&lt;=TrafficData[[#This Row],[totalCourt]])</f>
        <v>1</v>
      </c>
    </row>
    <row r="2461" spans="1:16">
      <c r="A2461" s="1">
        <v>44465</v>
      </c>
      <c r="B2461">
        <v>120965</v>
      </c>
      <c r="C2461">
        <v>52987</v>
      </c>
      <c r="D2461">
        <v>67978</v>
      </c>
      <c r="E2461">
        <v>68826744</v>
      </c>
      <c r="F2461">
        <v>57405228</v>
      </c>
      <c r="G2461">
        <v>126231972</v>
      </c>
      <c r="H2461">
        <v>30970</v>
      </c>
      <c r="I2461">
        <v>10773</v>
      </c>
      <c r="J2461">
        <v>41743</v>
      </c>
      <c r="K2461" t="b">
        <f>TrafficData[[#This Row],[disposedChallan]]+TrafficData[[#This Row],[pendingChallan]]=TrafficData[[#This Row],[totalChallan]]</f>
        <v>1</v>
      </c>
      <c r="L2461" t="b">
        <f>TrafficData[[#This Row],[pendingAmount]]+TrafficData[[#This Row],[disposedAmount]]=TrafficData[[#This Row],[totalAmount]]</f>
        <v>1</v>
      </c>
      <c r="M2461" t="b">
        <f>TrafficData[[#This Row],[pendingCourt]]+TrafficData[[#This Row],[disposedCourt]]=TrafficData[[#This Row],[totalCourt]]</f>
        <v>1</v>
      </c>
      <c r="N2461" t="b">
        <f>AND(TrafficData[[#This Row],[disposedChallan]]&lt;=TrafficData[[#This Row],[totalChallan]],TrafficData[[#This Row],[pendingChallan]]&lt;=TrafficData[[#This Row],[totalChallan]])</f>
        <v>1</v>
      </c>
      <c r="O2461" t="b">
        <f>AND(TrafficData[[#This Row],[pendingAmount]]&lt;=TrafficData[[#This Row],[totalAmount]],TrafficData[[#This Row],[disposedAmount]]&lt;=TrafficData[[#This Row],[totalAmount]])</f>
        <v>1</v>
      </c>
      <c r="P2461" t="b">
        <f>AND(TrafficData[[#This Row],[pendingCourt]]&lt;=TrafficData[[#This Row],[totalCourt]],TrafficData[[#This Row],[disposedCourt]]&lt;=TrafficData[[#This Row],[totalCourt]])</f>
        <v>1</v>
      </c>
    </row>
    <row r="2462" spans="1:16">
      <c r="A2462" s="1">
        <v>44466</v>
      </c>
      <c r="B2462">
        <v>115276</v>
      </c>
      <c r="C2462">
        <v>50614</v>
      </c>
      <c r="D2462">
        <v>64662</v>
      </c>
      <c r="E2462">
        <v>70403495</v>
      </c>
      <c r="F2462">
        <v>1010541332</v>
      </c>
      <c r="G2462">
        <v>1080944827</v>
      </c>
      <c r="H2462">
        <v>31031</v>
      </c>
      <c r="I2462">
        <v>10341</v>
      </c>
      <c r="J2462">
        <v>41372</v>
      </c>
      <c r="K2462" t="b">
        <f>TrafficData[[#This Row],[disposedChallan]]+TrafficData[[#This Row],[pendingChallan]]=TrafficData[[#This Row],[totalChallan]]</f>
        <v>1</v>
      </c>
      <c r="L2462" t="b">
        <f>TrafficData[[#This Row],[pendingAmount]]+TrafficData[[#This Row],[disposedAmount]]=TrafficData[[#This Row],[totalAmount]]</f>
        <v>1</v>
      </c>
      <c r="M2462" t="b">
        <f>TrafficData[[#This Row],[pendingCourt]]+TrafficData[[#This Row],[disposedCourt]]=TrafficData[[#This Row],[totalCourt]]</f>
        <v>1</v>
      </c>
      <c r="N2462" t="b">
        <f>AND(TrafficData[[#This Row],[disposedChallan]]&lt;=TrafficData[[#This Row],[totalChallan]],TrafficData[[#This Row],[pendingChallan]]&lt;=TrafficData[[#This Row],[totalChallan]])</f>
        <v>1</v>
      </c>
      <c r="O2462" t="b">
        <f>AND(TrafficData[[#This Row],[pendingAmount]]&lt;=TrafficData[[#This Row],[totalAmount]],TrafficData[[#This Row],[disposedAmount]]&lt;=TrafficData[[#This Row],[totalAmount]])</f>
        <v>1</v>
      </c>
      <c r="P2462" t="b">
        <f>AND(TrafficData[[#This Row],[pendingCourt]]&lt;=TrafficData[[#This Row],[totalCourt]],TrafficData[[#This Row],[disposedCourt]]&lt;=TrafficData[[#This Row],[totalCourt]])</f>
        <v>1</v>
      </c>
    </row>
    <row r="2463" spans="1:16">
      <c r="A2463" s="1">
        <v>44467</v>
      </c>
      <c r="B2463">
        <v>131177</v>
      </c>
      <c r="C2463">
        <v>62130</v>
      </c>
      <c r="D2463">
        <v>69047</v>
      </c>
      <c r="E2463">
        <v>73334097</v>
      </c>
      <c r="F2463">
        <v>67543528</v>
      </c>
      <c r="G2463">
        <v>140877625</v>
      </c>
      <c r="H2463">
        <v>30695</v>
      </c>
      <c r="I2463">
        <v>10576</v>
      </c>
      <c r="J2463">
        <v>41271</v>
      </c>
      <c r="K2463" t="b">
        <f>TrafficData[[#This Row],[disposedChallan]]+TrafficData[[#This Row],[pendingChallan]]=TrafficData[[#This Row],[totalChallan]]</f>
        <v>1</v>
      </c>
      <c r="L2463" t="b">
        <f>TrafficData[[#This Row],[pendingAmount]]+TrafficData[[#This Row],[disposedAmount]]=TrafficData[[#This Row],[totalAmount]]</f>
        <v>1</v>
      </c>
      <c r="M2463" t="b">
        <f>TrafficData[[#This Row],[pendingCourt]]+TrafficData[[#This Row],[disposedCourt]]=TrafficData[[#This Row],[totalCourt]]</f>
        <v>1</v>
      </c>
      <c r="N2463" t="b">
        <f>AND(TrafficData[[#This Row],[disposedChallan]]&lt;=TrafficData[[#This Row],[totalChallan]],TrafficData[[#This Row],[pendingChallan]]&lt;=TrafficData[[#This Row],[totalChallan]])</f>
        <v>1</v>
      </c>
      <c r="O2463" t="b">
        <f>AND(TrafficData[[#This Row],[pendingAmount]]&lt;=TrafficData[[#This Row],[totalAmount]],TrafficData[[#This Row],[disposedAmount]]&lt;=TrafficData[[#This Row],[totalAmount]])</f>
        <v>1</v>
      </c>
      <c r="P2463" t="b">
        <f>AND(TrafficData[[#This Row],[pendingCourt]]&lt;=TrafficData[[#This Row],[totalCourt]],TrafficData[[#This Row],[disposedCourt]]&lt;=TrafficData[[#This Row],[totalCourt]])</f>
        <v>1</v>
      </c>
    </row>
    <row r="2464" spans="1:16">
      <c r="A2464" s="1">
        <v>44468</v>
      </c>
      <c r="B2464">
        <v>132316</v>
      </c>
      <c r="C2464">
        <v>63833</v>
      </c>
      <c r="D2464">
        <v>68483</v>
      </c>
      <c r="E2464">
        <v>74791241</v>
      </c>
      <c r="F2464">
        <v>66637700</v>
      </c>
      <c r="G2464">
        <v>141428941</v>
      </c>
      <c r="H2464">
        <v>31765</v>
      </c>
      <c r="I2464">
        <v>10870</v>
      </c>
      <c r="J2464">
        <v>42635</v>
      </c>
      <c r="K2464" t="b">
        <f>TrafficData[[#This Row],[disposedChallan]]+TrafficData[[#This Row],[pendingChallan]]=TrafficData[[#This Row],[totalChallan]]</f>
        <v>1</v>
      </c>
      <c r="L2464" t="b">
        <f>TrafficData[[#This Row],[pendingAmount]]+TrafficData[[#This Row],[disposedAmount]]=TrafficData[[#This Row],[totalAmount]]</f>
        <v>1</v>
      </c>
      <c r="M2464" t="b">
        <f>TrafficData[[#This Row],[pendingCourt]]+TrafficData[[#This Row],[disposedCourt]]=TrafficData[[#This Row],[totalCourt]]</f>
        <v>1</v>
      </c>
      <c r="N2464" t="b">
        <f>AND(TrafficData[[#This Row],[disposedChallan]]&lt;=TrafficData[[#This Row],[totalChallan]],TrafficData[[#This Row],[pendingChallan]]&lt;=TrafficData[[#This Row],[totalChallan]])</f>
        <v>1</v>
      </c>
      <c r="O2464" t="b">
        <f>AND(TrafficData[[#This Row],[pendingAmount]]&lt;=TrafficData[[#This Row],[totalAmount]],TrafficData[[#This Row],[disposedAmount]]&lt;=TrafficData[[#This Row],[totalAmount]])</f>
        <v>1</v>
      </c>
      <c r="P2464" t="b">
        <f>AND(TrafficData[[#This Row],[pendingCourt]]&lt;=TrafficData[[#This Row],[totalCourt]],TrafficData[[#This Row],[disposedCourt]]&lt;=TrafficData[[#This Row],[totalCourt]])</f>
        <v>1</v>
      </c>
    </row>
    <row r="2465" spans="1:16">
      <c r="A2465" s="1">
        <v>44469</v>
      </c>
      <c r="B2465">
        <v>128369</v>
      </c>
      <c r="C2465">
        <v>61471</v>
      </c>
      <c r="D2465">
        <v>66898</v>
      </c>
      <c r="E2465">
        <v>75450323</v>
      </c>
      <c r="F2465">
        <v>67931396</v>
      </c>
      <c r="G2465">
        <v>143381719</v>
      </c>
      <c r="H2465">
        <v>30965</v>
      </c>
      <c r="I2465">
        <v>10907</v>
      </c>
      <c r="J2465">
        <v>41872</v>
      </c>
      <c r="K2465" t="b">
        <f>TrafficData[[#This Row],[disposedChallan]]+TrafficData[[#This Row],[pendingChallan]]=TrafficData[[#This Row],[totalChallan]]</f>
        <v>1</v>
      </c>
      <c r="L2465" t="b">
        <f>TrafficData[[#This Row],[pendingAmount]]+TrafficData[[#This Row],[disposedAmount]]=TrafficData[[#This Row],[totalAmount]]</f>
        <v>1</v>
      </c>
      <c r="M2465" t="b">
        <f>TrafficData[[#This Row],[pendingCourt]]+TrafficData[[#This Row],[disposedCourt]]=TrafficData[[#This Row],[totalCourt]]</f>
        <v>1</v>
      </c>
      <c r="N2465" t="b">
        <f>AND(TrafficData[[#This Row],[disposedChallan]]&lt;=TrafficData[[#This Row],[totalChallan]],TrafficData[[#This Row],[pendingChallan]]&lt;=TrafficData[[#This Row],[totalChallan]])</f>
        <v>1</v>
      </c>
      <c r="O2465" t="b">
        <f>AND(TrafficData[[#This Row],[pendingAmount]]&lt;=TrafficData[[#This Row],[totalAmount]],TrafficData[[#This Row],[disposedAmount]]&lt;=TrafficData[[#This Row],[totalAmount]])</f>
        <v>1</v>
      </c>
      <c r="P2465" t="b">
        <f>AND(TrafficData[[#This Row],[pendingCourt]]&lt;=TrafficData[[#This Row],[totalCourt]],TrafficData[[#This Row],[disposedCourt]]&lt;=TrafficData[[#This Row],[totalCourt]])</f>
        <v>1</v>
      </c>
    </row>
    <row r="2466" spans="1:16">
      <c r="A2466" s="1">
        <v>44470</v>
      </c>
      <c r="B2466">
        <v>107991</v>
      </c>
      <c r="C2466">
        <v>53157</v>
      </c>
      <c r="D2466">
        <v>54834</v>
      </c>
      <c r="E2466">
        <v>61752841</v>
      </c>
      <c r="F2466">
        <v>65494158</v>
      </c>
      <c r="G2466">
        <v>127246999</v>
      </c>
      <c r="H2466">
        <v>26851</v>
      </c>
      <c r="I2466">
        <v>9414</v>
      </c>
      <c r="J2466">
        <v>36265</v>
      </c>
      <c r="K2466" t="b">
        <f>TrafficData[[#This Row],[disposedChallan]]+TrafficData[[#This Row],[pendingChallan]]=TrafficData[[#This Row],[totalChallan]]</f>
        <v>1</v>
      </c>
      <c r="L2466" t="b">
        <f>TrafficData[[#This Row],[pendingAmount]]+TrafficData[[#This Row],[disposedAmount]]=TrafficData[[#This Row],[totalAmount]]</f>
        <v>1</v>
      </c>
      <c r="M2466" t="b">
        <f>TrafficData[[#This Row],[pendingCourt]]+TrafficData[[#This Row],[disposedCourt]]=TrafficData[[#This Row],[totalCourt]]</f>
        <v>1</v>
      </c>
      <c r="N2466" t="b">
        <f>AND(TrafficData[[#This Row],[disposedChallan]]&lt;=TrafficData[[#This Row],[totalChallan]],TrafficData[[#This Row],[pendingChallan]]&lt;=TrafficData[[#This Row],[totalChallan]])</f>
        <v>1</v>
      </c>
      <c r="O2466" t="b">
        <f>AND(TrafficData[[#This Row],[pendingAmount]]&lt;=TrafficData[[#This Row],[totalAmount]],TrafficData[[#This Row],[disposedAmount]]&lt;=TrafficData[[#This Row],[totalAmount]])</f>
        <v>1</v>
      </c>
      <c r="P2466" t="b">
        <f>AND(TrafficData[[#This Row],[pendingCourt]]&lt;=TrafficData[[#This Row],[totalCourt]],TrafficData[[#This Row],[disposedCourt]]&lt;=TrafficData[[#This Row],[totalCourt]])</f>
        <v>1</v>
      </c>
    </row>
    <row r="2467" spans="1:16">
      <c r="A2467" s="1">
        <v>44471</v>
      </c>
      <c r="B2467">
        <v>117016</v>
      </c>
      <c r="C2467">
        <v>57895</v>
      </c>
      <c r="D2467">
        <v>59121</v>
      </c>
      <c r="E2467">
        <v>60319189</v>
      </c>
      <c r="F2467">
        <v>63783087</v>
      </c>
      <c r="G2467">
        <v>124102276</v>
      </c>
      <c r="H2467">
        <v>27999</v>
      </c>
      <c r="I2467">
        <v>10244</v>
      </c>
      <c r="J2467">
        <v>38243</v>
      </c>
      <c r="K2467" t="b">
        <f>TrafficData[[#This Row],[disposedChallan]]+TrafficData[[#This Row],[pendingChallan]]=TrafficData[[#This Row],[totalChallan]]</f>
        <v>1</v>
      </c>
      <c r="L2467" t="b">
        <f>TrafficData[[#This Row],[pendingAmount]]+TrafficData[[#This Row],[disposedAmount]]=TrafficData[[#This Row],[totalAmount]]</f>
        <v>1</v>
      </c>
      <c r="M2467" t="b">
        <f>TrafficData[[#This Row],[pendingCourt]]+TrafficData[[#This Row],[disposedCourt]]=TrafficData[[#This Row],[totalCourt]]</f>
        <v>1</v>
      </c>
      <c r="N2467" t="b">
        <f>AND(TrafficData[[#This Row],[disposedChallan]]&lt;=TrafficData[[#This Row],[totalChallan]],TrafficData[[#This Row],[pendingChallan]]&lt;=TrafficData[[#This Row],[totalChallan]])</f>
        <v>1</v>
      </c>
      <c r="O2467" t="b">
        <f>AND(TrafficData[[#This Row],[pendingAmount]]&lt;=TrafficData[[#This Row],[totalAmount]],TrafficData[[#This Row],[disposedAmount]]&lt;=TrafficData[[#This Row],[totalAmount]])</f>
        <v>1</v>
      </c>
      <c r="P2467" t="b">
        <f>AND(TrafficData[[#This Row],[pendingCourt]]&lt;=TrafficData[[#This Row],[totalCourt]],TrafficData[[#This Row],[disposedCourt]]&lt;=TrafficData[[#This Row],[totalCourt]])</f>
        <v>1</v>
      </c>
    </row>
    <row r="2468" spans="1:16">
      <c r="A2468" s="1">
        <v>44472</v>
      </c>
      <c r="B2468">
        <v>115797</v>
      </c>
      <c r="C2468">
        <v>54418</v>
      </c>
      <c r="D2468">
        <v>61379</v>
      </c>
      <c r="E2468">
        <v>59644648</v>
      </c>
      <c r="F2468">
        <v>58799526</v>
      </c>
      <c r="G2468">
        <v>118444174</v>
      </c>
      <c r="H2468">
        <v>27339</v>
      </c>
      <c r="I2468">
        <v>9878</v>
      </c>
      <c r="J2468">
        <v>37217</v>
      </c>
      <c r="K2468" t="b">
        <f>TrafficData[[#This Row],[disposedChallan]]+TrafficData[[#This Row],[pendingChallan]]=TrafficData[[#This Row],[totalChallan]]</f>
        <v>1</v>
      </c>
      <c r="L2468" t="b">
        <f>TrafficData[[#This Row],[pendingAmount]]+TrafficData[[#This Row],[disposedAmount]]=TrafficData[[#This Row],[totalAmount]]</f>
        <v>1</v>
      </c>
      <c r="M2468" t="b">
        <f>TrafficData[[#This Row],[pendingCourt]]+TrafficData[[#This Row],[disposedCourt]]=TrafficData[[#This Row],[totalCourt]]</f>
        <v>1</v>
      </c>
      <c r="N2468" t="b">
        <f>AND(TrafficData[[#This Row],[disposedChallan]]&lt;=TrafficData[[#This Row],[totalChallan]],TrafficData[[#This Row],[pendingChallan]]&lt;=TrafficData[[#This Row],[totalChallan]])</f>
        <v>1</v>
      </c>
      <c r="O2468" t="b">
        <f>AND(TrafficData[[#This Row],[pendingAmount]]&lt;=TrafficData[[#This Row],[totalAmount]],TrafficData[[#This Row],[disposedAmount]]&lt;=TrafficData[[#This Row],[totalAmount]])</f>
        <v>1</v>
      </c>
      <c r="P2468" t="b">
        <f>AND(TrafficData[[#This Row],[pendingCourt]]&lt;=TrafficData[[#This Row],[totalCourt]],TrafficData[[#This Row],[disposedCourt]]&lt;=TrafficData[[#This Row],[totalCourt]])</f>
        <v>1</v>
      </c>
    </row>
    <row r="2469" spans="1:16">
      <c r="A2469" s="1">
        <v>44473</v>
      </c>
      <c r="B2469">
        <v>121841</v>
      </c>
      <c r="C2469">
        <v>59779</v>
      </c>
      <c r="D2469">
        <v>62062</v>
      </c>
      <c r="E2469">
        <v>66958815</v>
      </c>
      <c r="F2469">
        <v>68702929</v>
      </c>
      <c r="G2469">
        <v>135661744</v>
      </c>
      <c r="H2469">
        <v>29347</v>
      </c>
      <c r="I2469">
        <v>10123</v>
      </c>
      <c r="J2469">
        <v>39470</v>
      </c>
      <c r="K2469" t="b">
        <f>TrafficData[[#This Row],[disposedChallan]]+TrafficData[[#This Row],[pendingChallan]]=TrafficData[[#This Row],[totalChallan]]</f>
        <v>1</v>
      </c>
      <c r="L2469" t="b">
        <f>TrafficData[[#This Row],[pendingAmount]]+TrafficData[[#This Row],[disposedAmount]]=TrafficData[[#This Row],[totalAmount]]</f>
        <v>1</v>
      </c>
      <c r="M2469" t="b">
        <f>TrafficData[[#This Row],[pendingCourt]]+TrafficData[[#This Row],[disposedCourt]]=TrafficData[[#This Row],[totalCourt]]</f>
        <v>1</v>
      </c>
      <c r="N2469" t="b">
        <f>AND(TrafficData[[#This Row],[disposedChallan]]&lt;=TrafficData[[#This Row],[totalChallan]],TrafficData[[#This Row],[pendingChallan]]&lt;=TrafficData[[#This Row],[totalChallan]])</f>
        <v>1</v>
      </c>
      <c r="O2469" t="b">
        <f>AND(TrafficData[[#This Row],[pendingAmount]]&lt;=TrafficData[[#This Row],[totalAmount]],TrafficData[[#This Row],[disposedAmount]]&lt;=TrafficData[[#This Row],[totalAmount]])</f>
        <v>1</v>
      </c>
      <c r="P2469" t="b">
        <f>AND(TrafficData[[#This Row],[pendingCourt]]&lt;=TrafficData[[#This Row],[totalCourt]],TrafficData[[#This Row],[disposedCourt]]&lt;=TrafficData[[#This Row],[totalCourt]])</f>
        <v>1</v>
      </c>
    </row>
    <row r="2470" spans="1:16">
      <c r="A2470" s="1">
        <v>44474</v>
      </c>
      <c r="B2470">
        <v>113989</v>
      </c>
      <c r="C2470">
        <v>55862</v>
      </c>
      <c r="D2470">
        <v>58127</v>
      </c>
      <c r="E2470">
        <v>68587648</v>
      </c>
      <c r="F2470">
        <v>76055924</v>
      </c>
      <c r="G2470">
        <v>144643572</v>
      </c>
      <c r="H2470">
        <v>28741</v>
      </c>
      <c r="I2470">
        <v>9940</v>
      </c>
      <c r="J2470">
        <v>38681</v>
      </c>
      <c r="K2470" t="b">
        <f>TrafficData[[#This Row],[disposedChallan]]+TrafficData[[#This Row],[pendingChallan]]=TrafficData[[#This Row],[totalChallan]]</f>
        <v>1</v>
      </c>
      <c r="L2470" t="b">
        <f>TrafficData[[#This Row],[pendingAmount]]+TrafficData[[#This Row],[disposedAmount]]=TrafficData[[#This Row],[totalAmount]]</f>
        <v>1</v>
      </c>
      <c r="M2470" t="b">
        <f>TrafficData[[#This Row],[pendingCourt]]+TrafficData[[#This Row],[disposedCourt]]=TrafficData[[#This Row],[totalCourt]]</f>
        <v>1</v>
      </c>
      <c r="N2470" t="b">
        <f>AND(TrafficData[[#This Row],[disposedChallan]]&lt;=TrafficData[[#This Row],[totalChallan]],TrafficData[[#This Row],[pendingChallan]]&lt;=TrafficData[[#This Row],[totalChallan]])</f>
        <v>1</v>
      </c>
      <c r="O2470" t="b">
        <f>AND(TrafficData[[#This Row],[pendingAmount]]&lt;=TrafficData[[#This Row],[totalAmount]],TrafficData[[#This Row],[disposedAmount]]&lt;=TrafficData[[#This Row],[totalAmount]])</f>
        <v>1</v>
      </c>
      <c r="P2470" t="b">
        <f>AND(TrafficData[[#This Row],[pendingCourt]]&lt;=TrafficData[[#This Row],[totalCourt]],TrafficData[[#This Row],[disposedCourt]]&lt;=TrafficData[[#This Row],[totalCourt]])</f>
        <v>1</v>
      </c>
    </row>
    <row r="2471" spans="1:16">
      <c r="A2471" s="1">
        <v>44475</v>
      </c>
      <c r="B2471">
        <v>120642</v>
      </c>
      <c r="C2471">
        <v>60543</v>
      </c>
      <c r="D2471">
        <v>60099</v>
      </c>
      <c r="E2471">
        <v>68701235</v>
      </c>
      <c r="F2471">
        <v>79880975</v>
      </c>
      <c r="G2471">
        <v>148582210</v>
      </c>
      <c r="H2471">
        <v>28031</v>
      </c>
      <c r="I2471">
        <v>9859</v>
      </c>
      <c r="J2471">
        <v>37890</v>
      </c>
      <c r="K2471" t="b">
        <f>TrafficData[[#This Row],[disposedChallan]]+TrafficData[[#This Row],[pendingChallan]]=TrafficData[[#This Row],[totalChallan]]</f>
        <v>1</v>
      </c>
      <c r="L2471" t="b">
        <f>TrafficData[[#This Row],[pendingAmount]]+TrafficData[[#This Row],[disposedAmount]]=TrafficData[[#This Row],[totalAmount]]</f>
        <v>1</v>
      </c>
      <c r="M2471" t="b">
        <f>TrafficData[[#This Row],[pendingCourt]]+TrafficData[[#This Row],[disposedCourt]]=TrafficData[[#This Row],[totalCourt]]</f>
        <v>1</v>
      </c>
      <c r="N2471" t="b">
        <f>AND(TrafficData[[#This Row],[disposedChallan]]&lt;=TrafficData[[#This Row],[totalChallan]],TrafficData[[#This Row],[pendingChallan]]&lt;=TrafficData[[#This Row],[totalChallan]])</f>
        <v>1</v>
      </c>
      <c r="O2471" t="b">
        <f>AND(TrafficData[[#This Row],[pendingAmount]]&lt;=TrafficData[[#This Row],[totalAmount]],TrafficData[[#This Row],[disposedAmount]]&lt;=TrafficData[[#This Row],[totalAmount]])</f>
        <v>1</v>
      </c>
      <c r="P2471" t="b">
        <f>AND(TrafficData[[#This Row],[pendingCourt]]&lt;=TrafficData[[#This Row],[totalCourt]],TrafficData[[#This Row],[disposedCourt]]&lt;=TrafficData[[#This Row],[totalCourt]])</f>
        <v>1</v>
      </c>
    </row>
    <row r="2472" spans="1:16">
      <c r="A2472" s="1">
        <v>44476</v>
      </c>
      <c r="B2472">
        <v>116374</v>
      </c>
      <c r="C2472">
        <v>59129</v>
      </c>
      <c r="D2472">
        <v>57245</v>
      </c>
      <c r="E2472">
        <v>70542742</v>
      </c>
      <c r="F2472">
        <v>77944234</v>
      </c>
      <c r="G2472">
        <v>148486976</v>
      </c>
      <c r="H2472">
        <v>28109</v>
      </c>
      <c r="I2472">
        <v>9825</v>
      </c>
      <c r="J2472">
        <v>37934</v>
      </c>
      <c r="K2472" t="b">
        <f>TrafficData[[#This Row],[disposedChallan]]+TrafficData[[#This Row],[pendingChallan]]=TrafficData[[#This Row],[totalChallan]]</f>
        <v>1</v>
      </c>
      <c r="L2472" t="b">
        <f>TrafficData[[#This Row],[pendingAmount]]+TrafficData[[#This Row],[disposedAmount]]=TrafficData[[#This Row],[totalAmount]]</f>
        <v>1</v>
      </c>
      <c r="M2472" t="b">
        <f>TrafficData[[#This Row],[pendingCourt]]+TrafficData[[#This Row],[disposedCourt]]=TrafficData[[#This Row],[totalCourt]]</f>
        <v>1</v>
      </c>
      <c r="N2472" t="b">
        <f>AND(TrafficData[[#This Row],[disposedChallan]]&lt;=TrafficData[[#This Row],[totalChallan]],TrafficData[[#This Row],[pendingChallan]]&lt;=TrafficData[[#This Row],[totalChallan]])</f>
        <v>1</v>
      </c>
      <c r="O2472" t="b">
        <f>AND(TrafficData[[#This Row],[pendingAmount]]&lt;=TrafficData[[#This Row],[totalAmount]],TrafficData[[#This Row],[disposedAmount]]&lt;=TrafficData[[#This Row],[totalAmount]])</f>
        <v>1</v>
      </c>
      <c r="P2472" t="b">
        <f>AND(TrafficData[[#This Row],[pendingCourt]]&lt;=TrafficData[[#This Row],[totalCourt]],TrafficData[[#This Row],[disposedCourt]]&lt;=TrafficData[[#This Row],[totalCourt]])</f>
        <v>1</v>
      </c>
    </row>
    <row r="2473" spans="1:16">
      <c r="A2473" s="1">
        <v>44477</v>
      </c>
      <c r="B2473">
        <v>81256</v>
      </c>
      <c r="C2473">
        <v>40321</v>
      </c>
      <c r="D2473">
        <v>40935</v>
      </c>
      <c r="E2473">
        <v>51176283</v>
      </c>
      <c r="F2473">
        <v>60714874</v>
      </c>
      <c r="G2473">
        <v>111891157</v>
      </c>
      <c r="H2473">
        <v>22575</v>
      </c>
      <c r="I2473">
        <v>7757</v>
      </c>
      <c r="J2473">
        <v>30332</v>
      </c>
      <c r="K2473" t="b">
        <f>TrafficData[[#This Row],[disposedChallan]]+TrafficData[[#This Row],[pendingChallan]]=TrafficData[[#This Row],[totalChallan]]</f>
        <v>1</v>
      </c>
      <c r="L2473" t="b">
        <f>TrafficData[[#This Row],[pendingAmount]]+TrafficData[[#This Row],[disposedAmount]]=TrafficData[[#This Row],[totalAmount]]</f>
        <v>1</v>
      </c>
      <c r="M2473" t="b">
        <f>TrafficData[[#This Row],[pendingCourt]]+TrafficData[[#This Row],[disposedCourt]]=TrafficData[[#This Row],[totalCourt]]</f>
        <v>1</v>
      </c>
      <c r="N2473" t="b">
        <f>AND(TrafficData[[#This Row],[disposedChallan]]&lt;=TrafficData[[#This Row],[totalChallan]],TrafficData[[#This Row],[pendingChallan]]&lt;=TrafficData[[#This Row],[totalChallan]])</f>
        <v>1</v>
      </c>
      <c r="O2473" t="b">
        <f>AND(TrafficData[[#This Row],[pendingAmount]]&lt;=TrafficData[[#This Row],[totalAmount]],TrafficData[[#This Row],[disposedAmount]]&lt;=TrafficData[[#This Row],[totalAmount]])</f>
        <v>1</v>
      </c>
      <c r="P2473" t="b">
        <f>AND(TrafficData[[#This Row],[pendingCourt]]&lt;=TrafficData[[#This Row],[totalCourt]],TrafficData[[#This Row],[disposedCourt]]&lt;=TrafficData[[#This Row],[totalCourt]])</f>
        <v>1</v>
      </c>
    </row>
    <row r="2474" spans="1:16">
      <c r="A2474" s="1">
        <v>44478</v>
      </c>
      <c r="B2474">
        <v>113543</v>
      </c>
      <c r="C2474">
        <v>58042</v>
      </c>
      <c r="D2474">
        <v>55501</v>
      </c>
      <c r="E2474">
        <v>69309663</v>
      </c>
      <c r="F2474">
        <v>77387388</v>
      </c>
      <c r="G2474">
        <v>146697051</v>
      </c>
      <c r="H2474">
        <v>29112</v>
      </c>
      <c r="I2474">
        <v>10072</v>
      </c>
      <c r="J2474">
        <v>39184</v>
      </c>
      <c r="K2474" t="b">
        <f>TrafficData[[#This Row],[disposedChallan]]+TrafficData[[#This Row],[pendingChallan]]=TrafficData[[#This Row],[totalChallan]]</f>
        <v>1</v>
      </c>
      <c r="L2474" t="b">
        <f>TrafficData[[#This Row],[pendingAmount]]+TrafficData[[#This Row],[disposedAmount]]=TrafficData[[#This Row],[totalAmount]]</f>
        <v>1</v>
      </c>
      <c r="M2474" t="b">
        <f>TrafficData[[#This Row],[pendingCourt]]+TrafficData[[#This Row],[disposedCourt]]=TrafficData[[#This Row],[totalCourt]]</f>
        <v>1</v>
      </c>
      <c r="N2474" t="b">
        <f>AND(TrafficData[[#This Row],[disposedChallan]]&lt;=TrafficData[[#This Row],[totalChallan]],TrafficData[[#This Row],[pendingChallan]]&lt;=TrafficData[[#This Row],[totalChallan]])</f>
        <v>1</v>
      </c>
      <c r="O2474" t="b">
        <f>AND(TrafficData[[#This Row],[pendingAmount]]&lt;=TrafficData[[#This Row],[totalAmount]],TrafficData[[#This Row],[disposedAmount]]&lt;=TrafficData[[#This Row],[totalAmount]])</f>
        <v>1</v>
      </c>
      <c r="P2474" t="b">
        <f>AND(TrafficData[[#This Row],[pendingCourt]]&lt;=TrafficData[[#This Row],[totalCourt]],TrafficData[[#This Row],[disposedCourt]]&lt;=TrafficData[[#This Row],[totalCourt]])</f>
        <v>1</v>
      </c>
    </row>
    <row r="2475" spans="1:16">
      <c r="A2475" s="1">
        <v>44479</v>
      </c>
      <c r="B2475">
        <v>102398</v>
      </c>
      <c r="C2475">
        <v>49482</v>
      </c>
      <c r="D2475">
        <v>52916</v>
      </c>
      <c r="E2475">
        <v>54777513</v>
      </c>
      <c r="F2475">
        <v>56246844</v>
      </c>
      <c r="G2475">
        <v>111024357</v>
      </c>
      <c r="H2475">
        <v>25197</v>
      </c>
      <c r="I2475">
        <v>8385</v>
      </c>
      <c r="J2475">
        <v>33582</v>
      </c>
      <c r="K2475" t="b">
        <f>TrafficData[[#This Row],[disposedChallan]]+TrafficData[[#This Row],[pendingChallan]]=TrafficData[[#This Row],[totalChallan]]</f>
        <v>1</v>
      </c>
      <c r="L2475" t="b">
        <f>TrafficData[[#This Row],[pendingAmount]]+TrafficData[[#This Row],[disposedAmount]]=TrafficData[[#This Row],[totalAmount]]</f>
        <v>1</v>
      </c>
      <c r="M2475" t="b">
        <f>TrafficData[[#This Row],[pendingCourt]]+TrafficData[[#This Row],[disposedCourt]]=TrafficData[[#This Row],[totalCourt]]</f>
        <v>1</v>
      </c>
      <c r="N2475" t="b">
        <f>AND(TrafficData[[#This Row],[disposedChallan]]&lt;=TrafficData[[#This Row],[totalChallan]],TrafficData[[#This Row],[pendingChallan]]&lt;=TrafficData[[#This Row],[totalChallan]])</f>
        <v>1</v>
      </c>
      <c r="O2475" t="b">
        <f>AND(TrafficData[[#This Row],[pendingAmount]]&lt;=TrafficData[[#This Row],[totalAmount]],TrafficData[[#This Row],[disposedAmount]]&lt;=TrafficData[[#This Row],[totalAmount]])</f>
        <v>1</v>
      </c>
      <c r="P2475" t="b">
        <f>AND(TrafficData[[#This Row],[pendingCourt]]&lt;=TrafficData[[#This Row],[totalCourt]],TrafficData[[#This Row],[disposedCourt]]&lt;=TrafficData[[#This Row],[totalCourt]])</f>
        <v>1</v>
      </c>
    </row>
    <row r="2476" spans="1:16">
      <c r="A2476" s="1">
        <v>44480</v>
      </c>
      <c r="B2476">
        <v>114325</v>
      </c>
      <c r="C2476">
        <v>56088</v>
      </c>
      <c r="D2476">
        <v>58237</v>
      </c>
      <c r="E2476">
        <v>72406315</v>
      </c>
      <c r="F2476">
        <v>66191752</v>
      </c>
      <c r="G2476">
        <v>138598067</v>
      </c>
      <c r="H2476">
        <v>29667</v>
      </c>
      <c r="I2476">
        <v>10426</v>
      </c>
      <c r="J2476">
        <v>40093</v>
      </c>
      <c r="K2476" t="b">
        <f>TrafficData[[#This Row],[disposedChallan]]+TrafficData[[#This Row],[pendingChallan]]=TrafficData[[#This Row],[totalChallan]]</f>
        <v>1</v>
      </c>
      <c r="L2476" t="b">
        <f>TrafficData[[#This Row],[pendingAmount]]+TrafficData[[#This Row],[disposedAmount]]=TrafficData[[#This Row],[totalAmount]]</f>
        <v>1</v>
      </c>
      <c r="M2476" t="b">
        <f>TrafficData[[#This Row],[pendingCourt]]+TrafficData[[#This Row],[disposedCourt]]=TrafficData[[#This Row],[totalCourt]]</f>
        <v>1</v>
      </c>
      <c r="N2476" t="b">
        <f>AND(TrafficData[[#This Row],[disposedChallan]]&lt;=TrafficData[[#This Row],[totalChallan]],TrafficData[[#This Row],[pendingChallan]]&lt;=TrafficData[[#This Row],[totalChallan]])</f>
        <v>1</v>
      </c>
      <c r="O2476" t="b">
        <f>AND(TrafficData[[#This Row],[pendingAmount]]&lt;=TrafficData[[#This Row],[totalAmount]],TrafficData[[#This Row],[disposedAmount]]&lt;=TrafficData[[#This Row],[totalAmount]])</f>
        <v>1</v>
      </c>
      <c r="P2476" t="b">
        <f>AND(TrafficData[[#This Row],[pendingCourt]]&lt;=TrafficData[[#This Row],[totalCourt]],TrafficData[[#This Row],[disposedCourt]]&lt;=TrafficData[[#This Row],[totalCourt]])</f>
        <v>1</v>
      </c>
    </row>
    <row r="2477" spans="1:16">
      <c r="A2477" s="1">
        <v>44481</v>
      </c>
      <c r="B2477">
        <v>100366</v>
      </c>
      <c r="C2477">
        <v>51293</v>
      </c>
      <c r="D2477">
        <v>49073</v>
      </c>
      <c r="E2477">
        <v>66308123</v>
      </c>
      <c r="F2477">
        <v>70345154</v>
      </c>
      <c r="G2477">
        <v>136653277</v>
      </c>
      <c r="H2477">
        <v>28853</v>
      </c>
      <c r="I2477">
        <v>9757</v>
      </c>
      <c r="J2477">
        <v>38610</v>
      </c>
      <c r="K2477" t="b">
        <f>TrafficData[[#This Row],[disposedChallan]]+TrafficData[[#This Row],[pendingChallan]]=TrafficData[[#This Row],[totalChallan]]</f>
        <v>1</v>
      </c>
      <c r="L2477" t="b">
        <f>TrafficData[[#This Row],[pendingAmount]]+TrafficData[[#This Row],[disposedAmount]]=TrafficData[[#This Row],[totalAmount]]</f>
        <v>1</v>
      </c>
      <c r="M2477" t="b">
        <f>TrafficData[[#This Row],[pendingCourt]]+TrafficData[[#This Row],[disposedCourt]]=TrafficData[[#This Row],[totalCourt]]</f>
        <v>1</v>
      </c>
      <c r="N2477" t="b">
        <f>AND(TrafficData[[#This Row],[disposedChallan]]&lt;=TrafficData[[#This Row],[totalChallan]],TrafficData[[#This Row],[pendingChallan]]&lt;=TrafficData[[#This Row],[totalChallan]])</f>
        <v>1</v>
      </c>
      <c r="O2477" t="b">
        <f>AND(TrafficData[[#This Row],[pendingAmount]]&lt;=TrafficData[[#This Row],[totalAmount]],TrafficData[[#This Row],[disposedAmount]]&lt;=TrafficData[[#This Row],[totalAmount]])</f>
        <v>1</v>
      </c>
      <c r="P2477" t="b">
        <f>AND(TrafficData[[#This Row],[pendingCourt]]&lt;=TrafficData[[#This Row],[totalCourt]],TrafficData[[#This Row],[disposedCourt]]&lt;=TrafficData[[#This Row],[totalCourt]])</f>
        <v>1</v>
      </c>
    </row>
    <row r="2478" spans="1:16">
      <c r="A2478" s="1">
        <v>44482</v>
      </c>
      <c r="B2478">
        <v>112817</v>
      </c>
      <c r="C2478">
        <v>57579</v>
      </c>
      <c r="D2478">
        <v>55238</v>
      </c>
      <c r="E2478">
        <v>71137364</v>
      </c>
      <c r="F2478">
        <v>71137293</v>
      </c>
      <c r="G2478">
        <v>142274657</v>
      </c>
      <c r="H2478">
        <v>28786</v>
      </c>
      <c r="I2478">
        <v>9870</v>
      </c>
      <c r="J2478">
        <v>38656</v>
      </c>
      <c r="K2478" t="b">
        <f>TrafficData[[#This Row],[disposedChallan]]+TrafficData[[#This Row],[pendingChallan]]=TrafficData[[#This Row],[totalChallan]]</f>
        <v>1</v>
      </c>
      <c r="L2478" t="b">
        <f>TrafficData[[#This Row],[pendingAmount]]+TrafficData[[#This Row],[disposedAmount]]=TrafficData[[#This Row],[totalAmount]]</f>
        <v>1</v>
      </c>
      <c r="M2478" t="b">
        <f>TrafficData[[#This Row],[pendingCourt]]+TrafficData[[#This Row],[disposedCourt]]=TrafficData[[#This Row],[totalCourt]]</f>
        <v>1</v>
      </c>
      <c r="N2478" t="b">
        <f>AND(TrafficData[[#This Row],[disposedChallan]]&lt;=TrafficData[[#This Row],[totalChallan]],TrafficData[[#This Row],[pendingChallan]]&lt;=TrafficData[[#This Row],[totalChallan]])</f>
        <v>1</v>
      </c>
      <c r="O2478" t="b">
        <f>AND(TrafficData[[#This Row],[pendingAmount]]&lt;=TrafficData[[#This Row],[totalAmount]],TrafficData[[#This Row],[disposedAmount]]&lt;=TrafficData[[#This Row],[totalAmount]])</f>
        <v>1</v>
      </c>
      <c r="P2478" t="b">
        <f>AND(TrafficData[[#This Row],[pendingCourt]]&lt;=TrafficData[[#This Row],[totalCourt]],TrafficData[[#This Row],[disposedCourt]]&lt;=TrafficData[[#This Row],[totalCourt]])</f>
        <v>1</v>
      </c>
    </row>
    <row r="2479" spans="1:16">
      <c r="A2479" s="1">
        <v>44483</v>
      </c>
      <c r="B2479">
        <v>102559</v>
      </c>
      <c r="C2479">
        <v>50662</v>
      </c>
      <c r="D2479">
        <v>51897</v>
      </c>
      <c r="E2479">
        <v>63515405</v>
      </c>
      <c r="F2479">
        <v>59543167</v>
      </c>
      <c r="G2479">
        <v>123058572</v>
      </c>
      <c r="H2479">
        <v>26134</v>
      </c>
      <c r="I2479">
        <v>9240</v>
      </c>
      <c r="J2479">
        <v>35374</v>
      </c>
      <c r="K2479" t="b">
        <f>TrafficData[[#This Row],[disposedChallan]]+TrafficData[[#This Row],[pendingChallan]]=TrafficData[[#This Row],[totalChallan]]</f>
        <v>1</v>
      </c>
      <c r="L2479" t="b">
        <f>TrafficData[[#This Row],[pendingAmount]]+TrafficData[[#This Row],[disposedAmount]]=TrafficData[[#This Row],[totalAmount]]</f>
        <v>1</v>
      </c>
      <c r="M2479" t="b">
        <f>TrafficData[[#This Row],[pendingCourt]]+TrafficData[[#This Row],[disposedCourt]]=TrafficData[[#This Row],[totalCourt]]</f>
        <v>1</v>
      </c>
      <c r="N2479" t="b">
        <f>AND(TrafficData[[#This Row],[disposedChallan]]&lt;=TrafficData[[#This Row],[totalChallan]],TrafficData[[#This Row],[pendingChallan]]&lt;=TrafficData[[#This Row],[totalChallan]])</f>
        <v>1</v>
      </c>
      <c r="O2479" t="b">
        <f>AND(TrafficData[[#This Row],[pendingAmount]]&lt;=TrafficData[[#This Row],[totalAmount]],TrafficData[[#This Row],[disposedAmount]]&lt;=TrafficData[[#This Row],[totalAmount]])</f>
        <v>1</v>
      </c>
      <c r="P2479" t="b">
        <f>AND(TrafficData[[#This Row],[pendingCourt]]&lt;=TrafficData[[#This Row],[totalCourt]],TrafficData[[#This Row],[disposedCourt]]&lt;=TrafficData[[#This Row],[totalCourt]])</f>
        <v>1</v>
      </c>
    </row>
    <row r="2480" spans="1:16">
      <c r="A2480" s="1">
        <v>44484</v>
      </c>
      <c r="B2480">
        <v>103629</v>
      </c>
      <c r="C2480">
        <v>49502</v>
      </c>
      <c r="D2480">
        <v>54127</v>
      </c>
      <c r="E2480">
        <v>58565645</v>
      </c>
      <c r="F2480">
        <v>47914029</v>
      </c>
      <c r="G2480">
        <v>106479674</v>
      </c>
      <c r="H2480">
        <v>24452</v>
      </c>
      <c r="I2480">
        <v>8875</v>
      </c>
      <c r="J2480">
        <v>33327</v>
      </c>
      <c r="K2480" t="b">
        <f>TrafficData[[#This Row],[disposedChallan]]+TrafficData[[#This Row],[pendingChallan]]=TrafficData[[#This Row],[totalChallan]]</f>
        <v>1</v>
      </c>
      <c r="L2480" t="b">
        <f>TrafficData[[#This Row],[pendingAmount]]+TrafficData[[#This Row],[disposedAmount]]=TrafficData[[#This Row],[totalAmount]]</f>
        <v>1</v>
      </c>
      <c r="M2480" t="b">
        <f>TrafficData[[#This Row],[pendingCourt]]+TrafficData[[#This Row],[disposedCourt]]=TrafficData[[#This Row],[totalCourt]]</f>
        <v>1</v>
      </c>
      <c r="N2480" t="b">
        <f>AND(TrafficData[[#This Row],[disposedChallan]]&lt;=TrafficData[[#This Row],[totalChallan]],TrafficData[[#This Row],[pendingChallan]]&lt;=TrafficData[[#This Row],[totalChallan]])</f>
        <v>1</v>
      </c>
      <c r="O2480" t="b">
        <f>AND(TrafficData[[#This Row],[pendingAmount]]&lt;=TrafficData[[#This Row],[totalAmount]],TrafficData[[#This Row],[disposedAmount]]&lt;=TrafficData[[#This Row],[totalAmount]])</f>
        <v>1</v>
      </c>
      <c r="P2480" t="b">
        <f>AND(TrafficData[[#This Row],[pendingCourt]]&lt;=TrafficData[[#This Row],[totalCourt]],TrafficData[[#This Row],[disposedCourt]]&lt;=TrafficData[[#This Row],[totalCourt]])</f>
        <v>1</v>
      </c>
    </row>
    <row r="2481" spans="1:16">
      <c r="A2481" s="1">
        <v>44485</v>
      </c>
      <c r="B2481">
        <v>106404</v>
      </c>
      <c r="C2481">
        <v>52218</v>
      </c>
      <c r="D2481">
        <v>54186</v>
      </c>
      <c r="E2481">
        <v>62856230</v>
      </c>
      <c r="F2481">
        <v>53269042</v>
      </c>
      <c r="G2481">
        <v>116125272</v>
      </c>
      <c r="H2481">
        <v>25729</v>
      </c>
      <c r="I2481">
        <v>9354</v>
      </c>
      <c r="J2481">
        <v>35083</v>
      </c>
      <c r="K2481" t="b">
        <f>TrafficData[[#This Row],[disposedChallan]]+TrafficData[[#This Row],[pendingChallan]]=TrafficData[[#This Row],[totalChallan]]</f>
        <v>1</v>
      </c>
      <c r="L2481" t="b">
        <f>TrafficData[[#This Row],[pendingAmount]]+TrafficData[[#This Row],[disposedAmount]]=TrafficData[[#This Row],[totalAmount]]</f>
        <v>1</v>
      </c>
      <c r="M2481" t="b">
        <f>TrafficData[[#This Row],[pendingCourt]]+TrafficData[[#This Row],[disposedCourt]]=TrafficData[[#This Row],[totalCourt]]</f>
        <v>1</v>
      </c>
      <c r="N2481" t="b">
        <f>AND(TrafficData[[#This Row],[disposedChallan]]&lt;=TrafficData[[#This Row],[totalChallan]],TrafficData[[#This Row],[pendingChallan]]&lt;=TrafficData[[#This Row],[totalChallan]])</f>
        <v>1</v>
      </c>
      <c r="O2481" t="b">
        <f>AND(TrafficData[[#This Row],[pendingAmount]]&lt;=TrafficData[[#This Row],[totalAmount]],TrafficData[[#This Row],[disposedAmount]]&lt;=TrafficData[[#This Row],[totalAmount]])</f>
        <v>1</v>
      </c>
      <c r="P2481" t="b">
        <f>AND(TrafficData[[#This Row],[pendingCourt]]&lt;=TrafficData[[#This Row],[totalCourt]],TrafficData[[#This Row],[disposedCourt]]&lt;=TrafficData[[#This Row],[totalCourt]])</f>
        <v>1</v>
      </c>
    </row>
    <row r="2482" spans="1:16">
      <c r="A2482" s="1">
        <v>44486</v>
      </c>
      <c r="B2482">
        <v>102164</v>
      </c>
      <c r="C2482">
        <v>47524</v>
      </c>
      <c r="D2482">
        <v>54640</v>
      </c>
      <c r="E2482">
        <v>50497481</v>
      </c>
      <c r="F2482">
        <v>51534580</v>
      </c>
      <c r="G2482">
        <v>102032061</v>
      </c>
      <c r="H2482">
        <v>23030</v>
      </c>
      <c r="I2482">
        <v>7707</v>
      </c>
      <c r="J2482">
        <v>30737</v>
      </c>
      <c r="K2482" t="b">
        <f>TrafficData[[#This Row],[disposedChallan]]+TrafficData[[#This Row],[pendingChallan]]=TrafficData[[#This Row],[totalChallan]]</f>
        <v>1</v>
      </c>
      <c r="L2482" t="b">
        <f>TrafficData[[#This Row],[pendingAmount]]+TrafficData[[#This Row],[disposedAmount]]=TrafficData[[#This Row],[totalAmount]]</f>
        <v>1</v>
      </c>
      <c r="M2482" t="b">
        <f>TrafficData[[#This Row],[pendingCourt]]+TrafficData[[#This Row],[disposedCourt]]=TrafficData[[#This Row],[totalCourt]]</f>
        <v>1</v>
      </c>
      <c r="N2482" t="b">
        <f>AND(TrafficData[[#This Row],[disposedChallan]]&lt;=TrafficData[[#This Row],[totalChallan]],TrafficData[[#This Row],[pendingChallan]]&lt;=TrafficData[[#This Row],[totalChallan]])</f>
        <v>1</v>
      </c>
      <c r="O2482" t="b">
        <f>AND(TrafficData[[#This Row],[pendingAmount]]&lt;=TrafficData[[#This Row],[totalAmount]],TrafficData[[#This Row],[disposedAmount]]&lt;=TrafficData[[#This Row],[totalAmount]])</f>
        <v>1</v>
      </c>
      <c r="P2482" t="b">
        <f>AND(TrafficData[[#This Row],[pendingCourt]]&lt;=TrafficData[[#This Row],[totalCourt]],TrafficData[[#This Row],[disposedCourt]]&lt;=TrafficData[[#This Row],[totalCourt]])</f>
        <v>1</v>
      </c>
    </row>
    <row r="2483" spans="1:16">
      <c r="A2483" s="1">
        <v>44487</v>
      </c>
      <c r="B2483">
        <v>109370</v>
      </c>
      <c r="C2483">
        <v>54768</v>
      </c>
      <c r="D2483">
        <v>54602</v>
      </c>
      <c r="E2483">
        <v>60423765</v>
      </c>
      <c r="F2483">
        <v>61148954</v>
      </c>
      <c r="G2483">
        <v>121572719</v>
      </c>
      <c r="H2483">
        <v>24002</v>
      </c>
      <c r="I2483">
        <v>8539</v>
      </c>
      <c r="J2483">
        <v>32541</v>
      </c>
      <c r="K2483" t="b">
        <f>TrafficData[[#This Row],[disposedChallan]]+TrafficData[[#This Row],[pendingChallan]]=TrafficData[[#This Row],[totalChallan]]</f>
        <v>1</v>
      </c>
      <c r="L2483" t="b">
        <f>TrafficData[[#This Row],[pendingAmount]]+TrafficData[[#This Row],[disposedAmount]]=TrafficData[[#This Row],[totalAmount]]</f>
        <v>1</v>
      </c>
      <c r="M2483" t="b">
        <f>TrafficData[[#This Row],[pendingCourt]]+TrafficData[[#This Row],[disposedCourt]]=TrafficData[[#This Row],[totalCourt]]</f>
        <v>1</v>
      </c>
      <c r="N2483" t="b">
        <f>AND(TrafficData[[#This Row],[disposedChallan]]&lt;=TrafficData[[#This Row],[totalChallan]],TrafficData[[#This Row],[pendingChallan]]&lt;=TrafficData[[#This Row],[totalChallan]])</f>
        <v>1</v>
      </c>
      <c r="O2483" t="b">
        <f>AND(TrafficData[[#This Row],[pendingAmount]]&lt;=TrafficData[[#This Row],[totalAmount]],TrafficData[[#This Row],[disposedAmount]]&lt;=TrafficData[[#This Row],[totalAmount]])</f>
        <v>1</v>
      </c>
      <c r="P2483" t="b">
        <f>AND(TrafficData[[#This Row],[pendingCourt]]&lt;=TrafficData[[#This Row],[totalCourt]],TrafficData[[#This Row],[disposedCourt]]&lt;=TrafficData[[#This Row],[totalCourt]])</f>
        <v>1</v>
      </c>
    </row>
    <row r="2484" spans="1:16">
      <c r="A2484" s="1">
        <v>44488</v>
      </c>
      <c r="B2484">
        <v>115771</v>
      </c>
      <c r="C2484">
        <v>57813</v>
      </c>
      <c r="D2484">
        <v>57958</v>
      </c>
      <c r="E2484">
        <v>64295692</v>
      </c>
      <c r="F2484">
        <v>64807064</v>
      </c>
      <c r="G2484">
        <v>129102756</v>
      </c>
      <c r="H2484">
        <v>17229</v>
      </c>
      <c r="I2484">
        <v>9135</v>
      </c>
      <c r="J2484">
        <v>26364</v>
      </c>
      <c r="K2484" t="b">
        <f>TrafficData[[#This Row],[disposedChallan]]+TrafficData[[#This Row],[pendingChallan]]=TrafficData[[#This Row],[totalChallan]]</f>
        <v>1</v>
      </c>
      <c r="L2484" t="b">
        <f>TrafficData[[#This Row],[pendingAmount]]+TrafficData[[#This Row],[disposedAmount]]=TrafficData[[#This Row],[totalAmount]]</f>
        <v>1</v>
      </c>
      <c r="M2484" t="b">
        <f>TrafficData[[#This Row],[pendingCourt]]+TrafficData[[#This Row],[disposedCourt]]=TrafficData[[#This Row],[totalCourt]]</f>
        <v>1</v>
      </c>
      <c r="N2484" t="b">
        <f>AND(TrafficData[[#This Row],[disposedChallan]]&lt;=TrafficData[[#This Row],[totalChallan]],TrafficData[[#This Row],[pendingChallan]]&lt;=TrafficData[[#This Row],[totalChallan]])</f>
        <v>1</v>
      </c>
      <c r="O2484" t="b">
        <f>AND(TrafficData[[#This Row],[pendingAmount]]&lt;=TrafficData[[#This Row],[totalAmount]],TrafficData[[#This Row],[disposedAmount]]&lt;=TrafficData[[#This Row],[totalAmount]])</f>
        <v>1</v>
      </c>
      <c r="P2484" t="b">
        <f>AND(TrafficData[[#This Row],[pendingCourt]]&lt;=TrafficData[[#This Row],[totalCourt]],TrafficData[[#This Row],[disposedCourt]]&lt;=TrafficData[[#This Row],[totalCourt]])</f>
        <v>1</v>
      </c>
    </row>
    <row r="2485" spans="1:16">
      <c r="A2485" s="1">
        <v>44489</v>
      </c>
      <c r="B2485">
        <v>114528</v>
      </c>
      <c r="C2485">
        <v>57702</v>
      </c>
      <c r="D2485">
        <v>56826</v>
      </c>
      <c r="E2485">
        <v>71356667</v>
      </c>
      <c r="F2485">
        <v>69276132</v>
      </c>
      <c r="G2485">
        <v>140632799</v>
      </c>
      <c r="H2485">
        <v>27187</v>
      </c>
      <c r="I2485">
        <v>9253</v>
      </c>
      <c r="J2485">
        <v>36440</v>
      </c>
      <c r="K2485" t="b">
        <f>TrafficData[[#This Row],[disposedChallan]]+TrafficData[[#This Row],[pendingChallan]]=TrafficData[[#This Row],[totalChallan]]</f>
        <v>1</v>
      </c>
      <c r="L2485" t="b">
        <f>TrafficData[[#This Row],[pendingAmount]]+TrafficData[[#This Row],[disposedAmount]]=TrafficData[[#This Row],[totalAmount]]</f>
        <v>1</v>
      </c>
      <c r="M2485" t="b">
        <f>TrafficData[[#This Row],[pendingCourt]]+TrafficData[[#This Row],[disposedCourt]]=TrafficData[[#This Row],[totalCourt]]</f>
        <v>1</v>
      </c>
      <c r="N2485" t="b">
        <f>AND(TrafficData[[#This Row],[disposedChallan]]&lt;=TrafficData[[#This Row],[totalChallan]],TrafficData[[#This Row],[pendingChallan]]&lt;=TrafficData[[#This Row],[totalChallan]])</f>
        <v>1</v>
      </c>
      <c r="O2485" t="b">
        <f>AND(TrafficData[[#This Row],[pendingAmount]]&lt;=TrafficData[[#This Row],[totalAmount]],TrafficData[[#This Row],[disposedAmount]]&lt;=TrafficData[[#This Row],[totalAmount]])</f>
        <v>1</v>
      </c>
      <c r="P2485" t="b">
        <f>AND(TrafficData[[#This Row],[pendingCourt]]&lt;=TrafficData[[#This Row],[totalCourt]],TrafficData[[#This Row],[disposedCourt]]&lt;=TrafficData[[#This Row],[totalCourt]])</f>
        <v>1</v>
      </c>
    </row>
    <row r="2486" spans="1:16">
      <c r="A2486" s="1">
        <v>44490</v>
      </c>
      <c r="B2486">
        <v>119047</v>
      </c>
      <c r="C2486">
        <v>58572</v>
      </c>
      <c r="D2486">
        <v>60475</v>
      </c>
      <c r="E2486">
        <v>74962594</v>
      </c>
      <c r="F2486">
        <v>72341421</v>
      </c>
      <c r="G2486">
        <v>147304015</v>
      </c>
      <c r="H2486">
        <v>29597</v>
      </c>
      <c r="I2486">
        <v>9591</v>
      </c>
      <c r="J2486">
        <v>39188</v>
      </c>
      <c r="K2486" t="b">
        <f>TrafficData[[#This Row],[disposedChallan]]+TrafficData[[#This Row],[pendingChallan]]=TrafficData[[#This Row],[totalChallan]]</f>
        <v>1</v>
      </c>
      <c r="L2486" t="b">
        <f>TrafficData[[#This Row],[pendingAmount]]+TrafficData[[#This Row],[disposedAmount]]=TrafficData[[#This Row],[totalAmount]]</f>
        <v>1</v>
      </c>
      <c r="M2486" t="b">
        <f>TrafficData[[#This Row],[pendingCourt]]+TrafficData[[#This Row],[disposedCourt]]=TrafficData[[#This Row],[totalCourt]]</f>
        <v>1</v>
      </c>
      <c r="N2486" t="b">
        <f>AND(TrafficData[[#This Row],[disposedChallan]]&lt;=TrafficData[[#This Row],[totalChallan]],TrafficData[[#This Row],[pendingChallan]]&lt;=TrafficData[[#This Row],[totalChallan]])</f>
        <v>1</v>
      </c>
      <c r="O2486" t="b">
        <f>AND(TrafficData[[#This Row],[pendingAmount]]&lt;=TrafficData[[#This Row],[totalAmount]],TrafficData[[#This Row],[disposedAmount]]&lt;=TrafficData[[#This Row],[totalAmount]])</f>
        <v>1</v>
      </c>
      <c r="P2486" t="b">
        <f>AND(TrafficData[[#This Row],[pendingCourt]]&lt;=TrafficData[[#This Row],[totalCourt]],TrafficData[[#This Row],[disposedCourt]]&lt;=TrafficData[[#This Row],[totalCourt]])</f>
        <v>1</v>
      </c>
    </row>
    <row r="2487" spans="1:16">
      <c r="A2487" s="1">
        <v>44491</v>
      </c>
      <c r="B2487">
        <v>115657</v>
      </c>
      <c r="C2487">
        <v>58535</v>
      </c>
      <c r="D2487">
        <v>57122</v>
      </c>
      <c r="E2487">
        <v>78458991</v>
      </c>
      <c r="F2487">
        <v>75152599</v>
      </c>
      <c r="G2487">
        <v>153611590</v>
      </c>
      <c r="H2487">
        <v>27866</v>
      </c>
      <c r="I2487">
        <v>9287</v>
      </c>
      <c r="J2487">
        <v>37153</v>
      </c>
      <c r="K2487" t="b">
        <f>TrafficData[[#This Row],[disposedChallan]]+TrafficData[[#This Row],[pendingChallan]]=TrafficData[[#This Row],[totalChallan]]</f>
        <v>1</v>
      </c>
      <c r="L2487" t="b">
        <f>TrafficData[[#This Row],[pendingAmount]]+TrafficData[[#This Row],[disposedAmount]]=TrafficData[[#This Row],[totalAmount]]</f>
        <v>1</v>
      </c>
      <c r="M2487" t="b">
        <f>TrafficData[[#This Row],[pendingCourt]]+TrafficData[[#This Row],[disposedCourt]]=TrafficData[[#This Row],[totalCourt]]</f>
        <v>1</v>
      </c>
      <c r="N2487" t="b">
        <f>AND(TrafficData[[#This Row],[disposedChallan]]&lt;=TrafficData[[#This Row],[totalChallan]],TrafficData[[#This Row],[pendingChallan]]&lt;=TrafficData[[#This Row],[totalChallan]])</f>
        <v>1</v>
      </c>
      <c r="O2487" t="b">
        <f>AND(TrafficData[[#This Row],[pendingAmount]]&lt;=TrafficData[[#This Row],[totalAmount]],TrafficData[[#This Row],[disposedAmount]]&lt;=TrafficData[[#This Row],[totalAmount]])</f>
        <v>1</v>
      </c>
      <c r="P2487" t="b">
        <f>AND(TrafficData[[#This Row],[pendingCourt]]&lt;=TrafficData[[#This Row],[totalCourt]],TrafficData[[#This Row],[disposedCourt]]&lt;=TrafficData[[#This Row],[totalCourt]])</f>
        <v>1</v>
      </c>
    </row>
    <row r="2488" spans="1:16">
      <c r="A2488" s="1">
        <v>44492</v>
      </c>
      <c r="B2488">
        <v>117272</v>
      </c>
      <c r="C2488">
        <v>58272</v>
      </c>
      <c r="D2488">
        <v>59000</v>
      </c>
      <c r="E2488">
        <v>79152489</v>
      </c>
      <c r="F2488">
        <v>72436582</v>
      </c>
      <c r="G2488">
        <v>151589071</v>
      </c>
      <c r="H2488">
        <v>27967</v>
      </c>
      <c r="I2488">
        <v>9644</v>
      </c>
      <c r="J2488">
        <v>37611</v>
      </c>
      <c r="K2488" t="b">
        <f>TrafficData[[#This Row],[disposedChallan]]+TrafficData[[#This Row],[pendingChallan]]=TrafficData[[#This Row],[totalChallan]]</f>
        <v>1</v>
      </c>
      <c r="L2488" t="b">
        <f>TrafficData[[#This Row],[pendingAmount]]+TrafficData[[#This Row],[disposedAmount]]=TrafficData[[#This Row],[totalAmount]]</f>
        <v>1</v>
      </c>
      <c r="M2488" t="b">
        <f>TrafficData[[#This Row],[pendingCourt]]+TrafficData[[#This Row],[disposedCourt]]=TrafficData[[#This Row],[totalCourt]]</f>
        <v>1</v>
      </c>
      <c r="N2488" t="b">
        <f>AND(TrafficData[[#This Row],[disposedChallan]]&lt;=TrafficData[[#This Row],[totalChallan]],TrafficData[[#This Row],[pendingChallan]]&lt;=TrafficData[[#This Row],[totalChallan]])</f>
        <v>1</v>
      </c>
      <c r="O2488" t="b">
        <f>AND(TrafficData[[#This Row],[pendingAmount]]&lt;=TrafficData[[#This Row],[totalAmount]],TrafficData[[#This Row],[disposedAmount]]&lt;=TrafficData[[#This Row],[totalAmount]])</f>
        <v>1</v>
      </c>
      <c r="P2488" t="b">
        <f>AND(TrafficData[[#This Row],[pendingCourt]]&lt;=TrafficData[[#This Row],[totalCourt]],TrafficData[[#This Row],[disposedCourt]]&lt;=TrafficData[[#This Row],[totalCourt]])</f>
        <v>1</v>
      </c>
    </row>
    <row r="2489" spans="1:16">
      <c r="A2489" s="1">
        <v>44493</v>
      </c>
      <c r="B2489">
        <v>95024</v>
      </c>
      <c r="C2489">
        <v>44580</v>
      </c>
      <c r="D2489">
        <v>50444</v>
      </c>
      <c r="E2489">
        <v>52180770</v>
      </c>
      <c r="F2489">
        <v>46965014</v>
      </c>
      <c r="G2489">
        <v>99145784</v>
      </c>
      <c r="H2489">
        <v>20614</v>
      </c>
      <c r="I2489">
        <v>7015</v>
      </c>
      <c r="J2489">
        <v>27629</v>
      </c>
      <c r="K2489" t="b">
        <f>TrafficData[[#This Row],[disposedChallan]]+TrafficData[[#This Row],[pendingChallan]]=TrafficData[[#This Row],[totalChallan]]</f>
        <v>1</v>
      </c>
      <c r="L2489" t="b">
        <f>TrafficData[[#This Row],[pendingAmount]]+TrafficData[[#This Row],[disposedAmount]]=TrafficData[[#This Row],[totalAmount]]</f>
        <v>1</v>
      </c>
      <c r="M2489" t="b">
        <f>TrafficData[[#This Row],[pendingCourt]]+TrafficData[[#This Row],[disposedCourt]]=TrafficData[[#This Row],[totalCourt]]</f>
        <v>1</v>
      </c>
      <c r="N2489" t="b">
        <f>AND(TrafficData[[#This Row],[disposedChallan]]&lt;=TrafficData[[#This Row],[totalChallan]],TrafficData[[#This Row],[pendingChallan]]&lt;=TrafficData[[#This Row],[totalChallan]])</f>
        <v>1</v>
      </c>
      <c r="O2489" t="b">
        <f>AND(TrafficData[[#This Row],[pendingAmount]]&lt;=TrafficData[[#This Row],[totalAmount]],TrafficData[[#This Row],[disposedAmount]]&lt;=TrafficData[[#This Row],[totalAmount]])</f>
        <v>1</v>
      </c>
      <c r="P2489" t="b">
        <f>AND(TrafficData[[#This Row],[pendingCourt]]&lt;=TrafficData[[#This Row],[totalCourt]],TrafficData[[#This Row],[disposedCourt]]&lt;=TrafficData[[#This Row],[totalCourt]])</f>
        <v>1</v>
      </c>
    </row>
    <row r="2490" spans="1:16">
      <c r="A2490" s="1">
        <v>44494</v>
      </c>
      <c r="B2490">
        <v>113387</v>
      </c>
      <c r="C2490">
        <v>56116</v>
      </c>
      <c r="D2490">
        <v>57271</v>
      </c>
      <c r="E2490">
        <v>68079322</v>
      </c>
      <c r="F2490">
        <v>59922156</v>
      </c>
      <c r="G2490">
        <v>128001478</v>
      </c>
      <c r="H2490">
        <v>24332</v>
      </c>
      <c r="I2490">
        <v>8353</v>
      </c>
      <c r="J2490">
        <v>32685</v>
      </c>
      <c r="K2490" t="b">
        <f>TrafficData[[#This Row],[disposedChallan]]+TrafficData[[#This Row],[pendingChallan]]=TrafficData[[#This Row],[totalChallan]]</f>
        <v>1</v>
      </c>
      <c r="L2490" t="b">
        <f>TrafficData[[#This Row],[pendingAmount]]+TrafficData[[#This Row],[disposedAmount]]=TrafficData[[#This Row],[totalAmount]]</f>
        <v>1</v>
      </c>
      <c r="M2490" t="b">
        <f>TrafficData[[#This Row],[pendingCourt]]+TrafficData[[#This Row],[disposedCourt]]=TrafficData[[#This Row],[totalCourt]]</f>
        <v>1</v>
      </c>
      <c r="N2490" t="b">
        <f>AND(TrafficData[[#This Row],[disposedChallan]]&lt;=TrafficData[[#This Row],[totalChallan]],TrafficData[[#This Row],[pendingChallan]]&lt;=TrafficData[[#This Row],[totalChallan]])</f>
        <v>1</v>
      </c>
      <c r="O2490" t="b">
        <f>AND(TrafficData[[#This Row],[pendingAmount]]&lt;=TrafficData[[#This Row],[totalAmount]],TrafficData[[#This Row],[disposedAmount]]&lt;=TrafficData[[#This Row],[totalAmount]])</f>
        <v>1</v>
      </c>
      <c r="P2490" t="b">
        <f>AND(TrafficData[[#This Row],[pendingCourt]]&lt;=TrafficData[[#This Row],[totalCourt]],TrafficData[[#This Row],[disposedCourt]]&lt;=TrafficData[[#This Row],[totalCourt]])</f>
        <v>1</v>
      </c>
    </row>
    <row r="2491" spans="1:16">
      <c r="A2491" s="1">
        <v>44495</v>
      </c>
      <c r="B2491">
        <v>113807</v>
      </c>
      <c r="C2491">
        <v>58986</v>
      </c>
      <c r="D2491">
        <v>54821</v>
      </c>
      <c r="E2491">
        <v>73787247</v>
      </c>
      <c r="F2491">
        <v>74161956</v>
      </c>
      <c r="G2491">
        <v>147949203</v>
      </c>
      <c r="H2491">
        <v>26257</v>
      </c>
      <c r="I2491">
        <v>9145</v>
      </c>
      <c r="J2491">
        <v>35402</v>
      </c>
      <c r="K2491" t="b">
        <f>TrafficData[[#This Row],[disposedChallan]]+TrafficData[[#This Row],[pendingChallan]]=TrafficData[[#This Row],[totalChallan]]</f>
        <v>1</v>
      </c>
      <c r="L2491" t="b">
        <f>TrafficData[[#This Row],[pendingAmount]]+TrafficData[[#This Row],[disposedAmount]]=TrafficData[[#This Row],[totalAmount]]</f>
        <v>1</v>
      </c>
      <c r="M2491" t="b">
        <f>TrafficData[[#This Row],[pendingCourt]]+TrafficData[[#This Row],[disposedCourt]]=TrafficData[[#This Row],[totalCourt]]</f>
        <v>1</v>
      </c>
      <c r="N2491" t="b">
        <f>AND(TrafficData[[#This Row],[disposedChallan]]&lt;=TrafficData[[#This Row],[totalChallan]],TrafficData[[#This Row],[pendingChallan]]&lt;=TrafficData[[#This Row],[totalChallan]])</f>
        <v>1</v>
      </c>
      <c r="O2491" t="b">
        <f>AND(TrafficData[[#This Row],[pendingAmount]]&lt;=TrafficData[[#This Row],[totalAmount]],TrafficData[[#This Row],[disposedAmount]]&lt;=TrafficData[[#This Row],[totalAmount]])</f>
        <v>1</v>
      </c>
      <c r="P2491" t="b">
        <f>AND(TrafficData[[#This Row],[pendingCourt]]&lt;=TrafficData[[#This Row],[totalCourt]],TrafficData[[#This Row],[disposedCourt]]&lt;=TrafficData[[#This Row],[totalCourt]])</f>
        <v>1</v>
      </c>
    </row>
    <row r="2492" spans="1:16">
      <c r="A2492" s="1">
        <v>44496</v>
      </c>
      <c r="B2492">
        <v>108578</v>
      </c>
      <c r="C2492">
        <v>55540</v>
      </c>
      <c r="D2492">
        <v>53038</v>
      </c>
      <c r="E2492">
        <v>72758227</v>
      </c>
      <c r="F2492">
        <v>71548896</v>
      </c>
      <c r="G2492">
        <v>144307123</v>
      </c>
      <c r="H2492">
        <v>27346</v>
      </c>
      <c r="I2492">
        <v>9621</v>
      </c>
      <c r="J2492">
        <v>36967</v>
      </c>
      <c r="K2492" t="b">
        <f>TrafficData[[#This Row],[disposedChallan]]+TrafficData[[#This Row],[pendingChallan]]=TrafficData[[#This Row],[totalChallan]]</f>
        <v>1</v>
      </c>
      <c r="L2492" t="b">
        <f>TrafficData[[#This Row],[pendingAmount]]+TrafficData[[#This Row],[disposedAmount]]=TrafficData[[#This Row],[totalAmount]]</f>
        <v>1</v>
      </c>
      <c r="M2492" t="b">
        <f>TrafficData[[#This Row],[pendingCourt]]+TrafficData[[#This Row],[disposedCourt]]=TrafficData[[#This Row],[totalCourt]]</f>
        <v>1</v>
      </c>
      <c r="N2492" t="b">
        <f>AND(TrafficData[[#This Row],[disposedChallan]]&lt;=TrafficData[[#This Row],[totalChallan]],TrafficData[[#This Row],[pendingChallan]]&lt;=TrafficData[[#This Row],[totalChallan]])</f>
        <v>1</v>
      </c>
      <c r="O2492" t="b">
        <f>AND(TrafficData[[#This Row],[pendingAmount]]&lt;=TrafficData[[#This Row],[totalAmount]],TrafficData[[#This Row],[disposedAmount]]&lt;=TrafficData[[#This Row],[totalAmount]])</f>
        <v>1</v>
      </c>
      <c r="P2492" t="b">
        <f>AND(TrafficData[[#This Row],[pendingCourt]]&lt;=TrafficData[[#This Row],[totalCourt]],TrafficData[[#This Row],[disposedCourt]]&lt;=TrafficData[[#This Row],[totalCourt]])</f>
        <v>1</v>
      </c>
    </row>
    <row r="2493" spans="1:16">
      <c r="A2493" s="1">
        <v>44497</v>
      </c>
      <c r="B2493">
        <v>106796</v>
      </c>
      <c r="C2493">
        <v>54199</v>
      </c>
      <c r="D2493">
        <v>52597</v>
      </c>
      <c r="E2493">
        <v>75665546</v>
      </c>
      <c r="F2493">
        <v>69721069</v>
      </c>
      <c r="G2493">
        <v>145386615</v>
      </c>
      <c r="H2493">
        <v>26471</v>
      </c>
      <c r="I2493">
        <v>8926</v>
      </c>
      <c r="J2493">
        <v>35397</v>
      </c>
      <c r="K2493" t="b">
        <f>TrafficData[[#This Row],[disposedChallan]]+TrafficData[[#This Row],[pendingChallan]]=TrafficData[[#This Row],[totalChallan]]</f>
        <v>1</v>
      </c>
      <c r="L2493" t="b">
        <f>TrafficData[[#This Row],[pendingAmount]]+TrafficData[[#This Row],[disposedAmount]]=TrafficData[[#This Row],[totalAmount]]</f>
        <v>1</v>
      </c>
      <c r="M2493" t="b">
        <f>TrafficData[[#This Row],[pendingCourt]]+TrafficData[[#This Row],[disposedCourt]]=TrafficData[[#This Row],[totalCourt]]</f>
        <v>1</v>
      </c>
      <c r="N2493" t="b">
        <f>AND(TrafficData[[#This Row],[disposedChallan]]&lt;=TrafficData[[#This Row],[totalChallan]],TrafficData[[#This Row],[pendingChallan]]&lt;=TrafficData[[#This Row],[totalChallan]])</f>
        <v>1</v>
      </c>
      <c r="O2493" t="b">
        <f>AND(TrafficData[[#This Row],[pendingAmount]]&lt;=TrafficData[[#This Row],[totalAmount]],TrafficData[[#This Row],[disposedAmount]]&lt;=TrafficData[[#This Row],[totalAmount]])</f>
        <v>1</v>
      </c>
      <c r="P2493" t="b">
        <f>AND(TrafficData[[#This Row],[pendingCourt]]&lt;=TrafficData[[#This Row],[totalCourt]],TrafficData[[#This Row],[disposedCourt]]&lt;=TrafficData[[#This Row],[totalCourt]])</f>
        <v>1</v>
      </c>
    </row>
    <row r="2494" spans="1:16">
      <c r="A2494" s="1">
        <v>44498</v>
      </c>
      <c r="B2494">
        <v>111053</v>
      </c>
      <c r="C2494">
        <v>56368</v>
      </c>
      <c r="D2494">
        <v>54685</v>
      </c>
      <c r="E2494">
        <v>73096195</v>
      </c>
      <c r="F2494">
        <v>74371373</v>
      </c>
      <c r="G2494">
        <v>147467568</v>
      </c>
      <c r="H2494">
        <v>28357</v>
      </c>
      <c r="I2494">
        <v>9772</v>
      </c>
      <c r="J2494">
        <v>38129</v>
      </c>
      <c r="K2494" t="b">
        <f>TrafficData[[#This Row],[disposedChallan]]+TrafficData[[#This Row],[pendingChallan]]=TrafficData[[#This Row],[totalChallan]]</f>
        <v>1</v>
      </c>
      <c r="L2494" t="b">
        <f>TrafficData[[#This Row],[pendingAmount]]+TrafficData[[#This Row],[disposedAmount]]=TrafficData[[#This Row],[totalAmount]]</f>
        <v>1</v>
      </c>
      <c r="M2494" t="b">
        <f>TrafficData[[#This Row],[pendingCourt]]+TrafficData[[#This Row],[disposedCourt]]=TrafficData[[#This Row],[totalCourt]]</f>
        <v>1</v>
      </c>
      <c r="N2494" t="b">
        <f>AND(TrafficData[[#This Row],[disposedChallan]]&lt;=TrafficData[[#This Row],[totalChallan]],TrafficData[[#This Row],[pendingChallan]]&lt;=TrafficData[[#This Row],[totalChallan]])</f>
        <v>1</v>
      </c>
      <c r="O2494" t="b">
        <f>AND(TrafficData[[#This Row],[pendingAmount]]&lt;=TrafficData[[#This Row],[totalAmount]],TrafficData[[#This Row],[disposedAmount]]&lt;=TrafficData[[#This Row],[totalAmount]])</f>
        <v>1</v>
      </c>
      <c r="P2494" t="b">
        <f>AND(TrafficData[[#This Row],[pendingCourt]]&lt;=TrafficData[[#This Row],[totalCourt]],TrafficData[[#This Row],[disposedCourt]]&lt;=TrafficData[[#This Row],[totalCourt]])</f>
        <v>1</v>
      </c>
    </row>
    <row r="2495" spans="1:16">
      <c r="A2495" s="1">
        <v>44499</v>
      </c>
      <c r="B2495">
        <v>115659</v>
      </c>
      <c r="C2495">
        <v>57951</v>
      </c>
      <c r="D2495">
        <v>57708</v>
      </c>
      <c r="E2495">
        <v>75668001</v>
      </c>
      <c r="F2495">
        <v>74523662</v>
      </c>
      <c r="G2495">
        <v>150191663</v>
      </c>
      <c r="H2495">
        <v>30604</v>
      </c>
      <c r="I2495">
        <v>10684</v>
      </c>
      <c r="J2495">
        <v>41288</v>
      </c>
      <c r="K2495" t="b">
        <f>TrafficData[[#This Row],[disposedChallan]]+TrafficData[[#This Row],[pendingChallan]]=TrafficData[[#This Row],[totalChallan]]</f>
        <v>1</v>
      </c>
      <c r="L2495" t="b">
        <f>TrafficData[[#This Row],[pendingAmount]]+TrafficData[[#This Row],[disposedAmount]]=TrafficData[[#This Row],[totalAmount]]</f>
        <v>1</v>
      </c>
      <c r="M2495" t="b">
        <f>TrafficData[[#This Row],[pendingCourt]]+TrafficData[[#This Row],[disposedCourt]]=TrafficData[[#This Row],[totalCourt]]</f>
        <v>1</v>
      </c>
      <c r="N2495" t="b">
        <f>AND(TrafficData[[#This Row],[disposedChallan]]&lt;=TrafficData[[#This Row],[totalChallan]],TrafficData[[#This Row],[pendingChallan]]&lt;=TrafficData[[#This Row],[totalChallan]])</f>
        <v>1</v>
      </c>
      <c r="O2495" t="b">
        <f>AND(TrafficData[[#This Row],[pendingAmount]]&lt;=TrafficData[[#This Row],[totalAmount]],TrafficData[[#This Row],[disposedAmount]]&lt;=TrafficData[[#This Row],[totalAmount]])</f>
        <v>1</v>
      </c>
      <c r="P2495" t="b">
        <f>AND(TrafficData[[#This Row],[pendingCourt]]&lt;=TrafficData[[#This Row],[totalCourt]],TrafficData[[#This Row],[disposedCourt]]&lt;=TrafficData[[#This Row],[totalCourt]])</f>
        <v>1</v>
      </c>
    </row>
    <row r="2496" spans="1:16">
      <c r="A2496" s="1">
        <v>44500</v>
      </c>
      <c r="B2496">
        <v>103071</v>
      </c>
      <c r="C2496">
        <v>49806</v>
      </c>
      <c r="D2496">
        <v>53265</v>
      </c>
      <c r="E2496">
        <v>61038408</v>
      </c>
      <c r="F2496">
        <v>52748887</v>
      </c>
      <c r="G2496">
        <v>113787295</v>
      </c>
      <c r="H2496">
        <v>27181</v>
      </c>
      <c r="I2496">
        <v>9463</v>
      </c>
      <c r="J2496">
        <v>36644</v>
      </c>
      <c r="K2496" t="b">
        <f>TrafficData[[#This Row],[disposedChallan]]+TrafficData[[#This Row],[pendingChallan]]=TrafficData[[#This Row],[totalChallan]]</f>
        <v>1</v>
      </c>
      <c r="L2496" t="b">
        <f>TrafficData[[#This Row],[pendingAmount]]+TrafficData[[#This Row],[disposedAmount]]=TrafficData[[#This Row],[totalAmount]]</f>
        <v>1</v>
      </c>
      <c r="M2496" t="b">
        <f>TrafficData[[#This Row],[pendingCourt]]+TrafficData[[#This Row],[disposedCourt]]=TrafficData[[#This Row],[totalCourt]]</f>
        <v>1</v>
      </c>
      <c r="N2496" t="b">
        <f>AND(TrafficData[[#This Row],[disposedChallan]]&lt;=TrafficData[[#This Row],[totalChallan]],TrafficData[[#This Row],[pendingChallan]]&lt;=TrafficData[[#This Row],[totalChallan]])</f>
        <v>1</v>
      </c>
      <c r="O2496" t="b">
        <f>AND(TrafficData[[#This Row],[pendingAmount]]&lt;=TrafficData[[#This Row],[totalAmount]],TrafficData[[#This Row],[disposedAmount]]&lt;=TrafficData[[#This Row],[totalAmount]])</f>
        <v>1</v>
      </c>
      <c r="P2496" t="b">
        <f>AND(TrafficData[[#This Row],[pendingCourt]]&lt;=TrafficData[[#This Row],[totalCourt]],TrafficData[[#This Row],[disposedCourt]]&lt;=TrafficData[[#This Row],[totalCourt]])</f>
        <v>1</v>
      </c>
    </row>
    <row r="2497" spans="1:16">
      <c r="A2497" s="1">
        <v>44501</v>
      </c>
      <c r="B2497">
        <v>110529</v>
      </c>
      <c r="C2497">
        <v>53784</v>
      </c>
      <c r="D2497">
        <v>56745</v>
      </c>
      <c r="E2497">
        <v>69899831</v>
      </c>
      <c r="F2497">
        <v>67994426</v>
      </c>
      <c r="G2497">
        <v>137894257</v>
      </c>
      <c r="H2497">
        <v>30212</v>
      </c>
      <c r="I2497">
        <v>10437</v>
      </c>
      <c r="J2497">
        <v>40649</v>
      </c>
      <c r="K2497" t="b">
        <f>TrafficData[[#This Row],[disposedChallan]]+TrafficData[[#This Row],[pendingChallan]]=TrafficData[[#This Row],[totalChallan]]</f>
        <v>1</v>
      </c>
      <c r="L2497" t="b">
        <f>TrafficData[[#This Row],[pendingAmount]]+TrafficData[[#This Row],[disposedAmount]]=TrafficData[[#This Row],[totalAmount]]</f>
        <v>1</v>
      </c>
      <c r="M2497" t="b">
        <f>TrafficData[[#This Row],[pendingCourt]]+TrafficData[[#This Row],[disposedCourt]]=TrafficData[[#This Row],[totalCourt]]</f>
        <v>1</v>
      </c>
      <c r="N2497" t="b">
        <f>AND(TrafficData[[#This Row],[disposedChallan]]&lt;=TrafficData[[#This Row],[totalChallan]],TrafficData[[#This Row],[pendingChallan]]&lt;=TrafficData[[#This Row],[totalChallan]])</f>
        <v>1</v>
      </c>
      <c r="O2497" t="b">
        <f>AND(TrafficData[[#This Row],[pendingAmount]]&lt;=TrafficData[[#This Row],[totalAmount]],TrafficData[[#This Row],[disposedAmount]]&lt;=TrafficData[[#This Row],[totalAmount]])</f>
        <v>1</v>
      </c>
      <c r="P2497" t="b">
        <f>AND(TrafficData[[#This Row],[pendingCourt]]&lt;=TrafficData[[#This Row],[totalCourt]],TrafficData[[#This Row],[disposedCourt]]&lt;=TrafficData[[#This Row],[totalCourt]])</f>
        <v>1</v>
      </c>
    </row>
    <row r="2498" spans="1:16">
      <c r="A2498" s="1">
        <v>44502</v>
      </c>
      <c r="B2498">
        <v>117953</v>
      </c>
      <c r="C2498">
        <v>55661</v>
      </c>
      <c r="D2498">
        <v>62292</v>
      </c>
      <c r="E2498">
        <v>76212801</v>
      </c>
      <c r="F2498">
        <v>69814601</v>
      </c>
      <c r="G2498">
        <v>146027402</v>
      </c>
      <c r="H2498">
        <v>33125</v>
      </c>
      <c r="I2498">
        <v>11366</v>
      </c>
      <c r="J2498">
        <v>44491</v>
      </c>
      <c r="K2498" t="b">
        <f>TrafficData[[#This Row],[disposedChallan]]+TrafficData[[#This Row],[pendingChallan]]=TrafficData[[#This Row],[totalChallan]]</f>
        <v>1</v>
      </c>
      <c r="L2498" t="b">
        <f>TrafficData[[#This Row],[pendingAmount]]+TrafficData[[#This Row],[disposedAmount]]=TrafficData[[#This Row],[totalAmount]]</f>
        <v>1</v>
      </c>
      <c r="M2498" t="b">
        <f>TrafficData[[#This Row],[pendingCourt]]+TrafficData[[#This Row],[disposedCourt]]=TrafficData[[#This Row],[totalCourt]]</f>
        <v>1</v>
      </c>
      <c r="N2498" t="b">
        <f>AND(TrafficData[[#This Row],[disposedChallan]]&lt;=TrafficData[[#This Row],[totalChallan]],TrafficData[[#This Row],[pendingChallan]]&lt;=TrafficData[[#This Row],[totalChallan]])</f>
        <v>1</v>
      </c>
      <c r="O2498" t="b">
        <f>AND(TrafficData[[#This Row],[pendingAmount]]&lt;=TrafficData[[#This Row],[totalAmount]],TrafficData[[#This Row],[disposedAmount]]&lt;=TrafficData[[#This Row],[totalAmount]])</f>
        <v>1</v>
      </c>
      <c r="P2498" t="b">
        <f>AND(TrafficData[[#This Row],[pendingCourt]]&lt;=TrafficData[[#This Row],[totalCourt]],TrafficData[[#This Row],[disposedCourt]]&lt;=TrafficData[[#This Row],[totalCourt]])</f>
        <v>1</v>
      </c>
    </row>
    <row r="2499" spans="1:16">
      <c r="A2499" s="1">
        <v>44503</v>
      </c>
      <c r="B2499">
        <v>101670</v>
      </c>
      <c r="C2499">
        <v>46986</v>
      </c>
      <c r="D2499">
        <v>54684</v>
      </c>
      <c r="E2499">
        <v>65731733</v>
      </c>
      <c r="F2499">
        <v>49464448</v>
      </c>
      <c r="G2499">
        <v>115196181</v>
      </c>
      <c r="H2499">
        <v>29046</v>
      </c>
      <c r="I2499">
        <v>9806</v>
      </c>
      <c r="J2499">
        <v>38852</v>
      </c>
      <c r="K2499" t="b">
        <f>TrafficData[[#This Row],[disposedChallan]]+TrafficData[[#This Row],[pendingChallan]]=TrafficData[[#This Row],[totalChallan]]</f>
        <v>1</v>
      </c>
      <c r="L2499" t="b">
        <f>TrafficData[[#This Row],[pendingAmount]]+TrafficData[[#This Row],[disposedAmount]]=TrafficData[[#This Row],[totalAmount]]</f>
        <v>1</v>
      </c>
      <c r="M2499" t="b">
        <f>TrafficData[[#This Row],[pendingCourt]]+TrafficData[[#This Row],[disposedCourt]]=TrafficData[[#This Row],[totalCourt]]</f>
        <v>1</v>
      </c>
      <c r="N2499" t="b">
        <f>AND(TrafficData[[#This Row],[disposedChallan]]&lt;=TrafficData[[#This Row],[totalChallan]],TrafficData[[#This Row],[pendingChallan]]&lt;=TrafficData[[#This Row],[totalChallan]])</f>
        <v>1</v>
      </c>
      <c r="O2499" t="b">
        <f>AND(TrafficData[[#This Row],[pendingAmount]]&lt;=TrafficData[[#This Row],[totalAmount]],TrafficData[[#This Row],[disposedAmount]]&lt;=TrafficData[[#This Row],[totalAmount]])</f>
        <v>1</v>
      </c>
      <c r="P2499" t="b">
        <f>AND(TrafficData[[#This Row],[pendingCourt]]&lt;=TrafficData[[#This Row],[totalCourt]],TrafficData[[#This Row],[disposedCourt]]&lt;=TrafficData[[#This Row],[totalCourt]])</f>
        <v>1</v>
      </c>
    </row>
    <row r="2500" spans="1:16">
      <c r="A2500" s="1">
        <v>44504</v>
      </c>
      <c r="B2500">
        <v>67907</v>
      </c>
      <c r="C2500">
        <v>28766</v>
      </c>
      <c r="D2500">
        <v>39141</v>
      </c>
      <c r="E2500">
        <v>44240538</v>
      </c>
      <c r="F2500">
        <v>26657101</v>
      </c>
      <c r="G2500">
        <v>70897639</v>
      </c>
      <c r="H2500">
        <v>22105</v>
      </c>
      <c r="I2500">
        <v>6632</v>
      </c>
      <c r="J2500">
        <v>28737</v>
      </c>
      <c r="K2500" t="b">
        <f>TrafficData[[#This Row],[disposedChallan]]+TrafficData[[#This Row],[pendingChallan]]=TrafficData[[#This Row],[totalChallan]]</f>
        <v>1</v>
      </c>
      <c r="L2500" t="b">
        <f>TrafficData[[#This Row],[pendingAmount]]+TrafficData[[#This Row],[disposedAmount]]=TrafficData[[#This Row],[totalAmount]]</f>
        <v>1</v>
      </c>
      <c r="M2500" t="b">
        <f>TrafficData[[#This Row],[pendingCourt]]+TrafficData[[#This Row],[disposedCourt]]=TrafficData[[#This Row],[totalCourt]]</f>
        <v>1</v>
      </c>
      <c r="N2500" t="b">
        <f>AND(TrafficData[[#This Row],[disposedChallan]]&lt;=TrafficData[[#This Row],[totalChallan]],TrafficData[[#This Row],[pendingChallan]]&lt;=TrafficData[[#This Row],[totalChallan]])</f>
        <v>1</v>
      </c>
      <c r="O2500" t="b">
        <f>AND(TrafficData[[#This Row],[pendingAmount]]&lt;=TrafficData[[#This Row],[totalAmount]],TrafficData[[#This Row],[disposedAmount]]&lt;=TrafficData[[#This Row],[totalAmount]])</f>
        <v>1</v>
      </c>
      <c r="P2500" t="b">
        <f>AND(TrafficData[[#This Row],[pendingCourt]]&lt;=TrafficData[[#This Row],[totalCourt]],TrafficData[[#This Row],[disposedCourt]]&lt;=TrafficData[[#This Row],[totalCourt]])</f>
        <v>1</v>
      </c>
    </row>
    <row r="2501" spans="1:16">
      <c r="A2501" s="1">
        <v>44505</v>
      </c>
      <c r="B2501">
        <v>105421</v>
      </c>
      <c r="C2501">
        <v>46507</v>
      </c>
      <c r="D2501">
        <v>58914</v>
      </c>
      <c r="E2501">
        <v>53408275</v>
      </c>
      <c r="F2501">
        <v>41240041</v>
      </c>
      <c r="G2501">
        <v>94648316</v>
      </c>
      <c r="H2501">
        <v>23806</v>
      </c>
      <c r="I2501">
        <v>8076</v>
      </c>
      <c r="J2501">
        <v>31882</v>
      </c>
      <c r="K2501" t="b">
        <f>TrafficData[[#This Row],[disposedChallan]]+TrafficData[[#This Row],[pendingChallan]]=TrafficData[[#This Row],[totalChallan]]</f>
        <v>1</v>
      </c>
      <c r="L2501" t="b">
        <f>TrafficData[[#This Row],[pendingAmount]]+TrafficData[[#This Row],[disposedAmount]]=TrafficData[[#This Row],[totalAmount]]</f>
        <v>1</v>
      </c>
      <c r="M2501" t="b">
        <f>TrafficData[[#This Row],[pendingCourt]]+TrafficData[[#This Row],[disposedCourt]]=TrafficData[[#This Row],[totalCourt]]</f>
        <v>1</v>
      </c>
      <c r="N2501" t="b">
        <f>AND(TrafficData[[#This Row],[disposedChallan]]&lt;=TrafficData[[#This Row],[totalChallan]],TrafficData[[#This Row],[pendingChallan]]&lt;=TrafficData[[#This Row],[totalChallan]])</f>
        <v>1</v>
      </c>
      <c r="O2501" t="b">
        <f>AND(TrafficData[[#This Row],[pendingAmount]]&lt;=TrafficData[[#This Row],[totalAmount]],TrafficData[[#This Row],[disposedAmount]]&lt;=TrafficData[[#This Row],[totalAmount]])</f>
        <v>1</v>
      </c>
      <c r="P2501" t="b">
        <f>AND(TrafficData[[#This Row],[pendingCourt]]&lt;=TrafficData[[#This Row],[totalCourt]],TrafficData[[#This Row],[disposedCourt]]&lt;=TrafficData[[#This Row],[totalCourt]])</f>
        <v>1</v>
      </c>
    </row>
    <row r="2502" spans="1:16">
      <c r="A2502" s="1">
        <v>44506</v>
      </c>
      <c r="B2502">
        <v>121978</v>
      </c>
      <c r="C2502">
        <v>56804</v>
      </c>
      <c r="D2502">
        <v>65174</v>
      </c>
      <c r="E2502">
        <v>65562125</v>
      </c>
      <c r="F2502">
        <v>46412854</v>
      </c>
      <c r="G2502">
        <v>111974979</v>
      </c>
      <c r="H2502">
        <v>30327</v>
      </c>
      <c r="I2502">
        <v>10732</v>
      </c>
      <c r="J2502">
        <v>41059</v>
      </c>
      <c r="K2502" t="b">
        <f>TrafficData[[#This Row],[disposedChallan]]+TrafficData[[#This Row],[pendingChallan]]=TrafficData[[#This Row],[totalChallan]]</f>
        <v>1</v>
      </c>
      <c r="L2502" t="b">
        <f>TrafficData[[#This Row],[pendingAmount]]+TrafficData[[#This Row],[disposedAmount]]=TrafficData[[#This Row],[totalAmount]]</f>
        <v>1</v>
      </c>
      <c r="M2502" t="b">
        <f>TrafficData[[#This Row],[pendingCourt]]+TrafficData[[#This Row],[disposedCourt]]=TrafficData[[#This Row],[totalCourt]]</f>
        <v>1</v>
      </c>
      <c r="N2502" t="b">
        <f>AND(TrafficData[[#This Row],[disposedChallan]]&lt;=TrafficData[[#This Row],[totalChallan]],TrafficData[[#This Row],[pendingChallan]]&lt;=TrafficData[[#This Row],[totalChallan]])</f>
        <v>1</v>
      </c>
      <c r="O2502" t="b">
        <f>AND(TrafficData[[#This Row],[pendingAmount]]&lt;=TrafficData[[#This Row],[totalAmount]],TrafficData[[#This Row],[disposedAmount]]&lt;=TrafficData[[#This Row],[totalAmount]])</f>
        <v>1</v>
      </c>
      <c r="P2502" t="b">
        <f>AND(TrafficData[[#This Row],[pendingCourt]]&lt;=TrafficData[[#This Row],[totalCourt]],TrafficData[[#This Row],[disposedCourt]]&lt;=TrafficData[[#This Row],[totalCourt]])</f>
        <v>1</v>
      </c>
    </row>
    <row r="2503" spans="1:16">
      <c r="A2503" s="1">
        <v>44507</v>
      </c>
      <c r="B2503">
        <v>110846</v>
      </c>
      <c r="C2503">
        <v>49778</v>
      </c>
      <c r="D2503">
        <v>61068</v>
      </c>
      <c r="E2503">
        <v>69129641</v>
      </c>
      <c r="F2503">
        <v>45839226</v>
      </c>
      <c r="G2503">
        <v>114968867</v>
      </c>
      <c r="H2503">
        <v>32877</v>
      </c>
      <c r="I2503">
        <v>10751</v>
      </c>
      <c r="J2503">
        <v>43628</v>
      </c>
      <c r="K2503" t="b">
        <f>TrafficData[[#This Row],[disposedChallan]]+TrafficData[[#This Row],[pendingChallan]]=TrafficData[[#This Row],[totalChallan]]</f>
        <v>1</v>
      </c>
      <c r="L2503" t="b">
        <f>TrafficData[[#This Row],[pendingAmount]]+TrafficData[[#This Row],[disposedAmount]]=TrafficData[[#This Row],[totalAmount]]</f>
        <v>1</v>
      </c>
      <c r="M2503" t="b">
        <f>TrafficData[[#This Row],[pendingCourt]]+TrafficData[[#This Row],[disposedCourt]]=TrafficData[[#This Row],[totalCourt]]</f>
        <v>1</v>
      </c>
      <c r="N2503" t="b">
        <f>AND(TrafficData[[#This Row],[disposedChallan]]&lt;=TrafficData[[#This Row],[totalChallan]],TrafficData[[#This Row],[pendingChallan]]&lt;=TrafficData[[#This Row],[totalChallan]])</f>
        <v>1</v>
      </c>
      <c r="O2503" t="b">
        <f>AND(TrafficData[[#This Row],[pendingAmount]]&lt;=TrafficData[[#This Row],[totalAmount]],TrafficData[[#This Row],[disposedAmount]]&lt;=TrafficData[[#This Row],[totalAmount]])</f>
        <v>1</v>
      </c>
      <c r="P2503" t="b">
        <f>AND(TrafficData[[#This Row],[pendingCourt]]&lt;=TrafficData[[#This Row],[totalCourt]],TrafficData[[#This Row],[disposedCourt]]&lt;=TrafficData[[#This Row],[totalCourt]])</f>
        <v>1</v>
      </c>
    </row>
    <row r="2504" spans="1:16">
      <c r="A2504" s="1">
        <v>44508</v>
      </c>
      <c r="B2504">
        <v>113259</v>
      </c>
      <c r="C2504">
        <v>53088</v>
      </c>
      <c r="D2504">
        <v>60171</v>
      </c>
      <c r="E2504">
        <v>83055678</v>
      </c>
      <c r="F2504">
        <v>66323757</v>
      </c>
      <c r="G2504">
        <v>149379435</v>
      </c>
      <c r="H2504">
        <v>37496</v>
      </c>
      <c r="I2504">
        <v>12248</v>
      </c>
      <c r="J2504">
        <v>49744</v>
      </c>
      <c r="K2504" t="b">
        <f>TrafficData[[#This Row],[disposedChallan]]+TrafficData[[#This Row],[pendingChallan]]=TrafficData[[#This Row],[totalChallan]]</f>
        <v>1</v>
      </c>
      <c r="L2504" t="b">
        <f>TrafficData[[#This Row],[pendingAmount]]+TrafficData[[#This Row],[disposedAmount]]=TrafficData[[#This Row],[totalAmount]]</f>
        <v>1</v>
      </c>
      <c r="M2504" t="b">
        <f>TrafficData[[#This Row],[pendingCourt]]+TrafficData[[#This Row],[disposedCourt]]=TrafficData[[#This Row],[totalCourt]]</f>
        <v>1</v>
      </c>
      <c r="N2504" t="b">
        <f>AND(TrafficData[[#This Row],[disposedChallan]]&lt;=TrafficData[[#This Row],[totalChallan]],TrafficData[[#This Row],[pendingChallan]]&lt;=TrafficData[[#This Row],[totalChallan]])</f>
        <v>1</v>
      </c>
      <c r="O2504" t="b">
        <f>AND(TrafficData[[#This Row],[pendingAmount]]&lt;=TrafficData[[#This Row],[totalAmount]],TrafficData[[#This Row],[disposedAmount]]&lt;=TrafficData[[#This Row],[totalAmount]])</f>
        <v>1</v>
      </c>
      <c r="P2504" t="b">
        <f>AND(TrafficData[[#This Row],[pendingCourt]]&lt;=TrafficData[[#This Row],[totalCourt]],TrafficData[[#This Row],[disposedCourt]]&lt;=TrafficData[[#This Row],[totalCourt]])</f>
        <v>1</v>
      </c>
    </row>
    <row r="2505" spans="1:16">
      <c r="A2505" s="1">
        <v>44509</v>
      </c>
      <c r="B2505">
        <v>116683</v>
      </c>
      <c r="C2505">
        <v>55506</v>
      </c>
      <c r="D2505">
        <v>61177</v>
      </c>
      <c r="E2505">
        <v>84192388</v>
      </c>
      <c r="F2505">
        <v>74395662</v>
      </c>
      <c r="G2505">
        <v>158588050</v>
      </c>
      <c r="H2505">
        <v>37516</v>
      </c>
      <c r="I2505">
        <v>11834</v>
      </c>
      <c r="J2505">
        <v>49350</v>
      </c>
      <c r="K2505" t="b">
        <f>TrafficData[[#This Row],[disposedChallan]]+TrafficData[[#This Row],[pendingChallan]]=TrafficData[[#This Row],[totalChallan]]</f>
        <v>1</v>
      </c>
      <c r="L2505" t="b">
        <f>TrafficData[[#This Row],[pendingAmount]]+TrafficData[[#This Row],[disposedAmount]]=TrafficData[[#This Row],[totalAmount]]</f>
        <v>1</v>
      </c>
      <c r="M2505" t="b">
        <f>TrafficData[[#This Row],[pendingCourt]]+TrafficData[[#This Row],[disposedCourt]]=TrafficData[[#This Row],[totalCourt]]</f>
        <v>1</v>
      </c>
      <c r="N2505" t="b">
        <f>AND(TrafficData[[#This Row],[disposedChallan]]&lt;=TrafficData[[#This Row],[totalChallan]],TrafficData[[#This Row],[pendingChallan]]&lt;=TrafficData[[#This Row],[totalChallan]])</f>
        <v>1</v>
      </c>
      <c r="O2505" t="b">
        <f>AND(TrafficData[[#This Row],[pendingAmount]]&lt;=TrafficData[[#This Row],[totalAmount]],TrafficData[[#This Row],[disposedAmount]]&lt;=TrafficData[[#This Row],[totalAmount]])</f>
        <v>1</v>
      </c>
      <c r="P2505" t="b">
        <f>AND(TrafficData[[#This Row],[pendingCourt]]&lt;=TrafficData[[#This Row],[totalCourt]],TrafficData[[#This Row],[disposedCourt]]&lt;=TrafficData[[#This Row],[totalCourt]])</f>
        <v>1</v>
      </c>
    </row>
    <row r="2506" spans="1:16">
      <c r="A2506" s="1">
        <v>44510</v>
      </c>
      <c r="B2506">
        <v>112401</v>
      </c>
      <c r="C2506">
        <v>54355</v>
      </c>
      <c r="D2506">
        <v>58046</v>
      </c>
      <c r="E2506">
        <v>78049044</v>
      </c>
      <c r="F2506">
        <v>79372428</v>
      </c>
      <c r="G2506">
        <v>157421472</v>
      </c>
      <c r="H2506">
        <v>34365</v>
      </c>
      <c r="I2506">
        <v>10904</v>
      </c>
      <c r="J2506">
        <v>45269</v>
      </c>
      <c r="K2506" t="b">
        <f>TrafficData[[#This Row],[disposedChallan]]+TrafficData[[#This Row],[pendingChallan]]=TrafficData[[#This Row],[totalChallan]]</f>
        <v>1</v>
      </c>
      <c r="L2506" t="b">
        <f>TrafficData[[#This Row],[pendingAmount]]+TrafficData[[#This Row],[disposedAmount]]=TrafficData[[#This Row],[totalAmount]]</f>
        <v>1</v>
      </c>
      <c r="M2506" t="b">
        <f>TrafficData[[#This Row],[pendingCourt]]+TrafficData[[#This Row],[disposedCourt]]=TrafficData[[#This Row],[totalCourt]]</f>
        <v>1</v>
      </c>
      <c r="N2506" t="b">
        <f>AND(TrafficData[[#This Row],[disposedChallan]]&lt;=TrafficData[[#This Row],[totalChallan]],TrafficData[[#This Row],[pendingChallan]]&lt;=TrafficData[[#This Row],[totalChallan]])</f>
        <v>1</v>
      </c>
      <c r="O2506" t="b">
        <f>AND(TrafficData[[#This Row],[pendingAmount]]&lt;=TrafficData[[#This Row],[totalAmount]],TrafficData[[#This Row],[disposedAmount]]&lt;=TrafficData[[#This Row],[totalAmount]])</f>
        <v>1</v>
      </c>
      <c r="P2506" t="b">
        <f>AND(TrafficData[[#This Row],[pendingCourt]]&lt;=TrafficData[[#This Row],[totalCourt]],TrafficData[[#This Row],[disposedCourt]]&lt;=TrafficData[[#This Row],[totalCourt]])</f>
        <v>1</v>
      </c>
    </row>
    <row r="2507" spans="1:16">
      <c r="A2507" s="1">
        <v>44511</v>
      </c>
      <c r="B2507">
        <v>111057</v>
      </c>
      <c r="C2507">
        <v>53282</v>
      </c>
      <c r="D2507">
        <v>57775</v>
      </c>
      <c r="E2507">
        <v>79460146</v>
      </c>
      <c r="F2507">
        <v>77594762</v>
      </c>
      <c r="G2507">
        <v>157054908</v>
      </c>
      <c r="H2507">
        <v>35469</v>
      </c>
      <c r="I2507">
        <v>10900</v>
      </c>
      <c r="J2507">
        <v>46369</v>
      </c>
      <c r="K2507" t="b">
        <f>TrafficData[[#This Row],[disposedChallan]]+TrafficData[[#This Row],[pendingChallan]]=TrafficData[[#This Row],[totalChallan]]</f>
        <v>1</v>
      </c>
      <c r="L2507" t="b">
        <f>TrafficData[[#This Row],[pendingAmount]]+TrafficData[[#This Row],[disposedAmount]]=TrafficData[[#This Row],[totalAmount]]</f>
        <v>1</v>
      </c>
      <c r="M2507" t="b">
        <f>TrafficData[[#This Row],[pendingCourt]]+TrafficData[[#This Row],[disposedCourt]]=TrafficData[[#This Row],[totalCourt]]</f>
        <v>1</v>
      </c>
      <c r="N2507" t="b">
        <f>AND(TrafficData[[#This Row],[disposedChallan]]&lt;=TrafficData[[#This Row],[totalChallan]],TrafficData[[#This Row],[pendingChallan]]&lt;=TrafficData[[#This Row],[totalChallan]])</f>
        <v>1</v>
      </c>
      <c r="O2507" t="b">
        <f>AND(TrafficData[[#This Row],[pendingAmount]]&lt;=TrafficData[[#This Row],[totalAmount]],TrafficData[[#This Row],[disposedAmount]]&lt;=TrafficData[[#This Row],[totalAmount]])</f>
        <v>1</v>
      </c>
      <c r="P2507" t="b">
        <f>AND(TrafficData[[#This Row],[pendingCourt]]&lt;=TrafficData[[#This Row],[totalCourt]],TrafficData[[#This Row],[disposedCourt]]&lt;=TrafficData[[#This Row],[totalCourt]])</f>
        <v>1</v>
      </c>
    </row>
    <row r="2508" spans="1:16">
      <c r="A2508" s="1">
        <v>44512</v>
      </c>
      <c r="B2508">
        <v>118475</v>
      </c>
      <c r="C2508">
        <v>57520</v>
      </c>
      <c r="D2508">
        <v>60955</v>
      </c>
      <c r="E2508">
        <v>80112135</v>
      </c>
      <c r="F2508">
        <v>89360657</v>
      </c>
      <c r="G2508">
        <v>169472792</v>
      </c>
      <c r="H2508">
        <v>36365</v>
      </c>
      <c r="I2508">
        <v>11082</v>
      </c>
      <c r="J2508">
        <v>47447</v>
      </c>
      <c r="K2508" t="b">
        <f>TrafficData[[#This Row],[disposedChallan]]+TrafficData[[#This Row],[pendingChallan]]=TrafficData[[#This Row],[totalChallan]]</f>
        <v>1</v>
      </c>
      <c r="L2508" t="b">
        <f>TrafficData[[#This Row],[pendingAmount]]+TrafficData[[#This Row],[disposedAmount]]=TrafficData[[#This Row],[totalAmount]]</f>
        <v>1</v>
      </c>
      <c r="M2508" t="b">
        <f>TrafficData[[#This Row],[pendingCourt]]+TrafficData[[#This Row],[disposedCourt]]=TrafficData[[#This Row],[totalCourt]]</f>
        <v>1</v>
      </c>
      <c r="N2508" t="b">
        <f>AND(TrafficData[[#This Row],[disposedChallan]]&lt;=TrafficData[[#This Row],[totalChallan]],TrafficData[[#This Row],[pendingChallan]]&lt;=TrafficData[[#This Row],[totalChallan]])</f>
        <v>1</v>
      </c>
      <c r="O2508" t="b">
        <f>AND(TrafficData[[#This Row],[pendingAmount]]&lt;=TrafficData[[#This Row],[totalAmount]],TrafficData[[#This Row],[disposedAmount]]&lt;=TrafficData[[#This Row],[totalAmount]])</f>
        <v>1</v>
      </c>
      <c r="P2508" t="b">
        <f>AND(TrafficData[[#This Row],[pendingCourt]]&lt;=TrafficData[[#This Row],[totalCourt]],TrafficData[[#This Row],[disposedCourt]]&lt;=TrafficData[[#This Row],[totalCourt]])</f>
        <v>1</v>
      </c>
    </row>
    <row r="2509" spans="1:16">
      <c r="A2509" s="1">
        <v>44513</v>
      </c>
      <c r="B2509">
        <v>122277</v>
      </c>
      <c r="C2509">
        <v>61024</v>
      </c>
      <c r="D2509">
        <v>61253</v>
      </c>
      <c r="E2509">
        <v>81819297</v>
      </c>
      <c r="F2509">
        <v>81691483</v>
      </c>
      <c r="G2509">
        <v>163510780</v>
      </c>
      <c r="H2509">
        <v>35796</v>
      </c>
      <c r="I2509">
        <v>11714</v>
      </c>
      <c r="J2509">
        <v>47510</v>
      </c>
      <c r="K2509" t="b">
        <f>TrafficData[[#This Row],[disposedChallan]]+TrafficData[[#This Row],[pendingChallan]]=TrafficData[[#This Row],[totalChallan]]</f>
        <v>1</v>
      </c>
      <c r="L2509" t="b">
        <f>TrafficData[[#This Row],[pendingAmount]]+TrafficData[[#This Row],[disposedAmount]]=TrafficData[[#This Row],[totalAmount]]</f>
        <v>1</v>
      </c>
      <c r="M2509" t="b">
        <f>TrafficData[[#This Row],[pendingCourt]]+TrafficData[[#This Row],[disposedCourt]]=TrafficData[[#This Row],[totalCourt]]</f>
        <v>1</v>
      </c>
      <c r="N2509" t="b">
        <f>AND(TrafficData[[#This Row],[disposedChallan]]&lt;=TrafficData[[#This Row],[totalChallan]],TrafficData[[#This Row],[pendingChallan]]&lt;=TrafficData[[#This Row],[totalChallan]])</f>
        <v>1</v>
      </c>
      <c r="O2509" t="b">
        <f>AND(TrafficData[[#This Row],[pendingAmount]]&lt;=TrafficData[[#This Row],[totalAmount]],TrafficData[[#This Row],[disposedAmount]]&lt;=TrafficData[[#This Row],[totalAmount]])</f>
        <v>1</v>
      </c>
      <c r="P2509" t="b">
        <f>AND(TrafficData[[#This Row],[pendingCourt]]&lt;=TrafficData[[#This Row],[totalCourt]],TrafficData[[#This Row],[disposedCourt]]&lt;=TrafficData[[#This Row],[totalCourt]])</f>
        <v>1</v>
      </c>
    </row>
    <row r="2510" spans="1:16">
      <c r="A2510" s="1">
        <v>44514</v>
      </c>
      <c r="B2510">
        <v>116390</v>
      </c>
      <c r="C2510">
        <v>53655</v>
      </c>
      <c r="D2510">
        <v>62735</v>
      </c>
      <c r="E2510">
        <v>73838805</v>
      </c>
      <c r="F2510">
        <v>64908782</v>
      </c>
      <c r="G2510">
        <v>138747587</v>
      </c>
      <c r="H2510">
        <v>34886</v>
      </c>
      <c r="I2510">
        <v>11038</v>
      </c>
      <c r="J2510">
        <v>45924</v>
      </c>
      <c r="K2510" t="b">
        <f>TrafficData[[#This Row],[disposedChallan]]+TrafficData[[#This Row],[pendingChallan]]=TrafficData[[#This Row],[totalChallan]]</f>
        <v>1</v>
      </c>
      <c r="L2510" t="b">
        <f>TrafficData[[#This Row],[pendingAmount]]+TrafficData[[#This Row],[disposedAmount]]=TrafficData[[#This Row],[totalAmount]]</f>
        <v>1</v>
      </c>
      <c r="M2510" t="b">
        <f>TrafficData[[#This Row],[pendingCourt]]+TrafficData[[#This Row],[disposedCourt]]=TrafficData[[#This Row],[totalCourt]]</f>
        <v>1</v>
      </c>
      <c r="N2510" t="b">
        <f>AND(TrafficData[[#This Row],[disposedChallan]]&lt;=TrafficData[[#This Row],[totalChallan]],TrafficData[[#This Row],[pendingChallan]]&lt;=TrafficData[[#This Row],[totalChallan]])</f>
        <v>1</v>
      </c>
      <c r="O2510" t="b">
        <f>AND(TrafficData[[#This Row],[pendingAmount]]&lt;=TrafficData[[#This Row],[totalAmount]],TrafficData[[#This Row],[disposedAmount]]&lt;=TrafficData[[#This Row],[totalAmount]])</f>
        <v>1</v>
      </c>
      <c r="P2510" t="b">
        <f>AND(TrafficData[[#This Row],[pendingCourt]]&lt;=TrafficData[[#This Row],[totalCourt]],TrafficData[[#This Row],[disposedCourt]]&lt;=TrafficData[[#This Row],[totalCourt]])</f>
        <v>1</v>
      </c>
    </row>
    <row r="2511" spans="1:16">
      <c r="A2511" s="1">
        <v>44515</v>
      </c>
      <c r="B2511">
        <v>125286</v>
      </c>
      <c r="C2511">
        <v>58652</v>
      </c>
      <c r="D2511">
        <v>66634</v>
      </c>
      <c r="E2511">
        <v>89836946</v>
      </c>
      <c r="F2511">
        <v>76045575</v>
      </c>
      <c r="G2511">
        <v>165882521</v>
      </c>
      <c r="H2511">
        <v>37538</v>
      </c>
      <c r="I2511">
        <v>11536</v>
      </c>
      <c r="J2511">
        <v>49074</v>
      </c>
      <c r="K2511" t="b">
        <f>TrafficData[[#This Row],[disposedChallan]]+TrafficData[[#This Row],[pendingChallan]]=TrafficData[[#This Row],[totalChallan]]</f>
        <v>1</v>
      </c>
      <c r="L2511" t="b">
        <f>TrafficData[[#This Row],[pendingAmount]]+TrafficData[[#This Row],[disposedAmount]]=TrafficData[[#This Row],[totalAmount]]</f>
        <v>1</v>
      </c>
      <c r="M2511" t="b">
        <f>TrafficData[[#This Row],[pendingCourt]]+TrafficData[[#This Row],[disposedCourt]]=TrafficData[[#This Row],[totalCourt]]</f>
        <v>1</v>
      </c>
      <c r="N2511" t="b">
        <f>AND(TrafficData[[#This Row],[disposedChallan]]&lt;=TrafficData[[#This Row],[totalChallan]],TrafficData[[#This Row],[pendingChallan]]&lt;=TrafficData[[#This Row],[totalChallan]])</f>
        <v>1</v>
      </c>
      <c r="O2511" t="b">
        <f>AND(TrafficData[[#This Row],[pendingAmount]]&lt;=TrafficData[[#This Row],[totalAmount]],TrafficData[[#This Row],[disposedAmount]]&lt;=TrafficData[[#This Row],[totalAmount]])</f>
        <v>1</v>
      </c>
      <c r="P2511" t="b">
        <f>AND(TrafficData[[#This Row],[pendingCourt]]&lt;=TrafficData[[#This Row],[totalCourt]],TrafficData[[#This Row],[disposedCourt]]&lt;=TrafficData[[#This Row],[totalCourt]])</f>
        <v>1</v>
      </c>
    </row>
    <row r="2512" spans="1:16">
      <c r="A2512" s="1">
        <v>44516</v>
      </c>
      <c r="B2512">
        <v>127546</v>
      </c>
      <c r="C2512">
        <v>61347</v>
      </c>
      <c r="D2512">
        <v>66199</v>
      </c>
      <c r="E2512">
        <v>89969698</v>
      </c>
      <c r="F2512">
        <v>87136029</v>
      </c>
      <c r="G2512">
        <v>177105727</v>
      </c>
      <c r="H2512">
        <v>35957</v>
      </c>
      <c r="I2512">
        <v>11463</v>
      </c>
      <c r="J2512">
        <v>47420</v>
      </c>
      <c r="K2512" t="b">
        <f>TrafficData[[#This Row],[disposedChallan]]+TrafficData[[#This Row],[pendingChallan]]=TrafficData[[#This Row],[totalChallan]]</f>
        <v>1</v>
      </c>
      <c r="L2512" t="b">
        <f>TrafficData[[#This Row],[pendingAmount]]+TrafficData[[#This Row],[disposedAmount]]=TrafficData[[#This Row],[totalAmount]]</f>
        <v>1</v>
      </c>
      <c r="M2512" t="b">
        <f>TrafficData[[#This Row],[pendingCourt]]+TrafficData[[#This Row],[disposedCourt]]=TrafficData[[#This Row],[totalCourt]]</f>
        <v>1</v>
      </c>
      <c r="N2512" t="b">
        <f>AND(TrafficData[[#This Row],[disposedChallan]]&lt;=TrafficData[[#This Row],[totalChallan]],TrafficData[[#This Row],[pendingChallan]]&lt;=TrafficData[[#This Row],[totalChallan]])</f>
        <v>1</v>
      </c>
      <c r="O2512" t="b">
        <f>AND(TrafficData[[#This Row],[pendingAmount]]&lt;=TrafficData[[#This Row],[totalAmount]],TrafficData[[#This Row],[disposedAmount]]&lt;=TrafficData[[#This Row],[totalAmount]])</f>
        <v>1</v>
      </c>
      <c r="P2512" t="b">
        <f>AND(TrafficData[[#This Row],[pendingCourt]]&lt;=TrafficData[[#This Row],[totalCourt]],TrafficData[[#This Row],[disposedCourt]]&lt;=TrafficData[[#This Row],[totalCourt]])</f>
        <v>1</v>
      </c>
    </row>
    <row r="2513" spans="1:16">
      <c r="A2513" s="1">
        <v>44517</v>
      </c>
      <c r="B2513">
        <v>125039</v>
      </c>
      <c r="C2513">
        <v>61948</v>
      </c>
      <c r="D2513">
        <v>63091</v>
      </c>
      <c r="E2513">
        <v>94841382</v>
      </c>
      <c r="F2513">
        <v>90074220</v>
      </c>
      <c r="G2513">
        <v>184915602</v>
      </c>
      <c r="H2513">
        <v>33963</v>
      </c>
      <c r="I2513">
        <v>11115</v>
      </c>
      <c r="J2513">
        <v>45078</v>
      </c>
      <c r="K2513" t="b">
        <f>TrafficData[[#This Row],[disposedChallan]]+TrafficData[[#This Row],[pendingChallan]]=TrafficData[[#This Row],[totalChallan]]</f>
        <v>1</v>
      </c>
      <c r="L2513" t="b">
        <f>TrafficData[[#This Row],[pendingAmount]]+TrafficData[[#This Row],[disposedAmount]]=TrafficData[[#This Row],[totalAmount]]</f>
        <v>1</v>
      </c>
      <c r="M2513" t="b">
        <f>TrafficData[[#This Row],[pendingCourt]]+TrafficData[[#This Row],[disposedCourt]]=TrafficData[[#This Row],[totalCourt]]</f>
        <v>1</v>
      </c>
      <c r="N2513" t="b">
        <f>AND(TrafficData[[#This Row],[disposedChallan]]&lt;=TrafficData[[#This Row],[totalChallan]],TrafficData[[#This Row],[pendingChallan]]&lt;=TrafficData[[#This Row],[totalChallan]])</f>
        <v>1</v>
      </c>
      <c r="O2513" t="b">
        <f>AND(TrafficData[[#This Row],[pendingAmount]]&lt;=TrafficData[[#This Row],[totalAmount]],TrafficData[[#This Row],[disposedAmount]]&lt;=TrafficData[[#This Row],[totalAmount]])</f>
        <v>1</v>
      </c>
      <c r="P2513" t="b">
        <f>AND(TrafficData[[#This Row],[pendingCourt]]&lt;=TrafficData[[#This Row],[totalCourt]],TrafficData[[#This Row],[disposedCourt]]&lt;=TrafficData[[#This Row],[totalCourt]])</f>
        <v>1</v>
      </c>
    </row>
    <row r="2514" spans="1:16">
      <c r="A2514" s="1">
        <v>44518</v>
      </c>
      <c r="B2514">
        <v>117539</v>
      </c>
      <c r="C2514">
        <v>56539</v>
      </c>
      <c r="D2514">
        <v>61000</v>
      </c>
      <c r="E2514">
        <v>103879183</v>
      </c>
      <c r="F2514">
        <v>87502761</v>
      </c>
      <c r="G2514">
        <v>191381944</v>
      </c>
      <c r="H2514">
        <v>36130</v>
      </c>
      <c r="I2514">
        <v>11431</v>
      </c>
      <c r="J2514">
        <v>47561</v>
      </c>
      <c r="K2514" t="b">
        <f>TrafficData[[#This Row],[disposedChallan]]+TrafficData[[#This Row],[pendingChallan]]=TrafficData[[#This Row],[totalChallan]]</f>
        <v>1</v>
      </c>
      <c r="L2514" t="b">
        <f>TrafficData[[#This Row],[pendingAmount]]+TrafficData[[#This Row],[disposedAmount]]=TrafficData[[#This Row],[totalAmount]]</f>
        <v>1</v>
      </c>
      <c r="M2514" t="b">
        <f>TrafficData[[#This Row],[pendingCourt]]+TrafficData[[#This Row],[disposedCourt]]=TrafficData[[#This Row],[totalCourt]]</f>
        <v>1</v>
      </c>
      <c r="N2514" t="b">
        <f>AND(TrafficData[[#This Row],[disposedChallan]]&lt;=TrafficData[[#This Row],[totalChallan]],TrafficData[[#This Row],[pendingChallan]]&lt;=TrafficData[[#This Row],[totalChallan]])</f>
        <v>1</v>
      </c>
      <c r="O2514" t="b">
        <f>AND(TrafficData[[#This Row],[pendingAmount]]&lt;=TrafficData[[#This Row],[totalAmount]],TrafficData[[#This Row],[disposedAmount]]&lt;=TrafficData[[#This Row],[totalAmount]])</f>
        <v>1</v>
      </c>
      <c r="P2514" t="b">
        <f>AND(TrafficData[[#This Row],[pendingCourt]]&lt;=TrafficData[[#This Row],[totalCourt]],TrafficData[[#This Row],[disposedCourt]]&lt;=TrafficData[[#This Row],[totalCourt]])</f>
        <v>1</v>
      </c>
    </row>
    <row r="2515" spans="1:16">
      <c r="A2515" s="1">
        <v>44519</v>
      </c>
      <c r="B2515">
        <v>118476</v>
      </c>
      <c r="C2515">
        <v>56253</v>
      </c>
      <c r="D2515">
        <v>62223</v>
      </c>
      <c r="E2515">
        <v>89405388</v>
      </c>
      <c r="F2515">
        <v>77190141</v>
      </c>
      <c r="G2515">
        <v>166595529</v>
      </c>
      <c r="H2515">
        <v>33427</v>
      </c>
      <c r="I2515">
        <v>9987</v>
      </c>
      <c r="J2515">
        <v>43414</v>
      </c>
      <c r="K2515" t="b">
        <f>TrafficData[[#This Row],[disposedChallan]]+TrafficData[[#This Row],[pendingChallan]]=TrafficData[[#This Row],[totalChallan]]</f>
        <v>1</v>
      </c>
      <c r="L2515" t="b">
        <f>TrafficData[[#This Row],[pendingAmount]]+TrafficData[[#This Row],[disposedAmount]]=TrafficData[[#This Row],[totalAmount]]</f>
        <v>1</v>
      </c>
      <c r="M2515" t="b">
        <f>TrafficData[[#This Row],[pendingCourt]]+TrafficData[[#This Row],[disposedCourt]]=TrafficData[[#This Row],[totalCourt]]</f>
        <v>1</v>
      </c>
      <c r="N2515" t="b">
        <f>AND(TrafficData[[#This Row],[disposedChallan]]&lt;=TrafficData[[#This Row],[totalChallan]],TrafficData[[#This Row],[pendingChallan]]&lt;=TrafficData[[#This Row],[totalChallan]])</f>
        <v>1</v>
      </c>
      <c r="O2515" t="b">
        <f>AND(TrafficData[[#This Row],[pendingAmount]]&lt;=TrafficData[[#This Row],[totalAmount]],TrafficData[[#This Row],[disposedAmount]]&lt;=TrafficData[[#This Row],[totalAmount]])</f>
        <v>1</v>
      </c>
      <c r="P2515" t="b">
        <f>AND(TrafficData[[#This Row],[pendingCourt]]&lt;=TrafficData[[#This Row],[totalCourt]],TrafficData[[#This Row],[disposedCourt]]&lt;=TrafficData[[#This Row],[totalCourt]])</f>
        <v>1</v>
      </c>
    </row>
    <row r="2516" spans="1:16">
      <c r="A2516" s="1">
        <v>44520</v>
      </c>
      <c r="B2516">
        <v>134746</v>
      </c>
      <c r="C2516">
        <v>63711</v>
      </c>
      <c r="D2516">
        <v>71035</v>
      </c>
      <c r="E2516">
        <v>100925267</v>
      </c>
      <c r="F2516">
        <v>80343979</v>
      </c>
      <c r="G2516">
        <v>181269246</v>
      </c>
      <c r="H2516">
        <v>36617</v>
      </c>
      <c r="I2516">
        <v>11264</v>
      </c>
      <c r="J2516">
        <v>47881</v>
      </c>
      <c r="K2516" t="b">
        <f>TrafficData[[#This Row],[disposedChallan]]+TrafficData[[#This Row],[pendingChallan]]=TrafficData[[#This Row],[totalChallan]]</f>
        <v>1</v>
      </c>
      <c r="L2516" t="b">
        <f>TrafficData[[#This Row],[pendingAmount]]+TrafficData[[#This Row],[disposedAmount]]=TrafficData[[#This Row],[totalAmount]]</f>
        <v>1</v>
      </c>
      <c r="M2516" t="b">
        <f>TrafficData[[#This Row],[pendingCourt]]+TrafficData[[#This Row],[disposedCourt]]=TrafficData[[#This Row],[totalCourt]]</f>
        <v>1</v>
      </c>
      <c r="N2516" t="b">
        <f>AND(TrafficData[[#This Row],[disposedChallan]]&lt;=TrafficData[[#This Row],[totalChallan]],TrafficData[[#This Row],[pendingChallan]]&lt;=TrafficData[[#This Row],[totalChallan]])</f>
        <v>1</v>
      </c>
      <c r="O2516" t="b">
        <f>AND(TrafficData[[#This Row],[pendingAmount]]&lt;=TrafficData[[#This Row],[totalAmount]],TrafficData[[#This Row],[disposedAmount]]&lt;=TrafficData[[#This Row],[totalAmount]])</f>
        <v>1</v>
      </c>
      <c r="P2516" t="b">
        <f>AND(TrafficData[[#This Row],[pendingCourt]]&lt;=TrafficData[[#This Row],[totalCourt]],TrafficData[[#This Row],[disposedCourt]]&lt;=TrafficData[[#This Row],[totalCourt]])</f>
        <v>1</v>
      </c>
    </row>
    <row r="2517" spans="1:16">
      <c r="A2517" s="1">
        <v>44521</v>
      </c>
      <c r="B2517">
        <v>122060</v>
      </c>
      <c r="C2517">
        <v>55419</v>
      </c>
      <c r="D2517">
        <v>66641</v>
      </c>
      <c r="E2517">
        <v>88950649</v>
      </c>
      <c r="F2517">
        <v>65396018</v>
      </c>
      <c r="G2517">
        <v>154346667</v>
      </c>
      <c r="H2517">
        <v>34761</v>
      </c>
      <c r="I2517">
        <v>10846</v>
      </c>
      <c r="J2517">
        <v>45607</v>
      </c>
      <c r="K2517" t="b">
        <f>TrafficData[[#This Row],[disposedChallan]]+TrafficData[[#This Row],[pendingChallan]]=TrafficData[[#This Row],[totalChallan]]</f>
        <v>1</v>
      </c>
      <c r="L2517" t="b">
        <f>TrafficData[[#This Row],[pendingAmount]]+TrafficData[[#This Row],[disposedAmount]]=TrafficData[[#This Row],[totalAmount]]</f>
        <v>1</v>
      </c>
      <c r="M2517" t="b">
        <f>TrafficData[[#This Row],[pendingCourt]]+TrafficData[[#This Row],[disposedCourt]]=TrafficData[[#This Row],[totalCourt]]</f>
        <v>1</v>
      </c>
      <c r="N2517" t="b">
        <f>AND(TrafficData[[#This Row],[disposedChallan]]&lt;=TrafficData[[#This Row],[totalChallan]],TrafficData[[#This Row],[pendingChallan]]&lt;=TrafficData[[#This Row],[totalChallan]])</f>
        <v>1</v>
      </c>
      <c r="O2517" t="b">
        <f>AND(TrafficData[[#This Row],[pendingAmount]]&lt;=TrafficData[[#This Row],[totalAmount]],TrafficData[[#This Row],[disposedAmount]]&lt;=TrafficData[[#This Row],[totalAmount]])</f>
        <v>1</v>
      </c>
      <c r="P2517" t="b">
        <f>AND(TrafficData[[#This Row],[pendingCourt]]&lt;=TrafficData[[#This Row],[totalCourt]],TrafficData[[#This Row],[disposedCourt]]&lt;=TrafficData[[#This Row],[totalCourt]])</f>
        <v>1</v>
      </c>
    </row>
    <row r="2518" spans="1:16">
      <c r="A2518" s="1">
        <v>44522</v>
      </c>
      <c r="B2518">
        <v>124568</v>
      </c>
      <c r="C2518">
        <v>58607</v>
      </c>
      <c r="D2518">
        <v>65961</v>
      </c>
      <c r="E2518">
        <v>99735411</v>
      </c>
      <c r="F2518">
        <v>74971850</v>
      </c>
      <c r="G2518">
        <v>174707261</v>
      </c>
      <c r="H2518">
        <v>29907</v>
      </c>
      <c r="I2518">
        <v>9704</v>
      </c>
      <c r="J2518">
        <v>39611</v>
      </c>
      <c r="K2518" t="b">
        <f>TrafficData[[#This Row],[disposedChallan]]+TrafficData[[#This Row],[pendingChallan]]=TrafficData[[#This Row],[totalChallan]]</f>
        <v>1</v>
      </c>
      <c r="L2518" t="b">
        <f>TrafficData[[#This Row],[pendingAmount]]+TrafficData[[#This Row],[disposedAmount]]=TrafficData[[#This Row],[totalAmount]]</f>
        <v>1</v>
      </c>
      <c r="M2518" t="b">
        <f>TrafficData[[#This Row],[pendingCourt]]+TrafficData[[#This Row],[disposedCourt]]=TrafficData[[#This Row],[totalCourt]]</f>
        <v>1</v>
      </c>
      <c r="N2518" t="b">
        <f>AND(TrafficData[[#This Row],[disposedChallan]]&lt;=TrafficData[[#This Row],[totalChallan]],TrafficData[[#This Row],[pendingChallan]]&lt;=TrafficData[[#This Row],[totalChallan]])</f>
        <v>1</v>
      </c>
      <c r="O2518" t="b">
        <f>AND(TrafficData[[#This Row],[pendingAmount]]&lt;=TrafficData[[#This Row],[totalAmount]],TrafficData[[#This Row],[disposedAmount]]&lt;=TrafficData[[#This Row],[totalAmount]])</f>
        <v>1</v>
      </c>
      <c r="P2518" t="b">
        <f>AND(TrafficData[[#This Row],[pendingCourt]]&lt;=TrafficData[[#This Row],[totalCourt]],TrafficData[[#This Row],[disposedCourt]]&lt;=TrafficData[[#This Row],[totalCourt]])</f>
        <v>1</v>
      </c>
    </row>
    <row r="2519" spans="1:16">
      <c r="A2519" s="1">
        <v>44523</v>
      </c>
      <c r="B2519">
        <v>133096</v>
      </c>
      <c r="C2519">
        <v>62254</v>
      </c>
      <c r="D2519">
        <v>70842</v>
      </c>
      <c r="E2519">
        <v>103807932</v>
      </c>
      <c r="F2519">
        <v>85256898</v>
      </c>
      <c r="G2519">
        <v>189064830</v>
      </c>
      <c r="H2519">
        <v>29053</v>
      </c>
      <c r="I2519">
        <v>9352</v>
      </c>
      <c r="J2519">
        <v>38405</v>
      </c>
      <c r="K2519" t="b">
        <f>TrafficData[[#This Row],[disposedChallan]]+TrafficData[[#This Row],[pendingChallan]]=TrafficData[[#This Row],[totalChallan]]</f>
        <v>1</v>
      </c>
      <c r="L2519" t="b">
        <f>TrafficData[[#This Row],[pendingAmount]]+TrafficData[[#This Row],[disposedAmount]]=TrafficData[[#This Row],[totalAmount]]</f>
        <v>1</v>
      </c>
      <c r="M2519" t="b">
        <f>TrafficData[[#This Row],[pendingCourt]]+TrafficData[[#This Row],[disposedCourt]]=TrafficData[[#This Row],[totalCourt]]</f>
        <v>1</v>
      </c>
      <c r="N2519" t="b">
        <f>AND(TrafficData[[#This Row],[disposedChallan]]&lt;=TrafficData[[#This Row],[totalChallan]],TrafficData[[#This Row],[pendingChallan]]&lt;=TrafficData[[#This Row],[totalChallan]])</f>
        <v>1</v>
      </c>
      <c r="O2519" t="b">
        <f>AND(TrafficData[[#This Row],[pendingAmount]]&lt;=TrafficData[[#This Row],[totalAmount]],TrafficData[[#This Row],[disposedAmount]]&lt;=TrafficData[[#This Row],[totalAmount]])</f>
        <v>1</v>
      </c>
      <c r="P2519" t="b">
        <f>AND(TrafficData[[#This Row],[pendingCourt]]&lt;=TrafficData[[#This Row],[totalCourt]],TrafficData[[#This Row],[disposedCourt]]&lt;=TrafficData[[#This Row],[totalCourt]])</f>
        <v>1</v>
      </c>
    </row>
    <row r="2520" spans="1:16">
      <c r="A2520" s="1">
        <v>44524</v>
      </c>
      <c r="B2520">
        <v>128904</v>
      </c>
      <c r="C2520">
        <v>62579</v>
      </c>
      <c r="D2520">
        <v>66325</v>
      </c>
      <c r="E2520">
        <v>93543171</v>
      </c>
      <c r="F2520">
        <v>85806312</v>
      </c>
      <c r="G2520">
        <v>179349483</v>
      </c>
      <c r="H2520">
        <v>26736</v>
      </c>
      <c r="I2520">
        <v>9079</v>
      </c>
      <c r="J2520">
        <v>35815</v>
      </c>
      <c r="K2520" t="b">
        <f>TrafficData[[#This Row],[disposedChallan]]+TrafficData[[#This Row],[pendingChallan]]=TrafficData[[#This Row],[totalChallan]]</f>
        <v>1</v>
      </c>
      <c r="L2520" t="b">
        <f>TrafficData[[#This Row],[pendingAmount]]+TrafficData[[#This Row],[disposedAmount]]=TrafficData[[#This Row],[totalAmount]]</f>
        <v>1</v>
      </c>
      <c r="M2520" t="b">
        <f>TrafficData[[#This Row],[pendingCourt]]+TrafficData[[#This Row],[disposedCourt]]=TrafficData[[#This Row],[totalCourt]]</f>
        <v>1</v>
      </c>
      <c r="N2520" t="b">
        <f>AND(TrafficData[[#This Row],[disposedChallan]]&lt;=TrafficData[[#This Row],[totalChallan]],TrafficData[[#This Row],[pendingChallan]]&lt;=TrafficData[[#This Row],[totalChallan]])</f>
        <v>1</v>
      </c>
      <c r="O2520" t="b">
        <f>AND(TrafficData[[#This Row],[pendingAmount]]&lt;=TrafficData[[#This Row],[totalAmount]],TrafficData[[#This Row],[disposedAmount]]&lt;=TrafficData[[#This Row],[totalAmount]])</f>
        <v>1</v>
      </c>
      <c r="P2520" t="b">
        <f>AND(TrafficData[[#This Row],[pendingCourt]]&lt;=TrafficData[[#This Row],[totalCourt]],TrafficData[[#This Row],[disposedCourt]]&lt;=TrafficData[[#This Row],[totalCourt]])</f>
        <v>1</v>
      </c>
    </row>
    <row r="2521" spans="1:16">
      <c r="A2521" s="1">
        <v>44525</v>
      </c>
      <c r="B2521">
        <v>120000</v>
      </c>
      <c r="C2521">
        <v>59222</v>
      </c>
      <c r="D2521">
        <v>60778</v>
      </c>
      <c r="E2521">
        <v>81726858</v>
      </c>
      <c r="F2521">
        <v>77510748</v>
      </c>
      <c r="G2521">
        <v>159237606</v>
      </c>
      <c r="H2521">
        <v>24734</v>
      </c>
      <c r="I2521">
        <v>8885</v>
      </c>
      <c r="J2521">
        <v>33619</v>
      </c>
      <c r="K2521" t="b">
        <f>TrafficData[[#This Row],[disposedChallan]]+TrafficData[[#This Row],[pendingChallan]]=TrafficData[[#This Row],[totalChallan]]</f>
        <v>1</v>
      </c>
      <c r="L2521" t="b">
        <f>TrafficData[[#This Row],[pendingAmount]]+TrafficData[[#This Row],[disposedAmount]]=TrafficData[[#This Row],[totalAmount]]</f>
        <v>1</v>
      </c>
      <c r="M2521" t="b">
        <f>TrafficData[[#This Row],[pendingCourt]]+TrafficData[[#This Row],[disposedCourt]]=TrafficData[[#This Row],[totalCourt]]</f>
        <v>1</v>
      </c>
      <c r="N2521" t="b">
        <f>AND(TrafficData[[#This Row],[disposedChallan]]&lt;=TrafficData[[#This Row],[totalChallan]],TrafficData[[#This Row],[pendingChallan]]&lt;=TrafficData[[#This Row],[totalChallan]])</f>
        <v>1</v>
      </c>
      <c r="O2521" t="b">
        <f>AND(TrafficData[[#This Row],[pendingAmount]]&lt;=TrafficData[[#This Row],[totalAmount]],TrafficData[[#This Row],[disposedAmount]]&lt;=TrafficData[[#This Row],[totalAmount]])</f>
        <v>1</v>
      </c>
      <c r="P2521" t="b">
        <f>AND(TrafficData[[#This Row],[pendingCourt]]&lt;=TrafficData[[#This Row],[totalCourt]],TrafficData[[#This Row],[disposedCourt]]&lt;=TrafficData[[#This Row],[totalCourt]])</f>
        <v>1</v>
      </c>
    </row>
    <row r="2522" spans="1:16">
      <c r="A2522" s="1">
        <v>44526</v>
      </c>
      <c r="B2522">
        <v>116347</v>
      </c>
      <c r="C2522">
        <v>57169</v>
      </c>
      <c r="D2522">
        <v>59178</v>
      </c>
      <c r="E2522">
        <v>76009052</v>
      </c>
      <c r="F2522">
        <v>76029797</v>
      </c>
      <c r="G2522">
        <v>152038849</v>
      </c>
      <c r="H2522">
        <v>24811</v>
      </c>
      <c r="I2522">
        <v>8392</v>
      </c>
      <c r="J2522">
        <v>33203</v>
      </c>
      <c r="K2522" t="b">
        <f>TrafficData[[#This Row],[disposedChallan]]+TrafficData[[#This Row],[pendingChallan]]=TrafficData[[#This Row],[totalChallan]]</f>
        <v>1</v>
      </c>
      <c r="L2522" t="b">
        <f>TrafficData[[#This Row],[pendingAmount]]+TrafficData[[#This Row],[disposedAmount]]=TrafficData[[#This Row],[totalAmount]]</f>
        <v>1</v>
      </c>
      <c r="M2522" t="b">
        <f>TrafficData[[#This Row],[pendingCourt]]+TrafficData[[#This Row],[disposedCourt]]=TrafficData[[#This Row],[totalCourt]]</f>
        <v>1</v>
      </c>
      <c r="N2522" t="b">
        <f>AND(TrafficData[[#This Row],[disposedChallan]]&lt;=TrafficData[[#This Row],[totalChallan]],TrafficData[[#This Row],[pendingChallan]]&lt;=TrafficData[[#This Row],[totalChallan]])</f>
        <v>1</v>
      </c>
      <c r="O2522" t="b">
        <f>AND(TrafficData[[#This Row],[pendingAmount]]&lt;=TrafficData[[#This Row],[totalAmount]],TrafficData[[#This Row],[disposedAmount]]&lt;=TrafficData[[#This Row],[totalAmount]])</f>
        <v>1</v>
      </c>
      <c r="P2522" t="b">
        <f>AND(TrafficData[[#This Row],[pendingCourt]]&lt;=TrafficData[[#This Row],[totalCourt]],TrafficData[[#This Row],[disposedCourt]]&lt;=TrafficData[[#This Row],[totalCourt]])</f>
        <v>1</v>
      </c>
    </row>
    <row r="2523" spans="1:16">
      <c r="A2523" s="1">
        <v>44527</v>
      </c>
      <c r="B2523">
        <v>135568</v>
      </c>
      <c r="C2523">
        <v>60716</v>
      </c>
      <c r="D2523">
        <v>74852</v>
      </c>
      <c r="E2523">
        <v>99177048</v>
      </c>
      <c r="F2523">
        <v>148966236</v>
      </c>
      <c r="G2523">
        <v>248143284</v>
      </c>
      <c r="H2523">
        <v>26504</v>
      </c>
      <c r="I2523">
        <v>8834</v>
      </c>
      <c r="J2523">
        <v>35338</v>
      </c>
      <c r="K2523" t="b">
        <f>TrafficData[[#This Row],[disposedChallan]]+TrafficData[[#This Row],[pendingChallan]]=TrafficData[[#This Row],[totalChallan]]</f>
        <v>1</v>
      </c>
      <c r="L2523" t="b">
        <f>TrafficData[[#This Row],[pendingAmount]]+TrafficData[[#This Row],[disposedAmount]]=TrafficData[[#This Row],[totalAmount]]</f>
        <v>1</v>
      </c>
      <c r="M2523" t="b">
        <f>TrafficData[[#This Row],[pendingCourt]]+TrafficData[[#This Row],[disposedCourt]]=TrafficData[[#This Row],[totalCourt]]</f>
        <v>1</v>
      </c>
      <c r="N2523" t="b">
        <f>AND(TrafficData[[#This Row],[disposedChallan]]&lt;=TrafficData[[#This Row],[totalChallan]],TrafficData[[#This Row],[pendingChallan]]&lt;=TrafficData[[#This Row],[totalChallan]])</f>
        <v>1</v>
      </c>
      <c r="O2523" t="b">
        <f>AND(TrafficData[[#This Row],[pendingAmount]]&lt;=TrafficData[[#This Row],[totalAmount]],TrafficData[[#This Row],[disposedAmount]]&lt;=TrafficData[[#This Row],[totalAmount]])</f>
        <v>1</v>
      </c>
      <c r="P2523" t="b">
        <f>AND(TrafficData[[#This Row],[pendingCourt]]&lt;=TrafficData[[#This Row],[totalCourt]],TrafficData[[#This Row],[disposedCourt]]&lt;=TrafficData[[#This Row],[totalCourt]])</f>
        <v>1</v>
      </c>
    </row>
    <row r="2524" spans="1:16">
      <c r="A2524" s="1">
        <v>44528</v>
      </c>
      <c r="B2524">
        <v>122567</v>
      </c>
      <c r="C2524">
        <v>52376</v>
      </c>
      <c r="D2524">
        <v>70191</v>
      </c>
      <c r="E2524">
        <v>86074420</v>
      </c>
      <c r="F2524">
        <v>55778196</v>
      </c>
      <c r="G2524">
        <v>141852616</v>
      </c>
      <c r="H2524">
        <v>24230</v>
      </c>
      <c r="I2524">
        <v>7722</v>
      </c>
      <c r="J2524">
        <v>31952</v>
      </c>
      <c r="K2524" t="b">
        <f>TrafficData[[#This Row],[disposedChallan]]+TrafficData[[#This Row],[pendingChallan]]=TrafficData[[#This Row],[totalChallan]]</f>
        <v>1</v>
      </c>
      <c r="L2524" t="b">
        <f>TrafficData[[#This Row],[pendingAmount]]+TrafficData[[#This Row],[disposedAmount]]=TrafficData[[#This Row],[totalAmount]]</f>
        <v>1</v>
      </c>
      <c r="M2524" t="b">
        <f>TrafficData[[#This Row],[pendingCourt]]+TrafficData[[#This Row],[disposedCourt]]=TrafficData[[#This Row],[totalCourt]]</f>
        <v>1</v>
      </c>
      <c r="N2524" t="b">
        <f>AND(TrafficData[[#This Row],[disposedChallan]]&lt;=TrafficData[[#This Row],[totalChallan]],TrafficData[[#This Row],[pendingChallan]]&lt;=TrafficData[[#This Row],[totalChallan]])</f>
        <v>1</v>
      </c>
      <c r="O2524" t="b">
        <f>AND(TrafficData[[#This Row],[pendingAmount]]&lt;=TrafficData[[#This Row],[totalAmount]],TrafficData[[#This Row],[disposedAmount]]&lt;=TrafficData[[#This Row],[totalAmount]])</f>
        <v>1</v>
      </c>
      <c r="P2524" t="b">
        <f>AND(TrafficData[[#This Row],[pendingCourt]]&lt;=TrafficData[[#This Row],[totalCourt]],TrafficData[[#This Row],[disposedCourt]]&lt;=TrafficData[[#This Row],[totalCourt]])</f>
        <v>1</v>
      </c>
    </row>
    <row r="2525" spans="1:16">
      <c r="A2525" s="1">
        <v>44529</v>
      </c>
      <c r="B2525">
        <v>132952</v>
      </c>
      <c r="C2525">
        <v>58454</v>
      </c>
      <c r="D2525">
        <v>74498</v>
      </c>
      <c r="E2525">
        <v>90945451</v>
      </c>
      <c r="F2525">
        <v>62269969</v>
      </c>
      <c r="G2525">
        <v>153215420</v>
      </c>
      <c r="H2525">
        <v>26547</v>
      </c>
      <c r="I2525">
        <v>8598</v>
      </c>
      <c r="J2525">
        <v>35145</v>
      </c>
      <c r="K2525" t="b">
        <f>TrafficData[[#This Row],[disposedChallan]]+TrafficData[[#This Row],[pendingChallan]]=TrafficData[[#This Row],[totalChallan]]</f>
        <v>1</v>
      </c>
      <c r="L2525" t="b">
        <f>TrafficData[[#This Row],[pendingAmount]]+TrafficData[[#This Row],[disposedAmount]]=TrafficData[[#This Row],[totalAmount]]</f>
        <v>1</v>
      </c>
      <c r="M2525" t="b">
        <f>TrafficData[[#This Row],[pendingCourt]]+TrafficData[[#This Row],[disposedCourt]]=TrafficData[[#This Row],[totalCourt]]</f>
        <v>1</v>
      </c>
      <c r="N2525" t="b">
        <f>AND(TrafficData[[#This Row],[disposedChallan]]&lt;=TrafficData[[#This Row],[totalChallan]],TrafficData[[#This Row],[pendingChallan]]&lt;=TrafficData[[#This Row],[totalChallan]])</f>
        <v>1</v>
      </c>
      <c r="O2525" t="b">
        <f>AND(TrafficData[[#This Row],[pendingAmount]]&lt;=TrafficData[[#This Row],[totalAmount]],TrafficData[[#This Row],[disposedAmount]]&lt;=TrafficData[[#This Row],[totalAmount]])</f>
        <v>1</v>
      </c>
      <c r="P2525" t="b">
        <f>AND(TrafficData[[#This Row],[pendingCourt]]&lt;=TrafficData[[#This Row],[totalCourt]],TrafficData[[#This Row],[disposedCourt]]&lt;=TrafficData[[#This Row],[totalCourt]])</f>
        <v>1</v>
      </c>
    </row>
    <row r="2526" spans="1:16">
      <c r="A2526" s="1">
        <v>44530</v>
      </c>
      <c r="B2526">
        <v>133537</v>
      </c>
      <c r="C2526">
        <v>60153</v>
      </c>
      <c r="D2526">
        <v>73384</v>
      </c>
      <c r="E2526">
        <v>90210804</v>
      </c>
      <c r="F2526">
        <v>64028858</v>
      </c>
      <c r="G2526">
        <v>154239662</v>
      </c>
      <c r="H2526">
        <v>24743</v>
      </c>
      <c r="I2526">
        <v>8184</v>
      </c>
      <c r="J2526">
        <v>32927</v>
      </c>
      <c r="K2526" t="b">
        <f>TrafficData[[#This Row],[disposedChallan]]+TrafficData[[#This Row],[pendingChallan]]=TrafficData[[#This Row],[totalChallan]]</f>
        <v>1</v>
      </c>
      <c r="L2526" t="b">
        <f>TrafficData[[#This Row],[pendingAmount]]+TrafficData[[#This Row],[disposedAmount]]=TrafficData[[#This Row],[totalAmount]]</f>
        <v>1</v>
      </c>
      <c r="M2526" t="b">
        <f>TrafficData[[#This Row],[pendingCourt]]+TrafficData[[#This Row],[disposedCourt]]=TrafficData[[#This Row],[totalCourt]]</f>
        <v>1</v>
      </c>
      <c r="N2526" t="b">
        <f>AND(TrafficData[[#This Row],[disposedChallan]]&lt;=TrafficData[[#This Row],[totalChallan]],TrafficData[[#This Row],[pendingChallan]]&lt;=TrafficData[[#This Row],[totalChallan]])</f>
        <v>1</v>
      </c>
      <c r="O2526" t="b">
        <f>AND(TrafficData[[#This Row],[pendingAmount]]&lt;=TrafficData[[#This Row],[totalAmount]],TrafficData[[#This Row],[disposedAmount]]&lt;=TrafficData[[#This Row],[totalAmount]])</f>
        <v>1</v>
      </c>
      <c r="P2526" t="b">
        <f>AND(TrafficData[[#This Row],[pendingCourt]]&lt;=TrafficData[[#This Row],[totalCourt]],TrafficData[[#This Row],[disposedCourt]]&lt;=TrafficData[[#This Row],[totalCourt]])</f>
        <v>1</v>
      </c>
    </row>
    <row r="2527" spans="1:16">
      <c r="A2527" s="1">
        <v>44531</v>
      </c>
      <c r="B2527">
        <v>131056</v>
      </c>
      <c r="C2527">
        <v>63226</v>
      </c>
      <c r="D2527">
        <v>67830</v>
      </c>
      <c r="E2527">
        <v>85814209</v>
      </c>
      <c r="F2527">
        <v>78513840</v>
      </c>
      <c r="G2527">
        <v>164328049</v>
      </c>
      <c r="H2527">
        <v>20810</v>
      </c>
      <c r="I2527">
        <v>7544</v>
      </c>
      <c r="J2527">
        <v>28354</v>
      </c>
      <c r="K2527" t="b">
        <f>TrafficData[[#This Row],[disposedChallan]]+TrafficData[[#This Row],[pendingChallan]]=TrafficData[[#This Row],[totalChallan]]</f>
        <v>1</v>
      </c>
      <c r="L2527" t="b">
        <f>TrafficData[[#This Row],[pendingAmount]]+TrafficData[[#This Row],[disposedAmount]]=TrafficData[[#This Row],[totalAmount]]</f>
        <v>1</v>
      </c>
      <c r="M2527" t="b">
        <f>TrafficData[[#This Row],[pendingCourt]]+TrafficData[[#This Row],[disposedCourt]]=TrafficData[[#This Row],[totalCourt]]</f>
        <v>1</v>
      </c>
      <c r="N2527" t="b">
        <f>AND(TrafficData[[#This Row],[disposedChallan]]&lt;=TrafficData[[#This Row],[totalChallan]],TrafficData[[#This Row],[pendingChallan]]&lt;=TrafficData[[#This Row],[totalChallan]])</f>
        <v>1</v>
      </c>
      <c r="O2527" t="b">
        <f>AND(TrafficData[[#This Row],[pendingAmount]]&lt;=TrafficData[[#This Row],[totalAmount]],TrafficData[[#This Row],[disposedAmount]]&lt;=TrafficData[[#This Row],[totalAmount]])</f>
        <v>1</v>
      </c>
      <c r="P2527" t="b">
        <f>AND(TrafficData[[#This Row],[pendingCourt]]&lt;=TrafficData[[#This Row],[totalCourt]],TrafficData[[#This Row],[disposedCourt]]&lt;=TrafficData[[#This Row],[totalCourt]])</f>
        <v>1</v>
      </c>
    </row>
    <row r="2528" spans="1:16">
      <c r="A2528" s="1">
        <v>44532</v>
      </c>
      <c r="B2528">
        <v>125969</v>
      </c>
      <c r="C2528">
        <v>59806</v>
      </c>
      <c r="D2528">
        <v>66163</v>
      </c>
      <c r="E2528">
        <v>85297586</v>
      </c>
      <c r="F2528">
        <v>80922081</v>
      </c>
      <c r="G2528">
        <v>166219667</v>
      </c>
      <c r="H2528">
        <v>19700</v>
      </c>
      <c r="I2528">
        <v>6900</v>
      </c>
      <c r="J2528">
        <v>26600</v>
      </c>
      <c r="K2528" t="b">
        <f>TrafficData[[#This Row],[disposedChallan]]+TrafficData[[#This Row],[pendingChallan]]=TrafficData[[#This Row],[totalChallan]]</f>
        <v>1</v>
      </c>
      <c r="L2528" t="b">
        <f>TrafficData[[#This Row],[pendingAmount]]+TrafficData[[#This Row],[disposedAmount]]=TrafficData[[#This Row],[totalAmount]]</f>
        <v>1</v>
      </c>
      <c r="M2528" t="b">
        <f>TrafficData[[#This Row],[pendingCourt]]+TrafficData[[#This Row],[disposedCourt]]=TrafficData[[#This Row],[totalCourt]]</f>
        <v>1</v>
      </c>
      <c r="N2528" t="b">
        <f>AND(TrafficData[[#This Row],[disposedChallan]]&lt;=TrafficData[[#This Row],[totalChallan]],TrafficData[[#This Row],[pendingChallan]]&lt;=TrafficData[[#This Row],[totalChallan]])</f>
        <v>1</v>
      </c>
      <c r="O2528" t="b">
        <f>AND(TrafficData[[#This Row],[pendingAmount]]&lt;=TrafficData[[#This Row],[totalAmount]],TrafficData[[#This Row],[disposedAmount]]&lt;=TrafficData[[#This Row],[totalAmount]])</f>
        <v>1</v>
      </c>
      <c r="P2528" t="b">
        <f>AND(TrafficData[[#This Row],[pendingCourt]]&lt;=TrafficData[[#This Row],[totalCourt]],TrafficData[[#This Row],[disposedCourt]]&lt;=TrafficData[[#This Row],[totalCourt]])</f>
        <v>1</v>
      </c>
    </row>
    <row r="2529" spans="1:16">
      <c r="A2529" s="1">
        <v>44533</v>
      </c>
      <c r="B2529">
        <v>130466</v>
      </c>
      <c r="C2529">
        <v>61719</v>
      </c>
      <c r="D2529">
        <v>68747</v>
      </c>
      <c r="E2529">
        <v>87677373</v>
      </c>
      <c r="F2529">
        <v>82171585</v>
      </c>
      <c r="G2529">
        <v>169848958</v>
      </c>
      <c r="H2529">
        <v>20521</v>
      </c>
      <c r="I2529">
        <v>7255</v>
      </c>
      <c r="J2529">
        <v>27776</v>
      </c>
      <c r="K2529" t="b">
        <f>TrafficData[[#This Row],[disposedChallan]]+TrafficData[[#This Row],[pendingChallan]]=TrafficData[[#This Row],[totalChallan]]</f>
        <v>1</v>
      </c>
      <c r="L2529" t="b">
        <f>TrafficData[[#This Row],[pendingAmount]]+TrafficData[[#This Row],[disposedAmount]]=TrafficData[[#This Row],[totalAmount]]</f>
        <v>1</v>
      </c>
      <c r="M2529" t="b">
        <f>TrafficData[[#This Row],[pendingCourt]]+TrafficData[[#This Row],[disposedCourt]]=TrafficData[[#This Row],[totalCourt]]</f>
        <v>1</v>
      </c>
      <c r="N2529" t="b">
        <f>AND(TrafficData[[#This Row],[disposedChallan]]&lt;=TrafficData[[#This Row],[totalChallan]],TrafficData[[#This Row],[pendingChallan]]&lt;=TrafficData[[#This Row],[totalChallan]])</f>
        <v>1</v>
      </c>
      <c r="O2529" t="b">
        <f>AND(TrafficData[[#This Row],[pendingAmount]]&lt;=TrafficData[[#This Row],[totalAmount]],TrafficData[[#This Row],[disposedAmount]]&lt;=TrafficData[[#This Row],[totalAmount]])</f>
        <v>1</v>
      </c>
      <c r="P2529" t="b">
        <f>AND(TrafficData[[#This Row],[pendingCourt]]&lt;=TrafficData[[#This Row],[totalCourt]],TrafficData[[#This Row],[disposedCourt]]&lt;=TrafficData[[#This Row],[totalCourt]])</f>
        <v>1</v>
      </c>
    </row>
    <row r="2530" spans="1:16">
      <c r="A2530" s="1">
        <v>44534</v>
      </c>
      <c r="B2530">
        <v>128411</v>
      </c>
      <c r="C2530">
        <v>61088</v>
      </c>
      <c r="D2530">
        <v>67323</v>
      </c>
      <c r="E2530">
        <v>87248657</v>
      </c>
      <c r="F2530">
        <v>85418458</v>
      </c>
      <c r="G2530">
        <v>172667115</v>
      </c>
      <c r="H2530">
        <v>17465</v>
      </c>
      <c r="I2530">
        <v>6847</v>
      </c>
      <c r="J2530">
        <v>24312</v>
      </c>
      <c r="K2530" t="b">
        <f>TrafficData[[#This Row],[disposedChallan]]+TrafficData[[#This Row],[pendingChallan]]=TrafficData[[#This Row],[totalChallan]]</f>
        <v>1</v>
      </c>
      <c r="L2530" t="b">
        <f>TrafficData[[#This Row],[pendingAmount]]+TrafficData[[#This Row],[disposedAmount]]=TrafficData[[#This Row],[totalAmount]]</f>
        <v>1</v>
      </c>
      <c r="M2530" t="b">
        <f>TrafficData[[#This Row],[pendingCourt]]+TrafficData[[#This Row],[disposedCourt]]=TrafficData[[#This Row],[totalCourt]]</f>
        <v>1</v>
      </c>
      <c r="N2530" t="b">
        <f>AND(TrafficData[[#This Row],[disposedChallan]]&lt;=TrafficData[[#This Row],[totalChallan]],TrafficData[[#This Row],[pendingChallan]]&lt;=TrafficData[[#This Row],[totalChallan]])</f>
        <v>1</v>
      </c>
      <c r="O2530" t="b">
        <f>AND(TrafficData[[#This Row],[pendingAmount]]&lt;=TrafficData[[#This Row],[totalAmount]],TrafficData[[#This Row],[disposedAmount]]&lt;=TrafficData[[#This Row],[totalAmount]])</f>
        <v>1</v>
      </c>
      <c r="P2530" t="b">
        <f>AND(TrafficData[[#This Row],[pendingCourt]]&lt;=TrafficData[[#This Row],[totalCourt]],TrafficData[[#This Row],[disposedCourt]]&lt;=TrafficData[[#This Row],[totalCourt]])</f>
        <v>1</v>
      </c>
    </row>
    <row r="2531" spans="1:16">
      <c r="A2531" s="1">
        <v>44535</v>
      </c>
      <c r="B2531">
        <v>117851</v>
      </c>
      <c r="C2531">
        <v>53269</v>
      </c>
      <c r="D2531">
        <v>64582</v>
      </c>
      <c r="E2531">
        <v>76975884</v>
      </c>
      <c r="F2531">
        <v>60218114</v>
      </c>
      <c r="G2531">
        <v>137193998</v>
      </c>
      <c r="H2531">
        <v>15840</v>
      </c>
      <c r="I2531">
        <v>6422</v>
      </c>
      <c r="J2531">
        <v>22262</v>
      </c>
      <c r="K2531" t="b">
        <f>TrafficData[[#This Row],[disposedChallan]]+TrafficData[[#This Row],[pendingChallan]]=TrafficData[[#This Row],[totalChallan]]</f>
        <v>1</v>
      </c>
      <c r="L2531" t="b">
        <f>TrafficData[[#This Row],[pendingAmount]]+TrafficData[[#This Row],[disposedAmount]]=TrafficData[[#This Row],[totalAmount]]</f>
        <v>1</v>
      </c>
      <c r="M2531" t="b">
        <f>TrafficData[[#This Row],[pendingCourt]]+TrafficData[[#This Row],[disposedCourt]]=TrafficData[[#This Row],[totalCourt]]</f>
        <v>1</v>
      </c>
      <c r="N2531" t="b">
        <f>AND(TrafficData[[#This Row],[disposedChallan]]&lt;=TrafficData[[#This Row],[totalChallan]],TrafficData[[#This Row],[pendingChallan]]&lt;=TrafficData[[#This Row],[totalChallan]])</f>
        <v>1</v>
      </c>
      <c r="O2531" t="b">
        <f>AND(TrafficData[[#This Row],[pendingAmount]]&lt;=TrafficData[[#This Row],[totalAmount]],TrafficData[[#This Row],[disposedAmount]]&lt;=TrafficData[[#This Row],[totalAmount]])</f>
        <v>1</v>
      </c>
      <c r="P2531" t="b">
        <f>AND(TrafficData[[#This Row],[pendingCourt]]&lt;=TrafficData[[#This Row],[totalCourt]],TrafficData[[#This Row],[disposedCourt]]&lt;=TrafficData[[#This Row],[totalCourt]])</f>
        <v>1</v>
      </c>
    </row>
    <row r="2532" spans="1:16">
      <c r="A2532" s="1">
        <v>44536</v>
      </c>
      <c r="B2532">
        <v>124082</v>
      </c>
      <c r="C2532">
        <v>59675</v>
      </c>
      <c r="D2532">
        <v>64407</v>
      </c>
      <c r="E2532">
        <v>88439447</v>
      </c>
      <c r="F2532">
        <v>71846411</v>
      </c>
      <c r="G2532">
        <v>160285858</v>
      </c>
      <c r="H2532">
        <v>20108</v>
      </c>
      <c r="I2532">
        <v>7476</v>
      </c>
      <c r="J2532">
        <v>27584</v>
      </c>
      <c r="K2532" t="b">
        <f>TrafficData[[#This Row],[disposedChallan]]+TrafficData[[#This Row],[pendingChallan]]=TrafficData[[#This Row],[totalChallan]]</f>
        <v>1</v>
      </c>
      <c r="L2532" t="b">
        <f>TrafficData[[#This Row],[pendingAmount]]+TrafficData[[#This Row],[disposedAmount]]=TrafficData[[#This Row],[totalAmount]]</f>
        <v>1</v>
      </c>
      <c r="M2532" t="b">
        <f>TrafficData[[#This Row],[pendingCourt]]+TrafficData[[#This Row],[disposedCourt]]=TrafficData[[#This Row],[totalCourt]]</f>
        <v>1</v>
      </c>
      <c r="N2532" t="b">
        <f>AND(TrafficData[[#This Row],[disposedChallan]]&lt;=TrafficData[[#This Row],[totalChallan]],TrafficData[[#This Row],[pendingChallan]]&lt;=TrafficData[[#This Row],[totalChallan]])</f>
        <v>1</v>
      </c>
      <c r="O2532" t="b">
        <f>AND(TrafficData[[#This Row],[pendingAmount]]&lt;=TrafficData[[#This Row],[totalAmount]],TrafficData[[#This Row],[disposedAmount]]&lt;=TrafficData[[#This Row],[totalAmount]])</f>
        <v>1</v>
      </c>
      <c r="P2532" t="b">
        <f>AND(TrafficData[[#This Row],[pendingCourt]]&lt;=TrafficData[[#This Row],[totalCourt]],TrafficData[[#This Row],[disposedCourt]]&lt;=TrafficData[[#This Row],[totalCourt]])</f>
        <v>1</v>
      </c>
    </row>
    <row r="2533" spans="1:16">
      <c r="A2533" s="1">
        <v>44537</v>
      </c>
      <c r="B2533">
        <v>125779</v>
      </c>
      <c r="C2533">
        <v>60719</v>
      </c>
      <c r="D2533">
        <v>65060</v>
      </c>
      <c r="E2533">
        <v>90151385</v>
      </c>
      <c r="F2533">
        <v>82097005</v>
      </c>
      <c r="G2533">
        <v>172248390</v>
      </c>
      <c r="H2533">
        <v>21273</v>
      </c>
      <c r="I2533">
        <v>7600</v>
      </c>
      <c r="J2533">
        <v>28873</v>
      </c>
      <c r="K2533" t="b">
        <f>TrafficData[[#This Row],[disposedChallan]]+TrafficData[[#This Row],[pendingChallan]]=TrafficData[[#This Row],[totalChallan]]</f>
        <v>1</v>
      </c>
      <c r="L2533" t="b">
        <f>TrafficData[[#This Row],[pendingAmount]]+TrafficData[[#This Row],[disposedAmount]]=TrafficData[[#This Row],[totalAmount]]</f>
        <v>1</v>
      </c>
      <c r="M2533" t="b">
        <f>TrafficData[[#This Row],[pendingCourt]]+TrafficData[[#This Row],[disposedCourt]]=TrafficData[[#This Row],[totalCourt]]</f>
        <v>1</v>
      </c>
      <c r="N2533" t="b">
        <f>AND(TrafficData[[#This Row],[disposedChallan]]&lt;=TrafficData[[#This Row],[totalChallan]],TrafficData[[#This Row],[pendingChallan]]&lt;=TrafficData[[#This Row],[totalChallan]])</f>
        <v>1</v>
      </c>
      <c r="O2533" t="b">
        <f>AND(TrafficData[[#This Row],[pendingAmount]]&lt;=TrafficData[[#This Row],[totalAmount]],TrafficData[[#This Row],[disposedAmount]]&lt;=TrafficData[[#This Row],[totalAmount]])</f>
        <v>1</v>
      </c>
      <c r="P2533" t="b">
        <f>AND(TrafficData[[#This Row],[pendingCourt]]&lt;=TrafficData[[#This Row],[totalCourt]],TrafficData[[#This Row],[disposedCourt]]&lt;=TrafficData[[#This Row],[totalCourt]])</f>
        <v>1</v>
      </c>
    </row>
    <row r="2534" spans="1:16">
      <c r="A2534" s="1">
        <v>44538</v>
      </c>
      <c r="B2534">
        <v>125986</v>
      </c>
      <c r="C2534">
        <v>62247</v>
      </c>
      <c r="D2534">
        <v>63739</v>
      </c>
      <c r="E2534">
        <v>92410406</v>
      </c>
      <c r="F2534">
        <v>87836585</v>
      </c>
      <c r="G2534">
        <v>180246991</v>
      </c>
      <c r="H2534">
        <v>22889</v>
      </c>
      <c r="I2534">
        <v>8353</v>
      </c>
      <c r="J2534">
        <v>31242</v>
      </c>
      <c r="K2534" t="b">
        <f>TrafficData[[#This Row],[disposedChallan]]+TrafficData[[#This Row],[pendingChallan]]=TrafficData[[#This Row],[totalChallan]]</f>
        <v>1</v>
      </c>
      <c r="L2534" t="b">
        <f>TrafficData[[#This Row],[pendingAmount]]+TrafficData[[#This Row],[disposedAmount]]=TrafficData[[#This Row],[totalAmount]]</f>
        <v>1</v>
      </c>
      <c r="M2534" t="b">
        <f>TrafficData[[#This Row],[pendingCourt]]+TrafficData[[#This Row],[disposedCourt]]=TrafficData[[#This Row],[totalCourt]]</f>
        <v>1</v>
      </c>
      <c r="N2534" t="b">
        <f>AND(TrafficData[[#This Row],[disposedChallan]]&lt;=TrafficData[[#This Row],[totalChallan]],TrafficData[[#This Row],[pendingChallan]]&lt;=TrafficData[[#This Row],[totalChallan]])</f>
        <v>1</v>
      </c>
      <c r="O2534" t="b">
        <f>AND(TrafficData[[#This Row],[pendingAmount]]&lt;=TrafficData[[#This Row],[totalAmount]],TrafficData[[#This Row],[disposedAmount]]&lt;=TrafficData[[#This Row],[totalAmount]])</f>
        <v>1</v>
      </c>
      <c r="P2534" t="b">
        <f>AND(TrafficData[[#This Row],[pendingCourt]]&lt;=TrafficData[[#This Row],[totalCourt]],TrafficData[[#This Row],[disposedCourt]]&lt;=TrafficData[[#This Row],[totalCourt]])</f>
        <v>1</v>
      </c>
    </row>
    <row r="2535" spans="1:16">
      <c r="A2535" s="1">
        <v>44539</v>
      </c>
      <c r="B2535">
        <v>125931</v>
      </c>
      <c r="C2535">
        <v>60040</v>
      </c>
      <c r="D2535">
        <v>65891</v>
      </c>
      <c r="E2535">
        <v>93914894</v>
      </c>
      <c r="F2535">
        <v>82511769</v>
      </c>
      <c r="G2535">
        <v>176426663</v>
      </c>
      <c r="H2535">
        <v>21036</v>
      </c>
      <c r="I2535">
        <v>7655</v>
      </c>
      <c r="J2535">
        <v>28691</v>
      </c>
      <c r="K2535" t="b">
        <f>TrafficData[[#This Row],[disposedChallan]]+TrafficData[[#This Row],[pendingChallan]]=TrafficData[[#This Row],[totalChallan]]</f>
        <v>1</v>
      </c>
      <c r="L2535" t="b">
        <f>TrafficData[[#This Row],[pendingAmount]]+TrafficData[[#This Row],[disposedAmount]]=TrafficData[[#This Row],[totalAmount]]</f>
        <v>1</v>
      </c>
      <c r="M2535" t="b">
        <f>TrafficData[[#This Row],[pendingCourt]]+TrafficData[[#This Row],[disposedCourt]]=TrafficData[[#This Row],[totalCourt]]</f>
        <v>1</v>
      </c>
      <c r="N2535" t="b">
        <f>AND(TrafficData[[#This Row],[disposedChallan]]&lt;=TrafficData[[#This Row],[totalChallan]],TrafficData[[#This Row],[pendingChallan]]&lt;=TrafficData[[#This Row],[totalChallan]])</f>
        <v>1</v>
      </c>
      <c r="O2535" t="b">
        <f>AND(TrafficData[[#This Row],[pendingAmount]]&lt;=TrafficData[[#This Row],[totalAmount]],TrafficData[[#This Row],[disposedAmount]]&lt;=TrafficData[[#This Row],[totalAmount]])</f>
        <v>1</v>
      </c>
      <c r="P2535" t="b">
        <f>AND(TrafficData[[#This Row],[pendingCourt]]&lt;=TrafficData[[#This Row],[totalCourt]],TrafficData[[#This Row],[disposedCourt]]&lt;=TrafficData[[#This Row],[totalCourt]])</f>
        <v>1</v>
      </c>
    </row>
    <row r="2536" spans="1:16">
      <c r="A2536" s="1">
        <v>44540</v>
      </c>
      <c r="B2536">
        <v>121596</v>
      </c>
      <c r="C2536">
        <v>57855</v>
      </c>
      <c r="D2536">
        <v>63741</v>
      </c>
      <c r="E2536">
        <v>89785767</v>
      </c>
      <c r="F2536">
        <v>75753433</v>
      </c>
      <c r="G2536">
        <v>165539200</v>
      </c>
      <c r="H2536">
        <v>22411</v>
      </c>
      <c r="I2536">
        <v>7539</v>
      </c>
      <c r="J2536">
        <v>29950</v>
      </c>
      <c r="K2536" t="b">
        <f>TrafficData[[#This Row],[disposedChallan]]+TrafficData[[#This Row],[pendingChallan]]=TrafficData[[#This Row],[totalChallan]]</f>
        <v>1</v>
      </c>
      <c r="L2536" t="b">
        <f>TrafficData[[#This Row],[pendingAmount]]+TrafficData[[#This Row],[disposedAmount]]=TrafficData[[#This Row],[totalAmount]]</f>
        <v>1</v>
      </c>
      <c r="M2536" t="b">
        <f>TrafficData[[#This Row],[pendingCourt]]+TrafficData[[#This Row],[disposedCourt]]=TrafficData[[#This Row],[totalCourt]]</f>
        <v>1</v>
      </c>
      <c r="N2536" t="b">
        <f>AND(TrafficData[[#This Row],[disposedChallan]]&lt;=TrafficData[[#This Row],[totalChallan]],TrafficData[[#This Row],[pendingChallan]]&lt;=TrafficData[[#This Row],[totalChallan]])</f>
        <v>1</v>
      </c>
      <c r="O2536" t="b">
        <f>AND(TrafficData[[#This Row],[pendingAmount]]&lt;=TrafficData[[#This Row],[totalAmount]],TrafficData[[#This Row],[disposedAmount]]&lt;=TrafficData[[#This Row],[totalAmount]])</f>
        <v>1</v>
      </c>
      <c r="P2536" t="b">
        <f>AND(TrafficData[[#This Row],[pendingCourt]]&lt;=TrafficData[[#This Row],[totalCourt]],TrafficData[[#This Row],[disposedCourt]]&lt;=TrafficData[[#This Row],[totalCourt]])</f>
        <v>1</v>
      </c>
    </row>
    <row r="2537" spans="1:16">
      <c r="A2537" s="1">
        <v>44541</v>
      </c>
      <c r="B2537">
        <v>119278</v>
      </c>
      <c r="C2537">
        <v>59352</v>
      </c>
      <c r="D2537">
        <v>59926</v>
      </c>
      <c r="E2537">
        <v>75027145</v>
      </c>
      <c r="F2537">
        <v>74557464</v>
      </c>
      <c r="G2537">
        <v>149584609</v>
      </c>
      <c r="H2537">
        <v>16630</v>
      </c>
      <c r="I2537">
        <v>6272</v>
      </c>
      <c r="J2537">
        <v>22902</v>
      </c>
      <c r="K2537" t="b">
        <f>TrafficData[[#This Row],[disposedChallan]]+TrafficData[[#This Row],[pendingChallan]]=TrafficData[[#This Row],[totalChallan]]</f>
        <v>1</v>
      </c>
      <c r="L2537" t="b">
        <f>TrafficData[[#This Row],[pendingAmount]]+TrafficData[[#This Row],[disposedAmount]]=TrafficData[[#This Row],[totalAmount]]</f>
        <v>1</v>
      </c>
      <c r="M2537" t="b">
        <f>TrafficData[[#This Row],[pendingCourt]]+TrafficData[[#This Row],[disposedCourt]]=TrafficData[[#This Row],[totalCourt]]</f>
        <v>1</v>
      </c>
      <c r="N2537" t="b">
        <f>AND(TrafficData[[#This Row],[disposedChallan]]&lt;=TrafficData[[#This Row],[totalChallan]],TrafficData[[#This Row],[pendingChallan]]&lt;=TrafficData[[#This Row],[totalChallan]])</f>
        <v>1</v>
      </c>
      <c r="O2537" t="b">
        <f>AND(TrafficData[[#This Row],[pendingAmount]]&lt;=TrafficData[[#This Row],[totalAmount]],TrafficData[[#This Row],[disposedAmount]]&lt;=TrafficData[[#This Row],[totalAmount]])</f>
        <v>1</v>
      </c>
      <c r="P2537" t="b">
        <f>AND(TrafficData[[#This Row],[pendingCourt]]&lt;=TrafficData[[#This Row],[totalCourt]],TrafficData[[#This Row],[disposedCourt]]&lt;=TrafficData[[#This Row],[totalCourt]])</f>
        <v>1</v>
      </c>
    </row>
    <row r="2538" spans="1:16">
      <c r="A2538" s="1">
        <v>44542</v>
      </c>
      <c r="B2538">
        <v>116094</v>
      </c>
      <c r="C2538">
        <v>51084</v>
      </c>
      <c r="D2538">
        <v>65010</v>
      </c>
      <c r="E2538">
        <v>78118495</v>
      </c>
      <c r="F2538">
        <v>56049971</v>
      </c>
      <c r="G2538">
        <v>134168466</v>
      </c>
      <c r="H2538">
        <v>16585</v>
      </c>
      <c r="I2538">
        <v>6449</v>
      </c>
      <c r="J2538">
        <v>23034</v>
      </c>
      <c r="K2538" t="b">
        <f>TrafficData[[#This Row],[disposedChallan]]+TrafficData[[#This Row],[pendingChallan]]=TrafficData[[#This Row],[totalChallan]]</f>
        <v>1</v>
      </c>
      <c r="L2538" t="b">
        <f>TrafficData[[#This Row],[pendingAmount]]+TrafficData[[#This Row],[disposedAmount]]=TrafficData[[#This Row],[totalAmount]]</f>
        <v>1</v>
      </c>
      <c r="M2538" t="b">
        <f>TrafficData[[#This Row],[pendingCourt]]+TrafficData[[#This Row],[disposedCourt]]=TrafficData[[#This Row],[totalCourt]]</f>
        <v>1</v>
      </c>
      <c r="N2538" t="b">
        <f>AND(TrafficData[[#This Row],[disposedChallan]]&lt;=TrafficData[[#This Row],[totalChallan]],TrafficData[[#This Row],[pendingChallan]]&lt;=TrafficData[[#This Row],[totalChallan]])</f>
        <v>1</v>
      </c>
      <c r="O2538" t="b">
        <f>AND(TrafficData[[#This Row],[pendingAmount]]&lt;=TrafficData[[#This Row],[totalAmount]],TrafficData[[#This Row],[disposedAmount]]&lt;=TrafficData[[#This Row],[totalAmount]])</f>
        <v>1</v>
      </c>
      <c r="P2538" t="b">
        <f>AND(TrafficData[[#This Row],[pendingCourt]]&lt;=TrafficData[[#This Row],[totalCourt]],TrafficData[[#This Row],[disposedCourt]]&lt;=TrafficData[[#This Row],[totalCourt]])</f>
        <v>1</v>
      </c>
    </row>
    <row r="2539" spans="1:16">
      <c r="A2539" s="1">
        <v>44543</v>
      </c>
      <c r="B2539">
        <v>121697</v>
      </c>
      <c r="C2539">
        <v>58319</v>
      </c>
      <c r="D2539">
        <v>63378</v>
      </c>
      <c r="E2539">
        <v>88429704</v>
      </c>
      <c r="F2539">
        <v>70205313</v>
      </c>
      <c r="G2539">
        <v>158635017</v>
      </c>
      <c r="H2539">
        <v>20364</v>
      </c>
      <c r="I2539">
        <v>7246</v>
      </c>
      <c r="J2539">
        <v>27610</v>
      </c>
      <c r="K2539" t="b">
        <f>TrafficData[[#This Row],[disposedChallan]]+TrafficData[[#This Row],[pendingChallan]]=TrafficData[[#This Row],[totalChallan]]</f>
        <v>1</v>
      </c>
      <c r="L2539" t="b">
        <f>TrafficData[[#This Row],[pendingAmount]]+TrafficData[[#This Row],[disposedAmount]]=TrafficData[[#This Row],[totalAmount]]</f>
        <v>1</v>
      </c>
      <c r="M2539" t="b">
        <f>TrafficData[[#This Row],[pendingCourt]]+TrafficData[[#This Row],[disposedCourt]]=TrafficData[[#This Row],[totalCourt]]</f>
        <v>1</v>
      </c>
      <c r="N2539" t="b">
        <f>AND(TrafficData[[#This Row],[disposedChallan]]&lt;=TrafficData[[#This Row],[totalChallan]],TrafficData[[#This Row],[pendingChallan]]&lt;=TrafficData[[#This Row],[totalChallan]])</f>
        <v>1</v>
      </c>
      <c r="O2539" t="b">
        <f>AND(TrafficData[[#This Row],[pendingAmount]]&lt;=TrafficData[[#This Row],[totalAmount]],TrafficData[[#This Row],[disposedAmount]]&lt;=TrafficData[[#This Row],[totalAmount]])</f>
        <v>1</v>
      </c>
      <c r="P2539" t="b">
        <f>AND(TrafficData[[#This Row],[pendingCourt]]&lt;=TrafficData[[#This Row],[totalCourt]],TrafficData[[#This Row],[disposedCourt]]&lt;=TrafficData[[#This Row],[totalCourt]])</f>
        <v>1</v>
      </c>
    </row>
    <row r="2540" spans="1:16">
      <c r="A2540" s="1">
        <v>44544</v>
      </c>
      <c r="B2540">
        <v>125529</v>
      </c>
      <c r="C2540">
        <v>59157</v>
      </c>
      <c r="D2540">
        <v>66372</v>
      </c>
      <c r="E2540">
        <v>94953358</v>
      </c>
      <c r="F2540">
        <v>77747870</v>
      </c>
      <c r="G2540">
        <v>172701228</v>
      </c>
      <c r="H2540">
        <v>20386</v>
      </c>
      <c r="I2540">
        <v>7437</v>
      </c>
      <c r="J2540">
        <v>27823</v>
      </c>
      <c r="K2540" t="b">
        <f>TrafficData[[#This Row],[disposedChallan]]+TrafficData[[#This Row],[pendingChallan]]=TrafficData[[#This Row],[totalChallan]]</f>
        <v>1</v>
      </c>
      <c r="L2540" t="b">
        <f>TrafficData[[#This Row],[pendingAmount]]+TrafficData[[#This Row],[disposedAmount]]=TrafficData[[#This Row],[totalAmount]]</f>
        <v>1</v>
      </c>
      <c r="M2540" t="b">
        <f>TrafficData[[#This Row],[pendingCourt]]+TrafficData[[#This Row],[disposedCourt]]=TrafficData[[#This Row],[totalCourt]]</f>
        <v>1</v>
      </c>
      <c r="N2540" t="b">
        <f>AND(TrafficData[[#This Row],[disposedChallan]]&lt;=TrafficData[[#This Row],[totalChallan]],TrafficData[[#This Row],[pendingChallan]]&lt;=TrafficData[[#This Row],[totalChallan]])</f>
        <v>1</v>
      </c>
      <c r="O2540" t="b">
        <f>AND(TrafficData[[#This Row],[pendingAmount]]&lt;=TrafficData[[#This Row],[totalAmount]],TrafficData[[#This Row],[disposedAmount]]&lt;=TrafficData[[#This Row],[totalAmount]])</f>
        <v>1</v>
      </c>
      <c r="P2540" t="b">
        <f>AND(TrafficData[[#This Row],[pendingCourt]]&lt;=TrafficData[[#This Row],[totalCourt]],TrafficData[[#This Row],[disposedCourt]]&lt;=TrafficData[[#This Row],[totalCourt]])</f>
        <v>1</v>
      </c>
    </row>
    <row r="2541" spans="1:16">
      <c r="A2541" s="1">
        <v>44545</v>
      </c>
      <c r="B2541">
        <v>134256</v>
      </c>
      <c r="C2541">
        <v>64158</v>
      </c>
      <c r="D2541">
        <v>70098</v>
      </c>
      <c r="E2541">
        <v>102992034</v>
      </c>
      <c r="F2541">
        <v>86348933</v>
      </c>
      <c r="G2541">
        <v>189340967</v>
      </c>
      <c r="H2541">
        <v>21727</v>
      </c>
      <c r="I2541">
        <v>7706</v>
      </c>
      <c r="J2541">
        <v>29433</v>
      </c>
      <c r="K2541" t="b">
        <f>TrafficData[[#This Row],[disposedChallan]]+TrafficData[[#This Row],[pendingChallan]]=TrafficData[[#This Row],[totalChallan]]</f>
        <v>1</v>
      </c>
      <c r="L2541" t="b">
        <f>TrafficData[[#This Row],[pendingAmount]]+TrafficData[[#This Row],[disposedAmount]]=TrafficData[[#This Row],[totalAmount]]</f>
        <v>1</v>
      </c>
      <c r="M2541" t="b">
        <f>TrafficData[[#This Row],[pendingCourt]]+TrafficData[[#This Row],[disposedCourt]]=TrafficData[[#This Row],[totalCourt]]</f>
        <v>1</v>
      </c>
      <c r="N2541" t="b">
        <f>AND(TrafficData[[#This Row],[disposedChallan]]&lt;=TrafficData[[#This Row],[totalChallan]],TrafficData[[#This Row],[pendingChallan]]&lt;=TrafficData[[#This Row],[totalChallan]])</f>
        <v>1</v>
      </c>
      <c r="O2541" t="b">
        <f>AND(TrafficData[[#This Row],[pendingAmount]]&lt;=TrafficData[[#This Row],[totalAmount]],TrafficData[[#This Row],[disposedAmount]]&lt;=TrafficData[[#This Row],[totalAmount]])</f>
        <v>1</v>
      </c>
      <c r="P2541" t="b">
        <f>AND(TrafficData[[#This Row],[pendingCourt]]&lt;=TrafficData[[#This Row],[totalCourt]],TrafficData[[#This Row],[disposedCourt]]&lt;=TrafficData[[#This Row],[totalCourt]])</f>
        <v>1</v>
      </c>
    </row>
    <row r="2542" spans="1:16">
      <c r="A2542" s="1">
        <v>44546</v>
      </c>
      <c r="B2542">
        <v>134670</v>
      </c>
      <c r="C2542">
        <v>62521</v>
      </c>
      <c r="D2542">
        <v>72149</v>
      </c>
      <c r="E2542">
        <v>103490949</v>
      </c>
      <c r="F2542">
        <v>82553625</v>
      </c>
      <c r="G2542">
        <v>186044574</v>
      </c>
      <c r="H2542">
        <v>21016</v>
      </c>
      <c r="I2542">
        <v>7211</v>
      </c>
      <c r="J2542">
        <v>28227</v>
      </c>
      <c r="K2542" t="b">
        <f>TrafficData[[#This Row],[disposedChallan]]+TrafficData[[#This Row],[pendingChallan]]=TrafficData[[#This Row],[totalChallan]]</f>
        <v>1</v>
      </c>
      <c r="L2542" t="b">
        <f>TrafficData[[#This Row],[pendingAmount]]+TrafficData[[#This Row],[disposedAmount]]=TrafficData[[#This Row],[totalAmount]]</f>
        <v>1</v>
      </c>
      <c r="M2542" t="b">
        <f>TrafficData[[#This Row],[pendingCourt]]+TrafficData[[#This Row],[disposedCourt]]=TrafficData[[#This Row],[totalCourt]]</f>
        <v>1</v>
      </c>
      <c r="N2542" t="b">
        <f>AND(TrafficData[[#This Row],[disposedChallan]]&lt;=TrafficData[[#This Row],[totalChallan]],TrafficData[[#This Row],[pendingChallan]]&lt;=TrafficData[[#This Row],[totalChallan]])</f>
        <v>1</v>
      </c>
      <c r="O2542" t="b">
        <f>AND(TrafficData[[#This Row],[pendingAmount]]&lt;=TrafficData[[#This Row],[totalAmount]],TrafficData[[#This Row],[disposedAmount]]&lt;=TrafficData[[#This Row],[totalAmount]])</f>
        <v>1</v>
      </c>
      <c r="P2542" t="b">
        <f>AND(TrafficData[[#This Row],[pendingCourt]]&lt;=TrafficData[[#This Row],[totalCourt]],TrafficData[[#This Row],[disposedCourt]]&lt;=TrafficData[[#This Row],[totalCourt]])</f>
        <v>1</v>
      </c>
    </row>
    <row r="2543" spans="1:16">
      <c r="A2543" s="1">
        <v>44547</v>
      </c>
      <c r="B2543">
        <v>128851</v>
      </c>
      <c r="C2543">
        <v>61330</v>
      </c>
      <c r="D2543">
        <v>67521</v>
      </c>
      <c r="E2543">
        <v>93156236</v>
      </c>
      <c r="F2543">
        <v>82157195</v>
      </c>
      <c r="G2543">
        <v>175313431</v>
      </c>
      <c r="H2543">
        <v>21209</v>
      </c>
      <c r="I2543">
        <v>7549</v>
      </c>
      <c r="J2543">
        <v>28758</v>
      </c>
      <c r="K2543" t="b">
        <f>TrafficData[[#This Row],[disposedChallan]]+TrafficData[[#This Row],[pendingChallan]]=TrafficData[[#This Row],[totalChallan]]</f>
        <v>1</v>
      </c>
      <c r="L2543" t="b">
        <f>TrafficData[[#This Row],[pendingAmount]]+TrafficData[[#This Row],[disposedAmount]]=TrafficData[[#This Row],[totalAmount]]</f>
        <v>1</v>
      </c>
      <c r="M2543" t="b">
        <f>TrafficData[[#This Row],[pendingCourt]]+TrafficData[[#This Row],[disposedCourt]]=TrafficData[[#This Row],[totalCourt]]</f>
        <v>1</v>
      </c>
      <c r="N2543" t="b">
        <f>AND(TrafficData[[#This Row],[disposedChallan]]&lt;=TrafficData[[#This Row],[totalChallan]],TrafficData[[#This Row],[pendingChallan]]&lt;=TrafficData[[#This Row],[totalChallan]])</f>
        <v>1</v>
      </c>
      <c r="O2543" t="b">
        <f>AND(TrafficData[[#This Row],[pendingAmount]]&lt;=TrafficData[[#This Row],[totalAmount]],TrafficData[[#This Row],[disposedAmount]]&lt;=TrafficData[[#This Row],[totalAmount]])</f>
        <v>1</v>
      </c>
      <c r="P2543" t="b">
        <f>AND(TrafficData[[#This Row],[pendingCourt]]&lt;=TrafficData[[#This Row],[totalCourt]],TrafficData[[#This Row],[disposedCourt]]&lt;=TrafficData[[#This Row],[totalCourt]])</f>
        <v>1</v>
      </c>
    </row>
    <row r="2544" spans="1:16">
      <c r="A2544" s="1">
        <v>44548</v>
      </c>
      <c r="B2544">
        <v>132252</v>
      </c>
      <c r="C2544">
        <v>60593</v>
      </c>
      <c r="D2544">
        <v>71659</v>
      </c>
      <c r="E2544">
        <v>97638983</v>
      </c>
      <c r="F2544">
        <v>80354531</v>
      </c>
      <c r="G2544">
        <v>177993514</v>
      </c>
      <c r="H2544">
        <v>19959</v>
      </c>
      <c r="I2544">
        <v>7195</v>
      </c>
      <c r="J2544">
        <v>27154</v>
      </c>
      <c r="K2544" t="b">
        <f>TrafficData[[#This Row],[disposedChallan]]+TrafficData[[#This Row],[pendingChallan]]=TrafficData[[#This Row],[totalChallan]]</f>
        <v>1</v>
      </c>
      <c r="L2544" t="b">
        <f>TrafficData[[#This Row],[pendingAmount]]+TrafficData[[#This Row],[disposedAmount]]=TrafficData[[#This Row],[totalAmount]]</f>
        <v>1</v>
      </c>
      <c r="M2544" t="b">
        <f>TrafficData[[#This Row],[pendingCourt]]+TrafficData[[#This Row],[disposedCourt]]=TrafficData[[#This Row],[totalCourt]]</f>
        <v>1</v>
      </c>
      <c r="N2544" t="b">
        <f>AND(TrafficData[[#This Row],[disposedChallan]]&lt;=TrafficData[[#This Row],[totalChallan]],TrafficData[[#This Row],[pendingChallan]]&lt;=TrafficData[[#This Row],[totalChallan]])</f>
        <v>1</v>
      </c>
      <c r="O2544" t="b">
        <f>AND(TrafficData[[#This Row],[pendingAmount]]&lt;=TrafficData[[#This Row],[totalAmount]],TrafficData[[#This Row],[disposedAmount]]&lt;=TrafficData[[#This Row],[totalAmount]])</f>
        <v>1</v>
      </c>
      <c r="P2544" t="b">
        <f>AND(TrafficData[[#This Row],[pendingCourt]]&lt;=TrafficData[[#This Row],[totalCourt]],TrafficData[[#This Row],[disposedCourt]]&lt;=TrafficData[[#This Row],[totalCourt]])</f>
        <v>1</v>
      </c>
    </row>
    <row r="2545" spans="1:16">
      <c r="A2545" s="1">
        <v>44549</v>
      </c>
      <c r="B2545">
        <v>124333</v>
      </c>
      <c r="C2545">
        <v>52185</v>
      </c>
      <c r="D2545">
        <v>72148</v>
      </c>
      <c r="E2545">
        <v>82745914</v>
      </c>
      <c r="F2545">
        <v>56922872</v>
      </c>
      <c r="G2545">
        <v>139668786</v>
      </c>
      <c r="H2545">
        <v>18135</v>
      </c>
      <c r="I2545">
        <v>6192</v>
      </c>
      <c r="J2545">
        <v>24327</v>
      </c>
      <c r="K2545" t="b">
        <f>TrafficData[[#This Row],[disposedChallan]]+TrafficData[[#This Row],[pendingChallan]]=TrafficData[[#This Row],[totalChallan]]</f>
        <v>1</v>
      </c>
      <c r="L2545" t="b">
        <f>TrafficData[[#This Row],[pendingAmount]]+TrafficData[[#This Row],[disposedAmount]]=TrafficData[[#This Row],[totalAmount]]</f>
        <v>1</v>
      </c>
      <c r="M2545" t="b">
        <f>TrafficData[[#This Row],[pendingCourt]]+TrafficData[[#This Row],[disposedCourt]]=TrafficData[[#This Row],[totalCourt]]</f>
        <v>1</v>
      </c>
      <c r="N2545" t="b">
        <f>AND(TrafficData[[#This Row],[disposedChallan]]&lt;=TrafficData[[#This Row],[totalChallan]],TrafficData[[#This Row],[pendingChallan]]&lt;=TrafficData[[#This Row],[totalChallan]])</f>
        <v>1</v>
      </c>
      <c r="O2545" t="b">
        <f>AND(TrafficData[[#This Row],[pendingAmount]]&lt;=TrafficData[[#This Row],[totalAmount]],TrafficData[[#This Row],[disposedAmount]]&lt;=TrafficData[[#This Row],[totalAmount]])</f>
        <v>1</v>
      </c>
      <c r="P2545" t="b">
        <f>AND(TrafficData[[#This Row],[pendingCourt]]&lt;=TrafficData[[#This Row],[totalCourt]],TrafficData[[#This Row],[disposedCourt]]&lt;=TrafficData[[#This Row],[totalCourt]])</f>
        <v>1</v>
      </c>
    </row>
    <row r="2546" spans="1:16">
      <c r="A2546" s="1">
        <v>44550</v>
      </c>
      <c r="B2546">
        <v>133481</v>
      </c>
      <c r="C2546">
        <v>61833</v>
      </c>
      <c r="D2546">
        <v>71648</v>
      </c>
      <c r="E2546">
        <v>89765733</v>
      </c>
      <c r="F2546">
        <v>71346693</v>
      </c>
      <c r="G2546">
        <v>161112426</v>
      </c>
      <c r="H2546">
        <v>21425</v>
      </c>
      <c r="I2546">
        <v>7561</v>
      </c>
      <c r="J2546">
        <v>28986</v>
      </c>
      <c r="K2546" t="b">
        <f>TrafficData[[#This Row],[disposedChallan]]+TrafficData[[#This Row],[pendingChallan]]=TrafficData[[#This Row],[totalChallan]]</f>
        <v>1</v>
      </c>
      <c r="L2546" t="b">
        <f>TrafficData[[#This Row],[pendingAmount]]+TrafficData[[#This Row],[disposedAmount]]=TrafficData[[#This Row],[totalAmount]]</f>
        <v>1</v>
      </c>
      <c r="M2546" t="b">
        <f>TrafficData[[#This Row],[pendingCourt]]+TrafficData[[#This Row],[disposedCourt]]=TrafficData[[#This Row],[totalCourt]]</f>
        <v>1</v>
      </c>
      <c r="N2546" t="b">
        <f>AND(TrafficData[[#This Row],[disposedChallan]]&lt;=TrafficData[[#This Row],[totalChallan]],TrafficData[[#This Row],[pendingChallan]]&lt;=TrafficData[[#This Row],[totalChallan]])</f>
        <v>1</v>
      </c>
      <c r="O2546" t="b">
        <f>AND(TrafficData[[#This Row],[pendingAmount]]&lt;=TrafficData[[#This Row],[totalAmount]],TrafficData[[#This Row],[disposedAmount]]&lt;=TrafficData[[#This Row],[totalAmount]])</f>
        <v>1</v>
      </c>
      <c r="P2546" t="b">
        <f>AND(TrafficData[[#This Row],[pendingCourt]]&lt;=TrafficData[[#This Row],[totalCourt]],TrafficData[[#This Row],[disposedCourt]]&lt;=TrafficData[[#This Row],[totalCourt]])</f>
        <v>1</v>
      </c>
    </row>
    <row r="2547" spans="1:16">
      <c r="A2547" s="1">
        <v>44551</v>
      </c>
      <c r="B2547">
        <v>129645</v>
      </c>
      <c r="C2547">
        <v>61375</v>
      </c>
      <c r="D2547">
        <v>68270</v>
      </c>
      <c r="E2547">
        <v>89323089</v>
      </c>
      <c r="F2547">
        <v>75218714</v>
      </c>
      <c r="G2547">
        <v>164541803</v>
      </c>
      <c r="H2547">
        <v>20594</v>
      </c>
      <c r="I2547">
        <v>7640</v>
      </c>
      <c r="J2547">
        <v>28234</v>
      </c>
      <c r="K2547" t="b">
        <f>TrafficData[[#This Row],[disposedChallan]]+TrafficData[[#This Row],[pendingChallan]]=TrafficData[[#This Row],[totalChallan]]</f>
        <v>1</v>
      </c>
      <c r="L2547" t="b">
        <f>TrafficData[[#This Row],[pendingAmount]]+TrafficData[[#This Row],[disposedAmount]]=TrafficData[[#This Row],[totalAmount]]</f>
        <v>1</v>
      </c>
      <c r="M2547" t="b">
        <f>TrafficData[[#This Row],[pendingCourt]]+TrafficData[[#This Row],[disposedCourt]]=TrafficData[[#This Row],[totalCourt]]</f>
        <v>1</v>
      </c>
      <c r="N2547" t="b">
        <f>AND(TrafficData[[#This Row],[disposedChallan]]&lt;=TrafficData[[#This Row],[totalChallan]],TrafficData[[#This Row],[pendingChallan]]&lt;=TrafficData[[#This Row],[totalChallan]])</f>
        <v>1</v>
      </c>
      <c r="O2547" t="b">
        <f>AND(TrafficData[[#This Row],[pendingAmount]]&lt;=TrafficData[[#This Row],[totalAmount]],TrafficData[[#This Row],[disposedAmount]]&lt;=TrafficData[[#This Row],[totalAmount]])</f>
        <v>1</v>
      </c>
      <c r="P2547" t="b">
        <f>AND(TrafficData[[#This Row],[pendingCourt]]&lt;=TrafficData[[#This Row],[totalCourt]],TrafficData[[#This Row],[disposedCourt]]&lt;=TrafficData[[#This Row],[totalCourt]])</f>
        <v>1</v>
      </c>
    </row>
    <row r="2548" spans="1:16">
      <c r="A2548" s="1">
        <v>44552</v>
      </c>
      <c r="B2548">
        <v>127779</v>
      </c>
      <c r="C2548">
        <v>60513</v>
      </c>
      <c r="D2548">
        <v>67266</v>
      </c>
      <c r="E2548">
        <v>92975605</v>
      </c>
      <c r="F2548">
        <v>90344502</v>
      </c>
      <c r="G2548">
        <v>183320107</v>
      </c>
      <c r="H2548">
        <v>21203</v>
      </c>
      <c r="I2548">
        <v>7672</v>
      </c>
      <c r="J2548">
        <v>28875</v>
      </c>
      <c r="K2548" t="b">
        <f>TrafficData[[#This Row],[disposedChallan]]+TrafficData[[#This Row],[pendingChallan]]=TrafficData[[#This Row],[totalChallan]]</f>
        <v>1</v>
      </c>
      <c r="L2548" t="b">
        <f>TrafficData[[#This Row],[pendingAmount]]+TrafficData[[#This Row],[disposedAmount]]=TrafficData[[#This Row],[totalAmount]]</f>
        <v>1</v>
      </c>
      <c r="M2548" t="b">
        <f>TrafficData[[#This Row],[pendingCourt]]+TrafficData[[#This Row],[disposedCourt]]=TrafficData[[#This Row],[totalCourt]]</f>
        <v>1</v>
      </c>
      <c r="N2548" t="b">
        <f>AND(TrafficData[[#This Row],[disposedChallan]]&lt;=TrafficData[[#This Row],[totalChallan]],TrafficData[[#This Row],[pendingChallan]]&lt;=TrafficData[[#This Row],[totalChallan]])</f>
        <v>1</v>
      </c>
      <c r="O2548" t="b">
        <f>AND(TrafficData[[#This Row],[pendingAmount]]&lt;=TrafficData[[#This Row],[totalAmount]],TrafficData[[#This Row],[disposedAmount]]&lt;=TrafficData[[#This Row],[totalAmount]])</f>
        <v>1</v>
      </c>
      <c r="P2548" t="b">
        <f>AND(TrafficData[[#This Row],[pendingCourt]]&lt;=TrafficData[[#This Row],[totalCourt]],TrafficData[[#This Row],[disposedCourt]]&lt;=TrafficData[[#This Row],[totalCourt]])</f>
        <v>1</v>
      </c>
    </row>
    <row r="2549" spans="1:16">
      <c r="A2549" s="1">
        <v>44553</v>
      </c>
      <c r="B2549">
        <v>131709</v>
      </c>
      <c r="C2549">
        <v>61240</v>
      </c>
      <c r="D2549">
        <v>70469</v>
      </c>
      <c r="E2549">
        <v>93833135</v>
      </c>
      <c r="F2549">
        <v>81554123</v>
      </c>
      <c r="G2549">
        <v>175387258</v>
      </c>
      <c r="H2549">
        <v>20145</v>
      </c>
      <c r="I2549">
        <v>7439</v>
      </c>
      <c r="J2549">
        <v>27584</v>
      </c>
      <c r="K2549" t="b">
        <f>TrafficData[[#This Row],[disposedChallan]]+TrafficData[[#This Row],[pendingChallan]]=TrafficData[[#This Row],[totalChallan]]</f>
        <v>1</v>
      </c>
      <c r="L2549" t="b">
        <f>TrafficData[[#This Row],[pendingAmount]]+TrafficData[[#This Row],[disposedAmount]]=TrafficData[[#This Row],[totalAmount]]</f>
        <v>1</v>
      </c>
      <c r="M2549" t="b">
        <f>TrafficData[[#This Row],[pendingCourt]]+TrafficData[[#This Row],[disposedCourt]]=TrafficData[[#This Row],[totalCourt]]</f>
        <v>1</v>
      </c>
      <c r="N2549" t="b">
        <f>AND(TrafficData[[#This Row],[disposedChallan]]&lt;=TrafficData[[#This Row],[totalChallan]],TrafficData[[#This Row],[pendingChallan]]&lt;=TrafficData[[#This Row],[totalChallan]])</f>
        <v>1</v>
      </c>
      <c r="O2549" t="b">
        <f>AND(TrafficData[[#This Row],[pendingAmount]]&lt;=TrafficData[[#This Row],[totalAmount]],TrafficData[[#This Row],[disposedAmount]]&lt;=TrafficData[[#This Row],[totalAmount]])</f>
        <v>1</v>
      </c>
      <c r="P2549" t="b">
        <f>AND(TrafficData[[#This Row],[pendingCourt]]&lt;=TrafficData[[#This Row],[totalCourt]],TrafficData[[#This Row],[disposedCourt]]&lt;=TrafficData[[#This Row],[totalCourt]])</f>
        <v>1</v>
      </c>
    </row>
    <row r="2550" spans="1:16">
      <c r="A2550" s="1">
        <v>44554</v>
      </c>
      <c r="B2550">
        <v>133105</v>
      </c>
      <c r="C2550">
        <v>62999</v>
      </c>
      <c r="D2550">
        <v>70106</v>
      </c>
      <c r="E2550">
        <v>93304659</v>
      </c>
      <c r="F2550">
        <v>79591629</v>
      </c>
      <c r="G2550">
        <v>172896288</v>
      </c>
      <c r="H2550">
        <v>22937</v>
      </c>
      <c r="I2550">
        <v>8184</v>
      </c>
      <c r="J2550">
        <v>31121</v>
      </c>
      <c r="K2550" t="b">
        <f>TrafficData[[#This Row],[disposedChallan]]+TrafficData[[#This Row],[pendingChallan]]=TrafficData[[#This Row],[totalChallan]]</f>
        <v>1</v>
      </c>
      <c r="L2550" t="b">
        <f>TrafficData[[#This Row],[pendingAmount]]+TrafficData[[#This Row],[disposedAmount]]=TrafficData[[#This Row],[totalAmount]]</f>
        <v>1</v>
      </c>
      <c r="M2550" t="b">
        <f>TrafficData[[#This Row],[pendingCourt]]+TrafficData[[#This Row],[disposedCourt]]=TrafficData[[#This Row],[totalCourt]]</f>
        <v>1</v>
      </c>
      <c r="N2550" t="b">
        <f>AND(TrafficData[[#This Row],[disposedChallan]]&lt;=TrafficData[[#This Row],[totalChallan]],TrafficData[[#This Row],[pendingChallan]]&lt;=TrafficData[[#This Row],[totalChallan]])</f>
        <v>1</v>
      </c>
      <c r="O2550" t="b">
        <f>AND(TrafficData[[#This Row],[pendingAmount]]&lt;=TrafficData[[#This Row],[totalAmount]],TrafficData[[#This Row],[disposedAmount]]&lt;=TrafficData[[#This Row],[totalAmount]])</f>
        <v>1</v>
      </c>
      <c r="P2550" t="b">
        <f>AND(TrafficData[[#This Row],[pendingCourt]]&lt;=TrafficData[[#This Row],[totalCourt]],TrafficData[[#This Row],[disposedCourt]]&lt;=TrafficData[[#This Row],[totalCourt]])</f>
        <v>1</v>
      </c>
    </row>
    <row r="2551" spans="1:16">
      <c r="A2551" s="1">
        <v>44555</v>
      </c>
      <c r="B2551">
        <v>126300</v>
      </c>
      <c r="C2551">
        <v>57061</v>
      </c>
      <c r="D2551">
        <v>69239</v>
      </c>
      <c r="E2551">
        <v>85906401</v>
      </c>
      <c r="F2551">
        <v>63580355</v>
      </c>
      <c r="G2551">
        <v>149486756</v>
      </c>
      <c r="H2551">
        <v>19473</v>
      </c>
      <c r="I2551">
        <v>7204</v>
      </c>
      <c r="J2551">
        <v>26677</v>
      </c>
      <c r="K2551" t="b">
        <f>TrafficData[[#This Row],[disposedChallan]]+TrafficData[[#This Row],[pendingChallan]]=TrafficData[[#This Row],[totalChallan]]</f>
        <v>1</v>
      </c>
      <c r="L2551" t="b">
        <f>TrafficData[[#This Row],[pendingAmount]]+TrafficData[[#This Row],[disposedAmount]]=TrafficData[[#This Row],[totalAmount]]</f>
        <v>1</v>
      </c>
      <c r="M2551" t="b">
        <f>TrafficData[[#This Row],[pendingCourt]]+TrafficData[[#This Row],[disposedCourt]]=TrafficData[[#This Row],[totalCourt]]</f>
        <v>1</v>
      </c>
      <c r="N2551" t="b">
        <f>AND(TrafficData[[#This Row],[disposedChallan]]&lt;=TrafficData[[#This Row],[totalChallan]],TrafficData[[#This Row],[pendingChallan]]&lt;=TrafficData[[#This Row],[totalChallan]])</f>
        <v>1</v>
      </c>
      <c r="O2551" t="b">
        <f>AND(TrafficData[[#This Row],[pendingAmount]]&lt;=TrafficData[[#This Row],[totalAmount]],TrafficData[[#This Row],[disposedAmount]]&lt;=TrafficData[[#This Row],[totalAmount]])</f>
        <v>1</v>
      </c>
      <c r="P2551" t="b">
        <f>AND(TrafficData[[#This Row],[pendingCourt]]&lt;=TrafficData[[#This Row],[totalCourt]],TrafficData[[#This Row],[disposedCourt]]&lt;=TrafficData[[#This Row],[totalCourt]])</f>
        <v>1</v>
      </c>
    </row>
    <row r="2552" spans="1:16">
      <c r="A2552" s="1">
        <v>44556</v>
      </c>
      <c r="B2552">
        <v>120251</v>
      </c>
      <c r="C2552">
        <v>52749</v>
      </c>
      <c r="D2552">
        <v>67502</v>
      </c>
      <c r="E2552">
        <v>75881030</v>
      </c>
      <c r="F2552">
        <v>56071954</v>
      </c>
      <c r="G2552">
        <v>131952984</v>
      </c>
      <c r="H2552">
        <v>17807</v>
      </c>
      <c r="I2552">
        <v>6414</v>
      </c>
      <c r="J2552">
        <v>24221</v>
      </c>
      <c r="K2552" t="b">
        <f>TrafficData[[#This Row],[disposedChallan]]+TrafficData[[#This Row],[pendingChallan]]=TrafficData[[#This Row],[totalChallan]]</f>
        <v>1</v>
      </c>
      <c r="L2552" t="b">
        <f>TrafficData[[#This Row],[pendingAmount]]+TrafficData[[#This Row],[disposedAmount]]=TrafficData[[#This Row],[totalAmount]]</f>
        <v>1</v>
      </c>
      <c r="M2552" t="b">
        <f>TrafficData[[#This Row],[pendingCourt]]+TrafficData[[#This Row],[disposedCourt]]=TrafficData[[#This Row],[totalCourt]]</f>
        <v>1</v>
      </c>
      <c r="N2552" t="b">
        <f>AND(TrafficData[[#This Row],[disposedChallan]]&lt;=TrafficData[[#This Row],[totalChallan]],TrafficData[[#This Row],[pendingChallan]]&lt;=TrafficData[[#This Row],[totalChallan]])</f>
        <v>1</v>
      </c>
      <c r="O2552" t="b">
        <f>AND(TrafficData[[#This Row],[pendingAmount]]&lt;=TrafficData[[#This Row],[totalAmount]],TrafficData[[#This Row],[disposedAmount]]&lt;=TrafficData[[#This Row],[totalAmount]])</f>
        <v>1</v>
      </c>
      <c r="P2552" t="b">
        <f>AND(TrafficData[[#This Row],[pendingCourt]]&lt;=TrafficData[[#This Row],[totalCourt]],TrafficData[[#This Row],[disposedCourt]]&lt;=TrafficData[[#This Row],[totalCourt]])</f>
        <v>1</v>
      </c>
    </row>
    <row r="2553" spans="1:16">
      <c r="A2553" s="1">
        <v>44557</v>
      </c>
      <c r="B2553">
        <v>119651</v>
      </c>
      <c r="C2553">
        <v>55779</v>
      </c>
      <c r="D2553">
        <v>63872</v>
      </c>
      <c r="E2553">
        <v>88096544</v>
      </c>
      <c r="F2553">
        <v>62840205</v>
      </c>
      <c r="G2553">
        <v>150936749</v>
      </c>
      <c r="H2553">
        <v>20822</v>
      </c>
      <c r="I2553">
        <v>7384</v>
      </c>
      <c r="J2553">
        <v>28206</v>
      </c>
      <c r="K2553" t="b">
        <f>TrafficData[[#This Row],[disposedChallan]]+TrafficData[[#This Row],[pendingChallan]]=TrafficData[[#This Row],[totalChallan]]</f>
        <v>1</v>
      </c>
      <c r="L2553" t="b">
        <f>TrafficData[[#This Row],[pendingAmount]]+TrafficData[[#This Row],[disposedAmount]]=TrafficData[[#This Row],[totalAmount]]</f>
        <v>1</v>
      </c>
      <c r="M2553" t="b">
        <f>TrafficData[[#This Row],[pendingCourt]]+TrafficData[[#This Row],[disposedCourt]]=TrafficData[[#This Row],[totalCourt]]</f>
        <v>1</v>
      </c>
      <c r="N2553" t="b">
        <f>AND(TrafficData[[#This Row],[disposedChallan]]&lt;=TrafficData[[#This Row],[totalChallan]],TrafficData[[#This Row],[pendingChallan]]&lt;=TrafficData[[#This Row],[totalChallan]])</f>
        <v>1</v>
      </c>
      <c r="O2553" t="b">
        <f>AND(TrafficData[[#This Row],[pendingAmount]]&lt;=TrafficData[[#This Row],[totalAmount]],TrafficData[[#This Row],[disposedAmount]]&lt;=TrafficData[[#This Row],[totalAmount]])</f>
        <v>1</v>
      </c>
      <c r="P2553" t="b">
        <f>AND(TrafficData[[#This Row],[pendingCourt]]&lt;=TrafficData[[#This Row],[totalCourt]],TrafficData[[#This Row],[disposedCourt]]&lt;=TrafficData[[#This Row],[totalCourt]])</f>
        <v>1</v>
      </c>
    </row>
    <row r="2554" spans="1:16">
      <c r="A2554" s="1">
        <v>44558</v>
      </c>
      <c r="B2554">
        <v>115574</v>
      </c>
      <c r="C2554">
        <v>55750</v>
      </c>
      <c r="D2554">
        <v>59824</v>
      </c>
      <c r="E2554">
        <v>77378446</v>
      </c>
      <c r="F2554">
        <v>69152582</v>
      </c>
      <c r="G2554">
        <v>146531028</v>
      </c>
      <c r="H2554">
        <v>18349</v>
      </c>
      <c r="I2554">
        <v>6391</v>
      </c>
      <c r="J2554">
        <v>24740</v>
      </c>
      <c r="K2554" t="b">
        <f>TrafficData[[#This Row],[disposedChallan]]+TrafficData[[#This Row],[pendingChallan]]=TrafficData[[#This Row],[totalChallan]]</f>
        <v>1</v>
      </c>
      <c r="L2554" t="b">
        <f>TrafficData[[#This Row],[pendingAmount]]+TrafficData[[#This Row],[disposedAmount]]=TrafficData[[#This Row],[totalAmount]]</f>
        <v>1</v>
      </c>
      <c r="M2554" t="b">
        <f>TrafficData[[#This Row],[pendingCourt]]+TrafficData[[#This Row],[disposedCourt]]=TrafficData[[#This Row],[totalCourt]]</f>
        <v>1</v>
      </c>
      <c r="N2554" t="b">
        <f>AND(TrafficData[[#This Row],[disposedChallan]]&lt;=TrafficData[[#This Row],[totalChallan]],TrafficData[[#This Row],[pendingChallan]]&lt;=TrafficData[[#This Row],[totalChallan]])</f>
        <v>1</v>
      </c>
      <c r="O2554" t="b">
        <f>AND(TrafficData[[#This Row],[pendingAmount]]&lt;=TrafficData[[#This Row],[totalAmount]],TrafficData[[#This Row],[disposedAmount]]&lt;=TrafficData[[#This Row],[totalAmount]])</f>
        <v>1</v>
      </c>
      <c r="P2554" t="b">
        <f>AND(TrafficData[[#This Row],[pendingCourt]]&lt;=TrafficData[[#This Row],[totalCourt]],TrafficData[[#This Row],[disposedCourt]]&lt;=TrafficData[[#This Row],[totalCourt]])</f>
        <v>1</v>
      </c>
    </row>
    <row r="2555" spans="1:16">
      <c r="A2555" s="1">
        <v>44559</v>
      </c>
      <c r="B2555">
        <v>120008</v>
      </c>
      <c r="C2555">
        <v>58193</v>
      </c>
      <c r="D2555">
        <v>61815</v>
      </c>
      <c r="E2555">
        <v>84276305</v>
      </c>
      <c r="F2555">
        <v>69654605</v>
      </c>
      <c r="G2555">
        <v>153930910</v>
      </c>
      <c r="H2555">
        <v>18511</v>
      </c>
      <c r="I2555">
        <v>7012</v>
      </c>
      <c r="J2555">
        <v>25523</v>
      </c>
      <c r="K2555" t="b">
        <f>TrafficData[[#This Row],[disposedChallan]]+TrafficData[[#This Row],[pendingChallan]]=TrafficData[[#This Row],[totalChallan]]</f>
        <v>1</v>
      </c>
      <c r="L2555" t="b">
        <f>TrafficData[[#This Row],[pendingAmount]]+TrafficData[[#This Row],[disposedAmount]]=TrafficData[[#This Row],[totalAmount]]</f>
        <v>1</v>
      </c>
      <c r="M2555" t="b">
        <f>TrafficData[[#This Row],[pendingCourt]]+TrafficData[[#This Row],[disposedCourt]]=TrafficData[[#This Row],[totalCourt]]</f>
        <v>1</v>
      </c>
      <c r="N2555" t="b">
        <f>AND(TrafficData[[#This Row],[disposedChallan]]&lt;=TrafficData[[#This Row],[totalChallan]],TrafficData[[#This Row],[pendingChallan]]&lt;=TrafficData[[#This Row],[totalChallan]])</f>
        <v>1</v>
      </c>
      <c r="O2555" t="b">
        <f>AND(TrafficData[[#This Row],[pendingAmount]]&lt;=TrafficData[[#This Row],[totalAmount]],TrafficData[[#This Row],[disposedAmount]]&lt;=TrafficData[[#This Row],[totalAmount]])</f>
        <v>1</v>
      </c>
      <c r="P2555" t="b">
        <f>AND(TrafficData[[#This Row],[pendingCourt]]&lt;=TrafficData[[#This Row],[totalCourt]],TrafficData[[#This Row],[disposedCourt]]&lt;=TrafficData[[#This Row],[totalCourt]])</f>
        <v>1</v>
      </c>
    </row>
    <row r="2556" spans="1:16">
      <c r="A2556" s="1">
        <v>44560</v>
      </c>
      <c r="B2556">
        <v>118491</v>
      </c>
      <c r="C2556">
        <v>57503</v>
      </c>
      <c r="D2556">
        <v>60988</v>
      </c>
      <c r="E2556">
        <v>82355798</v>
      </c>
      <c r="F2556">
        <v>68433077</v>
      </c>
      <c r="G2556">
        <v>150788875</v>
      </c>
      <c r="H2556">
        <v>19942</v>
      </c>
      <c r="I2556">
        <v>7287</v>
      </c>
      <c r="J2556">
        <v>27229</v>
      </c>
      <c r="K2556" t="b">
        <f>TrafficData[[#This Row],[disposedChallan]]+TrafficData[[#This Row],[pendingChallan]]=TrafficData[[#This Row],[totalChallan]]</f>
        <v>1</v>
      </c>
      <c r="L2556" t="b">
        <f>TrafficData[[#This Row],[pendingAmount]]+TrafficData[[#This Row],[disposedAmount]]=TrafficData[[#This Row],[totalAmount]]</f>
        <v>1</v>
      </c>
      <c r="M2556" t="b">
        <f>TrafficData[[#This Row],[pendingCourt]]+TrafficData[[#This Row],[disposedCourt]]=TrafficData[[#This Row],[totalCourt]]</f>
        <v>1</v>
      </c>
      <c r="N2556" t="b">
        <f>AND(TrafficData[[#This Row],[disposedChallan]]&lt;=TrafficData[[#This Row],[totalChallan]],TrafficData[[#This Row],[pendingChallan]]&lt;=TrafficData[[#This Row],[totalChallan]])</f>
        <v>1</v>
      </c>
      <c r="O2556" t="b">
        <f>AND(TrafficData[[#This Row],[pendingAmount]]&lt;=TrafficData[[#This Row],[totalAmount]],TrafficData[[#This Row],[disposedAmount]]&lt;=TrafficData[[#This Row],[totalAmount]])</f>
        <v>1</v>
      </c>
      <c r="P2556" t="b">
        <f>AND(TrafficData[[#This Row],[pendingCourt]]&lt;=TrafficData[[#This Row],[totalCourt]],TrafficData[[#This Row],[disposedCourt]]&lt;=TrafficData[[#This Row],[totalCourt]])</f>
        <v>1</v>
      </c>
    </row>
    <row r="2557" spans="1:16">
      <c r="A2557" s="1">
        <v>44561</v>
      </c>
      <c r="B2557">
        <v>117617</v>
      </c>
      <c r="C2557">
        <v>56454</v>
      </c>
      <c r="D2557">
        <v>61163</v>
      </c>
      <c r="E2557">
        <v>83493116</v>
      </c>
      <c r="F2557">
        <v>62750672</v>
      </c>
      <c r="G2557">
        <v>146243788</v>
      </c>
      <c r="H2557">
        <v>20270</v>
      </c>
      <c r="I2557">
        <v>7933</v>
      </c>
      <c r="J2557">
        <v>28203</v>
      </c>
      <c r="K2557" t="b">
        <f>TrafficData[[#This Row],[disposedChallan]]+TrafficData[[#This Row],[pendingChallan]]=TrafficData[[#This Row],[totalChallan]]</f>
        <v>1</v>
      </c>
      <c r="L2557" t="b">
        <f>TrafficData[[#This Row],[pendingAmount]]+TrafficData[[#This Row],[disposedAmount]]=TrafficData[[#This Row],[totalAmount]]</f>
        <v>1</v>
      </c>
      <c r="M2557" t="b">
        <f>TrafficData[[#This Row],[pendingCourt]]+TrafficData[[#This Row],[disposedCourt]]=TrafficData[[#This Row],[totalCourt]]</f>
        <v>1</v>
      </c>
      <c r="N2557" t="b">
        <f>AND(TrafficData[[#This Row],[disposedChallan]]&lt;=TrafficData[[#This Row],[totalChallan]],TrafficData[[#This Row],[pendingChallan]]&lt;=TrafficData[[#This Row],[totalChallan]])</f>
        <v>1</v>
      </c>
      <c r="O2557" t="b">
        <f>AND(TrafficData[[#This Row],[pendingAmount]]&lt;=TrafficData[[#This Row],[totalAmount]],TrafficData[[#This Row],[disposedAmount]]&lt;=TrafficData[[#This Row],[totalAmount]])</f>
        <v>1</v>
      </c>
      <c r="P2557" t="b">
        <f>AND(TrafficData[[#This Row],[pendingCourt]]&lt;=TrafficData[[#This Row],[totalCourt]],TrafficData[[#This Row],[disposedCourt]]&lt;=TrafficData[[#This Row],[totalCourt]])</f>
        <v>1</v>
      </c>
    </row>
    <row r="2558" spans="1:16">
      <c r="A2558" s="1">
        <v>44562</v>
      </c>
      <c r="B2558">
        <v>96103</v>
      </c>
      <c r="C2558">
        <v>44167</v>
      </c>
      <c r="D2558">
        <v>51936</v>
      </c>
      <c r="E2558">
        <v>63635652</v>
      </c>
      <c r="F2558">
        <v>53704179</v>
      </c>
      <c r="G2558">
        <v>117339831</v>
      </c>
      <c r="H2558">
        <v>17453</v>
      </c>
      <c r="I2558">
        <v>6375</v>
      </c>
      <c r="J2558">
        <v>23828</v>
      </c>
      <c r="K2558" t="b">
        <f>TrafficData[[#This Row],[disposedChallan]]+TrafficData[[#This Row],[pendingChallan]]=TrafficData[[#This Row],[totalChallan]]</f>
        <v>1</v>
      </c>
      <c r="L2558" t="b">
        <f>TrafficData[[#This Row],[pendingAmount]]+TrafficData[[#This Row],[disposedAmount]]=TrafficData[[#This Row],[totalAmount]]</f>
        <v>1</v>
      </c>
      <c r="M2558" t="b">
        <f>TrafficData[[#This Row],[pendingCourt]]+TrafficData[[#This Row],[disposedCourt]]=TrafficData[[#This Row],[totalCourt]]</f>
        <v>1</v>
      </c>
      <c r="N2558" t="b">
        <f>AND(TrafficData[[#This Row],[disposedChallan]]&lt;=TrafficData[[#This Row],[totalChallan]],TrafficData[[#This Row],[pendingChallan]]&lt;=TrafficData[[#This Row],[totalChallan]])</f>
        <v>1</v>
      </c>
      <c r="O2558" t="b">
        <f>AND(TrafficData[[#This Row],[pendingAmount]]&lt;=TrafficData[[#This Row],[totalAmount]],TrafficData[[#This Row],[disposedAmount]]&lt;=TrafficData[[#This Row],[totalAmount]])</f>
        <v>1</v>
      </c>
      <c r="P2558" t="b">
        <f>AND(TrafficData[[#This Row],[pendingCourt]]&lt;=TrafficData[[#This Row],[totalCourt]],TrafficData[[#This Row],[disposedCourt]]&lt;=TrafficData[[#This Row],[totalCourt]])</f>
        <v>1</v>
      </c>
    </row>
    <row r="2559" spans="1:16">
      <c r="A2559" s="1">
        <v>44563</v>
      </c>
      <c r="B2559">
        <v>125671</v>
      </c>
      <c r="C2559">
        <v>56252</v>
      </c>
      <c r="D2559">
        <v>69419</v>
      </c>
      <c r="E2559">
        <v>75665392</v>
      </c>
      <c r="F2559">
        <v>57770176</v>
      </c>
      <c r="G2559">
        <v>133435568</v>
      </c>
      <c r="H2559">
        <v>16923</v>
      </c>
      <c r="I2559">
        <v>5843</v>
      </c>
      <c r="J2559">
        <v>22766</v>
      </c>
      <c r="K2559" t="b">
        <f>TrafficData[[#This Row],[disposedChallan]]+TrafficData[[#This Row],[pendingChallan]]=TrafficData[[#This Row],[totalChallan]]</f>
        <v>1</v>
      </c>
      <c r="L2559" t="b">
        <f>TrafficData[[#This Row],[pendingAmount]]+TrafficData[[#This Row],[disposedAmount]]=TrafficData[[#This Row],[totalAmount]]</f>
        <v>1</v>
      </c>
      <c r="M2559" t="b">
        <f>TrafficData[[#This Row],[pendingCourt]]+TrafficData[[#This Row],[disposedCourt]]=TrafficData[[#This Row],[totalCourt]]</f>
        <v>1</v>
      </c>
      <c r="N2559" t="b">
        <f>AND(TrafficData[[#This Row],[disposedChallan]]&lt;=TrafficData[[#This Row],[totalChallan]],TrafficData[[#This Row],[pendingChallan]]&lt;=TrafficData[[#This Row],[totalChallan]])</f>
        <v>1</v>
      </c>
      <c r="O2559" t="b">
        <f>AND(TrafficData[[#This Row],[pendingAmount]]&lt;=TrafficData[[#This Row],[totalAmount]],TrafficData[[#This Row],[disposedAmount]]&lt;=TrafficData[[#This Row],[totalAmount]])</f>
        <v>1</v>
      </c>
      <c r="P2559" t="b">
        <f>AND(TrafficData[[#This Row],[pendingCourt]]&lt;=TrafficData[[#This Row],[totalCourt]],TrafficData[[#This Row],[disposedCourt]]&lt;=TrafficData[[#This Row],[totalCourt]])</f>
        <v>1</v>
      </c>
    </row>
    <row r="2560" spans="1:16">
      <c r="A2560" s="1">
        <v>44564</v>
      </c>
      <c r="B2560">
        <v>134612</v>
      </c>
      <c r="C2560">
        <v>64201</v>
      </c>
      <c r="D2560">
        <v>70411</v>
      </c>
      <c r="E2560">
        <v>85822747</v>
      </c>
      <c r="F2560">
        <v>79755645</v>
      </c>
      <c r="G2560">
        <v>165578392</v>
      </c>
      <c r="H2560">
        <v>24093</v>
      </c>
      <c r="I2560">
        <v>7872</v>
      </c>
      <c r="J2560">
        <v>31965</v>
      </c>
      <c r="K2560" t="b">
        <f>TrafficData[[#This Row],[disposedChallan]]+TrafficData[[#This Row],[pendingChallan]]=TrafficData[[#This Row],[totalChallan]]</f>
        <v>1</v>
      </c>
      <c r="L2560" t="b">
        <f>TrafficData[[#This Row],[pendingAmount]]+TrafficData[[#This Row],[disposedAmount]]=TrafficData[[#This Row],[totalAmount]]</f>
        <v>1</v>
      </c>
      <c r="M2560" t="b">
        <f>TrafficData[[#This Row],[pendingCourt]]+TrafficData[[#This Row],[disposedCourt]]=TrafficData[[#This Row],[totalCourt]]</f>
        <v>1</v>
      </c>
      <c r="N2560" t="b">
        <f>AND(TrafficData[[#This Row],[disposedChallan]]&lt;=TrafficData[[#This Row],[totalChallan]],TrafficData[[#This Row],[pendingChallan]]&lt;=TrafficData[[#This Row],[totalChallan]])</f>
        <v>1</v>
      </c>
      <c r="O2560" t="b">
        <f>AND(TrafficData[[#This Row],[pendingAmount]]&lt;=TrafficData[[#This Row],[totalAmount]],TrafficData[[#This Row],[disposedAmount]]&lt;=TrafficData[[#This Row],[totalAmount]])</f>
        <v>1</v>
      </c>
      <c r="P2560" t="b">
        <f>AND(TrafficData[[#This Row],[pendingCourt]]&lt;=TrafficData[[#This Row],[totalCourt]],TrafficData[[#This Row],[disposedCourt]]&lt;=TrafficData[[#This Row],[totalCourt]])</f>
        <v>1</v>
      </c>
    </row>
    <row r="2561" spans="1:16">
      <c r="A2561" s="1">
        <v>44565</v>
      </c>
      <c r="B2561">
        <v>137444</v>
      </c>
      <c r="C2561">
        <v>66740</v>
      </c>
      <c r="D2561">
        <v>70704</v>
      </c>
      <c r="E2561">
        <v>88853605</v>
      </c>
      <c r="F2561">
        <v>90348910</v>
      </c>
      <c r="G2561">
        <v>179202515</v>
      </c>
      <c r="H2561">
        <v>24777</v>
      </c>
      <c r="I2561">
        <v>7912</v>
      </c>
      <c r="J2561">
        <v>32689</v>
      </c>
      <c r="K2561" t="b">
        <f>TrafficData[[#This Row],[disposedChallan]]+TrafficData[[#This Row],[pendingChallan]]=TrafficData[[#This Row],[totalChallan]]</f>
        <v>1</v>
      </c>
      <c r="L2561" t="b">
        <f>TrafficData[[#This Row],[pendingAmount]]+TrafficData[[#This Row],[disposedAmount]]=TrafficData[[#This Row],[totalAmount]]</f>
        <v>1</v>
      </c>
      <c r="M2561" t="b">
        <f>TrafficData[[#This Row],[pendingCourt]]+TrafficData[[#This Row],[disposedCourt]]=TrafficData[[#This Row],[totalCourt]]</f>
        <v>1</v>
      </c>
      <c r="N2561" t="b">
        <f>AND(TrafficData[[#This Row],[disposedChallan]]&lt;=TrafficData[[#This Row],[totalChallan]],TrafficData[[#This Row],[pendingChallan]]&lt;=TrafficData[[#This Row],[totalChallan]])</f>
        <v>1</v>
      </c>
      <c r="O2561" t="b">
        <f>AND(TrafficData[[#This Row],[pendingAmount]]&lt;=TrafficData[[#This Row],[totalAmount]],TrafficData[[#This Row],[disposedAmount]]&lt;=TrafficData[[#This Row],[totalAmount]])</f>
        <v>1</v>
      </c>
      <c r="P2561" t="b">
        <f>AND(TrafficData[[#This Row],[pendingCourt]]&lt;=TrafficData[[#This Row],[totalCourt]],TrafficData[[#This Row],[disposedCourt]]&lt;=TrafficData[[#This Row],[totalCourt]])</f>
        <v>1</v>
      </c>
    </row>
    <row r="2562" spans="1:16">
      <c r="A2562" s="1">
        <v>44566</v>
      </c>
      <c r="B2562">
        <v>117571</v>
      </c>
      <c r="C2562">
        <v>57364</v>
      </c>
      <c r="D2562">
        <v>60207</v>
      </c>
      <c r="E2562">
        <v>61336911</v>
      </c>
      <c r="F2562">
        <v>83667102</v>
      </c>
      <c r="G2562">
        <v>145004013</v>
      </c>
      <c r="H2562">
        <v>16203</v>
      </c>
      <c r="I2562">
        <v>4808</v>
      </c>
      <c r="J2562">
        <v>21011</v>
      </c>
      <c r="K2562" t="b">
        <f>TrafficData[[#This Row],[disposedChallan]]+TrafficData[[#This Row],[pendingChallan]]=TrafficData[[#This Row],[totalChallan]]</f>
        <v>1</v>
      </c>
      <c r="L2562" t="b">
        <f>TrafficData[[#This Row],[pendingAmount]]+TrafficData[[#This Row],[disposedAmount]]=TrafficData[[#This Row],[totalAmount]]</f>
        <v>1</v>
      </c>
      <c r="M2562" t="b">
        <f>TrafficData[[#This Row],[pendingCourt]]+TrafficData[[#This Row],[disposedCourt]]=TrafficData[[#This Row],[totalCourt]]</f>
        <v>1</v>
      </c>
      <c r="N2562" t="b">
        <f>AND(TrafficData[[#This Row],[disposedChallan]]&lt;=TrafficData[[#This Row],[totalChallan]],TrafficData[[#This Row],[pendingChallan]]&lt;=TrafficData[[#This Row],[totalChallan]])</f>
        <v>1</v>
      </c>
      <c r="O2562" t="b">
        <f>AND(TrafficData[[#This Row],[pendingAmount]]&lt;=TrafficData[[#This Row],[totalAmount]],TrafficData[[#This Row],[disposedAmount]]&lt;=TrafficData[[#This Row],[totalAmount]])</f>
        <v>1</v>
      </c>
      <c r="P2562" t="b">
        <f>AND(TrafficData[[#This Row],[pendingCourt]]&lt;=TrafficData[[#This Row],[totalCourt]],TrafficData[[#This Row],[disposedCourt]]&lt;=TrafficData[[#This Row],[totalCourt]])</f>
        <v>1</v>
      </c>
    </row>
    <row r="2563" spans="1:16">
      <c r="A2563" s="1">
        <v>44567</v>
      </c>
      <c r="B2563">
        <v>130644</v>
      </c>
      <c r="C2563">
        <v>65213</v>
      </c>
      <c r="D2563">
        <v>65431</v>
      </c>
      <c r="E2563">
        <v>81642945</v>
      </c>
      <c r="F2563">
        <v>85949208</v>
      </c>
      <c r="G2563">
        <v>167592153</v>
      </c>
      <c r="H2563">
        <v>18918</v>
      </c>
      <c r="I2563">
        <v>7399</v>
      </c>
      <c r="J2563">
        <v>26317</v>
      </c>
      <c r="K2563" t="b">
        <f>TrafficData[[#This Row],[disposedChallan]]+TrafficData[[#This Row],[pendingChallan]]=TrafficData[[#This Row],[totalChallan]]</f>
        <v>1</v>
      </c>
      <c r="L2563" t="b">
        <f>TrafficData[[#This Row],[pendingAmount]]+TrafficData[[#This Row],[disposedAmount]]=TrafficData[[#This Row],[totalAmount]]</f>
        <v>1</v>
      </c>
      <c r="M2563" t="b">
        <f>TrafficData[[#This Row],[pendingCourt]]+TrafficData[[#This Row],[disposedCourt]]=TrafficData[[#This Row],[totalCourt]]</f>
        <v>1</v>
      </c>
      <c r="N2563" t="b">
        <f>AND(TrafficData[[#This Row],[disposedChallan]]&lt;=TrafficData[[#This Row],[totalChallan]],TrafficData[[#This Row],[pendingChallan]]&lt;=TrafficData[[#This Row],[totalChallan]])</f>
        <v>1</v>
      </c>
      <c r="O2563" t="b">
        <f>AND(TrafficData[[#This Row],[pendingAmount]]&lt;=TrafficData[[#This Row],[totalAmount]],TrafficData[[#This Row],[disposedAmount]]&lt;=TrafficData[[#This Row],[totalAmount]])</f>
        <v>1</v>
      </c>
      <c r="P2563" t="b">
        <f>AND(TrafficData[[#This Row],[pendingCourt]]&lt;=TrafficData[[#This Row],[totalCourt]],TrafficData[[#This Row],[disposedCourt]]&lt;=TrafficData[[#This Row],[totalCourt]])</f>
        <v>1</v>
      </c>
    </row>
    <row r="2564" spans="1:16">
      <c r="A2564" s="1">
        <v>44568</v>
      </c>
      <c r="B2564">
        <v>130310</v>
      </c>
      <c r="C2564">
        <v>65487</v>
      </c>
      <c r="D2564">
        <v>64823</v>
      </c>
      <c r="E2564">
        <v>80211238</v>
      </c>
      <c r="F2564">
        <v>89226847</v>
      </c>
      <c r="G2564">
        <v>169438085</v>
      </c>
      <c r="H2564">
        <v>21022</v>
      </c>
      <c r="I2564">
        <v>7556</v>
      </c>
      <c r="J2564">
        <v>28578</v>
      </c>
      <c r="K2564" t="b">
        <f>TrafficData[[#This Row],[disposedChallan]]+TrafficData[[#This Row],[pendingChallan]]=TrafficData[[#This Row],[totalChallan]]</f>
        <v>1</v>
      </c>
      <c r="L2564" t="b">
        <f>TrafficData[[#This Row],[pendingAmount]]+TrafficData[[#This Row],[disposedAmount]]=TrafficData[[#This Row],[totalAmount]]</f>
        <v>1</v>
      </c>
      <c r="M2564" t="b">
        <f>TrafficData[[#This Row],[pendingCourt]]+TrafficData[[#This Row],[disposedCourt]]=TrafficData[[#This Row],[totalCourt]]</f>
        <v>1</v>
      </c>
      <c r="N2564" t="b">
        <f>AND(TrafficData[[#This Row],[disposedChallan]]&lt;=TrafficData[[#This Row],[totalChallan]],TrafficData[[#This Row],[pendingChallan]]&lt;=TrafficData[[#This Row],[totalChallan]])</f>
        <v>1</v>
      </c>
      <c r="O2564" t="b">
        <f>AND(TrafficData[[#This Row],[pendingAmount]]&lt;=TrafficData[[#This Row],[totalAmount]],TrafficData[[#This Row],[disposedAmount]]&lt;=TrafficData[[#This Row],[totalAmount]])</f>
        <v>1</v>
      </c>
      <c r="P2564" t="b">
        <f>AND(TrafficData[[#This Row],[pendingCourt]]&lt;=TrafficData[[#This Row],[totalCourt]],TrafficData[[#This Row],[disposedCourt]]&lt;=TrafficData[[#This Row],[totalCourt]])</f>
        <v>1</v>
      </c>
    </row>
    <row r="2565" spans="1:16">
      <c r="A2565" s="1">
        <v>44569</v>
      </c>
      <c r="B2565">
        <v>111510</v>
      </c>
      <c r="C2565">
        <v>58502</v>
      </c>
      <c r="D2565">
        <v>53008</v>
      </c>
      <c r="E2565">
        <v>48823565</v>
      </c>
      <c r="F2565">
        <v>69306470</v>
      </c>
      <c r="G2565">
        <v>118130035</v>
      </c>
      <c r="H2565">
        <v>15189</v>
      </c>
      <c r="I2565">
        <v>4676</v>
      </c>
      <c r="J2565">
        <v>19865</v>
      </c>
      <c r="K2565" t="b">
        <f>TrafficData[[#This Row],[disposedChallan]]+TrafficData[[#This Row],[pendingChallan]]=TrafficData[[#This Row],[totalChallan]]</f>
        <v>1</v>
      </c>
      <c r="L2565" t="b">
        <f>TrafficData[[#This Row],[pendingAmount]]+TrafficData[[#This Row],[disposedAmount]]=TrafficData[[#This Row],[totalAmount]]</f>
        <v>1</v>
      </c>
      <c r="M2565" t="b">
        <f>TrafficData[[#This Row],[pendingCourt]]+TrafficData[[#This Row],[disposedCourt]]=TrafficData[[#This Row],[totalCourt]]</f>
        <v>1</v>
      </c>
      <c r="N2565" t="b">
        <f>AND(TrafficData[[#This Row],[disposedChallan]]&lt;=TrafficData[[#This Row],[totalChallan]],TrafficData[[#This Row],[pendingChallan]]&lt;=TrafficData[[#This Row],[totalChallan]])</f>
        <v>1</v>
      </c>
      <c r="O2565" t="b">
        <f>AND(TrafficData[[#This Row],[pendingAmount]]&lt;=TrafficData[[#This Row],[totalAmount]],TrafficData[[#This Row],[disposedAmount]]&lt;=TrafficData[[#This Row],[totalAmount]])</f>
        <v>1</v>
      </c>
      <c r="P2565" t="b">
        <f>AND(TrafficData[[#This Row],[pendingCourt]]&lt;=TrafficData[[#This Row],[totalCourt]],TrafficData[[#This Row],[disposedCourt]]&lt;=TrafficData[[#This Row],[totalCourt]])</f>
        <v>1</v>
      </c>
    </row>
    <row r="2566" spans="1:16">
      <c r="A2566" s="1">
        <v>44570</v>
      </c>
      <c r="B2566">
        <v>80839</v>
      </c>
      <c r="C2566">
        <v>39601</v>
      </c>
      <c r="D2566">
        <v>41238</v>
      </c>
      <c r="E2566">
        <v>49475864</v>
      </c>
      <c r="F2566">
        <v>53946232</v>
      </c>
      <c r="G2566">
        <v>103422096</v>
      </c>
      <c r="H2566">
        <v>15065</v>
      </c>
      <c r="I2566">
        <v>4153</v>
      </c>
      <c r="J2566">
        <v>19218</v>
      </c>
      <c r="K2566" t="b">
        <f>TrafficData[[#This Row],[disposedChallan]]+TrafficData[[#This Row],[pendingChallan]]=TrafficData[[#This Row],[totalChallan]]</f>
        <v>1</v>
      </c>
      <c r="L2566" t="b">
        <f>TrafficData[[#This Row],[pendingAmount]]+TrafficData[[#This Row],[disposedAmount]]=TrafficData[[#This Row],[totalAmount]]</f>
        <v>1</v>
      </c>
      <c r="M2566" t="b">
        <f>TrafficData[[#This Row],[pendingCourt]]+TrafficData[[#This Row],[disposedCourt]]=TrafficData[[#This Row],[totalCourt]]</f>
        <v>1</v>
      </c>
      <c r="N2566" t="b">
        <f>AND(TrafficData[[#This Row],[disposedChallan]]&lt;=TrafficData[[#This Row],[totalChallan]],TrafficData[[#This Row],[pendingChallan]]&lt;=TrafficData[[#This Row],[totalChallan]])</f>
        <v>1</v>
      </c>
      <c r="O2566" t="b">
        <f>AND(TrafficData[[#This Row],[pendingAmount]]&lt;=TrafficData[[#This Row],[totalAmount]],TrafficData[[#This Row],[disposedAmount]]&lt;=TrafficData[[#This Row],[totalAmount]])</f>
        <v>1</v>
      </c>
      <c r="P2566" t="b">
        <f>AND(TrafficData[[#This Row],[pendingCourt]]&lt;=TrafficData[[#This Row],[totalCourt]],TrafficData[[#This Row],[disposedCourt]]&lt;=TrafficData[[#This Row],[totalCourt]])</f>
        <v>1</v>
      </c>
    </row>
    <row r="2567" spans="1:16">
      <c r="A2567" s="1">
        <v>44571</v>
      </c>
      <c r="B2567">
        <v>127390</v>
      </c>
      <c r="C2567">
        <v>63887</v>
      </c>
      <c r="D2567">
        <v>63503</v>
      </c>
      <c r="E2567">
        <v>75230430</v>
      </c>
      <c r="F2567">
        <v>76853971</v>
      </c>
      <c r="G2567">
        <v>152084401</v>
      </c>
      <c r="H2567">
        <v>26979</v>
      </c>
      <c r="I2567">
        <v>8414</v>
      </c>
      <c r="J2567">
        <v>35393</v>
      </c>
      <c r="K2567" t="b">
        <f>TrafficData[[#This Row],[disposedChallan]]+TrafficData[[#This Row],[pendingChallan]]=TrafficData[[#This Row],[totalChallan]]</f>
        <v>1</v>
      </c>
      <c r="L2567" t="b">
        <f>TrafficData[[#This Row],[pendingAmount]]+TrafficData[[#This Row],[disposedAmount]]=TrafficData[[#This Row],[totalAmount]]</f>
        <v>1</v>
      </c>
      <c r="M2567" t="b">
        <f>TrafficData[[#This Row],[pendingCourt]]+TrafficData[[#This Row],[disposedCourt]]=TrafficData[[#This Row],[totalCourt]]</f>
        <v>1</v>
      </c>
      <c r="N2567" t="b">
        <f>AND(TrafficData[[#This Row],[disposedChallan]]&lt;=TrafficData[[#This Row],[totalChallan]],TrafficData[[#This Row],[pendingChallan]]&lt;=TrafficData[[#This Row],[totalChallan]])</f>
        <v>1</v>
      </c>
      <c r="O2567" t="b">
        <f>AND(TrafficData[[#This Row],[pendingAmount]]&lt;=TrafficData[[#This Row],[totalAmount]],TrafficData[[#This Row],[disposedAmount]]&lt;=TrafficData[[#This Row],[totalAmount]])</f>
        <v>1</v>
      </c>
      <c r="P2567" t="b">
        <f>AND(TrafficData[[#This Row],[pendingCourt]]&lt;=TrafficData[[#This Row],[totalCourt]],TrafficData[[#This Row],[disposedCourt]]&lt;=TrafficData[[#This Row],[totalCourt]])</f>
        <v>1</v>
      </c>
    </row>
    <row r="2568" spans="1:16">
      <c r="A2568" s="1">
        <v>44572</v>
      </c>
      <c r="B2568">
        <v>128821</v>
      </c>
      <c r="C2568">
        <v>64955</v>
      </c>
      <c r="D2568">
        <v>63866</v>
      </c>
      <c r="E2568">
        <v>80479286</v>
      </c>
      <c r="F2568">
        <v>83508235</v>
      </c>
      <c r="G2568">
        <v>163987521</v>
      </c>
      <c r="H2568">
        <v>31245</v>
      </c>
      <c r="I2568">
        <v>9043</v>
      </c>
      <c r="J2568">
        <v>40288</v>
      </c>
      <c r="K2568" t="b">
        <f>TrafficData[[#This Row],[disposedChallan]]+TrafficData[[#This Row],[pendingChallan]]=TrafficData[[#This Row],[totalChallan]]</f>
        <v>1</v>
      </c>
      <c r="L2568" t="b">
        <f>TrafficData[[#This Row],[pendingAmount]]+TrafficData[[#This Row],[disposedAmount]]=TrafficData[[#This Row],[totalAmount]]</f>
        <v>1</v>
      </c>
      <c r="M2568" t="b">
        <f>TrafficData[[#This Row],[pendingCourt]]+TrafficData[[#This Row],[disposedCourt]]=TrafficData[[#This Row],[totalCourt]]</f>
        <v>1</v>
      </c>
      <c r="N2568" t="b">
        <f>AND(TrafficData[[#This Row],[disposedChallan]]&lt;=TrafficData[[#This Row],[totalChallan]],TrafficData[[#This Row],[pendingChallan]]&lt;=TrafficData[[#This Row],[totalChallan]])</f>
        <v>1</v>
      </c>
      <c r="O2568" t="b">
        <f>AND(TrafficData[[#This Row],[pendingAmount]]&lt;=TrafficData[[#This Row],[totalAmount]],TrafficData[[#This Row],[disposedAmount]]&lt;=TrafficData[[#This Row],[totalAmount]])</f>
        <v>1</v>
      </c>
      <c r="P2568" t="b">
        <f>AND(TrafficData[[#This Row],[pendingCourt]]&lt;=TrafficData[[#This Row],[totalCourt]],TrafficData[[#This Row],[disposedCourt]]&lt;=TrafficData[[#This Row],[totalCourt]])</f>
        <v>1</v>
      </c>
    </row>
    <row r="2569" spans="1:16">
      <c r="A2569" s="1">
        <v>44573</v>
      </c>
      <c r="B2569">
        <v>128514</v>
      </c>
      <c r="C2569">
        <v>65312</v>
      </c>
      <c r="D2569">
        <v>63202</v>
      </c>
      <c r="E2569">
        <v>81650555</v>
      </c>
      <c r="F2569">
        <v>88015570</v>
      </c>
      <c r="G2569">
        <v>169666125</v>
      </c>
      <c r="H2569">
        <v>32390</v>
      </c>
      <c r="I2569">
        <v>9599</v>
      </c>
      <c r="J2569">
        <v>41989</v>
      </c>
      <c r="K2569" t="b">
        <f>TrafficData[[#This Row],[disposedChallan]]+TrafficData[[#This Row],[pendingChallan]]=TrafficData[[#This Row],[totalChallan]]</f>
        <v>1</v>
      </c>
      <c r="L2569" t="b">
        <f>TrafficData[[#This Row],[pendingAmount]]+TrafficData[[#This Row],[disposedAmount]]=TrafficData[[#This Row],[totalAmount]]</f>
        <v>1</v>
      </c>
      <c r="M2569" t="b">
        <f>TrafficData[[#This Row],[pendingCourt]]+TrafficData[[#This Row],[disposedCourt]]=TrafficData[[#This Row],[totalCourt]]</f>
        <v>1</v>
      </c>
      <c r="N2569" t="b">
        <f>AND(TrafficData[[#This Row],[disposedChallan]]&lt;=TrafficData[[#This Row],[totalChallan]],TrafficData[[#This Row],[pendingChallan]]&lt;=TrafficData[[#This Row],[totalChallan]])</f>
        <v>1</v>
      </c>
      <c r="O2569" t="b">
        <f>AND(TrafficData[[#This Row],[pendingAmount]]&lt;=TrafficData[[#This Row],[totalAmount]],TrafficData[[#This Row],[disposedAmount]]&lt;=TrafficData[[#This Row],[totalAmount]])</f>
        <v>1</v>
      </c>
      <c r="P2569" t="b">
        <f>AND(TrafficData[[#This Row],[pendingCourt]]&lt;=TrafficData[[#This Row],[totalCourt]],TrafficData[[#This Row],[disposedCourt]]&lt;=TrafficData[[#This Row],[totalCourt]])</f>
        <v>1</v>
      </c>
    </row>
    <row r="2570" spans="1:16">
      <c r="A2570" s="1">
        <v>44574</v>
      </c>
      <c r="B2570">
        <v>123292</v>
      </c>
      <c r="C2570">
        <v>61451</v>
      </c>
      <c r="D2570">
        <v>61841</v>
      </c>
      <c r="E2570">
        <v>83302067</v>
      </c>
      <c r="F2570">
        <v>81212211</v>
      </c>
      <c r="G2570">
        <v>164514278</v>
      </c>
      <c r="H2570">
        <v>32414</v>
      </c>
      <c r="I2570">
        <v>9267</v>
      </c>
      <c r="J2570">
        <v>41681</v>
      </c>
      <c r="K2570" t="b">
        <f>TrafficData[[#This Row],[disposedChallan]]+TrafficData[[#This Row],[pendingChallan]]=TrafficData[[#This Row],[totalChallan]]</f>
        <v>1</v>
      </c>
      <c r="L2570" t="b">
        <f>TrafficData[[#This Row],[pendingAmount]]+TrafficData[[#This Row],[disposedAmount]]=TrafficData[[#This Row],[totalAmount]]</f>
        <v>1</v>
      </c>
      <c r="M2570" t="b">
        <f>TrafficData[[#This Row],[pendingCourt]]+TrafficData[[#This Row],[disposedCourt]]=TrafficData[[#This Row],[totalCourt]]</f>
        <v>1</v>
      </c>
      <c r="N2570" t="b">
        <f>AND(TrafficData[[#This Row],[disposedChallan]]&lt;=TrafficData[[#This Row],[totalChallan]],TrafficData[[#This Row],[pendingChallan]]&lt;=TrafficData[[#This Row],[totalChallan]])</f>
        <v>1</v>
      </c>
      <c r="O2570" t="b">
        <f>AND(TrafficData[[#This Row],[pendingAmount]]&lt;=TrafficData[[#This Row],[totalAmount]],TrafficData[[#This Row],[disposedAmount]]&lt;=TrafficData[[#This Row],[totalAmount]])</f>
        <v>1</v>
      </c>
      <c r="P2570" t="b">
        <f>AND(TrafficData[[#This Row],[pendingCourt]]&lt;=TrafficData[[#This Row],[totalCourt]],TrafficData[[#This Row],[disposedCourt]]&lt;=TrafficData[[#This Row],[totalCourt]])</f>
        <v>1</v>
      </c>
    </row>
    <row r="2571" spans="1:16">
      <c r="A2571" s="1">
        <v>44575</v>
      </c>
      <c r="B2571">
        <v>102146</v>
      </c>
      <c r="C2571">
        <v>49588</v>
      </c>
      <c r="D2571">
        <v>52558</v>
      </c>
      <c r="E2571">
        <v>72531257</v>
      </c>
      <c r="F2571">
        <v>72331634</v>
      </c>
      <c r="G2571">
        <v>144862891</v>
      </c>
      <c r="H2571">
        <v>29726</v>
      </c>
      <c r="I2571">
        <v>8497</v>
      </c>
      <c r="J2571">
        <v>38223</v>
      </c>
      <c r="K2571" t="b">
        <f>TrafficData[[#This Row],[disposedChallan]]+TrafficData[[#This Row],[pendingChallan]]=TrafficData[[#This Row],[totalChallan]]</f>
        <v>1</v>
      </c>
      <c r="L2571" t="b">
        <f>TrafficData[[#This Row],[pendingAmount]]+TrafficData[[#This Row],[disposedAmount]]=TrafficData[[#This Row],[totalAmount]]</f>
        <v>1</v>
      </c>
      <c r="M2571" t="b">
        <f>TrafficData[[#This Row],[pendingCourt]]+TrafficData[[#This Row],[disposedCourt]]=TrafficData[[#This Row],[totalCourt]]</f>
        <v>1</v>
      </c>
      <c r="N2571" t="b">
        <f>AND(TrafficData[[#This Row],[disposedChallan]]&lt;=TrafficData[[#This Row],[totalChallan]],TrafficData[[#This Row],[pendingChallan]]&lt;=TrafficData[[#This Row],[totalChallan]])</f>
        <v>1</v>
      </c>
      <c r="O2571" t="b">
        <f>AND(TrafficData[[#This Row],[pendingAmount]]&lt;=TrafficData[[#This Row],[totalAmount]],TrafficData[[#This Row],[disposedAmount]]&lt;=TrafficData[[#This Row],[totalAmount]])</f>
        <v>1</v>
      </c>
      <c r="P2571" t="b">
        <f>AND(TrafficData[[#This Row],[pendingCourt]]&lt;=TrafficData[[#This Row],[totalCourt]],TrafficData[[#This Row],[disposedCourt]]&lt;=TrafficData[[#This Row],[totalCourt]])</f>
        <v>1</v>
      </c>
    </row>
    <row r="2572" spans="1:16">
      <c r="A2572" s="1">
        <v>44576</v>
      </c>
      <c r="B2572">
        <v>110001</v>
      </c>
      <c r="C2572">
        <v>53667</v>
      </c>
      <c r="D2572">
        <v>56334</v>
      </c>
      <c r="E2572">
        <v>66480134</v>
      </c>
      <c r="F2572">
        <v>68095828</v>
      </c>
      <c r="G2572">
        <v>134575962</v>
      </c>
      <c r="H2572">
        <v>29196</v>
      </c>
      <c r="I2572">
        <v>7432</v>
      </c>
      <c r="J2572">
        <v>36628</v>
      </c>
      <c r="K2572" t="b">
        <f>TrafficData[[#This Row],[disposedChallan]]+TrafficData[[#This Row],[pendingChallan]]=TrafficData[[#This Row],[totalChallan]]</f>
        <v>1</v>
      </c>
      <c r="L2572" t="b">
        <f>TrafficData[[#This Row],[pendingAmount]]+TrafficData[[#This Row],[disposedAmount]]=TrafficData[[#This Row],[totalAmount]]</f>
        <v>1</v>
      </c>
      <c r="M2572" t="b">
        <f>TrafficData[[#This Row],[pendingCourt]]+TrafficData[[#This Row],[disposedCourt]]=TrafficData[[#This Row],[totalCourt]]</f>
        <v>1</v>
      </c>
      <c r="N2572" t="b">
        <f>AND(TrafficData[[#This Row],[disposedChallan]]&lt;=TrafficData[[#This Row],[totalChallan]],TrafficData[[#This Row],[pendingChallan]]&lt;=TrafficData[[#This Row],[totalChallan]])</f>
        <v>1</v>
      </c>
      <c r="O2572" t="b">
        <f>AND(TrafficData[[#This Row],[pendingAmount]]&lt;=TrafficData[[#This Row],[totalAmount]],TrafficData[[#This Row],[disposedAmount]]&lt;=TrafficData[[#This Row],[totalAmount]])</f>
        <v>1</v>
      </c>
      <c r="P2572" t="b">
        <f>AND(TrafficData[[#This Row],[pendingCourt]]&lt;=TrafficData[[#This Row],[totalCourt]],TrafficData[[#This Row],[disposedCourt]]&lt;=TrafficData[[#This Row],[totalCourt]])</f>
        <v>1</v>
      </c>
    </row>
    <row r="2573" spans="1:16">
      <c r="A2573" s="1">
        <v>44577</v>
      </c>
      <c r="B2573">
        <v>89717</v>
      </c>
      <c r="C2573">
        <v>41618</v>
      </c>
      <c r="D2573">
        <v>48099</v>
      </c>
      <c r="E2573">
        <v>60005773</v>
      </c>
      <c r="F2573">
        <v>54794884</v>
      </c>
      <c r="G2573">
        <v>114800657</v>
      </c>
      <c r="H2573">
        <v>29181</v>
      </c>
      <c r="I2573">
        <v>6929</v>
      </c>
      <c r="J2573">
        <v>36110</v>
      </c>
      <c r="K2573" t="b">
        <f>TrafficData[[#This Row],[disposedChallan]]+TrafficData[[#This Row],[pendingChallan]]=TrafficData[[#This Row],[totalChallan]]</f>
        <v>1</v>
      </c>
      <c r="L2573" t="b">
        <f>TrafficData[[#This Row],[pendingAmount]]+TrafficData[[#This Row],[disposedAmount]]=TrafficData[[#This Row],[totalAmount]]</f>
        <v>1</v>
      </c>
      <c r="M2573" t="b">
        <f>TrafficData[[#This Row],[pendingCourt]]+TrafficData[[#This Row],[disposedCourt]]=TrafficData[[#This Row],[totalCourt]]</f>
        <v>1</v>
      </c>
      <c r="N2573" t="b">
        <f>AND(TrafficData[[#This Row],[disposedChallan]]&lt;=TrafficData[[#This Row],[totalChallan]],TrafficData[[#This Row],[pendingChallan]]&lt;=TrafficData[[#This Row],[totalChallan]])</f>
        <v>1</v>
      </c>
      <c r="O2573" t="b">
        <f>AND(TrafficData[[#This Row],[pendingAmount]]&lt;=TrafficData[[#This Row],[totalAmount]],TrafficData[[#This Row],[disposedAmount]]&lt;=TrafficData[[#This Row],[totalAmount]])</f>
        <v>1</v>
      </c>
      <c r="P2573" t="b">
        <f>AND(TrafficData[[#This Row],[pendingCourt]]&lt;=TrafficData[[#This Row],[totalCourt]],TrafficData[[#This Row],[disposedCourt]]&lt;=TrafficData[[#This Row],[totalCourt]])</f>
        <v>1</v>
      </c>
    </row>
    <row r="2574" spans="1:16">
      <c r="A2574" s="1">
        <v>44578</v>
      </c>
      <c r="B2574">
        <v>118952</v>
      </c>
      <c r="C2574">
        <v>58865</v>
      </c>
      <c r="D2574">
        <v>60087</v>
      </c>
      <c r="E2574">
        <v>75672798</v>
      </c>
      <c r="F2574">
        <v>72520765</v>
      </c>
      <c r="G2574">
        <v>148193563</v>
      </c>
      <c r="H2574">
        <v>32525</v>
      </c>
      <c r="I2574">
        <v>9170</v>
      </c>
      <c r="J2574">
        <v>41695</v>
      </c>
      <c r="K2574" t="b">
        <f>TrafficData[[#This Row],[disposedChallan]]+TrafficData[[#This Row],[pendingChallan]]=TrafficData[[#This Row],[totalChallan]]</f>
        <v>1</v>
      </c>
      <c r="L2574" t="b">
        <f>TrafficData[[#This Row],[pendingAmount]]+TrafficData[[#This Row],[disposedAmount]]=TrafficData[[#This Row],[totalAmount]]</f>
        <v>1</v>
      </c>
      <c r="M2574" t="b">
        <f>TrafficData[[#This Row],[pendingCourt]]+TrafficData[[#This Row],[disposedCourt]]=TrafficData[[#This Row],[totalCourt]]</f>
        <v>1</v>
      </c>
      <c r="N2574" t="b">
        <f>AND(TrafficData[[#This Row],[disposedChallan]]&lt;=TrafficData[[#This Row],[totalChallan]],TrafficData[[#This Row],[pendingChallan]]&lt;=TrafficData[[#This Row],[totalChallan]])</f>
        <v>1</v>
      </c>
      <c r="O2574" t="b">
        <f>AND(TrafficData[[#This Row],[pendingAmount]]&lt;=TrafficData[[#This Row],[totalAmount]],TrafficData[[#This Row],[disposedAmount]]&lt;=TrafficData[[#This Row],[totalAmount]])</f>
        <v>1</v>
      </c>
      <c r="P2574" t="b">
        <f>AND(TrafficData[[#This Row],[pendingCourt]]&lt;=TrafficData[[#This Row],[totalCourt]],TrafficData[[#This Row],[disposedCourt]]&lt;=TrafficData[[#This Row],[totalCourt]])</f>
        <v>1</v>
      </c>
    </row>
    <row r="2575" spans="1:16">
      <c r="A2575" s="1">
        <v>44579</v>
      </c>
      <c r="B2575">
        <v>124786</v>
      </c>
      <c r="C2575">
        <v>63228</v>
      </c>
      <c r="D2575">
        <v>61558</v>
      </c>
      <c r="E2575">
        <v>74845738</v>
      </c>
      <c r="F2575">
        <v>81234546</v>
      </c>
      <c r="G2575">
        <v>156080284</v>
      </c>
      <c r="H2575">
        <v>30871</v>
      </c>
      <c r="I2575">
        <v>8809</v>
      </c>
      <c r="J2575">
        <v>39680</v>
      </c>
      <c r="K2575" t="b">
        <f>TrafficData[[#This Row],[disposedChallan]]+TrafficData[[#This Row],[pendingChallan]]=TrafficData[[#This Row],[totalChallan]]</f>
        <v>1</v>
      </c>
      <c r="L2575" t="b">
        <f>TrafficData[[#This Row],[pendingAmount]]+TrafficData[[#This Row],[disposedAmount]]=TrafficData[[#This Row],[totalAmount]]</f>
        <v>1</v>
      </c>
      <c r="M2575" t="b">
        <f>TrafficData[[#This Row],[pendingCourt]]+TrafficData[[#This Row],[disposedCourt]]=TrafficData[[#This Row],[totalCourt]]</f>
        <v>1</v>
      </c>
      <c r="N2575" t="b">
        <f>AND(TrafficData[[#This Row],[disposedChallan]]&lt;=TrafficData[[#This Row],[totalChallan]],TrafficData[[#This Row],[pendingChallan]]&lt;=TrafficData[[#This Row],[totalChallan]])</f>
        <v>1</v>
      </c>
      <c r="O2575" t="b">
        <f>AND(TrafficData[[#This Row],[pendingAmount]]&lt;=TrafficData[[#This Row],[totalAmount]],TrafficData[[#This Row],[disposedAmount]]&lt;=TrafficData[[#This Row],[totalAmount]])</f>
        <v>1</v>
      </c>
      <c r="P2575" t="b">
        <f>AND(TrafficData[[#This Row],[pendingCourt]]&lt;=TrafficData[[#This Row],[totalCourt]],TrafficData[[#This Row],[disposedCourt]]&lt;=TrafficData[[#This Row],[totalCourt]])</f>
        <v>1</v>
      </c>
    </row>
    <row r="2576" spans="1:16">
      <c r="A2576" s="1">
        <v>44580</v>
      </c>
      <c r="B2576">
        <v>128237</v>
      </c>
      <c r="C2576">
        <v>65287</v>
      </c>
      <c r="D2576">
        <v>62950</v>
      </c>
      <c r="E2576">
        <v>82743995</v>
      </c>
      <c r="F2576">
        <v>164706353</v>
      </c>
      <c r="G2576">
        <v>247450348</v>
      </c>
      <c r="H2576">
        <v>31510</v>
      </c>
      <c r="I2576">
        <v>9526</v>
      </c>
      <c r="J2576">
        <v>41036</v>
      </c>
      <c r="K2576" t="b">
        <f>TrafficData[[#This Row],[disposedChallan]]+TrafficData[[#This Row],[pendingChallan]]=TrafficData[[#This Row],[totalChallan]]</f>
        <v>1</v>
      </c>
      <c r="L2576" t="b">
        <f>TrafficData[[#This Row],[pendingAmount]]+TrafficData[[#This Row],[disposedAmount]]=TrafficData[[#This Row],[totalAmount]]</f>
        <v>1</v>
      </c>
      <c r="M2576" t="b">
        <f>TrafficData[[#This Row],[pendingCourt]]+TrafficData[[#This Row],[disposedCourt]]=TrafficData[[#This Row],[totalCourt]]</f>
        <v>1</v>
      </c>
      <c r="N2576" t="b">
        <f>AND(TrafficData[[#This Row],[disposedChallan]]&lt;=TrafficData[[#This Row],[totalChallan]],TrafficData[[#This Row],[pendingChallan]]&lt;=TrafficData[[#This Row],[totalChallan]])</f>
        <v>1</v>
      </c>
      <c r="O2576" t="b">
        <f>AND(TrafficData[[#This Row],[pendingAmount]]&lt;=TrafficData[[#This Row],[totalAmount]],TrafficData[[#This Row],[disposedAmount]]&lt;=TrafficData[[#This Row],[totalAmount]])</f>
        <v>1</v>
      </c>
      <c r="P2576" t="b">
        <f>AND(TrafficData[[#This Row],[pendingCourt]]&lt;=TrafficData[[#This Row],[totalCourt]],TrafficData[[#This Row],[disposedCourt]]&lt;=TrafficData[[#This Row],[totalCourt]])</f>
        <v>1</v>
      </c>
    </row>
    <row r="2577" spans="1:16">
      <c r="A2577" s="1">
        <v>44581</v>
      </c>
      <c r="B2577">
        <v>123826</v>
      </c>
      <c r="C2577">
        <v>63198</v>
      </c>
      <c r="D2577">
        <v>60628</v>
      </c>
      <c r="E2577">
        <v>73000647</v>
      </c>
      <c r="F2577">
        <v>75014465</v>
      </c>
      <c r="G2577">
        <v>148015112</v>
      </c>
      <c r="H2577">
        <v>30216</v>
      </c>
      <c r="I2577">
        <v>8447</v>
      </c>
      <c r="J2577">
        <v>38663</v>
      </c>
      <c r="K2577" t="b">
        <f>TrafficData[[#This Row],[disposedChallan]]+TrafficData[[#This Row],[pendingChallan]]=TrafficData[[#This Row],[totalChallan]]</f>
        <v>1</v>
      </c>
      <c r="L2577" t="b">
        <f>TrafficData[[#This Row],[pendingAmount]]+TrafficData[[#This Row],[disposedAmount]]=TrafficData[[#This Row],[totalAmount]]</f>
        <v>1</v>
      </c>
      <c r="M2577" t="b">
        <f>TrafficData[[#This Row],[pendingCourt]]+TrafficData[[#This Row],[disposedCourt]]=TrafficData[[#This Row],[totalCourt]]</f>
        <v>1</v>
      </c>
      <c r="N2577" t="b">
        <f>AND(TrafficData[[#This Row],[disposedChallan]]&lt;=TrafficData[[#This Row],[totalChallan]],TrafficData[[#This Row],[pendingChallan]]&lt;=TrafficData[[#This Row],[totalChallan]])</f>
        <v>1</v>
      </c>
      <c r="O2577" t="b">
        <f>AND(TrafficData[[#This Row],[pendingAmount]]&lt;=TrafficData[[#This Row],[totalAmount]],TrafficData[[#This Row],[disposedAmount]]&lt;=TrafficData[[#This Row],[totalAmount]])</f>
        <v>1</v>
      </c>
      <c r="P2577" t="b">
        <f>AND(TrafficData[[#This Row],[pendingCourt]]&lt;=TrafficData[[#This Row],[totalCourt]],TrafficData[[#This Row],[disposedCourt]]&lt;=TrafficData[[#This Row],[totalCourt]])</f>
        <v>1</v>
      </c>
    </row>
    <row r="2578" spans="1:16">
      <c r="A2578" s="1">
        <v>44582</v>
      </c>
      <c r="B2578">
        <v>123257</v>
      </c>
      <c r="C2578">
        <v>61859</v>
      </c>
      <c r="D2578">
        <v>61398</v>
      </c>
      <c r="E2578">
        <v>74058376</v>
      </c>
      <c r="F2578">
        <v>82266617</v>
      </c>
      <c r="G2578">
        <v>156324993</v>
      </c>
      <c r="H2578">
        <v>30135</v>
      </c>
      <c r="I2578">
        <v>8380</v>
      </c>
      <c r="J2578">
        <v>38515</v>
      </c>
      <c r="K2578" t="b">
        <f>TrafficData[[#This Row],[disposedChallan]]+TrafficData[[#This Row],[pendingChallan]]=TrafficData[[#This Row],[totalChallan]]</f>
        <v>1</v>
      </c>
      <c r="L2578" t="b">
        <f>TrafficData[[#This Row],[pendingAmount]]+TrafficData[[#This Row],[disposedAmount]]=TrafficData[[#This Row],[totalAmount]]</f>
        <v>1</v>
      </c>
      <c r="M2578" t="b">
        <f>TrafficData[[#This Row],[pendingCourt]]+TrafficData[[#This Row],[disposedCourt]]=TrafficData[[#This Row],[totalCourt]]</f>
        <v>1</v>
      </c>
      <c r="N2578" t="b">
        <f>AND(TrafficData[[#This Row],[disposedChallan]]&lt;=TrafficData[[#This Row],[totalChallan]],TrafficData[[#This Row],[pendingChallan]]&lt;=TrafficData[[#This Row],[totalChallan]])</f>
        <v>1</v>
      </c>
      <c r="O2578" t="b">
        <f>AND(TrafficData[[#This Row],[pendingAmount]]&lt;=TrafficData[[#This Row],[totalAmount]],TrafficData[[#This Row],[disposedAmount]]&lt;=TrafficData[[#This Row],[totalAmount]])</f>
        <v>1</v>
      </c>
      <c r="P2578" t="b">
        <f>AND(TrafficData[[#This Row],[pendingCourt]]&lt;=TrafficData[[#This Row],[totalCourt]],TrafficData[[#This Row],[disposedCourt]]&lt;=TrafficData[[#This Row],[totalCourt]])</f>
        <v>1</v>
      </c>
    </row>
    <row r="2579" spans="1:16">
      <c r="A2579" s="1">
        <v>44583</v>
      </c>
      <c r="B2579">
        <v>115542</v>
      </c>
      <c r="C2579">
        <v>59091</v>
      </c>
      <c r="D2579">
        <v>56451</v>
      </c>
      <c r="E2579">
        <v>54924810</v>
      </c>
      <c r="F2579">
        <v>71143369</v>
      </c>
      <c r="G2579">
        <v>126068179</v>
      </c>
      <c r="H2579">
        <v>24023</v>
      </c>
      <c r="I2579">
        <v>6049</v>
      </c>
      <c r="J2579">
        <v>30072</v>
      </c>
      <c r="K2579" t="b">
        <f>TrafficData[[#This Row],[disposedChallan]]+TrafficData[[#This Row],[pendingChallan]]=TrafficData[[#This Row],[totalChallan]]</f>
        <v>1</v>
      </c>
      <c r="L2579" t="b">
        <f>TrafficData[[#This Row],[pendingAmount]]+TrafficData[[#This Row],[disposedAmount]]=TrafficData[[#This Row],[totalAmount]]</f>
        <v>1</v>
      </c>
      <c r="M2579" t="b">
        <f>TrafficData[[#This Row],[pendingCourt]]+TrafficData[[#This Row],[disposedCourt]]=TrafficData[[#This Row],[totalCourt]]</f>
        <v>1</v>
      </c>
      <c r="N2579" t="b">
        <f>AND(TrafficData[[#This Row],[disposedChallan]]&lt;=TrafficData[[#This Row],[totalChallan]],TrafficData[[#This Row],[pendingChallan]]&lt;=TrafficData[[#This Row],[totalChallan]])</f>
        <v>1</v>
      </c>
      <c r="O2579" t="b">
        <f>AND(TrafficData[[#This Row],[pendingAmount]]&lt;=TrafficData[[#This Row],[totalAmount]],TrafficData[[#This Row],[disposedAmount]]&lt;=TrafficData[[#This Row],[totalAmount]])</f>
        <v>1</v>
      </c>
      <c r="P2579" t="b">
        <f>AND(TrafficData[[#This Row],[pendingCourt]]&lt;=TrafficData[[#This Row],[totalCourt]],TrafficData[[#This Row],[disposedCourt]]&lt;=TrafficData[[#This Row],[totalCourt]])</f>
        <v>1</v>
      </c>
    </row>
    <row r="2580" spans="1:16">
      <c r="A2580" s="1">
        <v>44584</v>
      </c>
      <c r="B2580">
        <v>81589</v>
      </c>
      <c r="C2580">
        <v>35880</v>
      </c>
      <c r="D2580">
        <v>45709</v>
      </c>
      <c r="E2580">
        <v>51967750</v>
      </c>
      <c r="F2580">
        <v>52037159</v>
      </c>
      <c r="G2580">
        <v>104004909</v>
      </c>
      <c r="H2580">
        <v>25363</v>
      </c>
      <c r="I2580">
        <v>5905</v>
      </c>
      <c r="J2580">
        <v>31268</v>
      </c>
      <c r="K2580" t="b">
        <f>TrafficData[[#This Row],[disposedChallan]]+TrafficData[[#This Row],[pendingChallan]]=TrafficData[[#This Row],[totalChallan]]</f>
        <v>1</v>
      </c>
      <c r="L2580" t="b">
        <f>TrafficData[[#This Row],[pendingAmount]]+TrafficData[[#This Row],[disposedAmount]]=TrafficData[[#This Row],[totalAmount]]</f>
        <v>1</v>
      </c>
      <c r="M2580" t="b">
        <f>TrafficData[[#This Row],[pendingCourt]]+TrafficData[[#This Row],[disposedCourt]]=TrafficData[[#This Row],[totalCourt]]</f>
        <v>1</v>
      </c>
      <c r="N2580" t="b">
        <f>AND(TrafficData[[#This Row],[disposedChallan]]&lt;=TrafficData[[#This Row],[totalChallan]],TrafficData[[#This Row],[pendingChallan]]&lt;=TrafficData[[#This Row],[totalChallan]])</f>
        <v>1</v>
      </c>
      <c r="O2580" t="b">
        <f>AND(TrafficData[[#This Row],[pendingAmount]]&lt;=TrafficData[[#This Row],[totalAmount]],TrafficData[[#This Row],[disposedAmount]]&lt;=TrafficData[[#This Row],[totalAmount]])</f>
        <v>1</v>
      </c>
      <c r="P2580" t="b">
        <f>AND(TrafficData[[#This Row],[pendingCourt]]&lt;=TrafficData[[#This Row],[totalCourt]],TrafficData[[#This Row],[disposedCourt]]&lt;=TrafficData[[#This Row],[totalCourt]])</f>
        <v>1</v>
      </c>
    </row>
    <row r="2581" spans="1:16">
      <c r="A2581" s="1">
        <v>44585</v>
      </c>
      <c r="B2581">
        <v>131391</v>
      </c>
      <c r="C2581">
        <v>64150</v>
      </c>
      <c r="D2581">
        <v>67241</v>
      </c>
      <c r="E2581">
        <v>77036370</v>
      </c>
      <c r="F2581">
        <v>74780979</v>
      </c>
      <c r="G2581">
        <v>151817349</v>
      </c>
      <c r="H2581">
        <v>31801</v>
      </c>
      <c r="I2581">
        <v>9108</v>
      </c>
      <c r="J2581">
        <v>40909</v>
      </c>
      <c r="K2581" t="b">
        <f>TrafficData[[#This Row],[disposedChallan]]+TrafficData[[#This Row],[pendingChallan]]=TrafficData[[#This Row],[totalChallan]]</f>
        <v>1</v>
      </c>
      <c r="L2581" t="b">
        <f>TrafficData[[#This Row],[pendingAmount]]+TrafficData[[#This Row],[disposedAmount]]=TrafficData[[#This Row],[totalAmount]]</f>
        <v>1</v>
      </c>
      <c r="M2581" t="b">
        <f>TrafficData[[#This Row],[pendingCourt]]+TrafficData[[#This Row],[disposedCourt]]=TrafficData[[#This Row],[totalCourt]]</f>
        <v>1</v>
      </c>
      <c r="N2581" t="b">
        <f>AND(TrafficData[[#This Row],[disposedChallan]]&lt;=TrafficData[[#This Row],[totalChallan]],TrafficData[[#This Row],[pendingChallan]]&lt;=TrafficData[[#This Row],[totalChallan]])</f>
        <v>1</v>
      </c>
      <c r="O2581" t="b">
        <f>AND(TrafficData[[#This Row],[pendingAmount]]&lt;=TrafficData[[#This Row],[totalAmount]],TrafficData[[#This Row],[disposedAmount]]&lt;=TrafficData[[#This Row],[totalAmount]])</f>
        <v>1</v>
      </c>
      <c r="P2581" t="b">
        <f>AND(TrafficData[[#This Row],[pendingCourt]]&lt;=TrafficData[[#This Row],[totalCourt]],TrafficData[[#This Row],[disposedCourt]]&lt;=TrafficData[[#This Row],[totalCourt]])</f>
        <v>1</v>
      </c>
    </row>
    <row r="2582" spans="1:16">
      <c r="A2582" s="1">
        <v>44586</v>
      </c>
      <c r="B2582">
        <v>125049</v>
      </c>
      <c r="C2582">
        <v>63056</v>
      </c>
      <c r="D2582">
        <v>61993</v>
      </c>
      <c r="E2582">
        <v>82934038</v>
      </c>
      <c r="F2582">
        <v>83907252</v>
      </c>
      <c r="G2582">
        <v>166841290</v>
      </c>
      <c r="H2582">
        <v>32136</v>
      </c>
      <c r="I2582">
        <v>8928</v>
      </c>
      <c r="J2582">
        <v>41064</v>
      </c>
      <c r="K2582" t="b">
        <f>TrafficData[[#This Row],[disposedChallan]]+TrafficData[[#This Row],[pendingChallan]]=TrafficData[[#This Row],[totalChallan]]</f>
        <v>1</v>
      </c>
      <c r="L2582" t="b">
        <f>TrafficData[[#This Row],[pendingAmount]]+TrafficData[[#This Row],[disposedAmount]]=TrafficData[[#This Row],[totalAmount]]</f>
        <v>1</v>
      </c>
      <c r="M2582" t="b">
        <f>TrafficData[[#This Row],[pendingCourt]]+TrafficData[[#This Row],[disposedCourt]]=TrafficData[[#This Row],[totalCourt]]</f>
        <v>1</v>
      </c>
      <c r="N2582" t="b">
        <f>AND(TrafficData[[#This Row],[disposedChallan]]&lt;=TrafficData[[#This Row],[totalChallan]],TrafficData[[#This Row],[pendingChallan]]&lt;=TrafficData[[#This Row],[totalChallan]])</f>
        <v>1</v>
      </c>
      <c r="O2582" t="b">
        <f>AND(TrafficData[[#This Row],[pendingAmount]]&lt;=TrafficData[[#This Row],[totalAmount]],TrafficData[[#This Row],[disposedAmount]]&lt;=TrafficData[[#This Row],[totalAmount]])</f>
        <v>1</v>
      </c>
      <c r="P2582" t="b">
        <f>AND(TrafficData[[#This Row],[pendingCourt]]&lt;=TrafficData[[#This Row],[totalCourt]],TrafficData[[#This Row],[disposedCourt]]&lt;=TrafficData[[#This Row],[totalCourt]])</f>
        <v>1</v>
      </c>
    </row>
    <row r="2583" spans="1:16">
      <c r="A2583" s="1">
        <v>44587</v>
      </c>
      <c r="B2583">
        <v>97617</v>
      </c>
      <c r="C2583">
        <v>48924</v>
      </c>
      <c r="D2583">
        <v>48693</v>
      </c>
      <c r="E2583">
        <v>46181369</v>
      </c>
      <c r="F2583">
        <v>47296432</v>
      </c>
      <c r="G2583">
        <v>93477801</v>
      </c>
      <c r="H2583">
        <v>22646</v>
      </c>
      <c r="I2583">
        <v>6378</v>
      </c>
      <c r="J2583">
        <v>29024</v>
      </c>
      <c r="K2583" t="b">
        <f>TrafficData[[#This Row],[disposedChallan]]+TrafficData[[#This Row],[pendingChallan]]=TrafficData[[#This Row],[totalChallan]]</f>
        <v>1</v>
      </c>
      <c r="L2583" t="b">
        <f>TrafficData[[#This Row],[pendingAmount]]+TrafficData[[#This Row],[disposedAmount]]=TrafficData[[#This Row],[totalAmount]]</f>
        <v>1</v>
      </c>
      <c r="M2583" t="b">
        <f>TrafficData[[#This Row],[pendingCourt]]+TrafficData[[#This Row],[disposedCourt]]=TrafficData[[#This Row],[totalCourt]]</f>
        <v>1</v>
      </c>
      <c r="N2583" t="b">
        <f>AND(TrafficData[[#This Row],[disposedChallan]]&lt;=TrafficData[[#This Row],[totalChallan]],TrafficData[[#This Row],[pendingChallan]]&lt;=TrafficData[[#This Row],[totalChallan]])</f>
        <v>1</v>
      </c>
      <c r="O2583" t="b">
        <f>AND(TrafficData[[#This Row],[pendingAmount]]&lt;=TrafficData[[#This Row],[totalAmount]],TrafficData[[#This Row],[disposedAmount]]&lt;=TrafficData[[#This Row],[totalAmount]])</f>
        <v>1</v>
      </c>
      <c r="P2583" t="b">
        <f>AND(TrafficData[[#This Row],[pendingCourt]]&lt;=TrafficData[[#This Row],[totalCourt]],TrafficData[[#This Row],[disposedCourt]]&lt;=TrafficData[[#This Row],[totalCourt]])</f>
        <v>1</v>
      </c>
    </row>
    <row r="2584" spans="1:16">
      <c r="A2584" s="1">
        <v>44588</v>
      </c>
      <c r="B2584">
        <v>125547</v>
      </c>
      <c r="C2584">
        <v>65227</v>
      </c>
      <c r="D2584">
        <v>60320</v>
      </c>
      <c r="E2584">
        <v>81815714</v>
      </c>
      <c r="F2584">
        <v>79130468</v>
      </c>
      <c r="G2584">
        <v>160946182</v>
      </c>
      <c r="H2584">
        <v>31773</v>
      </c>
      <c r="I2584">
        <v>9564</v>
      </c>
      <c r="J2584">
        <v>41337</v>
      </c>
      <c r="K2584" t="b">
        <f>TrafficData[[#This Row],[disposedChallan]]+TrafficData[[#This Row],[pendingChallan]]=TrafficData[[#This Row],[totalChallan]]</f>
        <v>1</v>
      </c>
      <c r="L2584" t="b">
        <f>TrafficData[[#This Row],[pendingAmount]]+TrafficData[[#This Row],[disposedAmount]]=TrafficData[[#This Row],[totalAmount]]</f>
        <v>1</v>
      </c>
      <c r="M2584" t="b">
        <f>TrafficData[[#This Row],[pendingCourt]]+TrafficData[[#This Row],[disposedCourt]]=TrafficData[[#This Row],[totalCourt]]</f>
        <v>1</v>
      </c>
      <c r="N2584" t="b">
        <f>AND(TrafficData[[#This Row],[disposedChallan]]&lt;=TrafficData[[#This Row],[totalChallan]],TrafficData[[#This Row],[pendingChallan]]&lt;=TrafficData[[#This Row],[totalChallan]])</f>
        <v>1</v>
      </c>
      <c r="O2584" t="b">
        <f>AND(TrafficData[[#This Row],[pendingAmount]]&lt;=TrafficData[[#This Row],[totalAmount]],TrafficData[[#This Row],[disposedAmount]]&lt;=TrafficData[[#This Row],[totalAmount]])</f>
        <v>1</v>
      </c>
      <c r="P2584" t="b">
        <f>AND(TrafficData[[#This Row],[pendingCourt]]&lt;=TrafficData[[#This Row],[totalCourt]],TrafficData[[#This Row],[disposedCourt]]&lt;=TrafficData[[#This Row],[totalCourt]])</f>
        <v>1</v>
      </c>
    </row>
    <row r="2585" spans="1:16">
      <c r="A2585" s="1">
        <v>44589</v>
      </c>
      <c r="B2585">
        <v>123377</v>
      </c>
      <c r="C2585">
        <v>63621</v>
      </c>
      <c r="D2585">
        <v>59756</v>
      </c>
      <c r="E2585">
        <v>82011885</v>
      </c>
      <c r="F2585">
        <v>81129445</v>
      </c>
      <c r="G2585">
        <v>163141330</v>
      </c>
      <c r="H2585">
        <v>31548</v>
      </c>
      <c r="I2585">
        <v>9241</v>
      </c>
      <c r="J2585">
        <v>40789</v>
      </c>
      <c r="K2585" t="b">
        <f>TrafficData[[#This Row],[disposedChallan]]+TrafficData[[#This Row],[pendingChallan]]=TrafficData[[#This Row],[totalChallan]]</f>
        <v>1</v>
      </c>
      <c r="L2585" t="b">
        <f>TrafficData[[#This Row],[pendingAmount]]+TrafficData[[#This Row],[disposedAmount]]=TrafficData[[#This Row],[totalAmount]]</f>
        <v>1</v>
      </c>
      <c r="M2585" t="b">
        <f>TrafficData[[#This Row],[pendingCourt]]+TrafficData[[#This Row],[disposedCourt]]=TrafficData[[#This Row],[totalCourt]]</f>
        <v>1</v>
      </c>
      <c r="N2585" t="b">
        <f>AND(TrafficData[[#This Row],[disposedChallan]]&lt;=TrafficData[[#This Row],[totalChallan]],TrafficData[[#This Row],[pendingChallan]]&lt;=TrafficData[[#This Row],[totalChallan]])</f>
        <v>1</v>
      </c>
      <c r="O2585" t="b">
        <f>AND(TrafficData[[#This Row],[pendingAmount]]&lt;=TrafficData[[#This Row],[totalAmount]],TrafficData[[#This Row],[disposedAmount]]&lt;=TrafficData[[#This Row],[totalAmount]])</f>
        <v>1</v>
      </c>
      <c r="P2585" t="b">
        <f>AND(TrafficData[[#This Row],[pendingCourt]]&lt;=TrafficData[[#This Row],[totalCourt]],TrafficData[[#This Row],[disposedCourt]]&lt;=TrafficData[[#This Row],[totalCourt]])</f>
        <v>1</v>
      </c>
    </row>
    <row r="2586" spans="1:16">
      <c r="A2586" s="1">
        <v>44590</v>
      </c>
      <c r="B2586">
        <v>121530</v>
      </c>
      <c r="C2586">
        <v>63385</v>
      </c>
      <c r="D2586">
        <v>58145</v>
      </c>
      <c r="E2586">
        <v>78336509</v>
      </c>
      <c r="F2586">
        <v>81163634</v>
      </c>
      <c r="G2586">
        <v>159500143</v>
      </c>
      <c r="H2586">
        <v>30860</v>
      </c>
      <c r="I2586">
        <v>8792</v>
      </c>
      <c r="J2586">
        <v>39652</v>
      </c>
      <c r="K2586" t="b">
        <f>TrafficData[[#This Row],[disposedChallan]]+TrafficData[[#This Row],[pendingChallan]]=TrafficData[[#This Row],[totalChallan]]</f>
        <v>1</v>
      </c>
      <c r="L2586" t="b">
        <f>TrafficData[[#This Row],[pendingAmount]]+TrafficData[[#This Row],[disposedAmount]]=TrafficData[[#This Row],[totalAmount]]</f>
        <v>1</v>
      </c>
      <c r="M2586" t="b">
        <f>TrafficData[[#This Row],[pendingCourt]]+TrafficData[[#This Row],[disposedCourt]]=TrafficData[[#This Row],[totalCourt]]</f>
        <v>1</v>
      </c>
      <c r="N2586" t="b">
        <f>AND(TrafficData[[#This Row],[disposedChallan]]&lt;=TrafficData[[#This Row],[totalChallan]],TrafficData[[#This Row],[pendingChallan]]&lt;=TrafficData[[#This Row],[totalChallan]])</f>
        <v>1</v>
      </c>
      <c r="O2586" t="b">
        <f>AND(TrafficData[[#This Row],[pendingAmount]]&lt;=TrafficData[[#This Row],[totalAmount]],TrafficData[[#This Row],[disposedAmount]]&lt;=TrafficData[[#This Row],[totalAmount]])</f>
        <v>1</v>
      </c>
      <c r="P2586" t="b">
        <f>AND(TrafficData[[#This Row],[pendingCourt]]&lt;=TrafficData[[#This Row],[totalCourt]],TrafficData[[#This Row],[disposedCourt]]&lt;=TrafficData[[#This Row],[totalCourt]])</f>
        <v>1</v>
      </c>
    </row>
    <row r="2587" spans="1:16">
      <c r="A2587" s="1">
        <v>44591</v>
      </c>
      <c r="B2587">
        <v>109250</v>
      </c>
      <c r="C2587">
        <v>51163</v>
      </c>
      <c r="D2587">
        <v>58087</v>
      </c>
      <c r="E2587">
        <v>70131276</v>
      </c>
      <c r="F2587">
        <v>61601202</v>
      </c>
      <c r="G2587">
        <v>131732478</v>
      </c>
      <c r="H2587">
        <v>30096</v>
      </c>
      <c r="I2587">
        <v>9022</v>
      </c>
      <c r="J2587">
        <v>39118</v>
      </c>
      <c r="K2587" t="b">
        <f>TrafficData[[#This Row],[disposedChallan]]+TrafficData[[#This Row],[pendingChallan]]=TrafficData[[#This Row],[totalChallan]]</f>
        <v>1</v>
      </c>
      <c r="L2587" t="b">
        <f>TrafficData[[#This Row],[pendingAmount]]+TrafficData[[#This Row],[disposedAmount]]=TrafficData[[#This Row],[totalAmount]]</f>
        <v>1</v>
      </c>
      <c r="M2587" t="b">
        <f>TrafficData[[#This Row],[pendingCourt]]+TrafficData[[#This Row],[disposedCourt]]=TrafficData[[#This Row],[totalCourt]]</f>
        <v>1</v>
      </c>
      <c r="N2587" t="b">
        <f>AND(TrafficData[[#This Row],[disposedChallan]]&lt;=TrafficData[[#This Row],[totalChallan]],TrafficData[[#This Row],[pendingChallan]]&lt;=TrafficData[[#This Row],[totalChallan]])</f>
        <v>1</v>
      </c>
      <c r="O2587" t="b">
        <f>AND(TrafficData[[#This Row],[pendingAmount]]&lt;=TrafficData[[#This Row],[totalAmount]],TrafficData[[#This Row],[disposedAmount]]&lt;=TrafficData[[#This Row],[totalAmount]])</f>
        <v>1</v>
      </c>
      <c r="P2587" t="b">
        <f>AND(TrafficData[[#This Row],[pendingCourt]]&lt;=TrafficData[[#This Row],[totalCourt]],TrafficData[[#This Row],[disposedCourt]]&lt;=TrafficData[[#This Row],[totalCourt]])</f>
        <v>1</v>
      </c>
    </row>
    <row r="2588" spans="1:16">
      <c r="A2588" s="1">
        <v>44592</v>
      </c>
      <c r="B2588">
        <v>118115</v>
      </c>
      <c r="C2588">
        <v>62607</v>
      </c>
      <c r="D2588">
        <v>55508</v>
      </c>
      <c r="E2588">
        <v>78811195</v>
      </c>
      <c r="F2588">
        <v>76028352</v>
      </c>
      <c r="G2588">
        <v>154839547</v>
      </c>
      <c r="H2588">
        <v>31752</v>
      </c>
      <c r="I2588">
        <v>9704</v>
      </c>
      <c r="J2588">
        <v>41456</v>
      </c>
      <c r="K2588" t="b">
        <f>TrafficData[[#This Row],[disposedChallan]]+TrafficData[[#This Row],[pendingChallan]]=TrafficData[[#This Row],[totalChallan]]</f>
        <v>1</v>
      </c>
      <c r="L2588" t="b">
        <f>TrafficData[[#This Row],[pendingAmount]]+TrafficData[[#This Row],[disposedAmount]]=TrafficData[[#This Row],[totalAmount]]</f>
        <v>1</v>
      </c>
      <c r="M2588" t="b">
        <f>TrafficData[[#This Row],[pendingCourt]]+TrafficData[[#This Row],[disposedCourt]]=TrafficData[[#This Row],[totalCourt]]</f>
        <v>1</v>
      </c>
      <c r="N2588" t="b">
        <f>AND(TrafficData[[#This Row],[disposedChallan]]&lt;=TrafficData[[#This Row],[totalChallan]],TrafficData[[#This Row],[pendingChallan]]&lt;=TrafficData[[#This Row],[totalChallan]])</f>
        <v>1</v>
      </c>
      <c r="O2588" t="b">
        <f>AND(TrafficData[[#This Row],[pendingAmount]]&lt;=TrafficData[[#This Row],[totalAmount]],TrafficData[[#This Row],[disposedAmount]]&lt;=TrafficData[[#This Row],[totalAmount]])</f>
        <v>1</v>
      </c>
      <c r="P2588" t="b">
        <f>AND(TrafficData[[#This Row],[pendingCourt]]&lt;=TrafficData[[#This Row],[totalCourt]],TrafficData[[#This Row],[disposedCourt]]&lt;=TrafficData[[#This Row],[totalCourt]])</f>
        <v>1</v>
      </c>
    </row>
    <row r="2589" spans="1:16">
      <c r="A2589" s="1">
        <v>44593</v>
      </c>
      <c r="B2589">
        <v>125568</v>
      </c>
      <c r="C2589">
        <v>68544</v>
      </c>
      <c r="D2589">
        <v>57024</v>
      </c>
      <c r="E2589">
        <v>76824809</v>
      </c>
      <c r="F2589">
        <v>93373842</v>
      </c>
      <c r="G2589">
        <v>170198651</v>
      </c>
      <c r="H2589">
        <v>31292</v>
      </c>
      <c r="I2589">
        <v>9338</v>
      </c>
      <c r="J2589">
        <v>40630</v>
      </c>
      <c r="K2589" t="b">
        <f>TrafficData[[#This Row],[disposedChallan]]+TrafficData[[#This Row],[pendingChallan]]=TrafficData[[#This Row],[totalChallan]]</f>
        <v>1</v>
      </c>
      <c r="L2589" t="b">
        <f>TrafficData[[#This Row],[pendingAmount]]+TrafficData[[#This Row],[disposedAmount]]=TrafficData[[#This Row],[totalAmount]]</f>
        <v>1</v>
      </c>
      <c r="M2589" t="b">
        <f>TrafficData[[#This Row],[pendingCourt]]+TrafficData[[#This Row],[disposedCourt]]=TrafficData[[#This Row],[totalCourt]]</f>
        <v>1</v>
      </c>
      <c r="N2589" t="b">
        <f>AND(TrafficData[[#This Row],[disposedChallan]]&lt;=TrafficData[[#This Row],[totalChallan]],TrafficData[[#This Row],[pendingChallan]]&lt;=TrafficData[[#This Row],[totalChallan]])</f>
        <v>1</v>
      </c>
      <c r="O2589" t="b">
        <f>AND(TrafficData[[#This Row],[pendingAmount]]&lt;=TrafficData[[#This Row],[totalAmount]],TrafficData[[#This Row],[disposedAmount]]&lt;=TrafficData[[#This Row],[totalAmount]])</f>
        <v>1</v>
      </c>
      <c r="P2589" t="b">
        <f>AND(TrafficData[[#This Row],[pendingCourt]]&lt;=TrafficData[[#This Row],[totalCourt]],TrafficData[[#This Row],[disposedCourt]]&lt;=TrafficData[[#This Row],[totalCourt]])</f>
        <v>1</v>
      </c>
    </row>
    <row r="2590" spans="1:16">
      <c r="A2590" s="1">
        <v>44594</v>
      </c>
      <c r="B2590">
        <v>131407</v>
      </c>
      <c r="C2590">
        <v>71368</v>
      </c>
      <c r="D2590">
        <v>60039</v>
      </c>
      <c r="E2590">
        <v>85438508</v>
      </c>
      <c r="F2590">
        <v>104531942</v>
      </c>
      <c r="G2590">
        <v>189970450</v>
      </c>
      <c r="H2590">
        <v>34199</v>
      </c>
      <c r="I2590">
        <v>10068</v>
      </c>
      <c r="J2590">
        <v>44267</v>
      </c>
      <c r="K2590" t="b">
        <f>TrafficData[[#This Row],[disposedChallan]]+TrafficData[[#This Row],[pendingChallan]]=TrafficData[[#This Row],[totalChallan]]</f>
        <v>1</v>
      </c>
      <c r="L2590" t="b">
        <f>TrafficData[[#This Row],[pendingAmount]]+TrafficData[[#This Row],[disposedAmount]]=TrafficData[[#This Row],[totalAmount]]</f>
        <v>1</v>
      </c>
      <c r="M2590" t="b">
        <f>TrafficData[[#This Row],[pendingCourt]]+TrafficData[[#This Row],[disposedCourt]]=TrafficData[[#This Row],[totalCourt]]</f>
        <v>1</v>
      </c>
      <c r="N2590" t="b">
        <f>AND(TrafficData[[#This Row],[disposedChallan]]&lt;=TrafficData[[#This Row],[totalChallan]],TrafficData[[#This Row],[pendingChallan]]&lt;=TrafficData[[#This Row],[totalChallan]])</f>
        <v>1</v>
      </c>
      <c r="O2590" t="b">
        <f>AND(TrafficData[[#This Row],[pendingAmount]]&lt;=TrafficData[[#This Row],[totalAmount]],TrafficData[[#This Row],[disposedAmount]]&lt;=TrafficData[[#This Row],[totalAmount]])</f>
        <v>1</v>
      </c>
      <c r="P2590" t="b">
        <f>AND(TrafficData[[#This Row],[pendingCourt]]&lt;=TrafficData[[#This Row],[totalCourt]],TrafficData[[#This Row],[disposedCourt]]&lt;=TrafficData[[#This Row],[totalCourt]])</f>
        <v>1</v>
      </c>
    </row>
    <row r="2591" spans="1:16">
      <c r="A2591" s="1">
        <v>44595</v>
      </c>
      <c r="B2591">
        <v>118186</v>
      </c>
      <c r="C2591">
        <v>64356</v>
      </c>
      <c r="D2591">
        <v>53830</v>
      </c>
      <c r="E2591">
        <v>75299889</v>
      </c>
      <c r="F2591">
        <v>99167529</v>
      </c>
      <c r="G2591">
        <v>174467418</v>
      </c>
      <c r="H2591">
        <v>28281</v>
      </c>
      <c r="I2591">
        <v>8278</v>
      </c>
      <c r="J2591">
        <v>36559</v>
      </c>
      <c r="K2591" t="b">
        <f>TrafficData[[#This Row],[disposedChallan]]+TrafficData[[#This Row],[pendingChallan]]=TrafficData[[#This Row],[totalChallan]]</f>
        <v>1</v>
      </c>
      <c r="L2591" t="b">
        <f>TrafficData[[#This Row],[pendingAmount]]+TrafficData[[#This Row],[disposedAmount]]=TrafficData[[#This Row],[totalAmount]]</f>
        <v>1</v>
      </c>
      <c r="M2591" t="b">
        <f>TrafficData[[#This Row],[pendingCourt]]+TrafficData[[#This Row],[disposedCourt]]=TrafficData[[#This Row],[totalCourt]]</f>
        <v>1</v>
      </c>
      <c r="N2591" t="b">
        <f>AND(TrafficData[[#This Row],[disposedChallan]]&lt;=TrafficData[[#This Row],[totalChallan]],TrafficData[[#This Row],[pendingChallan]]&lt;=TrafficData[[#This Row],[totalChallan]])</f>
        <v>1</v>
      </c>
      <c r="O2591" t="b">
        <f>AND(TrafficData[[#This Row],[pendingAmount]]&lt;=TrafficData[[#This Row],[totalAmount]],TrafficData[[#This Row],[disposedAmount]]&lt;=TrafficData[[#This Row],[totalAmount]])</f>
        <v>1</v>
      </c>
      <c r="P2591" t="b">
        <f>AND(TrafficData[[#This Row],[pendingCourt]]&lt;=TrafficData[[#This Row],[totalCourt]],TrafficData[[#This Row],[disposedCourt]]&lt;=TrafficData[[#This Row],[totalCourt]])</f>
        <v>1</v>
      </c>
    </row>
    <row r="2592" spans="1:16">
      <c r="A2592" s="1">
        <v>44596</v>
      </c>
      <c r="B2592">
        <v>122344</v>
      </c>
      <c r="C2592">
        <v>66336</v>
      </c>
      <c r="D2592">
        <v>56008</v>
      </c>
      <c r="E2592">
        <v>79007291</v>
      </c>
      <c r="F2592">
        <v>93980496</v>
      </c>
      <c r="G2592">
        <v>172987787</v>
      </c>
      <c r="H2592">
        <v>30470</v>
      </c>
      <c r="I2592">
        <v>9485</v>
      </c>
      <c r="J2592">
        <v>39955</v>
      </c>
      <c r="K2592" t="b">
        <f>TrafficData[[#This Row],[disposedChallan]]+TrafficData[[#This Row],[pendingChallan]]=TrafficData[[#This Row],[totalChallan]]</f>
        <v>1</v>
      </c>
      <c r="L2592" t="b">
        <f>TrafficData[[#This Row],[pendingAmount]]+TrafficData[[#This Row],[disposedAmount]]=TrafficData[[#This Row],[totalAmount]]</f>
        <v>1</v>
      </c>
      <c r="M2592" t="b">
        <f>TrafficData[[#This Row],[pendingCourt]]+TrafficData[[#This Row],[disposedCourt]]=TrafficData[[#This Row],[totalCourt]]</f>
        <v>1</v>
      </c>
      <c r="N2592" t="b">
        <f>AND(TrafficData[[#This Row],[disposedChallan]]&lt;=TrafficData[[#This Row],[totalChallan]],TrafficData[[#This Row],[pendingChallan]]&lt;=TrafficData[[#This Row],[totalChallan]])</f>
        <v>1</v>
      </c>
      <c r="O2592" t="b">
        <f>AND(TrafficData[[#This Row],[pendingAmount]]&lt;=TrafficData[[#This Row],[totalAmount]],TrafficData[[#This Row],[disposedAmount]]&lt;=TrafficData[[#This Row],[totalAmount]])</f>
        <v>1</v>
      </c>
      <c r="P2592" t="b">
        <f>AND(TrafficData[[#This Row],[pendingCourt]]&lt;=TrafficData[[#This Row],[totalCourt]],TrafficData[[#This Row],[disposedCourt]]&lt;=TrafficData[[#This Row],[totalCourt]])</f>
        <v>1</v>
      </c>
    </row>
    <row r="2593" spans="1:16">
      <c r="A2593" s="1">
        <v>44597</v>
      </c>
      <c r="B2593">
        <v>122630</v>
      </c>
      <c r="C2593">
        <v>66742</v>
      </c>
      <c r="D2593">
        <v>55888</v>
      </c>
      <c r="E2593">
        <v>73172606</v>
      </c>
      <c r="F2593">
        <v>84676586</v>
      </c>
      <c r="G2593">
        <v>157849192</v>
      </c>
      <c r="H2593">
        <v>29952</v>
      </c>
      <c r="I2593">
        <v>9286</v>
      </c>
      <c r="J2593">
        <v>39238</v>
      </c>
      <c r="K2593" t="b">
        <f>TrafficData[[#This Row],[disposedChallan]]+TrafficData[[#This Row],[pendingChallan]]=TrafficData[[#This Row],[totalChallan]]</f>
        <v>1</v>
      </c>
      <c r="L2593" t="b">
        <f>TrafficData[[#This Row],[pendingAmount]]+TrafficData[[#This Row],[disposedAmount]]=TrafficData[[#This Row],[totalAmount]]</f>
        <v>1</v>
      </c>
      <c r="M2593" t="b">
        <f>TrafficData[[#This Row],[pendingCourt]]+TrafficData[[#This Row],[disposedCourt]]=TrafficData[[#This Row],[totalCourt]]</f>
        <v>1</v>
      </c>
      <c r="N2593" t="b">
        <f>AND(TrafficData[[#This Row],[disposedChallan]]&lt;=TrafficData[[#This Row],[totalChallan]],TrafficData[[#This Row],[pendingChallan]]&lt;=TrafficData[[#This Row],[totalChallan]])</f>
        <v>1</v>
      </c>
      <c r="O2593" t="b">
        <f>AND(TrafficData[[#This Row],[pendingAmount]]&lt;=TrafficData[[#This Row],[totalAmount]],TrafficData[[#This Row],[disposedAmount]]&lt;=TrafficData[[#This Row],[totalAmount]])</f>
        <v>1</v>
      </c>
      <c r="P2593" t="b">
        <f>AND(TrafficData[[#This Row],[pendingCourt]]&lt;=TrafficData[[#This Row],[totalCourt]],TrafficData[[#This Row],[disposedCourt]]&lt;=TrafficData[[#This Row],[totalCourt]])</f>
        <v>1</v>
      </c>
    </row>
    <row r="2594" spans="1:16">
      <c r="A2594" s="1">
        <v>44598</v>
      </c>
      <c r="B2594">
        <v>104381</v>
      </c>
      <c r="C2594">
        <v>51867</v>
      </c>
      <c r="D2594">
        <v>52514</v>
      </c>
      <c r="E2594">
        <v>64204271</v>
      </c>
      <c r="F2594">
        <v>67169866</v>
      </c>
      <c r="G2594">
        <v>131374137</v>
      </c>
      <c r="H2594">
        <v>27582</v>
      </c>
      <c r="I2594">
        <v>8161</v>
      </c>
      <c r="J2594">
        <v>35743</v>
      </c>
      <c r="K2594" t="b">
        <f>TrafficData[[#This Row],[disposedChallan]]+TrafficData[[#This Row],[pendingChallan]]=TrafficData[[#This Row],[totalChallan]]</f>
        <v>1</v>
      </c>
      <c r="L2594" t="b">
        <f>TrafficData[[#This Row],[pendingAmount]]+TrafficData[[#This Row],[disposedAmount]]=TrafficData[[#This Row],[totalAmount]]</f>
        <v>1</v>
      </c>
      <c r="M2594" t="b">
        <f>TrafficData[[#This Row],[pendingCourt]]+TrafficData[[#This Row],[disposedCourt]]=TrafficData[[#This Row],[totalCourt]]</f>
        <v>1</v>
      </c>
      <c r="N2594" t="b">
        <f>AND(TrafficData[[#This Row],[disposedChallan]]&lt;=TrafficData[[#This Row],[totalChallan]],TrafficData[[#This Row],[pendingChallan]]&lt;=TrafficData[[#This Row],[totalChallan]])</f>
        <v>1</v>
      </c>
      <c r="O2594" t="b">
        <f>AND(TrafficData[[#This Row],[pendingAmount]]&lt;=TrafficData[[#This Row],[totalAmount]],TrafficData[[#This Row],[disposedAmount]]&lt;=TrafficData[[#This Row],[totalAmount]])</f>
        <v>1</v>
      </c>
      <c r="P2594" t="b">
        <f>AND(TrafficData[[#This Row],[pendingCourt]]&lt;=TrafficData[[#This Row],[totalCourt]],TrafficData[[#This Row],[disposedCourt]]&lt;=TrafficData[[#This Row],[totalCourt]])</f>
        <v>1</v>
      </c>
    </row>
    <row r="2595" spans="1:16">
      <c r="A2595" s="1">
        <v>44599</v>
      </c>
      <c r="B2595">
        <v>119713</v>
      </c>
      <c r="C2595">
        <v>64702</v>
      </c>
      <c r="D2595">
        <v>55011</v>
      </c>
      <c r="E2595">
        <v>78148213</v>
      </c>
      <c r="F2595">
        <v>86569747</v>
      </c>
      <c r="G2595">
        <v>164717960</v>
      </c>
      <c r="H2595">
        <v>30266</v>
      </c>
      <c r="I2595">
        <v>9916</v>
      </c>
      <c r="J2595">
        <v>40182</v>
      </c>
      <c r="K2595" t="b">
        <f>TrafficData[[#This Row],[disposedChallan]]+TrafficData[[#This Row],[pendingChallan]]=TrafficData[[#This Row],[totalChallan]]</f>
        <v>1</v>
      </c>
      <c r="L2595" t="b">
        <f>TrafficData[[#This Row],[pendingAmount]]+TrafficData[[#This Row],[disposedAmount]]=TrafficData[[#This Row],[totalAmount]]</f>
        <v>1</v>
      </c>
      <c r="M2595" t="b">
        <f>TrafficData[[#This Row],[pendingCourt]]+TrafficData[[#This Row],[disposedCourt]]=TrafficData[[#This Row],[totalCourt]]</f>
        <v>1</v>
      </c>
      <c r="N2595" t="b">
        <f>AND(TrafficData[[#This Row],[disposedChallan]]&lt;=TrafficData[[#This Row],[totalChallan]],TrafficData[[#This Row],[pendingChallan]]&lt;=TrafficData[[#This Row],[totalChallan]])</f>
        <v>1</v>
      </c>
      <c r="O2595" t="b">
        <f>AND(TrafficData[[#This Row],[pendingAmount]]&lt;=TrafficData[[#This Row],[totalAmount]],TrafficData[[#This Row],[disposedAmount]]&lt;=TrafficData[[#This Row],[totalAmount]])</f>
        <v>1</v>
      </c>
      <c r="P2595" t="b">
        <f>AND(TrafficData[[#This Row],[pendingCourt]]&lt;=TrafficData[[#This Row],[totalCourt]],TrafficData[[#This Row],[disposedCourt]]&lt;=TrafficData[[#This Row],[totalCourt]])</f>
        <v>1</v>
      </c>
    </row>
    <row r="2596" spans="1:16">
      <c r="A2596" s="1">
        <v>44600</v>
      </c>
      <c r="B2596">
        <v>126429</v>
      </c>
      <c r="C2596">
        <v>67232</v>
      </c>
      <c r="D2596">
        <v>59197</v>
      </c>
      <c r="E2596">
        <v>81345663</v>
      </c>
      <c r="F2596">
        <v>97077487</v>
      </c>
      <c r="G2596">
        <v>178423150</v>
      </c>
      <c r="H2596">
        <v>29945</v>
      </c>
      <c r="I2596">
        <v>9213</v>
      </c>
      <c r="J2596">
        <v>39158</v>
      </c>
      <c r="K2596" t="b">
        <f>TrafficData[[#This Row],[disposedChallan]]+TrafficData[[#This Row],[pendingChallan]]=TrafficData[[#This Row],[totalChallan]]</f>
        <v>1</v>
      </c>
      <c r="L2596" t="b">
        <f>TrafficData[[#This Row],[pendingAmount]]+TrafficData[[#This Row],[disposedAmount]]=TrafficData[[#This Row],[totalAmount]]</f>
        <v>1</v>
      </c>
      <c r="M2596" t="b">
        <f>TrafficData[[#This Row],[pendingCourt]]+TrafficData[[#This Row],[disposedCourt]]=TrafficData[[#This Row],[totalCourt]]</f>
        <v>1</v>
      </c>
      <c r="N2596" t="b">
        <f>AND(TrafficData[[#This Row],[disposedChallan]]&lt;=TrafficData[[#This Row],[totalChallan]],TrafficData[[#This Row],[pendingChallan]]&lt;=TrafficData[[#This Row],[totalChallan]])</f>
        <v>1</v>
      </c>
      <c r="O2596" t="b">
        <f>AND(TrafficData[[#This Row],[pendingAmount]]&lt;=TrafficData[[#This Row],[totalAmount]],TrafficData[[#This Row],[disposedAmount]]&lt;=TrafficData[[#This Row],[totalAmount]])</f>
        <v>1</v>
      </c>
      <c r="P2596" t="b">
        <f>AND(TrafficData[[#This Row],[pendingCourt]]&lt;=TrafficData[[#This Row],[totalCourt]],TrafficData[[#This Row],[disposedCourt]]&lt;=TrafficData[[#This Row],[totalCourt]])</f>
        <v>1</v>
      </c>
    </row>
    <row r="2597" spans="1:16">
      <c r="A2597" s="1">
        <v>44601</v>
      </c>
      <c r="B2597">
        <v>120912</v>
      </c>
      <c r="C2597">
        <v>65926</v>
      </c>
      <c r="D2597">
        <v>54986</v>
      </c>
      <c r="E2597">
        <v>75451931</v>
      </c>
      <c r="F2597">
        <v>96935403</v>
      </c>
      <c r="G2597">
        <v>172387334</v>
      </c>
      <c r="H2597">
        <v>26016</v>
      </c>
      <c r="I2597">
        <v>8112</v>
      </c>
      <c r="J2597">
        <v>34128</v>
      </c>
      <c r="K2597" t="b">
        <f>TrafficData[[#This Row],[disposedChallan]]+TrafficData[[#This Row],[pendingChallan]]=TrafficData[[#This Row],[totalChallan]]</f>
        <v>1</v>
      </c>
      <c r="L2597" t="b">
        <f>TrafficData[[#This Row],[pendingAmount]]+TrafficData[[#This Row],[disposedAmount]]=TrafficData[[#This Row],[totalAmount]]</f>
        <v>1</v>
      </c>
      <c r="M2597" t="b">
        <f>TrafficData[[#This Row],[pendingCourt]]+TrafficData[[#This Row],[disposedCourt]]=TrafficData[[#This Row],[totalCourt]]</f>
        <v>1</v>
      </c>
      <c r="N2597" t="b">
        <f>AND(TrafficData[[#This Row],[disposedChallan]]&lt;=TrafficData[[#This Row],[totalChallan]],TrafficData[[#This Row],[pendingChallan]]&lt;=TrafficData[[#This Row],[totalChallan]])</f>
        <v>1</v>
      </c>
      <c r="O2597" t="b">
        <f>AND(TrafficData[[#This Row],[pendingAmount]]&lt;=TrafficData[[#This Row],[totalAmount]],TrafficData[[#This Row],[disposedAmount]]&lt;=TrafficData[[#This Row],[totalAmount]])</f>
        <v>1</v>
      </c>
      <c r="P2597" t="b">
        <f>AND(TrafficData[[#This Row],[pendingCourt]]&lt;=TrafficData[[#This Row],[totalCourt]],TrafficData[[#This Row],[disposedCourt]]&lt;=TrafficData[[#This Row],[totalCourt]])</f>
        <v>1</v>
      </c>
    </row>
    <row r="2598" spans="1:16">
      <c r="A2598" s="1">
        <v>44602</v>
      </c>
      <c r="B2598">
        <v>117000</v>
      </c>
      <c r="C2598">
        <v>62930</v>
      </c>
      <c r="D2598">
        <v>54070</v>
      </c>
      <c r="E2598">
        <v>71265298</v>
      </c>
      <c r="F2598">
        <v>90390348</v>
      </c>
      <c r="G2598">
        <v>161655646</v>
      </c>
      <c r="H2598">
        <v>25725</v>
      </c>
      <c r="I2598">
        <v>8369</v>
      </c>
      <c r="J2598">
        <v>34094</v>
      </c>
      <c r="K2598" t="b">
        <f>TrafficData[[#This Row],[disposedChallan]]+TrafficData[[#This Row],[pendingChallan]]=TrafficData[[#This Row],[totalChallan]]</f>
        <v>1</v>
      </c>
      <c r="L2598" t="b">
        <f>TrafficData[[#This Row],[pendingAmount]]+TrafficData[[#This Row],[disposedAmount]]=TrafficData[[#This Row],[totalAmount]]</f>
        <v>1</v>
      </c>
      <c r="M2598" t="b">
        <f>TrafficData[[#This Row],[pendingCourt]]+TrafficData[[#This Row],[disposedCourt]]=TrafficData[[#This Row],[totalCourt]]</f>
        <v>1</v>
      </c>
      <c r="N2598" t="b">
        <f>AND(TrafficData[[#This Row],[disposedChallan]]&lt;=TrafficData[[#This Row],[totalChallan]],TrafficData[[#This Row],[pendingChallan]]&lt;=TrafficData[[#This Row],[totalChallan]])</f>
        <v>1</v>
      </c>
      <c r="O2598" t="b">
        <f>AND(TrafficData[[#This Row],[pendingAmount]]&lt;=TrafficData[[#This Row],[totalAmount]],TrafficData[[#This Row],[disposedAmount]]&lt;=TrafficData[[#This Row],[totalAmount]])</f>
        <v>1</v>
      </c>
      <c r="P2598" t="b">
        <f>AND(TrafficData[[#This Row],[pendingCourt]]&lt;=TrafficData[[#This Row],[totalCourt]],TrafficData[[#This Row],[disposedCourt]]&lt;=TrafficData[[#This Row],[totalCourt]])</f>
        <v>1</v>
      </c>
    </row>
    <row r="2599" spans="1:16">
      <c r="A2599" s="1">
        <v>44603</v>
      </c>
      <c r="B2599">
        <v>117237</v>
      </c>
      <c r="C2599">
        <v>64613</v>
      </c>
      <c r="D2599">
        <v>52624</v>
      </c>
      <c r="E2599">
        <v>71593274</v>
      </c>
      <c r="F2599">
        <v>82007808</v>
      </c>
      <c r="G2599">
        <v>153601082</v>
      </c>
      <c r="H2599">
        <v>27756</v>
      </c>
      <c r="I2599">
        <v>8552</v>
      </c>
      <c r="J2599">
        <v>36308</v>
      </c>
      <c r="K2599" t="b">
        <f>TrafficData[[#This Row],[disposedChallan]]+TrafficData[[#This Row],[pendingChallan]]=TrafficData[[#This Row],[totalChallan]]</f>
        <v>1</v>
      </c>
      <c r="L2599" t="b">
        <f>TrafficData[[#This Row],[pendingAmount]]+TrafficData[[#This Row],[disposedAmount]]=TrafficData[[#This Row],[totalAmount]]</f>
        <v>1</v>
      </c>
      <c r="M2599" t="b">
        <f>TrafficData[[#This Row],[pendingCourt]]+TrafficData[[#This Row],[disposedCourt]]=TrafficData[[#This Row],[totalCourt]]</f>
        <v>1</v>
      </c>
      <c r="N2599" t="b">
        <f>AND(TrafficData[[#This Row],[disposedChallan]]&lt;=TrafficData[[#This Row],[totalChallan]],TrafficData[[#This Row],[pendingChallan]]&lt;=TrafficData[[#This Row],[totalChallan]])</f>
        <v>1</v>
      </c>
      <c r="O2599" t="b">
        <f>AND(TrafficData[[#This Row],[pendingAmount]]&lt;=TrafficData[[#This Row],[totalAmount]],TrafficData[[#This Row],[disposedAmount]]&lt;=TrafficData[[#This Row],[totalAmount]])</f>
        <v>1</v>
      </c>
      <c r="P2599" t="b">
        <f>AND(TrafficData[[#This Row],[pendingCourt]]&lt;=TrafficData[[#This Row],[totalCourt]],TrafficData[[#This Row],[disposedCourt]]&lt;=TrafficData[[#This Row],[totalCourt]])</f>
        <v>1</v>
      </c>
    </row>
    <row r="2600" spans="1:16">
      <c r="A2600" s="1">
        <v>44604</v>
      </c>
      <c r="B2600">
        <v>116222</v>
      </c>
      <c r="C2600">
        <v>63159</v>
      </c>
      <c r="D2600">
        <v>53063</v>
      </c>
      <c r="E2600">
        <v>66199613</v>
      </c>
      <c r="F2600">
        <v>85091799</v>
      </c>
      <c r="G2600">
        <v>151291412</v>
      </c>
      <c r="H2600">
        <v>26450</v>
      </c>
      <c r="I2600">
        <v>8419</v>
      </c>
      <c r="J2600">
        <v>34869</v>
      </c>
      <c r="K2600" t="b">
        <f>TrafficData[[#This Row],[disposedChallan]]+TrafficData[[#This Row],[pendingChallan]]=TrafficData[[#This Row],[totalChallan]]</f>
        <v>1</v>
      </c>
      <c r="L2600" t="b">
        <f>TrafficData[[#This Row],[pendingAmount]]+TrafficData[[#This Row],[disposedAmount]]=TrafficData[[#This Row],[totalAmount]]</f>
        <v>1</v>
      </c>
      <c r="M2600" t="b">
        <f>TrafficData[[#This Row],[pendingCourt]]+TrafficData[[#This Row],[disposedCourt]]=TrafficData[[#This Row],[totalCourt]]</f>
        <v>1</v>
      </c>
      <c r="N2600" t="b">
        <f>AND(TrafficData[[#This Row],[disposedChallan]]&lt;=TrafficData[[#This Row],[totalChallan]],TrafficData[[#This Row],[pendingChallan]]&lt;=TrafficData[[#This Row],[totalChallan]])</f>
        <v>1</v>
      </c>
      <c r="O2600" t="b">
        <f>AND(TrafficData[[#This Row],[pendingAmount]]&lt;=TrafficData[[#This Row],[totalAmount]],TrafficData[[#This Row],[disposedAmount]]&lt;=TrafficData[[#This Row],[totalAmount]])</f>
        <v>1</v>
      </c>
      <c r="P2600" t="b">
        <f>AND(TrafficData[[#This Row],[pendingCourt]]&lt;=TrafficData[[#This Row],[totalCourt]],TrafficData[[#This Row],[disposedCourt]]&lt;=TrafficData[[#This Row],[totalCourt]])</f>
        <v>1</v>
      </c>
    </row>
    <row r="2601" spans="1:16">
      <c r="A2601" s="1">
        <v>44605</v>
      </c>
      <c r="B2601">
        <v>108960</v>
      </c>
      <c r="C2601">
        <v>54873</v>
      </c>
      <c r="D2601">
        <v>54087</v>
      </c>
      <c r="E2601">
        <v>59979344</v>
      </c>
      <c r="F2601">
        <v>67450435</v>
      </c>
      <c r="G2601">
        <v>127429779</v>
      </c>
      <c r="H2601">
        <v>26533</v>
      </c>
      <c r="I2601">
        <v>7804</v>
      </c>
      <c r="J2601">
        <v>34337</v>
      </c>
      <c r="K2601" t="b">
        <f>TrafficData[[#This Row],[disposedChallan]]+TrafficData[[#This Row],[pendingChallan]]=TrafficData[[#This Row],[totalChallan]]</f>
        <v>1</v>
      </c>
      <c r="L2601" t="b">
        <f>TrafficData[[#This Row],[pendingAmount]]+TrafficData[[#This Row],[disposedAmount]]=TrafficData[[#This Row],[totalAmount]]</f>
        <v>1</v>
      </c>
      <c r="M2601" t="b">
        <f>TrafficData[[#This Row],[pendingCourt]]+TrafficData[[#This Row],[disposedCourt]]=TrafficData[[#This Row],[totalCourt]]</f>
        <v>1</v>
      </c>
      <c r="N2601" t="b">
        <f>AND(TrafficData[[#This Row],[disposedChallan]]&lt;=TrafficData[[#This Row],[totalChallan]],TrafficData[[#This Row],[pendingChallan]]&lt;=TrafficData[[#This Row],[totalChallan]])</f>
        <v>1</v>
      </c>
      <c r="O2601" t="b">
        <f>AND(TrafficData[[#This Row],[pendingAmount]]&lt;=TrafficData[[#This Row],[totalAmount]],TrafficData[[#This Row],[disposedAmount]]&lt;=TrafficData[[#This Row],[totalAmount]])</f>
        <v>1</v>
      </c>
      <c r="P2601" t="b">
        <f>AND(TrafficData[[#This Row],[pendingCourt]]&lt;=TrafficData[[#This Row],[totalCourt]],TrafficData[[#This Row],[disposedCourt]]&lt;=TrafficData[[#This Row],[totalCourt]])</f>
        <v>1</v>
      </c>
    </row>
    <row r="2602" spans="1:16">
      <c r="A2602" s="1">
        <v>44606</v>
      </c>
      <c r="B2602">
        <v>115093</v>
      </c>
      <c r="C2602">
        <v>60500</v>
      </c>
      <c r="D2602">
        <v>54593</v>
      </c>
      <c r="E2602">
        <v>68218239</v>
      </c>
      <c r="F2602">
        <v>78650709</v>
      </c>
      <c r="G2602">
        <v>146868948</v>
      </c>
      <c r="H2602">
        <v>29107</v>
      </c>
      <c r="I2602">
        <v>8878</v>
      </c>
      <c r="J2602">
        <v>37985</v>
      </c>
      <c r="K2602" t="b">
        <f>TrafficData[[#This Row],[disposedChallan]]+TrafficData[[#This Row],[pendingChallan]]=TrafficData[[#This Row],[totalChallan]]</f>
        <v>1</v>
      </c>
      <c r="L2602" t="b">
        <f>TrafficData[[#This Row],[pendingAmount]]+TrafficData[[#This Row],[disposedAmount]]=TrafficData[[#This Row],[totalAmount]]</f>
        <v>1</v>
      </c>
      <c r="M2602" t="b">
        <f>TrafficData[[#This Row],[pendingCourt]]+TrafficData[[#This Row],[disposedCourt]]=TrafficData[[#This Row],[totalCourt]]</f>
        <v>1</v>
      </c>
      <c r="N2602" t="b">
        <f>AND(TrafficData[[#This Row],[disposedChallan]]&lt;=TrafficData[[#This Row],[totalChallan]],TrafficData[[#This Row],[pendingChallan]]&lt;=TrafficData[[#This Row],[totalChallan]])</f>
        <v>1</v>
      </c>
      <c r="O2602" t="b">
        <f>AND(TrafficData[[#This Row],[pendingAmount]]&lt;=TrafficData[[#This Row],[totalAmount]],TrafficData[[#This Row],[disposedAmount]]&lt;=TrafficData[[#This Row],[totalAmount]])</f>
        <v>1</v>
      </c>
      <c r="P2602" t="b">
        <f>AND(TrafficData[[#This Row],[pendingCourt]]&lt;=TrafficData[[#This Row],[totalCourt]],TrafficData[[#This Row],[disposedCourt]]&lt;=TrafficData[[#This Row],[totalCourt]])</f>
        <v>1</v>
      </c>
    </row>
    <row r="2603" spans="1:16">
      <c r="A2603" s="1">
        <v>44607</v>
      </c>
      <c r="B2603">
        <v>117788</v>
      </c>
      <c r="C2603">
        <v>63141</v>
      </c>
      <c r="D2603">
        <v>54647</v>
      </c>
      <c r="E2603">
        <v>69753525</v>
      </c>
      <c r="F2603">
        <v>88568032</v>
      </c>
      <c r="G2603">
        <v>158321557</v>
      </c>
      <c r="H2603">
        <v>27482</v>
      </c>
      <c r="I2603">
        <v>8659</v>
      </c>
      <c r="J2603">
        <v>36141</v>
      </c>
      <c r="K2603" t="b">
        <f>TrafficData[[#This Row],[disposedChallan]]+TrafficData[[#This Row],[pendingChallan]]=TrafficData[[#This Row],[totalChallan]]</f>
        <v>1</v>
      </c>
      <c r="L2603" t="b">
        <f>TrafficData[[#This Row],[pendingAmount]]+TrafficData[[#This Row],[disposedAmount]]=TrafficData[[#This Row],[totalAmount]]</f>
        <v>1</v>
      </c>
      <c r="M2603" t="b">
        <f>TrafficData[[#This Row],[pendingCourt]]+TrafficData[[#This Row],[disposedCourt]]=TrafficData[[#This Row],[totalCourt]]</f>
        <v>1</v>
      </c>
      <c r="N2603" t="b">
        <f>AND(TrafficData[[#This Row],[disposedChallan]]&lt;=TrafficData[[#This Row],[totalChallan]],TrafficData[[#This Row],[pendingChallan]]&lt;=TrafficData[[#This Row],[totalChallan]])</f>
        <v>1</v>
      </c>
      <c r="O2603" t="b">
        <f>AND(TrafficData[[#This Row],[pendingAmount]]&lt;=TrafficData[[#This Row],[totalAmount]],TrafficData[[#This Row],[disposedAmount]]&lt;=TrafficData[[#This Row],[totalAmount]])</f>
        <v>1</v>
      </c>
      <c r="P2603" t="b">
        <f>AND(TrafficData[[#This Row],[pendingCourt]]&lt;=TrafficData[[#This Row],[totalCourt]],TrafficData[[#This Row],[disposedCourt]]&lt;=TrafficData[[#This Row],[totalCourt]])</f>
        <v>1</v>
      </c>
    </row>
    <row r="2604" spans="1:16">
      <c r="A2604" s="1">
        <v>44608</v>
      </c>
      <c r="B2604">
        <v>117114</v>
      </c>
      <c r="C2604">
        <v>64806</v>
      </c>
      <c r="D2604">
        <v>52308</v>
      </c>
      <c r="E2604">
        <v>67950692</v>
      </c>
      <c r="F2604">
        <v>87551465</v>
      </c>
      <c r="G2604">
        <v>155502157</v>
      </c>
      <c r="H2604">
        <v>27560</v>
      </c>
      <c r="I2604">
        <v>8347</v>
      </c>
      <c r="J2604">
        <v>35907</v>
      </c>
      <c r="K2604" t="b">
        <f>TrafficData[[#This Row],[disposedChallan]]+TrafficData[[#This Row],[pendingChallan]]=TrafficData[[#This Row],[totalChallan]]</f>
        <v>1</v>
      </c>
      <c r="L2604" t="b">
        <f>TrafficData[[#This Row],[pendingAmount]]+TrafficData[[#This Row],[disposedAmount]]=TrafficData[[#This Row],[totalAmount]]</f>
        <v>1</v>
      </c>
      <c r="M2604" t="b">
        <f>TrafficData[[#This Row],[pendingCourt]]+TrafficData[[#This Row],[disposedCourt]]=TrafficData[[#This Row],[totalCourt]]</f>
        <v>1</v>
      </c>
      <c r="N2604" t="b">
        <f>AND(TrafficData[[#This Row],[disposedChallan]]&lt;=TrafficData[[#This Row],[totalChallan]],TrafficData[[#This Row],[pendingChallan]]&lt;=TrafficData[[#This Row],[totalChallan]])</f>
        <v>1</v>
      </c>
      <c r="O2604" t="b">
        <f>AND(TrafficData[[#This Row],[pendingAmount]]&lt;=TrafficData[[#This Row],[totalAmount]],TrafficData[[#This Row],[disposedAmount]]&lt;=TrafficData[[#This Row],[totalAmount]])</f>
        <v>1</v>
      </c>
      <c r="P2604" t="b">
        <f>AND(TrafficData[[#This Row],[pendingCourt]]&lt;=TrafficData[[#This Row],[totalCourt]],TrafficData[[#This Row],[disposedCourt]]&lt;=TrafficData[[#This Row],[totalCourt]])</f>
        <v>1</v>
      </c>
    </row>
    <row r="2605" spans="1:16">
      <c r="A2605" s="1">
        <v>44609</v>
      </c>
      <c r="B2605">
        <v>109063</v>
      </c>
      <c r="C2605">
        <v>61019</v>
      </c>
      <c r="D2605">
        <v>48044</v>
      </c>
      <c r="E2605">
        <v>71201743</v>
      </c>
      <c r="F2605">
        <v>90480727</v>
      </c>
      <c r="G2605">
        <v>161682470</v>
      </c>
      <c r="H2605">
        <v>27694</v>
      </c>
      <c r="I2605">
        <v>8799</v>
      </c>
      <c r="J2605">
        <v>36493</v>
      </c>
      <c r="K2605" t="b">
        <f>TrafficData[[#This Row],[disposedChallan]]+TrafficData[[#This Row],[pendingChallan]]=TrafficData[[#This Row],[totalChallan]]</f>
        <v>1</v>
      </c>
      <c r="L2605" t="b">
        <f>TrafficData[[#This Row],[pendingAmount]]+TrafficData[[#This Row],[disposedAmount]]=TrafficData[[#This Row],[totalAmount]]</f>
        <v>1</v>
      </c>
      <c r="M2605" t="b">
        <f>TrafficData[[#This Row],[pendingCourt]]+TrafficData[[#This Row],[disposedCourt]]=TrafficData[[#This Row],[totalCourt]]</f>
        <v>1</v>
      </c>
      <c r="N2605" t="b">
        <f>AND(TrafficData[[#This Row],[disposedChallan]]&lt;=TrafficData[[#This Row],[totalChallan]],TrafficData[[#This Row],[pendingChallan]]&lt;=TrafficData[[#This Row],[totalChallan]])</f>
        <v>1</v>
      </c>
      <c r="O2605" t="b">
        <f>AND(TrafficData[[#This Row],[pendingAmount]]&lt;=TrafficData[[#This Row],[totalAmount]],TrafficData[[#This Row],[disposedAmount]]&lt;=TrafficData[[#This Row],[totalAmount]])</f>
        <v>1</v>
      </c>
      <c r="P2605" t="b">
        <f>AND(TrafficData[[#This Row],[pendingCourt]]&lt;=TrafficData[[#This Row],[totalCourt]],TrafficData[[#This Row],[disposedCourt]]&lt;=TrafficData[[#This Row],[totalCourt]])</f>
        <v>1</v>
      </c>
    </row>
    <row r="2606" spans="1:16">
      <c r="A2606" s="1">
        <v>44610</v>
      </c>
      <c r="B2606">
        <v>88107</v>
      </c>
      <c r="C2606">
        <v>51763</v>
      </c>
      <c r="D2606">
        <v>36344</v>
      </c>
      <c r="E2606">
        <v>63364955</v>
      </c>
      <c r="F2606">
        <v>86621401</v>
      </c>
      <c r="G2606">
        <v>149986356</v>
      </c>
      <c r="H2606">
        <v>26538</v>
      </c>
      <c r="I2606">
        <v>8342</v>
      </c>
      <c r="J2606">
        <v>34880</v>
      </c>
      <c r="K2606" t="b">
        <f>TrafficData[[#This Row],[disposedChallan]]+TrafficData[[#This Row],[pendingChallan]]=TrafficData[[#This Row],[totalChallan]]</f>
        <v>1</v>
      </c>
      <c r="L2606" t="b">
        <f>TrafficData[[#This Row],[pendingAmount]]+TrafficData[[#This Row],[disposedAmount]]=TrafficData[[#This Row],[totalAmount]]</f>
        <v>1</v>
      </c>
      <c r="M2606" t="b">
        <f>TrafficData[[#This Row],[pendingCourt]]+TrafficData[[#This Row],[disposedCourt]]=TrafficData[[#This Row],[totalCourt]]</f>
        <v>1</v>
      </c>
      <c r="N2606" t="b">
        <f>AND(TrafficData[[#This Row],[disposedChallan]]&lt;=TrafficData[[#This Row],[totalChallan]],TrafficData[[#This Row],[pendingChallan]]&lt;=TrafficData[[#This Row],[totalChallan]])</f>
        <v>1</v>
      </c>
      <c r="O2606" t="b">
        <f>AND(TrafficData[[#This Row],[pendingAmount]]&lt;=TrafficData[[#This Row],[totalAmount]],TrafficData[[#This Row],[disposedAmount]]&lt;=TrafficData[[#This Row],[totalAmount]])</f>
        <v>1</v>
      </c>
      <c r="P2606" t="b">
        <f>AND(TrafficData[[#This Row],[pendingCourt]]&lt;=TrafficData[[#This Row],[totalCourt]],TrafficData[[#This Row],[disposedCourt]]&lt;=TrafficData[[#This Row],[totalCourt]])</f>
        <v>1</v>
      </c>
    </row>
    <row r="2607" spans="1:16">
      <c r="A2607" s="1">
        <v>44611</v>
      </c>
      <c r="B2607">
        <v>89528</v>
      </c>
      <c r="C2607">
        <v>51466</v>
      </c>
      <c r="D2607">
        <v>38062</v>
      </c>
      <c r="E2607">
        <v>69986376</v>
      </c>
      <c r="F2607">
        <v>85069777</v>
      </c>
      <c r="G2607">
        <v>155056153</v>
      </c>
      <c r="H2607">
        <v>28631</v>
      </c>
      <c r="I2607">
        <v>9295</v>
      </c>
      <c r="J2607">
        <v>37926</v>
      </c>
      <c r="K2607" t="b">
        <f>TrafficData[[#This Row],[disposedChallan]]+TrafficData[[#This Row],[pendingChallan]]=TrafficData[[#This Row],[totalChallan]]</f>
        <v>1</v>
      </c>
      <c r="L2607" t="b">
        <f>TrafficData[[#This Row],[pendingAmount]]+TrafficData[[#This Row],[disposedAmount]]=TrafficData[[#This Row],[totalAmount]]</f>
        <v>1</v>
      </c>
      <c r="M2607" t="b">
        <f>TrafficData[[#This Row],[pendingCourt]]+TrafficData[[#This Row],[disposedCourt]]=TrafficData[[#This Row],[totalCourt]]</f>
        <v>1</v>
      </c>
      <c r="N2607" t="b">
        <f>AND(TrafficData[[#This Row],[disposedChallan]]&lt;=TrafficData[[#This Row],[totalChallan]],TrafficData[[#This Row],[pendingChallan]]&lt;=TrafficData[[#This Row],[totalChallan]])</f>
        <v>1</v>
      </c>
      <c r="O2607" t="b">
        <f>AND(TrafficData[[#This Row],[pendingAmount]]&lt;=TrafficData[[#This Row],[totalAmount]],TrafficData[[#This Row],[disposedAmount]]&lt;=TrafficData[[#This Row],[totalAmount]])</f>
        <v>1</v>
      </c>
      <c r="P2607" t="b">
        <f>AND(TrafficData[[#This Row],[pendingCourt]]&lt;=TrafficData[[#This Row],[totalCourt]],TrafficData[[#This Row],[disposedCourt]]&lt;=TrafficData[[#This Row],[totalCourt]])</f>
        <v>1</v>
      </c>
    </row>
    <row r="2608" spans="1:16">
      <c r="A2608" s="1">
        <v>44612</v>
      </c>
      <c r="B2608">
        <v>99206</v>
      </c>
      <c r="C2608">
        <v>51463</v>
      </c>
      <c r="D2608">
        <v>47743</v>
      </c>
      <c r="E2608">
        <v>62231418</v>
      </c>
      <c r="F2608">
        <v>70613979</v>
      </c>
      <c r="G2608">
        <v>132845397</v>
      </c>
      <c r="H2608">
        <v>21633</v>
      </c>
      <c r="I2608">
        <v>7172</v>
      </c>
      <c r="J2608">
        <v>28805</v>
      </c>
      <c r="K2608" t="b">
        <f>TrafficData[[#This Row],[disposedChallan]]+TrafficData[[#This Row],[pendingChallan]]=TrafficData[[#This Row],[totalChallan]]</f>
        <v>1</v>
      </c>
      <c r="L2608" t="b">
        <f>TrafficData[[#This Row],[pendingAmount]]+TrafficData[[#This Row],[disposedAmount]]=TrafficData[[#This Row],[totalAmount]]</f>
        <v>1</v>
      </c>
      <c r="M2608" t="b">
        <f>TrafficData[[#This Row],[pendingCourt]]+TrafficData[[#This Row],[disposedCourt]]=TrafficData[[#This Row],[totalCourt]]</f>
        <v>1</v>
      </c>
      <c r="N2608" t="b">
        <f>AND(TrafficData[[#This Row],[disposedChallan]]&lt;=TrafficData[[#This Row],[totalChallan]],TrafficData[[#This Row],[pendingChallan]]&lt;=TrafficData[[#This Row],[totalChallan]])</f>
        <v>1</v>
      </c>
      <c r="O2608" t="b">
        <f>AND(TrafficData[[#This Row],[pendingAmount]]&lt;=TrafficData[[#This Row],[totalAmount]],TrafficData[[#This Row],[disposedAmount]]&lt;=TrafficData[[#This Row],[totalAmount]])</f>
        <v>1</v>
      </c>
      <c r="P2608" t="b">
        <f>AND(TrafficData[[#This Row],[pendingCourt]]&lt;=TrafficData[[#This Row],[totalCourt]],TrafficData[[#This Row],[disposedCourt]]&lt;=TrafficData[[#This Row],[totalCourt]])</f>
        <v>1</v>
      </c>
    </row>
    <row r="2609" spans="1:16">
      <c r="A2609" s="1">
        <v>44613</v>
      </c>
      <c r="B2609">
        <v>118560</v>
      </c>
      <c r="C2609">
        <v>63753</v>
      </c>
      <c r="D2609">
        <v>54807</v>
      </c>
      <c r="E2609">
        <v>77029870</v>
      </c>
      <c r="F2609">
        <v>86869302</v>
      </c>
      <c r="G2609">
        <v>163899172</v>
      </c>
      <c r="H2609">
        <v>29595</v>
      </c>
      <c r="I2609">
        <v>9114</v>
      </c>
      <c r="J2609">
        <v>38709</v>
      </c>
      <c r="K2609" t="b">
        <f>TrafficData[[#This Row],[disposedChallan]]+TrafficData[[#This Row],[pendingChallan]]=TrafficData[[#This Row],[totalChallan]]</f>
        <v>1</v>
      </c>
      <c r="L2609" t="b">
        <f>TrafficData[[#This Row],[pendingAmount]]+TrafficData[[#This Row],[disposedAmount]]=TrafficData[[#This Row],[totalAmount]]</f>
        <v>1</v>
      </c>
      <c r="M2609" t="b">
        <f>TrafficData[[#This Row],[pendingCourt]]+TrafficData[[#This Row],[disposedCourt]]=TrafficData[[#This Row],[totalCourt]]</f>
        <v>1</v>
      </c>
      <c r="N2609" t="b">
        <f>AND(TrafficData[[#This Row],[disposedChallan]]&lt;=TrafficData[[#This Row],[totalChallan]],TrafficData[[#This Row],[pendingChallan]]&lt;=TrafficData[[#This Row],[totalChallan]])</f>
        <v>1</v>
      </c>
      <c r="O2609" t="b">
        <f>AND(TrafficData[[#This Row],[pendingAmount]]&lt;=TrafficData[[#This Row],[totalAmount]],TrafficData[[#This Row],[disposedAmount]]&lt;=TrafficData[[#This Row],[totalAmount]])</f>
        <v>1</v>
      </c>
      <c r="P2609" t="b">
        <f>AND(TrafficData[[#This Row],[pendingCourt]]&lt;=TrafficData[[#This Row],[totalCourt]],TrafficData[[#This Row],[disposedCourt]]&lt;=TrafficData[[#This Row],[totalCourt]])</f>
        <v>1</v>
      </c>
    </row>
    <row r="2610" spans="1:16">
      <c r="A2610" s="1">
        <v>44614</v>
      </c>
      <c r="B2610">
        <v>109650</v>
      </c>
      <c r="C2610">
        <v>59372</v>
      </c>
      <c r="D2610">
        <v>50278</v>
      </c>
      <c r="E2610">
        <v>79963179</v>
      </c>
      <c r="F2610">
        <v>90280410</v>
      </c>
      <c r="G2610">
        <v>170243589</v>
      </c>
      <c r="H2610">
        <v>28634</v>
      </c>
      <c r="I2610">
        <v>8663</v>
      </c>
      <c r="J2610">
        <v>37297</v>
      </c>
      <c r="K2610" t="b">
        <f>TrafficData[[#This Row],[disposedChallan]]+TrafficData[[#This Row],[pendingChallan]]=TrafficData[[#This Row],[totalChallan]]</f>
        <v>1</v>
      </c>
      <c r="L2610" t="b">
        <f>TrafficData[[#This Row],[pendingAmount]]+TrafficData[[#This Row],[disposedAmount]]=TrafficData[[#This Row],[totalAmount]]</f>
        <v>1</v>
      </c>
      <c r="M2610" t="b">
        <f>TrafficData[[#This Row],[pendingCourt]]+TrafficData[[#This Row],[disposedCourt]]=TrafficData[[#This Row],[totalCourt]]</f>
        <v>1</v>
      </c>
      <c r="N2610" t="b">
        <f>AND(TrafficData[[#This Row],[disposedChallan]]&lt;=TrafficData[[#This Row],[totalChallan]],TrafficData[[#This Row],[pendingChallan]]&lt;=TrafficData[[#This Row],[totalChallan]])</f>
        <v>1</v>
      </c>
      <c r="O2610" t="b">
        <f>AND(TrafficData[[#This Row],[pendingAmount]]&lt;=TrafficData[[#This Row],[totalAmount]],TrafficData[[#This Row],[disposedAmount]]&lt;=TrafficData[[#This Row],[totalAmount]])</f>
        <v>1</v>
      </c>
      <c r="P2610" t="b">
        <f>AND(TrafficData[[#This Row],[pendingCourt]]&lt;=TrafficData[[#This Row],[totalCourt]],TrafficData[[#This Row],[disposedCourt]]&lt;=TrafficData[[#This Row],[totalCourt]])</f>
        <v>1</v>
      </c>
    </row>
    <row r="2611" spans="1:16">
      <c r="A2611" s="1">
        <v>44615</v>
      </c>
      <c r="B2611">
        <v>133826</v>
      </c>
      <c r="C2611">
        <v>69282</v>
      </c>
      <c r="D2611">
        <v>64544</v>
      </c>
      <c r="E2611">
        <v>88704509</v>
      </c>
      <c r="F2611">
        <v>96464447</v>
      </c>
      <c r="G2611">
        <v>185168956</v>
      </c>
      <c r="H2611">
        <v>30324</v>
      </c>
      <c r="I2611">
        <v>8399</v>
      </c>
      <c r="J2611">
        <v>38723</v>
      </c>
      <c r="K2611" t="b">
        <f>TrafficData[[#This Row],[disposedChallan]]+TrafficData[[#This Row],[pendingChallan]]=TrafficData[[#This Row],[totalChallan]]</f>
        <v>1</v>
      </c>
      <c r="L2611" t="b">
        <f>TrafficData[[#This Row],[pendingAmount]]+TrafficData[[#This Row],[disposedAmount]]=TrafficData[[#This Row],[totalAmount]]</f>
        <v>1</v>
      </c>
      <c r="M2611" t="b">
        <f>TrafficData[[#This Row],[pendingCourt]]+TrafficData[[#This Row],[disposedCourt]]=TrafficData[[#This Row],[totalCourt]]</f>
        <v>1</v>
      </c>
      <c r="N2611" t="b">
        <f>AND(TrafficData[[#This Row],[disposedChallan]]&lt;=TrafficData[[#This Row],[totalChallan]],TrafficData[[#This Row],[pendingChallan]]&lt;=TrafficData[[#This Row],[totalChallan]])</f>
        <v>1</v>
      </c>
      <c r="O2611" t="b">
        <f>AND(TrafficData[[#This Row],[pendingAmount]]&lt;=TrafficData[[#This Row],[totalAmount]],TrafficData[[#This Row],[disposedAmount]]&lt;=TrafficData[[#This Row],[totalAmount]])</f>
        <v>1</v>
      </c>
      <c r="P2611" t="b">
        <f>AND(TrafficData[[#This Row],[pendingCourt]]&lt;=TrafficData[[#This Row],[totalCourt]],TrafficData[[#This Row],[disposedCourt]]&lt;=TrafficData[[#This Row],[totalCourt]])</f>
        <v>1</v>
      </c>
    </row>
    <row r="2612" spans="1:16">
      <c r="A2612" s="1">
        <v>44616</v>
      </c>
      <c r="B2612">
        <v>133089</v>
      </c>
      <c r="C2612">
        <v>68638</v>
      </c>
      <c r="D2612">
        <v>64451</v>
      </c>
      <c r="E2612">
        <v>86862118</v>
      </c>
      <c r="F2612">
        <v>89540960</v>
      </c>
      <c r="G2612">
        <v>176403078</v>
      </c>
      <c r="H2612">
        <v>30272</v>
      </c>
      <c r="I2612">
        <v>9272</v>
      </c>
      <c r="J2612">
        <v>39544</v>
      </c>
      <c r="K2612" t="b">
        <f>TrafficData[[#This Row],[disposedChallan]]+TrafficData[[#This Row],[pendingChallan]]=TrafficData[[#This Row],[totalChallan]]</f>
        <v>1</v>
      </c>
      <c r="L2612" t="b">
        <f>TrafficData[[#This Row],[pendingAmount]]+TrafficData[[#This Row],[disposedAmount]]=TrafficData[[#This Row],[totalAmount]]</f>
        <v>1</v>
      </c>
      <c r="M2612" t="b">
        <f>TrafficData[[#This Row],[pendingCourt]]+TrafficData[[#This Row],[disposedCourt]]=TrafficData[[#This Row],[totalCourt]]</f>
        <v>1</v>
      </c>
      <c r="N2612" t="b">
        <f>AND(TrafficData[[#This Row],[disposedChallan]]&lt;=TrafficData[[#This Row],[totalChallan]],TrafficData[[#This Row],[pendingChallan]]&lt;=TrafficData[[#This Row],[totalChallan]])</f>
        <v>1</v>
      </c>
      <c r="O2612" t="b">
        <f>AND(TrafficData[[#This Row],[pendingAmount]]&lt;=TrafficData[[#This Row],[totalAmount]],TrafficData[[#This Row],[disposedAmount]]&lt;=TrafficData[[#This Row],[totalAmount]])</f>
        <v>1</v>
      </c>
      <c r="P2612" t="b">
        <f>AND(TrafficData[[#This Row],[pendingCourt]]&lt;=TrafficData[[#This Row],[totalCourt]],TrafficData[[#This Row],[disposedCourt]]&lt;=TrafficData[[#This Row],[totalCourt]])</f>
        <v>1</v>
      </c>
    </row>
    <row r="2613" spans="1:16">
      <c r="A2613" s="1">
        <v>44617</v>
      </c>
      <c r="B2613">
        <v>134224</v>
      </c>
      <c r="C2613">
        <v>69216</v>
      </c>
      <c r="D2613">
        <v>65008</v>
      </c>
      <c r="E2613">
        <v>89052060</v>
      </c>
      <c r="F2613">
        <v>94534647</v>
      </c>
      <c r="G2613">
        <v>183586707</v>
      </c>
      <c r="H2613">
        <v>30342</v>
      </c>
      <c r="I2613">
        <v>9315</v>
      </c>
      <c r="J2613">
        <v>39657</v>
      </c>
      <c r="K2613" t="b">
        <f>TrafficData[[#This Row],[disposedChallan]]+TrafficData[[#This Row],[pendingChallan]]=TrafficData[[#This Row],[totalChallan]]</f>
        <v>1</v>
      </c>
      <c r="L2613" t="b">
        <f>TrafficData[[#This Row],[pendingAmount]]+TrafficData[[#This Row],[disposedAmount]]=TrafficData[[#This Row],[totalAmount]]</f>
        <v>1</v>
      </c>
      <c r="M2613" t="b">
        <f>TrafficData[[#This Row],[pendingCourt]]+TrafficData[[#This Row],[disposedCourt]]=TrafficData[[#This Row],[totalCourt]]</f>
        <v>1</v>
      </c>
      <c r="N2613" t="b">
        <f>AND(TrafficData[[#This Row],[disposedChallan]]&lt;=TrafficData[[#This Row],[totalChallan]],TrafficData[[#This Row],[pendingChallan]]&lt;=TrafficData[[#This Row],[totalChallan]])</f>
        <v>1</v>
      </c>
      <c r="O2613" t="b">
        <f>AND(TrafficData[[#This Row],[pendingAmount]]&lt;=TrafficData[[#This Row],[totalAmount]],TrafficData[[#This Row],[disposedAmount]]&lt;=TrafficData[[#This Row],[totalAmount]])</f>
        <v>1</v>
      </c>
      <c r="P2613" t="b">
        <f>AND(TrafficData[[#This Row],[pendingCourt]]&lt;=TrafficData[[#This Row],[totalCourt]],TrafficData[[#This Row],[disposedCourt]]&lt;=TrafficData[[#This Row],[totalCourt]])</f>
        <v>1</v>
      </c>
    </row>
    <row r="2614" spans="1:16">
      <c r="A2614" s="1">
        <v>44618</v>
      </c>
      <c r="B2614">
        <v>132384</v>
      </c>
      <c r="C2614">
        <v>68998</v>
      </c>
      <c r="D2614">
        <v>63386</v>
      </c>
      <c r="E2614">
        <v>79691922</v>
      </c>
      <c r="F2614">
        <v>82922322</v>
      </c>
      <c r="G2614">
        <v>162614244</v>
      </c>
      <c r="H2614">
        <v>28789</v>
      </c>
      <c r="I2614">
        <v>9001</v>
      </c>
      <c r="J2614">
        <v>37790</v>
      </c>
      <c r="K2614" t="b">
        <f>TrafficData[[#This Row],[disposedChallan]]+TrafficData[[#This Row],[pendingChallan]]=TrafficData[[#This Row],[totalChallan]]</f>
        <v>1</v>
      </c>
      <c r="L2614" t="b">
        <f>TrafficData[[#This Row],[pendingAmount]]+TrafficData[[#This Row],[disposedAmount]]=TrafficData[[#This Row],[totalAmount]]</f>
        <v>1</v>
      </c>
      <c r="M2614" t="b">
        <f>TrafficData[[#This Row],[pendingCourt]]+TrafficData[[#This Row],[disposedCourt]]=TrafficData[[#This Row],[totalCourt]]</f>
        <v>1</v>
      </c>
      <c r="N2614" t="b">
        <f>AND(TrafficData[[#This Row],[disposedChallan]]&lt;=TrafficData[[#This Row],[totalChallan]],TrafficData[[#This Row],[pendingChallan]]&lt;=TrafficData[[#This Row],[totalChallan]])</f>
        <v>1</v>
      </c>
      <c r="O2614" t="b">
        <f>AND(TrafficData[[#This Row],[pendingAmount]]&lt;=TrafficData[[#This Row],[totalAmount]],TrafficData[[#This Row],[disposedAmount]]&lt;=TrafficData[[#This Row],[totalAmount]])</f>
        <v>1</v>
      </c>
      <c r="P2614" t="b">
        <f>AND(TrafficData[[#This Row],[pendingCourt]]&lt;=TrafficData[[#This Row],[totalCourt]],TrafficData[[#This Row],[disposedCourt]]&lt;=TrafficData[[#This Row],[totalCourt]])</f>
        <v>1</v>
      </c>
    </row>
    <row r="2615" spans="1:16">
      <c r="A2615" s="1">
        <v>44619</v>
      </c>
      <c r="B2615">
        <v>110895</v>
      </c>
      <c r="C2615">
        <v>55408</v>
      </c>
      <c r="D2615">
        <v>55487</v>
      </c>
      <c r="E2615">
        <v>58803320</v>
      </c>
      <c r="F2615">
        <v>60414445</v>
      </c>
      <c r="G2615">
        <v>119217765</v>
      </c>
      <c r="H2615">
        <v>22866</v>
      </c>
      <c r="I2615">
        <v>7204</v>
      </c>
      <c r="J2615">
        <v>30070</v>
      </c>
      <c r="K2615" t="b">
        <f>TrafficData[[#This Row],[disposedChallan]]+TrafficData[[#This Row],[pendingChallan]]=TrafficData[[#This Row],[totalChallan]]</f>
        <v>1</v>
      </c>
      <c r="L2615" t="b">
        <f>TrafficData[[#This Row],[pendingAmount]]+TrafficData[[#This Row],[disposedAmount]]=TrafficData[[#This Row],[totalAmount]]</f>
        <v>1</v>
      </c>
      <c r="M2615" t="b">
        <f>TrafficData[[#This Row],[pendingCourt]]+TrafficData[[#This Row],[disposedCourt]]=TrafficData[[#This Row],[totalCourt]]</f>
        <v>1</v>
      </c>
      <c r="N2615" t="b">
        <f>AND(TrafficData[[#This Row],[disposedChallan]]&lt;=TrafficData[[#This Row],[totalChallan]],TrafficData[[#This Row],[pendingChallan]]&lt;=TrafficData[[#This Row],[totalChallan]])</f>
        <v>1</v>
      </c>
      <c r="O2615" t="b">
        <f>AND(TrafficData[[#This Row],[pendingAmount]]&lt;=TrafficData[[#This Row],[totalAmount]],TrafficData[[#This Row],[disposedAmount]]&lt;=TrafficData[[#This Row],[totalAmount]])</f>
        <v>1</v>
      </c>
      <c r="P2615" t="b">
        <f>AND(TrafficData[[#This Row],[pendingCourt]]&lt;=TrafficData[[#This Row],[totalCourt]],TrafficData[[#This Row],[disposedCourt]]&lt;=TrafficData[[#This Row],[totalCourt]])</f>
        <v>1</v>
      </c>
    </row>
    <row r="2616" spans="1:16">
      <c r="A2616" s="1">
        <v>44620</v>
      </c>
      <c r="B2616">
        <v>127208</v>
      </c>
      <c r="C2616">
        <v>65899</v>
      </c>
      <c r="D2616">
        <v>61309</v>
      </c>
      <c r="E2616">
        <v>74818218</v>
      </c>
      <c r="F2616">
        <v>79310384</v>
      </c>
      <c r="G2616">
        <v>154128602</v>
      </c>
      <c r="H2616">
        <v>28595</v>
      </c>
      <c r="I2616">
        <v>8990</v>
      </c>
      <c r="J2616">
        <v>37585</v>
      </c>
      <c r="K2616" t="b">
        <f>TrafficData[[#This Row],[disposedChallan]]+TrafficData[[#This Row],[pendingChallan]]=TrafficData[[#This Row],[totalChallan]]</f>
        <v>1</v>
      </c>
      <c r="L2616" t="b">
        <f>TrafficData[[#This Row],[pendingAmount]]+TrafficData[[#This Row],[disposedAmount]]=TrafficData[[#This Row],[totalAmount]]</f>
        <v>1</v>
      </c>
      <c r="M2616" t="b">
        <f>TrafficData[[#This Row],[pendingCourt]]+TrafficData[[#This Row],[disposedCourt]]=TrafficData[[#This Row],[totalCourt]]</f>
        <v>1</v>
      </c>
      <c r="N2616" t="b">
        <f>AND(TrafficData[[#This Row],[disposedChallan]]&lt;=TrafficData[[#This Row],[totalChallan]],TrafficData[[#This Row],[pendingChallan]]&lt;=TrafficData[[#This Row],[totalChallan]])</f>
        <v>1</v>
      </c>
      <c r="O2616" t="b">
        <f>AND(TrafficData[[#This Row],[pendingAmount]]&lt;=TrafficData[[#This Row],[totalAmount]],TrafficData[[#This Row],[disposedAmount]]&lt;=TrafficData[[#This Row],[totalAmount]])</f>
        <v>1</v>
      </c>
      <c r="P2616" t="b">
        <f>AND(TrafficData[[#This Row],[pendingCourt]]&lt;=TrafficData[[#This Row],[totalCourt]],TrafficData[[#This Row],[disposedCourt]]&lt;=TrafficData[[#This Row],[totalCourt]])</f>
        <v>1</v>
      </c>
    </row>
    <row r="2617" spans="1:16">
      <c r="A2617" s="1">
        <v>44621</v>
      </c>
      <c r="B2617">
        <v>120768</v>
      </c>
      <c r="C2617">
        <v>67590</v>
      </c>
      <c r="D2617">
        <v>53178</v>
      </c>
      <c r="E2617">
        <v>68643683</v>
      </c>
      <c r="F2617">
        <v>98390274</v>
      </c>
      <c r="G2617">
        <v>167033957</v>
      </c>
      <c r="H2617">
        <v>25794</v>
      </c>
      <c r="I2617">
        <v>7924</v>
      </c>
      <c r="J2617">
        <v>33718</v>
      </c>
      <c r="K2617" t="b">
        <f>TrafficData[[#This Row],[disposedChallan]]+TrafficData[[#This Row],[pendingChallan]]=TrafficData[[#This Row],[totalChallan]]</f>
        <v>1</v>
      </c>
      <c r="L2617" t="b">
        <f>TrafficData[[#This Row],[pendingAmount]]+TrafficData[[#This Row],[disposedAmount]]=TrafficData[[#This Row],[totalAmount]]</f>
        <v>1</v>
      </c>
      <c r="M2617" t="b">
        <f>TrafficData[[#This Row],[pendingCourt]]+TrafficData[[#This Row],[disposedCourt]]=TrafficData[[#This Row],[totalCourt]]</f>
        <v>1</v>
      </c>
      <c r="N2617" t="b">
        <f>AND(TrafficData[[#This Row],[disposedChallan]]&lt;=TrafficData[[#This Row],[totalChallan]],TrafficData[[#This Row],[pendingChallan]]&lt;=TrafficData[[#This Row],[totalChallan]])</f>
        <v>1</v>
      </c>
      <c r="O2617" t="b">
        <f>AND(TrafficData[[#This Row],[pendingAmount]]&lt;=TrafficData[[#This Row],[totalAmount]],TrafficData[[#This Row],[disposedAmount]]&lt;=TrafficData[[#This Row],[totalAmount]])</f>
        <v>1</v>
      </c>
      <c r="P2617" t="b">
        <f>AND(TrafficData[[#This Row],[pendingCourt]]&lt;=TrafficData[[#This Row],[totalCourt]],TrafficData[[#This Row],[disposedCourt]]&lt;=TrafficData[[#This Row],[totalCourt]])</f>
        <v>1</v>
      </c>
    </row>
    <row r="2618" spans="1:16">
      <c r="A2618" s="1">
        <v>44622</v>
      </c>
      <c r="B2618">
        <v>135040</v>
      </c>
      <c r="C2618">
        <v>75422</v>
      </c>
      <c r="D2618">
        <v>59618</v>
      </c>
      <c r="E2618">
        <v>85547202</v>
      </c>
      <c r="F2618">
        <v>121432338</v>
      </c>
      <c r="G2618">
        <v>206979540</v>
      </c>
      <c r="H2618">
        <v>31382</v>
      </c>
      <c r="I2618">
        <v>9658</v>
      </c>
      <c r="J2618">
        <v>41040</v>
      </c>
      <c r="K2618" t="b">
        <f>TrafficData[[#This Row],[disposedChallan]]+TrafficData[[#This Row],[pendingChallan]]=TrafficData[[#This Row],[totalChallan]]</f>
        <v>1</v>
      </c>
      <c r="L2618" t="b">
        <f>TrafficData[[#This Row],[pendingAmount]]+TrafficData[[#This Row],[disposedAmount]]=TrafficData[[#This Row],[totalAmount]]</f>
        <v>1</v>
      </c>
      <c r="M2618" t="b">
        <f>TrafficData[[#This Row],[pendingCourt]]+TrafficData[[#This Row],[disposedCourt]]=TrafficData[[#This Row],[totalCourt]]</f>
        <v>1</v>
      </c>
      <c r="N2618" t="b">
        <f>AND(TrafficData[[#This Row],[disposedChallan]]&lt;=TrafficData[[#This Row],[totalChallan]],TrafficData[[#This Row],[pendingChallan]]&lt;=TrafficData[[#This Row],[totalChallan]])</f>
        <v>1</v>
      </c>
      <c r="O2618" t="b">
        <f>AND(TrafficData[[#This Row],[pendingAmount]]&lt;=TrafficData[[#This Row],[totalAmount]],TrafficData[[#This Row],[disposedAmount]]&lt;=TrafficData[[#This Row],[totalAmount]])</f>
        <v>1</v>
      </c>
      <c r="P2618" t="b">
        <f>AND(TrafficData[[#This Row],[pendingCourt]]&lt;=TrafficData[[#This Row],[totalCourt]],TrafficData[[#This Row],[disposedCourt]]&lt;=TrafficData[[#This Row],[totalCourt]])</f>
        <v>1</v>
      </c>
    </row>
    <row r="2619" spans="1:16">
      <c r="A2619" s="1">
        <v>44623</v>
      </c>
      <c r="B2619">
        <v>146702</v>
      </c>
      <c r="C2619">
        <v>79707</v>
      </c>
      <c r="D2619">
        <v>66995</v>
      </c>
      <c r="E2619">
        <v>88768660</v>
      </c>
      <c r="F2619">
        <v>131542653</v>
      </c>
      <c r="G2619">
        <v>220311313</v>
      </c>
      <c r="H2619">
        <v>30273</v>
      </c>
      <c r="I2619">
        <v>9621</v>
      </c>
      <c r="J2619">
        <v>39894</v>
      </c>
      <c r="K2619" t="b">
        <f>TrafficData[[#This Row],[disposedChallan]]+TrafficData[[#This Row],[pendingChallan]]=TrafficData[[#This Row],[totalChallan]]</f>
        <v>1</v>
      </c>
      <c r="L2619" t="b">
        <f>TrafficData[[#This Row],[pendingAmount]]+TrafficData[[#This Row],[disposedAmount]]=TrafficData[[#This Row],[totalAmount]]</f>
        <v>1</v>
      </c>
      <c r="M2619" t="b">
        <f>TrafficData[[#This Row],[pendingCourt]]+TrafficData[[#This Row],[disposedCourt]]=TrafficData[[#This Row],[totalCourt]]</f>
        <v>1</v>
      </c>
      <c r="N2619" t="b">
        <f>AND(TrafficData[[#This Row],[disposedChallan]]&lt;=TrafficData[[#This Row],[totalChallan]],TrafficData[[#This Row],[pendingChallan]]&lt;=TrafficData[[#This Row],[totalChallan]])</f>
        <v>1</v>
      </c>
      <c r="O2619" t="b">
        <f>AND(TrafficData[[#This Row],[pendingAmount]]&lt;=TrafficData[[#This Row],[totalAmount]],TrafficData[[#This Row],[disposedAmount]]&lt;=TrafficData[[#This Row],[totalAmount]])</f>
        <v>1</v>
      </c>
      <c r="P2619" t="b">
        <f>AND(TrafficData[[#This Row],[pendingCourt]]&lt;=TrafficData[[#This Row],[totalCourt]],TrafficData[[#This Row],[disposedCourt]]&lt;=TrafficData[[#This Row],[totalCourt]])</f>
        <v>1</v>
      </c>
    </row>
    <row r="2620" spans="1:16">
      <c r="A2620" s="1">
        <v>44624</v>
      </c>
      <c r="B2620">
        <v>133157</v>
      </c>
      <c r="C2620">
        <v>73925</v>
      </c>
      <c r="D2620">
        <v>59232</v>
      </c>
      <c r="E2620">
        <v>80540780</v>
      </c>
      <c r="F2620">
        <v>123075529</v>
      </c>
      <c r="G2620">
        <v>203616309</v>
      </c>
      <c r="H2620">
        <v>28797</v>
      </c>
      <c r="I2620">
        <v>9314</v>
      </c>
      <c r="J2620">
        <v>38111</v>
      </c>
      <c r="K2620" t="b">
        <f>TrafficData[[#This Row],[disposedChallan]]+TrafficData[[#This Row],[pendingChallan]]=TrafficData[[#This Row],[totalChallan]]</f>
        <v>1</v>
      </c>
      <c r="L2620" t="b">
        <f>TrafficData[[#This Row],[pendingAmount]]+TrafficData[[#This Row],[disposedAmount]]=TrafficData[[#This Row],[totalAmount]]</f>
        <v>1</v>
      </c>
      <c r="M2620" t="b">
        <f>TrafficData[[#This Row],[pendingCourt]]+TrafficData[[#This Row],[disposedCourt]]=TrafficData[[#This Row],[totalCourt]]</f>
        <v>1</v>
      </c>
      <c r="N2620" t="b">
        <f>AND(TrafficData[[#This Row],[disposedChallan]]&lt;=TrafficData[[#This Row],[totalChallan]],TrafficData[[#This Row],[pendingChallan]]&lt;=TrafficData[[#This Row],[totalChallan]])</f>
        <v>1</v>
      </c>
      <c r="O2620" t="b">
        <f>AND(TrafficData[[#This Row],[pendingAmount]]&lt;=TrafficData[[#This Row],[totalAmount]],TrafficData[[#This Row],[disposedAmount]]&lt;=TrafficData[[#This Row],[totalAmount]])</f>
        <v>1</v>
      </c>
      <c r="P2620" t="b">
        <f>AND(TrafficData[[#This Row],[pendingCourt]]&lt;=TrafficData[[#This Row],[totalCourt]],TrafficData[[#This Row],[disposedCourt]]&lt;=TrafficData[[#This Row],[totalCourt]])</f>
        <v>1</v>
      </c>
    </row>
    <row r="2621" spans="1:16">
      <c r="A2621" s="1">
        <v>44625</v>
      </c>
      <c r="B2621">
        <v>145669</v>
      </c>
      <c r="C2621">
        <v>80325</v>
      </c>
      <c r="D2621">
        <v>65344</v>
      </c>
      <c r="E2621">
        <v>79924799</v>
      </c>
      <c r="F2621">
        <v>122202193</v>
      </c>
      <c r="G2621">
        <v>202126992</v>
      </c>
      <c r="H2621">
        <v>31121</v>
      </c>
      <c r="I2621">
        <v>9984</v>
      </c>
      <c r="J2621">
        <v>41105</v>
      </c>
      <c r="K2621" t="b">
        <f>TrafficData[[#This Row],[disposedChallan]]+TrafficData[[#This Row],[pendingChallan]]=TrafficData[[#This Row],[totalChallan]]</f>
        <v>1</v>
      </c>
      <c r="L2621" t="b">
        <f>TrafficData[[#This Row],[pendingAmount]]+TrafficData[[#This Row],[disposedAmount]]=TrafficData[[#This Row],[totalAmount]]</f>
        <v>1</v>
      </c>
      <c r="M2621" t="b">
        <f>TrafficData[[#This Row],[pendingCourt]]+TrafficData[[#This Row],[disposedCourt]]=TrafficData[[#This Row],[totalCourt]]</f>
        <v>1</v>
      </c>
      <c r="N2621" t="b">
        <f>AND(TrafficData[[#This Row],[disposedChallan]]&lt;=TrafficData[[#This Row],[totalChallan]],TrafficData[[#This Row],[pendingChallan]]&lt;=TrafficData[[#This Row],[totalChallan]])</f>
        <v>1</v>
      </c>
      <c r="O2621" t="b">
        <f>AND(TrafficData[[#This Row],[pendingAmount]]&lt;=TrafficData[[#This Row],[totalAmount]],TrafficData[[#This Row],[disposedAmount]]&lt;=TrafficData[[#This Row],[totalAmount]])</f>
        <v>1</v>
      </c>
      <c r="P2621" t="b">
        <f>AND(TrafficData[[#This Row],[pendingCourt]]&lt;=TrafficData[[#This Row],[totalCourt]],TrafficData[[#This Row],[disposedCourt]]&lt;=TrafficData[[#This Row],[totalCourt]])</f>
        <v>1</v>
      </c>
    </row>
    <row r="2622" spans="1:16">
      <c r="A2622" s="1">
        <v>44626</v>
      </c>
      <c r="B2622">
        <v>124241</v>
      </c>
      <c r="C2622">
        <v>65579</v>
      </c>
      <c r="D2622">
        <v>58662</v>
      </c>
      <c r="E2622">
        <v>70335234</v>
      </c>
      <c r="F2622">
        <v>94482235</v>
      </c>
      <c r="G2622">
        <v>164817469</v>
      </c>
      <c r="H2622">
        <v>29307</v>
      </c>
      <c r="I2622">
        <v>8490</v>
      </c>
      <c r="J2622">
        <v>37797</v>
      </c>
      <c r="K2622" t="b">
        <f>TrafficData[[#This Row],[disposedChallan]]+TrafficData[[#This Row],[pendingChallan]]=TrafficData[[#This Row],[totalChallan]]</f>
        <v>1</v>
      </c>
      <c r="L2622" t="b">
        <f>TrafficData[[#This Row],[pendingAmount]]+TrafficData[[#This Row],[disposedAmount]]=TrafficData[[#This Row],[totalAmount]]</f>
        <v>1</v>
      </c>
      <c r="M2622" t="b">
        <f>TrafficData[[#This Row],[pendingCourt]]+TrafficData[[#This Row],[disposedCourt]]=TrafficData[[#This Row],[totalCourt]]</f>
        <v>1</v>
      </c>
      <c r="N2622" t="b">
        <f>AND(TrafficData[[#This Row],[disposedChallan]]&lt;=TrafficData[[#This Row],[totalChallan]],TrafficData[[#This Row],[pendingChallan]]&lt;=TrafficData[[#This Row],[totalChallan]])</f>
        <v>1</v>
      </c>
      <c r="O2622" t="b">
        <f>AND(TrafficData[[#This Row],[pendingAmount]]&lt;=TrafficData[[#This Row],[totalAmount]],TrafficData[[#This Row],[disposedAmount]]&lt;=TrafficData[[#This Row],[totalAmount]])</f>
        <v>1</v>
      </c>
      <c r="P2622" t="b">
        <f>AND(TrafficData[[#This Row],[pendingCourt]]&lt;=TrafficData[[#This Row],[totalCourt]],TrafficData[[#This Row],[disposedCourt]]&lt;=TrafficData[[#This Row],[totalCourt]])</f>
        <v>1</v>
      </c>
    </row>
    <row r="2623" spans="1:16">
      <c r="A2623" s="1">
        <v>44627</v>
      </c>
      <c r="B2623">
        <v>136830</v>
      </c>
      <c r="C2623">
        <v>73319</v>
      </c>
      <c r="D2623">
        <v>63511</v>
      </c>
      <c r="E2623">
        <v>87003622</v>
      </c>
      <c r="F2623">
        <v>115221623</v>
      </c>
      <c r="G2623">
        <v>202225245</v>
      </c>
      <c r="H2623">
        <v>32725</v>
      </c>
      <c r="I2623">
        <v>9840</v>
      </c>
      <c r="J2623">
        <v>42565</v>
      </c>
      <c r="K2623" t="b">
        <f>TrafficData[[#This Row],[disposedChallan]]+TrafficData[[#This Row],[pendingChallan]]=TrafficData[[#This Row],[totalChallan]]</f>
        <v>1</v>
      </c>
      <c r="L2623" t="b">
        <f>TrafficData[[#This Row],[pendingAmount]]+TrafficData[[#This Row],[disposedAmount]]=TrafficData[[#This Row],[totalAmount]]</f>
        <v>1</v>
      </c>
      <c r="M2623" t="b">
        <f>TrafficData[[#This Row],[pendingCourt]]+TrafficData[[#This Row],[disposedCourt]]=TrafficData[[#This Row],[totalCourt]]</f>
        <v>1</v>
      </c>
      <c r="N2623" t="b">
        <f>AND(TrafficData[[#This Row],[disposedChallan]]&lt;=TrafficData[[#This Row],[totalChallan]],TrafficData[[#This Row],[pendingChallan]]&lt;=TrafficData[[#This Row],[totalChallan]])</f>
        <v>1</v>
      </c>
      <c r="O2623" t="b">
        <f>AND(TrafficData[[#This Row],[pendingAmount]]&lt;=TrafficData[[#This Row],[totalAmount]],TrafficData[[#This Row],[disposedAmount]]&lt;=TrafficData[[#This Row],[totalAmount]])</f>
        <v>1</v>
      </c>
      <c r="P2623" t="b">
        <f>AND(TrafficData[[#This Row],[pendingCourt]]&lt;=TrafficData[[#This Row],[totalCourt]],TrafficData[[#This Row],[disposedCourt]]&lt;=TrafficData[[#This Row],[totalCourt]])</f>
        <v>1</v>
      </c>
    </row>
    <row r="2624" spans="1:16">
      <c r="A2624" s="1">
        <v>44628</v>
      </c>
      <c r="B2624">
        <v>134095</v>
      </c>
      <c r="C2624">
        <v>73221</v>
      </c>
      <c r="D2624">
        <v>60874</v>
      </c>
      <c r="E2624">
        <v>90556111</v>
      </c>
      <c r="F2624">
        <v>127874275</v>
      </c>
      <c r="G2624">
        <v>218430386</v>
      </c>
      <c r="H2624">
        <v>31823</v>
      </c>
      <c r="I2624">
        <v>9689</v>
      </c>
      <c r="J2624">
        <v>41512</v>
      </c>
      <c r="K2624" t="b">
        <f>TrafficData[[#This Row],[disposedChallan]]+TrafficData[[#This Row],[pendingChallan]]=TrafficData[[#This Row],[totalChallan]]</f>
        <v>1</v>
      </c>
      <c r="L2624" t="b">
        <f>TrafficData[[#This Row],[pendingAmount]]+TrafficData[[#This Row],[disposedAmount]]=TrafficData[[#This Row],[totalAmount]]</f>
        <v>1</v>
      </c>
      <c r="M2624" t="b">
        <f>TrafficData[[#This Row],[pendingCourt]]+TrafficData[[#This Row],[disposedCourt]]=TrafficData[[#This Row],[totalCourt]]</f>
        <v>1</v>
      </c>
      <c r="N2624" t="b">
        <f>AND(TrafficData[[#This Row],[disposedChallan]]&lt;=TrafficData[[#This Row],[totalChallan]],TrafficData[[#This Row],[pendingChallan]]&lt;=TrafficData[[#This Row],[totalChallan]])</f>
        <v>1</v>
      </c>
      <c r="O2624" t="b">
        <f>AND(TrafficData[[#This Row],[pendingAmount]]&lt;=TrafficData[[#This Row],[totalAmount]],TrafficData[[#This Row],[disposedAmount]]&lt;=TrafficData[[#This Row],[totalAmount]])</f>
        <v>1</v>
      </c>
      <c r="P2624" t="b">
        <f>AND(TrafficData[[#This Row],[pendingCourt]]&lt;=TrafficData[[#This Row],[totalCourt]],TrafficData[[#This Row],[disposedCourt]]&lt;=TrafficData[[#This Row],[totalCourt]])</f>
        <v>1</v>
      </c>
    </row>
    <row r="2625" spans="1:16">
      <c r="A2625" s="1">
        <v>44629</v>
      </c>
      <c r="B2625">
        <v>140922</v>
      </c>
      <c r="C2625">
        <v>76505</v>
      </c>
      <c r="D2625">
        <v>64417</v>
      </c>
      <c r="E2625">
        <v>88882837</v>
      </c>
      <c r="F2625">
        <v>124377006</v>
      </c>
      <c r="G2625">
        <v>213259843</v>
      </c>
      <c r="H2625">
        <v>30069</v>
      </c>
      <c r="I2625">
        <v>9779</v>
      </c>
      <c r="J2625">
        <v>39848</v>
      </c>
      <c r="K2625" t="b">
        <f>TrafficData[[#This Row],[disposedChallan]]+TrafficData[[#This Row],[pendingChallan]]=TrafficData[[#This Row],[totalChallan]]</f>
        <v>1</v>
      </c>
      <c r="L2625" t="b">
        <f>TrafficData[[#This Row],[pendingAmount]]+TrafficData[[#This Row],[disposedAmount]]=TrafficData[[#This Row],[totalAmount]]</f>
        <v>1</v>
      </c>
      <c r="M2625" t="b">
        <f>TrafficData[[#This Row],[pendingCourt]]+TrafficData[[#This Row],[disposedCourt]]=TrafficData[[#This Row],[totalCourt]]</f>
        <v>1</v>
      </c>
      <c r="N2625" t="b">
        <f>AND(TrafficData[[#This Row],[disposedChallan]]&lt;=TrafficData[[#This Row],[totalChallan]],TrafficData[[#This Row],[pendingChallan]]&lt;=TrafficData[[#This Row],[totalChallan]])</f>
        <v>1</v>
      </c>
      <c r="O2625" t="b">
        <f>AND(TrafficData[[#This Row],[pendingAmount]]&lt;=TrafficData[[#This Row],[totalAmount]],TrafficData[[#This Row],[disposedAmount]]&lt;=TrafficData[[#This Row],[totalAmount]])</f>
        <v>1</v>
      </c>
      <c r="P2625" t="b">
        <f>AND(TrafficData[[#This Row],[pendingCourt]]&lt;=TrafficData[[#This Row],[totalCourt]],TrafficData[[#This Row],[disposedCourt]]&lt;=TrafficData[[#This Row],[totalCourt]])</f>
        <v>1</v>
      </c>
    </row>
    <row r="2626" spans="1:16">
      <c r="A2626" s="1">
        <v>44630</v>
      </c>
      <c r="B2626">
        <v>128851</v>
      </c>
      <c r="C2626">
        <v>70254</v>
      </c>
      <c r="D2626">
        <v>58597</v>
      </c>
      <c r="E2626">
        <v>78352964</v>
      </c>
      <c r="F2626">
        <v>108761916</v>
      </c>
      <c r="G2626">
        <v>187114880</v>
      </c>
      <c r="H2626">
        <v>26456</v>
      </c>
      <c r="I2626">
        <v>8240</v>
      </c>
      <c r="J2626">
        <v>34696</v>
      </c>
      <c r="K2626" t="b">
        <f>TrafficData[[#This Row],[disposedChallan]]+TrafficData[[#This Row],[pendingChallan]]=TrafficData[[#This Row],[totalChallan]]</f>
        <v>1</v>
      </c>
      <c r="L2626" t="b">
        <f>TrafficData[[#This Row],[pendingAmount]]+TrafficData[[#This Row],[disposedAmount]]=TrafficData[[#This Row],[totalAmount]]</f>
        <v>1</v>
      </c>
      <c r="M2626" t="b">
        <f>TrafficData[[#This Row],[pendingCourt]]+TrafficData[[#This Row],[disposedCourt]]=TrafficData[[#This Row],[totalCourt]]</f>
        <v>1</v>
      </c>
      <c r="N2626" t="b">
        <f>AND(TrafficData[[#This Row],[disposedChallan]]&lt;=TrafficData[[#This Row],[totalChallan]],TrafficData[[#This Row],[pendingChallan]]&lt;=TrafficData[[#This Row],[totalChallan]])</f>
        <v>1</v>
      </c>
      <c r="O2626" t="b">
        <f>AND(TrafficData[[#This Row],[pendingAmount]]&lt;=TrafficData[[#This Row],[totalAmount]],TrafficData[[#This Row],[disposedAmount]]&lt;=TrafficData[[#This Row],[totalAmount]])</f>
        <v>1</v>
      </c>
      <c r="P2626" t="b">
        <f>AND(TrafficData[[#This Row],[pendingCourt]]&lt;=TrafficData[[#This Row],[totalCourt]],TrafficData[[#This Row],[disposedCourt]]&lt;=TrafficData[[#This Row],[totalCourt]])</f>
        <v>1</v>
      </c>
    </row>
    <row r="2627" spans="1:16">
      <c r="A2627" s="1">
        <v>44631</v>
      </c>
      <c r="B2627">
        <v>143982</v>
      </c>
      <c r="C2627">
        <v>78056</v>
      </c>
      <c r="D2627">
        <v>65926</v>
      </c>
      <c r="E2627">
        <v>88215316</v>
      </c>
      <c r="F2627">
        <v>116102043</v>
      </c>
      <c r="G2627">
        <v>204317359</v>
      </c>
      <c r="H2627">
        <v>33068</v>
      </c>
      <c r="I2627">
        <v>10004</v>
      </c>
      <c r="J2627">
        <v>43072</v>
      </c>
      <c r="K2627" t="b">
        <f>TrafficData[[#This Row],[disposedChallan]]+TrafficData[[#This Row],[pendingChallan]]=TrafficData[[#This Row],[totalChallan]]</f>
        <v>1</v>
      </c>
      <c r="L2627" t="b">
        <f>TrafficData[[#This Row],[pendingAmount]]+TrafficData[[#This Row],[disposedAmount]]=TrafficData[[#This Row],[totalAmount]]</f>
        <v>1</v>
      </c>
      <c r="M2627" t="b">
        <f>TrafficData[[#This Row],[pendingCourt]]+TrafficData[[#This Row],[disposedCourt]]=TrafficData[[#This Row],[totalCourt]]</f>
        <v>1</v>
      </c>
      <c r="N2627" t="b">
        <f>AND(TrafficData[[#This Row],[disposedChallan]]&lt;=TrafficData[[#This Row],[totalChallan]],TrafficData[[#This Row],[pendingChallan]]&lt;=TrafficData[[#This Row],[totalChallan]])</f>
        <v>1</v>
      </c>
      <c r="O2627" t="b">
        <f>AND(TrafficData[[#This Row],[pendingAmount]]&lt;=TrafficData[[#This Row],[totalAmount]],TrafficData[[#This Row],[disposedAmount]]&lt;=TrafficData[[#This Row],[totalAmount]])</f>
        <v>1</v>
      </c>
      <c r="P2627" t="b">
        <f>AND(TrafficData[[#This Row],[pendingCourt]]&lt;=TrafficData[[#This Row],[totalCourt]],TrafficData[[#This Row],[disposedCourt]]&lt;=TrafficData[[#This Row],[totalCourt]])</f>
        <v>1</v>
      </c>
    </row>
    <row r="2628" spans="1:16">
      <c r="A2628" s="1">
        <v>44632</v>
      </c>
      <c r="B2628">
        <v>138411</v>
      </c>
      <c r="C2628">
        <v>74827</v>
      </c>
      <c r="D2628">
        <v>63584</v>
      </c>
      <c r="E2628">
        <v>80018675</v>
      </c>
      <c r="F2628">
        <v>107515166</v>
      </c>
      <c r="G2628">
        <v>187533841</v>
      </c>
      <c r="H2628">
        <v>30826</v>
      </c>
      <c r="I2628">
        <v>9452</v>
      </c>
      <c r="J2628">
        <v>40278</v>
      </c>
      <c r="K2628" t="b">
        <f>TrafficData[[#This Row],[disposedChallan]]+TrafficData[[#This Row],[pendingChallan]]=TrafficData[[#This Row],[totalChallan]]</f>
        <v>1</v>
      </c>
      <c r="L2628" t="b">
        <f>TrafficData[[#This Row],[pendingAmount]]+TrafficData[[#This Row],[disposedAmount]]=TrafficData[[#This Row],[totalAmount]]</f>
        <v>1</v>
      </c>
      <c r="M2628" t="b">
        <f>TrafficData[[#This Row],[pendingCourt]]+TrafficData[[#This Row],[disposedCourt]]=TrafficData[[#This Row],[totalCourt]]</f>
        <v>1</v>
      </c>
      <c r="N2628" t="b">
        <f>AND(TrafficData[[#This Row],[disposedChallan]]&lt;=TrafficData[[#This Row],[totalChallan]],TrafficData[[#This Row],[pendingChallan]]&lt;=TrafficData[[#This Row],[totalChallan]])</f>
        <v>1</v>
      </c>
      <c r="O2628" t="b">
        <f>AND(TrafficData[[#This Row],[pendingAmount]]&lt;=TrafficData[[#This Row],[totalAmount]],TrafficData[[#This Row],[disposedAmount]]&lt;=TrafficData[[#This Row],[totalAmount]])</f>
        <v>1</v>
      </c>
      <c r="P2628" t="b">
        <f>AND(TrafficData[[#This Row],[pendingCourt]]&lt;=TrafficData[[#This Row],[totalCourt]],TrafficData[[#This Row],[disposedCourt]]&lt;=TrafficData[[#This Row],[totalCourt]])</f>
        <v>1</v>
      </c>
    </row>
    <row r="2629" spans="1:16">
      <c r="A2629" s="1">
        <v>44633</v>
      </c>
      <c r="B2629">
        <v>127896</v>
      </c>
      <c r="C2629">
        <v>64809</v>
      </c>
      <c r="D2629">
        <v>63087</v>
      </c>
      <c r="E2629">
        <v>84251612</v>
      </c>
      <c r="F2629">
        <v>91237529</v>
      </c>
      <c r="G2629">
        <v>175489141</v>
      </c>
      <c r="H2629">
        <v>32357</v>
      </c>
      <c r="I2629">
        <v>9351</v>
      </c>
      <c r="J2629">
        <v>41708</v>
      </c>
      <c r="K2629" t="b">
        <f>TrafficData[[#This Row],[disposedChallan]]+TrafficData[[#This Row],[pendingChallan]]=TrafficData[[#This Row],[totalChallan]]</f>
        <v>1</v>
      </c>
      <c r="L2629" t="b">
        <f>TrafficData[[#This Row],[pendingAmount]]+TrafficData[[#This Row],[disposedAmount]]=TrafficData[[#This Row],[totalAmount]]</f>
        <v>1</v>
      </c>
      <c r="M2629" t="b">
        <f>TrafficData[[#This Row],[pendingCourt]]+TrafficData[[#This Row],[disposedCourt]]=TrafficData[[#This Row],[totalCourt]]</f>
        <v>1</v>
      </c>
      <c r="N2629" t="b">
        <f>AND(TrafficData[[#This Row],[disposedChallan]]&lt;=TrafficData[[#This Row],[totalChallan]],TrafficData[[#This Row],[pendingChallan]]&lt;=TrafficData[[#This Row],[totalChallan]])</f>
        <v>1</v>
      </c>
      <c r="O2629" t="b">
        <f>AND(TrafficData[[#This Row],[pendingAmount]]&lt;=TrafficData[[#This Row],[totalAmount]],TrafficData[[#This Row],[disposedAmount]]&lt;=TrafficData[[#This Row],[totalAmount]])</f>
        <v>1</v>
      </c>
      <c r="P2629" t="b">
        <f>AND(TrafficData[[#This Row],[pendingCourt]]&lt;=TrafficData[[#This Row],[totalCourt]],TrafficData[[#This Row],[disposedCourt]]&lt;=TrafficData[[#This Row],[totalCourt]])</f>
        <v>1</v>
      </c>
    </row>
    <row r="2630" spans="1:16">
      <c r="A2630" s="1">
        <v>44634</v>
      </c>
      <c r="B2630">
        <v>142052</v>
      </c>
      <c r="C2630">
        <v>74561</v>
      </c>
      <c r="D2630">
        <v>67491</v>
      </c>
      <c r="E2630">
        <v>100034642</v>
      </c>
      <c r="F2630">
        <v>111949421</v>
      </c>
      <c r="G2630">
        <v>211984063</v>
      </c>
      <c r="H2630">
        <v>30810</v>
      </c>
      <c r="I2630">
        <v>9925</v>
      </c>
      <c r="J2630">
        <v>40735</v>
      </c>
      <c r="K2630" t="b">
        <f>TrafficData[[#This Row],[disposedChallan]]+TrafficData[[#This Row],[pendingChallan]]=TrafficData[[#This Row],[totalChallan]]</f>
        <v>1</v>
      </c>
      <c r="L2630" t="b">
        <f>TrafficData[[#This Row],[pendingAmount]]+TrafficData[[#This Row],[disposedAmount]]=TrafficData[[#This Row],[totalAmount]]</f>
        <v>1</v>
      </c>
      <c r="M2630" t="b">
        <f>TrafficData[[#This Row],[pendingCourt]]+TrafficData[[#This Row],[disposedCourt]]=TrafficData[[#This Row],[totalCourt]]</f>
        <v>1</v>
      </c>
      <c r="N2630" t="b">
        <f>AND(TrafficData[[#This Row],[disposedChallan]]&lt;=TrafficData[[#This Row],[totalChallan]],TrafficData[[#This Row],[pendingChallan]]&lt;=TrafficData[[#This Row],[totalChallan]])</f>
        <v>1</v>
      </c>
      <c r="O2630" t="b">
        <f>AND(TrafficData[[#This Row],[pendingAmount]]&lt;=TrafficData[[#This Row],[totalAmount]],TrafficData[[#This Row],[disposedAmount]]&lt;=TrafficData[[#This Row],[totalAmount]])</f>
        <v>1</v>
      </c>
      <c r="P2630" t="b">
        <f>AND(TrafficData[[#This Row],[pendingCourt]]&lt;=TrafficData[[#This Row],[totalCourt]],TrafficData[[#This Row],[disposedCourt]]&lt;=TrafficData[[#This Row],[totalCourt]])</f>
        <v>1</v>
      </c>
    </row>
    <row r="2631" spans="1:16">
      <c r="A2631" s="1">
        <v>44635</v>
      </c>
      <c r="B2631">
        <v>149286</v>
      </c>
      <c r="C2631">
        <v>76178</v>
      </c>
      <c r="D2631">
        <v>73108</v>
      </c>
      <c r="E2631">
        <v>96017355</v>
      </c>
      <c r="F2631">
        <v>115454186</v>
      </c>
      <c r="G2631">
        <v>211471541</v>
      </c>
      <c r="H2631">
        <v>35993</v>
      </c>
      <c r="I2631">
        <v>11159</v>
      </c>
      <c r="J2631">
        <v>47152</v>
      </c>
      <c r="K2631" t="b">
        <f>TrafficData[[#This Row],[disposedChallan]]+TrafficData[[#This Row],[pendingChallan]]=TrafficData[[#This Row],[totalChallan]]</f>
        <v>1</v>
      </c>
      <c r="L2631" t="b">
        <f>TrafficData[[#This Row],[pendingAmount]]+TrafficData[[#This Row],[disposedAmount]]=TrafficData[[#This Row],[totalAmount]]</f>
        <v>1</v>
      </c>
      <c r="M2631" t="b">
        <f>TrafficData[[#This Row],[pendingCourt]]+TrafficData[[#This Row],[disposedCourt]]=TrafficData[[#This Row],[totalCourt]]</f>
        <v>1</v>
      </c>
      <c r="N2631" t="b">
        <f>AND(TrafficData[[#This Row],[disposedChallan]]&lt;=TrafficData[[#This Row],[totalChallan]],TrafficData[[#This Row],[pendingChallan]]&lt;=TrafficData[[#This Row],[totalChallan]])</f>
        <v>1</v>
      </c>
      <c r="O2631" t="b">
        <f>AND(TrafficData[[#This Row],[pendingAmount]]&lt;=TrafficData[[#This Row],[totalAmount]],TrafficData[[#This Row],[disposedAmount]]&lt;=TrafficData[[#This Row],[totalAmount]])</f>
        <v>1</v>
      </c>
      <c r="P2631" t="b">
        <f>AND(TrafficData[[#This Row],[pendingCourt]]&lt;=TrafficData[[#This Row],[totalCourt]],TrafficData[[#This Row],[disposedCourt]]&lt;=TrafficData[[#This Row],[totalCourt]])</f>
        <v>1</v>
      </c>
    </row>
    <row r="2632" spans="1:16">
      <c r="A2632" s="1">
        <v>44636</v>
      </c>
      <c r="B2632">
        <v>141828</v>
      </c>
      <c r="C2632">
        <v>74642</v>
      </c>
      <c r="D2632">
        <v>67186</v>
      </c>
      <c r="E2632">
        <v>88369729</v>
      </c>
      <c r="F2632">
        <v>109323260</v>
      </c>
      <c r="G2632">
        <v>197692989</v>
      </c>
      <c r="H2632">
        <v>33735</v>
      </c>
      <c r="I2632">
        <v>9942</v>
      </c>
      <c r="J2632">
        <v>43677</v>
      </c>
      <c r="K2632" t="b">
        <f>TrafficData[[#This Row],[disposedChallan]]+TrafficData[[#This Row],[pendingChallan]]=TrafficData[[#This Row],[totalChallan]]</f>
        <v>1</v>
      </c>
      <c r="L2632" t="b">
        <f>TrafficData[[#This Row],[pendingAmount]]+TrafficData[[#This Row],[disposedAmount]]=TrafficData[[#This Row],[totalAmount]]</f>
        <v>1</v>
      </c>
      <c r="M2632" t="b">
        <f>TrafficData[[#This Row],[pendingCourt]]+TrafficData[[#This Row],[disposedCourt]]=TrafficData[[#This Row],[totalCourt]]</f>
        <v>1</v>
      </c>
      <c r="N2632" t="b">
        <f>AND(TrafficData[[#This Row],[disposedChallan]]&lt;=TrafficData[[#This Row],[totalChallan]],TrafficData[[#This Row],[pendingChallan]]&lt;=TrafficData[[#This Row],[totalChallan]])</f>
        <v>1</v>
      </c>
      <c r="O2632" t="b">
        <f>AND(TrafficData[[#This Row],[pendingAmount]]&lt;=TrafficData[[#This Row],[totalAmount]],TrafficData[[#This Row],[disposedAmount]]&lt;=TrafficData[[#This Row],[totalAmount]])</f>
        <v>1</v>
      </c>
      <c r="P2632" t="b">
        <f>AND(TrafficData[[#This Row],[pendingCourt]]&lt;=TrafficData[[#This Row],[totalCourt]],TrafficData[[#This Row],[disposedCourt]]&lt;=TrafficData[[#This Row],[totalCourt]])</f>
        <v>1</v>
      </c>
    </row>
    <row r="2633" spans="1:16">
      <c r="A2633" s="1">
        <v>44637</v>
      </c>
      <c r="B2633">
        <v>124957</v>
      </c>
      <c r="C2633">
        <v>64159</v>
      </c>
      <c r="D2633">
        <v>60798</v>
      </c>
      <c r="E2633">
        <v>70260004</v>
      </c>
      <c r="F2633">
        <v>70537023</v>
      </c>
      <c r="G2633">
        <v>140797027</v>
      </c>
      <c r="H2633">
        <v>28880</v>
      </c>
      <c r="I2633">
        <v>8345</v>
      </c>
      <c r="J2633">
        <v>37225</v>
      </c>
      <c r="K2633" t="b">
        <f>TrafficData[[#This Row],[disposedChallan]]+TrafficData[[#This Row],[pendingChallan]]=TrafficData[[#This Row],[totalChallan]]</f>
        <v>1</v>
      </c>
      <c r="L2633" t="b">
        <f>TrafficData[[#This Row],[pendingAmount]]+TrafficData[[#This Row],[disposedAmount]]=TrafficData[[#This Row],[totalAmount]]</f>
        <v>1</v>
      </c>
      <c r="M2633" t="b">
        <f>TrafficData[[#This Row],[pendingCourt]]+TrafficData[[#This Row],[disposedCourt]]=TrafficData[[#This Row],[totalCourt]]</f>
        <v>1</v>
      </c>
      <c r="N2633" t="b">
        <f>AND(TrafficData[[#This Row],[disposedChallan]]&lt;=TrafficData[[#This Row],[totalChallan]],TrafficData[[#This Row],[pendingChallan]]&lt;=TrafficData[[#This Row],[totalChallan]])</f>
        <v>1</v>
      </c>
      <c r="O2633" t="b">
        <f>AND(TrafficData[[#This Row],[pendingAmount]]&lt;=TrafficData[[#This Row],[totalAmount]],TrafficData[[#This Row],[disposedAmount]]&lt;=TrafficData[[#This Row],[totalAmount]])</f>
        <v>1</v>
      </c>
      <c r="P2633" t="b">
        <f>AND(TrafficData[[#This Row],[pendingCourt]]&lt;=TrafficData[[#This Row],[totalCourt]],TrafficData[[#This Row],[disposedCourt]]&lt;=TrafficData[[#This Row],[totalCourt]])</f>
        <v>1</v>
      </c>
    </row>
    <row r="2634" spans="1:16">
      <c r="A2634" s="1">
        <v>44638</v>
      </c>
      <c r="B2634">
        <v>106619</v>
      </c>
      <c r="C2634">
        <v>51597</v>
      </c>
      <c r="D2634">
        <v>55022</v>
      </c>
      <c r="E2634">
        <v>59971240</v>
      </c>
      <c r="F2634">
        <v>45179977</v>
      </c>
      <c r="G2634">
        <v>105151217</v>
      </c>
      <c r="H2634">
        <v>26363</v>
      </c>
      <c r="I2634">
        <v>6481</v>
      </c>
      <c r="J2634">
        <v>32844</v>
      </c>
      <c r="K2634" t="b">
        <f>TrafficData[[#This Row],[disposedChallan]]+TrafficData[[#This Row],[pendingChallan]]=TrafficData[[#This Row],[totalChallan]]</f>
        <v>1</v>
      </c>
      <c r="L2634" t="b">
        <f>TrafficData[[#This Row],[pendingAmount]]+TrafficData[[#This Row],[disposedAmount]]=TrafficData[[#This Row],[totalAmount]]</f>
        <v>1</v>
      </c>
      <c r="M2634" t="b">
        <f>TrafficData[[#This Row],[pendingCourt]]+TrafficData[[#This Row],[disposedCourt]]=TrafficData[[#This Row],[totalCourt]]</f>
        <v>1</v>
      </c>
      <c r="N2634" t="b">
        <f>AND(TrafficData[[#This Row],[disposedChallan]]&lt;=TrafficData[[#This Row],[totalChallan]],TrafficData[[#This Row],[pendingChallan]]&lt;=TrafficData[[#This Row],[totalChallan]])</f>
        <v>1</v>
      </c>
      <c r="O2634" t="b">
        <f>AND(TrafficData[[#This Row],[pendingAmount]]&lt;=TrafficData[[#This Row],[totalAmount]],TrafficData[[#This Row],[disposedAmount]]&lt;=TrafficData[[#This Row],[totalAmount]])</f>
        <v>1</v>
      </c>
      <c r="P2634" t="b">
        <f>AND(TrafficData[[#This Row],[pendingCourt]]&lt;=TrafficData[[#This Row],[totalCourt]],TrafficData[[#This Row],[disposedCourt]]&lt;=TrafficData[[#This Row],[totalCourt]])</f>
        <v>1</v>
      </c>
    </row>
    <row r="2635" spans="1:16">
      <c r="A2635" s="1">
        <v>44639</v>
      </c>
      <c r="B2635">
        <v>105533</v>
      </c>
      <c r="C2635">
        <v>57680</v>
      </c>
      <c r="D2635">
        <v>47853</v>
      </c>
      <c r="E2635">
        <v>46754567</v>
      </c>
      <c r="F2635">
        <v>49298868</v>
      </c>
      <c r="G2635">
        <v>96053435</v>
      </c>
      <c r="H2635">
        <v>15730</v>
      </c>
      <c r="I2635">
        <v>5102</v>
      </c>
      <c r="J2635">
        <v>20832</v>
      </c>
      <c r="K2635" t="b">
        <f>TrafficData[[#This Row],[disposedChallan]]+TrafficData[[#This Row],[pendingChallan]]=TrafficData[[#This Row],[totalChallan]]</f>
        <v>1</v>
      </c>
      <c r="L2635" t="b">
        <f>TrafficData[[#This Row],[pendingAmount]]+TrafficData[[#This Row],[disposedAmount]]=TrafficData[[#This Row],[totalAmount]]</f>
        <v>1</v>
      </c>
      <c r="M2635" t="b">
        <f>TrafficData[[#This Row],[pendingCourt]]+TrafficData[[#This Row],[disposedCourt]]=TrafficData[[#This Row],[totalCourt]]</f>
        <v>1</v>
      </c>
      <c r="N2635" t="b">
        <f>AND(TrafficData[[#This Row],[disposedChallan]]&lt;=TrafficData[[#This Row],[totalChallan]],TrafficData[[#This Row],[pendingChallan]]&lt;=TrafficData[[#This Row],[totalChallan]])</f>
        <v>1</v>
      </c>
      <c r="O2635" t="b">
        <f>AND(TrafficData[[#This Row],[pendingAmount]]&lt;=TrafficData[[#This Row],[totalAmount]],TrafficData[[#This Row],[disposedAmount]]&lt;=TrafficData[[#This Row],[totalAmount]])</f>
        <v>1</v>
      </c>
      <c r="P2635" t="b">
        <f>AND(TrafficData[[#This Row],[pendingCourt]]&lt;=TrafficData[[#This Row],[totalCourt]],TrafficData[[#This Row],[disposedCourt]]&lt;=TrafficData[[#This Row],[totalCourt]])</f>
        <v>1</v>
      </c>
    </row>
    <row r="2636" spans="1:16">
      <c r="A2636" s="1">
        <v>44640</v>
      </c>
      <c r="B2636">
        <v>87064</v>
      </c>
      <c r="C2636">
        <v>41789</v>
      </c>
      <c r="D2636">
        <v>45275</v>
      </c>
      <c r="E2636">
        <v>47770772</v>
      </c>
      <c r="F2636">
        <v>46543467</v>
      </c>
      <c r="G2636">
        <v>94314239</v>
      </c>
      <c r="H2636">
        <v>21370</v>
      </c>
      <c r="I2636">
        <v>6565</v>
      </c>
      <c r="J2636">
        <v>27935</v>
      </c>
      <c r="K2636" t="b">
        <f>TrafficData[[#This Row],[disposedChallan]]+TrafficData[[#This Row],[pendingChallan]]=TrafficData[[#This Row],[totalChallan]]</f>
        <v>1</v>
      </c>
      <c r="L2636" t="b">
        <f>TrafficData[[#This Row],[pendingAmount]]+TrafficData[[#This Row],[disposedAmount]]=TrafficData[[#This Row],[totalAmount]]</f>
        <v>1</v>
      </c>
      <c r="M2636" t="b">
        <f>TrafficData[[#This Row],[pendingCourt]]+TrafficData[[#This Row],[disposedCourt]]=TrafficData[[#This Row],[totalCourt]]</f>
        <v>1</v>
      </c>
      <c r="N2636" t="b">
        <f>AND(TrafficData[[#This Row],[disposedChallan]]&lt;=TrafficData[[#This Row],[totalChallan]],TrafficData[[#This Row],[pendingChallan]]&lt;=TrafficData[[#This Row],[totalChallan]])</f>
        <v>1</v>
      </c>
      <c r="O2636" t="b">
        <f>AND(TrafficData[[#This Row],[pendingAmount]]&lt;=TrafficData[[#This Row],[totalAmount]],TrafficData[[#This Row],[disposedAmount]]&lt;=TrafficData[[#This Row],[totalAmount]])</f>
        <v>1</v>
      </c>
      <c r="P2636" t="b">
        <f>AND(TrafficData[[#This Row],[pendingCourt]]&lt;=TrafficData[[#This Row],[totalCourt]],TrafficData[[#This Row],[disposedCourt]]&lt;=TrafficData[[#This Row],[totalCourt]])</f>
        <v>1</v>
      </c>
    </row>
    <row r="2637" spans="1:16">
      <c r="A2637" s="1">
        <v>44641</v>
      </c>
      <c r="B2637">
        <v>141616</v>
      </c>
      <c r="C2637">
        <v>71337</v>
      </c>
      <c r="D2637">
        <v>70279</v>
      </c>
      <c r="E2637">
        <v>94672039</v>
      </c>
      <c r="F2637">
        <v>89524891</v>
      </c>
      <c r="G2637">
        <v>184196930</v>
      </c>
      <c r="H2637">
        <v>36879</v>
      </c>
      <c r="I2637">
        <v>10497</v>
      </c>
      <c r="J2637">
        <v>47376</v>
      </c>
      <c r="K2637" t="b">
        <f>TrafficData[[#This Row],[disposedChallan]]+TrafficData[[#This Row],[pendingChallan]]=TrafficData[[#This Row],[totalChallan]]</f>
        <v>1</v>
      </c>
      <c r="L2637" t="b">
        <f>TrafficData[[#This Row],[pendingAmount]]+TrafficData[[#This Row],[disposedAmount]]=TrafficData[[#This Row],[totalAmount]]</f>
        <v>1</v>
      </c>
      <c r="M2637" t="b">
        <f>TrafficData[[#This Row],[pendingCourt]]+TrafficData[[#This Row],[disposedCourt]]=TrafficData[[#This Row],[totalCourt]]</f>
        <v>1</v>
      </c>
      <c r="N2637" t="b">
        <f>AND(TrafficData[[#This Row],[disposedChallan]]&lt;=TrafficData[[#This Row],[totalChallan]],TrafficData[[#This Row],[pendingChallan]]&lt;=TrafficData[[#This Row],[totalChallan]])</f>
        <v>1</v>
      </c>
      <c r="O2637" t="b">
        <f>AND(TrafficData[[#This Row],[pendingAmount]]&lt;=TrafficData[[#This Row],[totalAmount]],TrafficData[[#This Row],[disposedAmount]]&lt;=TrafficData[[#This Row],[totalAmount]])</f>
        <v>1</v>
      </c>
      <c r="P2637" t="b">
        <f>AND(TrafficData[[#This Row],[pendingCourt]]&lt;=TrafficData[[#This Row],[totalCourt]],TrafficData[[#This Row],[disposedCourt]]&lt;=TrafficData[[#This Row],[totalCourt]])</f>
        <v>1</v>
      </c>
    </row>
    <row r="2638" spans="1:16">
      <c r="A2638" s="1">
        <v>44642</v>
      </c>
      <c r="B2638">
        <v>144049</v>
      </c>
      <c r="C2638">
        <v>74528</v>
      </c>
      <c r="D2638">
        <v>69521</v>
      </c>
      <c r="E2638">
        <v>94732091</v>
      </c>
      <c r="F2638">
        <v>97489742</v>
      </c>
      <c r="G2638">
        <v>192221833</v>
      </c>
      <c r="H2638">
        <v>34777</v>
      </c>
      <c r="I2638">
        <v>10355</v>
      </c>
      <c r="J2638">
        <v>45132</v>
      </c>
      <c r="K2638" t="b">
        <f>TrafficData[[#This Row],[disposedChallan]]+TrafficData[[#This Row],[pendingChallan]]=TrafficData[[#This Row],[totalChallan]]</f>
        <v>1</v>
      </c>
      <c r="L2638" t="b">
        <f>TrafficData[[#This Row],[pendingAmount]]+TrafficData[[#This Row],[disposedAmount]]=TrafficData[[#This Row],[totalAmount]]</f>
        <v>1</v>
      </c>
      <c r="M2638" t="b">
        <f>TrafficData[[#This Row],[pendingCourt]]+TrafficData[[#This Row],[disposedCourt]]=TrafficData[[#This Row],[totalCourt]]</f>
        <v>1</v>
      </c>
      <c r="N2638" t="b">
        <f>AND(TrafficData[[#This Row],[disposedChallan]]&lt;=TrafficData[[#This Row],[totalChallan]],TrafficData[[#This Row],[pendingChallan]]&lt;=TrafficData[[#This Row],[totalChallan]])</f>
        <v>1</v>
      </c>
      <c r="O2638" t="b">
        <f>AND(TrafficData[[#This Row],[pendingAmount]]&lt;=TrafficData[[#This Row],[totalAmount]],TrafficData[[#This Row],[disposedAmount]]&lt;=TrafficData[[#This Row],[totalAmount]])</f>
        <v>1</v>
      </c>
      <c r="P2638" t="b">
        <f>AND(TrafficData[[#This Row],[pendingCourt]]&lt;=TrafficData[[#This Row],[totalCourt]],TrafficData[[#This Row],[disposedCourt]]&lt;=TrafficData[[#This Row],[totalCourt]])</f>
        <v>1</v>
      </c>
    </row>
    <row r="2639" spans="1:16">
      <c r="A2639" s="1">
        <v>44643</v>
      </c>
      <c r="B2639">
        <v>140444</v>
      </c>
      <c r="C2639">
        <v>73494</v>
      </c>
      <c r="D2639">
        <v>66950</v>
      </c>
      <c r="E2639">
        <v>90926641</v>
      </c>
      <c r="F2639">
        <v>110048595</v>
      </c>
      <c r="G2639">
        <v>200975236</v>
      </c>
      <c r="H2639">
        <v>33283</v>
      </c>
      <c r="I2639">
        <v>9303</v>
      </c>
      <c r="J2639">
        <v>42586</v>
      </c>
      <c r="K2639" t="b">
        <f>TrafficData[[#This Row],[disposedChallan]]+TrafficData[[#This Row],[pendingChallan]]=TrafficData[[#This Row],[totalChallan]]</f>
        <v>1</v>
      </c>
      <c r="L2639" t="b">
        <f>TrafficData[[#This Row],[pendingAmount]]+TrafficData[[#This Row],[disposedAmount]]=TrafficData[[#This Row],[totalAmount]]</f>
        <v>1</v>
      </c>
      <c r="M2639" t="b">
        <f>TrafficData[[#This Row],[pendingCourt]]+TrafficData[[#This Row],[disposedCourt]]=TrafficData[[#This Row],[totalCourt]]</f>
        <v>1</v>
      </c>
      <c r="N2639" t="b">
        <f>AND(TrafficData[[#This Row],[disposedChallan]]&lt;=TrafficData[[#This Row],[totalChallan]],TrafficData[[#This Row],[pendingChallan]]&lt;=TrafficData[[#This Row],[totalChallan]])</f>
        <v>1</v>
      </c>
      <c r="O2639" t="b">
        <f>AND(TrafficData[[#This Row],[pendingAmount]]&lt;=TrafficData[[#This Row],[totalAmount]],TrafficData[[#This Row],[disposedAmount]]&lt;=TrafficData[[#This Row],[totalAmount]])</f>
        <v>1</v>
      </c>
      <c r="P2639" t="b">
        <f>AND(TrafficData[[#This Row],[pendingCourt]]&lt;=TrafficData[[#This Row],[totalCourt]],TrafficData[[#This Row],[disposedCourt]]&lt;=TrafficData[[#This Row],[totalCourt]])</f>
        <v>1</v>
      </c>
    </row>
    <row r="2640" spans="1:16">
      <c r="A2640" s="1">
        <v>44644</v>
      </c>
      <c r="B2640">
        <v>144970</v>
      </c>
      <c r="C2640">
        <v>76262</v>
      </c>
      <c r="D2640">
        <v>68708</v>
      </c>
      <c r="E2640">
        <v>100843175</v>
      </c>
      <c r="F2640">
        <v>106962057</v>
      </c>
      <c r="G2640">
        <v>207805232</v>
      </c>
      <c r="H2640">
        <v>32275</v>
      </c>
      <c r="I2640">
        <v>9608</v>
      </c>
      <c r="J2640">
        <v>41883</v>
      </c>
      <c r="K2640" t="b">
        <f>TrafficData[[#This Row],[disposedChallan]]+TrafficData[[#This Row],[pendingChallan]]=TrafficData[[#This Row],[totalChallan]]</f>
        <v>1</v>
      </c>
      <c r="L2640" t="b">
        <f>TrafficData[[#This Row],[pendingAmount]]+TrafficData[[#This Row],[disposedAmount]]=TrafficData[[#This Row],[totalAmount]]</f>
        <v>1</v>
      </c>
      <c r="M2640" t="b">
        <f>TrafficData[[#This Row],[pendingCourt]]+TrafficData[[#This Row],[disposedCourt]]=TrafficData[[#This Row],[totalCourt]]</f>
        <v>1</v>
      </c>
      <c r="N2640" t="b">
        <f>AND(TrafficData[[#This Row],[disposedChallan]]&lt;=TrafficData[[#This Row],[totalChallan]],TrafficData[[#This Row],[pendingChallan]]&lt;=TrafficData[[#This Row],[totalChallan]])</f>
        <v>1</v>
      </c>
      <c r="O2640" t="b">
        <f>AND(TrafficData[[#This Row],[pendingAmount]]&lt;=TrafficData[[#This Row],[totalAmount]],TrafficData[[#This Row],[disposedAmount]]&lt;=TrafficData[[#This Row],[totalAmount]])</f>
        <v>1</v>
      </c>
      <c r="P2640" t="b">
        <f>AND(TrafficData[[#This Row],[pendingCourt]]&lt;=TrafficData[[#This Row],[totalCourt]],TrafficData[[#This Row],[disposedCourt]]&lt;=TrafficData[[#This Row],[totalCourt]])</f>
        <v>1</v>
      </c>
    </row>
    <row r="2641" spans="1:16">
      <c r="A2641" s="1">
        <v>44645</v>
      </c>
      <c r="B2641">
        <v>138193</v>
      </c>
      <c r="C2641">
        <v>72917</v>
      </c>
      <c r="D2641">
        <v>65276</v>
      </c>
      <c r="E2641">
        <v>96156318</v>
      </c>
      <c r="F2641">
        <v>104946016</v>
      </c>
      <c r="G2641">
        <v>201102334</v>
      </c>
      <c r="H2641">
        <v>32170</v>
      </c>
      <c r="I2641">
        <v>9362</v>
      </c>
      <c r="J2641">
        <v>41532</v>
      </c>
      <c r="K2641" t="b">
        <f>TrafficData[[#This Row],[disposedChallan]]+TrafficData[[#This Row],[pendingChallan]]=TrafficData[[#This Row],[totalChallan]]</f>
        <v>1</v>
      </c>
      <c r="L2641" t="b">
        <f>TrafficData[[#This Row],[pendingAmount]]+TrafficData[[#This Row],[disposedAmount]]=TrafficData[[#This Row],[totalAmount]]</f>
        <v>1</v>
      </c>
      <c r="M2641" t="b">
        <f>TrafficData[[#This Row],[pendingCourt]]+TrafficData[[#This Row],[disposedCourt]]=TrafficData[[#This Row],[totalCourt]]</f>
        <v>1</v>
      </c>
      <c r="N2641" t="b">
        <f>AND(TrafficData[[#This Row],[disposedChallan]]&lt;=TrafficData[[#This Row],[totalChallan]],TrafficData[[#This Row],[pendingChallan]]&lt;=TrafficData[[#This Row],[totalChallan]])</f>
        <v>1</v>
      </c>
      <c r="O2641" t="b">
        <f>AND(TrafficData[[#This Row],[pendingAmount]]&lt;=TrafficData[[#This Row],[totalAmount]],TrafficData[[#This Row],[disposedAmount]]&lt;=TrafficData[[#This Row],[totalAmount]])</f>
        <v>1</v>
      </c>
      <c r="P2641" t="b">
        <f>AND(TrafficData[[#This Row],[pendingCourt]]&lt;=TrafficData[[#This Row],[totalCourt]],TrafficData[[#This Row],[disposedCourt]]&lt;=TrafficData[[#This Row],[totalCourt]])</f>
        <v>1</v>
      </c>
    </row>
    <row r="2642" spans="1:16">
      <c r="A2642" s="1">
        <v>44646</v>
      </c>
      <c r="B2642">
        <v>135307</v>
      </c>
      <c r="C2642">
        <v>73118</v>
      </c>
      <c r="D2642">
        <v>62189</v>
      </c>
      <c r="E2642">
        <v>90658027</v>
      </c>
      <c r="F2642">
        <v>103451215</v>
      </c>
      <c r="G2642">
        <v>194109242</v>
      </c>
      <c r="H2642">
        <v>32299</v>
      </c>
      <c r="I2642">
        <v>9430</v>
      </c>
      <c r="J2642">
        <v>41729</v>
      </c>
      <c r="K2642" t="b">
        <f>TrafficData[[#This Row],[disposedChallan]]+TrafficData[[#This Row],[pendingChallan]]=TrafficData[[#This Row],[totalChallan]]</f>
        <v>1</v>
      </c>
      <c r="L2642" t="b">
        <f>TrafficData[[#This Row],[pendingAmount]]+TrafficData[[#This Row],[disposedAmount]]=TrafficData[[#This Row],[totalAmount]]</f>
        <v>1</v>
      </c>
      <c r="M2642" t="b">
        <f>TrafficData[[#This Row],[pendingCourt]]+TrafficData[[#This Row],[disposedCourt]]=TrafficData[[#This Row],[totalCourt]]</f>
        <v>1</v>
      </c>
      <c r="N2642" t="b">
        <f>AND(TrafficData[[#This Row],[disposedChallan]]&lt;=TrafficData[[#This Row],[totalChallan]],TrafficData[[#This Row],[pendingChallan]]&lt;=TrafficData[[#This Row],[totalChallan]])</f>
        <v>1</v>
      </c>
      <c r="O2642" t="b">
        <f>AND(TrafficData[[#This Row],[pendingAmount]]&lt;=TrafficData[[#This Row],[totalAmount]],TrafficData[[#This Row],[disposedAmount]]&lt;=TrafficData[[#This Row],[totalAmount]])</f>
        <v>1</v>
      </c>
      <c r="P2642" t="b">
        <f>AND(TrafficData[[#This Row],[pendingCourt]]&lt;=TrafficData[[#This Row],[totalCourt]],TrafficData[[#This Row],[disposedCourt]]&lt;=TrafficData[[#This Row],[totalCourt]])</f>
        <v>1</v>
      </c>
    </row>
    <row r="2643" spans="1:16">
      <c r="A2643" s="1">
        <v>44647</v>
      </c>
      <c r="B2643">
        <v>122369</v>
      </c>
      <c r="C2643">
        <v>60822</v>
      </c>
      <c r="D2643">
        <v>61547</v>
      </c>
      <c r="E2643">
        <v>76817949</v>
      </c>
      <c r="F2643">
        <v>83516157</v>
      </c>
      <c r="G2643">
        <v>160334106</v>
      </c>
      <c r="H2643">
        <v>28876</v>
      </c>
      <c r="I2643">
        <v>8283</v>
      </c>
      <c r="J2643">
        <v>37159</v>
      </c>
      <c r="K2643" t="b">
        <f>TrafficData[[#This Row],[disposedChallan]]+TrafficData[[#This Row],[pendingChallan]]=TrafficData[[#This Row],[totalChallan]]</f>
        <v>1</v>
      </c>
      <c r="L2643" t="b">
        <f>TrafficData[[#This Row],[pendingAmount]]+TrafficData[[#This Row],[disposedAmount]]=TrafficData[[#This Row],[totalAmount]]</f>
        <v>1</v>
      </c>
      <c r="M2643" t="b">
        <f>TrafficData[[#This Row],[pendingCourt]]+TrafficData[[#This Row],[disposedCourt]]=TrafficData[[#This Row],[totalCourt]]</f>
        <v>1</v>
      </c>
      <c r="N2643" t="b">
        <f>AND(TrafficData[[#This Row],[disposedChallan]]&lt;=TrafficData[[#This Row],[totalChallan]],TrafficData[[#This Row],[pendingChallan]]&lt;=TrafficData[[#This Row],[totalChallan]])</f>
        <v>1</v>
      </c>
      <c r="O2643" t="b">
        <f>AND(TrafficData[[#This Row],[pendingAmount]]&lt;=TrafficData[[#This Row],[totalAmount]],TrafficData[[#This Row],[disposedAmount]]&lt;=TrafficData[[#This Row],[totalAmount]])</f>
        <v>1</v>
      </c>
      <c r="P2643" t="b">
        <f>AND(TrafficData[[#This Row],[pendingCourt]]&lt;=TrafficData[[#This Row],[totalCourt]],TrafficData[[#This Row],[disposedCourt]]&lt;=TrafficData[[#This Row],[totalCourt]])</f>
        <v>1</v>
      </c>
    </row>
    <row r="2644" spans="1:16">
      <c r="A2644" s="1">
        <v>44648</v>
      </c>
      <c r="B2644">
        <v>116944</v>
      </c>
      <c r="C2644">
        <v>55368</v>
      </c>
      <c r="D2644">
        <v>61576</v>
      </c>
      <c r="E2644">
        <v>91746751</v>
      </c>
      <c r="F2644">
        <v>86259385</v>
      </c>
      <c r="G2644">
        <v>178006136</v>
      </c>
      <c r="H2644">
        <v>30242</v>
      </c>
      <c r="I2644">
        <v>9257</v>
      </c>
      <c r="J2644">
        <v>39499</v>
      </c>
      <c r="K2644" t="b">
        <f>TrafficData[[#This Row],[disposedChallan]]+TrafficData[[#This Row],[pendingChallan]]=TrafficData[[#This Row],[totalChallan]]</f>
        <v>1</v>
      </c>
      <c r="L2644" t="b">
        <f>TrafficData[[#This Row],[pendingAmount]]+TrafficData[[#This Row],[disposedAmount]]=TrafficData[[#This Row],[totalAmount]]</f>
        <v>1</v>
      </c>
      <c r="M2644" t="b">
        <f>TrafficData[[#This Row],[pendingCourt]]+TrafficData[[#This Row],[disposedCourt]]=TrafficData[[#This Row],[totalCourt]]</f>
        <v>1</v>
      </c>
      <c r="N2644" t="b">
        <f>AND(TrafficData[[#This Row],[disposedChallan]]&lt;=TrafficData[[#This Row],[totalChallan]],TrafficData[[#This Row],[pendingChallan]]&lt;=TrafficData[[#This Row],[totalChallan]])</f>
        <v>1</v>
      </c>
      <c r="O2644" t="b">
        <f>AND(TrafficData[[#This Row],[pendingAmount]]&lt;=TrafficData[[#This Row],[totalAmount]],TrafficData[[#This Row],[disposedAmount]]&lt;=TrafficData[[#This Row],[totalAmount]])</f>
        <v>1</v>
      </c>
      <c r="P2644" t="b">
        <f>AND(TrafficData[[#This Row],[pendingCourt]]&lt;=TrafficData[[#This Row],[totalCourt]],TrafficData[[#This Row],[disposedCourt]]&lt;=TrafficData[[#This Row],[totalCourt]])</f>
        <v>1</v>
      </c>
    </row>
    <row r="2645" spans="1:16">
      <c r="A2645" s="1">
        <v>44649</v>
      </c>
      <c r="B2645">
        <v>125651</v>
      </c>
      <c r="C2645">
        <v>60277</v>
      </c>
      <c r="D2645">
        <v>65374</v>
      </c>
      <c r="E2645">
        <v>93060865</v>
      </c>
      <c r="F2645">
        <v>95454129</v>
      </c>
      <c r="G2645">
        <v>188514994</v>
      </c>
      <c r="H2645">
        <v>29709</v>
      </c>
      <c r="I2645">
        <v>9479</v>
      </c>
      <c r="J2645">
        <v>39188</v>
      </c>
      <c r="K2645" t="b">
        <f>TrafficData[[#This Row],[disposedChallan]]+TrafficData[[#This Row],[pendingChallan]]=TrafficData[[#This Row],[totalChallan]]</f>
        <v>1</v>
      </c>
      <c r="L2645" t="b">
        <f>TrafficData[[#This Row],[pendingAmount]]+TrafficData[[#This Row],[disposedAmount]]=TrafficData[[#This Row],[totalAmount]]</f>
        <v>1</v>
      </c>
      <c r="M2645" t="b">
        <f>TrafficData[[#This Row],[pendingCourt]]+TrafficData[[#This Row],[disposedCourt]]=TrafficData[[#This Row],[totalCourt]]</f>
        <v>1</v>
      </c>
      <c r="N2645" t="b">
        <f>AND(TrafficData[[#This Row],[disposedChallan]]&lt;=TrafficData[[#This Row],[totalChallan]],TrafficData[[#This Row],[pendingChallan]]&lt;=TrafficData[[#This Row],[totalChallan]])</f>
        <v>1</v>
      </c>
      <c r="O2645" t="b">
        <f>AND(TrafficData[[#This Row],[pendingAmount]]&lt;=TrafficData[[#This Row],[totalAmount]],TrafficData[[#This Row],[disposedAmount]]&lt;=TrafficData[[#This Row],[totalAmount]])</f>
        <v>1</v>
      </c>
      <c r="P2645" t="b">
        <f>AND(TrafficData[[#This Row],[pendingCourt]]&lt;=TrafficData[[#This Row],[totalCourt]],TrafficData[[#This Row],[disposedCourt]]&lt;=TrafficData[[#This Row],[totalCourt]])</f>
        <v>1</v>
      </c>
    </row>
    <row r="2646" spans="1:16">
      <c r="A2646" s="1">
        <v>44650</v>
      </c>
      <c r="B2646">
        <v>131904</v>
      </c>
      <c r="C2646">
        <v>68831</v>
      </c>
      <c r="D2646">
        <v>63073</v>
      </c>
      <c r="E2646">
        <v>97435568</v>
      </c>
      <c r="F2646">
        <v>93890056</v>
      </c>
      <c r="G2646">
        <v>191325624</v>
      </c>
      <c r="H2646">
        <v>30262</v>
      </c>
      <c r="I2646">
        <v>9356</v>
      </c>
      <c r="J2646">
        <v>39618</v>
      </c>
      <c r="K2646" t="b">
        <f>TrafficData[[#This Row],[disposedChallan]]+TrafficData[[#This Row],[pendingChallan]]=TrafficData[[#This Row],[totalChallan]]</f>
        <v>1</v>
      </c>
      <c r="L2646" t="b">
        <f>TrafficData[[#This Row],[pendingAmount]]+TrafficData[[#This Row],[disposedAmount]]=TrafficData[[#This Row],[totalAmount]]</f>
        <v>1</v>
      </c>
      <c r="M2646" t="b">
        <f>TrafficData[[#This Row],[pendingCourt]]+TrafficData[[#This Row],[disposedCourt]]=TrafficData[[#This Row],[totalCourt]]</f>
        <v>1</v>
      </c>
      <c r="N2646" t="b">
        <f>AND(TrafficData[[#This Row],[disposedChallan]]&lt;=TrafficData[[#This Row],[totalChallan]],TrafficData[[#This Row],[pendingChallan]]&lt;=TrafficData[[#This Row],[totalChallan]])</f>
        <v>1</v>
      </c>
      <c r="O2646" t="b">
        <f>AND(TrafficData[[#This Row],[pendingAmount]]&lt;=TrafficData[[#This Row],[totalAmount]],TrafficData[[#This Row],[disposedAmount]]&lt;=TrafficData[[#This Row],[totalAmount]])</f>
        <v>1</v>
      </c>
      <c r="P2646" t="b">
        <f>AND(TrafficData[[#This Row],[pendingCourt]]&lt;=TrafficData[[#This Row],[totalCourt]],TrafficData[[#This Row],[disposedCourt]]&lt;=TrafficData[[#This Row],[totalCourt]])</f>
        <v>1</v>
      </c>
    </row>
    <row r="2647" spans="1:16">
      <c r="A2647" s="1">
        <v>44651</v>
      </c>
      <c r="B2647">
        <v>130130</v>
      </c>
      <c r="C2647">
        <v>67595</v>
      </c>
      <c r="D2647">
        <v>62535</v>
      </c>
      <c r="E2647">
        <v>96146311</v>
      </c>
      <c r="F2647">
        <v>90246407</v>
      </c>
      <c r="G2647">
        <v>186392718</v>
      </c>
      <c r="H2647">
        <v>32156</v>
      </c>
      <c r="I2647">
        <v>9970</v>
      </c>
      <c r="J2647">
        <v>42126</v>
      </c>
      <c r="K2647" t="b">
        <f>TrafficData[[#This Row],[disposedChallan]]+TrafficData[[#This Row],[pendingChallan]]=TrafficData[[#This Row],[totalChallan]]</f>
        <v>1</v>
      </c>
      <c r="L2647" t="b">
        <f>TrafficData[[#This Row],[pendingAmount]]+TrafficData[[#This Row],[disposedAmount]]=TrafficData[[#This Row],[totalAmount]]</f>
        <v>1</v>
      </c>
      <c r="M2647" t="b">
        <f>TrafficData[[#This Row],[pendingCourt]]+TrafficData[[#This Row],[disposedCourt]]=TrafficData[[#This Row],[totalCourt]]</f>
        <v>1</v>
      </c>
      <c r="N2647" t="b">
        <f>AND(TrafficData[[#This Row],[disposedChallan]]&lt;=TrafficData[[#This Row],[totalChallan]],TrafficData[[#This Row],[pendingChallan]]&lt;=TrafficData[[#This Row],[totalChallan]])</f>
        <v>1</v>
      </c>
      <c r="O2647" t="b">
        <f>AND(TrafficData[[#This Row],[pendingAmount]]&lt;=TrafficData[[#This Row],[totalAmount]],TrafficData[[#This Row],[disposedAmount]]&lt;=TrafficData[[#This Row],[totalAmount]])</f>
        <v>1</v>
      </c>
      <c r="P2647" t="b">
        <f>AND(TrafficData[[#This Row],[pendingCourt]]&lt;=TrafficData[[#This Row],[totalCourt]],TrafficData[[#This Row],[disposedCourt]]&lt;=TrafficData[[#This Row],[totalCourt]])</f>
        <v>1</v>
      </c>
    </row>
    <row r="2648" spans="1:16">
      <c r="A2648" s="1">
        <v>44652</v>
      </c>
      <c r="B2648">
        <v>132413</v>
      </c>
      <c r="C2648">
        <v>68714</v>
      </c>
      <c r="D2648">
        <v>63699</v>
      </c>
      <c r="E2648">
        <v>80580660</v>
      </c>
      <c r="F2648">
        <v>101038280</v>
      </c>
      <c r="G2648">
        <v>181618940</v>
      </c>
      <c r="H2648">
        <v>33728</v>
      </c>
      <c r="I2648">
        <v>10183</v>
      </c>
      <c r="J2648">
        <v>43911</v>
      </c>
      <c r="K2648" t="b">
        <f>TrafficData[[#This Row],[disposedChallan]]+TrafficData[[#This Row],[pendingChallan]]=TrafficData[[#This Row],[totalChallan]]</f>
        <v>1</v>
      </c>
      <c r="L2648" t="b">
        <f>TrafficData[[#This Row],[pendingAmount]]+TrafficData[[#This Row],[disposedAmount]]=TrafficData[[#This Row],[totalAmount]]</f>
        <v>1</v>
      </c>
      <c r="M2648" t="b">
        <f>TrafficData[[#This Row],[pendingCourt]]+TrafficData[[#This Row],[disposedCourt]]=TrafficData[[#This Row],[totalCourt]]</f>
        <v>1</v>
      </c>
      <c r="N2648" t="b">
        <f>AND(TrafficData[[#This Row],[disposedChallan]]&lt;=TrafficData[[#This Row],[totalChallan]],TrafficData[[#This Row],[pendingChallan]]&lt;=TrafficData[[#This Row],[totalChallan]])</f>
        <v>1</v>
      </c>
      <c r="O2648" t="b">
        <f>AND(TrafficData[[#This Row],[pendingAmount]]&lt;=TrafficData[[#This Row],[totalAmount]],TrafficData[[#This Row],[disposedAmount]]&lt;=TrafficData[[#This Row],[totalAmount]])</f>
        <v>1</v>
      </c>
      <c r="P2648" t="b">
        <f>AND(TrafficData[[#This Row],[pendingCourt]]&lt;=TrafficData[[#This Row],[totalCourt]],TrafficData[[#This Row],[disposedCourt]]&lt;=TrafficData[[#This Row],[totalCourt]])</f>
        <v>1</v>
      </c>
    </row>
    <row r="2649" spans="1:16">
      <c r="A2649" s="1">
        <v>44653</v>
      </c>
      <c r="B2649">
        <v>130721</v>
      </c>
      <c r="C2649">
        <v>68334</v>
      </c>
      <c r="D2649">
        <v>62387</v>
      </c>
      <c r="E2649">
        <v>81985305</v>
      </c>
      <c r="F2649">
        <v>93562191</v>
      </c>
      <c r="G2649">
        <v>175547496</v>
      </c>
      <c r="H2649">
        <v>31718</v>
      </c>
      <c r="I2649">
        <v>9808</v>
      </c>
      <c r="J2649">
        <v>41526</v>
      </c>
      <c r="K2649" t="b">
        <f>TrafficData[[#This Row],[disposedChallan]]+TrafficData[[#This Row],[pendingChallan]]=TrafficData[[#This Row],[totalChallan]]</f>
        <v>1</v>
      </c>
      <c r="L2649" t="b">
        <f>TrafficData[[#This Row],[pendingAmount]]+TrafficData[[#This Row],[disposedAmount]]=TrafficData[[#This Row],[totalAmount]]</f>
        <v>1</v>
      </c>
      <c r="M2649" t="b">
        <f>TrafficData[[#This Row],[pendingCourt]]+TrafficData[[#This Row],[disposedCourt]]=TrafficData[[#This Row],[totalCourt]]</f>
        <v>1</v>
      </c>
      <c r="N2649" t="b">
        <f>AND(TrafficData[[#This Row],[disposedChallan]]&lt;=TrafficData[[#This Row],[totalChallan]],TrafficData[[#This Row],[pendingChallan]]&lt;=TrafficData[[#This Row],[totalChallan]])</f>
        <v>1</v>
      </c>
      <c r="O2649" t="b">
        <f>AND(TrafficData[[#This Row],[pendingAmount]]&lt;=TrafficData[[#This Row],[totalAmount]],TrafficData[[#This Row],[disposedAmount]]&lt;=TrafficData[[#This Row],[totalAmount]])</f>
        <v>1</v>
      </c>
      <c r="P2649" t="b">
        <f>AND(TrafficData[[#This Row],[pendingCourt]]&lt;=TrafficData[[#This Row],[totalCourt]],TrafficData[[#This Row],[disposedCourt]]&lt;=TrafficData[[#This Row],[totalCourt]])</f>
        <v>1</v>
      </c>
    </row>
    <row r="2650" spans="1:16">
      <c r="A2650" s="1">
        <v>44654</v>
      </c>
      <c r="B2650">
        <v>109656</v>
      </c>
      <c r="C2650">
        <v>56101</v>
      </c>
      <c r="D2650">
        <v>53555</v>
      </c>
      <c r="E2650">
        <v>62091990</v>
      </c>
      <c r="F2650">
        <v>76006610</v>
      </c>
      <c r="G2650">
        <v>138098600</v>
      </c>
      <c r="H2650">
        <v>25129</v>
      </c>
      <c r="I2650">
        <v>7849</v>
      </c>
      <c r="J2650">
        <v>32978</v>
      </c>
      <c r="K2650" t="b">
        <f>TrafficData[[#This Row],[disposedChallan]]+TrafficData[[#This Row],[pendingChallan]]=TrafficData[[#This Row],[totalChallan]]</f>
        <v>1</v>
      </c>
      <c r="L2650" t="b">
        <f>TrafficData[[#This Row],[pendingAmount]]+TrafficData[[#This Row],[disposedAmount]]=TrafficData[[#This Row],[totalAmount]]</f>
        <v>1</v>
      </c>
      <c r="M2650" t="b">
        <f>TrafficData[[#This Row],[pendingCourt]]+TrafficData[[#This Row],[disposedCourt]]=TrafficData[[#This Row],[totalCourt]]</f>
        <v>1</v>
      </c>
      <c r="N2650" t="b">
        <f>AND(TrafficData[[#This Row],[disposedChallan]]&lt;=TrafficData[[#This Row],[totalChallan]],TrafficData[[#This Row],[pendingChallan]]&lt;=TrafficData[[#This Row],[totalChallan]])</f>
        <v>1</v>
      </c>
      <c r="O2650" t="b">
        <f>AND(TrafficData[[#This Row],[pendingAmount]]&lt;=TrafficData[[#This Row],[totalAmount]],TrafficData[[#This Row],[disposedAmount]]&lt;=TrafficData[[#This Row],[totalAmount]])</f>
        <v>1</v>
      </c>
      <c r="P2650" t="b">
        <f>AND(TrafficData[[#This Row],[pendingCourt]]&lt;=TrafficData[[#This Row],[totalCourt]],TrafficData[[#This Row],[disposedCourt]]&lt;=TrafficData[[#This Row],[totalCourt]])</f>
        <v>1</v>
      </c>
    </row>
    <row r="2651" spans="1:16">
      <c r="A2651" s="1">
        <v>44655</v>
      </c>
      <c r="B2651">
        <v>124388</v>
      </c>
      <c r="C2651">
        <v>65552</v>
      </c>
      <c r="D2651">
        <v>58836</v>
      </c>
      <c r="E2651">
        <v>84219983</v>
      </c>
      <c r="F2651">
        <v>94459764</v>
      </c>
      <c r="G2651">
        <v>178679747</v>
      </c>
      <c r="H2651">
        <v>30100</v>
      </c>
      <c r="I2651">
        <v>9744</v>
      </c>
      <c r="J2651">
        <v>39844</v>
      </c>
      <c r="K2651" t="b">
        <f>TrafficData[[#This Row],[disposedChallan]]+TrafficData[[#This Row],[pendingChallan]]=TrafficData[[#This Row],[totalChallan]]</f>
        <v>1</v>
      </c>
      <c r="L2651" t="b">
        <f>TrafficData[[#This Row],[pendingAmount]]+TrafficData[[#This Row],[disposedAmount]]=TrafficData[[#This Row],[totalAmount]]</f>
        <v>1</v>
      </c>
      <c r="M2651" t="b">
        <f>TrafficData[[#This Row],[pendingCourt]]+TrafficData[[#This Row],[disposedCourt]]=TrafficData[[#This Row],[totalCourt]]</f>
        <v>1</v>
      </c>
      <c r="N2651" t="b">
        <f>AND(TrafficData[[#This Row],[disposedChallan]]&lt;=TrafficData[[#This Row],[totalChallan]],TrafficData[[#This Row],[pendingChallan]]&lt;=TrafficData[[#This Row],[totalChallan]])</f>
        <v>1</v>
      </c>
      <c r="O2651" t="b">
        <f>AND(TrafficData[[#This Row],[pendingAmount]]&lt;=TrafficData[[#This Row],[totalAmount]],TrafficData[[#This Row],[disposedAmount]]&lt;=TrafficData[[#This Row],[totalAmount]])</f>
        <v>1</v>
      </c>
      <c r="P2651" t="b">
        <f>AND(TrafficData[[#This Row],[pendingCourt]]&lt;=TrafficData[[#This Row],[totalCourt]],TrafficData[[#This Row],[disposedCourt]]&lt;=TrafficData[[#This Row],[totalCourt]])</f>
        <v>1</v>
      </c>
    </row>
    <row r="2652" spans="1:16">
      <c r="A2652" s="1">
        <v>44656</v>
      </c>
      <c r="B2652">
        <v>133536</v>
      </c>
      <c r="C2652">
        <v>69534</v>
      </c>
      <c r="D2652">
        <v>64002</v>
      </c>
      <c r="E2652">
        <v>100851284</v>
      </c>
      <c r="F2652">
        <v>107994421</v>
      </c>
      <c r="G2652">
        <v>208845705</v>
      </c>
      <c r="H2652">
        <v>35610</v>
      </c>
      <c r="I2652">
        <v>10575</v>
      </c>
      <c r="J2652">
        <v>46185</v>
      </c>
      <c r="K2652" t="b">
        <f>TrafficData[[#This Row],[disposedChallan]]+TrafficData[[#This Row],[pendingChallan]]=TrafficData[[#This Row],[totalChallan]]</f>
        <v>1</v>
      </c>
      <c r="L2652" t="b">
        <f>TrafficData[[#This Row],[pendingAmount]]+TrafficData[[#This Row],[disposedAmount]]=TrafficData[[#This Row],[totalAmount]]</f>
        <v>1</v>
      </c>
      <c r="M2652" t="b">
        <f>TrafficData[[#This Row],[pendingCourt]]+TrafficData[[#This Row],[disposedCourt]]=TrafficData[[#This Row],[totalCourt]]</f>
        <v>1</v>
      </c>
      <c r="N2652" t="b">
        <f>AND(TrafficData[[#This Row],[disposedChallan]]&lt;=TrafficData[[#This Row],[totalChallan]],TrafficData[[#This Row],[pendingChallan]]&lt;=TrafficData[[#This Row],[totalChallan]])</f>
        <v>1</v>
      </c>
      <c r="O2652" t="b">
        <f>AND(TrafficData[[#This Row],[pendingAmount]]&lt;=TrafficData[[#This Row],[totalAmount]],TrafficData[[#This Row],[disposedAmount]]&lt;=TrafficData[[#This Row],[totalAmount]])</f>
        <v>1</v>
      </c>
      <c r="P2652" t="b">
        <f>AND(TrafficData[[#This Row],[pendingCourt]]&lt;=TrafficData[[#This Row],[totalCourt]],TrafficData[[#This Row],[disposedCourt]]&lt;=TrafficData[[#This Row],[totalCourt]])</f>
        <v>1</v>
      </c>
    </row>
    <row r="2653" spans="1:16">
      <c r="A2653" s="1">
        <v>44657</v>
      </c>
      <c r="B2653">
        <v>132793</v>
      </c>
      <c r="C2653">
        <v>68234</v>
      </c>
      <c r="D2653">
        <v>64559</v>
      </c>
      <c r="E2653">
        <v>97443742</v>
      </c>
      <c r="F2653">
        <v>109021099</v>
      </c>
      <c r="G2653">
        <v>206464841</v>
      </c>
      <c r="H2653">
        <v>35811</v>
      </c>
      <c r="I2653">
        <v>10605</v>
      </c>
      <c r="J2653">
        <v>46416</v>
      </c>
      <c r="K2653" t="b">
        <f>TrafficData[[#This Row],[disposedChallan]]+TrafficData[[#This Row],[pendingChallan]]=TrafficData[[#This Row],[totalChallan]]</f>
        <v>1</v>
      </c>
      <c r="L2653" t="b">
        <f>TrafficData[[#This Row],[pendingAmount]]+TrafficData[[#This Row],[disposedAmount]]=TrafficData[[#This Row],[totalAmount]]</f>
        <v>1</v>
      </c>
      <c r="M2653" t="b">
        <f>TrafficData[[#This Row],[pendingCourt]]+TrafficData[[#This Row],[disposedCourt]]=TrafficData[[#This Row],[totalCourt]]</f>
        <v>1</v>
      </c>
      <c r="N2653" t="b">
        <f>AND(TrafficData[[#This Row],[disposedChallan]]&lt;=TrafficData[[#This Row],[totalChallan]],TrafficData[[#This Row],[pendingChallan]]&lt;=TrafficData[[#This Row],[totalChallan]])</f>
        <v>1</v>
      </c>
      <c r="O2653" t="b">
        <f>AND(TrafficData[[#This Row],[pendingAmount]]&lt;=TrafficData[[#This Row],[totalAmount]],TrafficData[[#This Row],[disposedAmount]]&lt;=TrafficData[[#This Row],[totalAmount]])</f>
        <v>1</v>
      </c>
      <c r="P2653" t="b">
        <f>AND(TrafficData[[#This Row],[pendingCourt]]&lt;=TrafficData[[#This Row],[totalCourt]],TrafficData[[#This Row],[disposedCourt]]&lt;=TrafficData[[#This Row],[totalCourt]])</f>
        <v>1</v>
      </c>
    </row>
    <row r="2654" spans="1:16">
      <c r="A2654" s="1">
        <v>44658</v>
      </c>
      <c r="B2654">
        <v>132361</v>
      </c>
      <c r="C2654">
        <v>68821</v>
      </c>
      <c r="D2654">
        <v>63540</v>
      </c>
      <c r="E2654">
        <v>98140097</v>
      </c>
      <c r="F2654">
        <v>110283737</v>
      </c>
      <c r="G2654">
        <v>208423834</v>
      </c>
      <c r="H2654">
        <v>33719</v>
      </c>
      <c r="I2654">
        <v>10202</v>
      </c>
      <c r="J2654">
        <v>43921</v>
      </c>
      <c r="K2654" t="b">
        <f>TrafficData[[#This Row],[disposedChallan]]+TrafficData[[#This Row],[pendingChallan]]=TrafficData[[#This Row],[totalChallan]]</f>
        <v>1</v>
      </c>
      <c r="L2654" t="b">
        <f>TrafficData[[#This Row],[pendingAmount]]+TrafficData[[#This Row],[disposedAmount]]=TrafficData[[#This Row],[totalAmount]]</f>
        <v>1</v>
      </c>
      <c r="M2654" t="b">
        <f>TrafficData[[#This Row],[pendingCourt]]+TrafficData[[#This Row],[disposedCourt]]=TrafficData[[#This Row],[totalCourt]]</f>
        <v>1</v>
      </c>
      <c r="N2654" t="b">
        <f>AND(TrafficData[[#This Row],[disposedChallan]]&lt;=TrafficData[[#This Row],[totalChallan]],TrafficData[[#This Row],[pendingChallan]]&lt;=TrafficData[[#This Row],[totalChallan]])</f>
        <v>1</v>
      </c>
      <c r="O2654" t="b">
        <f>AND(TrafficData[[#This Row],[pendingAmount]]&lt;=TrafficData[[#This Row],[totalAmount]],TrafficData[[#This Row],[disposedAmount]]&lt;=TrafficData[[#This Row],[totalAmount]])</f>
        <v>1</v>
      </c>
      <c r="P2654" t="b">
        <f>AND(TrafficData[[#This Row],[pendingCourt]]&lt;=TrafficData[[#This Row],[totalCourt]],TrafficData[[#This Row],[disposedCourt]]&lt;=TrafficData[[#This Row],[totalCourt]])</f>
        <v>1</v>
      </c>
    </row>
    <row r="2655" spans="1:16">
      <c r="A2655" s="1">
        <v>44659</v>
      </c>
      <c r="B2655">
        <v>128740</v>
      </c>
      <c r="C2655">
        <v>64728</v>
      </c>
      <c r="D2655">
        <v>64012</v>
      </c>
      <c r="E2655">
        <v>88586634</v>
      </c>
      <c r="F2655">
        <v>96663597</v>
      </c>
      <c r="G2655">
        <v>185250231</v>
      </c>
      <c r="H2655">
        <v>34490</v>
      </c>
      <c r="I2655">
        <v>10364</v>
      </c>
      <c r="J2655">
        <v>44854</v>
      </c>
      <c r="K2655" t="b">
        <f>TrafficData[[#This Row],[disposedChallan]]+TrafficData[[#This Row],[pendingChallan]]=TrafficData[[#This Row],[totalChallan]]</f>
        <v>1</v>
      </c>
      <c r="L2655" t="b">
        <f>TrafficData[[#This Row],[pendingAmount]]+TrafficData[[#This Row],[disposedAmount]]=TrafficData[[#This Row],[totalAmount]]</f>
        <v>1</v>
      </c>
      <c r="M2655" t="b">
        <f>TrafficData[[#This Row],[pendingCourt]]+TrafficData[[#This Row],[disposedCourt]]=TrafficData[[#This Row],[totalCourt]]</f>
        <v>1</v>
      </c>
      <c r="N2655" t="b">
        <f>AND(TrafficData[[#This Row],[disposedChallan]]&lt;=TrafficData[[#This Row],[totalChallan]],TrafficData[[#This Row],[pendingChallan]]&lt;=TrafficData[[#This Row],[totalChallan]])</f>
        <v>1</v>
      </c>
      <c r="O2655" t="b">
        <f>AND(TrafficData[[#This Row],[pendingAmount]]&lt;=TrafficData[[#This Row],[totalAmount]],TrafficData[[#This Row],[disposedAmount]]&lt;=TrafficData[[#This Row],[totalAmount]])</f>
        <v>1</v>
      </c>
      <c r="P2655" t="b">
        <f>AND(TrafficData[[#This Row],[pendingCourt]]&lt;=TrafficData[[#This Row],[totalCourt]],TrafficData[[#This Row],[disposedCourt]]&lt;=TrafficData[[#This Row],[totalCourt]])</f>
        <v>1</v>
      </c>
    </row>
    <row r="2656" spans="1:16">
      <c r="A2656" s="1">
        <v>44660</v>
      </c>
      <c r="B2656">
        <v>126845</v>
      </c>
      <c r="C2656">
        <v>65715</v>
      </c>
      <c r="D2656">
        <v>61130</v>
      </c>
      <c r="E2656">
        <v>79475900</v>
      </c>
      <c r="F2656">
        <v>83660928</v>
      </c>
      <c r="G2656">
        <v>163136828</v>
      </c>
      <c r="H2656">
        <v>31998</v>
      </c>
      <c r="I2656">
        <v>10196</v>
      </c>
      <c r="J2656">
        <v>42194</v>
      </c>
      <c r="K2656" t="b">
        <f>TrafficData[[#This Row],[disposedChallan]]+TrafficData[[#This Row],[pendingChallan]]=TrafficData[[#This Row],[totalChallan]]</f>
        <v>1</v>
      </c>
      <c r="L2656" t="b">
        <f>TrafficData[[#This Row],[pendingAmount]]+TrafficData[[#This Row],[disposedAmount]]=TrafficData[[#This Row],[totalAmount]]</f>
        <v>1</v>
      </c>
      <c r="M2656" t="b">
        <f>TrafficData[[#This Row],[pendingCourt]]+TrafficData[[#This Row],[disposedCourt]]=TrafficData[[#This Row],[totalCourt]]</f>
        <v>1</v>
      </c>
      <c r="N2656" t="b">
        <f>AND(TrafficData[[#This Row],[disposedChallan]]&lt;=TrafficData[[#This Row],[totalChallan]],TrafficData[[#This Row],[pendingChallan]]&lt;=TrafficData[[#This Row],[totalChallan]])</f>
        <v>1</v>
      </c>
      <c r="O2656" t="b">
        <f>AND(TrafficData[[#This Row],[pendingAmount]]&lt;=TrafficData[[#This Row],[totalAmount]],TrafficData[[#This Row],[disposedAmount]]&lt;=TrafficData[[#This Row],[totalAmount]])</f>
        <v>1</v>
      </c>
      <c r="P2656" t="b">
        <f>AND(TrafficData[[#This Row],[pendingCourt]]&lt;=TrafficData[[#This Row],[totalCourt]],TrafficData[[#This Row],[disposedCourt]]&lt;=TrafficData[[#This Row],[totalCourt]])</f>
        <v>1</v>
      </c>
    </row>
    <row r="2657" spans="1:16">
      <c r="A2657" s="1">
        <v>44661</v>
      </c>
      <c r="B2657">
        <v>104931</v>
      </c>
      <c r="C2657">
        <v>52925</v>
      </c>
      <c r="D2657">
        <v>52006</v>
      </c>
      <c r="E2657">
        <v>62688790</v>
      </c>
      <c r="F2657">
        <v>64800714</v>
      </c>
      <c r="G2657">
        <v>127489504</v>
      </c>
      <c r="H2657">
        <v>25187</v>
      </c>
      <c r="I2657">
        <v>8169</v>
      </c>
      <c r="J2657">
        <v>33356</v>
      </c>
      <c r="K2657" t="b">
        <f>TrafficData[[#This Row],[disposedChallan]]+TrafficData[[#This Row],[pendingChallan]]=TrafficData[[#This Row],[totalChallan]]</f>
        <v>1</v>
      </c>
      <c r="L2657" t="b">
        <f>TrafficData[[#This Row],[pendingAmount]]+TrafficData[[#This Row],[disposedAmount]]=TrafficData[[#This Row],[totalAmount]]</f>
        <v>1</v>
      </c>
      <c r="M2657" t="b">
        <f>TrafficData[[#This Row],[pendingCourt]]+TrafficData[[#This Row],[disposedCourt]]=TrafficData[[#This Row],[totalCourt]]</f>
        <v>1</v>
      </c>
      <c r="N2657" t="b">
        <f>AND(TrafficData[[#This Row],[disposedChallan]]&lt;=TrafficData[[#This Row],[totalChallan]],TrafficData[[#This Row],[pendingChallan]]&lt;=TrafficData[[#This Row],[totalChallan]])</f>
        <v>1</v>
      </c>
      <c r="O2657" t="b">
        <f>AND(TrafficData[[#This Row],[pendingAmount]]&lt;=TrafficData[[#This Row],[totalAmount]],TrafficData[[#This Row],[disposedAmount]]&lt;=TrafficData[[#This Row],[totalAmount]])</f>
        <v>1</v>
      </c>
      <c r="P2657" t="b">
        <f>AND(TrafficData[[#This Row],[pendingCourt]]&lt;=TrafficData[[#This Row],[totalCourt]],TrafficData[[#This Row],[disposedCourt]]&lt;=TrafficData[[#This Row],[totalCourt]])</f>
        <v>1</v>
      </c>
    </row>
    <row r="2658" spans="1:16">
      <c r="A2658" s="1">
        <v>44662</v>
      </c>
      <c r="B2658">
        <v>134624</v>
      </c>
      <c r="C2658">
        <v>65922</v>
      </c>
      <c r="D2658">
        <v>68702</v>
      </c>
      <c r="E2658">
        <v>91606108</v>
      </c>
      <c r="F2658">
        <v>88775301</v>
      </c>
      <c r="G2658">
        <v>180381409</v>
      </c>
      <c r="H2658">
        <v>37604</v>
      </c>
      <c r="I2658">
        <v>11185</v>
      </c>
      <c r="J2658">
        <v>48789</v>
      </c>
      <c r="K2658" t="b">
        <f>TrafficData[[#This Row],[disposedChallan]]+TrafficData[[#This Row],[pendingChallan]]=TrafficData[[#This Row],[totalChallan]]</f>
        <v>1</v>
      </c>
      <c r="L2658" t="b">
        <f>TrafficData[[#This Row],[pendingAmount]]+TrafficData[[#This Row],[disposedAmount]]=TrafficData[[#This Row],[totalAmount]]</f>
        <v>1</v>
      </c>
      <c r="M2658" t="b">
        <f>TrafficData[[#This Row],[pendingCourt]]+TrafficData[[#This Row],[disposedCourt]]=TrafficData[[#This Row],[totalCourt]]</f>
        <v>1</v>
      </c>
      <c r="N2658" t="b">
        <f>AND(TrafficData[[#This Row],[disposedChallan]]&lt;=TrafficData[[#This Row],[totalChallan]],TrafficData[[#This Row],[pendingChallan]]&lt;=TrafficData[[#This Row],[totalChallan]])</f>
        <v>1</v>
      </c>
      <c r="O2658" t="b">
        <f>AND(TrafficData[[#This Row],[pendingAmount]]&lt;=TrafficData[[#This Row],[totalAmount]],TrafficData[[#This Row],[disposedAmount]]&lt;=TrafficData[[#This Row],[totalAmount]])</f>
        <v>1</v>
      </c>
      <c r="P2658" t="b">
        <f>AND(TrafficData[[#This Row],[pendingCourt]]&lt;=TrafficData[[#This Row],[totalCourt]],TrafficData[[#This Row],[disposedCourt]]&lt;=TrafficData[[#This Row],[totalCourt]])</f>
        <v>1</v>
      </c>
    </row>
    <row r="2659" spans="1:16">
      <c r="A2659" s="1">
        <v>44663</v>
      </c>
      <c r="B2659">
        <v>132531</v>
      </c>
      <c r="C2659">
        <v>66955</v>
      </c>
      <c r="D2659">
        <v>65576</v>
      </c>
      <c r="E2659">
        <v>94686866</v>
      </c>
      <c r="F2659">
        <v>102255695</v>
      </c>
      <c r="G2659">
        <v>196942561</v>
      </c>
      <c r="H2659">
        <v>34778</v>
      </c>
      <c r="I2659">
        <v>10647</v>
      </c>
      <c r="J2659">
        <v>45425</v>
      </c>
      <c r="K2659" t="b">
        <f>TrafficData[[#This Row],[disposedChallan]]+TrafficData[[#This Row],[pendingChallan]]=TrafficData[[#This Row],[totalChallan]]</f>
        <v>1</v>
      </c>
      <c r="L2659" t="b">
        <f>TrafficData[[#This Row],[pendingAmount]]+TrafficData[[#This Row],[disposedAmount]]=TrafficData[[#This Row],[totalAmount]]</f>
        <v>1</v>
      </c>
      <c r="M2659" t="b">
        <f>TrafficData[[#This Row],[pendingCourt]]+TrafficData[[#This Row],[disposedCourt]]=TrafficData[[#This Row],[totalCourt]]</f>
        <v>1</v>
      </c>
      <c r="N2659" t="b">
        <f>AND(TrafficData[[#This Row],[disposedChallan]]&lt;=TrafficData[[#This Row],[totalChallan]],TrafficData[[#This Row],[pendingChallan]]&lt;=TrafficData[[#This Row],[totalChallan]])</f>
        <v>1</v>
      </c>
      <c r="O2659" t="b">
        <f>AND(TrafficData[[#This Row],[pendingAmount]]&lt;=TrafficData[[#This Row],[totalAmount]],TrafficData[[#This Row],[disposedAmount]]&lt;=TrafficData[[#This Row],[totalAmount]])</f>
        <v>1</v>
      </c>
      <c r="P2659" t="b">
        <f>AND(TrafficData[[#This Row],[pendingCourt]]&lt;=TrafficData[[#This Row],[totalCourt]],TrafficData[[#This Row],[disposedCourt]]&lt;=TrafficData[[#This Row],[totalCourt]])</f>
        <v>1</v>
      </c>
    </row>
    <row r="2660" spans="1:16">
      <c r="A2660" s="1">
        <v>44664</v>
      </c>
      <c r="B2660">
        <v>131961</v>
      </c>
      <c r="C2660">
        <v>65366</v>
      </c>
      <c r="D2660">
        <v>66595</v>
      </c>
      <c r="E2660">
        <v>89895636</v>
      </c>
      <c r="F2660">
        <v>96842110</v>
      </c>
      <c r="G2660">
        <v>186737746</v>
      </c>
      <c r="H2660">
        <v>37200</v>
      </c>
      <c r="I2660">
        <v>11129</v>
      </c>
      <c r="J2660">
        <v>48329</v>
      </c>
      <c r="K2660" t="b">
        <f>TrafficData[[#This Row],[disposedChallan]]+TrafficData[[#This Row],[pendingChallan]]=TrafficData[[#This Row],[totalChallan]]</f>
        <v>1</v>
      </c>
      <c r="L2660" t="b">
        <f>TrafficData[[#This Row],[pendingAmount]]+TrafficData[[#This Row],[disposedAmount]]=TrafficData[[#This Row],[totalAmount]]</f>
        <v>1</v>
      </c>
      <c r="M2660" t="b">
        <f>TrafficData[[#This Row],[pendingCourt]]+TrafficData[[#This Row],[disposedCourt]]=TrafficData[[#This Row],[totalCourt]]</f>
        <v>1</v>
      </c>
      <c r="N2660" t="b">
        <f>AND(TrafficData[[#This Row],[disposedChallan]]&lt;=TrafficData[[#This Row],[totalChallan]],TrafficData[[#This Row],[pendingChallan]]&lt;=TrafficData[[#This Row],[totalChallan]])</f>
        <v>1</v>
      </c>
      <c r="O2660" t="b">
        <f>AND(TrafficData[[#This Row],[pendingAmount]]&lt;=TrafficData[[#This Row],[totalAmount]],TrafficData[[#This Row],[disposedAmount]]&lt;=TrafficData[[#This Row],[totalAmount]])</f>
        <v>1</v>
      </c>
      <c r="P2660" t="b">
        <f>AND(TrafficData[[#This Row],[pendingCourt]]&lt;=TrafficData[[#This Row],[totalCourt]],TrafficData[[#This Row],[disposedCourt]]&lt;=TrafficData[[#This Row],[totalCourt]])</f>
        <v>1</v>
      </c>
    </row>
    <row r="2661" spans="1:16">
      <c r="A2661" s="1">
        <v>44665</v>
      </c>
      <c r="B2661">
        <v>114374</v>
      </c>
      <c r="C2661">
        <v>56295</v>
      </c>
      <c r="D2661">
        <v>58079</v>
      </c>
      <c r="E2661">
        <v>76065433</v>
      </c>
      <c r="F2661">
        <v>69819444</v>
      </c>
      <c r="G2661">
        <v>145884877</v>
      </c>
      <c r="H2661">
        <v>32184</v>
      </c>
      <c r="I2661">
        <v>9946</v>
      </c>
      <c r="J2661">
        <v>42130</v>
      </c>
      <c r="K2661" t="b">
        <f>TrafficData[[#This Row],[disposedChallan]]+TrafficData[[#This Row],[pendingChallan]]=TrafficData[[#This Row],[totalChallan]]</f>
        <v>1</v>
      </c>
      <c r="L2661" t="b">
        <f>TrafficData[[#This Row],[pendingAmount]]+TrafficData[[#This Row],[disposedAmount]]=TrafficData[[#This Row],[totalAmount]]</f>
        <v>1</v>
      </c>
      <c r="M2661" t="b">
        <f>TrafficData[[#This Row],[pendingCourt]]+TrafficData[[#This Row],[disposedCourt]]=TrafficData[[#This Row],[totalCourt]]</f>
        <v>1</v>
      </c>
      <c r="N2661" t="b">
        <f>AND(TrafficData[[#This Row],[disposedChallan]]&lt;=TrafficData[[#This Row],[totalChallan]],TrafficData[[#This Row],[pendingChallan]]&lt;=TrafficData[[#This Row],[totalChallan]])</f>
        <v>1</v>
      </c>
      <c r="O2661" t="b">
        <f>AND(TrafficData[[#This Row],[pendingAmount]]&lt;=TrafficData[[#This Row],[totalAmount]],TrafficData[[#This Row],[disposedAmount]]&lt;=TrafficData[[#This Row],[totalAmount]])</f>
        <v>1</v>
      </c>
      <c r="P2661" t="b">
        <f>AND(TrafficData[[#This Row],[pendingCourt]]&lt;=TrafficData[[#This Row],[totalCourt]],TrafficData[[#This Row],[disposedCourt]]&lt;=TrafficData[[#This Row],[totalCourt]])</f>
        <v>1</v>
      </c>
    </row>
    <row r="2662" spans="1:16">
      <c r="A2662" s="1">
        <v>44666</v>
      </c>
      <c r="B2662">
        <v>114232</v>
      </c>
      <c r="C2662">
        <v>54037</v>
      </c>
      <c r="D2662">
        <v>60195</v>
      </c>
      <c r="E2662">
        <v>79790143</v>
      </c>
      <c r="F2662">
        <v>68022968</v>
      </c>
      <c r="G2662">
        <v>147813111</v>
      </c>
      <c r="H2662">
        <v>33282</v>
      </c>
      <c r="I2662">
        <v>10238</v>
      </c>
      <c r="J2662">
        <v>43520</v>
      </c>
      <c r="K2662" t="b">
        <f>TrafficData[[#This Row],[disposedChallan]]+TrafficData[[#This Row],[pendingChallan]]=TrafficData[[#This Row],[totalChallan]]</f>
        <v>1</v>
      </c>
      <c r="L2662" t="b">
        <f>TrafficData[[#This Row],[pendingAmount]]+TrafficData[[#This Row],[disposedAmount]]=TrafficData[[#This Row],[totalAmount]]</f>
        <v>1</v>
      </c>
      <c r="M2662" t="b">
        <f>TrafficData[[#This Row],[pendingCourt]]+TrafficData[[#This Row],[disposedCourt]]=TrafficData[[#This Row],[totalCourt]]</f>
        <v>1</v>
      </c>
      <c r="N2662" t="b">
        <f>AND(TrafficData[[#This Row],[disposedChallan]]&lt;=TrafficData[[#This Row],[totalChallan]],TrafficData[[#This Row],[pendingChallan]]&lt;=TrafficData[[#This Row],[totalChallan]])</f>
        <v>1</v>
      </c>
      <c r="O2662" t="b">
        <f>AND(TrafficData[[#This Row],[pendingAmount]]&lt;=TrafficData[[#This Row],[totalAmount]],TrafficData[[#This Row],[disposedAmount]]&lt;=TrafficData[[#This Row],[totalAmount]])</f>
        <v>1</v>
      </c>
      <c r="P2662" t="b">
        <f>AND(TrafficData[[#This Row],[pendingCourt]]&lt;=TrafficData[[#This Row],[totalCourt]],TrafficData[[#This Row],[disposedCourt]]&lt;=TrafficData[[#This Row],[totalCourt]])</f>
        <v>1</v>
      </c>
    </row>
    <row r="2663" spans="1:16">
      <c r="A2663" s="1">
        <v>44667</v>
      </c>
      <c r="B2663">
        <v>125526</v>
      </c>
      <c r="C2663">
        <v>62795</v>
      </c>
      <c r="D2663">
        <v>62731</v>
      </c>
      <c r="E2663">
        <v>83459762</v>
      </c>
      <c r="F2663">
        <v>78264783</v>
      </c>
      <c r="G2663">
        <v>161724545</v>
      </c>
      <c r="H2663">
        <v>35579</v>
      </c>
      <c r="I2663">
        <v>10712</v>
      </c>
      <c r="J2663">
        <v>46291</v>
      </c>
      <c r="K2663" t="b">
        <f>TrafficData[[#This Row],[disposedChallan]]+TrafficData[[#This Row],[pendingChallan]]=TrafficData[[#This Row],[totalChallan]]</f>
        <v>1</v>
      </c>
      <c r="L2663" t="b">
        <f>TrafficData[[#This Row],[pendingAmount]]+TrafficData[[#This Row],[disposedAmount]]=TrafficData[[#This Row],[totalAmount]]</f>
        <v>1</v>
      </c>
      <c r="M2663" t="b">
        <f>TrafficData[[#This Row],[pendingCourt]]+TrafficData[[#This Row],[disposedCourt]]=TrafficData[[#This Row],[totalCourt]]</f>
        <v>1</v>
      </c>
      <c r="N2663" t="b">
        <f>AND(TrafficData[[#This Row],[disposedChallan]]&lt;=TrafficData[[#This Row],[totalChallan]],TrafficData[[#This Row],[pendingChallan]]&lt;=TrafficData[[#This Row],[totalChallan]])</f>
        <v>1</v>
      </c>
      <c r="O2663" t="b">
        <f>AND(TrafficData[[#This Row],[pendingAmount]]&lt;=TrafficData[[#This Row],[totalAmount]],TrafficData[[#This Row],[disposedAmount]]&lt;=TrafficData[[#This Row],[totalAmount]])</f>
        <v>1</v>
      </c>
      <c r="P2663" t="b">
        <f>AND(TrafficData[[#This Row],[pendingCourt]]&lt;=TrafficData[[#This Row],[totalCourt]],TrafficData[[#This Row],[disposedCourt]]&lt;=TrafficData[[#This Row],[totalCourt]])</f>
        <v>1</v>
      </c>
    </row>
    <row r="2664" spans="1:16">
      <c r="A2664" s="1">
        <v>44668</v>
      </c>
      <c r="B2664">
        <v>110178</v>
      </c>
      <c r="C2664">
        <v>52111</v>
      </c>
      <c r="D2664">
        <v>58067</v>
      </c>
      <c r="E2664">
        <v>67322075</v>
      </c>
      <c r="F2664">
        <v>58415651</v>
      </c>
      <c r="G2664">
        <v>125737726</v>
      </c>
      <c r="H2664">
        <v>32277</v>
      </c>
      <c r="I2664">
        <v>9627</v>
      </c>
      <c r="J2664">
        <v>41904</v>
      </c>
      <c r="K2664" t="b">
        <f>TrafficData[[#This Row],[disposedChallan]]+TrafficData[[#This Row],[pendingChallan]]=TrafficData[[#This Row],[totalChallan]]</f>
        <v>1</v>
      </c>
      <c r="L2664" t="b">
        <f>TrafficData[[#This Row],[pendingAmount]]+TrafficData[[#This Row],[disposedAmount]]=TrafficData[[#This Row],[totalAmount]]</f>
        <v>1</v>
      </c>
      <c r="M2664" t="b">
        <f>TrafficData[[#This Row],[pendingCourt]]+TrafficData[[#This Row],[disposedCourt]]=TrafficData[[#This Row],[totalCourt]]</f>
        <v>1</v>
      </c>
      <c r="N2664" t="b">
        <f>AND(TrafficData[[#This Row],[disposedChallan]]&lt;=TrafficData[[#This Row],[totalChallan]],TrafficData[[#This Row],[pendingChallan]]&lt;=TrafficData[[#This Row],[totalChallan]])</f>
        <v>1</v>
      </c>
      <c r="O2664" t="b">
        <f>AND(TrafficData[[#This Row],[pendingAmount]]&lt;=TrafficData[[#This Row],[totalAmount]],TrafficData[[#This Row],[disposedAmount]]&lt;=TrafficData[[#This Row],[totalAmount]])</f>
        <v>1</v>
      </c>
      <c r="P2664" t="b">
        <f>AND(TrafficData[[#This Row],[pendingCourt]]&lt;=TrafficData[[#This Row],[totalCourt]],TrafficData[[#This Row],[disposedCourt]]&lt;=TrafficData[[#This Row],[totalCourt]])</f>
        <v>1</v>
      </c>
    </row>
    <row r="2665" spans="1:16">
      <c r="A2665" s="1">
        <v>44669</v>
      </c>
      <c r="B2665">
        <v>131730</v>
      </c>
      <c r="C2665">
        <v>63886</v>
      </c>
      <c r="D2665">
        <v>67844</v>
      </c>
      <c r="E2665">
        <v>85827819</v>
      </c>
      <c r="F2665">
        <v>78268696</v>
      </c>
      <c r="G2665">
        <v>164096515</v>
      </c>
      <c r="H2665">
        <v>38683</v>
      </c>
      <c r="I2665">
        <v>11177</v>
      </c>
      <c r="J2665">
        <v>49860</v>
      </c>
      <c r="K2665" t="b">
        <f>TrafficData[[#This Row],[disposedChallan]]+TrafficData[[#This Row],[pendingChallan]]=TrafficData[[#This Row],[totalChallan]]</f>
        <v>1</v>
      </c>
      <c r="L2665" t="b">
        <f>TrafficData[[#This Row],[pendingAmount]]+TrafficData[[#This Row],[disposedAmount]]=TrafficData[[#This Row],[totalAmount]]</f>
        <v>1</v>
      </c>
      <c r="M2665" t="b">
        <f>TrafficData[[#This Row],[pendingCourt]]+TrafficData[[#This Row],[disposedCourt]]=TrafficData[[#This Row],[totalCourt]]</f>
        <v>1</v>
      </c>
      <c r="N2665" t="b">
        <f>AND(TrafficData[[#This Row],[disposedChallan]]&lt;=TrafficData[[#This Row],[totalChallan]],TrafficData[[#This Row],[pendingChallan]]&lt;=TrafficData[[#This Row],[totalChallan]])</f>
        <v>1</v>
      </c>
      <c r="O2665" t="b">
        <f>AND(TrafficData[[#This Row],[pendingAmount]]&lt;=TrafficData[[#This Row],[totalAmount]],TrafficData[[#This Row],[disposedAmount]]&lt;=TrafficData[[#This Row],[totalAmount]])</f>
        <v>1</v>
      </c>
      <c r="P2665" t="b">
        <f>AND(TrafficData[[#This Row],[pendingCourt]]&lt;=TrafficData[[#This Row],[totalCourt]],TrafficData[[#This Row],[disposedCourt]]&lt;=TrafficData[[#This Row],[totalCourt]])</f>
        <v>1</v>
      </c>
    </row>
    <row r="2666" spans="1:16">
      <c r="A2666" s="1">
        <v>44670</v>
      </c>
      <c r="B2666">
        <v>128474</v>
      </c>
      <c r="C2666">
        <v>63993</v>
      </c>
      <c r="D2666">
        <v>64481</v>
      </c>
      <c r="E2666">
        <v>87987053</v>
      </c>
      <c r="F2666">
        <v>89700577</v>
      </c>
      <c r="G2666">
        <v>177687630</v>
      </c>
      <c r="H2666">
        <v>36766</v>
      </c>
      <c r="I2666">
        <v>10586</v>
      </c>
      <c r="J2666">
        <v>47352</v>
      </c>
      <c r="K2666" t="b">
        <f>TrafficData[[#This Row],[disposedChallan]]+TrafficData[[#This Row],[pendingChallan]]=TrafficData[[#This Row],[totalChallan]]</f>
        <v>1</v>
      </c>
      <c r="L2666" t="b">
        <f>TrafficData[[#This Row],[pendingAmount]]+TrafficData[[#This Row],[disposedAmount]]=TrafficData[[#This Row],[totalAmount]]</f>
        <v>1</v>
      </c>
      <c r="M2666" t="b">
        <f>TrafficData[[#This Row],[pendingCourt]]+TrafficData[[#This Row],[disposedCourt]]=TrafficData[[#This Row],[totalCourt]]</f>
        <v>1</v>
      </c>
      <c r="N2666" t="b">
        <f>AND(TrafficData[[#This Row],[disposedChallan]]&lt;=TrafficData[[#This Row],[totalChallan]],TrafficData[[#This Row],[pendingChallan]]&lt;=TrafficData[[#This Row],[totalChallan]])</f>
        <v>1</v>
      </c>
      <c r="O2666" t="b">
        <f>AND(TrafficData[[#This Row],[pendingAmount]]&lt;=TrafficData[[#This Row],[totalAmount]],TrafficData[[#This Row],[disposedAmount]]&lt;=TrafficData[[#This Row],[totalAmount]])</f>
        <v>1</v>
      </c>
      <c r="P2666" t="b">
        <f>AND(TrafficData[[#This Row],[pendingCourt]]&lt;=TrafficData[[#This Row],[totalCourt]],TrafficData[[#This Row],[disposedCourt]]&lt;=TrafficData[[#This Row],[totalCourt]])</f>
        <v>1</v>
      </c>
    </row>
    <row r="2667" spans="1:16">
      <c r="A2667" s="1">
        <v>44671</v>
      </c>
      <c r="B2667">
        <v>137930</v>
      </c>
      <c r="C2667">
        <v>68211</v>
      </c>
      <c r="D2667">
        <v>69719</v>
      </c>
      <c r="E2667">
        <v>94810352</v>
      </c>
      <c r="F2667">
        <v>93481826</v>
      </c>
      <c r="G2667">
        <v>188292178</v>
      </c>
      <c r="H2667">
        <v>39038</v>
      </c>
      <c r="I2667">
        <v>11058</v>
      </c>
      <c r="J2667">
        <v>50096</v>
      </c>
      <c r="K2667" t="b">
        <f>TrafficData[[#This Row],[disposedChallan]]+TrafficData[[#This Row],[pendingChallan]]=TrafficData[[#This Row],[totalChallan]]</f>
        <v>1</v>
      </c>
      <c r="L2667" t="b">
        <f>TrafficData[[#This Row],[pendingAmount]]+TrafficData[[#This Row],[disposedAmount]]=TrafficData[[#This Row],[totalAmount]]</f>
        <v>1</v>
      </c>
      <c r="M2667" t="b">
        <f>TrafficData[[#This Row],[pendingCourt]]+TrafficData[[#This Row],[disposedCourt]]=TrafficData[[#This Row],[totalCourt]]</f>
        <v>1</v>
      </c>
      <c r="N2667" t="b">
        <f>AND(TrafficData[[#This Row],[disposedChallan]]&lt;=TrafficData[[#This Row],[totalChallan]],TrafficData[[#This Row],[pendingChallan]]&lt;=TrafficData[[#This Row],[totalChallan]])</f>
        <v>1</v>
      </c>
      <c r="O2667" t="b">
        <f>AND(TrafficData[[#This Row],[pendingAmount]]&lt;=TrafficData[[#This Row],[totalAmount]],TrafficData[[#This Row],[disposedAmount]]&lt;=TrafficData[[#This Row],[totalAmount]])</f>
        <v>1</v>
      </c>
      <c r="P2667" t="b">
        <f>AND(TrafficData[[#This Row],[pendingCourt]]&lt;=TrafficData[[#This Row],[totalCourt]],TrafficData[[#This Row],[disposedCourt]]&lt;=TrafficData[[#This Row],[totalCourt]])</f>
        <v>1</v>
      </c>
    </row>
    <row r="2668" spans="1:16">
      <c r="A2668" s="1">
        <v>44672</v>
      </c>
      <c r="B2668">
        <v>140039</v>
      </c>
      <c r="C2668">
        <v>68547</v>
      </c>
      <c r="D2668">
        <v>71492</v>
      </c>
      <c r="E2668">
        <v>95412637</v>
      </c>
      <c r="F2668">
        <v>94641978</v>
      </c>
      <c r="G2668">
        <v>190054615</v>
      </c>
      <c r="H2668">
        <v>38394</v>
      </c>
      <c r="I2668">
        <v>10893</v>
      </c>
      <c r="J2668">
        <v>49287</v>
      </c>
      <c r="K2668" t="b">
        <f>TrafficData[[#This Row],[disposedChallan]]+TrafficData[[#This Row],[pendingChallan]]=TrafficData[[#This Row],[totalChallan]]</f>
        <v>1</v>
      </c>
      <c r="L2668" t="b">
        <f>TrafficData[[#This Row],[pendingAmount]]+TrafficData[[#This Row],[disposedAmount]]=TrafficData[[#This Row],[totalAmount]]</f>
        <v>1</v>
      </c>
      <c r="M2668" t="b">
        <f>TrafficData[[#This Row],[pendingCourt]]+TrafficData[[#This Row],[disposedCourt]]=TrafficData[[#This Row],[totalCourt]]</f>
        <v>1</v>
      </c>
      <c r="N2668" t="b">
        <f>AND(TrafficData[[#This Row],[disposedChallan]]&lt;=TrafficData[[#This Row],[totalChallan]],TrafficData[[#This Row],[pendingChallan]]&lt;=TrafficData[[#This Row],[totalChallan]])</f>
        <v>1</v>
      </c>
      <c r="O2668" t="b">
        <f>AND(TrafficData[[#This Row],[pendingAmount]]&lt;=TrafficData[[#This Row],[totalAmount]],TrafficData[[#This Row],[disposedAmount]]&lt;=TrafficData[[#This Row],[totalAmount]])</f>
        <v>1</v>
      </c>
      <c r="P2668" t="b">
        <f>AND(TrafficData[[#This Row],[pendingCourt]]&lt;=TrafficData[[#This Row],[totalCourt]],TrafficData[[#This Row],[disposedCourt]]&lt;=TrafficData[[#This Row],[totalCourt]])</f>
        <v>1</v>
      </c>
    </row>
    <row r="2669" spans="1:16">
      <c r="A2669" s="1">
        <v>44673</v>
      </c>
      <c r="B2669">
        <v>135075</v>
      </c>
      <c r="C2669">
        <v>67489</v>
      </c>
      <c r="D2669">
        <v>67586</v>
      </c>
      <c r="E2669">
        <v>94793802</v>
      </c>
      <c r="F2669">
        <v>89929404</v>
      </c>
      <c r="G2669">
        <v>184723206</v>
      </c>
      <c r="H2669">
        <v>36289</v>
      </c>
      <c r="I2669">
        <v>10565</v>
      </c>
      <c r="J2669">
        <v>46854</v>
      </c>
      <c r="K2669" t="b">
        <f>TrafficData[[#This Row],[disposedChallan]]+TrafficData[[#This Row],[pendingChallan]]=TrafficData[[#This Row],[totalChallan]]</f>
        <v>1</v>
      </c>
      <c r="L2669" t="b">
        <f>TrafficData[[#This Row],[pendingAmount]]+TrafficData[[#This Row],[disposedAmount]]=TrafficData[[#This Row],[totalAmount]]</f>
        <v>1</v>
      </c>
      <c r="M2669" t="b">
        <f>TrafficData[[#This Row],[pendingCourt]]+TrafficData[[#This Row],[disposedCourt]]=TrafficData[[#This Row],[totalCourt]]</f>
        <v>1</v>
      </c>
      <c r="N2669" t="b">
        <f>AND(TrafficData[[#This Row],[disposedChallan]]&lt;=TrafficData[[#This Row],[totalChallan]],TrafficData[[#This Row],[pendingChallan]]&lt;=TrafficData[[#This Row],[totalChallan]])</f>
        <v>1</v>
      </c>
      <c r="O2669" t="b">
        <f>AND(TrafficData[[#This Row],[pendingAmount]]&lt;=TrafficData[[#This Row],[totalAmount]],TrafficData[[#This Row],[disposedAmount]]&lt;=TrafficData[[#This Row],[totalAmount]])</f>
        <v>1</v>
      </c>
      <c r="P2669" t="b">
        <f>AND(TrafficData[[#This Row],[pendingCourt]]&lt;=TrafficData[[#This Row],[totalCourt]],TrafficData[[#This Row],[disposedCourt]]&lt;=TrafficData[[#This Row],[totalCourt]])</f>
        <v>1</v>
      </c>
    </row>
    <row r="2670" spans="1:16">
      <c r="A2670" s="1">
        <v>44674</v>
      </c>
      <c r="B2670">
        <v>134835</v>
      </c>
      <c r="C2670">
        <v>66906</v>
      </c>
      <c r="D2670">
        <v>67929</v>
      </c>
      <c r="E2670">
        <v>97288445</v>
      </c>
      <c r="F2670">
        <v>80608740</v>
      </c>
      <c r="G2670">
        <v>177897185</v>
      </c>
      <c r="H2670">
        <v>37850</v>
      </c>
      <c r="I2670">
        <v>11073</v>
      </c>
      <c r="J2670">
        <v>48923</v>
      </c>
      <c r="K2670" t="b">
        <f>TrafficData[[#This Row],[disposedChallan]]+TrafficData[[#This Row],[pendingChallan]]=TrafficData[[#This Row],[totalChallan]]</f>
        <v>1</v>
      </c>
      <c r="L2670" t="b">
        <f>TrafficData[[#This Row],[pendingAmount]]+TrafficData[[#This Row],[disposedAmount]]=TrafficData[[#This Row],[totalAmount]]</f>
        <v>1</v>
      </c>
      <c r="M2670" t="b">
        <f>TrafficData[[#This Row],[pendingCourt]]+TrafficData[[#This Row],[disposedCourt]]=TrafficData[[#This Row],[totalCourt]]</f>
        <v>1</v>
      </c>
      <c r="N2670" t="b">
        <f>AND(TrafficData[[#This Row],[disposedChallan]]&lt;=TrafficData[[#This Row],[totalChallan]],TrafficData[[#This Row],[pendingChallan]]&lt;=TrafficData[[#This Row],[totalChallan]])</f>
        <v>1</v>
      </c>
      <c r="O2670" t="b">
        <f>AND(TrafficData[[#This Row],[pendingAmount]]&lt;=TrafficData[[#This Row],[totalAmount]],TrafficData[[#This Row],[disposedAmount]]&lt;=TrafficData[[#This Row],[totalAmount]])</f>
        <v>1</v>
      </c>
      <c r="P2670" t="b">
        <f>AND(TrafficData[[#This Row],[pendingCourt]]&lt;=TrafficData[[#This Row],[totalCourt]],TrafficData[[#This Row],[disposedCourt]]&lt;=TrafficData[[#This Row],[totalCourt]])</f>
        <v>1</v>
      </c>
    </row>
    <row r="2671" spans="1:16">
      <c r="A2671" s="1">
        <v>44675</v>
      </c>
      <c r="B2671">
        <v>123729</v>
      </c>
      <c r="C2671">
        <v>58296</v>
      </c>
      <c r="D2671">
        <v>65433</v>
      </c>
      <c r="E2671">
        <v>77039617</v>
      </c>
      <c r="F2671">
        <v>67133927</v>
      </c>
      <c r="G2671">
        <v>144173544</v>
      </c>
      <c r="H2671">
        <v>37330</v>
      </c>
      <c r="I2671">
        <v>10891</v>
      </c>
      <c r="J2671">
        <v>48221</v>
      </c>
      <c r="K2671" t="b">
        <f>TrafficData[[#This Row],[disposedChallan]]+TrafficData[[#This Row],[pendingChallan]]=TrafficData[[#This Row],[totalChallan]]</f>
        <v>1</v>
      </c>
      <c r="L2671" t="b">
        <f>TrafficData[[#This Row],[pendingAmount]]+TrafficData[[#This Row],[disposedAmount]]=TrafficData[[#This Row],[totalAmount]]</f>
        <v>1</v>
      </c>
      <c r="M2671" t="b">
        <f>TrafficData[[#This Row],[pendingCourt]]+TrafficData[[#This Row],[disposedCourt]]=TrafficData[[#This Row],[totalCourt]]</f>
        <v>1</v>
      </c>
      <c r="N2671" t="b">
        <f>AND(TrafficData[[#This Row],[disposedChallan]]&lt;=TrafficData[[#This Row],[totalChallan]],TrafficData[[#This Row],[pendingChallan]]&lt;=TrafficData[[#This Row],[totalChallan]])</f>
        <v>1</v>
      </c>
      <c r="O2671" t="b">
        <f>AND(TrafficData[[#This Row],[pendingAmount]]&lt;=TrafficData[[#This Row],[totalAmount]],TrafficData[[#This Row],[disposedAmount]]&lt;=TrafficData[[#This Row],[totalAmount]])</f>
        <v>1</v>
      </c>
      <c r="P2671" t="b">
        <f>AND(TrafficData[[#This Row],[pendingCourt]]&lt;=TrafficData[[#This Row],[totalCourt]],TrafficData[[#This Row],[disposedCourt]]&lt;=TrafficData[[#This Row],[totalCourt]])</f>
        <v>1</v>
      </c>
    </row>
    <row r="2672" spans="1:16">
      <c r="A2672" s="1">
        <v>44676</v>
      </c>
      <c r="B2672">
        <v>140008</v>
      </c>
      <c r="C2672">
        <v>69087</v>
      </c>
      <c r="D2672">
        <v>70921</v>
      </c>
      <c r="E2672">
        <v>93556705</v>
      </c>
      <c r="F2672">
        <v>83185372</v>
      </c>
      <c r="G2672">
        <v>176742077</v>
      </c>
      <c r="H2672">
        <v>39680</v>
      </c>
      <c r="I2672">
        <v>11813</v>
      </c>
      <c r="J2672">
        <v>51493</v>
      </c>
      <c r="K2672" t="b">
        <f>TrafficData[[#This Row],[disposedChallan]]+TrafficData[[#This Row],[pendingChallan]]=TrafficData[[#This Row],[totalChallan]]</f>
        <v>1</v>
      </c>
      <c r="L2672" t="b">
        <f>TrafficData[[#This Row],[pendingAmount]]+TrafficData[[#This Row],[disposedAmount]]=TrafficData[[#This Row],[totalAmount]]</f>
        <v>1</v>
      </c>
      <c r="M2672" t="b">
        <f>TrafficData[[#This Row],[pendingCourt]]+TrafficData[[#This Row],[disposedCourt]]=TrafficData[[#This Row],[totalCourt]]</f>
        <v>1</v>
      </c>
      <c r="N2672" t="b">
        <f>AND(TrafficData[[#This Row],[disposedChallan]]&lt;=TrafficData[[#This Row],[totalChallan]],TrafficData[[#This Row],[pendingChallan]]&lt;=TrafficData[[#This Row],[totalChallan]])</f>
        <v>1</v>
      </c>
      <c r="O2672" t="b">
        <f>AND(TrafficData[[#This Row],[pendingAmount]]&lt;=TrafficData[[#This Row],[totalAmount]],TrafficData[[#This Row],[disposedAmount]]&lt;=TrafficData[[#This Row],[totalAmount]])</f>
        <v>1</v>
      </c>
      <c r="P2672" t="b">
        <f>AND(TrafficData[[#This Row],[pendingCourt]]&lt;=TrafficData[[#This Row],[totalCourt]],TrafficData[[#This Row],[disposedCourt]]&lt;=TrafficData[[#This Row],[totalCourt]])</f>
        <v>1</v>
      </c>
    </row>
    <row r="2673" spans="1:16">
      <c r="A2673" s="1">
        <v>44677</v>
      </c>
      <c r="B2673">
        <v>134144</v>
      </c>
      <c r="C2673">
        <v>67951</v>
      </c>
      <c r="D2673">
        <v>66193</v>
      </c>
      <c r="E2673">
        <v>93493255</v>
      </c>
      <c r="F2673">
        <v>91616832</v>
      </c>
      <c r="G2673">
        <v>185110087</v>
      </c>
      <c r="H2673">
        <v>37207</v>
      </c>
      <c r="I2673">
        <v>11120</v>
      </c>
      <c r="J2673">
        <v>48327</v>
      </c>
      <c r="K2673" t="b">
        <f>TrafficData[[#This Row],[disposedChallan]]+TrafficData[[#This Row],[pendingChallan]]=TrafficData[[#This Row],[totalChallan]]</f>
        <v>1</v>
      </c>
      <c r="L2673" t="b">
        <f>TrafficData[[#This Row],[pendingAmount]]+TrafficData[[#This Row],[disposedAmount]]=TrafficData[[#This Row],[totalAmount]]</f>
        <v>1</v>
      </c>
      <c r="M2673" t="b">
        <f>TrafficData[[#This Row],[pendingCourt]]+TrafficData[[#This Row],[disposedCourt]]=TrafficData[[#This Row],[totalCourt]]</f>
        <v>1</v>
      </c>
      <c r="N2673" t="b">
        <f>AND(TrafficData[[#This Row],[disposedChallan]]&lt;=TrafficData[[#This Row],[totalChallan]],TrafficData[[#This Row],[pendingChallan]]&lt;=TrafficData[[#This Row],[totalChallan]])</f>
        <v>1</v>
      </c>
      <c r="O2673" t="b">
        <f>AND(TrafficData[[#This Row],[pendingAmount]]&lt;=TrafficData[[#This Row],[totalAmount]],TrafficData[[#This Row],[disposedAmount]]&lt;=TrafficData[[#This Row],[totalAmount]])</f>
        <v>1</v>
      </c>
      <c r="P2673" t="b">
        <f>AND(TrafficData[[#This Row],[pendingCourt]]&lt;=TrafficData[[#This Row],[totalCourt]],TrafficData[[#This Row],[disposedCourt]]&lt;=TrafficData[[#This Row],[totalCourt]])</f>
        <v>1</v>
      </c>
    </row>
    <row r="2674" spans="1:16">
      <c r="A2674" s="1">
        <v>44678</v>
      </c>
      <c r="B2674">
        <v>134355</v>
      </c>
      <c r="C2674">
        <v>68744</v>
      </c>
      <c r="D2674">
        <v>65611</v>
      </c>
      <c r="E2674">
        <v>95029886</v>
      </c>
      <c r="F2674">
        <v>94320620</v>
      </c>
      <c r="G2674">
        <v>189350506</v>
      </c>
      <c r="H2674">
        <v>38843</v>
      </c>
      <c r="I2674">
        <v>11720</v>
      </c>
      <c r="J2674">
        <v>50563</v>
      </c>
      <c r="K2674" t="b">
        <f>TrafficData[[#This Row],[disposedChallan]]+TrafficData[[#This Row],[pendingChallan]]=TrafficData[[#This Row],[totalChallan]]</f>
        <v>1</v>
      </c>
      <c r="L2674" t="b">
        <f>TrafficData[[#This Row],[pendingAmount]]+TrafficData[[#This Row],[disposedAmount]]=TrafficData[[#This Row],[totalAmount]]</f>
        <v>1</v>
      </c>
      <c r="M2674" t="b">
        <f>TrafficData[[#This Row],[pendingCourt]]+TrafficData[[#This Row],[disposedCourt]]=TrafficData[[#This Row],[totalCourt]]</f>
        <v>1</v>
      </c>
      <c r="N2674" t="b">
        <f>AND(TrafficData[[#This Row],[disposedChallan]]&lt;=TrafficData[[#This Row],[totalChallan]],TrafficData[[#This Row],[pendingChallan]]&lt;=TrafficData[[#This Row],[totalChallan]])</f>
        <v>1</v>
      </c>
      <c r="O2674" t="b">
        <f>AND(TrafficData[[#This Row],[pendingAmount]]&lt;=TrafficData[[#This Row],[totalAmount]],TrafficData[[#This Row],[disposedAmount]]&lt;=TrafficData[[#This Row],[totalAmount]])</f>
        <v>1</v>
      </c>
      <c r="P2674" t="b">
        <f>AND(TrafficData[[#This Row],[pendingCourt]]&lt;=TrafficData[[#This Row],[totalCourt]],TrafficData[[#This Row],[disposedCourt]]&lt;=TrafficData[[#This Row],[totalCourt]])</f>
        <v>1</v>
      </c>
    </row>
    <row r="2675" spans="1:16">
      <c r="A2675" s="1">
        <v>44679</v>
      </c>
      <c r="B2675">
        <v>127350</v>
      </c>
      <c r="C2675">
        <v>66804</v>
      </c>
      <c r="D2675">
        <v>60546</v>
      </c>
      <c r="E2675">
        <v>81591381</v>
      </c>
      <c r="F2675">
        <v>92971525</v>
      </c>
      <c r="G2675">
        <v>174562906</v>
      </c>
      <c r="H2675">
        <v>31439</v>
      </c>
      <c r="I2675">
        <v>9989</v>
      </c>
      <c r="J2675">
        <v>41428</v>
      </c>
      <c r="K2675" t="b">
        <f>TrafficData[[#This Row],[disposedChallan]]+TrafficData[[#This Row],[pendingChallan]]=TrafficData[[#This Row],[totalChallan]]</f>
        <v>1</v>
      </c>
      <c r="L2675" t="b">
        <f>TrafficData[[#This Row],[pendingAmount]]+TrafficData[[#This Row],[disposedAmount]]=TrafficData[[#This Row],[totalAmount]]</f>
        <v>1</v>
      </c>
      <c r="M2675" t="b">
        <f>TrafficData[[#This Row],[pendingCourt]]+TrafficData[[#This Row],[disposedCourt]]=TrafficData[[#This Row],[totalCourt]]</f>
        <v>1</v>
      </c>
      <c r="N2675" t="b">
        <f>AND(TrafficData[[#This Row],[disposedChallan]]&lt;=TrafficData[[#This Row],[totalChallan]],TrafficData[[#This Row],[pendingChallan]]&lt;=TrafficData[[#This Row],[totalChallan]])</f>
        <v>1</v>
      </c>
      <c r="O2675" t="b">
        <f>AND(TrafficData[[#This Row],[pendingAmount]]&lt;=TrafficData[[#This Row],[totalAmount]],TrafficData[[#This Row],[disposedAmount]]&lt;=TrafficData[[#This Row],[totalAmount]])</f>
        <v>1</v>
      </c>
      <c r="P2675" t="b">
        <f>AND(TrafficData[[#This Row],[pendingCourt]]&lt;=TrafficData[[#This Row],[totalCourt]],TrafficData[[#This Row],[disposedCourt]]&lt;=TrafficData[[#This Row],[totalCourt]])</f>
        <v>1</v>
      </c>
    </row>
    <row r="2676" spans="1:16">
      <c r="A2676" s="1">
        <v>44680</v>
      </c>
      <c r="B2676">
        <v>128746</v>
      </c>
      <c r="C2676">
        <v>64847</v>
      </c>
      <c r="D2676">
        <v>63899</v>
      </c>
      <c r="E2676">
        <v>89426384</v>
      </c>
      <c r="F2676">
        <v>88040513</v>
      </c>
      <c r="G2676">
        <v>177466897</v>
      </c>
      <c r="H2676">
        <v>36131</v>
      </c>
      <c r="I2676">
        <v>10819</v>
      </c>
      <c r="J2676">
        <v>46950</v>
      </c>
      <c r="K2676" t="b">
        <f>TrafficData[[#This Row],[disposedChallan]]+TrafficData[[#This Row],[pendingChallan]]=TrafficData[[#This Row],[totalChallan]]</f>
        <v>1</v>
      </c>
      <c r="L2676" t="b">
        <f>TrafficData[[#This Row],[pendingAmount]]+TrafficData[[#This Row],[disposedAmount]]=TrafficData[[#This Row],[totalAmount]]</f>
        <v>1</v>
      </c>
      <c r="M2676" t="b">
        <f>TrafficData[[#This Row],[pendingCourt]]+TrafficData[[#This Row],[disposedCourt]]=TrafficData[[#This Row],[totalCourt]]</f>
        <v>1</v>
      </c>
      <c r="N2676" t="b">
        <f>AND(TrafficData[[#This Row],[disposedChallan]]&lt;=TrafficData[[#This Row],[totalChallan]],TrafficData[[#This Row],[pendingChallan]]&lt;=TrafficData[[#This Row],[totalChallan]])</f>
        <v>1</v>
      </c>
      <c r="O2676" t="b">
        <f>AND(TrafficData[[#This Row],[pendingAmount]]&lt;=TrafficData[[#This Row],[totalAmount]],TrafficData[[#This Row],[disposedAmount]]&lt;=TrafficData[[#This Row],[totalAmount]])</f>
        <v>1</v>
      </c>
      <c r="P2676" t="b">
        <f>AND(TrafficData[[#This Row],[pendingCourt]]&lt;=TrafficData[[#This Row],[totalCourt]],TrafficData[[#This Row],[disposedCourt]]&lt;=TrafficData[[#This Row],[totalCourt]])</f>
        <v>1</v>
      </c>
    </row>
    <row r="2677" spans="1:16">
      <c r="A2677" s="1">
        <v>44681</v>
      </c>
      <c r="B2677">
        <v>130372</v>
      </c>
      <c r="C2677">
        <v>65545</v>
      </c>
      <c r="D2677">
        <v>64827</v>
      </c>
      <c r="E2677">
        <v>85001512</v>
      </c>
      <c r="F2677">
        <v>81445332</v>
      </c>
      <c r="G2677">
        <v>166446844</v>
      </c>
      <c r="H2677">
        <v>38240</v>
      </c>
      <c r="I2677">
        <v>11047</v>
      </c>
      <c r="J2677">
        <v>49287</v>
      </c>
      <c r="K2677" t="b">
        <f>TrafficData[[#This Row],[disposedChallan]]+TrafficData[[#This Row],[pendingChallan]]=TrafficData[[#This Row],[totalChallan]]</f>
        <v>1</v>
      </c>
      <c r="L2677" t="b">
        <f>TrafficData[[#This Row],[pendingAmount]]+TrafficData[[#This Row],[disposedAmount]]=TrafficData[[#This Row],[totalAmount]]</f>
        <v>1</v>
      </c>
      <c r="M2677" t="b">
        <f>TrafficData[[#This Row],[pendingCourt]]+TrafficData[[#This Row],[disposedCourt]]=TrafficData[[#This Row],[totalCourt]]</f>
        <v>1</v>
      </c>
      <c r="N2677" t="b">
        <f>AND(TrafficData[[#This Row],[disposedChallan]]&lt;=TrafficData[[#This Row],[totalChallan]],TrafficData[[#This Row],[pendingChallan]]&lt;=TrafficData[[#This Row],[totalChallan]])</f>
        <v>1</v>
      </c>
      <c r="O2677" t="b">
        <f>AND(TrafficData[[#This Row],[pendingAmount]]&lt;=TrafficData[[#This Row],[totalAmount]],TrafficData[[#This Row],[disposedAmount]]&lt;=TrafficData[[#This Row],[totalAmount]])</f>
        <v>1</v>
      </c>
      <c r="P2677" t="b">
        <f>AND(TrafficData[[#This Row],[pendingCourt]]&lt;=TrafficData[[#This Row],[totalCourt]],TrafficData[[#This Row],[disposedCourt]]&lt;=TrafficData[[#This Row],[totalCourt]])</f>
        <v>1</v>
      </c>
    </row>
    <row r="2678" spans="1:16">
      <c r="A2678" s="1">
        <v>44682</v>
      </c>
      <c r="B2678">
        <v>121263</v>
      </c>
      <c r="C2678">
        <v>59103</v>
      </c>
      <c r="D2678">
        <v>62160</v>
      </c>
      <c r="E2678">
        <v>71682742</v>
      </c>
      <c r="F2678">
        <v>75708468</v>
      </c>
      <c r="G2678">
        <v>147391210</v>
      </c>
      <c r="H2678">
        <v>34271</v>
      </c>
      <c r="I2678">
        <v>9566</v>
      </c>
      <c r="J2678">
        <v>43837</v>
      </c>
      <c r="K2678" t="b">
        <f>TrafficData[[#This Row],[disposedChallan]]+TrafficData[[#This Row],[pendingChallan]]=TrafficData[[#This Row],[totalChallan]]</f>
        <v>1</v>
      </c>
      <c r="L2678" t="b">
        <f>TrafficData[[#This Row],[pendingAmount]]+TrafficData[[#This Row],[disposedAmount]]=TrafficData[[#This Row],[totalAmount]]</f>
        <v>1</v>
      </c>
      <c r="M2678" t="b">
        <f>TrafficData[[#This Row],[pendingCourt]]+TrafficData[[#This Row],[disposedCourt]]=TrafficData[[#This Row],[totalCourt]]</f>
        <v>1</v>
      </c>
      <c r="N2678" t="b">
        <f>AND(TrafficData[[#This Row],[disposedChallan]]&lt;=TrafficData[[#This Row],[totalChallan]],TrafficData[[#This Row],[pendingChallan]]&lt;=TrafficData[[#This Row],[totalChallan]])</f>
        <v>1</v>
      </c>
      <c r="O2678" t="b">
        <f>AND(TrafficData[[#This Row],[pendingAmount]]&lt;=TrafficData[[#This Row],[totalAmount]],TrafficData[[#This Row],[disposedAmount]]&lt;=TrafficData[[#This Row],[totalAmount]])</f>
        <v>1</v>
      </c>
      <c r="P2678" t="b">
        <f>AND(TrafficData[[#This Row],[pendingCourt]]&lt;=TrafficData[[#This Row],[totalCourt]],TrafficData[[#This Row],[disposedCourt]]&lt;=TrafficData[[#This Row],[totalCourt]])</f>
        <v>1</v>
      </c>
    </row>
    <row r="2679" spans="1:16">
      <c r="A2679" s="1">
        <v>44683</v>
      </c>
      <c r="B2679">
        <v>134686</v>
      </c>
      <c r="C2679">
        <v>67152</v>
      </c>
      <c r="D2679">
        <v>67534</v>
      </c>
      <c r="E2679">
        <v>83748292</v>
      </c>
      <c r="F2679">
        <v>90836511</v>
      </c>
      <c r="G2679">
        <v>174584803</v>
      </c>
      <c r="H2679">
        <v>36836</v>
      </c>
      <c r="I2679">
        <v>10926</v>
      </c>
      <c r="J2679">
        <v>47762</v>
      </c>
      <c r="K2679" t="b">
        <f>TrafficData[[#This Row],[disposedChallan]]+TrafficData[[#This Row],[pendingChallan]]=TrafficData[[#This Row],[totalChallan]]</f>
        <v>1</v>
      </c>
      <c r="L2679" t="b">
        <f>TrafficData[[#This Row],[pendingAmount]]+TrafficData[[#This Row],[disposedAmount]]=TrafficData[[#This Row],[totalAmount]]</f>
        <v>1</v>
      </c>
      <c r="M2679" t="b">
        <f>TrafficData[[#This Row],[pendingCourt]]+TrafficData[[#This Row],[disposedCourt]]=TrafficData[[#This Row],[totalCourt]]</f>
        <v>1</v>
      </c>
      <c r="N2679" t="b">
        <f>AND(TrafficData[[#This Row],[disposedChallan]]&lt;=TrafficData[[#This Row],[totalChallan]],TrafficData[[#This Row],[pendingChallan]]&lt;=TrafficData[[#This Row],[totalChallan]])</f>
        <v>1</v>
      </c>
      <c r="O2679" t="b">
        <f>AND(TrafficData[[#This Row],[pendingAmount]]&lt;=TrafficData[[#This Row],[totalAmount]],TrafficData[[#This Row],[disposedAmount]]&lt;=TrafficData[[#This Row],[totalAmount]])</f>
        <v>1</v>
      </c>
      <c r="P2679" t="b">
        <f>AND(TrafficData[[#This Row],[pendingCourt]]&lt;=TrafficData[[#This Row],[totalCourt]],TrafficData[[#This Row],[disposedCourt]]&lt;=TrafficData[[#This Row],[totalCourt]])</f>
        <v>1</v>
      </c>
    </row>
    <row r="2680" spans="1:16">
      <c r="A2680" s="1">
        <v>44684</v>
      </c>
      <c r="B2680">
        <v>116930</v>
      </c>
      <c r="C2680">
        <v>55881</v>
      </c>
      <c r="D2680">
        <v>61049</v>
      </c>
      <c r="E2680">
        <v>70762221</v>
      </c>
      <c r="F2680">
        <v>65683732</v>
      </c>
      <c r="G2680">
        <v>136445953</v>
      </c>
      <c r="H2680">
        <v>31906</v>
      </c>
      <c r="I2680">
        <v>8721</v>
      </c>
      <c r="J2680">
        <v>40627</v>
      </c>
      <c r="K2680" t="b">
        <f>TrafficData[[#This Row],[disposedChallan]]+TrafficData[[#This Row],[pendingChallan]]=TrafficData[[#This Row],[totalChallan]]</f>
        <v>1</v>
      </c>
      <c r="L2680" t="b">
        <f>TrafficData[[#This Row],[pendingAmount]]+TrafficData[[#This Row],[disposedAmount]]=TrafficData[[#This Row],[totalAmount]]</f>
        <v>1</v>
      </c>
      <c r="M2680" t="b">
        <f>TrafficData[[#This Row],[pendingCourt]]+TrafficData[[#This Row],[disposedCourt]]=TrafficData[[#This Row],[totalCourt]]</f>
        <v>1</v>
      </c>
      <c r="N2680" t="b">
        <f>AND(TrafficData[[#This Row],[disposedChallan]]&lt;=TrafficData[[#This Row],[totalChallan]],TrafficData[[#This Row],[pendingChallan]]&lt;=TrafficData[[#This Row],[totalChallan]])</f>
        <v>1</v>
      </c>
      <c r="O2680" t="b">
        <f>AND(TrafficData[[#This Row],[pendingAmount]]&lt;=TrafficData[[#This Row],[totalAmount]],TrafficData[[#This Row],[disposedAmount]]&lt;=TrafficData[[#This Row],[totalAmount]])</f>
        <v>1</v>
      </c>
      <c r="P2680" t="b">
        <f>AND(TrafficData[[#This Row],[pendingCourt]]&lt;=TrafficData[[#This Row],[totalCourt]],TrafficData[[#This Row],[disposedCourt]]&lt;=TrafficData[[#This Row],[totalCourt]])</f>
        <v>1</v>
      </c>
    </row>
    <row r="2681" spans="1:16">
      <c r="A2681" s="1">
        <v>44685</v>
      </c>
      <c r="B2681">
        <v>131905</v>
      </c>
      <c r="C2681">
        <v>66446</v>
      </c>
      <c r="D2681">
        <v>65459</v>
      </c>
      <c r="E2681">
        <v>87872566</v>
      </c>
      <c r="F2681">
        <v>92655029</v>
      </c>
      <c r="G2681">
        <v>180527595</v>
      </c>
      <c r="H2681">
        <v>34619</v>
      </c>
      <c r="I2681">
        <v>9895</v>
      </c>
      <c r="J2681">
        <v>44514</v>
      </c>
      <c r="K2681" t="b">
        <f>TrafficData[[#This Row],[disposedChallan]]+TrafficData[[#This Row],[pendingChallan]]=TrafficData[[#This Row],[totalChallan]]</f>
        <v>1</v>
      </c>
      <c r="L2681" t="b">
        <f>TrafficData[[#This Row],[pendingAmount]]+TrafficData[[#This Row],[disposedAmount]]=TrafficData[[#This Row],[totalAmount]]</f>
        <v>1</v>
      </c>
      <c r="M2681" t="b">
        <f>TrafficData[[#This Row],[pendingCourt]]+TrafficData[[#This Row],[disposedCourt]]=TrafficData[[#This Row],[totalCourt]]</f>
        <v>1</v>
      </c>
      <c r="N2681" t="b">
        <f>AND(TrafficData[[#This Row],[disposedChallan]]&lt;=TrafficData[[#This Row],[totalChallan]],TrafficData[[#This Row],[pendingChallan]]&lt;=TrafficData[[#This Row],[totalChallan]])</f>
        <v>1</v>
      </c>
      <c r="O2681" t="b">
        <f>AND(TrafficData[[#This Row],[pendingAmount]]&lt;=TrafficData[[#This Row],[totalAmount]],TrafficData[[#This Row],[disposedAmount]]&lt;=TrafficData[[#This Row],[totalAmount]])</f>
        <v>1</v>
      </c>
      <c r="P2681" t="b">
        <f>AND(TrafficData[[#This Row],[pendingCourt]]&lt;=TrafficData[[#This Row],[totalCourt]],TrafficData[[#This Row],[disposedCourt]]&lt;=TrafficData[[#This Row],[totalCourt]])</f>
        <v>1</v>
      </c>
    </row>
    <row r="2682" spans="1:16">
      <c r="A2682" s="1">
        <v>44686</v>
      </c>
      <c r="B2682">
        <v>136627</v>
      </c>
      <c r="C2682">
        <v>70598</v>
      </c>
      <c r="D2682">
        <v>66029</v>
      </c>
      <c r="E2682">
        <v>95309400</v>
      </c>
      <c r="F2682">
        <v>112875022</v>
      </c>
      <c r="G2682">
        <v>208184422</v>
      </c>
      <c r="H2682">
        <v>37606</v>
      </c>
      <c r="I2682">
        <v>10704</v>
      </c>
      <c r="J2682">
        <v>48310</v>
      </c>
      <c r="K2682" t="b">
        <f>TrafficData[[#This Row],[disposedChallan]]+TrafficData[[#This Row],[pendingChallan]]=TrafficData[[#This Row],[totalChallan]]</f>
        <v>1</v>
      </c>
      <c r="L2682" t="b">
        <f>TrafficData[[#This Row],[pendingAmount]]+TrafficData[[#This Row],[disposedAmount]]=TrafficData[[#This Row],[totalAmount]]</f>
        <v>1</v>
      </c>
      <c r="M2682" t="b">
        <f>TrafficData[[#This Row],[pendingCourt]]+TrafficData[[#This Row],[disposedCourt]]=TrafficData[[#This Row],[totalCourt]]</f>
        <v>1</v>
      </c>
      <c r="N2682" t="b">
        <f>AND(TrafficData[[#This Row],[disposedChallan]]&lt;=TrafficData[[#This Row],[totalChallan]],TrafficData[[#This Row],[pendingChallan]]&lt;=TrafficData[[#This Row],[totalChallan]])</f>
        <v>1</v>
      </c>
      <c r="O2682" t="b">
        <f>AND(TrafficData[[#This Row],[pendingAmount]]&lt;=TrafficData[[#This Row],[totalAmount]],TrafficData[[#This Row],[disposedAmount]]&lt;=TrafficData[[#This Row],[totalAmount]])</f>
        <v>1</v>
      </c>
      <c r="P2682" t="b">
        <f>AND(TrafficData[[#This Row],[pendingCourt]]&lt;=TrafficData[[#This Row],[totalCourt]],TrafficData[[#This Row],[disposedCourt]]&lt;=TrafficData[[#This Row],[totalCourt]])</f>
        <v>1</v>
      </c>
    </row>
    <row r="2683" spans="1:16">
      <c r="A2683" s="1">
        <v>44687</v>
      </c>
      <c r="B2683">
        <v>136165</v>
      </c>
      <c r="C2683">
        <v>71422</v>
      </c>
      <c r="D2683">
        <v>64743</v>
      </c>
      <c r="E2683">
        <v>91130021</v>
      </c>
      <c r="F2683">
        <v>113938899</v>
      </c>
      <c r="G2683">
        <v>205068920</v>
      </c>
      <c r="H2683">
        <v>36531</v>
      </c>
      <c r="I2683">
        <v>10444</v>
      </c>
      <c r="J2683">
        <v>46975</v>
      </c>
      <c r="K2683" t="b">
        <f>TrafficData[[#This Row],[disposedChallan]]+TrafficData[[#This Row],[pendingChallan]]=TrafficData[[#This Row],[totalChallan]]</f>
        <v>1</v>
      </c>
      <c r="L2683" t="b">
        <f>TrafficData[[#This Row],[pendingAmount]]+TrafficData[[#This Row],[disposedAmount]]=TrafficData[[#This Row],[totalAmount]]</f>
        <v>1</v>
      </c>
      <c r="M2683" t="b">
        <f>TrafficData[[#This Row],[pendingCourt]]+TrafficData[[#This Row],[disposedCourt]]=TrafficData[[#This Row],[totalCourt]]</f>
        <v>1</v>
      </c>
      <c r="N2683" t="b">
        <f>AND(TrafficData[[#This Row],[disposedChallan]]&lt;=TrafficData[[#This Row],[totalChallan]],TrafficData[[#This Row],[pendingChallan]]&lt;=TrafficData[[#This Row],[totalChallan]])</f>
        <v>1</v>
      </c>
      <c r="O2683" t="b">
        <f>AND(TrafficData[[#This Row],[pendingAmount]]&lt;=TrafficData[[#This Row],[totalAmount]],TrafficData[[#This Row],[disposedAmount]]&lt;=TrafficData[[#This Row],[totalAmount]])</f>
        <v>1</v>
      </c>
      <c r="P2683" t="b">
        <f>AND(TrafficData[[#This Row],[pendingCourt]]&lt;=TrafficData[[#This Row],[totalCourt]],TrafficData[[#This Row],[disposedCourt]]&lt;=TrafficData[[#This Row],[totalCourt]])</f>
        <v>1</v>
      </c>
    </row>
    <row r="2684" spans="1:16">
      <c r="A2684" s="1">
        <v>44688</v>
      </c>
      <c r="B2684">
        <v>135145</v>
      </c>
      <c r="C2684">
        <v>70754</v>
      </c>
      <c r="D2684">
        <v>64391</v>
      </c>
      <c r="E2684">
        <v>89154554</v>
      </c>
      <c r="F2684">
        <v>106297671</v>
      </c>
      <c r="G2684">
        <v>195452225</v>
      </c>
      <c r="H2684">
        <v>38384</v>
      </c>
      <c r="I2684">
        <v>10768</v>
      </c>
      <c r="J2684">
        <v>49152</v>
      </c>
      <c r="K2684" t="b">
        <f>TrafficData[[#This Row],[disposedChallan]]+TrafficData[[#This Row],[pendingChallan]]=TrafficData[[#This Row],[totalChallan]]</f>
        <v>1</v>
      </c>
      <c r="L2684" t="b">
        <f>TrafficData[[#This Row],[pendingAmount]]+TrafficData[[#This Row],[disposedAmount]]=TrafficData[[#This Row],[totalAmount]]</f>
        <v>1</v>
      </c>
      <c r="M2684" t="b">
        <f>TrafficData[[#This Row],[pendingCourt]]+TrafficData[[#This Row],[disposedCourt]]=TrafficData[[#This Row],[totalCourt]]</f>
        <v>1</v>
      </c>
      <c r="N2684" t="b">
        <f>AND(TrafficData[[#This Row],[disposedChallan]]&lt;=TrafficData[[#This Row],[totalChallan]],TrafficData[[#This Row],[pendingChallan]]&lt;=TrafficData[[#This Row],[totalChallan]])</f>
        <v>1</v>
      </c>
      <c r="O2684" t="b">
        <f>AND(TrafficData[[#This Row],[pendingAmount]]&lt;=TrafficData[[#This Row],[totalAmount]],TrafficData[[#This Row],[disposedAmount]]&lt;=TrafficData[[#This Row],[totalAmount]])</f>
        <v>1</v>
      </c>
      <c r="P2684" t="b">
        <f>AND(TrafficData[[#This Row],[pendingCourt]]&lt;=TrafficData[[#This Row],[totalCourt]],TrafficData[[#This Row],[disposedCourt]]&lt;=TrafficData[[#This Row],[totalCourt]])</f>
        <v>1</v>
      </c>
    </row>
    <row r="2685" spans="1:16">
      <c r="A2685" s="1">
        <v>44689</v>
      </c>
      <c r="B2685">
        <v>116888</v>
      </c>
      <c r="C2685">
        <v>57068</v>
      </c>
      <c r="D2685">
        <v>59820</v>
      </c>
      <c r="E2685">
        <v>73731659</v>
      </c>
      <c r="F2685">
        <v>73975557</v>
      </c>
      <c r="G2685">
        <v>147707216</v>
      </c>
      <c r="H2685">
        <v>36032</v>
      </c>
      <c r="I2685">
        <v>9605</v>
      </c>
      <c r="J2685">
        <v>45637</v>
      </c>
      <c r="K2685" t="b">
        <f>TrafficData[[#This Row],[disposedChallan]]+TrafficData[[#This Row],[pendingChallan]]=TrafficData[[#This Row],[totalChallan]]</f>
        <v>1</v>
      </c>
      <c r="L2685" t="b">
        <f>TrafficData[[#This Row],[pendingAmount]]+TrafficData[[#This Row],[disposedAmount]]=TrafficData[[#This Row],[totalAmount]]</f>
        <v>1</v>
      </c>
      <c r="M2685" t="b">
        <f>TrafficData[[#This Row],[pendingCourt]]+TrafficData[[#This Row],[disposedCourt]]=TrafficData[[#This Row],[totalCourt]]</f>
        <v>1</v>
      </c>
      <c r="N2685" t="b">
        <f>AND(TrafficData[[#This Row],[disposedChallan]]&lt;=TrafficData[[#This Row],[totalChallan]],TrafficData[[#This Row],[pendingChallan]]&lt;=TrafficData[[#This Row],[totalChallan]])</f>
        <v>1</v>
      </c>
      <c r="O2685" t="b">
        <f>AND(TrafficData[[#This Row],[pendingAmount]]&lt;=TrafficData[[#This Row],[totalAmount]],TrafficData[[#This Row],[disposedAmount]]&lt;=TrafficData[[#This Row],[totalAmount]])</f>
        <v>1</v>
      </c>
      <c r="P2685" t="b">
        <f>AND(TrafficData[[#This Row],[pendingCourt]]&lt;=TrafficData[[#This Row],[totalCourt]],TrafficData[[#This Row],[disposedCourt]]&lt;=TrafficData[[#This Row],[totalCourt]])</f>
        <v>1</v>
      </c>
    </row>
    <row r="2686" spans="1:16">
      <c r="A2686" s="1">
        <v>44690</v>
      </c>
      <c r="B2686">
        <v>129247</v>
      </c>
      <c r="C2686">
        <v>66070</v>
      </c>
      <c r="D2686">
        <v>63177</v>
      </c>
      <c r="E2686">
        <v>91498699</v>
      </c>
      <c r="F2686">
        <v>93957569</v>
      </c>
      <c r="G2686">
        <v>185456268</v>
      </c>
      <c r="H2686">
        <v>39063</v>
      </c>
      <c r="I2686">
        <v>10785</v>
      </c>
      <c r="J2686">
        <v>49848</v>
      </c>
      <c r="K2686" t="b">
        <f>TrafficData[[#This Row],[disposedChallan]]+TrafficData[[#This Row],[pendingChallan]]=TrafficData[[#This Row],[totalChallan]]</f>
        <v>1</v>
      </c>
      <c r="L2686" t="b">
        <f>TrafficData[[#This Row],[pendingAmount]]+TrafficData[[#This Row],[disposedAmount]]=TrafficData[[#This Row],[totalAmount]]</f>
        <v>1</v>
      </c>
      <c r="M2686" t="b">
        <f>TrafficData[[#This Row],[pendingCourt]]+TrafficData[[#This Row],[disposedCourt]]=TrafficData[[#This Row],[totalCourt]]</f>
        <v>1</v>
      </c>
      <c r="N2686" t="b">
        <f>AND(TrafficData[[#This Row],[disposedChallan]]&lt;=TrafficData[[#This Row],[totalChallan]],TrafficData[[#This Row],[pendingChallan]]&lt;=TrafficData[[#This Row],[totalChallan]])</f>
        <v>1</v>
      </c>
      <c r="O2686" t="b">
        <f>AND(TrafficData[[#This Row],[pendingAmount]]&lt;=TrafficData[[#This Row],[totalAmount]],TrafficData[[#This Row],[disposedAmount]]&lt;=TrafficData[[#This Row],[totalAmount]])</f>
        <v>1</v>
      </c>
      <c r="P2686" t="b">
        <f>AND(TrafficData[[#This Row],[pendingCourt]]&lt;=TrafficData[[#This Row],[totalCourt]],TrafficData[[#This Row],[disposedCourt]]&lt;=TrafficData[[#This Row],[totalCourt]])</f>
        <v>1</v>
      </c>
    </row>
    <row r="2687" spans="1:16">
      <c r="A2687" s="1">
        <v>44691</v>
      </c>
      <c r="B2687">
        <v>126376</v>
      </c>
      <c r="C2687">
        <v>64589</v>
      </c>
      <c r="D2687">
        <v>61787</v>
      </c>
      <c r="E2687">
        <v>94456626</v>
      </c>
      <c r="F2687">
        <v>103103663</v>
      </c>
      <c r="G2687">
        <v>197560289</v>
      </c>
      <c r="H2687">
        <v>36578</v>
      </c>
      <c r="I2687">
        <v>10176</v>
      </c>
      <c r="J2687">
        <v>46754</v>
      </c>
      <c r="K2687" t="b">
        <f>TrafficData[[#This Row],[disposedChallan]]+TrafficData[[#This Row],[pendingChallan]]=TrafficData[[#This Row],[totalChallan]]</f>
        <v>1</v>
      </c>
      <c r="L2687" t="b">
        <f>TrafficData[[#This Row],[pendingAmount]]+TrafficData[[#This Row],[disposedAmount]]=TrafficData[[#This Row],[totalAmount]]</f>
        <v>1</v>
      </c>
      <c r="M2687" t="b">
        <f>TrafficData[[#This Row],[pendingCourt]]+TrafficData[[#This Row],[disposedCourt]]=TrafficData[[#This Row],[totalCourt]]</f>
        <v>1</v>
      </c>
      <c r="N2687" t="b">
        <f>AND(TrafficData[[#This Row],[disposedChallan]]&lt;=TrafficData[[#This Row],[totalChallan]],TrafficData[[#This Row],[pendingChallan]]&lt;=TrafficData[[#This Row],[totalChallan]])</f>
        <v>1</v>
      </c>
      <c r="O2687" t="b">
        <f>AND(TrafficData[[#This Row],[pendingAmount]]&lt;=TrafficData[[#This Row],[totalAmount]],TrafficData[[#This Row],[disposedAmount]]&lt;=TrafficData[[#This Row],[totalAmount]])</f>
        <v>1</v>
      </c>
      <c r="P2687" t="b">
        <f>AND(TrafficData[[#This Row],[pendingCourt]]&lt;=TrafficData[[#This Row],[totalCourt]],TrafficData[[#This Row],[disposedCourt]]&lt;=TrafficData[[#This Row],[totalCourt]])</f>
        <v>1</v>
      </c>
    </row>
    <row r="2688" spans="1:16">
      <c r="A2688" s="1">
        <v>44692</v>
      </c>
      <c r="B2688">
        <v>130034</v>
      </c>
      <c r="C2688">
        <v>67636</v>
      </c>
      <c r="D2688">
        <v>62398</v>
      </c>
      <c r="E2688">
        <v>92357895</v>
      </c>
      <c r="F2688">
        <v>107773795</v>
      </c>
      <c r="G2688">
        <v>200131690</v>
      </c>
      <c r="H2688">
        <v>37379</v>
      </c>
      <c r="I2688">
        <v>10423</v>
      </c>
      <c r="J2688">
        <v>47802</v>
      </c>
      <c r="K2688" t="b">
        <f>TrafficData[[#This Row],[disposedChallan]]+TrafficData[[#This Row],[pendingChallan]]=TrafficData[[#This Row],[totalChallan]]</f>
        <v>1</v>
      </c>
      <c r="L2688" t="b">
        <f>TrafficData[[#This Row],[pendingAmount]]+TrafficData[[#This Row],[disposedAmount]]=TrafficData[[#This Row],[totalAmount]]</f>
        <v>1</v>
      </c>
      <c r="M2688" t="b">
        <f>TrafficData[[#This Row],[pendingCourt]]+TrafficData[[#This Row],[disposedCourt]]=TrafficData[[#This Row],[totalCourt]]</f>
        <v>1</v>
      </c>
      <c r="N2688" t="b">
        <f>AND(TrafficData[[#This Row],[disposedChallan]]&lt;=TrafficData[[#This Row],[totalChallan]],TrafficData[[#This Row],[pendingChallan]]&lt;=TrafficData[[#This Row],[totalChallan]])</f>
        <v>1</v>
      </c>
      <c r="O2688" t="b">
        <f>AND(TrafficData[[#This Row],[pendingAmount]]&lt;=TrafficData[[#This Row],[totalAmount]],TrafficData[[#This Row],[disposedAmount]]&lt;=TrafficData[[#This Row],[totalAmount]])</f>
        <v>1</v>
      </c>
      <c r="P2688" t="b">
        <f>AND(TrafficData[[#This Row],[pendingCourt]]&lt;=TrafficData[[#This Row],[totalCourt]],TrafficData[[#This Row],[disposedCourt]]&lt;=TrafficData[[#This Row],[totalCourt]])</f>
        <v>1</v>
      </c>
    </row>
    <row r="2689" spans="1:16">
      <c r="A2689" s="1">
        <v>44693</v>
      </c>
      <c r="B2689">
        <v>126432</v>
      </c>
      <c r="C2689">
        <v>63913</v>
      </c>
      <c r="D2689">
        <v>62519</v>
      </c>
      <c r="E2689">
        <v>97381779</v>
      </c>
      <c r="F2689">
        <v>98413030</v>
      </c>
      <c r="G2689">
        <v>195794809</v>
      </c>
      <c r="H2689">
        <v>37660</v>
      </c>
      <c r="I2689">
        <v>10556</v>
      </c>
      <c r="J2689">
        <v>48216</v>
      </c>
      <c r="K2689" t="b">
        <f>TrafficData[[#This Row],[disposedChallan]]+TrafficData[[#This Row],[pendingChallan]]=TrafficData[[#This Row],[totalChallan]]</f>
        <v>1</v>
      </c>
      <c r="L2689" t="b">
        <f>TrafficData[[#This Row],[pendingAmount]]+TrafficData[[#This Row],[disposedAmount]]=TrafficData[[#This Row],[totalAmount]]</f>
        <v>1</v>
      </c>
      <c r="M2689" t="b">
        <f>TrafficData[[#This Row],[pendingCourt]]+TrafficData[[#This Row],[disposedCourt]]=TrafficData[[#This Row],[totalCourt]]</f>
        <v>1</v>
      </c>
      <c r="N2689" t="b">
        <f>AND(TrafficData[[#This Row],[disposedChallan]]&lt;=TrafficData[[#This Row],[totalChallan]],TrafficData[[#This Row],[pendingChallan]]&lt;=TrafficData[[#This Row],[totalChallan]])</f>
        <v>1</v>
      </c>
      <c r="O2689" t="b">
        <f>AND(TrafficData[[#This Row],[pendingAmount]]&lt;=TrafficData[[#This Row],[totalAmount]],TrafficData[[#This Row],[disposedAmount]]&lt;=TrafficData[[#This Row],[totalAmount]])</f>
        <v>1</v>
      </c>
      <c r="P2689" t="b">
        <f>AND(TrafficData[[#This Row],[pendingCourt]]&lt;=TrafficData[[#This Row],[totalCourt]],TrafficData[[#This Row],[disposedCourt]]&lt;=TrafficData[[#This Row],[totalCourt]])</f>
        <v>1</v>
      </c>
    </row>
    <row r="2690" spans="1:16">
      <c r="A2690" s="1">
        <v>44694</v>
      </c>
      <c r="B2690">
        <v>127802</v>
      </c>
      <c r="C2690">
        <v>66178</v>
      </c>
      <c r="D2690">
        <v>61624</v>
      </c>
      <c r="E2690">
        <v>88996684</v>
      </c>
      <c r="F2690">
        <v>99740340</v>
      </c>
      <c r="G2690">
        <v>188737024</v>
      </c>
      <c r="H2690">
        <v>37831</v>
      </c>
      <c r="I2690">
        <v>10579</v>
      </c>
      <c r="J2690">
        <v>48410</v>
      </c>
      <c r="K2690" t="b">
        <f>TrafficData[[#This Row],[disposedChallan]]+TrafficData[[#This Row],[pendingChallan]]=TrafficData[[#This Row],[totalChallan]]</f>
        <v>1</v>
      </c>
      <c r="L2690" t="b">
        <f>TrafficData[[#This Row],[pendingAmount]]+TrafficData[[#This Row],[disposedAmount]]=TrafficData[[#This Row],[totalAmount]]</f>
        <v>1</v>
      </c>
      <c r="M2690" t="b">
        <f>TrafficData[[#This Row],[pendingCourt]]+TrafficData[[#This Row],[disposedCourt]]=TrafficData[[#This Row],[totalCourt]]</f>
        <v>1</v>
      </c>
      <c r="N2690" t="b">
        <f>AND(TrafficData[[#This Row],[disposedChallan]]&lt;=TrafficData[[#This Row],[totalChallan]],TrafficData[[#This Row],[pendingChallan]]&lt;=TrafficData[[#This Row],[totalChallan]])</f>
        <v>1</v>
      </c>
      <c r="O2690" t="b">
        <f>AND(TrafficData[[#This Row],[pendingAmount]]&lt;=TrafficData[[#This Row],[totalAmount]],TrafficData[[#This Row],[disposedAmount]]&lt;=TrafficData[[#This Row],[totalAmount]])</f>
        <v>1</v>
      </c>
      <c r="P2690" t="b">
        <f>AND(TrafficData[[#This Row],[pendingCourt]]&lt;=TrafficData[[#This Row],[totalCourt]],TrafficData[[#This Row],[disposedCourt]]&lt;=TrafficData[[#This Row],[totalCourt]])</f>
        <v>1</v>
      </c>
    </row>
    <row r="2691" spans="1:16">
      <c r="A2691" s="1">
        <v>44695</v>
      </c>
      <c r="B2691">
        <v>121584</v>
      </c>
      <c r="C2691">
        <v>63132</v>
      </c>
      <c r="D2691">
        <v>58452</v>
      </c>
      <c r="E2691">
        <v>79303635</v>
      </c>
      <c r="F2691">
        <v>92618784</v>
      </c>
      <c r="G2691">
        <v>171922419</v>
      </c>
      <c r="H2691">
        <v>34065</v>
      </c>
      <c r="I2691">
        <v>9703</v>
      </c>
      <c r="J2691">
        <v>43768</v>
      </c>
      <c r="K2691" t="b">
        <f>TrafficData[[#This Row],[disposedChallan]]+TrafficData[[#This Row],[pendingChallan]]=TrafficData[[#This Row],[totalChallan]]</f>
        <v>1</v>
      </c>
      <c r="L2691" t="b">
        <f>TrafficData[[#This Row],[pendingAmount]]+TrafficData[[#This Row],[disposedAmount]]=TrafficData[[#This Row],[totalAmount]]</f>
        <v>1</v>
      </c>
      <c r="M2691" t="b">
        <f>TrafficData[[#This Row],[pendingCourt]]+TrafficData[[#This Row],[disposedCourt]]=TrafficData[[#This Row],[totalCourt]]</f>
        <v>1</v>
      </c>
      <c r="N2691" t="b">
        <f>AND(TrafficData[[#This Row],[disposedChallan]]&lt;=TrafficData[[#This Row],[totalChallan]],TrafficData[[#This Row],[pendingChallan]]&lt;=TrafficData[[#This Row],[totalChallan]])</f>
        <v>1</v>
      </c>
      <c r="O2691" t="b">
        <f>AND(TrafficData[[#This Row],[pendingAmount]]&lt;=TrafficData[[#This Row],[totalAmount]],TrafficData[[#This Row],[disposedAmount]]&lt;=TrafficData[[#This Row],[totalAmount]])</f>
        <v>1</v>
      </c>
      <c r="P2691" t="b">
        <f>AND(TrafficData[[#This Row],[pendingCourt]]&lt;=TrafficData[[#This Row],[totalCourt]],TrafficData[[#This Row],[disposedCourt]]&lt;=TrafficData[[#This Row],[totalCourt]])</f>
        <v>1</v>
      </c>
    </row>
    <row r="2692" spans="1:16">
      <c r="A2692" s="1">
        <v>44696</v>
      </c>
      <c r="B2692">
        <v>112786</v>
      </c>
      <c r="C2692">
        <v>54064</v>
      </c>
      <c r="D2692">
        <v>58722</v>
      </c>
      <c r="E2692">
        <v>86910173</v>
      </c>
      <c r="F2692">
        <v>75210469</v>
      </c>
      <c r="G2692">
        <v>162120642</v>
      </c>
      <c r="H2692">
        <v>31689</v>
      </c>
      <c r="I2692">
        <v>8843</v>
      </c>
      <c r="J2692">
        <v>40532</v>
      </c>
      <c r="K2692" t="b">
        <f>TrafficData[[#This Row],[disposedChallan]]+TrafficData[[#This Row],[pendingChallan]]=TrafficData[[#This Row],[totalChallan]]</f>
        <v>1</v>
      </c>
      <c r="L2692" t="b">
        <f>TrafficData[[#This Row],[pendingAmount]]+TrafficData[[#This Row],[disposedAmount]]=TrafficData[[#This Row],[totalAmount]]</f>
        <v>1</v>
      </c>
      <c r="M2692" t="b">
        <f>TrafficData[[#This Row],[pendingCourt]]+TrafficData[[#This Row],[disposedCourt]]=TrafficData[[#This Row],[totalCourt]]</f>
        <v>1</v>
      </c>
      <c r="N2692" t="b">
        <f>AND(TrafficData[[#This Row],[disposedChallan]]&lt;=TrafficData[[#This Row],[totalChallan]],TrafficData[[#This Row],[pendingChallan]]&lt;=TrafficData[[#This Row],[totalChallan]])</f>
        <v>1</v>
      </c>
      <c r="O2692" t="b">
        <f>AND(TrafficData[[#This Row],[pendingAmount]]&lt;=TrafficData[[#This Row],[totalAmount]],TrafficData[[#This Row],[disposedAmount]]&lt;=TrafficData[[#This Row],[totalAmount]])</f>
        <v>1</v>
      </c>
      <c r="P2692" t="b">
        <f>AND(TrafficData[[#This Row],[pendingCourt]]&lt;=TrafficData[[#This Row],[totalCourt]],TrafficData[[#This Row],[disposedCourt]]&lt;=TrafficData[[#This Row],[totalCourt]])</f>
        <v>1</v>
      </c>
    </row>
    <row r="2693" spans="1:16">
      <c r="A2693" s="1">
        <v>44697</v>
      </c>
      <c r="B2693">
        <v>121533</v>
      </c>
      <c r="C2693">
        <v>61154</v>
      </c>
      <c r="D2693">
        <v>60379</v>
      </c>
      <c r="E2693">
        <v>86662220</v>
      </c>
      <c r="F2693">
        <v>79469721</v>
      </c>
      <c r="G2693">
        <v>166131941</v>
      </c>
      <c r="H2693">
        <v>31986</v>
      </c>
      <c r="I2693">
        <v>9003</v>
      </c>
      <c r="J2693">
        <v>40989</v>
      </c>
      <c r="K2693" t="b">
        <f>TrafficData[[#This Row],[disposedChallan]]+TrafficData[[#This Row],[pendingChallan]]=TrafficData[[#This Row],[totalChallan]]</f>
        <v>1</v>
      </c>
      <c r="L2693" t="b">
        <f>TrafficData[[#This Row],[pendingAmount]]+TrafficData[[#This Row],[disposedAmount]]=TrafficData[[#This Row],[totalAmount]]</f>
        <v>1</v>
      </c>
      <c r="M2693" t="b">
        <f>TrafficData[[#This Row],[pendingCourt]]+TrafficData[[#This Row],[disposedCourt]]=TrafficData[[#This Row],[totalCourt]]</f>
        <v>1</v>
      </c>
      <c r="N2693" t="b">
        <f>AND(TrafficData[[#This Row],[disposedChallan]]&lt;=TrafficData[[#This Row],[totalChallan]],TrafficData[[#This Row],[pendingChallan]]&lt;=TrafficData[[#This Row],[totalChallan]])</f>
        <v>1</v>
      </c>
      <c r="O2693" t="b">
        <f>AND(TrafficData[[#This Row],[pendingAmount]]&lt;=TrafficData[[#This Row],[totalAmount]],TrafficData[[#This Row],[disposedAmount]]&lt;=TrafficData[[#This Row],[totalAmount]])</f>
        <v>1</v>
      </c>
      <c r="P2693" t="b">
        <f>AND(TrafficData[[#This Row],[pendingCourt]]&lt;=TrafficData[[#This Row],[totalCourt]],TrafficData[[#This Row],[disposedCourt]]&lt;=TrafficData[[#This Row],[totalCourt]])</f>
        <v>1</v>
      </c>
    </row>
    <row r="2694" spans="1:16">
      <c r="A2694" s="1">
        <v>44698</v>
      </c>
      <c r="B2694">
        <v>132132</v>
      </c>
      <c r="C2694">
        <v>64629</v>
      </c>
      <c r="D2694">
        <v>67503</v>
      </c>
      <c r="E2694">
        <v>91950484</v>
      </c>
      <c r="F2694">
        <v>102830978</v>
      </c>
      <c r="G2694">
        <v>194781462</v>
      </c>
      <c r="H2694">
        <v>34639</v>
      </c>
      <c r="I2694">
        <v>9710</v>
      </c>
      <c r="J2694">
        <v>44349</v>
      </c>
      <c r="K2694" t="b">
        <f>TrafficData[[#This Row],[disposedChallan]]+TrafficData[[#This Row],[pendingChallan]]=TrafficData[[#This Row],[totalChallan]]</f>
        <v>1</v>
      </c>
      <c r="L2694" t="b">
        <f>TrafficData[[#This Row],[pendingAmount]]+TrafficData[[#This Row],[disposedAmount]]=TrafficData[[#This Row],[totalAmount]]</f>
        <v>1</v>
      </c>
      <c r="M2694" t="b">
        <f>TrafficData[[#This Row],[pendingCourt]]+TrafficData[[#This Row],[disposedCourt]]=TrafficData[[#This Row],[totalCourt]]</f>
        <v>1</v>
      </c>
      <c r="N2694" t="b">
        <f>AND(TrafficData[[#This Row],[disposedChallan]]&lt;=TrafficData[[#This Row],[totalChallan]],TrafficData[[#This Row],[pendingChallan]]&lt;=TrafficData[[#This Row],[totalChallan]])</f>
        <v>1</v>
      </c>
      <c r="O2694" t="b">
        <f>AND(TrafficData[[#This Row],[pendingAmount]]&lt;=TrafficData[[#This Row],[totalAmount]],TrafficData[[#This Row],[disposedAmount]]&lt;=TrafficData[[#This Row],[totalAmount]])</f>
        <v>1</v>
      </c>
      <c r="P2694" t="b">
        <f>AND(TrafficData[[#This Row],[pendingCourt]]&lt;=TrafficData[[#This Row],[totalCourt]],TrafficData[[#This Row],[disposedCourt]]&lt;=TrafficData[[#This Row],[totalCourt]])</f>
        <v>1</v>
      </c>
    </row>
    <row r="2695" spans="1:16">
      <c r="A2695" s="1">
        <v>44699</v>
      </c>
      <c r="B2695">
        <v>130510</v>
      </c>
      <c r="C2695">
        <v>65303</v>
      </c>
      <c r="D2695">
        <v>65207</v>
      </c>
      <c r="E2695">
        <v>96274534</v>
      </c>
      <c r="F2695">
        <v>106525512</v>
      </c>
      <c r="G2695">
        <v>202800046</v>
      </c>
      <c r="H2695">
        <v>37460</v>
      </c>
      <c r="I2695">
        <v>10399</v>
      </c>
      <c r="J2695">
        <v>47859</v>
      </c>
      <c r="K2695" t="b">
        <f>TrafficData[[#This Row],[disposedChallan]]+TrafficData[[#This Row],[pendingChallan]]=TrafficData[[#This Row],[totalChallan]]</f>
        <v>1</v>
      </c>
      <c r="L2695" t="b">
        <f>TrafficData[[#This Row],[pendingAmount]]+TrafficData[[#This Row],[disposedAmount]]=TrafficData[[#This Row],[totalAmount]]</f>
        <v>1</v>
      </c>
      <c r="M2695" t="b">
        <f>TrafficData[[#This Row],[pendingCourt]]+TrafficData[[#This Row],[disposedCourt]]=TrafficData[[#This Row],[totalCourt]]</f>
        <v>1</v>
      </c>
      <c r="N2695" t="b">
        <f>AND(TrafficData[[#This Row],[disposedChallan]]&lt;=TrafficData[[#This Row],[totalChallan]],TrafficData[[#This Row],[pendingChallan]]&lt;=TrafficData[[#This Row],[totalChallan]])</f>
        <v>1</v>
      </c>
      <c r="O2695" t="b">
        <f>AND(TrafficData[[#This Row],[pendingAmount]]&lt;=TrafficData[[#This Row],[totalAmount]],TrafficData[[#This Row],[disposedAmount]]&lt;=TrafficData[[#This Row],[totalAmount]])</f>
        <v>1</v>
      </c>
      <c r="P2695" t="b">
        <f>AND(TrafficData[[#This Row],[pendingCourt]]&lt;=TrafficData[[#This Row],[totalCourt]],TrafficData[[#This Row],[disposedCourt]]&lt;=TrafficData[[#This Row],[totalCourt]])</f>
        <v>1</v>
      </c>
    </row>
    <row r="2696" spans="1:16">
      <c r="A2696" s="1">
        <v>44700</v>
      </c>
      <c r="B2696">
        <v>135193</v>
      </c>
      <c r="C2696">
        <v>67019</v>
      </c>
      <c r="D2696">
        <v>68174</v>
      </c>
      <c r="E2696">
        <v>111412911</v>
      </c>
      <c r="F2696">
        <v>107857444</v>
      </c>
      <c r="G2696">
        <v>219270355</v>
      </c>
      <c r="H2696">
        <v>43800</v>
      </c>
      <c r="I2696">
        <v>12169</v>
      </c>
      <c r="J2696">
        <v>55969</v>
      </c>
      <c r="K2696" t="b">
        <f>TrafficData[[#This Row],[disposedChallan]]+TrafficData[[#This Row],[pendingChallan]]=TrafficData[[#This Row],[totalChallan]]</f>
        <v>1</v>
      </c>
      <c r="L2696" t="b">
        <f>TrafficData[[#This Row],[pendingAmount]]+TrafficData[[#This Row],[disposedAmount]]=TrafficData[[#This Row],[totalAmount]]</f>
        <v>1</v>
      </c>
      <c r="M2696" t="b">
        <f>TrafficData[[#This Row],[pendingCourt]]+TrafficData[[#This Row],[disposedCourt]]=TrafficData[[#This Row],[totalCourt]]</f>
        <v>1</v>
      </c>
      <c r="N2696" t="b">
        <f>AND(TrafficData[[#This Row],[disposedChallan]]&lt;=TrafficData[[#This Row],[totalChallan]],TrafficData[[#This Row],[pendingChallan]]&lt;=TrafficData[[#This Row],[totalChallan]])</f>
        <v>1</v>
      </c>
      <c r="O2696" t="b">
        <f>AND(TrafficData[[#This Row],[pendingAmount]]&lt;=TrafficData[[#This Row],[totalAmount]],TrafficData[[#This Row],[disposedAmount]]&lt;=TrafficData[[#This Row],[totalAmount]])</f>
        <v>1</v>
      </c>
      <c r="P2696" t="b">
        <f>AND(TrafficData[[#This Row],[pendingCourt]]&lt;=TrafficData[[#This Row],[totalCourt]],TrafficData[[#This Row],[disposedCourt]]&lt;=TrafficData[[#This Row],[totalCourt]])</f>
        <v>1</v>
      </c>
    </row>
    <row r="2697" spans="1:16">
      <c r="A2697" s="1">
        <v>44701</v>
      </c>
      <c r="B2697">
        <v>139120</v>
      </c>
      <c r="C2697">
        <v>69187</v>
      </c>
      <c r="D2697">
        <v>69933</v>
      </c>
      <c r="E2697">
        <v>101860965</v>
      </c>
      <c r="F2697">
        <v>116532715</v>
      </c>
      <c r="G2697">
        <v>218393680</v>
      </c>
      <c r="H2697">
        <v>43939</v>
      </c>
      <c r="I2697">
        <v>12522</v>
      </c>
      <c r="J2697">
        <v>56461</v>
      </c>
      <c r="K2697" t="b">
        <f>TrafficData[[#This Row],[disposedChallan]]+TrafficData[[#This Row],[pendingChallan]]=TrafficData[[#This Row],[totalChallan]]</f>
        <v>1</v>
      </c>
      <c r="L2697" t="b">
        <f>TrafficData[[#This Row],[pendingAmount]]+TrafficData[[#This Row],[disposedAmount]]=TrafficData[[#This Row],[totalAmount]]</f>
        <v>1</v>
      </c>
      <c r="M2697" t="b">
        <f>TrafficData[[#This Row],[pendingCourt]]+TrafficData[[#This Row],[disposedCourt]]=TrafficData[[#This Row],[totalCourt]]</f>
        <v>1</v>
      </c>
      <c r="N2697" t="b">
        <f>AND(TrafficData[[#This Row],[disposedChallan]]&lt;=TrafficData[[#This Row],[totalChallan]],TrafficData[[#This Row],[pendingChallan]]&lt;=TrafficData[[#This Row],[totalChallan]])</f>
        <v>1</v>
      </c>
      <c r="O2697" t="b">
        <f>AND(TrafficData[[#This Row],[pendingAmount]]&lt;=TrafficData[[#This Row],[totalAmount]],TrafficData[[#This Row],[disposedAmount]]&lt;=TrafficData[[#This Row],[totalAmount]])</f>
        <v>1</v>
      </c>
      <c r="P2697" t="b">
        <f>AND(TrafficData[[#This Row],[pendingCourt]]&lt;=TrafficData[[#This Row],[totalCourt]],TrafficData[[#This Row],[disposedCourt]]&lt;=TrafficData[[#This Row],[totalCourt]])</f>
        <v>1</v>
      </c>
    </row>
    <row r="2698" spans="1:16">
      <c r="A2698" s="1">
        <v>44702</v>
      </c>
      <c r="B2698">
        <v>135056</v>
      </c>
      <c r="C2698">
        <v>69584</v>
      </c>
      <c r="D2698">
        <v>65472</v>
      </c>
      <c r="E2698">
        <v>98704415</v>
      </c>
      <c r="F2698">
        <v>99081341</v>
      </c>
      <c r="G2698">
        <v>197785756</v>
      </c>
      <c r="H2698">
        <v>42872</v>
      </c>
      <c r="I2698">
        <v>12132</v>
      </c>
      <c r="J2698">
        <v>55004</v>
      </c>
      <c r="K2698" t="b">
        <f>TrafficData[[#This Row],[disposedChallan]]+TrafficData[[#This Row],[pendingChallan]]=TrafficData[[#This Row],[totalChallan]]</f>
        <v>1</v>
      </c>
      <c r="L2698" t="b">
        <f>TrafficData[[#This Row],[pendingAmount]]+TrafficData[[#This Row],[disposedAmount]]=TrafficData[[#This Row],[totalAmount]]</f>
        <v>1</v>
      </c>
      <c r="M2698" t="b">
        <f>TrafficData[[#This Row],[pendingCourt]]+TrafficData[[#This Row],[disposedCourt]]=TrafficData[[#This Row],[totalCourt]]</f>
        <v>1</v>
      </c>
      <c r="N2698" t="b">
        <f>AND(TrafficData[[#This Row],[disposedChallan]]&lt;=TrafficData[[#This Row],[totalChallan]],TrafficData[[#This Row],[pendingChallan]]&lt;=TrafficData[[#This Row],[totalChallan]])</f>
        <v>1</v>
      </c>
      <c r="O2698" t="b">
        <f>AND(TrafficData[[#This Row],[pendingAmount]]&lt;=TrafficData[[#This Row],[totalAmount]],TrafficData[[#This Row],[disposedAmount]]&lt;=TrafficData[[#This Row],[totalAmount]])</f>
        <v>1</v>
      </c>
      <c r="P2698" t="b">
        <f>AND(TrafficData[[#This Row],[pendingCourt]]&lt;=TrafficData[[#This Row],[totalCourt]],TrafficData[[#This Row],[disposedCourt]]&lt;=TrafficData[[#This Row],[totalCourt]])</f>
        <v>1</v>
      </c>
    </row>
    <row r="2699" spans="1:16">
      <c r="A2699" s="1">
        <v>44703</v>
      </c>
      <c r="B2699">
        <v>118719</v>
      </c>
      <c r="C2699">
        <v>59818</v>
      </c>
      <c r="D2699">
        <v>58901</v>
      </c>
      <c r="E2699">
        <v>90398721</v>
      </c>
      <c r="F2699">
        <v>76760628</v>
      </c>
      <c r="G2699">
        <v>167159349</v>
      </c>
      <c r="H2699">
        <v>41284</v>
      </c>
      <c r="I2699">
        <v>11187</v>
      </c>
      <c r="J2699">
        <v>52471</v>
      </c>
      <c r="K2699" t="b">
        <f>TrafficData[[#This Row],[disposedChallan]]+TrafficData[[#This Row],[pendingChallan]]=TrafficData[[#This Row],[totalChallan]]</f>
        <v>1</v>
      </c>
      <c r="L2699" t="b">
        <f>TrafficData[[#This Row],[pendingAmount]]+TrafficData[[#This Row],[disposedAmount]]=TrafficData[[#This Row],[totalAmount]]</f>
        <v>1</v>
      </c>
      <c r="M2699" t="b">
        <f>TrafficData[[#This Row],[pendingCourt]]+TrafficData[[#This Row],[disposedCourt]]=TrafficData[[#This Row],[totalCourt]]</f>
        <v>1</v>
      </c>
      <c r="N2699" t="b">
        <f>AND(TrafficData[[#This Row],[disposedChallan]]&lt;=TrafficData[[#This Row],[totalChallan]],TrafficData[[#This Row],[pendingChallan]]&lt;=TrafficData[[#This Row],[totalChallan]])</f>
        <v>1</v>
      </c>
      <c r="O2699" t="b">
        <f>AND(TrafficData[[#This Row],[pendingAmount]]&lt;=TrafficData[[#This Row],[totalAmount]],TrafficData[[#This Row],[disposedAmount]]&lt;=TrafficData[[#This Row],[totalAmount]])</f>
        <v>1</v>
      </c>
      <c r="P2699" t="b">
        <f>AND(TrafficData[[#This Row],[pendingCourt]]&lt;=TrafficData[[#This Row],[totalCourt]],TrafficData[[#This Row],[disposedCourt]]&lt;=TrafficData[[#This Row],[totalCourt]])</f>
        <v>1</v>
      </c>
    </row>
    <row r="2700" spans="1:16">
      <c r="A2700" s="1">
        <v>44704</v>
      </c>
      <c r="B2700">
        <v>127920</v>
      </c>
      <c r="C2700">
        <v>67541</v>
      </c>
      <c r="D2700">
        <v>60379</v>
      </c>
      <c r="E2700">
        <v>96822643</v>
      </c>
      <c r="F2700">
        <v>89337094</v>
      </c>
      <c r="G2700">
        <v>186159737</v>
      </c>
      <c r="H2700">
        <v>39905</v>
      </c>
      <c r="I2700">
        <v>11633</v>
      </c>
      <c r="J2700">
        <v>51538</v>
      </c>
      <c r="K2700" t="b">
        <f>TrafficData[[#This Row],[disposedChallan]]+TrafficData[[#This Row],[pendingChallan]]=TrafficData[[#This Row],[totalChallan]]</f>
        <v>1</v>
      </c>
      <c r="L2700" t="b">
        <f>TrafficData[[#This Row],[pendingAmount]]+TrafficData[[#This Row],[disposedAmount]]=TrafficData[[#This Row],[totalAmount]]</f>
        <v>1</v>
      </c>
      <c r="M2700" t="b">
        <f>TrafficData[[#This Row],[pendingCourt]]+TrafficData[[#This Row],[disposedCourt]]=TrafficData[[#This Row],[totalCourt]]</f>
        <v>1</v>
      </c>
      <c r="N2700" t="b">
        <f>AND(TrafficData[[#This Row],[disposedChallan]]&lt;=TrafficData[[#This Row],[totalChallan]],TrafficData[[#This Row],[pendingChallan]]&lt;=TrafficData[[#This Row],[totalChallan]])</f>
        <v>1</v>
      </c>
      <c r="O2700" t="b">
        <f>AND(TrafficData[[#This Row],[pendingAmount]]&lt;=TrafficData[[#This Row],[totalAmount]],TrafficData[[#This Row],[disposedAmount]]&lt;=TrafficData[[#This Row],[totalAmount]])</f>
        <v>1</v>
      </c>
      <c r="P2700" t="b">
        <f>AND(TrafficData[[#This Row],[pendingCourt]]&lt;=TrafficData[[#This Row],[totalCourt]],TrafficData[[#This Row],[disposedCourt]]&lt;=TrafficData[[#This Row],[totalCourt]])</f>
        <v>1</v>
      </c>
    </row>
    <row r="2701" spans="1:16">
      <c r="A2701" s="1">
        <v>44705</v>
      </c>
      <c r="B2701">
        <v>129816</v>
      </c>
      <c r="C2701">
        <v>68344</v>
      </c>
      <c r="D2701">
        <v>61472</v>
      </c>
      <c r="E2701">
        <v>108467770</v>
      </c>
      <c r="F2701">
        <v>102472774</v>
      </c>
      <c r="G2701">
        <v>210940544</v>
      </c>
      <c r="H2701">
        <v>42671</v>
      </c>
      <c r="I2701">
        <v>12265</v>
      </c>
      <c r="J2701">
        <v>54936</v>
      </c>
      <c r="K2701" t="b">
        <f>TrafficData[[#This Row],[disposedChallan]]+TrafficData[[#This Row],[pendingChallan]]=TrafficData[[#This Row],[totalChallan]]</f>
        <v>1</v>
      </c>
      <c r="L2701" t="b">
        <f>TrafficData[[#This Row],[pendingAmount]]+TrafficData[[#This Row],[disposedAmount]]=TrafficData[[#This Row],[totalAmount]]</f>
        <v>1</v>
      </c>
      <c r="M2701" t="b">
        <f>TrafficData[[#This Row],[pendingCourt]]+TrafficData[[#This Row],[disposedCourt]]=TrafficData[[#This Row],[totalCourt]]</f>
        <v>1</v>
      </c>
      <c r="N2701" t="b">
        <f>AND(TrafficData[[#This Row],[disposedChallan]]&lt;=TrafficData[[#This Row],[totalChallan]],TrafficData[[#This Row],[pendingChallan]]&lt;=TrafficData[[#This Row],[totalChallan]])</f>
        <v>1</v>
      </c>
      <c r="O2701" t="b">
        <f>AND(TrafficData[[#This Row],[pendingAmount]]&lt;=TrafficData[[#This Row],[totalAmount]],TrafficData[[#This Row],[disposedAmount]]&lt;=TrafficData[[#This Row],[totalAmount]])</f>
        <v>1</v>
      </c>
      <c r="P2701" t="b">
        <f>AND(TrafficData[[#This Row],[pendingCourt]]&lt;=TrafficData[[#This Row],[totalCourt]],TrafficData[[#This Row],[disposedCourt]]&lt;=TrafficData[[#This Row],[totalCourt]])</f>
        <v>1</v>
      </c>
    </row>
    <row r="2702" spans="1:16">
      <c r="A2702" s="1">
        <v>44706</v>
      </c>
      <c r="B2702">
        <v>137182</v>
      </c>
      <c r="C2702">
        <v>71085</v>
      </c>
      <c r="D2702">
        <v>66097</v>
      </c>
      <c r="E2702">
        <v>113637812</v>
      </c>
      <c r="F2702">
        <v>105386884</v>
      </c>
      <c r="G2702">
        <v>219024696</v>
      </c>
      <c r="H2702">
        <v>47604</v>
      </c>
      <c r="I2702">
        <v>13332</v>
      </c>
      <c r="J2702">
        <v>60936</v>
      </c>
      <c r="K2702" t="b">
        <f>TrafficData[[#This Row],[disposedChallan]]+TrafficData[[#This Row],[pendingChallan]]=TrafficData[[#This Row],[totalChallan]]</f>
        <v>1</v>
      </c>
      <c r="L2702" t="b">
        <f>TrafficData[[#This Row],[pendingAmount]]+TrafficData[[#This Row],[disposedAmount]]=TrafficData[[#This Row],[totalAmount]]</f>
        <v>1</v>
      </c>
      <c r="M2702" t="b">
        <f>TrafficData[[#This Row],[pendingCourt]]+TrafficData[[#This Row],[disposedCourt]]=TrafficData[[#This Row],[totalCourt]]</f>
        <v>1</v>
      </c>
      <c r="N2702" t="b">
        <f>AND(TrafficData[[#This Row],[disposedChallan]]&lt;=TrafficData[[#This Row],[totalChallan]],TrafficData[[#This Row],[pendingChallan]]&lt;=TrafficData[[#This Row],[totalChallan]])</f>
        <v>1</v>
      </c>
      <c r="O2702" t="b">
        <f>AND(TrafficData[[#This Row],[pendingAmount]]&lt;=TrafficData[[#This Row],[totalAmount]],TrafficData[[#This Row],[disposedAmount]]&lt;=TrafficData[[#This Row],[totalAmount]])</f>
        <v>1</v>
      </c>
      <c r="P2702" t="b">
        <f>AND(TrafficData[[#This Row],[pendingCourt]]&lt;=TrafficData[[#This Row],[totalCourt]],TrafficData[[#This Row],[disposedCourt]]&lt;=TrafficData[[#This Row],[totalCourt]])</f>
        <v>1</v>
      </c>
    </row>
    <row r="2703" spans="1:16">
      <c r="A2703" s="1">
        <v>44707</v>
      </c>
      <c r="B2703">
        <v>138179</v>
      </c>
      <c r="C2703">
        <v>69830</v>
      </c>
      <c r="D2703">
        <v>68349</v>
      </c>
      <c r="E2703">
        <v>108578915</v>
      </c>
      <c r="F2703">
        <v>99147334</v>
      </c>
      <c r="G2703">
        <v>207726249</v>
      </c>
      <c r="H2703">
        <v>47137</v>
      </c>
      <c r="I2703">
        <v>12863</v>
      </c>
      <c r="J2703">
        <v>60000</v>
      </c>
      <c r="K2703" t="b">
        <f>TrafficData[[#This Row],[disposedChallan]]+TrafficData[[#This Row],[pendingChallan]]=TrafficData[[#This Row],[totalChallan]]</f>
        <v>1</v>
      </c>
      <c r="L2703" t="b">
        <f>TrafficData[[#This Row],[pendingAmount]]+TrafficData[[#This Row],[disposedAmount]]=TrafficData[[#This Row],[totalAmount]]</f>
        <v>1</v>
      </c>
      <c r="M2703" t="b">
        <f>TrafficData[[#This Row],[pendingCourt]]+TrafficData[[#This Row],[disposedCourt]]=TrafficData[[#This Row],[totalCourt]]</f>
        <v>1</v>
      </c>
      <c r="N2703" t="b">
        <f>AND(TrafficData[[#This Row],[disposedChallan]]&lt;=TrafficData[[#This Row],[totalChallan]],TrafficData[[#This Row],[pendingChallan]]&lt;=TrafficData[[#This Row],[totalChallan]])</f>
        <v>1</v>
      </c>
      <c r="O2703" t="b">
        <f>AND(TrafficData[[#This Row],[pendingAmount]]&lt;=TrafficData[[#This Row],[totalAmount]],TrafficData[[#This Row],[disposedAmount]]&lt;=TrafficData[[#This Row],[totalAmount]])</f>
        <v>1</v>
      </c>
      <c r="P2703" t="b">
        <f>AND(TrafficData[[#This Row],[pendingCourt]]&lt;=TrafficData[[#This Row],[totalCourt]],TrafficData[[#This Row],[disposedCourt]]&lt;=TrafficData[[#This Row],[totalCourt]])</f>
        <v>1</v>
      </c>
    </row>
    <row r="2704" spans="1:16">
      <c r="A2704" s="1">
        <v>44708</v>
      </c>
      <c r="B2704">
        <v>136208</v>
      </c>
      <c r="C2704">
        <v>70312</v>
      </c>
      <c r="D2704">
        <v>65896</v>
      </c>
      <c r="E2704">
        <v>108709553</v>
      </c>
      <c r="F2704">
        <v>102157068</v>
      </c>
      <c r="G2704">
        <v>210866621</v>
      </c>
      <c r="H2704">
        <v>44689</v>
      </c>
      <c r="I2704">
        <v>12284</v>
      </c>
      <c r="J2704">
        <v>56973</v>
      </c>
      <c r="K2704" t="b">
        <f>TrafficData[[#This Row],[disposedChallan]]+TrafficData[[#This Row],[pendingChallan]]=TrafficData[[#This Row],[totalChallan]]</f>
        <v>1</v>
      </c>
      <c r="L2704" t="b">
        <f>TrafficData[[#This Row],[pendingAmount]]+TrafficData[[#This Row],[disposedAmount]]=TrafficData[[#This Row],[totalAmount]]</f>
        <v>1</v>
      </c>
      <c r="M2704" t="b">
        <f>TrafficData[[#This Row],[pendingCourt]]+TrafficData[[#This Row],[disposedCourt]]=TrafficData[[#This Row],[totalCourt]]</f>
        <v>1</v>
      </c>
      <c r="N2704" t="b">
        <f>AND(TrafficData[[#This Row],[disposedChallan]]&lt;=TrafficData[[#This Row],[totalChallan]],TrafficData[[#This Row],[pendingChallan]]&lt;=TrafficData[[#This Row],[totalChallan]])</f>
        <v>1</v>
      </c>
      <c r="O2704" t="b">
        <f>AND(TrafficData[[#This Row],[pendingAmount]]&lt;=TrafficData[[#This Row],[totalAmount]],TrafficData[[#This Row],[disposedAmount]]&lt;=TrafficData[[#This Row],[totalAmount]])</f>
        <v>1</v>
      </c>
      <c r="P2704" t="b">
        <f>AND(TrafficData[[#This Row],[pendingCourt]]&lt;=TrafficData[[#This Row],[totalCourt]],TrafficData[[#This Row],[disposedCourt]]&lt;=TrafficData[[#This Row],[totalCourt]])</f>
        <v>1</v>
      </c>
    </row>
    <row r="2705" spans="1:16">
      <c r="A2705" s="1">
        <v>44709</v>
      </c>
      <c r="B2705">
        <v>137791</v>
      </c>
      <c r="C2705">
        <v>70154</v>
      </c>
      <c r="D2705">
        <v>67637</v>
      </c>
      <c r="E2705">
        <v>105985635</v>
      </c>
      <c r="F2705">
        <v>92441700</v>
      </c>
      <c r="G2705">
        <v>198427335</v>
      </c>
      <c r="H2705">
        <v>45874</v>
      </c>
      <c r="I2705">
        <v>12641</v>
      </c>
      <c r="J2705">
        <v>58515</v>
      </c>
      <c r="K2705" t="b">
        <f>TrafficData[[#This Row],[disposedChallan]]+TrafficData[[#This Row],[pendingChallan]]=TrafficData[[#This Row],[totalChallan]]</f>
        <v>1</v>
      </c>
      <c r="L2705" t="b">
        <f>TrafficData[[#This Row],[pendingAmount]]+TrafficData[[#This Row],[disposedAmount]]=TrafficData[[#This Row],[totalAmount]]</f>
        <v>1</v>
      </c>
      <c r="M2705" t="b">
        <f>TrafficData[[#This Row],[pendingCourt]]+TrafficData[[#This Row],[disposedCourt]]=TrafficData[[#This Row],[totalCourt]]</f>
        <v>1</v>
      </c>
      <c r="N2705" t="b">
        <f>AND(TrafficData[[#This Row],[disposedChallan]]&lt;=TrafficData[[#This Row],[totalChallan]],TrafficData[[#This Row],[pendingChallan]]&lt;=TrafficData[[#This Row],[totalChallan]])</f>
        <v>1</v>
      </c>
      <c r="O2705" t="b">
        <f>AND(TrafficData[[#This Row],[pendingAmount]]&lt;=TrafficData[[#This Row],[totalAmount]],TrafficData[[#This Row],[disposedAmount]]&lt;=TrafficData[[#This Row],[totalAmount]])</f>
        <v>1</v>
      </c>
      <c r="P2705" t="b">
        <f>AND(TrafficData[[#This Row],[pendingCourt]]&lt;=TrafficData[[#This Row],[totalCourt]],TrafficData[[#This Row],[disposedCourt]]&lt;=TrafficData[[#This Row],[totalCourt]])</f>
        <v>1</v>
      </c>
    </row>
    <row r="2706" spans="1:16">
      <c r="A2706" s="1">
        <v>44710</v>
      </c>
      <c r="B2706">
        <v>127038</v>
      </c>
      <c r="C2706">
        <v>61105</v>
      </c>
      <c r="D2706">
        <v>65933</v>
      </c>
      <c r="E2706">
        <v>96364760</v>
      </c>
      <c r="F2706">
        <v>70783520</v>
      </c>
      <c r="G2706">
        <v>167148280</v>
      </c>
      <c r="H2706">
        <v>43936</v>
      </c>
      <c r="I2706">
        <v>11290</v>
      </c>
      <c r="J2706">
        <v>55226</v>
      </c>
      <c r="K2706" t="b">
        <f>TrafficData[[#This Row],[disposedChallan]]+TrafficData[[#This Row],[pendingChallan]]=TrafficData[[#This Row],[totalChallan]]</f>
        <v>1</v>
      </c>
      <c r="L2706" t="b">
        <f>TrafficData[[#This Row],[pendingAmount]]+TrafficData[[#This Row],[disposedAmount]]=TrafficData[[#This Row],[totalAmount]]</f>
        <v>1</v>
      </c>
      <c r="M2706" t="b">
        <f>TrafficData[[#This Row],[pendingCourt]]+TrafficData[[#This Row],[disposedCourt]]=TrafficData[[#This Row],[totalCourt]]</f>
        <v>1</v>
      </c>
      <c r="N2706" t="b">
        <f>AND(TrafficData[[#This Row],[disposedChallan]]&lt;=TrafficData[[#This Row],[totalChallan]],TrafficData[[#This Row],[pendingChallan]]&lt;=TrafficData[[#This Row],[totalChallan]])</f>
        <v>1</v>
      </c>
      <c r="O2706" t="b">
        <f>AND(TrafficData[[#This Row],[pendingAmount]]&lt;=TrafficData[[#This Row],[totalAmount]],TrafficData[[#This Row],[disposedAmount]]&lt;=TrafficData[[#This Row],[totalAmount]])</f>
        <v>1</v>
      </c>
      <c r="P2706" t="b">
        <f>AND(TrafficData[[#This Row],[pendingCourt]]&lt;=TrafficData[[#This Row],[totalCourt]],TrafficData[[#This Row],[disposedCourt]]&lt;=TrafficData[[#This Row],[totalCourt]])</f>
        <v>1</v>
      </c>
    </row>
    <row r="2707" spans="1:16">
      <c r="A2707" s="1">
        <v>44711</v>
      </c>
      <c r="B2707">
        <v>131452</v>
      </c>
      <c r="C2707">
        <v>67714</v>
      </c>
      <c r="D2707">
        <v>63738</v>
      </c>
      <c r="E2707">
        <v>104073101</v>
      </c>
      <c r="F2707">
        <v>83849276</v>
      </c>
      <c r="G2707">
        <v>187922377</v>
      </c>
      <c r="H2707">
        <v>44047</v>
      </c>
      <c r="I2707">
        <v>11091</v>
      </c>
      <c r="J2707">
        <v>55138</v>
      </c>
      <c r="K2707" t="b">
        <f>TrafficData[[#This Row],[disposedChallan]]+TrafficData[[#This Row],[pendingChallan]]=TrafficData[[#This Row],[totalChallan]]</f>
        <v>1</v>
      </c>
      <c r="L2707" t="b">
        <f>TrafficData[[#This Row],[pendingAmount]]+TrafficData[[#This Row],[disposedAmount]]=TrafficData[[#This Row],[totalAmount]]</f>
        <v>1</v>
      </c>
      <c r="M2707" t="b">
        <f>TrafficData[[#This Row],[pendingCourt]]+TrafficData[[#This Row],[disposedCourt]]=TrafficData[[#This Row],[totalCourt]]</f>
        <v>1</v>
      </c>
      <c r="N2707" t="b">
        <f>AND(TrafficData[[#This Row],[disposedChallan]]&lt;=TrafficData[[#This Row],[totalChallan]],TrafficData[[#This Row],[pendingChallan]]&lt;=TrafficData[[#This Row],[totalChallan]])</f>
        <v>1</v>
      </c>
      <c r="O2707" t="b">
        <f>AND(TrafficData[[#This Row],[pendingAmount]]&lt;=TrafficData[[#This Row],[totalAmount]],TrafficData[[#This Row],[disposedAmount]]&lt;=TrafficData[[#This Row],[totalAmount]])</f>
        <v>1</v>
      </c>
      <c r="P2707" t="b">
        <f>AND(TrafficData[[#This Row],[pendingCourt]]&lt;=TrafficData[[#This Row],[totalCourt]],TrafficData[[#This Row],[disposedCourt]]&lt;=TrafficData[[#This Row],[totalCourt]])</f>
        <v>1</v>
      </c>
    </row>
    <row r="2708" spans="1:16">
      <c r="A2708" s="1">
        <v>44712</v>
      </c>
      <c r="B2708">
        <v>128934</v>
      </c>
      <c r="C2708">
        <v>65337</v>
      </c>
      <c r="D2708">
        <v>63597</v>
      </c>
      <c r="E2708">
        <v>104002051</v>
      </c>
      <c r="F2708">
        <v>85467287</v>
      </c>
      <c r="G2708">
        <v>189469338</v>
      </c>
      <c r="H2708">
        <v>42145</v>
      </c>
      <c r="I2708">
        <v>11066</v>
      </c>
      <c r="J2708">
        <v>53211</v>
      </c>
      <c r="K2708" t="b">
        <f>TrafficData[[#This Row],[disposedChallan]]+TrafficData[[#This Row],[pendingChallan]]=TrafficData[[#This Row],[totalChallan]]</f>
        <v>1</v>
      </c>
      <c r="L2708" t="b">
        <f>TrafficData[[#This Row],[pendingAmount]]+TrafficData[[#This Row],[disposedAmount]]=TrafficData[[#This Row],[totalAmount]]</f>
        <v>1</v>
      </c>
      <c r="M2708" t="b">
        <f>TrafficData[[#This Row],[pendingCourt]]+TrafficData[[#This Row],[disposedCourt]]=TrafficData[[#This Row],[totalCourt]]</f>
        <v>1</v>
      </c>
      <c r="N2708" t="b">
        <f>AND(TrafficData[[#This Row],[disposedChallan]]&lt;=TrafficData[[#This Row],[totalChallan]],TrafficData[[#This Row],[pendingChallan]]&lt;=TrafficData[[#This Row],[totalChallan]])</f>
        <v>1</v>
      </c>
      <c r="O2708" t="b">
        <f>AND(TrafficData[[#This Row],[pendingAmount]]&lt;=TrafficData[[#This Row],[totalAmount]],TrafficData[[#This Row],[disposedAmount]]&lt;=TrafficData[[#This Row],[totalAmount]])</f>
        <v>1</v>
      </c>
      <c r="P2708" t="b">
        <f>AND(TrafficData[[#This Row],[pendingCourt]]&lt;=TrafficData[[#This Row],[totalCourt]],TrafficData[[#This Row],[disposedCourt]]&lt;=TrafficData[[#This Row],[totalCourt]])</f>
        <v>1</v>
      </c>
    </row>
    <row r="2709" spans="1:16">
      <c r="A2709" s="1">
        <v>44713</v>
      </c>
      <c r="B2709">
        <v>136494</v>
      </c>
      <c r="C2709">
        <v>73787</v>
      </c>
      <c r="D2709">
        <v>62707</v>
      </c>
      <c r="E2709">
        <v>102635036</v>
      </c>
      <c r="F2709">
        <v>115737131</v>
      </c>
      <c r="G2709">
        <v>218372167</v>
      </c>
      <c r="H2709">
        <v>42745</v>
      </c>
      <c r="I2709">
        <v>11653</v>
      </c>
      <c r="J2709">
        <v>54398</v>
      </c>
      <c r="K2709" t="b">
        <f>TrafficData[[#This Row],[disposedChallan]]+TrafficData[[#This Row],[pendingChallan]]=TrafficData[[#This Row],[totalChallan]]</f>
        <v>1</v>
      </c>
      <c r="L2709" t="b">
        <f>TrafficData[[#This Row],[pendingAmount]]+TrafficData[[#This Row],[disposedAmount]]=TrafficData[[#This Row],[totalAmount]]</f>
        <v>1</v>
      </c>
      <c r="M2709" t="b">
        <f>TrafficData[[#This Row],[pendingCourt]]+TrafficData[[#This Row],[disposedCourt]]=TrafficData[[#This Row],[totalCourt]]</f>
        <v>1</v>
      </c>
      <c r="N2709" t="b">
        <f>AND(TrafficData[[#This Row],[disposedChallan]]&lt;=TrafficData[[#This Row],[totalChallan]],TrafficData[[#This Row],[pendingChallan]]&lt;=TrafficData[[#This Row],[totalChallan]])</f>
        <v>1</v>
      </c>
      <c r="O2709" t="b">
        <f>AND(TrafficData[[#This Row],[pendingAmount]]&lt;=TrafficData[[#This Row],[totalAmount]],TrafficData[[#This Row],[disposedAmount]]&lt;=TrafficData[[#This Row],[totalAmount]])</f>
        <v>1</v>
      </c>
      <c r="P2709" t="b">
        <f>AND(TrafficData[[#This Row],[pendingCourt]]&lt;=TrafficData[[#This Row],[totalCourt]],TrafficData[[#This Row],[disposedCourt]]&lt;=TrafficData[[#This Row],[totalCourt]])</f>
        <v>1</v>
      </c>
    </row>
    <row r="2710" spans="1:16">
      <c r="A2710" s="1">
        <v>44714</v>
      </c>
      <c r="B2710">
        <v>139532</v>
      </c>
      <c r="C2710">
        <v>75803</v>
      </c>
      <c r="D2710">
        <v>63729</v>
      </c>
      <c r="E2710">
        <v>108380250</v>
      </c>
      <c r="F2710">
        <v>117003332</v>
      </c>
      <c r="G2710">
        <v>225383582</v>
      </c>
      <c r="H2710">
        <v>42664</v>
      </c>
      <c r="I2710">
        <v>11332</v>
      </c>
      <c r="J2710">
        <v>53996</v>
      </c>
      <c r="K2710" t="b">
        <f>TrafficData[[#This Row],[disposedChallan]]+TrafficData[[#This Row],[pendingChallan]]=TrafficData[[#This Row],[totalChallan]]</f>
        <v>1</v>
      </c>
      <c r="L2710" t="b">
        <f>TrafficData[[#This Row],[pendingAmount]]+TrafficData[[#This Row],[disposedAmount]]=TrafficData[[#This Row],[totalAmount]]</f>
        <v>1</v>
      </c>
      <c r="M2710" t="b">
        <f>TrafficData[[#This Row],[pendingCourt]]+TrafficData[[#This Row],[disposedCourt]]=TrafficData[[#This Row],[totalCourt]]</f>
        <v>1</v>
      </c>
      <c r="N2710" t="b">
        <f>AND(TrafficData[[#This Row],[disposedChallan]]&lt;=TrafficData[[#This Row],[totalChallan]],TrafficData[[#This Row],[pendingChallan]]&lt;=TrafficData[[#This Row],[totalChallan]])</f>
        <v>1</v>
      </c>
      <c r="O2710" t="b">
        <f>AND(TrafficData[[#This Row],[pendingAmount]]&lt;=TrafficData[[#This Row],[totalAmount]],TrafficData[[#This Row],[disposedAmount]]&lt;=TrafficData[[#This Row],[totalAmount]])</f>
        <v>1</v>
      </c>
      <c r="P2710" t="b">
        <f>AND(TrafficData[[#This Row],[pendingCourt]]&lt;=TrafficData[[#This Row],[totalCourt]],TrafficData[[#This Row],[disposedCourt]]&lt;=TrafficData[[#This Row],[totalCourt]])</f>
        <v>1</v>
      </c>
    </row>
    <row r="2711" spans="1:16">
      <c r="A2711" s="1">
        <v>44715</v>
      </c>
      <c r="B2711">
        <v>137413</v>
      </c>
      <c r="C2711">
        <v>73809</v>
      </c>
      <c r="D2711">
        <v>63604</v>
      </c>
      <c r="E2711">
        <v>100261952</v>
      </c>
      <c r="F2711">
        <v>114728021</v>
      </c>
      <c r="G2711">
        <v>214989973</v>
      </c>
      <c r="H2711">
        <v>42079</v>
      </c>
      <c r="I2711">
        <v>10908</v>
      </c>
      <c r="J2711">
        <v>52987</v>
      </c>
      <c r="K2711" t="b">
        <f>TrafficData[[#This Row],[disposedChallan]]+TrafficData[[#This Row],[pendingChallan]]=TrafficData[[#This Row],[totalChallan]]</f>
        <v>1</v>
      </c>
      <c r="L2711" t="b">
        <f>TrafficData[[#This Row],[pendingAmount]]+TrafficData[[#This Row],[disposedAmount]]=TrafficData[[#This Row],[totalAmount]]</f>
        <v>1</v>
      </c>
      <c r="M2711" t="b">
        <f>TrafficData[[#This Row],[pendingCourt]]+TrafficData[[#This Row],[disposedCourt]]=TrafficData[[#This Row],[totalCourt]]</f>
        <v>1</v>
      </c>
      <c r="N2711" t="b">
        <f>AND(TrafficData[[#This Row],[disposedChallan]]&lt;=TrafficData[[#This Row],[totalChallan]],TrafficData[[#This Row],[pendingChallan]]&lt;=TrafficData[[#This Row],[totalChallan]])</f>
        <v>1</v>
      </c>
      <c r="O2711" t="b">
        <f>AND(TrafficData[[#This Row],[pendingAmount]]&lt;=TrafficData[[#This Row],[totalAmount]],TrafficData[[#This Row],[disposedAmount]]&lt;=TrafficData[[#This Row],[totalAmount]])</f>
        <v>1</v>
      </c>
      <c r="P2711" t="b">
        <f>AND(TrafficData[[#This Row],[pendingCourt]]&lt;=TrafficData[[#This Row],[totalCourt]],TrafficData[[#This Row],[disposedCourt]]&lt;=TrafficData[[#This Row],[totalCourt]])</f>
        <v>1</v>
      </c>
    </row>
    <row r="2712" spans="1:16">
      <c r="A2712" s="1">
        <v>44716</v>
      </c>
      <c r="B2712">
        <v>142554</v>
      </c>
      <c r="C2712">
        <v>75871</v>
      </c>
      <c r="D2712">
        <v>66683</v>
      </c>
      <c r="E2712">
        <v>108765285</v>
      </c>
      <c r="F2712">
        <v>111134237</v>
      </c>
      <c r="G2712">
        <v>219899522</v>
      </c>
      <c r="H2712">
        <v>41560</v>
      </c>
      <c r="I2712">
        <v>11089</v>
      </c>
      <c r="J2712">
        <v>52649</v>
      </c>
      <c r="K2712" t="b">
        <f>TrafficData[[#This Row],[disposedChallan]]+TrafficData[[#This Row],[pendingChallan]]=TrafficData[[#This Row],[totalChallan]]</f>
        <v>1</v>
      </c>
      <c r="L2712" t="b">
        <f>TrafficData[[#This Row],[pendingAmount]]+TrafficData[[#This Row],[disposedAmount]]=TrafficData[[#This Row],[totalAmount]]</f>
        <v>1</v>
      </c>
      <c r="M2712" t="b">
        <f>TrafficData[[#This Row],[pendingCourt]]+TrafficData[[#This Row],[disposedCourt]]=TrafficData[[#This Row],[totalCourt]]</f>
        <v>1</v>
      </c>
      <c r="N2712" t="b">
        <f>AND(TrafficData[[#This Row],[disposedChallan]]&lt;=TrafficData[[#This Row],[totalChallan]],TrafficData[[#This Row],[pendingChallan]]&lt;=TrafficData[[#This Row],[totalChallan]])</f>
        <v>1</v>
      </c>
      <c r="O2712" t="b">
        <f>AND(TrafficData[[#This Row],[pendingAmount]]&lt;=TrafficData[[#This Row],[totalAmount]],TrafficData[[#This Row],[disposedAmount]]&lt;=TrafficData[[#This Row],[totalAmount]])</f>
        <v>1</v>
      </c>
      <c r="P2712" t="b">
        <f>AND(TrafficData[[#This Row],[pendingCourt]]&lt;=TrafficData[[#This Row],[totalCourt]],TrafficData[[#This Row],[disposedCourt]]&lt;=TrafficData[[#This Row],[totalCourt]])</f>
        <v>1</v>
      </c>
    </row>
    <row r="2713" spans="1:16">
      <c r="A2713" s="1">
        <v>44717</v>
      </c>
      <c r="B2713">
        <v>122242</v>
      </c>
      <c r="C2713">
        <v>62791</v>
      </c>
      <c r="D2713">
        <v>59451</v>
      </c>
      <c r="E2713">
        <v>84365261</v>
      </c>
      <c r="F2713">
        <v>81681677</v>
      </c>
      <c r="G2713">
        <v>166046938</v>
      </c>
      <c r="H2713">
        <v>38651</v>
      </c>
      <c r="I2713">
        <v>9913</v>
      </c>
      <c r="J2713">
        <v>48564</v>
      </c>
      <c r="K2713" t="b">
        <f>TrafficData[[#This Row],[disposedChallan]]+TrafficData[[#This Row],[pendingChallan]]=TrafficData[[#This Row],[totalChallan]]</f>
        <v>1</v>
      </c>
      <c r="L2713" t="b">
        <f>TrafficData[[#This Row],[pendingAmount]]+TrafficData[[#This Row],[disposedAmount]]=TrafficData[[#This Row],[totalAmount]]</f>
        <v>1</v>
      </c>
      <c r="M2713" t="b">
        <f>TrafficData[[#This Row],[pendingCourt]]+TrafficData[[#This Row],[disposedCourt]]=TrafficData[[#This Row],[totalCourt]]</f>
        <v>1</v>
      </c>
      <c r="N2713" t="b">
        <f>AND(TrafficData[[#This Row],[disposedChallan]]&lt;=TrafficData[[#This Row],[totalChallan]],TrafficData[[#This Row],[pendingChallan]]&lt;=TrafficData[[#This Row],[totalChallan]])</f>
        <v>1</v>
      </c>
      <c r="O2713" t="b">
        <f>AND(TrafficData[[#This Row],[pendingAmount]]&lt;=TrafficData[[#This Row],[totalAmount]],TrafficData[[#This Row],[disposedAmount]]&lt;=TrafficData[[#This Row],[totalAmount]])</f>
        <v>1</v>
      </c>
      <c r="P2713" t="b">
        <f>AND(TrafficData[[#This Row],[pendingCourt]]&lt;=TrafficData[[#This Row],[totalCourt]],TrafficData[[#This Row],[disposedCourt]]&lt;=TrafficData[[#This Row],[totalCourt]])</f>
        <v>1</v>
      </c>
    </row>
    <row r="2714" spans="1:16">
      <c r="A2714" s="1">
        <v>44718</v>
      </c>
      <c r="B2714">
        <v>134186</v>
      </c>
      <c r="C2714">
        <v>71177</v>
      </c>
      <c r="D2714">
        <v>63009</v>
      </c>
      <c r="E2714">
        <v>97966273</v>
      </c>
      <c r="F2714">
        <v>100011960</v>
      </c>
      <c r="G2714">
        <v>197978233</v>
      </c>
      <c r="H2714">
        <v>41084</v>
      </c>
      <c r="I2714">
        <v>11161</v>
      </c>
      <c r="J2714">
        <v>52245</v>
      </c>
      <c r="K2714" t="b">
        <f>TrafficData[[#This Row],[disposedChallan]]+TrafficData[[#This Row],[pendingChallan]]=TrafficData[[#This Row],[totalChallan]]</f>
        <v>1</v>
      </c>
      <c r="L2714" t="b">
        <f>TrafficData[[#This Row],[pendingAmount]]+TrafficData[[#This Row],[disposedAmount]]=TrafficData[[#This Row],[totalAmount]]</f>
        <v>1</v>
      </c>
      <c r="M2714" t="b">
        <f>TrafficData[[#This Row],[pendingCourt]]+TrafficData[[#This Row],[disposedCourt]]=TrafficData[[#This Row],[totalCourt]]</f>
        <v>1</v>
      </c>
      <c r="N2714" t="b">
        <f>AND(TrafficData[[#This Row],[disposedChallan]]&lt;=TrafficData[[#This Row],[totalChallan]],TrafficData[[#This Row],[pendingChallan]]&lt;=TrafficData[[#This Row],[totalChallan]])</f>
        <v>1</v>
      </c>
      <c r="O2714" t="b">
        <f>AND(TrafficData[[#This Row],[pendingAmount]]&lt;=TrafficData[[#This Row],[totalAmount]],TrafficData[[#This Row],[disposedAmount]]&lt;=TrafficData[[#This Row],[totalAmount]])</f>
        <v>1</v>
      </c>
      <c r="P2714" t="b">
        <f>AND(TrafficData[[#This Row],[pendingCourt]]&lt;=TrafficData[[#This Row],[totalCourt]],TrafficData[[#This Row],[disposedCourt]]&lt;=TrafficData[[#This Row],[totalCourt]])</f>
        <v>1</v>
      </c>
    </row>
    <row r="2715" spans="1:16">
      <c r="A2715" s="1">
        <v>44719</v>
      </c>
      <c r="B2715">
        <v>139249</v>
      </c>
      <c r="C2715">
        <v>74079</v>
      </c>
      <c r="D2715">
        <v>65170</v>
      </c>
      <c r="E2715">
        <v>107103634</v>
      </c>
      <c r="F2715">
        <v>112410413</v>
      </c>
      <c r="G2715">
        <v>219514047</v>
      </c>
      <c r="H2715">
        <v>44964</v>
      </c>
      <c r="I2715">
        <v>11732</v>
      </c>
      <c r="J2715">
        <v>56696</v>
      </c>
      <c r="K2715" t="b">
        <f>TrafficData[[#This Row],[disposedChallan]]+TrafficData[[#This Row],[pendingChallan]]=TrafficData[[#This Row],[totalChallan]]</f>
        <v>1</v>
      </c>
      <c r="L2715" t="b">
        <f>TrafficData[[#This Row],[pendingAmount]]+TrafficData[[#This Row],[disposedAmount]]=TrafficData[[#This Row],[totalAmount]]</f>
        <v>1</v>
      </c>
      <c r="M2715" t="b">
        <f>TrafficData[[#This Row],[pendingCourt]]+TrafficData[[#This Row],[disposedCourt]]=TrafficData[[#This Row],[totalCourt]]</f>
        <v>1</v>
      </c>
      <c r="N2715" t="b">
        <f>AND(TrafficData[[#This Row],[disposedChallan]]&lt;=TrafficData[[#This Row],[totalChallan]],TrafficData[[#This Row],[pendingChallan]]&lt;=TrafficData[[#This Row],[totalChallan]])</f>
        <v>1</v>
      </c>
      <c r="O2715" t="b">
        <f>AND(TrafficData[[#This Row],[pendingAmount]]&lt;=TrafficData[[#This Row],[totalAmount]],TrafficData[[#This Row],[disposedAmount]]&lt;=TrafficData[[#This Row],[totalAmount]])</f>
        <v>1</v>
      </c>
      <c r="P2715" t="b">
        <f>AND(TrafficData[[#This Row],[pendingCourt]]&lt;=TrafficData[[#This Row],[totalCourt]],TrafficData[[#This Row],[disposedCourt]]&lt;=TrafficData[[#This Row],[totalCourt]])</f>
        <v>1</v>
      </c>
    </row>
    <row r="2716" spans="1:16">
      <c r="A2716" s="1">
        <v>44720</v>
      </c>
      <c r="B2716">
        <v>141475</v>
      </c>
      <c r="C2716">
        <v>75420</v>
      </c>
      <c r="D2716">
        <v>66055</v>
      </c>
      <c r="E2716">
        <v>109606616</v>
      </c>
      <c r="F2716">
        <v>108414635</v>
      </c>
      <c r="G2716">
        <v>218021251</v>
      </c>
      <c r="H2716">
        <v>46499</v>
      </c>
      <c r="I2716">
        <v>12708</v>
      </c>
      <c r="J2716">
        <v>59207</v>
      </c>
      <c r="K2716" t="b">
        <f>TrafficData[[#This Row],[disposedChallan]]+TrafficData[[#This Row],[pendingChallan]]=TrafficData[[#This Row],[totalChallan]]</f>
        <v>1</v>
      </c>
      <c r="L2716" t="b">
        <f>TrafficData[[#This Row],[pendingAmount]]+TrafficData[[#This Row],[disposedAmount]]=TrafficData[[#This Row],[totalAmount]]</f>
        <v>1</v>
      </c>
      <c r="M2716" t="b">
        <f>TrafficData[[#This Row],[pendingCourt]]+TrafficData[[#This Row],[disposedCourt]]=TrafficData[[#This Row],[totalCourt]]</f>
        <v>1</v>
      </c>
      <c r="N2716" t="b">
        <f>AND(TrafficData[[#This Row],[disposedChallan]]&lt;=TrafficData[[#This Row],[totalChallan]],TrafficData[[#This Row],[pendingChallan]]&lt;=TrafficData[[#This Row],[totalChallan]])</f>
        <v>1</v>
      </c>
      <c r="O2716" t="b">
        <f>AND(TrafficData[[#This Row],[pendingAmount]]&lt;=TrafficData[[#This Row],[totalAmount]],TrafficData[[#This Row],[disposedAmount]]&lt;=TrafficData[[#This Row],[totalAmount]])</f>
        <v>1</v>
      </c>
      <c r="P2716" t="b">
        <f>AND(TrafficData[[#This Row],[pendingCourt]]&lt;=TrafficData[[#This Row],[totalCourt]],TrafficData[[#This Row],[disposedCourt]]&lt;=TrafficData[[#This Row],[totalCourt]])</f>
        <v>1</v>
      </c>
    </row>
    <row r="2717" spans="1:16">
      <c r="A2717" s="1">
        <v>44721</v>
      </c>
      <c r="B2717">
        <v>139607</v>
      </c>
      <c r="C2717">
        <v>73369</v>
      </c>
      <c r="D2717">
        <v>66238</v>
      </c>
      <c r="E2717">
        <v>107237694</v>
      </c>
      <c r="F2717">
        <v>109221550</v>
      </c>
      <c r="G2717">
        <v>216459244</v>
      </c>
      <c r="H2717">
        <v>45992</v>
      </c>
      <c r="I2717">
        <v>12481</v>
      </c>
      <c r="J2717">
        <v>58473</v>
      </c>
      <c r="K2717" t="b">
        <f>TrafficData[[#This Row],[disposedChallan]]+TrafficData[[#This Row],[pendingChallan]]=TrafficData[[#This Row],[totalChallan]]</f>
        <v>1</v>
      </c>
      <c r="L2717" t="b">
        <f>TrafficData[[#This Row],[pendingAmount]]+TrafficData[[#This Row],[disposedAmount]]=TrafficData[[#This Row],[totalAmount]]</f>
        <v>1</v>
      </c>
      <c r="M2717" t="b">
        <f>TrafficData[[#This Row],[pendingCourt]]+TrafficData[[#This Row],[disposedCourt]]=TrafficData[[#This Row],[totalCourt]]</f>
        <v>1</v>
      </c>
      <c r="N2717" t="b">
        <f>AND(TrafficData[[#This Row],[disposedChallan]]&lt;=TrafficData[[#This Row],[totalChallan]],TrafficData[[#This Row],[pendingChallan]]&lt;=TrafficData[[#This Row],[totalChallan]])</f>
        <v>1</v>
      </c>
      <c r="O2717" t="b">
        <f>AND(TrafficData[[#This Row],[pendingAmount]]&lt;=TrafficData[[#This Row],[totalAmount]],TrafficData[[#This Row],[disposedAmount]]&lt;=TrafficData[[#This Row],[totalAmount]])</f>
        <v>1</v>
      </c>
      <c r="P2717" t="b">
        <f>AND(TrafficData[[#This Row],[pendingCourt]]&lt;=TrafficData[[#This Row],[totalCourt]],TrafficData[[#This Row],[disposedCourt]]&lt;=TrafficData[[#This Row],[totalCourt]])</f>
        <v>1</v>
      </c>
    </row>
    <row r="2718" spans="1:16">
      <c r="A2718" s="1">
        <v>44722</v>
      </c>
      <c r="B2718">
        <v>129800</v>
      </c>
      <c r="C2718">
        <v>69927</v>
      </c>
      <c r="D2718">
        <v>59873</v>
      </c>
      <c r="E2718">
        <v>96359853</v>
      </c>
      <c r="F2718">
        <v>98829723</v>
      </c>
      <c r="G2718">
        <v>195189576</v>
      </c>
      <c r="H2718">
        <v>41786</v>
      </c>
      <c r="I2718">
        <v>11494</v>
      </c>
      <c r="J2718">
        <v>53280</v>
      </c>
      <c r="K2718" t="b">
        <f>TrafficData[[#This Row],[disposedChallan]]+TrafficData[[#This Row],[pendingChallan]]=TrafficData[[#This Row],[totalChallan]]</f>
        <v>1</v>
      </c>
      <c r="L2718" t="b">
        <f>TrafficData[[#This Row],[pendingAmount]]+TrafficData[[#This Row],[disposedAmount]]=TrafficData[[#This Row],[totalAmount]]</f>
        <v>1</v>
      </c>
      <c r="M2718" t="b">
        <f>TrafficData[[#This Row],[pendingCourt]]+TrafficData[[#This Row],[disposedCourt]]=TrafficData[[#This Row],[totalCourt]]</f>
        <v>1</v>
      </c>
      <c r="N2718" t="b">
        <f>AND(TrafficData[[#This Row],[disposedChallan]]&lt;=TrafficData[[#This Row],[totalChallan]],TrafficData[[#This Row],[pendingChallan]]&lt;=TrafficData[[#This Row],[totalChallan]])</f>
        <v>1</v>
      </c>
      <c r="O2718" t="b">
        <f>AND(TrafficData[[#This Row],[pendingAmount]]&lt;=TrafficData[[#This Row],[totalAmount]],TrafficData[[#This Row],[disposedAmount]]&lt;=TrafficData[[#This Row],[totalAmount]])</f>
        <v>1</v>
      </c>
      <c r="P2718" t="b">
        <f>AND(TrafficData[[#This Row],[pendingCourt]]&lt;=TrafficData[[#This Row],[totalCourt]],TrafficData[[#This Row],[disposedCourt]]&lt;=TrafficData[[#This Row],[totalCourt]])</f>
        <v>1</v>
      </c>
    </row>
    <row r="2719" spans="1:16">
      <c r="A2719" s="1">
        <v>44723</v>
      </c>
      <c r="B2719">
        <v>129073</v>
      </c>
      <c r="C2719">
        <v>68296</v>
      </c>
      <c r="D2719">
        <v>60777</v>
      </c>
      <c r="E2719">
        <v>95888682</v>
      </c>
      <c r="F2719">
        <v>87103385</v>
      </c>
      <c r="G2719">
        <v>182992067</v>
      </c>
      <c r="H2719">
        <v>42557</v>
      </c>
      <c r="I2719">
        <v>12006</v>
      </c>
      <c r="J2719">
        <v>54563</v>
      </c>
      <c r="K2719" t="b">
        <f>TrafficData[[#This Row],[disposedChallan]]+TrafficData[[#This Row],[pendingChallan]]=TrafficData[[#This Row],[totalChallan]]</f>
        <v>1</v>
      </c>
      <c r="L2719" t="b">
        <f>TrafficData[[#This Row],[pendingAmount]]+TrafficData[[#This Row],[disposedAmount]]=TrafficData[[#This Row],[totalAmount]]</f>
        <v>1</v>
      </c>
      <c r="M2719" t="b">
        <f>TrafficData[[#This Row],[pendingCourt]]+TrafficData[[#This Row],[disposedCourt]]=TrafficData[[#This Row],[totalCourt]]</f>
        <v>1</v>
      </c>
      <c r="N2719" t="b">
        <f>AND(TrafficData[[#This Row],[disposedChallan]]&lt;=TrafficData[[#This Row],[totalChallan]],TrafficData[[#This Row],[pendingChallan]]&lt;=TrafficData[[#This Row],[totalChallan]])</f>
        <v>1</v>
      </c>
      <c r="O2719" t="b">
        <f>AND(TrafficData[[#This Row],[pendingAmount]]&lt;=TrafficData[[#This Row],[totalAmount]],TrafficData[[#This Row],[disposedAmount]]&lt;=TrafficData[[#This Row],[totalAmount]])</f>
        <v>1</v>
      </c>
      <c r="P2719" t="b">
        <f>AND(TrafficData[[#This Row],[pendingCourt]]&lt;=TrafficData[[#This Row],[totalCourt]],TrafficData[[#This Row],[disposedCourt]]&lt;=TrafficData[[#This Row],[totalCourt]])</f>
        <v>1</v>
      </c>
    </row>
    <row r="2720" spans="1:16">
      <c r="A2720" s="1">
        <v>44724</v>
      </c>
      <c r="B2720">
        <v>121249</v>
      </c>
      <c r="C2720">
        <v>60143</v>
      </c>
      <c r="D2720">
        <v>61106</v>
      </c>
      <c r="E2720">
        <v>86607459</v>
      </c>
      <c r="F2720">
        <v>70306531</v>
      </c>
      <c r="G2720">
        <v>156913990</v>
      </c>
      <c r="H2720">
        <v>42043</v>
      </c>
      <c r="I2720">
        <v>10923</v>
      </c>
      <c r="J2720">
        <v>52966</v>
      </c>
      <c r="K2720" t="b">
        <f>TrafficData[[#This Row],[disposedChallan]]+TrafficData[[#This Row],[pendingChallan]]=TrafficData[[#This Row],[totalChallan]]</f>
        <v>1</v>
      </c>
      <c r="L2720" t="b">
        <f>TrafficData[[#This Row],[pendingAmount]]+TrafficData[[#This Row],[disposedAmount]]=TrafficData[[#This Row],[totalAmount]]</f>
        <v>1</v>
      </c>
      <c r="M2720" t="b">
        <f>TrafficData[[#This Row],[pendingCourt]]+TrafficData[[#This Row],[disposedCourt]]=TrafficData[[#This Row],[totalCourt]]</f>
        <v>1</v>
      </c>
      <c r="N2720" t="b">
        <f>AND(TrafficData[[#This Row],[disposedChallan]]&lt;=TrafficData[[#This Row],[totalChallan]],TrafficData[[#This Row],[pendingChallan]]&lt;=TrafficData[[#This Row],[totalChallan]])</f>
        <v>1</v>
      </c>
      <c r="O2720" t="b">
        <f>AND(TrafficData[[#This Row],[pendingAmount]]&lt;=TrafficData[[#This Row],[totalAmount]],TrafficData[[#This Row],[disposedAmount]]&lt;=TrafficData[[#This Row],[totalAmount]])</f>
        <v>1</v>
      </c>
      <c r="P2720" t="b">
        <f>AND(TrafficData[[#This Row],[pendingCourt]]&lt;=TrafficData[[#This Row],[totalCourt]],TrafficData[[#This Row],[disposedCourt]]&lt;=TrafficData[[#This Row],[totalCourt]])</f>
        <v>1</v>
      </c>
    </row>
    <row r="2721" spans="1:16">
      <c r="A2721" s="1">
        <v>44725</v>
      </c>
      <c r="B2721">
        <v>136697</v>
      </c>
      <c r="C2721">
        <v>70358</v>
      </c>
      <c r="D2721">
        <v>66339</v>
      </c>
      <c r="E2721">
        <v>102718737</v>
      </c>
      <c r="F2721">
        <v>94816076</v>
      </c>
      <c r="G2721">
        <v>197534813</v>
      </c>
      <c r="H2721">
        <v>47076</v>
      </c>
      <c r="I2721">
        <v>12614</v>
      </c>
      <c r="J2721">
        <v>59690</v>
      </c>
      <c r="K2721" t="b">
        <f>TrafficData[[#This Row],[disposedChallan]]+TrafficData[[#This Row],[pendingChallan]]=TrafficData[[#This Row],[totalChallan]]</f>
        <v>1</v>
      </c>
      <c r="L2721" t="b">
        <f>TrafficData[[#This Row],[pendingAmount]]+TrafficData[[#This Row],[disposedAmount]]=TrafficData[[#This Row],[totalAmount]]</f>
        <v>1</v>
      </c>
      <c r="M2721" t="b">
        <f>TrafficData[[#This Row],[pendingCourt]]+TrafficData[[#This Row],[disposedCourt]]=TrafficData[[#This Row],[totalCourt]]</f>
        <v>1</v>
      </c>
      <c r="N2721" t="b">
        <f>AND(TrafficData[[#This Row],[disposedChallan]]&lt;=TrafficData[[#This Row],[totalChallan]],TrafficData[[#This Row],[pendingChallan]]&lt;=TrafficData[[#This Row],[totalChallan]])</f>
        <v>1</v>
      </c>
      <c r="O2721" t="b">
        <f>AND(TrafficData[[#This Row],[pendingAmount]]&lt;=TrafficData[[#This Row],[totalAmount]],TrafficData[[#This Row],[disposedAmount]]&lt;=TrafficData[[#This Row],[totalAmount]])</f>
        <v>1</v>
      </c>
      <c r="P2721" t="b">
        <f>AND(TrafficData[[#This Row],[pendingCourt]]&lt;=TrafficData[[#This Row],[totalCourt]],TrafficData[[#This Row],[disposedCourt]]&lt;=TrafficData[[#This Row],[totalCourt]])</f>
        <v>1</v>
      </c>
    </row>
    <row r="2722" spans="1:16">
      <c r="A2722" s="1">
        <v>44726</v>
      </c>
      <c r="B2722">
        <v>141142</v>
      </c>
      <c r="C2722">
        <v>70781</v>
      </c>
      <c r="D2722">
        <v>70361</v>
      </c>
      <c r="E2722">
        <v>105992882</v>
      </c>
      <c r="F2722">
        <v>95868386</v>
      </c>
      <c r="G2722">
        <v>201861268</v>
      </c>
      <c r="H2722">
        <v>51603</v>
      </c>
      <c r="I2722">
        <v>13769</v>
      </c>
      <c r="J2722">
        <v>65372</v>
      </c>
      <c r="K2722" t="b">
        <f>TrafficData[[#This Row],[disposedChallan]]+TrafficData[[#This Row],[pendingChallan]]=TrafficData[[#This Row],[totalChallan]]</f>
        <v>1</v>
      </c>
      <c r="L2722" t="b">
        <f>TrafficData[[#This Row],[pendingAmount]]+TrafficData[[#This Row],[disposedAmount]]=TrafficData[[#This Row],[totalAmount]]</f>
        <v>1</v>
      </c>
      <c r="M2722" t="b">
        <f>TrafficData[[#This Row],[pendingCourt]]+TrafficData[[#This Row],[disposedCourt]]=TrafficData[[#This Row],[totalCourt]]</f>
        <v>1</v>
      </c>
      <c r="N2722" t="b">
        <f>AND(TrafficData[[#This Row],[disposedChallan]]&lt;=TrafficData[[#This Row],[totalChallan]],TrafficData[[#This Row],[pendingChallan]]&lt;=TrafficData[[#This Row],[totalChallan]])</f>
        <v>1</v>
      </c>
      <c r="O2722" t="b">
        <f>AND(TrafficData[[#This Row],[pendingAmount]]&lt;=TrafficData[[#This Row],[totalAmount]],TrafficData[[#This Row],[disposedAmount]]&lt;=TrafficData[[#This Row],[totalAmount]])</f>
        <v>1</v>
      </c>
      <c r="P2722" t="b">
        <f>AND(TrafficData[[#This Row],[pendingCourt]]&lt;=TrafficData[[#This Row],[totalCourt]],TrafficData[[#This Row],[disposedCourt]]&lt;=TrafficData[[#This Row],[totalCourt]])</f>
        <v>1</v>
      </c>
    </row>
    <row r="2723" spans="1:16">
      <c r="A2723" s="1">
        <v>44727</v>
      </c>
      <c r="B2723">
        <v>141030</v>
      </c>
      <c r="C2723">
        <v>71846</v>
      </c>
      <c r="D2723">
        <v>69184</v>
      </c>
      <c r="E2723">
        <v>99244788</v>
      </c>
      <c r="F2723">
        <v>100177203</v>
      </c>
      <c r="G2723">
        <v>199421991</v>
      </c>
      <c r="H2723">
        <v>49074</v>
      </c>
      <c r="I2723">
        <v>13531</v>
      </c>
      <c r="J2723">
        <v>62605</v>
      </c>
      <c r="K2723" t="b">
        <f>TrafficData[[#This Row],[disposedChallan]]+TrafficData[[#This Row],[pendingChallan]]=TrafficData[[#This Row],[totalChallan]]</f>
        <v>1</v>
      </c>
      <c r="L2723" t="b">
        <f>TrafficData[[#This Row],[pendingAmount]]+TrafficData[[#This Row],[disposedAmount]]=TrafficData[[#This Row],[totalAmount]]</f>
        <v>1</v>
      </c>
      <c r="M2723" t="b">
        <f>TrafficData[[#This Row],[pendingCourt]]+TrafficData[[#This Row],[disposedCourt]]=TrafficData[[#This Row],[totalCourt]]</f>
        <v>1</v>
      </c>
      <c r="N2723" t="b">
        <f>AND(TrafficData[[#This Row],[disposedChallan]]&lt;=TrafficData[[#This Row],[totalChallan]],TrafficData[[#This Row],[pendingChallan]]&lt;=TrafficData[[#This Row],[totalChallan]])</f>
        <v>1</v>
      </c>
      <c r="O2723" t="b">
        <f>AND(TrafficData[[#This Row],[pendingAmount]]&lt;=TrafficData[[#This Row],[totalAmount]],TrafficData[[#This Row],[disposedAmount]]&lt;=TrafficData[[#This Row],[totalAmount]])</f>
        <v>1</v>
      </c>
      <c r="P2723" t="b">
        <f>AND(TrafficData[[#This Row],[pendingCourt]]&lt;=TrafficData[[#This Row],[totalCourt]],TrafficData[[#This Row],[disposedCourt]]&lt;=TrafficData[[#This Row],[totalCourt]])</f>
        <v>1</v>
      </c>
    </row>
    <row r="2724" spans="1:16">
      <c r="A2724" s="1">
        <v>44728</v>
      </c>
      <c r="B2724">
        <v>133532</v>
      </c>
      <c r="C2724">
        <v>68146</v>
      </c>
      <c r="D2724">
        <v>65386</v>
      </c>
      <c r="E2724">
        <v>102961529</v>
      </c>
      <c r="F2724">
        <v>98313598</v>
      </c>
      <c r="G2724">
        <v>201275127</v>
      </c>
      <c r="H2724">
        <v>45707</v>
      </c>
      <c r="I2724">
        <v>12010</v>
      </c>
      <c r="J2724">
        <v>57717</v>
      </c>
      <c r="K2724" t="b">
        <f>TrafficData[[#This Row],[disposedChallan]]+TrafficData[[#This Row],[pendingChallan]]=TrafficData[[#This Row],[totalChallan]]</f>
        <v>1</v>
      </c>
      <c r="L2724" t="b">
        <f>TrafficData[[#This Row],[pendingAmount]]+TrafficData[[#This Row],[disposedAmount]]=TrafficData[[#This Row],[totalAmount]]</f>
        <v>1</v>
      </c>
      <c r="M2724" t="b">
        <f>TrafficData[[#This Row],[pendingCourt]]+TrafficData[[#This Row],[disposedCourt]]=TrafficData[[#This Row],[totalCourt]]</f>
        <v>1</v>
      </c>
      <c r="N2724" t="b">
        <f>AND(TrafficData[[#This Row],[disposedChallan]]&lt;=TrafficData[[#This Row],[totalChallan]],TrafficData[[#This Row],[pendingChallan]]&lt;=TrafficData[[#This Row],[totalChallan]])</f>
        <v>1</v>
      </c>
      <c r="O2724" t="b">
        <f>AND(TrafficData[[#This Row],[pendingAmount]]&lt;=TrafficData[[#This Row],[totalAmount]],TrafficData[[#This Row],[disposedAmount]]&lt;=TrafficData[[#This Row],[totalAmount]])</f>
        <v>1</v>
      </c>
      <c r="P2724" t="b">
        <f>AND(TrafficData[[#This Row],[pendingCourt]]&lt;=TrafficData[[#This Row],[totalCourt]],TrafficData[[#This Row],[disposedCourt]]&lt;=TrafficData[[#This Row],[totalCourt]])</f>
        <v>1</v>
      </c>
    </row>
    <row r="2725" spans="1:16">
      <c r="A2725" s="1">
        <v>44729</v>
      </c>
      <c r="B2725">
        <v>117854</v>
      </c>
      <c r="C2725">
        <v>60380</v>
      </c>
      <c r="D2725">
        <v>57474</v>
      </c>
      <c r="E2725">
        <v>85267879</v>
      </c>
      <c r="F2725">
        <v>85433940</v>
      </c>
      <c r="G2725">
        <v>170701819</v>
      </c>
      <c r="H2725">
        <v>40813</v>
      </c>
      <c r="I2725">
        <v>11000</v>
      </c>
      <c r="J2725">
        <v>51813</v>
      </c>
      <c r="K2725" t="b">
        <f>TrafficData[[#This Row],[disposedChallan]]+TrafficData[[#This Row],[pendingChallan]]=TrafficData[[#This Row],[totalChallan]]</f>
        <v>1</v>
      </c>
      <c r="L2725" t="b">
        <f>TrafficData[[#This Row],[pendingAmount]]+TrafficData[[#This Row],[disposedAmount]]=TrafficData[[#This Row],[totalAmount]]</f>
        <v>1</v>
      </c>
      <c r="M2725" t="b">
        <f>TrafficData[[#This Row],[pendingCourt]]+TrafficData[[#This Row],[disposedCourt]]=TrafficData[[#This Row],[totalCourt]]</f>
        <v>1</v>
      </c>
      <c r="N2725" t="b">
        <f>AND(TrafficData[[#This Row],[disposedChallan]]&lt;=TrafficData[[#This Row],[totalChallan]],TrafficData[[#This Row],[pendingChallan]]&lt;=TrafficData[[#This Row],[totalChallan]])</f>
        <v>1</v>
      </c>
      <c r="O2725" t="b">
        <f>AND(TrafficData[[#This Row],[pendingAmount]]&lt;=TrafficData[[#This Row],[totalAmount]],TrafficData[[#This Row],[disposedAmount]]&lt;=TrafficData[[#This Row],[totalAmount]])</f>
        <v>1</v>
      </c>
      <c r="P2725" t="b">
        <f>AND(TrafficData[[#This Row],[pendingCourt]]&lt;=TrafficData[[#This Row],[totalCourt]],TrafficData[[#This Row],[disposedCourt]]&lt;=TrafficData[[#This Row],[totalCourt]])</f>
        <v>1</v>
      </c>
    </row>
    <row r="2726" spans="1:16">
      <c r="A2726" s="1">
        <v>44730</v>
      </c>
      <c r="B2726">
        <v>119565</v>
      </c>
      <c r="C2726">
        <v>61264</v>
      </c>
      <c r="D2726">
        <v>58301</v>
      </c>
      <c r="E2726">
        <v>87327294</v>
      </c>
      <c r="F2726">
        <v>76367546</v>
      </c>
      <c r="G2726">
        <v>163694840</v>
      </c>
      <c r="H2726">
        <v>39801</v>
      </c>
      <c r="I2726">
        <v>11103</v>
      </c>
      <c r="J2726">
        <v>50904</v>
      </c>
      <c r="K2726" t="b">
        <f>TrafficData[[#This Row],[disposedChallan]]+TrafficData[[#This Row],[pendingChallan]]=TrafficData[[#This Row],[totalChallan]]</f>
        <v>1</v>
      </c>
      <c r="L2726" t="b">
        <f>TrafficData[[#This Row],[pendingAmount]]+TrafficData[[#This Row],[disposedAmount]]=TrafficData[[#This Row],[totalAmount]]</f>
        <v>1</v>
      </c>
      <c r="M2726" t="b">
        <f>TrafficData[[#This Row],[pendingCourt]]+TrafficData[[#This Row],[disposedCourt]]=TrafficData[[#This Row],[totalCourt]]</f>
        <v>1</v>
      </c>
      <c r="N2726" t="b">
        <f>AND(TrafficData[[#This Row],[disposedChallan]]&lt;=TrafficData[[#This Row],[totalChallan]],TrafficData[[#This Row],[pendingChallan]]&lt;=TrafficData[[#This Row],[totalChallan]])</f>
        <v>1</v>
      </c>
      <c r="O2726" t="b">
        <f>AND(TrafficData[[#This Row],[pendingAmount]]&lt;=TrafficData[[#This Row],[totalAmount]],TrafficData[[#This Row],[disposedAmount]]&lt;=TrafficData[[#This Row],[totalAmount]])</f>
        <v>1</v>
      </c>
      <c r="P2726" t="b">
        <f>AND(TrafficData[[#This Row],[pendingCourt]]&lt;=TrafficData[[#This Row],[totalCourt]],TrafficData[[#This Row],[disposedCourt]]&lt;=TrafficData[[#This Row],[totalCourt]])</f>
        <v>1</v>
      </c>
    </row>
    <row r="2727" spans="1:16">
      <c r="A2727" s="1">
        <v>44731</v>
      </c>
      <c r="B2727">
        <v>104258</v>
      </c>
      <c r="C2727">
        <v>50956</v>
      </c>
      <c r="D2727">
        <v>53302</v>
      </c>
      <c r="E2727">
        <v>69907384</v>
      </c>
      <c r="F2727">
        <v>59784662</v>
      </c>
      <c r="G2727">
        <v>129692046</v>
      </c>
      <c r="H2727">
        <v>36161</v>
      </c>
      <c r="I2727">
        <v>9568</v>
      </c>
      <c r="J2727">
        <v>45729</v>
      </c>
      <c r="K2727" t="b">
        <f>TrafficData[[#This Row],[disposedChallan]]+TrafficData[[#This Row],[pendingChallan]]=TrafficData[[#This Row],[totalChallan]]</f>
        <v>1</v>
      </c>
      <c r="L2727" t="b">
        <f>TrafficData[[#This Row],[pendingAmount]]+TrafficData[[#This Row],[disposedAmount]]=TrafficData[[#This Row],[totalAmount]]</f>
        <v>1</v>
      </c>
      <c r="M2727" t="b">
        <f>TrafficData[[#This Row],[pendingCourt]]+TrafficData[[#This Row],[disposedCourt]]=TrafficData[[#This Row],[totalCourt]]</f>
        <v>1</v>
      </c>
      <c r="N2727" t="b">
        <f>AND(TrafficData[[#This Row],[disposedChallan]]&lt;=TrafficData[[#This Row],[totalChallan]],TrafficData[[#This Row],[pendingChallan]]&lt;=TrafficData[[#This Row],[totalChallan]])</f>
        <v>1</v>
      </c>
      <c r="O2727" t="b">
        <f>AND(TrafficData[[#This Row],[pendingAmount]]&lt;=TrafficData[[#This Row],[totalAmount]],TrafficData[[#This Row],[disposedAmount]]&lt;=TrafficData[[#This Row],[totalAmount]])</f>
        <v>1</v>
      </c>
      <c r="P2727" t="b">
        <f>AND(TrafficData[[#This Row],[pendingCourt]]&lt;=TrafficData[[#This Row],[totalCourt]],TrafficData[[#This Row],[disposedCourt]]&lt;=TrafficData[[#This Row],[totalCourt]])</f>
        <v>1</v>
      </c>
    </row>
    <row r="2728" spans="1:16">
      <c r="A2728" s="1">
        <v>44732</v>
      </c>
      <c r="B2728">
        <v>91802</v>
      </c>
      <c r="C2728">
        <v>45166</v>
      </c>
      <c r="D2728">
        <v>46636</v>
      </c>
      <c r="E2728">
        <v>72814152</v>
      </c>
      <c r="F2728">
        <v>59462756</v>
      </c>
      <c r="G2728">
        <v>132276908</v>
      </c>
      <c r="H2728">
        <v>33595</v>
      </c>
      <c r="I2728">
        <v>8848</v>
      </c>
      <c r="J2728">
        <v>42443</v>
      </c>
      <c r="K2728" t="b">
        <f>TrafficData[[#This Row],[disposedChallan]]+TrafficData[[#This Row],[pendingChallan]]=TrafficData[[#This Row],[totalChallan]]</f>
        <v>1</v>
      </c>
      <c r="L2728" t="b">
        <f>TrafficData[[#This Row],[pendingAmount]]+TrafficData[[#This Row],[disposedAmount]]=TrafficData[[#This Row],[totalAmount]]</f>
        <v>1</v>
      </c>
      <c r="M2728" t="b">
        <f>TrafficData[[#This Row],[pendingCourt]]+TrafficData[[#This Row],[disposedCourt]]=TrafficData[[#This Row],[totalCourt]]</f>
        <v>1</v>
      </c>
      <c r="N2728" t="b">
        <f>AND(TrafficData[[#This Row],[disposedChallan]]&lt;=TrafficData[[#This Row],[totalChallan]],TrafficData[[#This Row],[pendingChallan]]&lt;=TrafficData[[#This Row],[totalChallan]])</f>
        <v>1</v>
      </c>
      <c r="O2728" t="b">
        <f>AND(TrafficData[[#This Row],[pendingAmount]]&lt;=TrafficData[[#This Row],[totalAmount]],TrafficData[[#This Row],[disposedAmount]]&lt;=TrafficData[[#This Row],[totalAmount]])</f>
        <v>1</v>
      </c>
      <c r="P2728" t="b">
        <f>AND(TrafficData[[#This Row],[pendingCourt]]&lt;=TrafficData[[#This Row],[totalCourt]],TrafficData[[#This Row],[disposedCourt]]&lt;=TrafficData[[#This Row],[totalCourt]])</f>
        <v>1</v>
      </c>
    </row>
    <row r="2729" spans="1:16">
      <c r="A2729" s="1">
        <v>44733</v>
      </c>
      <c r="B2729">
        <v>88766</v>
      </c>
      <c r="C2729">
        <v>43800</v>
      </c>
      <c r="D2729">
        <v>44966</v>
      </c>
      <c r="E2729">
        <v>75905401</v>
      </c>
      <c r="F2729">
        <v>2071115652</v>
      </c>
      <c r="G2729">
        <v>2147021053</v>
      </c>
      <c r="H2729">
        <v>31889</v>
      </c>
      <c r="I2729">
        <v>8172</v>
      </c>
      <c r="J2729">
        <v>40061</v>
      </c>
      <c r="K2729" t="b">
        <f>TrafficData[[#This Row],[disposedChallan]]+TrafficData[[#This Row],[pendingChallan]]=TrafficData[[#This Row],[totalChallan]]</f>
        <v>1</v>
      </c>
      <c r="L2729" t="b">
        <f>TrafficData[[#This Row],[pendingAmount]]+TrafficData[[#This Row],[disposedAmount]]=TrafficData[[#This Row],[totalAmount]]</f>
        <v>1</v>
      </c>
      <c r="M2729" t="b">
        <f>TrafficData[[#This Row],[pendingCourt]]+TrafficData[[#This Row],[disposedCourt]]=TrafficData[[#This Row],[totalCourt]]</f>
        <v>1</v>
      </c>
      <c r="N2729" t="b">
        <f>AND(TrafficData[[#This Row],[disposedChallan]]&lt;=TrafficData[[#This Row],[totalChallan]],TrafficData[[#This Row],[pendingChallan]]&lt;=TrafficData[[#This Row],[totalChallan]])</f>
        <v>1</v>
      </c>
      <c r="O2729" t="b">
        <f>AND(TrafficData[[#This Row],[pendingAmount]]&lt;=TrafficData[[#This Row],[totalAmount]],TrafficData[[#This Row],[disposedAmount]]&lt;=TrafficData[[#This Row],[totalAmount]])</f>
        <v>1</v>
      </c>
      <c r="P2729" t="b">
        <f>AND(TrafficData[[#This Row],[pendingCourt]]&lt;=TrafficData[[#This Row],[totalCourt]],TrafficData[[#This Row],[disposedCourt]]&lt;=TrafficData[[#This Row],[totalCourt]])</f>
        <v>1</v>
      </c>
    </row>
    <row r="2730" spans="1:16">
      <c r="A2730" s="1">
        <v>44734</v>
      </c>
      <c r="B2730">
        <v>93402</v>
      </c>
      <c r="C2730">
        <v>46218</v>
      </c>
      <c r="D2730">
        <v>47184</v>
      </c>
      <c r="E2730">
        <v>80615621</v>
      </c>
      <c r="F2730">
        <v>76177011</v>
      </c>
      <c r="G2730">
        <v>156792632</v>
      </c>
      <c r="H2730">
        <v>34289</v>
      </c>
      <c r="I2730">
        <v>9299</v>
      </c>
      <c r="J2730">
        <v>43588</v>
      </c>
      <c r="K2730" t="b">
        <f>TrafficData[[#This Row],[disposedChallan]]+TrafficData[[#This Row],[pendingChallan]]=TrafficData[[#This Row],[totalChallan]]</f>
        <v>1</v>
      </c>
      <c r="L2730" t="b">
        <f>TrafficData[[#This Row],[pendingAmount]]+TrafficData[[#This Row],[disposedAmount]]=TrafficData[[#This Row],[totalAmount]]</f>
        <v>1</v>
      </c>
      <c r="M2730" t="b">
        <f>TrafficData[[#This Row],[pendingCourt]]+TrafficData[[#This Row],[disposedCourt]]=TrafficData[[#This Row],[totalCourt]]</f>
        <v>1</v>
      </c>
      <c r="N2730" t="b">
        <f>AND(TrafficData[[#This Row],[disposedChallan]]&lt;=TrafficData[[#This Row],[totalChallan]],TrafficData[[#This Row],[pendingChallan]]&lt;=TrafficData[[#This Row],[totalChallan]])</f>
        <v>1</v>
      </c>
      <c r="O2730" t="b">
        <f>AND(TrafficData[[#This Row],[pendingAmount]]&lt;=TrafficData[[#This Row],[totalAmount]],TrafficData[[#This Row],[disposedAmount]]&lt;=TrafficData[[#This Row],[totalAmount]])</f>
        <v>1</v>
      </c>
      <c r="P2730" t="b">
        <f>AND(TrafficData[[#This Row],[pendingCourt]]&lt;=TrafficData[[#This Row],[totalCourt]],TrafficData[[#This Row],[disposedCourt]]&lt;=TrafficData[[#This Row],[totalCourt]])</f>
        <v>1</v>
      </c>
    </row>
    <row r="2731" spans="1:16">
      <c r="A2731" s="1">
        <v>44735</v>
      </c>
      <c r="B2731">
        <v>102318</v>
      </c>
      <c r="C2731">
        <v>51290</v>
      </c>
      <c r="D2731">
        <v>51028</v>
      </c>
      <c r="E2731">
        <v>85396015</v>
      </c>
      <c r="F2731">
        <v>78404591</v>
      </c>
      <c r="G2731">
        <v>163800606</v>
      </c>
      <c r="H2731">
        <v>36787</v>
      </c>
      <c r="I2731">
        <v>9687</v>
      </c>
      <c r="J2731">
        <v>46474</v>
      </c>
      <c r="K2731" t="b">
        <f>TrafficData[[#This Row],[disposedChallan]]+TrafficData[[#This Row],[pendingChallan]]=TrafficData[[#This Row],[totalChallan]]</f>
        <v>1</v>
      </c>
      <c r="L2731" t="b">
        <f>TrafficData[[#This Row],[pendingAmount]]+TrafficData[[#This Row],[disposedAmount]]=TrafficData[[#This Row],[totalAmount]]</f>
        <v>1</v>
      </c>
      <c r="M2731" t="b">
        <f>TrafficData[[#This Row],[pendingCourt]]+TrafficData[[#This Row],[disposedCourt]]=TrafficData[[#This Row],[totalCourt]]</f>
        <v>1</v>
      </c>
      <c r="N2731" t="b">
        <f>AND(TrafficData[[#This Row],[disposedChallan]]&lt;=TrafficData[[#This Row],[totalChallan]],TrafficData[[#This Row],[pendingChallan]]&lt;=TrafficData[[#This Row],[totalChallan]])</f>
        <v>1</v>
      </c>
      <c r="O2731" t="b">
        <f>AND(TrafficData[[#This Row],[pendingAmount]]&lt;=TrafficData[[#This Row],[totalAmount]],TrafficData[[#This Row],[disposedAmount]]&lt;=TrafficData[[#This Row],[totalAmount]])</f>
        <v>1</v>
      </c>
      <c r="P2731" t="b">
        <f>AND(TrafficData[[#This Row],[pendingCourt]]&lt;=TrafficData[[#This Row],[totalCourt]],TrafficData[[#This Row],[disposedCourt]]&lt;=TrafficData[[#This Row],[totalCourt]])</f>
        <v>1</v>
      </c>
    </row>
    <row r="2732" spans="1:16">
      <c r="A2732" s="1">
        <v>44736</v>
      </c>
      <c r="B2732">
        <v>120097</v>
      </c>
      <c r="C2732">
        <v>60259</v>
      </c>
      <c r="D2732">
        <v>59838</v>
      </c>
      <c r="E2732">
        <v>101105187</v>
      </c>
      <c r="F2732">
        <v>93716237</v>
      </c>
      <c r="G2732">
        <v>194821424</v>
      </c>
      <c r="H2732">
        <v>44425</v>
      </c>
      <c r="I2732">
        <v>11890</v>
      </c>
      <c r="J2732">
        <v>56315</v>
      </c>
      <c r="K2732" t="b">
        <f>TrafficData[[#This Row],[disposedChallan]]+TrafficData[[#This Row],[pendingChallan]]=TrafficData[[#This Row],[totalChallan]]</f>
        <v>1</v>
      </c>
      <c r="L2732" t="b">
        <f>TrafficData[[#This Row],[pendingAmount]]+TrafficData[[#This Row],[disposedAmount]]=TrafficData[[#This Row],[totalAmount]]</f>
        <v>1</v>
      </c>
      <c r="M2732" t="b">
        <f>TrafficData[[#This Row],[pendingCourt]]+TrafficData[[#This Row],[disposedCourt]]=TrafficData[[#This Row],[totalCourt]]</f>
        <v>1</v>
      </c>
      <c r="N2732" t="b">
        <f>AND(TrafficData[[#This Row],[disposedChallan]]&lt;=TrafficData[[#This Row],[totalChallan]],TrafficData[[#This Row],[pendingChallan]]&lt;=TrafficData[[#This Row],[totalChallan]])</f>
        <v>1</v>
      </c>
      <c r="O2732" t="b">
        <f>AND(TrafficData[[#This Row],[pendingAmount]]&lt;=TrafficData[[#This Row],[totalAmount]],TrafficData[[#This Row],[disposedAmount]]&lt;=TrafficData[[#This Row],[totalAmount]])</f>
        <v>1</v>
      </c>
      <c r="P2732" t="b">
        <f>AND(TrafficData[[#This Row],[pendingCourt]]&lt;=TrafficData[[#This Row],[totalCourt]],TrafficData[[#This Row],[disposedCourt]]&lt;=TrafficData[[#This Row],[totalCourt]])</f>
        <v>1</v>
      </c>
    </row>
    <row r="2733" spans="1:16">
      <c r="A2733" s="1">
        <v>44737</v>
      </c>
      <c r="B2733">
        <v>117909</v>
      </c>
      <c r="C2733">
        <v>60783</v>
      </c>
      <c r="D2733">
        <v>57126</v>
      </c>
      <c r="E2733">
        <v>101611760</v>
      </c>
      <c r="F2733">
        <v>93908705</v>
      </c>
      <c r="G2733">
        <v>195520465</v>
      </c>
      <c r="H2733">
        <v>43747</v>
      </c>
      <c r="I2733">
        <v>11946</v>
      </c>
      <c r="J2733">
        <v>55693</v>
      </c>
      <c r="K2733" t="b">
        <f>TrafficData[[#This Row],[disposedChallan]]+TrafficData[[#This Row],[pendingChallan]]=TrafficData[[#This Row],[totalChallan]]</f>
        <v>1</v>
      </c>
      <c r="L2733" t="b">
        <f>TrafficData[[#This Row],[pendingAmount]]+TrafficData[[#This Row],[disposedAmount]]=TrafficData[[#This Row],[totalAmount]]</f>
        <v>1</v>
      </c>
      <c r="M2733" t="b">
        <f>TrafficData[[#This Row],[pendingCourt]]+TrafficData[[#This Row],[disposedCourt]]=TrafficData[[#This Row],[totalCourt]]</f>
        <v>1</v>
      </c>
      <c r="N2733" t="b">
        <f>AND(TrafficData[[#This Row],[disposedChallan]]&lt;=TrafficData[[#This Row],[totalChallan]],TrafficData[[#This Row],[pendingChallan]]&lt;=TrafficData[[#This Row],[totalChallan]])</f>
        <v>1</v>
      </c>
      <c r="O2733" t="b">
        <f>AND(TrafficData[[#This Row],[pendingAmount]]&lt;=TrafficData[[#This Row],[totalAmount]],TrafficData[[#This Row],[disposedAmount]]&lt;=TrafficData[[#This Row],[totalAmount]])</f>
        <v>1</v>
      </c>
      <c r="P2733" t="b">
        <f>AND(TrafficData[[#This Row],[pendingCourt]]&lt;=TrafficData[[#This Row],[totalCourt]],TrafficData[[#This Row],[disposedCourt]]&lt;=TrafficData[[#This Row],[totalCourt]])</f>
        <v>1</v>
      </c>
    </row>
    <row r="2734" spans="1:16">
      <c r="A2734" s="1">
        <v>44738</v>
      </c>
      <c r="B2734">
        <v>112523</v>
      </c>
      <c r="C2734">
        <v>54995</v>
      </c>
      <c r="D2734">
        <v>57528</v>
      </c>
      <c r="E2734">
        <v>80505985</v>
      </c>
      <c r="F2734">
        <v>77467911</v>
      </c>
      <c r="G2734">
        <v>157973896</v>
      </c>
      <c r="H2734">
        <v>39546</v>
      </c>
      <c r="I2734">
        <v>10316</v>
      </c>
      <c r="J2734">
        <v>49862</v>
      </c>
      <c r="K2734" t="b">
        <f>TrafficData[[#This Row],[disposedChallan]]+TrafficData[[#This Row],[pendingChallan]]=TrafficData[[#This Row],[totalChallan]]</f>
        <v>1</v>
      </c>
      <c r="L2734" t="b">
        <f>TrafficData[[#This Row],[pendingAmount]]+TrafficData[[#This Row],[disposedAmount]]=TrafficData[[#This Row],[totalAmount]]</f>
        <v>1</v>
      </c>
      <c r="M2734" t="b">
        <f>TrafficData[[#This Row],[pendingCourt]]+TrafficData[[#This Row],[disposedCourt]]=TrafficData[[#This Row],[totalCourt]]</f>
        <v>1</v>
      </c>
      <c r="N2734" t="b">
        <f>AND(TrafficData[[#This Row],[disposedChallan]]&lt;=TrafficData[[#This Row],[totalChallan]],TrafficData[[#This Row],[pendingChallan]]&lt;=TrafficData[[#This Row],[totalChallan]])</f>
        <v>1</v>
      </c>
      <c r="O2734" t="b">
        <f>AND(TrafficData[[#This Row],[pendingAmount]]&lt;=TrafficData[[#This Row],[totalAmount]],TrafficData[[#This Row],[disposedAmount]]&lt;=TrafficData[[#This Row],[totalAmount]])</f>
        <v>1</v>
      </c>
      <c r="P2734" t="b">
        <f>AND(TrafficData[[#This Row],[pendingCourt]]&lt;=TrafficData[[#This Row],[totalCourt]],TrafficData[[#This Row],[disposedCourt]]&lt;=TrafficData[[#This Row],[totalCourt]])</f>
        <v>1</v>
      </c>
    </row>
    <row r="2735" spans="1:16">
      <c r="A2735" s="1">
        <v>44739</v>
      </c>
      <c r="B2735">
        <v>133365</v>
      </c>
      <c r="C2735">
        <v>66518</v>
      </c>
      <c r="D2735">
        <v>66847</v>
      </c>
      <c r="E2735">
        <v>104202439</v>
      </c>
      <c r="F2735">
        <v>82500586</v>
      </c>
      <c r="G2735">
        <v>186703025</v>
      </c>
      <c r="H2735">
        <v>45533</v>
      </c>
      <c r="I2735">
        <v>11467</v>
      </c>
      <c r="J2735">
        <v>57000</v>
      </c>
      <c r="K2735" t="b">
        <f>TrafficData[[#This Row],[disposedChallan]]+TrafficData[[#This Row],[pendingChallan]]=TrafficData[[#This Row],[totalChallan]]</f>
        <v>1</v>
      </c>
      <c r="L2735" t="b">
        <f>TrafficData[[#This Row],[pendingAmount]]+TrafficData[[#This Row],[disposedAmount]]=TrafficData[[#This Row],[totalAmount]]</f>
        <v>1</v>
      </c>
      <c r="M2735" t="b">
        <f>TrafficData[[#This Row],[pendingCourt]]+TrafficData[[#This Row],[disposedCourt]]=TrafficData[[#This Row],[totalCourt]]</f>
        <v>1</v>
      </c>
      <c r="N2735" t="b">
        <f>AND(TrafficData[[#This Row],[disposedChallan]]&lt;=TrafficData[[#This Row],[totalChallan]],TrafficData[[#This Row],[pendingChallan]]&lt;=TrafficData[[#This Row],[totalChallan]])</f>
        <v>1</v>
      </c>
      <c r="O2735" t="b">
        <f>AND(TrafficData[[#This Row],[pendingAmount]]&lt;=TrafficData[[#This Row],[totalAmount]],TrafficData[[#This Row],[disposedAmount]]&lt;=TrafficData[[#This Row],[totalAmount]])</f>
        <v>1</v>
      </c>
      <c r="P2735" t="b">
        <f>AND(TrafficData[[#This Row],[pendingCourt]]&lt;=TrafficData[[#This Row],[totalCourt]],TrafficData[[#This Row],[disposedCourt]]&lt;=TrafficData[[#This Row],[totalCourt]])</f>
        <v>1</v>
      </c>
    </row>
    <row r="2736" spans="1:16">
      <c r="A2736" s="1">
        <v>44740</v>
      </c>
      <c r="B2736">
        <v>128957</v>
      </c>
      <c r="C2736">
        <v>65185</v>
      </c>
      <c r="D2736">
        <v>63772</v>
      </c>
      <c r="E2736">
        <v>99398293</v>
      </c>
      <c r="F2736">
        <v>84085896</v>
      </c>
      <c r="G2736">
        <v>183484189</v>
      </c>
      <c r="H2736">
        <v>43460</v>
      </c>
      <c r="I2736">
        <v>11221</v>
      </c>
      <c r="J2736">
        <v>54681</v>
      </c>
      <c r="K2736" t="b">
        <f>TrafficData[[#This Row],[disposedChallan]]+TrafficData[[#This Row],[pendingChallan]]=TrafficData[[#This Row],[totalChallan]]</f>
        <v>1</v>
      </c>
      <c r="L2736" t="b">
        <f>TrafficData[[#This Row],[pendingAmount]]+TrafficData[[#This Row],[disposedAmount]]=TrafficData[[#This Row],[totalAmount]]</f>
        <v>1</v>
      </c>
      <c r="M2736" t="b">
        <f>TrafficData[[#This Row],[pendingCourt]]+TrafficData[[#This Row],[disposedCourt]]=TrafficData[[#This Row],[totalCourt]]</f>
        <v>1</v>
      </c>
      <c r="N2736" t="b">
        <f>AND(TrafficData[[#This Row],[disposedChallan]]&lt;=TrafficData[[#This Row],[totalChallan]],TrafficData[[#This Row],[pendingChallan]]&lt;=TrafficData[[#This Row],[totalChallan]])</f>
        <v>1</v>
      </c>
      <c r="O2736" t="b">
        <f>AND(TrafficData[[#This Row],[pendingAmount]]&lt;=TrafficData[[#This Row],[totalAmount]],TrafficData[[#This Row],[disposedAmount]]&lt;=TrafficData[[#This Row],[totalAmount]])</f>
        <v>1</v>
      </c>
      <c r="P2736" t="b">
        <f>AND(TrafficData[[#This Row],[pendingCourt]]&lt;=TrafficData[[#This Row],[totalCourt]],TrafficData[[#This Row],[disposedCourt]]&lt;=TrafficData[[#This Row],[totalCourt]])</f>
        <v>1</v>
      </c>
    </row>
    <row r="2737" spans="1:16">
      <c r="A2737" s="1">
        <v>44741</v>
      </c>
      <c r="B2737">
        <v>122150</v>
      </c>
      <c r="C2737">
        <v>59680</v>
      </c>
      <c r="D2737">
        <v>62470</v>
      </c>
      <c r="E2737">
        <v>93747032</v>
      </c>
      <c r="F2737">
        <v>80559072</v>
      </c>
      <c r="G2737">
        <v>174306104</v>
      </c>
      <c r="H2737">
        <v>43232</v>
      </c>
      <c r="I2737">
        <v>11199</v>
      </c>
      <c r="J2737">
        <v>54431</v>
      </c>
      <c r="K2737" t="b">
        <f>TrafficData[[#This Row],[disposedChallan]]+TrafficData[[#This Row],[pendingChallan]]=TrafficData[[#This Row],[totalChallan]]</f>
        <v>1</v>
      </c>
      <c r="L2737" t="b">
        <f>TrafficData[[#This Row],[pendingAmount]]+TrafficData[[#This Row],[disposedAmount]]=TrafficData[[#This Row],[totalAmount]]</f>
        <v>1</v>
      </c>
      <c r="M2737" t="b">
        <f>TrafficData[[#This Row],[pendingCourt]]+TrafficData[[#This Row],[disposedCourt]]=TrafficData[[#This Row],[totalCourt]]</f>
        <v>1</v>
      </c>
      <c r="N2737" t="b">
        <f>AND(TrafficData[[#This Row],[disposedChallan]]&lt;=TrafficData[[#This Row],[totalChallan]],TrafficData[[#This Row],[pendingChallan]]&lt;=TrafficData[[#This Row],[totalChallan]])</f>
        <v>1</v>
      </c>
      <c r="O2737" t="b">
        <f>AND(TrafficData[[#This Row],[pendingAmount]]&lt;=TrafficData[[#This Row],[totalAmount]],TrafficData[[#This Row],[disposedAmount]]&lt;=TrafficData[[#This Row],[totalAmount]])</f>
        <v>1</v>
      </c>
      <c r="P2737" t="b">
        <f>AND(TrafficData[[#This Row],[pendingCourt]]&lt;=TrafficData[[#This Row],[totalCourt]],TrafficData[[#This Row],[disposedCourt]]&lt;=TrafficData[[#This Row],[totalCourt]])</f>
        <v>1</v>
      </c>
    </row>
    <row r="2738" spans="1:16">
      <c r="A2738" s="1">
        <v>44742</v>
      </c>
      <c r="B2738">
        <v>103275</v>
      </c>
      <c r="C2738">
        <v>50420</v>
      </c>
      <c r="D2738">
        <v>52855</v>
      </c>
      <c r="E2738">
        <v>74451378</v>
      </c>
      <c r="F2738">
        <v>64508886</v>
      </c>
      <c r="G2738">
        <v>138960264</v>
      </c>
      <c r="H2738">
        <v>35152</v>
      </c>
      <c r="I2738">
        <v>8807</v>
      </c>
      <c r="J2738">
        <v>43959</v>
      </c>
      <c r="K2738" t="b">
        <f>TrafficData[[#This Row],[disposedChallan]]+TrafficData[[#This Row],[pendingChallan]]=TrafficData[[#This Row],[totalChallan]]</f>
        <v>1</v>
      </c>
      <c r="L2738" t="b">
        <f>TrafficData[[#This Row],[pendingAmount]]+TrafficData[[#This Row],[disposedAmount]]=TrafficData[[#This Row],[totalAmount]]</f>
        <v>1</v>
      </c>
      <c r="M2738" t="b">
        <f>TrafficData[[#This Row],[pendingCourt]]+TrafficData[[#This Row],[disposedCourt]]=TrafficData[[#This Row],[totalCourt]]</f>
        <v>1</v>
      </c>
      <c r="N2738" t="b">
        <f>AND(TrafficData[[#This Row],[disposedChallan]]&lt;=TrafficData[[#This Row],[totalChallan]],TrafficData[[#This Row],[pendingChallan]]&lt;=TrafficData[[#This Row],[totalChallan]])</f>
        <v>1</v>
      </c>
      <c r="O2738" t="b">
        <f>AND(TrafficData[[#This Row],[pendingAmount]]&lt;=TrafficData[[#This Row],[totalAmount]],TrafficData[[#This Row],[disposedAmount]]&lt;=TrafficData[[#This Row],[totalAmount]])</f>
        <v>1</v>
      </c>
      <c r="P2738" t="b">
        <f>AND(TrafficData[[#This Row],[pendingCourt]]&lt;=TrafficData[[#This Row],[totalCourt]],TrafficData[[#This Row],[disposedCourt]]&lt;=TrafficData[[#This Row],[totalCourt]])</f>
        <v>1</v>
      </c>
    </row>
    <row r="2739" spans="1:16">
      <c r="A2739" s="1">
        <v>44743</v>
      </c>
      <c r="B2739">
        <v>120503</v>
      </c>
      <c r="C2739">
        <v>62778</v>
      </c>
      <c r="D2739">
        <v>57725</v>
      </c>
      <c r="E2739">
        <v>82032190</v>
      </c>
      <c r="F2739">
        <v>81741326</v>
      </c>
      <c r="G2739">
        <v>163773516</v>
      </c>
      <c r="H2739">
        <v>40155</v>
      </c>
      <c r="I2739">
        <v>11217</v>
      </c>
      <c r="J2739">
        <v>51372</v>
      </c>
      <c r="K2739" t="b">
        <f>TrafficData[[#This Row],[disposedChallan]]+TrafficData[[#This Row],[pendingChallan]]=TrafficData[[#This Row],[totalChallan]]</f>
        <v>1</v>
      </c>
      <c r="L2739" t="b">
        <f>TrafficData[[#This Row],[pendingAmount]]+TrafficData[[#This Row],[disposedAmount]]=TrafficData[[#This Row],[totalAmount]]</f>
        <v>1</v>
      </c>
      <c r="M2739" t="b">
        <f>TrafficData[[#This Row],[pendingCourt]]+TrafficData[[#This Row],[disposedCourt]]=TrafficData[[#This Row],[totalCourt]]</f>
        <v>1</v>
      </c>
      <c r="N2739" t="b">
        <f>AND(TrafficData[[#This Row],[disposedChallan]]&lt;=TrafficData[[#This Row],[totalChallan]],TrafficData[[#This Row],[pendingChallan]]&lt;=TrafficData[[#This Row],[totalChallan]])</f>
        <v>1</v>
      </c>
      <c r="O2739" t="b">
        <f>AND(TrafficData[[#This Row],[pendingAmount]]&lt;=TrafficData[[#This Row],[totalAmount]],TrafficData[[#This Row],[disposedAmount]]&lt;=TrafficData[[#This Row],[totalAmount]])</f>
        <v>1</v>
      </c>
      <c r="P2739" t="b">
        <f>AND(TrafficData[[#This Row],[pendingCourt]]&lt;=TrafficData[[#This Row],[totalCourt]],TrafficData[[#This Row],[disposedCourt]]&lt;=TrafficData[[#This Row],[totalCourt]])</f>
        <v>1</v>
      </c>
    </row>
    <row r="2740" spans="1:16">
      <c r="A2740" s="1">
        <v>44744</v>
      </c>
      <c r="B2740">
        <v>130690</v>
      </c>
      <c r="C2740">
        <v>68455</v>
      </c>
      <c r="D2740">
        <v>62235</v>
      </c>
      <c r="E2740">
        <v>88273080</v>
      </c>
      <c r="F2740">
        <v>87345836</v>
      </c>
      <c r="G2740">
        <v>175618916</v>
      </c>
      <c r="H2740">
        <v>42718</v>
      </c>
      <c r="I2740">
        <v>11807</v>
      </c>
      <c r="J2740">
        <v>54525</v>
      </c>
      <c r="K2740" t="b">
        <f>TrafficData[[#This Row],[disposedChallan]]+TrafficData[[#This Row],[pendingChallan]]=TrafficData[[#This Row],[totalChallan]]</f>
        <v>1</v>
      </c>
      <c r="L2740" t="b">
        <f>TrafficData[[#This Row],[pendingAmount]]+TrafficData[[#This Row],[disposedAmount]]=TrafficData[[#This Row],[totalAmount]]</f>
        <v>1</v>
      </c>
      <c r="M2740" t="b">
        <f>TrafficData[[#This Row],[pendingCourt]]+TrafficData[[#This Row],[disposedCourt]]=TrafficData[[#This Row],[totalCourt]]</f>
        <v>1</v>
      </c>
      <c r="N2740" t="b">
        <f>AND(TrafficData[[#This Row],[disposedChallan]]&lt;=TrafficData[[#This Row],[totalChallan]],TrafficData[[#This Row],[pendingChallan]]&lt;=TrafficData[[#This Row],[totalChallan]])</f>
        <v>1</v>
      </c>
      <c r="O2740" t="b">
        <f>AND(TrafficData[[#This Row],[pendingAmount]]&lt;=TrafficData[[#This Row],[totalAmount]],TrafficData[[#This Row],[disposedAmount]]&lt;=TrafficData[[#This Row],[totalAmount]])</f>
        <v>1</v>
      </c>
      <c r="P2740" t="b">
        <f>AND(TrafficData[[#This Row],[pendingCourt]]&lt;=TrafficData[[#This Row],[totalCourt]],TrafficData[[#This Row],[disposedCourt]]&lt;=TrafficData[[#This Row],[totalCourt]])</f>
        <v>1</v>
      </c>
    </row>
    <row r="2741" spans="1:16">
      <c r="A2741" s="1">
        <v>44745</v>
      </c>
      <c r="B2741">
        <v>114093</v>
      </c>
      <c r="C2741">
        <v>57721</v>
      </c>
      <c r="D2741">
        <v>56372</v>
      </c>
      <c r="E2741">
        <v>78531757</v>
      </c>
      <c r="F2741">
        <v>65625337</v>
      </c>
      <c r="G2741">
        <v>144157094</v>
      </c>
      <c r="H2741">
        <v>37521</v>
      </c>
      <c r="I2741">
        <v>10308</v>
      </c>
      <c r="J2741">
        <v>47829</v>
      </c>
      <c r="K2741" t="b">
        <f>TrafficData[[#This Row],[disposedChallan]]+TrafficData[[#This Row],[pendingChallan]]=TrafficData[[#This Row],[totalChallan]]</f>
        <v>1</v>
      </c>
      <c r="L2741" t="b">
        <f>TrafficData[[#This Row],[pendingAmount]]+TrafficData[[#This Row],[disposedAmount]]=TrafficData[[#This Row],[totalAmount]]</f>
        <v>1</v>
      </c>
      <c r="M2741" t="b">
        <f>TrafficData[[#This Row],[pendingCourt]]+TrafficData[[#This Row],[disposedCourt]]=TrafficData[[#This Row],[totalCourt]]</f>
        <v>1</v>
      </c>
      <c r="N2741" t="b">
        <f>AND(TrafficData[[#This Row],[disposedChallan]]&lt;=TrafficData[[#This Row],[totalChallan]],TrafficData[[#This Row],[pendingChallan]]&lt;=TrafficData[[#This Row],[totalChallan]])</f>
        <v>1</v>
      </c>
      <c r="O2741" t="b">
        <f>AND(TrafficData[[#This Row],[pendingAmount]]&lt;=TrafficData[[#This Row],[totalAmount]],TrafficData[[#This Row],[disposedAmount]]&lt;=TrafficData[[#This Row],[totalAmount]])</f>
        <v>1</v>
      </c>
      <c r="P2741" t="b">
        <f>AND(TrafficData[[#This Row],[pendingCourt]]&lt;=TrafficData[[#This Row],[totalCourt]],TrafficData[[#This Row],[disposedCourt]]&lt;=TrafficData[[#This Row],[totalCourt]])</f>
        <v>1</v>
      </c>
    </row>
    <row r="2742" spans="1:16">
      <c r="A2742" s="1">
        <v>44746</v>
      </c>
      <c r="B2742">
        <v>132497</v>
      </c>
      <c r="C2742">
        <v>67770</v>
      </c>
      <c r="D2742">
        <v>64727</v>
      </c>
      <c r="E2742">
        <v>87893807</v>
      </c>
      <c r="F2742">
        <v>86633610</v>
      </c>
      <c r="G2742">
        <v>174527417</v>
      </c>
      <c r="H2742">
        <v>36336</v>
      </c>
      <c r="I2742">
        <v>10997</v>
      </c>
      <c r="J2742">
        <v>47333</v>
      </c>
      <c r="K2742" t="b">
        <f>TrafficData[[#This Row],[disposedChallan]]+TrafficData[[#This Row],[pendingChallan]]=TrafficData[[#This Row],[totalChallan]]</f>
        <v>1</v>
      </c>
      <c r="L2742" t="b">
        <f>TrafficData[[#This Row],[pendingAmount]]+TrafficData[[#This Row],[disposedAmount]]=TrafficData[[#This Row],[totalAmount]]</f>
        <v>1</v>
      </c>
      <c r="M2742" t="b">
        <f>TrafficData[[#This Row],[pendingCourt]]+TrafficData[[#This Row],[disposedCourt]]=TrafficData[[#This Row],[totalCourt]]</f>
        <v>1</v>
      </c>
      <c r="N2742" t="b">
        <f>AND(TrafficData[[#This Row],[disposedChallan]]&lt;=TrafficData[[#This Row],[totalChallan]],TrafficData[[#This Row],[pendingChallan]]&lt;=TrafficData[[#This Row],[totalChallan]])</f>
        <v>1</v>
      </c>
      <c r="O2742" t="b">
        <f>AND(TrafficData[[#This Row],[pendingAmount]]&lt;=TrafficData[[#This Row],[totalAmount]],TrafficData[[#This Row],[disposedAmount]]&lt;=TrafficData[[#This Row],[totalAmount]])</f>
        <v>1</v>
      </c>
      <c r="P2742" t="b">
        <f>AND(TrafficData[[#This Row],[pendingCourt]]&lt;=TrafficData[[#This Row],[totalCourt]],TrafficData[[#This Row],[disposedCourt]]&lt;=TrafficData[[#This Row],[totalCourt]])</f>
        <v>1</v>
      </c>
    </row>
    <row r="2743" spans="1:16">
      <c r="A2743" s="1">
        <v>44747</v>
      </c>
      <c r="B2743">
        <v>113705</v>
      </c>
      <c r="C2743">
        <v>62094</v>
      </c>
      <c r="D2743">
        <v>51611</v>
      </c>
      <c r="E2743">
        <v>84120343</v>
      </c>
      <c r="F2743">
        <v>93057524</v>
      </c>
      <c r="G2743">
        <v>177177867</v>
      </c>
      <c r="H2743">
        <v>31999</v>
      </c>
      <c r="I2743">
        <v>9636</v>
      </c>
      <c r="J2743">
        <v>41635</v>
      </c>
      <c r="K2743" t="b">
        <f>TrafficData[[#This Row],[disposedChallan]]+TrafficData[[#This Row],[pendingChallan]]=TrafficData[[#This Row],[totalChallan]]</f>
        <v>1</v>
      </c>
      <c r="L2743" t="b">
        <f>TrafficData[[#This Row],[pendingAmount]]+TrafficData[[#This Row],[disposedAmount]]=TrafficData[[#This Row],[totalAmount]]</f>
        <v>1</v>
      </c>
      <c r="M2743" t="b">
        <f>TrafficData[[#This Row],[pendingCourt]]+TrafficData[[#This Row],[disposedCourt]]=TrafficData[[#This Row],[totalCourt]]</f>
        <v>1</v>
      </c>
      <c r="N2743" t="b">
        <f>AND(TrafficData[[#This Row],[disposedChallan]]&lt;=TrafficData[[#This Row],[totalChallan]],TrafficData[[#This Row],[pendingChallan]]&lt;=TrafficData[[#This Row],[totalChallan]])</f>
        <v>1</v>
      </c>
      <c r="O2743" t="b">
        <f>AND(TrafficData[[#This Row],[pendingAmount]]&lt;=TrafficData[[#This Row],[totalAmount]],TrafficData[[#This Row],[disposedAmount]]&lt;=TrafficData[[#This Row],[totalAmount]])</f>
        <v>1</v>
      </c>
      <c r="P2743" t="b">
        <f>AND(TrafficData[[#This Row],[pendingCourt]]&lt;=TrafficData[[#This Row],[totalCourt]],TrafficData[[#This Row],[disposedCourt]]&lt;=TrafficData[[#This Row],[totalCourt]])</f>
        <v>1</v>
      </c>
    </row>
    <row r="2744" spans="1:16">
      <c r="A2744" s="1">
        <v>44748</v>
      </c>
      <c r="B2744">
        <v>118701</v>
      </c>
      <c r="C2744">
        <v>63478</v>
      </c>
      <c r="D2744">
        <v>55223</v>
      </c>
      <c r="E2744">
        <v>93916341</v>
      </c>
      <c r="F2744">
        <v>99033407</v>
      </c>
      <c r="G2744">
        <v>192949748</v>
      </c>
      <c r="H2744">
        <v>33579</v>
      </c>
      <c r="I2744">
        <v>9818</v>
      </c>
      <c r="J2744">
        <v>43397</v>
      </c>
      <c r="K2744" t="b">
        <f>TrafficData[[#This Row],[disposedChallan]]+TrafficData[[#This Row],[pendingChallan]]=TrafficData[[#This Row],[totalChallan]]</f>
        <v>1</v>
      </c>
      <c r="L2744" t="b">
        <f>TrafficData[[#This Row],[pendingAmount]]+TrafficData[[#This Row],[disposedAmount]]=TrafficData[[#This Row],[totalAmount]]</f>
        <v>1</v>
      </c>
      <c r="M2744" t="b">
        <f>TrafficData[[#This Row],[pendingCourt]]+TrafficData[[#This Row],[disposedCourt]]=TrafficData[[#This Row],[totalCourt]]</f>
        <v>1</v>
      </c>
      <c r="N2744" t="b">
        <f>AND(TrafficData[[#This Row],[disposedChallan]]&lt;=TrafficData[[#This Row],[totalChallan]],TrafficData[[#This Row],[pendingChallan]]&lt;=TrafficData[[#This Row],[totalChallan]])</f>
        <v>1</v>
      </c>
      <c r="O2744" t="b">
        <f>AND(TrafficData[[#This Row],[pendingAmount]]&lt;=TrafficData[[#This Row],[totalAmount]],TrafficData[[#This Row],[disposedAmount]]&lt;=TrafficData[[#This Row],[totalAmount]])</f>
        <v>1</v>
      </c>
      <c r="P2744" t="b">
        <f>AND(TrafficData[[#This Row],[pendingCourt]]&lt;=TrafficData[[#This Row],[totalCourt]],TrafficData[[#This Row],[disposedCourt]]&lt;=TrafficData[[#This Row],[totalCourt]])</f>
        <v>1</v>
      </c>
    </row>
    <row r="2745" spans="1:16">
      <c r="A2745" s="1">
        <v>44749</v>
      </c>
      <c r="B2745">
        <v>125362</v>
      </c>
      <c r="C2745">
        <v>64032</v>
      </c>
      <c r="D2745">
        <v>61330</v>
      </c>
      <c r="E2745">
        <v>97649257</v>
      </c>
      <c r="F2745">
        <v>95896732</v>
      </c>
      <c r="G2745">
        <v>193545989</v>
      </c>
      <c r="H2745">
        <v>31921</v>
      </c>
      <c r="I2745">
        <v>9950</v>
      </c>
      <c r="J2745">
        <v>41871</v>
      </c>
      <c r="K2745" t="b">
        <f>TrafficData[[#This Row],[disposedChallan]]+TrafficData[[#This Row],[pendingChallan]]=TrafficData[[#This Row],[totalChallan]]</f>
        <v>1</v>
      </c>
      <c r="L2745" t="b">
        <f>TrafficData[[#This Row],[pendingAmount]]+TrafficData[[#This Row],[disposedAmount]]=TrafficData[[#This Row],[totalAmount]]</f>
        <v>1</v>
      </c>
      <c r="M2745" t="b">
        <f>TrafficData[[#This Row],[pendingCourt]]+TrafficData[[#This Row],[disposedCourt]]=TrafficData[[#This Row],[totalCourt]]</f>
        <v>1</v>
      </c>
      <c r="N2745" t="b">
        <f>AND(TrafficData[[#This Row],[disposedChallan]]&lt;=TrafficData[[#This Row],[totalChallan]],TrafficData[[#This Row],[pendingChallan]]&lt;=TrafficData[[#This Row],[totalChallan]])</f>
        <v>1</v>
      </c>
      <c r="O2745" t="b">
        <f>AND(TrafficData[[#This Row],[pendingAmount]]&lt;=TrafficData[[#This Row],[totalAmount]],TrafficData[[#This Row],[disposedAmount]]&lt;=TrafficData[[#This Row],[totalAmount]])</f>
        <v>1</v>
      </c>
      <c r="P2745" t="b">
        <f>AND(TrafficData[[#This Row],[pendingCourt]]&lt;=TrafficData[[#This Row],[totalCourt]],TrafficData[[#This Row],[disposedCourt]]&lt;=TrafficData[[#This Row],[totalCourt]])</f>
        <v>1</v>
      </c>
    </row>
    <row r="2746" spans="1:16">
      <c r="A2746" s="1">
        <v>44750</v>
      </c>
      <c r="B2746">
        <v>131042</v>
      </c>
      <c r="C2746">
        <v>67421</v>
      </c>
      <c r="D2746">
        <v>63621</v>
      </c>
      <c r="E2746">
        <v>99340296</v>
      </c>
      <c r="F2746">
        <v>93244749</v>
      </c>
      <c r="G2746">
        <v>192585045</v>
      </c>
      <c r="H2746">
        <v>34086</v>
      </c>
      <c r="I2746">
        <v>10560</v>
      </c>
      <c r="J2746">
        <v>44646</v>
      </c>
      <c r="K2746" t="b">
        <f>TrafficData[[#This Row],[disposedChallan]]+TrafficData[[#This Row],[pendingChallan]]=TrafficData[[#This Row],[totalChallan]]</f>
        <v>1</v>
      </c>
      <c r="L2746" t="b">
        <f>TrafficData[[#This Row],[pendingAmount]]+TrafficData[[#This Row],[disposedAmount]]=TrafficData[[#This Row],[totalAmount]]</f>
        <v>1</v>
      </c>
      <c r="M2746" t="b">
        <f>TrafficData[[#This Row],[pendingCourt]]+TrafficData[[#This Row],[disposedCourt]]=TrafficData[[#This Row],[totalCourt]]</f>
        <v>1</v>
      </c>
      <c r="N2746" t="b">
        <f>AND(TrafficData[[#This Row],[disposedChallan]]&lt;=TrafficData[[#This Row],[totalChallan]],TrafficData[[#This Row],[pendingChallan]]&lt;=TrafficData[[#This Row],[totalChallan]])</f>
        <v>1</v>
      </c>
      <c r="O2746" t="b">
        <f>AND(TrafficData[[#This Row],[pendingAmount]]&lt;=TrafficData[[#This Row],[totalAmount]],TrafficData[[#This Row],[disposedAmount]]&lt;=TrafficData[[#This Row],[totalAmount]])</f>
        <v>1</v>
      </c>
      <c r="P2746" t="b">
        <f>AND(TrafficData[[#This Row],[pendingCourt]]&lt;=TrafficData[[#This Row],[totalCourt]],TrafficData[[#This Row],[disposedCourt]]&lt;=TrafficData[[#This Row],[totalCourt]])</f>
        <v>1</v>
      </c>
    </row>
    <row r="2747" spans="1:16">
      <c r="A2747" s="1">
        <v>44751</v>
      </c>
      <c r="B2747">
        <v>126558</v>
      </c>
      <c r="C2747">
        <v>62988</v>
      </c>
      <c r="D2747">
        <v>63570</v>
      </c>
      <c r="E2747">
        <v>95973885</v>
      </c>
      <c r="F2747">
        <v>80291393</v>
      </c>
      <c r="G2747">
        <v>176265278</v>
      </c>
      <c r="H2747">
        <v>32639</v>
      </c>
      <c r="I2747">
        <v>10100</v>
      </c>
      <c r="J2747">
        <v>42739</v>
      </c>
      <c r="K2747" t="b">
        <f>TrafficData[[#This Row],[disposedChallan]]+TrafficData[[#This Row],[pendingChallan]]=TrafficData[[#This Row],[totalChallan]]</f>
        <v>1</v>
      </c>
      <c r="L2747" t="b">
        <f>TrafficData[[#This Row],[pendingAmount]]+TrafficData[[#This Row],[disposedAmount]]=TrafficData[[#This Row],[totalAmount]]</f>
        <v>1</v>
      </c>
      <c r="M2747" t="b">
        <f>TrafficData[[#This Row],[pendingCourt]]+TrafficData[[#This Row],[disposedCourt]]=TrafficData[[#This Row],[totalCourt]]</f>
        <v>1</v>
      </c>
      <c r="N2747" t="b">
        <f>AND(TrafficData[[#This Row],[disposedChallan]]&lt;=TrafficData[[#This Row],[totalChallan]],TrafficData[[#This Row],[pendingChallan]]&lt;=TrafficData[[#This Row],[totalChallan]])</f>
        <v>1</v>
      </c>
      <c r="O2747" t="b">
        <f>AND(TrafficData[[#This Row],[pendingAmount]]&lt;=TrafficData[[#This Row],[totalAmount]],TrafficData[[#This Row],[disposedAmount]]&lt;=TrafficData[[#This Row],[totalAmount]])</f>
        <v>1</v>
      </c>
      <c r="P2747" t="b">
        <f>AND(TrafficData[[#This Row],[pendingCourt]]&lt;=TrafficData[[#This Row],[totalCourt]],TrafficData[[#This Row],[disposedCourt]]&lt;=TrafficData[[#This Row],[totalCourt]])</f>
        <v>1</v>
      </c>
    </row>
    <row r="2748" spans="1:16">
      <c r="A2748" s="1">
        <v>44752</v>
      </c>
      <c r="B2748">
        <v>102830</v>
      </c>
      <c r="C2748">
        <v>47367</v>
      </c>
      <c r="D2748">
        <v>55463</v>
      </c>
      <c r="E2748">
        <v>87069422</v>
      </c>
      <c r="F2748">
        <v>55071247</v>
      </c>
      <c r="G2748">
        <v>142140669</v>
      </c>
      <c r="H2748">
        <v>23791</v>
      </c>
      <c r="I2748">
        <v>7694</v>
      </c>
      <c r="J2748">
        <v>31485</v>
      </c>
      <c r="K2748" t="b">
        <f>TrafficData[[#This Row],[disposedChallan]]+TrafficData[[#This Row],[pendingChallan]]=TrafficData[[#This Row],[totalChallan]]</f>
        <v>1</v>
      </c>
      <c r="L2748" t="b">
        <f>TrafficData[[#This Row],[pendingAmount]]+TrafficData[[#This Row],[disposedAmount]]=TrafficData[[#This Row],[totalAmount]]</f>
        <v>1</v>
      </c>
      <c r="M2748" t="b">
        <f>TrafficData[[#This Row],[pendingCourt]]+TrafficData[[#This Row],[disposedCourt]]=TrafficData[[#This Row],[totalCourt]]</f>
        <v>1</v>
      </c>
      <c r="N2748" t="b">
        <f>AND(TrafficData[[#This Row],[disposedChallan]]&lt;=TrafficData[[#This Row],[totalChallan]],TrafficData[[#This Row],[pendingChallan]]&lt;=TrafficData[[#This Row],[totalChallan]])</f>
        <v>1</v>
      </c>
      <c r="O2748" t="b">
        <f>AND(TrafficData[[#This Row],[pendingAmount]]&lt;=TrafficData[[#This Row],[totalAmount]],TrafficData[[#This Row],[disposedAmount]]&lt;=TrafficData[[#This Row],[totalAmount]])</f>
        <v>1</v>
      </c>
      <c r="P2748" t="b">
        <f>AND(TrafficData[[#This Row],[pendingCourt]]&lt;=TrafficData[[#This Row],[totalCourt]],TrafficData[[#This Row],[disposedCourt]]&lt;=TrafficData[[#This Row],[totalCourt]])</f>
        <v>1</v>
      </c>
    </row>
    <row r="2749" spans="1:16">
      <c r="A2749" s="1">
        <v>44753</v>
      </c>
      <c r="B2749">
        <v>127538</v>
      </c>
      <c r="C2749">
        <v>62581</v>
      </c>
      <c r="D2749">
        <v>64957</v>
      </c>
      <c r="E2749">
        <v>106318455</v>
      </c>
      <c r="F2749">
        <v>84602278</v>
      </c>
      <c r="G2749">
        <v>190920733</v>
      </c>
      <c r="H2749">
        <v>35335</v>
      </c>
      <c r="I2749">
        <v>9805</v>
      </c>
      <c r="J2749">
        <v>45140</v>
      </c>
      <c r="K2749" t="b">
        <f>TrafficData[[#This Row],[disposedChallan]]+TrafficData[[#This Row],[pendingChallan]]=TrafficData[[#This Row],[totalChallan]]</f>
        <v>1</v>
      </c>
      <c r="L2749" t="b">
        <f>TrafficData[[#This Row],[pendingAmount]]+TrafficData[[#This Row],[disposedAmount]]=TrafficData[[#This Row],[totalAmount]]</f>
        <v>1</v>
      </c>
      <c r="M2749" t="b">
        <f>TrafficData[[#This Row],[pendingCourt]]+TrafficData[[#This Row],[disposedCourt]]=TrafficData[[#This Row],[totalCourt]]</f>
        <v>1</v>
      </c>
      <c r="N2749" t="b">
        <f>AND(TrafficData[[#This Row],[disposedChallan]]&lt;=TrafficData[[#This Row],[totalChallan]],TrafficData[[#This Row],[pendingChallan]]&lt;=TrafficData[[#This Row],[totalChallan]])</f>
        <v>1</v>
      </c>
      <c r="O2749" t="b">
        <f>AND(TrafficData[[#This Row],[pendingAmount]]&lt;=TrafficData[[#This Row],[totalAmount]],TrafficData[[#This Row],[disposedAmount]]&lt;=TrafficData[[#This Row],[totalAmount]])</f>
        <v>1</v>
      </c>
      <c r="P2749" t="b">
        <f>AND(TrafficData[[#This Row],[pendingCourt]]&lt;=TrafficData[[#This Row],[totalCourt]],TrafficData[[#This Row],[disposedCourt]]&lt;=TrafficData[[#This Row],[totalCourt]])</f>
        <v>1</v>
      </c>
    </row>
    <row r="2750" spans="1:16">
      <c r="A2750" s="1">
        <v>44754</v>
      </c>
      <c r="B2750">
        <v>133530</v>
      </c>
      <c r="C2750">
        <v>68082</v>
      </c>
      <c r="D2750">
        <v>65448</v>
      </c>
      <c r="E2750">
        <v>106883302</v>
      </c>
      <c r="F2750">
        <v>95550739</v>
      </c>
      <c r="G2750">
        <v>202434041</v>
      </c>
      <c r="H2750">
        <v>37321</v>
      </c>
      <c r="I2750">
        <v>10470</v>
      </c>
      <c r="J2750">
        <v>47791</v>
      </c>
      <c r="K2750" t="b">
        <f>TrafficData[[#This Row],[disposedChallan]]+TrafficData[[#This Row],[pendingChallan]]=TrafficData[[#This Row],[totalChallan]]</f>
        <v>1</v>
      </c>
      <c r="L2750" t="b">
        <f>TrafficData[[#This Row],[pendingAmount]]+TrafficData[[#This Row],[disposedAmount]]=TrafficData[[#This Row],[totalAmount]]</f>
        <v>1</v>
      </c>
      <c r="M2750" t="b">
        <f>TrafficData[[#This Row],[pendingCourt]]+TrafficData[[#This Row],[disposedCourt]]=TrafficData[[#This Row],[totalCourt]]</f>
        <v>1</v>
      </c>
      <c r="N2750" t="b">
        <f>AND(TrafficData[[#This Row],[disposedChallan]]&lt;=TrafficData[[#This Row],[totalChallan]],TrafficData[[#This Row],[pendingChallan]]&lt;=TrafficData[[#This Row],[totalChallan]])</f>
        <v>1</v>
      </c>
      <c r="O2750" t="b">
        <f>AND(TrafficData[[#This Row],[pendingAmount]]&lt;=TrafficData[[#This Row],[totalAmount]],TrafficData[[#This Row],[disposedAmount]]&lt;=TrafficData[[#This Row],[totalAmount]])</f>
        <v>1</v>
      </c>
      <c r="P2750" t="b">
        <f>AND(TrafficData[[#This Row],[pendingCourt]]&lt;=TrafficData[[#This Row],[totalCourt]],TrafficData[[#This Row],[disposedCourt]]&lt;=TrafficData[[#This Row],[totalCourt]])</f>
        <v>1</v>
      </c>
    </row>
    <row r="2751" spans="1:16">
      <c r="A2751" s="1">
        <v>44755</v>
      </c>
      <c r="B2751">
        <v>133448</v>
      </c>
      <c r="C2751">
        <v>68500</v>
      </c>
      <c r="D2751">
        <v>64948</v>
      </c>
      <c r="E2751">
        <v>105154044</v>
      </c>
      <c r="F2751">
        <v>100458130</v>
      </c>
      <c r="G2751">
        <v>205612174</v>
      </c>
      <c r="H2751">
        <v>38703</v>
      </c>
      <c r="I2751">
        <v>10774</v>
      </c>
      <c r="J2751">
        <v>49477</v>
      </c>
      <c r="K2751" t="b">
        <f>TrafficData[[#This Row],[disposedChallan]]+TrafficData[[#This Row],[pendingChallan]]=TrafficData[[#This Row],[totalChallan]]</f>
        <v>1</v>
      </c>
      <c r="L2751" t="b">
        <f>TrafficData[[#This Row],[pendingAmount]]+TrafficData[[#This Row],[disposedAmount]]=TrafficData[[#This Row],[totalAmount]]</f>
        <v>1</v>
      </c>
      <c r="M2751" t="b">
        <f>TrafficData[[#This Row],[pendingCourt]]+TrafficData[[#This Row],[disposedCourt]]=TrafficData[[#This Row],[totalCourt]]</f>
        <v>1</v>
      </c>
      <c r="N2751" t="b">
        <f>AND(TrafficData[[#This Row],[disposedChallan]]&lt;=TrafficData[[#This Row],[totalChallan]],TrafficData[[#This Row],[pendingChallan]]&lt;=TrafficData[[#This Row],[totalChallan]])</f>
        <v>1</v>
      </c>
      <c r="O2751" t="b">
        <f>AND(TrafficData[[#This Row],[pendingAmount]]&lt;=TrafficData[[#This Row],[totalAmount]],TrafficData[[#This Row],[disposedAmount]]&lt;=TrafficData[[#This Row],[totalAmount]])</f>
        <v>1</v>
      </c>
      <c r="P2751" t="b">
        <f>AND(TrafficData[[#This Row],[pendingCourt]]&lt;=TrafficData[[#This Row],[totalCourt]],TrafficData[[#This Row],[disposedCourt]]&lt;=TrafficData[[#This Row],[totalCourt]])</f>
        <v>1</v>
      </c>
    </row>
    <row r="2752" spans="1:16">
      <c r="A2752" s="1">
        <v>44756</v>
      </c>
      <c r="B2752">
        <v>131440</v>
      </c>
      <c r="C2752">
        <v>68444</v>
      </c>
      <c r="D2752">
        <v>62996</v>
      </c>
      <c r="E2752">
        <v>98570172</v>
      </c>
      <c r="F2752">
        <v>101327088</v>
      </c>
      <c r="G2752">
        <v>199897260</v>
      </c>
      <c r="H2752">
        <v>35364</v>
      </c>
      <c r="I2752">
        <v>10109</v>
      </c>
      <c r="J2752">
        <v>45473</v>
      </c>
      <c r="K2752" t="b">
        <f>TrafficData[[#This Row],[disposedChallan]]+TrafficData[[#This Row],[pendingChallan]]=TrafficData[[#This Row],[totalChallan]]</f>
        <v>1</v>
      </c>
      <c r="L2752" t="b">
        <f>TrafficData[[#This Row],[pendingAmount]]+TrafficData[[#This Row],[disposedAmount]]=TrafficData[[#This Row],[totalAmount]]</f>
        <v>1</v>
      </c>
      <c r="M2752" t="b">
        <f>TrafficData[[#This Row],[pendingCourt]]+TrafficData[[#This Row],[disposedCourt]]=TrafficData[[#This Row],[totalCourt]]</f>
        <v>1</v>
      </c>
      <c r="N2752" t="b">
        <f>AND(TrafficData[[#This Row],[disposedChallan]]&lt;=TrafficData[[#This Row],[totalChallan]],TrafficData[[#This Row],[pendingChallan]]&lt;=TrafficData[[#This Row],[totalChallan]])</f>
        <v>1</v>
      </c>
      <c r="O2752" t="b">
        <f>AND(TrafficData[[#This Row],[pendingAmount]]&lt;=TrafficData[[#This Row],[totalAmount]],TrafficData[[#This Row],[disposedAmount]]&lt;=TrafficData[[#This Row],[totalAmount]])</f>
        <v>1</v>
      </c>
      <c r="P2752" t="b">
        <f>AND(TrafficData[[#This Row],[pendingCourt]]&lt;=TrafficData[[#This Row],[totalCourt]],TrafficData[[#This Row],[disposedCourt]]&lt;=TrafficData[[#This Row],[totalCourt]])</f>
        <v>1</v>
      </c>
    </row>
    <row r="2753" spans="1:16">
      <c r="A2753" s="1">
        <v>44757</v>
      </c>
      <c r="B2753">
        <v>130185</v>
      </c>
      <c r="C2753">
        <v>68619</v>
      </c>
      <c r="D2753">
        <v>61566</v>
      </c>
      <c r="E2753">
        <v>144417033</v>
      </c>
      <c r="F2753">
        <v>94165316</v>
      </c>
      <c r="G2753">
        <v>238582349</v>
      </c>
      <c r="H2753">
        <v>37082</v>
      </c>
      <c r="I2753">
        <v>10571</v>
      </c>
      <c r="J2753">
        <v>47653</v>
      </c>
      <c r="K2753" t="b">
        <f>TrafficData[[#This Row],[disposedChallan]]+TrafficData[[#This Row],[pendingChallan]]=TrafficData[[#This Row],[totalChallan]]</f>
        <v>1</v>
      </c>
      <c r="L2753" t="b">
        <f>TrafficData[[#This Row],[pendingAmount]]+TrafficData[[#This Row],[disposedAmount]]=TrafficData[[#This Row],[totalAmount]]</f>
        <v>1</v>
      </c>
      <c r="M2753" t="b">
        <f>TrafficData[[#This Row],[pendingCourt]]+TrafficData[[#This Row],[disposedCourt]]=TrafficData[[#This Row],[totalCourt]]</f>
        <v>1</v>
      </c>
      <c r="N2753" t="b">
        <f>AND(TrafficData[[#This Row],[disposedChallan]]&lt;=TrafficData[[#This Row],[totalChallan]],TrafficData[[#This Row],[pendingChallan]]&lt;=TrafficData[[#This Row],[totalChallan]])</f>
        <v>1</v>
      </c>
      <c r="O2753" t="b">
        <f>AND(TrafficData[[#This Row],[pendingAmount]]&lt;=TrafficData[[#This Row],[totalAmount]],TrafficData[[#This Row],[disposedAmount]]&lt;=TrafficData[[#This Row],[totalAmount]])</f>
        <v>1</v>
      </c>
      <c r="P2753" t="b">
        <f>AND(TrafficData[[#This Row],[pendingCourt]]&lt;=TrafficData[[#This Row],[totalCourt]],TrafficData[[#This Row],[disposedCourt]]&lt;=TrafficData[[#This Row],[totalCourt]])</f>
        <v>1</v>
      </c>
    </row>
    <row r="2754" spans="1:16">
      <c r="A2754" s="1">
        <v>44758</v>
      </c>
      <c r="B2754">
        <v>127244</v>
      </c>
      <c r="C2754">
        <v>66428</v>
      </c>
      <c r="D2754">
        <v>60816</v>
      </c>
      <c r="E2754">
        <v>93655651</v>
      </c>
      <c r="F2754">
        <v>95091320</v>
      </c>
      <c r="G2754">
        <v>188746971</v>
      </c>
      <c r="H2754">
        <v>33769</v>
      </c>
      <c r="I2754">
        <v>9747</v>
      </c>
      <c r="J2754">
        <v>43516</v>
      </c>
      <c r="K2754" t="b">
        <f>TrafficData[[#This Row],[disposedChallan]]+TrafficData[[#This Row],[pendingChallan]]=TrafficData[[#This Row],[totalChallan]]</f>
        <v>1</v>
      </c>
      <c r="L2754" t="b">
        <f>TrafficData[[#This Row],[pendingAmount]]+TrafficData[[#This Row],[disposedAmount]]=TrafficData[[#This Row],[totalAmount]]</f>
        <v>1</v>
      </c>
      <c r="M2754" t="b">
        <f>TrafficData[[#This Row],[pendingCourt]]+TrafficData[[#This Row],[disposedCourt]]=TrafficData[[#This Row],[totalCourt]]</f>
        <v>1</v>
      </c>
      <c r="N2754" t="b">
        <f>AND(TrafficData[[#This Row],[disposedChallan]]&lt;=TrafficData[[#This Row],[totalChallan]],TrafficData[[#This Row],[pendingChallan]]&lt;=TrafficData[[#This Row],[totalChallan]])</f>
        <v>1</v>
      </c>
      <c r="O2754" t="b">
        <f>AND(TrafficData[[#This Row],[pendingAmount]]&lt;=TrafficData[[#This Row],[totalAmount]],TrafficData[[#This Row],[disposedAmount]]&lt;=TrafficData[[#This Row],[totalAmount]])</f>
        <v>1</v>
      </c>
      <c r="P2754" t="b">
        <f>AND(TrafficData[[#This Row],[pendingCourt]]&lt;=TrafficData[[#This Row],[totalCourt]],TrafficData[[#This Row],[disposedCourt]]&lt;=TrafficData[[#This Row],[totalCourt]])</f>
        <v>1</v>
      </c>
    </row>
    <row r="2755" spans="1:16">
      <c r="A2755" s="1">
        <v>44759</v>
      </c>
      <c r="B2755">
        <v>109628</v>
      </c>
      <c r="C2755">
        <v>53998</v>
      </c>
      <c r="D2755">
        <v>55630</v>
      </c>
      <c r="E2755">
        <v>84476176</v>
      </c>
      <c r="F2755">
        <v>62623376</v>
      </c>
      <c r="G2755">
        <v>147099552</v>
      </c>
      <c r="H2755">
        <v>32861</v>
      </c>
      <c r="I2755">
        <v>8781</v>
      </c>
      <c r="J2755">
        <v>41642</v>
      </c>
      <c r="K2755" t="b">
        <f>TrafficData[[#This Row],[disposedChallan]]+TrafficData[[#This Row],[pendingChallan]]=TrafficData[[#This Row],[totalChallan]]</f>
        <v>1</v>
      </c>
      <c r="L2755" t="b">
        <f>TrafficData[[#This Row],[pendingAmount]]+TrafficData[[#This Row],[disposedAmount]]=TrafficData[[#This Row],[totalAmount]]</f>
        <v>1</v>
      </c>
      <c r="M2755" t="b">
        <f>TrafficData[[#This Row],[pendingCourt]]+TrafficData[[#This Row],[disposedCourt]]=TrafficData[[#This Row],[totalCourt]]</f>
        <v>1</v>
      </c>
      <c r="N2755" t="b">
        <f>AND(TrafficData[[#This Row],[disposedChallan]]&lt;=TrafficData[[#This Row],[totalChallan]],TrafficData[[#This Row],[pendingChallan]]&lt;=TrafficData[[#This Row],[totalChallan]])</f>
        <v>1</v>
      </c>
      <c r="O2755" t="b">
        <f>AND(TrafficData[[#This Row],[pendingAmount]]&lt;=TrafficData[[#This Row],[totalAmount]],TrafficData[[#This Row],[disposedAmount]]&lt;=TrafficData[[#This Row],[totalAmount]])</f>
        <v>1</v>
      </c>
      <c r="P2755" t="b">
        <f>AND(TrafficData[[#This Row],[pendingCourt]]&lt;=TrafficData[[#This Row],[totalCourt]],TrafficData[[#This Row],[disposedCourt]]&lt;=TrafficData[[#This Row],[totalCourt]])</f>
        <v>1</v>
      </c>
    </row>
    <row r="2756" spans="1:16">
      <c r="A2756" s="1">
        <v>44760</v>
      </c>
      <c r="B2756">
        <v>126396</v>
      </c>
      <c r="C2756">
        <v>64283</v>
      </c>
      <c r="D2756">
        <v>62113</v>
      </c>
      <c r="E2756">
        <v>104301019</v>
      </c>
      <c r="F2756">
        <v>89720522</v>
      </c>
      <c r="G2756">
        <v>194021541</v>
      </c>
      <c r="H2756">
        <v>37315</v>
      </c>
      <c r="I2756">
        <v>10263</v>
      </c>
      <c r="J2756">
        <v>47578</v>
      </c>
      <c r="K2756" t="b">
        <f>TrafficData[[#This Row],[disposedChallan]]+TrafficData[[#This Row],[pendingChallan]]=TrafficData[[#This Row],[totalChallan]]</f>
        <v>1</v>
      </c>
      <c r="L2756" t="b">
        <f>TrafficData[[#This Row],[pendingAmount]]+TrafficData[[#This Row],[disposedAmount]]=TrafficData[[#This Row],[totalAmount]]</f>
        <v>1</v>
      </c>
      <c r="M2756" t="b">
        <f>TrafficData[[#This Row],[pendingCourt]]+TrafficData[[#This Row],[disposedCourt]]=TrafficData[[#This Row],[totalCourt]]</f>
        <v>1</v>
      </c>
      <c r="N2756" t="b">
        <f>AND(TrafficData[[#This Row],[disposedChallan]]&lt;=TrafficData[[#This Row],[totalChallan]],TrafficData[[#This Row],[pendingChallan]]&lt;=TrafficData[[#This Row],[totalChallan]])</f>
        <v>1</v>
      </c>
      <c r="O2756" t="b">
        <f>AND(TrafficData[[#This Row],[pendingAmount]]&lt;=TrafficData[[#This Row],[totalAmount]],TrafficData[[#This Row],[disposedAmount]]&lt;=TrafficData[[#This Row],[totalAmount]])</f>
        <v>1</v>
      </c>
      <c r="P2756" t="b">
        <f>AND(TrafficData[[#This Row],[pendingCourt]]&lt;=TrafficData[[#This Row],[totalCourt]],TrafficData[[#This Row],[disposedCourt]]&lt;=TrafficData[[#This Row],[totalCourt]])</f>
        <v>1</v>
      </c>
    </row>
    <row r="2757" spans="1:16">
      <c r="A2757" s="1">
        <v>44761</v>
      </c>
      <c r="B2757">
        <v>134587</v>
      </c>
      <c r="C2757">
        <v>69683</v>
      </c>
      <c r="D2757">
        <v>64904</v>
      </c>
      <c r="E2757">
        <v>109839718</v>
      </c>
      <c r="F2757">
        <v>106353558</v>
      </c>
      <c r="G2757">
        <v>216193276</v>
      </c>
      <c r="H2757">
        <v>38702</v>
      </c>
      <c r="I2757">
        <v>10709</v>
      </c>
      <c r="J2757">
        <v>49411</v>
      </c>
      <c r="K2757" t="b">
        <f>TrafficData[[#This Row],[disposedChallan]]+TrafficData[[#This Row],[pendingChallan]]=TrafficData[[#This Row],[totalChallan]]</f>
        <v>1</v>
      </c>
      <c r="L2757" t="b">
        <f>TrafficData[[#This Row],[pendingAmount]]+TrafficData[[#This Row],[disposedAmount]]=TrafficData[[#This Row],[totalAmount]]</f>
        <v>1</v>
      </c>
      <c r="M2757" t="b">
        <f>TrafficData[[#This Row],[pendingCourt]]+TrafficData[[#This Row],[disposedCourt]]=TrafficData[[#This Row],[totalCourt]]</f>
        <v>1</v>
      </c>
      <c r="N2757" t="b">
        <f>AND(TrafficData[[#This Row],[disposedChallan]]&lt;=TrafficData[[#This Row],[totalChallan]],TrafficData[[#This Row],[pendingChallan]]&lt;=TrafficData[[#This Row],[totalChallan]])</f>
        <v>1</v>
      </c>
      <c r="O2757" t="b">
        <f>AND(TrafficData[[#This Row],[pendingAmount]]&lt;=TrafficData[[#This Row],[totalAmount]],TrafficData[[#This Row],[disposedAmount]]&lt;=TrafficData[[#This Row],[totalAmount]])</f>
        <v>1</v>
      </c>
      <c r="P2757" t="b">
        <f>AND(TrafficData[[#This Row],[pendingCourt]]&lt;=TrafficData[[#This Row],[totalCourt]],TrafficData[[#This Row],[disposedCourt]]&lt;=TrafficData[[#This Row],[totalCourt]])</f>
        <v>1</v>
      </c>
    </row>
    <row r="2758" spans="1:16">
      <c r="A2758" s="1">
        <v>44762</v>
      </c>
      <c r="B2758">
        <v>133743</v>
      </c>
      <c r="C2758">
        <v>68126</v>
      </c>
      <c r="D2758">
        <v>65617</v>
      </c>
      <c r="E2758">
        <v>102932932</v>
      </c>
      <c r="F2758">
        <v>99848272</v>
      </c>
      <c r="G2758">
        <v>202781204</v>
      </c>
      <c r="H2758">
        <v>38307</v>
      </c>
      <c r="I2758">
        <v>10393</v>
      </c>
      <c r="J2758">
        <v>48700</v>
      </c>
      <c r="K2758" t="b">
        <f>TrafficData[[#This Row],[disposedChallan]]+TrafficData[[#This Row],[pendingChallan]]=TrafficData[[#This Row],[totalChallan]]</f>
        <v>1</v>
      </c>
      <c r="L2758" t="b">
        <f>TrafficData[[#This Row],[pendingAmount]]+TrafficData[[#This Row],[disposedAmount]]=TrafficData[[#This Row],[totalAmount]]</f>
        <v>1</v>
      </c>
      <c r="M2758" t="b">
        <f>TrafficData[[#This Row],[pendingCourt]]+TrafficData[[#This Row],[disposedCourt]]=TrafficData[[#This Row],[totalCourt]]</f>
        <v>1</v>
      </c>
      <c r="N2758" t="b">
        <f>AND(TrafficData[[#This Row],[disposedChallan]]&lt;=TrafficData[[#This Row],[totalChallan]],TrafficData[[#This Row],[pendingChallan]]&lt;=TrafficData[[#This Row],[totalChallan]])</f>
        <v>1</v>
      </c>
      <c r="O2758" t="b">
        <f>AND(TrafficData[[#This Row],[pendingAmount]]&lt;=TrafficData[[#This Row],[totalAmount]],TrafficData[[#This Row],[disposedAmount]]&lt;=TrafficData[[#This Row],[totalAmount]])</f>
        <v>1</v>
      </c>
      <c r="P2758" t="b">
        <f>AND(TrafficData[[#This Row],[pendingCourt]]&lt;=TrafficData[[#This Row],[totalCourt]],TrafficData[[#This Row],[disposedCourt]]&lt;=TrafficData[[#This Row],[totalCourt]])</f>
        <v>1</v>
      </c>
    </row>
    <row r="2759" spans="1:16">
      <c r="A2759" s="1">
        <v>44763</v>
      </c>
      <c r="B2759">
        <v>134230</v>
      </c>
      <c r="C2759">
        <v>68842</v>
      </c>
      <c r="D2759">
        <v>65388</v>
      </c>
      <c r="E2759">
        <v>121019603</v>
      </c>
      <c r="F2759">
        <v>97004590</v>
      </c>
      <c r="G2759">
        <v>218024193</v>
      </c>
      <c r="H2759">
        <v>41218</v>
      </c>
      <c r="I2759">
        <v>11506</v>
      </c>
      <c r="J2759">
        <v>52724</v>
      </c>
      <c r="K2759" t="b">
        <f>TrafficData[[#This Row],[disposedChallan]]+TrafficData[[#This Row],[pendingChallan]]=TrafficData[[#This Row],[totalChallan]]</f>
        <v>1</v>
      </c>
      <c r="L2759" t="b">
        <f>TrafficData[[#This Row],[pendingAmount]]+TrafficData[[#This Row],[disposedAmount]]=TrafficData[[#This Row],[totalAmount]]</f>
        <v>1</v>
      </c>
      <c r="M2759" t="b">
        <f>TrafficData[[#This Row],[pendingCourt]]+TrafficData[[#This Row],[disposedCourt]]=TrafficData[[#This Row],[totalCourt]]</f>
        <v>1</v>
      </c>
      <c r="N2759" t="b">
        <f>AND(TrafficData[[#This Row],[disposedChallan]]&lt;=TrafficData[[#This Row],[totalChallan]],TrafficData[[#This Row],[pendingChallan]]&lt;=TrafficData[[#This Row],[totalChallan]])</f>
        <v>1</v>
      </c>
      <c r="O2759" t="b">
        <f>AND(TrafficData[[#This Row],[pendingAmount]]&lt;=TrafficData[[#This Row],[totalAmount]],TrafficData[[#This Row],[disposedAmount]]&lt;=TrafficData[[#This Row],[totalAmount]])</f>
        <v>1</v>
      </c>
      <c r="P2759" t="b">
        <f>AND(TrafficData[[#This Row],[pendingCourt]]&lt;=TrafficData[[#This Row],[totalCourt]],TrafficData[[#This Row],[disposedCourt]]&lt;=TrafficData[[#This Row],[totalCourt]])</f>
        <v>1</v>
      </c>
    </row>
    <row r="2760" spans="1:16">
      <c r="A2760" s="1">
        <v>44764</v>
      </c>
      <c r="B2760">
        <v>127987</v>
      </c>
      <c r="C2760">
        <v>66768</v>
      </c>
      <c r="D2760">
        <v>61219</v>
      </c>
      <c r="E2760">
        <v>105198203</v>
      </c>
      <c r="F2760">
        <v>91560397</v>
      </c>
      <c r="G2760">
        <v>196758600</v>
      </c>
      <c r="H2760">
        <v>37258</v>
      </c>
      <c r="I2760">
        <v>9875</v>
      </c>
      <c r="J2760">
        <v>47133</v>
      </c>
      <c r="K2760" t="b">
        <f>TrafficData[[#This Row],[disposedChallan]]+TrafficData[[#This Row],[pendingChallan]]=TrafficData[[#This Row],[totalChallan]]</f>
        <v>1</v>
      </c>
      <c r="L2760" t="b">
        <f>TrafficData[[#This Row],[pendingAmount]]+TrafficData[[#This Row],[disposedAmount]]=TrafficData[[#This Row],[totalAmount]]</f>
        <v>1</v>
      </c>
      <c r="M2760" t="b">
        <f>TrafficData[[#This Row],[pendingCourt]]+TrafficData[[#This Row],[disposedCourt]]=TrafficData[[#This Row],[totalCourt]]</f>
        <v>1</v>
      </c>
      <c r="N2760" t="b">
        <f>AND(TrafficData[[#This Row],[disposedChallan]]&lt;=TrafficData[[#This Row],[totalChallan]],TrafficData[[#This Row],[pendingChallan]]&lt;=TrafficData[[#This Row],[totalChallan]])</f>
        <v>1</v>
      </c>
      <c r="O2760" t="b">
        <f>AND(TrafficData[[#This Row],[pendingAmount]]&lt;=TrafficData[[#This Row],[totalAmount]],TrafficData[[#This Row],[disposedAmount]]&lt;=TrafficData[[#This Row],[totalAmount]])</f>
        <v>1</v>
      </c>
      <c r="P2760" t="b">
        <f>AND(TrafficData[[#This Row],[pendingCourt]]&lt;=TrafficData[[#This Row],[totalCourt]],TrafficData[[#This Row],[disposedCourt]]&lt;=TrafficData[[#This Row],[totalCourt]])</f>
        <v>1</v>
      </c>
    </row>
    <row r="2761" spans="1:16">
      <c r="A2761" s="1">
        <v>44765</v>
      </c>
      <c r="B2761">
        <v>127217</v>
      </c>
      <c r="C2761">
        <v>64026</v>
      </c>
      <c r="D2761">
        <v>63191</v>
      </c>
      <c r="E2761">
        <v>85164980</v>
      </c>
      <c r="F2761">
        <v>76441677</v>
      </c>
      <c r="G2761">
        <v>161606657</v>
      </c>
      <c r="H2761">
        <v>39185</v>
      </c>
      <c r="I2761">
        <v>10597</v>
      </c>
      <c r="J2761">
        <v>49782</v>
      </c>
      <c r="K2761" t="b">
        <f>TrafficData[[#This Row],[disposedChallan]]+TrafficData[[#This Row],[pendingChallan]]=TrafficData[[#This Row],[totalChallan]]</f>
        <v>1</v>
      </c>
      <c r="L2761" t="b">
        <f>TrafficData[[#This Row],[pendingAmount]]+TrafficData[[#This Row],[disposedAmount]]=TrafficData[[#This Row],[totalAmount]]</f>
        <v>1</v>
      </c>
      <c r="M2761" t="b">
        <f>TrafficData[[#This Row],[pendingCourt]]+TrafficData[[#This Row],[disposedCourt]]=TrafficData[[#This Row],[totalCourt]]</f>
        <v>1</v>
      </c>
      <c r="N2761" t="b">
        <f>AND(TrafficData[[#This Row],[disposedChallan]]&lt;=TrafficData[[#This Row],[totalChallan]],TrafficData[[#This Row],[pendingChallan]]&lt;=TrafficData[[#This Row],[totalChallan]])</f>
        <v>1</v>
      </c>
      <c r="O2761" t="b">
        <f>AND(TrafficData[[#This Row],[pendingAmount]]&lt;=TrafficData[[#This Row],[totalAmount]],TrafficData[[#This Row],[disposedAmount]]&lt;=TrafficData[[#This Row],[totalAmount]])</f>
        <v>1</v>
      </c>
      <c r="P2761" t="b">
        <f>AND(TrafficData[[#This Row],[pendingCourt]]&lt;=TrafficData[[#This Row],[totalCourt]],TrafficData[[#This Row],[disposedCourt]]&lt;=TrafficData[[#This Row],[totalCourt]])</f>
        <v>1</v>
      </c>
    </row>
    <row r="2762" spans="1:16">
      <c r="A2762" s="1">
        <v>44766</v>
      </c>
      <c r="B2762">
        <v>116176</v>
      </c>
      <c r="C2762">
        <v>54889</v>
      </c>
      <c r="D2762">
        <v>61287</v>
      </c>
      <c r="E2762">
        <v>77601268</v>
      </c>
      <c r="F2762">
        <v>59424146</v>
      </c>
      <c r="G2762">
        <v>137025414</v>
      </c>
      <c r="H2762">
        <v>35544</v>
      </c>
      <c r="I2762">
        <v>9452</v>
      </c>
      <c r="J2762">
        <v>44996</v>
      </c>
      <c r="K2762" t="b">
        <f>TrafficData[[#This Row],[disposedChallan]]+TrafficData[[#This Row],[pendingChallan]]=TrafficData[[#This Row],[totalChallan]]</f>
        <v>1</v>
      </c>
      <c r="L2762" t="b">
        <f>TrafficData[[#This Row],[pendingAmount]]+TrafficData[[#This Row],[disposedAmount]]=TrafficData[[#This Row],[totalAmount]]</f>
        <v>1</v>
      </c>
      <c r="M2762" t="b">
        <f>TrafficData[[#This Row],[pendingCourt]]+TrafficData[[#This Row],[disposedCourt]]=TrafficData[[#This Row],[totalCourt]]</f>
        <v>1</v>
      </c>
      <c r="N2762" t="b">
        <f>AND(TrafficData[[#This Row],[disposedChallan]]&lt;=TrafficData[[#This Row],[totalChallan]],TrafficData[[#This Row],[pendingChallan]]&lt;=TrafficData[[#This Row],[totalChallan]])</f>
        <v>1</v>
      </c>
      <c r="O2762" t="b">
        <f>AND(TrafficData[[#This Row],[pendingAmount]]&lt;=TrafficData[[#This Row],[totalAmount]],TrafficData[[#This Row],[disposedAmount]]&lt;=TrafficData[[#This Row],[totalAmount]])</f>
        <v>1</v>
      </c>
      <c r="P2762" t="b">
        <f>AND(TrafficData[[#This Row],[pendingCourt]]&lt;=TrafficData[[#This Row],[totalCourt]],TrafficData[[#This Row],[disposedCourt]]&lt;=TrafficData[[#This Row],[totalCourt]])</f>
        <v>1</v>
      </c>
    </row>
    <row r="2763" spans="1:16">
      <c r="A2763" s="1">
        <v>44767</v>
      </c>
      <c r="B2763">
        <v>116966</v>
      </c>
      <c r="C2763">
        <v>60746</v>
      </c>
      <c r="D2763">
        <v>56220</v>
      </c>
      <c r="E2763">
        <v>87575006</v>
      </c>
      <c r="F2763">
        <v>88954014</v>
      </c>
      <c r="G2763">
        <v>176529020</v>
      </c>
      <c r="H2763">
        <v>34671</v>
      </c>
      <c r="I2763">
        <v>9185</v>
      </c>
      <c r="J2763">
        <v>43856</v>
      </c>
      <c r="K2763" t="b">
        <f>TrafficData[[#This Row],[disposedChallan]]+TrafficData[[#This Row],[pendingChallan]]=TrafficData[[#This Row],[totalChallan]]</f>
        <v>1</v>
      </c>
      <c r="L2763" t="b">
        <f>TrafficData[[#This Row],[pendingAmount]]+TrafficData[[#This Row],[disposedAmount]]=TrafficData[[#This Row],[totalAmount]]</f>
        <v>1</v>
      </c>
      <c r="M2763" t="b">
        <f>TrafficData[[#This Row],[pendingCourt]]+TrafficData[[#This Row],[disposedCourt]]=TrafficData[[#This Row],[totalCourt]]</f>
        <v>1</v>
      </c>
      <c r="N2763" t="b">
        <f>AND(TrafficData[[#This Row],[disposedChallan]]&lt;=TrafficData[[#This Row],[totalChallan]],TrafficData[[#This Row],[pendingChallan]]&lt;=TrafficData[[#This Row],[totalChallan]])</f>
        <v>1</v>
      </c>
      <c r="O2763" t="b">
        <f>AND(TrafficData[[#This Row],[pendingAmount]]&lt;=TrafficData[[#This Row],[totalAmount]],TrafficData[[#This Row],[disposedAmount]]&lt;=TrafficData[[#This Row],[totalAmount]])</f>
        <v>1</v>
      </c>
      <c r="P2763" t="b">
        <f>AND(TrafficData[[#This Row],[pendingCourt]]&lt;=TrafficData[[#This Row],[totalCourt]],TrafficData[[#This Row],[disposedCourt]]&lt;=TrafficData[[#This Row],[totalCourt]])</f>
        <v>1</v>
      </c>
    </row>
    <row r="2764" spans="1:16">
      <c r="A2764" s="1">
        <v>44768</v>
      </c>
      <c r="B2764">
        <v>124591</v>
      </c>
      <c r="C2764">
        <v>63922</v>
      </c>
      <c r="D2764">
        <v>60669</v>
      </c>
      <c r="E2764">
        <v>97894654</v>
      </c>
      <c r="F2764">
        <v>88341574</v>
      </c>
      <c r="G2764">
        <v>186236228</v>
      </c>
      <c r="H2764">
        <v>39477</v>
      </c>
      <c r="I2764">
        <v>10463</v>
      </c>
      <c r="J2764">
        <v>49940</v>
      </c>
      <c r="K2764" t="b">
        <f>TrafficData[[#This Row],[disposedChallan]]+TrafficData[[#This Row],[pendingChallan]]=TrafficData[[#This Row],[totalChallan]]</f>
        <v>1</v>
      </c>
      <c r="L2764" t="b">
        <f>TrafficData[[#This Row],[pendingAmount]]+TrafficData[[#This Row],[disposedAmount]]=TrafficData[[#This Row],[totalAmount]]</f>
        <v>1</v>
      </c>
      <c r="M2764" t="b">
        <f>TrafficData[[#This Row],[pendingCourt]]+TrafficData[[#This Row],[disposedCourt]]=TrafficData[[#This Row],[totalCourt]]</f>
        <v>1</v>
      </c>
      <c r="N2764" t="b">
        <f>AND(TrafficData[[#This Row],[disposedChallan]]&lt;=TrafficData[[#This Row],[totalChallan]],TrafficData[[#This Row],[pendingChallan]]&lt;=TrafficData[[#This Row],[totalChallan]])</f>
        <v>1</v>
      </c>
      <c r="O2764" t="b">
        <f>AND(TrafficData[[#This Row],[pendingAmount]]&lt;=TrafficData[[#This Row],[totalAmount]],TrafficData[[#This Row],[disposedAmount]]&lt;=TrafficData[[#This Row],[totalAmount]])</f>
        <v>1</v>
      </c>
      <c r="P2764" t="b">
        <f>AND(TrafficData[[#This Row],[pendingCourt]]&lt;=TrafficData[[#This Row],[totalCourt]],TrafficData[[#This Row],[disposedCourt]]&lt;=TrafficData[[#This Row],[totalCourt]])</f>
        <v>1</v>
      </c>
    </row>
    <row r="2765" spans="1:16">
      <c r="A2765" s="1">
        <v>44769</v>
      </c>
      <c r="B2765">
        <v>130571</v>
      </c>
      <c r="C2765">
        <v>64938</v>
      </c>
      <c r="D2765">
        <v>65633</v>
      </c>
      <c r="E2765">
        <v>115547485</v>
      </c>
      <c r="F2765">
        <v>97891087</v>
      </c>
      <c r="G2765">
        <v>213438572</v>
      </c>
      <c r="H2765">
        <v>41580</v>
      </c>
      <c r="I2765">
        <v>10884</v>
      </c>
      <c r="J2765">
        <v>52464</v>
      </c>
      <c r="K2765" t="b">
        <f>TrafficData[[#This Row],[disposedChallan]]+TrafficData[[#This Row],[pendingChallan]]=TrafficData[[#This Row],[totalChallan]]</f>
        <v>1</v>
      </c>
      <c r="L2765" t="b">
        <f>TrafficData[[#This Row],[pendingAmount]]+TrafficData[[#This Row],[disposedAmount]]=TrafficData[[#This Row],[totalAmount]]</f>
        <v>1</v>
      </c>
      <c r="M2765" t="b">
        <f>TrafficData[[#This Row],[pendingCourt]]+TrafficData[[#This Row],[disposedCourt]]=TrafficData[[#This Row],[totalCourt]]</f>
        <v>1</v>
      </c>
      <c r="N2765" t="b">
        <f>AND(TrafficData[[#This Row],[disposedChallan]]&lt;=TrafficData[[#This Row],[totalChallan]],TrafficData[[#This Row],[pendingChallan]]&lt;=TrafficData[[#This Row],[totalChallan]])</f>
        <v>1</v>
      </c>
      <c r="O2765" t="b">
        <f>AND(TrafficData[[#This Row],[pendingAmount]]&lt;=TrafficData[[#This Row],[totalAmount]],TrafficData[[#This Row],[disposedAmount]]&lt;=TrafficData[[#This Row],[totalAmount]])</f>
        <v>1</v>
      </c>
      <c r="P2765" t="b">
        <f>AND(TrafficData[[#This Row],[pendingCourt]]&lt;=TrafficData[[#This Row],[totalCourt]],TrafficData[[#This Row],[disposedCourt]]&lt;=TrafficData[[#This Row],[totalCourt]])</f>
        <v>1</v>
      </c>
    </row>
    <row r="2766" spans="1:16">
      <c r="A2766" s="1">
        <v>44770</v>
      </c>
      <c r="B2766">
        <v>126827</v>
      </c>
      <c r="C2766">
        <v>63005</v>
      </c>
      <c r="D2766">
        <v>63822</v>
      </c>
      <c r="E2766">
        <v>110767999</v>
      </c>
      <c r="F2766">
        <v>93471505</v>
      </c>
      <c r="G2766">
        <v>204239504</v>
      </c>
      <c r="H2766">
        <v>41124</v>
      </c>
      <c r="I2766">
        <v>10843</v>
      </c>
      <c r="J2766">
        <v>51967</v>
      </c>
      <c r="K2766" t="b">
        <f>TrafficData[[#This Row],[disposedChallan]]+TrafficData[[#This Row],[pendingChallan]]=TrafficData[[#This Row],[totalChallan]]</f>
        <v>1</v>
      </c>
      <c r="L2766" t="b">
        <f>TrafficData[[#This Row],[pendingAmount]]+TrafficData[[#This Row],[disposedAmount]]=TrafficData[[#This Row],[totalAmount]]</f>
        <v>1</v>
      </c>
      <c r="M2766" t="b">
        <f>TrafficData[[#This Row],[pendingCourt]]+TrafficData[[#This Row],[disposedCourt]]=TrafficData[[#This Row],[totalCourt]]</f>
        <v>1</v>
      </c>
      <c r="N2766" t="b">
        <f>AND(TrafficData[[#This Row],[disposedChallan]]&lt;=TrafficData[[#This Row],[totalChallan]],TrafficData[[#This Row],[pendingChallan]]&lt;=TrafficData[[#This Row],[totalChallan]])</f>
        <v>1</v>
      </c>
      <c r="O2766" t="b">
        <f>AND(TrafficData[[#This Row],[pendingAmount]]&lt;=TrafficData[[#This Row],[totalAmount]],TrafficData[[#This Row],[disposedAmount]]&lt;=TrafficData[[#This Row],[totalAmount]])</f>
        <v>1</v>
      </c>
      <c r="P2766" t="b">
        <f>AND(TrafficData[[#This Row],[pendingCourt]]&lt;=TrafficData[[#This Row],[totalCourt]],TrafficData[[#This Row],[disposedCourt]]&lt;=TrafficData[[#This Row],[totalCourt]])</f>
        <v>1</v>
      </c>
    </row>
    <row r="2767" spans="1:16">
      <c r="A2767" s="1">
        <v>44771</v>
      </c>
      <c r="B2767">
        <v>130118</v>
      </c>
      <c r="C2767">
        <v>65736</v>
      </c>
      <c r="D2767">
        <v>64382</v>
      </c>
      <c r="E2767">
        <v>99085964</v>
      </c>
      <c r="F2767">
        <v>89345510</v>
      </c>
      <c r="G2767">
        <v>188431474</v>
      </c>
      <c r="H2767">
        <v>39065</v>
      </c>
      <c r="I2767">
        <v>10215</v>
      </c>
      <c r="J2767">
        <v>49280</v>
      </c>
      <c r="K2767" t="b">
        <f>TrafficData[[#This Row],[disposedChallan]]+TrafficData[[#This Row],[pendingChallan]]=TrafficData[[#This Row],[totalChallan]]</f>
        <v>1</v>
      </c>
      <c r="L2767" t="b">
        <f>TrafficData[[#This Row],[pendingAmount]]+TrafficData[[#This Row],[disposedAmount]]=TrafficData[[#This Row],[totalAmount]]</f>
        <v>1</v>
      </c>
      <c r="M2767" t="b">
        <f>TrafficData[[#This Row],[pendingCourt]]+TrafficData[[#This Row],[disposedCourt]]=TrafficData[[#This Row],[totalCourt]]</f>
        <v>1</v>
      </c>
      <c r="N2767" t="b">
        <f>AND(TrafficData[[#This Row],[disposedChallan]]&lt;=TrafficData[[#This Row],[totalChallan]],TrafficData[[#This Row],[pendingChallan]]&lt;=TrafficData[[#This Row],[totalChallan]])</f>
        <v>1</v>
      </c>
      <c r="O2767" t="b">
        <f>AND(TrafficData[[#This Row],[pendingAmount]]&lt;=TrafficData[[#This Row],[totalAmount]],TrafficData[[#This Row],[disposedAmount]]&lt;=TrafficData[[#This Row],[totalAmount]])</f>
        <v>1</v>
      </c>
      <c r="P2767" t="b">
        <f>AND(TrafficData[[#This Row],[pendingCourt]]&lt;=TrafficData[[#This Row],[totalCourt]],TrafficData[[#This Row],[disposedCourt]]&lt;=TrafficData[[#This Row],[totalCourt]])</f>
        <v>1</v>
      </c>
    </row>
    <row r="2768" spans="1:16">
      <c r="A2768" s="1">
        <v>44772</v>
      </c>
      <c r="B2768">
        <v>135826</v>
      </c>
      <c r="C2768">
        <v>67896</v>
      </c>
      <c r="D2768">
        <v>67930</v>
      </c>
      <c r="E2768">
        <v>100982500</v>
      </c>
      <c r="F2768">
        <v>79903053</v>
      </c>
      <c r="G2768">
        <v>180885553</v>
      </c>
      <c r="H2768">
        <v>40631</v>
      </c>
      <c r="I2768">
        <v>10988</v>
      </c>
      <c r="J2768">
        <v>51619</v>
      </c>
      <c r="K2768" t="b">
        <f>TrafficData[[#This Row],[disposedChallan]]+TrafficData[[#This Row],[pendingChallan]]=TrafficData[[#This Row],[totalChallan]]</f>
        <v>1</v>
      </c>
      <c r="L2768" t="b">
        <f>TrafficData[[#This Row],[pendingAmount]]+TrafficData[[#This Row],[disposedAmount]]=TrafficData[[#This Row],[totalAmount]]</f>
        <v>1</v>
      </c>
      <c r="M2768" t="b">
        <f>TrafficData[[#This Row],[pendingCourt]]+TrafficData[[#This Row],[disposedCourt]]=TrafficData[[#This Row],[totalCourt]]</f>
        <v>1</v>
      </c>
      <c r="N2768" t="b">
        <f>AND(TrafficData[[#This Row],[disposedChallan]]&lt;=TrafficData[[#This Row],[totalChallan]],TrafficData[[#This Row],[pendingChallan]]&lt;=TrafficData[[#This Row],[totalChallan]])</f>
        <v>1</v>
      </c>
      <c r="O2768" t="b">
        <f>AND(TrafficData[[#This Row],[pendingAmount]]&lt;=TrafficData[[#This Row],[totalAmount]],TrafficData[[#This Row],[disposedAmount]]&lt;=TrafficData[[#This Row],[totalAmount]])</f>
        <v>1</v>
      </c>
      <c r="P2768" t="b">
        <f>AND(TrafficData[[#This Row],[pendingCourt]]&lt;=TrafficData[[#This Row],[totalCourt]],TrafficData[[#This Row],[disposedCourt]]&lt;=TrafficData[[#This Row],[totalCourt]])</f>
        <v>1</v>
      </c>
    </row>
    <row r="2769" spans="1:16">
      <c r="A2769" s="1">
        <v>44773</v>
      </c>
      <c r="B2769">
        <v>108818</v>
      </c>
      <c r="C2769">
        <v>53459</v>
      </c>
      <c r="D2769">
        <v>55359</v>
      </c>
      <c r="E2769">
        <v>81043901</v>
      </c>
      <c r="F2769">
        <v>67439431</v>
      </c>
      <c r="G2769">
        <v>148483332</v>
      </c>
      <c r="H2769">
        <v>32154</v>
      </c>
      <c r="I2769">
        <v>8229</v>
      </c>
      <c r="J2769">
        <v>40383</v>
      </c>
      <c r="K2769" t="b">
        <f>TrafficData[[#This Row],[disposedChallan]]+TrafficData[[#This Row],[pendingChallan]]=TrafficData[[#This Row],[totalChallan]]</f>
        <v>1</v>
      </c>
      <c r="L2769" t="b">
        <f>TrafficData[[#This Row],[pendingAmount]]+TrafficData[[#This Row],[disposedAmount]]=TrafficData[[#This Row],[totalAmount]]</f>
        <v>1</v>
      </c>
      <c r="M2769" t="b">
        <f>TrafficData[[#This Row],[pendingCourt]]+TrafficData[[#This Row],[disposedCourt]]=TrafficData[[#This Row],[totalCourt]]</f>
        <v>1</v>
      </c>
      <c r="N2769" t="b">
        <f>AND(TrafficData[[#This Row],[disposedChallan]]&lt;=TrafficData[[#This Row],[totalChallan]],TrafficData[[#This Row],[pendingChallan]]&lt;=TrafficData[[#This Row],[totalChallan]])</f>
        <v>1</v>
      </c>
      <c r="O2769" t="b">
        <f>AND(TrafficData[[#This Row],[pendingAmount]]&lt;=TrafficData[[#This Row],[totalAmount]],TrafficData[[#This Row],[disposedAmount]]&lt;=TrafficData[[#This Row],[totalAmount]])</f>
        <v>1</v>
      </c>
      <c r="P2769" t="b">
        <f>AND(TrafficData[[#This Row],[pendingCourt]]&lt;=TrafficData[[#This Row],[totalCourt]],TrafficData[[#This Row],[disposedCourt]]&lt;=TrafficData[[#This Row],[totalCourt]])</f>
        <v>1</v>
      </c>
    </row>
    <row r="2770" spans="1:16">
      <c r="A2770" s="1">
        <v>44774</v>
      </c>
      <c r="B2770">
        <v>132501</v>
      </c>
      <c r="C2770">
        <v>69016</v>
      </c>
      <c r="D2770">
        <v>63485</v>
      </c>
      <c r="E2770">
        <v>94598735</v>
      </c>
      <c r="F2770">
        <v>89983977</v>
      </c>
      <c r="G2770">
        <v>184582712</v>
      </c>
      <c r="H2770">
        <v>38149</v>
      </c>
      <c r="I2770">
        <v>10425</v>
      </c>
      <c r="J2770">
        <v>48574</v>
      </c>
      <c r="K2770" t="b">
        <f>TrafficData[[#This Row],[disposedChallan]]+TrafficData[[#This Row],[pendingChallan]]=TrafficData[[#This Row],[totalChallan]]</f>
        <v>1</v>
      </c>
      <c r="L2770" t="b">
        <f>TrafficData[[#This Row],[pendingAmount]]+TrafficData[[#This Row],[disposedAmount]]=TrafficData[[#This Row],[totalAmount]]</f>
        <v>1</v>
      </c>
      <c r="M2770" t="b">
        <f>TrafficData[[#This Row],[pendingCourt]]+TrafficData[[#This Row],[disposedCourt]]=TrafficData[[#This Row],[totalCourt]]</f>
        <v>1</v>
      </c>
      <c r="N2770" t="b">
        <f>AND(TrafficData[[#This Row],[disposedChallan]]&lt;=TrafficData[[#This Row],[totalChallan]],TrafficData[[#This Row],[pendingChallan]]&lt;=TrafficData[[#This Row],[totalChallan]])</f>
        <v>1</v>
      </c>
      <c r="O2770" t="b">
        <f>AND(TrafficData[[#This Row],[pendingAmount]]&lt;=TrafficData[[#This Row],[totalAmount]],TrafficData[[#This Row],[disposedAmount]]&lt;=TrafficData[[#This Row],[totalAmount]])</f>
        <v>1</v>
      </c>
      <c r="P2770" t="b">
        <f>AND(TrafficData[[#This Row],[pendingCourt]]&lt;=TrafficData[[#This Row],[totalCourt]],TrafficData[[#This Row],[disposedCourt]]&lt;=TrafficData[[#This Row],[totalCourt]])</f>
        <v>1</v>
      </c>
    </row>
    <row r="2771" spans="1:16">
      <c r="A2771" s="1">
        <v>44775</v>
      </c>
      <c r="B2771">
        <v>136633</v>
      </c>
      <c r="C2771">
        <v>71616</v>
      </c>
      <c r="D2771">
        <v>65017</v>
      </c>
      <c r="E2771">
        <v>105963736</v>
      </c>
      <c r="F2771">
        <v>110185059</v>
      </c>
      <c r="G2771">
        <v>216148795</v>
      </c>
      <c r="H2771">
        <v>39484</v>
      </c>
      <c r="I2771">
        <v>10692</v>
      </c>
      <c r="J2771">
        <v>50176</v>
      </c>
      <c r="K2771" t="b">
        <f>TrafficData[[#This Row],[disposedChallan]]+TrafficData[[#This Row],[pendingChallan]]=TrafficData[[#This Row],[totalChallan]]</f>
        <v>1</v>
      </c>
      <c r="L2771" t="b">
        <f>TrafficData[[#This Row],[pendingAmount]]+TrafficData[[#This Row],[disposedAmount]]=TrafficData[[#This Row],[totalAmount]]</f>
        <v>1</v>
      </c>
      <c r="M2771" t="b">
        <f>TrafficData[[#This Row],[pendingCourt]]+TrafficData[[#This Row],[disposedCourt]]=TrafficData[[#This Row],[totalCourt]]</f>
        <v>1</v>
      </c>
      <c r="N2771" t="b">
        <f>AND(TrafficData[[#This Row],[disposedChallan]]&lt;=TrafficData[[#This Row],[totalChallan]],TrafficData[[#This Row],[pendingChallan]]&lt;=TrafficData[[#This Row],[totalChallan]])</f>
        <v>1</v>
      </c>
      <c r="O2771" t="b">
        <f>AND(TrafficData[[#This Row],[pendingAmount]]&lt;=TrafficData[[#This Row],[totalAmount]],TrafficData[[#This Row],[disposedAmount]]&lt;=TrafficData[[#This Row],[totalAmount]])</f>
        <v>1</v>
      </c>
      <c r="P2771" t="b">
        <f>AND(TrafficData[[#This Row],[pendingCourt]]&lt;=TrafficData[[#This Row],[totalCourt]],TrafficData[[#This Row],[disposedCourt]]&lt;=TrafficData[[#This Row],[totalCourt]])</f>
        <v>1</v>
      </c>
    </row>
    <row r="2772" spans="1:16">
      <c r="A2772" s="1">
        <v>44776</v>
      </c>
      <c r="B2772">
        <v>135785</v>
      </c>
      <c r="C2772">
        <v>70966</v>
      </c>
      <c r="D2772">
        <v>64819</v>
      </c>
      <c r="E2772">
        <v>110127160</v>
      </c>
      <c r="F2772">
        <v>117364489</v>
      </c>
      <c r="G2772">
        <v>227491649</v>
      </c>
      <c r="H2772">
        <v>41321</v>
      </c>
      <c r="I2772">
        <v>11361</v>
      </c>
      <c r="J2772">
        <v>52682</v>
      </c>
      <c r="K2772" t="b">
        <f>TrafficData[[#This Row],[disposedChallan]]+TrafficData[[#This Row],[pendingChallan]]=TrafficData[[#This Row],[totalChallan]]</f>
        <v>1</v>
      </c>
      <c r="L2772" t="b">
        <f>TrafficData[[#This Row],[pendingAmount]]+TrafficData[[#This Row],[disposedAmount]]=TrafficData[[#This Row],[totalAmount]]</f>
        <v>1</v>
      </c>
      <c r="M2772" t="b">
        <f>TrafficData[[#This Row],[pendingCourt]]+TrafficData[[#This Row],[disposedCourt]]=TrafficData[[#This Row],[totalCourt]]</f>
        <v>1</v>
      </c>
      <c r="N2772" t="b">
        <f>AND(TrafficData[[#This Row],[disposedChallan]]&lt;=TrafficData[[#This Row],[totalChallan]],TrafficData[[#This Row],[pendingChallan]]&lt;=TrafficData[[#This Row],[totalChallan]])</f>
        <v>1</v>
      </c>
      <c r="O2772" t="b">
        <f>AND(TrafficData[[#This Row],[pendingAmount]]&lt;=TrafficData[[#This Row],[totalAmount]],TrafficData[[#This Row],[disposedAmount]]&lt;=TrafficData[[#This Row],[totalAmount]])</f>
        <v>1</v>
      </c>
      <c r="P2772" t="b">
        <f>AND(TrafficData[[#This Row],[pendingCourt]]&lt;=TrafficData[[#This Row],[totalCourt]],TrafficData[[#This Row],[disposedCourt]]&lt;=TrafficData[[#This Row],[totalCourt]])</f>
        <v>1</v>
      </c>
    </row>
    <row r="2773" spans="1:16">
      <c r="A2773" s="1">
        <v>44777</v>
      </c>
      <c r="B2773">
        <v>137251</v>
      </c>
      <c r="C2773">
        <v>70079</v>
      </c>
      <c r="D2773">
        <v>67172</v>
      </c>
      <c r="E2773">
        <v>111146192</v>
      </c>
      <c r="F2773">
        <v>112688134</v>
      </c>
      <c r="G2773">
        <v>223834326</v>
      </c>
      <c r="H2773">
        <v>42920</v>
      </c>
      <c r="I2773">
        <v>12048</v>
      </c>
      <c r="J2773">
        <v>54968</v>
      </c>
      <c r="K2773" t="b">
        <f>TrafficData[[#This Row],[disposedChallan]]+TrafficData[[#This Row],[pendingChallan]]=TrafficData[[#This Row],[totalChallan]]</f>
        <v>1</v>
      </c>
      <c r="L2773" t="b">
        <f>TrafficData[[#This Row],[pendingAmount]]+TrafficData[[#This Row],[disposedAmount]]=TrafficData[[#This Row],[totalAmount]]</f>
        <v>1</v>
      </c>
      <c r="M2773" t="b">
        <f>TrafficData[[#This Row],[pendingCourt]]+TrafficData[[#This Row],[disposedCourt]]=TrafficData[[#This Row],[totalCourt]]</f>
        <v>1</v>
      </c>
      <c r="N2773" t="b">
        <f>AND(TrafficData[[#This Row],[disposedChallan]]&lt;=TrafficData[[#This Row],[totalChallan]],TrafficData[[#This Row],[pendingChallan]]&lt;=TrafficData[[#This Row],[totalChallan]])</f>
        <v>1</v>
      </c>
      <c r="O2773" t="b">
        <f>AND(TrafficData[[#This Row],[pendingAmount]]&lt;=TrafficData[[#This Row],[totalAmount]],TrafficData[[#This Row],[disposedAmount]]&lt;=TrafficData[[#This Row],[totalAmount]])</f>
        <v>1</v>
      </c>
      <c r="P2773" t="b">
        <f>AND(TrafficData[[#This Row],[pendingCourt]]&lt;=TrafficData[[#This Row],[totalCourt]],TrafficData[[#This Row],[disposedCourt]]&lt;=TrafficData[[#This Row],[totalCourt]])</f>
        <v>1</v>
      </c>
    </row>
    <row r="2774" spans="1:16">
      <c r="A2774" s="1">
        <v>44778</v>
      </c>
      <c r="B2774">
        <v>138204</v>
      </c>
      <c r="C2774">
        <v>70755</v>
      </c>
      <c r="D2774">
        <v>67449</v>
      </c>
      <c r="E2774">
        <v>107786409</v>
      </c>
      <c r="F2774">
        <v>104711859</v>
      </c>
      <c r="G2774">
        <v>212498268</v>
      </c>
      <c r="H2774">
        <v>41877</v>
      </c>
      <c r="I2774">
        <v>11407</v>
      </c>
      <c r="J2774">
        <v>53284</v>
      </c>
      <c r="K2774" t="b">
        <f>TrafficData[[#This Row],[disposedChallan]]+TrafficData[[#This Row],[pendingChallan]]=TrafficData[[#This Row],[totalChallan]]</f>
        <v>1</v>
      </c>
      <c r="L2774" t="b">
        <f>TrafficData[[#This Row],[pendingAmount]]+TrafficData[[#This Row],[disposedAmount]]=TrafficData[[#This Row],[totalAmount]]</f>
        <v>1</v>
      </c>
      <c r="M2774" t="b">
        <f>TrafficData[[#This Row],[pendingCourt]]+TrafficData[[#This Row],[disposedCourt]]=TrafficData[[#This Row],[totalCourt]]</f>
        <v>1</v>
      </c>
      <c r="N2774" t="b">
        <f>AND(TrafficData[[#This Row],[disposedChallan]]&lt;=TrafficData[[#This Row],[totalChallan]],TrafficData[[#This Row],[pendingChallan]]&lt;=TrafficData[[#This Row],[totalChallan]])</f>
        <v>1</v>
      </c>
      <c r="O2774" t="b">
        <f>AND(TrafficData[[#This Row],[pendingAmount]]&lt;=TrafficData[[#This Row],[totalAmount]],TrafficData[[#This Row],[disposedAmount]]&lt;=TrafficData[[#This Row],[totalAmount]])</f>
        <v>1</v>
      </c>
      <c r="P2774" t="b">
        <f>AND(TrafficData[[#This Row],[pendingCourt]]&lt;=TrafficData[[#This Row],[totalCourt]],TrafficData[[#This Row],[disposedCourt]]&lt;=TrafficData[[#This Row],[totalCourt]])</f>
        <v>1</v>
      </c>
    </row>
    <row r="2775" spans="1:16">
      <c r="A2775" s="1">
        <v>44779</v>
      </c>
      <c r="B2775">
        <v>139199</v>
      </c>
      <c r="C2775">
        <v>73398</v>
      </c>
      <c r="D2775">
        <v>65801</v>
      </c>
      <c r="E2775">
        <v>106533998</v>
      </c>
      <c r="F2775">
        <v>102231742</v>
      </c>
      <c r="G2775">
        <v>208765740</v>
      </c>
      <c r="H2775">
        <v>38790</v>
      </c>
      <c r="I2775">
        <v>11250</v>
      </c>
      <c r="J2775">
        <v>50040</v>
      </c>
      <c r="K2775" t="b">
        <f>TrafficData[[#This Row],[disposedChallan]]+TrafficData[[#This Row],[pendingChallan]]=TrafficData[[#This Row],[totalChallan]]</f>
        <v>1</v>
      </c>
      <c r="L2775" t="b">
        <f>TrafficData[[#This Row],[pendingAmount]]+TrafficData[[#This Row],[disposedAmount]]=TrafficData[[#This Row],[totalAmount]]</f>
        <v>1</v>
      </c>
      <c r="M2775" t="b">
        <f>TrafficData[[#This Row],[pendingCourt]]+TrafficData[[#This Row],[disposedCourt]]=TrafficData[[#This Row],[totalCourt]]</f>
        <v>1</v>
      </c>
      <c r="N2775" t="b">
        <f>AND(TrafficData[[#This Row],[disposedChallan]]&lt;=TrafficData[[#This Row],[totalChallan]],TrafficData[[#This Row],[pendingChallan]]&lt;=TrafficData[[#This Row],[totalChallan]])</f>
        <v>1</v>
      </c>
      <c r="O2775" t="b">
        <f>AND(TrafficData[[#This Row],[pendingAmount]]&lt;=TrafficData[[#This Row],[totalAmount]],TrafficData[[#This Row],[disposedAmount]]&lt;=TrafficData[[#This Row],[totalAmount]])</f>
        <v>1</v>
      </c>
      <c r="P2775" t="b">
        <f>AND(TrafficData[[#This Row],[pendingCourt]]&lt;=TrafficData[[#This Row],[totalCourt]],TrafficData[[#This Row],[disposedCourt]]&lt;=TrafficData[[#This Row],[totalCourt]])</f>
        <v>1</v>
      </c>
    </row>
    <row r="2776" spans="1:16">
      <c r="A2776" s="1">
        <v>44780</v>
      </c>
      <c r="B2776">
        <v>119088</v>
      </c>
      <c r="C2776">
        <v>60552</v>
      </c>
      <c r="D2776">
        <v>58536</v>
      </c>
      <c r="E2776">
        <v>87425263</v>
      </c>
      <c r="F2776">
        <v>71551057</v>
      </c>
      <c r="G2776">
        <v>158976320</v>
      </c>
      <c r="H2776">
        <v>30133</v>
      </c>
      <c r="I2776">
        <v>8368</v>
      </c>
      <c r="J2776">
        <v>38501</v>
      </c>
      <c r="K2776" t="b">
        <f>TrafficData[[#This Row],[disposedChallan]]+TrafficData[[#This Row],[pendingChallan]]=TrafficData[[#This Row],[totalChallan]]</f>
        <v>1</v>
      </c>
      <c r="L2776" t="b">
        <f>TrafficData[[#This Row],[pendingAmount]]+TrafficData[[#This Row],[disposedAmount]]=TrafficData[[#This Row],[totalAmount]]</f>
        <v>1</v>
      </c>
      <c r="M2776" t="b">
        <f>TrafficData[[#This Row],[pendingCourt]]+TrafficData[[#This Row],[disposedCourt]]=TrafficData[[#This Row],[totalCourt]]</f>
        <v>1</v>
      </c>
      <c r="N2776" t="b">
        <f>AND(TrafficData[[#This Row],[disposedChallan]]&lt;=TrafficData[[#This Row],[totalChallan]],TrafficData[[#This Row],[pendingChallan]]&lt;=TrafficData[[#This Row],[totalChallan]])</f>
        <v>1</v>
      </c>
      <c r="O2776" t="b">
        <f>AND(TrafficData[[#This Row],[pendingAmount]]&lt;=TrafficData[[#This Row],[totalAmount]],TrafficData[[#This Row],[disposedAmount]]&lt;=TrafficData[[#This Row],[totalAmount]])</f>
        <v>1</v>
      </c>
      <c r="P2776" t="b">
        <f>AND(TrafficData[[#This Row],[pendingCourt]]&lt;=TrafficData[[#This Row],[totalCourt]],TrafficData[[#This Row],[disposedCourt]]&lt;=TrafficData[[#This Row],[totalCourt]])</f>
        <v>1</v>
      </c>
    </row>
    <row r="2777" spans="1:16">
      <c r="A2777" s="1">
        <v>44781</v>
      </c>
      <c r="B2777">
        <v>132296</v>
      </c>
      <c r="C2777">
        <v>67550</v>
      </c>
      <c r="D2777">
        <v>64746</v>
      </c>
      <c r="E2777">
        <v>95251528</v>
      </c>
      <c r="F2777">
        <v>89234758</v>
      </c>
      <c r="G2777">
        <v>184486286</v>
      </c>
      <c r="H2777">
        <v>35271</v>
      </c>
      <c r="I2777">
        <v>10082</v>
      </c>
      <c r="J2777">
        <v>45353</v>
      </c>
      <c r="K2777" t="b">
        <f>TrafficData[[#This Row],[disposedChallan]]+TrafficData[[#This Row],[pendingChallan]]=TrafficData[[#This Row],[totalChallan]]</f>
        <v>1</v>
      </c>
      <c r="L2777" t="b">
        <f>TrafficData[[#This Row],[pendingAmount]]+TrafficData[[#This Row],[disposedAmount]]=TrafficData[[#This Row],[totalAmount]]</f>
        <v>1</v>
      </c>
      <c r="M2777" t="b">
        <f>TrafficData[[#This Row],[pendingCourt]]+TrafficData[[#This Row],[disposedCourt]]=TrafficData[[#This Row],[totalCourt]]</f>
        <v>1</v>
      </c>
      <c r="N2777" t="b">
        <f>AND(TrafficData[[#This Row],[disposedChallan]]&lt;=TrafficData[[#This Row],[totalChallan]],TrafficData[[#This Row],[pendingChallan]]&lt;=TrafficData[[#This Row],[totalChallan]])</f>
        <v>1</v>
      </c>
      <c r="O2777" t="b">
        <f>AND(TrafficData[[#This Row],[pendingAmount]]&lt;=TrafficData[[#This Row],[totalAmount]],TrafficData[[#This Row],[disposedAmount]]&lt;=TrafficData[[#This Row],[totalAmount]])</f>
        <v>1</v>
      </c>
      <c r="P2777" t="b">
        <f>AND(TrafficData[[#This Row],[pendingCourt]]&lt;=TrafficData[[#This Row],[totalCourt]],TrafficData[[#This Row],[disposedCourt]]&lt;=TrafficData[[#This Row],[totalCourt]])</f>
        <v>1</v>
      </c>
    </row>
    <row r="2778" spans="1:16">
      <c r="A2778" s="1">
        <v>44782</v>
      </c>
      <c r="B2778">
        <v>118315</v>
      </c>
      <c r="C2778">
        <v>60884</v>
      </c>
      <c r="D2778">
        <v>57431</v>
      </c>
      <c r="E2778">
        <v>86592095</v>
      </c>
      <c r="F2778">
        <v>80546878</v>
      </c>
      <c r="G2778">
        <v>167138973</v>
      </c>
      <c r="H2778">
        <v>32248</v>
      </c>
      <c r="I2778">
        <v>8861</v>
      </c>
      <c r="J2778">
        <v>41109</v>
      </c>
      <c r="K2778" t="b">
        <f>TrafficData[[#This Row],[disposedChallan]]+TrafficData[[#This Row],[pendingChallan]]=TrafficData[[#This Row],[totalChallan]]</f>
        <v>1</v>
      </c>
      <c r="L2778" t="b">
        <f>TrafficData[[#This Row],[pendingAmount]]+TrafficData[[#This Row],[disposedAmount]]=TrafficData[[#This Row],[totalAmount]]</f>
        <v>1</v>
      </c>
      <c r="M2778" t="b">
        <f>TrafficData[[#This Row],[pendingCourt]]+TrafficData[[#This Row],[disposedCourt]]=TrafficData[[#This Row],[totalCourt]]</f>
        <v>1</v>
      </c>
      <c r="N2778" t="b">
        <f>AND(TrafficData[[#This Row],[disposedChallan]]&lt;=TrafficData[[#This Row],[totalChallan]],TrafficData[[#This Row],[pendingChallan]]&lt;=TrafficData[[#This Row],[totalChallan]])</f>
        <v>1</v>
      </c>
      <c r="O2778" t="b">
        <f>AND(TrafficData[[#This Row],[pendingAmount]]&lt;=TrafficData[[#This Row],[totalAmount]],TrafficData[[#This Row],[disposedAmount]]&lt;=TrafficData[[#This Row],[totalAmount]])</f>
        <v>1</v>
      </c>
      <c r="P2778" t="b">
        <f>AND(TrafficData[[#This Row],[pendingCourt]]&lt;=TrafficData[[#This Row],[totalCourt]],TrafficData[[#This Row],[disposedCourt]]&lt;=TrafficData[[#This Row],[totalCourt]])</f>
        <v>1</v>
      </c>
    </row>
    <row r="2779" spans="1:16">
      <c r="A2779" s="1">
        <v>44783</v>
      </c>
      <c r="B2779">
        <v>115838</v>
      </c>
      <c r="C2779">
        <v>61256</v>
      </c>
      <c r="D2779">
        <v>54582</v>
      </c>
      <c r="E2779">
        <v>83150442</v>
      </c>
      <c r="F2779">
        <v>85844871</v>
      </c>
      <c r="G2779">
        <v>168995313</v>
      </c>
      <c r="H2779">
        <v>34418</v>
      </c>
      <c r="I2779">
        <v>9743</v>
      </c>
      <c r="J2779">
        <v>44161</v>
      </c>
      <c r="K2779" t="b">
        <f>TrafficData[[#This Row],[disposedChallan]]+TrafficData[[#This Row],[pendingChallan]]=TrafficData[[#This Row],[totalChallan]]</f>
        <v>1</v>
      </c>
      <c r="L2779" t="b">
        <f>TrafficData[[#This Row],[pendingAmount]]+TrafficData[[#This Row],[disposedAmount]]=TrafficData[[#This Row],[totalAmount]]</f>
        <v>1</v>
      </c>
      <c r="M2779" t="b">
        <f>TrafficData[[#This Row],[pendingCourt]]+TrafficData[[#This Row],[disposedCourt]]=TrafficData[[#This Row],[totalCourt]]</f>
        <v>1</v>
      </c>
      <c r="N2779" t="b">
        <f>AND(TrafficData[[#This Row],[disposedChallan]]&lt;=TrafficData[[#This Row],[totalChallan]],TrafficData[[#This Row],[pendingChallan]]&lt;=TrafficData[[#This Row],[totalChallan]])</f>
        <v>1</v>
      </c>
      <c r="O2779" t="b">
        <f>AND(TrafficData[[#This Row],[pendingAmount]]&lt;=TrafficData[[#This Row],[totalAmount]],TrafficData[[#This Row],[disposedAmount]]&lt;=TrafficData[[#This Row],[totalAmount]])</f>
        <v>1</v>
      </c>
      <c r="P2779" t="b">
        <f>AND(TrafficData[[#This Row],[pendingCourt]]&lt;=TrafficData[[#This Row],[totalCourt]],TrafficData[[#This Row],[disposedCourt]]&lt;=TrafficData[[#This Row],[totalCourt]])</f>
        <v>1</v>
      </c>
    </row>
    <row r="2780" spans="1:16">
      <c r="A2780" s="1">
        <v>44784</v>
      </c>
      <c r="B2780">
        <v>114576</v>
      </c>
      <c r="C2780">
        <v>57963</v>
      </c>
      <c r="D2780">
        <v>56613</v>
      </c>
      <c r="E2780">
        <v>77645253</v>
      </c>
      <c r="F2780">
        <v>67075126</v>
      </c>
      <c r="G2780">
        <v>144720379</v>
      </c>
      <c r="H2780">
        <v>34064</v>
      </c>
      <c r="I2780">
        <v>9436</v>
      </c>
      <c r="J2780">
        <v>43500</v>
      </c>
      <c r="K2780" t="b">
        <f>TrafficData[[#This Row],[disposedChallan]]+TrafficData[[#This Row],[pendingChallan]]=TrafficData[[#This Row],[totalChallan]]</f>
        <v>1</v>
      </c>
      <c r="L2780" t="b">
        <f>TrafficData[[#This Row],[pendingAmount]]+TrafficData[[#This Row],[disposedAmount]]=TrafficData[[#This Row],[totalAmount]]</f>
        <v>1</v>
      </c>
      <c r="M2780" t="b">
        <f>TrafficData[[#This Row],[pendingCourt]]+TrafficData[[#This Row],[disposedCourt]]=TrafficData[[#This Row],[totalCourt]]</f>
        <v>1</v>
      </c>
      <c r="N2780" t="b">
        <f>AND(TrafficData[[#This Row],[disposedChallan]]&lt;=TrafficData[[#This Row],[totalChallan]],TrafficData[[#This Row],[pendingChallan]]&lt;=TrafficData[[#This Row],[totalChallan]])</f>
        <v>1</v>
      </c>
      <c r="O2780" t="b">
        <f>AND(TrafficData[[#This Row],[pendingAmount]]&lt;=TrafficData[[#This Row],[totalAmount]],TrafficData[[#This Row],[disposedAmount]]&lt;=TrafficData[[#This Row],[totalAmount]])</f>
        <v>1</v>
      </c>
      <c r="P2780" t="b">
        <f>AND(TrafficData[[#This Row],[pendingCourt]]&lt;=TrafficData[[#This Row],[totalCourt]],TrafficData[[#This Row],[disposedCourt]]&lt;=TrafficData[[#This Row],[totalCourt]])</f>
        <v>1</v>
      </c>
    </row>
    <row r="2781" spans="1:16">
      <c r="A2781" s="1">
        <v>44785</v>
      </c>
      <c r="B2781">
        <v>115902</v>
      </c>
      <c r="C2781">
        <v>62874</v>
      </c>
      <c r="D2781">
        <v>53028</v>
      </c>
      <c r="E2781">
        <v>88135906</v>
      </c>
      <c r="F2781">
        <v>75072208</v>
      </c>
      <c r="G2781">
        <v>163208114</v>
      </c>
      <c r="H2781">
        <v>31764</v>
      </c>
      <c r="I2781">
        <v>9024</v>
      </c>
      <c r="J2781">
        <v>40788</v>
      </c>
      <c r="K2781" t="b">
        <f>TrafficData[[#This Row],[disposedChallan]]+TrafficData[[#This Row],[pendingChallan]]=TrafficData[[#This Row],[totalChallan]]</f>
        <v>1</v>
      </c>
      <c r="L2781" t="b">
        <f>TrafficData[[#This Row],[pendingAmount]]+TrafficData[[#This Row],[disposedAmount]]=TrafficData[[#This Row],[totalAmount]]</f>
        <v>1</v>
      </c>
      <c r="M2781" t="b">
        <f>TrafficData[[#This Row],[pendingCourt]]+TrafficData[[#This Row],[disposedCourt]]=TrafficData[[#This Row],[totalCourt]]</f>
        <v>1</v>
      </c>
      <c r="N2781" t="b">
        <f>AND(TrafficData[[#This Row],[disposedChallan]]&lt;=TrafficData[[#This Row],[totalChallan]],TrafficData[[#This Row],[pendingChallan]]&lt;=TrafficData[[#This Row],[totalChallan]])</f>
        <v>1</v>
      </c>
      <c r="O2781" t="b">
        <f>AND(TrafficData[[#This Row],[pendingAmount]]&lt;=TrafficData[[#This Row],[totalAmount]],TrafficData[[#This Row],[disposedAmount]]&lt;=TrafficData[[#This Row],[totalAmount]])</f>
        <v>1</v>
      </c>
      <c r="P2781" t="b">
        <f>AND(TrafficData[[#This Row],[pendingCourt]]&lt;=TrafficData[[#This Row],[totalCourt]],TrafficData[[#This Row],[disposedCourt]]&lt;=TrafficData[[#This Row],[totalCourt]])</f>
        <v>1</v>
      </c>
    </row>
    <row r="2782" spans="1:16">
      <c r="A2782" s="1">
        <v>44786</v>
      </c>
      <c r="B2782">
        <v>119142</v>
      </c>
      <c r="C2782">
        <v>62684</v>
      </c>
      <c r="D2782">
        <v>56458</v>
      </c>
      <c r="E2782">
        <v>79511390</v>
      </c>
      <c r="F2782">
        <v>76006424</v>
      </c>
      <c r="G2782">
        <v>155517814</v>
      </c>
      <c r="H2782">
        <v>31482</v>
      </c>
      <c r="I2782">
        <v>8698</v>
      </c>
      <c r="J2782">
        <v>40180</v>
      </c>
      <c r="K2782" t="b">
        <f>TrafficData[[#This Row],[disposedChallan]]+TrafficData[[#This Row],[pendingChallan]]=TrafficData[[#This Row],[totalChallan]]</f>
        <v>1</v>
      </c>
      <c r="L2782" t="b">
        <f>TrafficData[[#This Row],[pendingAmount]]+TrafficData[[#This Row],[disposedAmount]]=TrafficData[[#This Row],[totalAmount]]</f>
        <v>1</v>
      </c>
      <c r="M2782" t="b">
        <f>TrafficData[[#This Row],[pendingCourt]]+TrafficData[[#This Row],[disposedCourt]]=TrafficData[[#This Row],[totalCourt]]</f>
        <v>1</v>
      </c>
      <c r="N2782" t="b">
        <f>AND(TrafficData[[#This Row],[disposedChallan]]&lt;=TrafficData[[#This Row],[totalChallan]],TrafficData[[#This Row],[pendingChallan]]&lt;=TrafficData[[#This Row],[totalChallan]])</f>
        <v>1</v>
      </c>
      <c r="O2782" t="b">
        <f>AND(TrafficData[[#This Row],[pendingAmount]]&lt;=TrafficData[[#This Row],[totalAmount]],TrafficData[[#This Row],[disposedAmount]]&lt;=TrafficData[[#This Row],[totalAmount]])</f>
        <v>1</v>
      </c>
      <c r="P2782" t="b">
        <f>AND(TrafficData[[#This Row],[pendingCourt]]&lt;=TrafficData[[#This Row],[totalCourt]],TrafficData[[#This Row],[disposedCourt]]&lt;=TrafficData[[#This Row],[totalCourt]])</f>
        <v>1</v>
      </c>
    </row>
    <row r="2783" spans="1:16">
      <c r="A2783" s="1">
        <v>44787</v>
      </c>
      <c r="B2783">
        <v>110586</v>
      </c>
      <c r="C2783">
        <v>54088</v>
      </c>
      <c r="D2783">
        <v>56498</v>
      </c>
      <c r="E2783">
        <v>76717316</v>
      </c>
      <c r="F2783">
        <v>61718885</v>
      </c>
      <c r="G2783">
        <v>138436201</v>
      </c>
      <c r="H2783">
        <v>29739</v>
      </c>
      <c r="I2783">
        <v>8289</v>
      </c>
      <c r="J2783">
        <v>38028</v>
      </c>
      <c r="K2783" t="b">
        <f>TrafficData[[#This Row],[disposedChallan]]+TrafficData[[#This Row],[pendingChallan]]=TrafficData[[#This Row],[totalChallan]]</f>
        <v>1</v>
      </c>
      <c r="L2783" t="b">
        <f>TrafficData[[#This Row],[pendingAmount]]+TrafficData[[#This Row],[disposedAmount]]=TrafficData[[#This Row],[totalAmount]]</f>
        <v>1</v>
      </c>
      <c r="M2783" t="b">
        <f>TrafficData[[#This Row],[pendingCourt]]+TrafficData[[#This Row],[disposedCourt]]=TrafficData[[#This Row],[totalCourt]]</f>
        <v>1</v>
      </c>
      <c r="N2783" t="b">
        <f>AND(TrafficData[[#This Row],[disposedChallan]]&lt;=TrafficData[[#This Row],[totalChallan]],TrafficData[[#This Row],[pendingChallan]]&lt;=TrafficData[[#This Row],[totalChallan]])</f>
        <v>1</v>
      </c>
      <c r="O2783" t="b">
        <f>AND(TrafficData[[#This Row],[pendingAmount]]&lt;=TrafficData[[#This Row],[totalAmount]],TrafficData[[#This Row],[disposedAmount]]&lt;=TrafficData[[#This Row],[totalAmount]])</f>
        <v>1</v>
      </c>
      <c r="P2783" t="b">
        <f>AND(TrafficData[[#This Row],[pendingCourt]]&lt;=TrafficData[[#This Row],[totalCourt]],TrafficData[[#This Row],[disposedCourt]]&lt;=TrafficData[[#This Row],[totalCourt]])</f>
        <v>1</v>
      </c>
    </row>
    <row r="2784" spans="1:16">
      <c r="A2784" s="1">
        <v>44788</v>
      </c>
      <c r="B2784">
        <v>79523</v>
      </c>
      <c r="C2784">
        <v>35541</v>
      </c>
      <c r="D2784">
        <v>43982</v>
      </c>
      <c r="E2784">
        <v>50886300</v>
      </c>
      <c r="F2784">
        <v>36080379</v>
      </c>
      <c r="G2784">
        <v>86966679</v>
      </c>
      <c r="H2784">
        <v>16602</v>
      </c>
      <c r="I2784">
        <v>4651</v>
      </c>
      <c r="J2784">
        <v>21253</v>
      </c>
      <c r="K2784" t="b">
        <f>TrafficData[[#This Row],[disposedChallan]]+TrafficData[[#This Row],[pendingChallan]]=TrafficData[[#This Row],[totalChallan]]</f>
        <v>1</v>
      </c>
      <c r="L2784" t="b">
        <f>TrafficData[[#This Row],[pendingAmount]]+TrafficData[[#This Row],[disposedAmount]]=TrafficData[[#This Row],[totalAmount]]</f>
        <v>1</v>
      </c>
      <c r="M2784" t="b">
        <f>TrafficData[[#This Row],[pendingCourt]]+TrafficData[[#This Row],[disposedCourt]]=TrafficData[[#This Row],[totalCourt]]</f>
        <v>1</v>
      </c>
      <c r="N2784" t="b">
        <f>AND(TrafficData[[#This Row],[disposedChallan]]&lt;=TrafficData[[#This Row],[totalChallan]],TrafficData[[#This Row],[pendingChallan]]&lt;=TrafficData[[#This Row],[totalChallan]])</f>
        <v>1</v>
      </c>
      <c r="O2784" t="b">
        <f>AND(TrafficData[[#This Row],[pendingAmount]]&lt;=TrafficData[[#This Row],[totalAmount]],TrafficData[[#This Row],[disposedAmount]]&lt;=TrafficData[[#This Row],[totalAmount]])</f>
        <v>1</v>
      </c>
      <c r="P2784" t="b">
        <f>AND(TrafficData[[#This Row],[pendingCourt]]&lt;=TrafficData[[#This Row],[totalCourt]],TrafficData[[#This Row],[disposedCourt]]&lt;=TrafficData[[#This Row],[totalCourt]])</f>
        <v>1</v>
      </c>
    </row>
    <row r="2785" spans="1:16">
      <c r="A2785" s="1">
        <v>44789</v>
      </c>
      <c r="B2785">
        <v>142061</v>
      </c>
      <c r="C2785">
        <v>69341</v>
      </c>
      <c r="D2785">
        <v>72720</v>
      </c>
      <c r="E2785">
        <v>115895568</v>
      </c>
      <c r="F2785">
        <v>90988977</v>
      </c>
      <c r="G2785">
        <v>206884545</v>
      </c>
      <c r="H2785">
        <v>39614</v>
      </c>
      <c r="I2785">
        <v>10840</v>
      </c>
      <c r="J2785">
        <v>50454</v>
      </c>
      <c r="K2785" t="b">
        <f>TrafficData[[#This Row],[disposedChallan]]+TrafficData[[#This Row],[pendingChallan]]=TrafficData[[#This Row],[totalChallan]]</f>
        <v>1</v>
      </c>
      <c r="L2785" t="b">
        <f>TrafficData[[#This Row],[pendingAmount]]+TrafficData[[#This Row],[disposedAmount]]=TrafficData[[#This Row],[totalAmount]]</f>
        <v>1</v>
      </c>
      <c r="M2785" t="b">
        <f>TrafficData[[#This Row],[pendingCourt]]+TrafficData[[#This Row],[disposedCourt]]=TrafficData[[#This Row],[totalCourt]]</f>
        <v>1</v>
      </c>
      <c r="N2785" t="b">
        <f>AND(TrafficData[[#This Row],[disposedChallan]]&lt;=TrafficData[[#This Row],[totalChallan]],TrafficData[[#This Row],[pendingChallan]]&lt;=TrafficData[[#This Row],[totalChallan]])</f>
        <v>1</v>
      </c>
      <c r="O2785" t="b">
        <f>AND(TrafficData[[#This Row],[pendingAmount]]&lt;=TrafficData[[#This Row],[totalAmount]],TrafficData[[#This Row],[disposedAmount]]&lt;=TrafficData[[#This Row],[totalAmount]])</f>
        <v>1</v>
      </c>
      <c r="P2785" t="b">
        <f>AND(TrafficData[[#This Row],[pendingCourt]]&lt;=TrafficData[[#This Row],[totalCourt]],TrafficData[[#This Row],[disposedCourt]]&lt;=TrafficData[[#This Row],[totalCourt]])</f>
        <v>1</v>
      </c>
    </row>
    <row r="2786" spans="1:16">
      <c r="A2786" s="1">
        <v>44790</v>
      </c>
      <c r="B2786">
        <v>144533</v>
      </c>
      <c r="C2786">
        <v>72970</v>
      </c>
      <c r="D2786">
        <v>71563</v>
      </c>
      <c r="E2786">
        <v>114627518</v>
      </c>
      <c r="F2786">
        <v>106238543</v>
      </c>
      <c r="G2786">
        <v>220866061</v>
      </c>
      <c r="H2786">
        <v>38377</v>
      </c>
      <c r="I2786">
        <v>10743</v>
      </c>
      <c r="J2786">
        <v>49120</v>
      </c>
      <c r="K2786" t="b">
        <f>TrafficData[[#This Row],[disposedChallan]]+TrafficData[[#This Row],[pendingChallan]]=TrafficData[[#This Row],[totalChallan]]</f>
        <v>1</v>
      </c>
      <c r="L2786" t="b">
        <f>TrafficData[[#This Row],[pendingAmount]]+TrafficData[[#This Row],[disposedAmount]]=TrafficData[[#This Row],[totalAmount]]</f>
        <v>1</v>
      </c>
      <c r="M2786" t="b">
        <f>TrafficData[[#This Row],[pendingCourt]]+TrafficData[[#This Row],[disposedCourt]]=TrafficData[[#This Row],[totalCourt]]</f>
        <v>1</v>
      </c>
      <c r="N2786" t="b">
        <f>AND(TrafficData[[#This Row],[disposedChallan]]&lt;=TrafficData[[#This Row],[totalChallan]],TrafficData[[#This Row],[pendingChallan]]&lt;=TrafficData[[#This Row],[totalChallan]])</f>
        <v>1</v>
      </c>
      <c r="O2786" t="b">
        <f>AND(TrafficData[[#This Row],[pendingAmount]]&lt;=TrafficData[[#This Row],[totalAmount]],TrafficData[[#This Row],[disposedAmount]]&lt;=TrafficData[[#This Row],[totalAmount]])</f>
        <v>1</v>
      </c>
      <c r="P2786" t="b">
        <f>AND(TrafficData[[#This Row],[pendingCourt]]&lt;=TrafficData[[#This Row],[totalCourt]],TrafficData[[#This Row],[disposedCourt]]&lt;=TrafficData[[#This Row],[totalCourt]])</f>
        <v>1</v>
      </c>
    </row>
    <row r="2787" spans="1:16">
      <c r="A2787" s="1">
        <v>44791</v>
      </c>
      <c r="B2787">
        <v>140575</v>
      </c>
      <c r="C2787">
        <v>71472</v>
      </c>
      <c r="D2787">
        <v>69103</v>
      </c>
      <c r="E2787">
        <v>109308615</v>
      </c>
      <c r="F2787">
        <v>114126766</v>
      </c>
      <c r="G2787">
        <v>223435381</v>
      </c>
      <c r="H2787">
        <v>38608</v>
      </c>
      <c r="I2787">
        <v>11547</v>
      </c>
      <c r="J2787">
        <v>50155</v>
      </c>
      <c r="K2787" t="b">
        <f>TrafficData[[#This Row],[disposedChallan]]+TrafficData[[#This Row],[pendingChallan]]=TrafficData[[#This Row],[totalChallan]]</f>
        <v>1</v>
      </c>
      <c r="L2787" t="b">
        <f>TrafficData[[#This Row],[pendingAmount]]+TrafficData[[#This Row],[disposedAmount]]=TrafficData[[#This Row],[totalAmount]]</f>
        <v>1</v>
      </c>
      <c r="M2787" t="b">
        <f>TrafficData[[#This Row],[pendingCourt]]+TrafficData[[#This Row],[disposedCourt]]=TrafficData[[#This Row],[totalCourt]]</f>
        <v>1</v>
      </c>
      <c r="N2787" t="b">
        <f>AND(TrafficData[[#This Row],[disposedChallan]]&lt;=TrafficData[[#This Row],[totalChallan]],TrafficData[[#This Row],[pendingChallan]]&lt;=TrafficData[[#This Row],[totalChallan]])</f>
        <v>1</v>
      </c>
      <c r="O2787" t="b">
        <f>AND(TrafficData[[#This Row],[pendingAmount]]&lt;=TrafficData[[#This Row],[totalAmount]],TrafficData[[#This Row],[disposedAmount]]&lt;=TrafficData[[#This Row],[totalAmount]])</f>
        <v>1</v>
      </c>
      <c r="P2787" t="b">
        <f>AND(TrafficData[[#This Row],[pendingCourt]]&lt;=TrafficData[[#This Row],[totalCourt]],TrafficData[[#This Row],[disposedCourt]]&lt;=TrafficData[[#This Row],[totalCourt]])</f>
        <v>1</v>
      </c>
    </row>
    <row r="2788" spans="1:16">
      <c r="A2788" s="1">
        <v>44792</v>
      </c>
      <c r="B2788">
        <v>132190</v>
      </c>
      <c r="C2788">
        <v>68448</v>
      </c>
      <c r="D2788">
        <v>63742</v>
      </c>
      <c r="E2788">
        <v>97630264</v>
      </c>
      <c r="F2788">
        <v>83804928</v>
      </c>
      <c r="G2788">
        <v>181435192</v>
      </c>
      <c r="H2788">
        <v>34429</v>
      </c>
      <c r="I2788">
        <v>9261</v>
      </c>
      <c r="J2788">
        <v>43690</v>
      </c>
      <c r="K2788" t="b">
        <f>TrafficData[[#This Row],[disposedChallan]]+TrafficData[[#This Row],[pendingChallan]]=TrafficData[[#This Row],[totalChallan]]</f>
        <v>1</v>
      </c>
      <c r="L2788" t="b">
        <f>TrafficData[[#This Row],[pendingAmount]]+TrafficData[[#This Row],[disposedAmount]]=TrafficData[[#This Row],[totalAmount]]</f>
        <v>1</v>
      </c>
      <c r="M2788" t="b">
        <f>TrafficData[[#This Row],[pendingCourt]]+TrafficData[[#This Row],[disposedCourt]]=TrafficData[[#This Row],[totalCourt]]</f>
        <v>1</v>
      </c>
      <c r="N2788" t="b">
        <f>AND(TrafficData[[#This Row],[disposedChallan]]&lt;=TrafficData[[#This Row],[totalChallan]],TrafficData[[#This Row],[pendingChallan]]&lt;=TrafficData[[#This Row],[totalChallan]])</f>
        <v>1</v>
      </c>
      <c r="O2788" t="b">
        <f>AND(TrafficData[[#This Row],[pendingAmount]]&lt;=TrafficData[[#This Row],[totalAmount]],TrafficData[[#This Row],[disposedAmount]]&lt;=TrafficData[[#This Row],[totalAmount]])</f>
        <v>1</v>
      </c>
      <c r="P2788" t="b">
        <f>AND(TrafficData[[#This Row],[pendingCourt]]&lt;=TrafficData[[#This Row],[totalCourt]],TrafficData[[#This Row],[disposedCourt]]&lt;=TrafficData[[#This Row],[totalCourt]])</f>
        <v>1</v>
      </c>
    </row>
    <row r="2789" spans="1:16">
      <c r="A2789" s="1">
        <v>44793</v>
      </c>
      <c r="B2789">
        <v>140550</v>
      </c>
      <c r="C2789">
        <v>71187</v>
      </c>
      <c r="D2789">
        <v>69363</v>
      </c>
      <c r="E2789">
        <v>108999172</v>
      </c>
      <c r="F2789">
        <v>90914829</v>
      </c>
      <c r="G2789">
        <v>199914001</v>
      </c>
      <c r="H2789">
        <v>37018</v>
      </c>
      <c r="I2789">
        <v>10452</v>
      </c>
      <c r="J2789">
        <v>47470</v>
      </c>
      <c r="K2789" t="b">
        <f>TrafficData[[#This Row],[disposedChallan]]+TrafficData[[#This Row],[pendingChallan]]=TrafficData[[#This Row],[totalChallan]]</f>
        <v>1</v>
      </c>
      <c r="L2789" t="b">
        <f>TrafficData[[#This Row],[pendingAmount]]+TrafficData[[#This Row],[disposedAmount]]=TrafficData[[#This Row],[totalAmount]]</f>
        <v>1</v>
      </c>
      <c r="M2789" t="b">
        <f>TrafficData[[#This Row],[pendingCourt]]+TrafficData[[#This Row],[disposedCourt]]=TrafficData[[#This Row],[totalCourt]]</f>
        <v>1</v>
      </c>
      <c r="N2789" t="b">
        <f>AND(TrafficData[[#This Row],[disposedChallan]]&lt;=TrafficData[[#This Row],[totalChallan]],TrafficData[[#This Row],[pendingChallan]]&lt;=TrafficData[[#This Row],[totalChallan]])</f>
        <v>1</v>
      </c>
      <c r="O2789" t="b">
        <f>AND(TrafficData[[#This Row],[pendingAmount]]&lt;=TrafficData[[#This Row],[totalAmount]],TrafficData[[#This Row],[disposedAmount]]&lt;=TrafficData[[#This Row],[totalAmount]])</f>
        <v>1</v>
      </c>
      <c r="P2789" t="b">
        <f>AND(TrafficData[[#This Row],[pendingCourt]]&lt;=TrafficData[[#This Row],[totalCourt]],TrafficData[[#This Row],[disposedCourt]]&lt;=TrafficData[[#This Row],[totalCourt]])</f>
        <v>1</v>
      </c>
    </row>
    <row r="2790" spans="1:16">
      <c r="A2790" s="1">
        <v>44794</v>
      </c>
      <c r="B2790">
        <v>127948</v>
      </c>
      <c r="C2790">
        <v>61897</v>
      </c>
      <c r="D2790">
        <v>66051</v>
      </c>
      <c r="E2790">
        <v>103201718</v>
      </c>
      <c r="F2790">
        <v>76361326</v>
      </c>
      <c r="G2790">
        <v>179563044</v>
      </c>
      <c r="H2790">
        <v>36144</v>
      </c>
      <c r="I2790">
        <v>9237</v>
      </c>
      <c r="J2790">
        <v>45381</v>
      </c>
      <c r="K2790" t="b">
        <f>TrafficData[[#This Row],[disposedChallan]]+TrafficData[[#This Row],[pendingChallan]]=TrafficData[[#This Row],[totalChallan]]</f>
        <v>1</v>
      </c>
      <c r="L2790" t="b">
        <f>TrafficData[[#This Row],[pendingAmount]]+TrafficData[[#This Row],[disposedAmount]]=TrafficData[[#This Row],[totalAmount]]</f>
        <v>1</v>
      </c>
      <c r="M2790" t="b">
        <f>TrafficData[[#This Row],[pendingCourt]]+TrafficData[[#This Row],[disposedCourt]]=TrafficData[[#This Row],[totalCourt]]</f>
        <v>1</v>
      </c>
      <c r="N2790" t="b">
        <f>AND(TrafficData[[#This Row],[disposedChallan]]&lt;=TrafficData[[#This Row],[totalChallan]],TrafficData[[#This Row],[pendingChallan]]&lt;=TrafficData[[#This Row],[totalChallan]])</f>
        <v>1</v>
      </c>
      <c r="O2790" t="b">
        <f>AND(TrafficData[[#This Row],[pendingAmount]]&lt;=TrafficData[[#This Row],[totalAmount]],TrafficData[[#This Row],[disposedAmount]]&lt;=TrafficData[[#This Row],[totalAmount]])</f>
        <v>1</v>
      </c>
      <c r="P2790" t="b">
        <f>AND(TrafficData[[#This Row],[pendingCourt]]&lt;=TrafficData[[#This Row],[totalCourt]],TrafficData[[#This Row],[disposedCourt]]&lt;=TrafficData[[#This Row],[totalCourt]])</f>
        <v>1</v>
      </c>
    </row>
    <row r="2791" spans="1:16">
      <c r="A2791" s="1">
        <v>44795</v>
      </c>
      <c r="B2791">
        <v>143163</v>
      </c>
      <c r="C2791">
        <v>68733</v>
      </c>
      <c r="D2791">
        <v>74430</v>
      </c>
      <c r="E2791">
        <v>129466938</v>
      </c>
      <c r="F2791">
        <v>100742392</v>
      </c>
      <c r="G2791">
        <v>230209330</v>
      </c>
      <c r="H2791">
        <v>44081</v>
      </c>
      <c r="I2791">
        <v>11859</v>
      </c>
      <c r="J2791">
        <v>55940</v>
      </c>
      <c r="K2791" t="b">
        <f>TrafficData[[#This Row],[disposedChallan]]+TrafficData[[#This Row],[pendingChallan]]=TrafficData[[#This Row],[totalChallan]]</f>
        <v>1</v>
      </c>
      <c r="L2791" t="b">
        <f>TrafficData[[#This Row],[pendingAmount]]+TrafficData[[#This Row],[disposedAmount]]=TrafficData[[#This Row],[totalAmount]]</f>
        <v>1</v>
      </c>
      <c r="M2791" t="b">
        <f>TrafficData[[#This Row],[pendingCourt]]+TrafficData[[#This Row],[disposedCourt]]=TrafficData[[#This Row],[totalCourt]]</f>
        <v>1</v>
      </c>
      <c r="N2791" t="b">
        <f>AND(TrafficData[[#This Row],[disposedChallan]]&lt;=TrafficData[[#This Row],[totalChallan]],TrafficData[[#This Row],[pendingChallan]]&lt;=TrafficData[[#This Row],[totalChallan]])</f>
        <v>1</v>
      </c>
      <c r="O2791" t="b">
        <f>AND(TrafficData[[#This Row],[pendingAmount]]&lt;=TrafficData[[#This Row],[totalAmount]],TrafficData[[#This Row],[disposedAmount]]&lt;=TrafficData[[#This Row],[totalAmount]])</f>
        <v>1</v>
      </c>
      <c r="P2791" t="b">
        <f>AND(TrafficData[[#This Row],[pendingCourt]]&lt;=TrafficData[[#This Row],[totalCourt]],TrafficData[[#This Row],[disposedCourt]]&lt;=TrafficData[[#This Row],[totalCourt]])</f>
        <v>1</v>
      </c>
    </row>
    <row r="2792" spans="1:16">
      <c r="A2792" s="1">
        <v>44796</v>
      </c>
      <c r="B2792">
        <v>139217</v>
      </c>
      <c r="C2792">
        <v>69810</v>
      </c>
      <c r="D2792">
        <v>69407</v>
      </c>
      <c r="E2792">
        <v>121103412</v>
      </c>
      <c r="F2792">
        <v>107484055</v>
      </c>
      <c r="G2792">
        <v>228587467</v>
      </c>
      <c r="H2792">
        <v>40175</v>
      </c>
      <c r="I2792">
        <v>10706</v>
      </c>
      <c r="J2792">
        <v>50881</v>
      </c>
      <c r="K2792" t="b">
        <f>TrafficData[[#This Row],[disposedChallan]]+TrafficData[[#This Row],[pendingChallan]]=TrafficData[[#This Row],[totalChallan]]</f>
        <v>1</v>
      </c>
      <c r="L2792" t="b">
        <f>TrafficData[[#This Row],[pendingAmount]]+TrafficData[[#This Row],[disposedAmount]]=TrafficData[[#This Row],[totalAmount]]</f>
        <v>1</v>
      </c>
      <c r="M2792" t="b">
        <f>TrafficData[[#This Row],[pendingCourt]]+TrafficData[[#This Row],[disposedCourt]]=TrafficData[[#This Row],[totalCourt]]</f>
        <v>1</v>
      </c>
      <c r="N2792" t="b">
        <f>AND(TrafficData[[#This Row],[disposedChallan]]&lt;=TrafficData[[#This Row],[totalChallan]],TrafficData[[#This Row],[pendingChallan]]&lt;=TrafficData[[#This Row],[totalChallan]])</f>
        <v>1</v>
      </c>
      <c r="O2792" t="b">
        <f>AND(TrafficData[[#This Row],[pendingAmount]]&lt;=TrafficData[[#This Row],[totalAmount]],TrafficData[[#This Row],[disposedAmount]]&lt;=TrafficData[[#This Row],[totalAmount]])</f>
        <v>1</v>
      </c>
      <c r="P2792" t="b">
        <f>AND(TrafficData[[#This Row],[pendingCourt]]&lt;=TrafficData[[#This Row],[totalCourt]],TrafficData[[#This Row],[disposedCourt]]&lt;=TrafficData[[#This Row],[totalCourt]])</f>
        <v>1</v>
      </c>
    </row>
    <row r="2793" spans="1:16">
      <c r="A2793" s="1">
        <v>44797</v>
      </c>
      <c r="B2793">
        <v>145129</v>
      </c>
      <c r="C2793">
        <v>73907</v>
      </c>
      <c r="D2793">
        <v>71222</v>
      </c>
      <c r="E2793">
        <v>221840788</v>
      </c>
      <c r="F2793">
        <v>116827004</v>
      </c>
      <c r="G2793">
        <v>338667792</v>
      </c>
      <c r="H2793">
        <v>40190</v>
      </c>
      <c r="I2793">
        <v>11096</v>
      </c>
      <c r="J2793">
        <v>51286</v>
      </c>
      <c r="K2793" t="b">
        <f>TrafficData[[#This Row],[disposedChallan]]+TrafficData[[#This Row],[pendingChallan]]=TrafficData[[#This Row],[totalChallan]]</f>
        <v>1</v>
      </c>
      <c r="L2793" t="b">
        <f>TrafficData[[#This Row],[pendingAmount]]+TrafficData[[#This Row],[disposedAmount]]=TrafficData[[#This Row],[totalAmount]]</f>
        <v>1</v>
      </c>
      <c r="M2793" t="b">
        <f>TrafficData[[#This Row],[pendingCourt]]+TrafficData[[#This Row],[disposedCourt]]=TrafficData[[#This Row],[totalCourt]]</f>
        <v>1</v>
      </c>
      <c r="N2793" t="b">
        <f>AND(TrafficData[[#This Row],[disposedChallan]]&lt;=TrafficData[[#This Row],[totalChallan]],TrafficData[[#This Row],[pendingChallan]]&lt;=TrafficData[[#This Row],[totalChallan]])</f>
        <v>1</v>
      </c>
      <c r="O2793" t="b">
        <f>AND(TrafficData[[#This Row],[pendingAmount]]&lt;=TrafficData[[#This Row],[totalAmount]],TrafficData[[#This Row],[disposedAmount]]&lt;=TrafficData[[#This Row],[totalAmount]])</f>
        <v>1</v>
      </c>
      <c r="P2793" t="b">
        <f>AND(TrafficData[[#This Row],[pendingCourt]]&lt;=TrafficData[[#This Row],[totalCourt]],TrafficData[[#This Row],[disposedCourt]]&lt;=TrafficData[[#This Row],[totalCourt]])</f>
        <v>1</v>
      </c>
    </row>
    <row r="2794" spans="1:16">
      <c r="A2794" s="1">
        <v>44798</v>
      </c>
      <c r="B2794">
        <v>152457</v>
      </c>
      <c r="C2794">
        <v>77868</v>
      </c>
      <c r="D2794">
        <v>74589</v>
      </c>
      <c r="E2794">
        <v>124529315</v>
      </c>
      <c r="F2794">
        <v>111447448</v>
      </c>
      <c r="G2794">
        <v>235976763</v>
      </c>
      <c r="H2794">
        <v>45305</v>
      </c>
      <c r="I2794">
        <v>12017</v>
      </c>
      <c r="J2794">
        <v>57322</v>
      </c>
      <c r="K2794" t="b">
        <f>TrafficData[[#This Row],[disposedChallan]]+TrafficData[[#This Row],[pendingChallan]]=TrafficData[[#This Row],[totalChallan]]</f>
        <v>1</v>
      </c>
      <c r="L2794" t="b">
        <f>TrafficData[[#This Row],[pendingAmount]]+TrafficData[[#This Row],[disposedAmount]]=TrafficData[[#This Row],[totalAmount]]</f>
        <v>1</v>
      </c>
      <c r="M2794" t="b">
        <f>TrafficData[[#This Row],[pendingCourt]]+TrafficData[[#This Row],[disposedCourt]]=TrafficData[[#This Row],[totalCourt]]</f>
        <v>1</v>
      </c>
      <c r="N2794" t="b">
        <f>AND(TrafficData[[#This Row],[disposedChallan]]&lt;=TrafficData[[#This Row],[totalChallan]],TrafficData[[#This Row],[pendingChallan]]&lt;=TrafficData[[#This Row],[totalChallan]])</f>
        <v>1</v>
      </c>
      <c r="O2794" t="b">
        <f>AND(TrafficData[[#This Row],[pendingAmount]]&lt;=TrafficData[[#This Row],[totalAmount]],TrafficData[[#This Row],[disposedAmount]]&lt;=TrafficData[[#This Row],[totalAmount]])</f>
        <v>1</v>
      </c>
      <c r="P2794" t="b">
        <f>AND(TrafficData[[#This Row],[pendingCourt]]&lt;=TrafficData[[#This Row],[totalCourt]],TrafficData[[#This Row],[disposedCourt]]&lt;=TrafficData[[#This Row],[totalCourt]])</f>
        <v>1</v>
      </c>
    </row>
    <row r="2795" spans="1:16">
      <c r="A2795" s="1">
        <v>44799</v>
      </c>
      <c r="B2795">
        <v>149233</v>
      </c>
      <c r="C2795">
        <v>75366</v>
      </c>
      <c r="D2795">
        <v>73867</v>
      </c>
      <c r="E2795">
        <v>116234871</v>
      </c>
      <c r="F2795">
        <v>101200103</v>
      </c>
      <c r="G2795">
        <v>217434974</v>
      </c>
      <c r="H2795">
        <v>43245</v>
      </c>
      <c r="I2795">
        <v>11507</v>
      </c>
      <c r="J2795">
        <v>54752</v>
      </c>
      <c r="K2795" t="b">
        <f>TrafficData[[#This Row],[disposedChallan]]+TrafficData[[#This Row],[pendingChallan]]=TrafficData[[#This Row],[totalChallan]]</f>
        <v>1</v>
      </c>
      <c r="L2795" t="b">
        <f>TrafficData[[#This Row],[pendingAmount]]+TrafficData[[#This Row],[disposedAmount]]=TrafficData[[#This Row],[totalAmount]]</f>
        <v>1</v>
      </c>
      <c r="M2795" t="b">
        <f>TrafficData[[#This Row],[pendingCourt]]+TrafficData[[#This Row],[disposedCourt]]=TrafficData[[#This Row],[totalCourt]]</f>
        <v>1</v>
      </c>
      <c r="N2795" t="b">
        <f>AND(TrafficData[[#This Row],[disposedChallan]]&lt;=TrafficData[[#This Row],[totalChallan]],TrafficData[[#This Row],[pendingChallan]]&lt;=TrafficData[[#This Row],[totalChallan]])</f>
        <v>1</v>
      </c>
      <c r="O2795" t="b">
        <f>AND(TrafficData[[#This Row],[pendingAmount]]&lt;=TrafficData[[#This Row],[totalAmount]],TrafficData[[#This Row],[disposedAmount]]&lt;=TrafficData[[#This Row],[totalAmount]])</f>
        <v>1</v>
      </c>
      <c r="P2795" t="b">
        <f>AND(TrafficData[[#This Row],[pendingCourt]]&lt;=TrafficData[[#This Row],[totalCourt]],TrafficData[[#This Row],[disposedCourt]]&lt;=TrafficData[[#This Row],[totalCourt]])</f>
        <v>1</v>
      </c>
    </row>
    <row r="2796" spans="1:16">
      <c r="A2796" s="1">
        <v>44800</v>
      </c>
      <c r="B2796">
        <v>149824</v>
      </c>
      <c r="C2796">
        <v>74060</v>
      </c>
      <c r="D2796">
        <v>75764</v>
      </c>
      <c r="E2796">
        <v>119048763</v>
      </c>
      <c r="F2796">
        <v>94642624</v>
      </c>
      <c r="G2796">
        <v>213691387</v>
      </c>
      <c r="H2796">
        <v>42736</v>
      </c>
      <c r="I2796">
        <v>11202</v>
      </c>
      <c r="J2796">
        <v>53938</v>
      </c>
      <c r="K2796" t="b">
        <f>TrafficData[[#This Row],[disposedChallan]]+TrafficData[[#This Row],[pendingChallan]]=TrafficData[[#This Row],[totalChallan]]</f>
        <v>1</v>
      </c>
      <c r="L2796" t="b">
        <f>TrafficData[[#This Row],[pendingAmount]]+TrafficData[[#This Row],[disposedAmount]]=TrafficData[[#This Row],[totalAmount]]</f>
        <v>1</v>
      </c>
      <c r="M2796" t="b">
        <f>TrafficData[[#This Row],[pendingCourt]]+TrafficData[[#This Row],[disposedCourt]]=TrafficData[[#This Row],[totalCourt]]</f>
        <v>1</v>
      </c>
      <c r="N2796" t="b">
        <f>AND(TrafficData[[#This Row],[disposedChallan]]&lt;=TrafficData[[#This Row],[totalChallan]],TrafficData[[#This Row],[pendingChallan]]&lt;=TrafficData[[#This Row],[totalChallan]])</f>
        <v>1</v>
      </c>
      <c r="O2796" t="b">
        <f>AND(TrafficData[[#This Row],[pendingAmount]]&lt;=TrafficData[[#This Row],[totalAmount]],TrafficData[[#This Row],[disposedAmount]]&lt;=TrafficData[[#This Row],[totalAmount]])</f>
        <v>1</v>
      </c>
      <c r="P2796" t="b">
        <f>AND(TrafficData[[#This Row],[pendingCourt]]&lt;=TrafficData[[#This Row],[totalCourt]],TrafficData[[#This Row],[disposedCourt]]&lt;=TrafficData[[#This Row],[totalCourt]])</f>
        <v>1</v>
      </c>
    </row>
    <row r="2797" spans="1:16">
      <c r="A2797" s="1">
        <v>44801</v>
      </c>
      <c r="B2797">
        <v>130094</v>
      </c>
      <c r="C2797">
        <v>63181</v>
      </c>
      <c r="D2797">
        <v>66913</v>
      </c>
      <c r="E2797">
        <v>102652672</v>
      </c>
      <c r="F2797">
        <v>70105180</v>
      </c>
      <c r="G2797">
        <v>172757852</v>
      </c>
      <c r="H2797">
        <v>39641</v>
      </c>
      <c r="I2797">
        <v>9969</v>
      </c>
      <c r="J2797">
        <v>49610</v>
      </c>
      <c r="K2797" t="b">
        <f>TrafficData[[#This Row],[disposedChallan]]+TrafficData[[#This Row],[pendingChallan]]=TrafficData[[#This Row],[totalChallan]]</f>
        <v>1</v>
      </c>
      <c r="L2797" t="b">
        <f>TrafficData[[#This Row],[pendingAmount]]+TrafficData[[#This Row],[disposedAmount]]=TrafficData[[#This Row],[totalAmount]]</f>
        <v>1</v>
      </c>
      <c r="M2797" t="b">
        <f>TrafficData[[#This Row],[pendingCourt]]+TrafficData[[#This Row],[disposedCourt]]=TrafficData[[#This Row],[totalCourt]]</f>
        <v>1</v>
      </c>
      <c r="N2797" t="b">
        <f>AND(TrafficData[[#This Row],[disposedChallan]]&lt;=TrafficData[[#This Row],[totalChallan]],TrafficData[[#This Row],[pendingChallan]]&lt;=TrafficData[[#This Row],[totalChallan]])</f>
        <v>1</v>
      </c>
      <c r="O2797" t="b">
        <f>AND(TrafficData[[#This Row],[pendingAmount]]&lt;=TrafficData[[#This Row],[totalAmount]],TrafficData[[#This Row],[disposedAmount]]&lt;=TrafficData[[#This Row],[totalAmount]])</f>
        <v>1</v>
      </c>
      <c r="P2797" t="b">
        <f>AND(TrafficData[[#This Row],[pendingCourt]]&lt;=TrafficData[[#This Row],[totalCourt]],TrafficData[[#This Row],[disposedCourt]]&lt;=TrafficData[[#This Row],[totalCourt]])</f>
        <v>1</v>
      </c>
    </row>
    <row r="2798" spans="1:16">
      <c r="A2798" s="1">
        <v>44802</v>
      </c>
      <c r="B2798">
        <v>142999</v>
      </c>
      <c r="C2798">
        <v>70522</v>
      </c>
      <c r="D2798">
        <v>72477</v>
      </c>
      <c r="E2798">
        <v>107412180</v>
      </c>
      <c r="F2798">
        <v>89016202</v>
      </c>
      <c r="G2798">
        <v>196428382</v>
      </c>
      <c r="H2798">
        <v>43818</v>
      </c>
      <c r="I2798">
        <v>11342</v>
      </c>
      <c r="J2798">
        <v>55160</v>
      </c>
      <c r="K2798" t="b">
        <f>TrafficData[[#This Row],[disposedChallan]]+TrafficData[[#This Row],[pendingChallan]]=TrafficData[[#This Row],[totalChallan]]</f>
        <v>1</v>
      </c>
      <c r="L2798" t="b">
        <f>TrafficData[[#This Row],[pendingAmount]]+TrafficData[[#This Row],[disposedAmount]]=TrafficData[[#This Row],[totalAmount]]</f>
        <v>1</v>
      </c>
      <c r="M2798" t="b">
        <f>TrafficData[[#This Row],[pendingCourt]]+TrafficData[[#This Row],[disposedCourt]]=TrafficData[[#This Row],[totalCourt]]</f>
        <v>1</v>
      </c>
      <c r="N2798" t="b">
        <f>AND(TrafficData[[#This Row],[disposedChallan]]&lt;=TrafficData[[#This Row],[totalChallan]],TrafficData[[#This Row],[pendingChallan]]&lt;=TrafficData[[#This Row],[totalChallan]])</f>
        <v>1</v>
      </c>
      <c r="O2798" t="b">
        <f>AND(TrafficData[[#This Row],[pendingAmount]]&lt;=TrafficData[[#This Row],[totalAmount]],TrafficData[[#This Row],[disposedAmount]]&lt;=TrafficData[[#This Row],[totalAmount]])</f>
        <v>1</v>
      </c>
      <c r="P2798" t="b">
        <f>AND(TrafficData[[#This Row],[pendingCourt]]&lt;=TrafficData[[#This Row],[totalCourt]],TrafficData[[#This Row],[disposedCourt]]&lt;=TrafficData[[#This Row],[totalCourt]])</f>
        <v>1</v>
      </c>
    </row>
    <row r="2799" spans="1:16">
      <c r="A2799" s="1">
        <v>44803</v>
      </c>
      <c r="B2799">
        <v>142681</v>
      </c>
      <c r="C2799">
        <v>70868</v>
      </c>
      <c r="D2799">
        <v>71813</v>
      </c>
      <c r="E2799">
        <v>108883620</v>
      </c>
      <c r="F2799">
        <v>90153306</v>
      </c>
      <c r="G2799">
        <v>199036926</v>
      </c>
      <c r="H2799">
        <v>41106</v>
      </c>
      <c r="I2799">
        <v>10932</v>
      </c>
      <c r="J2799">
        <v>52038</v>
      </c>
      <c r="K2799" t="b">
        <f>TrafficData[[#This Row],[disposedChallan]]+TrafficData[[#This Row],[pendingChallan]]=TrafficData[[#This Row],[totalChallan]]</f>
        <v>1</v>
      </c>
      <c r="L2799" t="b">
        <f>TrafficData[[#This Row],[pendingAmount]]+TrafficData[[#This Row],[disposedAmount]]=TrafficData[[#This Row],[totalAmount]]</f>
        <v>1</v>
      </c>
      <c r="M2799" t="b">
        <f>TrafficData[[#This Row],[pendingCourt]]+TrafficData[[#This Row],[disposedCourt]]=TrafficData[[#This Row],[totalCourt]]</f>
        <v>1</v>
      </c>
      <c r="N2799" t="b">
        <f>AND(TrafficData[[#This Row],[disposedChallan]]&lt;=TrafficData[[#This Row],[totalChallan]],TrafficData[[#This Row],[pendingChallan]]&lt;=TrafficData[[#This Row],[totalChallan]])</f>
        <v>1</v>
      </c>
      <c r="O2799" t="b">
        <f>AND(TrafficData[[#This Row],[pendingAmount]]&lt;=TrafficData[[#This Row],[totalAmount]],TrafficData[[#This Row],[disposedAmount]]&lt;=TrafficData[[#This Row],[totalAmount]])</f>
        <v>1</v>
      </c>
      <c r="P2799" t="b">
        <f>AND(TrafficData[[#This Row],[pendingCourt]]&lt;=TrafficData[[#This Row],[totalCourt]],TrafficData[[#This Row],[disposedCourt]]&lt;=TrafficData[[#This Row],[totalCourt]])</f>
        <v>1</v>
      </c>
    </row>
    <row r="2800" spans="1:16">
      <c r="A2800" s="1">
        <v>44804</v>
      </c>
      <c r="B2800">
        <v>120464</v>
      </c>
      <c r="C2800">
        <v>59086</v>
      </c>
      <c r="D2800">
        <v>61378</v>
      </c>
      <c r="E2800">
        <v>94319296</v>
      </c>
      <c r="F2800">
        <v>79166253</v>
      </c>
      <c r="G2800">
        <v>173485549</v>
      </c>
      <c r="H2800">
        <v>36963</v>
      </c>
      <c r="I2800">
        <v>9981</v>
      </c>
      <c r="J2800">
        <v>46944</v>
      </c>
      <c r="K2800" t="b">
        <f>TrafficData[[#This Row],[disposedChallan]]+TrafficData[[#This Row],[pendingChallan]]=TrafficData[[#This Row],[totalChallan]]</f>
        <v>1</v>
      </c>
      <c r="L2800" t="b">
        <f>TrafficData[[#This Row],[pendingAmount]]+TrafficData[[#This Row],[disposedAmount]]=TrafficData[[#This Row],[totalAmount]]</f>
        <v>1</v>
      </c>
      <c r="M2800" t="b">
        <f>TrafficData[[#This Row],[pendingCourt]]+TrafficData[[#This Row],[disposedCourt]]=TrafficData[[#This Row],[totalCourt]]</f>
        <v>1</v>
      </c>
      <c r="N2800" t="b">
        <f>AND(TrafficData[[#This Row],[disposedChallan]]&lt;=TrafficData[[#This Row],[totalChallan]],TrafficData[[#This Row],[pendingChallan]]&lt;=TrafficData[[#This Row],[totalChallan]])</f>
        <v>1</v>
      </c>
      <c r="O2800" t="b">
        <f>AND(TrafficData[[#This Row],[pendingAmount]]&lt;=TrafficData[[#This Row],[totalAmount]],TrafficData[[#This Row],[disposedAmount]]&lt;=TrafficData[[#This Row],[totalAmount]])</f>
        <v>1</v>
      </c>
      <c r="P2800" t="b">
        <f>AND(TrafficData[[#This Row],[pendingCourt]]&lt;=TrafficData[[#This Row],[totalCourt]],TrafficData[[#This Row],[disposedCourt]]&lt;=TrafficData[[#This Row],[totalCourt]])</f>
        <v>1</v>
      </c>
    </row>
    <row r="2801" spans="1:16">
      <c r="A2801" s="1">
        <v>44805</v>
      </c>
      <c r="B2801">
        <v>124177</v>
      </c>
      <c r="C2801">
        <v>64382</v>
      </c>
      <c r="D2801">
        <v>59795</v>
      </c>
      <c r="E2801">
        <v>93376821</v>
      </c>
      <c r="F2801">
        <v>100861906</v>
      </c>
      <c r="G2801">
        <v>194238727</v>
      </c>
      <c r="H2801">
        <v>33151</v>
      </c>
      <c r="I2801">
        <v>9329</v>
      </c>
      <c r="J2801">
        <v>42480</v>
      </c>
      <c r="K2801" t="b">
        <f>TrafficData[[#This Row],[disposedChallan]]+TrafficData[[#This Row],[pendingChallan]]=TrafficData[[#This Row],[totalChallan]]</f>
        <v>1</v>
      </c>
      <c r="L2801" t="b">
        <f>TrafficData[[#This Row],[pendingAmount]]+TrafficData[[#This Row],[disposedAmount]]=TrafficData[[#This Row],[totalAmount]]</f>
        <v>1</v>
      </c>
      <c r="M2801" t="b">
        <f>TrafficData[[#This Row],[pendingCourt]]+TrafficData[[#This Row],[disposedCourt]]=TrafficData[[#This Row],[totalCourt]]</f>
        <v>1</v>
      </c>
      <c r="N2801" t="b">
        <f>AND(TrafficData[[#This Row],[disposedChallan]]&lt;=TrafficData[[#This Row],[totalChallan]],TrafficData[[#This Row],[pendingChallan]]&lt;=TrafficData[[#This Row],[totalChallan]])</f>
        <v>1</v>
      </c>
      <c r="O2801" t="b">
        <f>AND(TrafficData[[#This Row],[pendingAmount]]&lt;=TrafficData[[#This Row],[totalAmount]],TrafficData[[#This Row],[disposedAmount]]&lt;=TrafficData[[#This Row],[totalAmount]])</f>
        <v>1</v>
      </c>
      <c r="P2801" t="b">
        <f>AND(TrafficData[[#This Row],[pendingCourt]]&lt;=TrafficData[[#This Row],[totalCourt]],TrafficData[[#This Row],[disposedCourt]]&lt;=TrafficData[[#This Row],[totalCourt]])</f>
        <v>1</v>
      </c>
    </row>
    <row r="2802" spans="1:16">
      <c r="A2802" s="1">
        <v>44806</v>
      </c>
      <c r="B2802">
        <v>118737</v>
      </c>
      <c r="C2802">
        <v>65602</v>
      </c>
      <c r="D2802">
        <v>53135</v>
      </c>
      <c r="E2802">
        <v>97685587</v>
      </c>
      <c r="F2802">
        <v>110954980</v>
      </c>
      <c r="G2802">
        <v>208640567</v>
      </c>
      <c r="H2802">
        <v>31387</v>
      </c>
      <c r="I2802">
        <v>8679</v>
      </c>
      <c r="J2802">
        <v>40066</v>
      </c>
      <c r="K2802" t="b">
        <f>TrafficData[[#This Row],[disposedChallan]]+TrafficData[[#This Row],[pendingChallan]]=TrafficData[[#This Row],[totalChallan]]</f>
        <v>1</v>
      </c>
      <c r="L2802" t="b">
        <f>TrafficData[[#This Row],[pendingAmount]]+TrafficData[[#This Row],[disposedAmount]]=TrafficData[[#This Row],[totalAmount]]</f>
        <v>1</v>
      </c>
      <c r="M2802" t="b">
        <f>TrafficData[[#This Row],[pendingCourt]]+TrafficData[[#This Row],[disposedCourt]]=TrafficData[[#This Row],[totalCourt]]</f>
        <v>1</v>
      </c>
      <c r="N2802" t="b">
        <f>AND(TrafficData[[#This Row],[disposedChallan]]&lt;=TrafficData[[#This Row],[totalChallan]],TrafficData[[#This Row],[pendingChallan]]&lt;=TrafficData[[#This Row],[totalChallan]])</f>
        <v>1</v>
      </c>
      <c r="O2802" t="b">
        <f>AND(TrafficData[[#This Row],[pendingAmount]]&lt;=TrafficData[[#This Row],[totalAmount]],TrafficData[[#This Row],[disposedAmount]]&lt;=TrafficData[[#This Row],[totalAmount]])</f>
        <v>1</v>
      </c>
      <c r="P2802" t="b">
        <f>AND(TrafficData[[#This Row],[pendingCourt]]&lt;=TrafficData[[#This Row],[totalCourt]],TrafficData[[#This Row],[disposedCourt]]&lt;=TrafficData[[#This Row],[totalCourt]])</f>
        <v>1</v>
      </c>
    </row>
    <row r="2803" spans="1:16">
      <c r="A2803" s="1">
        <v>44807</v>
      </c>
      <c r="B2803">
        <v>135580</v>
      </c>
      <c r="C2803">
        <v>73653</v>
      </c>
      <c r="D2803">
        <v>61927</v>
      </c>
      <c r="E2803">
        <v>103466655</v>
      </c>
      <c r="F2803">
        <v>109365233</v>
      </c>
      <c r="G2803">
        <v>212831888</v>
      </c>
      <c r="H2803">
        <v>39663</v>
      </c>
      <c r="I2803">
        <v>10844</v>
      </c>
      <c r="J2803">
        <v>50507</v>
      </c>
      <c r="K2803" t="b">
        <f>TrafficData[[#This Row],[disposedChallan]]+TrafficData[[#This Row],[pendingChallan]]=TrafficData[[#This Row],[totalChallan]]</f>
        <v>1</v>
      </c>
      <c r="L2803" t="b">
        <f>TrafficData[[#This Row],[pendingAmount]]+TrafficData[[#This Row],[disposedAmount]]=TrafficData[[#This Row],[totalAmount]]</f>
        <v>1</v>
      </c>
      <c r="M2803" t="b">
        <f>TrafficData[[#This Row],[pendingCourt]]+TrafficData[[#This Row],[disposedCourt]]=TrafficData[[#This Row],[totalCourt]]</f>
        <v>1</v>
      </c>
      <c r="N2803" t="b">
        <f>AND(TrafficData[[#This Row],[disposedChallan]]&lt;=TrafficData[[#This Row],[totalChallan]],TrafficData[[#This Row],[pendingChallan]]&lt;=TrafficData[[#This Row],[totalChallan]])</f>
        <v>1</v>
      </c>
      <c r="O2803" t="b">
        <f>AND(TrafficData[[#This Row],[pendingAmount]]&lt;=TrafficData[[#This Row],[totalAmount]],TrafficData[[#This Row],[disposedAmount]]&lt;=TrafficData[[#This Row],[totalAmount]])</f>
        <v>1</v>
      </c>
      <c r="P2803" t="b">
        <f>AND(TrafficData[[#This Row],[pendingCourt]]&lt;=TrafficData[[#This Row],[totalCourt]],TrafficData[[#This Row],[disposedCourt]]&lt;=TrafficData[[#This Row],[totalCourt]])</f>
        <v>1</v>
      </c>
    </row>
    <row r="2804" spans="1:16">
      <c r="A2804" s="1">
        <v>44808</v>
      </c>
      <c r="B2804">
        <v>117906</v>
      </c>
      <c r="C2804">
        <v>59732</v>
      </c>
      <c r="D2804">
        <v>58174</v>
      </c>
      <c r="E2804">
        <v>88824890</v>
      </c>
      <c r="F2804">
        <v>77014195</v>
      </c>
      <c r="G2804">
        <v>165839085</v>
      </c>
      <c r="H2804">
        <v>37387</v>
      </c>
      <c r="I2804">
        <v>9223</v>
      </c>
      <c r="J2804">
        <v>46610</v>
      </c>
      <c r="K2804" t="b">
        <f>TrafficData[[#This Row],[disposedChallan]]+TrafficData[[#This Row],[pendingChallan]]=TrafficData[[#This Row],[totalChallan]]</f>
        <v>1</v>
      </c>
      <c r="L2804" t="b">
        <f>TrafficData[[#This Row],[pendingAmount]]+TrafficData[[#This Row],[disposedAmount]]=TrafficData[[#This Row],[totalAmount]]</f>
        <v>1</v>
      </c>
      <c r="M2804" t="b">
        <f>TrafficData[[#This Row],[pendingCourt]]+TrafficData[[#This Row],[disposedCourt]]=TrafficData[[#This Row],[totalCourt]]</f>
        <v>1</v>
      </c>
      <c r="N2804" t="b">
        <f>AND(TrafficData[[#This Row],[disposedChallan]]&lt;=TrafficData[[#This Row],[totalChallan]],TrafficData[[#This Row],[pendingChallan]]&lt;=TrafficData[[#This Row],[totalChallan]])</f>
        <v>1</v>
      </c>
      <c r="O2804" t="b">
        <f>AND(TrafficData[[#This Row],[pendingAmount]]&lt;=TrafficData[[#This Row],[totalAmount]],TrafficData[[#This Row],[disposedAmount]]&lt;=TrafficData[[#This Row],[totalAmount]])</f>
        <v>1</v>
      </c>
      <c r="P2804" t="b">
        <f>AND(TrafficData[[#This Row],[pendingCourt]]&lt;=TrafficData[[#This Row],[totalCourt]],TrafficData[[#This Row],[disposedCourt]]&lt;=TrafficData[[#This Row],[totalCourt]])</f>
        <v>1</v>
      </c>
    </row>
    <row r="2805" spans="1:16">
      <c r="A2805" s="1">
        <v>44809</v>
      </c>
      <c r="B2805">
        <v>143066</v>
      </c>
      <c r="C2805">
        <v>73296</v>
      </c>
      <c r="D2805">
        <v>69770</v>
      </c>
      <c r="E2805">
        <v>111149576</v>
      </c>
      <c r="F2805">
        <v>105399693</v>
      </c>
      <c r="G2805">
        <v>216549269</v>
      </c>
      <c r="H2805">
        <v>44041</v>
      </c>
      <c r="I2805">
        <v>11137</v>
      </c>
      <c r="J2805">
        <v>55178</v>
      </c>
      <c r="K2805" t="b">
        <f>TrafficData[[#This Row],[disposedChallan]]+TrafficData[[#This Row],[pendingChallan]]=TrafficData[[#This Row],[totalChallan]]</f>
        <v>1</v>
      </c>
      <c r="L2805" t="b">
        <f>TrafficData[[#This Row],[pendingAmount]]+TrafficData[[#This Row],[disposedAmount]]=TrafficData[[#This Row],[totalAmount]]</f>
        <v>1</v>
      </c>
      <c r="M2805" t="b">
        <f>TrafficData[[#This Row],[pendingCourt]]+TrafficData[[#This Row],[disposedCourt]]=TrafficData[[#This Row],[totalCourt]]</f>
        <v>1</v>
      </c>
      <c r="N2805" t="b">
        <f>AND(TrafficData[[#This Row],[disposedChallan]]&lt;=TrafficData[[#This Row],[totalChallan]],TrafficData[[#This Row],[pendingChallan]]&lt;=TrafficData[[#This Row],[totalChallan]])</f>
        <v>1</v>
      </c>
      <c r="O2805" t="b">
        <f>AND(TrafficData[[#This Row],[pendingAmount]]&lt;=TrafficData[[#This Row],[totalAmount]],TrafficData[[#This Row],[disposedAmount]]&lt;=TrafficData[[#This Row],[totalAmount]])</f>
        <v>1</v>
      </c>
      <c r="P2805" t="b">
        <f>AND(TrafficData[[#This Row],[pendingCourt]]&lt;=TrafficData[[#This Row],[totalCourt]],TrafficData[[#This Row],[disposedCourt]]&lt;=TrafficData[[#This Row],[totalCourt]])</f>
        <v>1</v>
      </c>
    </row>
    <row r="2806" spans="1:16">
      <c r="A2806" s="1">
        <v>44810</v>
      </c>
      <c r="B2806">
        <v>139864</v>
      </c>
      <c r="C2806">
        <v>71213</v>
      </c>
      <c r="D2806">
        <v>68651</v>
      </c>
      <c r="E2806">
        <v>120337796</v>
      </c>
      <c r="F2806">
        <v>108619507</v>
      </c>
      <c r="G2806">
        <v>228957303</v>
      </c>
      <c r="H2806">
        <v>44819</v>
      </c>
      <c r="I2806">
        <v>11281</v>
      </c>
      <c r="J2806">
        <v>56100</v>
      </c>
      <c r="K2806" t="b">
        <f>TrafficData[[#This Row],[disposedChallan]]+TrafficData[[#This Row],[pendingChallan]]=TrafficData[[#This Row],[totalChallan]]</f>
        <v>1</v>
      </c>
      <c r="L2806" t="b">
        <f>TrafficData[[#This Row],[pendingAmount]]+TrafficData[[#This Row],[disposedAmount]]=TrafficData[[#This Row],[totalAmount]]</f>
        <v>1</v>
      </c>
      <c r="M2806" t="b">
        <f>TrafficData[[#This Row],[pendingCourt]]+TrafficData[[#This Row],[disposedCourt]]=TrafficData[[#This Row],[totalCourt]]</f>
        <v>1</v>
      </c>
      <c r="N2806" t="b">
        <f>AND(TrafficData[[#This Row],[disposedChallan]]&lt;=TrafficData[[#This Row],[totalChallan]],TrafficData[[#This Row],[pendingChallan]]&lt;=TrafficData[[#This Row],[totalChallan]])</f>
        <v>1</v>
      </c>
      <c r="O2806" t="b">
        <f>AND(TrafficData[[#This Row],[pendingAmount]]&lt;=TrafficData[[#This Row],[totalAmount]],TrafficData[[#This Row],[disposedAmount]]&lt;=TrafficData[[#This Row],[totalAmount]])</f>
        <v>1</v>
      </c>
      <c r="P2806" t="b">
        <f>AND(TrafficData[[#This Row],[pendingCourt]]&lt;=TrafficData[[#This Row],[totalCourt]],TrafficData[[#This Row],[disposedCourt]]&lt;=TrafficData[[#This Row],[totalCourt]])</f>
        <v>1</v>
      </c>
    </row>
    <row r="2807" spans="1:16">
      <c r="A2807" s="1">
        <v>44811</v>
      </c>
      <c r="B2807">
        <v>131837</v>
      </c>
      <c r="C2807">
        <v>68099</v>
      </c>
      <c r="D2807">
        <v>63738</v>
      </c>
      <c r="E2807">
        <v>115846905</v>
      </c>
      <c r="F2807">
        <v>113590855</v>
      </c>
      <c r="G2807">
        <v>229437760</v>
      </c>
      <c r="H2807">
        <v>41270</v>
      </c>
      <c r="I2807">
        <v>10304</v>
      </c>
      <c r="J2807">
        <v>51574</v>
      </c>
      <c r="K2807" t="b">
        <f>TrafficData[[#This Row],[disposedChallan]]+TrafficData[[#This Row],[pendingChallan]]=TrafficData[[#This Row],[totalChallan]]</f>
        <v>1</v>
      </c>
      <c r="L2807" t="b">
        <f>TrafficData[[#This Row],[pendingAmount]]+TrafficData[[#This Row],[disposedAmount]]=TrafficData[[#This Row],[totalAmount]]</f>
        <v>1</v>
      </c>
      <c r="M2807" t="b">
        <f>TrafficData[[#This Row],[pendingCourt]]+TrafficData[[#This Row],[disposedCourt]]=TrafficData[[#This Row],[totalCourt]]</f>
        <v>1</v>
      </c>
      <c r="N2807" t="b">
        <f>AND(TrafficData[[#This Row],[disposedChallan]]&lt;=TrafficData[[#This Row],[totalChallan]],TrafficData[[#This Row],[pendingChallan]]&lt;=TrafficData[[#This Row],[totalChallan]])</f>
        <v>1</v>
      </c>
      <c r="O2807" t="b">
        <f>AND(TrafficData[[#This Row],[pendingAmount]]&lt;=TrafficData[[#This Row],[totalAmount]],TrafficData[[#This Row],[disposedAmount]]&lt;=TrafficData[[#This Row],[totalAmount]])</f>
        <v>1</v>
      </c>
      <c r="P2807" t="b">
        <f>AND(TrafficData[[#This Row],[pendingCourt]]&lt;=TrafficData[[#This Row],[totalCourt]],TrafficData[[#This Row],[disposedCourt]]&lt;=TrafficData[[#This Row],[totalCourt]])</f>
        <v>1</v>
      </c>
    </row>
    <row r="2808" spans="1:16">
      <c r="A2808" s="1">
        <v>44812</v>
      </c>
      <c r="B2808">
        <v>127028</v>
      </c>
      <c r="C2808">
        <v>62815</v>
      </c>
      <c r="D2808">
        <v>64213</v>
      </c>
      <c r="E2808">
        <v>112460660</v>
      </c>
      <c r="F2808">
        <v>105464761</v>
      </c>
      <c r="G2808">
        <v>217925421</v>
      </c>
      <c r="H2808">
        <v>41147</v>
      </c>
      <c r="I2808">
        <v>10767</v>
      </c>
      <c r="J2808">
        <v>51914</v>
      </c>
      <c r="K2808" t="b">
        <f>TrafficData[[#This Row],[disposedChallan]]+TrafficData[[#This Row],[pendingChallan]]=TrafficData[[#This Row],[totalChallan]]</f>
        <v>1</v>
      </c>
      <c r="L2808" t="b">
        <f>TrafficData[[#This Row],[pendingAmount]]+TrafficData[[#This Row],[disposedAmount]]=TrafficData[[#This Row],[totalAmount]]</f>
        <v>1</v>
      </c>
      <c r="M2808" t="b">
        <f>TrafficData[[#This Row],[pendingCourt]]+TrafficData[[#This Row],[disposedCourt]]=TrafficData[[#This Row],[totalCourt]]</f>
        <v>1</v>
      </c>
      <c r="N2808" t="b">
        <f>AND(TrafficData[[#This Row],[disposedChallan]]&lt;=TrafficData[[#This Row],[totalChallan]],TrafficData[[#This Row],[pendingChallan]]&lt;=TrafficData[[#This Row],[totalChallan]])</f>
        <v>1</v>
      </c>
      <c r="O2808" t="b">
        <f>AND(TrafficData[[#This Row],[pendingAmount]]&lt;=TrafficData[[#This Row],[totalAmount]],TrafficData[[#This Row],[disposedAmount]]&lt;=TrafficData[[#This Row],[totalAmount]])</f>
        <v>1</v>
      </c>
      <c r="P2808" t="b">
        <f>AND(TrafficData[[#This Row],[pendingCourt]]&lt;=TrafficData[[#This Row],[totalCourt]],TrafficData[[#This Row],[disposedCourt]]&lt;=TrafficData[[#This Row],[totalCourt]])</f>
        <v>1</v>
      </c>
    </row>
    <row r="2809" spans="1:16">
      <c r="A2809" s="1">
        <v>44813</v>
      </c>
      <c r="B2809">
        <v>127770</v>
      </c>
      <c r="C2809">
        <v>61646</v>
      </c>
      <c r="D2809">
        <v>66124</v>
      </c>
      <c r="E2809">
        <v>105137247</v>
      </c>
      <c r="F2809">
        <v>99956190</v>
      </c>
      <c r="G2809">
        <v>205093437</v>
      </c>
      <c r="H2809">
        <v>40087</v>
      </c>
      <c r="I2809">
        <v>10398</v>
      </c>
      <c r="J2809">
        <v>50485</v>
      </c>
      <c r="K2809" t="b">
        <f>TrafficData[[#This Row],[disposedChallan]]+TrafficData[[#This Row],[pendingChallan]]=TrafficData[[#This Row],[totalChallan]]</f>
        <v>1</v>
      </c>
      <c r="L2809" t="b">
        <f>TrafficData[[#This Row],[pendingAmount]]+TrafficData[[#This Row],[disposedAmount]]=TrafficData[[#This Row],[totalAmount]]</f>
        <v>1</v>
      </c>
      <c r="M2809" t="b">
        <f>TrafficData[[#This Row],[pendingCourt]]+TrafficData[[#This Row],[disposedCourt]]=TrafficData[[#This Row],[totalCourt]]</f>
        <v>1</v>
      </c>
      <c r="N2809" t="b">
        <f>AND(TrafficData[[#This Row],[disposedChallan]]&lt;=TrafficData[[#This Row],[totalChallan]],TrafficData[[#This Row],[pendingChallan]]&lt;=TrafficData[[#This Row],[totalChallan]])</f>
        <v>1</v>
      </c>
      <c r="O2809" t="b">
        <f>AND(TrafficData[[#This Row],[pendingAmount]]&lt;=TrafficData[[#This Row],[totalAmount]],TrafficData[[#This Row],[disposedAmount]]&lt;=TrafficData[[#This Row],[totalAmount]])</f>
        <v>1</v>
      </c>
      <c r="P2809" t="b">
        <f>AND(TrafficData[[#This Row],[pendingCourt]]&lt;=TrafficData[[#This Row],[totalCourt]],TrafficData[[#This Row],[disposedCourt]]&lt;=TrafficData[[#This Row],[totalCourt]])</f>
        <v>1</v>
      </c>
    </row>
    <row r="2810" spans="1:16">
      <c r="A2810" s="1">
        <v>44814</v>
      </c>
      <c r="B2810">
        <v>130720</v>
      </c>
      <c r="C2810">
        <v>65724</v>
      </c>
      <c r="D2810">
        <v>64996</v>
      </c>
      <c r="E2810">
        <v>108269138</v>
      </c>
      <c r="F2810">
        <v>90571735</v>
      </c>
      <c r="G2810">
        <v>198840873</v>
      </c>
      <c r="H2810">
        <v>39266</v>
      </c>
      <c r="I2810">
        <v>10685</v>
      </c>
      <c r="J2810">
        <v>49951</v>
      </c>
      <c r="K2810" t="b">
        <f>TrafficData[[#This Row],[disposedChallan]]+TrafficData[[#This Row],[pendingChallan]]=TrafficData[[#This Row],[totalChallan]]</f>
        <v>1</v>
      </c>
      <c r="L2810" t="b">
        <f>TrafficData[[#This Row],[pendingAmount]]+TrafficData[[#This Row],[disposedAmount]]=TrafficData[[#This Row],[totalAmount]]</f>
        <v>1</v>
      </c>
      <c r="M2810" t="b">
        <f>TrafficData[[#This Row],[pendingCourt]]+TrafficData[[#This Row],[disposedCourt]]=TrafficData[[#This Row],[totalCourt]]</f>
        <v>1</v>
      </c>
      <c r="N2810" t="b">
        <f>AND(TrafficData[[#This Row],[disposedChallan]]&lt;=TrafficData[[#This Row],[totalChallan]],TrafficData[[#This Row],[pendingChallan]]&lt;=TrafficData[[#This Row],[totalChallan]])</f>
        <v>1</v>
      </c>
      <c r="O2810" t="b">
        <f>AND(TrafficData[[#This Row],[pendingAmount]]&lt;=TrafficData[[#This Row],[totalAmount]],TrafficData[[#This Row],[disposedAmount]]&lt;=TrafficData[[#This Row],[totalAmount]])</f>
        <v>1</v>
      </c>
      <c r="P2810" t="b">
        <f>AND(TrafficData[[#This Row],[pendingCourt]]&lt;=TrafficData[[#This Row],[totalCourt]],TrafficData[[#This Row],[disposedCourt]]&lt;=TrafficData[[#This Row],[totalCourt]])</f>
        <v>1</v>
      </c>
    </row>
    <row r="2811" spans="1:16">
      <c r="A2811" s="1">
        <v>44815</v>
      </c>
      <c r="B2811">
        <v>116924</v>
      </c>
      <c r="C2811">
        <v>58127</v>
      </c>
      <c r="D2811">
        <v>58797</v>
      </c>
      <c r="E2811">
        <v>114468075</v>
      </c>
      <c r="F2811">
        <v>75505888</v>
      </c>
      <c r="G2811">
        <v>189973963</v>
      </c>
      <c r="H2811">
        <v>35376</v>
      </c>
      <c r="I2811">
        <v>8986</v>
      </c>
      <c r="J2811">
        <v>44362</v>
      </c>
      <c r="K2811" t="b">
        <f>TrafficData[[#This Row],[disposedChallan]]+TrafficData[[#This Row],[pendingChallan]]=TrafficData[[#This Row],[totalChallan]]</f>
        <v>1</v>
      </c>
      <c r="L2811" t="b">
        <f>TrafficData[[#This Row],[pendingAmount]]+TrafficData[[#This Row],[disposedAmount]]=TrafficData[[#This Row],[totalAmount]]</f>
        <v>1</v>
      </c>
      <c r="M2811" t="b">
        <f>TrafficData[[#This Row],[pendingCourt]]+TrafficData[[#This Row],[disposedCourt]]=TrafficData[[#This Row],[totalCourt]]</f>
        <v>1</v>
      </c>
      <c r="N2811" t="b">
        <f>AND(TrafficData[[#This Row],[disposedChallan]]&lt;=TrafficData[[#This Row],[totalChallan]],TrafficData[[#This Row],[pendingChallan]]&lt;=TrafficData[[#This Row],[totalChallan]])</f>
        <v>1</v>
      </c>
      <c r="O2811" t="b">
        <f>AND(TrafficData[[#This Row],[pendingAmount]]&lt;=TrafficData[[#This Row],[totalAmount]],TrafficData[[#This Row],[disposedAmount]]&lt;=TrafficData[[#This Row],[totalAmount]])</f>
        <v>1</v>
      </c>
      <c r="P2811" t="b">
        <f>AND(TrafficData[[#This Row],[pendingCourt]]&lt;=TrafficData[[#This Row],[totalCourt]],TrafficData[[#This Row],[disposedCourt]]&lt;=TrafficData[[#This Row],[totalCourt]])</f>
        <v>1</v>
      </c>
    </row>
    <row r="2812" spans="1:16">
      <c r="A2812" s="1">
        <v>44816</v>
      </c>
      <c r="B2812">
        <v>137388</v>
      </c>
      <c r="C2812">
        <v>69360</v>
      </c>
      <c r="D2812">
        <v>68028</v>
      </c>
      <c r="E2812">
        <v>108675563</v>
      </c>
      <c r="F2812">
        <v>95689282</v>
      </c>
      <c r="G2812">
        <v>204364845</v>
      </c>
      <c r="H2812">
        <v>40755</v>
      </c>
      <c r="I2812">
        <v>10249</v>
      </c>
      <c r="J2812">
        <v>51004</v>
      </c>
      <c r="K2812" t="b">
        <f>TrafficData[[#This Row],[disposedChallan]]+TrafficData[[#This Row],[pendingChallan]]=TrafficData[[#This Row],[totalChallan]]</f>
        <v>1</v>
      </c>
      <c r="L2812" t="b">
        <f>TrafficData[[#This Row],[pendingAmount]]+TrafficData[[#This Row],[disposedAmount]]=TrafficData[[#This Row],[totalAmount]]</f>
        <v>1</v>
      </c>
      <c r="M2812" t="b">
        <f>TrafficData[[#This Row],[pendingCourt]]+TrafficData[[#This Row],[disposedCourt]]=TrafficData[[#This Row],[totalCourt]]</f>
        <v>1</v>
      </c>
      <c r="N2812" t="b">
        <f>AND(TrafficData[[#This Row],[disposedChallan]]&lt;=TrafficData[[#This Row],[totalChallan]],TrafficData[[#This Row],[pendingChallan]]&lt;=TrafficData[[#This Row],[totalChallan]])</f>
        <v>1</v>
      </c>
      <c r="O2812" t="b">
        <f>AND(TrafficData[[#This Row],[pendingAmount]]&lt;=TrafficData[[#This Row],[totalAmount]],TrafficData[[#This Row],[disposedAmount]]&lt;=TrafficData[[#This Row],[totalAmount]])</f>
        <v>1</v>
      </c>
      <c r="P2812" t="b">
        <f>AND(TrafficData[[#This Row],[pendingCourt]]&lt;=TrafficData[[#This Row],[totalCourt]],TrafficData[[#This Row],[disposedCourt]]&lt;=TrafficData[[#This Row],[totalCourt]])</f>
        <v>1</v>
      </c>
    </row>
    <row r="2813" spans="1:16">
      <c r="A2813" s="1">
        <v>44817</v>
      </c>
      <c r="B2813">
        <v>148305</v>
      </c>
      <c r="C2813">
        <v>75469</v>
      </c>
      <c r="D2813">
        <v>72836</v>
      </c>
      <c r="E2813">
        <v>257142576</v>
      </c>
      <c r="F2813">
        <v>105850294</v>
      </c>
      <c r="G2813">
        <v>362992870</v>
      </c>
      <c r="H2813">
        <v>42600</v>
      </c>
      <c r="I2813">
        <v>11032</v>
      </c>
      <c r="J2813">
        <v>53632</v>
      </c>
      <c r="K2813" t="b">
        <f>TrafficData[[#This Row],[disposedChallan]]+TrafficData[[#This Row],[pendingChallan]]=TrafficData[[#This Row],[totalChallan]]</f>
        <v>1</v>
      </c>
      <c r="L2813" t="b">
        <f>TrafficData[[#This Row],[pendingAmount]]+TrafficData[[#This Row],[disposedAmount]]=TrafficData[[#This Row],[totalAmount]]</f>
        <v>1</v>
      </c>
      <c r="M2813" t="b">
        <f>TrafficData[[#This Row],[pendingCourt]]+TrafficData[[#This Row],[disposedCourt]]=TrafficData[[#This Row],[totalCourt]]</f>
        <v>1</v>
      </c>
      <c r="N2813" t="b">
        <f>AND(TrafficData[[#This Row],[disposedChallan]]&lt;=TrafficData[[#This Row],[totalChallan]],TrafficData[[#This Row],[pendingChallan]]&lt;=TrafficData[[#This Row],[totalChallan]])</f>
        <v>1</v>
      </c>
      <c r="O2813" t="b">
        <f>AND(TrafficData[[#This Row],[pendingAmount]]&lt;=TrafficData[[#This Row],[totalAmount]],TrafficData[[#This Row],[disposedAmount]]&lt;=TrafficData[[#This Row],[totalAmount]])</f>
        <v>1</v>
      </c>
      <c r="P2813" t="b">
        <f>AND(TrafficData[[#This Row],[pendingCourt]]&lt;=TrafficData[[#This Row],[totalCourt]],TrafficData[[#This Row],[disposedCourt]]&lt;=TrafficData[[#This Row],[totalCourt]])</f>
        <v>1</v>
      </c>
    </row>
    <row r="2814" spans="1:16">
      <c r="A2814" s="1">
        <v>44818</v>
      </c>
      <c r="B2814">
        <v>143871</v>
      </c>
      <c r="C2814">
        <v>74226</v>
      </c>
      <c r="D2814">
        <v>69645</v>
      </c>
      <c r="E2814">
        <v>113659754</v>
      </c>
      <c r="F2814">
        <v>110519016</v>
      </c>
      <c r="G2814">
        <v>224178770</v>
      </c>
      <c r="H2814">
        <v>41348</v>
      </c>
      <c r="I2814">
        <v>10773</v>
      </c>
      <c r="J2814">
        <v>52121</v>
      </c>
      <c r="K2814" t="b">
        <f>TrafficData[[#This Row],[disposedChallan]]+TrafficData[[#This Row],[pendingChallan]]=TrafficData[[#This Row],[totalChallan]]</f>
        <v>1</v>
      </c>
      <c r="L2814" t="b">
        <f>TrafficData[[#This Row],[pendingAmount]]+TrafficData[[#This Row],[disposedAmount]]=TrafficData[[#This Row],[totalAmount]]</f>
        <v>1</v>
      </c>
      <c r="M2814" t="b">
        <f>TrafficData[[#This Row],[pendingCourt]]+TrafficData[[#This Row],[disposedCourt]]=TrafficData[[#This Row],[totalCourt]]</f>
        <v>1</v>
      </c>
      <c r="N2814" t="b">
        <f>AND(TrafficData[[#This Row],[disposedChallan]]&lt;=TrafficData[[#This Row],[totalChallan]],TrafficData[[#This Row],[pendingChallan]]&lt;=TrafficData[[#This Row],[totalChallan]])</f>
        <v>1</v>
      </c>
      <c r="O2814" t="b">
        <f>AND(TrafficData[[#This Row],[pendingAmount]]&lt;=TrafficData[[#This Row],[totalAmount]],TrafficData[[#This Row],[disposedAmount]]&lt;=TrafficData[[#This Row],[totalAmount]])</f>
        <v>1</v>
      </c>
      <c r="P2814" t="b">
        <f>AND(TrafficData[[#This Row],[pendingCourt]]&lt;=TrafficData[[#This Row],[totalCourt]],TrafficData[[#This Row],[disposedCourt]]&lt;=TrafficData[[#This Row],[totalCourt]])</f>
        <v>1</v>
      </c>
    </row>
    <row r="2815" spans="1:16">
      <c r="A2815" s="1">
        <v>44819</v>
      </c>
      <c r="B2815">
        <v>139237</v>
      </c>
      <c r="C2815">
        <v>71582</v>
      </c>
      <c r="D2815">
        <v>67655</v>
      </c>
      <c r="E2815">
        <v>116476879</v>
      </c>
      <c r="F2815">
        <v>109455770</v>
      </c>
      <c r="G2815">
        <v>225932649</v>
      </c>
      <c r="H2815">
        <v>38701</v>
      </c>
      <c r="I2815">
        <v>10332</v>
      </c>
      <c r="J2815">
        <v>49033</v>
      </c>
      <c r="K2815" t="b">
        <f>TrafficData[[#This Row],[disposedChallan]]+TrafficData[[#This Row],[pendingChallan]]=TrafficData[[#This Row],[totalChallan]]</f>
        <v>1</v>
      </c>
      <c r="L2815" t="b">
        <f>TrafficData[[#This Row],[pendingAmount]]+TrafficData[[#This Row],[disposedAmount]]=TrafficData[[#This Row],[totalAmount]]</f>
        <v>1</v>
      </c>
      <c r="M2815" t="b">
        <f>TrafficData[[#This Row],[pendingCourt]]+TrafficData[[#This Row],[disposedCourt]]=TrafficData[[#This Row],[totalCourt]]</f>
        <v>1</v>
      </c>
      <c r="N2815" t="b">
        <f>AND(TrafficData[[#This Row],[disposedChallan]]&lt;=TrafficData[[#This Row],[totalChallan]],TrafficData[[#This Row],[pendingChallan]]&lt;=TrafficData[[#This Row],[totalChallan]])</f>
        <v>1</v>
      </c>
      <c r="O2815" t="b">
        <f>AND(TrafficData[[#This Row],[pendingAmount]]&lt;=TrafficData[[#This Row],[totalAmount]],TrafficData[[#This Row],[disposedAmount]]&lt;=TrafficData[[#This Row],[totalAmount]])</f>
        <v>1</v>
      </c>
      <c r="P2815" t="b">
        <f>AND(TrafficData[[#This Row],[pendingCourt]]&lt;=TrafficData[[#This Row],[totalCourt]],TrafficData[[#This Row],[disposedCourt]]&lt;=TrafficData[[#This Row],[totalCourt]])</f>
        <v>1</v>
      </c>
    </row>
    <row r="2816" spans="1:16">
      <c r="A2816" s="1">
        <v>44820</v>
      </c>
      <c r="B2816">
        <v>143542</v>
      </c>
      <c r="C2816">
        <v>75135</v>
      </c>
      <c r="D2816">
        <v>68407</v>
      </c>
      <c r="E2816">
        <v>107287121</v>
      </c>
      <c r="F2816">
        <v>101705956</v>
      </c>
      <c r="G2816">
        <v>208993077</v>
      </c>
      <c r="H2816">
        <v>37982</v>
      </c>
      <c r="I2816">
        <v>10448</v>
      </c>
      <c r="J2816">
        <v>48430</v>
      </c>
      <c r="K2816" t="b">
        <f>TrafficData[[#This Row],[disposedChallan]]+TrafficData[[#This Row],[pendingChallan]]=TrafficData[[#This Row],[totalChallan]]</f>
        <v>1</v>
      </c>
      <c r="L2816" t="b">
        <f>TrafficData[[#This Row],[pendingAmount]]+TrafficData[[#This Row],[disposedAmount]]=TrafficData[[#This Row],[totalAmount]]</f>
        <v>1</v>
      </c>
      <c r="M2816" t="b">
        <f>TrafficData[[#This Row],[pendingCourt]]+TrafficData[[#This Row],[disposedCourt]]=TrafficData[[#This Row],[totalCourt]]</f>
        <v>1</v>
      </c>
      <c r="N2816" t="b">
        <f>AND(TrafficData[[#This Row],[disposedChallan]]&lt;=TrafficData[[#This Row],[totalChallan]],TrafficData[[#This Row],[pendingChallan]]&lt;=TrafficData[[#This Row],[totalChallan]])</f>
        <v>1</v>
      </c>
      <c r="O2816" t="b">
        <f>AND(TrafficData[[#This Row],[pendingAmount]]&lt;=TrafficData[[#This Row],[totalAmount]],TrafficData[[#This Row],[disposedAmount]]&lt;=TrafficData[[#This Row],[totalAmount]])</f>
        <v>1</v>
      </c>
      <c r="P2816" t="b">
        <f>AND(TrafficData[[#This Row],[pendingCourt]]&lt;=TrafficData[[#This Row],[totalCourt]],TrafficData[[#This Row],[disposedCourt]]&lt;=TrafficData[[#This Row],[totalCourt]])</f>
        <v>1</v>
      </c>
    </row>
    <row r="2817" spans="1:16">
      <c r="A2817" s="1">
        <v>44821</v>
      </c>
      <c r="B2817">
        <v>139143</v>
      </c>
      <c r="C2817">
        <v>71566</v>
      </c>
      <c r="D2817">
        <v>67577</v>
      </c>
      <c r="E2817">
        <v>104896632</v>
      </c>
      <c r="F2817">
        <v>82960468</v>
      </c>
      <c r="G2817">
        <v>187857100</v>
      </c>
      <c r="H2817">
        <v>39543</v>
      </c>
      <c r="I2817">
        <v>11084</v>
      </c>
      <c r="J2817">
        <v>50627</v>
      </c>
      <c r="K2817" t="b">
        <f>TrafficData[[#This Row],[disposedChallan]]+TrafficData[[#This Row],[pendingChallan]]=TrafficData[[#This Row],[totalChallan]]</f>
        <v>1</v>
      </c>
      <c r="L2817" t="b">
        <f>TrafficData[[#This Row],[pendingAmount]]+TrafficData[[#This Row],[disposedAmount]]=TrafficData[[#This Row],[totalAmount]]</f>
        <v>1</v>
      </c>
      <c r="M2817" t="b">
        <f>TrafficData[[#This Row],[pendingCourt]]+TrafficData[[#This Row],[disposedCourt]]=TrafficData[[#This Row],[totalCourt]]</f>
        <v>1</v>
      </c>
      <c r="N2817" t="b">
        <f>AND(TrafficData[[#This Row],[disposedChallan]]&lt;=TrafficData[[#This Row],[totalChallan]],TrafficData[[#This Row],[pendingChallan]]&lt;=TrafficData[[#This Row],[totalChallan]])</f>
        <v>1</v>
      </c>
      <c r="O2817" t="b">
        <f>AND(TrafficData[[#This Row],[pendingAmount]]&lt;=TrafficData[[#This Row],[totalAmount]],TrafficData[[#This Row],[disposedAmount]]&lt;=TrafficData[[#This Row],[totalAmount]])</f>
        <v>1</v>
      </c>
      <c r="P2817" t="b">
        <f>AND(TrafficData[[#This Row],[pendingCourt]]&lt;=TrafficData[[#This Row],[totalCourt]],TrafficData[[#This Row],[disposedCourt]]&lt;=TrafficData[[#This Row],[totalCourt]])</f>
        <v>1</v>
      </c>
    </row>
    <row r="2818" spans="1:16">
      <c r="A2818" s="1">
        <v>44822</v>
      </c>
      <c r="B2818">
        <v>137088</v>
      </c>
      <c r="C2818">
        <v>65054</v>
      </c>
      <c r="D2818">
        <v>72034</v>
      </c>
      <c r="E2818">
        <v>87819106</v>
      </c>
      <c r="F2818">
        <v>67509522</v>
      </c>
      <c r="G2818">
        <v>155328628</v>
      </c>
      <c r="H2818">
        <v>38946</v>
      </c>
      <c r="I2818">
        <v>9823</v>
      </c>
      <c r="J2818">
        <v>48769</v>
      </c>
      <c r="K2818" t="b">
        <f>TrafficData[[#This Row],[disposedChallan]]+TrafficData[[#This Row],[pendingChallan]]=TrafficData[[#This Row],[totalChallan]]</f>
        <v>1</v>
      </c>
      <c r="L2818" t="b">
        <f>TrafficData[[#This Row],[pendingAmount]]+TrafficData[[#This Row],[disposedAmount]]=TrafficData[[#This Row],[totalAmount]]</f>
        <v>1</v>
      </c>
      <c r="M2818" t="b">
        <f>TrafficData[[#This Row],[pendingCourt]]+TrafficData[[#This Row],[disposedCourt]]=TrafficData[[#This Row],[totalCourt]]</f>
        <v>1</v>
      </c>
      <c r="N2818" t="b">
        <f>AND(TrafficData[[#This Row],[disposedChallan]]&lt;=TrafficData[[#This Row],[totalChallan]],TrafficData[[#This Row],[pendingChallan]]&lt;=TrafficData[[#This Row],[totalChallan]])</f>
        <v>1</v>
      </c>
      <c r="O2818" t="b">
        <f>AND(TrafficData[[#This Row],[pendingAmount]]&lt;=TrafficData[[#This Row],[totalAmount]],TrafficData[[#This Row],[disposedAmount]]&lt;=TrafficData[[#This Row],[totalAmount]])</f>
        <v>1</v>
      </c>
      <c r="P2818" t="b">
        <f>AND(TrafficData[[#This Row],[pendingCourt]]&lt;=TrafficData[[#This Row],[totalCourt]],TrafficData[[#This Row],[disposedCourt]]&lt;=TrafficData[[#This Row],[totalCourt]])</f>
        <v>1</v>
      </c>
    </row>
    <row r="2819" spans="1:16">
      <c r="A2819" s="1">
        <v>44823</v>
      </c>
      <c r="B2819">
        <v>154703</v>
      </c>
      <c r="C2819">
        <v>76747</v>
      </c>
      <c r="D2819">
        <v>77956</v>
      </c>
      <c r="E2819">
        <v>118723353</v>
      </c>
      <c r="F2819">
        <v>97897534</v>
      </c>
      <c r="G2819">
        <v>216620887</v>
      </c>
      <c r="H2819">
        <v>43575</v>
      </c>
      <c r="I2819">
        <v>11344</v>
      </c>
      <c r="J2819">
        <v>54919</v>
      </c>
      <c r="K2819" t="b">
        <f>TrafficData[[#This Row],[disposedChallan]]+TrafficData[[#This Row],[pendingChallan]]=TrafficData[[#This Row],[totalChallan]]</f>
        <v>1</v>
      </c>
      <c r="L2819" t="b">
        <f>TrafficData[[#This Row],[pendingAmount]]+TrafficData[[#This Row],[disposedAmount]]=TrafficData[[#This Row],[totalAmount]]</f>
        <v>1</v>
      </c>
      <c r="M2819" t="b">
        <f>TrafficData[[#This Row],[pendingCourt]]+TrafficData[[#This Row],[disposedCourt]]=TrafficData[[#This Row],[totalCourt]]</f>
        <v>1</v>
      </c>
      <c r="N2819" t="b">
        <f>AND(TrafficData[[#This Row],[disposedChallan]]&lt;=TrafficData[[#This Row],[totalChallan]],TrafficData[[#This Row],[pendingChallan]]&lt;=TrafficData[[#This Row],[totalChallan]])</f>
        <v>1</v>
      </c>
      <c r="O2819" t="b">
        <f>AND(TrafficData[[#This Row],[pendingAmount]]&lt;=TrafficData[[#This Row],[totalAmount]],TrafficData[[#This Row],[disposedAmount]]&lt;=TrafficData[[#This Row],[totalAmount]])</f>
        <v>1</v>
      </c>
      <c r="P2819" t="b">
        <f>AND(TrafficData[[#This Row],[pendingCourt]]&lt;=TrafficData[[#This Row],[totalCourt]],TrafficData[[#This Row],[disposedCourt]]&lt;=TrafficData[[#This Row],[totalCourt]])</f>
        <v>1</v>
      </c>
    </row>
    <row r="2820" spans="1:16">
      <c r="A2820" s="1">
        <v>44824</v>
      </c>
      <c r="B2820">
        <v>154714</v>
      </c>
      <c r="C2820">
        <v>78896</v>
      </c>
      <c r="D2820">
        <v>75818</v>
      </c>
      <c r="E2820">
        <v>112643937</v>
      </c>
      <c r="F2820">
        <v>111398181</v>
      </c>
      <c r="G2820">
        <v>224042118</v>
      </c>
      <c r="H2820">
        <v>39981</v>
      </c>
      <c r="I2820">
        <v>10909</v>
      </c>
      <c r="J2820">
        <v>50890</v>
      </c>
      <c r="K2820" t="b">
        <f>TrafficData[[#This Row],[disposedChallan]]+TrafficData[[#This Row],[pendingChallan]]=TrafficData[[#This Row],[totalChallan]]</f>
        <v>1</v>
      </c>
      <c r="L2820" t="b">
        <f>TrafficData[[#This Row],[pendingAmount]]+TrafficData[[#This Row],[disposedAmount]]=TrafficData[[#This Row],[totalAmount]]</f>
        <v>1</v>
      </c>
      <c r="M2820" t="b">
        <f>TrafficData[[#This Row],[pendingCourt]]+TrafficData[[#This Row],[disposedCourt]]=TrafficData[[#This Row],[totalCourt]]</f>
        <v>1</v>
      </c>
      <c r="N2820" t="b">
        <f>AND(TrafficData[[#This Row],[disposedChallan]]&lt;=TrafficData[[#This Row],[totalChallan]],TrafficData[[#This Row],[pendingChallan]]&lt;=TrafficData[[#This Row],[totalChallan]])</f>
        <v>1</v>
      </c>
      <c r="O2820" t="b">
        <f>AND(TrafficData[[#This Row],[pendingAmount]]&lt;=TrafficData[[#This Row],[totalAmount]],TrafficData[[#This Row],[disposedAmount]]&lt;=TrafficData[[#This Row],[totalAmount]])</f>
        <v>1</v>
      </c>
      <c r="P2820" t="b">
        <f>AND(TrafficData[[#This Row],[pendingCourt]]&lt;=TrafficData[[#This Row],[totalCourt]],TrafficData[[#This Row],[disposedCourt]]&lt;=TrafficData[[#This Row],[totalCourt]])</f>
        <v>1</v>
      </c>
    </row>
    <row r="2821" spans="1:16">
      <c r="A2821" s="1">
        <v>44825</v>
      </c>
      <c r="B2821">
        <v>143152</v>
      </c>
      <c r="C2821">
        <v>74153</v>
      </c>
      <c r="D2821">
        <v>68999</v>
      </c>
      <c r="E2821">
        <v>104842299</v>
      </c>
      <c r="F2821">
        <v>106805469</v>
      </c>
      <c r="G2821">
        <v>211647768</v>
      </c>
      <c r="H2821">
        <v>38828</v>
      </c>
      <c r="I2821">
        <v>10036</v>
      </c>
      <c r="J2821">
        <v>48864</v>
      </c>
      <c r="K2821" t="b">
        <f>TrafficData[[#This Row],[disposedChallan]]+TrafficData[[#This Row],[pendingChallan]]=TrafficData[[#This Row],[totalChallan]]</f>
        <v>1</v>
      </c>
      <c r="L2821" t="b">
        <f>TrafficData[[#This Row],[pendingAmount]]+TrafficData[[#This Row],[disposedAmount]]=TrafficData[[#This Row],[totalAmount]]</f>
        <v>1</v>
      </c>
      <c r="M2821" t="b">
        <f>TrafficData[[#This Row],[pendingCourt]]+TrafficData[[#This Row],[disposedCourt]]=TrafficData[[#This Row],[totalCourt]]</f>
        <v>1</v>
      </c>
      <c r="N2821" t="b">
        <f>AND(TrafficData[[#This Row],[disposedChallan]]&lt;=TrafficData[[#This Row],[totalChallan]],TrafficData[[#This Row],[pendingChallan]]&lt;=TrafficData[[#This Row],[totalChallan]])</f>
        <v>1</v>
      </c>
      <c r="O2821" t="b">
        <f>AND(TrafficData[[#This Row],[pendingAmount]]&lt;=TrafficData[[#This Row],[totalAmount]],TrafficData[[#This Row],[disposedAmount]]&lt;=TrafficData[[#This Row],[totalAmount]])</f>
        <v>1</v>
      </c>
      <c r="P2821" t="b">
        <f>AND(TrafficData[[#This Row],[pendingCourt]]&lt;=TrafficData[[#This Row],[totalCourt]],TrafficData[[#This Row],[disposedCourt]]&lt;=TrafficData[[#This Row],[totalCourt]])</f>
        <v>1</v>
      </c>
    </row>
    <row r="2822" spans="1:16">
      <c r="A2822" s="1">
        <v>44826</v>
      </c>
      <c r="B2822">
        <v>141763</v>
      </c>
      <c r="C2822">
        <v>74145</v>
      </c>
      <c r="D2822">
        <v>67618</v>
      </c>
      <c r="E2822">
        <v>107290609</v>
      </c>
      <c r="F2822">
        <v>101815499</v>
      </c>
      <c r="G2822">
        <v>209106108</v>
      </c>
      <c r="H2822">
        <v>37186</v>
      </c>
      <c r="I2822">
        <v>9823</v>
      </c>
      <c r="J2822">
        <v>47009</v>
      </c>
      <c r="K2822" t="b">
        <f>TrafficData[[#This Row],[disposedChallan]]+TrafficData[[#This Row],[pendingChallan]]=TrafficData[[#This Row],[totalChallan]]</f>
        <v>1</v>
      </c>
      <c r="L2822" t="b">
        <f>TrafficData[[#This Row],[pendingAmount]]+TrafficData[[#This Row],[disposedAmount]]=TrafficData[[#This Row],[totalAmount]]</f>
        <v>1</v>
      </c>
      <c r="M2822" t="b">
        <f>TrafficData[[#This Row],[pendingCourt]]+TrafficData[[#This Row],[disposedCourt]]=TrafficData[[#This Row],[totalCourt]]</f>
        <v>1</v>
      </c>
      <c r="N2822" t="b">
        <f>AND(TrafficData[[#This Row],[disposedChallan]]&lt;=TrafficData[[#This Row],[totalChallan]],TrafficData[[#This Row],[pendingChallan]]&lt;=TrafficData[[#This Row],[totalChallan]])</f>
        <v>1</v>
      </c>
      <c r="O2822" t="b">
        <f>AND(TrafficData[[#This Row],[pendingAmount]]&lt;=TrafficData[[#This Row],[totalAmount]],TrafficData[[#This Row],[disposedAmount]]&lt;=TrafficData[[#This Row],[totalAmount]])</f>
        <v>1</v>
      </c>
      <c r="P2822" t="b">
        <f>AND(TrafficData[[#This Row],[pendingCourt]]&lt;=TrafficData[[#This Row],[totalCourt]],TrafficData[[#This Row],[disposedCourt]]&lt;=TrafficData[[#This Row],[totalCourt]])</f>
        <v>1</v>
      </c>
    </row>
    <row r="2823" spans="1:16">
      <c r="A2823" s="1">
        <v>44827</v>
      </c>
      <c r="B2823">
        <v>127110</v>
      </c>
      <c r="C2823">
        <v>61084</v>
      </c>
      <c r="D2823">
        <v>66026</v>
      </c>
      <c r="E2823">
        <v>91573502</v>
      </c>
      <c r="F2823">
        <v>93067235</v>
      </c>
      <c r="G2823">
        <v>184640737</v>
      </c>
      <c r="H2823">
        <v>33632</v>
      </c>
      <c r="I2823">
        <v>8747</v>
      </c>
      <c r="J2823">
        <v>42379</v>
      </c>
      <c r="K2823" t="b">
        <f>TrafficData[[#This Row],[disposedChallan]]+TrafficData[[#This Row],[pendingChallan]]=TrafficData[[#This Row],[totalChallan]]</f>
        <v>1</v>
      </c>
      <c r="L2823" t="b">
        <f>TrafficData[[#This Row],[pendingAmount]]+TrafficData[[#This Row],[disposedAmount]]=TrafficData[[#This Row],[totalAmount]]</f>
        <v>1</v>
      </c>
      <c r="M2823" t="b">
        <f>TrafficData[[#This Row],[pendingCourt]]+TrafficData[[#This Row],[disposedCourt]]=TrafficData[[#This Row],[totalCourt]]</f>
        <v>1</v>
      </c>
      <c r="N2823" t="b">
        <f>AND(TrafficData[[#This Row],[disposedChallan]]&lt;=TrafficData[[#This Row],[totalChallan]],TrafficData[[#This Row],[pendingChallan]]&lt;=TrafficData[[#This Row],[totalChallan]])</f>
        <v>1</v>
      </c>
      <c r="O2823" t="b">
        <f>AND(TrafficData[[#This Row],[pendingAmount]]&lt;=TrafficData[[#This Row],[totalAmount]],TrafficData[[#This Row],[disposedAmount]]&lt;=TrafficData[[#This Row],[totalAmount]])</f>
        <v>1</v>
      </c>
      <c r="P2823" t="b">
        <f>AND(TrafficData[[#This Row],[pendingCourt]]&lt;=TrafficData[[#This Row],[totalCourt]],TrafficData[[#This Row],[disposedCourt]]&lt;=TrafficData[[#This Row],[totalCourt]])</f>
        <v>1</v>
      </c>
    </row>
    <row r="2824" spans="1:16">
      <c r="A2824" s="1">
        <v>44828</v>
      </c>
      <c r="B2824">
        <v>142031</v>
      </c>
      <c r="C2824">
        <v>73001</v>
      </c>
      <c r="D2824">
        <v>69030</v>
      </c>
      <c r="E2824">
        <v>86937441</v>
      </c>
      <c r="F2824">
        <v>84890922</v>
      </c>
      <c r="G2824">
        <v>171828363</v>
      </c>
      <c r="H2824">
        <v>34500</v>
      </c>
      <c r="I2824">
        <v>9241</v>
      </c>
      <c r="J2824">
        <v>43741</v>
      </c>
      <c r="K2824" t="b">
        <f>TrafficData[[#This Row],[disposedChallan]]+TrafficData[[#This Row],[pendingChallan]]=TrafficData[[#This Row],[totalChallan]]</f>
        <v>1</v>
      </c>
      <c r="L2824" t="b">
        <f>TrafficData[[#This Row],[pendingAmount]]+TrafficData[[#This Row],[disposedAmount]]=TrafficData[[#This Row],[totalAmount]]</f>
        <v>1</v>
      </c>
      <c r="M2824" t="b">
        <f>TrafficData[[#This Row],[pendingCourt]]+TrafficData[[#This Row],[disposedCourt]]=TrafficData[[#This Row],[totalCourt]]</f>
        <v>1</v>
      </c>
      <c r="N2824" t="b">
        <f>AND(TrafficData[[#This Row],[disposedChallan]]&lt;=TrafficData[[#This Row],[totalChallan]],TrafficData[[#This Row],[pendingChallan]]&lt;=TrafficData[[#This Row],[totalChallan]])</f>
        <v>1</v>
      </c>
      <c r="O2824" t="b">
        <f>AND(TrafficData[[#This Row],[pendingAmount]]&lt;=TrafficData[[#This Row],[totalAmount]],TrafficData[[#This Row],[disposedAmount]]&lt;=TrafficData[[#This Row],[totalAmount]])</f>
        <v>1</v>
      </c>
      <c r="P2824" t="b">
        <f>AND(TrafficData[[#This Row],[pendingCourt]]&lt;=TrafficData[[#This Row],[totalCourt]],TrafficData[[#This Row],[disposedCourt]]&lt;=TrafficData[[#This Row],[totalCourt]])</f>
        <v>1</v>
      </c>
    </row>
    <row r="2825" spans="1:16">
      <c r="A2825" s="1">
        <v>44829</v>
      </c>
      <c r="B2825">
        <v>126662</v>
      </c>
      <c r="C2825">
        <v>60543</v>
      </c>
      <c r="D2825">
        <v>66119</v>
      </c>
      <c r="E2825">
        <v>92633271</v>
      </c>
      <c r="F2825">
        <v>63420163</v>
      </c>
      <c r="G2825">
        <v>156053434</v>
      </c>
      <c r="H2825">
        <v>34079</v>
      </c>
      <c r="I2825">
        <v>9005</v>
      </c>
      <c r="J2825">
        <v>43084</v>
      </c>
      <c r="K2825" t="b">
        <f>TrafficData[[#This Row],[disposedChallan]]+TrafficData[[#This Row],[pendingChallan]]=TrafficData[[#This Row],[totalChallan]]</f>
        <v>1</v>
      </c>
      <c r="L2825" t="b">
        <f>TrafficData[[#This Row],[pendingAmount]]+TrafficData[[#This Row],[disposedAmount]]=TrafficData[[#This Row],[totalAmount]]</f>
        <v>1</v>
      </c>
      <c r="M2825" t="b">
        <f>TrafficData[[#This Row],[pendingCourt]]+TrafficData[[#This Row],[disposedCourt]]=TrafficData[[#This Row],[totalCourt]]</f>
        <v>1</v>
      </c>
      <c r="N2825" t="b">
        <f>AND(TrafficData[[#This Row],[disposedChallan]]&lt;=TrafficData[[#This Row],[totalChallan]],TrafficData[[#This Row],[pendingChallan]]&lt;=TrafficData[[#This Row],[totalChallan]])</f>
        <v>1</v>
      </c>
      <c r="O2825" t="b">
        <f>AND(TrafficData[[#This Row],[pendingAmount]]&lt;=TrafficData[[#This Row],[totalAmount]],TrafficData[[#This Row],[disposedAmount]]&lt;=TrafficData[[#This Row],[totalAmount]])</f>
        <v>1</v>
      </c>
      <c r="P2825" t="b">
        <f>AND(TrafficData[[#This Row],[pendingCourt]]&lt;=TrafficData[[#This Row],[totalCourt]],TrafficData[[#This Row],[disposedCourt]]&lt;=TrafficData[[#This Row],[totalCourt]])</f>
        <v>1</v>
      </c>
    </row>
    <row r="2826" spans="1:16">
      <c r="A2826" s="1">
        <v>44830</v>
      </c>
      <c r="B2826">
        <v>145347</v>
      </c>
      <c r="C2826">
        <v>71766</v>
      </c>
      <c r="D2826">
        <v>73581</v>
      </c>
      <c r="E2826">
        <v>108822478</v>
      </c>
      <c r="F2826">
        <v>82740899</v>
      </c>
      <c r="G2826">
        <v>191563377</v>
      </c>
      <c r="H2826">
        <v>39471</v>
      </c>
      <c r="I2826">
        <v>10812</v>
      </c>
      <c r="J2826">
        <v>50283</v>
      </c>
      <c r="K2826" t="b">
        <f>TrafficData[[#This Row],[disposedChallan]]+TrafficData[[#This Row],[pendingChallan]]=TrafficData[[#This Row],[totalChallan]]</f>
        <v>1</v>
      </c>
      <c r="L2826" t="b">
        <f>TrafficData[[#This Row],[pendingAmount]]+TrafficData[[#This Row],[disposedAmount]]=TrafficData[[#This Row],[totalAmount]]</f>
        <v>1</v>
      </c>
      <c r="M2826" t="b">
        <f>TrafficData[[#This Row],[pendingCourt]]+TrafficData[[#This Row],[disposedCourt]]=TrafficData[[#This Row],[totalCourt]]</f>
        <v>1</v>
      </c>
      <c r="N2826" t="b">
        <f>AND(TrafficData[[#This Row],[disposedChallan]]&lt;=TrafficData[[#This Row],[totalChallan]],TrafficData[[#This Row],[pendingChallan]]&lt;=TrafficData[[#This Row],[totalChallan]])</f>
        <v>1</v>
      </c>
      <c r="O2826" t="b">
        <f>AND(TrafficData[[#This Row],[pendingAmount]]&lt;=TrafficData[[#This Row],[totalAmount]],TrafficData[[#This Row],[disposedAmount]]&lt;=TrafficData[[#This Row],[totalAmount]])</f>
        <v>1</v>
      </c>
      <c r="P2826" t="b">
        <f>AND(TrafficData[[#This Row],[pendingCourt]]&lt;=TrafficData[[#This Row],[totalCourt]],TrafficData[[#This Row],[disposedCourt]]&lt;=TrafficData[[#This Row],[totalCourt]])</f>
        <v>1</v>
      </c>
    </row>
    <row r="2827" spans="1:16">
      <c r="A2827" s="1">
        <v>44831</v>
      </c>
      <c r="B2827">
        <v>148904</v>
      </c>
      <c r="C2827">
        <v>73743</v>
      </c>
      <c r="D2827">
        <v>75161</v>
      </c>
      <c r="E2827">
        <v>114242221</v>
      </c>
      <c r="F2827">
        <v>99049980</v>
      </c>
      <c r="G2827">
        <v>213292201</v>
      </c>
      <c r="H2827">
        <v>41019</v>
      </c>
      <c r="I2827">
        <v>10618</v>
      </c>
      <c r="J2827">
        <v>51637</v>
      </c>
      <c r="K2827" t="b">
        <f>TrafficData[[#This Row],[disposedChallan]]+TrafficData[[#This Row],[pendingChallan]]=TrafficData[[#This Row],[totalChallan]]</f>
        <v>1</v>
      </c>
      <c r="L2827" t="b">
        <f>TrafficData[[#This Row],[pendingAmount]]+TrafficData[[#This Row],[disposedAmount]]=TrafficData[[#This Row],[totalAmount]]</f>
        <v>1</v>
      </c>
      <c r="M2827" t="b">
        <f>TrafficData[[#This Row],[pendingCourt]]+TrafficData[[#This Row],[disposedCourt]]=TrafficData[[#This Row],[totalCourt]]</f>
        <v>1</v>
      </c>
      <c r="N2827" t="b">
        <f>AND(TrafficData[[#This Row],[disposedChallan]]&lt;=TrafficData[[#This Row],[totalChallan]],TrafficData[[#This Row],[pendingChallan]]&lt;=TrafficData[[#This Row],[totalChallan]])</f>
        <v>1</v>
      </c>
      <c r="O2827" t="b">
        <f>AND(TrafficData[[#This Row],[pendingAmount]]&lt;=TrafficData[[#This Row],[totalAmount]],TrafficData[[#This Row],[disposedAmount]]&lt;=TrafficData[[#This Row],[totalAmount]])</f>
        <v>1</v>
      </c>
      <c r="P2827" t="b">
        <f>AND(TrafficData[[#This Row],[pendingCourt]]&lt;=TrafficData[[#This Row],[totalCourt]],TrafficData[[#This Row],[disposedCourt]]&lt;=TrafficData[[#This Row],[totalCourt]])</f>
        <v>1</v>
      </c>
    </row>
    <row r="2828" spans="1:16">
      <c r="A2828" s="1">
        <v>44832</v>
      </c>
      <c r="B2828">
        <v>151233</v>
      </c>
      <c r="C2828">
        <v>74865</v>
      </c>
      <c r="D2828">
        <v>76368</v>
      </c>
      <c r="E2828">
        <v>115221275</v>
      </c>
      <c r="F2828">
        <v>102175069</v>
      </c>
      <c r="G2828">
        <v>217396344</v>
      </c>
      <c r="H2828">
        <v>42650</v>
      </c>
      <c r="I2828">
        <v>10793</v>
      </c>
      <c r="J2828">
        <v>53443</v>
      </c>
      <c r="K2828" t="b">
        <f>TrafficData[[#This Row],[disposedChallan]]+TrafficData[[#This Row],[pendingChallan]]=TrafficData[[#This Row],[totalChallan]]</f>
        <v>1</v>
      </c>
      <c r="L2828" t="b">
        <f>TrafficData[[#This Row],[pendingAmount]]+TrafficData[[#This Row],[disposedAmount]]=TrafficData[[#This Row],[totalAmount]]</f>
        <v>1</v>
      </c>
      <c r="M2828" t="b">
        <f>TrafficData[[#This Row],[pendingCourt]]+TrafficData[[#This Row],[disposedCourt]]=TrafficData[[#This Row],[totalCourt]]</f>
        <v>1</v>
      </c>
      <c r="N2828" t="b">
        <f>AND(TrafficData[[#This Row],[disposedChallan]]&lt;=TrafficData[[#This Row],[totalChallan]],TrafficData[[#This Row],[pendingChallan]]&lt;=TrafficData[[#This Row],[totalChallan]])</f>
        <v>1</v>
      </c>
      <c r="O2828" t="b">
        <f>AND(TrafficData[[#This Row],[pendingAmount]]&lt;=TrafficData[[#This Row],[totalAmount]],TrafficData[[#This Row],[disposedAmount]]&lt;=TrafficData[[#This Row],[totalAmount]])</f>
        <v>1</v>
      </c>
      <c r="P2828" t="b">
        <f>AND(TrafficData[[#This Row],[pendingCourt]]&lt;=TrafficData[[#This Row],[totalCourt]],TrafficData[[#This Row],[disposedCourt]]&lt;=TrafficData[[#This Row],[totalCourt]])</f>
        <v>1</v>
      </c>
    </row>
    <row r="2829" spans="1:16">
      <c r="A2829" s="1">
        <v>44833</v>
      </c>
      <c r="B2829">
        <v>153425</v>
      </c>
      <c r="C2829">
        <v>75960</v>
      </c>
      <c r="D2829">
        <v>77465</v>
      </c>
      <c r="E2829">
        <v>110445958</v>
      </c>
      <c r="F2829">
        <v>92974831</v>
      </c>
      <c r="G2829">
        <v>203420789</v>
      </c>
      <c r="H2829">
        <v>43024</v>
      </c>
      <c r="I2829">
        <v>11091</v>
      </c>
      <c r="J2829">
        <v>54115</v>
      </c>
      <c r="K2829" t="b">
        <f>TrafficData[[#This Row],[disposedChallan]]+TrafficData[[#This Row],[pendingChallan]]=TrafficData[[#This Row],[totalChallan]]</f>
        <v>1</v>
      </c>
      <c r="L2829" t="b">
        <f>TrafficData[[#This Row],[pendingAmount]]+TrafficData[[#This Row],[disposedAmount]]=TrafficData[[#This Row],[totalAmount]]</f>
        <v>1</v>
      </c>
      <c r="M2829" t="b">
        <f>TrafficData[[#This Row],[pendingCourt]]+TrafficData[[#This Row],[disposedCourt]]=TrafficData[[#This Row],[totalCourt]]</f>
        <v>1</v>
      </c>
      <c r="N2829" t="b">
        <f>AND(TrafficData[[#This Row],[disposedChallan]]&lt;=TrafficData[[#This Row],[totalChallan]],TrafficData[[#This Row],[pendingChallan]]&lt;=TrafficData[[#This Row],[totalChallan]])</f>
        <v>1</v>
      </c>
      <c r="O2829" t="b">
        <f>AND(TrafficData[[#This Row],[pendingAmount]]&lt;=TrafficData[[#This Row],[totalAmount]],TrafficData[[#This Row],[disposedAmount]]&lt;=TrafficData[[#This Row],[totalAmount]])</f>
        <v>1</v>
      </c>
      <c r="P2829" t="b">
        <f>AND(TrafficData[[#This Row],[pendingCourt]]&lt;=TrafficData[[#This Row],[totalCourt]],TrafficData[[#This Row],[disposedCourt]]&lt;=TrafficData[[#This Row],[totalCourt]])</f>
        <v>1</v>
      </c>
    </row>
    <row r="2830" spans="1:16">
      <c r="A2830" s="1">
        <v>44834</v>
      </c>
      <c r="B2830">
        <v>146840</v>
      </c>
      <c r="C2830">
        <v>72298</v>
      </c>
      <c r="D2830">
        <v>74542</v>
      </c>
      <c r="E2830">
        <v>110272060</v>
      </c>
      <c r="F2830">
        <v>82802032</v>
      </c>
      <c r="G2830">
        <v>193074092</v>
      </c>
      <c r="H2830">
        <v>42671</v>
      </c>
      <c r="I2830">
        <v>10983</v>
      </c>
      <c r="J2830">
        <v>53654</v>
      </c>
      <c r="K2830" t="b">
        <f>TrafficData[[#This Row],[disposedChallan]]+TrafficData[[#This Row],[pendingChallan]]=TrafficData[[#This Row],[totalChallan]]</f>
        <v>1</v>
      </c>
      <c r="L2830" t="b">
        <f>TrafficData[[#This Row],[pendingAmount]]+TrafficData[[#This Row],[disposedAmount]]=TrafficData[[#This Row],[totalAmount]]</f>
        <v>1</v>
      </c>
      <c r="M2830" t="b">
        <f>TrafficData[[#This Row],[pendingCourt]]+TrafficData[[#This Row],[disposedCourt]]=TrafficData[[#This Row],[totalCourt]]</f>
        <v>1</v>
      </c>
      <c r="N2830" t="b">
        <f>AND(TrafficData[[#This Row],[disposedChallan]]&lt;=TrafficData[[#This Row],[totalChallan]],TrafficData[[#This Row],[pendingChallan]]&lt;=TrafficData[[#This Row],[totalChallan]])</f>
        <v>1</v>
      </c>
      <c r="O2830" t="b">
        <f>AND(TrafficData[[#This Row],[pendingAmount]]&lt;=TrafficData[[#This Row],[totalAmount]],TrafficData[[#This Row],[disposedAmount]]&lt;=TrafficData[[#This Row],[totalAmount]])</f>
        <v>1</v>
      </c>
      <c r="P2830" t="b">
        <f>AND(TrafficData[[#This Row],[pendingCourt]]&lt;=TrafficData[[#This Row],[totalCourt]],TrafficData[[#This Row],[disposedCourt]]&lt;=TrafficData[[#This Row],[totalCourt]])</f>
        <v>1</v>
      </c>
    </row>
    <row r="2831" spans="1:16">
      <c r="A2831" s="1">
        <v>44835</v>
      </c>
      <c r="B2831">
        <v>149022</v>
      </c>
      <c r="C2831">
        <v>78376</v>
      </c>
      <c r="D2831">
        <v>70646</v>
      </c>
      <c r="E2831">
        <v>101669332</v>
      </c>
      <c r="F2831">
        <v>104598815</v>
      </c>
      <c r="G2831">
        <v>206268147</v>
      </c>
      <c r="H2831">
        <v>39290</v>
      </c>
      <c r="I2831">
        <v>10408</v>
      </c>
      <c r="J2831">
        <v>49698</v>
      </c>
      <c r="K2831" t="b">
        <f>TrafficData[[#This Row],[disposedChallan]]+TrafficData[[#This Row],[pendingChallan]]=TrafficData[[#This Row],[totalChallan]]</f>
        <v>1</v>
      </c>
      <c r="L2831" t="b">
        <f>TrafficData[[#This Row],[pendingAmount]]+TrafficData[[#This Row],[disposedAmount]]=TrafficData[[#This Row],[totalAmount]]</f>
        <v>1</v>
      </c>
      <c r="M2831" t="b">
        <f>TrafficData[[#This Row],[pendingCourt]]+TrafficData[[#This Row],[disposedCourt]]=TrafficData[[#This Row],[totalCourt]]</f>
        <v>1</v>
      </c>
      <c r="N2831" t="b">
        <f>AND(TrafficData[[#This Row],[disposedChallan]]&lt;=TrafficData[[#This Row],[totalChallan]],TrafficData[[#This Row],[pendingChallan]]&lt;=TrafficData[[#This Row],[totalChallan]])</f>
        <v>1</v>
      </c>
      <c r="O2831" t="b">
        <f>AND(TrafficData[[#This Row],[pendingAmount]]&lt;=TrafficData[[#This Row],[totalAmount]],TrafficData[[#This Row],[disposedAmount]]&lt;=TrafficData[[#This Row],[totalAmount]])</f>
        <v>1</v>
      </c>
      <c r="P2831" t="b">
        <f>AND(TrafficData[[#This Row],[pendingCourt]]&lt;=TrafficData[[#This Row],[totalCourt]],TrafficData[[#This Row],[disposedCourt]]&lt;=TrafficData[[#This Row],[totalCourt]])</f>
        <v>1</v>
      </c>
    </row>
    <row r="2832" spans="1:16">
      <c r="A2832" s="1">
        <v>44836</v>
      </c>
      <c r="B2832">
        <v>138587</v>
      </c>
      <c r="C2832">
        <v>67639</v>
      </c>
      <c r="D2832">
        <v>70948</v>
      </c>
      <c r="E2832">
        <v>94833283</v>
      </c>
      <c r="F2832">
        <v>80473605</v>
      </c>
      <c r="G2832">
        <v>175306888</v>
      </c>
      <c r="H2832">
        <v>42488</v>
      </c>
      <c r="I2832">
        <v>10823</v>
      </c>
      <c r="J2832">
        <v>53311</v>
      </c>
      <c r="K2832" t="b">
        <f>TrafficData[[#This Row],[disposedChallan]]+TrafficData[[#This Row],[pendingChallan]]=TrafficData[[#This Row],[totalChallan]]</f>
        <v>1</v>
      </c>
      <c r="L2832" t="b">
        <f>TrafficData[[#This Row],[pendingAmount]]+TrafficData[[#This Row],[disposedAmount]]=TrafficData[[#This Row],[totalAmount]]</f>
        <v>1</v>
      </c>
      <c r="M2832" t="b">
        <f>TrafficData[[#This Row],[pendingCourt]]+TrafficData[[#This Row],[disposedCourt]]=TrafficData[[#This Row],[totalCourt]]</f>
        <v>1</v>
      </c>
      <c r="N2832" t="b">
        <f>AND(TrafficData[[#This Row],[disposedChallan]]&lt;=TrafficData[[#This Row],[totalChallan]],TrafficData[[#This Row],[pendingChallan]]&lt;=TrafficData[[#This Row],[totalChallan]])</f>
        <v>1</v>
      </c>
      <c r="O2832" t="b">
        <f>AND(TrafficData[[#This Row],[pendingAmount]]&lt;=TrafficData[[#This Row],[totalAmount]],TrafficData[[#This Row],[disposedAmount]]&lt;=TrafficData[[#This Row],[totalAmount]])</f>
        <v>1</v>
      </c>
      <c r="P2832" t="b">
        <f>AND(TrafficData[[#This Row],[pendingCourt]]&lt;=TrafficData[[#This Row],[totalCourt]],TrafficData[[#This Row],[disposedCourt]]&lt;=TrafficData[[#This Row],[totalCourt]])</f>
        <v>1</v>
      </c>
    </row>
    <row r="2833" spans="1:16">
      <c r="A2833" s="1">
        <v>44837</v>
      </c>
      <c r="B2833">
        <v>144515</v>
      </c>
      <c r="C2833">
        <v>73691</v>
      </c>
      <c r="D2833">
        <v>70824</v>
      </c>
      <c r="E2833">
        <v>104925429</v>
      </c>
      <c r="F2833">
        <v>95072862</v>
      </c>
      <c r="G2833">
        <v>199998291</v>
      </c>
      <c r="H2833">
        <v>43648</v>
      </c>
      <c r="I2833">
        <v>11621</v>
      </c>
      <c r="J2833">
        <v>55269</v>
      </c>
      <c r="K2833" t="b">
        <f>TrafficData[[#This Row],[disposedChallan]]+TrafficData[[#This Row],[pendingChallan]]=TrafficData[[#This Row],[totalChallan]]</f>
        <v>1</v>
      </c>
      <c r="L2833" t="b">
        <f>TrafficData[[#This Row],[pendingAmount]]+TrafficData[[#This Row],[disposedAmount]]=TrafficData[[#This Row],[totalAmount]]</f>
        <v>1</v>
      </c>
      <c r="M2833" t="b">
        <f>TrafficData[[#This Row],[pendingCourt]]+TrafficData[[#This Row],[disposedCourt]]=TrafficData[[#This Row],[totalCourt]]</f>
        <v>1</v>
      </c>
      <c r="N2833" t="b">
        <f>AND(TrafficData[[#This Row],[disposedChallan]]&lt;=TrafficData[[#This Row],[totalChallan]],TrafficData[[#This Row],[pendingChallan]]&lt;=TrafficData[[#This Row],[totalChallan]])</f>
        <v>1</v>
      </c>
      <c r="O2833" t="b">
        <f>AND(TrafficData[[#This Row],[pendingAmount]]&lt;=TrafficData[[#This Row],[totalAmount]],TrafficData[[#This Row],[disposedAmount]]&lt;=TrafficData[[#This Row],[totalAmount]])</f>
        <v>1</v>
      </c>
      <c r="P2833" t="b">
        <f>AND(TrafficData[[#This Row],[pendingCourt]]&lt;=TrafficData[[#This Row],[totalCourt]],TrafficData[[#This Row],[disposedCourt]]&lt;=TrafficData[[#This Row],[totalCourt]])</f>
        <v>1</v>
      </c>
    </row>
    <row r="2834" spans="1:16">
      <c r="A2834" s="1">
        <v>44838</v>
      </c>
      <c r="B2834">
        <v>130117</v>
      </c>
      <c r="C2834">
        <v>64515</v>
      </c>
      <c r="D2834">
        <v>65602</v>
      </c>
      <c r="E2834">
        <v>95307698</v>
      </c>
      <c r="F2834">
        <v>82340273</v>
      </c>
      <c r="G2834">
        <v>177647971</v>
      </c>
      <c r="H2834">
        <v>40802</v>
      </c>
      <c r="I2834">
        <v>10539</v>
      </c>
      <c r="J2834">
        <v>51341</v>
      </c>
      <c r="K2834" t="b">
        <f>TrafficData[[#This Row],[disposedChallan]]+TrafficData[[#This Row],[pendingChallan]]=TrafficData[[#This Row],[totalChallan]]</f>
        <v>1</v>
      </c>
      <c r="L2834" t="b">
        <f>TrafficData[[#This Row],[pendingAmount]]+TrafficData[[#This Row],[disposedAmount]]=TrafficData[[#This Row],[totalAmount]]</f>
        <v>1</v>
      </c>
      <c r="M2834" t="b">
        <f>TrafficData[[#This Row],[pendingCourt]]+TrafficData[[#This Row],[disposedCourt]]=TrafficData[[#This Row],[totalCourt]]</f>
        <v>1</v>
      </c>
      <c r="N2834" t="b">
        <f>AND(TrafficData[[#This Row],[disposedChallan]]&lt;=TrafficData[[#This Row],[totalChallan]],TrafficData[[#This Row],[pendingChallan]]&lt;=TrafficData[[#This Row],[totalChallan]])</f>
        <v>1</v>
      </c>
      <c r="O2834" t="b">
        <f>AND(TrafficData[[#This Row],[pendingAmount]]&lt;=TrafficData[[#This Row],[totalAmount]],TrafficData[[#This Row],[disposedAmount]]&lt;=TrafficData[[#This Row],[totalAmount]])</f>
        <v>1</v>
      </c>
      <c r="P2834" t="b">
        <f>AND(TrafficData[[#This Row],[pendingCourt]]&lt;=TrafficData[[#This Row],[totalCourt]],TrafficData[[#This Row],[disposedCourt]]&lt;=TrafficData[[#This Row],[totalCourt]])</f>
        <v>1</v>
      </c>
    </row>
    <row r="2835" spans="1:16">
      <c r="A2835" s="1">
        <v>44839</v>
      </c>
      <c r="B2835">
        <v>115666</v>
      </c>
      <c r="C2835">
        <v>55795</v>
      </c>
      <c r="D2835">
        <v>59871</v>
      </c>
      <c r="E2835">
        <v>81424380</v>
      </c>
      <c r="F2835">
        <v>60315664</v>
      </c>
      <c r="G2835">
        <v>141740044</v>
      </c>
      <c r="H2835">
        <v>32782</v>
      </c>
      <c r="I2835">
        <v>8982</v>
      </c>
      <c r="J2835">
        <v>41764</v>
      </c>
      <c r="K2835" t="b">
        <f>TrafficData[[#This Row],[disposedChallan]]+TrafficData[[#This Row],[pendingChallan]]=TrafficData[[#This Row],[totalChallan]]</f>
        <v>1</v>
      </c>
      <c r="L2835" t="b">
        <f>TrafficData[[#This Row],[pendingAmount]]+TrafficData[[#This Row],[disposedAmount]]=TrafficData[[#This Row],[totalAmount]]</f>
        <v>1</v>
      </c>
      <c r="M2835" t="b">
        <f>TrafficData[[#This Row],[pendingCourt]]+TrafficData[[#This Row],[disposedCourt]]=TrafficData[[#This Row],[totalCourt]]</f>
        <v>1</v>
      </c>
      <c r="N2835" t="b">
        <f>AND(TrafficData[[#This Row],[disposedChallan]]&lt;=TrafficData[[#This Row],[totalChallan]],TrafficData[[#This Row],[pendingChallan]]&lt;=TrafficData[[#This Row],[totalChallan]])</f>
        <v>1</v>
      </c>
      <c r="O2835" t="b">
        <f>AND(TrafficData[[#This Row],[pendingAmount]]&lt;=TrafficData[[#This Row],[totalAmount]],TrafficData[[#This Row],[disposedAmount]]&lt;=TrafficData[[#This Row],[totalAmount]])</f>
        <v>1</v>
      </c>
      <c r="P2835" t="b">
        <f>AND(TrafficData[[#This Row],[pendingCourt]]&lt;=TrafficData[[#This Row],[totalCourt]],TrafficData[[#This Row],[disposedCourt]]&lt;=TrafficData[[#This Row],[totalCourt]])</f>
        <v>1</v>
      </c>
    </row>
    <row r="2836" spans="1:16">
      <c r="A2836" s="1">
        <v>44840</v>
      </c>
      <c r="B2836">
        <v>140617</v>
      </c>
      <c r="C2836">
        <v>71570</v>
      </c>
      <c r="D2836">
        <v>69047</v>
      </c>
      <c r="E2836">
        <v>102947149</v>
      </c>
      <c r="F2836">
        <v>91374476</v>
      </c>
      <c r="G2836">
        <v>194321625</v>
      </c>
      <c r="H2836">
        <v>38066</v>
      </c>
      <c r="I2836">
        <v>10334</v>
      </c>
      <c r="J2836">
        <v>48400</v>
      </c>
      <c r="K2836" t="b">
        <f>TrafficData[[#This Row],[disposedChallan]]+TrafficData[[#This Row],[pendingChallan]]=TrafficData[[#This Row],[totalChallan]]</f>
        <v>1</v>
      </c>
      <c r="L2836" t="b">
        <f>TrafficData[[#This Row],[pendingAmount]]+TrafficData[[#This Row],[disposedAmount]]=TrafficData[[#This Row],[totalAmount]]</f>
        <v>1</v>
      </c>
      <c r="M2836" t="b">
        <f>TrafficData[[#This Row],[pendingCourt]]+TrafficData[[#This Row],[disposedCourt]]=TrafficData[[#This Row],[totalCourt]]</f>
        <v>1</v>
      </c>
      <c r="N2836" t="b">
        <f>AND(TrafficData[[#This Row],[disposedChallan]]&lt;=TrafficData[[#This Row],[totalChallan]],TrafficData[[#This Row],[pendingChallan]]&lt;=TrafficData[[#This Row],[totalChallan]])</f>
        <v>1</v>
      </c>
      <c r="O2836" t="b">
        <f>AND(TrafficData[[#This Row],[pendingAmount]]&lt;=TrafficData[[#This Row],[totalAmount]],TrafficData[[#This Row],[disposedAmount]]&lt;=TrafficData[[#This Row],[totalAmount]])</f>
        <v>1</v>
      </c>
      <c r="P2836" t="b">
        <f>AND(TrafficData[[#This Row],[pendingCourt]]&lt;=TrafficData[[#This Row],[totalCourt]],TrafficData[[#This Row],[disposedCourt]]&lt;=TrafficData[[#This Row],[totalCourt]])</f>
        <v>1</v>
      </c>
    </row>
    <row r="2837" spans="1:16">
      <c r="A2837" s="1">
        <v>44841</v>
      </c>
      <c r="B2837">
        <v>145954</v>
      </c>
      <c r="C2837">
        <v>73778</v>
      </c>
      <c r="D2837">
        <v>72176</v>
      </c>
      <c r="E2837">
        <v>101378765</v>
      </c>
      <c r="F2837">
        <v>96910649</v>
      </c>
      <c r="G2837">
        <v>198289414</v>
      </c>
      <c r="H2837">
        <v>40841</v>
      </c>
      <c r="I2837">
        <v>10276</v>
      </c>
      <c r="J2837">
        <v>51117</v>
      </c>
      <c r="K2837" t="b">
        <f>TrafficData[[#This Row],[disposedChallan]]+TrafficData[[#This Row],[pendingChallan]]=TrafficData[[#This Row],[totalChallan]]</f>
        <v>1</v>
      </c>
      <c r="L2837" t="b">
        <f>TrafficData[[#This Row],[pendingAmount]]+TrafficData[[#This Row],[disposedAmount]]=TrafficData[[#This Row],[totalAmount]]</f>
        <v>1</v>
      </c>
      <c r="M2837" t="b">
        <f>TrafficData[[#This Row],[pendingCourt]]+TrafficData[[#This Row],[disposedCourt]]=TrafficData[[#This Row],[totalCourt]]</f>
        <v>1</v>
      </c>
      <c r="N2837" t="b">
        <f>AND(TrafficData[[#This Row],[disposedChallan]]&lt;=TrafficData[[#This Row],[totalChallan]],TrafficData[[#This Row],[pendingChallan]]&lt;=TrafficData[[#This Row],[totalChallan]])</f>
        <v>1</v>
      </c>
      <c r="O2837" t="b">
        <f>AND(TrafficData[[#This Row],[pendingAmount]]&lt;=TrafficData[[#This Row],[totalAmount]],TrafficData[[#This Row],[disposedAmount]]&lt;=TrafficData[[#This Row],[totalAmount]])</f>
        <v>1</v>
      </c>
      <c r="P2837" t="b">
        <f>AND(TrafficData[[#This Row],[pendingCourt]]&lt;=TrafficData[[#This Row],[totalCourt]],TrafficData[[#This Row],[disposedCourt]]&lt;=TrafficData[[#This Row],[totalCourt]])</f>
        <v>1</v>
      </c>
    </row>
    <row r="2838" spans="1:16">
      <c r="A2838" s="1">
        <v>44842</v>
      </c>
      <c r="B2838">
        <v>131745</v>
      </c>
      <c r="C2838">
        <v>71195</v>
      </c>
      <c r="D2838">
        <v>60550</v>
      </c>
      <c r="E2838">
        <v>79972112</v>
      </c>
      <c r="F2838">
        <v>91880400</v>
      </c>
      <c r="G2838">
        <v>171852512</v>
      </c>
      <c r="H2838">
        <v>31134</v>
      </c>
      <c r="I2838">
        <v>8255</v>
      </c>
      <c r="J2838">
        <v>39389</v>
      </c>
      <c r="K2838" t="b">
        <f>TrafficData[[#This Row],[disposedChallan]]+TrafficData[[#This Row],[pendingChallan]]=TrafficData[[#This Row],[totalChallan]]</f>
        <v>1</v>
      </c>
      <c r="L2838" t="b">
        <f>TrafficData[[#This Row],[pendingAmount]]+TrafficData[[#This Row],[disposedAmount]]=TrafficData[[#This Row],[totalAmount]]</f>
        <v>1</v>
      </c>
      <c r="M2838" t="b">
        <f>TrafficData[[#This Row],[pendingCourt]]+TrafficData[[#This Row],[disposedCourt]]=TrafficData[[#This Row],[totalCourt]]</f>
        <v>1</v>
      </c>
      <c r="N2838" t="b">
        <f>AND(TrafficData[[#This Row],[disposedChallan]]&lt;=TrafficData[[#This Row],[totalChallan]],TrafficData[[#This Row],[pendingChallan]]&lt;=TrafficData[[#This Row],[totalChallan]])</f>
        <v>1</v>
      </c>
      <c r="O2838" t="b">
        <f>AND(TrafficData[[#This Row],[pendingAmount]]&lt;=TrafficData[[#This Row],[totalAmount]],TrafficData[[#This Row],[disposedAmount]]&lt;=TrafficData[[#This Row],[totalAmount]])</f>
        <v>1</v>
      </c>
      <c r="P2838" t="b">
        <f>AND(TrafficData[[#This Row],[pendingCourt]]&lt;=TrafficData[[#This Row],[totalCourt]],TrafficData[[#This Row],[disposedCourt]]&lt;=TrafficData[[#This Row],[totalCourt]])</f>
        <v>1</v>
      </c>
    </row>
    <row r="2839" spans="1:16">
      <c r="A2839" s="1">
        <v>44843</v>
      </c>
      <c r="B2839">
        <v>110004</v>
      </c>
      <c r="C2839">
        <v>56544</v>
      </c>
      <c r="D2839">
        <v>53460</v>
      </c>
      <c r="E2839">
        <v>58062926</v>
      </c>
      <c r="F2839">
        <v>62835280</v>
      </c>
      <c r="G2839">
        <v>120898206</v>
      </c>
      <c r="H2839">
        <v>25058</v>
      </c>
      <c r="I2839">
        <v>6832</v>
      </c>
      <c r="J2839">
        <v>31890</v>
      </c>
      <c r="K2839" t="b">
        <f>TrafficData[[#This Row],[disposedChallan]]+TrafficData[[#This Row],[pendingChallan]]=TrafficData[[#This Row],[totalChallan]]</f>
        <v>1</v>
      </c>
      <c r="L2839" t="b">
        <f>TrafficData[[#This Row],[pendingAmount]]+TrafficData[[#This Row],[disposedAmount]]=TrafficData[[#This Row],[totalAmount]]</f>
        <v>1</v>
      </c>
      <c r="M2839" t="b">
        <f>TrafficData[[#This Row],[pendingCourt]]+TrafficData[[#This Row],[disposedCourt]]=TrafficData[[#This Row],[totalCourt]]</f>
        <v>1</v>
      </c>
      <c r="N2839" t="b">
        <f>AND(TrafficData[[#This Row],[disposedChallan]]&lt;=TrafficData[[#This Row],[totalChallan]],TrafficData[[#This Row],[pendingChallan]]&lt;=TrafficData[[#This Row],[totalChallan]])</f>
        <v>1</v>
      </c>
      <c r="O2839" t="b">
        <f>AND(TrafficData[[#This Row],[pendingAmount]]&lt;=TrafficData[[#This Row],[totalAmount]],TrafficData[[#This Row],[disposedAmount]]&lt;=TrafficData[[#This Row],[totalAmount]])</f>
        <v>1</v>
      </c>
      <c r="P2839" t="b">
        <f>AND(TrafficData[[#This Row],[pendingCourt]]&lt;=TrafficData[[#This Row],[totalCourt]],TrafficData[[#This Row],[disposedCourt]]&lt;=TrafficData[[#This Row],[totalCourt]])</f>
        <v>1</v>
      </c>
    </row>
    <row r="2840" spans="1:16">
      <c r="A2840" s="1">
        <v>44844</v>
      </c>
      <c r="B2840">
        <v>136147</v>
      </c>
      <c r="C2840">
        <v>70946</v>
      </c>
      <c r="D2840">
        <v>65201</v>
      </c>
      <c r="E2840">
        <v>92084720</v>
      </c>
      <c r="F2840">
        <v>86395119</v>
      </c>
      <c r="G2840">
        <v>178479839</v>
      </c>
      <c r="H2840">
        <v>35368</v>
      </c>
      <c r="I2840">
        <v>9344</v>
      </c>
      <c r="J2840">
        <v>44712</v>
      </c>
      <c r="K2840" t="b">
        <f>TrafficData[[#This Row],[disposedChallan]]+TrafficData[[#This Row],[pendingChallan]]=TrafficData[[#This Row],[totalChallan]]</f>
        <v>1</v>
      </c>
      <c r="L2840" t="b">
        <f>TrafficData[[#This Row],[pendingAmount]]+TrafficData[[#This Row],[disposedAmount]]=TrafficData[[#This Row],[totalAmount]]</f>
        <v>1</v>
      </c>
      <c r="M2840" t="b">
        <f>TrafficData[[#This Row],[pendingCourt]]+TrafficData[[#This Row],[disposedCourt]]=TrafficData[[#This Row],[totalCourt]]</f>
        <v>1</v>
      </c>
      <c r="N2840" t="b">
        <f>AND(TrafficData[[#This Row],[disposedChallan]]&lt;=TrafficData[[#This Row],[totalChallan]],TrafficData[[#This Row],[pendingChallan]]&lt;=TrafficData[[#This Row],[totalChallan]])</f>
        <v>1</v>
      </c>
      <c r="O2840" t="b">
        <f>AND(TrafficData[[#This Row],[pendingAmount]]&lt;=TrafficData[[#This Row],[totalAmount]],TrafficData[[#This Row],[disposedAmount]]&lt;=TrafficData[[#This Row],[totalAmount]])</f>
        <v>1</v>
      </c>
      <c r="P2840" t="b">
        <f>AND(TrafficData[[#This Row],[pendingCourt]]&lt;=TrafficData[[#This Row],[totalCourt]],TrafficData[[#This Row],[disposedCourt]]&lt;=TrafficData[[#This Row],[totalCourt]])</f>
        <v>1</v>
      </c>
    </row>
    <row r="2841" spans="1:16">
      <c r="A2841" s="1">
        <v>44845</v>
      </c>
      <c r="B2841">
        <v>143195</v>
      </c>
      <c r="C2841">
        <v>74444</v>
      </c>
      <c r="D2841">
        <v>68751</v>
      </c>
      <c r="E2841">
        <v>105171880</v>
      </c>
      <c r="F2841">
        <v>103897326</v>
      </c>
      <c r="G2841">
        <v>209069206</v>
      </c>
      <c r="H2841">
        <v>40207</v>
      </c>
      <c r="I2841">
        <v>10465</v>
      </c>
      <c r="J2841">
        <v>50672</v>
      </c>
      <c r="K2841" t="b">
        <f>TrafficData[[#This Row],[disposedChallan]]+TrafficData[[#This Row],[pendingChallan]]=TrafficData[[#This Row],[totalChallan]]</f>
        <v>1</v>
      </c>
      <c r="L2841" t="b">
        <f>TrafficData[[#This Row],[pendingAmount]]+TrafficData[[#This Row],[disposedAmount]]=TrafficData[[#This Row],[totalAmount]]</f>
        <v>1</v>
      </c>
      <c r="M2841" t="b">
        <f>TrafficData[[#This Row],[pendingCourt]]+TrafficData[[#This Row],[disposedCourt]]=TrafficData[[#This Row],[totalCourt]]</f>
        <v>1</v>
      </c>
      <c r="N2841" t="b">
        <f>AND(TrafficData[[#This Row],[disposedChallan]]&lt;=TrafficData[[#This Row],[totalChallan]],TrafficData[[#This Row],[pendingChallan]]&lt;=TrafficData[[#This Row],[totalChallan]])</f>
        <v>1</v>
      </c>
      <c r="O2841" t="b">
        <f>AND(TrafficData[[#This Row],[pendingAmount]]&lt;=TrafficData[[#This Row],[totalAmount]],TrafficData[[#This Row],[disposedAmount]]&lt;=TrafficData[[#This Row],[totalAmount]])</f>
        <v>1</v>
      </c>
      <c r="P2841" t="b">
        <f>AND(TrafficData[[#This Row],[pendingCourt]]&lt;=TrafficData[[#This Row],[totalCourt]],TrafficData[[#This Row],[disposedCourt]]&lt;=TrafficData[[#This Row],[totalCourt]])</f>
        <v>1</v>
      </c>
    </row>
    <row r="2842" spans="1:16">
      <c r="A2842" s="1">
        <v>44846</v>
      </c>
      <c r="B2842">
        <v>150269</v>
      </c>
      <c r="C2842">
        <v>77025</v>
      </c>
      <c r="D2842">
        <v>73244</v>
      </c>
      <c r="E2842">
        <v>113064380</v>
      </c>
      <c r="F2842">
        <v>110286095</v>
      </c>
      <c r="G2842">
        <v>223350475</v>
      </c>
      <c r="H2842">
        <v>41394</v>
      </c>
      <c r="I2842">
        <v>11242</v>
      </c>
      <c r="J2842">
        <v>52636</v>
      </c>
      <c r="K2842" t="b">
        <f>TrafficData[[#This Row],[disposedChallan]]+TrafficData[[#This Row],[pendingChallan]]=TrafficData[[#This Row],[totalChallan]]</f>
        <v>1</v>
      </c>
      <c r="L2842" t="b">
        <f>TrafficData[[#This Row],[pendingAmount]]+TrafficData[[#This Row],[disposedAmount]]=TrafficData[[#This Row],[totalAmount]]</f>
        <v>1</v>
      </c>
      <c r="M2842" t="b">
        <f>TrafficData[[#This Row],[pendingCourt]]+TrafficData[[#This Row],[disposedCourt]]=TrafficData[[#This Row],[totalCourt]]</f>
        <v>1</v>
      </c>
      <c r="N2842" t="b">
        <f>AND(TrafficData[[#This Row],[disposedChallan]]&lt;=TrafficData[[#This Row],[totalChallan]],TrafficData[[#This Row],[pendingChallan]]&lt;=TrafficData[[#This Row],[totalChallan]])</f>
        <v>1</v>
      </c>
      <c r="O2842" t="b">
        <f>AND(TrafficData[[#This Row],[pendingAmount]]&lt;=TrafficData[[#This Row],[totalAmount]],TrafficData[[#This Row],[disposedAmount]]&lt;=TrafficData[[#This Row],[totalAmount]])</f>
        <v>1</v>
      </c>
      <c r="P2842" t="b">
        <f>AND(TrafficData[[#This Row],[pendingCourt]]&lt;=TrafficData[[#This Row],[totalCourt]],TrafficData[[#This Row],[disposedCourt]]&lt;=TrafficData[[#This Row],[totalCourt]])</f>
        <v>1</v>
      </c>
    </row>
    <row r="2843" spans="1:16">
      <c r="A2843" s="1">
        <v>44847</v>
      </c>
      <c r="B2843">
        <v>146744</v>
      </c>
      <c r="C2843">
        <v>75408</v>
      </c>
      <c r="D2843">
        <v>71336</v>
      </c>
      <c r="E2843">
        <v>107585912</v>
      </c>
      <c r="F2843">
        <v>106249532</v>
      </c>
      <c r="G2843">
        <v>213835444</v>
      </c>
      <c r="H2843">
        <v>38849</v>
      </c>
      <c r="I2843">
        <v>9533</v>
      </c>
      <c r="J2843">
        <v>48382</v>
      </c>
      <c r="K2843" t="b">
        <f>TrafficData[[#This Row],[disposedChallan]]+TrafficData[[#This Row],[pendingChallan]]=TrafficData[[#This Row],[totalChallan]]</f>
        <v>1</v>
      </c>
      <c r="L2843" t="b">
        <f>TrafficData[[#This Row],[pendingAmount]]+TrafficData[[#This Row],[disposedAmount]]=TrafficData[[#This Row],[totalAmount]]</f>
        <v>1</v>
      </c>
      <c r="M2843" t="b">
        <f>TrafficData[[#This Row],[pendingCourt]]+TrafficData[[#This Row],[disposedCourt]]=TrafficData[[#This Row],[totalCourt]]</f>
        <v>1</v>
      </c>
      <c r="N2843" t="b">
        <f>AND(TrafficData[[#This Row],[disposedChallan]]&lt;=TrafficData[[#This Row],[totalChallan]],TrafficData[[#This Row],[pendingChallan]]&lt;=TrafficData[[#This Row],[totalChallan]])</f>
        <v>1</v>
      </c>
      <c r="O2843" t="b">
        <f>AND(TrafficData[[#This Row],[pendingAmount]]&lt;=TrafficData[[#This Row],[totalAmount]],TrafficData[[#This Row],[disposedAmount]]&lt;=TrafficData[[#This Row],[totalAmount]])</f>
        <v>1</v>
      </c>
      <c r="P2843" t="b">
        <f>AND(TrafficData[[#This Row],[pendingCourt]]&lt;=TrafficData[[#This Row],[totalCourt]],TrafficData[[#This Row],[disposedCourt]]&lt;=TrafficData[[#This Row],[totalCourt]])</f>
        <v>1</v>
      </c>
    </row>
    <row r="2844" spans="1:16">
      <c r="A2844" s="1">
        <v>44848</v>
      </c>
      <c r="B2844">
        <v>137931</v>
      </c>
      <c r="C2844">
        <v>70643</v>
      </c>
      <c r="D2844">
        <v>67288</v>
      </c>
      <c r="E2844">
        <v>97543588</v>
      </c>
      <c r="F2844">
        <v>95585833</v>
      </c>
      <c r="G2844">
        <v>193129421</v>
      </c>
      <c r="H2844">
        <v>35162</v>
      </c>
      <c r="I2844">
        <v>8364</v>
      </c>
      <c r="J2844">
        <v>43526</v>
      </c>
      <c r="K2844" t="b">
        <f>TrafficData[[#This Row],[disposedChallan]]+TrafficData[[#This Row],[pendingChallan]]=TrafficData[[#This Row],[totalChallan]]</f>
        <v>1</v>
      </c>
      <c r="L2844" t="b">
        <f>TrafficData[[#This Row],[pendingAmount]]+TrafficData[[#This Row],[disposedAmount]]=TrafficData[[#This Row],[totalAmount]]</f>
        <v>1</v>
      </c>
      <c r="M2844" t="b">
        <f>TrafficData[[#This Row],[pendingCourt]]+TrafficData[[#This Row],[disposedCourt]]=TrafficData[[#This Row],[totalCourt]]</f>
        <v>1</v>
      </c>
      <c r="N2844" t="b">
        <f>AND(TrafficData[[#This Row],[disposedChallan]]&lt;=TrafficData[[#This Row],[totalChallan]],TrafficData[[#This Row],[pendingChallan]]&lt;=TrafficData[[#This Row],[totalChallan]])</f>
        <v>1</v>
      </c>
      <c r="O2844" t="b">
        <f>AND(TrafficData[[#This Row],[pendingAmount]]&lt;=TrafficData[[#This Row],[totalAmount]],TrafficData[[#This Row],[disposedAmount]]&lt;=TrafficData[[#This Row],[totalAmount]])</f>
        <v>1</v>
      </c>
      <c r="P2844" t="b">
        <f>AND(TrafficData[[#This Row],[pendingCourt]]&lt;=TrafficData[[#This Row],[totalCourt]],TrafficData[[#This Row],[disposedCourt]]&lt;=TrafficData[[#This Row],[totalCourt]])</f>
        <v>1</v>
      </c>
    </row>
    <row r="2845" spans="1:16">
      <c r="A2845" s="1">
        <v>44849</v>
      </c>
      <c r="B2845">
        <v>155301</v>
      </c>
      <c r="C2845">
        <v>82045</v>
      </c>
      <c r="D2845">
        <v>73256</v>
      </c>
      <c r="E2845">
        <v>109850279</v>
      </c>
      <c r="F2845">
        <v>114097595</v>
      </c>
      <c r="G2845">
        <v>223947874</v>
      </c>
      <c r="H2845">
        <v>38184</v>
      </c>
      <c r="I2845">
        <v>10152</v>
      </c>
      <c r="J2845">
        <v>48336</v>
      </c>
      <c r="K2845" t="b">
        <f>TrafficData[[#This Row],[disposedChallan]]+TrafficData[[#This Row],[pendingChallan]]=TrafficData[[#This Row],[totalChallan]]</f>
        <v>1</v>
      </c>
      <c r="L2845" t="b">
        <f>TrafficData[[#This Row],[pendingAmount]]+TrafficData[[#This Row],[disposedAmount]]=TrafficData[[#This Row],[totalAmount]]</f>
        <v>1</v>
      </c>
      <c r="M2845" t="b">
        <f>TrafficData[[#This Row],[pendingCourt]]+TrafficData[[#This Row],[disposedCourt]]=TrafficData[[#This Row],[totalCourt]]</f>
        <v>1</v>
      </c>
      <c r="N2845" t="b">
        <f>AND(TrafficData[[#This Row],[disposedChallan]]&lt;=TrafficData[[#This Row],[totalChallan]],TrafficData[[#This Row],[pendingChallan]]&lt;=TrafficData[[#This Row],[totalChallan]])</f>
        <v>1</v>
      </c>
      <c r="O2845" t="b">
        <f>AND(TrafficData[[#This Row],[pendingAmount]]&lt;=TrafficData[[#This Row],[totalAmount]],TrafficData[[#This Row],[disposedAmount]]&lt;=TrafficData[[#This Row],[totalAmount]])</f>
        <v>1</v>
      </c>
      <c r="P2845" t="b">
        <f>AND(TrafficData[[#This Row],[pendingCourt]]&lt;=TrafficData[[#This Row],[totalCourt]],TrafficData[[#This Row],[disposedCourt]]&lt;=TrafficData[[#This Row],[totalCourt]])</f>
        <v>1</v>
      </c>
    </row>
    <row r="2846" spans="1:16">
      <c r="A2846" s="1">
        <v>44850</v>
      </c>
      <c r="B2846">
        <v>138088</v>
      </c>
      <c r="C2846">
        <v>69303</v>
      </c>
      <c r="D2846">
        <v>68785</v>
      </c>
      <c r="E2846">
        <v>83001100</v>
      </c>
      <c r="F2846">
        <v>81995659</v>
      </c>
      <c r="G2846">
        <v>164996759</v>
      </c>
      <c r="H2846">
        <v>34623</v>
      </c>
      <c r="I2846">
        <v>8847</v>
      </c>
      <c r="J2846">
        <v>43470</v>
      </c>
      <c r="K2846" t="b">
        <f>TrafficData[[#This Row],[disposedChallan]]+TrafficData[[#This Row],[pendingChallan]]=TrafficData[[#This Row],[totalChallan]]</f>
        <v>1</v>
      </c>
      <c r="L2846" t="b">
        <f>TrafficData[[#This Row],[pendingAmount]]+TrafficData[[#This Row],[disposedAmount]]=TrafficData[[#This Row],[totalAmount]]</f>
        <v>1</v>
      </c>
      <c r="M2846" t="b">
        <f>TrafficData[[#This Row],[pendingCourt]]+TrafficData[[#This Row],[disposedCourt]]=TrafficData[[#This Row],[totalCourt]]</f>
        <v>1</v>
      </c>
      <c r="N2846" t="b">
        <f>AND(TrafficData[[#This Row],[disposedChallan]]&lt;=TrafficData[[#This Row],[totalChallan]],TrafficData[[#This Row],[pendingChallan]]&lt;=TrafficData[[#This Row],[totalChallan]])</f>
        <v>1</v>
      </c>
      <c r="O2846" t="b">
        <f>AND(TrafficData[[#This Row],[pendingAmount]]&lt;=TrafficData[[#This Row],[totalAmount]],TrafficData[[#This Row],[disposedAmount]]&lt;=TrafficData[[#This Row],[totalAmount]])</f>
        <v>1</v>
      </c>
      <c r="P2846" t="b">
        <f>AND(TrafficData[[#This Row],[pendingCourt]]&lt;=TrafficData[[#This Row],[totalCourt]],TrafficData[[#This Row],[disposedCourt]]&lt;=TrafficData[[#This Row],[totalCourt]])</f>
        <v>1</v>
      </c>
    </row>
    <row r="2847" spans="1:16">
      <c r="A2847" s="1">
        <v>44851</v>
      </c>
      <c r="B2847">
        <v>151872</v>
      </c>
      <c r="C2847">
        <v>76696</v>
      </c>
      <c r="D2847">
        <v>75176</v>
      </c>
      <c r="E2847">
        <v>115093627</v>
      </c>
      <c r="F2847">
        <v>104783740</v>
      </c>
      <c r="G2847">
        <v>219877367</v>
      </c>
      <c r="H2847">
        <v>40193</v>
      </c>
      <c r="I2847">
        <v>9936</v>
      </c>
      <c r="J2847">
        <v>50129</v>
      </c>
      <c r="K2847" t="b">
        <f>TrafficData[[#This Row],[disposedChallan]]+TrafficData[[#This Row],[pendingChallan]]=TrafficData[[#This Row],[totalChallan]]</f>
        <v>1</v>
      </c>
      <c r="L2847" t="b">
        <f>TrafficData[[#This Row],[pendingAmount]]+TrafficData[[#This Row],[disposedAmount]]=TrafficData[[#This Row],[totalAmount]]</f>
        <v>1</v>
      </c>
      <c r="M2847" t="b">
        <f>TrafficData[[#This Row],[pendingCourt]]+TrafficData[[#This Row],[disposedCourt]]=TrafficData[[#This Row],[totalCourt]]</f>
        <v>1</v>
      </c>
      <c r="N2847" t="b">
        <f>AND(TrafficData[[#This Row],[disposedChallan]]&lt;=TrafficData[[#This Row],[totalChallan]],TrafficData[[#This Row],[pendingChallan]]&lt;=TrafficData[[#This Row],[totalChallan]])</f>
        <v>1</v>
      </c>
      <c r="O2847" t="b">
        <f>AND(TrafficData[[#This Row],[pendingAmount]]&lt;=TrafficData[[#This Row],[totalAmount]],TrafficData[[#This Row],[disposedAmount]]&lt;=TrafficData[[#This Row],[totalAmount]])</f>
        <v>1</v>
      </c>
      <c r="P2847" t="b">
        <f>AND(TrafficData[[#This Row],[pendingCourt]]&lt;=TrafficData[[#This Row],[totalCourt]],TrafficData[[#This Row],[disposedCourt]]&lt;=TrafficData[[#This Row],[totalCourt]])</f>
        <v>1</v>
      </c>
    </row>
    <row r="2848" spans="1:16">
      <c r="A2848" s="1">
        <v>44852</v>
      </c>
      <c r="B2848">
        <v>154785</v>
      </c>
      <c r="C2848">
        <v>79075</v>
      </c>
      <c r="D2848">
        <v>75710</v>
      </c>
      <c r="E2848">
        <v>114928031</v>
      </c>
      <c r="F2848">
        <v>109521486</v>
      </c>
      <c r="G2848">
        <v>224449517</v>
      </c>
      <c r="H2848">
        <v>39601</v>
      </c>
      <c r="I2848">
        <v>10126</v>
      </c>
      <c r="J2848">
        <v>49727</v>
      </c>
      <c r="K2848" t="b">
        <f>TrafficData[[#This Row],[disposedChallan]]+TrafficData[[#This Row],[pendingChallan]]=TrafficData[[#This Row],[totalChallan]]</f>
        <v>1</v>
      </c>
      <c r="L2848" t="b">
        <f>TrafficData[[#This Row],[pendingAmount]]+TrafficData[[#This Row],[disposedAmount]]=TrafficData[[#This Row],[totalAmount]]</f>
        <v>1</v>
      </c>
      <c r="M2848" t="b">
        <f>TrafficData[[#This Row],[pendingCourt]]+TrafficData[[#This Row],[disposedCourt]]=TrafficData[[#This Row],[totalCourt]]</f>
        <v>1</v>
      </c>
      <c r="N2848" t="b">
        <f>AND(TrafficData[[#This Row],[disposedChallan]]&lt;=TrafficData[[#This Row],[totalChallan]],TrafficData[[#This Row],[pendingChallan]]&lt;=TrafficData[[#This Row],[totalChallan]])</f>
        <v>1</v>
      </c>
      <c r="O2848" t="b">
        <f>AND(TrafficData[[#This Row],[pendingAmount]]&lt;=TrafficData[[#This Row],[totalAmount]],TrafficData[[#This Row],[disposedAmount]]&lt;=TrafficData[[#This Row],[totalAmount]])</f>
        <v>1</v>
      </c>
      <c r="P2848" t="b">
        <f>AND(TrafficData[[#This Row],[pendingCourt]]&lt;=TrafficData[[#This Row],[totalCourt]],TrafficData[[#This Row],[disposedCourt]]&lt;=TrafficData[[#This Row],[totalCourt]])</f>
        <v>1</v>
      </c>
    </row>
    <row r="2849" spans="1:16">
      <c r="A2849" s="1">
        <v>44853</v>
      </c>
      <c r="B2849">
        <v>152248</v>
      </c>
      <c r="C2849">
        <v>77175</v>
      </c>
      <c r="D2849">
        <v>75073</v>
      </c>
      <c r="E2849">
        <v>121838075</v>
      </c>
      <c r="F2849">
        <v>117170816</v>
      </c>
      <c r="G2849">
        <v>239008891</v>
      </c>
      <c r="H2849">
        <v>43237</v>
      </c>
      <c r="I2849">
        <v>10738</v>
      </c>
      <c r="J2849">
        <v>53975</v>
      </c>
      <c r="K2849" t="b">
        <f>TrafficData[[#This Row],[disposedChallan]]+TrafficData[[#This Row],[pendingChallan]]=TrafficData[[#This Row],[totalChallan]]</f>
        <v>1</v>
      </c>
      <c r="L2849" t="b">
        <f>TrafficData[[#This Row],[pendingAmount]]+TrafficData[[#This Row],[disposedAmount]]=TrafficData[[#This Row],[totalAmount]]</f>
        <v>1</v>
      </c>
      <c r="M2849" t="b">
        <f>TrafficData[[#This Row],[pendingCourt]]+TrafficData[[#This Row],[disposedCourt]]=TrafficData[[#This Row],[totalCourt]]</f>
        <v>1</v>
      </c>
      <c r="N2849" t="b">
        <f>AND(TrafficData[[#This Row],[disposedChallan]]&lt;=TrafficData[[#This Row],[totalChallan]],TrafficData[[#This Row],[pendingChallan]]&lt;=TrafficData[[#This Row],[totalChallan]])</f>
        <v>1</v>
      </c>
      <c r="O2849" t="b">
        <f>AND(TrafficData[[#This Row],[pendingAmount]]&lt;=TrafficData[[#This Row],[totalAmount]],TrafficData[[#This Row],[disposedAmount]]&lt;=TrafficData[[#This Row],[totalAmount]])</f>
        <v>1</v>
      </c>
      <c r="P2849" t="b">
        <f>AND(TrafficData[[#This Row],[pendingCourt]]&lt;=TrafficData[[#This Row],[totalCourt]],TrafficData[[#This Row],[disposedCourt]]&lt;=TrafficData[[#This Row],[totalCourt]])</f>
        <v>1</v>
      </c>
    </row>
    <row r="2850" spans="1:16">
      <c r="A2850" s="1">
        <v>44854</v>
      </c>
      <c r="B2850">
        <v>158668</v>
      </c>
      <c r="C2850">
        <v>79636</v>
      </c>
      <c r="D2850">
        <v>79032</v>
      </c>
      <c r="E2850">
        <v>123146114</v>
      </c>
      <c r="F2850">
        <v>113174922</v>
      </c>
      <c r="G2850">
        <v>236321036</v>
      </c>
      <c r="H2850">
        <v>44838</v>
      </c>
      <c r="I2850">
        <v>10859</v>
      </c>
      <c r="J2850">
        <v>55697</v>
      </c>
      <c r="K2850" t="b">
        <f>TrafficData[[#This Row],[disposedChallan]]+TrafficData[[#This Row],[pendingChallan]]=TrafficData[[#This Row],[totalChallan]]</f>
        <v>1</v>
      </c>
      <c r="L2850" t="b">
        <f>TrafficData[[#This Row],[pendingAmount]]+TrafficData[[#This Row],[disposedAmount]]=TrafficData[[#This Row],[totalAmount]]</f>
        <v>1</v>
      </c>
      <c r="M2850" t="b">
        <f>TrafficData[[#This Row],[pendingCourt]]+TrafficData[[#This Row],[disposedCourt]]=TrafficData[[#This Row],[totalCourt]]</f>
        <v>1</v>
      </c>
      <c r="N2850" t="b">
        <f>AND(TrafficData[[#This Row],[disposedChallan]]&lt;=TrafficData[[#This Row],[totalChallan]],TrafficData[[#This Row],[pendingChallan]]&lt;=TrafficData[[#This Row],[totalChallan]])</f>
        <v>1</v>
      </c>
      <c r="O2850" t="b">
        <f>AND(TrafficData[[#This Row],[pendingAmount]]&lt;=TrafficData[[#This Row],[totalAmount]],TrafficData[[#This Row],[disposedAmount]]&lt;=TrafficData[[#This Row],[totalAmount]])</f>
        <v>1</v>
      </c>
      <c r="P2850" t="b">
        <f>AND(TrafficData[[#This Row],[pendingCourt]]&lt;=TrafficData[[#This Row],[totalCourt]],TrafficData[[#This Row],[disposedCourt]]&lt;=TrafficData[[#This Row],[totalCourt]])</f>
        <v>1</v>
      </c>
    </row>
    <row r="2851" spans="1:16">
      <c r="A2851" s="1">
        <v>44855</v>
      </c>
      <c r="B2851">
        <v>144541</v>
      </c>
      <c r="C2851">
        <v>70177</v>
      </c>
      <c r="D2851">
        <v>74364</v>
      </c>
      <c r="E2851">
        <v>111108850</v>
      </c>
      <c r="F2851">
        <v>97725826</v>
      </c>
      <c r="G2851">
        <v>208834676</v>
      </c>
      <c r="H2851">
        <v>41036</v>
      </c>
      <c r="I2851">
        <v>9963</v>
      </c>
      <c r="J2851">
        <v>50999</v>
      </c>
      <c r="K2851" t="b">
        <f>TrafficData[[#This Row],[disposedChallan]]+TrafficData[[#This Row],[pendingChallan]]=TrafficData[[#This Row],[totalChallan]]</f>
        <v>1</v>
      </c>
      <c r="L2851" t="b">
        <f>TrafficData[[#This Row],[pendingAmount]]+TrafficData[[#This Row],[disposedAmount]]=TrafficData[[#This Row],[totalAmount]]</f>
        <v>1</v>
      </c>
      <c r="M2851" t="b">
        <f>TrafficData[[#This Row],[pendingCourt]]+TrafficData[[#This Row],[disposedCourt]]=TrafficData[[#This Row],[totalCourt]]</f>
        <v>1</v>
      </c>
      <c r="N2851" t="b">
        <f>AND(TrafficData[[#This Row],[disposedChallan]]&lt;=TrafficData[[#This Row],[totalChallan]],TrafficData[[#This Row],[pendingChallan]]&lt;=TrafficData[[#This Row],[totalChallan]])</f>
        <v>1</v>
      </c>
      <c r="O2851" t="b">
        <f>AND(TrafficData[[#This Row],[pendingAmount]]&lt;=TrafficData[[#This Row],[totalAmount]],TrafficData[[#This Row],[disposedAmount]]&lt;=TrafficData[[#This Row],[totalAmount]])</f>
        <v>1</v>
      </c>
      <c r="P2851" t="b">
        <f>AND(TrafficData[[#This Row],[pendingCourt]]&lt;=TrafficData[[#This Row],[totalCourt]],TrafficData[[#This Row],[disposedCourt]]&lt;=TrafficData[[#This Row],[totalCourt]])</f>
        <v>1</v>
      </c>
    </row>
    <row r="2852" spans="1:16">
      <c r="A2852" s="1">
        <v>44856</v>
      </c>
      <c r="B2852">
        <v>125585</v>
      </c>
      <c r="C2852">
        <v>61537</v>
      </c>
      <c r="D2852">
        <v>64048</v>
      </c>
      <c r="E2852">
        <v>96699053</v>
      </c>
      <c r="F2852">
        <v>78638904</v>
      </c>
      <c r="G2852">
        <v>175337957</v>
      </c>
      <c r="H2852">
        <v>37178</v>
      </c>
      <c r="I2852">
        <v>9489</v>
      </c>
      <c r="J2852">
        <v>46667</v>
      </c>
      <c r="K2852" t="b">
        <f>TrafficData[[#This Row],[disposedChallan]]+TrafficData[[#This Row],[pendingChallan]]=TrafficData[[#This Row],[totalChallan]]</f>
        <v>1</v>
      </c>
      <c r="L2852" t="b">
        <f>TrafficData[[#This Row],[pendingAmount]]+TrafficData[[#This Row],[disposedAmount]]=TrafficData[[#This Row],[totalAmount]]</f>
        <v>1</v>
      </c>
      <c r="M2852" t="b">
        <f>TrafficData[[#This Row],[pendingCourt]]+TrafficData[[#This Row],[disposedCourt]]=TrafficData[[#This Row],[totalCourt]]</f>
        <v>1</v>
      </c>
      <c r="N2852" t="b">
        <f>AND(TrafficData[[#This Row],[disposedChallan]]&lt;=TrafficData[[#This Row],[totalChallan]],TrafficData[[#This Row],[pendingChallan]]&lt;=TrafficData[[#This Row],[totalChallan]])</f>
        <v>1</v>
      </c>
      <c r="O2852" t="b">
        <f>AND(TrafficData[[#This Row],[pendingAmount]]&lt;=TrafficData[[#This Row],[totalAmount]],TrafficData[[#This Row],[disposedAmount]]&lt;=TrafficData[[#This Row],[totalAmount]])</f>
        <v>1</v>
      </c>
      <c r="P2852" t="b">
        <f>AND(TrafficData[[#This Row],[pendingCourt]]&lt;=TrafficData[[#This Row],[totalCourt]],TrafficData[[#This Row],[disposedCourt]]&lt;=TrafficData[[#This Row],[totalCourt]])</f>
        <v>1</v>
      </c>
    </row>
    <row r="2853" spans="1:16">
      <c r="A2853" s="1">
        <v>44857</v>
      </c>
      <c r="B2853">
        <v>100693</v>
      </c>
      <c r="C2853">
        <v>44664</v>
      </c>
      <c r="D2853">
        <v>56029</v>
      </c>
      <c r="E2853">
        <v>70665126</v>
      </c>
      <c r="F2853">
        <v>45535396</v>
      </c>
      <c r="G2853">
        <v>116200522</v>
      </c>
      <c r="H2853">
        <v>31533</v>
      </c>
      <c r="I2853">
        <v>7044</v>
      </c>
      <c r="J2853">
        <v>38577</v>
      </c>
      <c r="K2853" t="b">
        <f>TrafficData[[#This Row],[disposedChallan]]+TrafficData[[#This Row],[pendingChallan]]=TrafficData[[#This Row],[totalChallan]]</f>
        <v>1</v>
      </c>
      <c r="L2853" t="b">
        <f>TrafficData[[#This Row],[pendingAmount]]+TrafficData[[#This Row],[disposedAmount]]=TrafficData[[#This Row],[totalAmount]]</f>
        <v>1</v>
      </c>
      <c r="M2853" t="b">
        <f>TrafficData[[#This Row],[pendingCourt]]+TrafficData[[#This Row],[disposedCourt]]=TrafficData[[#This Row],[totalCourt]]</f>
        <v>1</v>
      </c>
      <c r="N2853" t="b">
        <f>AND(TrafficData[[#This Row],[disposedChallan]]&lt;=TrafficData[[#This Row],[totalChallan]],TrafficData[[#This Row],[pendingChallan]]&lt;=TrafficData[[#This Row],[totalChallan]])</f>
        <v>1</v>
      </c>
      <c r="O2853" t="b">
        <f>AND(TrafficData[[#This Row],[pendingAmount]]&lt;=TrafficData[[#This Row],[totalAmount]],TrafficData[[#This Row],[disposedAmount]]&lt;=TrafficData[[#This Row],[totalAmount]])</f>
        <v>1</v>
      </c>
      <c r="P2853" t="b">
        <f>AND(TrafficData[[#This Row],[pendingCourt]]&lt;=TrafficData[[#This Row],[totalCourt]],TrafficData[[#This Row],[disposedCourt]]&lt;=TrafficData[[#This Row],[totalCourt]])</f>
        <v>1</v>
      </c>
    </row>
    <row r="2854" spans="1:16">
      <c r="A2854" s="1">
        <v>44858</v>
      </c>
      <c r="B2854">
        <v>73513</v>
      </c>
      <c r="C2854">
        <v>31923</v>
      </c>
      <c r="D2854">
        <v>41590</v>
      </c>
      <c r="E2854">
        <v>59069602</v>
      </c>
      <c r="F2854">
        <v>30221666</v>
      </c>
      <c r="G2854">
        <v>89291268</v>
      </c>
      <c r="H2854">
        <v>28581</v>
      </c>
      <c r="I2854">
        <v>5764</v>
      </c>
      <c r="J2854">
        <v>34345</v>
      </c>
      <c r="K2854" t="b">
        <f>TrafficData[[#This Row],[disposedChallan]]+TrafficData[[#This Row],[pendingChallan]]=TrafficData[[#This Row],[totalChallan]]</f>
        <v>1</v>
      </c>
      <c r="L2854" t="b">
        <f>TrafficData[[#This Row],[pendingAmount]]+TrafficData[[#This Row],[disposedAmount]]=TrafficData[[#This Row],[totalAmount]]</f>
        <v>1</v>
      </c>
      <c r="M2854" t="b">
        <f>TrafficData[[#This Row],[pendingCourt]]+TrafficData[[#This Row],[disposedCourt]]=TrafficData[[#This Row],[totalCourt]]</f>
        <v>1</v>
      </c>
      <c r="N2854" t="b">
        <f>AND(TrafficData[[#This Row],[disposedChallan]]&lt;=TrafficData[[#This Row],[totalChallan]],TrafficData[[#This Row],[pendingChallan]]&lt;=TrafficData[[#This Row],[totalChallan]])</f>
        <v>1</v>
      </c>
      <c r="O2854" t="b">
        <f>AND(TrafficData[[#This Row],[pendingAmount]]&lt;=TrafficData[[#This Row],[totalAmount]],TrafficData[[#This Row],[disposedAmount]]&lt;=TrafficData[[#This Row],[totalAmount]])</f>
        <v>1</v>
      </c>
      <c r="P2854" t="b">
        <f>AND(TrafficData[[#This Row],[pendingCourt]]&lt;=TrafficData[[#This Row],[totalCourt]],TrafficData[[#This Row],[disposedCourt]]&lt;=TrafficData[[#This Row],[totalCourt]])</f>
        <v>1</v>
      </c>
    </row>
    <row r="2855" spans="1:16">
      <c r="A2855" s="1">
        <v>44859</v>
      </c>
      <c r="B2855">
        <v>98190</v>
      </c>
      <c r="C2855">
        <v>44637</v>
      </c>
      <c r="D2855">
        <v>53553</v>
      </c>
      <c r="E2855">
        <v>73266060</v>
      </c>
      <c r="F2855">
        <v>41958284</v>
      </c>
      <c r="G2855">
        <v>115224344</v>
      </c>
      <c r="H2855">
        <v>31528</v>
      </c>
      <c r="I2855">
        <v>7246</v>
      </c>
      <c r="J2855">
        <v>38774</v>
      </c>
      <c r="K2855" t="b">
        <f>TrafficData[[#This Row],[disposedChallan]]+TrafficData[[#This Row],[pendingChallan]]=TrafficData[[#This Row],[totalChallan]]</f>
        <v>1</v>
      </c>
      <c r="L2855" t="b">
        <f>TrafficData[[#This Row],[pendingAmount]]+TrafficData[[#This Row],[disposedAmount]]=TrafficData[[#This Row],[totalAmount]]</f>
        <v>1</v>
      </c>
      <c r="M2855" t="b">
        <f>TrafficData[[#This Row],[pendingCourt]]+TrafficData[[#This Row],[disposedCourt]]=TrafficData[[#This Row],[totalCourt]]</f>
        <v>1</v>
      </c>
      <c r="N2855" t="b">
        <f>AND(TrafficData[[#This Row],[disposedChallan]]&lt;=TrafficData[[#This Row],[totalChallan]],TrafficData[[#This Row],[pendingChallan]]&lt;=TrafficData[[#This Row],[totalChallan]])</f>
        <v>1</v>
      </c>
      <c r="O2855" t="b">
        <f>AND(TrafficData[[#This Row],[pendingAmount]]&lt;=TrafficData[[#This Row],[totalAmount]],TrafficData[[#This Row],[disposedAmount]]&lt;=TrafficData[[#This Row],[totalAmount]])</f>
        <v>1</v>
      </c>
      <c r="P2855" t="b">
        <f>AND(TrafficData[[#This Row],[pendingCourt]]&lt;=TrafficData[[#This Row],[totalCourt]],TrafficData[[#This Row],[disposedCourt]]&lt;=TrafficData[[#This Row],[totalCourt]])</f>
        <v>1</v>
      </c>
    </row>
    <row r="2856" spans="1:16">
      <c r="A2856" s="1">
        <v>44860</v>
      </c>
      <c r="B2856">
        <v>113404</v>
      </c>
      <c r="C2856">
        <v>54242</v>
      </c>
      <c r="D2856">
        <v>59162</v>
      </c>
      <c r="E2856">
        <v>97577783</v>
      </c>
      <c r="F2856">
        <v>59413608</v>
      </c>
      <c r="G2856">
        <v>156991391</v>
      </c>
      <c r="H2856">
        <v>38512</v>
      </c>
      <c r="I2856">
        <v>8927</v>
      </c>
      <c r="J2856">
        <v>47439</v>
      </c>
      <c r="K2856" t="b">
        <f>TrafficData[[#This Row],[disposedChallan]]+TrafficData[[#This Row],[pendingChallan]]=TrafficData[[#This Row],[totalChallan]]</f>
        <v>1</v>
      </c>
      <c r="L2856" t="b">
        <f>TrafficData[[#This Row],[pendingAmount]]+TrafficData[[#This Row],[disposedAmount]]=TrafficData[[#This Row],[totalAmount]]</f>
        <v>1</v>
      </c>
      <c r="M2856" t="b">
        <f>TrafficData[[#This Row],[pendingCourt]]+TrafficData[[#This Row],[disposedCourt]]=TrafficData[[#This Row],[totalCourt]]</f>
        <v>1</v>
      </c>
      <c r="N2856" t="b">
        <f>AND(TrafficData[[#This Row],[disposedChallan]]&lt;=TrafficData[[#This Row],[totalChallan]],TrafficData[[#This Row],[pendingChallan]]&lt;=TrafficData[[#This Row],[totalChallan]])</f>
        <v>1</v>
      </c>
      <c r="O2856" t="b">
        <f>AND(TrafficData[[#This Row],[pendingAmount]]&lt;=TrafficData[[#This Row],[totalAmount]],TrafficData[[#This Row],[disposedAmount]]&lt;=TrafficData[[#This Row],[totalAmount]])</f>
        <v>1</v>
      </c>
      <c r="P2856" t="b">
        <f>AND(TrafficData[[#This Row],[pendingCourt]]&lt;=TrafficData[[#This Row],[totalCourt]],TrafficData[[#This Row],[disposedCourt]]&lt;=TrafficData[[#This Row],[totalCourt]])</f>
        <v>1</v>
      </c>
    </row>
    <row r="2857" spans="1:16">
      <c r="A2857" s="1">
        <v>44861</v>
      </c>
      <c r="B2857">
        <v>121374</v>
      </c>
      <c r="C2857">
        <v>58109</v>
      </c>
      <c r="D2857">
        <v>63265</v>
      </c>
      <c r="E2857">
        <v>106016744</v>
      </c>
      <c r="F2857">
        <v>69484194</v>
      </c>
      <c r="G2857">
        <v>175500938</v>
      </c>
      <c r="H2857">
        <v>39704</v>
      </c>
      <c r="I2857">
        <v>9703</v>
      </c>
      <c r="J2857">
        <v>49407</v>
      </c>
      <c r="K2857" t="b">
        <f>TrafficData[[#This Row],[disposedChallan]]+TrafficData[[#This Row],[pendingChallan]]=TrafficData[[#This Row],[totalChallan]]</f>
        <v>1</v>
      </c>
      <c r="L2857" t="b">
        <f>TrafficData[[#This Row],[pendingAmount]]+TrafficData[[#This Row],[disposedAmount]]=TrafficData[[#This Row],[totalAmount]]</f>
        <v>1</v>
      </c>
      <c r="M2857" t="b">
        <f>TrafficData[[#This Row],[pendingCourt]]+TrafficData[[#This Row],[disposedCourt]]=TrafficData[[#This Row],[totalCourt]]</f>
        <v>1</v>
      </c>
      <c r="N2857" t="b">
        <f>AND(TrafficData[[#This Row],[disposedChallan]]&lt;=TrafficData[[#This Row],[totalChallan]],TrafficData[[#This Row],[pendingChallan]]&lt;=TrafficData[[#This Row],[totalChallan]])</f>
        <v>1</v>
      </c>
      <c r="O2857" t="b">
        <f>AND(TrafficData[[#This Row],[pendingAmount]]&lt;=TrafficData[[#This Row],[totalAmount]],TrafficData[[#This Row],[disposedAmount]]&lt;=TrafficData[[#This Row],[totalAmount]])</f>
        <v>1</v>
      </c>
      <c r="P2857" t="b">
        <f>AND(TrafficData[[#This Row],[pendingCourt]]&lt;=TrafficData[[#This Row],[totalCourt]],TrafficData[[#This Row],[disposedCourt]]&lt;=TrafficData[[#This Row],[totalCourt]])</f>
        <v>1</v>
      </c>
    </row>
    <row r="2858" spans="1:16">
      <c r="A2858" s="1">
        <v>44862</v>
      </c>
      <c r="B2858">
        <v>131363</v>
      </c>
      <c r="C2858">
        <v>63832</v>
      </c>
      <c r="D2858">
        <v>67531</v>
      </c>
      <c r="E2858">
        <v>117384678</v>
      </c>
      <c r="F2858">
        <v>83680813</v>
      </c>
      <c r="G2858">
        <v>201065491</v>
      </c>
      <c r="H2858">
        <v>43198</v>
      </c>
      <c r="I2858">
        <v>10710</v>
      </c>
      <c r="J2858">
        <v>53908</v>
      </c>
      <c r="K2858" t="b">
        <f>TrafficData[[#This Row],[disposedChallan]]+TrafficData[[#This Row],[pendingChallan]]=TrafficData[[#This Row],[totalChallan]]</f>
        <v>1</v>
      </c>
      <c r="L2858" t="b">
        <f>TrafficData[[#This Row],[pendingAmount]]+TrafficData[[#This Row],[disposedAmount]]=TrafficData[[#This Row],[totalAmount]]</f>
        <v>1</v>
      </c>
      <c r="M2858" t="b">
        <f>TrafficData[[#This Row],[pendingCourt]]+TrafficData[[#This Row],[disposedCourt]]=TrafficData[[#This Row],[totalCourt]]</f>
        <v>1</v>
      </c>
      <c r="N2858" t="b">
        <f>AND(TrafficData[[#This Row],[disposedChallan]]&lt;=TrafficData[[#This Row],[totalChallan]],TrafficData[[#This Row],[pendingChallan]]&lt;=TrafficData[[#This Row],[totalChallan]])</f>
        <v>1</v>
      </c>
      <c r="O2858" t="b">
        <f>AND(TrafficData[[#This Row],[pendingAmount]]&lt;=TrafficData[[#This Row],[totalAmount]],TrafficData[[#This Row],[disposedAmount]]&lt;=TrafficData[[#This Row],[totalAmount]])</f>
        <v>1</v>
      </c>
      <c r="P2858" t="b">
        <f>AND(TrafficData[[#This Row],[pendingCourt]]&lt;=TrafficData[[#This Row],[totalCourt]],TrafficData[[#This Row],[disposedCourt]]&lt;=TrafficData[[#This Row],[totalCourt]])</f>
        <v>1</v>
      </c>
    </row>
    <row r="2859" spans="1:16">
      <c r="A2859" s="1">
        <v>44863</v>
      </c>
      <c r="B2859">
        <v>125849</v>
      </c>
      <c r="C2859">
        <v>61873</v>
      </c>
      <c r="D2859">
        <v>63976</v>
      </c>
      <c r="E2859">
        <v>114306260</v>
      </c>
      <c r="F2859">
        <v>84891457</v>
      </c>
      <c r="G2859">
        <v>199197717</v>
      </c>
      <c r="H2859">
        <v>41274</v>
      </c>
      <c r="I2859">
        <v>10345</v>
      </c>
      <c r="J2859">
        <v>51619</v>
      </c>
      <c r="K2859" t="b">
        <f>TrafficData[[#This Row],[disposedChallan]]+TrafficData[[#This Row],[pendingChallan]]=TrafficData[[#This Row],[totalChallan]]</f>
        <v>1</v>
      </c>
      <c r="L2859" t="b">
        <f>TrafficData[[#This Row],[pendingAmount]]+TrafficData[[#This Row],[disposedAmount]]=TrafficData[[#This Row],[totalAmount]]</f>
        <v>1</v>
      </c>
      <c r="M2859" t="b">
        <f>TrafficData[[#This Row],[pendingCourt]]+TrafficData[[#This Row],[disposedCourt]]=TrafficData[[#This Row],[totalCourt]]</f>
        <v>1</v>
      </c>
      <c r="N2859" t="b">
        <f>AND(TrafficData[[#This Row],[disposedChallan]]&lt;=TrafficData[[#This Row],[totalChallan]],TrafficData[[#This Row],[pendingChallan]]&lt;=TrafficData[[#This Row],[totalChallan]])</f>
        <v>1</v>
      </c>
      <c r="O2859" t="b">
        <f>AND(TrafficData[[#This Row],[pendingAmount]]&lt;=TrafficData[[#This Row],[totalAmount]],TrafficData[[#This Row],[disposedAmount]]&lt;=TrafficData[[#This Row],[totalAmount]])</f>
        <v>1</v>
      </c>
      <c r="P2859" t="b">
        <f>AND(TrafficData[[#This Row],[pendingCourt]]&lt;=TrafficData[[#This Row],[totalCourt]],TrafficData[[#This Row],[disposedCourt]]&lt;=TrafficData[[#This Row],[totalCourt]])</f>
        <v>1</v>
      </c>
    </row>
    <row r="2860" spans="1:16">
      <c r="A2860" s="1">
        <v>44864</v>
      </c>
      <c r="B2860">
        <v>102221</v>
      </c>
      <c r="C2860">
        <v>48790</v>
      </c>
      <c r="D2860">
        <v>53431</v>
      </c>
      <c r="E2860">
        <v>86717464</v>
      </c>
      <c r="F2860">
        <v>64078309</v>
      </c>
      <c r="G2860">
        <v>150795773</v>
      </c>
      <c r="H2860">
        <v>35015</v>
      </c>
      <c r="I2860">
        <v>8238</v>
      </c>
      <c r="J2860">
        <v>43253</v>
      </c>
      <c r="K2860" t="b">
        <f>TrafficData[[#This Row],[disposedChallan]]+TrafficData[[#This Row],[pendingChallan]]=TrafficData[[#This Row],[totalChallan]]</f>
        <v>1</v>
      </c>
      <c r="L2860" t="b">
        <f>TrafficData[[#This Row],[pendingAmount]]+TrafficData[[#This Row],[disposedAmount]]=TrafficData[[#This Row],[totalAmount]]</f>
        <v>1</v>
      </c>
      <c r="M2860" t="b">
        <f>TrafficData[[#This Row],[pendingCourt]]+TrafficData[[#This Row],[disposedCourt]]=TrafficData[[#This Row],[totalCourt]]</f>
        <v>1</v>
      </c>
      <c r="N2860" t="b">
        <f>AND(TrafficData[[#This Row],[disposedChallan]]&lt;=TrafficData[[#This Row],[totalChallan]],TrafficData[[#This Row],[pendingChallan]]&lt;=TrafficData[[#This Row],[totalChallan]])</f>
        <v>1</v>
      </c>
      <c r="O2860" t="b">
        <f>AND(TrafficData[[#This Row],[pendingAmount]]&lt;=TrafficData[[#This Row],[totalAmount]],TrafficData[[#This Row],[disposedAmount]]&lt;=TrafficData[[#This Row],[totalAmount]])</f>
        <v>1</v>
      </c>
      <c r="P2860" t="b">
        <f>AND(TrafficData[[#This Row],[pendingCourt]]&lt;=TrafficData[[#This Row],[totalCourt]],TrafficData[[#This Row],[disposedCourt]]&lt;=TrafficData[[#This Row],[totalCourt]])</f>
        <v>1</v>
      </c>
    </row>
    <row r="2861" spans="1:16">
      <c r="A2861" s="1">
        <v>44865</v>
      </c>
      <c r="B2861">
        <v>118183</v>
      </c>
      <c r="C2861">
        <v>57207</v>
      </c>
      <c r="D2861">
        <v>60976</v>
      </c>
      <c r="E2861">
        <v>113062399</v>
      </c>
      <c r="F2861">
        <v>73767417</v>
      </c>
      <c r="G2861">
        <v>186829816</v>
      </c>
      <c r="H2861">
        <v>36671</v>
      </c>
      <c r="I2861">
        <v>8842</v>
      </c>
      <c r="J2861">
        <v>45513</v>
      </c>
      <c r="K2861" t="b">
        <f>TrafficData[[#This Row],[disposedChallan]]+TrafficData[[#This Row],[pendingChallan]]=TrafficData[[#This Row],[totalChallan]]</f>
        <v>1</v>
      </c>
      <c r="L2861" t="b">
        <f>TrafficData[[#This Row],[pendingAmount]]+TrafficData[[#This Row],[disposedAmount]]=TrafficData[[#This Row],[totalAmount]]</f>
        <v>1</v>
      </c>
      <c r="M2861" t="b">
        <f>TrafficData[[#This Row],[pendingCourt]]+TrafficData[[#This Row],[disposedCourt]]=TrafficData[[#This Row],[totalCourt]]</f>
        <v>1</v>
      </c>
      <c r="N2861" t="b">
        <f>AND(TrafficData[[#This Row],[disposedChallan]]&lt;=TrafficData[[#This Row],[totalChallan]],TrafficData[[#This Row],[pendingChallan]]&lt;=TrafficData[[#This Row],[totalChallan]])</f>
        <v>1</v>
      </c>
      <c r="O2861" t="b">
        <f>AND(TrafficData[[#This Row],[pendingAmount]]&lt;=TrafficData[[#This Row],[totalAmount]],TrafficData[[#This Row],[disposedAmount]]&lt;=TrafficData[[#This Row],[totalAmount]])</f>
        <v>1</v>
      </c>
      <c r="P2861" t="b">
        <f>AND(TrafficData[[#This Row],[pendingCourt]]&lt;=TrafficData[[#This Row],[totalCourt]],TrafficData[[#This Row],[disposedCourt]]&lt;=TrafficData[[#This Row],[totalCourt]])</f>
        <v>1</v>
      </c>
    </row>
    <row r="2862" spans="1:16">
      <c r="A2862" s="1">
        <v>44866</v>
      </c>
      <c r="B2862">
        <v>132407</v>
      </c>
      <c r="C2862">
        <v>66780</v>
      </c>
      <c r="D2862">
        <v>65627</v>
      </c>
      <c r="E2862">
        <v>118816759</v>
      </c>
      <c r="F2862">
        <v>105919677</v>
      </c>
      <c r="G2862">
        <v>224736436</v>
      </c>
      <c r="H2862">
        <v>44035</v>
      </c>
      <c r="I2862">
        <v>10201</v>
      </c>
      <c r="J2862">
        <v>54236</v>
      </c>
      <c r="K2862" t="b">
        <f>TrafficData[[#This Row],[disposedChallan]]+TrafficData[[#This Row],[pendingChallan]]=TrafficData[[#This Row],[totalChallan]]</f>
        <v>1</v>
      </c>
      <c r="L2862" t="b">
        <f>TrafficData[[#This Row],[pendingAmount]]+TrafficData[[#This Row],[disposedAmount]]=TrafficData[[#This Row],[totalAmount]]</f>
        <v>1</v>
      </c>
      <c r="M2862" t="b">
        <f>TrafficData[[#This Row],[pendingCourt]]+TrafficData[[#This Row],[disposedCourt]]=TrafficData[[#This Row],[totalCourt]]</f>
        <v>1</v>
      </c>
      <c r="N2862" t="b">
        <f>AND(TrafficData[[#This Row],[disposedChallan]]&lt;=TrafficData[[#This Row],[totalChallan]],TrafficData[[#This Row],[pendingChallan]]&lt;=TrafficData[[#This Row],[totalChallan]])</f>
        <v>1</v>
      </c>
      <c r="O2862" t="b">
        <f>AND(TrafficData[[#This Row],[pendingAmount]]&lt;=TrafficData[[#This Row],[totalAmount]],TrafficData[[#This Row],[disposedAmount]]&lt;=TrafficData[[#This Row],[totalAmount]])</f>
        <v>1</v>
      </c>
      <c r="P2862" t="b">
        <f>AND(TrafficData[[#This Row],[pendingCourt]]&lt;=TrafficData[[#This Row],[totalCourt]],TrafficData[[#This Row],[disposedCourt]]&lt;=TrafficData[[#This Row],[totalCourt]])</f>
        <v>1</v>
      </c>
    </row>
    <row r="2863" spans="1:16">
      <c r="A2863" s="1">
        <v>44867</v>
      </c>
      <c r="B2863">
        <v>149677</v>
      </c>
      <c r="C2863">
        <v>73432</v>
      </c>
      <c r="D2863">
        <v>76245</v>
      </c>
      <c r="E2863">
        <v>133274824</v>
      </c>
      <c r="F2863">
        <v>122361812</v>
      </c>
      <c r="G2863">
        <v>255636636</v>
      </c>
      <c r="H2863">
        <v>46687</v>
      </c>
      <c r="I2863">
        <v>11229</v>
      </c>
      <c r="J2863">
        <v>57916</v>
      </c>
      <c r="K2863" t="b">
        <f>TrafficData[[#This Row],[disposedChallan]]+TrafficData[[#This Row],[pendingChallan]]=TrafficData[[#This Row],[totalChallan]]</f>
        <v>1</v>
      </c>
      <c r="L2863" t="b">
        <f>TrafficData[[#This Row],[pendingAmount]]+TrafficData[[#This Row],[disposedAmount]]=TrafficData[[#This Row],[totalAmount]]</f>
        <v>1</v>
      </c>
      <c r="M2863" t="b">
        <f>TrafficData[[#This Row],[pendingCourt]]+TrafficData[[#This Row],[disposedCourt]]=TrafficData[[#This Row],[totalCourt]]</f>
        <v>1</v>
      </c>
      <c r="N2863" t="b">
        <f>AND(TrafficData[[#This Row],[disposedChallan]]&lt;=TrafficData[[#This Row],[totalChallan]],TrafficData[[#This Row],[pendingChallan]]&lt;=TrafficData[[#This Row],[totalChallan]])</f>
        <v>1</v>
      </c>
      <c r="O2863" t="b">
        <f>AND(TrafficData[[#This Row],[pendingAmount]]&lt;=TrafficData[[#This Row],[totalAmount]],TrafficData[[#This Row],[disposedAmount]]&lt;=TrafficData[[#This Row],[totalAmount]])</f>
        <v>1</v>
      </c>
      <c r="P2863" t="b">
        <f>AND(TrafficData[[#This Row],[pendingCourt]]&lt;=TrafficData[[#This Row],[totalCourt]],TrafficData[[#This Row],[disposedCourt]]&lt;=TrafficData[[#This Row],[totalCourt]])</f>
        <v>1</v>
      </c>
    </row>
    <row r="2864" spans="1:16">
      <c r="A2864" s="1">
        <v>44868</v>
      </c>
      <c r="B2864">
        <v>155167</v>
      </c>
      <c r="C2864">
        <v>74451</v>
      </c>
      <c r="D2864">
        <v>80716</v>
      </c>
      <c r="E2864">
        <v>150434732</v>
      </c>
      <c r="F2864">
        <v>125584254</v>
      </c>
      <c r="G2864">
        <v>276018986</v>
      </c>
      <c r="H2864">
        <v>53179</v>
      </c>
      <c r="I2864">
        <v>11870</v>
      </c>
      <c r="J2864">
        <v>65049</v>
      </c>
      <c r="K2864" t="b">
        <f>TrafficData[[#This Row],[disposedChallan]]+TrafficData[[#This Row],[pendingChallan]]=TrafficData[[#This Row],[totalChallan]]</f>
        <v>1</v>
      </c>
      <c r="L2864" t="b">
        <f>TrafficData[[#This Row],[pendingAmount]]+TrafficData[[#This Row],[disposedAmount]]=TrafficData[[#This Row],[totalAmount]]</f>
        <v>1</v>
      </c>
      <c r="M2864" t="b">
        <f>TrafficData[[#This Row],[pendingCourt]]+TrafficData[[#This Row],[disposedCourt]]=TrafficData[[#This Row],[totalCourt]]</f>
        <v>1</v>
      </c>
      <c r="N2864" t="b">
        <f>AND(TrafficData[[#This Row],[disposedChallan]]&lt;=TrafficData[[#This Row],[totalChallan]],TrafficData[[#This Row],[pendingChallan]]&lt;=TrafficData[[#This Row],[totalChallan]])</f>
        <v>1</v>
      </c>
      <c r="O2864" t="b">
        <f>AND(TrafficData[[#This Row],[pendingAmount]]&lt;=TrafficData[[#This Row],[totalAmount]],TrafficData[[#This Row],[disposedAmount]]&lt;=TrafficData[[#This Row],[totalAmount]])</f>
        <v>1</v>
      </c>
      <c r="P2864" t="b">
        <f>AND(TrafficData[[#This Row],[pendingCourt]]&lt;=TrafficData[[#This Row],[totalCourt]],TrafficData[[#This Row],[disposedCourt]]&lt;=TrafficData[[#This Row],[totalCourt]])</f>
        <v>1</v>
      </c>
    </row>
    <row r="2865" spans="1:16">
      <c r="A2865" s="1">
        <v>44869</v>
      </c>
      <c r="B2865">
        <v>147741</v>
      </c>
      <c r="C2865">
        <v>71256</v>
      </c>
      <c r="D2865">
        <v>76485</v>
      </c>
      <c r="E2865">
        <v>142541004</v>
      </c>
      <c r="F2865">
        <v>119058635</v>
      </c>
      <c r="G2865">
        <v>261599639</v>
      </c>
      <c r="H2865">
        <v>45199</v>
      </c>
      <c r="I2865">
        <v>11134</v>
      </c>
      <c r="J2865">
        <v>56333</v>
      </c>
      <c r="K2865" t="b">
        <f>TrafficData[[#This Row],[disposedChallan]]+TrafficData[[#This Row],[pendingChallan]]=TrafficData[[#This Row],[totalChallan]]</f>
        <v>1</v>
      </c>
      <c r="L2865" t="b">
        <f>TrafficData[[#This Row],[pendingAmount]]+TrafficData[[#This Row],[disposedAmount]]=TrafficData[[#This Row],[totalAmount]]</f>
        <v>1</v>
      </c>
      <c r="M2865" t="b">
        <f>TrafficData[[#This Row],[pendingCourt]]+TrafficData[[#This Row],[disposedCourt]]=TrafficData[[#This Row],[totalCourt]]</f>
        <v>1</v>
      </c>
      <c r="N2865" t="b">
        <f>AND(TrafficData[[#This Row],[disposedChallan]]&lt;=TrafficData[[#This Row],[totalChallan]],TrafficData[[#This Row],[pendingChallan]]&lt;=TrafficData[[#This Row],[totalChallan]])</f>
        <v>1</v>
      </c>
      <c r="O2865" t="b">
        <f>AND(TrafficData[[#This Row],[pendingAmount]]&lt;=TrafficData[[#This Row],[totalAmount]],TrafficData[[#This Row],[disposedAmount]]&lt;=TrafficData[[#This Row],[totalAmount]])</f>
        <v>1</v>
      </c>
      <c r="P2865" t="b">
        <f>AND(TrafficData[[#This Row],[pendingCourt]]&lt;=TrafficData[[#This Row],[totalCourt]],TrafficData[[#This Row],[disposedCourt]]&lt;=TrafficData[[#This Row],[totalCourt]])</f>
        <v>1</v>
      </c>
    </row>
    <row r="2866" spans="1:16">
      <c r="A2866" s="1">
        <v>44870</v>
      </c>
      <c r="B2866">
        <v>151497</v>
      </c>
      <c r="C2866">
        <v>73152</v>
      </c>
      <c r="D2866">
        <v>78345</v>
      </c>
      <c r="E2866">
        <v>142854940</v>
      </c>
      <c r="F2866">
        <v>115169653</v>
      </c>
      <c r="G2866">
        <v>258024593</v>
      </c>
      <c r="H2866">
        <v>50950</v>
      </c>
      <c r="I2866">
        <v>12014</v>
      </c>
      <c r="J2866">
        <v>62964</v>
      </c>
      <c r="K2866" t="b">
        <f>TrafficData[[#This Row],[disposedChallan]]+TrafficData[[#This Row],[pendingChallan]]=TrafficData[[#This Row],[totalChallan]]</f>
        <v>1</v>
      </c>
      <c r="L2866" t="b">
        <f>TrafficData[[#This Row],[pendingAmount]]+TrafficData[[#This Row],[disposedAmount]]=TrafficData[[#This Row],[totalAmount]]</f>
        <v>1</v>
      </c>
      <c r="M2866" t="b">
        <f>TrafficData[[#This Row],[pendingCourt]]+TrafficData[[#This Row],[disposedCourt]]=TrafficData[[#This Row],[totalCourt]]</f>
        <v>1</v>
      </c>
      <c r="N2866" t="b">
        <f>AND(TrafficData[[#This Row],[disposedChallan]]&lt;=TrafficData[[#This Row],[totalChallan]],TrafficData[[#This Row],[pendingChallan]]&lt;=TrafficData[[#This Row],[totalChallan]])</f>
        <v>1</v>
      </c>
      <c r="O2866" t="b">
        <f>AND(TrafficData[[#This Row],[pendingAmount]]&lt;=TrafficData[[#This Row],[totalAmount]],TrafficData[[#This Row],[disposedAmount]]&lt;=TrafficData[[#This Row],[totalAmount]])</f>
        <v>1</v>
      </c>
      <c r="P2866" t="b">
        <f>AND(TrafficData[[#This Row],[pendingCourt]]&lt;=TrafficData[[#This Row],[totalCourt]],TrafficData[[#This Row],[disposedCourt]]&lt;=TrafficData[[#This Row],[totalCourt]])</f>
        <v>1</v>
      </c>
    </row>
    <row r="2867" spans="1:16">
      <c r="A2867" s="1">
        <v>44871</v>
      </c>
      <c r="B2867">
        <v>131562</v>
      </c>
      <c r="C2867">
        <v>61770</v>
      </c>
      <c r="D2867">
        <v>69792</v>
      </c>
      <c r="E2867">
        <v>121561239</v>
      </c>
      <c r="F2867">
        <v>83518713</v>
      </c>
      <c r="G2867">
        <v>205079952</v>
      </c>
      <c r="H2867">
        <v>47212</v>
      </c>
      <c r="I2867">
        <v>10565</v>
      </c>
      <c r="J2867">
        <v>57777</v>
      </c>
      <c r="K2867" t="b">
        <f>TrafficData[[#This Row],[disposedChallan]]+TrafficData[[#This Row],[pendingChallan]]=TrafficData[[#This Row],[totalChallan]]</f>
        <v>1</v>
      </c>
      <c r="L2867" t="b">
        <f>TrafficData[[#This Row],[pendingAmount]]+TrafficData[[#This Row],[disposedAmount]]=TrafficData[[#This Row],[totalAmount]]</f>
        <v>1</v>
      </c>
      <c r="M2867" t="b">
        <f>TrafficData[[#This Row],[pendingCourt]]+TrafficData[[#This Row],[disposedCourt]]=TrafficData[[#This Row],[totalCourt]]</f>
        <v>1</v>
      </c>
      <c r="N2867" t="b">
        <f>AND(TrafficData[[#This Row],[disposedChallan]]&lt;=TrafficData[[#This Row],[totalChallan]],TrafficData[[#This Row],[pendingChallan]]&lt;=TrafficData[[#This Row],[totalChallan]])</f>
        <v>1</v>
      </c>
      <c r="O2867" t="b">
        <f>AND(TrafficData[[#This Row],[pendingAmount]]&lt;=TrafficData[[#This Row],[totalAmount]],TrafficData[[#This Row],[disposedAmount]]&lt;=TrafficData[[#This Row],[totalAmount]])</f>
        <v>1</v>
      </c>
      <c r="P2867" t="b">
        <f>AND(TrafficData[[#This Row],[pendingCourt]]&lt;=TrafficData[[#This Row],[totalCourt]],TrafficData[[#This Row],[disposedCourt]]&lt;=TrafficData[[#This Row],[totalCourt]])</f>
        <v>1</v>
      </c>
    </row>
    <row r="2868" spans="1:16">
      <c r="A2868" s="1">
        <v>44872</v>
      </c>
      <c r="B2868">
        <v>144549</v>
      </c>
      <c r="C2868">
        <v>68875</v>
      </c>
      <c r="D2868">
        <v>75674</v>
      </c>
      <c r="E2868">
        <v>139902873</v>
      </c>
      <c r="F2868">
        <v>107124306</v>
      </c>
      <c r="G2868">
        <v>247027179</v>
      </c>
      <c r="H2868">
        <v>49466</v>
      </c>
      <c r="I2868">
        <v>11146</v>
      </c>
      <c r="J2868">
        <v>60612</v>
      </c>
      <c r="K2868" t="b">
        <f>TrafficData[[#This Row],[disposedChallan]]+TrafficData[[#This Row],[pendingChallan]]=TrafficData[[#This Row],[totalChallan]]</f>
        <v>1</v>
      </c>
      <c r="L2868" t="b">
        <f>TrafficData[[#This Row],[pendingAmount]]+TrafficData[[#This Row],[disposedAmount]]=TrafficData[[#This Row],[totalAmount]]</f>
        <v>1</v>
      </c>
      <c r="M2868" t="b">
        <f>TrafficData[[#This Row],[pendingCourt]]+TrafficData[[#This Row],[disposedCourt]]=TrafficData[[#This Row],[totalCourt]]</f>
        <v>1</v>
      </c>
      <c r="N2868" t="b">
        <f>AND(TrafficData[[#This Row],[disposedChallan]]&lt;=TrafficData[[#This Row],[totalChallan]],TrafficData[[#This Row],[pendingChallan]]&lt;=TrafficData[[#This Row],[totalChallan]])</f>
        <v>1</v>
      </c>
      <c r="O2868" t="b">
        <f>AND(TrafficData[[#This Row],[pendingAmount]]&lt;=TrafficData[[#This Row],[totalAmount]],TrafficData[[#This Row],[disposedAmount]]&lt;=TrafficData[[#This Row],[totalAmount]])</f>
        <v>1</v>
      </c>
      <c r="P2868" t="b">
        <f>AND(TrafficData[[#This Row],[pendingCourt]]&lt;=TrafficData[[#This Row],[totalCourt]],TrafficData[[#This Row],[disposedCourt]]&lt;=TrafficData[[#This Row],[totalCourt]])</f>
        <v>1</v>
      </c>
    </row>
    <row r="2869" spans="1:16">
      <c r="A2869" s="1">
        <v>44873</v>
      </c>
      <c r="B2869">
        <v>138019</v>
      </c>
      <c r="C2869">
        <v>66921</v>
      </c>
      <c r="D2869">
        <v>71098</v>
      </c>
      <c r="E2869">
        <v>127099684</v>
      </c>
      <c r="F2869">
        <v>107018919</v>
      </c>
      <c r="G2869">
        <v>234118603</v>
      </c>
      <c r="H2869">
        <v>46480</v>
      </c>
      <c r="I2869">
        <v>11066</v>
      </c>
      <c r="J2869">
        <v>57546</v>
      </c>
      <c r="K2869" t="b">
        <f>TrafficData[[#This Row],[disposedChallan]]+TrafficData[[#This Row],[pendingChallan]]=TrafficData[[#This Row],[totalChallan]]</f>
        <v>1</v>
      </c>
      <c r="L2869" t="b">
        <f>TrafficData[[#This Row],[pendingAmount]]+TrafficData[[#This Row],[disposedAmount]]=TrafficData[[#This Row],[totalAmount]]</f>
        <v>1</v>
      </c>
      <c r="M2869" t="b">
        <f>TrafficData[[#This Row],[pendingCourt]]+TrafficData[[#This Row],[disposedCourt]]=TrafficData[[#This Row],[totalCourt]]</f>
        <v>1</v>
      </c>
      <c r="N2869" t="b">
        <f>AND(TrafficData[[#This Row],[disposedChallan]]&lt;=TrafficData[[#This Row],[totalChallan]],TrafficData[[#This Row],[pendingChallan]]&lt;=TrafficData[[#This Row],[totalChallan]])</f>
        <v>1</v>
      </c>
      <c r="O2869" t="b">
        <f>AND(TrafficData[[#This Row],[pendingAmount]]&lt;=TrafficData[[#This Row],[totalAmount]],TrafficData[[#This Row],[disposedAmount]]&lt;=TrafficData[[#This Row],[totalAmount]])</f>
        <v>1</v>
      </c>
      <c r="P2869" t="b">
        <f>AND(TrafficData[[#This Row],[pendingCourt]]&lt;=TrafficData[[#This Row],[totalCourt]],TrafficData[[#This Row],[disposedCourt]]&lt;=TrafficData[[#This Row],[totalCourt]])</f>
        <v>1</v>
      </c>
    </row>
    <row r="2870" spans="1:16">
      <c r="A2870" s="1">
        <v>44874</v>
      </c>
      <c r="B2870">
        <v>139201</v>
      </c>
      <c r="C2870">
        <v>68572</v>
      </c>
      <c r="D2870">
        <v>70629</v>
      </c>
      <c r="E2870">
        <v>131169060</v>
      </c>
      <c r="F2870">
        <v>112566443</v>
      </c>
      <c r="G2870">
        <v>243735503</v>
      </c>
      <c r="H2870">
        <v>46574</v>
      </c>
      <c r="I2870">
        <v>11073</v>
      </c>
      <c r="J2870">
        <v>57647</v>
      </c>
      <c r="K2870" t="b">
        <f>TrafficData[[#This Row],[disposedChallan]]+TrafficData[[#This Row],[pendingChallan]]=TrafficData[[#This Row],[totalChallan]]</f>
        <v>1</v>
      </c>
      <c r="L2870" t="b">
        <f>TrafficData[[#This Row],[pendingAmount]]+TrafficData[[#This Row],[disposedAmount]]=TrafficData[[#This Row],[totalAmount]]</f>
        <v>1</v>
      </c>
      <c r="M2870" t="b">
        <f>TrafficData[[#This Row],[pendingCourt]]+TrafficData[[#This Row],[disposedCourt]]=TrafficData[[#This Row],[totalCourt]]</f>
        <v>1</v>
      </c>
      <c r="N2870" t="b">
        <f>AND(TrafficData[[#This Row],[disposedChallan]]&lt;=TrafficData[[#This Row],[totalChallan]],TrafficData[[#This Row],[pendingChallan]]&lt;=TrafficData[[#This Row],[totalChallan]])</f>
        <v>1</v>
      </c>
      <c r="O2870" t="b">
        <f>AND(TrafficData[[#This Row],[pendingAmount]]&lt;=TrafficData[[#This Row],[totalAmount]],TrafficData[[#This Row],[disposedAmount]]&lt;=TrafficData[[#This Row],[totalAmount]])</f>
        <v>1</v>
      </c>
      <c r="P2870" t="b">
        <f>AND(TrafficData[[#This Row],[pendingCourt]]&lt;=TrafficData[[#This Row],[totalCourt]],TrafficData[[#This Row],[disposedCourt]]&lt;=TrafficData[[#This Row],[totalCourt]])</f>
        <v>1</v>
      </c>
    </row>
    <row r="2871" spans="1:16">
      <c r="A2871" s="1">
        <v>44875</v>
      </c>
      <c r="B2871">
        <v>146205</v>
      </c>
      <c r="C2871">
        <v>70070</v>
      </c>
      <c r="D2871">
        <v>76135</v>
      </c>
      <c r="E2871">
        <v>141084756</v>
      </c>
      <c r="F2871">
        <v>120356049</v>
      </c>
      <c r="G2871">
        <v>261440805</v>
      </c>
      <c r="H2871">
        <v>53579</v>
      </c>
      <c r="I2871">
        <v>12601</v>
      </c>
      <c r="J2871">
        <v>66180</v>
      </c>
      <c r="K2871" t="b">
        <f>TrafficData[[#This Row],[disposedChallan]]+TrafficData[[#This Row],[pendingChallan]]=TrafficData[[#This Row],[totalChallan]]</f>
        <v>1</v>
      </c>
      <c r="L2871" t="b">
        <f>TrafficData[[#This Row],[pendingAmount]]+TrafficData[[#This Row],[disposedAmount]]=TrafficData[[#This Row],[totalAmount]]</f>
        <v>1</v>
      </c>
      <c r="M2871" t="b">
        <f>TrafficData[[#This Row],[pendingCourt]]+TrafficData[[#This Row],[disposedCourt]]=TrafficData[[#This Row],[totalCourt]]</f>
        <v>1</v>
      </c>
      <c r="N2871" t="b">
        <f>AND(TrafficData[[#This Row],[disposedChallan]]&lt;=TrafficData[[#This Row],[totalChallan]],TrafficData[[#This Row],[pendingChallan]]&lt;=TrafficData[[#This Row],[totalChallan]])</f>
        <v>1</v>
      </c>
      <c r="O2871" t="b">
        <f>AND(TrafficData[[#This Row],[pendingAmount]]&lt;=TrafficData[[#This Row],[totalAmount]],TrafficData[[#This Row],[disposedAmount]]&lt;=TrafficData[[#This Row],[totalAmount]])</f>
        <v>1</v>
      </c>
      <c r="P2871" t="b">
        <f>AND(TrafficData[[#This Row],[pendingCourt]]&lt;=TrafficData[[#This Row],[totalCourt]],TrafficData[[#This Row],[disposedCourt]]&lt;=TrafficData[[#This Row],[totalCourt]])</f>
        <v>1</v>
      </c>
    </row>
    <row r="2872" spans="1:16">
      <c r="A2872" s="1">
        <v>44876</v>
      </c>
      <c r="B2872">
        <v>138937</v>
      </c>
      <c r="C2872">
        <v>67527</v>
      </c>
      <c r="D2872">
        <v>71410</v>
      </c>
      <c r="E2872">
        <v>136106002</v>
      </c>
      <c r="F2872">
        <v>114167236</v>
      </c>
      <c r="G2872">
        <v>250273238</v>
      </c>
      <c r="H2872">
        <v>55433</v>
      </c>
      <c r="I2872">
        <v>12961</v>
      </c>
      <c r="J2872">
        <v>68394</v>
      </c>
      <c r="K2872" t="b">
        <f>TrafficData[[#This Row],[disposedChallan]]+TrafficData[[#This Row],[pendingChallan]]=TrafficData[[#This Row],[totalChallan]]</f>
        <v>1</v>
      </c>
      <c r="L2872" t="b">
        <f>TrafficData[[#This Row],[pendingAmount]]+TrafficData[[#This Row],[disposedAmount]]=TrafficData[[#This Row],[totalAmount]]</f>
        <v>1</v>
      </c>
      <c r="M2872" t="b">
        <f>TrafficData[[#This Row],[pendingCourt]]+TrafficData[[#This Row],[disposedCourt]]=TrafficData[[#This Row],[totalCourt]]</f>
        <v>1</v>
      </c>
      <c r="N2872" t="b">
        <f>AND(TrafficData[[#This Row],[disposedChallan]]&lt;=TrafficData[[#This Row],[totalChallan]],TrafficData[[#This Row],[pendingChallan]]&lt;=TrafficData[[#This Row],[totalChallan]])</f>
        <v>1</v>
      </c>
      <c r="O2872" t="b">
        <f>AND(TrafficData[[#This Row],[pendingAmount]]&lt;=TrafficData[[#This Row],[totalAmount]],TrafficData[[#This Row],[disposedAmount]]&lt;=TrafficData[[#This Row],[totalAmount]])</f>
        <v>1</v>
      </c>
      <c r="P2872" t="b">
        <f>AND(TrafficData[[#This Row],[pendingCourt]]&lt;=TrafficData[[#This Row],[totalCourt]],TrafficData[[#This Row],[disposedCourt]]&lt;=TrafficData[[#This Row],[totalCourt]])</f>
        <v>1</v>
      </c>
    </row>
    <row r="2873" spans="1:16">
      <c r="A2873" s="1">
        <v>44877</v>
      </c>
      <c r="B2873">
        <v>141428</v>
      </c>
      <c r="C2873">
        <v>65531</v>
      </c>
      <c r="D2873">
        <v>75897</v>
      </c>
      <c r="E2873">
        <v>129388305</v>
      </c>
      <c r="F2873">
        <v>93290140</v>
      </c>
      <c r="G2873">
        <v>222678445</v>
      </c>
      <c r="H2873">
        <v>50962</v>
      </c>
      <c r="I2873">
        <v>12611</v>
      </c>
      <c r="J2873">
        <v>63573</v>
      </c>
      <c r="K2873" t="b">
        <f>TrafficData[[#This Row],[disposedChallan]]+TrafficData[[#This Row],[pendingChallan]]=TrafficData[[#This Row],[totalChallan]]</f>
        <v>1</v>
      </c>
      <c r="L2873" t="b">
        <f>TrafficData[[#This Row],[pendingAmount]]+TrafficData[[#This Row],[disposedAmount]]=TrafficData[[#This Row],[totalAmount]]</f>
        <v>1</v>
      </c>
      <c r="M2873" t="b">
        <f>TrafficData[[#This Row],[pendingCourt]]+TrafficData[[#This Row],[disposedCourt]]=TrafficData[[#This Row],[totalCourt]]</f>
        <v>1</v>
      </c>
      <c r="N2873" t="b">
        <f>AND(TrafficData[[#This Row],[disposedChallan]]&lt;=TrafficData[[#This Row],[totalChallan]],TrafficData[[#This Row],[pendingChallan]]&lt;=TrafficData[[#This Row],[totalChallan]])</f>
        <v>1</v>
      </c>
      <c r="O2873" t="b">
        <f>AND(TrafficData[[#This Row],[pendingAmount]]&lt;=TrafficData[[#This Row],[totalAmount]],TrafficData[[#This Row],[disposedAmount]]&lt;=TrafficData[[#This Row],[totalAmount]])</f>
        <v>1</v>
      </c>
      <c r="P2873" t="b">
        <f>AND(TrafficData[[#This Row],[pendingCourt]]&lt;=TrafficData[[#This Row],[totalCourt]],TrafficData[[#This Row],[disposedCourt]]&lt;=TrafficData[[#This Row],[totalCourt]])</f>
        <v>1</v>
      </c>
    </row>
    <row r="2874" spans="1:16">
      <c r="A2874" s="1">
        <v>44878</v>
      </c>
      <c r="B2874">
        <v>140421</v>
      </c>
      <c r="C2874">
        <v>61747</v>
      </c>
      <c r="D2874">
        <v>78674</v>
      </c>
      <c r="E2874">
        <v>123583549</v>
      </c>
      <c r="F2874">
        <v>80226254</v>
      </c>
      <c r="G2874">
        <v>203809803</v>
      </c>
      <c r="H2874">
        <v>47636</v>
      </c>
      <c r="I2874">
        <v>11699</v>
      </c>
      <c r="J2874">
        <v>59335</v>
      </c>
      <c r="K2874" t="b">
        <f>TrafficData[[#This Row],[disposedChallan]]+TrafficData[[#This Row],[pendingChallan]]=TrafficData[[#This Row],[totalChallan]]</f>
        <v>1</v>
      </c>
      <c r="L2874" t="b">
        <f>TrafficData[[#This Row],[pendingAmount]]+TrafficData[[#This Row],[disposedAmount]]=TrafficData[[#This Row],[totalAmount]]</f>
        <v>1</v>
      </c>
      <c r="M2874" t="b">
        <f>TrafficData[[#This Row],[pendingCourt]]+TrafficData[[#This Row],[disposedCourt]]=TrafficData[[#This Row],[totalCourt]]</f>
        <v>1</v>
      </c>
      <c r="N2874" t="b">
        <f>AND(TrafficData[[#This Row],[disposedChallan]]&lt;=TrafficData[[#This Row],[totalChallan]],TrafficData[[#This Row],[pendingChallan]]&lt;=TrafficData[[#This Row],[totalChallan]])</f>
        <v>1</v>
      </c>
      <c r="O2874" t="b">
        <f>AND(TrafficData[[#This Row],[pendingAmount]]&lt;=TrafficData[[#This Row],[totalAmount]],TrafficData[[#This Row],[disposedAmount]]&lt;=TrafficData[[#This Row],[totalAmount]])</f>
        <v>1</v>
      </c>
      <c r="P2874" t="b">
        <f>AND(TrafficData[[#This Row],[pendingCourt]]&lt;=TrafficData[[#This Row],[totalCourt]],TrafficData[[#This Row],[disposedCourt]]&lt;=TrafficData[[#This Row],[totalCourt]])</f>
        <v>1</v>
      </c>
    </row>
    <row r="2875" spans="1:16">
      <c r="A2875" s="1">
        <v>44879</v>
      </c>
      <c r="B2875">
        <v>152900</v>
      </c>
      <c r="C2875">
        <v>68947</v>
      </c>
      <c r="D2875">
        <v>83953</v>
      </c>
      <c r="E2875">
        <v>146824113</v>
      </c>
      <c r="F2875">
        <v>103210229</v>
      </c>
      <c r="G2875">
        <v>250034342</v>
      </c>
      <c r="H2875">
        <v>54761</v>
      </c>
      <c r="I2875">
        <v>12087</v>
      </c>
      <c r="J2875">
        <v>66848</v>
      </c>
      <c r="K2875" t="b">
        <f>TrafficData[[#This Row],[disposedChallan]]+TrafficData[[#This Row],[pendingChallan]]=TrafficData[[#This Row],[totalChallan]]</f>
        <v>1</v>
      </c>
      <c r="L2875" t="b">
        <f>TrafficData[[#This Row],[pendingAmount]]+TrafficData[[#This Row],[disposedAmount]]=TrafficData[[#This Row],[totalAmount]]</f>
        <v>1</v>
      </c>
      <c r="M2875" t="b">
        <f>TrafficData[[#This Row],[pendingCourt]]+TrafficData[[#This Row],[disposedCourt]]=TrafficData[[#This Row],[totalCourt]]</f>
        <v>1</v>
      </c>
      <c r="N2875" t="b">
        <f>AND(TrafficData[[#This Row],[disposedChallan]]&lt;=TrafficData[[#This Row],[totalChallan]],TrafficData[[#This Row],[pendingChallan]]&lt;=TrafficData[[#This Row],[totalChallan]])</f>
        <v>1</v>
      </c>
      <c r="O2875" t="b">
        <f>AND(TrafficData[[#This Row],[pendingAmount]]&lt;=TrafficData[[#This Row],[totalAmount]],TrafficData[[#This Row],[disposedAmount]]&lt;=TrafficData[[#This Row],[totalAmount]])</f>
        <v>1</v>
      </c>
      <c r="P2875" t="b">
        <f>AND(TrafficData[[#This Row],[pendingCourt]]&lt;=TrafficData[[#This Row],[totalCourt]],TrafficData[[#This Row],[disposedCourt]]&lt;=TrafficData[[#This Row],[totalCourt]])</f>
        <v>1</v>
      </c>
    </row>
    <row r="2876" spans="1:16">
      <c r="A2876" s="1">
        <v>44880</v>
      </c>
      <c r="B2876">
        <v>159278</v>
      </c>
      <c r="C2876">
        <v>72239</v>
      </c>
      <c r="D2876">
        <v>87039</v>
      </c>
      <c r="E2876">
        <v>153753966</v>
      </c>
      <c r="F2876">
        <v>116747265</v>
      </c>
      <c r="G2876">
        <v>270501231</v>
      </c>
      <c r="H2876">
        <v>52390</v>
      </c>
      <c r="I2876">
        <v>12736</v>
      </c>
      <c r="J2876">
        <v>65126</v>
      </c>
      <c r="K2876" t="b">
        <f>TrafficData[[#This Row],[disposedChallan]]+TrafficData[[#This Row],[pendingChallan]]=TrafficData[[#This Row],[totalChallan]]</f>
        <v>1</v>
      </c>
      <c r="L2876" t="b">
        <f>TrafficData[[#This Row],[pendingAmount]]+TrafficData[[#This Row],[disposedAmount]]=TrafficData[[#This Row],[totalAmount]]</f>
        <v>1</v>
      </c>
      <c r="M2876" t="b">
        <f>TrafficData[[#This Row],[pendingCourt]]+TrafficData[[#This Row],[disposedCourt]]=TrafficData[[#This Row],[totalCourt]]</f>
        <v>1</v>
      </c>
      <c r="N2876" t="b">
        <f>AND(TrafficData[[#This Row],[disposedChallan]]&lt;=TrafficData[[#This Row],[totalChallan]],TrafficData[[#This Row],[pendingChallan]]&lt;=TrafficData[[#This Row],[totalChallan]])</f>
        <v>1</v>
      </c>
      <c r="O2876" t="b">
        <f>AND(TrafficData[[#This Row],[pendingAmount]]&lt;=TrafficData[[#This Row],[totalAmount]],TrafficData[[#This Row],[disposedAmount]]&lt;=TrafficData[[#This Row],[totalAmount]])</f>
        <v>1</v>
      </c>
      <c r="P2876" t="b">
        <f>AND(TrafficData[[#This Row],[pendingCourt]]&lt;=TrafficData[[#This Row],[totalCourt]],TrafficData[[#This Row],[disposedCourt]]&lt;=TrafficData[[#This Row],[totalCourt]])</f>
        <v>1</v>
      </c>
    </row>
    <row r="2877" spans="1:16">
      <c r="A2877" s="1">
        <v>44881</v>
      </c>
      <c r="B2877">
        <v>149355</v>
      </c>
      <c r="C2877">
        <v>69975</v>
      </c>
      <c r="D2877">
        <v>79380</v>
      </c>
      <c r="E2877">
        <v>144588414</v>
      </c>
      <c r="F2877">
        <v>120301487</v>
      </c>
      <c r="G2877">
        <v>264889901</v>
      </c>
      <c r="H2877">
        <v>53043</v>
      </c>
      <c r="I2877">
        <v>11969</v>
      </c>
      <c r="J2877">
        <v>65012</v>
      </c>
      <c r="K2877" t="b">
        <f>TrafficData[[#This Row],[disposedChallan]]+TrafficData[[#This Row],[pendingChallan]]=TrafficData[[#This Row],[totalChallan]]</f>
        <v>1</v>
      </c>
      <c r="L2877" t="b">
        <f>TrafficData[[#This Row],[pendingAmount]]+TrafficData[[#This Row],[disposedAmount]]=TrafficData[[#This Row],[totalAmount]]</f>
        <v>1</v>
      </c>
      <c r="M2877" t="b">
        <f>TrafficData[[#This Row],[pendingCourt]]+TrafficData[[#This Row],[disposedCourt]]=TrafficData[[#This Row],[totalCourt]]</f>
        <v>1</v>
      </c>
      <c r="N2877" t="b">
        <f>AND(TrafficData[[#This Row],[disposedChallan]]&lt;=TrafficData[[#This Row],[totalChallan]],TrafficData[[#This Row],[pendingChallan]]&lt;=TrafficData[[#This Row],[totalChallan]])</f>
        <v>1</v>
      </c>
      <c r="O2877" t="b">
        <f>AND(TrafficData[[#This Row],[pendingAmount]]&lt;=TrafficData[[#This Row],[totalAmount]],TrafficData[[#This Row],[disposedAmount]]&lt;=TrafficData[[#This Row],[totalAmount]])</f>
        <v>1</v>
      </c>
      <c r="P2877" t="b">
        <f>AND(TrafficData[[#This Row],[pendingCourt]]&lt;=TrafficData[[#This Row],[totalCourt]],TrafficData[[#This Row],[disposedCourt]]&lt;=TrafficData[[#This Row],[totalCourt]])</f>
        <v>1</v>
      </c>
    </row>
    <row r="2878" spans="1:16">
      <c r="A2878" s="1">
        <v>44882</v>
      </c>
      <c r="B2878">
        <v>138523</v>
      </c>
      <c r="C2878">
        <v>66692</v>
      </c>
      <c r="D2878">
        <v>71831</v>
      </c>
      <c r="E2878">
        <v>132626043</v>
      </c>
      <c r="F2878">
        <v>115840041</v>
      </c>
      <c r="G2878">
        <v>248466084</v>
      </c>
      <c r="H2878">
        <v>46599</v>
      </c>
      <c r="I2878">
        <v>11074</v>
      </c>
      <c r="J2878">
        <v>57673</v>
      </c>
      <c r="K2878" t="b">
        <f>TrafficData[[#This Row],[disposedChallan]]+TrafficData[[#This Row],[pendingChallan]]=TrafficData[[#This Row],[totalChallan]]</f>
        <v>1</v>
      </c>
      <c r="L2878" t="b">
        <f>TrafficData[[#This Row],[pendingAmount]]+TrafficData[[#This Row],[disposedAmount]]=TrafficData[[#This Row],[totalAmount]]</f>
        <v>1</v>
      </c>
      <c r="M2878" t="b">
        <f>TrafficData[[#This Row],[pendingCourt]]+TrafficData[[#This Row],[disposedCourt]]=TrafficData[[#This Row],[totalCourt]]</f>
        <v>1</v>
      </c>
      <c r="N2878" t="b">
        <f>AND(TrafficData[[#This Row],[disposedChallan]]&lt;=TrafficData[[#This Row],[totalChallan]],TrafficData[[#This Row],[pendingChallan]]&lt;=TrafficData[[#This Row],[totalChallan]])</f>
        <v>1</v>
      </c>
      <c r="O2878" t="b">
        <f>AND(TrafficData[[#This Row],[pendingAmount]]&lt;=TrafficData[[#This Row],[totalAmount]],TrafficData[[#This Row],[disposedAmount]]&lt;=TrafficData[[#This Row],[totalAmount]])</f>
        <v>1</v>
      </c>
      <c r="P2878" t="b">
        <f>AND(TrafficData[[#This Row],[pendingCourt]]&lt;=TrafficData[[#This Row],[totalCourt]],TrafficData[[#This Row],[disposedCourt]]&lt;=TrafficData[[#This Row],[totalCourt]])</f>
        <v>1</v>
      </c>
    </row>
    <row r="2879" spans="1:16">
      <c r="A2879" s="1">
        <v>44883</v>
      </c>
      <c r="B2879">
        <v>162973</v>
      </c>
      <c r="C2879">
        <v>74861</v>
      </c>
      <c r="D2879">
        <v>88112</v>
      </c>
      <c r="E2879">
        <v>159352211</v>
      </c>
      <c r="F2879">
        <v>125431007</v>
      </c>
      <c r="G2879">
        <v>284783218</v>
      </c>
      <c r="H2879">
        <v>56569</v>
      </c>
      <c r="I2879">
        <v>13333</v>
      </c>
      <c r="J2879">
        <v>69902</v>
      </c>
      <c r="K2879" t="b">
        <f>TrafficData[[#This Row],[disposedChallan]]+TrafficData[[#This Row],[pendingChallan]]=TrafficData[[#This Row],[totalChallan]]</f>
        <v>1</v>
      </c>
      <c r="L2879" t="b">
        <f>TrafficData[[#This Row],[pendingAmount]]+TrafficData[[#This Row],[disposedAmount]]=TrafficData[[#This Row],[totalAmount]]</f>
        <v>1</v>
      </c>
      <c r="M2879" t="b">
        <f>TrafficData[[#This Row],[pendingCourt]]+TrafficData[[#This Row],[disposedCourt]]=TrafficData[[#This Row],[totalCourt]]</f>
        <v>1</v>
      </c>
      <c r="N2879" t="b">
        <f>AND(TrafficData[[#This Row],[disposedChallan]]&lt;=TrafficData[[#This Row],[totalChallan]],TrafficData[[#This Row],[pendingChallan]]&lt;=TrafficData[[#This Row],[totalChallan]])</f>
        <v>1</v>
      </c>
      <c r="O2879" t="b">
        <f>AND(TrafficData[[#This Row],[pendingAmount]]&lt;=TrafficData[[#This Row],[totalAmount]],TrafficData[[#This Row],[disposedAmount]]&lt;=TrafficData[[#This Row],[totalAmount]])</f>
        <v>1</v>
      </c>
      <c r="P2879" t="b">
        <f>AND(TrafficData[[#This Row],[pendingCourt]]&lt;=TrafficData[[#This Row],[totalCourt]],TrafficData[[#This Row],[disposedCourt]]&lt;=TrafficData[[#This Row],[totalCourt]])</f>
        <v>1</v>
      </c>
    </row>
    <row r="2880" spans="1:16">
      <c r="A2880" s="1">
        <v>44884</v>
      </c>
      <c r="B2880">
        <v>163030</v>
      </c>
      <c r="C2880">
        <v>76070</v>
      </c>
      <c r="D2880">
        <v>86960</v>
      </c>
      <c r="E2880">
        <v>154216619</v>
      </c>
      <c r="F2880">
        <v>114952123</v>
      </c>
      <c r="G2880">
        <v>269168742</v>
      </c>
      <c r="H2880">
        <v>56767</v>
      </c>
      <c r="I2880">
        <v>13512</v>
      </c>
      <c r="J2880">
        <v>70279</v>
      </c>
      <c r="K2880" t="b">
        <f>TrafficData[[#This Row],[disposedChallan]]+TrafficData[[#This Row],[pendingChallan]]=TrafficData[[#This Row],[totalChallan]]</f>
        <v>1</v>
      </c>
      <c r="L2880" t="b">
        <f>TrafficData[[#This Row],[pendingAmount]]+TrafficData[[#This Row],[disposedAmount]]=TrafficData[[#This Row],[totalAmount]]</f>
        <v>1</v>
      </c>
      <c r="M2880" t="b">
        <f>TrafficData[[#This Row],[pendingCourt]]+TrafficData[[#This Row],[disposedCourt]]=TrafficData[[#This Row],[totalCourt]]</f>
        <v>1</v>
      </c>
      <c r="N2880" t="b">
        <f>AND(TrafficData[[#This Row],[disposedChallan]]&lt;=TrafficData[[#This Row],[totalChallan]],TrafficData[[#This Row],[pendingChallan]]&lt;=TrafficData[[#This Row],[totalChallan]])</f>
        <v>1</v>
      </c>
      <c r="O2880" t="b">
        <f>AND(TrafficData[[#This Row],[pendingAmount]]&lt;=TrafficData[[#This Row],[totalAmount]],TrafficData[[#This Row],[disposedAmount]]&lt;=TrafficData[[#This Row],[totalAmount]])</f>
        <v>1</v>
      </c>
      <c r="P2880" t="b">
        <f>AND(TrafficData[[#This Row],[pendingCourt]]&lt;=TrafficData[[#This Row],[totalCourt]],TrafficData[[#This Row],[disposedCourt]]&lt;=TrafficData[[#This Row],[totalCourt]])</f>
        <v>1</v>
      </c>
    </row>
    <row r="2881" spans="1:16">
      <c r="A2881" s="1">
        <v>44885</v>
      </c>
      <c r="B2881">
        <v>148771</v>
      </c>
      <c r="C2881">
        <v>64481</v>
      </c>
      <c r="D2881">
        <v>84290</v>
      </c>
      <c r="E2881">
        <v>127997882</v>
      </c>
      <c r="F2881">
        <v>81449259</v>
      </c>
      <c r="G2881">
        <v>209447141</v>
      </c>
      <c r="H2881">
        <v>52333</v>
      </c>
      <c r="I2881">
        <v>11791</v>
      </c>
      <c r="J2881">
        <v>64124</v>
      </c>
      <c r="K2881" t="b">
        <f>TrafficData[[#This Row],[disposedChallan]]+TrafficData[[#This Row],[pendingChallan]]=TrafficData[[#This Row],[totalChallan]]</f>
        <v>1</v>
      </c>
      <c r="L2881" t="b">
        <f>TrafficData[[#This Row],[pendingAmount]]+TrafficData[[#This Row],[disposedAmount]]=TrafficData[[#This Row],[totalAmount]]</f>
        <v>1</v>
      </c>
      <c r="M2881" t="b">
        <f>TrafficData[[#This Row],[pendingCourt]]+TrafficData[[#This Row],[disposedCourt]]=TrafficData[[#This Row],[totalCourt]]</f>
        <v>1</v>
      </c>
      <c r="N2881" t="b">
        <f>AND(TrafficData[[#This Row],[disposedChallan]]&lt;=TrafficData[[#This Row],[totalChallan]],TrafficData[[#This Row],[pendingChallan]]&lt;=TrafficData[[#This Row],[totalChallan]])</f>
        <v>1</v>
      </c>
      <c r="O2881" t="b">
        <f>AND(TrafficData[[#This Row],[pendingAmount]]&lt;=TrafficData[[#This Row],[totalAmount]],TrafficData[[#This Row],[disposedAmount]]&lt;=TrafficData[[#This Row],[totalAmount]])</f>
        <v>1</v>
      </c>
      <c r="P2881" t="b">
        <f>AND(TrafficData[[#This Row],[pendingCourt]]&lt;=TrafficData[[#This Row],[totalCourt]],TrafficData[[#This Row],[disposedCourt]]&lt;=TrafficData[[#This Row],[totalCourt]])</f>
        <v>1</v>
      </c>
    </row>
    <row r="2882" spans="1:16">
      <c r="A2882" s="1">
        <v>44886</v>
      </c>
      <c r="B2882">
        <v>166216</v>
      </c>
      <c r="C2882">
        <v>74052</v>
      </c>
      <c r="D2882">
        <v>92164</v>
      </c>
      <c r="E2882">
        <v>153520025</v>
      </c>
      <c r="F2882">
        <v>104050338</v>
      </c>
      <c r="G2882">
        <v>257570363</v>
      </c>
      <c r="H2882">
        <v>58392</v>
      </c>
      <c r="I2882">
        <v>13661</v>
      </c>
      <c r="J2882">
        <v>72053</v>
      </c>
      <c r="K2882" t="b">
        <f>TrafficData[[#This Row],[disposedChallan]]+TrafficData[[#This Row],[pendingChallan]]=TrafficData[[#This Row],[totalChallan]]</f>
        <v>1</v>
      </c>
      <c r="L2882" t="b">
        <f>TrafficData[[#This Row],[pendingAmount]]+TrafficData[[#This Row],[disposedAmount]]=TrafficData[[#This Row],[totalAmount]]</f>
        <v>1</v>
      </c>
      <c r="M2882" t="b">
        <f>TrafficData[[#This Row],[pendingCourt]]+TrafficData[[#This Row],[disposedCourt]]=TrafficData[[#This Row],[totalCourt]]</f>
        <v>1</v>
      </c>
      <c r="N2882" t="b">
        <f>AND(TrafficData[[#This Row],[disposedChallan]]&lt;=TrafficData[[#This Row],[totalChallan]],TrafficData[[#This Row],[pendingChallan]]&lt;=TrafficData[[#This Row],[totalChallan]])</f>
        <v>1</v>
      </c>
      <c r="O2882" t="b">
        <f>AND(TrafficData[[#This Row],[pendingAmount]]&lt;=TrafficData[[#This Row],[totalAmount]],TrafficData[[#This Row],[disposedAmount]]&lt;=TrafficData[[#This Row],[totalAmount]])</f>
        <v>1</v>
      </c>
      <c r="P2882" t="b">
        <f>AND(TrafficData[[#This Row],[pendingCourt]]&lt;=TrafficData[[#This Row],[totalCourt]],TrafficData[[#This Row],[disposedCourt]]&lt;=TrafficData[[#This Row],[totalCourt]])</f>
        <v>1</v>
      </c>
    </row>
    <row r="2883" spans="1:16">
      <c r="A2883" s="1">
        <v>44887</v>
      </c>
      <c r="B2883">
        <v>167425</v>
      </c>
      <c r="C2883">
        <v>75960</v>
      </c>
      <c r="D2883">
        <v>91465</v>
      </c>
      <c r="E2883">
        <v>155104130</v>
      </c>
      <c r="F2883">
        <v>121817251</v>
      </c>
      <c r="G2883">
        <v>276921381</v>
      </c>
      <c r="H2883">
        <v>63246</v>
      </c>
      <c r="I2883">
        <v>14129</v>
      </c>
      <c r="J2883">
        <v>77375</v>
      </c>
      <c r="K2883" t="b">
        <f>TrafficData[[#This Row],[disposedChallan]]+TrafficData[[#This Row],[pendingChallan]]=TrafficData[[#This Row],[totalChallan]]</f>
        <v>1</v>
      </c>
      <c r="L2883" t="b">
        <f>TrafficData[[#This Row],[pendingAmount]]+TrafficData[[#This Row],[disposedAmount]]=TrafficData[[#This Row],[totalAmount]]</f>
        <v>1</v>
      </c>
      <c r="M2883" t="b">
        <f>TrafficData[[#This Row],[pendingCourt]]+TrafficData[[#This Row],[disposedCourt]]=TrafficData[[#This Row],[totalCourt]]</f>
        <v>1</v>
      </c>
      <c r="N2883" t="b">
        <f>AND(TrafficData[[#This Row],[disposedChallan]]&lt;=TrafficData[[#This Row],[totalChallan]],TrafficData[[#This Row],[pendingChallan]]&lt;=TrafficData[[#This Row],[totalChallan]])</f>
        <v>1</v>
      </c>
      <c r="O2883" t="b">
        <f>AND(TrafficData[[#This Row],[pendingAmount]]&lt;=TrafficData[[#This Row],[totalAmount]],TrafficData[[#This Row],[disposedAmount]]&lt;=TrafficData[[#This Row],[totalAmount]])</f>
        <v>1</v>
      </c>
      <c r="P2883" t="b">
        <f>AND(TrafficData[[#This Row],[pendingCourt]]&lt;=TrafficData[[#This Row],[totalCourt]],TrafficData[[#This Row],[disposedCourt]]&lt;=TrafficData[[#This Row],[totalCourt]])</f>
        <v>1</v>
      </c>
    </row>
    <row r="2884" spans="1:16">
      <c r="A2884" s="1">
        <v>44888</v>
      </c>
      <c r="B2884">
        <v>168319</v>
      </c>
      <c r="C2884">
        <v>76608</v>
      </c>
      <c r="D2884">
        <v>91711</v>
      </c>
      <c r="E2884">
        <v>159524661</v>
      </c>
      <c r="F2884">
        <v>115484511</v>
      </c>
      <c r="G2884">
        <v>275009172</v>
      </c>
      <c r="H2884">
        <v>63694</v>
      </c>
      <c r="I2884">
        <v>14212</v>
      </c>
      <c r="J2884">
        <v>77906</v>
      </c>
      <c r="K2884" t="b">
        <f>TrafficData[[#This Row],[disposedChallan]]+TrafficData[[#This Row],[pendingChallan]]=TrafficData[[#This Row],[totalChallan]]</f>
        <v>1</v>
      </c>
      <c r="L2884" t="b">
        <f>TrafficData[[#This Row],[pendingAmount]]+TrafficData[[#This Row],[disposedAmount]]=TrafficData[[#This Row],[totalAmount]]</f>
        <v>1</v>
      </c>
      <c r="M2884" t="b">
        <f>TrafficData[[#This Row],[pendingCourt]]+TrafficData[[#This Row],[disposedCourt]]=TrafficData[[#This Row],[totalCourt]]</f>
        <v>1</v>
      </c>
      <c r="N2884" t="b">
        <f>AND(TrafficData[[#This Row],[disposedChallan]]&lt;=TrafficData[[#This Row],[totalChallan]],TrafficData[[#This Row],[pendingChallan]]&lt;=TrafficData[[#This Row],[totalChallan]])</f>
        <v>1</v>
      </c>
      <c r="O2884" t="b">
        <f>AND(TrafficData[[#This Row],[pendingAmount]]&lt;=TrafficData[[#This Row],[totalAmount]],TrafficData[[#This Row],[disposedAmount]]&lt;=TrafficData[[#This Row],[totalAmount]])</f>
        <v>1</v>
      </c>
      <c r="P2884" t="b">
        <f>AND(TrafficData[[#This Row],[pendingCourt]]&lt;=TrafficData[[#This Row],[totalCourt]],TrafficData[[#This Row],[disposedCourt]]&lt;=TrafficData[[#This Row],[totalCourt]])</f>
        <v>1</v>
      </c>
    </row>
    <row r="2885" spans="1:16">
      <c r="A2885" s="1">
        <v>44889</v>
      </c>
      <c r="B2885">
        <v>168279</v>
      </c>
      <c r="C2885">
        <v>76457</v>
      </c>
      <c r="D2885">
        <v>91822</v>
      </c>
      <c r="E2885">
        <v>153418497</v>
      </c>
      <c r="F2885">
        <v>1159784380</v>
      </c>
      <c r="G2885">
        <v>1313202877</v>
      </c>
      <c r="H2885">
        <v>61729</v>
      </c>
      <c r="I2885">
        <v>14436</v>
      </c>
      <c r="J2885">
        <v>76165</v>
      </c>
      <c r="K2885" t="b">
        <f>TrafficData[[#This Row],[disposedChallan]]+TrafficData[[#This Row],[pendingChallan]]=TrafficData[[#This Row],[totalChallan]]</f>
        <v>1</v>
      </c>
      <c r="L2885" t="b">
        <f>TrafficData[[#This Row],[pendingAmount]]+TrafficData[[#This Row],[disposedAmount]]=TrafficData[[#This Row],[totalAmount]]</f>
        <v>1</v>
      </c>
      <c r="M2885" t="b">
        <f>TrafficData[[#This Row],[pendingCourt]]+TrafficData[[#This Row],[disposedCourt]]=TrafficData[[#This Row],[totalCourt]]</f>
        <v>1</v>
      </c>
      <c r="N2885" t="b">
        <f>AND(TrafficData[[#This Row],[disposedChallan]]&lt;=TrafficData[[#This Row],[totalChallan]],TrafficData[[#This Row],[pendingChallan]]&lt;=TrafficData[[#This Row],[totalChallan]])</f>
        <v>1</v>
      </c>
      <c r="O2885" t="b">
        <f>AND(TrafficData[[#This Row],[pendingAmount]]&lt;=TrafficData[[#This Row],[totalAmount]],TrafficData[[#This Row],[disposedAmount]]&lt;=TrafficData[[#This Row],[totalAmount]])</f>
        <v>1</v>
      </c>
      <c r="P2885" t="b">
        <f>AND(TrafficData[[#This Row],[pendingCourt]]&lt;=TrafficData[[#This Row],[totalCourt]],TrafficData[[#This Row],[disposedCourt]]&lt;=TrafficData[[#This Row],[totalCourt]])</f>
        <v>1</v>
      </c>
    </row>
    <row r="2886" spans="1:16">
      <c r="A2886" s="1">
        <v>44890</v>
      </c>
      <c r="B2886">
        <v>144160</v>
      </c>
      <c r="C2886">
        <v>65948</v>
      </c>
      <c r="D2886">
        <v>78212</v>
      </c>
      <c r="E2886">
        <v>126885340</v>
      </c>
      <c r="F2886">
        <v>98339726</v>
      </c>
      <c r="G2886">
        <v>225225066</v>
      </c>
      <c r="H2886">
        <v>48309</v>
      </c>
      <c r="I2886">
        <v>11425</v>
      </c>
      <c r="J2886">
        <v>59734</v>
      </c>
      <c r="K2886" t="b">
        <f>TrafficData[[#This Row],[disposedChallan]]+TrafficData[[#This Row],[pendingChallan]]=TrafficData[[#This Row],[totalChallan]]</f>
        <v>1</v>
      </c>
      <c r="L2886" t="b">
        <f>TrafficData[[#This Row],[pendingAmount]]+TrafficData[[#This Row],[disposedAmount]]=TrafficData[[#This Row],[totalAmount]]</f>
        <v>1</v>
      </c>
      <c r="M2886" t="b">
        <f>TrafficData[[#This Row],[pendingCourt]]+TrafficData[[#This Row],[disposedCourt]]=TrafficData[[#This Row],[totalCourt]]</f>
        <v>1</v>
      </c>
      <c r="N2886" t="b">
        <f>AND(TrafficData[[#This Row],[disposedChallan]]&lt;=TrafficData[[#This Row],[totalChallan]],TrafficData[[#This Row],[pendingChallan]]&lt;=TrafficData[[#This Row],[totalChallan]])</f>
        <v>1</v>
      </c>
      <c r="O2886" t="b">
        <f>AND(TrafficData[[#This Row],[pendingAmount]]&lt;=TrafficData[[#This Row],[totalAmount]],TrafficData[[#This Row],[disposedAmount]]&lt;=TrafficData[[#This Row],[totalAmount]])</f>
        <v>1</v>
      </c>
      <c r="P2886" t="b">
        <f>AND(TrafficData[[#This Row],[pendingCourt]]&lt;=TrafficData[[#This Row],[totalCourt]],TrafficData[[#This Row],[disposedCourt]]&lt;=TrafficData[[#This Row],[totalCourt]])</f>
        <v>1</v>
      </c>
    </row>
    <row r="2887" spans="1:16">
      <c r="A2887" s="1">
        <v>44891</v>
      </c>
      <c r="B2887">
        <v>151115</v>
      </c>
      <c r="C2887">
        <v>70628</v>
      </c>
      <c r="D2887">
        <v>80487</v>
      </c>
      <c r="E2887">
        <v>132974068</v>
      </c>
      <c r="F2887">
        <v>98838412</v>
      </c>
      <c r="G2887">
        <v>231812480</v>
      </c>
      <c r="H2887">
        <v>55627</v>
      </c>
      <c r="I2887">
        <v>13577</v>
      </c>
      <c r="J2887">
        <v>69204</v>
      </c>
      <c r="K2887" t="b">
        <f>TrafficData[[#This Row],[disposedChallan]]+TrafficData[[#This Row],[pendingChallan]]=TrafficData[[#This Row],[totalChallan]]</f>
        <v>1</v>
      </c>
      <c r="L2887" t="b">
        <f>TrafficData[[#This Row],[pendingAmount]]+TrafficData[[#This Row],[disposedAmount]]=TrafficData[[#This Row],[totalAmount]]</f>
        <v>1</v>
      </c>
      <c r="M2887" t="b">
        <f>TrafficData[[#This Row],[pendingCourt]]+TrafficData[[#This Row],[disposedCourt]]=TrafficData[[#This Row],[totalCourt]]</f>
        <v>1</v>
      </c>
      <c r="N2887" t="b">
        <f>AND(TrafficData[[#This Row],[disposedChallan]]&lt;=TrafficData[[#This Row],[totalChallan]],TrafficData[[#This Row],[pendingChallan]]&lt;=TrafficData[[#This Row],[totalChallan]])</f>
        <v>1</v>
      </c>
      <c r="O2887" t="b">
        <f>AND(TrafficData[[#This Row],[pendingAmount]]&lt;=TrafficData[[#This Row],[totalAmount]],TrafficData[[#This Row],[disposedAmount]]&lt;=TrafficData[[#This Row],[totalAmount]])</f>
        <v>1</v>
      </c>
      <c r="P2887" t="b">
        <f>AND(TrafficData[[#This Row],[pendingCourt]]&lt;=TrafficData[[#This Row],[totalCourt]],TrafficData[[#This Row],[disposedCourt]]&lt;=TrafficData[[#This Row],[totalCourt]])</f>
        <v>1</v>
      </c>
    </row>
    <row r="2888" spans="1:16">
      <c r="A2888" s="1">
        <v>44892</v>
      </c>
      <c r="B2888">
        <v>137396</v>
      </c>
      <c r="C2888">
        <v>60351</v>
      </c>
      <c r="D2888">
        <v>77045</v>
      </c>
      <c r="E2888">
        <v>117299529</v>
      </c>
      <c r="F2888">
        <v>73599310</v>
      </c>
      <c r="G2888">
        <v>190898839</v>
      </c>
      <c r="H2888">
        <v>54450</v>
      </c>
      <c r="I2888">
        <v>12077</v>
      </c>
      <c r="J2888">
        <v>66527</v>
      </c>
      <c r="K2888" t="b">
        <f>TrafficData[[#This Row],[disposedChallan]]+TrafficData[[#This Row],[pendingChallan]]=TrafficData[[#This Row],[totalChallan]]</f>
        <v>1</v>
      </c>
      <c r="L2888" t="b">
        <f>TrafficData[[#This Row],[pendingAmount]]+TrafficData[[#This Row],[disposedAmount]]=TrafficData[[#This Row],[totalAmount]]</f>
        <v>1</v>
      </c>
      <c r="M2888" t="b">
        <f>TrafficData[[#This Row],[pendingCourt]]+TrafficData[[#This Row],[disposedCourt]]=TrafficData[[#This Row],[totalCourt]]</f>
        <v>1</v>
      </c>
      <c r="N2888" t="b">
        <f>AND(TrafficData[[#This Row],[disposedChallan]]&lt;=TrafficData[[#This Row],[totalChallan]],TrafficData[[#This Row],[pendingChallan]]&lt;=TrafficData[[#This Row],[totalChallan]])</f>
        <v>1</v>
      </c>
      <c r="O2888" t="b">
        <f>AND(TrafficData[[#This Row],[pendingAmount]]&lt;=TrafficData[[#This Row],[totalAmount]],TrafficData[[#This Row],[disposedAmount]]&lt;=TrafficData[[#This Row],[totalAmount]])</f>
        <v>1</v>
      </c>
      <c r="P2888" t="b">
        <f>AND(TrafficData[[#This Row],[pendingCourt]]&lt;=TrafficData[[#This Row],[totalCourt]],TrafficData[[#This Row],[disposedCourt]]&lt;=TrafficData[[#This Row],[totalCourt]])</f>
        <v>1</v>
      </c>
    </row>
    <row r="2889" spans="1:16">
      <c r="A2889" s="1">
        <v>44893</v>
      </c>
      <c r="B2889">
        <v>165988</v>
      </c>
      <c r="C2889">
        <v>74149</v>
      </c>
      <c r="D2889">
        <v>91839</v>
      </c>
      <c r="E2889">
        <v>148068100</v>
      </c>
      <c r="F2889">
        <v>91604149</v>
      </c>
      <c r="G2889">
        <v>239672249</v>
      </c>
      <c r="H2889">
        <v>64223</v>
      </c>
      <c r="I2889">
        <v>14668</v>
      </c>
      <c r="J2889">
        <v>78891</v>
      </c>
      <c r="K2889" t="b">
        <f>TrafficData[[#This Row],[disposedChallan]]+TrafficData[[#This Row],[pendingChallan]]=TrafficData[[#This Row],[totalChallan]]</f>
        <v>1</v>
      </c>
      <c r="L2889" t="b">
        <f>TrafficData[[#This Row],[pendingAmount]]+TrafficData[[#This Row],[disposedAmount]]=TrafficData[[#This Row],[totalAmount]]</f>
        <v>1</v>
      </c>
      <c r="M2889" t="b">
        <f>TrafficData[[#This Row],[pendingCourt]]+TrafficData[[#This Row],[disposedCourt]]=TrafficData[[#This Row],[totalCourt]]</f>
        <v>1</v>
      </c>
      <c r="N2889" t="b">
        <f>AND(TrafficData[[#This Row],[disposedChallan]]&lt;=TrafficData[[#This Row],[totalChallan]],TrafficData[[#This Row],[pendingChallan]]&lt;=TrafficData[[#This Row],[totalChallan]])</f>
        <v>1</v>
      </c>
      <c r="O2889" t="b">
        <f>AND(TrafficData[[#This Row],[pendingAmount]]&lt;=TrafficData[[#This Row],[totalAmount]],TrafficData[[#This Row],[disposedAmount]]&lt;=TrafficData[[#This Row],[totalAmount]])</f>
        <v>1</v>
      </c>
      <c r="P2889" t="b">
        <f>AND(TrafficData[[#This Row],[pendingCourt]]&lt;=TrafficData[[#This Row],[totalCourt]],TrafficData[[#This Row],[disposedCourt]]&lt;=TrafficData[[#This Row],[totalCourt]])</f>
        <v>1</v>
      </c>
    </row>
    <row r="2890" spans="1:16">
      <c r="A2890" s="1">
        <v>44894</v>
      </c>
      <c r="B2890">
        <v>169612</v>
      </c>
      <c r="C2890">
        <v>75132</v>
      </c>
      <c r="D2890">
        <v>94480</v>
      </c>
      <c r="E2890">
        <v>157975671</v>
      </c>
      <c r="F2890">
        <v>106360525</v>
      </c>
      <c r="G2890">
        <v>264336196</v>
      </c>
      <c r="H2890">
        <v>60287</v>
      </c>
      <c r="I2890">
        <v>14234</v>
      </c>
      <c r="J2890">
        <v>74521</v>
      </c>
      <c r="K2890" t="b">
        <f>TrafficData[[#This Row],[disposedChallan]]+TrafficData[[#This Row],[pendingChallan]]=TrafficData[[#This Row],[totalChallan]]</f>
        <v>1</v>
      </c>
      <c r="L2890" t="b">
        <f>TrafficData[[#This Row],[pendingAmount]]+TrafficData[[#This Row],[disposedAmount]]=TrafficData[[#This Row],[totalAmount]]</f>
        <v>1</v>
      </c>
      <c r="M2890" t="b">
        <f>TrafficData[[#This Row],[pendingCourt]]+TrafficData[[#This Row],[disposedCourt]]=TrafficData[[#This Row],[totalCourt]]</f>
        <v>1</v>
      </c>
      <c r="N2890" t="b">
        <f>AND(TrafficData[[#This Row],[disposedChallan]]&lt;=TrafficData[[#This Row],[totalChallan]],TrafficData[[#This Row],[pendingChallan]]&lt;=TrafficData[[#This Row],[totalChallan]])</f>
        <v>1</v>
      </c>
      <c r="O2890" t="b">
        <f>AND(TrafficData[[#This Row],[pendingAmount]]&lt;=TrafficData[[#This Row],[totalAmount]],TrafficData[[#This Row],[disposedAmount]]&lt;=TrafficData[[#This Row],[totalAmount]])</f>
        <v>1</v>
      </c>
      <c r="P2890" t="b">
        <f>AND(TrafficData[[#This Row],[pendingCourt]]&lt;=TrafficData[[#This Row],[totalCourt]],TrafficData[[#This Row],[disposedCourt]]&lt;=TrafficData[[#This Row],[totalCourt]])</f>
        <v>1</v>
      </c>
    </row>
    <row r="2891" spans="1:16">
      <c r="A2891" s="1">
        <v>44895</v>
      </c>
      <c r="B2891">
        <v>171326</v>
      </c>
      <c r="C2891">
        <v>76589</v>
      </c>
      <c r="D2891">
        <v>94737</v>
      </c>
      <c r="E2891">
        <v>153128145</v>
      </c>
      <c r="F2891">
        <v>101543126</v>
      </c>
      <c r="G2891">
        <v>254671271</v>
      </c>
      <c r="H2891">
        <v>58892</v>
      </c>
      <c r="I2891">
        <v>14349</v>
      </c>
      <c r="J2891">
        <v>73241</v>
      </c>
      <c r="K2891" t="b">
        <f>TrafficData[[#This Row],[disposedChallan]]+TrafficData[[#This Row],[pendingChallan]]=TrafficData[[#This Row],[totalChallan]]</f>
        <v>1</v>
      </c>
      <c r="L2891" t="b">
        <f>TrafficData[[#This Row],[pendingAmount]]+TrafficData[[#This Row],[disposedAmount]]=TrafficData[[#This Row],[totalAmount]]</f>
        <v>1</v>
      </c>
      <c r="M2891" t="b">
        <f>TrafficData[[#This Row],[pendingCourt]]+TrafficData[[#This Row],[disposedCourt]]=TrafficData[[#This Row],[totalCourt]]</f>
        <v>1</v>
      </c>
      <c r="N2891" t="b">
        <f>AND(TrafficData[[#This Row],[disposedChallan]]&lt;=TrafficData[[#This Row],[totalChallan]],TrafficData[[#This Row],[pendingChallan]]&lt;=TrafficData[[#This Row],[totalChallan]])</f>
        <v>1</v>
      </c>
      <c r="O2891" t="b">
        <f>AND(TrafficData[[#This Row],[pendingAmount]]&lt;=TrafficData[[#This Row],[totalAmount]],TrafficData[[#This Row],[disposedAmount]]&lt;=TrafficData[[#This Row],[totalAmount]])</f>
        <v>1</v>
      </c>
      <c r="P2891" t="b">
        <f>AND(TrafficData[[#This Row],[pendingCourt]]&lt;=TrafficData[[#This Row],[totalCourt]],TrafficData[[#This Row],[disposedCourt]]&lt;=TrafficData[[#This Row],[totalCourt]])</f>
        <v>1</v>
      </c>
    </row>
    <row r="2892" spans="1:16">
      <c r="A2892" s="1">
        <v>44896</v>
      </c>
      <c r="B2892">
        <v>148387</v>
      </c>
      <c r="C2892">
        <v>73916</v>
      </c>
      <c r="D2892">
        <v>74471</v>
      </c>
      <c r="E2892">
        <v>126262391</v>
      </c>
      <c r="F2892">
        <v>114275509</v>
      </c>
      <c r="G2892">
        <v>240537900</v>
      </c>
      <c r="H2892">
        <v>43792</v>
      </c>
      <c r="I2892">
        <v>11036</v>
      </c>
      <c r="J2892">
        <v>54828</v>
      </c>
      <c r="K2892" t="b">
        <f>TrafficData[[#This Row],[disposedChallan]]+TrafficData[[#This Row],[pendingChallan]]=TrafficData[[#This Row],[totalChallan]]</f>
        <v>1</v>
      </c>
      <c r="L2892" t="b">
        <f>TrafficData[[#This Row],[pendingAmount]]+TrafficData[[#This Row],[disposedAmount]]=TrafficData[[#This Row],[totalAmount]]</f>
        <v>1</v>
      </c>
      <c r="M2892" t="b">
        <f>TrafficData[[#This Row],[pendingCourt]]+TrafficData[[#This Row],[disposedCourt]]=TrafficData[[#This Row],[totalCourt]]</f>
        <v>1</v>
      </c>
      <c r="N2892" t="b">
        <f>AND(TrafficData[[#This Row],[disposedChallan]]&lt;=TrafficData[[#This Row],[totalChallan]],TrafficData[[#This Row],[pendingChallan]]&lt;=TrafficData[[#This Row],[totalChallan]])</f>
        <v>1</v>
      </c>
      <c r="O2892" t="b">
        <f>AND(TrafficData[[#This Row],[pendingAmount]]&lt;=TrafficData[[#This Row],[totalAmount]],TrafficData[[#This Row],[disposedAmount]]&lt;=TrafficData[[#This Row],[totalAmount]])</f>
        <v>1</v>
      </c>
      <c r="P2892" t="b">
        <f>AND(TrafficData[[#This Row],[pendingCourt]]&lt;=TrafficData[[#This Row],[totalCourt]],TrafficData[[#This Row],[disposedCourt]]&lt;=TrafficData[[#This Row],[totalCourt]])</f>
        <v>1</v>
      </c>
    </row>
    <row r="2893" spans="1:16">
      <c r="A2893" s="1">
        <v>44897</v>
      </c>
      <c r="B2893">
        <v>140239</v>
      </c>
      <c r="C2893">
        <v>71122</v>
      </c>
      <c r="D2893">
        <v>69117</v>
      </c>
      <c r="E2893">
        <v>117191951</v>
      </c>
      <c r="F2893">
        <v>112313077</v>
      </c>
      <c r="G2893">
        <v>229505028</v>
      </c>
      <c r="H2893">
        <v>40157</v>
      </c>
      <c r="I2893">
        <v>10051</v>
      </c>
      <c r="J2893">
        <v>50208</v>
      </c>
      <c r="K2893" t="b">
        <f>TrafficData[[#This Row],[disposedChallan]]+TrafficData[[#This Row],[pendingChallan]]=TrafficData[[#This Row],[totalChallan]]</f>
        <v>1</v>
      </c>
      <c r="L2893" t="b">
        <f>TrafficData[[#This Row],[pendingAmount]]+TrafficData[[#This Row],[disposedAmount]]=TrafficData[[#This Row],[totalAmount]]</f>
        <v>1</v>
      </c>
      <c r="M2893" t="b">
        <f>TrafficData[[#This Row],[pendingCourt]]+TrafficData[[#This Row],[disposedCourt]]=TrafficData[[#This Row],[totalCourt]]</f>
        <v>1</v>
      </c>
      <c r="N2893" t="b">
        <f>AND(TrafficData[[#This Row],[disposedChallan]]&lt;=TrafficData[[#This Row],[totalChallan]],TrafficData[[#This Row],[pendingChallan]]&lt;=TrafficData[[#This Row],[totalChallan]])</f>
        <v>1</v>
      </c>
      <c r="O2893" t="b">
        <f>AND(TrafficData[[#This Row],[pendingAmount]]&lt;=TrafficData[[#This Row],[totalAmount]],TrafficData[[#This Row],[disposedAmount]]&lt;=TrafficData[[#This Row],[totalAmount]])</f>
        <v>1</v>
      </c>
      <c r="P2893" t="b">
        <f>AND(TrafficData[[#This Row],[pendingCourt]]&lt;=TrafficData[[#This Row],[totalCourt]],TrafficData[[#This Row],[disposedCourt]]&lt;=TrafficData[[#This Row],[totalCourt]])</f>
        <v>1</v>
      </c>
    </row>
    <row r="2894" spans="1:16">
      <c r="A2894" s="1">
        <v>44898</v>
      </c>
      <c r="B2894">
        <v>138246</v>
      </c>
      <c r="C2894">
        <v>69317</v>
      </c>
      <c r="D2894">
        <v>68929</v>
      </c>
      <c r="E2894">
        <v>116081794</v>
      </c>
      <c r="F2894">
        <v>105257528</v>
      </c>
      <c r="G2894">
        <v>221339322</v>
      </c>
      <c r="H2894">
        <v>42097</v>
      </c>
      <c r="I2894">
        <v>11024</v>
      </c>
      <c r="J2894">
        <v>53121</v>
      </c>
      <c r="K2894" t="b">
        <f>TrafficData[[#This Row],[disposedChallan]]+TrafficData[[#This Row],[pendingChallan]]=TrafficData[[#This Row],[totalChallan]]</f>
        <v>1</v>
      </c>
      <c r="L2894" t="b">
        <f>TrafficData[[#This Row],[pendingAmount]]+TrafficData[[#This Row],[disposedAmount]]=TrafficData[[#This Row],[totalAmount]]</f>
        <v>1</v>
      </c>
      <c r="M2894" t="b">
        <f>TrafficData[[#This Row],[pendingCourt]]+TrafficData[[#This Row],[disposedCourt]]=TrafficData[[#This Row],[totalCourt]]</f>
        <v>1</v>
      </c>
      <c r="N2894" t="b">
        <f>AND(TrafficData[[#This Row],[disposedChallan]]&lt;=TrafficData[[#This Row],[totalChallan]],TrafficData[[#This Row],[pendingChallan]]&lt;=TrafficData[[#This Row],[totalChallan]])</f>
        <v>1</v>
      </c>
      <c r="O2894" t="b">
        <f>AND(TrafficData[[#This Row],[pendingAmount]]&lt;=TrafficData[[#This Row],[totalAmount]],TrafficData[[#This Row],[disposedAmount]]&lt;=TrafficData[[#This Row],[totalAmount]])</f>
        <v>1</v>
      </c>
      <c r="P2894" t="b">
        <f>AND(TrafficData[[#This Row],[pendingCourt]]&lt;=TrafficData[[#This Row],[totalCourt]],TrafficData[[#This Row],[disposedCourt]]&lt;=TrafficData[[#This Row],[totalCourt]])</f>
        <v>1</v>
      </c>
    </row>
    <row r="2895" spans="1:16">
      <c r="A2895" s="1">
        <v>44899</v>
      </c>
      <c r="B2895">
        <v>119386</v>
      </c>
      <c r="C2895">
        <v>58345</v>
      </c>
      <c r="D2895">
        <v>61041</v>
      </c>
      <c r="E2895">
        <v>91931609</v>
      </c>
      <c r="F2895">
        <v>77309275</v>
      </c>
      <c r="G2895">
        <v>169240884</v>
      </c>
      <c r="H2895">
        <v>34611</v>
      </c>
      <c r="I2895">
        <v>8852</v>
      </c>
      <c r="J2895">
        <v>43463</v>
      </c>
      <c r="K2895" t="b">
        <f>TrafficData[[#This Row],[disposedChallan]]+TrafficData[[#This Row],[pendingChallan]]=TrafficData[[#This Row],[totalChallan]]</f>
        <v>1</v>
      </c>
      <c r="L2895" t="b">
        <f>TrafficData[[#This Row],[pendingAmount]]+TrafficData[[#This Row],[disposedAmount]]=TrafficData[[#This Row],[totalAmount]]</f>
        <v>1</v>
      </c>
      <c r="M2895" t="b">
        <f>TrafficData[[#This Row],[pendingCourt]]+TrafficData[[#This Row],[disposedCourt]]=TrafficData[[#This Row],[totalCourt]]</f>
        <v>1</v>
      </c>
      <c r="N2895" t="b">
        <f>AND(TrafficData[[#This Row],[disposedChallan]]&lt;=TrafficData[[#This Row],[totalChallan]],TrafficData[[#This Row],[pendingChallan]]&lt;=TrafficData[[#This Row],[totalChallan]])</f>
        <v>1</v>
      </c>
      <c r="O2895" t="b">
        <f>AND(TrafficData[[#This Row],[pendingAmount]]&lt;=TrafficData[[#This Row],[totalAmount]],TrafficData[[#This Row],[disposedAmount]]&lt;=TrafficData[[#This Row],[totalAmount]])</f>
        <v>1</v>
      </c>
      <c r="P2895" t="b">
        <f>AND(TrafficData[[#This Row],[pendingCourt]]&lt;=TrafficData[[#This Row],[totalCourt]],TrafficData[[#This Row],[disposedCourt]]&lt;=TrafficData[[#This Row],[totalCourt]])</f>
        <v>1</v>
      </c>
    </row>
    <row r="2896" spans="1:16">
      <c r="A2896" s="1">
        <v>44900</v>
      </c>
      <c r="B2896">
        <v>143585</v>
      </c>
      <c r="C2896">
        <v>69774</v>
      </c>
      <c r="D2896">
        <v>73811</v>
      </c>
      <c r="E2896">
        <v>132762491</v>
      </c>
      <c r="F2896">
        <v>108254112</v>
      </c>
      <c r="G2896">
        <v>241016603</v>
      </c>
      <c r="H2896">
        <v>44757</v>
      </c>
      <c r="I2896">
        <v>11370</v>
      </c>
      <c r="J2896">
        <v>56127</v>
      </c>
      <c r="K2896" t="b">
        <f>TrafficData[[#This Row],[disposedChallan]]+TrafficData[[#This Row],[pendingChallan]]=TrafficData[[#This Row],[totalChallan]]</f>
        <v>1</v>
      </c>
      <c r="L2896" t="b">
        <f>TrafficData[[#This Row],[pendingAmount]]+TrafficData[[#This Row],[disposedAmount]]=TrafficData[[#This Row],[totalAmount]]</f>
        <v>1</v>
      </c>
      <c r="M2896" t="b">
        <f>TrafficData[[#This Row],[pendingCourt]]+TrafficData[[#This Row],[disposedCourt]]=TrafficData[[#This Row],[totalCourt]]</f>
        <v>1</v>
      </c>
      <c r="N2896" t="b">
        <f>AND(TrafficData[[#This Row],[disposedChallan]]&lt;=TrafficData[[#This Row],[totalChallan]],TrafficData[[#This Row],[pendingChallan]]&lt;=TrafficData[[#This Row],[totalChallan]])</f>
        <v>1</v>
      </c>
      <c r="O2896" t="b">
        <f>AND(TrafficData[[#This Row],[pendingAmount]]&lt;=TrafficData[[#This Row],[totalAmount]],TrafficData[[#This Row],[disposedAmount]]&lt;=TrafficData[[#This Row],[totalAmount]])</f>
        <v>1</v>
      </c>
      <c r="P2896" t="b">
        <f>AND(TrafficData[[#This Row],[pendingCourt]]&lt;=TrafficData[[#This Row],[totalCourt]],TrafficData[[#This Row],[disposedCourt]]&lt;=TrafficData[[#This Row],[totalCourt]])</f>
        <v>1</v>
      </c>
    </row>
    <row r="2897" spans="1:16">
      <c r="A2897" s="1">
        <v>44901</v>
      </c>
      <c r="B2897">
        <v>141936</v>
      </c>
      <c r="C2897">
        <v>70455</v>
      </c>
      <c r="D2897">
        <v>71481</v>
      </c>
      <c r="E2897">
        <v>134964333</v>
      </c>
      <c r="F2897">
        <v>119181531</v>
      </c>
      <c r="G2897">
        <v>254145864</v>
      </c>
      <c r="H2897">
        <v>44681</v>
      </c>
      <c r="I2897">
        <v>11749</v>
      </c>
      <c r="J2897">
        <v>56430</v>
      </c>
      <c r="K2897" t="b">
        <f>TrafficData[[#This Row],[disposedChallan]]+TrafficData[[#This Row],[pendingChallan]]=TrafficData[[#This Row],[totalChallan]]</f>
        <v>1</v>
      </c>
      <c r="L2897" t="b">
        <f>TrafficData[[#This Row],[pendingAmount]]+TrafficData[[#This Row],[disposedAmount]]=TrafficData[[#This Row],[totalAmount]]</f>
        <v>1</v>
      </c>
      <c r="M2897" t="b">
        <f>TrafficData[[#This Row],[pendingCourt]]+TrafficData[[#This Row],[disposedCourt]]=TrafficData[[#This Row],[totalCourt]]</f>
        <v>1</v>
      </c>
      <c r="N2897" t="b">
        <f>AND(TrafficData[[#This Row],[disposedChallan]]&lt;=TrafficData[[#This Row],[totalChallan]],TrafficData[[#This Row],[pendingChallan]]&lt;=TrafficData[[#This Row],[totalChallan]])</f>
        <v>1</v>
      </c>
      <c r="O2897" t="b">
        <f>AND(TrafficData[[#This Row],[pendingAmount]]&lt;=TrafficData[[#This Row],[totalAmount]],TrafficData[[#This Row],[disposedAmount]]&lt;=TrafficData[[#This Row],[totalAmount]])</f>
        <v>1</v>
      </c>
      <c r="P2897" t="b">
        <f>AND(TrafficData[[#This Row],[pendingCourt]]&lt;=TrafficData[[#This Row],[totalCourt]],TrafficData[[#This Row],[disposedCourt]]&lt;=TrafficData[[#This Row],[totalCourt]])</f>
        <v>1</v>
      </c>
    </row>
    <row r="2898" spans="1:16">
      <c r="A2898" s="1">
        <v>44902</v>
      </c>
      <c r="B2898">
        <v>142420</v>
      </c>
      <c r="C2898">
        <v>71151</v>
      </c>
      <c r="D2898">
        <v>71269</v>
      </c>
      <c r="E2898">
        <v>139707879</v>
      </c>
      <c r="F2898">
        <v>120208931</v>
      </c>
      <c r="G2898">
        <v>259916810</v>
      </c>
      <c r="H2898">
        <v>46106</v>
      </c>
      <c r="I2898">
        <v>12226</v>
      </c>
      <c r="J2898">
        <v>58332</v>
      </c>
      <c r="K2898" t="b">
        <f>TrafficData[[#This Row],[disposedChallan]]+TrafficData[[#This Row],[pendingChallan]]=TrafficData[[#This Row],[totalChallan]]</f>
        <v>1</v>
      </c>
      <c r="L2898" t="b">
        <f>TrafficData[[#This Row],[pendingAmount]]+TrafficData[[#This Row],[disposedAmount]]=TrafficData[[#This Row],[totalAmount]]</f>
        <v>1</v>
      </c>
      <c r="M2898" t="b">
        <f>TrafficData[[#This Row],[pendingCourt]]+TrafficData[[#This Row],[disposedCourt]]=TrafficData[[#This Row],[totalCourt]]</f>
        <v>1</v>
      </c>
      <c r="N2898" t="b">
        <f>AND(TrafficData[[#This Row],[disposedChallan]]&lt;=TrafficData[[#This Row],[totalChallan]],TrafficData[[#This Row],[pendingChallan]]&lt;=TrafficData[[#This Row],[totalChallan]])</f>
        <v>1</v>
      </c>
      <c r="O2898" t="b">
        <f>AND(TrafficData[[#This Row],[pendingAmount]]&lt;=TrafficData[[#This Row],[totalAmount]],TrafficData[[#This Row],[disposedAmount]]&lt;=TrafficData[[#This Row],[totalAmount]])</f>
        <v>1</v>
      </c>
      <c r="P2898" t="b">
        <f>AND(TrafficData[[#This Row],[pendingCourt]]&lt;=TrafficData[[#This Row],[totalCourt]],TrafficData[[#This Row],[disposedCourt]]&lt;=TrafficData[[#This Row],[totalCourt]])</f>
        <v>1</v>
      </c>
    </row>
    <row r="2899" spans="1:16">
      <c r="A2899" s="1">
        <v>44903</v>
      </c>
      <c r="B2899">
        <v>136061</v>
      </c>
      <c r="C2899">
        <v>67761</v>
      </c>
      <c r="D2899">
        <v>68300</v>
      </c>
      <c r="E2899">
        <v>139193086</v>
      </c>
      <c r="F2899">
        <v>116235977</v>
      </c>
      <c r="G2899">
        <v>255429063</v>
      </c>
      <c r="H2899">
        <v>46019</v>
      </c>
      <c r="I2899">
        <v>11187</v>
      </c>
      <c r="J2899">
        <v>57206</v>
      </c>
      <c r="K2899" t="b">
        <f>TrafficData[[#This Row],[disposedChallan]]+TrafficData[[#This Row],[pendingChallan]]=TrafficData[[#This Row],[totalChallan]]</f>
        <v>1</v>
      </c>
      <c r="L2899" t="b">
        <f>TrafficData[[#This Row],[pendingAmount]]+TrafficData[[#This Row],[disposedAmount]]=TrafficData[[#This Row],[totalAmount]]</f>
        <v>1</v>
      </c>
      <c r="M2899" t="b">
        <f>TrafficData[[#This Row],[pendingCourt]]+TrafficData[[#This Row],[disposedCourt]]=TrafficData[[#This Row],[totalCourt]]</f>
        <v>1</v>
      </c>
      <c r="N2899" t="b">
        <f>AND(TrafficData[[#This Row],[disposedChallan]]&lt;=TrafficData[[#This Row],[totalChallan]],TrafficData[[#This Row],[pendingChallan]]&lt;=TrafficData[[#This Row],[totalChallan]])</f>
        <v>1</v>
      </c>
      <c r="O2899" t="b">
        <f>AND(TrafficData[[#This Row],[pendingAmount]]&lt;=TrafficData[[#This Row],[totalAmount]],TrafficData[[#This Row],[disposedAmount]]&lt;=TrafficData[[#This Row],[totalAmount]])</f>
        <v>1</v>
      </c>
      <c r="P2899" t="b">
        <f>AND(TrafficData[[#This Row],[pendingCourt]]&lt;=TrafficData[[#This Row],[totalCourt]],TrafficData[[#This Row],[disposedCourt]]&lt;=TrafficData[[#This Row],[totalCourt]])</f>
        <v>1</v>
      </c>
    </row>
    <row r="2900" spans="1:16">
      <c r="A2900" s="1">
        <v>44904</v>
      </c>
      <c r="B2900">
        <v>138420</v>
      </c>
      <c r="C2900">
        <v>68707</v>
      </c>
      <c r="D2900">
        <v>69713</v>
      </c>
      <c r="E2900">
        <v>126096255</v>
      </c>
      <c r="F2900">
        <v>114084613</v>
      </c>
      <c r="G2900">
        <v>240180868</v>
      </c>
      <c r="H2900">
        <v>44584</v>
      </c>
      <c r="I2900">
        <v>11804</v>
      </c>
      <c r="J2900">
        <v>56388</v>
      </c>
      <c r="K2900" t="b">
        <f>TrafficData[[#This Row],[disposedChallan]]+TrafficData[[#This Row],[pendingChallan]]=TrafficData[[#This Row],[totalChallan]]</f>
        <v>1</v>
      </c>
      <c r="L2900" t="b">
        <f>TrafficData[[#This Row],[pendingAmount]]+TrafficData[[#This Row],[disposedAmount]]=TrafficData[[#This Row],[totalAmount]]</f>
        <v>1</v>
      </c>
      <c r="M2900" t="b">
        <f>TrafficData[[#This Row],[pendingCourt]]+TrafficData[[#This Row],[disposedCourt]]=TrafficData[[#This Row],[totalCourt]]</f>
        <v>1</v>
      </c>
      <c r="N2900" t="b">
        <f>AND(TrafficData[[#This Row],[disposedChallan]]&lt;=TrafficData[[#This Row],[totalChallan]],TrafficData[[#This Row],[pendingChallan]]&lt;=TrafficData[[#This Row],[totalChallan]])</f>
        <v>1</v>
      </c>
      <c r="O2900" t="b">
        <f>AND(TrafficData[[#This Row],[pendingAmount]]&lt;=TrafficData[[#This Row],[totalAmount]],TrafficData[[#This Row],[disposedAmount]]&lt;=TrafficData[[#This Row],[totalAmount]])</f>
        <v>1</v>
      </c>
      <c r="P2900" t="b">
        <f>AND(TrafficData[[#This Row],[pendingCourt]]&lt;=TrafficData[[#This Row],[totalCourt]],TrafficData[[#This Row],[disposedCourt]]&lt;=TrafficData[[#This Row],[totalCourt]])</f>
        <v>1</v>
      </c>
    </row>
    <row r="2901" spans="1:16">
      <c r="A2901" s="1">
        <v>44905</v>
      </c>
      <c r="B2901">
        <v>140662</v>
      </c>
      <c r="C2901">
        <v>66935</v>
      </c>
      <c r="D2901">
        <v>73727</v>
      </c>
      <c r="E2901">
        <v>131825354</v>
      </c>
      <c r="F2901">
        <v>103407469</v>
      </c>
      <c r="G2901">
        <v>235232823</v>
      </c>
      <c r="H2901">
        <v>42284</v>
      </c>
      <c r="I2901">
        <v>11740</v>
      </c>
      <c r="J2901">
        <v>54024</v>
      </c>
      <c r="K2901" t="b">
        <f>TrafficData[[#This Row],[disposedChallan]]+TrafficData[[#This Row],[pendingChallan]]=TrafficData[[#This Row],[totalChallan]]</f>
        <v>1</v>
      </c>
      <c r="L2901" t="b">
        <f>TrafficData[[#This Row],[pendingAmount]]+TrafficData[[#This Row],[disposedAmount]]=TrafficData[[#This Row],[totalAmount]]</f>
        <v>1</v>
      </c>
      <c r="M2901" t="b">
        <f>TrafficData[[#This Row],[pendingCourt]]+TrafficData[[#This Row],[disposedCourt]]=TrafficData[[#This Row],[totalCourt]]</f>
        <v>1</v>
      </c>
      <c r="N2901" t="b">
        <f>AND(TrafficData[[#This Row],[disposedChallan]]&lt;=TrafficData[[#This Row],[totalChallan]],TrafficData[[#This Row],[pendingChallan]]&lt;=TrafficData[[#This Row],[totalChallan]])</f>
        <v>1</v>
      </c>
      <c r="O2901" t="b">
        <f>AND(TrafficData[[#This Row],[pendingAmount]]&lt;=TrafficData[[#This Row],[totalAmount]],TrafficData[[#This Row],[disposedAmount]]&lt;=TrafficData[[#This Row],[totalAmount]])</f>
        <v>1</v>
      </c>
      <c r="P2901" t="b">
        <f>AND(TrafficData[[#This Row],[pendingCourt]]&lt;=TrafficData[[#This Row],[totalCourt]],TrafficData[[#This Row],[disposedCourt]]&lt;=TrafficData[[#This Row],[totalCourt]])</f>
        <v>1</v>
      </c>
    </row>
    <row r="2902" spans="1:16">
      <c r="A2902" s="1">
        <v>44906</v>
      </c>
      <c r="B2902">
        <v>126045</v>
      </c>
      <c r="C2902">
        <v>55436</v>
      </c>
      <c r="D2902">
        <v>70609</v>
      </c>
      <c r="E2902">
        <v>115364109</v>
      </c>
      <c r="F2902">
        <v>78194393</v>
      </c>
      <c r="G2902">
        <v>193558502</v>
      </c>
      <c r="H2902">
        <v>38047</v>
      </c>
      <c r="I2902">
        <v>9743</v>
      </c>
      <c r="J2902">
        <v>47790</v>
      </c>
      <c r="K2902" t="b">
        <f>TrafficData[[#This Row],[disposedChallan]]+TrafficData[[#This Row],[pendingChallan]]=TrafficData[[#This Row],[totalChallan]]</f>
        <v>1</v>
      </c>
      <c r="L2902" t="b">
        <f>TrafficData[[#This Row],[pendingAmount]]+TrafficData[[#This Row],[disposedAmount]]=TrafficData[[#This Row],[totalAmount]]</f>
        <v>1</v>
      </c>
      <c r="M2902" t="b">
        <f>TrafficData[[#This Row],[pendingCourt]]+TrafficData[[#This Row],[disposedCourt]]=TrafficData[[#This Row],[totalCourt]]</f>
        <v>1</v>
      </c>
      <c r="N2902" t="b">
        <f>AND(TrafficData[[#This Row],[disposedChallan]]&lt;=TrafficData[[#This Row],[totalChallan]],TrafficData[[#This Row],[pendingChallan]]&lt;=TrafficData[[#This Row],[totalChallan]])</f>
        <v>1</v>
      </c>
      <c r="O2902" t="b">
        <f>AND(TrafficData[[#This Row],[pendingAmount]]&lt;=TrafficData[[#This Row],[totalAmount]],TrafficData[[#This Row],[disposedAmount]]&lt;=TrafficData[[#This Row],[totalAmount]])</f>
        <v>1</v>
      </c>
      <c r="P2902" t="b">
        <f>AND(TrafficData[[#This Row],[pendingCourt]]&lt;=TrafficData[[#This Row],[totalCourt]],TrafficData[[#This Row],[disposedCourt]]&lt;=TrafficData[[#This Row],[totalCourt]])</f>
        <v>1</v>
      </c>
    </row>
    <row r="2903" spans="1:16">
      <c r="A2903" s="1">
        <v>44907</v>
      </c>
      <c r="B2903">
        <v>149585</v>
      </c>
      <c r="C2903">
        <v>69344</v>
      </c>
      <c r="D2903">
        <v>80241</v>
      </c>
      <c r="E2903">
        <v>148197197</v>
      </c>
      <c r="F2903">
        <v>108992219</v>
      </c>
      <c r="G2903">
        <v>257189416</v>
      </c>
      <c r="H2903">
        <v>43035</v>
      </c>
      <c r="I2903">
        <v>11628</v>
      </c>
      <c r="J2903">
        <v>54663</v>
      </c>
      <c r="K2903" t="b">
        <f>TrafficData[[#This Row],[disposedChallan]]+TrafficData[[#This Row],[pendingChallan]]=TrafficData[[#This Row],[totalChallan]]</f>
        <v>1</v>
      </c>
      <c r="L2903" t="b">
        <f>TrafficData[[#This Row],[pendingAmount]]+TrafficData[[#This Row],[disposedAmount]]=TrafficData[[#This Row],[totalAmount]]</f>
        <v>1</v>
      </c>
      <c r="M2903" t="b">
        <f>TrafficData[[#This Row],[pendingCourt]]+TrafficData[[#This Row],[disposedCourt]]=TrafficData[[#This Row],[totalCourt]]</f>
        <v>1</v>
      </c>
      <c r="N2903" t="b">
        <f>AND(TrafficData[[#This Row],[disposedChallan]]&lt;=TrafficData[[#This Row],[totalChallan]],TrafficData[[#This Row],[pendingChallan]]&lt;=TrafficData[[#This Row],[totalChallan]])</f>
        <v>1</v>
      </c>
      <c r="O2903" t="b">
        <f>AND(TrafficData[[#This Row],[pendingAmount]]&lt;=TrafficData[[#This Row],[totalAmount]],TrafficData[[#This Row],[disposedAmount]]&lt;=TrafficData[[#This Row],[totalAmount]])</f>
        <v>1</v>
      </c>
      <c r="P2903" t="b">
        <f>AND(TrafficData[[#This Row],[pendingCourt]]&lt;=TrafficData[[#This Row],[totalCourt]],TrafficData[[#This Row],[disposedCourt]]&lt;=TrafficData[[#This Row],[totalCourt]])</f>
        <v>1</v>
      </c>
    </row>
    <row r="2904" spans="1:16">
      <c r="A2904" s="1">
        <v>44908</v>
      </c>
      <c r="B2904">
        <v>149785</v>
      </c>
      <c r="C2904">
        <v>73573</v>
      </c>
      <c r="D2904">
        <v>76212</v>
      </c>
      <c r="E2904">
        <v>147568303</v>
      </c>
      <c r="F2904">
        <v>123874096</v>
      </c>
      <c r="G2904">
        <v>271442399</v>
      </c>
      <c r="H2904">
        <v>45278</v>
      </c>
      <c r="I2904">
        <v>11367</v>
      </c>
      <c r="J2904">
        <v>56645</v>
      </c>
      <c r="K2904" t="b">
        <f>TrafficData[[#This Row],[disposedChallan]]+TrafficData[[#This Row],[pendingChallan]]=TrafficData[[#This Row],[totalChallan]]</f>
        <v>1</v>
      </c>
      <c r="L2904" t="b">
        <f>TrafficData[[#This Row],[pendingAmount]]+TrafficData[[#This Row],[disposedAmount]]=TrafficData[[#This Row],[totalAmount]]</f>
        <v>1</v>
      </c>
      <c r="M2904" t="b">
        <f>TrafficData[[#This Row],[pendingCourt]]+TrafficData[[#This Row],[disposedCourt]]=TrafficData[[#This Row],[totalCourt]]</f>
        <v>1</v>
      </c>
      <c r="N2904" t="b">
        <f>AND(TrafficData[[#This Row],[disposedChallan]]&lt;=TrafficData[[#This Row],[totalChallan]],TrafficData[[#This Row],[pendingChallan]]&lt;=TrafficData[[#This Row],[totalChallan]])</f>
        <v>1</v>
      </c>
      <c r="O2904" t="b">
        <f>AND(TrafficData[[#This Row],[pendingAmount]]&lt;=TrafficData[[#This Row],[totalAmount]],TrafficData[[#This Row],[disposedAmount]]&lt;=TrafficData[[#This Row],[totalAmount]])</f>
        <v>1</v>
      </c>
      <c r="P2904" t="b">
        <f>AND(TrafficData[[#This Row],[pendingCourt]]&lt;=TrafficData[[#This Row],[totalCourt]],TrafficData[[#This Row],[disposedCourt]]&lt;=TrafficData[[#This Row],[totalCourt]])</f>
        <v>1</v>
      </c>
    </row>
    <row r="2905" spans="1:16">
      <c r="A2905" s="1">
        <v>44909</v>
      </c>
      <c r="B2905">
        <v>153912</v>
      </c>
      <c r="C2905">
        <v>75491</v>
      </c>
      <c r="D2905">
        <v>78421</v>
      </c>
      <c r="E2905">
        <v>151659558</v>
      </c>
      <c r="F2905">
        <v>125544897</v>
      </c>
      <c r="G2905">
        <v>277204455</v>
      </c>
      <c r="H2905">
        <v>47073</v>
      </c>
      <c r="I2905">
        <v>11839</v>
      </c>
      <c r="J2905">
        <v>58912</v>
      </c>
      <c r="K2905" t="b">
        <f>TrafficData[[#This Row],[disposedChallan]]+TrafficData[[#This Row],[pendingChallan]]=TrafficData[[#This Row],[totalChallan]]</f>
        <v>1</v>
      </c>
      <c r="L2905" t="b">
        <f>TrafficData[[#This Row],[pendingAmount]]+TrafficData[[#This Row],[disposedAmount]]=TrafficData[[#This Row],[totalAmount]]</f>
        <v>1</v>
      </c>
      <c r="M2905" t="b">
        <f>TrafficData[[#This Row],[pendingCourt]]+TrafficData[[#This Row],[disposedCourt]]=TrafficData[[#This Row],[totalCourt]]</f>
        <v>1</v>
      </c>
      <c r="N2905" t="b">
        <f>AND(TrafficData[[#This Row],[disposedChallan]]&lt;=TrafficData[[#This Row],[totalChallan]],TrafficData[[#This Row],[pendingChallan]]&lt;=TrafficData[[#This Row],[totalChallan]])</f>
        <v>1</v>
      </c>
      <c r="O2905" t="b">
        <f>AND(TrafficData[[#This Row],[pendingAmount]]&lt;=TrafficData[[#This Row],[totalAmount]],TrafficData[[#This Row],[disposedAmount]]&lt;=TrafficData[[#This Row],[totalAmount]])</f>
        <v>1</v>
      </c>
      <c r="P2905" t="b">
        <f>AND(TrafficData[[#This Row],[pendingCourt]]&lt;=TrafficData[[#This Row],[totalCourt]],TrafficData[[#This Row],[disposedCourt]]&lt;=TrafficData[[#This Row],[totalCourt]])</f>
        <v>1</v>
      </c>
    </row>
    <row r="2906" spans="1:16">
      <c r="A2906" s="1">
        <v>44910</v>
      </c>
      <c r="B2906">
        <v>150753</v>
      </c>
      <c r="C2906">
        <v>75611</v>
      </c>
      <c r="D2906">
        <v>75142</v>
      </c>
      <c r="E2906">
        <v>143757346</v>
      </c>
      <c r="F2906">
        <v>123715395</v>
      </c>
      <c r="G2906">
        <v>267472741</v>
      </c>
      <c r="H2906">
        <v>45581</v>
      </c>
      <c r="I2906">
        <v>11455</v>
      </c>
      <c r="J2906">
        <v>57036</v>
      </c>
      <c r="K2906" t="b">
        <f>TrafficData[[#This Row],[disposedChallan]]+TrafficData[[#This Row],[pendingChallan]]=TrafficData[[#This Row],[totalChallan]]</f>
        <v>1</v>
      </c>
      <c r="L2906" t="b">
        <f>TrafficData[[#This Row],[pendingAmount]]+TrafficData[[#This Row],[disposedAmount]]=TrafficData[[#This Row],[totalAmount]]</f>
        <v>1</v>
      </c>
      <c r="M2906" t="b">
        <f>TrafficData[[#This Row],[pendingCourt]]+TrafficData[[#This Row],[disposedCourt]]=TrafficData[[#This Row],[totalCourt]]</f>
        <v>1</v>
      </c>
      <c r="N2906" t="b">
        <f>AND(TrafficData[[#This Row],[disposedChallan]]&lt;=TrafficData[[#This Row],[totalChallan]],TrafficData[[#This Row],[pendingChallan]]&lt;=TrafficData[[#This Row],[totalChallan]])</f>
        <v>1</v>
      </c>
      <c r="O2906" t="b">
        <f>AND(TrafficData[[#This Row],[pendingAmount]]&lt;=TrafficData[[#This Row],[totalAmount]],TrafficData[[#This Row],[disposedAmount]]&lt;=TrafficData[[#This Row],[totalAmount]])</f>
        <v>1</v>
      </c>
      <c r="P2906" t="b">
        <f>AND(TrafficData[[#This Row],[pendingCourt]]&lt;=TrafficData[[#This Row],[totalCourt]],TrafficData[[#This Row],[disposedCourt]]&lt;=TrafficData[[#This Row],[totalCourt]])</f>
        <v>1</v>
      </c>
    </row>
    <row r="2907" spans="1:16">
      <c r="A2907" s="1">
        <v>44911</v>
      </c>
      <c r="B2907">
        <v>143718</v>
      </c>
      <c r="C2907">
        <v>69950</v>
      </c>
      <c r="D2907">
        <v>73768</v>
      </c>
      <c r="E2907">
        <v>129096052</v>
      </c>
      <c r="F2907">
        <v>114291735</v>
      </c>
      <c r="G2907">
        <v>243387787</v>
      </c>
      <c r="H2907">
        <v>41560</v>
      </c>
      <c r="I2907">
        <v>10950</v>
      </c>
      <c r="J2907">
        <v>52510</v>
      </c>
      <c r="K2907" t="b">
        <f>TrafficData[[#This Row],[disposedChallan]]+TrafficData[[#This Row],[pendingChallan]]=TrafficData[[#This Row],[totalChallan]]</f>
        <v>1</v>
      </c>
      <c r="L2907" t="b">
        <f>TrafficData[[#This Row],[pendingAmount]]+TrafficData[[#This Row],[disposedAmount]]=TrafficData[[#This Row],[totalAmount]]</f>
        <v>1</v>
      </c>
      <c r="M2907" t="b">
        <f>TrafficData[[#This Row],[pendingCourt]]+TrafficData[[#This Row],[disposedCourt]]=TrafficData[[#This Row],[totalCourt]]</f>
        <v>1</v>
      </c>
      <c r="N2907" t="b">
        <f>AND(TrafficData[[#This Row],[disposedChallan]]&lt;=TrafficData[[#This Row],[totalChallan]],TrafficData[[#This Row],[pendingChallan]]&lt;=TrafficData[[#This Row],[totalChallan]])</f>
        <v>1</v>
      </c>
      <c r="O2907" t="b">
        <f>AND(TrafficData[[#This Row],[pendingAmount]]&lt;=TrafficData[[#This Row],[totalAmount]],TrafficData[[#This Row],[disposedAmount]]&lt;=TrafficData[[#This Row],[totalAmount]])</f>
        <v>1</v>
      </c>
      <c r="P2907" t="b">
        <f>AND(TrafficData[[#This Row],[pendingCourt]]&lt;=TrafficData[[#This Row],[totalCourt]],TrafficData[[#This Row],[disposedCourt]]&lt;=TrafficData[[#This Row],[totalCourt]])</f>
        <v>1</v>
      </c>
    </row>
    <row r="2908" spans="1:16">
      <c r="A2908" s="1">
        <v>44912</v>
      </c>
      <c r="B2908">
        <v>137346</v>
      </c>
      <c r="C2908">
        <v>70251</v>
      </c>
      <c r="D2908">
        <v>67095</v>
      </c>
      <c r="E2908">
        <v>124452942</v>
      </c>
      <c r="F2908">
        <v>110606004</v>
      </c>
      <c r="G2908">
        <v>235058946</v>
      </c>
      <c r="H2908">
        <v>36900</v>
      </c>
      <c r="I2908">
        <v>10540</v>
      </c>
      <c r="J2908">
        <v>47440</v>
      </c>
      <c r="K2908" t="b">
        <f>TrafficData[[#This Row],[disposedChallan]]+TrafficData[[#This Row],[pendingChallan]]=TrafficData[[#This Row],[totalChallan]]</f>
        <v>1</v>
      </c>
      <c r="L2908" t="b">
        <f>TrafficData[[#This Row],[pendingAmount]]+TrafficData[[#This Row],[disposedAmount]]=TrafficData[[#This Row],[totalAmount]]</f>
        <v>1</v>
      </c>
      <c r="M2908" t="b">
        <f>TrafficData[[#This Row],[pendingCourt]]+TrafficData[[#This Row],[disposedCourt]]=TrafficData[[#This Row],[totalCourt]]</f>
        <v>1</v>
      </c>
      <c r="N2908" t="b">
        <f>AND(TrafficData[[#This Row],[disposedChallan]]&lt;=TrafficData[[#This Row],[totalChallan]],TrafficData[[#This Row],[pendingChallan]]&lt;=TrafficData[[#This Row],[totalChallan]])</f>
        <v>1</v>
      </c>
      <c r="O2908" t="b">
        <f>AND(TrafficData[[#This Row],[pendingAmount]]&lt;=TrafficData[[#This Row],[totalAmount]],TrafficData[[#This Row],[disposedAmount]]&lt;=TrafficData[[#This Row],[totalAmount]])</f>
        <v>1</v>
      </c>
      <c r="P2908" t="b">
        <f>AND(TrafficData[[#This Row],[pendingCourt]]&lt;=TrafficData[[#This Row],[totalCourt]],TrafficData[[#This Row],[disposedCourt]]&lt;=TrafficData[[#This Row],[totalCourt]])</f>
        <v>1</v>
      </c>
    </row>
    <row r="2909" spans="1:16">
      <c r="A2909" s="1">
        <v>44913</v>
      </c>
      <c r="B2909">
        <v>126436</v>
      </c>
      <c r="C2909">
        <v>59617</v>
      </c>
      <c r="D2909">
        <v>66819</v>
      </c>
      <c r="E2909">
        <v>111140413</v>
      </c>
      <c r="F2909">
        <v>78833999</v>
      </c>
      <c r="G2909">
        <v>189974412</v>
      </c>
      <c r="H2909">
        <v>33116</v>
      </c>
      <c r="I2909">
        <v>8765</v>
      </c>
      <c r="J2909">
        <v>41881</v>
      </c>
      <c r="K2909" t="b">
        <f>TrafficData[[#This Row],[disposedChallan]]+TrafficData[[#This Row],[pendingChallan]]=TrafficData[[#This Row],[totalChallan]]</f>
        <v>1</v>
      </c>
      <c r="L2909" t="b">
        <f>TrafficData[[#This Row],[pendingAmount]]+TrafficData[[#This Row],[disposedAmount]]=TrafficData[[#This Row],[totalAmount]]</f>
        <v>1</v>
      </c>
      <c r="M2909" t="b">
        <f>TrafficData[[#This Row],[pendingCourt]]+TrafficData[[#This Row],[disposedCourt]]=TrafficData[[#This Row],[totalCourt]]</f>
        <v>1</v>
      </c>
      <c r="N2909" t="b">
        <f>AND(TrafficData[[#This Row],[disposedChallan]]&lt;=TrafficData[[#This Row],[totalChallan]],TrafficData[[#This Row],[pendingChallan]]&lt;=TrafficData[[#This Row],[totalChallan]])</f>
        <v>1</v>
      </c>
      <c r="O2909" t="b">
        <f>AND(TrafficData[[#This Row],[pendingAmount]]&lt;=TrafficData[[#This Row],[totalAmount]],TrafficData[[#This Row],[disposedAmount]]&lt;=TrafficData[[#This Row],[totalAmount]])</f>
        <v>1</v>
      </c>
      <c r="P2909" t="b">
        <f>AND(TrafficData[[#This Row],[pendingCourt]]&lt;=TrafficData[[#This Row],[totalCourt]],TrafficData[[#This Row],[disposedCourt]]&lt;=TrafficData[[#This Row],[totalCourt]])</f>
        <v>1</v>
      </c>
    </row>
    <row r="2910" spans="1:16">
      <c r="A2910" s="1">
        <v>44914</v>
      </c>
      <c r="B2910">
        <v>132845</v>
      </c>
      <c r="C2910">
        <v>67751</v>
      </c>
      <c r="D2910">
        <v>65094</v>
      </c>
      <c r="E2910">
        <v>116404997</v>
      </c>
      <c r="F2910">
        <v>98023246</v>
      </c>
      <c r="G2910">
        <v>214428243</v>
      </c>
      <c r="H2910">
        <v>37403</v>
      </c>
      <c r="I2910">
        <v>10319</v>
      </c>
      <c r="J2910">
        <v>47722</v>
      </c>
      <c r="K2910" t="b">
        <f>TrafficData[[#This Row],[disposedChallan]]+TrafficData[[#This Row],[pendingChallan]]=TrafficData[[#This Row],[totalChallan]]</f>
        <v>1</v>
      </c>
      <c r="L2910" t="b">
        <f>TrafficData[[#This Row],[pendingAmount]]+TrafficData[[#This Row],[disposedAmount]]=TrafficData[[#This Row],[totalAmount]]</f>
        <v>1</v>
      </c>
      <c r="M2910" t="b">
        <f>TrafficData[[#This Row],[pendingCourt]]+TrafficData[[#This Row],[disposedCourt]]=TrafficData[[#This Row],[totalCourt]]</f>
        <v>1</v>
      </c>
      <c r="N2910" t="b">
        <f>AND(TrafficData[[#This Row],[disposedChallan]]&lt;=TrafficData[[#This Row],[totalChallan]],TrafficData[[#This Row],[pendingChallan]]&lt;=TrafficData[[#This Row],[totalChallan]])</f>
        <v>1</v>
      </c>
      <c r="O2910" t="b">
        <f>AND(TrafficData[[#This Row],[pendingAmount]]&lt;=TrafficData[[#This Row],[totalAmount]],TrafficData[[#This Row],[disposedAmount]]&lt;=TrafficData[[#This Row],[totalAmount]])</f>
        <v>1</v>
      </c>
      <c r="P2910" t="b">
        <f>AND(TrafficData[[#This Row],[pendingCourt]]&lt;=TrafficData[[#This Row],[totalCourt]],TrafficData[[#This Row],[disposedCourt]]&lt;=TrafficData[[#This Row],[totalCourt]])</f>
        <v>1</v>
      </c>
    </row>
    <row r="2911" spans="1:16">
      <c r="A2911" s="1">
        <v>44915</v>
      </c>
      <c r="B2911">
        <v>141567</v>
      </c>
      <c r="C2911">
        <v>71917</v>
      </c>
      <c r="D2911">
        <v>69650</v>
      </c>
      <c r="E2911">
        <v>137816362</v>
      </c>
      <c r="F2911">
        <v>116390304</v>
      </c>
      <c r="G2911">
        <v>254206666</v>
      </c>
      <c r="H2911">
        <v>39958</v>
      </c>
      <c r="I2911">
        <v>10965</v>
      </c>
      <c r="J2911">
        <v>50923</v>
      </c>
      <c r="K2911" t="b">
        <f>TrafficData[[#This Row],[disposedChallan]]+TrafficData[[#This Row],[pendingChallan]]=TrafficData[[#This Row],[totalChallan]]</f>
        <v>1</v>
      </c>
      <c r="L2911" t="b">
        <f>TrafficData[[#This Row],[pendingAmount]]+TrafficData[[#This Row],[disposedAmount]]=TrafficData[[#This Row],[totalAmount]]</f>
        <v>1</v>
      </c>
      <c r="M2911" t="b">
        <f>TrafficData[[#This Row],[pendingCourt]]+TrafficData[[#This Row],[disposedCourt]]=TrafficData[[#This Row],[totalCourt]]</f>
        <v>1</v>
      </c>
      <c r="N2911" t="b">
        <f>AND(TrafficData[[#This Row],[disposedChallan]]&lt;=TrafficData[[#This Row],[totalChallan]],TrafficData[[#This Row],[pendingChallan]]&lt;=TrafficData[[#This Row],[totalChallan]])</f>
        <v>1</v>
      </c>
      <c r="O2911" t="b">
        <f>AND(TrafficData[[#This Row],[pendingAmount]]&lt;=TrafficData[[#This Row],[totalAmount]],TrafficData[[#This Row],[disposedAmount]]&lt;=TrafficData[[#This Row],[totalAmount]])</f>
        <v>1</v>
      </c>
      <c r="P2911" t="b">
        <f>AND(TrafficData[[#This Row],[pendingCourt]]&lt;=TrafficData[[#This Row],[totalCourt]],TrafficData[[#This Row],[disposedCourt]]&lt;=TrafficData[[#This Row],[totalCourt]])</f>
        <v>1</v>
      </c>
    </row>
    <row r="2912" spans="1:16">
      <c r="A2912" s="1">
        <v>44916</v>
      </c>
      <c r="B2912">
        <v>140911</v>
      </c>
      <c r="C2912">
        <v>71250</v>
      </c>
      <c r="D2912">
        <v>69661</v>
      </c>
      <c r="E2912">
        <v>127295930</v>
      </c>
      <c r="F2912">
        <v>108625349</v>
      </c>
      <c r="G2912">
        <v>235921279</v>
      </c>
      <c r="H2912">
        <v>39693</v>
      </c>
      <c r="I2912">
        <v>10699</v>
      </c>
      <c r="J2912">
        <v>50392</v>
      </c>
      <c r="K2912" t="b">
        <f>TrafficData[[#This Row],[disposedChallan]]+TrafficData[[#This Row],[pendingChallan]]=TrafficData[[#This Row],[totalChallan]]</f>
        <v>1</v>
      </c>
      <c r="L2912" t="b">
        <f>TrafficData[[#This Row],[pendingAmount]]+TrafficData[[#This Row],[disposedAmount]]=TrafficData[[#This Row],[totalAmount]]</f>
        <v>1</v>
      </c>
      <c r="M2912" t="b">
        <f>TrafficData[[#This Row],[pendingCourt]]+TrafficData[[#This Row],[disposedCourt]]=TrafficData[[#This Row],[totalCourt]]</f>
        <v>1</v>
      </c>
      <c r="N2912" t="b">
        <f>AND(TrafficData[[#This Row],[disposedChallan]]&lt;=TrafficData[[#This Row],[totalChallan]],TrafficData[[#This Row],[pendingChallan]]&lt;=TrafficData[[#This Row],[totalChallan]])</f>
        <v>1</v>
      </c>
      <c r="O2912" t="b">
        <f>AND(TrafficData[[#This Row],[pendingAmount]]&lt;=TrafficData[[#This Row],[totalAmount]],TrafficData[[#This Row],[disposedAmount]]&lt;=TrafficData[[#This Row],[totalAmount]])</f>
        <v>1</v>
      </c>
      <c r="P2912" t="b">
        <f>AND(TrafficData[[#This Row],[pendingCourt]]&lt;=TrafficData[[#This Row],[totalCourt]],TrafficData[[#This Row],[disposedCourt]]&lt;=TrafficData[[#This Row],[totalCourt]])</f>
        <v>1</v>
      </c>
    </row>
    <row r="2913" spans="1:16">
      <c r="A2913" s="1">
        <v>44917</v>
      </c>
      <c r="B2913">
        <v>136823</v>
      </c>
      <c r="C2913">
        <v>69939</v>
      </c>
      <c r="D2913">
        <v>66884</v>
      </c>
      <c r="E2913">
        <v>128825042</v>
      </c>
      <c r="F2913">
        <v>115017403</v>
      </c>
      <c r="G2913">
        <v>243842445</v>
      </c>
      <c r="H2913">
        <v>37826</v>
      </c>
      <c r="I2913">
        <v>10422</v>
      </c>
      <c r="J2913">
        <v>48248</v>
      </c>
      <c r="K2913" t="b">
        <f>TrafficData[[#This Row],[disposedChallan]]+TrafficData[[#This Row],[pendingChallan]]=TrafficData[[#This Row],[totalChallan]]</f>
        <v>1</v>
      </c>
      <c r="L2913" t="b">
        <f>TrafficData[[#This Row],[pendingAmount]]+TrafficData[[#This Row],[disposedAmount]]=TrafficData[[#This Row],[totalAmount]]</f>
        <v>1</v>
      </c>
      <c r="M2913" t="b">
        <f>TrafficData[[#This Row],[pendingCourt]]+TrafficData[[#This Row],[disposedCourt]]=TrafficData[[#This Row],[totalCourt]]</f>
        <v>1</v>
      </c>
      <c r="N2913" t="b">
        <f>AND(TrafficData[[#This Row],[disposedChallan]]&lt;=TrafficData[[#This Row],[totalChallan]],TrafficData[[#This Row],[pendingChallan]]&lt;=TrafficData[[#This Row],[totalChallan]])</f>
        <v>1</v>
      </c>
      <c r="O2913" t="b">
        <f>AND(TrafficData[[#This Row],[pendingAmount]]&lt;=TrafficData[[#This Row],[totalAmount]],TrafficData[[#This Row],[disposedAmount]]&lt;=TrafficData[[#This Row],[totalAmount]])</f>
        <v>1</v>
      </c>
      <c r="P2913" t="b">
        <f>AND(TrafficData[[#This Row],[pendingCourt]]&lt;=TrafficData[[#This Row],[totalCourt]],TrafficData[[#This Row],[disposedCourt]]&lt;=TrafficData[[#This Row],[totalCourt]])</f>
        <v>1</v>
      </c>
    </row>
    <row r="2914" spans="1:16">
      <c r="A2914" s="1">
        <v>44918</v>
      </c>
      <c r="B2914">
        <v>137315</v>
      </c>
      <c r="C2914">
        <v>68303</v>
      </c>
      <c r="D2914">
        <v>69012</v>
      </c>
      <c r="E2914">
        <v>121340518</v>
      </c>
      <c r="F2914">
        <v>111964511</v>
      </c>
      <c r="G2914">
        <v>233305029</v>
      </c>
      <c r="H2914">
        <v>37811</v>
      </c>
      <c r="I2914">
        <v>10308</v>
      </c>
      <c r="J2914">
        <v>48119</v>
      </c>
      <c r="K2914" t="b">
        <f>TrafficData[[#This Row],[disposedChallan]]+TrafficData[[#This Row],[pendingChallan]]=TrafficData[[#This Row],[totalChallan]]</f>
        <v>1</v>
      </c>
      <c r="L2914" t="b">
        <f>TrafficData[[#This Row],[pendingAmount]]+TrafficData[[#This Row],[disposedAmount]]=TrafficData[[#This Row],[totalAmount]]</f>
        <v>1</v>
      </c>
      <c r="M2914" t="b">
        <f>TrafficData[[#This Row],[pendingCourt]]+TrafficData[[#This Row],[disposedCourt]]=TrafficData[[#This Row],[totalCourt]]</f>
        <v>1</v>
      </c>
      <c r="N2914" t="b">
        <f>AND(TrafficData[[#This Row],[disposedChallan]]&lt;=TrafficData[[#This Row],[totalChallan]],TrafficData[[#This Row],[pendingChallan]]&lt;=TrafficData[[#This Row],[totalChallan]])</f>
        <v>1</v>
      </c>
      <c r="O2914" t="b">
        <f>AND(TrafficData[[#This Row],[pendingAmount]]&lt;=TrafficData[[#This Row],[totalAmount]],TrafficData[[#This Row],[disposedAmount]]&lt;=TrafficData[[#This Row],[totalAmount]])</f>
        <v>1</v>
      </c>
      <c r="P2914" t="b">
        <f>AND(TrafficData[[#This Row],[pendingCourt]]&lt;=TrafficData[[#This Row],[totalCourt]],TrafficData[[#This Row],[disposedCourt]]&lt;=TrafficData[[#This Row],[totalCourt]])</f>
        <v>1</v>
      </c>
    </row>
    <row r="2915" spans="1:16">
      <c r="A2915" s="1">
        <v>44919</v>
      </c>
      <c r="B2915">
        <v>131684</v>
      </c>
      <c r="C2915">
        <v>66772</v>
      </c>
      <c r="D2915">
        <v>64912</v>
      </c>
      <c r="E2915">
        <v>109919692</v>
      </c>
      <c r="F2915">
        <v>93642179</v>
      </c>
      <c r="G2915">
        <v>203561871</v>
      </c>
      <c r="H2915">
        <v>36502</v>
      </c>
      <c r="I2915">
        <v>10412</v>
      </c>
      <c r="J2915">
        <v>46914</v>
      </c>
      <c r="K2915" t="b">
        <f>TrafficData[[#This Row],[disposedChallan]]+TrafficData[[#This Row],[pendingChallan]]=TrafficData[[#This Row],[totalChallan]]</f>
        <v>1</v>
      </c>
      <c r="L2915" t="b">
        <f>TrafficData[[#This Row],[pendingAmount]]+TrafficData[[#This Row],[disposedAmount]]=TrafficData[[#This Row],[totalAmount]]</f>
        <v>1</v>
      </c>
      <c r="M2915" t="b">
        <f>TrafficData[[#This Row],[pendingCourt]]+TrafficData[[#This Row],[disposedCourt]]=TrafficData[[#This Row],[totalCourt]]</f>
        <v>1</v>
      </c>
      <c r="N2915" t="b">
        <f>AND(TrafficData[[#This Row],[disposedChallan]]&lt;=TrafficData[[#This Row],[totalChallan]],TrafficData[[#This Row],[pendingChallan]]&lt;=TrafficData[[#This Row],[totalChallan]])</f>
        <v>1</v>
      </c>
      <c r="O2915" t="b">
        <f>AND(TrafficData[[#This Row],[pendingAmount]]&lt;=TrafficData[[#This Row],[totalAmount]],TrafficData[[#This Row],[disposedAmount]]&lt;=TrafficData[[#This Row],[totalAmount]])</f>
        <v>1</v>
      </c>
      <c r="P2915" t="b">
        <f>AND(TrafficData[[#This Row],[pendingCourt]]&lt;=TrafficData[[#This Row],[totalCourt]],TrafficData[[#This Row],[disposedCourt]]&lt;=TrafficData[[#This Row],[totalCourt]])</f>
        <v>1</v>
      </c>
    </row>
    <row r="2916" spans="1:16">
      <c r="A2916" s="1">
        <v>44920</v>
      </c>
      <c r="B2916">
        <v>109611</v>
      </c>
      <c r="C2916">
        <v>52369</v>
      </c>
      <c r="D2916">
        <v>57242</v>
      </c>
      <c r="E2916">
        <v>85977555</v>
      </c>
      <c r="F2916">
        <v>70655118</v>
      </c>
      <c r="G2916">
        <v>156632673</v>
      </c>
      <c r="H2916">
        <v>33638</v>
      </c>
      <c r="I2916">
        <v>9345</v>
      </c>
      <c r="J2916">
        <v>42983</v>
      </c>
      <c r="K2916" t="b">
        <f>TrafficData[[#This Row],[disposedChallan]]+TrafficData[[#This Row],[pendingChallan]]=TrafficData[[#This Row],[totalChallan]]</f>
        <v>1</v>
      </c>
      <c r="L2916" t="b">
        <f>TrafficData[[#This Row],[pendingAmount]]+TrafficData[[#This Row],[disposedAmount]]=TrafficData[[#This Row],[totalAmount]]</f>
        <v>1</v>
      </c>
      <c r="M2916" t="b">
        <f>TrafficData[[#This Row],[pendingCourt]]+TrafficData[[#This Row],[disposedCourt]]=TrafficData[[#This Row],[totalCourt]]</f>
        <v>1</v>
      </c>
      <c r="N2916" t="b">
        <f>AND(TrafficData[[#This Row],[disposedChallan]]&lt;=TrafficData[[#This Row],[totalChallan]],TrafficData[[#This Row],[pendingChallan]]&lt;=TrafficData[[#This Row],[totalChallan]])</f>
        <v>1</v>
      </c>
      <c r="O2916" t="b">
        <f>AND(TrafficData[[#This Row],[pendingAmount]]&lt;=TrafficData[[#This Row],[totalAmount]],TrafficData[[#This Row],[disposedAmount]]&lt;=TrafficData[[#This Row],[totalAmount]])</f>
        <v>1</v>
      </c>
      <c r="P2916" t="b">
        <f>AND(TrafficData[[#This Row],[pendingCourt]]&lt;=TrafficData[[#This Row],[totalCourt]],TrafficData[[#This Row],[disposedCourt]]&lt;=TrafficData[[#This Row],[totalCourt]])</f>
        <v>1</v>
      </c>
    </row>
    <row r="2917" spans="1:16">
      <c r="A2917" s="1">
        <v>44921</v>
      </c>
      <c r="B2917">
        <v>135499</v>
      </c>
      <c r="C2917">
        <v>67263</v>
      </c>
      <c r="D2917">
        <v>68236</v>
      </c>
      <c r="E2917">
        <v>111949057</v>
      </c>
      <c r="F2917">
        <v>93430128</v>
      </c>
      <c r="G2917">
        <v>205379185</v>
      </c>
      <c r="H2917">
        <v>38120</v>
      </c>
      <c r="I2917">
        <v>10314</v>
      </c>
      <c r="J2917">
        <v>48434</v>
      </c>
      <c r="K2917" t="b">
        <f>TrafficData[[#This Row],[disposedChallan]]+TrafficData[[#This Row],[pendingChallan]]=TrafficData[[#This Row],[totalChallan]]</f>
        <v>1</v>
      </c>
      <c r="L2917" t="b">
        <f>TrafficData[[#This Row],[pendingAmount]]+TrafficData[[#This Row],[disposedAmount]]=TrafficData[[#This Row],[totalAmount]]</f>
        <v>1</v>
      </c>
      <c r="M2917" t="b">
        <f>TrafficData[[#This Row],[pendingCourt]]+TrafficData[[#This Row],[disposedCourt]]=TrafficData[[#This Row],[totalCourt]]</f>
        <v>1</v>
      </c>
      <c r="N2917" t="b">
        <f>AND(TrafficData[[#This Row],[disposedChallan]]&lt;=TrafficData[[#This Row],[totalChallan]],TrafficData[[#This Row],[pendingChallan]]&lt;=TrafficData[[#This Row],[totalChallan]])</f>
        <v>1</v>
      </c>
      <c r="O2917" t="b">
        <f>AND(TrafficData[[#This Row],[pendingAmount]]&lt;=TrafficData[[#This Row],[totalAmount]],TrafficData[[#This Row],[disposedAmount]]&lt;=TrafficData[[#This Row],[totalAmount]])</f>
        <v>1</v>
      </c>
      <c r="P2917" t="b">
        <f>AND(TrafficData[[#This Row],[pendingCourt]]&lt;=TrafficData[[#This Row],[totalCourt]],TrafficData[[#This Row],[disposedCourt]]&lt;=TrafficData[[#This Row],[totalCourt]])</f>
        <v>1</v>
      </c>
    </row>
    <row r="2918" spans="1:16">
      <c r="A2918" s="1">
        <v>44922</v>
      </c>
      <c r="B2918">
        <v>142670</v>
      </c>
      <c r="C2918">
        <v>69889</v>
      </c>
      <c r="D2918">
        <v>72781</v>
      </c>
      <c r="E2918">
        <v>118014844</v>
      </c>
      <c r="F2918">
        <v>99739585</v>
      </c>
      <c r="G2918">
        <v>217754429</v>
      </c>
      <c r="H2918">
        <v>42174</v>
      </c>
      <c r="I2918">
        <v>11041</v>
      </c>
      <c r="J2918">
        <v>53215</v>
      </c>
      <c r="K2918" t="b">
        <f>TrafficData[[#This Row],[disposedChallan]]+TrafficData[[#This Row],[pendingChallan]]=TrafficData[[#This Row],[totalChallan]]</f>
        <v>1</v>
      </c>
      <c r="L2918" t="b">
        <f>TrafficData[[#This Row],[pendingAmount]]+TrafficData[[#This Row],[disposedAmount]]=TrafficData[[#This Row],[totalAmount]]</f>
        <v>1</v>
      </c>
      <c r="M2918" t="b">
        <f>TrafficData[[#This Row],[pendingCourt]]+TrafficData[[#This Row],[disposedCourt]]=TrafficData[[#This Row],[totalCourt]]</f>
        <v>1</v>
      </c>
      <c r="N2918" t="b">
        <f>AND(TrafficData[[#This Row],[disposedChallan]]&lt;=TrafficData[[#This Row],[totalChallan]],TrafficData[[#This Row],[pendingChallan]]&lt;=TrafficData[[#This Row],[totalChallan]])</f>
        <v>1</v>
      </c>
      <c r="O2918" t="b">
        <f>AND(TrafficData[[#This Row],[pendingAmount]]&lt;=TrafficData[[#This Row],[totalAmount]],TrafficData[[#This Row],[disposedAmount]]&lt;=TrafficData[[#This Row],[totalAmount]])</f>
        <v>1</v>
      </c>
      <c r="P2918" t="b">
        <f>AND(TrafficData[[#This Row],[pendingCourt]]&lt;=TrafficData[[#This Row],[totalCourt]],TrafficData[[#This Row],[disposedCourt]]&lt;=TrafficData[[#This Row],[totalCourt]])</f>
        <v>1</v>
      </c>
    </row>
    <row r="2919" spans="1:16">
      <c r="A2919" s="1">
        <v>44923</v>
      </c>
      <c r="B2919">
        <v>140503</v>
      </c>
      <c r="C2919">
        <v>70591</v>
      </c>
      <c r="D2919">
        <v>69912</v>
      </c>
      <c r="E2919">
        <v>122770102</v>
      </c>
      <c r="F2919">
        <v>104698525</v>
      </c>
      <c r="G2919">
        <v>227468627</v>
      </c>
      <c r="H2919">
        <v>42511</v>
      </c>
      <c r="I2919">
        <v>11421</v>
      </c>
      <c r="J2919">
        <v>53932</v>
      </c>
      <c r="K2919" t="b">
        <f>TrafficData[[#This Row],[disposedChallan]]+TrafficData[[#This Row],[pendingChallan]]=TrafficData[[#This Row],[totalChallan]]</f>
        <v>1</v>
      </c>
      <c r="L2919" t="b">
        <f>TrafficData[[#This Row],[pendingAmount]]+TrafficData[[#This Row],[disposedAmount]]=TrafficData[[#This Row],[totalAmount]]</f>
        <v>1</v>
      </c>
      <c r="M2919" t="b">
        <f>TrafficData[[#This Row],[pendingCourt]]+TrafficData[[#This Row],[disposedCourt]]=TrafficData[[#This Row],[totalCourt]]</f>
        <v>1</v>
      </c>
      <c r="N2919" t="b">
        <f>AND(TrafficData[[#This Row],[disposedChallan]]&lt;=TrafficData[[#This Row],[totalChallan]],TrafficData[[#This Row],[pendingChallan]]&lt;=TrafficData[[#This Row],[totalChallan]])</f>
        <v>1</v>
      </c>
      <c r="O2919" t="b">
        <f>AND(TrafficData[[#This Row],[pendingAmount]]&lt;=TrafficData[[#This Row],[totalAmount]],TrafficData[[#This Row],[disposedAmount]]&lt;=TrafficData[[#This Row],[totalAmount]])</f>
        <v>1</v>
      </c>
      <c r="P2919" t="b">
        <f>AND(TrafficData[[#This Row],[pendingCourt]]&lt;=TrafficData[[#This Row],[totalCourt]],TrafficData[[#This Row],[disposedCourt]]&lt;=TrafficData[[#This Row],[totalCourt]])</f>
        <v>1</v>
      </c>
    </row>
    <row r="2920" spans="1:16">
      <c r="A2920" s="1">
        <v>44924</v>
      </c>
      <c r="B2920">
        <v>141259</v>
      </c>
      <c r="C2920">
        <v>67351</v>
      </c>
      <c r="D2920">
        <v>73908</v>
      </c>
      <c r="E2920">
        <v>128049882</v>
      </c>
      <c r="F2920">
        <v>94938791</v>
      </c>
      <c r="G2920">
        <v>222988673</v>
      </c>
      <c r="H2920">
        <v>42282</v>
      </c>
      <c r="I2920">
        <v>11047</v>
      </c>
      <c r="J2920">
        <v>53329</v>
      </c>
      <c r="K2920" t="b">
        <f>TrafficData[[#This Row],[disposedChallan]]+TrafficData[[#This Row],[pendingChallan]]=TrafficData[[#This Row],[totalChallan]]</f>
        <v>1</v>
      </c>
      <c r="L2920" t="b">
        <f>TrafficData[[#This Row],[pendingAmount]]+TrafficData[[#This Row],[disposedAmount]]=TrafficData[[#This Row],[totalAmount]]</f>
        <v>1</v>
      </c>
      <c r="M2920" t="b">
        <f>TrafficData[[#This Row],[pendingCourt]]+TrafficData[[#This Row],[disposedCourt]]=TrafficData[[#This Row],[totalCourt]]</f>
        <v>1</v>
      </c>
      <c r="N2920" t="b">
        <f>AND(TrafficData[[#This Row],[disposedChallan]]&lt;=TrafficData[[#This Row],[totalChallan]],TrafficData[[#This Row],[pendingChallan]]&lt;=TrafficData[[#This Row],[totalChallan]])</f>
        <v>1</v>
      </c>
      <c r="O2920" t="b">
        <f>AND(TrafficData[[#This Row],[pendingAmount]]&lt;=TrafficData[[#This Row],[totalAmount]],TrafficData[[#This Row],[disposedAmount]]&lt;=TrafficData[[#This Row],[totalAmount]])</f>
        <v>1</v>
      </c>
      <c r="P2920" t="b">
        <f>AND(TrafficData[[#This Row],[pendingCourt]]&lt;=TrafficData[[#This Row],[totalCourt]],TrafficData[[#This Row],[disposedCourt]]&lt;=TrafficData[[#This Row],[totalCourt]])</f>
        <v>1</v>
      </c>
    </row>
    <row r="2921" spans="1:16">
      <c r="A2921" s="1">
        <v>44925</v>
      </c>
      <c r="B2921">
        <v>155753</v>
      </c>
      <c r="C2921">
        <v>70796</v>
      </c>
      <c r="D2921">
        <v>84957</v>
      </c>
      <c r="E2921">
        <v>147799534</v>
      </c>
      <c r="F2921">
        <v>101663535</v>
      </c>
      <c r="G2921">
        <v>249463069</v>
      </c>
      <c r="H2921">
        <v>46514</v>
      </c>
      <c r="I2921">
        <v>12124</v>
      </c>
      <c r="J2921">
        <v>58638</v>
      </c>
      <c r="K2921" t="b">
        <f>TrafficData[[#This Row],[disposedChallan]]+TrafficData[[#This Row],[pendingChallan]]=TrafficData[[#This Row],[totalChallan]]</f>
        <v>1</v>
      </c>
      <c r="L2921" t="b">
        <f>TrafficData[[#This Row],[pendingAmount]]+TrafficData[[#This Row],[disposedAmount]]=TrafficData[[#This Row],[totalAmount]]</f>
        <v>1</v>
      </c>
      <c r="M2921" t="b">
        <f>TrafficData[[#This Row],[pendingCourt]]+TrafficData[[#This Row],[disposedCourt]]=TrafficData[[#This Row],[totalCourt]]</f>
        <v>1</v>
      </c>
      <c r="N2921" t="b">
        <f>AND(TrafficData[[#This Row],[disposedChallan]]&lt;=TrafficData[[#This Row],[totalChallan]],TrafficData[[#This Row],[pendingChallan]]&lt;=TrafficData[[#This Row],[totalChallan]])</f>
        <v>1</v>
      </c>
      <c r="O2921" t="b">
        <f>AND(TrafficData[[#This Row],[pendingAmount]]&lt;=TrafficData[[#This Row],[totalAmount]],TrafficData[[#This Row],[disposedAmount]]&lt;=TrafficData[[#This Row],[totalAmount]])</f>
        <v>1</v>
      </c>
      <c r="P2921" t="b">
        <f>AND(TrafficData[[#This Row],[pendingCourt]]&lt;=TrafficData[[#This Row],[totalCourt]],TrafficData[[#This Row],[disposedCourt]]&lt;=TrafficData[[#This Row],[totalCourt]])</f>
        <v>1</v>
      </c>
    </row>
    <row r="2922" spans="1:16">
      <c r="A2922" s="1">
        <v>44926</v>
      </c>
      <c r="B2922">
        <v>145828</v>
      </c>
      <c r="C2922">
        <v>67331</v>
      </c>
      <c r="D2922">
        <v>78497</v>
      </c>
      <c r="E2922">
        <v>133978064</v>
      </c>
      <c r="F2922">
        <v>84149192</v>
      </c>
      <c r="G2922">
        <v>218127256</v>
      </c>
      <c r="H2922">
        <v>42128</v>
      </c>
      <c r="I2922">
        <v>11577</v>
      </c>
      <c r="J2922">
        <v>53705</v>
      </c>
      <c r="K2922" t="b">
        <f>TrafficData[[#This Row],[disposedChallan]]+TrafficData[[#This Row],[pendingChallan]]=TrafficData[[#This Row],[totalChallan]]</f>
        <v>1</v>
      </c>
      <c r="L2922" t="b">
        <f>TrafficData[[#This Row],[pendingAmount]]+TrafficData[[#This Row],[disposedAmount]]=TrafficData[[#This Row],[totalAmount]]</f>
        <v>1</v>
      </c>
      <c r="M2922" t="b">
        <f>TrafficData[[#This Row],[pendingCourt]]+TrafficData[[#This Row],[disposedCourt]]=TrafficData[[#This Row],[totalCourt]]</f>
        <v>1</v>
      </c>
      <c r="N2922" t="b">
        <f>AND(TrafficData[[#This Row],[disposedChallan]]&lt;=TrafficData[[#This Row],[totalChallan]],TrafficData[[#This Row],[pendingChallan]]&lt;=TrafficData[[#This Row],[totalChallan]])</f>
        <v>1</v>
      </c>
      <c r="O2922" t="b">
        <f>AND(TrafficData[[#This Row],[pendingAmount]]&lt;=TrafficData[[#This Row],[totalAmount]],TrafficData[[#This Row],[disposedAmount]]&lt;=TrafficData[[#This Row],[totalAmount]])</f>
        <v>1</v>
      </c>
      <c r="P2922" t="b">
        <f>AND(TrafficData[[#This Row],[pendingCourt]]&lt;=TrafficData[[#This Row],[totalCourt]],TrafficData[[#This Row],[disposedCourt]]&lt;=TrafficData[[#This Row],[totalCourt]])</f>
        <v>1</v>
      </c>
    </row>
    <row r="2923" spans="1:16">
      <c r="A2923" s="1">
        <v>44927</v>
      </c>
      <c r="B2923">
        <v>102882</v>
      </c>
      <c r="C2923">
        <v>47325</v>
      </c>
      <c r="D2923">
        <v>55557</v>
      </c>
      <c r="E2923">
        <v>85848045</v>
      </c>
      <c r="F2923">
        <v>72582447</v>
      </c>
      <c r="G2923">
        <v>158430492</v>
      </c>
      <c r="H2923">
        <v>29750</v>
      </c>
      <c r="I2923">
        <v>8519</v>
      </c>
      <c r="J2923">
        <v>38269</v>
      </c>
      <c r="K2923" t="b">
        <f>TrafficData[[#This Row],[disposedChallan]]+TrafficData[[#This Row],[pendingChallan]]=TrafficData[[#This Row],[totalChallan]]</f>
        <v>1</v>
      </c>
      <c r="L2923" t="b">
        <f>TrafficData[[#This Row],[pendingAmount]]+TrafficData[[#This Row],[disposedAmount]]=TrafficData[[#This Row],[totalAmount]]</f>
        <v>1</v>
      </c>
      <c r="M2923" t="b">
        <f>TrafficData[[#This Row],[pendingCourt]]+TrafficData[[#This Row],[disposedCourt]]=TrafficData[[#This Row],[totalCourt]]</f>
        <v>1</v>
      </c>
      <c r="N2923" t="b">
        <f>AND(TrafficData[[#This Row],[disposedChallan]]&lt;=TrafficData[[#This Row],[totalChallan]],TrafficData[[#This Row],[pendingChallan]]&lt;=TrafficData[[#This Row],[totalChallan]])</f>
        <v>1</v>
      </c>
      <c r="O2923" t="b">
        <f>AND(TrafficData[[#This Row],[pendingAmount]]&lt;=TrafficData[[#This Row],[totalAmount]],TrafficData[[#This Row],[disposedAmount]]&lt;=TrafficData[[#This Row],[totalAmount]])</f>
        <v>1</v>
      </c>
      <c r="P2923" t="b">
        <f>AND(TrafficData[[#This Row],[pendingCourt]]&lt;=TrafficData[[#This Row],[totalCourt]],TrafficData[[#This Row],[disposedCourt]]&lt;=TrafficData[[#This Row],[totalCourt]])</f>
        <v>1</v>
      </c>
    </row>
    <row r="2924" spans="1:16">
      <c r="A2924" s="1">
        <v>44928</v>
      </c>
      <c r="B2924">
        <v>150649</v>
      </c>
      <c r="C2924">
        <v>73252</v>
      </c>
      <c r="D2924">
        <v>77397</v>
      </c>
      <c r="E2924">
        <v>127681086</v>
      </c>
      <c r="F2924">
        <v>103247321</v>
      </c>
      <c r="G2924">
        <v>230928407</v>
      </c>
      <c r="H2924">
        <v>47381</v>
      </c>
      <c r="I2924">
        <v>11912</v>
      </c>
      <c r="J2924">
        <v>59293</v>
      </c>
      <c r="K2924" t="b">
        <f>TrafficData[[#This Row],[disposedChallan]]+TrafficData[[#This Row],[pendingChallan]]=TrafficData[[#This Row],[totalChallan]]</f>
        <v>1</v>
      </c>
      <c r="L2924" t="b">
        <f>TrafficData[[#This Row],[pendingAmount]]+TrafficData[[#This Row],[disposedAmount]]=TrafficData[[#This Row],[totalAmount]]</f>
        <v>1</v>
      </c>
      <c r="M2924" t="b">
        <f>TrafficData[[#This Row],[pendingCourt]]+TrafficData[[#This Row],[disposedCourt]]=TrafficData[[#This Row],[totalCourt]]</f>
        <v>1</v>
      </c>
      <c r="N2924" t="b">
        <f>AND(TrafficData[[#This Row],[disposedChallan]]&lt;=TrafficData[[#This Row],[totalChallan]],TrafficData[[#This Row],[pendingChallan]]&lt;=TrafficData[[#This Row],[totalChallan]])</f>
        <v>1</v>
      </c>
      <c r="O2924" t="b">
        <f>AND(TrafficData[[#This Row],[pendingAmount]]&lt;=TrafficData[[#This Row],[totalAmount]],TrafficData[[#This Row],[disposedAmount]]&lt;=TrafficData[[#This Row],[totalAmount]])</f>
        <v>1</v>
      </c>
      <c r="P2924" t="b">
        <f>AND(TrafficData[[#This Row],[pendingCourt]]&lt;=TrafficData[[#This Row],[totalCourt]],TrafficData[[#This Row],[disposedCourt]]&lt;=TrafficData[[#This Row],[totalCourt]])</f>
        <v>1</v>
      </c>
    </row>
    <row r="2925" spans="1:16">
      <c r="A2925" s="1">
        <v>44929</v>
      </c>
      <c r="B2925">
        <v>154630</v>
      </c>
      <c r="C2925">
        <v>75514</v>
      </c>
      <c r="D2925">
        <v>79116</v>
      </c>
      <c r="E2925">
        <v>131489717</v>
      </c>
      <c r="F2925">
        <v>115380318</v>
      </c>
      <c r="G2925">
        <v>246870035</v>
      </c>
      <c r="H2925">
        <v>50683</v>
      </c>
      <c r="I2925">
        <v>12120</v>
      </c>
      <c r="J2925">
        <v>62803</v>
      </c>
      <c r="K2925" t="b">
        <f>TrafficData[[#This Row],[disposedChallan]]+TrafficData[[#This Row],[pendingChallan]]=TrafficData[[#This Row],[totalChallan]]</f>
        <v>1</v>
      </c>
      <c r="L2925" t="b">
        <f>TrafficData[[#This Row],[pendingAmount]]+TrafficData[[#This Row],[disposedAmount]]=TrafficData[[#This Row],[totalAmount]]</f>
        <v>1</v>
      </c>
      <c r="M2925" t="b">
        <f>TrafficData[[#This Row],[pendingCourt]]+TrafficData[[#This Row],[disposedCourt]]=TrafficData[[#This Row],[totalCourt]]</f>
        <v>1</v>
      </c>
      <c r="N2925" t="b">
        <f>AND(TrafficData[[#This Row],[disposedChallan]]&lt;=TrafficData[[#This Row],[totalChallan]],TrafficData[[#This Row],[pendingChallan]]&lt;=TrafficData[[#This Row],[totalChallan]])</f>
        <v>1</v>
      </c>
      <c r="O2925" t="b">
        <f>AND(TrafficData[[#This Row],[pendingAmount]]&lt;=TrafficData[[#This Row],[totalAmount]],TrafficData[[#This Row],[disposedAmount]]&lt;=TrafficData[[#This Row],[totalAmount]])</f>
        <v>1</v>
      </c>
      <c r="P2925" t="b">
        <f>AND(TrafficData[[#This Row],[pendingCourt]]&lt;=TrafficData[[#This Row],[totalCourt]],TrafficData[[#This Row],[disposedCourt]]&lt;=TrafficData[[#This Row],[totalCourt]])</f>
        <v>1</v>
      </c>
    </row>
    <row r="2926" spans="1:16">
      <c r="A2926" s="1">
        <v>44930</v>
      </c>
      <c r="B2926">
        <v>163993</v>
      </c>
      <c r="C2926">
        <v>79275</v>
      </c>
      <c r="D2926">
        <v>84718</v>
      </c>
      <c r="E2926">
        <v>148442477</v>
      </c>
      <c r="F2926">
        <v>132742662</v>
      </c>
      <c r="G2926">
        <v>281185139</v>
      </c>
      <c r="H2926">
        <v>51129</v>
      </c>
      <c r="I2926">
        <v>12617</v>
      </c>
      <c r="J2926">
        <v>63746</v>
      </c>
      <c r="K2926" t="b">
        <f>TrafficData[[#This Row],[disposedChallan]]+TrafficData[[#This Row],[pendingChallan]]=TrafficData[[#This Row],[totalChallan]]</f>
        <v>1</v>
      </c>
      <c r="L2926" t="b">
        <f>TrafficData[[#This Row],[pendingAmount]]+TrafficData[[#This Row],[disposedAmount]]=TrafficData[[#This Row],[totalAmount]]</f>
        <v>1</v>
      </c>
      <c r="M2926" t="b">
        <f>TrafficData[[#This Row],[pendingCourt]]+TrafficData[[#This Row],[disposedCourt]]=TrafficData[[#This Row],[totalCourt]]</f>
        <v>1</v>
      </c>
      <c r="N2926" t="b">
        <f>AND(TrafficData[[#This Row],[disposedChallan]]&lt;=TrafficData[[#This Row],[totalChallan]],TrafficData[[#This Row],[pendingChallan]]&lt;=TrafficData[[#This Row],[totalChallan]])</f>
        <v>1</v>
      </c>
      <c r="O2926" t="b">
        <f>AND(TrafficData[[#This Row],[pendingAmount]]&lt;=TrafficData[[#This Row],[totalAmount]],TrafficData[[#This Row],[disposedAmount]]&lt;=TrafficData[[#This Row],[totalAmount]])</f>
        <v>1</v>
      </c>
      <c r="P2926" t="b">
        <f>AND(TrafficData[[#This Row],[pendingCourt]]&lt;=TrafficData[[#This Row],[totalCourt]],TrafficData[[#This Row],[disposedCourt]]&lt;=TrafficData[[#This Row],[totalCourt]])</f>
        <v>1</v>
      </c>
    </row>
    <row r="2927" spans="1:16">
      <c r="A2927" s="1">
        <v>44931</v>
      </c>
      <c r="B2927">
        <v>163160</v>
      </c>
      <c r="C2927">
        <v>79193</v>
      </c>
      <c r="D2927">
        <v>83967</v>
      </c>
      <c r="E2927">
        <v>144136280</v>
      </c>
      <c r="F2927">
        <v>126490011</v>
      </c>
      <c r="G2927">
        <v>270626291</v>
      </c>
      <c r="H2927">
        <v>50425</v>
      </c>
      <c r="I2927">
        <v>12412</v>
      </c>
      <c r="J2927">
        <v>62837</v>
      </c>
      <c r="K2927" t="b">
        <f>TrafficData[[#This Row],[disposedChallan]]+TrafficData[[#This Row],[pendingChallan]]=TrafficData[[#This Row],[totalChallan]]</f>
        <v>1</v>
      </c>
      <c r="L2927" t="b">
        <f>TrafficData[[#This Row],[pendingAmount]]+TrafficData[[#This Row],[disposedAmount]]=TrafficData[[#This Row],[totalAmount]]</f>
        <v>1</v>
      </c>
      <c r="M2927" t="b">
        <f>TrafficData[[#This Row],[pendingCourt]]+TrafficData[[#This Row],[disposedCourt]]=TrafficData[[#This Row],[totalCourt]]</f>
        <v>1</v>
      </c>
      <c r="N2927" t="b">
        <f>AND(TrafficData[[#This Row],[disposedChallan]]&lt;=TrafficData[[#This Row],[totalChallan]],TrafficData[[#This Row],[pendingChallan]]&lt;=TrafficData[[#This Row],[totalChallan]])</f>
        <v>1</v>
      </c>
      <c r="O2927" t="b">
        <f>AND(TrafficData[[#This Row],[pendingAmount]]&lt;=TrafficData[[#This Row],[totalAmount]],TrafficData[[#This Row],[disposedAmount]]&lt;=TrafficData[[#This Row],[totalAmount]])</f>
        <v>1</v>
      </c>
      <c r="P2927" t="b">
        <f>AND(TrafficData[[#This Row],[pendingCourt]]&lt;=TrafficData[[#This Row],[totalCourt]],TrafficData[[#This Row],[disposedCourt]]&lt;=TrafficData[[#This Row],[totalCourt]])</f>
        <v>1</v>
      </c>
    </row>
    <row r="2928" spans="1:16">
      <c r="A2928" s="1">
        <v>44932</v>
      </c>
      <c r="B2928">
        <v>163859</v>
      </c>
      <c r="C2928">
        <v>78086</v>
      </c>
      <c r="D2928">
        <v>85773</v>
      </c>
      <c r="E2928">
        <v>146321743</v>
      </c>
      <c r="F2928">
        <v>122252728</v>
      </c>
      <c r="G2928">
        <v>268574471</v>
      </c>
      <c r="H2928">
        <v>54100</v>
      </c>
      <c r="I2928">
        <v>12552</v>
      </c>
      <c r="J2928">
        <v>66652</v>
      </c>
      <c r="K2928" t="b">
        <f>TrafficData[[#This Row],[disposedChallan]]+TrafficData[[#This Row],[pendingChallan]]=TrafficData[[#This Row],[totalChallan]]</f>
        <v>1</v>
      </c>
      <c r="L2928" t="b">
        <f>TrafficData[[#This Row],[pendingAmount]]+TrafficData[[#This Row],[disposedAmount]]=TrafficData[[#This Row],[totalAmount]]</f>
        <v>1</v>
      </c>
      <c r="M2928" t="b">
        <f>TrafficData[[#This Row],[pendingCourt]]+TrafficData[[#This Row],[disposedCourt]]=TrafficData[[#This Row],[totalCourt]]</f>
        <v>1</v>
      </c>
      <c r="N2928" t="b">
        <f>AND(TrafficData[[#This Row],[disposedChallan]]&lt;=TrafficData[[#This Row],[totalChallan]],TrafficData[[#This Row],[pendingChallan]]&lt;=TrafficData[[#This Row],[totalChallan]])</f>
        <v>1</v>
      </c>
      <c r="O2928" t="b">
        <f>AND(TrafficData[[#This Row],[pendingAmount]]&lt;=TrafficData[[#This Row],[totalAmount]],TrafficData[[#This Row],[disposedAmount]]&lt;=TrafficData[[#This Row],[totalAmount]])</f>
        <v>1</v>
      </c>
      <c r="P2928" t="b">
        <f>AND(TrafficData[[#This Row],[pendingCourt]]&lt;=TrafficData[[#This Row],[totalCourt]],TrafficData[[#This Row],[disposedCourt]]&lt;=TrafficData[[#This Row],[totalCourt]])</f>
        <v>1</v>
      </c>
    </row>
    <row r="2929" spans="1:16">
      <c r="A2929" s="1">
        <v>44933</v>
      </c>
      <c r="B2929">
        <v>159591</v>
      </c>
      <c r="C2929">
        <v>77068</v>
      </c>
      <c r="D2929">
        <v>82523</v>
      </c>
      <c r="E2929">
        <v>144265921</v>
      </c>
      <c r="F2929">
        <v>112114401</v>
      </c>
      <c r="G2929">
        <v>256380322</v>
      </c>
      <c r="H2929">
        <v>49716</v>
      </c>
      <c r="I2929">
        <v>12750</v>
      </c>
      <c r="J2929">
        <v>62466</v>
      </c>
      <c r="K2929" t="b">
        <f>TrafficData[[#This Row],[disposedChallan]]+TrafficData[[#This Row],[pendingChallan]]=TrafficData[[#This Row],[totalChallan]]</f>
        <v>1</v>
      </c>
      <c r="L2929" t="b">
        <f>TrafficData[[#This Row],[pendingAmount]]+TrafficData[[#This Row],[disposedAmount]]=TrafficData[[#This Row],[totalAmount]]</f>
        <v>1</v>
      </c>
      <c r="M2929" t="b">
        <f>TrafficData[[#This Row],[pendingCourt]]+TrafficData[[#This Row],[disposedCourt]]=TrafficData[[#This Row],[totalCourt]]</f>
        <v>1</v>
      </c>
      <c r="N2929" t="b">
        <f>AND(TrafficData[[#This Row],[disposedChallan]]&lt;=TrafficData[[#This Row],[totalChallan]],TrafficData[[#This Row],[pendingChallan]]&lt;=TrafficData[[#This Row],[totalChallan]])</f>
        <v>1</v>
      </c>
      <c r="O2929" t="b">
        <f>AND(TrafficData[[#This Row],[pendingAmount]]&lt;=TrafficData[[#This Row],[totalAmount]],TrafficData[[#This Row],[disposedAmount]]&lt;=TrafficData[[#This Row],[totalAmount]])</f>
        <v>1</v>
      </c>
      <c r="P2929" t="b">
        <f>AND(TrafficData[[#This Row],[pendingCourt]]&lt;=TrafficData[[#This Row],[totalCourt]],TrafficData[[#This Row],[disposedCourt]]&lt;=TrafficData[[#This Row],[totalCourt]])</f>
        <v>1</v>
      </c>
    </row>
    <row r="2930" spans="1:16">
      <c r="A2930" s="1">
        <v>44934</v>
      </c>
      <c r="B2930">
        <v>140222</v>
      </c>
      <c r="C2930">
        <v>65956</v>
      </c>
      <c r="D2930">
        <v>74266</v>
      </c>
      <c r="E2930">
        <v>122732300</v>
      </c>
      <c r="F2930">
        <v>84969097</v>
      </c>
      <c r="G2930">
        <v>207701397</v>
      </c>
      <c r="H2930">
        <v>46260</v>
      </c>
      <c r="I2930">
        <v>11044</v>
      </c>
      <c r="J2930">
        <v>57304</v>
      </c>
      <c r="K2930" t="b">
        <f>TrafficData[[#This Row],[disposedChallan]]+TrafficData[[#This Row],[pendingChallan]]=TrafficData[[#This Row],[totalChallan]]</f>
        <v>1</v>
      </c>
      <c r="L2930" t="b">
        <f>TrafficData[[#This Row],[pendingAmount]]+TrafficData[[#This Row],[disposedAmount]]=TrafficData[[#This Row],[totalAmount]]</f>
        <v>1</v>
      </c>
      <c r="M2930" t="b">
        <f>TrafficData[[#This Row],[pendingCourt]]+TrafficData[[#This Row],[disposedCourt]]=TrafficData[[#This Row],[totalCourt]]</f>
        <v>1</v>
      </c>
      <c r="N2930" t="b">
        <f>AND(TrafficData[[#This Row],[disposedChallan]]&lt;=TrafficData[[#This Row],[totalChallan]],TrafficData[[#This Row],[pendingChallan]]&lt;=TrafficData[[#This Row],[totalChallan]])</f>
        <v>1</v>
      </c>
      <c r="O2930" t="b">
        <f>AND(TrafficData[[#This Row],[pendingAmount]]&lt;=TrafficData[[#This Row],[totalAmount]],TrafficData[[#This Row],[disposedAmount]]&lt;=TrafficData[[#This Row],[totalAmount]])</f>
        <v>1</v>
      </c>
      <c r="P2930" t="b">
        <f>AND(TrafficData[[#This Row],[pendingCourt]]&lt;=TrafficData[[#This Row],[totalCourt]],TrafficData[[#This Row],[disposedCourt]]&lt;=TrafficData[[#This Row],[totalCourt]])</f>
        <v>1</v>
      </c>
    </row>
    <row r="2931" spans="1:16">
      <c r="A2931" s="1">
        <v>44935</v>
      </c>
      <c r="B2931">
        <v>159560</v>
      </c>
      <c r="C2931">
        <v>75536</v>
      </c>
      <c r="D2931">
        <v>84024</v>
      </c>
      <c r="E2931">
        <v>151165108</v>
      </c>
      <c r="F2931">
        <v>116150465</v>
      </c>
      <c r="G2931">
        <v>267315573</v>
      </c>
      <c r="H2931">
        <v>51127</v>
      </c>
      <c r="I2931">
        <v>12546</v>
      </c>
      <c r="J2931">
        <v>63673</v>
      </c>
      <c r="K2931" t="b">
        <f>TrafficData[[#This Row],[disposedChallan]]+TrafficData[[#This Row],[pendingChallan]]=TrafficData[[#This Row],[totalChallan]]</f>
        <v>1</v>
      </c>
      <c r="L2931" t="b">
        <f>TrafficData[[#This Row],[pendingAmount]]+TrafficData[[#This Row],[disposedAmount]]=TrafficData[[#This Row],[totalAmount]]</f>
        <v>1</v>
      </c>
      <c r="M2931" t="b">
        <f>TrafficData[[#This Row],[pendingCourt]]+TrafficData[[#This Row],[disposedCourt]]=TrafficData[[#This Row],[totalCourt]]</f>
        <v>1</v>
      </c>
      <c r="N2931" t="b">
        <f>AND(TrafficData[[#This Row],[disposedChallan]]&lt;=TrafficData[[#This Row],[totalChallan]],TrafficData[[#This Row],[pendingChallan]]&lt;=TrafficData[[#This Row],[totalChallan]])</f>
        <v>1</v>
      </c>
      <c r="O2931" t="b">
        <f>AND(TrafficData[[#This Row],[pendingAmount]]&lt;=TrafficData[[#This Row],[totalAmount]],TrafficData[[#This Row],[disposedAmount]]&lt;=TrafficData[[#This Row],[totalAmount]])</f>
        <v>1</v>
      </c>
      <c r="P2931" t="b">
        <f>AND(TrafficData[[#This Row],[pendingCourt]]&lt;=TrafficData[[#This Row],[totalCourt]],TrafficData[[#This Row],[disposedCourt]]&lt;=TrafficData[[#This Row],[totalCourt]])</f>
        <v>1</v>
      </c>
    </row>
    <row r="2932" spans="1:16">
      <c r="A2932" s="1">
        <v>44936</v>
      </c>
      <c r="B2932">
        <v>151987</v>
      </c>
      <c r="C2932">
        <v>73551</v>
      </c>
      <c r="D2932">
        <v>78436</v>
      </c>
      <c r="E2932">
        <v>148114377</v>
      </c>
      <c r="F2932">
        <v>119285061</v>
      </c>
      <c r="G2932">
        <v>267399438</v>
      </c>
      <c r="H2932">
        <v>49446</v>
      </c>
      <c r="I2932">
        <v>11837</v>
      </c>
      <c r="J2932">
        <v>61283</v>
      </c>
      <c r="K2932" t="b">
        <f>TrafficData[[#This Row],[disposedChallan]]+TrafficData[[#This Row],[pendingChallan]]=TrafficData[[#This Row],[totalChallan]]</f>
        <v>1</v>
      </c>
      <c r="L2932" t="b">
        <f>TrafficData[[#This Row],[pendingAmount]]+TrafficData[[#This Row],[disposedAmount]]=TrafficData[[#This Row],[totalAmount]]</f>
        <v>1</v>
      </c>
      <c r="M2932" t="b">
        <f>TrafficData[[#This Row],[pendingCourt]]+TrafficData[[#This Row],[disposedCourt]]=TrafficData[[#This Row],[totalCourt]]</f>
        <v>1</v>
      </c>
      <c r="N2932" t="b">
        <f>AND(TrafficData[[#This Row],[disposedChallan]]&lt;=TrafficData[[#This Row],[totalChallan]],TrafficData[[#This Row],[pendingChallan]]&lt;=TrafficData[[#This Row],[totalChallan]])</f>
        <v>1</v>
      </c>
      <c r="O2932" t="b">
        <f>AND(TrafficData[[#This Row],[pendingAmount]]&lt;=TrafficData[[#This Row],[totalAmount]],TrafficData[[#This Row],[disposedAmount]]&lt;=TrafficData[[#This Row],[totalAmount]])</f>
        <v>1</v>
      </c>
      <c r="P2932" t="b">
        <f>AND(TrafficData[[#This Row],[pendingCourt]]&lt;=TrafficData[[#This Row],[totalCourt]],TrafficData[[#This Row],[disposedCourt]]&lt;=TrafficData[[#This Row],[totalCourt]])</f>
        <v>1</v>
      </c>
    </row>
    <row r="2933" spans="1:16">
      <c r="A2933" s="1">
        <v>44937</v>
      </c>
      <c r="B2933">
        <v>163319</v>
      </c>
      <c r="C2933">
        <v>78226</v>
      </c>
      <c r="D2933">
        <v>85093</v>
      </c>
      <c r="E2933">
        <v>162147799</v>
      </c>
      <c r="F2933">
        <v>119649128</v>
      </c>
      <c r="G2933">
        <v>281796927</v>
      </c>
      <c r="H2933">
        <v>53290</v>
      </c>
      <c r="I2933">
        <v>13161</v>
      </c>
      <c r="J2933">
        <v>66451</v>
      </c>
      <c r="K2933" t="b">
        <f>TrafficData[[#This Row],[disposedChallan]]+TrafficData[[#This Row],[pendingChallan]]=TrafficData[[#This Row],[totalChallan]]</f>
        <v>1</v>
      </c>
      <c r="L2933" t="b">
        <f>TrafficData[[#This Row],[pendingAmount]]+TrafficData[[#This Row],[disposedAmount]]=TrafficData[[#This Row],[totalAmount]]</f>
        <v>1</v>
      </c>
      <c r="M2933" t="b">
        <f>TrafficData[[#This Row],[pendingCourt]]+TrafficData[[#This Row],[disposedCourt]]=TrafficData[[#This Row],[totalCourt]]</f>
        <v>1</v>
      </c>
      <c r="N2933" t="b">
        <f>AND(TrafficData[[#This Row],[disposedChallan]]&lt;=TrafficData[[#This Row],[totalChallan]],TrafficData[[#This Row],[pendingChallan]]&lt;=TrafficData[[#This Row],[totalChallan]])</f>
        <v>1</v>
      </c>
      <c r="O2933" t="b">
        <f>AND(TrafficData[[#This Row],[pendingAmount]]&lt;=TrafficData[[#This Row],[totalAmount]],TrafficData[[#This Row],[disposedAmount]]&lt;=TrafficData[[#This Row],[totalAmount]])</f>
        <v>1</v>
      </c>
      <c r="P2933" t="b">
        <f>AND(TrafficData[[#This Row],[pendingCourt]]&lt;=TrafficData[[#This Row],[totalCourt]],TrafficData[[#This Row],[disposedCourt]]&lt;=TrafficData[[#This Row],[totalCourt]])</f>
        <v>1</v>
      </c>
    </row>
    <row r="2934" spans="1:16">
      <c r="A2934" s="1">
        <v>44938</v>
      </c>
      <c r="B2934">
        <v>168300</v>
      </c>
      <c r="C2934">
        <v>82536</v>
      </c>
      <c r="D2934">
        <v>85764</v>
      </c>
      <c r="E2934">
        <v>164026236</v>
      </c>
      <c r="F2934">
        <v>122038095</v>
      </c>
      <c r="G2934">
        <v>286064331</v>
      </c>
      <c r="H2934">
        <v>52748</v>
      </c>
      <c r="I2934">
        <v>12725</v>
      </c>
      <c r="J2934">
        <v>65473</v>
      </c>
      <c r="K2934" t="b">
        <f>TrafficData[[#This Row],[disposedChallan]]+TrafficData[[#This Row],[pendingChallan]]=TrafficData[[#This Row],[totalChallan]]</f>
        <v>1</v>
      </c>
      <c r="L2934" t="b">
        <f>TrafficData[[#This Row],[pendingAmount]]+TrafficData[[#This Row],[disposedAmount]]=TrafficData[[#This Row],[totalAmount]]</f>
        <v>1</v>
      </c>
      <c r="M2934" t="b">
        <f>TrafficData[[#This Row],[pendingCourt]]+TrafficData[[#This Row],[disposedCourt]]=TrafficData[[#This Row],[totalCourt]]</f>
        <v>1</v>
      </c>
      <c r="N2934" t="b">
        <f>AND(TrafficData[[#This Row],[disposedChallan]]&lt;=TrafficData[[#This Row],[totalChallan]],TrafficData[[#This Row],[pendingChallan]]&lt;=TrafficData[[#This Row],[totalChallan]])</f>
        <v>1</v>
      </c>
      <c r="O2934" t="b">
        <f>AND(TrafficData[[#This Row],[pendingAmount]]&lt;=TrafficData[[#This Row],[totalAmount]],TrafficData[[#This Row],[disposedAmount]]&lt;=TrafficData[[#This Row],[totalAmount]])</f>
        <v>1</v>
      </c>
      <c r="P2934" t="b">
        <f>AND(TrafficData[[#This Row],[pendingCourt]]&lt;=TrafficData[[#This Row],[totalCourt]],TrafficData[[#This Row],[disposedCourt]]&lt;=TrafficData[[#This Row],[totalCourt]])</f>
        <v>1</v>
      </c>
    </row>
    <row r="2935" spans="1:16">
      <c r="A2935" s="1">
        <v>44939</v>
      </c>
      <c r="B2935">
        <v>160263</v>
      </c>
      <c r="C2935">
        <v>76224</v>
      </c>
      <c r="D2935">
        <v>84039</v>
      </c>
      <c r="E2935">
        <v>148002185</v>
      </c>
      <c r="F2935">
        <v>120962878</v>
      </c>
      <c r="G2935">
        <v>268965063</v>
      </c>
      <c r="H2935">
        <v>50367</v>
      </c>
      <c r="I2935">
        <v>11527</v>
      </c>
      <c r="J2935">
        <v>61894</v>
      </c>
      <c r="K2935" t="b">
        <f>TrafficData[[#This Row],[disposedChallan]]+TrafficData[[#This Row],[pendingChallan]]=TrafficData[[#This Row],[totalChallan]]</f>
        <v>1</v>
      </c>
      <c r="L2935" t="b">
        <f>TrafficData[[#This Row],[pendingAmount]]+TrafficData[[#This Row],[disposedAmount]]=TrafficData[[#This Row],[totalAmount]]</f>
        <v>1</v>
      </c>
      <c r="M2935" t="b">
        <f>TrafficData[[#This Row],[pendingCourt]]+TrafficData[[#This Row],[disposedCourt]]=TrafficData[[#This Row],[totalCourt]]</f>
        <v>1</v>
      </c>
      <c r="N2935" t="b">
        <f>AND(TrafficData[[#This Row],[disposedChallan]]&lt;=TrafficData[[#This Row],[totalChallan]],TrafficData[[#This Row],[pendingChallan]]&lt;=TrafficData[[#This Row],[totalChallan]])</f>
        <v>1</v>
      </c>
      <c r="O2935" t="b">
        <f>AND(TrafficData[[#This Row],[pendingAmount]]&lt;=TrafficData[[#This Row],[totalAmount]],TrafficData[[#This Row],[disposedAmount]]&lt;=TrafficData[[#This Row],[totalAmount]])</f>
        <v>1</v>
      </c>
      <c r="P2935" t="b">
        <f>AND(TrafficData[[#This Row],[pendingCourt]]&lt;=TrafficData[[#This Row],[totalCourt]],TrafficData[[#This Row],[disposedCourt]]&lt;=TrafficData[[#This Row],[totalCourt]])</f>
        <v>1</v>
      </c>
    </row>
    <row r="2936" spans="1:16">
      <c r="A2936" s="1">
        <v>44940</v>
      </c>
      <c r="B2936">
        <v>146081</v>
      </c>
      <c r="C2936">
        <v>71146</v>
      </c>
      <c r="D2936">
        <v>74935</v>
      </c>
      <c r="E2936">
        <v>122473900</v>
      </c>
      <c r="F2936">
        <v>91624712</v>
      </c>
      <c r="G2936">
        <v>214098612</v>
      </c>
      <c r="H2936">
        <v>45231</v>
      </c>
      <c r="I2936">
        <v>11467</v>
      </c>
      <c r="J2936">
        <v>56698</v>
      </c>
      <c r="K2936" t="b">
        <f>TrafficData[[#This Row],[disposedChallan]]+TrafficData[[#This Row],[pendingChallan]]=TrafficData[[#This Row],[totalChallan]]</f>
        <v>1</v>
      </c>
      <c r="L2936" t="b">
        <f>TrafficData[[#This Row],[pendingAmount]]+TrafficData[[#This Row],[disposedAmount]]=TrafficData[[#This Row],[totalAmount]]</f>
        <v>1</v>
      </c>
      <c r="M2936" t="b">
        <f>TrafficData[[#This Row],[pendingCourt]]+TrafficData[[#This Row],[disposedCourt]]=TrafficData[[#This Row],[totalCourt]]</f>
        <v>1</v>
      </c>
      <c r="N2936" t="b">
        <f>AND(TrafficData[[#This Row],[disposedChallan]]&lt;=TrafficData[[#This Row],[totalChallan]],TrafficData[[#This Row],[pendingChallan]]&lt;=TrafficData[[#This Row],[totalChallan]])</f>
        <v>1</v>
      </c>
      <c r="O2936" t="b">
        <f>AND(TrafficData[[#This Row],[pendingAmount]]&lt;=TrafficData[[#This Row],[totalAmount]],TrafficData[[#This Row],[disposedAmount]]&lt;=TrafficData[[#This Row],[totalAmount]])</f>
        <v>1</v>
      </c>
      <c r="P2936" t="b">
        <f>AND(TrafficData[[#This Row],[pendingCourt]]&lt;=TrafficData[[#This Row],[totalCourt]],TrafficData[[#This Row],[disposedCourt]]&lt;=TrafficData[[#This Row],[totalCourt]])</f>
        <v>1</v>
      </c>
    </row>
    <row r="2937" spans="1:16">
      <c r="A2937" s="1">
        <v>44941</v>
      </c>
      <c r="B2937">
        <v>119974</v>
      </c>
      <c r="C2937">
        <v>56502</v>
      </c>
      <c r="D2937">
        <v>63472</v>
      </c>
      <c r="E2937">
        <v>105086148</v>
      </c>
      <c r="F2937">
        <v>67380936</v>
      </c>
      <c r="G2937">
        <v>172467084</v>
      </c>
      <c r="H2937">
        <v>41101</v>
      </c>
      <c r="I2937">
        <v>10016</v>
      </c>
      <c r="J2937">
        <v>51117</v>
      </c>
      <c r="K2937" t="b">
        <f>TrafficData[[#This Row],[disposedChallan]]+TrafficData[[#This Row],[pendingChallan]]=TrafficData[[#This Row],[totalChallan]]</f>
        <v>1</v>
      </c>
      <c r="L2937" t="b">
        <f>TrafficData[[#This Row],[pendingAmount]]+TrafficData[[#This Row],[disposedAmount]]=TrafficData[[#This Row],[totalAmount]]</f>
        <v>1</v>
      </c>
      <c r="M2937" t="b">
        <f>TrafficData[[#This Row],[pendingCourt]]+TrafficData[[#This Row],[disposedCourt]]=TrafficData[[#This Row],[totalCourt]]</f>
        <v>1</v>
      </c>
      <c r="N2937" t="b">
        <f>AND(TrafficData[[#This Row],[disposedChallan]]&lt;=TrafficData[[#This Row],[totalChallan]],TrafficData[[#This Row],[pendingChallan]]&lt;=TrafficData[[#This Row],[totalChallan]])</f>
        <v>1</v>
      </c>
      <c r="O2937" t="b">
        <f>AND(TrafficData[[#This Row],[pendingAmount]]&lt;=TrafficData[[#This Row],[totalAmount]],TrafficData[[#This Row],[disposedAmount]]&lt;=TrafficData[[#This Row],[totalAmount]])</f>
        <v>1</v>
      </c>
      <c r="P2937" t="b">
        <f>AND(TrafficData[[#This Row],[pendingCourt]]&lt;=TrafficData[[#This Row],[totalCourt]],TrafficData[[#This Row],[disposedCourt]]&lt;=TrafficData[[#This Row],[totalCourt]])</f>
        <v>1</v>
      </c>
    </row>
    <row r="2938" spans="1:16">
      <c r="A2938" s="1">
        <v>44942</v>
      </c>
      <c r="B2938">
        <v>148908</v>
      </c>
      <c r="C2938">
        <v>70054</v>
      </c>
      <c r="D2938">
        <v>78854</v>
      </c>
      <c r="E2938">
        <v>141103328</v>
      </c>
      <c r="F2938">
        <v>94943089</v>
      </c>
      <c r="G2938">
        <v>236046417</v>
      </c>
      <c r="H2938">
        <v>51279</v>
      </c>
      <c r="I2938">
        <v>12546</v>
      </c>
      <c r="J2938">
        <v>63825</v>
      </c>
      <c r="K2938" t="b">
        <f>TrafficData[[#This Row],[disposedChallan]]+TrafficData[[#This Row],[pendingChallan]]=TrafficData[[#This Row],[totalChallan]]</f>
        <v>1</v>
      </c>
      <c r="L2938" t="b">
        <f>TrafficData[[#This Row],[pendingAmount]]+TrafficData[[#This Row],[disposedAmount]]=TrafficData[[#This Row],[totalAmount]]</f>
        <v>1</v>
      </c>
      <c r="M2938" t="b">
        <f>TrafficData[[#This Row],[pendingCourt]]+TrafficData[[#This Row],[disposedCourt]]=TrafficData[[#This Row],[totalCourt]]</f>
        <v>1</v>
      </c>
      <c r="N2938" t="b">
        <f>AND(TrafficData[[#This Row],[disposedChallan]]&lt;=TrafficData[[#This Row],[totalChallan]],TrafficData[[#This Row],[pendingChallan]]&lt;=TrafficData[[#This Row],[totalChallan]])</f>
        <v>1</v>
      </c>
      <c r="O2938" t="b">
        <f>AND(TrafficData[[#This Row],[pendingAmount]]&lt;=TrafficData[[#This Row],[totalAmount]],TrafficData[[#This Row],[disposedAmount]]&lt;=TrafficData[[#This Row],[totalAmount]])</f>
        <v>1</v>
      </c>
      <c r="P2938" t="b">
        <f>AND(TrafficData[[#This Row],[pendingCourt]]&lt;=TrafficData[[#This Row],[totalCourt]],TrafficData[[#This Row],[disposedCourt]]&lt;=TrafficData[[#This Row],[totalCourt]])</f>
        <v>1</v>
      </c>
    </row>
    <row r="2939" spans="1:16">
      <c r="A2939" s="1">
        <v>44943</v>
      </c>
      <c r="B2939">
        <v>149808</v>
      </c>
      <c r="C2939">
        <v>71196</v>
      </c>
      <c r="D2939">
        <v>78612</v>
      </c>
      <c r="E2939">
        <v>136151594</v>
      </c>
      <c r="F2939">
        <v>105865825</v>
      </c>
      <c r="G2939">
        <v>242017419</v>
      </c>
      <c r="H2939">
        <v>49641</v>
      </c>
      <c r="I2939">
        <v>12344</v>
      </c>
      <c r="J2939">
        <v>61985</v>
      </c>
      <c r="K2939" t="b">
        <f>TrafficData[[#This Row],[disposedChallan]]+TrafficData[[#This Row],[pendingChallan]]=TrafficData[[#This Row],[totalChallan]]</f>
        <v>1</v>
      </c>
      <c r="L2939" t="b">
        <f>TrafficData[[#This Row],[pendingAmount]]+TrafficData[[#This Row],[disposedAmount]]=TrafficData[[#This Row],[totalAmount]]</f>
        <v>1</v>
      </c>
      <c r="M2939" t="b">
        <f>TrafficData[[#This Row],[pendingCourt]]+TrafficData[[#This Row],[disposedCourt]]=TrafficData[[#This Row],[totalCourt]]</f>
        <v>1</v>
      </c>
      <c r="N2939" t="b">
        <f>AND(TrafficData[[#This Row],[disposedChallan]]&lt;=TrafficData[[#This Row],[totalChallan]],TrafficData[[#This Row],[pendingChallan]]&lt;=TrafficData[[#This Row],[totalChallan]])</f>
        <v>1</v>
      </c>
      <c r="O2939" t="b">
        <f>AND(TrafficData[[#This Row],[pendingAmount]]&lt;=TrafficData[[#This Row],[totalAmount]],TrafficData[[#This Row],[disposedAmount]]&lt;=TrafficData[[#This Row],[totalAmount]])</f>
        <v>1</v>
      </c>
      <c r="P2939" t="b">
        <f>AND(TrafficData[[#This Row],[pendingCourt]]&lt;=TrafficData[[#This Row],[totalCourt]],TrafficData[[#This Row],[disposedCourt]]&lt;=TrafficData[[#This Row],[totalCourt]])</f>
        <v>1</v>
      </c>
    </row>
    <row r="2940" spans="1:16">
      <c r="A2940" s="1">
        <v>44944</v>
      </c>
      <c r="B2940">
        <v>156077</v>
      </c>
      <c r="C2940">
        <v>74033</v>
      </c>
      <c r="D2940">
        <v>82044</v>
      </c>
      <c r="E2940">
        <v>145546248</v>
      </c>
      <c r="F2940">
        <v>123411768</v>
      </c>
      <c r="G2940">
        <v>268958016</v>
      </c>
      <c r="H2940">
        <v>50091</v>
      </c>
      <c r="I2940">
        <v>12615</v>
      </c>
      <c r="J2940">
        <v>62706</v>
      </c>
      <c r="K2940" t="b">
        <f>TrafficData[[#This Row],[disposedChallan]]+TrafficData[[#This Row],[pendingChallan]]=TrafficData[[#This Row],[totalChallan]]</f>
        <v>1</v>
      </c>
      <c r="L2940" t="b">
        <f>TrafficData[[#This Row],[pendingAmount]]+TrafficData[[#This Row],[disposedAmount]]=TrafficData[[#This Row],[totalAmount]]</f>
        <v>1</v>
      </c>
      <c r="M2940" t="b">
        <f>TrafficData[[#This Row],[pendingCourt]]+TrafficData[[#This Row],[disposedCourt]]=TrafficData[[#This Row],[totalCourt]]</f>
        <v>1</v>
      </c>
      <c r="N2940" t="b">
        <f>AND(TrafficData[[#This Row],[disposedChallan]]&lt;=TrafficData[[#This Row],[totalChallan]],TrafficData[[#This Row],[pendingChallan]]&lt;=TrafficData[[#This Row],[totalChallan]])</f>
        <v>1</v>
      </c>
      <c r="O2940" t="b">
        <f>AND(TrafficData[[#This Row],[pendingAmount]]&lt;=TrafficData[[#This Row],[totalAmount]],TrafficData[[#This Row],[disposedAmount]]&lt;=TrafficData[[#This Row],[totalAmount]])</f>
        <v>1</v>
      </c>
      <c r="P2940" t="b">
        <f>AND(TrafficData[[#This Row],[pendingCourt]]&lt;=TrafficData[[#This Row],[totalCourt]],TrafficData[[#This Row],[disposedCourt]]&lt;=TrafficData[[#This Row],[totalCourt]])</f>
        <v>1</v>
      </c>
    </row>
    <row r="2941" spans="1:16">
      <c r="A2941" s="1">
        <v>44945</v>
      </c>
      <c r="B2941">
        <v>153835</v>
      </c>
      <c r="C2941">
        <v>73849</v>
      </c>
      <c r="D2941">
        <v>79986</v>
      </c>
      <c r="E2941">
        <v>141907121</v>
      </c>
      <c r="F2941">
        <v>118927120</v>
      </c>
      <c r="G2941">
        <v>260834241</v>
      </c>
      <c r="H2941">
        <v>51851</v>
      </c>
      <c r="I2941">
        <v>13026</v>
      </c>
      <c r="J2941">
        <v>64877</v>
      </c>
      <c r="K2941" t="b">
        <f>TrafficData[[#This Row],[disposedChallan]]+TrafficData[[#This Row],[pendingChallan]]=TrafficData[[#This Row],[totalChallan]]</f>
        <v>1</v>
      </c>
      <c r="L2941" t="b">
        <f>TrafficData[[#This Row],[pendingAmount]]+TrafficData[[#This Row],[disposedAmount]]=TrafficData[[#This Row],[totalAmount]]</f>
        <v>1</v>
      </c>
      <c r="M2941" t="b">
        <f>TrafficData[[#This Row],[pendingCourt]]+TrafficData[[#This Row],[disposedCourt]]=TrafficData[[#This Row],[totalCourt]]</f>
        <v>1</v>
      </c>
      <c r="N2941" t="b">
        <f>AND(TrafficData[[#This Row],[disposedChallan]]&lt;=TrafficData[[#This Row],[totalChallan]],TrafficData[[#This Row],[pendingChallan]]&lt;=TrafficData[[#This Row],[totalChallan]])</f>
        <v>1</v>
      </c>
      <c r="O2941" t="b">
        <f>AND(TrafficData[[#This Row],[pendingAmount]]&lt;=TrafficData[[#This Row],[totalAmount]],TrafficData[[#This Row],[disposedAmount]]&lt;=TrafficData[[#This Row],[totalAmount]])</f>
        <v>1</v>
      </c>
      <c r="P2941" t="b">
        <f>AND(TrafficData[[#This Row],[pendingCourt]]&lt;=TrafficData[[#This Row],[totalCourt]],TrafficData[[#This Row],[disposedCourt]]&lt;=TrafficData[[#This Row],[totalCourt]])</f>
        <v>1</v>
      </c>
    </row>
    <row r="2942" spans="1:16">
      <c r="A2942" s="1">
        <v>44946</v>
      </c>
      <c r="B2942">
        <v>157237</v>
      </c>
      <c r="C2942">
        <v>72611</v>
      </c>
      <c r="D2942">
        <v>84626</v>
      </c>
      <c r="E2942">
        <v>151944344</v>
      </c>
      <c r="F2942">
        <v>116196731</v>
      </c>
      <c r="G2942">
        <v>268141075</v>
      </c>
      <c r="H2942">
        <v>54138</v>
      </c>
      <c r="I2942">
        <v>13398</v>
      </c>
      <c r="J2942">
        <v>67536</v>
      </c>
      <c r="K2942" t="b">
        <f>TrafficData[[#This Row],[disposedChallan]]+TrafficData[[#This Row],[pendingChallan]]=TrafficData[[#This Row],[totalChallan]]</f>
        <v>1</v>
      </c>
      <c r="L2942" t="b">
        <f>TrafficData[[#This Row],[pendingAmount]]+TrafficData[[#This Row],[disposedAmount]]=TrafficData[[#This Row],[totalAmount]]</f>
        <v>1</v>
      </c>
      <c r="M2942" t="b">
        <f>TrafficData[[#This Row],[pendingCourt]]+TrafficData[[#This Row],[disposedCourt]]=TrafficData[[#This Row],[totalCourt]]</f>
        <v>1</v>
      </c>
      <c r="N2942" t="b">
        <f>AND(TrafficData[[#This Row],[disposedChallan]]&lt;=TrafficData[[#This Row],[totalChallan]],TrafficData[[#This Row],[pendingChallan]]&lt;=TrafficData[[#This Row],[totalChallan]])</f>
        <v>1</v>
      </c>
      <c r="O2942" t="b">
        <f>AND(TrafficData[[#This Row],[pendingAmount]]&lt;=TrafficData[[#This Row],[totalAmount]],TrafficData[[#This Row],[disposedAmount]]&lt;=TrafficData[[#This Row],[totalAmount]])</f>
        <v>1</v>
      </c>
      <c r="P2942" t="b">
        <f>AND(TrafficData[[#This Row],[pendingCourt]]&lt;=TrafficData[[#This Row],[totalCourt]],TrafficData[[#This Row],[disposedCourt]]&lt;=TrafficData[[#This Row],[totalCourt]])</f>
        <v>1</v>
      </c>
    </row>
    <row r="2943" spans="1:16">
      <c r="A2943" s="1">
        <v>44947</v>
      </c>
      <c r="B2943">
        <v>158979</v>
      </c>
      <c r="C2943">
        <v>78418</v>
      </c>
      <c r="D2943">
        <v>80561</v>
      </c>
      <c r="E2943">
        <v>139312276</v>
      </c>
      <c r="F2943">
        <v>113787027</v>
      </c>
      <c r="G2943">
        <v>253099303</v>
      </c>
      <c r="H2943">
        <v>49843</v>
      </c>
      <c r="I2943">
        <v>12849</v>
      </c>
      <c r="J2943">
        <v>62692</v>
      </c>
      <c r="K2943" t="b">
        <f>TrafficData[[#This Row],[disposedChallan]]+TrafficData[[#This Row],[pendingChallan]]=TrafficData[[#This Row],[totalChallan]]</f>
        <v>1</v>
      </c>
      <c r="L2943" t="b">
        <f>TrafficData[[#This Row],[pendingAmount]]+TrafficData[[#This Row],[disposedAmount]]=TrafficData[[#This Row],[totalAmount]]</f>
        <v>1</v>
      </c>
      <c r="M2943" t="b">
        <f>TrafficData[[#This Row],[pendingCourt]]+TrafficData[[#This Row],[disposedCourt]]=TrafficData[[#This Row],[totalCourt]]</f>
        <v>1</v>
      </c>
      <c r="N2943" t="b">
        <f>AND(TrafficData[[#This Row],[disposedChallan]]&lt;=TrafficData[[#This Row],[totalChallan]],TrafficData[[#This Row],[pendingChallan]]&lt;=TrafficData[[#This Row],[totalChallan]])</f>
        <v>1</v>
      </c>
      <c r="O2943" t="b">
        <f>AND(TrafficData[[#This Row],[pendingAmount]]&lt;=TrafficData[[#This Row],[totalAmount]],TrafficData[[#This Row],[disposedAmount]]&lt;=TrafficData[[#This Row],[totalAmount]])</f>
        <v>1</v>
      </c>
      <c r="P2943" t="b">
        <f>AND(TrafficData[[#This Row],[pendingCourt]]&lt;=TrafficData[[#This Row],[totalCourt]],TrafficData[[#This Row],[disposedCourt]]&lt;=TrafficData[[#This Row],[totalCourt]])</f>
        <v>1</v>
      </c>
    </row>
    <row r="2944" spans="1:16">
      <c r="A2944" s="1">
        <v>44948</v>
      </c>
      <c r="B2944">
        <v>134109</v>
      </c>
      <c r="C2944">
        <v>63188</v>
      </c>
      <c r="D2944">
        <v>70921</v>
      </c>
      <c r="E2944">
        <v>110062823</v>
      </c>
      <c r="F2944">
        <v>84857051</v>
      </c>
      <c r="G2944">
        <v>194919874</v>
      </c>
      <c r="H2944">
        <v>41498</v>
      </c>
      <c r="I2944">
        <v>10627</v>
      </c>
      <c r="J2944">
        <v>52125</v>
      </c>
      <c r="K2944" t="b">
        <f>TrafficData[[#This Row],[disposedChallan]]+TrafficData[[#This Row],[pendingChallan]]=TrafficData[[#This Row],[totalChallan]]</f>
        <v>1</v>
      </c>
      <c r="L2944" t="b">
        <f>TrafficData[[#This Row],[pendingAmount]]+TrafficData[[#This Row],[disposedAmount]]=TrafficData[[#This Row],[totalAmount]]</f>
        <v>1</v>
      </c>
      <c r="M2944" t="b">
        <f>TrafficData[[#This Row],[pendingCourt]]+TrafficData[[#This Row],[disposedCourt]]=TrafficData[[#This Row],[totalCourt]]</f>
        <v>1</v>
      </c>
      <c r="N2944" t="b">
        <f>AND(TrafficData[[#This Row],[disposedChallan]]&lt;=TrafficData[[#This Row],[totalChallan]],TrafficData[[#This Row],[pendingChallan]]&lt;=TrafficData[[#This Row],[totalChallan]])</f>
        <v>1</v>
      </c>
      <c r="O2944" t="b">
        <f>AND(TrafficData[[#This Row],[pendingAmount]]&lt;=TrafficData[[#This Row],[totalAmount]],TrafficData[[#This Row],[disposedAmount]]&lt;=TrafficData[[#This Row],[totalAmount]])</f>
        <v>1</v>
      </c>
      <c r="P2944" t="b">
        <f>AND(TrafficData[[#This Row],[pendingCourt]]&lt;=TrafficData[[#This Row],[totalCourt]],TrafficData[[#This Row],[disposedCourt]]&lt;=TrafficData[[#This Row],[totalCourt]])</f>
        <v>1</v>
      </c>
    </row>
    <row r="2945" spans="1:16">
      <c r="A2945" s="1">
        <v>44949</v>
      </c>
      <c r="B2945">
        <v>153438</v>
      </c>
      <c r="C2945">
        <v>71113</v>
      </c>
      <c r="D2945">
        <v>82325</v>
      </c>
      <c r="E2945">
        <v>135436668</v>
      </c>
      <c r="F2945">
        <v>102126905</v>
      </c>
      <c r="G2945">
        <v>237563573</v>
      </c>
      <c r="H2945">
        <v>50651</v>
      </c>
      <c r="I2945">
        <v>12206</v>
      </c>
      <c r="J2945">
        <v>62857</v>
      </c>
      <c r="K2945" t="b">
        <f>TrafficData[[#This Row],[disposedChallan]]+TrafficData[[#This Row],[pendingChallan]]=TrafficData[[#This Row],[totalChallan]]</f>
        <v>1</v>
      </c>
      <c r="L2945" t="b">
        <f>TrafficData[[#This Row],[pendingAmount]]+TrafficData[[#This Row],[disposedAmount]]=TrafficData[[#This Row],[totalAmount]]</f>
        <v>1</v>
      </c>
      <c r="M2945" t="b">
        <f>TrafficData[[#This Row],[pendingCourt]]+TrafficData[[#This Row],[disposedCourt]]=TrafficData[[#This Row],[totalCourt]]</f>
        <v>1</v>
      </c>
      <c r="N2945" t="b">
        <f>AND(TrafficData[[#This Row],[disposedChallan]]&lt;=TrafficData[[#This Row],[totalChallan]],TrafficData[[#This Row],[pendingChallan]]&lt;=TrafficData[[#This Row],[totalChallan]])</f>
        <v>1</v>
      </c>
      <c r="O2945" t="b">
        <f>AND(TrafficData[[#This Row],[pendingAmount]]&lt;=TrafficData[[#This Row],[totalAmount]],TrafficData[[#This Row],[disposedAmount]]&lt;=TrafficData[[#This Row],[totalAmount]])</f>
        <v>1</v>
      </c>
      <c r="P2945" t="b">
        <f>AND(TrafficData[[#This Row],[pendingCourt]]&lt;=TrafficData[[#This Row],[totalCourt]],TrafficData[[#This Row],[disposedCourt]]&lt;=TrafficData[[#This Row],[totalCourt]])</f>
        <v>1</v>
      </c>
    </row>
    <row r="2946" spans="1:16">
      <c r="A2946" s="1">
        <v>44950</v>
      </c>
      <c r="B2946">
        <v>148993</v>
      </c>
      <c r="C2946">
        <v>68380</v>
      </c>
      <c r="D2946">
        <v>80613</v>
      </c>
      <c r="E2946">
        <v>142912630</v>
      </c>
      <c r="F2946">
        <v>113277208</v>
      </c>
      <c r="G2946">
        <v>256189838</v>
      </c>
      <c r="H2946">
        <v>51290</v>
      </c>
      <c r="I2946">
        <v>12149</v>
      </c>
      <c r="J2946">
        <v>63439</v>
      </c>
      <c r="K2946" t="b">
        <f>TrafficData[[#This Row],[disposedChallan]]+TrafficData[[#This Row],[pendingChallan]]=TrafficData[[#This Row],[totalChallan]]</f>
        <v>1</v>
      </c>
      <c r="L2946" t="b">
        <f>TrafficData[[#This Row],[pendingAmount]]+TrafficData[[#This Row],[disposedAmount]]=TrafficData[[#This Row],[totalAmount]]</f>
        <v>1</v>
      </c>
      <c r="M2946" t="b">
        <f>TrafficData[[#This Row],[pendingCourt]]+TrafficData[[#This Row],[disposedCourt]]=TrafficData[[#This Row],[totalCourt]]</f>
        <v>1</v>
      </c>
      <c r="N2946" t="b">
        <f>AND(TrafficData[[#This Row],[disposedChallan]]&lt;=TrafficData[[#This Row],[totalChallan]],TrafficData[[#This Row],[pendingChallan]]&lt;=TrafficData[[#This Row],[totalChallan]])</f>
        <v>1</v>
      </c>
      <c r="O2946" t="b">
        <f>AND(TrafficData[[#This Row],[pendingAmount]]&lt;=TrafficData[[#This Row],[totalAmount]],TrafficData[[#This Row],[disposedAmount]]&lt;=TrafficData[[#This Row],[totalAmount]])</f>
        <v>1</v>
      </c>
      <c r="P2946" t="b">
        <f>AND(TrafficData[[#This Row],[pendingCourt]]&lt;=TrafficData[[#This Row],[totalCourt]],TrafficData[[#This Row],[disposedCourt]]&lt;=TrafficData[[#This Row],[totalCourt]])</f>
        <v>1</v>
      </c>
    </row>
    <row r="2947" spans="1:16">
      <c r="A2947" s="1">
        <v>44951</v>
      </c>
      <c r="B2947">
        <v>139872</v>
      </c>
      <c r="C2947">
        <v>68102</v>
      </c>
      <c r="D2947">
        <v>71770</v>
      </c>
      <c r="E2947">
        <v>125565039</v>
      </c>
      <c r="F2947">
        <v>108158351</v>
      </c>
      <c r="G2947">
        <v>233723390</v>
      </c>
      <c r="H2947">
        <v>44621</v>
      </c>
      <c r="I2947">
        <v>11176</v>
      </c>
      <c r="J2947">
        <v>55797</v>
      </c>
      <c r="K2947" t="b">
        <f>TrafficData[[#This Row],[disposedChallan]]+TrafficData[[#This Row],[pendingChallan]]=TrafficData[[#This Row],[totalChallan]]</f>
        <v>1</v>
      </c>
      <c r="L2947" t="b">
        <f>TrafficData[[#This Row],[pendingAmount]]+TrafficData[[#This Row],[disposedAmount]]=TrafficData[[#This Row],[totalAmount]]</f>
        <v>1</v>
      </c>
      <c r="M2947" t="b">
        <f>TrafficData[[#This Row],[pendingCourt]]+TrafficData[[#This Row],[disposedCourt]]=TrafficData[[#This Row],[totalCourt]]</f>
        <v>1</v>
      </c>
      <c r="N2947" t="b">
        <f>AND(TrafficData[[#This Row],[disposedChallan]]&lt;=TrafficData[[#This Row],[totalChallan]],TrafficData[[#This Row],[pendingChallan]]&lt;=TrafficData[[#This Row],[totalChallan]])</f>
        <v>1</v>
      </c>
      <c r="O2947" t="b">
        <f>AND(TrafficData[[#This Row],[pendingAmount]]&lt;=TrafficData[[#This Row],[totalAmount]],TrafficData[[#This Row],[disposedAmount]]&lt;=TrafficData[[#This Row],[totalAmount]])</f>
        <v>1</v>
      </c>
      <c r="P2947" t="b">
        <f>AND(TrafficData[[#This Row],[pendingCourt]]&lt;=TrafficData[[#This Row],[totalCourt]],TrafficData[[#This Row],[disposedCourt]]&lt;=TrafficData[[#This Row],[totalCourt]])</f>
        <v>1</v>
      </c>
    </row>
    <row r="2948" spans="1:16">
      <c r="A2948" s="1">
        <v>44952</v>
      </c>
      <c r="B2948">
        <v>90378</v>
      </c>
      <c r="C2948">
        <v>42585</v>
      </c>
      <c r="D2948">
        <v>47793</v>
      </c>
      <c r="E2948">
        <v>64794675</v>
      </c>
      <c r="F2948">
        <v>51514042</v>
      </c>
      <c r="G2948">
        <v>116308717</v>
      </c>
      <c r="H2948">
        <v>25154</v>
      </c>
      <c r="I2948">
        <v>6223</v>
      </c>
      <c r="J2948">
        <v>31377</v>
      </c>
      <c r="K2948" t="b">
        <f>TrafficData[[#This Row],[disposedChallan]]+TrafficData[[#This Row],[pendingChallan]]=TrafficData[[#This Row],[totalChallan]]</f>
        <v>1</v>
      </c>
      <c r="L2948" t="b">
        <f>TrafficData[[#This Row],[pendingAmount]]+TrafficData[[#This Row],[disposedAmount]]=TrafficData[[#This Row],[totalAmount]]</f>
        <v>1</v>
      </c>
      <c r="M2948" t="b">
        <f>TrafficData[[#This Row],[pendingCourt]]+TrafficData[[#This Row],[disposedCourt]]=TrafficData[[#This Row],[totalCourt]]</f>
        <v>1</v>
      </c>
      <c r="N2948" t="b">
        <f>AND(TrafficData[[#This Row],[disposedChallan]]&lt;=TrafficData[[#This Row],[totalChallan]],TrafficData[[#This Row],[pendingChallan]]&lt;=TrafficData[[#This Row],[totalChallan]])</f>
        <v>1</v>
      </c>
      <c r="O2948" t="b">
        <f>AND(TrafficData[[#This Row],[pendingAmount]]&lt;=TrafficData[[#This Row],[totalAmount]],TrafficData[[#This Row],[disposedAmount]]&lt;=TrafficData[[#This Row],[totalAmount]])</f>
        <v>1</v>
      </c>
      <c r="P2948" t="b">
        <f>AND(TrafficData[[#This Row],[pendingCourt]]&lt;=TrafficData[[#This Row],[totalCourt]],TrafficData[[#This Row],[disposedCourt]]&lt;=TrafficData[[#This Row],[totalCourt]])</f>
        <v>1</v>
      </c>
    </row>
    <row r="2949" spans="1:16">
      <c r="A2949" s="1">
        <v>44953</v>
      </c>
      <c r="B2949">
        <v>151453</v>
      </c>
      <c r="C2949">
        <v>70629</v>
      </c>
      <c r="D2949">
        <v>80824</v>
      </c>
      <c r="E2949">
        <v>136171151</v>
      </c>
      <c r="F2949">
        <v>98200403</v>
      </c>
      <c r="G2949">
        <v>234371554</v>
      </c>
      <c r="H2949">
        <v>49290</v>
      </c>
      <c r="I2949">
        <v>12060</v>
      </c>
      <c r="J2949">
        <v>61350</v>
      </c>
      <c r="K2949" t="b">
        <f>TrafficData[[#This Row],[disposedChallan]]+TrafficData[[#This Row],[pendingChallan]]=TrafficData[[#This Row],[totalChallan]]</f>
        <v>1</v>
      </c>
      <c r="L2949" t="b">
        <f>TrafficData[[#This Row],[pendingAmount]]+TrafficData[[#This Row],[disposedAmount]]=TrafficData[[#This Row],[totalAmount]]</f>
        <v>1</v>
      </c>
      <c r="M2949" t="b">
        <f>TrafficData[[#This Row],[pendingCourt]]+TrafficData[[#This Row],[disposedCourt]]=TrafficData[[#This Row],[totalCourt]]</f>
        <v>1</v>
      </c>
      <c r="N2949" t="b">
        <f>AND(TrafficData[[#This Row],[disposedChallan]]&lt;=TrafficData[[#This Row],[totalChallan]],TrafficData[[#This Row],[pendingChallan]]&lt;=TrafficData[[#This Row],[totalChallan]])</f>
        <v>1</v>
      </c>
      <c r="O2949" t="b">
        <f>AND(TrafficData[[#This Row],[pendingAmount]]&lt;=TrafficData[[#This Row],[totalAmount]],TrafficData[[#This Row],[disposedAmount]]&lt;=TrafficData[[#This Row],[totalAmount]])</f>
        <v>1</v>
      </c>
      <c r="P2949" t="b">
        <f>AND(TrafficData[[#This Row],[pendingCourt]]&lt;=TrafficData[[#This Row],[totalCourt]],TrafficData[[#This Row],[disposedCourt]]&lt;=TrafficData[[#This Row],[totalCourt]])</f>
        <v>1</v>
      </c>
    </row>
    <row r="2950" spans="1:16">
      <c r="A2950" s="1">
        <v>44954</v>
      </c>
      <c r="B2950">
        <v>157262</v>
      </c>
      <c r="C2950">
        <v>73902</v>
      </c>
      <c r="D2950">
        <v>83360</v>
      </c>
      <c r="E2950">
        <v>133841597</v>
      </c>
      <c r="F2950">
        <v>103884967</v>
      </c>
      <c r="G2950">
        <v>237726564</v>
      </c>
      <c r="H2950">
        <v>48741</v>
      </c>
      <c r="I2950">
        <v>12690</v>
      </c>
      <c r="J2950">
        <v>61431</v>
      </c>
      <c r="K2950" t="b">
        <f>TrafficData[[#This Row],[disposedChallan]]+TrafficData[[#This Row],[pendingChallan]]=TrafficData[[#This Row],[totalChallan]]</f>
        <v>1</v>
      </c>
      <c r="L2950" t="b">
        <f>TrafficData[[#This Row],[pendingAmount]]+TrafficData[[#This Row],[disposedAmount]]=TrafficData[[#This Row],[totalAmount]]</f>
        <v>1</v>
      </c>
      <c r="M2950" t="b">
        <f>TrafficData[[#This Row],[pendingCourt]]+TrafficData[[#This Row],[disposedCourt]]=TrafficData[[#This Row],[totalCourt]]</f>
        <v>1</v>
      </c>
      <c r="N2950" t="b">
        <f>AND(TrafficData[[#This Row],[disposedChallan]]&lt;=TrafficData[[#This Row],[totalChallan]],TrafficData[[#This Row],[pendingChallan]]&lt;=TrafficData[[#This Row],[totalChallan]])</f>
        <v>1</v>
      </c>
      <c r="O2950" t="b">
        <f>AND(TrafficData[[#This Row],[pendingAmount]]&lt;=TrafficData[[#This Row],[totalAmount]],TrafficData[[#This Row],[disposedAmount]]&lt;=TrafficData[[#This Row],[totalAmount]])</f>
        <v>1</v>
      </c>
      <c r="P2950" t="b">
        <f>AND(TrafficData[[#This Row],[pendingCourt]]&lt;=TrafficData[[#This Row],[totalCourt]],TrafficData[[#This Row],[disposedCourt]]&lt;=TrafficData[[#This Row],[totalCourt]])</f>
        <v>1</v>
      </c>
    </row>
    <row r="2951" spans="1:16">
      <c r="A2951" s="1">
        <v>44955</v>
      </c>
      <c r="B2951">
        <v>131612</v>
      </c>
      <c r="C2951">
        <v>57919</v>
      </c>
      <c r="D2951">
        <v>73693</v>
      </c>
      <c r="E2951">
        <v>114369428</v>
      </c>
      <c r="F2951">
        <v>75910819</v>
      </c>
      <c r="G2951">
        <v>190280247</v>
      </c>
      <c r="H2951">
        <v>39721</v>
      </c>
      <c r="I2951">
        <v>9658</v>
      </c>
      <c r="J2951">
        <v>49379</v>
      </c>
      <c r="K2951" t="b">
        <f>TrafficData[[#This Row],[disposedChallan]]+TrafficData[[#This Row],[pendingChallan]]=TrafficData[[#This Row],[totalChallan]]</f>
        <v>1</v>
      </c>
      <c r="L2951" t="b">
        <f>TrafficData[[#This Row],[pendingAmount]]+TrafficData[[#This Row],[disposedAmount]]=TrafficData[[#This Row],[totalAmount]]</f>
        <v>1</v>
      </c>
      <c r="M2951" t="b">
        <f>TrafficData[[#This Row],[pendingCourt]]+TrafficData[[#This Row],[disposedCourt]]=TrafficData[[#This Row],[totalCourt]]</f>
        <v>1</v>
      </c>
      <c r="N2951" t="b">
        <f>AND(TrafficData[[#This Row],[disposedChallan]]&lt;=TrafficData[[#This Row],[totalChallan]],TrafficData[[#This Row],[pendingChallan]]&lt;=TrafficData[[#This Row],[totalChallan]])</f>
        <v>1</v>
      </c>
      <c r="O2951" t="b">
        <f>AND(TrafficData[[#This Row],[pendingAmount]]&lt;=TrafficData[[#This Row],[totalAmount]],TrafficData[[#This Row],[disposedAmount]]&lt;=TrafficData[[#This Row],[totalAmount]])</f>
        <v>1</v>
      </c>
      <c r="P2951" t="b">
        <f>AND(TrafficData[[#This Row],[pendingCourt]]&lt;=TrafficData[[#This Row],[totalCourt]],TrafficData[[#This Row],[disposedCourt]]&lt;=TrafficData[[#This Row],[totalCourt]])</f>
        <v>1</v>
      </c>
    </row>
    <row r="2952" spans="1:16">
      <c r="A2952" s="1">
        <v>44956</v>
      </c>
      <c r="B2952">
        <v>151559</v>
      </c>
      <c r="C2952">
        <v>67843</v>
      </c>
      <c r="D2952">
        <v>83716</v>
      </c>
      <c r="E2952">
        <v>138814352</v>
      </c>
      <c r="F2952">
        <v>97078847</v>
      </c>
      <c r="G2952">
        <v>235893199</v>
      </c>
      <c r="H2952">
        <v>47340</v>
      </c>
      <c r="I2952">
        <v>11626</v>
      </c>
      <c r="J2952">
        <v>58966</v>
      </c>
      <c r="K2952" t="b">
        <f>TrafficData[[#This Row],[disposedChallan]]+TrafficData[[#This Row],[pendingChallan]]=TrafficData[[#This Row],[totalChallan]]</f>
        <v>1</v>
      </c>
      <c r="L2952" t="b">
        <f>TrafficData[[#This Row],[pendingAmount]]+TrafficData[[#This Row],[disposedAmount]]=TrafficData[[#This Row],[totalAmount]]</f>
        <v>1</v>
      </c>
      <c r="M2952" t="b">
        <f>TrafficData[[#This Row],[pendingCourt]]+TrafficData[[#This Row],[disposedCourt]]=TrafficData[[#This Row],[totalCourt]]</f>
        <v>1</v>
      </c>
      <c r="N2952" t="b">
        <f>AND(TrafficData[[#This Row],[disposedChallan]]&lt;=TrafficData[[#This Row],[totalChallan]],TrafficData[[#This Row],[pendingChallan]]&lt;=TrafficData[[#This Row],[totalChallan]])</f>
        <v>1</v>
      </c>
      <c r="O2952" t="b">
        <f>AND(TrafficData[[#This Row],[pendingAmount]]&lt;=TrafficData[[#This Row],[totalAmount]],TrafficData[[#This Row],[disposedAmount]]&lt;=TrafficData[[#This Row],[totalAmount]])</f>
        <v>1</v>
      </c>
      <c r="P2952" t="b">
        <f>AND(TrafficData[[#This Row],[pendingCourt]]&lt;=TrafficData[[#This Row],[totalCourt]],TrafficData[[#This Row],[disposedCourt]]&lt;=TrafficData[[#This Row],[totalCourt]])</f>
        <v>1</v>
      </c>
    </row>
    <row r="2953" spans="1:16">
      <c r="A2953" s="1">
        <v>44957</v>
      </c>
      <c r="B2953">
        <v>166296</v>
      </c>
      <c r="C2953">
        <v>72924</v>
      </c>
      <c r="D2953">
        <v>93372</v>
      </c>
      <c r="E2953">
        <v>154784159</v>
      </c>
      <c r="F2953">
        <v>107184435</v>
      </c>
      <c r="G2953">
        <v>261968594</v>
      </c>
      <c r="H2953">
        <v>61198</v>
      </c>
      <c r="I2953">
        <v>14107</v>
      </c>
      <c r="J2953">
        <v>75305</v>
      </c>
      <c r="K2953" t="b">
        <f>TrafficData[[#This Row],[disposedChallan]]+TrafficData[[#This Row],[pendingChallan]]=TrafficData[[#This Row],[totalChallan]]</f>
        <v>1</v>
      </c>
      <c r="L2953" t="b">
        <f>TrafficData[[#This Row],[pendingAmount]]+TrafficData[[#This Row],[disposedAmount]]=TrafficData[[#This Row],[totalAmount]]</f>
        <v>1</v>
      </c>
      <c r="M2953" t="b">
        <f>TrafficData[[#This Row],[pendingCourt]]+TrafficData[[#This Row],[disposedCourt]]=TrafficData[[#This Row],[totalCourt]]</f>
        <v>1</v>
      </c>
      <c r="N2953" t="b">
        <f>AND(TrafficData[[#This Row],[disposedChallan]]&lt;=TrafficData[[#This Row],[totalChallan]],TrafficData[[#This Row],[pendingChallan]]&lt;=TrafficData[[#This Row],[totalChallan]])</f>
        <v>1</v>
      </c>
      <c r="O2953" t="b">
        <f>AND(TrafficData[[#This Row],[pendingAmount]]&lt;=TrafficData[[#This Row],[totalAmount]],TrafficData[[#This Row],[disposedAmount]]&lt;=TrafficData[[#This Row],[totalAmount]])</f>
        <v>1</v>
      </c>
      <c r="P2953" t="b">
        <f>AND(TrafficData[[#This Row],[pendingCourt]]&lt;=TrafficData[[#This Row],[totalCourt]],TrafficData[[#This Row],[disposedCourt]]&lt;=TrafficData[[#This Row],[totalCourt]])</f>
        <v>1</v>
      </c>
    </row>
    <row r="2954" spans="1:16">
      <c r="A2954" s="1">
        <v>44958</v>
      </c>
      <c r="B2954">
        <v>163027</v>
      </c>
      <c r="C2954">
        <v>78301</v>
      </c>
      <c r="D2954">
        <v>84726</v>
      </c>
      <c r="E2954">
        <v>152610185</v>
      </c>
      <c r="F2954">
        <v>135529267</v>
      </c>
      <c r="G2954">
        <v>288139452</v>
      </c>
      <c r="H2954">
        <v>56409</v>
      </c>
      <c r="I2954">
        <v>14034</v>
      </c>
      <c r="J2954">
        <v>70443</v>
      </c>
      <c r="K2954" t="b">
        <f>TrafficData[[#This Row],[disposedChallan]]+TrafficData[[#This Row],[pendingChallan]]=TrafficData[[#This Row],[totalChallan]]</f>
        <v>1</v>
      </c>
      <c r="L2954" t="b">
        <f>TrafficData[[#This Row],[pendingAmount]]+TrafficData[[#This Row],[disposedAmount]]=TrafficData[[#This Row],[totalAmount]]</f>
        <v>1</v>
      </c>
      <c r="M2954" t="b">
        <f>TrafficData[[#This Row],[pendingCourt]]+TrafficData[[#This Row],[disposedCourt]]=TrafficData[[#This Row],[totalCourt]]</f>
        <v>1</v>
      </c>
      <c r="N2954" t="b">
        <f>AND(TrafficData[[#This Row],[disposedChallan]]&lt;=TrafficData[[#This Row],[totalChallan]],TrafficData[[#This Row],[pendingChallan]]&lt;=TrafficData[[#This Row],[totalChallan]])</f>
        <v>1</v>
      </c>
      <c r="O2954" t="b">
        <f>AND(TrafficData[[#This Row],[pendingAmount]]&lt;=TrafficData[[#This Row],[totalAmount]],TrafficData[[#This Row],[disposedAmount]]&lt;=TrafficData[[#This Row],[totalAmount]])</f>
        <v>1</v>
      </c>
      <c r="P2954" t="b">
        <f>AND(TrafficData[[#This Row],[pendingCourt]]&lt;=TrafficData[[#This Row],[totalCourt]],TrafficData[[#This Row],[disposedCourt]]&lt;=TrafficData[[#This Row],[totalCourt]])</f>
        <v>1</v>
      </c>
    </row>
    <row r="2955" spans="1:16">
      <c r="A2955" s="1">
        <v>44959</v>
      </c>
      <c r="B2955">
        <v>165127</v>
      </c>
      <c r="C2955">
        <v>80573</v>
      </c>
      <c r="D2955">
        <v>84554</v>
      </c>
      <c r="E2955">
        <v>157808025</v>
      </c>
      <c r="F2955">
        <v>147370250</v>
      </c>
      <c r="G2955">
        <v>305178275</v>
      </c>
      <c r="H2955">
        <v>57678</v>
      </c>
      <c r="I2955">
        <v>14318</v>
      </c>
      <c r="J2955">
        <v>71996</v>
      </c>
      <c r="K2955" t="b">
        <f>TrafficData[[#This Row],[disposedChallan]]+TrafficData[[#This Row],[pendingChallan]]=TrafficData[[#This Row],[totalChallan]]</f>
        <v>1</v>
      </c>
      <c r="L2955" t="b">
        <f>TrafficData[[#This Row],[pendingAmount]]+TrafficData[[#This Row],[disposedAmount]]=TrafficData[[#This Row],[totalAmount]]</f>
        <v>1</v>
      </c>
      <c r="M2955" t="b">
        <f>TrafficData[[#This Row],[pendingCourt]]+TrafficData[[#This Row],[disposedCourt]]=TrafficData[[#This Row],[totalCourt]]</f>
        <v>1</v>
      </c>
      <c r="N2955" t="b">
        <f>AND(TrafficData[[#This Row],[disposedChallan]]&lt;=TrafficData[[#This Row],[totalChallan]],TrafficData[[#This Row],[pendingChallan]]&lt;=TrafficData[[#This Row],[totalChallan]])</f>
        <v>1</v>
      </c>
      <c r="O2955" t="b">
        <f>AND(TrafficData[[#This Row],[pendingAmount]]&lt;=TrafficData[[#This Row],[totalAmount]],TrafficData[[#This Row],[disposedAmount]]&lt;=TrafficData[[#This Row],[totalAmount]])</f>
        <v>1</v>
      </c>
      <c r="P2955" t="b">
        <f>AND(TrafficData[[#This Row],[pendingCourt]]&lt;=TrafficData[[#This Row],[totalCourt]],TrafficData[[#This Row],[disposedCourt]]&lt;=TrafficData[[#This Row],[totalCourt]])</f>
        <v>1</v>
      </c>
    </row>
    <row r="2956" spans="1:16">
      <c r="A2956" s="1">
        <v>44960</v>
      </c>
      <c r="B2956">
        <v>167240</v>
      </c>
      <c r="C2956">
        <v>79013</v>
      </c>
      <c r="D2956">
        <v>88227</v>
      </c>
      <c r="E2956">
        <v>161735836</v>
      </c>
      <c r="F2956">
        <v>140461470</v>
      </c>
      <c r="G2956">
        <v>302197306</v>
      </c>
      <c r="H2956">
        <v>59414</v>
      </c>
      <c r="I2956">
        <v>14499</v>
      </c>
      <c r="J2956">
        <v>73913</v>
      </c>
      <c r="K2956" t="b">
        <f>TrafficData[[#This Row],[disposedChallan]]+TrafficData[[#This Row],[pendingChallan]]=TrafficData[[#This Row],[totalChallan]]</f>
        <v>1</v>
      </c>
      <c r="L2956" t="b">
        <f>TrafficData[[#This Row],[pendingAmount]]+TrafficData[[#This Row],[disposedAmount]]=TrafficData[[#This Row],[totalAmount]]</f>
        <v>1</v>
      </c>
      <c r="M2956" t="b">
        <f>TrafficData[[#This Row],[pendingCourt]]+TrafficData[[#This Row],[disposedCourt]]=TrafficData[[#This Row],[totalCourt]]</f>
        <v>1</v>
      </c>
      <c r="N2956" t="b">
        <f>AND(TrafficData[[#This Row],[disposedChallan]]&lt;=TrafficData[[#This Row],[totalChallan]],TrafficData[[#This Row],[pendingChallan]]&lt;=TrafficData[[#This Row],[totalChallan]])</f>
        <v>1</v>
      </c>
      <c r="O2956" t="b">
        <f>AND(TrafficData[[#This Row],[pendingAmount]]&lt;=TrafficData[[#This Row],[totalAmount]],TrafficData[[#This Row],[disposedAmount]]&lt;=TrafficData[[#This Row],[totalAmount]])</f>
        <v>1</v>
      </c>
      <c r="P2956" t="b">
        <f>AND(TrafficData[[#This Row],[pendingCourt]]&lt;=TrafficData[[#This Row],[totalCourt]],TrafficData[[#This Row],[disposedCourt]]&lt;=TrafficData[[#This Row],[totalCourt]])</f>
        <v>1</v>
      </c>
    </row>
    <row r="2957" spans="1:16">
      <c r="A2957" s="1">
        <v>44961</v>
      </c>
      <c r="B2957">
        <v>163901</v>
      </c>
      <c r="C2957">
        <v>80804</v>
      </c>
      <c r="D2957">
        <v>83097</v>
      </c>
      <c r="E2957">
        <v>150245802</v>
      </c>
      <c r="F2957">
        <v>129791285</v>
      </c>
      <c r="G2957">
        <v>280037087</v>
      </c>
      <c r="H2957">
        <v>52226</v>
      </c>
      <c r="I2957">
        <v>13522</v>
      </c>
      <c r="J2957">
        <v>65748</v>
      </c>
      <c r="K2957" t="b">
        <f>TrafficData[[#This Row],[disposedChallan]]+TrafficData[[#This Row],[pendingChallan]]=TrafficData[[#This Row],[totalChallan]]</f>
        <v>1</v>
      </c>
      <c r="L2957" t="b">
        <f>TrafficData[[#This Row],[pendingAmount]]+TrafficData[[#This Row],[disposedAmount]]=TrafficData[[#This Row],[totalAmount]]</f>
        <v>1</v>
      </c>
      <c r="M2957" t="b">
        <f>TrafficData[[#This Row],[pendingCourt]]+TrafficData[[#This Row],[disposedCourt]]=TrafficData[[#This Row],[totalCourt]]</f>
        <v>1</v>
      </c>
      <c r="N2957" t="b">
        <f>AND(TrafficData[[#This Row],[disposedChallan]]&lt;=TrafficData[[#This Row],[totalChallan]],TrafficData[[#This Row],[pendingChallan]]&lt;=TrafficData[[#This Row],[totalChallan]])</f>
        <v>1</v>
      </c>
      <c r="O2957" t="b">
        <f>AND(TrafficData[[#This Row],[pendingAmount]]&lt;=TrafficData[[#This Row],[totalAmount]],TrafficData[[#This Row],[disposedAmount]]&lt;=TrafficData[[#This Row],[totalAmount]])</f>
        <v>1</v>
      </c>
      <c r="P2957" t="b">
        <f>AND(TrafficData[[#This Row],[pendingCourt]]&lt;=TrafficData[[#This Row],[totalCourt]],TrafficData[[#This Row],[disposedCourt]]&lt;=TrafficData[[#This Row],[totalCourt]])</f>
        <v>1</v>
      </c>
    </row>
    <row r="2958" spans="1:16">
      <c r="A2958" s="1">
        <v>44962</v>
      </c>
      <c r="B2958">
        <v>143448</v>
      </c>
      <c r="C2958">
        <v>66234</v>
      </c>
      <c r="D2958">
        <v>77214</v>
      </c>
      <c r="E2958">
        <v>136219688</v>
      </c>
      <c r="F2958">
        <v>90720503</v>
      </c>
      <c r="G2958">
        <v>226940191</v>
      </c>
      <c r="H2958">
        <v>52864</v>
      </c>
      <c r="I2958">
        <v>12799</v>
      </c>
      <c r="J2958">
        <v>65663</v>
      </c>
      <c r="K2958" t="b">
        <f>TrafficData[[#This Row],[disposedChallan]]+TrafficData[[#This Row],[pendingChallan]]=TrafficData[[#This Row],[totalChallan]]</f>
        <v>1</v>
      </c>
      <c r="L2958" t="b">
        <f>TrafficData[[#This Row],[pendingAmount]]+TrafficData[[#This Row],[disposedAmount]]=TrafficData[[#This Row],[totalAmount]]</f>
        <v>1</v>
      </c>
      <c r="M2958" t="b">
        <f>TrafficData[[#This Row],[pendingCourt]]+TrafficData[[#This Row],[disposedCourt]]=TrafficData[[#This Row],[totalCourt]]</f>
        <v>1</v>
      </c>
      <c r="N2958" t="b">
        <f>AND(TrafficData[[#This Row],[disposedChallan]]&lt;=TrafficData[[#This Row],[totalChallan]],TrafficData[[#This Row],[pendingChallan]]&lt;=TrafficData[[#This Row],[totalChallan]])</f>
        <v>1</v>
      </c>
      <c r="O2958" t="b">
        <f>AND(TrafficData[[#This Row],[pendingAmount]]&lt;=TrafficData[[#This Row],[totalAmount]],TrafficData[[#This Row],[disposedAmount]]&lt;=TrafficData[[#This Row],[totalAmount]])</f>
        <v>1</v>
      </c>
      <c r="P2958" t="b">
        <f>AND(TrafficData[[#This Row],[pendingCourt]]&lt;=TrafficData[[#This Row],[totalCourt]],TrafficData[[#This Row],[disposedCourt]]&lt;=TrafficData[[#This Row],[totalCourt]])</f>
        <v>1</v>
      </c>
    </row>
    <row r="2959" spans="1:16">
      <c r="A2959" s="1">
        <v>44963</v>
      </c>
      <c r="B2959">
        <v>164430</v>
      </c>
      <c r="C2959">
        <v>75863</v>
      </c>
      <c r="D2959">
        <v>88567</v>
      </c>
      <c r="E2959">
        <v>156666342</v>
      </c>
      <c r="F2959">
        <v>122422354</v>
      </c>
      <c r="G2959">
        <v>279088696</v>
      </c>
      <c r="H2959">
        <v>58982</v>
      </c>
      <c r="I2959">
        <v>13824</v>
      </c>
      <c r="J2959">
        <v>72806</v>
      </c>
      <c r="K2959" t="b">
        <f>TrafficData[[#This Row],[disposedChallan]]+TrafficData[[#This Row],[pendingChallan]]=TrafficData[[#This Row],[totalChallan]]</f>
        <v>1</v>
      </c>
      <c r="L2959" t="b">
        <f>TrafficData[[#This Row],[pendingAmount]]+TrafficData[[#This Row],[disposedAmount]]=TrafficData[[#This Row],[totalAmount]]</f>
        <v>1</v>
      </c>
      <c r="M2959" t="b">
        <f>TrafficData[[#This Row],[pendingCourt]]+TrafficData[[#This Row],[disposedCourt]]=TrafficData[[#This Row],[totalCourt]]</f>
        <v>1</v>
      </c>
      <c r="N2959" t="b">
        <f>AND(TrafficData[[#This Row],[disposedChallan]]&lt;=TrafficData[[#This Row],[totalChallan]],TrafficData[[#This Row],[pendingChallan]]&lt;=TrafficData[[#This Row],[totalChallan]])</f>
        <v>1</v>
      </c>
      <c r="O2959" t="b">
        <f>AND(TrafficData[[#This Row],[pendingAmount]]&lt;=TrafficData[[#This Row],[totalAmount]],TrafficData[[#This Row],[disposedAmount]]&lt;=TrafficData[[#This Row],[totalAmount]])</f>
        <v>1</v>
      </c>
      <c r="P2959" t="b">
        <f>AND(TrafficData[[#This Row],[pendingCourt]]&lt;=TrafficData[[#This Row],[totalCourt]],TrafficData[[#This Row],[disposedCourt]]&lt;=TrafficData[[#This Row],[totalCourt]])</f>
        <v>1</v>
      </c>
    </row>
    <row r="2960" spans="1:16">
      <c r="A2960" s="1">
        <v>44964</v>
      </c>
      <c r="B2960">
        <v>169092</v>
      </c>
      <c r="C2960">
        <v>78619</v>
      </c>
      <c r="D2960">
        <v>90473</v>
      </c>
      <c r="E2960">
        <v>171061655</v>
      </c>
      <c r="F2960">
        <v>134490163</v>
      </c>
      <c r="G2960">
        <v>305551818</v>
      </c>
      <c r="H2960">
        <v>58400</v>
      </c>
      <c r="I2960">
        <v>14340</v>
      </c>
      <c r="J2960">
        <v>72740</v>
      </c>
      <c r="K2960" t="b">
        <f>TrafficData[[#This Row],[disposedChallan]]+TrafficData[[#This Row],[pendingChallan]]=TrafficData[[#This Row],[totalChallan]]</f>
        <v>1</v>
      </c>
      <c r="L2960" t="b">
        <f>TrafficData[[#This Row],[pendingAmount]]+TrafficData[[#This Row],[disposedAmount]]=TrafficData[[#This Row],[totalAmount]]</f>
        <v>1</v>
      </c>
      <c r="M2960" t="b">
        <f>TrafficData[[#This Row],[pendingCourt]]+TrafficData[[#This Row],[disposedCourt]]=TrafficData[[#This Row],[totalCourt]]</f>
        <v>1</v>
      </c>
      <c r="N2960" t="b">
        <f>AND(TrafficData[[#This Row],[disposedChallan]]&lt;=TrafficData[[#This Row],[totalChallan]],TrafficData[[#This Row],[pendingChallan]]&lt;=TrafficData[[#This Row],[totalChallan]])</f>
        <v>1</v>
      </c>
      <c r="O2960" t="b">
        <f>AND(TrafficData[[#This Row],[pendingAmount]]&lt;=TrafficData[[#This Row],[totalAmount]],TrafficData[[#This Row],[disposedAmount]]&lt;=TrafficData[[#This Row],[totalAmount]])</f>
        <v>1</v>
      </c>
      <c r="P2960" t="b">
        <f>AND(TrafficData[[#This Row],[pendingCourt]]&lt;=TrafficData[[#This Row],[totalCourt]],TrafficData[[#This Row],[disposedCourt]]&lt;=TrafficData[[#This Row],[totalCourt]])</f>
        <v>1</v>
      </c>
    </row>
    <row r="2961" spans="1:16">
      <c r="A2961" s="1">
        <v>44965</v>
      </c>
      <c r="B2961">
        <v>145740</v>
      </c>
      <c r="C2961">
        <v>66540</v>
      </c>
      <c r="D2961">
        <v>79200</v>
      </c>
      <c r="E2961">
        <v>140234663</v>
      </c>
      <c r="F2961">
        <v>120052769</v>
      </c>
      <c r="G2961">
        <v>260287432</v>
      </c>
      <c r="H2961">
        <v>49080</v>
      </c>
      <c r="I2961">
        <v>11752</v>
      </c>
      <c r="J2961">
        <v>60832</v>
      </c>
      <c r="K2961" t="b">
        <f>TrafficData[[#This Row],[disposedChallan]]+TrafficData[[#This Row],[pendingChallan]]=TrafficData[[#This Row],[totalChallan]]</f>
        <v>1</v>
      </c>
      <c r="L2961" t="b">
        <f>TrafficData[[#This Row],[pendingAmount]]+TrafficData[[#This Row],[disposedAmount]]=TrafficData[[#This Row],[totalAmount]]</f>
        <v>1</v>
      </c>
      <c r="M2961" t="b">
        <f>TrafficData[[#This Row],[pendingCourt]]+TrafficData[[#This Row],[disposedCourt]]=TrafficData[[#This Row],[totalCourt]]</f>
        <v>1</v>
      </c>
      <c r="N2961" t="b">
        <f>AND(TrafficData[[#This Row],[disposedChallan]]&lt;=TrafficData[[#This Row],[totalChallan]],TrafficData[[#This Row],[pendingChallan]]&lt;=TrafficData[[#This Row],[totalChallan]])</f>
        <v>1</v>
      </c>
      <c r="O2961" t="b">
        <f>AND(TrafficData[[#This Row],[pendingAmount]]&lt;=TrafficData[[#This Row],[totalAmount]],TrafficData[[#This Row],[disposedAmount]]&lt;=TrafficData[[#This Row],[totalAmount]])</f>
        <v>1</v>
      </c>
      <c r="P2961" t="b">
        <f>AND(TrafficData[[#This Row],[pendingCourt]]&lt;=TrafficData[[#This Row],[totalCourt]],TrafficData[[#This Row],[disposedCourt]]&lt;=TrafficData[[#This Row],[totalCourt]])</f>
        <v>1</v>
      </c>
    </row>
    <row r="2962" spans="1:16">
      <c r="A2962" s="1">
        <v>44966</v>
      </c>
      <c r="B2962">
        <v>167198</v>
      </c>
      <c r="C2962">
        <v>76164</v>
      </c>
      <c r="D2962">
        <v>91034</v>
      </c>
      <c r="E2962">
        <v>167144641</v>
      </c>
      <c r="F2962">
        <v>135534237</v>
      </c>
      <c r="G2962">
        <v>302678878</v>
      </c>
      <c r="H2962">
        <v>57310</v>
      </c>
      <c r="I2962">
        <v>13715</v>
      </c>
      <c r="J2962">
        <v>71025</v>
      </c>
      <c r="K2962" t="b">
        <f>TrafficData[[#This Row],[disposedChallan]]+TrafficData[[#This Row],[pendingChallan]]=TrafficData[[#This Row],[totalChallan]]</f>
        <v>1</v>
      </c>
      <c r="L2962" t="b">
        <f>TrafficData[[#This Row],[pendingAmount]]+TrafficData[[#This Row],[disposedAmount]]=TrafficData[[#This Row],[totalAmount]]</f>
        <v>1</v>
      </c>
      <c r="M2962" t="b">
        <f>TrafficData[[#This Row],[pendingCourt]]+TrafficData[[#This Row],[disposedCourt]]=TrafficData[[#This Row],[totalCourt]]</f>
        <v>1</v>
      </c>
      <c r="N2962" t="b">
        <f>AND(TrafficData[[#This Row],[disposedChallan]]&lt;=TrafficData[[#This Row],[totalChallan]],TrafficData[[#This Row],[pendingChallan]]&lt;=TrafficData[[#This Row],[totalChallan]])</f>
        <v>1</v>
      </c>
      <c r="O2962" t="b">
        <f>AND(TrafficData[[#This Row],[pendingAmount]]&lt;=TrafficData[[#This Row],[totalAmount]],TrafficData[[#This Row],[disposedAmount]]&lt;=TrafficData[[#This Row],[totalAmount]])</f>
        <v>1</v>
      </c>
      <c r="P2962" t="b">
        <f>AND(TrafficData[[#This Row],[pendingCourt]]&lt;=TrafficData[[#This Row],[totalCourt]],TrafficData[[#This Row],[disposedCourt]]&lt;=TrafficData[[#This Row],[totalCourt]])</f>
        <v>1</v>
      </c>
    </row>
    <row r="2963" spans="1:16">
      <c r="A2963" s="1">
        <v>44967</v>
      </c>
      <c r="B2963">
        <v>154618</v>
      </c>
      <c r="C2963">
        <v>71801</v>
      </c>
      <c r="D2963">
        <v>82817</v>
      </c>
      <c r="E2963">
        <v>148700790</v>
      </c>
      <c r="F2963">
        <v>122949591</v>
      </c>
      <c r="G2963">
        <v>271650381</v>
      </c>
      <c r="H2963">
        <v>52071</v>
      </c>
      <c r="I2963">
        <v>12597</v>
      </c>
      <c r="J2963">
        <v>64668</v>
      </c>
      <c r="K2963" t="b">
        <f>TrafficData[[#This Row],[disposedChallan]]+TrafficData[[#This Row],[pendingChallan]]=TrafficData[[#This Row],[totalChallan]]</f>
        <v>1</v>
      </c>
      <c r="L2963" t="b">
        <f>TrafficData[[#This Row],[pendingAmount]]+TrafficData[[#This Row],[disposedAmount]]=TrafficData[[#This Row],[totalAmount]]</f>
        <v>1</v>
      </c>
      <c r="M2963" t="b">
        <f>TrafficData[[#This Row],[pendingCourt]]+TrafficData[[#This Row],[disposedCourt]]=TrafficData[[#This Row],[totalCourt]]</f>
        <v>1</v>
      </c>
      <c r="N2963" t="b">
        <f>AND(TrafficData[[#This Row],[disposedChallan]]&lt;=TrafficData[[#This Row],[totalChallan]],TrafficData[[#This Row],[pendingChallan]]&lt;=TrafficData[[#This Row],[totalChallan]])</f>
        <v>1</v>
      </c>
      <c r="O2963" t="b">
        <f>AND(TrafficData[[#This Row],[pendingAmount]]&lt;=TrafficData[[#This Row],[totalAmount]],TrafficData[[#This Row],[disposedAmount]]&lt;=TrafficData[[#This Row],[totalAmount]])</f>
        <v>1</v>
      </c>
      <c r="P2963" t="b">
        <f>AND(TrafficData[[#This Row],[pendingCourt]]&lt;=TrafficData[[#This Row],[totalCourt]],TrafficData[[#This Row],[disposedCourt]]&lt;=TrafficData[[#This Row],[totalCourt]])</f>
        <v>1</v>
      </c>
    </row>
    <row r="2964" spans="1:16">
      <c r="A2964" s="1">
        <v>44968</v>
      </c>
      <c r="B2964">
        <v>159587</v>
      </c>
      <c r="C2964">
        <v>73859</v>
      </c>
      <c r="D2964">
        <v>85728</v>
      </c>
      <c r="E2964">
        <v>140700772</v>
      </c>
      <c r="F2964">
        <v>110205067</v>
      </c>
      <c r="G2964">
        <v>250905839</v>
      </c>
      <c r="H2964">
        <v>51387</v>
      </c>
      <c r="I2964">
        <v>12805</v>
      </c>
      <c r="J2964">
        <v>64192</v>
      </c>
      <c r="K2964" t="b">
        <f>TrafficData[[#This Row],[disposedChallan]]+TrafficData[[#This Row],[pendingChallan]]=TrafficData[[#This Row],[totalChallan]]</f>
        <v>1</v>
      </c>
      <c r="L2964" t="b">
        <f>TrafficData[[#This Row],[pendingAmount]]+TrafficData[[#This Row],[disposedAmount]]=TrafficData[[#This Row],[totalAmount]]</f>
        <v>1</v>
      </c>
      <c r="M2964" t="b">
        <f>TrafficData[[#This Row],[pendingCourt]]+TrafficData[[#This Row],[disposedCourt]]=TrafficData[[#This Row],[totalCourt]]</f>
        <v>1</v>
      </c>
      <c r="N2964" t="b">
        <f>AND(TrafficData[[#This Row],[disposedChallan]]&lt;=TrafficData[[#This Row],[totalChallan]],TrafficData[[#This Row],[pendingChallan]]&lt;=TrafficData[[#This Row],[totalChallan]])</f>
        <v>1</v>
      </c>
      <c r="O2964" t="b">
        <f>AND(TrafficData[[#This Row],[pendingAmount]]&lt;=TrafficData[[#This Row],[totalAmount]],TrafficData[[#This Row],[disposedAmount]]&lt;=TrafficData[[#This Row],[totalAmount]])</f>
        <v>1</v>
      </c>
      <c r="P2964" t="b">
        <f>AND(TrafficData[[#This Row],[pendingCourt]]&lt;=TrafficData[[#This Row],[totalCourt]],TrafficData[[#This Row],[disposedCourt]]&lt;=TrafficData[[#This Row],[totalCourt]])</f>
        <v>1</v>
      </c>
    </row>
    <row r="2965" spans="1:16">
      <c r="A2965" s="1">
        <v>44969</v>
      </c>
      <c r="B2965">
        <v>149645</v>
      </c>
      <c r="C2965">
        <v>65667</v>
      </c>
      <c r="D2965">
        <v>83978</v>
      </c>
      <c r="E2965">
        <v>129447863</v>
      </c>
      <c r="F2965">
        <v>85846729</v>
      </c>
      <c r="G2965">
        <v>215294592</v>
      </c>
      <c r="H2965">
        <v>49498</v>
      </c>
      <c r="I2965">
        <v>11649</v>
      </c>
      <c r="J2965">
        <v>61147</v>
      </c>
      <c r="K2965" t="b">
        <f>TrafficData[[#This Row],[disposedChallan]]+TrafficData[[#This Row],[pendingChallan]]=TrafficData[[#This Row],[totalChallan]]</f>
        <v>1</v>
      </c>
      <c r="L2965" t="b">
        <f>TrafficData[[#This Row],[pendingAmount]]+TrafficData[[#This Row],[disposedAmount]]=TrafficData[[#This Row],[totalAmount]]</f>
        <v>1</v>
      </c>
      <c r="M2965" t="b">
        <f>TrafficData[[#This Row],[pendingCourt]]+TrafficData[[#This Row],[disposedCourt]]=TrafficData[[#This Row],[totalCourt]]</f>
        <v>1</v>
      </c>
      <c r="N2965" t="b">
        <f>AND(TrafficData[[#This Row],[disposedChallan]]&lt;=TrafficData[[#This Row],[totalChallan]],TrafficData[[#This Row],[pendingChallan]]&lt;=TrafficData[[#This Row],[totalChallan]])</f>
        <v>1</v>
      </c>
      <c r="O2965" t="b">
        <f>AND(TrafficData[[#This Row],[pendingAmount]]&lt;=TrafficData[[#This Row],[totalAmount]],TrafficData[[#This Row],[disposedAmount]]&lt;=TrafficData[[#This Row],[totalAmount]])</f>
        <v>1</v>
      </c>
      <c r="P2965" t="b">
        <f>AND(TrafficData[[#This Row],[pendingCourt]]&lt;=TrafficData[[#This Row],[totalCourt]],TrafficData[[#This Row],[disposedCourt]]&lt;=TrafficData[[#This Row],[totalCourt]])</f>
        <v>1</v>
      </c>
    </row>
    <row r="2966" spans="1:16">
      <c r="A2966" s="1">
        <v>44970</v>
      </c>
      <c r="B2966">
        <v>168145</v>
      </c>
      <c r="C2966">
        <v>77205</v>
      </c>
      <c r="D2966">
        <v>90940</v>
      </c>
      <c r="E2966">
        <v>162006604</v>
      </c>
      <c r="F2966">
        <v>122325340</v>
      </c>
      <c r="G2966">
        <v>284331944</v>
      </c>
      <c r="H2966">
        <v>54637</v>
      </c>
      <c r="I2966">
        <v>13238</v>
      </c>
      <c r="J2966">
        <v>67875</v>
      </c>
      <c r="K2966" t="b">
        <f>TrafficData[[#This Row],[disposedChallan]]+TrafficData[[#This Row],[pendingChallan]]=TrafficData[[#This Row],[totalChallan]]</f>
        <v>1</v>
      </c>
      <c r="L2966" t="b">
        <f>TrafficData[[#This Row],[pendingAmount]]+TrafficData[[#This Row],[disposedAmount]]=TrafficData[[#This Row],[totalAmount]]</f>
        <v>1</v>
      </c>
      <c r="M2966" t="b">
        <f>TrafficData[[#This Row],[pendingCourt]]+TrafficData[[#This Row],[disposedCourt]]=TrafficData[[#This Row],[totalCourt]]</f>
        <v>1</v>
      </c>
      <c r="N2966" t="b">
        <f>AND(TrafficData[[#This Row],[disposedChallan]]&lt;=TrafficData[[#This Row],[totalChallan]],TrafficData[[#This Row],[pendingChallan]]&lt;=TrafficData[[#This Row],[totalChallan]])</f>
        <v>1</v>
      </c>
      <c r="O2966" t="b">
        <f>AND(TrafficData[[#This Row],[pendingAmount]]&lt;=TrafficData[[#This Row],[totalAmount]],TrafficData[[#This Row],[disposedAmount]]&lt;=TrafficData[[#This Row],[totalAmount]])</f>
        <v>1</v>
      </c>
      <c r="P2966" t="b">
        <f>AND(TrafficData[[#This Row],[pendingCourt]]&lt;=TrafficData[[#This Row],[totalCourt]],TrafficData[[#This Row],[disposedCourt]]&lt;=TrafficData[[#This Row],[totalCourt]])</f>
        <v>1</v>
      </c>
    </row>
    <row r="2967" spans="1:16">
      <c r="A2967" s="1">
        <v>44971</v>
      </c>
      <c r="B2967">
        <v>175755</v>
      </c>
      <c r="C2967">
        <v>78417</v>
      </c>
      <c r="D2967">
        <v>97338</v>
      </c>
      <c r="E2967">
        <v>181050718</v>
      </c>
      <c r="F2967">
        <v>131760277</v>
      </c>
      <c r="G2967">
        <v>312810995</v>
      </c>
      <c r="H2967">
        <v>59922</v>
      </c>
      <c r="I2967">
        <v>14032</v>
      </c>
      <c r="J2967">
        <v>73954</v>
      </c>
      <c r="K2967" t="b">
        <f>TrafficData[[#This Row],[disposedChallan]]+TrafficData[[#This Row],[pendingChallan]]=TrafficData[[#This Row],[totalChallan]]</f>
        <v>1</v>
      </c>
      <c r="L2967" t="b">
        <f>TrafficData[[#This Row],[pendingAmount]]+TrafficData[[#This Row],[disposedAmount]]=TrafficData[[#This Row],[totalAmount]]</f>
        <v>1</v>
      </c>
      <c r="M2967" t="b">
        <f>TrafficData[[#This Row],[pendingCourt]]+TrafficData[[#This Row],[disposedCourt]]=TrafficData[[#This Row],[totalCourt]]</f>
        <v>1</v>
      </c>
      <c r="N2967" t="b">
        <f>AND(TrafficData[[#This Row],[disposedChallan]]&lt;=TrafficData[[#This Row],[totalChallan]],TrafficData[[#This Row],[pendingChallan]]&lt;=TrafficData[[#This Row],[totalChallan]])</f>
        <v>1</v>
      </c>
      <c r="O2967" t="b">
        <f>AND(TrafficData[[#This Row],[pendingAmount]]&lt;=TrafficData[[#This Row],[totalAmount]],TrafficData[[#This Row],[disposedAmount]]&lt;=TrafficData[[#This Row],[totalAmount]])</f>
        <v>1</v>
      </c>
      <c r="P2967" t="b">
        <f>AND(TrafficData[[#This Row],[pendingCourt]]&lt;=TrafficData[[#This Row],[totalCourt]],TrafficData[[#This Row],[disposedCourt]]&lt;=TrafficData[[#This Row],[totalCourt]])</f>
        <v>1</v>
      </c>
    </row>
    <row r="2968" spans="1:16">
      <c r="A2968" s="1">
        <v>44972</v>
      </c>
      <c r="B2968">
        <v>168640</v>
      </c>
      <c r="C2968">
        <v>77474</v>
      </c>
      <c r="D2968">
        <v>91166</v>
      </c>
      <c r="E2968">
        <v>169467675</v>
      </c>
      <c r="F2968">
        <v>132538368</v>
      </c>
      <c r="G2968">
        <v>302006043</v>
      </c>
      <c r="H2968">
        <v>56613</v>
      </c>
      <c r="I2968">
        <v>13328</v>
      </c>
      <c r="J2968">
        <v>69941</v>
      </c>
      <c r="K2968" t="b">
        <f>TrafficData[[#This Row],[disposedChallan]]+TrafficData[[#This Row],[pendingChallan]]=TrafficData[[#This Row],[totalChallan]]</f>
        <v>1</v>
      </c>
      <c r="L2968" t="b">
        <f>TrafficData[[#This Row],[pendingAmount]]+TrafficData[[#This Row],[disposedAmount]]=TrafficData[[#This Row],[totalAmount]]</f>
        <v>1</v>
      </c>
      <c r="M2968" t="b">
        <f>TrafficData[[#This Row],[pendingCourt]]+TrafficData[[#This Row],[disposedCourt]]=TrafficData[[#This Row],[totalCourt]]</f>
        <v>1</v>
      </c>
      <c r="N2968" t="b">
        <f>AND(TrafficData[[#This Row],[disposedChallan]]&lt;=TrafficData[[#This Row],[totalChallan]],TrafficData[[#This Row],[pendingChallan]]&lt;=TrafficData[[#This Row],[totalChallan]])</f>
        <v>1</v>
      </c>
      <c r="O2968" t="b">
        <f>AND(TrafficData[[#This Row],[pendingAmount]]&lt;=TrafficData[[#This Row],[totalAmount]],TrafficData[[#This Row],[disposedAmount]]&lt;=TrafficData[[#This Row],[totalAmount]])</f>
        <v>1</v>
      </c>
      <c r="P2968" t="b">
        <f>AND(TrafficData[[#This Row],[pendingCourt]]&lt;=TrafficData[[#This Row],[totalCourt]],TrafficData[[#This Row],[disposedCourt]]&lt;=TrafficData[[#This Row],[totalCourt]])</f>
        <v>1</v>
      </c>
    </row>
    <row r="2969" spans="1:16">
      <c r="A2969" s="1">
        <v>44973</v>
      </c>
      <c r="B2969">
        <v>166243</v>
      </c>
      <c r="C2969">
        <v>76701</v>
      </c>
      <c r="D2969">
        <v>89542</v>
      </c>
      <c r="E2969">
        <v>171111908</v>
      </c>
      <c r="F2969">
        <v>130804307</v>
      </c>
      <c r="G2969">
        <v>301916215</v>
      </c>
      <c r="H2969">
        <v>55375</v>
      </c>
      <c r="I2969">
        <v>12953</v>
      </c>
      <c r="J2969">
        <v>68328</v>
      </c>
      <c r="K2969" t="b">
        <f>TrafficData[[#This Row],[disposedChallan]]+TrafficData[[#This Row],[pendingChallan]]=TrafficData[[#This Row],[totalChallan]]</f>
        <v>1</v>
      </c>
      <c r="L2969" t="b">
        <f>TrafficData[[#This Row],[pendingAmount]]+TrafficData[[#This Row],[disposedAmount]]=TrafficData[[#This Row],[totalAmount]]</f>
        <v>1</v>
      </c>
      <c r="M2969" t="b">
        <f>TrafficData[[#This Row],[pendingCourt]]+TrafficData[[#This Row],[disposedCourt]]=TrafficData[[#This Row],[totalCourt]]</f>
        <v>1</v>
      </c>
      <c r="N2969" t="b">
        <f>AND(TrafficData[[#This Row],[disposedChallan]]&lt;=TrafficData[[#This Row],[totalChallan]],TrafficData[[#This Row],[pendingChallan]]&lt;=TrafficData[[#This Row],[totalChallan]])</f>
        <v>1</v>
      </c>
      <c r="O2969" t="b">
        <f>AND(TrafficData[[#This Row],[pendingAmount]]&lt;=TrafficData[[#This Row],[totalAmount]],TrafficData[[#This Row],[disposedAmount]]&lt;=TrafficData[[#This Row],[totalAmount]])</f>
        <v>1</v>
      </c>
      <c r="P2969" t="b">
        <f>AND(TrafficData[[#This Row],[pendingCourt]]&lt;=TrafficData[[#This Row],[totalCourt]],TrafficData[[#This Row],[disposedCourt]]&lt;=TrafficData[[#This Row],[totalCourt]])</f>
        <v>1</v>
      </c>
    </row>
    <row r="2970" spans="1:16">
      <c r="A2970" s="1">
        <v>44974</v>
      </c>
      <c r="B2970">
        <v>168678</v>
      </c>
      <c r="C2970">
        <v>76454</v>
      </c>
      <c r="D2970">
        <v>92224</v>
      </c>
      <c r="E2970">
        <v>175558669</v>
      </c>
      <c r="F2970">
        <v>129918352</v>
      </c>
      <c r="G2970">
        <v>305477021</v>
      </c>
      <c r="H2970">
        <v>57994</v>
      </c>
      <c r="I2970">
        <v>13490</v>
      </c>
      <c r="J2970">
        <v>71484</v>
      </c>
      <c r="K2970" t="b">
        <f>TrafficData[[#This Row],[disposedChallan]]+TrafficData[[#This Row],[pendingChallan]]=TrafficData[[#This Row],[totalChallan]]</f>
        <v>1</v>
      </c>
      <c r="L2970" t="b">
        <f>TrafficData[[#This Row],[pendingAmount]]+TrafficData[[#This Row],[disposedAmount]]=TrafficData[[#This Row],[totalAmount]]</f>
        <v>1</v>
      </c>
      <c r="M2970" t="b">
        <f>TrafficData[[#This Row],[pendingCourt]]+TrafficData[[#This Row],[disposedCourt]]=TrafficData[[#This Row],[totalCourt]]</f>
        <v>1</v>
      </c>
      <c r="N2970" t="b">
        <f>AND(TrafficData[[#This Row],[disposedChallan]]&lt;=TrafficData[[#This Row],[totalChallan]],TrafficData[[#This Row],[pendingChallan]]&lt;=TrafficData[[#This Row],[totalChallan]])</f>
        <v>1</v>
      </c>
      <c r="O2970" t="b">
        <f>AND(TrafficData[[#This Row],[pendingAmount]]&lt;=TrafficData[[#This Row],[totalAmount]],TrafficData[[#This Row],[disposedAmount]]&lt;=TrafficData[[#This Row],[totalAmount]])</f>
        <v>1</v>
      </c>
      <c r="P2970" t="b">
        <f>AND(TrafficData[[#This Row],[pendingCourt]]&lt;=TrafficData[[#This Row],[totalCourt]],TrafficData[[#This Row],[disposedCourt]]&lt;=TrafficData[[#This Row],[totalCourt]])</f>
        <v>1</v>
      </c>
    </row>
    <row r="2971" spans="1:16">
      <c r="A2971" s="1">
        <v>44975</v>
      </c>
      <c r="B2971">
        <v>138615</v>
      </c>
      <c r="C2971">
        <v>61261</v>
      </c>
      <c r="D2971">
        <v>77354</v>
      </c>
      <c r="E2971">
        <v>136263429</v>
      </c>
      <c r="F2971">
        <v>90395994</v>
      </c>
      <c r="G2971">
        <v>226659423</v>
      </c>
      <c r="H2971">
        <v>49525</v>
      </c>
      <c r="I2971">
        <v>11376</v>
      </c>
      <c r="J2971">
        <v>60901</v>
      </c>
      <c r="K2971" t="b">
        <f>TrafficData[[#This Row],[disposedChallan]]+TrafficData[[#This Row],[pendingChallan]]=TrafficData[[#This Row],[totalChallan]]</f>
        <v>1</v>
      </c>
      <c r="L2971" t="b">
        <f>TrafficData[[#This Row],[pendingAmount]]+TrafficData[[#This Row],[disposedAmount]]=TrafficData[[#This Row],[totalAmount]]</f>
        <v>1</v>
      </c>
      <c r="M2971" t="b">
        <f>TrafficData[[#This Row],[pendingCourt]]+TrafficData[[#This Row],[disposedCourt]]=TrafficData[[#This Row],[totalCourt]]</f>
        <v>1</v>
      </c>
      <c r="N2971" t="b">
        <f>AND(TrafficData[[#This Row],[disposedChallan]]&lt;=TrafficData[[#This Row],[totalChallan]],TrafficData[[#This Row],[pendingChallan]]&lt;=TrafficData[[#This Row],[totalChallan]])</f>
        <v>1</v>
      </c>
      <c r="O2971" t="b">
        <f>AND(TrafficData[[#This Row],[pendingAmount]]&lt;=TrafficData[[#This Row],[totalAmount]],TrafficData[[#This Row],[disposedAmount]]&lt;=TrafficData[[#This Row],[totalAmount]])</f>
        <v>1</v>
      </c>
      <c r="P2971" t="b">
        <f>AND(TrafficData[[#This Row],[pendingCourt]]&lt;=TrafficData[[#This Row],[totalCourt]],TrafficData[[#This Row],[disposedCourt]]&lt;=TrafficData[[#This Row],[totalCourt]])</f>
        <v>1</v>
      </c>
    </row>
    <row r="2972" spans="1:16">
      <c r="A2972" s="1">
        <v>44976</v>
      </c>
      <c r="B2972">
        <v>131665</v>
      </c>
      <c r="C2972">
        <v>59117</v>
      </c>
      <c r="D2972">
        <v>72548</v>
      </c>
      <c r="E2972">
        <v>121234073</v>
      </c>
      <c r="F2972">
        <v>82594411</v>
      </c>
      <c r="G2972">
        <v>203828484</v>
      </c>
      <c r="H2972">
        <v>45045</v>
      </c>
      <c r="I2972">
        <v>10771</v>
      </c>
      <c r="J2972">
        <v>55816</v>
      </c>
      <c r="K2972" t="b">
        <f>TrafficData[[#This Row],[disposedChallan]]+TrafficData[[#This Row],[pendingChallan]]=TrafficData[[#This Row],[totalChallan]]</f>
        <v>1</v>
      </c>
      <c r="L2972" t="b">
        <f>TrafficData[[#This Row],[pendingAmount]]+TrafficData[[#This Row],[disposedAmount]]=TrafficData[[#This Row],[totalAmount]]</f>
        <v>1</v>
      </c>
      <c r="M2972" t="b">
        <f>TrafficData[[#This Row],[pendingCourt]]+TrafficData[[#This Row],[disposedCourt]]=TrafficData[[#This Row],[totalCourt]]</f>
        <v>1</v>
      </c>
      <c r="N2972" t="b">
        <f>AND(TrafficData[[#This Row],[disposedChallan]]&lt;=TrafficData[[#This Row],[totalChallan]],TrafficData[[#This Row],[pendingChallan]]&lt;=TrafficData[[#This Row],[totalChallan]])</f>
        <v>1</v>
      </c>
      <c r="O2972" t="b">
        <f>AND(TrafficData[[#This Row],[pendingAmount]]&lt;=TrafficData[[#This Row],[totalAmount]],TrafficData[[#This Row],[disposedAmount]]&lt;=TrafficData[[#This Row],[totalAmount]])</f>
        <v>1</v>
      </c>
      <c r="P2972" t="b">
        <f>AND(TrafficData[[#This Row],[pendingCourt]]&lt;=TrafficData[[#This Row],[totalCourt]],TrafficData[[#This Row],[disposedCourt]]&lt;=TrafficData[[#This Row],[totalCourt]])</f>
        <v>1</v>
      </c>
    </row>
    <row r="2973" spans="1:16">
      <c r="A2973" s="1">
        <v>44977</v>
      </c>
      <c r="B2973">
        <v>171175</v>
      </c>
      <c r="C2973">
        <v>78212</v>
      </c>
      <c r="D2973">
        <v>92963</v>
      </c>
      <c r="E2973">
        <v>171024817</v>
      </c>
      <c r="F2973">
        <v>124234972</v>
      </c>
      <c r="G2973">
        <v>295259789</v>
      </c>
      <c r="H2973">
        <v>57415</v>
      </c>
      <c r="I2973">
        <v>13827</v>
      </c>
      <c r="J2973">
        <v>71242</v>
      </c>
      <c r="K2973" t="b">
        <f>TrafficData[[#This Row],[disposedChallan]]+TrafficData[[#This Row],[pendingChallan]]=TrafficData[[#This Row],[totalChallan]]</f>
        <v>1</v>
      </c>
      <c r="L2973" t="b">
        <f>TrafficData[[#This Row],[pendingAmount]]+TrafficData[[#This Row],[disposedAmount]]=TrafficData[[#This Row],[totalAmount]]</f>
        <v>1</v>
      </c>
      <c r="M2973" t="b">
        <f>TrafficData[[#This Row],[pendingCourt]]+TrafficData[[#This Row],[disposedCourt]]=TrafficData[[#This Row],[totalCourt]]</f>
        <v>1</v>
      </c>
      <c r="N2973" t="b">
        <f>AND(TrafficData[[#This Row],[disposedChallan]]&lt;=TrafficData[[#This Row],[totalChallan]],TrafficData[[#This Row],[pendingChallan]]&lt;=TrafficData[[#This Row],[totalChallan]])</f>
        <v>1</v>
      </c>
      <c r="O2973" t="b">
        <f>AND(TrafficData[[#This Row],[pendingAmount]]&lt;=TrafficData[[#This Row],[totalAmount]],TrafficData[[#This Row],[disposedAmount]]&lt;=TrafficData[[#This Row],[totalAmount]])</f>
        <v>1</v>
      </c>
      <c r="P2973" t="b">
        <f>AND(TrafficData[[#This Row],[pendingCourt]]&lt;=TrafficData[[#This Row],[totalCourt]],TrafficData[[#This Row],[disposedCourt]]&lt;=TrafficData[[#This Row],[totalCourt]])</f>
        <v>1</v>
      </c>
    </row>
    <row r="2974" spans="1:16">
      <c r="A2974" s="1">
        <v>44978</v>
      </c>
      <c r="B2974">
        <v>174271</v>
      </c>
      <c r="C2974">
        <v>80981</v>
      </c>
      <c r="D2974">
        <v>93290</v>
      </c>
      <c r="E2974">
        <v>185005107</v>
      </c>
      <c r="F2974">
        <v>138251890</v>
      </c>
      <c r="G2974">
        <v>323256997</v>
      </c>
      <c r="H2974">
        <v>56779</v>
      </c>
      <c r="I2974">
        <v>13756</v>
      </c>
      <c r="J2974">
        <v>70535</v>
      </c>
      <c r="K2974" t="b">
        <f>TrafficData[[#This Row],[disposedChallan]]+TrafficData[[#This Row],[pendingChallan]]=TrafficData[[#This Row],[totalChallan]]</f>
        <v>1</v>
      </c>
      <c r="L2974" t="b">
        <f>TrafficData[[#This Row],[pendingAmount]]+TrafficData[[#This Row],[disposedAmount]]=TrafficData[[#This Row],[totalAmount]]</f>
        <v>1</v>
      </c>
      <c r="M2974" t="b">
        <f>TrafficData[[#This Row],[pendingCourt]]+TrafficData[[#This Row],[disposedCourt]]=TrafficData[[#This Row],[totalCourt]]</f>
        <v>1</v>
      </c>
      <c r="N2974" t="b">
        <f>AND(TrafficData[[#This Row],[disposedChallan]]&lt;=TrafficData[[#This Row],[totalChallan]],TrafficData[[#This Row],[pendingChallan]]&lt;=TrafficData[[#This Row],[totalChallan]])</f>
        <v>1</v>
      </c>
      <c r="O2974" t="b">
        <f>AND(TrafficData[[#This Row],[pendingAmount]]&lt;=TrafficData[[#This Row],[totalAmount]],TrafficData[[#This Row],[disposedAmount]]&lt;=TrafficData[[#This Row],[totalAmount]])</f>
        <v>1</v>
      </c>
      <c r="P2974" t="b">
        <f>AND(TrafficData[[#This Row],[pendingCourt]]&lt;=TrafficData[[#This Row],[totalCourt]],TrafficData[[#This Row],[disposedCourt]]&lt;=TrafficData[[#This Row],[totalCourt]])</f>
        <v>1</v>
      </c>
    </row>
    <row r="2975" spans="1:16">
      <c r="A2975" s="1">
        <v>44979</v>
      </c>
      <c r="B2975">
        <v>172988</v>
      </c>
      <c r="C2975">
        <v>81615</v>
      </c>
      <c r="D2975">
        <v>91373</v>
      </c>
      <c r="E2975">
        <v>176477474</v>
      </c>
      <c r="F2975">
        <v>1026631542</v>
      </c>
      <c r="G2975">
        <v>1203109016</v>
      </c>
      <c r="H2975">
        <v>57832</v>
      </c>
      <c r="I2975">
        <v>13883</v>
      </c>
      <c r="J2975">
        <v>71715</v>
      </c>
      <c r="K2975" t="b">
        <f>TrafficData[[#This Row],[disposedChallan]]+TrafficData[[#This Row],[pendingChallan]]=TrafficData[[#This Row],[totalChallan]]</f>
        <v>1</v>
      </c>
      <c r="L2975" t="b">
        <f>TrafficData[[#This Row],[pendingAmount]]+TrafficData[[#This Row],[disposedAmount]]=TrafficData[[#This Row],[totalAmount]]</f>
        <v>1</v>
      </c>
      <c r="M2975" t="b">
        <f>TrafficData[[#This Row],[pendingCourt]]+TrafficData[[#This Row],[disposedCourt]]=TrafficData[[#This Row],[totalCourt]]</f>
        <v>1</v>
      </c>
      <c r="N2975" t="b">
        <f>AND(TrafficData[[#This Row],[disposedChallan]]&lt;=TrafficData[[#This Row],[totalChallan]],TrafficData[[#This Row],[pendingChallan]]&lt;=TrafficData[[#This Row],[totalChallan]])</f>
        <v>1</v>
      </c>
      <c r="O2975" t="b">
        <f>AND(TrafficData[[#This Row],[pendingAmount]]&lt;=TrafficData[[#This Row],[totalAmount]],TrafficData[[#This Row],[disposedAmount]]&lt;=TrafficData[[#This Row],[totalAmount]])</f>
        <v>1</v>
      </c>
      <c r="P2975" t="b">
        <f>AND(TrafficData[[#This Row],[pendingCourt]]&lt;=TrafficData[[#This Row],[totalCourt]],TrafficData[[#This Row],[disposedCourt]]&lt;=TrafficData[[#This Row],[totalCourt]])</f>
        <v>1</v>
      </c>
    </row>
    <row r="2976" spans="1:16">
      <c r="A2976" s="1">
        <v>44980</v>
      </c>
      <c r="B2976">
        <v>172413</v>
      </c>
      <c r="C2976">
        <v>80526</v>
      </c>
      <c r="D2976">
        <v>91887</v>
      </c>
      <c r="E2976">
        <v>178319229</v>
      </c>
      <c r="F2976">
        <v>135957605</v>
      </c>
      <c r="G2976">
        <v>314276834</v>
      </c>
      <c r="H2976">
        <v>57152</v>
      </c>
      <c r="I2976">
        <v>14128</v>
      </c>
      <c r="J2976">
        <v>71280</v>
      </c>
      <c r="K2976" t="b">
        <f>TrafficData[[#This Row],[disposedChallan]]+TrafficData[[#This Row],[pendingChallan]]=TrafficData[[#This Row],[totalChallan]]</f>
        <v>1</v>
      </c>
      <c r="L2976" t="b">
        <f>TrafficData[[#This Row],[pendingAmount]]+TrafficData[[#This Row],[disposedAmount]]=TrafficData[[#This Row],[totalAmount]]</f>
        <v>1</v>
      </c>
      <c r="M2976" t="b">
        <f>TrafficData[[#This Row],[pendingCourt]]+TrafficData[[#This Row],[disposedCourt]]=TrafficData[[#This Row],[totalCourt]]</f>
        <v>1</v>
      </c>
      <c r="N2976" t="b">
        <f>AND(TrafficData[[#This Row],[disposedChallan]]&lt;=TrafficData[[#This Row],[totalChallan]],TrafficData[[#This Row],[pendingChallan]]&lt;=TrafficData[[#This Row],[totalChallan]])</f>
        <v>1</v>
      </c>
      <c r="O2976" t="b">
        <f>AND(TrafficData[[#This Row],[pendingAmount]]&lt;=TrafficData[[#This Row],[totalAmount]],TrafficData[[#This Row],[disposedAmount]]&lt;=TrafficData[[#This Row],[totalAmount]])</f>
        <v>1</v>
      </c>
      <c r="P2976" t="b">
        <f>AND(TrafficData[[#This Row],[pendingCourt]]&lt;=TrafficData[[#This Row],[totalCourt]],TrafficData[[#This Row],[disposedCourt]]&lt;=TrafficData[[#This Row],[totalCourt]])</f>
        <v>1</v>
      </c>
    </row>
    <row r="2977" spans="1:16">
      <c r="A2977" s="1">
        <v>44981</v>
      </c>
      <c r="B2977">
        <v>174160</v>
      </c>
      <c r="C2977">
        <v>79357</v>
      </c>
      <c r="D2977">
        <v>94803</v>
      </c>
      <c r="E2977">
        <v>165970355</v>
      </c>
      <c r="F2977">
        <v>126051531</v>
      </c>
      <c r="G2977">
        <v>292021886</v>
      </c>
      <c r="H2977">
        <v>59831</v>
      </c>
      <c r="I2977">
        <v>14444</v>
      </c>
      <c r="J2977">
        <v>74275</v>
      </c>
      <c r="K2977" t="b">
        <f>TrafficData[[#This Row],[disposedChallan]]+TrafficData[[#This Row],[pendingChallan]]=TrafficData[[#This Row],[totalChallan]]</f>
        <v>1</v>
      </c>
      <c r="L2977" t="b">
        <f>TrafficData[[#This Row],[pendingAmount]]+TrafficData[[#This Row],[disposedAmount]]=TrafficData[[#This Row],[totalAmount]]</f>
        <v>1</v>
      </c>
      <c r="M2977" t="b">
        <f>TrafficData[[#This Row],[pendingCourt]]+TrafficData[[#This Row],[disposedCourt]]=TrafficData[[#This Row],[totalCourt]]</f>
        <v>1</v>
      </c>
      <c r="N2977" t="b">
        <f>AND(TrafficData[[#This Row],[disposedChallan]]&lt;=TrafficData[[#This Row],[totalChallan]],TrafficData[[#This Row],[pendingChallan]]&lt;=TrafficData[[#This Row],[totalChallan]])</f>
        <v>1</v>
      </c>
      <c r="O2977" t="b">
        <f>AND(TrafficData[[#This Row],[pendingAmount]]&lt;=TrafficData[[#This Row],[totalAmount]],TrafficData[[#This Row],[disposedAmount]]&lt;=TrafficData[[#This Row],[totalAmount]])</f>
        <v>1</v>
      </c>
      <c r="P2977" t="b">
        <f>AND(TrafficData[[#This Row],[pendingCourt]]&lt;=TrafficData[[#This Row],[totalCourt]],TrafficData[[#This Row],[disposedCourt]]&lt;=TrafficData[[#This Row],[totalCourt]])</f>
        <v>1</v>
      </c>
    </row>
    <row r="2978" spans="1:16">
      <c r="A2978" s="1">
        <v>44982</v>
      </c>
      <c r="B2978">
        <v>166787</v>
      </c>
      <c r="C2978">
        <v>78360</v>
      </c>
      <c r="D2978">
        <v>88427</v>
      </c>
      <c r="E2978">
        <v>159426048</v>
      </c>
      <c r="F2978">
        <v>120036917</v>
      </c>
      <c r="G2978">
        <v>279462965</v>
      </c>
      <c r="H2978">
        <v>53282</v>
      </c>
      <c r="I2978">
        <v>13111</v>
      </c>
      <c r="J2978">
        <v>66393</v>
      </c>
      <c r="K2978" t="b">
        <f>TrafficData[[#This Row],[disposedChallan]]+TrafficData[[#This Row],[pendingChallan]]=TrafficData[[#This Row],[totalChallan]]</f>
        <v>1</v>
      </c>
      <c r="L2978" t="b">
        <f>TrafficData[[#This Row],[pendingAmount]]+TrafficData[[#This Row],[disposedAmount]]=TrafficData[[#This Row],[totalAmount]]</f>
        <v>1</v>
      </c>
      <c r="M2978" t="b">
        <f>TrafficData[[#This Row],[pendingCourt]]+TrafficData[[#This Row],[disposedCourt]]=TrafficData[[#This Row],[totalCourt]]</f>
        <v>1</v>
      </c>
      <c r="N2978" t="b">
        <f>AND(TrafficData[[#This Row],[disposedChallan]]&lt;=TrafficData[[#This Row],[totalChallan]],TrafficData[[#This Row],[pendingChallan]]&lt;=TrafficData[[#This Row],[totalChallan]])</f>
        <v>1</v>
      </c>
      <c r="O2978" t="b">
        <f>AND(TrafficData[[#This Row],[pendingAmount]]&lt;=TrafficData[[#This Row],[totalAmount]],TrafficData[[#This Row],[disposedAmount]]&lt;=TrafficData[[#This Row],[totalAmount]])</f>
        <v>1</v>
      </c>
      <c r="P2978" t="b">
        <f>AND(TrafficData[[#This Row],[pendingCourt]]&lt;=TrafficData[[#This Row],[totalCourt]],TrafficData[[#This Row],[disposedCourt]]&lt;=TrafficData[[#This Row],[totalCourt]])</f>
        <v>1</v>
      </c>
    </row>
    <row r="2979" spans="1:16">
      <c r="A2979" s="1">
        <v>44983</v>
      </c>
      <c r="B2979">
        <v>154108</v>
      </c>
      <c r="C2979">
        <v>66056</v>
      </c>
      <c r="D2979">
        <v>88052</v>
      </c>
      <c r="E2979">
        <v>148072812</v>
      </c>
      <c r="F2979">
        <v>86530558</v>
      </c>
      <c r="G2979">
        <v>234603370</v>
      </c>
      <c r="H2979">
        <v>54815</v>
      </c>
      <c r="I2979">
        <v>12968</v>
      </c>
      <c r="J2979">
        <v>67783</v>
      </c>
      <c r="K2979" t="b">
        <f>TrafficData[[#This Row],[disposedChallan]]+TrafficData[[#This Row],[pendingChallan]]=TrafficData[[#This Row],[totalChallan]]</f>
        <v>1</v>
      </c>
      <c r="L2979" t="b">
        <f>TrafficData[[#This Row],[pendingAmount]]+TrafficData[[#This Row],[disposedAmount]]=TrafficData[[#This Row],[totalAmount]]</f>
        <v>1</v>
      </c>
      <c r="M2979" t="b">
        <f>TrafficData[[#This Row],[pendingCourt]]+TrafficData[[#This Row],[disposedCourt]]=TrafficData[[#This Row],[totalCourt]]</f>
        <v>1</v>
      </c>
      <c r="N2979" t="b">
        <f>AND(TrafficData[[#This Row],[disposedChallan]]&lt;=TrafficData[[#This Row],[totalChallan]],TrafficData[[#This Row],[pendingChallan]]&lt;=TrafficData[[#This Row],[totalChallan]])</f>
        <v>1</v>
      </c>
      <c r="O2979" t="b">
        <f>AND(TrafficData[[#This Row],[pendingAmount]]&lt;=TrafficData[[#This Row],[totalAmount]],TrafficData[[#This Row],[disposedAmount]]&lt;=TrafficData[[#This Row],[totalAmount]])</f>
        <v>1</v>
      </c>
      <c r="P2979" t="b">
        <f>AND(TrafficData[[#This Row],[pendingCourt]]&lt;=TrafficData[[#This Row],[totalCourt]],TrafficData[[#This Row],[disposedCourt]]&lt;=TrafficData[[#This Row],[totalCourt]])</f>
        <v>1</v>
      </c>
    </row>
    <row r="2980" spans="1:16">
      <c r="A2980" s="1">
        <v>44984</v>
      </c>
      <c r="B2980">
        <v>179917</v>
      </c>
      <c r="C2980">
        <v>79764</v>
      </c>
      <c r="D2980">
        <v>100153</v>
      </c>
      <c r="E2980">
        <v>178071545</v>
      </c>
      <c r="F2980">
        <v>121522160</v>
      </c>
      <c r="G2980">
        <v>299593705</v>
      </c>
      <c r="H2980">
        <v>63683</v>
      </c>
      <c r="I2980">
        <v>14330</v>
      </c>
      <c r="J2980">
        <v>78013</v>
      </c>
      <c r="K2980" t="b">
        <f>TrafficData[[#This Row],[disposedChallan]]+TrafficData[[#This Row],[pendingChallan]]=TrafficData[[#This Row],[totalChallan]]</f>
        <v>1</v>
      </c>
      <c r="L2980" t="b">
        <f>TrafficData[[#This Row],[pendingAmount]]+TrafficData[[#This Row],[disposedAmount]]=TrafficData[[#This Row],[totalAmount]]</f>
        <v>1</v>
      </c>
      <c r="M2980" t="b">
        <f>TrafficData[[#This Row],[pendingCourt]]+TrafficData[[#This Row],[disposedCourt]]=TrafficData[[#This Row],[totalCourt]]</f>
        <v>1</v>
      </c>
      <c r="N2980" t="b">
        <f>AND(TrafficData[[#This Row],[disposedChallan]]&lt;=TrafficData[[#This Row],[totalChallan]],TrafficData[[#This Row],[pendingChallan]]&lt;=TrafficData[[#This Row],[totalChallan]])</f>
        <v>1</v>
      </c>
      <c r="O2980" t="b">
        <f>AND(TrafficData[[#This Row],[pendingAmount]]&lt;=TrafficData[[#This Row],[totalAmount]],TrafficData[[#This Row],[disposedAmount]]&lt;=TrafficData[[#This Row],[totalAmount]])</f>
        <v>1</v>
      </c>
      <c r="P2980" t="b">
        <f>AND(TrafficData[[#This Row],[pendingCourt]]&lt;=TrafficData[[#This Row],[totalCourt]],TrafficData[[#This Row],[disposedCourt]]&lt;=TrafficData[[#This Row],[totalCourt]])</f>
        <v>1</v>
      </c>
    </row>
    <row r="2981" spans="1:16">
      <c r="A2981" s="1">
        <v>44985</v>
      </c>
      <c r="B2981">
        <v>174309</v>
      </c>
      <c r="C2981">
        <v>77966</v>
      </c>
      <c r="D2981">
        <v>96343</v>
      </c>
      <c r="E2981">
        <v>173043353</v>
      </c>
      <c r="F2981">
        <v>122506833</v>
      </c>
      <c r="G2981">
        <v>295550186</v>
      </c>
      <c r="H2981">
        <v>62092</v>
      </c>
      <c r="I2981">
        <v>14098</v>
      </c>
      <c r="J2981">
        <v>76190</v>
      </c>
      <c r="K2981" t="b">
        <f>TrafficData[[#This Row],[disposedChallan]]+TrafficData[[#This Row],[pendingChallan]]=TrafficData[[#This Row],[totalChallan]]</f>
        <v>1</v>
      </c>
      <c r="L2981" t="b">
        <f>TrafficData[[#This Row],[pendingAmount]]+TrafficData[[#This Row],[disposedAmount]]=TrafficData[[#This Row],[totalAmount]]</f>
        <v>1</v>
      </c>
      <c r="M2981" t="b">
        <f>TrafficData[[#This Row],[pendingCourt]]+TrafficData[[#This Row],[disposedCourt]]=TrafficData[[#This Row],[totalCourt]]</f>
        <v>1</v>
      </c>
      <c r="N2981" t="b">
        <f>AND(TrafficData[[#This Row],[disposedChallan]]&lt;=TrafficData[[#This Row],[totalChallan]],TrafficData[[#This Row],[pendingChallan]]&lt;=TrafficData[[#This Row],[totalChallan]])</f>
        <v>1</v>
      </c>
      <c r="O2981" t="b">
        <f>AND(TrafficData[[#This Row],[pendingAmount]]&lt;=TrafficData[[#This Row],[totalAmount]],TrafficData[[#This Row],[disposedAmount]]&lt;=TrafficData[[#This Row],[totalAmount]])</f>
        <v>1</v>
      </c>
      <c r="P2981" t="b">
        <f>AND(TrafficData[[#This Row],[pendingCourt]]&lt;=TrafficData[[#This Row],[totalCourt]],TrafficData[[#This Row],[disposedCourt]]&lt;=TrafficData[[#This Row],[totalCourt]])</f>
        <v>1</v>
      </c>
    </row>
    <row r="2982" spans="1:16">
      <c r="A2982" s="1">
        <v>44986</v>
      </c>
      <c r="B2982">
        <v>189495</v>
      </c>
      <c r="C2982">
        <v>87505</v>
      </c>
      <c r="D2982">
        <v>101990</v>
      </c>
      <c r="E2982">
        <v>171134177</v>
      </c>
      <c r="F2982">
        <v>168336200</v>
      </c>
      <c r="G2982">
        <v>339470377</v>
      </c>
      <c r="H2982">
        <v>63575</v>
      </c>
      <c r="I2982">
        <v>14399</v>
      </c>
      <c r="J2982">
        <v>77974</v>
      </c>
      <c r="K2982" t="b">
        <f>TrafficData[[#This Row],[disposedChallan]]+TrafficData[[#This Row],[pendingChallan]]=TrafficData[[#This Row],[totalChallan]]</f>
        <v>1</v>
      </c>
      <c r="L2982" t="b">
        <f>TrafficData[[#This Row],[pendingAmount]]+TrafficData[[#This Row],[disposedAmount]]=TrafficData[[#This Row],[totalAmount]]</f>
        <v>1</v>
      </c>
      <c r="M2982" t="b">
        <f>TrafficData[[#This Row],[pendingCourt]]+TrafficData[[#This Row],[disposedCourt]]=TrafficData[[#This Row],[totalCourt]]</f>
        <v>1</v>
      </c>
      <c r="N2982" t="b">
        <f>AND(TrafficData[[#This Row],[disposedChallan]]&lt;=TrafficData[[#This Row],[totalChallan]],TrafficData[[#This Row],[pendingChallan]]&lt;=TrafficData[[#This Row],[totalChallan]])</f>
        <v>1</v>
      </c>
      <c r="O2982" t="b">
        <f>AND(TrafficData[[#This Row],[pendingAmount]]&lt;=TrafficData[[#This Row],[totalAmount]],TrafficData[[#This Row],[disposedAmount]]&lt;=TrafficData[[#This Row],[totalAmount]])</f>
        <v>1</v>
      </c>
      <c r="P2982" t="b">
        <f>AND(TrafficData[[#This Row],[pendingCourt]]&lt;=TrafficData[[#This Row],[totalCourt]],TrafficData[[#This Row],[disposedCourt]]&lt;=TrafficData[[#This Row],[totalCourt]])</f>
        <v>1</v>
      </c>
    </row>
    <row r="2983" spans="1:16">
      <c r="A2983" s="1">
        <v>44987</v>
      </c>
      <c r="B2983">
        <v>195411</v>
      </c>
      <c r="C2983">
        <v>90441</v>
      </c>
      <c r="D2983">
        <v>104970</v>
      </c>
      <c r="E2983">
        <v>184434317</v>
      </c>
      <c r="F2983">
        <v>176620801</v>
      </c>
      <c r="G2983">
        <v>361055118</v>
      </c>
      <c r="H2983">
        <v>65112</v>
      </c>
      <c r="I2983">
        <v>14342</v>
      </c>
      <c r="J2983">
        <v>79454</v>
      </c>
      <c r="K2983" t="b">
        <f>TrafficData[[#This Row],[disposedChallan]]+TrafficData[[#This Row],[pendingChallan]]=TrafficData[[#This Row],[totalChallan]]</f>
        <v>1</v>
      </c>
      <c r="L2983" t="b">
        <f>TrafficData[[#This Row],[pendingAmount]]+TrafficData[[#This Row],[disposedAmount]]=TrafficData[[#This Row],[totalAmount]]</f>
        <v>1</v>
      </c>
      <c r="M2983" t="b">
        <f>TrafficData[[#This Row],[pendingCourt]]+TrafficData[[#This Row],[disposedCourt]]=TrafficData[[#This Row],[totalCourt]]</f>
        <v>1</v>
      </c>
      <c r="N2983" t="b">
        <f>AND(TrafficData[[#This Row],[disposedChallan]]&lt;=TrafficData[[#This Row],[totalChallan]],TrafficData[[#This Row],[pendingChallan]]&lt;=TrafficData[[#This Row],[totalChallan]])</f>
        <v>1</v>
      </c>
      <c r="O2983" t="b">
        <f>AND(TrafficData[[#This Row],[pendingAmount]]&lt;=TrafficData[[#This Row],[totalAmount]],TrafficData[[#This Row],[disposedAmount]]&lt;=TrafficData[[#This Row],[totalAmount]])</f>
        <v>1</v>
      </c>
      <c r="P2983" t="b">
        <f>AND(TrafficData[[#This Row],[pendingCourt]]&lt;=TrafficData[[#This Row],[totalCourt]],TrafficData[[#This Row],[disposedCourt]]&lt;=TrafficData[[#This Row],[totalCourt]])</f>
        <v>1</v>
      </c>
    </row>
    <row r="2984" spans="1:16">
      <c r="A2984" s="1">
        <v>44988</v>
      </c>
      <c r="B2984">
        <v>184765</v>
      </c>
      <c r="C2984">
        <v>89029</v>
      </c>
      <c r="D2984">
        <v>95736</v>
      </c>
      <c r="E2984">
        <v>182623305</v>
      </c>
      <c r="F2984">
        <v>176382236</v>
      </c>
      <c r="G2984">
        <v>359005541</v>
      </c>
      <c r="H2984">
        <v>59545</v>
      </c>
      <c r="I2984">
        <v>14321</v>
      </c>
      <c r="J2984">
        <v>73866</v>
      </c>
      <c r="K2984" t="b">
        <f>TrafficData[[#This Row],[disposedChallan]]+TrafficData[[#This Row],[pendingChallan]]=TrafficData[[#This Row],[totalChallan]]</f>
        <v>1</v>
      </c>
      <c r="L2984" t="b">
        <f>TrafficData[[#This Row],[pendingAmount]]+TrafficData[[#This Row],[disposedAmount]]=TrafficData[[#This Row],[totalAmount]]</f>
        <v>1</v>
      </c>
      <c r="M2984" t="b">
        <f>TrafficData[[#This Row],[pendingCourt]]+TrafficData[[#This Row],[disposedCourt]]=TrafficData[[#This Row],[totalCourt]]</f>
        <v>1</v>
      </c>
      <c r="N2984" t="b">
        <f>AND(TrafficData[[#This Row],[disposedChallan]]&lt;=TrafficData[[#This Row],[totalChallan]],TrafficData[[#This Row],[pendingChallan]]&lt;=TrafficData[[#This Row],[totalChallan]])</f>
        <v>1</v>
      </c>
      <c r="O2984" t="b">
        <f>AND(TrafficData[[#This Row],[pendingAmount]]&lt;=TrafficData[[#This Row],[totalAmount]],TrafficData[[#This Row],[disposedAmount]]&lt;=TrafficData[[#This Row],[totalAmount]])</f>
        <v>1</v>
      </c>
      <c r="P2984" t="b">
        <f>AND(TrafficData[[#This Row],[pendingCourt]]&lt;=TrafficData[[#This Row],[totalCourt]],TrafficData[[#This Row],[disposedCourt]]&lt;=TrafficData[[#This Row],[totalCourt]])</f>
        <v>1</v>
      </c>
    </row>
    <row r="2985" spans="1:16">
      <c r="A2985" s="1">
        <v>44989</v>
      </c>
      <c r="B2985">
        <v>187838</v>
      </c>
      <c r="C2985">
        <v>87543</v>
      </c>
      <c r="D2985">
        <v>100295</v>
      </c>
      <c r="E2985">
        <v>178934108</v>
      </c>
      <c r="F2985">
        <v>160605591</v>
      </c>
      <c r="G2985">
        <v>339539699</v>
      </c>
      <c r="H2985">
        <v>62460</v>
      </c>
      <c r="I2985">
        <v>14621</v>
      </c>
      <c r="J2985">
        <v>77081</v>
      </c>
      <c r="K2985" t="b">
        <f>TrafficData[[#This Row],[disposedChallan]]+TrafficData[[#This Row],[pendingChallan]]=TrafficData[[#This Row],[totalChallan]]</f>
        <v>1</v>
      </c>
      <c r="L2985" t="b">
        <f>TrafficData[[#This Row],[pendingAmount]]+TrafficData[[#This Row],[disposedAmount]]=TrafficData[[#This Row],[totalAmount]]</f>
        <v>1</v>
      </c>
      <c r="M2985" t="b">
        <f>TrafficData[[#This Row],[pendingCourt]]+TrafficData[[#This Row],[disposedCourt]]=TrafficData[[#This Row],[totalCourt]]</f>
        <v>1</v>
      </c>
      <c r="N2985" t="b">
        <f>AND(TrafficData[[#This Row],[disposedChallan]]&lt;=TrafficData[[#This Row],[totalChallan]],TrafficData[[#This Row],[pendingChallan]]&lt;=TrafficData[[#This Row],[totalChallan]])</f>
        <v>1</v>
      </c>
      <c r="O2985" t="b">
        <f>AND(TrafficData[[#This Row],[pendingAmount]]&lt;=TrafficData[[#This Row],[totalAmount]],TrafficData[[#This Row],[disposedAmount]]&lt;=TrafficData[[#This Row],[totalAmount]])</f>
        <v>1</v>
      </c>
      <c r="P2985" t="b">
        <f>AND(TrafficData[[#This Row],[pendingCourt]]&lt;=TrafficData[[#This Row],[totalCourt]],TrafficData[[#This Row],[disposedCourt]]&lt;=TrafficData[[#This Row],[totalCourt]])</f>
        <v>1</v>
      </c>
    </row>
    <row r="2986" spans="1:16">
      <c r="A2986" s="1">
        <v>44990</v>
      </c>
      <c r="B2986">
        <v>165456</v>
      </c>
      <c r="C2986">
        <v>75392</v>
      </c>
      <c r="D2986">
        <v>90064</v>
      </c>
      <c r="E2986">
        <v>139082547</v>
      </c>
      <c r="F2986">
        <v>114799844</v>
      </c>
      <c r="G2986">
        <v>253882391</v>
      </c>
      <c r="H2986">
        <v>58596</v>
      </c>
      <c r="I2986">
        <v>13838</v>
      </c>
      <c r="J2986">
        <v>72434</v>
      </c>
      <c r="K2986" t="b">
        <f>TrafficData[[#This Row],[disposedChallan]]+TrafficData[[#This Row],[pendingChallan]]=TrafficData[[#This Row],[totalChallan]]</f>
        <v>1</v>
      </c>
      <c r="L2986" t="b">
        <f>TrafficData[[#This Row],[pendingAmount]]+TrafficData[[#This Row],[disposedAmount]]=TrafficData[[#This Row],[totalAmount]]</f>
        <v>1</v>
      </c>
      <c r="M2986" t="b">
        <f>TrafficData[[#This Row],[pendingCourt]]+TrafficData[[#This Row],[disposedCourt]]=TrafficData[[#This Row],[totalCourt]]</f>
        <v>1</v>
      </c>
      <c r="N2986" t="b">
        <f>AND(TrafficData[[#This Row],[disposedChallan]]&lt;=TrafficData[[#This Row],[totalChallan]],TrafficData[[#This Row],[pendingChallan]]&lt;=TrafficData[[#This Row],[totalChallan]])</f>
        <v>1</v>
      </c>
      <c r="O2986" t="b">
        <f>AND(TrafficData[[#This Row],[pendingAmount]]&lt;=TrafficData[[#This Row],[totalAmount]],TrafficData[[#This Row],[disposedAmount]]&lt;=TrafficData[[#This Row],[totalAmount]])</f>
        <v>1</v>
      </c>
      <c r="P2986" t="b">
        <f>AND(TrafficData[[#This Row],[pendingCourt]]&lt;=TrafficData[[#This Row],[totalCourt]],TrafficData[[#This Row],[disposedCourt]]&lt;=TrafficData[[#This Row],[totalCourt]])</f>
        <v>1</v>
      </c>
    </row>
    <row r="2987" spans="1:16">
      <c r="A2987" s="1">
        <v>44991</v>
      </c>
      <c r="B2987">
        <v>180499</v>
      </c>
      <c r="C2987">
        <v>82536</v>
      </c>
      <c r="D2987">
        <v>97963</v>
      </c>
      <c r="E2987">
        <v>164379035</v>
      </c>
      <c r="F2987">
        <v>123600944</v>
      </c>
      <c r="G2987">
        <v>287979979</v>
      </c>
      <c r="H2987">
        <v>62092</v>
      </c>
      <c r="I2987">
        <v>15025</v>
      </c>
      <c r="J2987">
        <v>77117</v>
      </c>
      <c r="K2987" t="b">
        <f>TrafficData[[#This Row],[disposedChallan]]+TrafficData[[#This Row],[pendingChallan]]=TrafficData[[#This Row],[totalChallan]]</f>
        <v>1</v>
      </c>
      <c r="L2987" t="b">
        <f>TrafficData[[#This Row],[pendingAmount]]+TrafficData[[#This Row],[disposedAmount]]=TrafficData[[#This Row],[totalAmount]]</f>
        <v>1</v>
      </c>
      <c r="M2987" t="b">
        <f>TrafficData[[#This Row],[pendingCourt]]+TrafficData[[#This Row],[disposedCourt]]=TrafficData[[#This Row],[totalCourt]]</f>
        <v>1</v>
      </c>
      <c r="N2987" t="b">
        <f>AND(TrafficData[[#This Row],[disposedChallan]]&lt;=TrafficData[[#This Row],[totalChallan]],TrafficData[[#This Row],[pendingChallan]]&lt;=TrafficData[[#This Row],[totalChallan]])</f>
        <v>1</v>
      </c>
      <c r="O2987" t="b">
        <f>AND(TrafficData[[#This Row],[pendingAmount]]&lt;=TrafficData[[#This Row],[totalAmount]],TrafficData[[#This Row],[disposedAmount]]&lt;=TrafficData[[#This Row],[totalAmount]])</f>
        <v>1</v>
      </c>
      <c r="P2987" t="b">
        <f>AND(TrafficData[[#This Row],[pendingCourt]]&lt;=TrafficData[[#This Row],[totalCourt]],TrafficData[[#This Row],[disposedCourt]]&lt;=TrafficData[[#This Row],[totalCourt]])</f>
        <v>1</v>
      </c>
    </row>
    <row r="2988" spans="1:16">
      <c r="A2988" s="1">
        <v>44992</v>
      </c>
      <c r="B2988">
        <v>142386</v>
      </c>
      <c r="C2988">
        <v>62504</v>
      </c>
      <c r="D2988">
        <v>79882</v>
      </c>
      <c r="E2988">
        <v>123508874</v>
      </c>
      <c r="F2988">
        <v>74614994</v>
      </c>
      <c r="G2988">
        <v>198123868</v>
      </c>
      <c r="H2988">
        <v>47745</v>
      </c>
      <c r="I2988">
        <v>10954</v>
      </c>
      <c r="J2988">
        <v>58699</v>
      </c>
      <c r="K2988" t="b">
        <f>TrafficData[[#This Row],[disposedChallan]]+TrafficData[[#This Row],[pendingChallan]]=TrafficData[[#This Row],[totalChallan]]</f>
        <v>1</v>
      </c>
      <c r="L2988" t="b">
        <f>TrafficData[[#This Row],[pendingAmount]]+TrafficData[[#This Row],[disposedAmount]]=TrafficData[[#This Row],[totalAmount]]</f>
        <v>1</v>
      </c>
      <c r="M2988" t="b">
        <f>TrafficData[[#This Row],[pendingCourt]]+TrafficData[[#This Row],[disposedCourt]]=TrafficData[[#This Row],[totalCourt]]</f>
        <v>1</v>
      </c>
      <c r="N2988" t="b">
        <f>AND(TrafficData[[#This Row],[disposedChallan]]&lt;=TrafficData[[#This Row],[totalChallan]],TrafficData[[#This Row],[pendingChallan]]&lt;=TrafficData[[#This Row],[totalChallan]])</f>
        <v>1</v>
      </c>
      <c r="O2988" t="b">
        <f>AND(TrafficData[[#This Row],[pendingAmount]]&lt;=TrafficData[[#This Row],[totalAmount]],TrafficData[[#This Row],[disposedAmount]]&lt;=TrafficData[[#This Row],[totalAmount]])</f>
        <v>1</v>
      </c>
      <c r="P2988" t="b">
        <f>AND(TrafficData[[#This Row],[pendingCourt]]&lt;=TrafficData[[#This Row],[totalCourt]],TrafficData[[#This Row],[disposedCourt]]&lt;=TrafficData[[#This Row],[totalCourt]])</f>
        <v>1</v>
      </c>
    </row>
    <row r="2989" spans="1:16">
      <c r="A2989" s="1">
        <v>44993</v>
      </c>
      <c r="B2989">
        <v>139018</v>
      </c>
      <c r="C2989">
        <v>59058</v>
      </c>
      <c r="D2989">
        <v>79960</v>
      </c>
      <c r="E2989">
        <v>130414860</v>
      </c>
      <c r="F2989">
        <v>80729315</v>
      </c>
      <c r="G2989">
        <v>211144175</v>
      </c>
      <c r="H2989">
        <v>42582</v>
      </c>
      <c r="I2989">
        <v>9695</v>
      </c>
      <c r="J2989">
        <v>52277</v>
      </c>
      <c r="K2989" t="b">
        <f>TrafficData[[#This Row],[disposedChallan]]+TrafficData[[#This Row],[pendingChallan]]=TrafficData[[#This Row],[totalChallan]]</f>
        <v>1</v>
      </c>
      <c r="L2989" t="b">
        <f>TrafficData[[#This Row],[pendingAmount]]+TrafficData[[#This Row],[disposedAmount]]=TrafficData[[#This Row],[totalAmount]]</f>
        <v>1</v>
      </c>
      <c r="M2989" t="b">
        <f>TrafficData[[#This Row],[pendingCourt]]+TrafficData[[#This Row],[disposedCourt]]=TrafficData[[#This Row],[totalCourt]]</f>
        <v>1</v>
      </c>
      <c r="N2989" t="b">
        <f>AND(TrafficData[[#This Row],[disposedChallan]]&lt;=TrafficData[[#This Row],[totalChallan]],TrafficData[[#This Row],[pendingChallan]]&lt;=TrafficData[[#This Row],[totalChallan]])</f>
        <v>1</v>
      </c>
      <c r="O2989" t="b">
        <f>AND(TrafficData[[#This Row],[pendingAmount]]&lt;=TrafficData[[#This Row],[totalAmount]],TrafficData[[#This Row],[disposedAmount]]&lt;=TrafficData[[#This Row],[totalAmount]])</f>
        <v>1</v>
      </c>
      <c r="P2989" t="b">
        <f>AND(TrafficData[[#This Row],[pendingCourt]]&lt;=TrafficData[[#This Row],[totalCourt]],TrafficData[[#This Row],[disposedCourt]]&lt;=TrafficData[[#This Row],[totalCourt]])</f>
        <v>1</v>
      </c>
    </row>
    <row r="2990" spans="1:16">
      <c r="A2990" s="1">
        <v>44994</v>
      </c>
      <c r="B2990">
        <v>155110</v>
      </c>
      <c r="C2990">
        <v>74156</v>
      </c>
      <c r="D2990">
        <v>80954</v>
      </c>
      <c r="E2990">
        <v>131908950</v>
      </c>
      <c r="F2990">
        <v>107593528</v>
      </c>
      <c r="G2990">
        <v>239502478</v>
      </c>
      <c r="H2990">
        <v>43152</v>
      </c>
      <c r="I2990">
        <v>10223</v>
      </c>
      <c r="J2990">
        <v>53375</v>
      </c>
      <c r="K2990" t="b">
        <f>TrafficData[[#This Row],[disposedChallan]]+TrafficData[[#This Row],[pendingChallan]]=TrafficData[[#This Row],[totalChallan]]</f>
        <v>1</v>
      </c>
      <c r="L2990" t="b">
        <f>TrafficData[[#This Row],[pendingAmount]]+TrafficData[[#This Row],[disposedAmount]]=TrafficData[[#This Row],[totalAmount]]</f>
        <v>1</v>
      </c>
      <c r="M2990" t="b">
        <f>TrafficData[[#This Row],[pendingCourt]]+TrafficData[[#This Row],[disposedCourt]]=TrafficData[[#This Row],[totalCourt]]</f>
        <v>1</v>
      </c>
      <c r="N2990" t="b">
        <f>AND(TrafficData[[#This Row],[disposedChallan]]&lt;=TrafficData[[#This Row],[totalChallan]],TrafficData[[#This Row],[pendingChallan]]&lt;=TrafficData[[#This Row],[totalChallan]])</f>
        <v>1</v>
      </c>
      <c r="O2990" t="b">
        <f>AND(TrafficData[[#This Row],[pendingAmount]]&lt;=TrafficData[[#This Row],[totalAmount]],TrafficData[[#This Row],[disposedAmount]]&lt;=TrafficData[[#This Row],[totalAmount]])</f>
        <v>1</v>
      </c>
      <c r="P2990" t="b">
        <f>AND(TrafficData[[#This Row],[pendingCourt]]&lt;=TrafficData[[#This Row],[totalCourt]],TrafficData[[#This Row],[disposedCourt]]&lt;=TrafficData[[#This Row],[totalCourt]])</f>
        <v>1</v>
      </c>
    </row>
    <row r="2991" spans="1:16">
      <c r="A2991" s="1">
        <v>44995</v>
      </c>
      <c r="B2991">
        <v>184784</v>
      </c>
      <c r="C2991">
        <v>82598</v>
      </c>
      <c r="D2991">
        <v>102186</v>
      </c>
      <c r="E2991">
        <v>173978125</v>
      </c>
      <c r="F2991">
        <v>131163680</v>
      </c>
      <c r="G2991">
        <v>305141805</v>
      </c>
      <c r="H2991">
        <v>66016</v>
      </c>
      <c r="I2991">
        <v>14152</v>
      </c>
      <c r="J2991">
        <v>80168</v>
      </c>
      <c r="K2991" t="b">
        <f>TrafficData[[#This Row],[disposedChallan]]+TrafficData[[#This Row],[pendingChallan]]=TrafficData[[#This Row],[totalChallan]]</f>
        <v>1</v>
      </c>
      <c r="L2991" t="b">
        <f>TrafficData[[#This Row],[pendingAmount]]+TrafficData[[#This Row],[disposedAmount]]=TrafficData[[#This Row],[totalAmount]]</f>
        <v>1</v>
      </c>
      <c r="M2991" t="b">
        <f>TrafficData[[#This Row],[pendingCourt]]+TrafficData[[#This Row],[disposedCourt]]=TrafficData[[#This Row],[totalCourt]]</f>
        <v>1</v>
      </c>
      <c r="N2991" t="b">
        <f>AND(TrafficData[[#This Row],[disposedChallan]]&lt;=TrafficData[[#This Row],[totalChallan]],TrafficData[[#This Row],[pendingChallan]]&lt;=TrafficData[[#This Row],[totalChallan]])</f>
        <v>1</v>
      </c>
      <c r="O2991" t="b">
        <f>AND(TrafficData[[#This Row],[pendingAmount]]&lt;=TrafficData[[#This Row],[totalAmount]],TrafficData[[#This Row],[disposedAmount]]&lt;=TrafficData[[#This Row],[totalAmount]])</f>
        <v>1</v>
      </c>
      <c r="P2991" t="b">
        <f>AND(TrafficData[[#This Row],[pendingCourt]]&lt;=TrafficData[[#This Row],[totalCourt]],TrafficData[[#This Row],[disposedCourt]]&lt;=TrafficData[[#This Row],[totalCourt]])</f>
        <v>1</v>
      </c>
    </row>
    <row r="2992" spans="1:16">
      <c r="A2992" s="1">
        <v>44996</v>
      </c>
      <c r="B2992">
        <v>176538</v>
      </c>
      <c r="C2992">
        <v>81973</v>
      </c>
      <c r="D2992">
        <v>94565</v>
      </c>
      <c r="E2992">
        <v>165968771</v>
      </c>
      <c r="F2992">
        <v>134205345</v>
      </c>
      <c r="G2992">
        <v>300174116</v>
      </c>
      <c r="H2992">
        <v>62324</v>
      </c>
      <c r="I2992">
        <v>14533</v>
      </c>
      <c r="J2992">
        <v>76857</v>
      </c>
      <c r="K2992" t="b">
        <f>TrafficData[[#This Row],[disposedChallan]]+TrafficData[[#This Row],[pendingChallan]]=TrafficData[[#This Row],[totalChallan]]</f>
        <v>1</v>
      </c>
      <c r="L2992" t="b">
        <f>TrafficData[[#This Row],[pendingAmount]]+TrafficData[[#This Row],[disposedAmount]]=TrafficData[[#This Row],[totalAmount]]</f>
        <v>1</v>
      </c>
      <c r="M2992" t="b">
        <f>TrafficData[[#This Row],[pendingCourt]]+TrafficData[[#This Row],[disposedCourt]]=TrafficData[[#This Row],[totalCourt]]</f>
        <v>1</v>
      </c>
      <c r="N2992" t="b">
        <f>AND(TrafficData[[#This Row],[disposedChallan]]&lt;=TrafficData[[#This Row],[totalChallan]],TrafficData[[#This Row],[pendingChallan]]&lt;=TrafficData[[#This Row],[totalChallan]])</f>
        <v>1</v>
      </c>
      <c r="O2992" t="b">
        <f>AND(TrafficData[[#This Row],[pendingAmount]]&lt;=TrafficData[[#This Row],[totalAmount]],TrafficData[[#This Row],[disposedAmount]]&lt;=TrafficData[[#This Row],[totalAmount]])</f>
        <v>1</v>
      </c>
      <c r="P2992" t="b">
        <f>AND(TrafficData[[#This Row],[pendingCourt]]&lt;=TrafficData[[#This Row],[totalCourt]],TrafficData[[#This Row],[disposedCourt]]&lt;=TrafficData[[#This Row],[totalCourt]])</f>
        <v>1</v>
      </c>
    </row>
    <row r="2993" spans="1:16">
      <c r="A2993" s="1">
        <v>44997</v>
      </c>
      <c r="B2993">
        <v>165132</v>
      </c>
      <c r="C2993">
        <v>72050</v>
      </c>
      <c r="D2993">
        <v>93082</v>
      </c>
      <c r="E2993">
        <v>151779050</v>
      </c>
      <c r="F2993">
        <v>108319201</v>
      </c>
      <c r="G2993">
        <v>260098251</v>
      </c>
      <c r="H2993">
        <v>60307</v>
      </c>
      <c r="I2993">
        <v>13553</v>
      </c>
      <c r="J2993">
        <v>73860</v>
      </c>
      <c r="K2993" t="b">
        <f>TrafficData[[#This Row],[disposedChallan]]+TrafficData[[#This Row],[pendingChallan]]=TrafficData[[#This Row],[totalChallan]]</f>
        <v>1</v>
      </c>
      <c r="L2993" t="b">
        <f>TrafficData[[#This Row],[pendingAmount]]+TrafficData[[#This Row],[disposedAmount]]=TrafficData[[#This Row],[totalAmount]]</f>
        <v>1</v>
      </c>
      <c r="M2993" t="b">
        <f>TrafficData[[#This Row],[pendingCourt]]+TrafficData[[#This Row],[disposedCourt]]=TrafficData[[#This Row],[totalCourt]]</f>
        <v>1</v>
      </c>
      <c r="N2993" t="b">
        <f>AND(TrafficData[[#This Row],[disposedChallan]]&lt;=TrafficData[[#This Row],[totalChallan]],TrafficData[[#This Row],[pendingChallan]]&lt;=TrafficData[[#This Row],[totalChallan]])</f>
        <v>1</v>
      </c>
      <c r="O2993" t="b">
        <f>AND(TrafficData[[#This Row],[pendingAmount]]&lt;=TrafficData[[#This Row],[totalAmount]],TrafficData[[#This Row],[disposedAmount]]&lt;=TrafficData[[#This Row],[totalAmount]])</f>
        <v>1</v>
      </c>
      <c r="P2993" t="b">
        <f>AND(TrafficData[[#This Row],[pendingCourt]]&lt;=TrafficData[[#This Row],[totalCourt]],TrafficData[[#This Row],[disposedCourt]]&lt;=TrafficData[[#This Row],[totalCourt]])</f>
        <v>1</v>
      </c>
    </row>
    <row r="2994" spans="1:16">
      <c r="A2994" s="1">
        <v>44998</v>
      </c>
      <c r="B2994">
        <v>193760</v>
      </c>
      <c r="C2994">
        <v>88068</v>
      </c>
      <c r="D2994">
        <v>105692</v>
      </c>
      <c r="E2994">
        <v>188611254</v>
      </c>
      <c r="F2994">
        <v>141356794</v>
      </c>
      <c r="G2994">
        <v>329968048</v>
      </c>
      <c r="H2994">
        <v>67036</v>
      </c>
      <c r="I2994">
        <v>14998</v>
      </c>
      <c r="J2994">
        <v>82034</v>
      </c>
      <c r="K2994" t="b">
        <f>TrafficData[[#This Row],[disposedChallan]]+TrafficData[[#This Row],[pendingChallan]]=TrafficData[[#This Row],[totalChallan]]</f>
        <v>1</v>
      </c>
      <c r="L2994" t="b">
        <f>TrafficData[[#This Row],[pendingAmount]]+TrafficData[[#This Row],[disposedAmount]]=TrafficData[[#This Row],[totalAmount]]</f>
        <v>1</v>
      </c>
      <c r="M2994" t="b">
        <f>TrafficData[[#This Row],[pendingCourt]]+TrafficData[[#This Row],[disposedCourt]]=TrafficData[[#This Row],[totalCourt]]</f>
        <v>1</v>
      </c>
      <c r="N2994" t="b">
        <f>AND(TrafficData[[#This Row],[disposedChallan]]&lt;=TrafficData[[#This Row],[totalChallan]],TrafficData[[#This Row],[pendingChallan]]&lt;=TrafficData[[#This Row],[totalChallan]])</f>
        <v>1</v>
      </c>
      <c r="O2994" t="b">
        <f>AND(TrafficData[[#This Row],[pendingAmount]]&lt;=TrafficData[[#This Row],[totalAmount]],TrafficData[[#This Row],[disposedAmount]]&lt;=TrafficData[[#This Row],[totalAmount]])</f>
        <v>1</v>
      </c>
      <c r="P2994" t="b">
        <f>AND(TrafficData[[#This Row],[pendingCourt]]&lt;=TrafficData[[#This Row],[totalCourt]],TrafficData[[#This Row],[disposedCourt]]&lt;=TrafficData[[#This Row],[totalCourt]])</f>
        <v>1</v>
      </c>
    </row>
    <row r="2995" spans="1:16">
      <c r="A2995" s="1">
        <v>44999</v>
      </c>
      <c r="B2995">
        <v>190085</v>
      </c>
      <c r="C2995">
        <v>85740</v>
      </c>
      <c r="D2995">
        <v>104345</v>
      </c>
      <c r="E2995">
        <v>188363510</v>
      </c>
      <c r="F2995">
        <v>153926026</v>
      </c>
      <c r="G2995">
        <v>342289536</v>
      </c>
      <c r="H2995">
        <v>63543</v>
      </c>
      <c r="I2995">
        <v>13899</v>
      </c>
      <c r="J2995">
        <v>77442</v>
      </c>
      <c r="K2995" t="b">
        <f>TrafficData[[#This Row],[disposedChallan]]+TrafficData[[#This Row],[pendingChallan]]=TrafficData[[#This Row],[totalChallan]]</f>
        <v>1</v>
      </c>
      <c r="L2995" t="b">
        <f>TrafficData[[#This Row],[pendingAmount]]+TrafficData[[#This Row],[disposedAmount]]=TrafficData[[#This Row],[totalAmount]]</f>
        <v>1</v>
      </c>
      <c r="M2995" t="b">
        <f>TrafficData[[#This Row],[pendingCourt]]+TrafficData[[#This Row],[disposedCourt]]=TrafficData[[#This Row],[totalCourt]]</f>
        <v>1</v>
      </c>
      <c r="N2995" t="b">
        <f>AND(TrafficData[[#This Row],[disposedChallan]]&lt;=TrafficData[[#This Row],[totalChallan]],TrafficData[[#This Row],[pendingChallan]]&lt;=TrafficData[[#This Row],[totalChallan]])</f>
        <v>1</v>
      </c>
      <c r="O2995" t="b">
        <f>AND(TrafficData[[#This Row],[pendingAmount]]&lt;=TrafficData[[#This Row],[totalAmount]],TrafficData[[#This Row],[disposedAmount]]&lt;=TrafficData[[#This Row],[totalAmount]])</f>
        <v>1</v>
      </c>
      <c r="P2995" t="b">
        <f>AND(TrafficData[[#This Row],[pendingCourt]]&lt;=TrafficData[[#This Row],[totalCourt]],TrafficData[[#This Row],[disposedCourt]]&lt;=TrafficData[[#This Row],[totalCourt]])</f>
        <v>1</v>
      </c>
    </row>
    <row r="2996" spans="1:16">
      <c r="A2996" s="1">
        <v>45000</v>
      </c>
      <c r="B2996">
        <v>182511</v>
      </c>
      <c r="C2996">
        <v>82915</v>
      </c>
      <c r="D2996">
        <v>99596</v>
      </c>
      <c r="E2996">
        <v>173118062</v>
      </c>
      <c r="F2996">
        <v>148908345</v>
      </c>
      <c r="G2996">
        <v>322026407</v>
      </c>
      <c r="H2996">
        <v>62859</v>
      </c>
      <c r="I2996">
        <v>13984</v>
      </c>
      <c r="J2996">
        <v>76843</v>
      </c>
      <c r="K2996" t="b">
        <f>TrafficData[[#This Row],[disposedChallan]]+TrafficData[[#This Row],[pendingChallan]]=TrafficData[[#This Row],[totalChallan]]</f>
        <v>1</v>
      </c>
      <c r="L2996" t="b">
        <f>TrafficData[[#This Row],[pendingAmount]]+TrafficData[[#This Row],[disposedAmount]]=TrafficData[[#This Row],[totalAmount]]</f>
        <v>1</v>
      </c>
      <c r="M2996" t="b">
        <f>TrafficData[[#This Row],[pendingCourt]]+TrafficData[[#This Row],[disposedCourt]]=TrafficData[[#This Row],[totalCourt]]</f>
        <v>1</v>
      </c>
      <c r="N2996" t="b">
        <f>AND(TrafficData[[#This Row],[disposedChallan]]&lt;=TrafficData[[#This Row],[totalChallan]],TrafficData[[#This Row],[pendingChallan]]&lt;=TrafficData[[#This Row],[totalChallan]])</f>
        <v>1</v>
      </c>
      <c r="O2996" t="b">
        <f>AND(TrafficData[[#This Row],[pendingAmount]]&lt;=TrafficData[[#This Row],[totalAmount]],TrafficData[[#This Row],[disposedAmount]]&lt;=TrafficData[[#This Row],[totalAmount]])</f>
        <v>1</v>
      </c>
      <c r="P2996" t="b">
        <f>AND(TrafficData[[#This Row],[pendingCourt]]&lt;=TrafficData[[#This Row],[totalCourt]],TrafficData[[#This Row],[disposedCourt]]&lt;=TrafficData[[#This Row],[totalCourt]])</f>
        <v>1</v>
      </c>
    </row>
    <row r="2997" spans="1:16">
      <c r="A2997" s="1">
        <v>45001</v>
      </c>
      <c r="B2997">
        <v>187010</v>
      </c>
      <c r="C2997">
        <v>85141</v>
      </c>
      <c r="D2997">
        <v>101869</v>
      </c>
      <c r="E2997">
        <v>195272607</v>
      </c>
      <c r="F2997">
        <v>151382472</v>
      </c>
      <c r="G2997">
        <v>346655079</v>
      </c>
      <c r="H2997">
        <v>61724</v>
      </c>
      <c r="I2997">
        <v>13898</v>
      </c>
      <c r="J2997">
        <v>75622</v>
      </c>
      <c r="K2997" t="b">
        <f>TrafficData[[#This Row],[disposedChallan]]+TrafficData[[#This Row],[pendingChallan]]=TrafficData[[#This Row],[totalChallan]]</f>
        <v>1</v>
      </c>
      <c r="L2997" t="b">
        <f>TrafficData[[#This Row],[pendingAmount]]+TrafficData[[#This Row],[disposedAmount]]=TrafficData[[#This Row],[totalAmount]]</f>
        <v>1</v>
      </c>
      <c r="M2997" t="b">
        <f>TrafficData[[#This Row],[pendingCourt]]+TrafficData[[#This Row],[disposedCourt]]=TrafficData[[#This Row],[totalCourt]]</f>
        <v>1</v>
      </c>
      <c r="N2997" t="b">
        <f>AND(TrafficData[[#This Row],[disposedChallan]]&lt;=TrafficData[[#This Row],[totalChallan]],TrafficData[[#This Row],[pendingChallan]]&lt;=TrafficData[[#This Row],[totalChallan]])</f>
        <v>1</v>
      </c>
      <c r="O2997" t="b">
        <f>AND(TrafficData[[#This Row],[pendingAmount]]&lt;=TrafficData[[#This Row],[totalAmount]],TrafficData[[#This Row],[disposedAmount]]&lt;=TrafficData[[#This Row],[totalAmount]])</f>
        <v>1</v>
      </c>
      <c r="P2997" t="b">
        <f>AND(TrafficData[[#This Row],[pendingCourt]]&lt;=TrafficData[[#This Row],[totalCourt]],TrafficData[[#This Row],[disposedCourt]]&lt;=TrafficData[[#This Row],[totalCourt]])</f>
        <v>1</v>
      </c>
    </row>
    <row r="2998" spans="1:16">
      <c r="A2998" s="1">
        <v>45002</v>
      </c>
      <c r="B2998">
        <v>185714</v>
      </c>
      <c r="C2998">
        <v>83967</v>
      </c>
      <c r="D2998">
        <v>101747</v>
      </c>
      <c r="E2998">
        <v>182438167</v>
      </c>
      <c r="F2998">
        <v>155658631</v>
      </c>
      <c r="G2998">
        <v>338096798</v>
      </c>
      <c r="H2998">
        <v>62907</v>
      </c>
      <c r="I2998">
        <v>14354</v>
      </c>
      <c r="J2998">
        <v>77261</v>
      </c>
      <c r="K2998" t="b">
        <f>TrafficData[[#This Row],[disposedChallan]]+TrafficData[[#This Row],[pendingChallan]]=TrafficData[[#This Row],[totalChallan]]</f>
        <v>1</v>
      </c>
      <c r="L2998" t="b">
        <f>TrafficData[[#This Row],[pendingAmount]]+TrafficData[[#This Row],[disposedAmount]]=TrafficData[[#This Row],[totalAmount]]</f>
        <v>1</v>
      </c>
      <c r="M2998" t="b">
        <f>TrafficData[[#This Row],[pendingCourt]]+TrafficData[[#This Row],[disposedCourt]]=TrafficData[[#This Row],[totalCourt]]</f>
        <v>1</v>
      </c>
      <c r="N2998" t="b">
        <f>AND(TrafficData[[#This Row],[disposedChallan]]&lt;=TrafficData[[#This Row],[totalChallan]],TrafficData[[#This Row],[pendingChallan]]&lt;=TrafficData[[#This Row],[totalChallan]])</f>
        <v>1</v>
      </c>
      <c r="O2998" t="b">
        <f>AND(TrafficData[[#This Row],[pendingAmount]]&lt;=TrafficData[[#This Row],[totalAmount]],TrafficData[[#This Row],[disposedAmount]]&lt;=TrafficData[[#This Row],[totalAmount]])</f>
        <v>1</v>
      </c>
      <c r="P2998" t="b">
        <f>AND(TrafficData[[#This Row],[pendingCourt]]&lt;=TrafficData[[#This Row],[totalCourt]],TrafficData[[#This Row],[disposedCourt]]&lt;=TrafficData[[#This Row],[totalCourt]])</f>
        <v>1</v>
      </c>
    </row>
    <row r="2999" spans="1:16">
      <c r="A2999" s="1">
        <v>45003</v>
      </c>
      <c r="B2999">
        <v>177369</v>
      </c>
      <c r="C2999">
        <v>81678</v>
      </c>
      <c r="D2999">
        <v>95691</v>
      </c>
      <c r="E2999">
        <v>180393516</v>
      </c>
      <c r="F2999">
        <v>142783631</v>
      </c>
      <c r="G2999">
        <v>323177147</v>
      </c>
      <c r="H2999">
        <v>54914</v>
      </c>
      <c r="I2999">
        <v>13082</v>
      </c>
      <c r="J2999">
        <v>67996</v>
      </c>
      <c r="K2999" t="b">
        <f>TrafficData[[#This Row],[disposedChallan]]+TrafficData[[#This Row],[pendingChallan]]=TrafficData[[#This Row],[totalChallan]]</f>
        <v>1</v>
      </c>
      <c r="L2999" t="b">
        <f>TrafficData[[#This Row],[pendingAmount]]+TrafficData[[#This Row],[disposedAmount]]=TrafficData[[#This Row],[totalAmount]]</f>
        <v>1</v>
      </c>
      <c r="M2999" t="b">
        <f>TrafficData[[#This Row],[pendingCourt]]+TrafficData[[#This Row],[disposedCourt]]=TrafficData[[#This Row],[totalCourt]]</f>
        <v>1</v>
      </c>
      <c r="N2999" t="b">
        <f>AND(TrafficData[[#This Row],[disposedChallan]]&lt;=TrafficData[[#This Row],[totalChallan]],TrafficData[[#This Row],[pendingChallan]]&lt;=TrafficData[[#This Row],[totalChallan]])</f>
        <v>1</v>
      </c>
      <c r="O2999" t="b">
        <f>AND(TrafficData[[#This Row],[pendingAmount]]&lt;=TrafficData[[#This Row],[totalAmount]],TrafficData[[#This Row],[disposedAmount]]&lt;=TrafficData[[#This Row],[totalAmount]])</f>
        <v>1</v>
      </c>
      <c r="P2999" t="b">
        <f>AND(TrafficData[[#This Row],[pendingCourt]]&lt;=TrafficData[[#This Row],[totalCourt]],TrafficData[[#This Row],[disposedCourt]]&lt;=TrafficData[[#This Row],[totalCourt]])</f>
        <v>1</v>
      </c>
    </row>
    <row r="3000" spans="1:16">
      <c r="A3000" s="1">
        <v>45004</v>
      </c>
      <c r="B3000">
        <v>168398</v>
      </c>
      <c r="C3000">
        <v>72081</v>
      </c>
      <c r="D3000">
        <v>96317</v>
      </c>
      <c r="E3000">
        <v>162998416</v>
      </c>
      <c r="F3000">
        <v>108152526</v>
      </c>
      <c r="G3000">
        <v>271150942</v>
      </c>
      <c r="H3000">
        <v>53683</v>
      </c>
      <c r="I3000">
        <v>12415</v>
      </c>
      <c r="J3000">
        <v>66098</v>
      </c>
      <c r="K3000" t="b">
        <f>TrafficData[[#This Row],[disposedChallan]]+TrafficData[[#This Row],[pendingChallan]]=TrafficData[[#This Row],[totalChallan]]</f>
        <v>1</v>
      </c>
      <c r="L3000" t="b">
        <f>TrafficData[[#This Row],[pendingAmount]]+TrafficData[[#This Row],[disposedAmount]]=TrafficData[[#This Row],[totalAmount]]</f>
        <v>1</v>
      </c>
      <c r="M3000" t="b">
        <f>TrafficData[[#This Row],[pendingCourt]]+TrafficData[[#This Row],[disposedCourt]]=TrafficData[[#This Row],[totalCourt]]</f>
        <v>1</v>
      </c>
      <c r="N3000" t="b">
        <f>AND(TrafficData[[#This Row],[disposedChallan]]&lt;=TrafficData[[#This Row],[totalChallan]],TrafficData[[#This Row],[pendingChallan]]&lt;=TrafficData[[#This Row],[totalChallan]])</f>
        <v>1</v>
      </c>
      <c r="O3000" t="b">
        <f>AND(TrafficData[[#This Row],[pendingAmount]]&lt;=TrafficData[[#This Row],[totalAmount]],TrafficData[[#This Row],[disposedAmount]]&lt;=TrafficData[[#This Row],[totalAmount]])</f>
        <v>1</v>
      </c>
      <c r="P3000" t="b">
        <f>AND(TrafficData[[#This Row],[pendingCourt]]&lt;=TrafficData[[#This Row],[totalCourt]],TrafficData[[#This Row],[disposedCourt]]&lt;=TrafficData[[#This Row],[totalCourt]])</f>
        <v>1</v>
      </c>
    </row>
    <row r="3001" spans="1:16">
      <c r="A3001" s="1">
        <v>45005</v>
      </c>
      <c r="B3001">
        <v>179885</v>
      </c>
      <c r="C3001">
        <v>79618</v>
      </c>
      <c r="D3001">
        <v>100267</v>
      </c>
      <c r="E3001">
        <v>176464209</v>
      </c>
      <c r="F3001">
        <v>229907362</v>
      </c>
      <c r="G3001">
        <v>406371571</v>
      </c>
      <c r="H3001">
        <v>59615</v>
      </c>
      <c r="I3001">
        <v>12733</v>
      </c>
      <c r="J3001">
        <v>72348</v>
      </c>
      <c r="K3001" t="b">
        <f>TrafficData[[#This Row],[disposedChallan]]+TrafficData[[#This Row],[pendingChallan]]=TrafficData[[#This Row],[totalChallan]]</f>
        <v>1</v>
      </c>
      <c r="L3001" t="b">
        <f>TrafficData[[#This Row],[pendingAmount]]+TrafficData[[#This Row],[disposedAmount]]=TrafficData[[#This Row],[totalAmount]]</f>
        <v>1</v>
      </c>
      <c r="M3001" t="b">
        <f>TrafficData[[#This Row],[pendingCourt]]+TrafficData[[#This Row],[disposedCourt]]=TrafficData[[#This Row],[totalCourt]]</f>
        <v>1</v>
      </c>
      <c r="N3001" t="b">
        <f>AND(TrafficData[[#This Row],[disposedChallan]]&lt;=TrafficData[[#This Row],[totalChallan]],TrafficData[[#This Row],[pendingChallan]]&lt;=TrafficData[[#This Row],[totalChallan]])</f>
        <v>1</v>
      </c>
      <c r="O3001" t="b">
        <f>AND(TrafficData[[#This Row],[pendingAmount]]&lt;=TrafficData[[#This Row],[totalAmount]],TrafficData[[#This Row],[disposedAmount]]&lt;=TrafficData[[#This Row],[totalAmount]])</f>
        <v>1</v>
      </c>
      <c r="P3001" t="b">
        <f>AND(TrafficData[[#This Row],[pendingCourt]]&lt;=TrafficData[[#This Row],[totalCourt]],TrafficData[[#This Row],[disposedCourt]]&lt;=TrafficData[[#This Row],[totalCourt]])</f>
        <v>1</v>
      </c>
    </row>
    <row r="3002" spans="1:16">
      <c r="A3002" s="1">
        <v>45006</v>
      </c>
      <c r="B3002">
        <v>189498</v>
      </c>
      <c r="C3002">
        <v>84507</v>
      </c>
      <c r="D3002">
        <v>104991</v>
      </c>
      <c r="E3002">
        <v>187284084</v>
      </c>
      <c r="F3002">
        <v>143195832</v>
      </c>
      <c r="G3002">
        <v>330479916</v>
      </c>
      <c r="H3002">
        <v>61587</v>
      </c>
      <c r="I3002">
        <v>13742</v>
      </c>
      <c r="J3002">
        <v>75329</v>
      </c>
      <c r="K3002" t="b">
        <f>TrafficData[[#This Row],[disposedChallan]]+TrafficData[[#This Row],[pendingChallan]]=TrafficData[[#This Row],[totalChallan]]</f>
        <v>1</v>
      </c>
      <c r="L3002" t="b">
        <f>TrafficData[[#This Row],[pendingAmount]]+TrafficData[[#This Row],[disposedAmount]]=TrafficData[[#This Row],[totalAmount]]</f>
        <v>1</v>
      </c>
      <c r="M3002" t="b">
        <f>TrafficData[[#This Row],[pendingCourt]]+TrafficData[[#This Row],[disposedCourt]]=TrafficData[[#This Row],[totalCourt]]</f>
        <v>1</v>
      </c>
      <c r="N3002" t="b">
        <f>AND(TrafficData[[#This Row],[disposedChallan]]&lt;=TrafficData[[#This Row],[totalChallan]],TrafficData[[#This Row],[pendingChallan]]&lt;=TrafficData[[#This Row],[totalChallan]])</f>
        <v>1</v>
      </c>
      <c r="O3002" t="b">
        <f>AND(TrafficData[[#This Row],[pendingAmount]]&lt;=TrafficData[[#This Row],[totalAmount]],TrafficData[[#This Row],[disposedAmount]]&lt;=TrafficData[[#This Row],[totalAmount]])</f>
        <v>1</v>
      </c>
      <c r="P3002" t="b">
        <f>AND(TrafficData[[#This Row],[pendingCourt]]&lt;=TrafficData[[#This Row],[totalCourt]],TrafficData[[#This Row],[disposedCourt]]&lt;=TrafficData[[#This Row],[totalCourt]])</f>
        <v>1</v>
      </c>
    </row>
    <row r="3003" spans="1:16">
      <c r="A3003" s="1">
        <v>45007</v>
      </c>
      <c r="B3003">
        <v>192988</v>
      </c>
      <c r="C3003">
        <v>85168</v>
      </c>
      <c r="D3003">
        <v>107820</v>
      </c>
      <c r="E3003">
        <v>189492881</v>
      </c>
      <c r="F3003">
        <v>138131344</v>
      </c>
      <c r="G3003">
        <v>327624225</v>
      </c>
      <c r="H3003">
        <v>62015</v>
      </c>
      <c r="I3003">
        <v>13835</v>
      </c>
      <c r="J3003">
        <v>75850</v>
      </c>
      <c r="K3003" t="b">
        <f>TrafficData[[#This Row],[disposedChallan]]+TrafficData[[#This Row],[pendingChallan]]=TrafficData[[#This Row],[totalChallan]]</f>
        <v>1</v>
      </c>
      <c r="L3003" t="b">
        <f>TrafficData[[#This Row],[pendingAmount]]+TrafficData[[#This Row],[disposedAmount]]=TrafficData[[#This Row],[totalAmount]]</f>
        <v>1</v>
      </c>
      <c r="M3003" t="b">
        <f>TrafficData[[#This Row],[pendingCourt]]+TrafficData[[#This Row],[disposedCourt]]=TrafficData[[#This Row],[totalCourt]]</f>
        <v>1</v>
      </c>
      <c r="N3003" t="b">
        <f>AND(TrafficData[[#This Row],[disposedChallan]]&lt;=TrafficData[[#This Row],[totalChallan]],TrafficData[[#This Row],[pendingChallan]]&lt;=TrafficData[[#This Row],[totalChallan]])</f>
        <v>1</v>
      </c>
      <c r="O3003" t="b">
        <f>AND(TrafficData[[#This Row],[pendingAmount]]&lt;=TrafficData[[#This Row],[totalAmount]],TrafficData[[#This Row],[disposedAmount]]&lt;=TrafficData[[#This Row],[totalAmount]])</f>
        <v>1</v>
      </c>
      <c r="P3003" t="b">
        <f>AND(TrafficData[[#This Row],[pendingCourt]]&lt;=TrafficData[[#This Row],[totalCourt]],TrafficData[[#This Row],[disposedCourt]]&lt;=TrafficData[[#This Row],[totalCourt]])</f>
        <v>1</v>
      </c>
    </row>
    <row r="3004" spans="1:16">
      <c r="A3004" s="1">
        <v>45008</v>
      </c>
      <c r="B3004">
        <v>193242</v>
      </c>
      <c r="C3004">
        <v>85422</v>
      </c>
      <c r="D3004">
        <v>107820</v>
      </c>
      <c r="E3004">
        <v>202652541</v>
      </c>
      <c r="F3004">
        <v>153722005</v>
      </c>
      <c r="G3004">
        <v>356374546</v>
      </c>
      <c r="H3004">
        <v>62845</v>
      </c>
      <c r="I3004">
        <v>14391</v>
      </c>
      <c r="J3004">
        <v>77236</v>
      </c>
      <c r="K3004" t="b">
        <f>TrafficData[[#This Row],[disposedChallan]]+TrafficData[[#This Row],[pendingChallan]]=TrafficData[[#This Row],[totalChallan]]</f>
        <v>1</v>
      </c>
      <c r="L3004" t="b">
        <f>TrafficData[[#This Row],[pendingAmount]]+TrafficData[[#This Row],[disposedAmount]]=TrafficData[[#This Row],[totalAmount]]</f>
        <v>1</v>
      </c>
      <c r="M3004" t="b">
        <f>TrafficData[[#This Row],[pendingCourt]]+TrafficData[[#This Row],[disposedCourt]]=TrafficData[[#This Row],[totalCourt]]</f>
        <v>1</v>
      </c>
      <c r="N3004" t="b">
        <f>AND(TrafficData[[#This Row],[disposedChallan]]&lt;=TrafficData[[#This Row],[totalChallan]],TrafficData[[#This Row],[pendingChallan]]&lt;=TrafficData[[#This Row],[totalChallan]])</f>
        <v>1</v>
      </c>
      <c r="O3004" t="b">
        <f>AND(TrafficData[[#This Row],[pendingAmount]]&lt;=TrafficData[[#This Row],[totalAmount]],TrafficData[[#This Row],[disposedAmount]]&lt;=TrafficData[[#This Row],[totalAmount]])</f>
        <v>1</v>
      </c>
      <c r="P3004" t="b">
        <f>AND(TrafficData[[#This Row],[pendingCourt]]&lt;=TrafficData[[#This Row],[totalCourt]],TrafficData[[#This Row],[disposedCourt]]&lt;=TrafficData[[#This Row],[totalCourt]])</f>
        <v>1</v>
      </c>
    </row>
    <row r="3005" spans="1:16">
      <c r="A3005" s="1">
        <v>45009</v>
      </c>
      <c r="B3005">
        <v>182741</v>
      </c>
      <c r="C3005">
        <v>81339</v>
      </c>
      <c r="D3005">
        <v>101402</v>
      </c>
      <c r="E3005">
        <v>186561585</v>
      </c>
      <c r="F3005">
        <v>141178148</v>
      </c>
      <c r="G3005">
        <v>327739733</v>
      </c>
      <c r="H3005">
        <v>60263</v>
      </c>
      <c r="I3005">
        <v>13275</v>
      </c>
      <c r="J3005">
        <v>73538</v>
      </c>
      <c r="K3005" t="b">
        <f>TrafficData[[#This Row],[disposedChallan]]+TrafficData[[#This Row],[pendingChallan]]=TrafficData[[#This Row],[totalChallan]]</f>
        <v>1</v>
      </c>
      <c r="L3005" t="b">
        <f>TrafficData[[#This Row],[pendingAmount]]+TrafficData[[#This Row],[disposedAmount]]=TrafficData[[#This Row],[totalAmount]]</f>
        <v>1</v>
      </c>
      <c r="M3005" t="b">
        <f>TrafficData[[#This Row],[pendingCourt]]+TrafficData[[#This Row],[disposedCourt]]=TrafficData[[#This Row],[totalCourt]]</f>
        <v>1</v>
      </c>
      <c r="N3005" t="b">
        <f>AND(TrafficData[[#This Row],[disposedChallan]]&lt;=TrafficData[[#This Row],[totalChallan]],TrafficData[[#This Row],[pendingChallan]]&lt;=TrafficData[[#This Row],[totalChallan]])</f>
        <v>1</v>
      </c>
      <c r="O3005" t="b">
        <f>AND(TrafficData[[#This Row],[pendingAmount]]&lt;=TrafficData[[#This Row],[totalAmount]],TrafficData[[#This Row],[disposedAmount]]&lt;=TrafficData[[#This Row],[totalAmount]])</f>
        <v>1</v>
      </c>
      <c r="P3005" t="b">
        <f>AND(TrafficData[[#This Row],[pendingCourt]]&lt;=TrafficData[[#This Row],[totalCourt]],TrafficData[[#This Row],[disposedCourt]]&lt;=TrafficData[[#This Row],[totalCourt]])</f>
        <v>1</v>
      </c>
    </row>
    <row r="3006" spans="1:16">
      <c r="A3006" s="1">
        <v>45010</v>
      </c>
      <c r="B3006">
        <v>185359</v>
      </c>
      <c r="C3006">
        <v>82477</v>
      </c>
      <c r="D3006">
        <v>102882</v>
      </c>
      <c r="E3006">
        <v>183657052</v>
      </c>
      <c r="F3006">
        <v>133779863</v>
      </c>
      <c r="G3006">
        <v>317436915</v>
      </c>
      <c r="H3006">
        <v>59651</v>
      </c>
      <c r="I3006">
        <v>14023</v>
      </c>
      <c r="J3006">
        <v>73674</v>
      </c>
      <c r="K3006" t="b">
        <f>TrafficData[[#This Row],[disposedChallan]]+TrafficData[[#This Row],[pendingChallan]]=TrafficData[[#This Row],[totalChallan]]</f>
        <v>1</v>
      </c>
      <c r="L3006" t="b">
        <f>TrafficData[[#This Row],[pendingAmount]]+TrafficData[[#This Row],[disposedAmount]]=TrafficData[[#This Row],[totalAmount]]</f>
        <v>1</v>
      </c>
      <c r="M3006" t="b">
        <f>TrafficData[[#This Row],[pendingCourt]]+TrafficData[[#This Row],[disposedCourt]]=TrafficData[[#This Row],[totalCourt]]</f>
        <v>1</v>
      </c>
      <c r="N3006" t="b">
        <f>AND(TrafficData[[#This Row],[disposedChallan]]&lt;=TrafficData[[#This Row],[totalChallan]],TrafficData[[#This Row],[pendingChallan]]&lt;=TrafficData[[#This Row],[totalChallan]])</f>
        <v>1</v>
      </c>
      <c r="O3006" t="b">
        <f>AND(TrafficData[[#This Row],[pendingAmount]]&lt;=TrafficData[[#This Row],[totalAmount]],TrafficData[[#This Row],[disposedAmount]]&lt;=TrafficData[[#This Row],[totalAmount]])</f>
        <v>1</v>
      </c>
      <c r="P3006" t="b">
        <f>AND(TrafficData[[#This Row],[pendingCourt]]&lt;=TrafficData[[#This Row],[totalCourt]],TrafficData[[#This Row],[disposedCourt]]&lt;=TrafficData[[#This Row],[totalCourt]])</f>
        <v>1</v>
      </c>
    </row>
    <row r="3007" spans="1:16">
      <c r="A3007" s="1">
        <v>45011</v>
      </c>
      <c r="B3007">
        <v>161433</v>
      </c>
      <c r="C3007">
        <v>69222</v>
      </c>
      <c r="D3007">
        <v>92211</v>
      </c>
      <c r="E3007">
        <v>157472880</v>
      </c>
      <c r="F3007">
        <v>98954992</v>
      </c>
      <c r="G3007">
        <v>256427872</v>
      </c>
      <c r="H3007">
        <v>52509</v>
      </c>
      <c r="I3007">
        <v>12566</v>
      </c>
      <c r="J3007">
        <v>65075</v>
      </c>
      <c r="K3007" t="b">
        <f>TrafficData[[#This Row],[disposedChallan]]+TrafficData[[#This Row],[pendingChallan]]=TrafficData[[#This Row],[totalChallan]]</f>
        <v>1</v>
      </c>
      <c r="L3007" t="b">
        <f>TrafficData[[#This Row],[pendingAmount]]+TrafficData[[#This Row],[disposedAmount]]=TrafficData[[#This Row],[totalAmount]]</f>
        <v>1</v>
      </c>
      <c r="M3007" t="b">
        <f>TrafficData[[#This Row],[pendingCourt]]+TrafficData[[#This Row],[disposedCourt]]=TrafficData[[#This Row],[totalCourt]]</f>
        <v>1</v>
      </c>
      <c r="N3007" t="b">
        <f>AND(TrafficData[[#This Row],[disposedChallan]]&lt;=TrafficData[[#This Row],[totalChallan]],TrafficData[[#This Row],[pendingChallan]]&lt;=TrafficData[[#This Row],[totalChallan]])</f>
        <v>1</v>
      </c>
      <c r="O3007" t="b">
        <f>AND(TrafficData[[#This Row],[pendingAmount]]&lt;=TrafficData[[#This Row],[totalAmount]],TrafficData[[#This Row],[disposedAmount]]&lt;=TrafficData[[#This Row],[totalAmount]])</f>
        <v>1</v>
      </c>
      <c r="P3007" t="b">
        <f>AND(TrafficData[[#This Row],[pendingCourt]]&lt;=TrafficData[[#This Row],[totalCourt]],TrafficData[[#This Row],[disposedCourt]]&lt;=TrafficData[[#This Row],[totalCourt]])</f>
        <v>1</v>
      </c>
    </row>
    <row r="3008" spans="1:16">
      <c r="A3008" s="1">
        <v>45012</v>
      </c>
      <c r="B3008">
        <v>175900</v>
      </c>
      <c r="C3008">
        <v>77264</v>
      </c>
      <c r="D3008">
        <v>98636</v>
      </c>
      <c r="E3008">
        <v>163176062</v>
      </c>
      <c r="F3008">
        <v>126178429</v>
      </c>
      <c r="G3008">
        <v>289354491</v>
      </c>
      <c r="H3008">
        <v>59347</v>
      </c>
      <c r="I3008">
        <v>13312</v>
      </c>
      <c r="J3008">
        <v>72659</v>
      </c>
      <c r="K3008" t="b">
        <f>TrafficData[[#This Row],[disposedChallan]]+TrafficData[[#This Row],[pendingChallan]]=TrafficData[[#This Row],[totalChallan]]</f>
        <v>1</v>
      </c>
      <c r="L3008" t="b">
        <f>TrafficData[[#This Row],[pendingAmount]]+TrafficData[[#This Row],[disposedAmount]]=TrafficData[[#This Row],[totalAmount]]</f>
        <v>1</v>
      </c>
      <c r="M3008" t="b">
        <f>TrafficData[[#This Row],[pendingCourt]]+TrafficData[[#This Row],[disposedCourt]]=TrafficData[[#This Row],[totalCourt]]</f>
        <v>1</v>
      </c>
      <c r="N3008" t="b">
        <f>AND(TrafficData[[#This Row],[disposedChallan]]&lt;=TrafficData[[#This Row],[totalChallan]],TrafficData[[#This Row],[pendingChallan]]&lt;=TrafficData[[#This Row],[totalChallan]])</f>
        <v>1</v>
      </c>
      <c r="O3008" t="b">
        <f>AND(TrafficData[[#This Row],[pendingAmount]]&lt;=TrafficData[[#This Row],[totalAmount]],TrafficData[[#This Row],[disposedAmount]]&lt;=TrafficData[[#This Row],[totalAmount]])</f>
        <v>1</v>
      </c>
      <c r="P3008" t="b">
        <f>AND(TrafficData[[#This Row],[pendingCourt]]&lt;=TrafficData[[#This Row],[totalCourt]],TrafficData[[#This Row],[disposedCourt]]&lt;=TrafficData[[#This Row],[totalCourt]])</f>
        <v>1</v>
      </c>
    </row>
    <row r="3009" spans="1:16">
      <c r="A3009" s="1">
        <v>45013</v>
      </c>
      <c r="B3009">
        <v>186151</v>
      </c>
      <c r="C3009">
        <v>80133</v>
      </c>
      <c r="D3009">
        <v>106018</v>
      </c>
      <c r="E3009">
        <v>186454014</v>
      </c>
      <c r="F3009">
        <v>137047257</v>
      </c>
      <c r="G3009">
        <v>323501271</v>
      </c>
      <c r="H3009">
        <v>61931</v>
      </c>
      <c r="I3009">
        <v>13870</v>
      </c>
      <c r="J3009">
        <v>75801</v>
      </c>
      <c r="K3009" t="b">
        <f>TrafficData[[#This Row],[disposedChallan]]+TrafficData[[#This Row],[pendingChallan]]=TrafficData[[#This Row],[totalChallan]]</f>
        <v>1</v>
      </c>
      <c r="L3009" t="b">
        <f>TrafficData[[#This Row],[pendingAmount]]+TrafficData[[#This Row],[disposedAmount]]=TrafficData[[#This Row],[totalAmount]]</f>
        <v>1</v>
      </c>
      <c r="M3009" t="b">
        <f>TrafficData[[#This Row],[pendingCourt]]+TrafficData[[#This Row],[disposedCourt]]=TrafficData[[#This Row],[totalCourt]]</f>
        <v>1</v>
      </c>
      <c r="N3009" t="b">
        <f>AND(TrafficData[[#This Row],[disposedChallan]]&lt;=TrafficData[[#This Row],[totalChallan]],TrafficData[[#This Row],[pendingChallan]]&lt;=TrafficData[[#This Row],[totalChallan]])</f>
        <v>1</v>
      </c>
      <c r="O3009" t="b">
        <f>AND(TrafficData[[#This Row],[pendingAmount]]&lt;=TrafficData[[#This Row],[totalAmount]],TrafficData[[#This Row],[disposedAmount]]&lt;=TrafficData[[#This Row],[totalAmount]])</f>
        <v>1</v>
      </c>
      <c r="P3009" t="b">
        <f>AND(TrafficData[[#This Row],[pendingCourt]]&lt;=TrafficData[[#This Row],[totalCourt]],TrafficData[[#This Row],[disposedCourt]]&lt;=TrafficData[[#This Row],[totalCourt]])</f>
        <v>1</v>
      </c>
    </row>
    <row r="3010" spans="1:16">
      <c r="A3010" s="1">
        <v>45014</v>
      </c>
      <c r="B3010">
        <v>184585</v>
      </c>
      <c r="C3010">
        <v>79804</v>
      </c>
      <c r="D3010">
        <v>104781</v>
      </c>
      <c r="E3010">
        <v>178051726</v>
      </c>
      <c r="F3010">
        <v>130399391</v>
      </c>
      <c r="G3010">
        <v>308451117</v>
      </c>
      <c r="H3010">
        <v>60940</v>
      </c>
      <c r="I3010">
        <v>13686</v>
      </c>
      <c r="J3010">
        <v>74626</v>
      </c>
      <c r="K3010" t="b">
        <f>TrafficData[[#This Row],[disposedChallan]]+TrafficData[[#This Row],[pendingChallan]]=TrafficData[[#This Row],[totalChallan]]</f>
        <v>1</v>
      </c>
      <c r="L3010" t="b">
        <f>TrafficData[[#This Row],[pendingAmount]]+TrafficData[[#This Row],[disposedAmount]]=TrafficData[[#This Row],[totalAmount]]</f>
        <v>1</v>
      </c>
      <c r="M3010" t="b">
        <f>TrafficData[[#This Row],[pendingCourt]]+TrafficData[[#This Row],[disposedCourt]]=TrafficData[[#This Row],[totalCourt]]</f>
        <v>1</v>
      </c>
      <c r="N3010" t="b">
        <f>AND(TrafficData[[#This Row],[disposedChallan]]&lt;=TrafficData[[#This Row],[totalChallan]],TrafficData[[#This Row],[pendingChallan]]&lt;=TrafficData[[#This Row],[totalChallan]])</f>
        <v>1</v>
      </c>
      <c r="O3010" t="b">
        <f>AND(TrafficData[[#This Row],[pendingAmount]]&lt;=TrafficData[[#This Row],[totalAmount]],TrafficData[[#This Row],[disposedAmount]]&lt;=TrafficData[[#This Row],[totalAmount]])</f>
        <v>1</v>
      </c>
      <c r="P3010" t="b">
        <f>AND(TrafficData[[#This Row],[pendingCourt]]&lt;=TrafficData[[#This Row],[totalCourt]],TrafficData[[#This Row],[disposedCourt]]&lt;=TrafficData[[#This Row],[totalCourt]])</f>
        <v>1</v>
      </c>
    </row>
    <row r="3011" spans="1:16">
      <c r="A3011" s="1">
        <v>45015</v>
      </c>
      <c r="B3011">
        <v>156649</v>
      </c>
      <c r="C3011">
        <v>67691</v>
      </c>
      <c r="D3011">
        <v>88958</v>
      </c>
      <c r="E3011">
        <v>144638767</v>
      </c>
      <c r="F3011">
        <v>102753138</v>
      </c>
      <c r="G3011">
        <v>247391905</v>
      </c>
      <c r="H3011">
        <v>49949</v>
      </c>
      <c r="I3011">
        <v>11251</v>
      </c>
      <c r="J3011">
        <v>61200</v>
      </c>
      <c r="K3011" t="b">
        <f>TrafficData[[#This Row],[disposedChallan]]+TrafficData[[#This Row],[pendingChallan]]=TrafficData[[#This Row],[totalChallan]]</f>
        <v>1</v>
      </c>
      <c r="L3011" t="b">
        <f>TrafficData[[#This Row],[pendingAmount]]+TrafficData[[#This Row],[disposedAmount]]=TrafficData[[#This Row],[totalAmount]]</f>
        <v>1</v>
      </c>
      <c r="M3011" t="b">
        <f>TrafficData[[#This Row],[pendingCourt]]+TrafficData[[#This Row],[disposedCourt]]=TrafficData[[#This Row],[totalCourt]]</f>
        <v>1</v>
      </c>
      <c r="N3011" t="b">
        <f>AND(TrafficData[[#This Row],[disposedChallan]]&lt;=TrafficData[[#This Row],[totalChallan]],TrafficData[[#This Row],[pendingChallan]]&lt;=TrafficData[[#This Row],[totalChallan]])</f>
        <v>1</v>
      </c>
      <c r="O3011" t="b">
        <f>AND(TrafficData[[#This Row],[pendingAmount]]&lt;=TrafficData[[#This Row],[totalAmount]],TrafficData[[#This Row],[disposedAmount]]&lt;=TrafficData[[#This Row],[totalAmount]])</f>
        <v>1</v>
      </c>
      <c r="P3011" t="b">
        <f>AND(TrafficData[[#This Row],[pendingCourt]]&lt;=TrafficData[[#This Row],[totalCourt]],TrafficData[[#This Row],[disposedCourt]]&lt;=TrafficData[[#This Row],[totalCourt]])</f>
        <v>1</v>
      </c>
    </row>
    <row r="3012" spans="1:16">
      <c r="A3012" s="1">
        <v>45016</v>
      </c>
      <c r="B3012">
        <v>160973</v>
      </c>
      <c r="C3012">
        <v>69267</v>
      </c>
      <c r="D3012">
        <v>91706</v>
      </c>
      <c r="E3012">
        <v>158045321</v>
      </c>
      <c r="F3012">
        <v>103936293</v>
      </c>
      <c r="G3012">
        <v>261981614</v>
      </c>
      <c r="H3012">
        <v>54302</v>
      </c>
      <c r="I3012">
        <v>12068</v>
      </c>
      <c r="J3012">
        <v>66370</v>
      </c>
      <c r="K3012" t="b">
        <f>TrafficData[[#This Row],[disposedChallan]]+TrafficData[[#This Row],[pendingChallan]]=TrafficData[[#This Row],[totalChallan]]</f>
        <v>1</v>
      </c>
      <c r="L3012" t="b">
        <f>TrafficData[[#This Row],[pendingAmount]]+TrafficData[[#This Row],[disposedAmount]]=TrafficData[[#This Row],[totalAmount]]</f>
        <v>1</v>
      </c>
      <c r="M3012" t="b">
        <f>TrafficData[[#This Row],[pendingCourt]]+TrafficData[[#This Row],[disposedCourt]]=TrafficData[[#This Row],[totalCourt]]</f>
        <v>1</v>
      </c>
      <c r="N3012" t="b">
        <f>AND(TrafficData[[#This Row],[disposedChallan]]&lt;=TrafficData[[#This Row],[totalChallan]],TrafficData[[#This Row],[pendingChallan]]&lt;=TrafficData[[#This Row],[totalChallan]])</f>
        <v>1</v>
      </c>
      <c r="O3012" t="b">
        <f>AND(TrafficData[[#This Row],[pendingAmount]]&lt;=TrafficData[[#This Row],[totalAmount]],TrafficData[[#This Row],[disposedAmount]]&lt;=TrafficData[[#This Row],[totalAmount]])</f>
        <v>1</v>
      </c>
      <c r="P3012" t="b">
        <f>AND(TrafficData[[#This Row],[pendingCourt]]&lt;=TrafficData[[#This Row],[totalCourt]],TrafficData[[#This Row],[disposedCourt]]&lt;=TrafficData[[#This Row],[totalCourt]])</f>
        <v>1</v>
      </c>
    </row>
    <row r="3013" spans="1:16">
      <c r="A3013" s="1">
        <v>45017</v>
      </c>
      <c r="B3013">
        <v>178020</v>
      </c>
      <c r="C3013">
        <v>80181</v>
      </c>
      <c r="D3013">
        <v>97839</v>
      </c>
      <c r="E3013">
        <v>173139036</v>
      </c>
      <c r="F3013">
        <v>118451998</v>
      </c>
      <c r="G3013">
        <v>291591034</v>
      </c>
      <c r="H3013">
        <v>56476</v>
      </c>
      <c r="I3013">
        <v>13552</v>
      </c>
      <c r="J3013">
        <v>70028</v>
      </c>
      <c r="K3013" t="b">
        <f>TrafficData[[#This Row],[disposedChallan]]+TrafficData[[#This Row],[pendingChallan]]=TrafficData[[#This Row],[totalChallan]]</f>
        <v>1</v>
      </c>
      <c r="L3013" t="b">
        <f>TrafficData[[#This Row],[pendingAmount]]+TrafficData[[#This Row],[disposedAmount]]=TrafficData[[#This Row],[totalAmount]]</f>
        <v>1</v>
      </c>
      <c r="M3013" t="b">
        <f>TrafficData[[#This Row],[pendingCourt]]+TrafficData[[#This Row],[disposedCourt]]=TrafficData[[#This Row],[totalCourt]]</f>
        <v>1</v>
      </c>
      <c r="N3013" t="b">
        <f>AND(TrafficData[[#This Row],[disposedChallan]]&lt;=TrafficData[[#This Row],[totalChallan]],TrafficData[[#This Row],[pendingChallan]]&lt;=TrafficData[[#This Row],[totalChallan]])</f>
        <v>1</v>
      </c>
      <c r="O3013" t="b">
        <f>AND(TrafficData[[#This Row],[pendingAmount]]&lt;=TrafficData[[#This Row],[totalAmount]],TrafficData[[#This Row],[disposedAmount]]&lt;=TrafficData[[#This Row],[totalAmount]])</f>
        <v>1</v>
      </c>
      <c r="P3013" t="b">
        <f>AND(TrafficData[[#This Row],[pendingCourt]]&lt;=TrafficData[[#This Row],[totalCourt]],TrafficData[[#This Row],[disposedCourt]]&lt;=TrafficData[[#This Row],[totalCourt]])</f>
        <v>1</v>
      </c>
    </row>
    <row r="3014" spans="1:16">
      <c r="A3014" s="1">
        <v>45018</v>
      </c>
      <c r="B3014">
        <v>174539</v>
      </c>
      <c r="C3014">
        <v>74824</v>
      </c>
      <c r="D3014">
        <v>99715</v>
      </c>
      <c r="E3014">
        <v>170030157</v>
      </c>
      <c r="F3014">
        <v>98238034</v>
      </c>
      <c r="G3014">
        <v>268268191</v>
      </c>
      <c r="H3014">
        <v>57043</v>
      </c>
      <c r="I3014">
        <v>13264</v>
      </c>
      <c r="J3014">
        <v>70307</v>
      </c>
      <c r="K3014" t="b">
        <f>TrafficData[[#This Row],[disposedChallan]]+TrafficData[[#This Row],[pendingChallan]]=TrafficData[[#This Row],[totalChallan]]</f>
        <v>1</v>
      </c>
      <c r="L3014" t="b">
        <f>TrafficData[[#This Row],[pendingAmount]]+TrafficData[[#This Row],[disposedAmount]]=TrafficData[[#This Row],[totalAmount]]</f>
        <v>1</v>
      </c>
      <c r="M3014" t="b">
        <f>TrafficData[[#This Row],[pendingCourt]]+TrafficData[[#This Row],[disposedCourt]]=TrafficData[[#This Row],[totalCourt]]</f>
        <v>1</v>
      </c>
      <c r="N3014" t="b">
        <f>AND(TrafficData[[#This Row],[disposedChallan]]&lt;=TrafficData[[#This Row],[totalChallan]],TrafficData[[#This Row],[pendingChallan]]&lt;=TrafficData[[#This Row],[totalChallan]])</f>
        <v>1</v>
      </c>
      <c r="O3014" t="b">
        <f>AND(TrafficData[[#This Row],[pendingAmount]]&lt;=TrafficData[[#This Row],[totalAmount]],TrafficData[[#This Row],[disposedAmount]]&lt;=TrafficData[[#This Row],[totalAmount]])</f>
        <v>1</v>
      </c>
      <c r="P3014" t="b">
        <f>AND(TrafficData[[#This Row],[pendingCourt]]&lt;=TrafficData[[#This Row],[totalCourt]],TrafficData[[#This Row],[disposedCourt]]&lt;=TrafficData[[#This Row],[totalCourt]])</f>
        <v>1</v>
      </c>
    </row>
    <row r="3015" spans="1:16">
      <c r="A3015" s="1">
        <v>45019</v>
      </c>
      <c r="B3015">
        <v>190240</v>
      </c>
      <c r="C3015">
        <v>81646</v>
      </c>
      <c r="D3015">
        <v>108594</v>
      </c>
      <c r="E3015">
        <v>184907652</v>
      </c>
      <c r="F3015">
        <v>120681367</v>
      </c>
      <c r="G3015">
        <v>305589019</v>
      </c>
      <c r="H3015">
        <v>65795</v>
      </c>
      <c r="I3015">
        <v>15147</v>
      </c>
      <c r="J3015">
        <v>80942</v>
      </c>
      <c r="K3015" t="b">
        <f>TrafficData[[#This Row],[disposedChallan]]+TrafficData[[#This Row],[pendingChallan]]=TrafficData[[#This Row],[totalChallan]]</f>
        <v>1</v>
      </c>
      <c r="L3015" t="b">
        <f>TrafficData[[#This Row],[pendingAmount]]+TrafficData[[#This Row],[disposedAmount]]=TrafficData[[#This Row],[totalAmount]]</f>
        <v>1</v>
      </c>
      <c r="M3015" t="b">
        <f>TrafficData[[#This Row],[pendingCourt]]+TrafficData[[#This Row],[disposedCourt]]=TrafficData[[#This Row],[totalCourt]]</f>
        <v>1</v>
      </c>
      <c r="N3015" t="b">
        <f>AND(TrafficData[[#This Row],[disposedChallan]]&lt;=TrafficData[[#This Row],[totalChallan]],TrafficData[[#This Row],[pendingChallan]]&lt;=TrafficData[[#This Row],[totalChallan]])</f>
        <v>1</v>
      </c>
      <c r="O3015" t="b">
        <f>AND(TrafficData[[#This Row],[pendingAmount]]&lt;=TrafficData[[#This Row],[totalAmount]],TrafficData[[#This Row],[disposedAmount]]&lt;=TrafficData[[#This Row],[totalAmount]])</f>
        <v>1</v>
      </c>
      <c r="P3015" t="b">
        <f>AND(TrafficData[[#This Row],[pendingCourt]]&lt;=TrafficData[[#This Row],[totalCourt]],TrafficData[[#This Row],[disposedCourt]]&lt;=TrafficData[[#This Row],[totalCourt]])</f>
        <v>1</v>
      </c>
    </row>
    <row r="3016" spans="1:16">
      <c r="A3016" s="1">
        <v>45020</v>
      </c>
      <c r="B3016">
        <v>186224</v>
      </c>
      <c r="C3016">
        <v>81480</v>
      </c>
      <c r="D3016">
        <v>104744</v>
      </c>
      <c r="E3016">
        <v>177722251</v>
      </c>
      <c r="F3016">
        <v>120580269</v>
      </c>
      <c r="G3016">
        <v>298302520</v>
      </c>
      <c r="H3016">
        <v>65071</v>
      </c>
      <c r="I3016">
        <v>15281</v>
      </c>
      <c r="J3016">
        <v>80352</v>
      </c>
      <c r="K3016" t="b">
        <f>TrafficData[[#This Row],[disposedChallan]]+TrafficData[[#This Row],[pendingChallan]]=TrafficData[[#This Row],[totalChallan]]</f>
        <v>1</v>
      </c>
      <c r="L3016" t="b">
        <f>TrafficData[[#This Row],[pendingAmount]]+TrafficData[[#This Row],[disposedAmount]]=TrafficData[[#This Row],[totalAmount]]</f>
        <v>1</v>
      </c>
      <c r="M3016" t="b">
        <f>TrafficData[[#This Row],[pendingCourt]]+TrafficData[[#This Row],[disposedCourt]]=TrafficData[[#This Row],[totalCourt]]</f>
        <v>1</v>
      </c>
      <c r="N3016" t="b">
        <f>AND(TrafficData[[#This Row],[disposedChallan]]&lt;=TrafficData[[#This Row],[totalChallan]],TrafficData[[#This Row],[pendingChallan]]&lt;=TrafficData[[#This Row],[totalChallan]])</f>
        <v>1</v>
      </c>
      <c r="O3016" t="b">
        <f>AND(TrafficData[[#This Row],[pendingAmount]]&lt;=TrafficData[[#This Row],[totalAmount]],TrafficData[[#This Row],[disposedAmount]]&lt;=TrafficData[[#This Row],[totalAmount]])</f>
        <v>1</v>
      </c>
      <c r="P3016" t="b">
        <f>AND(TrafficData[[#This Row],[pendingCourt]]&lt;=TrafficData[[#This Row],[totalCourt]],TrafficData[[#This Row],[disposedCourt]]&lt;=TrafficData[[#This Row],[totalCourt]])</f>
        <v>1</v>
      </c>
    </row>
    <row r="3017" spans="1:16">
      <c r="A3017" s="1">
        <v>45021</v>
      </c>
      <c r="B3017">
        <v>188592</v>
      </c>
      <c r="C3017">
        <v>83120</v>
      </c>
      <c r="D3017">
        <v>105472</v>
      </c>
      <c r="E3017">
        <v>186388081</v>
      </c>
      <c r="F3017">
        <v>134814824</v>
      </c>
      <c r="G3017">
        <v>321202905</v>
      </c>
      <c r="H3017">
        <v>67042</v>
      </c>
      <c r="I3017">
        <v>15357</v>
      </c>
      <c r="J3017">
        <v>82399</v>
      </c>
      <c r="K3017" t="b">
        <f>TrafficData[[#This Row],[disposedChallan]]+TrafficData[[#This Row],[pendingChallan]]=TrafficData[[#This Row],[totalChallan]]</f>
        <v>1</v>
      </c>
      <c r="L3017" t="b">
        <f>TrafficData[[#This Row],[pendingAmount]]+TrafficData[[#This Row],[disposedAmount]]=TrafficData[[#This Row],[totalAmount]]</f>
        <v>1</v>
      </c>
      <c r="M3017" t="b">
        <f>TrafficData[[#This Row],[pendingCourt]]+TrafficData[[#This Row],[disposedCourt]]=TrafficData[[#This Row],[totalCourt]]</f>
        <v>1</v>
      </c>
      <c r="N3017" t="b">
        <f>AND(TrafficData[[#This Row],[disposedChallan]]&lt;=TrafficData[[#This Row],[totalChallan]],TrafficData[[#This Row],[pendingChallan]]&lt;=TrafficData[[#This Row],[totalChallan]])</f>
        <v>1</v>
      </c>
      <c r="O3017" t="b">
        <f>AND(TrafficData[[#This Row],[pendingAmount]]&lt;=TrafficData[[#This Row],[totalAmount]],TrafficData[[#This Row],[disposedAmount]]&lt;=TrafficData[[#This Row],[totalAmount]])</f>
        <v>1</v>
      </c>
      <c r="P3017" t="b">
        <f>AND(TrafficData[[#This Row],[pendingCourt]]&lt;=TrafficData[[#This Row],[totalCourt]],TrafficData[[#This Row],[disposedCourt]]&lt;=TrafficData[[#This Row],[totalCourt]])</f>
        <v>1</v>
      </c>
    </row>
    <row r="3018" spans="1:16">
      <c r="A3018" s="1">
        <v>45022</v>
      </c>
      <c r="B3018">
        <v>180912</v>
      </c>
      <c r="C3018">
        <v>78932</v>
      </c>
      <c r="D3018">
        <v>101980</v>
      </c>
      <c r="E3018">
        <v>181857229</v>
      </c>
      <c r="F3018">
        <v>128235246</v>
      </c>
      <c r="G3018">
        <v>310092475</v>
      </c>
      <c r="H3018">
        <v>62653</v>
      </c>
      <c r="I3018">
        <v>14414</v>
      </c>
      <c r="J3018">
        <v>77067</v>
      </c>
      <c r="K3018" t="b">
        <f>TrafficData[[#This Row],[disposedChallan]]+TrafficData[[#This Row],[pendingChallan]]=TrafficData[[#This Row],[totalChallan]]</f>
        <v>1</v>
      </c>
      <c r="L3018" t="b">
        <f>TrafficData[[#This Row],[pendingAmount]]+TrafficData[[#This Row],[disposedAmount]]=TrafficData[[#This Row],[totalAmount]]</f>
        <v>1</v>
      </c>
      <c r="M3018" t="b">
        <f>TrafficData[[#This Row],[pendingCourt]]+TrafficData[[#This Row],[disposedCourt]]=TrafficData[[#This Row],[totalCourt]]</f>
        <v>1</v>
      </c>
      <c r="N3018" t="b">
        <f>AND(TrafficData[[#This Row],[disposedChallan]]&lt;=TrafficData[[#This Row],[totalChallan]],TrafficData[[#This Row],[pendingChallan]]&lt;=TrafficData[[#This Row],[totalChallan]])</f>
        <v>1</v>
      </c>
      <c r="O3018" t="b">
        <f>AND(TrafficData[[#This Row],[pendingAmount]]&lt;=TrafficData[[#This Row],[totalAmount]],TrafficData[[#This Row],[disposedAmount]]&lt;=TrafficData[[#This Row],[totalAmount]])</f>
        <v>1</v>
      </c>
      <c r="P3018" t="b">
        <f>AND(TrafficData[[#This Row],[pendingCourt]]&lt;=TrafficData[[#This Row],[totalCourt]],TrafficData[[#This Row],[disposedCourt]]&lt;=TrafficData[[#This Row],[totalCourt]])</f>
        <v>1</v>
      </c>
    </row>
    <row r="3019" spans="1:16">
      <c r="A3019" s="1">
        <v>45023</v>
      </c>
      <c r="B3019">
        <v>186410</v>
      </c>
      <c r="C3019">
        <v>81548</v>
      </c>
      <c r="D3019">
        <v>104862</v>
      </c>
      <c r="E3019">
        <v>178062432</v>
      </c>
      <c r="F3019">
        <v>113499907</v>
      </c>
      <c r="G3019">
        <v>291562339</v>
      </c>
      <c r="H3019">
        <v>62882</v>
      </c>
      <c r="I3019">
        <v>14102</v>
      </c>
      <c r="J3019">
        <v>76984</v>
      </c>
      <c r="K3019" t="b">
        <f>TrafficData[[#This Row],[disposedChallan]]+TrafficData[[#This Row],[pendingChallan]]=TrafficData[[#This Row],[totalChallan]]</f>
        <v>1</v>
      </c>
      <c r="L3019" t="b">
        <f>TrafficData[[#This Row],[pendingAmount]]+TrafficData[[#This Row],[disposedAmount]]=TrafficData[[#This Row],[totalAmount]]</f>
        <v>1</v>
      </c>
      <c r="M3019" t="b">
        <f>TrafficData[[#This Row],[pendingCourt]]+TrafficData[[#This Row],[disposedCourt]]=TrafficData[[#This Row],[totalCourt]]</f>
        <v>1</v>
      </c>
      <c r="N3019" t="b">
        <f>AND(TrafficData[[#This Row],[disposedChallan]]&lt;=TrafficData[[#This Row],[totalChallan]],TrafficData[[#This Row],[pendingChallan]]&lt;=TrafficData[[#This Row],[totalChallan]])</f>
        <v>1</v>
      </c>
      <c r="O3019" t="b">
        <f>AND(TrafficData[[#This Row],[pendingAmount]]&lt;=TrafficData[[#This Row],[totalAmount]],TrafficData[[#This Row],[disposedAmount]]&lt;=TrafficData[[#This Row],[totalAmount]])</f>
        <v>1</v>
      </c>
      <c r="P3019" t="b">
        <f>AND(TrafficData[[#This Row],[pendingCourt]]&lt;=TrafficData[[#This Row],[totalCourt]],TrafficData[[#This Row],[disposedCourt]]&lt;=TrafficData[[#This Row],[totalCourt]])</f>
        <v>1</v>
      </c>
    </row>
    <row r="3020" spans="1:16">
      <c r="A3020" s="1">
        <v>45024</v>
      </c>
      <c r="B3020">
        <v>176820</v>
      </c>
      <c r="C3020">
        <v>80220</v>
      </c>
      <c r="D3020">
        <v>96600</v>
      </c>
      <c r="E3020">
        <v>165162191</v>
      </c>
      <c r="F3020">
        <v>106625004</v>
      </c>
      <c r="G3020">
        <v>271787195</v>
      </c>
      <c r="H3020">
        <v>58160</v>
      </c>
      <c r="I3020">
        <v>14219</v>
      </c>
      <c r="J3020">
        <v>72379</v>
      </c>
      <c r="K3020" t="b">
        <f>TrafficData[[#This Row],[disposedChallan]]+TrafficData[[#This Row],[pendingChallan]]=TrafficData[[#This Row],[totalChallan]]</f>
        <v>1</v>
      </c>
      <c r="L3020" t="b">
        <f>TrafficData[[#This Row],[pendingAmount]]+TrafficData[[#This Row],[disposedAmount]]=TrafficData[[#This Row],[totalAmount]]</f>
        <v>1</v>
      </c>
      <c r="M3020" t="b">
        <f>TrafficData[[#This Row],[pendingCourt]]+TrafficData[[#This Row],[disposedCourt]]=TrafficData[[#This Row],[totalCourt]]</f>
        <v>1</v>
      </c>
      <c r="N3020" t="b">
        <f>AND(TrafficData[[#This Row],[disposedChallan]]&lt;=TrafficData[[#This Row],[totalChallan]],TrafficData[[#This Row],[pendingChallan]]&lt;=TrafficData[[#This Row],[totalChallan]])</f>
        <v>1</v>
      </c>
      <c r="O3020" t="b">
        <f>AND(TrafficData[[#This Row],[pendingAmount]]&lt;=TrafficData[[#This Row],[totalAmount]],TrafficData[[#This Row],[disposedAmount]]&lt;=TrafficData[[#This Row],[totalAmount]])</f>
        <v>1</v>
      </c>
      <c r="P3020" t="b">
        <f>AND(TrafficData[[#This Row],[pendingCourt]]&lt;=TrafficData[[#This Row],[totalCourt]],TrafficData[[#This Row],[disposedCourt]]&lt;=TrafficData[[#This Row],[totalCourt]])</f>
        <v>1</v>
      </c>
    </row>
    <row r="3021" spans="1:16">
      <c r="A3021" s="1">
        <v>45025</v>
      </c>
      <c r="B3021">
        <v>155174</v>
      </c>
      <c r="C3021">
        <v>67114</v>
      </c>
      <c r="D3021">
        <v>88060</v>
      </c>
      <c r="E3021">
        <v>143053922</v>
      </c>
      <c r="F3021">
        <v>82866094</v>
      </c>
      <c r="G3021">
        <v>225920016</v>
      </c>
      <c r="H3021">
        <v>53098</v>
      </c>
      <c r="I3021">
        <v>12152</v>
      </c>
      <c r="J3021">
        <v>65250</v>
      </c>
      <c r="K3021" t="b">
        <f>TrafficData[[#This Row],[disposedChallan]]+TrafficData[[#This Row],[pendingChallan]]=TrafficData[[#This Row],[totalChallan]]</f>
        <v>1</v>
      </c>
      <c r="L3021" t="b">
        <f>TrafficData[[#This Row],[pendingAmount]]+TrafficData[[#This Row],[disposedAmount]]=TrafficData[[#This Row],[totalAmount]]</f>
        <v>1</v>
      </c>
      <c r="M3021" t="b">
        <f>TrafficData[[#This Row],[pendingCourt]]+TrafficData[[#This Row],[disposedCourt]]=TrafficData[[#This Row],[totalCourt]]</f>
        <v>1</v>
      </c>
      <c r="N3021" t="b">
        <f>AND(TrafficData[[#This Row],[disposedChallan]]&lt;=TrafficData[[#This Row],[totalChallan]],TrafficData[[#This Row],[pendingChallan]]&lt;=TrafficData[[#This Row],[totalChallan]])</f>
        <v>1</v>
      </c>
      <c r="O3021" t="b">
        <f>AND(TrafficData[[#This Row],[pendingAmount]]&lt;=TrafficData[[#This Row],[totalAmount]],TrafficData[[#This Row],[disposedAmount]]&lt;=TrafficData[[#This Row],[totalAmount]])</f>
        <v>1</v>
      </c>
      <c r="P3021" t="b">
        <f>AND(TrafficData[[#This Row],[pendingCourt]]&lt;=TrafficData[[#This Row],[totalCourt]],TrafficData[[#This Row],[disposedCourt]]&lt;=TrafficData[[#This Row],[totalCourt]])</f>
        <v>1</v>
      </c>
    </row>
    <row r="3022" spans="1:16">
      <c r="A3022" s="1">
        <v>45026</v>
      </c>
      <c r="B3022">
        <v>190607</v>
      </c>
      <c r="C3022">
        <v>82764</v>
      </c>
      <c r="D3022">
        <v>107843</v>
      </c>
      <c r="E3022">
        <v>175974204</v>
      </c>
      <c r="F3022">
        <v>116094239</v>
      </c>
      <c r="G3022">
        <v>292068443</v>
      </c>
      <c r="H3022">
        <v>67535</v>
      </c>
      <c r="I3022">
        <v>14724</v>
      </c>
      <c r="J3022">
        <v>82259</v>
      </c>
      <c r="K3022" t="b">
        <f>TrafficData[[#This Row],[disposedChallan]]+TrafficData[[#This Row],[pendingChallan]]=TrafficData[[#This Row],[totalChallan]]</f>
        <v>1</v>
      </c>
      <c r="L3022" t="b">
        <f>TrafficData[[#This Row],[pendingAmount]]+TrafficData[[#This Row],[disposedAmount]]=TrafficData[[#This Row],[totalAmount]]</f>
        <v>1</v>
      </c>
      <c r="M3022" t="b">
        <f>TrafficData[[#This Row],[pendingCourt]]+TrafficData[[#This Row],[disposedCourt]]=TrafficData[[#This Row],[totalCourt]]</f>
        <v>1</v>
      </c>
      <c r="N3022" t="b">
        <f>AND(TrafficData[[#This Row],[disposedChallan]]&lt;=TrafficData[[#This Row],[totalChallan]],TrafficData[[#This Row],[pendingChallan]]&lt;=TrafficData[[#This Row],[totalChallan]])</f>
        <v>1</v>
      </c>
      <c r="O3022" t="b">
        <f>AND(TrafficData[[#This Row],[pendingAmount]]&lt;=TrafficData[[#This Row],[totalAmount]],TrafficData[[#This Row],[disposedAmount]]&lt;=TrafficData[[#This Row],[totalAmount]])</f>
        <v>1</v>
      </c>
      <c r="P3022" t="b">
        <f>AND(TrafficData[[#This Row],[pendingCourt]]&lt;=TrafficData[[#This Row],[totalCourt]],TrafficData[[#This Row],[disposedCourt]]&lt;=TrafficData[[#This Row],[totalCourt]])</f>
        <v>1</v>
      </c>
    </row>
    <row r="3023" spans="1:16">
      <c r="A3023" s="1">
        <v>45027</v>
      </c>
      <c r="B3023">
        <v>192335</v>
      </c>
      <c r="C3023">
        <v>83170</v>
      </c>
      <c r="D3023">
        <v>109165</v>
      </c>
      <c r="E3023">
        <v>177445651</v>
      </c>
      <c r="F3023">
        <v>128026314</v>
      </c>
      <c r="G3023">
        <v>305471965</v>
      </c>
      <c r="H3023">
        <v>66213</v>
      </c>
      <c r="I3023">
        <v>14407</v>
      </c>
      <c r="J3023">
        <v>80620</v>
      </c>
      <c r="K3023" t="b">
        <f>TrafficData[[#This Row],[disposedChallan]]+TrafficData[[#This Row],[pendingChallan]]=TrafficData[[#This Row],[totalChallan]]</f>
        <v>1</v>
      </c>
      <c r="L3023" t="b">
        <f>TrafficData[[#This Row],[pendingAmount]]+TrafficData[[#This Row],[disposedAmount]]=TrafficData[[#This Row],[totalAmount]]</f>
        <v>1</v>
      </c>
      <c r="M3023" t="b">
        <f>TrafficData[[#This Row],[pendingCourt]]+TrafficData[[#This Row],[disposedCourt]]=TrafficData[[#This Row],[totalCourt]]</f>
        <v>1</v>
      </c>
      <c r="N3023" t="b">
        <f>AND(TrafficData[[#This Row],[disposedChallan]]&lt;=TrafficData[[#This Row],[totalChallan]],TrafficData[[#This Row],[pendingChallan]]&lt;=TrafficData[[#This Row],[totalChallan]])</f>
        <v>1</v>
      </c>
      <c r="O3023" t="b">
        <f>AND(TrafficData[[#This Row],[pendingAmount]]&lt;=TrafficData[[#This Row],[totalAmount]],TrafficData[[#This Row],[disposedAmount]]&lt;=TrafficData[[#This Row],[totalAmount]])</f>
        <v>1</v>
      </c>
      <c r="P3023" t="b">
        <f>AND(TrafficData[[#This Row],[pendingCourt]]&lt;=TrafficData[[#This Row],[totalCourt]],TrafficData[[#This Row],[disposedCourt]]&lt;=TrafficData[[#This Row],[totalCourt]])</f>
        <v>1</v>
      </c>
    </row>
    <row r="3024" spans="1:16">
      <c r="A3024" s="1">
        <v>45028</v>
      </c>
      <c r="B3024">
        <v>196838</v>
      </c>
      <c r="C3024">
        <v>86341</v>
      </c>
      <c r="D3024">
        <v>110497</v>
      </c>
      <c r="E3024">
        <v>178433114</v>
      </c>
      <c r="F3024">
        <v>131327311</v>
      </c>
      <c r="G3024">
        <v>309760425</v>
      </c>
      <c r="H3024">
        <v>66722</v>
      </c>
      <c r="I3024">
        <v>14749</v>
      </c>
      <c r="J3024">
        <v>81471</v>
      </c>
      <c r="K3024" t="b">
        <f>TrafficData[[#This Row],[disposedChallan]]+TrafficData[[#This Row],[pendingChallan]]=TrafficData[[#This Row],[totalChallan]]</f>
        <v>1</v>
      </c>
      <c r="L3024" t="b">
        <f>TrafficData[[#This Row],[pendingAmount]]+TrafficData[[#This Row],[disposedAmount]]=TrafficData[[#This Row],[totalAmount]]</f>
        <v>1</v>
      </c>
      <c r="M3024" t="b">
        <f>TrafficData[[#This Row],[pendingCourt]]+TrafficData[[#This Row],[disposedCourt]]=TrafficData[[#This Row],[totalCourt]]</f>
        <v>1</v>
      </c>
      <c r="N3024" t="b">
        <f>AND(TrafficData[[#This Row],[disposedChallan]]&lt;=TrafficData[[#This Row],[totalChallan]],TrafficData[[#This Row],[pendingChallan]]&lt;=TrafficData[[#This Row],[totalChallan]])</f>
        <v>1</v>
      </c>
      <c r="O3024" t="b">
        <f>AND(TrafficData[[#This Row],[pendingAmount]]&lt;=TrafficData[[#This Row],[totalAmount]],TrafficData[[#This Row],[disposedAmount]]&lt;=TrafficData[[#This Row],[totalAmount]])</f>
        <v>1</v>
      </c>
      <c r="P3024" t="b">
        <f>AND(TrafficData[[#This Row],[pendingCourt]]&lt;=TrafficData[[#This Row],[totalCourt]],TrafficData[[#This Row],[disposedCourt]]&lt;=TrafficData[[#This Row],[totalCourt]])</f>
        <v>1</v>
      </c>
    </row>
    <row r="3025" spans="1:16">
      <c r="A3025" s="1">
        <v>45029</v>
      </c>
      <c r="B3025">
        <v>189692</v>
      </c>
      <c r="C3025">
        <v>82184</v>
      </c>
      <c r="D3025">
        <v>107508</v>
      </c>
      <c r="E3025">
        <v>174942049</v>
      </c>
      <c r="F3025">
        <v>124469678</v>
      </c>
      <c r="G3025">
        <v>299411727</v>
      </c>
      <c r="H3025">
        <v>64890</v>
      </c>
      <c r="I3025">
        <v>14337</v>
      </c>
      <c r="J3025">
        <v>79227</v>
      </c>
      <c r="K3025" t="b">
        <f>TrafficData[[#This Row],[disposedChallan]]+TrafficData[[#This Row],[pendingChallan]]=TrafficData[[#This Row],[totalChallan]]</f>
        <v>1</v>
      </c>
      <c r="L3025" t="b">
        <f>TrafficData[[#This Row],[pendingAmount]]+TrafficData[[#This Row],[disposedAmount]]=TrafficData[[#This Row],[totalAmount]]</f>
        <v>1</v>
      </c>
      <c r="M3025" t="b">
        <f>TrafficData[[#This Row],[pendingCourt]]+TrafficData[[#This Row],[disposedCourt]]=TrafficData[[#This Row],[totalCourt]]</f>
        <v>1</v>
      </c>
      <c r="N3025" t="b">
        <f>AND(TrafficData[[#This Row],[disposedChallan]]&lt;=TrafficData[[#This Row],[totalChallan]],TrafficData[[#This Row],[pendingChallan]]&lt;=TrafficData[[#This Row],[totalChallan]])</f>
        <v>1</v>
      </c>
      <c r="O3025" t="b">
        <f>AND(TrafficData[[#This Row],[pendingAmount]]&lt;=TrafficData[[#This Row],[totalAmount]],TrafficData[[#This Row],[disposedAmount]]&lt;=TrafficData[[#This Row],[totalAmount]])</f>
        <v>1</v>
      </c>
      <c r="P3025" t="b">
        <f>AND(TrafficData[[#This Row],[pendingCourt]]&lt;=TrafficData[[#This Row],[totalCourt]],TrafficData[[#This Row],[disposedCourt]]&lt;=TrafficData[[#This Row],[totalCourt]])</f>
        <v>1</v>
      </c>
    </row>
    <row r="3026" spans="1:16">
      <c r="A3026" s="1">
        <v>45030</v>
      </c>
      <c r="B3026">
        <v>160959</v>
      </c>
      <c r="C3026">
        <v>69538</v>
      </c>
      <c r="D3026">
        <v>91421</v>
      </c>
      <c r="E3026">
        <v>143048208</v>
      </c>
      <c r="F3026">
        <v>95243798</v>
      </c>
      <c r="G3026">
        <v>238292006</v>
      </c>
      <c r="H3026">
        <v>56810</v>
      </c>
      <c r="I3026">
        <v>12792</v>
      </c>
      <c r="J3026">
        <v>69602</v>
      </c>
      <c r="K3026" t="b">
        <f>TrafficData[[#This Row],[disposedChallan]]+TrafficData[[#This Row],[pendingChallan]]=TrafficData[[#This Row],[totalChallan]]</f>
        <v>1</v>
      </c>
      <c r="L3026" t="b">
        <f>TrafficData[[#This Row],[pendingAmount]]+TrafficData[[#This Row],[disposedAmount]]=TrafficData[[#This Row],[totalAmount]]</f>
        <v>1</v>
      </c>
      <c r="M3026" t="b">
        <f>TrafficData[[#This Row],[pendingCourt]]+TrafficData[[#This Row],[disposedCourt]]=TrafficData[[#This Row],[totalCourt]]</f>
        <v>1</v>
      </c>
      <c r="N3026" t="b">
        <f>AND(TrafficData[[#This Row],[disposedChallan]]&lt;=TrafficData[[#This Row],[totalChallan]],TrafficData[[#This Row],[pendingChallan]]&lt;=TrafficData[[#This Row],[totalChallan]])</f>
        <v>1</v>
      </c>
      <c r="O3026" t="b">
        <f>AND(TrafficData[[#This Row],[pendingAmount]]&lt;=TrafficData[[#This Row],[totalAmount]],TrafficData[[#This Row],[disposedAmount]]&lt;=TrafficData[[#This Row],[totalAmount]])</f>
        <v>1</v>
      </c>
      <c r="P3026" t="b">
        <f>AND(TrafficData[[#This Row],[pendingCourt]]&lt;=TrafficData[[#This Row],[totalCourt]],TrafficData[[#This Row],[disposedCourt]]&lt;=TrafficData[[#This Row],[totalCourt]])</f>
        <v>1</v>
      </c>
    </row>
    <row r="3027" spans="1:16">
      <c r="A3027" s="1">
        <v>45031</v>
      </c>
      <c r="B3027">
        <v>172995</v>
      </c>
      <c r="C3027">
        <v>72200</v>
      </c>
      <c r="D3027">
        <v>100795</v>
      </c>
      <c r="E3027">
        <v>168859751</v>
      </c>
      <c r="F3027">
        <v>103989909</v>
      </c>
      <c r="G3027">
        <v>272849660</v>
      </c>
      <c r="H3027">
        <v>59451</v>
      </c>
      <c r="I3027">
        <v>13682</v>
      </c>
      <c r="J3027">
        <v>73133</v>
      </c>
      <c r="K3027" t="b">
        <f>TrafficData[[#This Row],[disposedChallan]]+TrafficData[[#This Row],[pendingChallan]]=TrafficData[[#This Row],[totalChallan]]</f>
        <v>1</v>
      </c>
      <c r="L3027" t="b">
        <f>TrafficData[[#This Row],[pendingAmount]]+TrafficData[[#This Row],[disposedAmount]]=TrafficData[[#This Row],[totalAmount]]</f>
        <v>1</v>
      </c>
      <c r="M3027" t="b">
        <f>TrafficData[[#This Row],[pendingCourt]]+TrafficData[[#This Row],[disposedCourt]]=TrafficData[[#This Row],[totalCourt]]</f>
        <v>1</v>
      </c>
      <c r="N3027" t="b">
        <f>AND(TrafficData[[#This Row],[disposedChallan]]&lt;=TrafficData[[#This Row],[totalChallan]],TrafficData[[#This Row],[pendingChallan]]&lt;=TrafficData[[#This Row],[totalChallan]])</f>
        <v>1</v>
      </c>
      <c r="O3027" t="b">
        <f>AND(TrafficData[[#This Row],[pendingAmount]]&lt;=TrafficData[[#This Row],[totalAmount]],TrafficData[[#This Row],[disposedAmount]]&lt;=TrafficData[[#This Row],[totalAmount]])</f>
        <v>1</v>
      </c>
      <c r="P3027" t="b">
        <f>AND(TrafficData[[#This Row],[pendingCourt]]&lt;=TrafficData[[#This Row],[totalCourt]],TrafficData[[#This Row],[disposedCourt]]&lt;=TrafficData[[#This Row],[totalCourt]])</f>
        <v>1</v>
      </c>
    </row>
    <row r="3028" spans="1:16">
      <c r="A3028" s="1">
        <v>45032</v>
      </c>
      <c r="B3028">
        <v>141787</v>
      </c>
      <c r="C3028">
        <v>61618</v>
      </c>
      <c r="D3028">
        <v>80169</v>
      </c>
      <c r="E3028">
        <v>125180246</v>
      </c>
      <c r="F3028">
        <v>77603150</v>
      </c>
      <c r="G3028">
        <v>202783396</v>
      </c>
      <c r="H3028">
        <v>49363</v>
      </c>
      <c r="I3028">
        <v>11027</v>
      </c>
      <c r="J3028">
        <v>60390</v>
      </c>
      <c r="K3028" t="b">
        <f>TrafficData[[#This Row],[disposedChallan]]+TrafficData[[#This Row],[pendingChallan]]=TrafficData[[#This Row],[totalChallan]]</f>
        <v>1</v>
      </c>
      <c r="L3028" t="b">
        <f>TrafficData[[#This Row],[pendingAmount]]+TrafficData[[#This Row],[disposedAmount]]=TrafficData[[#This Row],[totalAmount]]</f>
        <v>1</v>
      </c>
      <c r="M3028" t="b">
        <f>TrafficData[[#This Row],[pendingCourt]]+TrafficData[[#This Row],[disposedCourt]]=TrafficData[[#This Row],[totalCourt]]</f>
        <v>1</v>
      </c>
      <c r="N3028" t="b">
        <f>AND(TrafficData[[#This Row],[disposedChallan]]&lt;=TrafficData[[#This Row],[totalChallan]],TrafficData[[#This Row],[pendingChallan]]&lt;=TrafficData[[#This Row],[totalChallan]])</f>
        <v>1</v>
      </c>
      <c r="O3028" t="b">
        <f>AND(TrafficData[[#This Row],[pendingAmount]]&lt;=TrafficData[[#This Row],[totalAmount]],TrafficData[[#This Row],[disposedAmount]]&lt;=TrafficData[[#This Row],[totalAmount]])</f>
        <v>1</v>
      </c>
      <c r="P3028" t="b">
        <f>AND(TrafficData[[#This Row],[pendingCourt]]&lt;=TrafficData[[#This Row],[totalCourt]],TrafficData[[#This Row],[disposedCourt]]&lt;=TrafficData[[#This Row],[totalCourt]])</f>
        <v>1</v>
      </c>
    </row>
    <row r="3029" spans="1:16">
      <c r="A3029" s="1">
        <v>45033</v>
      </c>
      <c r="B3029">
        <v>178510</v>
      </c>
      <c r="C3029">
        <v>76446</v>
      </c>
      <c r="D3029">
        <v>102064</v>
      </c>
      <c r="E3029">
        <v>173243208</v>
      </c>
      <c r="F3029">
        <v>111716770</v>
      </c>
      <c r="G3029">
        <v>284959978</v>
      </c>
      <c r="H3029">
        <v>60651</v>
      </c>
      <c r="I3029">
        <v>13040</v>
      </c>
      <c r="J3029">
        <v>73691</v>
      </c>
      <c r="K3029" t="b">
        <f>TrafficData[[#This Row],[disposedChallan]]+TrafficData[[#This Row],[pendingChallan]]=TrafficData[[#This Row],[totalChallan]]</f>
        <v>1</v>
      </c>
      <c r="L3029" t="b">
        <f>TrafficData[[#This Row],[pendingAmount]]+TrafficData[[#This Row],[disposedAmount]]=TrafficData[[#This Row],[totalAmount]]</f>
        <v>1</v>
      </c>
      <c r="M3029" t="b">
        <f>TrafficData[[#This Row],[pendingCourt]]+TrafficData[[#This Row],[disposedCourt]]=TrafficData[[#This Row],[totalCourt]]</f>
        <v>1</v>
      </c>
      <c r="N3029" t="b">
        <f>AND(TrafficData[[#This Row],[disposedChallan]]&lt;=TrafficData[[#This Row],[totalChallan]],TrafficData[[#This Row],[pendingChallan]]&lt;=TrafficData[[#This Row],[totalChallan]])</f>
        <v>1</v>
      </c>
      <c r="O3029" t="b">
        <f>AND(TrafficData[[#This Row],[pendingAmount]]&lt;=TrafficData[[#This Row],[totalAmount]],TrafficData[[#This Row],[disposedAmount]]&lt;=TrafficData[[#This Row],[totalAmount]])</f>
        <v>1</v>
      </c>
      <c r="P3029" t="b">
        <f>AND(TrafficData[[#This Row],[pendingCourt]]&lt;=TrafficData[[#This Row],[totalCourt]],TrafficData[[#This Row],[disposedCourt]]&lt;=TrafficData[[#This Row],[totalCourt]])</f>
        <v>1</v>
      </c>
    </row>
    <row r="3030" spans="1:16">
      <c r="A3030" s="1">
        <v>45034</v>
      </c>
      <c r="B3030">
        <v>182154</v>
      </c>
      <c r="C3030">
        <v>76913</v>
      </c>
      <c r="D3030">
        <v>105241</v>
      </c>
      <c r="E3030">
        <v>177613132</v>
      </c>
      <c r="F3030">
        <v>123071280</v>
      </c>
      <c r="G3030">
        <v>300684412</v>
      </c>
      <c r="H3030">
        <v>63400</v>
      </c>
      <c r="I3030">
        <v>13396</v>
      </c>
      <c r="J3030">
        <v>76796</v>
      </c>
      <c r="K3030" t="b">
        <f>TrafficData[[#This Row],[disposedChallan]]+TrafficData[[#This Row],[pendingChallan]]=TrafficData[[#This Row],[totalChallan]]</f>
        <v>1</v>
      </c>
      <c r="L3030" t="b">
        <f>TrafficData[[#This Row],[pendingAmount]]+TrafficData[[#This Row],[disposedAmount]]=TrafficData[[#This Row],[totalAmount]]</f>
        <v>1</v>
      </c>
      <c r="M3030" t="b">
        <f>TrafficData[[#This Row],[pendingCourt]]+TrafficData[[#This Row],[disposedCourt]]=TrafficData[[#This Row],[totalCourt]]</f>
        <v>1</v>
      </c>
      <c r="N3030" t="b">
        <f>AND(TrafficData[[#This Row],[disposedChallan]]&lt;=TrafficData[[#This Row],[totalChallan]],TrafficData[[#This Row],[pendingChallan]]&lt;=TrafficData[[#This Row],[totalChallan]])</f>
        <v>1</v>
      </c>
      <c r="O3030" t="b">
        <f>AND(TrafficData[[#This Row],[pendingAmount]]&lt;=TrafficData[[#This Row],[totalAmount]],TrafficData[[#This Row],[disposedAmount]]&lt;=TrafficData[[#This Row],[totalAmount]])</f>
        <v>1</v>
      </c>
      <c r="P3030" t="b">
        <f>AND(TrafficData[[#This Row],[pendingCourt]]&lt;=TrafficData[[#This Row],[totalCourt]],TrafficData[[#This Row],[disposedCourt]]&lt;=TrafficData[[#This Row],[totalCourt]])</f>
        <v>1</v>
      </c>
    </row>
    <row r="3031" spans="1:16">
      <c r="A3031" s="1">
        <v>45035</v>
      </c>
      <c r="B3031">
        <v>184992</v>
      </c>
      <c r="C3031">
        <v>79011</v>
      </c>
      <c r="D3031">
        <v>105981</v>
      </c>
      <c r="E3031">
        <v>178786053</v>
      </c>
      <c r="F3031">
        <v>125388455</v>
      </c>
      <c r="G3031">
        <v>304174508</v>
      </c>
      <c r="H3031">
        <v>65593</v>
      </c>
      <c r="I3031">
        <v>14221</v>
      </c>
      <c r="J3031">
        <v>79814</v>
      </c>
      <c r="K3031" t="b">
        <f>TrafficData[[#This Row],[disposedChallan]]+TrafficData[[#This Row],[pendingChallan]]=TrafficData[[#This Row],[totalChallan]]</f>
        <v>1</v>
      </c>
      <c r="L3031" t="b">
        <f>TrafficData[[#This Row],[pendingAmount]]+TrafficData[[#This Row],[disposedAmount]]=TrafficData[[#This Row],[totalAmount]]</f>
        <v>1</v>
      </c>
      <c r="M3031" t="b">
        <f>TrafficData[[#This Row],[pendingCourt]]+TrafficData[[#This Row],[disposedCourt]]=TrafficData[[#This Row],[totalCourt]]</f>
        <v>1</v>
      </c>
      <c r="N3031" t="b">
        <f>AND(TrafficData[[#This Row],[disposedChallan]]&lt;=TrafficData[[#This Row],[totalChallan]],TrafficData[[#This Row],[pendingChallan]]&lt;=TrafficData[[#This Row],[totalChallan]])</f>
        <v>1</v>
      </c>
      <c r="O3031" t="b">
        <f>AND(TrafficData[[#This Row],[pendingAmount]]&lt;=TrafficData[[#This Row],[totalAmount]],TrafficData[[#This Row],[disposedAmount]]&lt;=TrafficData[[#This Row],[totalAmount]])</f>
        <v>1</v>
      </c>
      <c r="P3031" t="b">
        <f>AND(TrafficData[[#This Row],[pendingCourt]]&lt;=TrafficData[[#This Row],[totalCourt]],TrafficData[[#This Row],[disposedCourt]]&lt;=TrafficData[[#This Row],[totalCourt]])</f>
        <v>1</v>
      </c>
    </row>
    <row r="3032" spans="1:16">
      <c r="A3032" s="1">
        <v>45036</v>
      </c>
      <c r="B3032">
        <v>181255</v>
      </c>
      <c r="C3032">
        <v>76090</v>
      </c>
      <c r="D3032">
        <v>105165</v>
      </c>
      <c r="E3032">
        <v>176393966</v>
      </c>
      <c r="F3032">
        <v>117046004</v>
      </c>
      <c r="G3032">
        <v>293439970</v>
      </c>
      <c r="H3032">
        <v>63298</v>
      </c>
      <c r="I3032">
        <v>13691</v>
      </c>
      <c r="J3032">
        <v>76989</v>
      </c>
      <c r="K3032" t="b">
        <f>TrafficData[[#This Row],[disposedChallan]]+TrafficData[[#This Row],[pendingChallan]]=TrafficData[[#This Row],[totalChallan]]</f>
        <v>1</v>
      </c>
      <c r="L3032" t="b">
        <f>TrafficData[[#This Row],[pendingAmount]]+TrafficData[[#This Row],[disposedAmount]]=TrafficData[[#This Row],[totalAmount]]</f>
        <v>1</v>
      </c>
      <c r="M3032" t="b">
        <f>TrafficData[[#This Row],[pendingCourt]]+TrafficData[[#This Row],[disposedCourt]]=TrafficData[[#This Row],[totalCourt]]</f>
        <v>1</v>
      </c>
      <c r="N3032" t="b">
        <f>AND(TrafficData[[#This Row],[disposedChallan]]&lt;=TrafficData[[#This Row],[totalChallan]],TrafficData[[#This Row],[pendingChallan]]&lt;=TrafficData[[#This Row],[totalChallan]])</f>
        <v>1</v>
      </c>
      <c r="O3032" t="b">
        <f>AND(TrafficData[[#This Row],[pendingAmount]]&lt;=TrafficData[[#This Row],[totalAmount]],TrafficData[[#This Row],[disposedAmount]]&lt;=TrafficData[[#This Row],[totalAmount]])</f>
        <v>1</v>
      </c>
      <c r="P3032" t="b">
        <f>AND(TrafficData[[#This Row],[pendingCourt]]&lt;=TrafficData[[#This Row],[totalCourt]],TrafficData[[#This Row],[disposedCourt]]&lt;=TrafficData[[#This Row],[totalCourt]])</f>
        <v>1</v>
      </c>
    </row>
    <row r="3033" spans="1:16">
      <c r="A3033" s="1">
        <v>45037</v>
      </c>
      <c r="B3033">
        <v>173154</v>
      </c>
      <c r="C3033">
        <v>72510</v>
      </c>
      <c r="D3033">
        <v>100644</v>
      </c>
      <c r="E3033">
        <v>166270963</v>
      </c>
      <c r="F3033">
        <v>102807576</v>
      </c>
      <c r="G3033">
        <v>269078539</v>
      </c>
      <c r="H3033">
        <v>60263</v>
      </c>
      <c r="I3033">
        <v>12870</v>
      </c>
      <c r="J3033">
        <v>73133</v>
      </c>
      <c r="K3033" t="b">
        <f>TrafficData[[#This Row],[disposedChallan]]+TrafficData[[#This Row],[pendingChallan]]=TrafficData[[#This Row],[totalChallan]]</f>
        <v>1</v>
      </c>
      <c r="L3033" t="b">
        <f>TrafficData[[#This Row],[pendingAmount]]+TrafficData[[#This Row],[disposedAmount]]=TrafficData[[#This Row],[totalAmount]]</f>
        <v>1</v>
      </c>
      <c r="M3033" t="b">
        <f>TrafficData[[#This Row],[pendingCourt]]+TrafficData[[#This Row],[disposedCourt]]=TrafficData[[#This Row],[totalCourt]]</f>
        <v>1</v>
      </c>
      <c r="N3033" t="b">
        <f>AND(TrafficData[[#This Row],[disposedChallan]]&lt;=TrafficData[[#This Row],[totalChallan]],TrafficData[[#This Row],[pendingChallan]]&lt;=TrafficData[[#This Row],[totalChallan]])</f>
        <v>1</v>
      </c>
      <c r="O3033" t="b">
        <f>AND(TrafficData[[#This Row],[pendingAmount]]&lt;=TrafficData[[#This Row],[totalAmount]],TrafficData[[#This Row],[disposedAmount]]&lt;=TrafficData[[#This Row],[totalAmount]])</f>
        <v>1</v>
      </c>
      <c r="P3033" t="b">
        <f>AND(TrafficData[[#This Row],[pendingCourt]]&lt;=TrafficData[[#This Row],[totalCourt]],TrafficData[[#This Row],[disposedCourt]]&lt;=TrafficData[[#This Row],[totalCourt]])</f>
        <v>1</v>
      </c>
    </row>
    <row r="3034" spans="1:16">
      <c r="A3034" s="1">
        <v>45038</v>
      </c>
      <c r="B3034">
        <v>146703</v>
      </c>
      <c r="C3034">
        <v>59073</v>
      </c>
      <c r="D3034">
        <v>87630</v>
      </c>
      <c r="E3034">
        <v>142474987</v>
      </c>
      <c r="F3034">
        <v>75043090</v>
      </c>
      <c r="G3034">
        <v>217518077</v>
      </c>
      <c r="H3034">
        <v>51857</v>
      </c>
      <c r="I3034">
        <v>10848</v>
      </c>
      <c r="J3034">
        <v>62705</v>
      </c>
      <c r="K3034" t="b">
        <f>TrafficData[[#This Row],[disposedChallan]]+TrafficData[[#This Row],[pendingChallan]]=TrafficData[[#This Row],[totalChallan]]</f>
        <v>1</v>
      </c>
      <c r="L3034" t="b">
        <f>TrafficData[[#This Row],[pendingAmount]]+TrafficData[[#This Row],[disposedAmount]]=TrafficData[[#This Row],[totalAmount]]</f>
        <v>1</v>
      </c>
      <c r="M3034" t="b">
        <f>TrafficData[[#This Row],[pendingCourt]]+TrafficData[[#This Row],[disposedCourt]]=TrafficData[[#This Row],[totalCourt]]</f>
        <v>1</v>
      </c>
      <c r="N3034" t="b">
        <f>AND(TrafficData[[#This Row],[disposedChallan]]&lt;=TrafficData[[#This Row],[totalChallan]],TrafficData[[#This Row],[pendingChallan]]&lt;=TrafficData[[#This Row],[totalChallan]])</f>
        <v>1</v>
      </c>
      <c r="O3034" t="b">
        <f>AND(TrafficData[[#This Row],[pendingAmount]]&lt;=TrafficData[[#This Row],[totalAmount]],TrafficData[[#This Row],[disposedAmount]]&lt;=TrafficData[[#This Row],[totalAmount]])</f>
        <v>1</v>
      </c>
      <c r="P3034" t="b">
        <f>AND(TrafficData[[#This Row],[pendingCourt]]&lt;=TrafficData[[#This Row],[totalCourt]],TrafficData[[#This Row],[disposedCourt]]&lt;=TrafficData[[#This Row],[totalCourt]])</f>
        <v>1</v>
      </c>
    </row>
    <row r="3035" spans="1:16">
      <c r="A3035" s="1">
        <v>45039</v>
      </c>
      <c r="B3035">
        <v>151040</v>
      </c>
      <c r="C3035">
        <v>62140</v>
      </c>
      <c r="D3035">
        <v>88900</v>
      </c>
      <c r="E3035">
        <v>144331927</v>
      </c>
      <c r="F3035">
        <v>73124155</v>
      </c>
      <c r="G3035">
        <v>217456082</v>
      </c>
      <c r="H3035">
        <v>54212</v>
      </c>
      <c r="I3035">
        <v>11161</v>
      </c>
      <c r="J3035">
        <v>65373</v>
      </c>
      <c r="K3035" t="b">
        <f>TrafficData[[#This Row],[disposedChallan]]+TrafficData[[#This Row],[pendingChallan]]=TrafficData[[#This Row],[totalChallan]]</f>
        <v>1</v>
      </c>
      <c r="L3035" t="b">
        <f>TrafficData[[#This Row],[pendingAmount]]+TrafficData[[#This Row],[disposedAmount]]=TrafficData[[#This Row],[totalAmount]]</f>
        <v>1</v>
      </c>
      <c r="M3035" t="b">
        <f>TrafficData[[#This Row],[pendingCourt]]+TrafficData[[#This Row],[disposedCourt]]=TrafficData[[#This Row],[totalCourt]]</f>
        <v>1</v>
      </c>
      <c r="N3035" t="b">
        <f>AND(TrafficData[[#This Row],[disposedChallan]]&lt;=TrafficData[[#This Row],[totalChallan]],TrafficData[[#This Row],[pendingChallan]]&lt;=TrafficData[[#This Row],[totalChallan]])</f>
        <v>1</v>
      </c>
      <c r="O3035" t="b">
        <f>AND(TrafficData[[#This Row],[pendingAmount]]&lt;=TrafficData[[#This Row],[totalAmount]],TrafficData[[#This Row],[disposedAmount]]&lt;=TrafficData[[#This Row],[totalAmount]])</f>
        <v>1</v>
      </c>
      <c r="P3035" t="b">
        <f>AND(TrafficData[[#This Row],[pendingCourt]]&lt;=TrafficData[[#This Row],[totalCourt]],TrafficData[[#This Row],[disposedCourt]]&lt;=TrafficData[[#This Row],[totalCourt]])</f>
        <v>1</v>
      </c>
    </row>
    <row r="3036" spans="1:16">
      <c r="A3036" s="1">
        <v>45040</v>
      </c>
      <c r="B3036">
        <v>179095</v>
      </c>
      <c r="C3036">
        <v>74933</v>
      </c>
      <c r="D3036">
        <v>104162</v>
      </c>
      <c r="E3036">
        <v>172657559</v>
      </c>
      <c r="F3036">
        <v>109512299</v>
      </c>
      <c r="G3036">
        <v>282169858</v>
      </c>
      <c r="H3036">
        <v>65332</v>
      </c>
      <c r="I3036">
        <v>13546</v>
      </c>
      <c r="J3036">
        <v>78878</v>
      </c>
      <c r="K3036" t="b">
        <f>TrafficData[[#This Row],[disposedChallan]]+TrafficData[[#This Row],[pendingChallan]]=TrafficData[[#This Row],[totalChallan]]</f>
        <v>1</v>
      </c>
      <c r="L3036" t="b">
        <f>TrafficData[[#This Row],[pendingAmount]]+TrafficData[[#This Row],[disposedAmount]]=TrafficData[[#This Row],[totalAmount]]</f>
        <v>1</v>
      </c>
      <c r="M3036" t="b">
        <f>TrafficData[[#This Row],[pendingCourt]]+TrafficData[[#This Row],[disposedCourt]]=TrafficData[[#This Row],[totalCourt]]</f>
        <v>1</v>
      </c>
      <c r="N3036" t="b">
        <f>AND(TrafficData[[#This Row],[disposedChallan]]&lt;=TrafficData[[#This Row],[totalChallan]],TrafficData[[#This Row],[pendingChallan]]&lt;=TrafficData[[#This Row],[totalChallan]])</f>
        <v>1</v>
      </c>
      <c r="O3036" t="b">
        <f>AND(TrafficData[[#This Row],[pendingAmount]]&lt;=TrafficData[[#This Row],[totalAmount]],TrafficData[[#This Row],[disposedAmount]]&lt;=TrafficData[[#This Row],[totalAmount]])</f>
        <v>1</v>
      </c>
      <c r="P3036" t="b">
        <f>AND(TrafficData[[#This Row],[pendingCourt]]&lt;=TrafficData[[#This Row],[totalCourt]],TrafficData[[#This Row],[disposedCourt]]&lt;=TrafficData[[#This Row],[totalCourt]])</f>
        <v>1</v>
      </c>
    </row>
    <row r="3037" spans="1:16">
      <c r="A3037" s="1">
        <v>45041</v>
      </c>
      <c r="B3037">
        <v>183206</v>
      </c>
      <c r="C3037">
        <v>77271</v>
      </c>
      <c r="D3037">
        <v>105935</v>
      </c>
      <c r="E3037">
        <v>187070736</v>
      </c>
      <c r="F3037">
        <v>128383040</v>
      </c>
      <c r="G3037">
        <v>315453776</v>
      </c>
      <c r="H3037">
        <v>66361</v>
      </c>
      <c r="I3037">
        <v>13287</v>
      </c>
      <c r="J3037">
        <v>79648</v>
      </c>
      <c r="K3037" t="b">
        <f>TrafficData[[#This Row],[disposedChallan]]+TrafficData[[#This Row],[pendingChallan]]=TrafficData[[#This Row],[totalChallan]]</f>
        <v>1</v>
      </c>
      <c r="L3037" t="b">
        <f>TrafficData[[#This Row],[pendingAmount]]+TrafficData[[#This Row],[disposedAmount]]=TrafficData[[#This Row],[totalAmount]]</f>
        <v>1</v>
      </c>
      <c r="M3037" t="b">
        <f>TrafficData[[#This Row],[pendingCourt]]+TrafficData[[#This Row],[disposedCourt]]=TrafficData[[#This Row],[totalCourt]]</f>
        <v>1</v>
      </c>
      <c r="N3037" t="b">
        <f>AND(TrafficData[[#This Row],[disposedChallan]]&lt;=TrafficData[[#This Row],[totalChallan]],TrafficData[[#This Row],[pendingChallan]]&lt;=TrafficData[[#This Row],[totalChallan]])</f>
        <v>1</v>
      </c>
      <c r="O3037" t="b">
        <f>AND(TrafficData[[#This Row],[pendingAmount]]&lt;=TrafficData[[#This Row],[totalAmount]],TrafficData[[#This Row],[disposedAmount]]&lt;=TrafficData[[#This Row],[totalAmount]])</f>
        <v>1</v>
      </c>
      <c r="P3037" t="b">
        <f>AND(TrafficData[[#This Row],[pendingCourt]]&lt;=TrafficData[[#This Row],[totalCourt]],TrafficData[[#This Row],[disposedCourt]]&lt;=TrafficData[[#This Row],[totalCourt]])</f>
        <v>1</v>
      </c>
    </row>
    <row r="3038" spans="1:16">
      <c r="A3038" s="1">
        <v>45042</v>
      </c>
      <c r="B3038">
        <v>177823</v>
      </c>
      <c r="C3038">
        <v>78027</v>
      </c>
      <c r="D3038">
        <v>99796</v>
      </c>
      <c r="E3038">
        <v>169848798</v>
      </c>
      <c r="F3038">
        <v>124318920</v>
      </c>
      <c r="G3038">
        <v>294167718</v>
      </c>
      <c r="H3038">
        <v>61868</v>
      </c>
      <c r="I3038">
        <v>12825</v>
      </c>
      <c r="J3038">
        <v>74693</v>
      </c>
      <c r="K3038" t="b">
        <f>TrafficData[[#This Row],[disposedChallan]]+TrafficData[[#This Row],[pendingChallan]]=TrafficData[[#This Row],[totalChallan]]</f>
        <v>1</v>
      </c>
      <c r="L3038" t="b">
        <f>TrafficData[[#This Row],[pendingAmount]]+TrafficData[[#This Row],[disposedAmount]]=TrafficData[[#This Row],[totalAmount]]</f>
        <v>1</v>
      </c>
      <c r="M3038" t="b">
        <f>TrafficData[[#This Row],[pendingCourt]]+TrafficData[[#This Row],[disposedCourt]]=TrafficData[[#This Row],[totalCourt]]</f>
        <v>1</v>
      </c>
      <c r="N3038" t="b">
        <f>AND(TrafficData[[#This Row],[disposedChallan]]&lt;=TrafficData[[#This Row],[totalChallan]],TrafficData[[#This Row],[pendingChallan]]&lt;=TrafficData[[#This Row],[totalChallan]])</f>
        <v>1</v>
      </c>
      <c r="O3038" t="b">
        <f>AND(TrafficData[[#This Row],[pendingAmount]]&lt;=TrafficData[[#This Row],[totalAmount]],TrafficData[[#This Row],[disposedAmount]]&lt;=TrafficData[[#This Row],[totalAmount]])</f>
        <v>1</v>
      </c>
      <c r="P3038" t="b">
        <f>AND(TrafficData[[#This Row],[pendingCourt]]&lt;=TrafficData[[#This Row],[totalCourt]],TrafficData[[#This Row],[disposedCourt]]&lt;=TrafficData[[#This Row],[totalCourt]])</f>
        <v>1</v>
      </c>
    </row>
    <row r="3039" spans="1:16">
      <c r="A3039" s="1">
        <v>45043</v>
      </c>
      <c r="B3039">
        <v>170136</v>
      </c>
      <c r="C3039">
        <v>73100</v>
      </c>
      <c r="D3039">
        <v>97036</v>
      </c>
      <c r="E3039">
        <v>171672867</v>
      </c>
      <c r="F3039">
        <v>117414564</v>
      </c>
      <c r="G3039">
        <v>289087431</v>
      </c>
      <c r="H3039">
        <v>60947</v>
      </c>
      <c r="I3039">
        <v>12398</v>
      </c>
      <c r="J3039">
        <v>73345</v>
      </c>
      <c r="K3039" t="b">
        <f>TrafficData[[#This Row],[disposedChallan]]+TrafficData[[#This Row],[pendingChallan]]=TrafficData[[#This Row],[totalChallan]]</f>
        <v>1</v>
      </c>
      <c r="L3039" t="b">
        <f>TrafficData[[#This Row],[pendingAmount]]+TrafficData[[#This Row],[disposedAmount]]=TrafficData[[#This Row],[totalAmount]]</f>
        <v>1</v>
      </c>
      <c r="M3039" t="b">
        <f>TrafficData[[#This Row],[pendingCourt]]+TrafficData[[#This Row],[disposedCourt]]=TrafficData[[#This Row],[totalCourt]]</f>
        <v>1</v>
      </c>
      <c r="N3039" t="b">
        <f>AND(TrafficData[[#This Row],[disposedChallan]]&lt;=TrafficData[[#This Row],[totalChallan]],TrafficData[[#This Row],[pendingChallan]]&lt;=TrafficData[[#This Row],[totalChallan]])</f>
        <v>1</v>
      </c>
      <c r="O3039" t="b">
        <f>AND(TrafficData[[#This Row],[pendingAmount]]&lt;=TrafficData[[#This Row],[totalAmount]],TrafficData[[#This Row],[disposedAmount]]&lt;=TrafficData[[#This Row],[totalAmount]])</f>
        <v>1</v>
      </c>
      <c r="P3039" t="b">
        <f>AND(TrafficData[[#This Row],[pendingCourt]]&lt;=TrafficData[[#This Row],[totalCourt]],TrafficData[[#This Row],[disposedCourt]]&lt;=TrafficData[[#This Row],[totalCourt]])</f>
        <v>1</v>
      </c>
    </row>
    <row r="3040" spans="1:16">
      <c r="A3040" s="1">
        <v>45044</v>
      </c>
      <c r="B3040">
        <v>164908</v>
      </c>
      <c r="C3040">
        <v>69797</v>
      </c>
      <c r="D3040">
        <v>95111</v>
      </c>
      <c r="E3040">
        <v>166163385</v>
      </c>
      <c r="F3040">
        <v>105407393</v>
      </c>
      <c r="G3040">
        <v>271570778</v>
      </c>
      <c r="H3040">
        <v>61455</v>
      </c>
      <c r="I3040">
        <v>12766</v>
      </c>
      <c r="J3040">
        <v>74221</v>
      </c>
      <c r="K3040" t="b">
        <f>TrafficData[[#This Row],[disposedChallan]]+TrafficData[[#This Row],[pendingChallan]]=TrafficData[[#This Row],[totalChallan]]</f>
        <v>1</v>
      </c>
      <c r="L3040" t="b">
        <f>TrafficData[[#This Row],[pendingAmount]]+TrafficData[[#This Row],[disposedAmount]]=TrafficData[[#This Row],[totalAmount]]</f>
        <v>1</v>
      </c>
      <c r="M3040" t="b">
        <f>TrafficData[[#This Row],[pendingCourt]]+TrafficData[[#This Row],[disposedCourt]]=TrafficData[[#This Row],[totalCourt]]</f>
        <v>1</v>
      </c>
      <c r="N3040" t="b">
        <f>AND(TrafficData[[#This Row],[disposedChallan]]&lt;=TrafficData[[#This Row],[totalChallan]],TrafficData[[#This Row],[pendingChallan]]&lt;=TrafficData[[#This Row],[totalChallan]])</f>
        <v>1</v>
      </c>
      <c r="O3040" t="b">
        <f>AND(TrafficData[[#This Row],[pendingAmount]]&lt;=TrafficData[[#This Row],[totalAmount]],TrafficData[[#This Row],[disposedAmount]]&lt;=TrafficData[[#This Row],[totalAmount]])</f>
        <v>1</v>
      </c>
      <c r="P3040" t="b">
        <f>AND(TrafficData[[#This Row],[pendingCourt]]&lt;=TrafficData[[#This Row],[totalCourt]],TrafficData[[#This Row],[disposedCourt]]&lt;=TrafficData[[#This Row],[totalCourt]])</f>
        <v>1</v>
      </c>
    </row>
    <row r="3041" spans="1:16">
      <c r="A3041" s="1">
        <v>45045</v>
      </c>
      <c r="B3041">
        <v>165254</v>
      </c>
      <c r="C3041">
        <v>71714</v>
      </c>
      <c r="D3041">
        <v>93540</v>
      </c>
      <c r="E3041">
        <v>163534998</v>
      </c>
      <c r="F3041">
        <v>99373635</v>
      </c>
      <c r="G3041">
        <v>262908633</v>
      </c>
      <c r="H3041">
        <v>59049</v>
      </c>
      <c r="I3041">
        <v>12644</v>
      </c>
      <c r="J3041">
        <v>71693</v>
      </c>
      <c r="K3041" t="b">
        <f>TrafficData[[#This Row],[disposedChallan]]+TrafficData[[#This Row],[pendingChallan]]=TrafficData[[#This Row],[totalChallan]]</f>
        <v>1</v>
      </c>
      <c r="L3041" t="b">
        <f>TrafficData[[#This Row],[pendingAmount]]+TrafficData[[#This Row],[disposedAmount]]=TrafficData[[#This Row],[totalAmount]]</f>
        <v>1</v>
      </c>
      <c r="M3041" t="b">
        <f>TrafficData[[#This Row],[pendingCourt]]+TrafficData[[#This Row],[disposedCourt]]=TrafficData[[#This Row],[totalCourt]]</f>
        <v>1</v>
      </c>
      <c r="N3041" t="b">
        <f>AND(TrafficData[[#This Row],[disposedChallan]]&lt;=TrafficData[[#This Row],[totalChallan]],TrafficData[[#This Row],[pendingChallan]]&lt;=TrafficData[[#This Row],[totalChallan]])</f>
        <v>1</v>
      </c>
      <c r="O3041" t="b">
        <f>AND(TrafficData[[#This Row],[pendingAmount]]&lt;=TrafficData[[#This Row],[totalAmount]],TrafficData[[#This Row],[disposedAmount]]&lt;=TrafficData[[#This Row],[totalAmount]])</f>
        <v>1</v>
      </c>
      <c r="P3041" t="b">
        <f>AND(TrafficData[[#This Row],[pendingCourt]]&lt;=TrafficData[[#This Row],[totalCourt]],TrafficData[[#This Row],[disposedCourt]]&lt;=TrafficData[[#This Row],[totalCourt]])</f>
        <v>1</v>
      </c>
    </row>
    <row r="3042" spans="1:16">
      <c r="A3042" s="1">
        <v>45046</v>
      </c>
      <c r="B3042">
        <v>138743</v>
      </c>
      <c r="C3042">
        <v>58674</v>
      </c>
      <c r="D3042">
        <v>80069</v>
      </c>
      <c r="E3042">
        <v>141142177</v>
      </c>
      <c r="F3042">
        <v>75136139</v>
      </c>
      <c r="G3042">
        <v>216278316</v>
      </c>
      <c r="H3042">
        <v>51996</v>
      </c>
      <c r="I3042">
        <v>11112</v>
      </c>
      <c r="J3042">
        <v>63108</v>
      </c>
      <c r="K3042" t="b">
        <f>TrafficData[[#This Row],[disposedChallan]]+TrafficData[[#This Row],[pendingChallan]]=TrafficData[[#This Row],[totalChallan]]</f>
        <v>1</v>
      </c>
      <c r="L3042" t="b">
        <f>TrafficData[[#This Row],[pendingAmount]]+TrafficData[[#This Row],[disposedAmount]]=TrafficData[[#This Row],[totalAmount]]</f>
        <v>1</v>
      </c>
      <c r="M3042" t="b">
        <f>TrafficData[[#This Row],[pendingCourt]]+TrafficData[[#This Row],[disposedCourt]]=TrafficData[[#This Row],[totalCourt]]</f>
        <v>1</v>
      </c>
      <c r="N3042" t="b">
        <f>AND(TrafficData[[#This Row],[disposedChallan]]&lt;=TrafficData[[#This Row],[totalChallan]],TrafficData[[#This Row],[pendingChallan]]&lt;=TrafficData[[#This Row],[totalChallan]])</f>
        <v>1</v>
      </c>
      <c r="O3042" t="b">
        <f>AND(TrafficData[[#This Row],[pendingAmount]]&lt;=TrafficData[[#This Row],[totalAmount]],TrafficData[[#This Row],[disposedAmount]]&lt;=TrafficData[[#This Row],[totalAmount]])</f>
        <v>1</v>
      </c>
      <c r="P3042" t="b">
        <f>AND(TrafficData[[#This Row],[pendingCourt]]&lt;=TrafficData[[#This Row],[totalCourt]],TrafficData[[#This Row],[disposedCourt]]&lt;=TrafficData[[#This Row],[totalCourt]])</f>
        <v>1</v>
      </c>
    </row>
    <row r="3043" spans="1:16">
      <c r="A3043" s="1">
        <v>45047</v>
      </c>
      <c r="B3043">
        <v>153168</v>
      </c>
      <c r="C3043">
        <v>70947</v>
      </c>
      <c r="D3043">
        <v>82221</v>
      </c>
      <c r="E3043">
        <v>139565465</v>
      </c>
      <c r="F3043">
        <v>91518730</v>
      </c>
      <c r="G3043">
        <v>231084195</v>
      </c>
      <c r="H3043">
        <v>54440</v>
      </c>
      <c r="I3043">
        <v>11243</v>
      </c>
      <c r="J3043">
        <v>65683</v>
      </c>
      <c r="K3043" t="b">
        <f>TrafficData[[#This Row],[disposedChallan]]+TrafficData[[#This Row],[pendingChallan]]=TrafficData[[#This Row],[totalChallan]]</f>
        <v>1</v>
      </c>
      <c r="L3043" t="b">
        <f>TrafficData[[#This Row],[pendingAmount]]+TrafficData[[#This Row],[disposedAmount]]=TrafficData[[#This Row],[totalAmount]]</f>
        <v>1</v>
      </c>
      <c r="M3043" t="b">
        <f>TrafficData[[#This Row],[pendingCourt]]+TrafficData[[#This Row],[disposedCourt]]=TrafficData[[#This Row],[totalCourt]]</f>
        <v>1</v>
      </c>
      <c r="N3043" t="b">
        <f>AND(TrafficData[[#This Row],[disposedChallan]]&lt;=TrafficData[[#This Row],[totalChallan]],TrafficData[[#This Row],[pendingChallan]]&lt;=TrafficData[[#This Row],[totalChallan]])</f>
        <v>1</v>
      </c>
      <c r="O3043" t="b">
        <f>AND(TrafficData[[#This Row],[pendingAmount]]&lt;=TrafficData[[#This Row],[totalAmount]],TrafficData[[#This Row],[disposedAmount]]&lt;=TrafficData[[#This Row],[totalAmount]])</f>
        <v>1</v>
      </c>
      <c r="P3043" t="b">
        <f>AND(TrafficData[[#This Row],[pendingCourt]]&lt;=TrafficData[[#This Row],[totalCourt]],TrafficData[[#This Row],[disposedCourt]]&lt;=TrafficData[[#This Row],[totalCourt]])</f>
        <v>1</v>
      </c>
    </row>
    <row r="3044" spans="1:16">
      <c r="A3044" s="1">
        <v>45048</v>
      </c>
      <c r="B3044">
        <v>167294</v>
      </c>
      <c r="C3044">
        <v>75129</v>
      </c>
      <c r="D3044">
        <v>92165</v>
      </c>
      <c r="E3044">
        <v>167694375</v>
      </c>
      <c r="F3044">
        <v>120837293</v>
      </c>
      <c r="G3044">
        <v>288531668</v>
      </c>
      <c r="H3044">
        <v>58769</v>
      </c>
      <c r="I3044">
        <v>11931</v>
      </c>
      <c r="J3044">
        <v>70700</v>
      </c>
      <c r="K3044" t="b">
        <f>TrafficData[[#This Row],[disposedChallan]]+TrafficData[[#This Row],[pendingChallan]]=TrafficData[[#This Row],[totalChallan]]</f>
        <v>1</v>
      </c>
      <c r="L3044" t="b">
        <f>TrafficData[[#This Row],[pendingAmount]]+TrafficData[[#This Row],[disposedAmount]]=TrafficData[[#This Row],[totalAmount]]</f>
        <v>1</v>
      </c>
      <c r="M3044" t="b">
        <f>TrafficData[[#This Row],[pendingCourt]]+TrafficData[[#This Row],[disposedCourt]]=TrafficData[[#This Row],[totalCourt]]</f>
        <v>1</v>
      </c>
      <c r="N3044" t="b">
        <f>AND(TrafficData[[#This Row],[disposedChallan]]&lt;=TrafficData[[#This Row],[totalChallan]],TrafficData[[#This Row],[pendingChallan]]&lt;=TrafficData[[#This Row],[totalChallan]])</f>
        <v>1</v>
      </c>
      <c r="O3044" t="b">
        <f>AND(TrafficData[[#This Row],[pendingAmount]]&lt;=TrafficData[[#This Row],[totalAmount]],TrafficData[[#This Row],[disposedAmount]]&lt;=TrafficData[[#This Row],[totalAmount]])</f>
        <v>1</v>
      </c>
      <c r="P3044" t="b">
        <f>AND(TrafficData[[#This Row],[pendingCourt]]&lt;=TrafficData[[#This Row],[totalCourt]],TrafficData[[#This Row],[disposedCourt]]&lt;=TrafficData[[#This Row],[totalCourt]])</f>
        <v>1</v>
      </c>
    </row>
    <row r="3045" spans="1:16">
      <c r="A3045" s="1">
        <v>45049</v>
      </c>
      <c r="B3045">
        <v>151353</v>
      </c>
      <c r="C3045">
        <v>71389</v>
      </c>
      <c r="D3045">
        <v>79964</v>
      </c>
      <c r="E3045">
        <v>138822928</v>
      </c>
      <c r="F3045">
        <v>117884467</v>
      </c>
      <c r="G3045">
        <v>256707395</v>
      </c>
      <c r="H3045">
        <v>49328</v>
      </c>
      <c r="I3045">
        <v>10209</v>
      </c>
      <c r="J3045">
        <v>59537</v>
      </c>
      <c r="K3045" t="b">
        <f>TrafficData[[#This Row],[disposedChallan]]+TrafficData[[#This Row],[pendingChallan]]=TrafficData[[#This Row],[totalChallan]]</f>
        <v>1</v>
      </c>
      <c r="L3045" t="b">
        <f>TrafficData[[#This Row],[pendingAmount]]+TrafficData[[#This Row],[disposedAmount]]=TrafficData[[#This Row],[totalAmount]]</f>
        <v>1</v>
      </c>
      <c r="M3045" t="b">
        <f>TrafficData[[#This Row],[pendingCourt]]+TrafficData[[#This Row],[disposedCourt]]=TrafficData[[#This Row],[totalCourt]]</f>
        <v>1</v>
      </c>
      <c r="N3045" t="b">
        <f>AND(TrafficData[[#This Row],[disposedChallan]]&lt;=TrafficData[[#This Row],[totalChallan]],TrafficData[[#This Row],[pendingChallan]]&lt;=TrafficData[[#This Row],[totalChallan]])</f>
        <v>1</v>
      </c>
      <c r="O3045" t="b">
        <f>AND(TrafficData[[#This Row],[pendingAmount]]&lt;=TrafficData[[#This Row],[totalAmount]],TrafficData[[#This Row],[disposedAmount]]&lt;=TrafficData[[#This Row],[totalAmount]])</f>
        <v>1</v>
      </c>
      <c r="P3045" t="b">
        <f>AND(TrafficData[[#This Row],[pendingCourt]]&lt;=TrafficData[[#This Row],[totalCourt]],TrafficData[[#This Row],[disposedCourt]]&lt;=TrafficData[[#This Row],[totalCourt]])</f>
        <v>1</v>
      </c>
    </row>
    <row r="3046" spans="1:16">
      <c r="A3046" s="1">
        <v>45050</v>
      </c>
      <c r="B3046">
        <v>160271</v>
      </c>
      <c r="C3046">
        <v>73926</v>
      </c>
      <c r="D3046">
        <v>86345</v>
      </c>
      <c r="E3046">
        <v>156492737</v>
      </c>
      <c r="F3046">
        <v>123850726</v>
      </c>
      <c r="G3046">
        <v>280343463</v>
      </c>
      <c r="H3046">
        <v>55325</v>
      </c>
      <c r="I3046">
        <v>11431</v>
      </c>
      <c r="J3046">
        <v>66756</v>
      </c>
      <c r="K3046" t="b">
        <f>TrafficData[[#This Row],[disposedChallan]]+TrafficData[[#This Row],[pendingChallan]]=TrafficData[[#This Row],[totalChallan]]</f>
        <v>1</v>
      </c>
      <c r="L3046" t="b">
        <f>TrafficData[[#This Row],[pendingAmount]]+TrafficData[[#This Row],[disposedAmount]]=TrafficData[[#This Row],[totalAmount]]</f>
        <v>1</v>
      </c>
      <c r="M3046" t="b">
        <f>TrafficData[[#This Row],[pendingCourt]]+TrafficData[[#This Row],[disposedCourt]]=TrafficData[[#This Row],[totalCourt]]</f>
        <v>1</v>
      </c>
      <c r="N3046" t="b">
        <f>AND(TrafficData[[#This Row],[disposedChallan]]&lt;=TrafficData[[#This Row],[totalChallan]],TrafficData[[#This Row],[pendingChallan]]&lt;=TrafficData[[#This Row],[totalChallan]])</f>
        <v>1</v>
      </c>
      <c r="O3046" t="b">
        <f>AND(TrafficData[[#This Row],[pendingAmount]]&lt;=TrafficData[[#This Row],[totalAmount]],TrafficData[[#This Row],[disposedAmount]]&lt;=TrafficData[[#This Row],[totalAmount]])</f>
        <v>1</v>
      </c>
      <c r="P3046" t="b">
        <f>AND(TrafficData[[#This Row],[pendingCourt]]&lt;=TrafficData[[#This Row],[totalCourt]],TrafficData[[#This Row],[disposedCourt]]&lt;=TrafficData[[#This Row],[totalCourt]])</f>
        <v>1</v>
      </c>
    </row>
    <row r="3047" spans="1:16">
      <c r="A3047" s="1">
        <v>45051</v>
      </c>
      <c r="B3047">
        <v>164390</v>
      </c>
      <c r="C3047">
        <v>73828</v>
      </c>
      <c r="D3047">
        <v>90562</v>
      </c>
      <c r="E3047">
        <v>158433461</v>
      </c>
      <c r="F3047">
        <v>118592422</v>
      </c>
      <c r="G3047">
        <v>277025883</v>
      </c>
      <c r="H3047">
        <v>60785</v>
      </c>
      <c r="I3047">
        <v>12285</v>
      </c>
      <c r="J3047">
        <v>73070</v>
      </c>
      <c r="K3047" t="b">
        <f>TrafficData[[#This Row],[disposedChallan]]+TrafficData[[#This Row],[pendingChallan]]=TrafficData[[#This Row],[totalChallan]]</f>
        <v>1</v>
      </c>
      <c r="L3047" t="b">
        <f>TrafficData[[#This Row],[pendingAmount]]+TrafficData[[#This Row],[disposedAmount]]=TrafficData[[#This Row],[totalAmount]]</f>
        <v>1</v>
      </c>
      <c r="M3047" t="b">
        <f>TrafficData[[#This Row],[pendingCourt]]+TrafficData[[#This Row],[disposedCourt]]=TrafficData[[#This Row],[totalCourt]]</f>
        <v>1</v>
      </c>
      <c r="N3047" t="b">
        <f>AND(TrafficData[[#This Row],[disposedChallan]]&lt;=TrafficData[[#This Row],[totalChallan]],TrafficData[[#This Row],[pendingChallan]]&lt;=TrafficData[[#This Row],[totalChallan]])</f>
        <v>1</v>
      </c>
      <c r="O3047" t="b">
        <f>AND(TrafficData[[#This Row],[pendingAmount]]&lt;=TrafficData[[#This Row],[totalAmount]],TrafficData[[#This Row],[disposedAmount]]&lt;=TrafficData[[#This Row],[totalAmount]])</f>
        <v>1</v>
      </c>
      <c r="P3047" t="b">
        <f>AND(TrafficData[[#This Row],[pendingCourt]]&lt;=TrafficData[[#This Row],[totalCourt]],TrafficData[[#This Row],[disposedCourt]]&lt;=TrafficData[[#This Row],[totalCourt]])</f>
        <v>1</v>
      </c>
    </row>
    <row r="3048" spans="1:16">
      <c r="A3048" s="1">
        <v>45052</v>
      </c>
      <c r="B3048">
        <v>172256</v>
      </c>
      <c r="C3048">
        <v>77431</v>
      </c>
      <c r="D3048">
        <v>94825</v>
      </c>
      <c r="E3048">
        <v>165878617</v>
      </c>
      <c r="F3048">
        <v>122075457</v>
      </c>
      <c r="G3048">
        <v>287954074</v>
      </c>
      <c r="H3048">
        <v>61824</v>
      </c>
      <c r="I3048">
        <v>13324</v>
      </c>
      <c r="J3048">
        <v>75148</v>
      </c>
      <c r="K3048" t="b">
        <f>TrafficData[[#This Row],[disposedChallan]]+TrafficData[[#This Row],[pendingChallan]]=TrafficData[[#This Row],[totalChallan]]</f>
        <v>1</v>
      </c>
      <c r="L3048" t="b">
        <f>TrafficData[[#This Row],[pendingAmount]]+TrafficData[[#This Row],[disposedAmount]]=TrafficData[[#This Row],[totalAmount]]</f>
        <v>1</v>
      </c>
      <c r="M3048" t="b">
        <f>TrafficData[[#This Row],[pendingCourt]]+TrafficData[[#This Row],[disposedCourt]]=TrafficData[[#This Row],[totalCourt]]</f>
        <v>1</v>
      </c>
      <c r="N3048" t="b">
        <f>AND(TrafficData[[#This Row],[disposedChallan]]&lt;=TrafficData[[#This Row],[totalChallan]],TrafficData[[#This Row],[pendingChallan]]&lt;=TrafficData[[#This Row],[totalChallan]])</f>
        <v>1</v>
      </c>
      <c r="O3048" t="b">
        <f>AND(TrafficData[[#This Row],[pendingAmount]]&lt;=TrafficData[[#This Row],[totalAmount]],TrafficData[[#This Row],[disposedAmount]]&lt;=TrafficData[[#This Row],[totalAmount]])</f>
        <v>1</v>
      </c>
      <c r="P3048" t="b">
        <f>AND(TrafficData[[#This Row],[pendingCourt]]&lt;=TrafficData[[#This Row],[totalCourt]],TrafficData[[#This Row],[disposedCourt]]&lt;=TrafficData[[#This Row],[totalCourt]])</f>
        <v>1</v>
      </c>
    </row>
    <row r="3049" spans="1:16">
      <c r="A3049" s="1">
        <v>45053</v>
      </c>
      <c r="B3049">
        <v>129243</v>
      </c>
      <c r="C3049">
        <v>56355</v>
      </c>
      <c r="D3049">
        <v>72888</v>
      </c>
      <c r="E3049">
        <v>121539629</v>
      </c>
      <c r="F3049">
        <v>77170384</v>
      </c>
      <c r="G3049">
        <v>198710013</v>
      </c>
      <c r="H3049">
        <v>47920</v>
      </c>
      <c r="I3049">
        <v>10375</v>
      </c>
      <c r="J3049">
        <v>58295</v>
      </c>
      <c r="K3049" t="b">
        <f>TrafficData[[#This Row],[disposedChallan]]+TrafficData[[#This Row],[pendingChallan]]=TrafficData[[#This Row],[totalChallan]]</f>
        <v>1</v>
      </c>
      <c r="L3049" t="b">
        <f>TrafficData[[#This Row],[pendingAmount]]+TrafficData[[#This Row],[disposedAmount]]=TrafficData[[#This Row],[totalAmount]]</f>
        <v>1</v>
      </c>
      <c r="M3049" t="b">
        <f>TrafficData[[#This Row],[pendingCourt]]+TrafficData[[#This Row],[disposedCourt]]=TrafficData[[#This Row],[totalCourt]]</f>
        <v>1</v>
      </c>
      <c r="N3049" t="b">
        <f>AND(TrafficData[[#This Row],[disposedChallan]]&lt;=TrafficData[[#This Row],[totalChallan]],TrafficData[[#This Row],[pendingChallan]]&lt;=TrafficData[[#This Row],[totalChallan]])</f>
        <v>1</v>
      </c>
      <c r="O3049" t="b">
        <f>AND(TrafficData[[#This Row],[pendingAmount]]&lt;=TrafficData[[#This Row],[totalAmount]],TrafficData[[#This Row],[disposedAmount]]&lt;=TrafficData[[#This Row],[totalAmount]])</f>
        <v>1</v>
      </c>
      <c r="P3049" t="b">
        <f>AND(TrafficData[[#This Row],[pendingCourt]]&lt;=TrafficData[[#This Row],[totalCourt]],TrafficData[[#This Row],[disposedCourt]]&lt;=TrafficData[[#This Row],[totalCourt]])</f>
        <v>1</v>
      </c>
    </row>
    <row r="3050" spans="1:16">
      <c r="A3050" s="1">
        <v>45054</v>
      </c>
      <c r="B3050">
        <v>176968</v>
      </c>
      <c r="C3050">
        <v>76133</v>
      </c>
      <c r="D3050">
        <v>100835</v>
      </c>
      <c r="E3050">
        <v>170543351</v>
      </c>
      <c r="F3050">
        <v>117694951</v>
      </c>
      <c r="G3050">
        <v>288238302</v>
      </c>
      <c r="H3050">
        <v>63527</v>
      </c>
      <c r="I3050">
        <v>12709</v>
      </c>
      <c r="J3050">
        <v>76236</v>
      </c>
      <c r="K3050" t="b">
        <f>TrafficData[[#This Row],[disposedChallan]]+TrafficData[[#This Row],[pendingChallan]]=TrafficData[[#This Row],[totalChallan]]</f>
        <v>1</v>
      </c>
      <c r="L3050" t="b">
        <f>TrafficData[[#This Row],[pendingAmount]]+TrafficData[[#This Row],[disposedAmount]]=TrafficData[[#This Row],[totalAmount]]</f>
        <v>1</v>
      </c>
      <c r="M3050" t="b">
        <f>TrafficData[[#This Row],[pendingCourt]]+TrafficData[[#This Row],[disposedCourt]]=TrafficData[[#This Row],[totalCourt]]</f>
        <v>1</v>
      </c>
      <c r="N3050" t="b">
        <f>AND(TrafficData[[#This Row],[disposedChallan]]&lt;=TrafficData[[#This Row],[totalChallan]],TrafficData[[#This Row],[pendingChallan]]&lt;=TrafficData[[#This Row],[totalChallan]])</f>
        <v>1</v>
      </c>
      <c r="O3050" t="b">
        <f>AND(TrafficData[[#This Row],[pendingAmount]]&lt;=TrafficData[[#This Row],[totalAmount]],TrafficData[[#This Row],[disposedAmount]]&lt;=TrafficData[[#This Row],[totalAmount]])</f>
        <v>1</v>
      </c>
      <c r="P3050" t="b">
        <f>AND(TrafficData[[#This Row],[pendingCourt]]&lt;=TrafficData[[#This Row],[totalCourt]],TrafficData[[#This Row],[disposedCourt]]&lt;=TrafficData[[#This Row],[totalCourt]])</f>
        <v>1</v>
      </c>
    </row>
    <row r="3051" spans="1:16">
      <c r="A3051" s="1">
        <v>45055</v>
      </c>
      <c r="B3051">
        <v>170073</v>
      </c>
      <c r="C3051">
        <v>75588</v>
      </c>
      <c r="D3051">
        <v>94485</v>
      </c>
      <c r="E3051">
        <v>165416978</v>
      </c>
      <c r="F3051">
        <v>118496279</v>
      </c>
      <c r="G3051">
        <v>283913257</v>
      </c>
      <c r="H3051">
        <v>58782</v>
      </c>
      <c r="I3051">
        <v>12098</v>
      </c>
      <c r="J3051">
        <v>70880</v>
      </c>
      <c r="K3051" t="b">
        <f>TrafficData[[#This Row],[disposedChallan]]+TrafficData[[#This Row],[pendingChallan]]=TrafficData[[#This Row],[totalChallan]]</f>
        <v>1</v>
      </c>
      <c r="L3051" t="b">
        <f>TrafficData[[#This Row],[pendingAmount]]+TrafficData[[#This Row],[disposedAmount]]=TrafficData[[#This Row],[totalAmount]]</f>
        <v>1</v>
      </c>
      <c r="M3051" t="b">
        <f>TrafficData[[#This Row],[pendingCourt]]+TrafficData[[#This Row],[disposedCourt]]=TrafficData[[#This Row],[totalCourt]]</f>
        <v>1</v>
      </c>
      <c r="N3051" t="b">
        <f>AND(TrafficData[[#This Row],[disposedChallan]]&lt;=TrafficData[[#This Row],[totalChallan]],TrafficData[[#This Row],[pendingChallan]]&lt;=TrafficData[[#This Row],[totalChallan]])</f>
        <v>1</v>
      </c>
      <c r="O3051" t="b">
        <f>AND(TrafficData[[#This Row],[pendingAmount]]&lt;=TrafficData[[#This Row],[totalAmount]],TrafficData[[#This Row],[disposedAmount]]&lt;=TrafficData[[#This Row],[totalAmount]])</f>
        <v>1</v>
      </c>
      <c r="P3051" t="b">
        <f>AND(TrafficData[[#This Row],[pendingCourt]]&lt;=TrafficData[[#This Row],[totalCourt]],TrafficData[[#This Row],[disposedCourt]]&lt;=TrafficData[[#This Row],[totalCourt]])</f>
        <v>1</v>
      </c>
    </row>
    <row r="3052" spans="1:16">
      <c r="A3052" s="1">
        <v>45056</v>
      </c>
      <c r="B3052">
        <v>169987</v>
      </c>
      <c r="C3052">
        <v>76079</v>
      </c>
      <c r="D3052">
        <v>93908</v>
      </c>
      <c r="E3052">
        <v>161293534</v>
      </c>
      <c r="F3052">
        <v>120608761</v>
      </c>
      <c r="G3052">
        <v>281902295</v>
      </c>
      <c r="H3052">
        <v>56132</v>
      </c>
      <c r="I3052">
        <v>12141</v>
      </c>
      <c r="J3052">
        <v>68273</v>
      </c>
      <c r="K3052" t="b">
        <f>TrafficData[[#This Row],[disposedChallan]]+TrafficData[[#This Row],[pendingChallan]]=TrafficData[[#This Row],[totalChallan]]</f>
        <v>1</v>
      </c>
      <c r="L3052" t="b">
        <f>TrafficData[[#This Row],[pendingAmount]]+TrafficData[[#This Row],[disposedAmount]]=TrafficData[[#This Row],[totalAmount]]</f>
        <v>1</v>
      </c>
      <c r="M3052" t="b">
        <f>TrafficData[[#This Row],[pendingCourt]]+TrafficData[[#This Row],[disposedCourt]]=TrafficData[[#This Row],[totalCourt]]</f>
        <v>1</v>
      </c>
      <c r="N3052" t="b">
        <f>AND(TrafficData[[#This Row],[disposedChallan]]&lt;=TrafficData[[#This Row],[totalChallan]],TrafficData[[#This Row],[pendingChallan]]&lt;=TrafficData[[#This Row],[totalChallan]])</f>
        <v>1</v>
      </c>
      <c r="O3052" t="b">
        <f>AND(TrafficData[[#This Row],[pendingAmount]]&lt;=TrafficData[[#This Row],[totalAmount]],TrafficData[[#This Row],[disposedAmount]]&lt;=TrafficData[[#This Row],[totalAmount]])</f>
        <v>1</v>
      </c>
      <c r="P3052" t="b">
        <f>AND(TrafficData[[#This Row],[pendingCourt]]&lt;=TrafficData[[#This Row],[totalCourt]],TrafficData[[#This Row],[disposedCourt]]&lt;=TrafficData[[#This Row],[totalCourt]])</f>
        <v>1</v>
      </c>
    </row>
    <row r="3053" spans="1:16">
      <c r="A3053" s="1">
        <v>45057</v>
      </c>
      <c r="B3053">
        <v>164582</v>
      </c>
      <c r="C3053">
        <v>72525</v>
      </c>
      <c r="D3053">
        <v>92057</v>
      </c>
      <c r="E3053">
        <v>151103205</v>
      </c>
      <c r="F3053">
        <v>111627165</v>
      </c>
      <c r="G3053">
        <v>262730370</v>
      </c>
      <c r="H3053">
        <v>55108</v>
      </c>
      <c r="I3053">
        <v>11253</v>
      </c>
      <c r="J3053">
        <v>66361</v>
      </c>
      <c r="K3053" t="b">
        <f>TrafficData[[#This Row],[disposedChallan]]+TrafficData[[#This Row],[pendingChallan]]=TrafficData[[#This Row],[totalChallan]]</f>
        <v>1</v>
      </c>
      <c r="L3053" t="b">
        <f>TrafficData[[#This Row],[pendingAmount]]+TrafficData[[#This Row],[disposedAmount]]=TrafficData[[#This Row],[totalAmount]]</f>
        <v>1</v>
      </c>
      <c r="M3053" t="b">
        <f>TrafficData[[#This Row],[pendingCourt]]+TrafficData[[#This Row],[disposedCourt]]=TrafficData[[#This Row],[totalCourt]]</f>
        <v>1</v>
      </c>
      <c r="N3053" t="b">
        <f>AND(TrafficData[[#This Row],[disposedChallan]]&lt;=TrafficData[[#This Row],[totalChallan]],TrafficData[[#This Row],[pendingChallan]]&lt;=TrafficData[[#This Row],[totalChallan]])</f>
        <v>1</v>
      </c>
      <c r="O3053" t="b">
        <f>AND(TrafficData[[#This Row],[pendingAmount]]&lt;=TrafficData[[#This Row],[totalAmount]],TrafficData[[#This Row],[disposedAmount]]&lt;=TrafficData[[#This Row],[totalAmount]])</f>
        <v>1</v>
      </c>
      <c r="P3053" t="b">
        <f>AND(TrafficData[[#This Row],[pendingCourt]]&lt;=TrafficData[[#This Row],[totalCourt]],TrafficData[[#This Row],[disposedCourt]]&lt;=TrafficData[[#This Row],[totalCourt]])</f>
        <v>1</v>
      </c>
    </row>
    <row r="3054" spans="1:16">
      <c r="A3054" s="1">
        <v>45058</v>
      </c>
      <c r="B3054">
        <v>178770</v>
      </c>
      <c r="C3054">
        <v>76548</v>
      </c>
      <c r="D3054">
        <v>102222</v>
      </c>
      <c r="E3054">
        <v>170229368</v>
      </c>
      <c r="F3054">
        <v>120904206</v>
      </c>
      <c r="G3054">
        <v>291133574</v>
      </c>
      <c r="H3054">
        <v>62400</v>
      </c>
      <c r="I3054">
        <v>12877</v>
      </c>
      <c r="J3054">
        <v>75277</v>
      </c>
      <c r="K3054" t="b">
        <f>TrafficData[[#This Row],[disposedChallan]]+TrafficData[[#This Row],[pendingChallan]]=TrafficData[[#This Row],[totalChallan]]</f>
        <v>1</v>
      </c>
      <c r="L3054" t="b">
        <f>TrafficData[[#This Row],[pendingAmount]]+TrafficData[[#This Row],[disposedAmount]]=TrafficData[[#This Row],[totalAmount]]</f>
        <v>1</v>
      </c>
      <c r="M3054" t="b">
        <f>TrafficData[[#This Row],[pendingCourt]]+TrafficData[[#This Row],[disposedCourt]]=TrafficData[[#This Row],[totalCourt]]</f>
        <v>1</v>
      </c>
      <c r="N3054" t="b">
        <f>AND(TrafficData[[#This Row],[disposedChallan]]&lt;=TrafficData[[#This Row],[totalChallan]],TrafficData[[#This Row],[pendingChallan]]&lt;=TrafficData[[#This Row],[totalChallan]])</f>
        <v>1</v>
      </c>
      <c r="O3054" t="b">
        <f>AND(TrafficData[[#This Row],[pendingAmount]]&lt;=TrafficData[[#This Row],[totalAmount]],TrafficData[[#This Row],[disposedAmount]]&lt;=TrafficData[[#This Row],[totalAmount]])</f>
        <v>1</v>
      </c>
      <c r="P3054" t="b">
        <f>AND(TrafficData[[#This Row],[pendingCourt]]&lt;=TrafficData[[#This Row],[totalCourt]],TrafficData[[#This Row],[disposedCourt]]&lt;=TrafficData[[#This Row],[totalCourt]])</f>
        <v>1</v>
      </c>
    </row>
    <row r="3055" spans="1:16">
      <c r="A3055" s="1">
        <v>45059</v>
      </c>
      <c r="B3055">
        <v>162041</v>
      </c>
      <c r="C3055">
        <v>75869</v>
      </c>
      <c r="D3055">
        <v>86172</v>
      </c>
      <c r="E3055">
        <v>149382199</v>
      </c>
      <c r="F3055">
        <v>115379530</v>
      </c>
      <c r="G3055">
        <v>264761729</v>
      </c>
      <c r="H3055">
        <v>47674</v>
      </c>
      <c r="I3055">
        <v>11535</v>
      </c>
      <c r="J3055">
        <v>59209</v>
      </c>
      <c r="K3055" t="b">
        <f>TrafficData[[#This Row],[disposedChallan]]+TrafficData[[#This Row],[pendingChallan]]=TrafficData[[#This Row],[totalChallan]]</f>
        <v>1</v>
      </c>
      <c r="L3055" t="b">
        <f>TrafficData[[#This Row],[pendingAmount]]+TrafficData[[#This Row],[disposedAmount]]=TrafficData[[#This Row],[totalAmount]]</f>
        <v>1</v>
      </c>
      <c r="M3055" t="b">
        <f>TrafficData[[#This Row],[pendingCourt]]+TrafficData[[#This Row],[disposedCourt]]=TrafficData[[#This Row],[totalCourt]]</f>
        <v>1</v>
      </c>
      <c r="N3055" t="b">
        <f>AND(TrafficData[[#This Row],[disposedChallan]]&lt;=TrafficData[[#This Row],[totalChallan]],TrafficData[[#This Row],[pendingChallan]]&lt;=TrafficData[[#This Row],[totalChallan]])</f>
        <v>1</v>
      </c>
      <c r="O3055" t="b">
        <f>AND(TrafficData[[#This Row],[pendingAmount]]&lt;=TrafficData[[#This Row],[totalAmount]],TrafficData[[#This Row],[disposedAmount]]&lt;=TrafficData[[#This Row],[totalAmount]])</f>
        <v>1</v>
      </c>
      <c r="P3055" t="b">
        <f>AND(TrafficData[[#This Row],[pendingCourt]]&lt;=TrafficData[[#This Row],[totalCourt]],TrafficData[[#This Row],[disposedCourt]]&lt;=TrafficData[[#This Row],[totalCourt]])</f>
        <v>1</v>
      </c>
    </row>
    <row r="3056" spans="1:16">
      <c r="A3056" s="1">
        <v>45060</v>
      </c>
      <c r="B3056">
        <v>152371</v>
      </c>
      <c r="C3056">
        <v>63445</v>
      </c>
      <c r="D3056">
        <v>88926</v>
      </c>
      <c r="E3056">
        <v>142106773</v>
      </c>
      <c r="F3056">
        <v>87118814</v>
      </c>
      <c r="G3056">
        <v>229225587</v>
      </c>
      <c r="H3056">
        <v>54229</v>
      </c>
      <c r="I3056">
        <v>11551</v>
      </c>
      <c r="J3056">
        <v>65780</v>
      </c>
      <c r="K3056" t="b">
        <f>TrafficData[[#This Row],[disposedChallan]]+TrafficData[[#This Row],[pendingChallan]]=TrafficData[[#This Row],[totalChallan]]</f>
        <v>1</v>
      </c>
      <c r="L3056" t="b">
        <f>TrafficData[[#This Row],[pendingAmount]]+TrafficData[[#This Row],[disposedAmount]]=TrafficData[[#This Row],[totalAmount]]</f>
        <v>1</v>
      </c>
      <c r="M3056" t="b">
        <f>TrafficData[[#This Row],[pendingCourt]]+TrafficData[[#This Row],[disposedCourt]]=TrafficData[[#This Row],[totalCourt]]</f>
        <v>1</v>
      </c>
      <c r="N3056" t="b">
        <f>AND(TrafficData[[#This Row],[disposedChallan]]&lt;=TrafficData[[#This Row],[totalChallan]],TrafficData[[#This Row],[pendingChallan]]&lt;=TrafficData[[#This Row],[totalChallan]])</f>
        <v>1</v>
      </c>
      <c r="O3056" t="b">
        <f>AND(TrafficData[[#This Row],[pendingAmount]]&lt;=TrafficData[[#This Row],[totalAmount]],TrafficData[[#This Row],[disposedAmount]]&lt;=TrafficData[[#This Row],[totalAmount]])</f>
        <v>1</v>
      </c>
      <c r="P3056" t="b">
        <f>AND(TrafficData[[#This Row],[pendingCourt]]&lt;=TrafficData[[#This Row],[totalCourt]],TrafficData[[#This Row],[disposedCourt]]&lt;=TrafficData[[#This Row],[totalCourt]])</f>
        <v>1</v>
      </c>
    </row>
    <row r="3057" spans="1:16">
      <c r="A3057" s="1">
        <v>45061</v>
      </c>
      <c r="B3057">
        <v>178158</v>
      </c>
      <c r="C3057">
        <v>75795</v>
      </c>
      <c r="D3057">
        <v>102363</v>
      </c>
      <c r="E3057">
        <v>175724315</v>
      </c>
      <c r="F3057">
        <v>111492830</v>
      </c>
      <c r="G3057">
        <v>287217145</v>
      </c>
      <c r="H3057">
        <v>64568</v>
      </c>
      <c r="I3057">
        <v>13779</v>
      </c>
      <c r="J3057">
        <v>78347</v>
      </c>
      <c r="K3057" t="b">
        <f>TrafficData[[#This Row],[disposedChallan]]+TrafficData[[#This Row],[pendingChallan]]=TrafficData[[#This Row],[totalChallan]]</f>
        <v>1</v>
      </c>
      <c r="L3057" t="b">
        <f>TrafficData[[#This Row],[pendingAmount]]+TrafficData[[#This Row],[disposedAmount]]=TrafficData[[#This Row],[totalAmount]]</f>
        <v>1</v>
      </c>
      <c r="M3057" t="b">
        <f>TrafficData[[#This Row],[pendingCourt]]+TrafficData[[#This Row],[disposedCourt]]=TrafficData[[#This Row],[totalCourt]]</f>
        <v>1</v>
      </c>
      <c r="N3057" t="b">
        <f>AND(TrafficData[[#This Row],[disposedChallan]]&lt;=TrafficData[[#This Row],[totalChallan]],TrafficData[[#This Row],[pendingChallan]]&lt;=TrafficData[[#This Row],[totalChallan]])</f>
        <v>1</v>
      </c>
      <c r="O3057" t="b">
        <f>AND(TrafficData[[#This Row],[pendingAmount]]&lt;=TrafficData[[#This Row],[totalAmount]],TrafficData[[#This Row],[disposedAmount]]&lt;=TrafficData[[#This Row],[totalAmount]])</f>
        <v>1</v>
      </c>
      <c r="P3057" t="b">
        <f>AND(TrafficData[[#This Row],[pendingCourt]]&lt;=TrafficData[[#This Row],[totalCourt]],TrafficData[[#This Row],[disposedCourt]]&lt;=TrafficData[[#This Row],[totalCourt]])</f>
        <v>1</v>
      </c>
    </row>
    <row r="3058" spans="1:16">
      <c r="A3058" s="1">
        <v>45062</v>
      </c>
      <c r="B3058">
        <v>182786</v>
      </c>
      <c r="C3058">
        <v>77428</v>
      </c>
      <c r="D3058">
        <v>105358</v>
      </c>
      <c r="E3058">
        <v>174445622</v>
      </c>
      <c r="F3058">
        <v>123325497</v>
      </c>
      <c r="G3058">
        <v>297771119</v>
      </c>
      <c r="H3058">
        <v>64098</v>
      </c>
      <c r="I3058">
        <v>12860</v>
      </c>
      <c r="J3058">
        <v>76958</v>
      </c>
      <c r="K3058" t="b">
        <f>TrafficData[[#This Row],[disposedChallan]]+TrafficData[[#This Row],[pendingChallan]]=TrafficData[[#This Row],[totalChallan]]</f>
        <v>1</v>
      </c>
      <c r="L3058" t="b">
        <f>TrafficData[[#This Row],[pendingAmount]]+TrafficData[[#This Row],[disposedAmount]]=TrafficData[[#This Row],[totalAmount]]</f>
        <v>1</v>
      </c>
      <c r="M3058" t="b">
        <f>TrafficData[[#This Row],[pendingCourt]]+TrafficData[[#This Row],[disposedCourt]]=TrafficData[[#This Row],[totalCourt]]</f>
        <v>1</v>
      </c>
      <c r="N3058" t="b">
        <f>AND(TrafficData[[#This Row],[disposedChallan]]&lt;=TrafficData[[#This Row],[totalChallan]],TrafficData[[#This Row],[pendingChallan]]&lt;=TrafficData[[#This Row],[totalChallan]])</f>
        <v>1</v>
      </c>
      <c r="O3058" t="b">
        <f>AND(TrafficData[[#This Row],[pendingAmount]]&lt;=TrafficData[[#This Row],[totalAmount]],TrafficData[[#This Row],[disposedAmount]]&lt;=TrafficData[[#This Row],[totalAmount]])</f>
        <v>1</v>
      </c>
      <c r="P3058" t="b">
        <f>AND(TrafficData[[#This Row],[pendingCourt]]&lt;=TrafficData[[#This Row],[totalCourt]],TrafficData[[#This Row],[disposedCourt]]&lt;=TrafficData[[#This Row],[totalCourt]])</f>
        <v>1</v>
      </c>
    </row>
    <row r="3059" spans="1:16">
      <c r="A3059" s="1">
        <v>45063</v>
      </c>
      <c r="B3059">
        <v>187855</v>
      </c>
      <c r="C3059">
        <v>80245</v>
      </c>
      <c r="D3059">
        <v>107610</v>
      </c>
      <c r="E3059">
        <v>181134106</v>
      </c>
      <c r="F3059">
        <v>134614587</v>
      </c>
      <c r="G3059">
        <v>315748693</v>
      </c>
      <c r="H3059">
        <v>65050</v>
      </c>
      <c r="I3059">
        <v>14004</v>
      </c>
      <c r="J3059">
        <v>79054</v>
      </c>
      <c r="K3059" t="b">
        <f>TrafficData[[#This Row],[disposedChallan]]+TrafficData[[#This Row],[pendingChallan]]=TrafficData[[#This Row],[totalChallan]]</f>
        <v>1</v>
      </c>
      <c r="L3059" t="b">
        <f>TrafficData[[#This Row],[pendingAmount]]+TrafficData[[#This Row],[disposedAmount]]=TrafficData[[#This Row],[totalAmount]]</f>
        <v>1</v>
      </c>
      <c r="M3059" t="b">
        <f>TrafficData[[#This Row],[pendingCourt]]+TrafficData[[#This Row],[disposedCourt]]=TrafficData[[#This Row],[totalCourt]]</f>
        <v>1</v>
      </c>
      <c r="N3059" t="b">
        <f>AND(TrafficData[[#This Row],[disposedChallan]]&lt;=TrafficData[[#This Row],[totalChallan]],TrafficData[[#This Row],[pendingChallan]]&lt;=TrafficData[[#This Row],[totalChallan]])</f>
        <v>1</v>
      </c>
      <c r="O3059" t="b">
        <f>AND(TrafficData[[#This Row],[pendingAmount]]&lt;=TrafficData[[#This Row],[totalAmount]],TrafficData[[#This Row],[disposedAmount]]&lt;=TrafficData[[#This Row],[totalAmount]])</f>
        <v>1</v>
      </c>
      <c r="P3059" t="b">
        <f>AND(TrafficData[[#This Row],[pendingCourt]]&lt;=TrafficData[[#This Row],[totalCourt]],TrafficData[[#This Row],[disposedCourt]]&lt;=TrafficData[[#This Row],[totalCourt]])</f>
        <v>1</v>
      </c>
    </row>
    <row r="3060" spans="1:16">
      <c r="A3060" s="1">
        <v>45064</v>
      </c>
      <c r="B3060">
        <v>198645</v>
      </c>
      <c r="C3060">
        <v>82764</v>
      </c>
      <c r="D3060">
        <v>115881</v>
      </c>
      <c r="E3060">
        <v>192025165</v>
      </c>
      <c r="F3060">
        <v>133539273</v>
      </c>
      <c r="G3060">
        <v>325564438</v>
      </c>
      <c r="H3060">
        <v>70732</v>
      </c>
      <c r="I3060">
        <v>15250</v>
      </c>
      <c r="J3060">
        <v>85982</v>
      </c>
      <c r="K3060" t="b">
        <f>TrafficData[[#This Row],[disposedChallan]]+TrafficData[[#This Row],[pendingChallan]]=TrafficData[[#This Row],[totalChallan]]</f>
        <v>1</v>
      </c>
      <c r="L3060" t="b">
        <f>TrafficData[[#This Row],[pendingAmount]]+TrafficData[[#This Row],[disposedAmount]]=TrafficData[[#This Row],[totalAmount]]</f>
        <v>1</v>
      </c>
      <c r="M3060" t="b">
        <f>TrafficData[[#This Row],[pendingCourt]]+TrafficData[[#This Row],[disposedCourt]]=TrafficData[[#This Row],[totalCourt]]</f>
        <v>1</v>
      </c>
      <c r="N3060" t="b">
        <f>AND(TrafficData[[#This Row],[disposedChallan]]&lt;=TrafficData[[#This Row],[totalChallan]],TrafficData[[#This Row],[pendingChallan]]&lt;=TrafficData[[#This Row],[totalChallan]])</f>
        <v>1</v>
      </c>
      <c r="O3060" t="b">
        <f>AND(TrafficData[[#This Row],[pendingAmount]]&lt;=TrafficData[[#This Row],[totalAmount]],TrafficData[[#This Row],[disposedAmount]]&lt;=TrafficData[[#This Row],[totalAmount]])</f>
        <v>1</v>
      </c>
      <c r="P3060" t="b">
        <f>AND(TrafficData[[#This Row],[pendingCourt]]&lt;=TrafficData[[#This Row],[totalCourt]],TrafficData[[#This Row],[disposedCourt]]&lt;=TrafficData[[#This Row],[totalCourt]])</f>
        <v>1</v>
      </c>
    </row>
    <row r="3061" spans="1:16">
      <c r="A3061" s="1">
        <v>45065</v>
      </c>
      <c r="B3061">
        <v>194146</v>
      </c>
      <c r="C3061">
        <v>80360</v>
      </c>
      <c r="D3061">
        <v>113786</v>
      </c>
      <c r="E3061">
        <v>194934351</v>
      </c>
      <c r="F3061">
        <v>129321559</v>
      </c>
      <c r="G3061">
        <v>324255910</v>
      </c>
      <c r="H3061">
        <v>71202</v>
      </c>
      <c r="I3061">
        <v>14360</v>
      </c>
      <c r="J3061">
        <v>85562</v>
      </c>
      <c r="K3061" t="b">
        <f>TrafficData[[#This Row],[disposedChallan]]+TrafficData[[#This Row],[pendingChallan]]=TrafficData[[#This Row],[totalChallan]]</f>
        <v>1</v>
      </c>
      <c r="L3061" t="b">
        <f>TrafficData[[#This Row],[pendingAmount]]+TrafficData[[#This Row],[disposedAmount]]=TrafficData[[#This Row],[totalAmount]]</f>
        <v>1</v>
      </c>
      <c r="M3061" t="b">
        <f>TrafficData[[#This Row],[pendingCourt]]+TrafficData[[#This Row],[disposedCourt]]=TrafficData[[#This Row],[totalCourt]]</f>
        <v>1</v>
      </c>
      <c r="N3061" t="b">
        <f>AND(TrafficData[[#This Row],[disposedChallan]]&lt;=TrafficData[[#This Row],[totalChallan]],TrafficData[[#This Row],[pendingChallan]]&lt;=TrafficData[[#This Row],[totalChallan]])</f>
        <v>1</v>
      </c>
      <c r="O3061" t="b">
        <f>AND(TrafficData[[#This Row],[pendingAmount]]&lt;=TrafficData[[#This Row],[totalAmount]],TrafficData[[#This Row],[disposedAmount]]&lt;=TrafficData[[#This Row],[totalAmount]])</f>
        <v>1</v>
      </c>
      <c r="P3061" t="b">
        <f>AND(TrafficData[[#This Row],[pendingCourt]]&lt;=TrafficData[[#This Row],[totalCourt]],TrafficData[[#This Row],[disposedCourt]]&lt;=TrafficData[[#This Row],[totalCourt]])</f>
        <v>1</v>
      </c>
    </row>
    <row r="3062" spans="1:16">
      <c r="A3062" s="1">
        <v>45066</v>
      </c>
      <c r="B3062">
        <v>188824</v>
      </c>
      <c r="C3062">
        <v>80150</v>
      </c>
      <c r="D3062">
        <v>108674</v>
      </c>
      <c r="E3062">
        <v>178791563</v>
      </c>
      <c r="F3062">
        <v>116464372</v>
      </c>
      <c r="G3062">
        <v>295255935</v>
      </c>
      <c r="H3062">
        <v>68639</v>
      </c>
      <c r="I3062">
        <v>14569</v>
      </c>
      <c r="J3062">
        <v>83208</v>
      </c>
      <c r="K3062" t="b">
        <f>TrafficData[[#This Row],[disposedChallan]]+TrafficData[[#This Row],[pendingChallan]]=TrafficData[[#This Row],[totalChallan]]</f>
        <v>1</v>
      </c>
      <c r="L3062" t="b">
        <f>TrafficData[[#This Row],[pendingAmount]]+TrafficData[[#This Row],[disposedAmount]]=TrafficData[[#This Row],[totalAmount]]</f>
        <v>1</v>
      </c>
      <c r="M3062" t="b">
        <f>TrafficData[[#This Row],[pendingCourt]]+TrafficData[[#This Row],[disposedCourt]]=TrafficData[[#This Row],[totalCourt]]</f>
        <v>1</v>
      </c>
      <c r="N3062" t="b">
        <f>AND(TrafficData[[#This Row],[disposedChallan]]&lt;=TrafficData[[#This Row],[totalChallan]],TrafficData[[#This Row],[pendingChallan]]&lt;=TrafficData[[#This Row],[totalChallan]])</f>
        <v>1</v>
      </c>
      <c r="O3062" t="b">
        <f>AND(TrafficData[[#This Row],[pendingAmount]]&lt;=TrafficData[[#This Row],[totalAmount]],TrafficData[[#This Row],[disposedAmount]]&lt;=TrafficData[[#This Row],[totalAmount]])</f>
        <v>1</v>
      </c>
      <c r="P3062" t="b">
        <f>AND(TrafficData[[#This Row],[pendingCourt]]&lt;=TrafficData[[#This Row],[totalCourt]],TrafficData[[#This Row],[disposedCourt]]&lt;=TrafficData[[#This Row],[totalCourt]])</f>
        <v>1</v>
      </c>
    </row>
    <row r="3063" spans="1:16">
      <c r="A3063" s="1">
        <v>45067</v>
      </c>
      <c r="B3063">
        <v>168373</v>
      </c>
      <c r="C3063">
        <v>67151</v>
      </c>
      <c r="D3063">
        <v>101222</v>
      </c>
      <c r="E3063">
        <v>165123883</v>
      </c>
      <c r="F3063">
        <v>88176641</v>
      </c>
      <c r="G3063">
        <v>253300524</v>
      </c>
      <c r="H3063">
        <v>64707</v>
      </c>
      <c r="I3063">
        <v>13555</v>
      </c>
      <c r="J3063">
        <v>78262</v>
      </c>
      <c r="K3063" t="b">
        <f>TrafficData[[#This Row],[disposedChallan]]+TrafficData[[#This Row],[pendingChallan]]=TrafficData[[#This Row],[totalChallan]]</f>
        <v>1</v>
      </c>
      <c r="L3063" t="b">
        <f>TrafficData[[#This Row],[pendingAmount]]+TrafficData[[#This Row],[disposedAmount]]=TrafficData[[#This Row],[totalAmount]]</f>
        <v>1</v>
      </c>
      <c r="M3063" t="b">
        <f>TrafficData[[#This Row],[pendingCourt]]+TrafficData[[#This Row],[disposedCourt]]=TrafficData[[#This Row],[totalCourt]]</f>
        <v>1</v>
      </c>
      <c r="N3063" t="b">
        <f>AND(TrafficData[[#This Row],[disposedChallan]]&lt;=TrafficData[[#This Row],[totalChallan]],TrafficData[[#This Row],[pendingChallan]]&lt;=TrafficData[[#This Row],[totalChallan]])</f>
        <v>1</v>
      </c>
      <c r="O3063" t="b">
        <f>AND(TrafficData[[#This Row],[pendingAmount]]&lt;=TrafficData[[#This Row],[totalAmount]],TrafficData[[#This Row],[disposedAmount]]&lt;=TrafficData[[#This Row],[totalAmount]])</f>
        <v>1</v>
      </c>
      <c r="P3063" t="b">
        <f>AND(TrafficData[[#This Row],[pendingCourt]]&lt;=TrafficData[[#This Row],[totalCourt]],TrafficData[[#This Row],[disposedCourt]]&lt;=TrafficData[[#This Row],[totalCourt]])</f>
        <v>1</v>
      </c>
    </row>
    <row r="3064" spans="1:16">
      <c r="A3064" s="1">
        <v>45068</v>
      </c>
      <c r="B3064">
        <v>194499</v>
      </c>
      <c r="C3064">
        <v>78435</v>
      </c>
      <c r="D3064">
        <v>116064</v>
      </c>
      <c r="E3064">
        <v>184665279</v>
      </c>
      <c r="F3064">
        <v>107922665</v>
      </c>
      <c r="G3064">
        <v>292587944</v>
      </c>
      <c r="H3064">
        <v>74331</v>
      </c>
      <c r="I3064">
        <v>14711</v>
      </c>
      <c r="J3064">
        <v>89042</v>
      </c>
      <c r="K3064" t="b">
        <f>TrafficData[[#This Row],[disposedChallan]]+TrafficData[[#This Row],[pendingChallan]]=TrafficData[[#This Row],[totalChallan]]</f>
        <v>1</v>
      </c>
      <c r="L3064" t="b">
        <f>TrafficData[[#This Row],[pendingAmount]]+TrafficData[[#This Row],[disposedAmount]]=TrafficData[[#This Row],[totalAmount]]</f>
        <v>1</v>
      </c>
      <c r="M3064" t="b">
        <f>TrafficData[[#This Row],[pendingCourt]]+TrafficData[[#This Row],[disposedCourt]]=TrafficData[[#This Row],[totalCourt]]</f>
        <v>1</v>
      </c>
      <c r="N3064" t="b">
        <f>AND(TrafficData[[#This Row],[disposedChallan]]&lt;=TrafficData[[#This Row],[totalChallan]],TrafficData[[#This Row],[pendingChallan]]&lt;=TrafficData[[#This Row],[totalChallan]])</f>
        <v>1</v>
      </c>
      <c r="O3064" t="b">
        <f>AND(TrafficData[[#This Row],[pendingAmount]]&lt;=TrafficData[[#This Row],[totalAmount]],TrafficData[[#This Row],[disposedAmount]]&lt;=TrafficData[[#This Row],[totalAmount]])</f>
        <v>1</v>
      </c>
      <c r="P3064" t="b">
        <f>AND(TrafficData[[#This Row],[pendingCourt]]&lt;=TrafficData[[#This Row],[totalCourt]],TrafficData[[#This Row],[disposedCourt]]&lt;=TrafficData[[#This Row],[totalCourt]])</f>
        <v>1</v>
      </c>
    </row>
    <row r="3065" spans="1:16">
      <c r="A3065" s="1">
        <v>45069</v>
      </c>
      <c r="B3065">
        <v>191263</v>
      </c>
      <c r="C3065">
        <v>78550</v>
      </c>
      <c r="D3065">
        <v>112713</v>
      </c>
      <c r="E3065">
        <v>197996506</v>
      </c>
      <c r="F3065">
        <v>125872258</v>
      </c>
      <c r="G3065">
        <v>323868764</v>
      </c>
      <c r="H3065">
        <v>73801</v>
      </c>
      <c r="I3065">
        <v>14526</v>
      </c>
      <c r="J3065">
        <v>88327</v>
      </c>
      <c r="K3065" t="b">
        <f>TrafficData[[#This Row],[disposedChallan]]+TrafficData[[#This Row],[pendingChallan]]=TrafficData[[#This Row],[totalChallan]]</f>
        <v>1</v>
      </c>
      <c r="L3065" t="b">
        <f>TrafficData[[#This Row],[pendingAmount]]+TrafficData[[#This Row],[disposedAmount]]=TrafficData[[#This Row],[totalAmount]]</f>
        <v>1</v>
      </c>
      <c r="M3065" t="b">
        <f>TrafficData[[#This Row],[pendingCourt]]+TrafficData[[#This Row],[disposedCourt]]=TrafficData[[#This Row],[totalCourt]]</f>
        <v>1</v>
      </c>
      <c r="N3065" t="b">
        <f>AND(TrafficData[[#This Row],[disposedChallan]]&lt;=TrafficData[[#This Row],[totalChallan]],TrafficData[[#This Row],[pendingChallan]]&lt;=TrafficData[[#This Row],[totalChallan]])</f>
        <v>1</v>
      </c>
      <c r="O3065" t="b">
        <f>AND(TrafficData[[#This Row],[pendingAmount]]&lt;=TrafficData[[#This Row],[totalAmount]],TrafficData[[#This Row],[disposedAmount]]&lt;=TrafficData[[#This Row],[totalAmount]])</f>
        <v>1</v>
      </c>
      <c r="P3065" t="b">
        <f>AND(TrafficData[[#This Row],[pendingCourt]]&lt;=TrafficData[[#This Row],[totalCourt]],TrafficData[[#This Row],[disposedCourt]]&lt;=TrafficData[[#This Row],[totalCourt]])</f>
        <v>1</v>
      </c>
    </row>
    <row r="3066" spans="1:16">
      <c r="A3066" s="1">
        <v>45070</v>
      </c>
      <c r="B3066">
        <v>201687</v>
      </c>
      <c r="C3066">
        <v>83182</v>
      </c>
      <c r="D3066">
        <v>118505</v>
      </c>
      <c r="E3066">
        <v>202653715</v>
      </c>
      <c r="F3066">
        <v>136022240</v>
      </c>
      <c r="G3066">
        <v>338675955</v>
      </c>
      <c r="H3066">
        <v>77696</v>
      </c>
      <c r="I3066">
        <v>15427</v>
      </c>
      <c r="J3066">
        <v>93123</v>
      </c>
      <c r="K3066" t="b">
        <f>TrafficData[[#This Row],[disposedChallan]]+TrafficData[[#This Row],[pendingChallan]]=TrafficData[[#This Row],[totalChallan]]</f>
        <v>1</v>
      </c>
      <c r="L3066" t="b">
        <f>TrafficData[[#This Row],[pendingAmount]]+TrafficData[[#This Row],[disposedAmount]]=TrafficData[[#This Row],[totalAmount]]</f>
        <v>1</v>
      </c>
      <c r="M3066" t="b">
        <f>TrafficData[[#This Row],[pendingCourt]]+TrafficData[[#This Row],[disposedCourt]]=TrafficData[[#This Row],[totalCourt]]</f>
        <v>1</v>
      </c>
      <c r="N3066" t="b">
        <f>AND(TrafficData[[#This Row],[disposedChallan]]&lt;=TrafficData[[#This Row],[totalChallan]],TrafficData[[#This Row],[pendingChallan]]&lt;=TrafficData[[#This Row],[totalChallan]])</f>
        <v>1</v>
      </c>
      <c r="O3066" t="b">
        <f>AND(TrafficData[[#This Row],[pendingAmount]]&lt;=TrafficData[[#This Row],[totalAmount]],TrafficData[[#This Row],[disposedAmount]]&lt;=TrafficData[[#This Row],[totalAmount]])</f>
        <v>1</v>
      </c>
      <c r="P3066" t="b">
        <f>AND(TrafficData[[#This Row],[pendingCourt]]&lt;=TrafficData[[#This Row],[totalCourt]],TrafficData[[#This Row],[disposedCourt]]&lt;=TrafficData[[#This Row],[totalCourt]])</f>
        <v>1</v>
      </c>
    </row>
    <row r="3067" spans="1:16">
      <c r="A3067" s="1">
        <v>45071</v>
      </c>
      <c r="B3067">
        <v>196641</v>
      </c>
      <c r="C3067">
        <v>81383</v>
      </c>
      <c r="D3067">
        <v>115258</v>
      </c>
      <c r="E3067">
        <v>199917710</v>
      </c>
      <c r="F3067">
        <v>125463876</v>
      </c>
      <c r="G3067">
        <v>325381586</v>
      </c>
      <c r="H3067">
        <v>75367</v>
      </c>
      <c r="I3067">
        <v>15138</v>
      </c>
      <c r="J3067">
        <v>90505</v>
      </c>
      <c r="K3067" t="b">
        <f>TrafficData[[#This Row],[disposedChallan]]+TrafficData[[#This Row],[pendingChallan]]=TrafficData[[#This Row],[totalChallan]]</f>
        <v>1</v>
      </c>
      <c r="L3067" t="b">
        <f>TrafficData[[#This Row],[pendingAmount]]+TrafficData[[#This Row],[disposedAmount]]=TrafficData[[#This Row],[totalAmount]]</f>
        <v>1</v>
      </c>
      <c r="M3067" t="b">
        <f>TrafficData[[#This Row],[pendingCourt]]+TrafficData[[#This Row],[disposedCourt]]=TrafficData[[#This Row],[totalCourt]]</f>
        <v>1</v>
      </c>
      <c r="N3067" t="b">
        <f>AND(TrafficData[[#This Row],[disposedChallan]]&lt;=TrafficData[[#This Row],[totalChallan]],TrafficData[[#This Row],[pendingChallan]]&lt;=TrafficData[[#This Row],[totalChallan]])</f>
        <v>1</v>
      </c>
      <c r="O3067" t="b">
        <f>AND(TrafficData[[#This Row],[pendingAmount]]&lt;=TrafficData[[#This Row],[totalAmount]],TrafficData[[#This Row],[disposedAmount]]&lt;=TrafficData[[#This Row],[totalAmount]])</f>
        <v>1</v>
      </c>
      <c r="P3067" t="b">
        <f>AND(TrafficData[[#This Row],[pendingCourt]]&lt;=TrafficData[[#This Row],[totalCourt]],TrafficData[[#This Row],[disposedCourt]]&lt;=TrafficData[[#This Row],[totalCourt]])</f>
        <v>1</v>
      </c>
    </row>
    <row r="3068" spans="1:16">
      <c r="A3068" s="1">
        <v>45072</v>
      </c>
      <c r="B3068">
        <v>198245</v>
      </c>
      <c r="C3068">
        <v>83054</v>
      </c>
      <c r="D3068">
        <v>115191</v>
      </c>
      <c r="E3068">
        <v>202901153</v>
      </c>
      <c r="F3068">
        <v>125478062</v>
      </c>
      <c r="G3068">
        <v>328379215</v>
      </c>
      <c r="H3068">
        <v>75818</v>
      </c>
      <c r="I3068">
        <v>15750</v>
      </c>
      <c r="J3068">
        <v>91568</v>
      </c>
      <c r="K3068" t="b">
        <f>TrafficData[[#This Row],[disposedChallan]]+TrafficData[[#This Row],[pendingChallan]]=TrafficData[[#This Row],[totalChallan]]</f>
        <v>1</v>
      </c>
      <c r="L3068" t="b">
        <f>TrafficData[[#This Row],[pendingAmount]]+TrafficData[[#This Row],[disposedAmount]]=TrafficData[[#This Row],[totalAmount]]</f>
        <v>1</v>
      </c>
      <c r="M3068" t="b">
        <f>TrafficData[[#This Row],[pendingCourt]]+TrafficData[[#This Row],[disposedCourt]]=TrafficData[[#This Row],[totalCourt]]</f>
        <v>1</v>
      </c>
      <c r="N3068" t="b">
        <f>AND(TrafficData[[#This Row],[disposedChallan]]&lt;=TrafficData[[#This Row],[totalChallan]],TrafficData[[#This Row],[pendingChallan]]&lt;=TrafficData[[#This Row],[totalChallan]])</f>
        <v>1</v>
      </c>
      <c r="O3068" t="b">
        <f>AND(TrafficData[[#This Row],[pendingAmount]]&lt;=TrafficData[[#This Row],[totalAmount]],TrafficData[[#This Row],[disposedAmount]]&lt;=TrafficData[[#This Row],[totalAmount]])</f>
        <v>1</v>
      </c>
      <c r="P3068" t="b">
        <f>AND(TrafficData[[#This Row],[pendingCourt]]&lt;=TrafficData[[#This Row],[totalCourt]],TrafficData[[#This Row],[disposedCourt]]&lt;=TrafficData[[#This Row],[totalCourt]])</f>
        <v>1</v>
      </c>
    </row>
    <row r="3069" spans="1:16">
      <c r="A3069" s="1">
        <v>45073</v>
      </c>
      <c r="B3069">
        <v>187116</v>
      </c>
      <c r="C3069">
        <v>79737</v>
      </c>
      <c r="D3069">
        <v>107379</v>
      </c>
      <c r="E3069">
        <v>179788279</v>
      </c>
      <c r="F3069">
        <v>118305880</v>
      </c>
      <c r="G3069">
        <v>298094159</v>
      </c>
      <c r="H3069">
        <v>66629</v>
      </c>
      <c r="I3069">
        <v>14729</v>
      </c>
      <c r="J3069">
        <v>81358</v>
      </c>
      <c r="K3069" t="b">
        <f>TrafficData[[#This Row],[disposedChallan]]+TrafficData[[#This Row],[pendingChallan]]=TrafficData[[#This Row],[totalChallan]]</f>
        <v>1</v>
      </c>
      <c r="L3069" t="b">
        <f>TrafficData[[#This Row],[pendingAmount]]+TrafficData[[#This Row],[disposedAmount]]=TrafficData[[#This Row],[totalAmount]]</f>
        <v>1</v>
      </c>
      <c r="M3069" t="b">
        <f>TrafficData[[#This Row],[pendingCourt]]+TrafficData[[#This Row],[disposedCourt]]=TrafficData[[#This Row],[totalCourt]]</f>
        <v>1</v>
      </c>
      <c r="N3069" t="b">
        <f>AND(TrafficData[[#This Row],[disposedChallan]]&lt;=TrafficData[[#This Row],[totalChallan]],TrafficData[[#This Row],[pendingChallan]]&lt;=TrafficData[[#This Row],[totalChallan]])</f>
        <v>1</v>
      </c>
      <c r="O3069" t="b">
        <f>AND(TrafficData[[#This Row],[pendingAmount]]&lt;=TrafficData[[#This Row],[totalAmount]],TrafficData[[#This Row],[disposedAmount]]&lt;=TrafficData[[#This Row],[totalAmount]])</f>
        <v>1</v>
      </c>
      <c r="P3069" t="b">
        <f>AND(TrafficData[[#This Row],[pendingCourt]]&lt;=TrafficData[[#This Row],[totalCourt]],TrafficData[[#This Row],[disposedCourt]]&lt;=TrafficData[[#This Row],[totalCourt]])</f>
        <v>1</v>
      </c>
    </row>
    <row r="3070" spans="1:16">
      <c r="A3070" s="1">
        <v>45074</v>
      </c>
      <c r="B3070">
        <v>168768</v>
      </c>
      <c r="C3070">
        <v>67492</v>
      </c>
      <c r="D3070">
        <v>101276</v>
      </c>
      <c r="E3070">
        <v>165368609</v>
      </c>
      <c r="F3070">
        <v>82501336</v>
      </c>
      <c r="G3070">
        <v>247869945</v>
      </c>
      <c r="H3070">
        <v>63111</v>
      </c>
      <c r="I3070">
        <v>12988</v>
      </c>
      <c r="J3070">
        <v>76099</v>
      </c>
      <c r="K3070" t="b">
        <f>TrafficData[[#This Row],[disposedChallan]]+TrafficData[[#This Row],[pendingChallan]]=TrafficData[[#This Row],[totalChallan]]</f>
        <v>1</v>
      </c>
      <c r="L3070" t="b">
        <f>TrafficData[[#This Row],[pendingAmount]]+TrafficData[[#This Row],[disposedAmount]]=TrafficData[[#This Row],[totalAmount]]</f>
        <v>1</v>
      </c>
      <c r="M3070" t="b">
        <f>TrafficData[[#This Row],[pendingCourt]]+TrafficData[[#This Row],[disposedCourt]]=TrafficData[[#This Row],[totalCourt]]</f>
        <v>1</v>
      </c>
      <c r="N3070" t="b">
        <f>AND(TrafficData[[#This Row],[disposedChallan]]&lt;=TrafficData[[#This Row],[totalChallan]],TrafficData[[#This Row],[pendingChallan]]&lt;=TrafficData[[#This Row],[totalChallan]])</f>
        <v>1</v>
      </c>
      <c r="O3070" t="b">
        <f>AND(TrafficData[[#This Row],[pendingAmount]]&lt;=TrafficData[[#This Row],[totalAmount]],TrafficData[[#This Row],[disposedAmount]]&lt;=TrafficData[[#This Row],[totalAmount]])</f>
        <v>1</v>
      </c>
      <c r="P3070" t="b">
        <f>AND(TrafficData[[#This Row],[pendingCourt]]&lt;=TrafficData[[#This Row],[totalCourt]],TrafficData[[#This Row],[disposedCourt]]&lt;=TrafficData[[#This Row],[totalCourt]])</f>
        <v>1</v>
      </c>
    </row>
    <row r="3071" spans="1:16">
      <c r="A3071" s="1">
        <v>45075</v>
      </c>
      <c r="B3071">
        <v>191428</v>
      </c>
      <c r="C3071">
        <v>78245</v>
      </c>
      <c r="D3071">
        <v>113183</v>
      </c>
      <c r="E3071">
        <v>189903044</v>
      </c>
      <c r="F3071">
        <v>109393081</v>
      </c>
      <c r="G3071">
        <v>299296125</v>
      </c>
      <c r="H3071">
        <v>71480</v>
      </c>
      <c r="I3071">
        <v>14498</v>
      </c>
      <c r="J3071">
        <v>85978</v>
      </c>
      <c r="K3071" t="b">
        <f>TrafficData[[#This Row],[disposedChallan]]+TrafficData[[#This Row],[pendingChallan]]=TrafficData[[#This Row],[totalChallan]]</f>
        <v>1</v>
      </c>
      <c r="L3071" t="b">
        <f>TrafficData[[#This Row],[pendingAmount]]+TrafficData[[#This Row],[disposedAmount]]=TrafficData[[#This Row],[totalAmount]]</f>
        <v>1</v>
      </c>
      <c r="M3071" t="b">
        <f>TrafficData[[#This Row],[pendingCourt]]+TrafficData[[#This Row],[disposedCourt]]=TrafficData[[#This Row],[totalCourt]]</f>
        <v>1</v>
      </c>
      <c r="N3071" t="b">
        <f>AND(TrafficData[[#This Row],[disposedChallan]]&lt;=TrafficData[[#This Row],[totalChallan]],TrafficData[[#This Row],[pendingChallan]]&lt;=TrafficData[[#This Row],[totalChallan]])</f>
        <v>1</v>
      </c>
      <c r="O3071" t="b">
        <f>AND(TrafficData[[#This Row],[pendingAmount]]&lt;=TrafficData[[#This Row],[totalAmount]],TrafficData[[#This Row],[disposedAmount]]&lt;=TrafficData[[#This Row],[totalAmount]])</f>
        <v>1</v>
      </c>
      <c r="P3071" t="b">
        <f>AND(TrafficData[[#This Row],[pendingCourt]]&lt;=TrafficData[[#This Row],[totalCourt]],TrafficData[[#This Row],[disposedCourt]]&lt;=TrafficData[[#This Row],[totalCourt]])</f>
        <v>1</v>
      </c>
    </row>
    <row r="3072" spans="1:16">
      <c r="A3072" s="1">
        <v>45076</v>
      </c>
      <c r="B3072">
        <v>189145</v>
      </c>
      <c r="C3072">
        <v>77102</v>
      </c>
      <c r="D3072">
        <v>112043</v>
      </c>
      <c r="E3072">
        <v>190906781</v>
      </c>
      <c r="F3072">
        <v>113125971</v>
      </c>
      <c r="G3072">
        <v>304032752</v>
      </c>
      <c r="H3072">
        <v>68908</v>
      </c>
      <c r="I3072">
        <v>14021</v>
      </c>
      <c r="J3072">
        <v>82929</v>
      </c>
      <c r="K3072" t="b">
        <f>TrafficData[[#This Row],[disposedChallan]]+TrafficData[[#This Row],[pendingChallan]]=TrafficData[[#This Row],[totalChallan]]</f>
        <v>1</v>
      </c>
      <c r="L3072" t="b">
        <f>TrafficData[[#This Row],[pendingAmount]]+TrafficData[[#This Row],[disposedAmount]]=TrafficData[[#This Row],[totalAmount]]</f>
        <v>1</v>
      </c>
      <c r="M3072" t="b">
        <f>TrafficData[[#This Row],[pendingCourt]]+TrafficData[[#This Row],[disposedCourt]]=TrafficData[[#This Row],[totalCourt]]</f>
        <v>1</v>
      </c>
      <c r="N3072" t="b">
        <f>AND(TrafficData[[#This Row],[disposedChallan]]&lt;=TrafficData[[#This Row],[totalChallan]],TrafficData[[#This Row],[pendingChallan]]&lt;=TrafficData[[#This Row],[totalChallan]])</f>
        <v>1</v>
      </c>
      <c r="O3072" t="b">
        <f>AND(TrafficData[[#This Row],[pendingAmount]]&lt;=TrafficData[[#This Row],[totalAmount]],TrafficData[[#This Row],[disposedAmount]]&lt;=TrafficData[[#This Row],[totalAmount]])</f>
        <v>1</v>
      </c>
      <c r="P3072" t="b">
        <f>AND(TrafficData[[#This Row],[pendingCourt]]&lt;=TrafficData[[#This Row],[totalCourt]],TrafficData[[#This Row],[disposedCourt]]&lt;=TrafficData[[#This Row],[totalCourt]])</f>
        <v>1</v>
      </c>
    </row>
    <row r="3073" spans="1:16">
      <c r="A3073" s="1">
        <v>45077</v>
      </c>
      <c r="B3073">
        <v>174482</v>
      </c>
      <c r="C3073">
        <v>71701</v>
      </c>
      <c r="D3073">
        <v>102781</v>
      </c>
      <c r="E3073">
        <v>176732919</v>
      </c>
      <c r="F3073">
        <v>156402926</v>
      </c>
      <c r="G3073">
        <v>333135845</v>
      </c>
      <c r="H3073">
        <v>65646</v>
      </c>
      <c r="I3073">
        <v>13096</v>
      </c>
      <c r="J3073">
        <v>78742</v>
      </c>
      <c r="K3073" t="b">
        <f>TrafficData[[#This Row],[disposedChallan]]+TrafficData[[#This Row],[pendingChallan]]=TrafficData[[#This Row],[totalChallan]]</f>
        <v>1</v>
      </c>
      <c r="L3073" t="b">
        <f>TrafficData[[#This Row],[pendingAmount]]+TrafficData[[#This Row],[disposedAmount]]=TrafficData[[#This Row],[totalAmount]]</f>
        <v>1</v>
      </c>
      <c r="M3073" t="b">
        <f>TrafficData[[#This Row],[pendingCourt]]+TrafficData[[#This Row],[disposedCourt]]=TrafficData[[#This Row],[totalCourt]]</f>
        <v>1</v>
      </c>
      <c r="N3073" t="b">
        <f>AND(TrafficData[[#This Row],[disposedChallan]]&lt;=TrafficData[[#This Row],[totalChallan]],TrafficData[[#This Row],[pendingChallan]]&lt;=TrafficData[[#This Row],[totalChallan]])</f>
        <v>1</v>
      </c>
      <c r="O3073" t="b">
        <f>AND(TrafficData[[#This Row],[pendingAmount]]&lt;=TrafficData[[#This Row],[totalAmount]],TrafficData[[#This Row],[disposedAmount]]&lt;=TrafficData[[#This Row],[totalAmount]])</f>
        <v>1</v>
      </c>
      <c r="P3073" t="b">
        <f>AND(TrafficData[[#This Row],[pendingCourt]]&lt;=TrafficData[[#This Row],[totalCourt]],TrafficData[[#This Row],[disposedCourt]]&lt;=TrafficData[[#This Row],[totalCourt]])</f>
        <v>1</v>
      </c>
    </row>
    <row r="3074" spans="1:16">
      <c r="A3074" s="1">
        <v>45078</v>
      </c>
      <c r="B3074">
        <v>190425</v>
      </c>
      <c r="C3074">
        <v>82405</v>
      </c>
      <c r="D3074">
        <v>108020</v>
      </c>
      <c r="E3074">
        <v>175415388</v>
      </c>
      <c r="F3074">
        <v>130745873</v>
      </c>
      <c r="G3074">
        <v>306161261</v>
      </c>
      <c r="H3074">
        <v>69676</v>
      </c>
      <c r="I3074">
        <v>14076</v>
      </c>
      <c r="J3074">
        <v>83752</v>
      </c>
      <c r="K3074" t="b">
        <f>TrafficData[[#This Row],[disposedChallan]]+TrafficData[[#This Row],[pendingChallan]]=TrafficData[[#This Row],[totalChallan]]</f>
        <v>1</v>
      </c>
      <c r="L3074" t="b">
        <f>TrafficData[[#This Row],[pendingAmount]]+TrafficData[[#This Row],[disposedAmount]]=TrafficData[[#This Row],[totalAmount]]</f>
        <v>1</v>
      </c>
      <c r="M3074" t="b">
        <f>TrafficData[[#This Row],[pendingCourt]]+TrafficData[[#This Row],[disposedCourt]]=TrafficData[[#This Row],[totalCourt]]</f>
        <v>1</v>
      </c>
      <c r="N3074" t="b">
        <f>AND(TrafficData[[#This Row],[disposedChallan]]&lt;=TrafficData[[#This Row],[totalChallan]],TrafficData[[#This Row],[pendingChallan]]&lt;=TrafficData[[#This Row],[totalChallan]])</f>
        <v>1</v>
      </c>
      <c r="O3074" t="b">
        <f>AND(TrafficData[[#This Row],[pendingAmount]]&lt;=TrafficData[[#This Row],[totalAmount]],TrafficData[[#This Row],[disposedAmount]]&lt;=TrafficData[[#This Row],[totalAmount]])</f>
        <v>1</v>
      </c>
      <c r="P3074" t="b">
        <f>AND(TrafficData[[#This Row],[pendingCourt]]&lt;=TrafficData[[#This Row],[totalCourt]],TrafficData[[#This Row],[disposedCourt]]&lt;=TrafficData[[#This Row],[totalCourt]])</f>
        <v>1</v>
      </c>
    </row>
    <row r="3075" spans="1:16">
      <c r="A3075" s="1">
        <v>45079</v>
      </c>
      <c r="B3075">
        <v>196321</v>
      </c>
      <c r="C3075">
        <v>84610</v>
      </c>
      <c r="D3075">
        <v>111711</v>
      </c>
      <c r="E3075">
        <v>184467651</v>
      </c>
      <c r="F3075">
        <v>133589502</v>
      </c>
      <c r="G3075">
        <v>318057153</v>
      </c>
      <c r="H3075">
        <v>71784</v>
      </c>
      <c r="I3075">
        <v>14994</v>
      </c>
      <c r="J3075">
        <v>86778</v>
      </c>
      <c r="K3075" t="b">
        <f>TrafficData[[#This Row],[disposedChallan]]+TrafficData[[#This Row],[pendingChallan]]=TrafficData[[#This Row],[totalChallan]]</f>
        <v>1</v>
      </c>
      <c r="L3075" t="b">
        <f>TrafficData[[#This Row],[pendingAmount]]+TrafficData[[#This Row],[disposedAmount]]=TrafficData[[#This Row],[totalAmount]]</f>
        <v>1</v>
      </c>
      <c r="M3075" t="b">
        <f>TrafficData[[#This Row],[pendingCourt]]+TrafficData[[#This Row],[disposedCourt]]=TrafficData[[#This Row],[totalCourt]]</f>
        <v>1</v>
      </c>
      <c r="N3075" t="b">
        <f>AND(TrafficData[[#This Row],[disposedChallan]]&lt;=TrafficData[[#This Row],[totalChallan]],TrafficData[[#This Row],[pendingChallan]]&lt;=TrafficData[[#This Row],[totalChallan]])</f>
        <v>1</v>
      </c>
      <c r="O3075" t="b">
        <f>AND(TrafficData[[#This Row],[pendingAmount]]&lt;=TrafficData[[#This Row],[totalAmount]],TrafficData[[#This Row],[disposedAmount]]&lt;=TrafficData[[#This Row],[totalAmount]])</f>
        <v>1</v>
      </c>
      <c r="P3075" t="b">
        <f>AND(TrafficData[[#This Row],[pendingCourt]]&lt;=TrafficData[[#This Row],[totalCourt]],TrafficData[[#This Row],[disposedCourt]]&lt;=TrafficData[[#This Row],[totalCourt]])</f>
        <v>1</v>
      </c>
    </row>
    <row r="3076" spans="1:16">
      <c r="A3076" s="1">
        <v>45080</v>
      </c>
      <c r="B3076">
        <v>194375</v>
      </c>
      <c r="C3076">
        <v>85826</v>
      </c>
      <c r="D3076">
        <v>108549</v>
      </c>
      <c r="E3076">
        <v>187983986</v>
      </c>
      <c r="F3076">
        <v>129416077</v>
      </c>
      <c r="G3076">
        <v>317400063</v>
      </c>
      <c r="H3076">
        <v>68810</v>
      </c>
      <c r="I3076">
        <v>15556</v>
      </c>
      <c r="J3076">
        <v>84366</v>
      </c>
      <c r="K3076" t="b">
        <f>TrafficData[[#This Row],[disposedChallan]]+TrafficData[[#This Row],[pendingChallan]]=TrafficData[[#This Row],[totalChallan]]</f>
        <v>1</v>
      </c>
      <c r="L3076" t="b">
        <f>TrafficData[[#This Row],[pendingAmount]]+TrafficData[[#This Row],[disposedAmount]]=TrafficData[[#This Row],[totalAmount]]</f>
        <v>1</v>
      </c>
      <c r="M3076" t="b">
        <f>TrafficData[[#This Row],[pendingCourt]]+TrafficData[[#This Row],[disposedCourt]]=TrafficData[[#This Row],[totalCourt]]</f>
        <v>1</v>
      </c>
      <c r="N3076" t="b">
        <f>AND(TrafficData[[#This Row],[disposedChallan]]&lt;=TrafficData[[#This Row],[totalChallan]],TrafficData[[#This Row],[pendingChallan]]&lt;=TrafficData[[#This Row],[totalChallan]])</f>
        <v>1</v>
      </c>
      <c r="O3076" t="b">
        <f>AND(TrafficData[[#This Row],[pendingAmount]]&lt;=TrafficData[[#This Row],[totalAmount]],TrafficData[[#This Row],[disposedAmount]]&lt;=TrafficData[[#This Row],[totalAmount]])</f>
        <v>1</v>
      </c>
      <c r="P3076" t="b">
        <f>AND(TrafficData[[#This Row],[pendingCourt]]&lt;=TrafficData[[#This Row],[totalCourt]],TrafficData[[#This Row],[disposedCourt]]&lt;=TrafficData[[#This Row],[totalCourt]])</f>
        <v>1</v>
      </c>
    </row>
    <row r="3077" spans="1:16">
      <c r="A3077" s="1">
        <v>45081</v>
      </c>
      <c r="B3077">
        <v>158430</v>
      </c>
      <c r="C3077">
        <v>64382</v>
      </c>
      <c r="D3077">
        <v>94048</v>
      </c>
      <c r="E3077">
        <v>149164022</v>
      </c>
      <c r="F3077">
        <v>89336369</v>
      </c>
      <c r="G3077">
        <v>238500391</v>
      </c>
      <c r="H3077">
        <v>60355</v>
      </c>
      <c r="I3077">
        <v>13093</v>
      </c>
      <c r="J3077">
        <v>73448</v>
      </c>
      <c r="K3077" t="b">
        <f>TrafficData[[#This Row],[disposedChallan]]+TrafficData[[#This Row],[pendingChallan]]=TrafficData[[#This Row],[totalChallan]]</f>
        <v>1</v>
      </c>
      <c r="L3077" t="b">
        <f>TrafficData[[#This Row],[pendingAmount]]+TrafficData[[#This Row],[disposedAmount]]=TrafficData[[#This Row],[totalAmount]]</f>
        <v>1</v>
      </c>
      <c r="M3077" t="b">
        <f>TrafficData[[#This Row],[pendingCourt]]+TrafficData[[#This Row],[disposedCourt]]=TrafficData[[#This Row],[totalCourt]]</f>
        <v>1</v>
      </c>
      <c r="N3077" t="b">
        <f>AND(TrafficData[[#This Row],[disposedChallan]]&lt;=TrafficData[[#This Row],[totalChallan]],TrafficData[[#This Row],[pendingChallan]]&lt;=TrafficData[[#This Row],[totalChallan]])</f>
        <v>1</v>
      </c>
      <c r="O3077" t="b">
        <f>AND(TrafficData[[#This Row],[pendingAmount]]&lt;=TrafficData[[#This Row],[totalAmount]],TrafficData[[#This Row],[disposedAmount]]&lt;=TrafficData[[#This Row],[totalAmount]])</f>
        <v>1</v>
      </c>
      <c r="P3077" t="b">
        <f>AND(TrafficData[[#This Row],[pendingCourt]]&lt;=TrafficData[[#This Row],[totalCourt]],TrafficData[[#This Row],[disposedCourt]]&lt;=TrafficData[[#This Row],[totalCourt]])</f>
        <v>1</v>
      </c>
    </row>
    <row r="3078" spans="1:16">
      <c r="A3078" s="1">
        <v>45082</v>
      </c>
      <c r="B3078">
        <v>203998</v>
      </c>
      <c r="C3078">
        <v>86887</v>
      </c>
      <c r="D3078">
        <v>117111</v>
      </c>
      <c r="E3078">
        <v>192226864</v>
      </c>
      <c r="F3078">
        <v>124401840</v>
      </c>
      <c r="G3078">
        <v>316628704</v>
      </c>
      <c r="H3078">
        <v>73349</v>
      </c>
      <c r="I3078">
        <v>14901</v>
      </c>
      <c r="J3078">
        <v>88250</v>
      </c>
      <c r="K3078" t="b">
        <f>TrafficData[[#This Row],[disposedChallan]]+TrafficData[[#This Row],[pendingChallan]]=TrafficData[[#This Row],[totalChallan]]</f>
        <v>1</v>
      </c>
      <c r="L3078" t="b">
        <f>TrafficData[[#This Row],[pendingAmount]]+TrafficData[[#This Row],[disposedAmount]]=TrafficData[[#This Row],[totalAmount]]</f>
        <v>1</v>
      </c>
      <c r="M3078" t="b">
        <f>TrafficData[[#This Row],[pendingCourt]]+TrafficData[[#This Row],[disposedCourt]]=TrafficData[[#This Row],[totalCourt]]</f>
        <v>1</v>
      </c>
      <c r="N3078" t="b">
        <f>AND(TrafficData[[#This Row],[disposedChallan]]&lt;=TrafficData[[#This Row],[totalChallan]],TrafficData[[#This Row],[pendingChallan]]&lt;=TrafficData[[#This Row],[totalChallan]])</f>
        <v>1</v>
      </c>
      <c r="O3078" t="b">
        <f>AND(TrafficData[[#This Row],[pendingAmount]]&lt;=TrafficData[[#This Row],[totalAmount]],TrafficData[[#This Row],[disposedAmount]]&lt;=TrafficData[[#This Row],[totalAmount]])</f>
        <v>1</v>
      </c>
      <c r="P3078" t="b">
        <f>AND(TrafficData[[#This Row],[pendingCourt]]&lt;=TrafficData[[#This Row],[totalCourt]],TrafficData[[#This Row],[disposedCourt]]&lt;=TrafficData[[#This Row],[totalCourt]])</f>
        <v>1</v>
      </c>
    </row>
    <row r="3079" spans="1:16">
      <c r="A3079" s="1">
        <v>45083</v>
      </c>
      <c r="B3079">
        <v>220802</v>
      </c>
      <c r="C3079">
        <v>96404</v>
      </c>
      <c r="D3079">
        <v>124398</v>
      </c>
      <c r="E3079">
        <v>203211323</v>
      </c>
      <c r="F3079">
        <v>144311213</v>
      </c>
      <c r="G3079">
        <v>347522536</v>
      </c>
      <c r="H3079">
        <v>73762</v>
      </c>
      <c r="I3079">
        <v>14915</v>
      </c>
      <c r="J3079">
        <v>88677</v>
      </c>
      <c r="K3079" t="b">
        <f>TrafficData[[#This Row],[disposedChallan]]+TrafficData[[#This Row],[pendingChallan]]=TrafficData[[#This Row],[totalChallan]]</f>
        <v>1</v>
      </c>
      <c r="L3079" t="b">
        <f>TrafficData[[#This Row],[pendingAmount]]+TrafficData[[#This Row],[disposedAmount]]=TrafficData[[#This Row],[totalAmount]]</f>
        <v>1</v>
      </c>
      <c r="M3079" t="b">
        <f>TrafficData[[#This Row],[pendingCourt]]+TrafficData[[#This Row],[disposedCourt]]=TrafficData[[#This Row],[totalCourt]]</f>
        <v>1</v>
      </c>
      <c r="N3079" t="b">
        <f>AND(TrafficData[[#This Row],[disposedChallan]]&lt;=TrafficData[[#This Row],[totalChallan]],TrafficData[[#This Row],[pendingChallan]]&lt;=TrafficData[[#This Row],[totalChallan]])</f>
        <v>1</v>
      </c>
      <c r="O3079" t="b">
        <f>AND(TrafficData[[#This Row],[pendingAmount]]&lt;=TrafficData[[#This Row],[totalAmount]],TrafficData[[#This Row],[disposedAmount]]&lt;=TrafficData[[#This Row],[totalAmount]])</f>
        <v>1</v>
      </c>
      <c r="P3079" t="b">
        <f>AND(TrafficData[[#This Row],[pendingCourt]]&lt;=TrafficData[[#This Row],[totalCourt]],TrafficData[[#This Row],[disposedCourt]]&lt;=TrafficData[[#This Row],[totalCourt]])</f>
        <v>1</v>
      </c>
    </row>
    <row r="3080" spans="1:16">
      <c r="A3080" s="1">
        <v>45084</v>
      </c>
      <c r="B3080">
        <v>209708</v>
      </c>
      <c r="C3080">
        <v>90686</v>
      </c>
      <c r="D3080">
        <v>119022</v>
      </c>
      <c r="E3080">
        <v>197912514</v>
      </c>
      <c r="F3080">
        <v>137267112</v>
      </c>
      <c r="G3080">
        <v>335179626</v>
      </c>
      <c r="H3080">
        <v>72058</v>
      </c>
      <c r="I3080">
        <v>14897</v>
      </c>
      <c r="J3080">
        <v>86955</v>
      </c>
      <c r="K3080" t="b">
        <f>TrafficData[[#This Row],[disposedChallan]]+TrafficData[[#This Row],[pendingChallan]]=TrafficData[[#This Row],[totalChallan]]</f>
        <v>1</v>
      </c>
      <c r="L3080" t="b">
        <f>TrafficData[[#This Row],[pendingAmount]]+TrafficData[[#This Row],[disposedAmount]]=TrafficData[[#This Row],[totalAmount]]</f>
        <v>1</v>
      </c>
      <c r="M3080" t="b">
        <f>TrafficData[[#This Row],[pendingCourt]]+TrafficData[[#This Row],[disposedCourt]]=TrafficData[[#This Row],[totalCourt]]</f>
        <v>1</v>
      </c>
      <c r="N3080" t="b">
        <f>AND(TrafficData[[#This Row],[disposedChallan]]&lt;=TrafficData[[#This Row],[totalChallan]],TrafficData[[#This Row],[pendingChallan]]&lt;=TrafficData[[#This Row],[totalChallan]])</f>
        <v>1</v>
      </c>
      <c r="O3080" t="b">
        <f>AND(TrafficData[[#This Row],[pendingAmount]]&lt;=TrafficData[[#This Row],[totalAmount]],TrafficData[[#This Row],[disposedAmount]]&lt;=TrafficData[[#This Row],[totalAmount]])</f>
        <v>1</v>
      </c>
      <c r="P3080" t="b">
        <f>AND(TrafficData[[#This Row],[pendingCourt]]&lt;=TrafficData[[#This Row],[totalCourt]],TrafficData[[#This Row],[disposedCourt]]&lt;=TrafficData[[#This Row],[totalCourt]])</f>
        <v>1</v>
      </c>
    </row>
    <row r="3081" spans="1:16">
      <c r="A3081" s="1">
        <v>45085</v>
      </c>
      <c r="B3081">
        <v>208818</v>
      </c>
      <c r="C3081">
        <v>92004</v>
      </c>
      <c r="D3081">
        <v>116814</v>
      </c>
      <c r="E3081">
        <v>188914615</v>
      </c>
      <c r="F3081">
        <v>137433429</v>
      </c>
      <c r="G3081">
        <v>326348044</v>
      </c>
      <c r="H3081">
        <v>67558</v>
      </c>
      <c r="I3081">
        <v>14546</v>
      </c>
      <c r="J3081">
        <v>82104</v>
      </c>
      <c r="K3081" t="b">
        <f>TrafficData[[#This Row],[disposedChallan]]+TrafficData[[#This Row],[pendingChallan]]=TrafficData[[#This Row],[totalChallan]]</f>
        <v>1</v>
      </c>
      <c r="L3081" t="b">
        <f>TrafficData[[#This Row],[pendingAmount]]+TrafficData[[#This Row],[disposedAmount]]=TrafficData[[#This Row],[totalAmount]]</f>
        <v>1</v>
      </c>
      <c r="M3081" t="b">
        <f>TrafficData[[#This Row],[pendingCourt]]+TrafficData[[#This Row],[disposedCourt]]=TrafficData[[#This Row],[totalCourt]]</f>
        <v>1</v>
      </c>
      <c r="N3081" t="b">
        <f>AND(TrafficData[[#This Row],[disposedChallan]]&lt;=TrafficData[[#This Row],[totalChallan]],TrafficData[[#This Row],[pendingChallan]]&lt;=TrafficData[[#This Row],[totalChallan]])</f>
        <v>1</v>
      </c>
      <c r="O3081" t="b">
        <f>AND(TrafficData[[#This Row],[pendingAmount]]&lt;=TrafficData[[#This Row],[totalAmount]],TrafficData[[#This Row],[disposedAmount]]&lt;=TrafficData[[#This Row],[totalAmount]])</f>
        <v>1</v>
      </c>
      <c r="P3081" t="b">
        <f>AND(TrafficData[[#This Row],[pendingCourt]]&lt;=TrafficData[[#This Row],[totalCourt]],TrafficData[[#This Row],[disposedCourt]]&lt;=TrafficData[[#This Row],[totalCourt]])</f>
        <v>1</v>
      </c>
    </row>
    <row r="3082" spans="1:16">
      <c r="A3082" s="1">
        <v>45086</v>
      </c>
      <c r="B3082">
        <v>203190</v>
      </c>
      <c r="C3082">
        <v>88817</v>
      </c>
      <c r="D3082">
        <v>114373</v>
      </c>
      <c r="E3082">
        <v>193195804</v>
      </c>
      <c r="F3082">
        <v>139619909</v>
      </c>
      <c r="G3082">
        <v>332815713</v>
      </c>
      <c r="H3082">
        <v>66981</v>
      </c>
      <c r="I3082">
        <v>14177</v>
      </c>
      <c r="J3082">
        <v>81158</v>
      </c>
      <c r="K3082" t="b">
        <f>TrafficData[[#This Row],[disposedChallan]]+TrafficData[[#This Row],[pendingChallan]]=TrafficData[[#This Row],[totalChallan]]</f>
        <v>1</v>
      </c>
      <c r="L3082" t="b">
        <f>TrafficData[[#This Row],[pendingAmount]]+TrafficData[[#This Row],[disposedAmount]]=TrafficData[[#This Row],[totalAmount]]</f>
        <v>1</v>
      </c>
      <c r="M3082" t="b">
        <f>TrafficData[[#This Row],[pendingCourt]]+TrafficData[[#This Row],[disposedCourt]]=TrafficData[[#This Row],[totalCourt]]</f>
        <v>1</v>
      </c>
      <c r="N3082" t="b">
        <f>AND(TrafficData[[#This Row],[disposedChallan]]&lt;=TrafficData[[#This Row],[totalChallan]],TrafficData[[#This Row],[pendingChallan]]&lt;=TrafficData[[#This Row],[totalChallan]])</f>
        <v>1</v>
      </c>
      <c r="O3082" t="b">
        <f>AND(TrafficData[[#This Row],[pendingAmount]]&lt;=TrafficData[[#This Row],[totalAmount]],TrafficData[[#This Row],[disposedAmount]]&lt;=TrafficData[[#This Row],[totalAmount]])</f>
        <v>1</v>
      </c>
      <c r="P3082" t="b">
        <f>AND(TrafficData[[#This Row],[pendingCourt]]&lt;=TrafficData[[#This Row],[totalCourt]],TrafficData[[#This Row],[disposedCourt]]&lt;=TrafficData[[#This Row],[totalCourt]])</f>
        <v>1</v>
      </c>
    </row>
    <row r="3083" spans="1:16">
      <c r="A3083" s="1">
        <v>45087</v>
      </c>
      <c r="B3083">
        <v>198645</v>
      </c>
      <c r="C3083">
        <v>86056</v>
      </c>
      <c r="D3083">
        <v>112589</v>
      </c>
      <c r="E3083">
        <v>174291320</v>
      </c>
      <c r="F3083">
        <v>122865600</v>
      </c>
      <c r="G3083">
        <v>297156920</v>
      </c>
      <c r="H3083">
        <v>63946</v>
      </c>
      <c r="I3083">
        <v>13864</v>
      </c>
      <c r="J3083">
        <v>77810</v>
      </c>
      <c r="K3083" t="b">
        <f>TrafficData[[#This Row],[disposedChallan]]+TrafficData[[#This Row],[pendingChallan]]=TrafficData[[#This Row],[totalChallan]]</f>
        <v>1</v>
      </c>
      <c r="L3083" t="b">
        <f>TrafficData[[#This Row],[pendingAmount]]+TrafficData[[#This Row],[disposedAmount]]=TrafficData[[#This Row],[totalAmount]]</f>
        <v>1</v>
      </c>
      <c r="M3083" t="b">
        <f>TrafficData[[#This Row],[pendingCourt]]+TrafficData[[#This Row],[disposedCourt]]=TrafficData[[#This Row],[totalCourt]]</f>
        <v>1</v>
      </c>
      <c r="N3083" t="b">
        <f>AND(TrafficData[[#This Row],[disposedChallan]]&lt;=TrafficData[[#This Row],[totalChallan]],TrafficData[[#This Row],[pendingChallan]]&lt;=TrafficData[[#This Row],[totalChallan]])</f>
        <v>1</v>
      </c>
      <c r="O3083" t="b">
        <f>AND(TrafficData[[#This Row],[pendingAmount]]&lt;=TrafficData[[#This Row],[totalAmount]],TrafficData[[#This Row],[disposedAmount]]&lt;=TrafficData[[#This Row],[totalAmount]])</f>
        <v>1</v>
      </c>
      <c r="P3083" t="b">
        <f>AND(TrafficData[[#This Row],[pendingCourt]]&lt;=TrafficData[[#This Row],[totalCourt]],TrafficData[[#This Row],[disposedCourt]]&lt;=TrafficData[[#This Row],[totalCourt]])</f>
        <v>1</v>
      </c>
    </row>
    <row r="3084" spans="1:16">
      <c r="A3084" s="1">
        <v>45088</v>
      </c>
      <c r="B3084">
        <v>184869</v>
      </c>
      <c r="C3084">
        <v>76604</v>
      </c>
      <c r="D3084">
        <v>108265</v>
      </c>
      <c r="E3084">
        <v>160966726</v>
      </c>
      <c r="F3084">
        <v>90700764</v>
      </c>
      <c r="G3084">
        <v>251667490</v>
      </c>
      <c r="H3084">
        <v>58480</v>
      </c>
      <c r="I3084">
        <v>12118</v>
      </c>
      <c r="J3084">
        <v>70598</v>
      </c>
      <c r="K3084" t="b">
        <f>TrafficData[[#This Row],[disposedChallan]]+TrafficData[[#This Row],[pendingChallan]]=TrafficData[[#This Row],[totalChallan]]</f>
        <v>1</v>
      </c>
      <c r="L3084" t="b">
        <f>TrafficData[[#This Row],[pendingAmount]]+TrafficData[[#This Row],[disposedAmount]]=TrafficData[[#This Row],[totalAmount]]</f>
        <v>1</v>
      </c>
      <c r="M3084" t="b">
        <f>TrafficData[[#This Row],[pendingCourt]]+TrafficData[[#This Row],[disposedCourt]]=TrafficData[[#This Row],[totalCourt]]</f>
        <v>1</v>
      </c>
      <c r="N3084" t="b">
        <f>AND(TrafficData[[#This Row],[disposedChallan]]&lt;=TrafficData[[#This Row],[totalChallan]],TrafficData[[#This Row],[pendingChallan]]&lt;=TrafficData[[#This Row],[totalChallan]])</f>
        <v>1</v>
      </c>
      <c r="O3084" t="b">
        <f>AND(TrafficData[[#This Row],[pendingAmount]]&lt;=TrafficData[[#This Row],[totalAmount]],TrafficData[[#This Row],[disposedAmount]]&lt;=TrafficData[[#This Row],[totalAmount]])</f>
        <v>1</v>
      </c>
      <c r="P3084" t="b">
        <f>AND(TrafficData[[#This Row],[pendingCourt]]&lt;=TrafficData[[#This Row],[totalCourt]],TrafficData[[#This Row],[disposedCourt]]&lt;=TrafficData[[#This Row],[totalCourt]])</f>
        <v>1</v>
      </c>
    </row>
    <row r="3085" spans="1:16">
      <c r="A3085" s="1">
        <v>45089</v>
      </c>
      <c r="B3085">
        <v>201501</v>
      </c>
      <c r="C3085">
        <v>85164</v>
      </c>
      <c r="D3085">
        <v>116337</v>
      </c>
      <c r="E3085">
        <v>186514576</v>
      </c>
      <c r="F3085">
        <v>116777431</v>
      </c>
      <c r="G3085">
        <v>303292007</v>
      </c>
      <c r="H3085">
        <v>66002</v>
      </c>
      <c r="I3085">
        <v>13684</v>
      </c>
      <c r="J3085">
        <v>79686</v>
      </c>
      <c r="K3085" t="b">
        <f>TrafficData[[#This Row],[disposedChallan]]+TrafficData[[#This Row],[pendingChallan]]=TrafficData[[#This Row],[totalChallan]]</f>
        <v>1</v>
      </c>
      <c r="L3085" t="b">
        <f>TrafficData[[#This Row],[pendingAmount]]+TrafficData[[#This Row],[disposedAmount]]=TrafficData[[#This Row],[totalAmount]]</f>
        <v>1</v>
      </c>
      <c r="M3085" t="b">
        <f>TrafficData[[#This Row],[pendingCourt]]+TrafficData[[#This Row],[disposedCourt]]=TrafficData[[#This Row],[totalCourt]]</f>
        <v>1</v>
      </c>
      <c r="N3085" t="b">
        <f>AND(TrafficData[[#This Row],[disposedChallan]]&lt;=TrafficData[[#This Row],[totalChallan]],TrafficData[[#This Row],[pendingChallan]]&lt;=TrafficData[[#This Row],[totalChallan]])</f>
        <v>1</v>
      </c>
      <c r="O3085" t="b">
        <f>AND(TrafficData[[#This Row],[pendingAmount]]&lt;=TrafficData[[#This Row],[totalAmount]],TrafficData[[#This Row],[disposedAmount]]&lt;=TrafficData[[#This Row],[totalAmount]])</f>
        <v>1</v>
      </c>
      <c r="P3085" t="b">
        <f>AND(TrafficData[[#This Row],[pendingCourt]]&lt;=TrafficData[[#This Row],[totalCourt]],TrafficData[[#This Row],[disposedCourt]]&lt;=TrafficData[[#This Row],[totalCourt]])</f>
        <v>1</v>
      </c>
    </row>
    <row r="3086" spans="1:16">
      <c r="A3086" s="1">
        <v>45090</v>
      </c>
      <c r="B3086">
        <v>208527</v>
      </c>
      <c r="C3086">
        <v>87320</v>
      </c>
      <c r="D3086">
        <v>121207</v>
      </c>
      <c r="E3086">
        <v>192171978</v>
      </c>
      <c r="F3086">
        <v>131748372</v>
      </c>
      <c r="G3086">
        <v>323920350</v>
      </c>
      <c r="H3086">
        <v>66711</v>
      </c>
      <c r="I3086">
        <v>13499</v>
      </c>
      <c r="J3086">
        <v>80210</v>
      </c>
      <c r="K3086" t="b">
        <f>TrafficData[[#This Row],[disposedChallan]]+TrafficData[[#This Row],[pendingChallan]]=TrafficData[[#This Row],[totalChallan]]</f>
        <v>1</v>
      </c>
      <c r="L3086" t="b">
        <f>TrafficData[[#This Row],[pendingAmount]]+TrafficData[[#This Row],[disposedAmount]]=TrafficData[[#This Row],[totalAmount]]</f>
        <v>1</v>
      </c>
      <c r="M3086" t="b">
        <f>TrafficData[[#This Row],[pendingCourt]]+TrafficData[[#This Row],[disposedCourt]]=TrafficData[[#This Row],[totalCourt]]</f>
        <v>1</v>
      </c>
      <c r="N3086" t="b">
        <f>AND(TrafficData[[#This Row],[disposedChallan]]&lt;=TrafficData[[#This Row],[totalChallan]],TrafficData[[#This Row],[pendingChallan]]&lt;=TrafficData[[#This Row],[totalChallan]])</f>
        <v>1</v>
      </c>
      <c r="O3086" t="b">
        <f>AND(TrafficData[[#This Row],[pendingAmount]]&lt;=TrafficData[[#This Row],[totalAmount]],TrafficData[[#This Row],[disposedAmount]]&lt;=TrafficData[[#This Row],[totalAmount]])</f>
        <v>1</v>
      </c>
      <c r="P3086" t="b">
        <f>AND(TrafficData[[#This Row],[pendingCourt]]&lt;=TrafficData[[#This Row],[totalCourt]],TrafficData[[#This Row],[disposedCourt]]&lt;=TrafficData[[#This Row],[totalCourt]])</f>
        <v>1</v>
      </c>
    </row>
    <row r="3087" spans="1:16">
      <c r="A3087" s="1">
        <v>45091</v>
      </c>
      <c r="B3087">
        <v>216744</v>
      </c>
      <c r="C3087">
        <v>90548</v>
      </c>
      <c r="D3087">
        <v>126196</v>
      </c>
      <c r="E3087">
        <v>208808491</v>
      </c>
      <c r="F3087">
        <v>138204847</v>
      </c>
      <c r="G3087">
        <v>347013338</v>
      </c>
      <c r="H3087">
        <v>72425</v>
      </c>
      <c r="I3087">
        <v>14266</v>
      </c>
      <c r="J3087">
        <v>86691</v>
      </c>
      <c r="K3087" t="b">
        <f>TrafficData[[#This Row],[disposedChallan]]+TrafficData[[#This Row],[pendingChallan]]=TrafficData[[#This Row],[totalChallan]]</f>
        <v>1</v>
      </c>
      <c r="L3087" t="b">
        <f>TrafficData[[#This Row],[pendingAmount]]+TrafficData[[#This Row],[disposedAmount]]=TrafficData[[#This Row],[totalAmount]]</f>
        <v>1</v>
      </c>
      <c r="M3087" t="b">
        <f>TrafficData[[#This Row],[pendingCourt]]+TrafficData[[#This Row],[disposedCourt]]=TrafficData[[#This Row],[totalCourt]]</f>
        <v>1</v>
      </c>
      <c r="N3087" t="b">
        <f>AND(TrafficData[[#This Row],[disposedChallan]]&lt;=TrafficData[[#This Row],[totalChallan]],TrafficData[[#This Row],[pendingChallan]]&lt;=TrafficData[[#This Row],[totalChallan]])</f>
        <v>1</v>
      </c>
      <c r="O3087" t="b">
        <f>AND(TrafficData[[#This Row],[pendingAmount]]&lt;=TrafficData[[#This Row],[totalAmount]],TrafficData[[#This Row],[disposedAmount]]&lt;=TrafficData[[#This Row],[totalAmount]])</f>
        <v>1</v>
      </c>
      <c r="P3087" t="b">
        <f>AND(TrafficData[[#This Row],[pendingCourt]]&lt;=TrafficData[[#This Row],[totalCourt]],TrafficData[[#This Row],[disposedCourt]]&lt;=TrafficData[[#This Row],[totalCourt]])</f>
        <v>1</v>
      </c>
    </row>
    <row r="3088" spans="1:16">
      <c r="A3088" s="1">
        <v>45092</v>
      </c>
      <c r="B3088">
        <v>225412</v>
      </c>
      <c r="C3088">
        <v>94244</v>
      </c>
      <c r="D3088">
        <v>131168</v>
      </c>
      <c r="E3088">
        <v>208877005</v>
      </c>
      <c r="F3088">
        <v>134284572</v>
      </c>
      <c r="G3088">
        <v>343161577</v>
      </c>
      <c r="H3088">
        <v>74310</v>
      </c>
      <c r="I3088">
        <v>15264</v>
      </c>
      <c r="J3088">
        <v>89574</v>
      </c>
      <c r="K3088" t="b">
        <f>TrafficData[[#This Row],[disposedChallan]]+TrafficData[[#This Row],[pendingChallan]]=TrafficData[[#This Row],[totalChallan]]</f>
        <v>1</v>
      </c>
      <c r="L3088" t="b">
        <f>TrafficData[[#This Row],[pendingAmount]]+TrafficData[[#This Row],[disposedAmount]]=TrafficData[[#This Row],[totalAmount]]</f>
        <v>1</v>
      </c>
      <c r="M3088" t="b">
        <f>TrafficData[[#This Row],[pendingCourt]]+TrafficData[[#This Row],[disposedCourt]]=TrafficData[[#This Row],[totalCourt]]</f>
        <v>1</v>
      </c>
      <c r="N3088" t="b">
        <f>AND(TrafficData[[#This Row],[disposedChallan]]&lt;=TrafficData[[#This Row],[totalChallan]],TrafficData[[#This Row],[pendingChallan]]&lt;=TrafficData[[#This Row],[totalChallan]])</f>
        <v>1</v>
      </c>
      <c r="O3088" t="b">
        <f>AND(TrafficData[[#This Row],[pendingAmount]]&lt;=TrafficData[[#This Row],[totalAmount]],TrafficData[[#This Row],[disposedAmount]]&lt;=TrafficData[[#This Row],[totalAmount]])</f>
        <v>1</v>
      </c>
      <c r="P3088" t="b">
        <f>AND(TrafficData[[#This Row],[pendingCourt]]&lt;=TrafficData[[#This Row],[totalCourt]],TrafficData[[#This Row],[disposedCourt]]&lt;=TrafficData[[#This Row],[totalCourt]])</f>
        <v>1</v>
      </c>
    </row>
    <row r="3089" spans="1:16">
      <c r="A3089" s="1">
        <v>45093</v>
      </c>
      <c r="B3089">
        <v>227177</v>
      </c>
      <c r="C3089">
        <v>93361</v>
      </c>
      <c r="D3089">
        <v>133816</v>
      </c>
      <c r="E3089">
        <v>217046007</v>
      </c>
      <c r="F3089">
        <v>133078110</v>
      </c>
      <c r="G3089">
        <v>350124117</v>
      </c>
      <c r="H3089">
        <v>74778</v>
      </c>
      <c r="I3089">
        <v>15127</v>
      </c>
      <c r="J3089">
        <v>89905</v>
      </c>
      <c r="K3089" t="b">
        <f>TrafficData[[#This Row],[disposedChallan]]+TrafficData[[#This Row],[pendingChallan]]=TrafficData[[#This Row],[totalChallan]]</f>
        <v>1</v>
      </c>
      <c r="L3089" t="b">
        <f>TrafficData[[#This Row],[pendingAmount]]+TrafficData[[#This Row],[disposedAmount]]=TrafficData[[#This Row],[totalAmount]]</f>
        <v>1</v>
      </c>
      <c r="M3089" t="b">
        <f>TrafficData[[#This Row],[pendingCourt]]+TrafficData[[#This Row],[disposedCourt]]=TrafficData[[#This Row],[totalCourt]]</f>
        <v>1</v>
      </c>
      <c r="N3089" t="b">
        <f>AND(TrafficData[[#This Row],[disposedChallan]]&lt;=TrafficData[[#This Row],[totalChallan]],TrafficData[[#This Row],[pendingChallan]]&lt;=TrafficData[[#This Row],[totalChallan]])</f>
        <v>1</v>
      </c>
      <c r="O3089" t="b">
        <f>AND(TrafficData[[#This Row],[pendingAmount]]&lt;=TrafficData[[#This Row],[totalAmount]],TrafficData[[#This Row],[disposedAmount]]&lt;=TrafficData[[#This Row],[totalAmount]])</f>
        <v>1</v>
      </c>
      <c r="P3089" t="b">
        <f>AND(TrafficData[[#This Row],[pendingCourt]]&lt;=TrafficData[[#This Row],[totalCourt]],TrafficData[[#This Row],[disposedCourt]]&lt;=TrafficData[[#This Row],[totalCourt]])</f>
        <v>1</v>
      </c>
    </row>
    <row r="3090" spans="1:16">
      <c r="A3090" s="1">
        <v>45094</v>
      </c>
      <c r="B3090">
        <v>229877</v>
      </c>
      <c r="C3090">
        <v>96645</v>
      </c>
      <c r="D3090">
        <v>133232</v>
      </c>
      <c r="E3090">
        <v>212634473</v>
      </c>
      <c r="F3090">
        <v>128075086</v>
      </c>
      <c r="G3090">
        <v>340709559</v>
      </c>
      <c r="H3090">
        <v>74662</v>
      </c>
      <c r="I3090">
        <v>15859</v>
      </c>
      <c r="J3090">
        <v>90521</v>
      </c>
      <c r="K3090" t="b">
        <f>TrafficData[[#This Row],[disposedChallan]]+TrafficData[[#This Row],[pendingChallan]]=TrafficData[[#This Row],[totalChallan]]</f>
        <v>1</v>
      </c>
      <c r="L3090" t="b">
        <f>TrafficData[[#This Row],[pendingAmount]]+TrafficData[[#This Row],[disposedAmount]]=TrafficData[[#This Row],[totalAmount]]</f>
        <v>1</v>
      </c>
      <c r="M3090" t="b">
        <f>TrafficData[[#This Row],[pendingCourt]]+TrafficData[[#This Row],[disposedCourt]]=TrafficData[[#This Row],[totalCourt]]</f>
        <v>1</v>
      </c>
      <c r="N3090" t="b">
        <f>AND(TrafficData[[#This Row],[disposedChallan]]&lt;=TrafficData[[#This Row],[totalChallan]],TrafficData[[#This Row],[pendingChallan]]&lt;=TrafficData[[#This Row],[totalChallan]])</f>
        <v>1</v>
      </c>
      <c r="O3090" t="b">
        <f>AND(TrafficData[[#This Row],[pendingAmount]]&lt;=TrafficData[[#This Row],[totalAmount]],TrafficData[[#This Row],[disposedAmount]]&lt;=TrafficData[[#This Row],[totalAmount]])</f>
        <v>1</v>
      </c>
      <c r="P3090" t="b">
        <f>AND(TrafficData[[#This Row],[pendingCourt]]&lt;=TrafficData[[#This Row],[totalCourt]],TrafficData[[#This Row],[disposedCourt]]&lt;=TrafficData[[#This Row],[totalCourt]])</f>
        <v>1</v>
      </c>
    </row>
    <row r="3091" spans="1:16">
      <c r="A3091" s="1">
        <v>45095</v>
      </c>
      <c r="B3091">
        <v>201864</v>
      </c>
      <c r="C3091">
        <v>80915</v>
      </c>
      <c r="D3091">
        <v>120949</v>
      </c>
      <c r="E3091">
        <v>187199260</v>
      </c>
      <c r="F3091">
        <v>91013986</v>
      </c>
      <c r="G3091">
        <v>278213246</v>
      </c>
      <c r="H3091">
        <v>68735</v>
      </c>
      <c r="I3091">
        <v>13887</v>
      </c>
      <c r="J3091">
        <v>82622</v>
      </c>
      <c r="K3091" t="b">
        <f>TrafficData[[#This Row],[disposedChallan]]+TrafficData[[#This Row],[pendingChallan]]=TrafficData[[#This Row],[totalChallan]]</f>
        <v>1</v>
      </c>
      <c r="L3091" t="b">
        <f>TrafficData[[#This Row],[pendingAmount]]+TrafficData[[#This Row],[disposedAmount]]=TrafficData[[#This Row],[totalAmount]]</f>
        <v>1</v>
      </c>
      <c r="M3091" t="b">
        <f>TrafficData[[#This Row],[pendingCourt]]+TrafficData[[#This Row],[disposedCourt]]=TrafficData[[#This Row],[totalCourt]]</f>
        <v>1</v>
      </c>
      <c r="N3091" t="b">
        <f>AND(TrafficData[[#This Row],[disposedChallan]]&lt;=TrafficData[[#This Row],[totalChallan]],TrafficData[[#This Row],[pendingChallan]]&lt;=TrafficData[[#This Row],[totalChallan]])</f>
        <v>1</v>
      </c>
      <c r="O3091" t="b">
        <f>AND(TrafficData[[#This Row],[pendingAmount]]&lt;=TrafficData[[#This Row],[totalAmount]],TrafficData[[#This Row],[disposedAmount]]&lt;=TrafficData[[#This Row],[totalAmount]])</f>
        <v>1</v>
      </c>
      <c r="P3091" t="b">
        <f>AND(TrafficData[[#This Row],[pendingCourt]]&lt;=TrafficData[[#This Row],[totalCourt]],TrafficData[[#This Row],[disposedCourt]]&lt;=TrafficData[[#This Row],[totalCourt]])</f>
        <v>1</v>
      </c>
    </row>
    <row r="3092" spans="1:16">
      <c r="A3092" s="1">
        <v>45096</v>
      </c>
      <c r="B3092">
        <v>214759</v>
      </c>
      <c r="C3092">
        <v>87727</v>
      </c>
      <c r="D3092">
        <v>127032</v>
      </c>
      <c r="E3092">
        <v>204505471</v>
      </c>
      <c r="F3092">
        <v>111369821</v>
      </c>
      <c r="G3092">
        <v>315875292</v>
      </c>
      <c r="H3092">
        <v>76970</v>
      </c>
      <c r="I3092">
        <v>15263</v>
      </c>
      <c r="J3092">
        <v>92233</v>
      </c>
      <c r="K3092" t="b">
        <f>TrafficData[[#This Row],[disposedChallan]]+TrafficData[[#This Row],[pendingChallan]]=TrafficData[[#This Row],[totalChallan]]</f>
        <v>1</v>
      </c>
      <c r="L3092" t="b">
        <f>TrafficData[[#This Row],[pendingAmount]]+TrafficData[[#This Row],[disposedAmount]]=TrafficData[[#This Row],[totalAmount]]</f>
        <v>1</v>
      </c>
      <c r="M3092" t="b">
        <f>TrafficData[[#This Row],[pendingCourt]]+TrafficData[[#This Row],[disposedCourt]]=TrafficData[[#This Row],[totalCourt]]</f>
        <v>1</v>
      </c>
      <c r="N3092" t="b">
        <f>AND(TrafficData[[#This Row],[disposedChallan]]&lt;=TrafficData[[#This Row],[totalChallan]],TrafficData[[#This Row],[pendingChallan]]&lt;=TrafficData[[#This Row],[totalChallan]])</f>
        <v>1</v>
      </c>
      <c r="O3092" t="b">
        <f>AND(TrafficData[[#This Row],[pendingAmount]]&lt;=TrafficData[[#This Row],[totalAmount]],TrafficData[[#This Row],[disposedAmount]]&lt;=TrafficData[[#This Row],[totalAmount]])</f>
        <v>1</v>
      </c>
      <c r="P3092" t="b">
        <f>AND(TrafficData[[#This Row],[pendingCourt]]&lt;=TrafficData[[#This Row],[totalCourt]],TrafficData[[#This Row],[disposedCourt]]&lt;=TrafficData[[#This Row],[totalCourt]])</f>
        <v>1</v>
      </c>
    </row>
    <row r="3093" spans="1:16">
      <c r="A3093" s="1">
        <v>45097</v>
      </c>
      <c r="B3093">
        <v>210870</v>
      </c>
      <c r="C3093">
        <v>86323</v>
      </c>
      <c r="D3093">
        <v>124547</v>
      </c>
      <c r="E3093">
        <v>200001892</v>
      </c>
      <c r="F3093">
        <v>114960314</v>
      </c>
      <c r="G3093">
        <v>314962206</v>
      </c>
      <c r="H3093">
        <v>70489</v>
      </c>
      <c r="I3093">
        <v>14518</v>
      </c>
      <c r="J3093">
        <v>85007</v>
      </c>
      <c r="K3093" t="b">
        <f>TrafficData[[#This Row],[disposedChallan]]+TrafficData[[#This Row],[pendingChallan]]=TrafficData[[#This Row],[totalChallan]]</f>
        <v>1</v>
      </c>
      <c r="L3093" t="b">
        <f>TrafficData[[#This Row],[pendingAmount]]+TrafficData[[#This Row],[disposedAmount]]=TrafficData[[#This Row],[totalAmount]]</f>
        <v>1</v>
      </c>
      <c r="M3093" t="b">
        <f>TrafficData[[#This Row],[pendingCourt]]+TrafficData[[#This Row],[disposedCourt]]=TrafficData[[#This Row],[totalCourt]]</f>
        <v>1</v>
      </c>
      <c r="N3093" t="b">
        <f>AND(TrafficData[[#This Row],[disposedChallan]]&lt;=TrafficData[[#This Row],[totalChallan]],TrafficData[[#This Row],[pendingChallan]]&lt;=TrafficData[[#This Row],[totalChallan]])</f>
        <v>1</v>
      </c>
      <c r="O3093" t="b">
        <f>AND(TrafficData[[#This Row],[pendingAmount]]&lt;=TrafficData[[#This Row],[totalAmount]],TrafficData[[#This Row],[disposedAmount]]&lt;=TrafficData[[#This Row],[totalAmount]])</f>
        <v>1</v>
      </c>
      <c r="P3093" t="b">
        <f>AND(TrafficData[[#This Row],[pendingCourt]]&lt;=TrafficData[[#This Row],[totalCourt]],TrafficData[[#This Row],[disposedCourt]]&lt;=TrafficData[[#This Row],[totalCourt]])</f>
        <v>1</v>
      </c>
    </row>
    <row r="3094" spans="1:16">
      <c r="A3094" s="1">
        <v>45098</v>
      </c>
      <c r="B3094">
        <v>228997</v>
      </c>
      <c r="C3094">
        <v>93927</v>
      </c>
      <c r="D3094">
        <v>135070</v>
      </c>
      <c r="E3094">
        <v>219752767</v>
      </c>
      <c r="F3094">
        <v>122643545</v>
      </c>
      <c r="G3094">
        <v>342396312</v>
      </c>
      <c r="H3094">
        <v>78433</v>
      </c>
      <c r="I3094">
        <v>15910</v>
      </c>
      <c r="J3094">
        <v>94343</v>
      </c>
      <c r="K3094" t="b">
        <f>TrafficData[[#This Row],[disposedChallan]]+TrafficData[[#This Row],[pendingChallan]]=TrafficData[[#This Row],[totalChallan]]</f>
        <v>1</v>
      </c>
      <c r="L3094" t="b">
        <f>TrafficData[[#This Row],[pendingAmount]]+TrafficData[[#This Row],[disposedAmount]]=TrafficData[[#This Row],[totalAmount]]</f>
        <v>1</v>
      </c>
      <c r="M3094" t="b">
        <f>TrafficData[[#This Row],[pendingCourt]]+TrafficData[[#This Row],[disposedCourt]]=TrafficData[[#This Row],[totalCourt]]</f>
        <v>1</v>
      </c>
      <c r="N3094" t="b">
        <f>AND(TrafficData[[#This Row],[disposedChallan]]&lt;=TrafficData[[#This Row],[totalChallan]],TrafficData[[#This Row],[pendingChallan]]&lt;=TrafficData[[#This Row],[totalChallan]])</f>
        <v>1</v>
      </c>
      <c r="O3094" t="b">
        <f>AND(TrafficData[[#This Row],[pendingAmount]]&lt;=TrafficData[[#This Row],[totalAmount]],TrafficData[[#This Row],[disposedAmount]]&lt;=TrafficData[[#This Row],[totalAmount]])</f>
        <v>1</v>
      </c>
      <c r="P3094" t="b">
        <f>AND(TrafficData[[#This Row],[pendingCourt]]&lt;=TrafficData[[#This Row],[totalCourt]],TrafficData[[#This Row],[disposedCourt]]&lt;=TrafficData[[#This Row],[totalCourt]])</f>
        <v>1</v>
      </c>
    </row>
    <row r="3095" spans="1:16">
      <c r="A3095" s="1">
        <v>45099</v>
      </c>
      <c r="B3095">
        <v>230114</v>
      </c>
      <c r="C3095">
        <v>93964</v>
      </c>
      <c r="D3095">
        <v>136150</v>
      </c>
      <c r="E3095">
        <v>231595924</v>
      </c>
      <c r="F3095">
        <v>123987795</v>
      </c>
      <c r="G3095">
        <v>355583719</v>
      </c>
      <c r="H3095">
        <v>77511</v>
      </c>
      <c r="I3095">
        <v>15207</v>
      </c>
      <c r="J3095">
        <v>92718</v>
      </c>
      <c r="K3095" t="b">
        <f>TrafficData[[#This Row],[disposedChallan]]+TrafficData[[#This Row],[pendingChallan]]=TrafficData[[#This Row],[totalChallan]]</f>
        <v>1</v>
      </c>
      <c r="L3095" t="b">
        <f>TrafficData[[#This Row],[pendingAmount]]+TrafficData[[#This Row],[disposedAmount]]=TrafficData[[#This Row],[totalAmount]]</f>
        <v>1</v>
      </c>
      <c r="M3095" t="b">
        <f>TrafficData[[#This Row],[pendingCourt]]+TrafficData[[#This Row],[disposedCourt]]=TrafficData[[#This Row],[totalCourt]]</f>
        <v>1</v>
      </c>
      <c r="N3095" t="b">
        <f>AND(TrafficData[[#This Row],[disposedChallan]]&lt;=TrafficData[[#This Row],[totalChallan]],TrafficData[[#This Row],[pendingChallan]]&lt;=TrafficData[[#This Row],[totalChallan]])</f>
        <v>1</v>
      </c>
      <c r="O3095" t="b">
        <f>AND(TrafficData[[#This Row],[pendingAmount]]&lt;=TrafficData[[#This Row],[totalAmount]],TrafficData[[#This Row],[disposedAmount]]&lt;=TrafficData[[#This Row],[totalAmount]])</f>
        <v>1</v>
      </c>
      <c r="P3095" t="b">
        <f>AND(TrafficData[[#This Row],[pendingCourt]]&lt;=TrafficData[[#This Row],[totalCourt]],TrafficData[[#This Row],[disposedCourt]]&lt;=TrafficData[[#This Row],[totalCourt]])</f>
        <v>1</v>
      </c>
    </row>
    <row r="3096" spans="1:16">
      <c r="A3096" s="1">
        <v>45100</v>
      </c>
      <c r="B3096">
        <v>218061</v>
      </c>
      <c r="C3096">
        <v>89872</v>
      </c>
      <c r="D3096">
        <v>128189</v>
      </c>
      <c r="E3096">
        <v>214252430</v>
      </c>
      <c r="F3096">
        <v>121447002</v>
      </c>
      <c r="G3096">
        <v>335699432</v>
      </c>
      <c r="H3096">
        <v>71847</v>
      </c>
      <c r="I3096">
        <v>14609</v>
      </c>
      <c r="J3096">
        <v>86456</v>
      </c>
      <c r="K3096" t="b">
        <f>TrafficData[[#This Row],[disposedChallan]]+TrafficData[[#This Row],[pendingChallan]]=TrafficData[[#This Row],[totalChallan]]</f>
        <v>1</v>
      </c>
      <c r="L3096" t="b">
        <f>TrafficData[[#This Row],[pendingAmount]]+TrafficData[[#This Row],[disposedAmount]]=TrafficData[[#This Row],[totalAmount]]</f>
        <v>1</v>
      </c>
      <c r="M3096" t="b">
        <f>TrafficData[[#This Row],[pendingCourt]]+TrafficData[[#This Row],[disposedCourt]]=TrafficData[[#This Row],[totalCourt]]</f>
        <v>1</v>
      </c>
      <c r="N3096" t="b">
        <f>AND(TrafficData[[#This Row],[disposedChallan]]&lt;=TrafficData[[#This Row],[totalChallan]],TrafficData[[#This Row],[pendingChallan]]&lt;=TrafficData[[#This Row],[totalChallan]])</f>
        <v>1</v>
      </c>
      <c r="O3096" t="b">
        <f>AND(TrafficData[[#This Row],[pendingAmount]]&lt;=TrafficData[[#This Row],[totalAmount]],TrafficData[[#This Row],[disposedAmount]]&lt;=TrafficData[[#This Row],[totalAmount]])</f>
        <v>1</v>
      </c>
      <c r="P3096" t="b">
        <f>AND(TrafficData[[#This Row],[pendingCourt]]&lt;=TrafficData[[#This Row],[totalCourt]],TrafficData[[#This Row],[disposedCourt]]&lt;=TrafficData[[#This Row],[totalCourt]])</f>
        <v>1</v>
      </c>
    </row>
    <row r="3097" spans="1:16">
      <c r="A3097" s="1">
        <v>45101</v>
      </c>
      <c r="B3097">
        <v>233889</v>
      </c>
      <c r="C3097">
        <v>96010</v>
      </c>
      <c r="D3097">
        <v>137879</v>
      </c>
      <c r="E3097">
        <v>224719156</v>
      </c>
      <c r="F3097">
        <v>119213306</v>
      </c>
      <c r="G3097">
        <v>343932462</v>
      </c>
      <c r="H3097">
        <v>76453</v>
      </c>
      <c r="I3097">
        <v>15678</v>
      </c>
      <c r="J3097">
        <v>92131</v>
      </c>
      <c r="K3097" t="b">
        <f>TrafficData[[#This Row],[disposedChallan]]+TrafficData[[#This Row],[pendingChallan]]=TrafficData[[#This Row],[totalChallan]]</f>
        <v>1</v>
      </c>
      <c r="L3097" t="b">
        <f>TrafficData[[#This Row],[pendingAmount]]+TrafficData[[#This Row],[disposedAmount]]=TrafficData[[#This Row],[totalAmount]]</f>
        <v>1</v>
      </c>
      <c r="M3097" t="b">
        <f>TrafficData[[#This Row],[pendingCourt]]+TrafficData[[#This Row],[disposedCourt]]=TrafficData[[#This Row],[totalCourt]]</f>
        <v>1</v>
      </c>
      <c r="N3097" t="b">
        <f>AND(TrafficData[[#This Row],[disposedChallan]]&lt;=TrafficData[[#This Row],[totalChallan]],TrafficData[[#This Row],[pendingChallan]]&lt;=TrafficData[[#This Row],[totalChallan]])</f>
        <v>1</v>
      </c>
      <c r="O3097" t="b">
        <f>AND(TrafficData[[#This Row],[pendingAmount]]&lt;=TrafficData[[#This Row],[totalAmount]],TrafficData[[#This Row],[disposedAmount]]&lt;=TrafficData[[#This Row],[totalAmount]])</f>
        <v>1</v>
      </c>
      <c r="P3097" t="b">
        <f>AND(TrafficData[[#This Row],[pendingCourt]]&lt;=TrafficData[[#This Row],[totalCourt]],TrafficData[[#This Row],[disposedCourt]]&lt;=TrafficData[[#This Row],[totalCourt]])</f>
        <v>1</v>
      </c>
    </row>
    <row r="3098" spans="1:16">
      <c r="A3098" s="1">
        <v>45102</v>
      </c>
      <c r="B3098">
        <v>188909</v>
      </c>
      <c r="C3098">
        <v>76283</v>
      </c>
      <c r="D3098">
        <v>112626</v>
      </c>
      <c r="E3098">
        <v>164537674</v>
      </c>
      <c r="F3098">
        <v>81469633</v>
      </c>
      <c r="G3098">
        <v>246007307</v>
      </c>
      <c r="H3098">
        <v>56440</v>
      </c>
      <c r="I3098">
        <v>11426</v>
      </c>
      <c r="J3098">
        <v>67866</v>
      </c>
      <c r="K3098" t="b">
        <f>TrafficData[[#This Row],[disposedChallan]]+TrafficData[[#This Row],[pendingChallan]]=TrafficData[[#This Row],[totalChallan]]</f>
        <v>1</v>
      </c>
      <c r="L3098" t="b">
        <f>TrafficData[[#This Row],[pendingAmount]]+TrafficData[[#This Row],[disposedAmount]]=TrafficData[[#This Row],[totalAmount]]</f>
        <v>1</v>
      </c>
      <c r="M3098" t="b">
        <f>TrafficData[[#This Row],[pendingCourt]]+TrafficData[[#This Row],[disposedCourt]]=TrafficData[[#This Row],[totalCourt]]</f>
        <v>1</v>
      </c>
      <c r="N3098" t="b">
        <f>AND(TrafficData[[#This Row],[disposedChallan]]&lt;=TrafficData[[#This Row],[totalChallan]],TrafficData[[#This Row],[pendingChallan]]&lt;=TrafficData[[#This Row],[totalChallan]])</f>
        <v>1</v>
      </c>
      <c r="O3098" t="b">
        <f>AND(TrafficData[[#This Row],[pendingAmount]]&lt;=TrafficData[[#This Row],[totalAmount]],TrafficData[[#This Row],[disposedAmount]]&lt;=TrafficData[[#This Row],[totalAmount]])</f>
        <v>1</v>
      </c>
      <c r="P3098" t="b">
        <f>AND(TrafficData[[#This Row],[pendingCourt]]&lt;=TrafficData[[#This Row],[totalCourt]],TrafficData[[#This Row],[disposedCourt]]&lt;=TrafficData[[#This Row],[totalCourt]])</f>
        <v>1</v>
      </c>
    </row>
    <row r="3099" spans="1:16">
      <c r="A3099" s="1">
        <v>45103</v>
      </c>
      <c r="B3099">
        <v>215137</v>
      </c>
      <c r="C3099">
        <v>88013</v>
      </c>
      <c r="D3099">
        <v>127124</v>
      </c>
      <c r="E3099">
        <v>195601714</v>
      </c>
      <c r="F3099">
        <v>106277850</v>
      </c>
      <c r="G3099">
        <v>301879564</v>
      </c>
      <c r="H3099">
        <v>71245</v>
      </c>
      <c r="I3099">
        <v>14335</v>
      </c>
      <c r="J3099">
        <v>85580</v>
      </c>
      <c r="K3099" t="b">
        <f>TrafficData[[#This Row],[disposedChallan]]+TrafficData[[#This Row],[pendingChallan]]=TrafficData[[#This Row],[totalChallan]]</f>
        <v>1</v>
      </c>
      <c r="L3099" t="b">
        <f>TrafficData[[#This Row],[pendingAmount]]+TrafficData[[#This Row],[disposedAmount]]=TrafficData[[#This Row],[totalAmount]]</f>
        <v>1</v>
      </c>
      <c r="M3099" t="b">
        <f>TrafficData[[#This Row],[pendingCourt]]+TrafficData[[#This Row],[disposedCourt]]=TrafficData[[#This Row],[totalCourt]]</f>
        <v>1</v>
      </c>
      <c r="N3099" t="b">
        <f>AND(TrafficData[[#This Row],[disposedChallan]]&lt;=TrafficData[[#This Row],[totalChallan]],TrafficData[[#This Row],[pendingChallan]]&lt;=TrafficData[[#This Row],[totalChallan]])</f>
        <v>1</v>
      </c>
      <c r="O3099" t="b">
        <f>AND(TrafficData[[#This Row],[pendingAmount]]&lt;=TrafficData[[#This Row],[totalAmount]],TrafficData[[#This Row],[disposedAmount]]&lt;=TrafficData[[#This Row],[totalAmount]])</f>
        <v>1</v>
      </c>
      <c r="P3099" t="b">
        <f>AND(TrafficData[[#This Row],[pendingCourt]]&lt;=TrafficData[[#This Row],[totalCourt]],TrafficData[[#This Row],[disposedCourt]]&lt;=TrafficData[[#This Row],[totalCourt]])</f>
        <v>1</v>
      </c>
    </row>
    <row r="3100" spans="1:16">
      <c r="A3100" s="1">
        <v>45104</v>
      </c>
      <c r="B3100">
        <v>212205</v>
      </c>
      <c r="C3100">
        <v>85385</v>
      </c>
      <c r="D3100">
        <v>126820</v>
      </c>
      <c r="E3100">
        <v>201874144</v>
      </c>
      <c r="F3100">
        <v>114158536</v>
      </c>
      <c r="G3100">
        <v>316032680</v>
      </c>
      <c r="H3100">
        <v>69801</v>
      </c>
      <c r="I3100">
        <v>14340</v>
      </c>
      <c r="J3100">
        <v>84141</v>
      </c>
      <c r="K3100" t="b">
        <f>TrafficData[[#This Row],[disposedChallan]]+TrafficData[[#This Row],[pendingChallan]]=TrafficData[[#This Row],[totalChallan]]</f>
        <v>1</v>
      </c>
      <c r="L3100" t="b">
        <f>TrafficData[[#This Row],[pendingAmount]]+TrafficData[[#This Row],[disposedAmount]]=TrafficData[[#This Row],[totalAmount]]</f>
        <v>1</v>
      </c>
      <c r="M3100" t="b">
        <f>TrafficData[[#This Row],[pendingCourt]]+TrafficData[[#This Row],[disposedCourt]]=TrafficData[[#This Row],[totalCourt]]</f>
        <v>1</v>
      </c>
      <c r="N3100" t="b">
        <f>AND(TrafficData[[#This Row],[disposedChallan]]&lt;=TrafficData[[#This Row],[totalChallan]],TrafficData[[#This Row],[pendingChallan]]&lt;=TrafficData[[#This Row],[totalChallan]])</f>
        <v>1</v>
      </c>
      <c r="O3100" t="b">
        <f>AND(TrafficData[[#This Row],[pendingAmount]]&lt;=TrafficData[[#This Row],[totalAmount]],TrafficData[[#This Row],[disposedAmount]]&lt;=TrafficData[[#This Row],[totalAmount]])</f>
        <v>1</v>
      </c>
      <c r="P3100" t="b">
        <f>AND(TrafficData[[#This Row],[pendingCourt]]&lt;=TrafficData[[#This Row],[totalCourt]],TrafficData[[#This Row],[disposedCourt]]&lt;=TrafficData[[#This Row],[totalCourt]])</f>
        <v>1</v>
      </c>
    </row>
    <row r="3101" spans="1:16">
      <c r="A3101" s="1">
        <v>45105</v>
      </c>
      <c r="B3101">
        <v>221638</v>
      </c>
      <c r="C3101">
        <v>88498</v>
      </c>
      <c r="D3101">
        <v>133140</v>
      </c>
      <c r="E3101">
        <v>213380463</v>
      </c>
      <c r="F3101">
        <v>108740425</v>
      </c>
      <c r="G3101">
        <v>322120888</v>
      </c>
      <c r="H3101">
        <v>73131</v>
      </c>
      <c r="I3101">
        <v>14935</v>
      </c>
      <c r="J3101">
        <v>88066</v>
      </c>
      <c r="K3101" t="b">
        <f>TrafficData[[#This Row],[disposedChallan]]+TrafficData[[#This Row],[pendingChallan]]=TrafficData[[#This Row],[totalChallan]]</f>
        <v>1</v>
      </c>
      <c r="L3101" t="b">
        <f>TrafficData[[#This Row],[pendingAmount]]+TrafficData[[#This Row],[disposedAmount]]=TrafficData[[#This Row],[totalAmount]]</f>
        <v>1</v>
      </c>
      <c r="M3101" t="b">
        <f>TrafficData[[#This Row],[pendingCourt]]+TrafficData[[#This Row],[disposedCourt]]=TrafficData[[#This Row],[totalCourt]]</f>
        <v>1</v>
      </c>
      <c r="N3101" t="b">
        <f>AND(TrafficData[[#This Row],[disposedChallan]]&lt;=TrafficData[[#This Row],[totalChallan]],TrafficData[[#This Row],[pendingChallan]]&lt;=TrafficData[[#This Row],[totalChallan]])</f>
        <v>1</v>
      </c>
      <c r="O3101" t="b">
        <f>AND(TrafficData[[#This Row],[pendingAmount]]&lt;=TrafficData[[#This Row],[totalAmount]],TrafficData[[#This Row],[disposedAmount]]&lt;=TrafficData[[#This Row],[totalAmount]])</f>
        <v>1</v>
      </c>
      <c r="P3101" t="b">
        <f>AND(TrafficData[[#This Row],[pendingCourt]]&lt;=TrafficData[[#This Row],[totalCourt]],TrafficData[[#This Row],[disposedCourt]]&lt;=TrafficData[[#This Row],[totalCourt]])</f>
        <v>1</v>
      </c>
    </row>
    <row r="3102" spans="1:16">
      <c r="A3102" s="1">
        <v>45106</v>
      </c>
      <c r="B3102">
        <v>197541</v>
      </c>
      <c r="C3102">
        <v>75854</v>
      </c>
      <c r="D3102">
        <v>121687</v>
      </c>
      <c r="E3102">
        <v>180788550</v>
      </c>
      <c r="F3102">
        <v>82949528</v>
      </c>
      <c r="G3102">
        <v>263738078</v>
      </c>
      <c r="H3102">
        <v>60591</v>
      </c>
      <c r="I3102">
        <v>11605</v>
      </c>
      <c r="J3102">
        <v>72196</v>
      </c>
      <c r="K3102" t="b">
        <f>TrafficData[[#This Row],[disposedChallan]]+TrafficData[[#This Row],[pendingChallan]]=TrafficData[[#This Row],[totalChallan]]</f>
        <v>1</v>
      </c>
      <c r="L3102" t="b">
        <f>TrafficData[[#This Row],[pendingAmount]]+TrafficData[[#This Row],[disposedAmount]]=TrafficData[[#This Row],[totalAmount]]</f>
        <v>1</v>
      </c>
      <c r="M3102" t="b">
        <f>TrafficData[[#This Row],[pendingCourt]]+TrafficData[[#This Row],[disposedCourt]]=TrafficData[[#This Row],[totalCourt]]</f>
        <v>1</v>
      </c>
      <c r="N3102" t="b">
        <f>AND(TrafficData[[#This Row],[disposedChallan]]&lt;=TrafficData[[#This Row],[totalChallan]],TrafficData[[#This Row],[pendingChallan]]&lt;=TrafficData[[#This Row],[totalChallan]])</f>
        <v>1</v>
      </c>
      <c r="O3102" t="b">
        <f>AND(TrafficData[[#This Row],[pendingAmount]]&lt;=TrafficData[[#This Row],[totalAmount]],TrafficData[[#This Row],[disposedAmount]]&lt;=TrafficData[[#This Row],[totalAmount]])</f>
        <v>1</v>
      </c>
      <c r="P3102" t="b">
        <f>AND(TrafficData[[#This Row],[pendingCourt]]&lt;=TrafficData[[#This Row],[totalCourt]],TrafficData[[#This Row],[disposedCourt]]&lt;=TrafficData[[#This Row],[totalCourt]])</f>
        <v>1</v>
      </c>
    </row>
    <row r="3103" spans="1:16">
      <c r="A3103" s="1">
        <v>45107</v>
      </c>
      <c r="B3103">
        <v>217958</v>
      </c>
      <c r="C3103">
        <v>84316</v>
      </c>
      <c r="D3103">
        <v>133642</v>
      </c>
      <c r="E3103">
        <v>205834536</v>
      </c>
      <c r="F3103">
        <v>91050354</v>
      </c>
      <c r="G3103">
        <v>296884890</v>
      </c>
      <c r="H3103">
        <v>71983</v>
      </c>
      <c r="I3103">
        <v>13816</v>
      </c>
      <c r="J3103">
        <v>85799</v>
      </c>
      <c r="K3103" t="b">
        <f>TrafficData[[#This Row],[disposedChallan]]+TrafficData[[#This Row],[pendingChallan]]=TrafficData[[#This Row],[totalChallan]]</f>
        <v>1</v>
      </c>
      <c r="L3103" t="b">
        <f>TrafficData[[#This Row],[pendingAmount]]+TrafficData[[#This Row],[disposedAmount]]=TrafficData[[#This Row],[totalAmount]]</f>
        <v>1</v>
      </c>
      <c r="M3103" t="b">
        <f>TrafficData[[#This Row],[pendingCourt]]+TrafficData[[#This Row],[disposedCourt]]=TrafficData[[#This Row],[totalCourt]]</f>
        <v>1</v>
      </c>
      <c r="N3103" t="b">
        <f>AND(TrafficData[[#This Row],[disposedChallan]]&lt;=TrafficData[[#This Row],[totalChallan]],TrafficData[[#This Row],[pendingChallan]]&lt;=TrafficData[[#This Row],[totalChallan]])</f>
        <v>1</v>
      </c>
      <c r="O3103" t="b">
        <f>AND(TrafficData[[#This Row],[pendingAmount]]&lt;=TrafficData[[#This Row],[totalAmount]],TrafficData[[#This Row],[disposedAmount]]&lt;=TrafficData[[#This Row],[totalAmount]])</f>
        <v>1</v>
      </c>
      <c r="P3103" t="b">
        <f>AND(TrafficData[[#This Row],[pendingCourt]]&lt;=TrafficData[[#This Row],[totalCourt]],TrafficData[[#This Row],[disposedCourt]]&lt;=TrafficData[[#This Row],[totalCourt]])</f>
        <v>1</v>
      </c>
    </row>
    <row r="3104" spans="1:16">
      <c r="A3104" s="1">
        <v>45108</v>
      </c>
      <c r="B3104">
        <v>226065</v>
      </c>
      <c r="C3104">
        <v>93511</v>
      </c>
      <c r="D3104">
        <v>132554</v>
      </c>
      <c r="E3104">
        <v>194145142</v>
      </c>
      <c r="F3104">
        <v>111296127</v>
      </c>
      <c r="G3104">
        <v>305441269</v>
      </c>
      <c r="H3104">
        <v>68438</v>
      </c>
      <c r="I3104">
        <v>14062</v>
      </c>
      <c r="J3104">
        <v>82500</v>
      </c>
      <c r="K3104" t="b">
        <f>TrafficData[[#This Row],[disposedChallan]]+TrafficData[[#This Row],[pendingChallan]]=TrafficData[[#This Row],[totalChallan]]</f>
        <v>1</v>
      </c>
      <c r="L3104" t="b">
        <f>TrafficData[[#This Row],[pendingAmount]]+TrafficData[[#This Row],[disposedAmount]]=TrafficData[[#This Row],[totalAmount]]</f>
        <v>1</v>
      </c>
      <c r="M3104" t="b">
        <f>TrafficData[[#This Row],[pendingCourt]]+TrafficData[[#This Row],[disposedCourt]]=TrafficData[[#This Row],[totalCourt]]</f>
        <v>1</v>
      </c>
      <c r="N3104" t="b">
        <f>AND(TrafficData[[#This Row],[disposedChallan]]&lt;=TrafficData[[#This Row],[totalChallan]],TrafficData[[#This Row],[pendingChallan]]&lt;=TrafficData[[#This Row],[totalChallan]])</f>
        <v>1</v>
      </c>
      <c r="O3104" t="b">
        <f>AND(TrafficData[[#This Row],[pendingAmount]]&lt;=TrafficData[[#This Row],[totalAmount]],TrafficData[[#This Row],[disposedAmount]]&lt;=TrafficData[[#This Row],[totalAmount]])</f>
        <v>1</v>
      </c>
      <c r="P3104" t="b">
        <f>AND(TrafficData[[#This Row],[pendingCourt]]&lt;=TrafficData[[#This Row],[totalCourt]],TrafficData[[#This Row],[disposedCourt]]&lt;=TrafficData[[#This Row],[totalCourt]])</f>
        <v>1</v>
      </c>
    </row>
    <row r="3105" spans="1:16">
      <c r="A3105" s="1">
        <v>45109</v>
      </c>
      <c r="B3105">
        <v>214099</v>
      </c>
      <c r="C3105">
        <v>86756</v>
      </c>
      <c r="D3105">
        <v>127343</v>
      </c>
      <c r="E3105">
        <v>181282013</v>
      </c>
      <c r="F3105">
        <v>98724767</v>
      </c>
      <c r="G3105">
        <v>280006780</v>
      </c>
      <c r="H3105">
        <v>65097</v>
      </c>
      <c r="I3105">
        <v>12974</v>
      </c>
      <c r="J3105">
        <v>78071</v>
      </c>
      <c r="K3105" t="b">
        <f>TrafficData[[#This Row],[disposedChallan]]+TrafficData[[#This Row],[pendingChallan]]=TrafficData[[#This Row],[totalChallan]]</f>
        <v>1</v>
      </c>
      <c r="L3105" t="b">
        <f>TrafficData[[#This Row],[pendingAmount]]+TrafficData[[#This Row],[disposedAmount]]=TrafficData[[#This Row],[totalAmount]]</f>
        <v>1</v>
      </c>
      <c r="M3105" t="b">
        <f>TrafficData[[#This Row],[pendingCourt]]+TrafficData[[#This Row],[disposedCourt]]=TrafficData[[#This Row],[totalCourt]]</f>
        <v>1</v>
      </c>
      <c r="N3105" t="b">
        <f>AND(TrafficData[[#This Row],[disposedChallan]]&lt;=TrafficData[[#This Row],[totalChallan]],TrafficData[[#This Row],[pendingChallan]]&lt;=TrafficData[[#This Row],[totalChallan]])</f>
        <v>1</v>
      </c>
      <c r="O3105" t="b">
        <f>AND(TrafficData[[#This Row],[pendingAmount]]&lt;=TrafficData[[#This Row],[totalAmount]],TrafficData[[#This Row],[disposedAmount]]&lt;=TrafficData[[#This Row],[totalAmount]])</f>
        <v>1</v>
      </c>
      <c r="P3105" t="b">
        <f>AND(TrafficData[[#This Row],[pendingCourt]]&lt;=TrafficData[[#This Row],[totalCourt]],TrafficData[[#This Row],[disposedCourt]]&lt;=TrafficData[[#This Row],[totalCourt]])</f>
        <v>1</v>
      </c>
    </row>
    <row r="3106" spans="1:16">
      <c r="A3106" s="1">
        <v>45110</v>
      </c>
      <c r="B3106">
        <v>212541</v>
      </c>
      <c r="C3106">
        <v>86624</v>
      </c>
      <c r="D3106">
        <v>125917</v>
      </c>
      <c r="E3106">
        <v>197526777</v>
      </c>
      <c r="F3106">
        <v>117042580</v>
      </c>
      <c r="G3106">
        <v>314569357</v>
      </c>
      <c r="H3106">
        <v>68007</v>
      </c>
      <c r="I3106">
        <v>13558</v>
      </c>
      <c r="J3106">
        <v>81565</v>
      </c>
      <c r="K3106" t="b">
        <f>TrafficData[[#This Row],[disposedChallan]]+TrafficData[[#This Row],[pendingChallan]]=TrafficData[[#This Row],[totalChallan]]</f>
        <v>1</v>
      </c>
      <c r="L3106" t="b">
        <f>TrafficData[[#This Row],[pendingAmount]]+TrafficData[[#This Row],[disposedAmount]]=TrafficData[[#This Row],[totalAmount]]</f>
        <v>1</v>
      </c>
      <c r="M3106" t="b">
        <f>TrafficData[[#This Row],[pendingCourt]]+TrafficData[[#This Row],[disposedCourt]]=TrafficData[[#This Row],[totalCourt]]</f>
        <v>1</v>
      </c>
      <c r="N3106" t="b">
        <f>AND(TrafficData[[#This Row],[disposedChallan]]&lt;=TrafficData[[#This Row],[totalChallan]],TrafficData[[#This Row],[pendingChallan]]&lt;=TrafficData[[#This Row],[totalChallan]])</f>
        <v>1</v>
      </c>
      <c r="O3106" t="b">
        <f>AND(TrafficData[[#This Row],[pendingAmount]]&lt;=TrafficData[[#This Row],[totalAmount]],TrafficData[[#This Row],[disposedAmount]]&lt;=TrafficData[[#This Row],[totalAmount]])</f>
        <v>1</v>
      </c>
      <c r="P3106" t="b">
        <f>AND(TrafficData[[#This Row],[pendingCourt]]&lt;=TrafficData[[#This Row],[totalCourt]],TrafficData[[#This Row],[disposedCourt]]&lt;=TrafficData[[#This Row],[totalCourt]])</f>
        <v>1</v>
      </c>
    </row>
    <row r="3107" spans="1:16">
      <c r="A3107" s="1">
        <v>45111</v>
      </c>
      <c r="B3107">
        <v>200159</v>
      </c>
      <c r="C3107">
        <v>79854</v>
      </c>
      <c r="D3107">
        <v>120305</v>
      </c>
      <c r="E3107">
        <v>199721452</v>
      </c>
      <c r="F3107">
        <v>126350917</v>
      </c>
      <c r="G3107">
        <v>326072369</v>
      </c>
      <c r="H3107">
        <v>65457</v>
      </c>
      <c r="I3107">
        <v>13319</v>
      </c>
      <c r="J3107">
        <v>78776</v>
      </c>
      <c r="K3107" t="b">
        <f>TrafficData[[#This Row],[disposedChallan]]+TrafficData[[#This Row],[pendingChallan]]=TrafficData[[#This Row],[totalChallan]]</f>
        <v>1</v>
      </c>
      <c r="L3107" t="b">
        <f>TrafficData[[#This Row],[pendingAmount]]+TrafficData[[#This Row],[disposedAmount]]=TrafficData[[#This Row],[totalAmount]]</f>
        <v>1</v>
      </c>
      <c r="M3107" t="b">
        <f>TrafficData[[#This Row],[pendingCourt]]+TrafficData[[#This Row],[disposedCourt]]=TrafficData[[#This Row],[totalCourt]]</f>
        <v>1</v>
      </c>
      <c r="N3107" t="b">
        <f>AND(TrafficData[[#This Row],[disposedChallan]]&lt;=TrafficData[[#This Row],[totalChallan]],TrafficData[[#This Row],[pendingChallan]]&lt;=TrafficData[[#This Row],[totalChallan]])</f>
        <v>1</v>
      </c>
      <c r="O3107" t="b">
        <f>AND(TrafficData[[#This Row],[pendingAmount]]&lt;=TrafficData[[#This Row],[totalAmount]],TrafficData[[#This Row],[disposedAmount]]&lt;=TrafficData[[#This Row],[totalAmount]])</f>
        <v>1</v>
      </c>
      <c r="P3107" t="b">
        <f>AND(TrafficData[[#This Row],[pendingCourt]]&lt;=TrafficData[[#This Row],[totalCourt]],TrafficData[[#This Row],[disposedCourt]]&lt;=TrafficData[[#This Row],[totalCourt]])</f>
        <v>1</v>
      </c>
    </row>
    <row r="3108" spans="1:16">
      <c r="A3108" s="1">
        <v>45112</v>
      </c>
      <c r="B3108">
        <v>198487</v>
      </c>
      <c r="C3108">
        <v>78999</v>
      </c>
      <c r="D3108">
        <v>119488</v>
      </c>
      <c r="E3108">
        <v>203501253</v>
      </c>
      <c r="F3108">
        <v>127406482</v>
      </c>
      <c r="G3108">
        <v>330907735</v>
      </c>
      <c r="H3108">
        <v>66994</v>
      </c>
      <c r="I3108">
        <v>13359</v>
      </c>
      <c r="J3108">
        <v>80353</v>
      </c>
      <c r="K3108" t="b">
        <f>TrafficData[[#This Row],[disposedChallan]]+TrafficData[[#This Row],[pendingChallan]]=TrafficData[[#This Row],[totalChallan]]</f>
        <v>1</v>
      </c>
      <c r="L3108" t="b">
        <f>TrafficData[[#This Row],[pendingAmount]]+TrafficData[[#This Row],[disposedAmount]]=TrafficData[[#This Row],[totalAmount]]</f>
        <v>1</v>
      </c>
      <c r="M3108" t="b">
        <f>TrafficData[[#This Row],[pendingCourt]]+TrafficData[[#This Row],[disposedCourt]]=TrafficData[[#This Row],[totalCourt]]</f>
        <v>1</v>
      </c>
      <c r="N3108" t="b">
        <f>AND(TrafficData[[#This Row],[disposedChallan]]&lt;=TrafficData[[#This Row],[totalChallan]],TrafficData[[#This Row],[pendingChallan]]&lt;=TrafficData[[#This Row],[totalChallan]])</f>
        <v>1</v>
      </c>
      <c r="O3108" t="b">
        <f>AND(TrafficData[[#This Row],[pendingAmount]]&lt;=TrafficData[[#This Row],[totalAmount]],TrafficData[[#This Row],[disposedAmount]]&lt;=TrafficData[[#This Row],[totalAmount]])</f>
        <v>1</v>
      </c>
      <c r="P3108" t="b">
        <f>AND(TrafficData[[#This Row],[pendingCourt]]&lt;=TrafficData[[#This Row],[totalCourt]],TrafficData[[#This Row],[disposedCourt]]&lt;=TrafficData[[#This Row],[totalCourt]])</f>
        <v>1</v>
      </c>
    </row>
    <row r="3109" spans="1:16">
      <c r="A3109" s="1">
        <v>45113</v>
      </c>
      <c r="B3109">
        <v>203636</v>
      </c>
      <c r="C3109">
        <v>82388</v>
      </c>
      <c r="D3109">
        <v>121248</v>
      </c>
      <c r="E3109">
        <v>193361728</v>
      </c>
      <c r="F3109">
        <v>124099603</v>
      </c>
      <c r="G3109">
        <v>317461331</v>
      </c>
      <c r="H3109">
        <v>64581</v>
      </c>
      <c r="I3109">
        <v>12806</v>
      </c>
      <c r="J3109">
        <v>77387</v>
      </c>
      <c r="K3109" t="b">
        <f>TrafficData[[#This Row],[disposedChallan]]+TrafficData[[#This Row],[pendingChallan]]=TrafficData[[#This Row],[totalChallan]]</f>
        <v>1</v>
      </c>
      <c r="L3109" t="b">
        <f>TrafficData[[#This Row],[pendingAmount]]+TrafficData[[#This Row],[disposedAmount]]=TrafficData[[#This Row],[totalAmount]]</f>
        <v>1</v>
      </c>
      <c r="M3109" t="b">
        <f>TrafficData[[#This Row],[pendingCourt]]+TrafficData[[#This Row],[disposedCourt]]=TrafficData[[#This Row],[totalCourt]]</f>
        <v>1</v>
      </c>
      <c r="N3109" t="b">
        <f>AND(TrafficData[[#This Row],[disposedChallan]]&lt;=TrafficData[[#This Row],[totalChallan]],TrafficData[[#This Row],[pendingChallan]]&lt;=TrafficData[[#This Row],[totalChallan]])</f>
        <v>1</v>
      </c>
      <c r="O3109" t="b">
        <f>AND(TrafficData[[#This Row],[pendingAmount]]&lt;=TrafficData[[#This Row],[totalAmount]],TrafficData[[#This Row],[disposedAmount]]&lt;=TrafficData[[#This Row],[totalAmount]])</f>
        <v>1</v>
      </c>
      <c r="P3109" t="b">
        <f>AND(TrafficData[[#This Row],[pendingCourt]]&lt;=TrafficData[[#This Row],[totalCourt]],TrafficData[[#This Row],[disposedCourt]]&lt;=TrafficData[[#This Row],[totalCourt]])</f>
        <v>1</v>
      </c>
    </row>
    <row r="3110" spans="1:16">
      <c r="A3110" s="1">
        <v>45114</v>
      </c>
      <c r="B3110">
        <v>204212</v>
      </c>
      <c r="C3110">
        <v>82995</v>
      </c>
      <c r="D3110">
        <v>121217</v>
      </c>
      <c r="E3110">
        <v>191038553</v>
      </c>
      <c r="F3110">
        <v>122332048</v>
      </c>
      <c r="G3110">
        <v>313370601</v>
      </c>
      <c r="H3110">
        <v>65687</v>
      </c>
      <c r="I3110">
        <v>13146</v>
      </c>
      <c r="J3110">
        <v>78833</v>
      </c>
      <c r="K3110" t="b">
        <f>TrafficData[[#This Row],[disposedChallan]]+TrafficData[[#This Row],[pendingChallan]]=TrafficData[[#This Row],[totalChallan]]</f>
        <v>1</v>
      </c>
      <c r="L3110" t="b">
        <f>TrafficData[[#This Row],[pendingAmount]]+TrafficData[[#This Row],[disposedAmount]]=TrafficData[[#This Row],[totalAmount]]</f>
        <v>1</v>
      </c>
      <c r="M3110" t="b">
        <f>TrafficData[[#This Row],[pendingCourt]]+TrafficData[[#This Row],[disposedCourt]]=TrafficData[[#This Row],[totalCourt]]</f>
        <v>1</v>
      </c>
      <c r="N3110" t="b">
        <f>AND(TrafficData[[#This Row],[disposedChallan]]&lt;=TrafficData[[#This Row],[totalChallan]],TrafficData[[#This Row],[pendingChallan]]&lt;=TrafficData[[#This Row],[totalChallan]])</f>
        <v>1</v>
      </c>
      <c r="O3110" t="b">
        <f>AND(TrafficData[[#This Row],[pendingAmount]]&lt;=TrafficData[[#This Row],[totalAmount]],TrafficData[[#This Row],[disposedAmount]]&lt;=TrafficData[[#This Row],[totalAmount]])</f>
        <v>1</v>
      </c>
      <c r="P3110" t="b">
        <f>AND(TrafficData[[#This Row],[pendingCourt]]&lt;=TrafficData[[#This Row],[totalCourt]],TrafficData[[#This Row],[disposedCourt]]&lt;=TrafficData[[#This Row],[totalCourt]])</f>
        <v>1</v>
      </c>
    </row>
    <row r="3111" spans="1:16">
      <c r="A3111" s="1">
        <v>45115</v>
      </c>
      <c r="B3111">
        <v>177058</v>
      </c>
      <c r="C3111">
        <v>75665</v>
      </c>
      <c r="D3111">
        <v>101393</v>
      </c>
      <c r="E3111">
        <v>145936606</v>
      </c>
      <c r="F3111">
        <v>98250662</v>
      </c>
      <c r="G3111">
        <v>244187268</v>
      </c>
      <c r="H3111">
        <v>45131</v>
      </c>
      <c r="I3111">
        <v>9477</v>
      </c>
      <c r="J3111">
        <v>54608</v>
      </c>
      <c r="K3111" t="b">
        <f>TrafficData[[#This Row],[disposedChallan]]+TrafficData[[#This Row],[pendingChallan]]=TrafficData[[#This Row],[totalChallan]]</f>
        <v>1</v>
      </c>
      <c r="L3111" t="b">
        <f>TrafficData[[#This Row],[pendingAmount]]+TrafficData[[#This Row],[disposedAmount]]=TrafficData[[#This Row],[totalAmount]]</f>
        <v>1</v>
      </c>
      <c r="M3111" t="b">
        <f>TrafficData[[#This Row],[pendingCourt]]+TrafficData[[#This Row],[disposedCourt]]=TrafficData[[#This Row],[totalCourt]]</f>
        <v>1</v>
      </c>
      <c r="N3111" t="b">
        <f>AND(TrafficData[[#This Row],[disposedChallan]]&lt;=TrafficData[[#This Row],[totalChallan]],TrafficData[[#This Row],[pendingChallan]]&lt;=TrafficData[[#This Row],[totalChallan]])</f>
        <v>1</v>
      </c>
      <c r="O3111" t="b">
        <f>AND(TrafficData[[#This Row],[pendingAmount]]&lt;=TrafficData[[#This Row],[totalAmount]],TrafficData[[#This Row],[disposedAmount]]&lt;=TrafficData[[#This Row],[totalAmount]])</f>
        <v>1</v>
      </c>
      <c r="P3111" t="b">
        <f>AND(TrafficData[[#This Row],[pendingCourt]]&lt;=TrafficData[[#This Row],[totalCourt]],TrafficData[[#This Row],[disposedCourt]]&lt;=TrafficData[[#This Row],[totalCourt]])</f>
        <v>1</v>
      </c>
    </row>
    <row r="3112" spans="1:16">
      <c r="A3112" s="1">
        <v>45116</v>
      </c>
      <c r="B3112">
        <v>163389</v>
      </c>
      <c r="C3112">
        <v>69208</v>
      </c>
      <c r="D3112">
        <v>94181</v>
      </c>
      <c r="E3112">
        <v>121529076</v>
      </c>
      <c r="F3112">
        <v>75852985</v>
      </c>
      <c r="G3112">
        <v>197382061</v>
      </c>
      <c r="H3112">
        <v>41396</v>
      </c>
      <c r="I3112">
        <v>8340</v>
      </c>
      <c r="J3112">
        <v>49736</v>
      </c>
      <c r="K3112" t="b">
        <f>TrafficData[[#This Row],[disposedChallan]]+TrafficData[[#This Row],[pendingChallan]]=TrafficData[[#This Row],[totalChallan]]</f>
        <v>1</v>
      </c>
      <c r="L3112" t="b">
        <f>TrafficData[[#This Row],[pendingAmount]]+TrafficData[[#This Row],[disposedAmount]]=TrafficData[[#This Row],[totalAmount]]</f>
        <v>1</v>
      </c>
      <c r="M3112" t="b">
        <f>TrafficData[[#This Row],[pendingCourt]]+TrafficData[[#This Row],[disposedCourt]]=TrafficData[[#This Row],[totalCourt]]</f>
        <v>1</v>
      </c>
      <c r="N3112" t="b">
        <f>AND(TrafficData[[#This Row],[disposedChallan]]&lt;=TrafficData[[#This Row],[totalChallan]],TrafficData[[#This Row],[pendingChallan]]&lt;=TrafficData[[#This Row],[totalChallan]])</f>
        <v>1</v>
      </c>
      <c r="O3112" t="b">
        <f>AND(TrafficData[[#This Row],[pendingAmount]]&lt;=TrafficData[[#This Row],[totalAmount]],TrafficData[[#This Row],[disposedAmount]]&lt;=TrafficData[[#This Row],[totalAmount]])</f>
        <v>1</v>
      </c>
      <c r="P3112" t="b">
        <f>AND(TrafficData[[#This Row],[pendingCourt]]&lt;=TrafficData[[#This Row],[totalCourt]],TrafficData[[#This Row],[disposedCourt]]&lt;=TrafficData[[#This Row],[totalCourt]])</f>
        <v>1</v>
      </c>
    </row>
    <row r="3113" spans="1:16">
      <c r="A3113" s="1">
        <v>45117</v>
      </c>
      <c r="B3113">
        <v>197351</v>
      </c>
      <c r="C3113">
        <v>80490</v>
      </c>
      <c r="D3113">
        <v>116861</v>
      </c>
      <c r="E3113">
        <v>177777010</v>
      </c>
      <c r="F3113">
        <v>107630902</v>
      </c>
      <c r="G3113">
        <v>285407912</v>
      </c>
      <c r="H3113">
        <v>57302</v>
      </c>
      <c r="I3113">
        <v>10884</v>
      </c>
      <c r="J3113">
        <v>68186</v>
      </c>
      <c r="K3113" t="b">
        <f>TrafficData[[#This Row],[disposedChallan]]+TrafficData[[#This Row],[pendingChallan]]=TrafficData[[#This Row],[totalChallan]]</f>
        <v>1</v>
      </c>
      <c r="L3113" t="b">
        <f>TrafficData[[#This Row],[pendingAmount]]+TrafficData[[#This Row],[disposedAmount]]=TrafficData[[#This Row],[totalAmount]]</f>
        <v>1</v>
      </c>
      <c r="M3113" t="b">
        <f>TrafficData[[#This Row],[pendingCourt]]+TrafficData[[#This Row],[disposedCourt]]=TrafficData[[#This Row],[totalCourt]]</f>
        <v>1</v>
      </c>
      <c r="N3113" t="b">
        <f>AND(TrafficData[[#This Row],[disposedChallan]]&lt;=TrafficData[[#This Row],[totalChallan]],TrafficData[[#This Row],[pendingChallan]]&lt;=TrafficData[[#This Row],[totalChallan]])</f>
        <v>1</v>
      </c>
      <c r="O3113" t="b">
        <f>AND(TrafficData[[#This Row],[pendingAmount]]&lt;=TrafficData[[#This Row],[totalAmount]],TrafficData[[#This Row],[disposedAmount]]&lt;=TrafficData[[#This Row],[totalAmount]])</f>
        <v>1</v>
      </c>
      <c r="P3113" t="b">
        <f>AND(TrafficData[[#This Row],[pendingCourt]]&lt;=TrafficData[[#This Row],[totalCourt]],TrafficData[[#This Row],[disposedCourt]]&lt;=TrafficData[[#This Row],[totalCourt]])</f>
        <v>1</v>
      </c>
    </row>
    <row r="3114" spans="1:16">
      <c r="A3114" s="1">
        <v>45118</v>
      </c>
      <c r="B3114">
        <v>198858</v>
      </c>
      <c r="C3114">
        <v>80222</v>
      </c>
      <c r="D3114">
        <v>118636</v>
      </c>
      <c r="E3114">
        <v>190341778</v>
      </c>
      <c r="F3114">
        <v>119847275</v>
      </c>
      <c r="G3114">
        <v>310189053</v>
      </c>
      <c r="H3114">
        <v>58693</v>
      </c>
      <c r="I3114">
        <v>11055</v>
      </c>
      <c r="J3114">
        <v>69748</v>
      </c>
      <c r="K3114" t="b">
        <f>TrafficData[[#This Row],[disposedChallan]]+TrafficData[[#This Row],[pendingChallan]]=TrafficData[[#This Row],[totalChallan]]</f>
        <v>1</v>
      </c>
      <c r="L3114" t="b">
        <f>TrafficData[[#This Row],[pendingAmount]]+TrafficData[[#This Row],[disposedAmount]]=TrafficData[[#This Row],[totalAmount]]</f>
        <v>1</v>
      </c>
      <c r="M3114" t="b">
        <f>TrafficData[[#This Row],[pendingCourt]]+TrafficData[[#This Row],[disposedCourt]]=TrafficData[[#This Row],[totalCourt]]</f>
        <v>1</v>
      </c>
      <c r="N3114" t="b">
        <f>AND(TrafficData[[#This Row],[disposedChallan]]&lt;=TrafficData[[#This Row],[totalChallan]],TrafficData[[#This Row],[pendingChallan]]&lt;=TrafficData[[#This Row],[totalChallan]])</f>
        <v>1</v>
      </c>
      <c r="O3114" t="b">
        <f>AND(TrafficData[[#This Row],[pendingAmount]]&lt;=TrafficData[[#This Row],[totalAmount]],TrafficData[[#This Row],[disposedAmount]]&lt;=TrafficData[[#This Row],[totalAmount]])</f>
        <v>1</v>
      </c>
      <c r="P3114" t="b">
        <f>AND(TrafficData[[#This Row],[pendingCourt]]&lt;=TrafficData[[#This Row],[totalCourt]],TrafficData[[#This Row],[disposedCourt]]&lt;=TrafficData[[#This Row],[totalCourt]])</f>
        <v>1</v>
      </c>
    </row>
    <row r="3115" spans="1:16">
      <c r="A3115" s="1">
        <v>45119</v>
      </c>
      <c r="B3115">
        <v>206372</v>
      </c>
      <c r="C3115">
        <v>84918</v>
      </c>
      <c r="D3115">
        <v>121454</v>
      </c>
      <c r="E3115">
        <v>189224413</v>
      </c>
      <c r="F3115">
        <v>125670292</v>
      </c>
      <c r="G3115">
        <v>314894705</v>
      </c>
      <c r="H3115">
        <v>61208</v>
      </c>
      <c r="I3115">
        <v>11677</v>
      </c>
      <c r="J3115">
        <v>72885</v>
      </c>
      <c r="K3115" t="b">
        <f>TrafficData[[#This Row],[disposedChallan]]+TrafficData[[#This Row],[pendingChallan]]=TrafficData[[#This Row],[totalChallan]]</f>
        <v>1</v>
      </c>
      <c r="L3115" t="b">
        <f>TrafficData[[#This Row],[pendingAmount]]+TrafficData[[#This Row],[disposedAmount]]=TrafficData[[#This Row],[totalAmount]]</f>
        <v>1</v>
      </c>
      <c r="M3115" t="b">
        <f>TrafficData[[#This Row],[pendingCourt]]+TrafficData[[#This Row],[disposedCourt]]=TrafficData[[#This Row],[totalCourt]]</f>
        <v>1</v>
      </c>
      <c r="N3115" t="b">
        <f>AND(TrafficData[[#This Row],[disposedChallan]]&lt;=TrafficData[[#This Row],[totalChallan]],TrafficData[[#This Row],[pendingChallan]]&lt;=TrafficData[[#This Row],[totalChallan]])</f>
        <v>1</v>
      </c>
      <c r="O3115" t="b">
        <f>AND(TrafficData[[#This Row],[pendingAmount]]&lt;=TrafficData[[#This Row],[totalAmount]],TrafficData[[#This Row],[disposedAmount]]&lt;=TrafficData[[#This Row],[totalAmount]])</f>
        <v>1</v>
      </c>
      <c r="P3115" t="b">
        <f>AND(TrafficData[[#This Row],[pendingCourt]]&lt;=TrafficData[[#This Row],[totalCourt]],TrafficData[[#This Row],[disposedCourt]]&lt;=TrafficData[[#This Row],[totalCourt]])</f>
        <v>1</v>
      </c>
    </row>
    <row r="3116" spans="1:16">
      <c r="A3116" s="1">
        <v>45120</v>
      </c>
      <c r="B3116">
        <v>206148</v>
      </c>
      <c r="C3116">
        <v>84972</v>
      </c>
      <c r="D3116">
        <v>121176</v>
      </c>
      <c r="E3116">
        <v>177536870</v>
      </c>
      <c r="F3116">
        <v>123151429</v>
      </c>
      <c r="G3116">
        <v>300688299</v>
      </c>
      <c r="H3116">
        <v>57736</v>
      </c>
      <c r="I3116">
        <v>10964</v>
      </c>
      <c r="J3116">
        <v>68700</v>
      </c>
      <c r="K3116" t="b">
        <f>TrafficData[[#This Row],[disposedChallan]]+TrafficData[[#This Row],[pendingChallan]]=TrafficData[[#This Row],[totalChallan]]</f>
        <v>1</v>
      </c>
      <c r="L3116" t="b">
        <f>TrafficData[[#This Row],[pendingAmount]]+TrafficData[[#This Row],[disposedAmount]]=TrafficData[[#This Row],[totalAmount]]</f>
        <v>1</v>
      </c>
      <c r="M3116" t="b">
        <f>TrafficData[[#This Row],[pendingCourt]]+TrafficData[[#This Row],[disposedCourt]]=TrafficData[[#This Row],[totalCourt]]</f>
        <v>1</v>
      </c>
      <c r="N3116" t="b">
        <f>AND(TrafficData[[#This Row],[disposedChallan]]&lt;=TrafficData[[#This Row],[totalChallan]],TrafficData[[#This Row],[pendingChallan]]&lt;=TrafficData[[#This Row],[totalChallan]])</f>
        <v>1</v>
      </c>
      <c r="O3116" t="b">
        <f>AND(TrafficData[[#This Row],[pendingAmount]]&lt;=TrafficData[[#This Row],[totalAmount]],TrafficData[[#This Row],[disposedAmount]]&lt;=TrafficData[[#This Row],[totalAmount]])</f>
        <v>1</v>
      </c>
      <c r="P3116" t="b">
        <f>AND(TrafficData[[#This Row],[pendingCourt]]&lt;=TrafficData[[#This Row],[totalCourt]],TrafficData[[#This Row],[disposedCourt]]&lt;=TrafficData[[#This Row],[totalCourt]])</f>
        <v>1</v>
      </c>
    </row>
    <row r="3117" spans="1:16">
      <c r="A3117" s="1">
        <v>45121</v>
      </c>
      <c r="B3117">
        <v>201191</v>
      </c>
      <c r="C3117">
        <v>83853</v>
      </c>
      <c r="D3117">
        <v>117338</v>
      </c>
      <c r="E3117">
        <v>171351527</v>
      </c>
      <c r="F3117">
        <v>115279697</v>
      </c>
      <c r="G3117">
        <v>286631224</v>
      </c>
      <c r="H3117">
        <v>58127</v>
      </c>
      <c r="I3117">
        <v>11358</v>
      </c>
      <c r="J3117">
        <v>69485</v>
      </c>
      <c r="K3117" t="b">
        <f>TrafficData[[#This Row],[disposedChallan]]+TrafficData[[#This Row],[pendingChallan]]=TrafficData[[#This Row],[totalChallan]]</f>
        <v>1</v>
      </c>
      <c r="L3117" t="b">
        <f>TrafficData[[#This Row],[pendingAmount]]+TrafficData[[#This Row],[disposedAmount]]=TrafficData[[#This Row],[totalAmount]]</f>
        <v>1</v>
      </c>
      <c r="M3117" t="b">
        <f>TrafficData[[#This Row],[pendingCourt]]+TrafficData[[#This Row],[disposedCourt]]=TrafficData[[#This Row],[totalCourt]]</f>
        <v>1</v>
      </c>
      <c r="N3117" t="b">
        <f>AND(TrafficData[[#This Row],[disposedChallan]]&lt;=TrafficData[[#This Row],[totalChallan]],TrafficData[[#This Row],[pendingChallan]]&lt;=TrafficData[[#This Row],[totalChallan]])</f>
        <v>1</v>
      </c>
      <c r="O3117" t="b">
        <f>AND(TrafficData[[#This Row],[pendingAmount]]&lt;=TrafficData[[#This Row],[totalAmount]],TrafficData[[#This Row],[disposedAmount]]&lt;=TrafficData[[#This Row],[totalAmount]])</f>
        <v>1</v>
      </c>
      <c r="P3117" t="b">
        <f>AND(TrafficData[[#This Row],[pendingCourt]]&lt;=TrafficData[[#This Row],[totalCourt]],TrafficData[[#This Row],[disposedCourt]]&lt;=TrafficData[[#This Row],[totalCourt]])</f>
        <v>1</v>
      </c>
    </row>
    <row r="3118" spans="1:16">
      <c r="A3118" s="1">
        <v>45122</v>
      </c>
      <c r="B3118">
        <v>191755</v>
      </c>
      <c r="C3118">
        <v>81748</v>
      </c>
      <c r="D3118">
        <v>110007</v>
      </c>
      <c r="E3118">
        <v>162454162</v>
      </c>
      <c r="F3118">
        <v>106601283</v>
      </c>
      <c r="G3118">
        <v>269055445</v>
      </c>
      <c r="H3118">
        <v>52455</v>
      </c>
      <c r="I3118">
        <v>10605</v>
      </c>
      <c r="J3118">
        <v>63060</v>
      </c>
      <c r="K3118" t="b">
        <f>TrafficData[[#This Row],[disposedChallan]]+TrafficData[[#This Row],[pendingChallan]]=TrafficData[[#This Row],[totalChallan]]</f>
        <v>1</v>
      </c>
      <c r="L3118" t="b">
        <f>TrafficData[[#This Row],[pendingAmount]]+TrafficData[[#This Row],[disposedAmount]]=TrafficData[[#This Row],[totalAmount]]</f>
        <v>1</v>
      </c>
      <c r="M3118" t="b">
        <f>TrafficData[[#This Row],[pendingCourt]]+TrafficData[[#This Row],[disposedCourt]]=TrafficData[[#This Row],[totalCourt]]</f>
        <v>1</v>
      </c>
      <c r="N3118" t="b">
        <f>AND(TrafficData[[#This Row],[disposedChallan]]&lt;=TrafficData[[#This Row],[totalChallan]],TrafficData[[#This Row],[pendingChallan]]&lt;=TrafficData[[#This Row],[totalChallan]])</f>
        <v>1</v>
      </c>
      <c r="O3118" t="b">
        <f>AND(TrafficData[[#This Row],[pendingAmount]]&lt;=TrafficData[[#This Row],[totalAmount]],TrafficData[[#This Row],[disposedAmount]]&lt;=TrafficData[[#This Row],[totalAmount]])</f>
        <v>1</v>
      </c>
      <c r="P3118" t="b">
        <f>AND(TrafficData[[#This Row],[pendingCourt]]&lt;=TrafficData[[#This Row],[totalCourt]],TrafficData[[#This Row],[disposedCourt]]&lt;=TrafficData[[#This Row],[totalCourt]])</f>
        <v>1</v>
      </c>
    </row>
    <row r="3119" spans="1:16">
      <c r="A3119" s="1">
        <v>45123</v>
      </c>
      <c r="B3119">
        <v>184222</v>
      </c>
      <c r="C3119">
        <v>75843</v>
      </c>
      <c r="D3119">
        <v>108379</v>
      </c>
      <c r="E3119">
        <v>148786176</v>
      </c>
      <c r="F3119">
        <v>84637321</v>
      </c>
      <c r="G3119">
        <v>233423497</v>
      </c>
      <c r="H3119">
        <v>52041</v>
      </c>
      <c r="I3119">
        <v>10412</v>
      </c>
      <c r="J3119">
        <v>62453</v>
      </c>
      <c r="K3119" t="b">
        <f>TrafficData[[#This Row],[disposedChallan]]+TrafficData[[#This Row],[pendingChallan]]=TrafficData[[#This Row],[totalChallan]]</f>
        <v>1</v>
      </c>
      <c r="L3119" t="b">
        <f>TrafficData[[#This Row],[pendingAmount]]+TrafficData[[#This Row],[disposedAmount]]=TrafficData[[#This Row],[totalAmount]]</f>
        <v>1</v>
      </c>
      <c r="M3119" t="b">
        <f>TrafficData[[#This Row],[pendingCourt]]+TrafficData[[#This Row],[disposedCourt]]=TrafficData[[#This Row],[totalCourt]]</f>
        <v>1</v>
      </c>
      <c r="N3119" t="b">
        <f>AND(TrafficData[[#This Row],[disposedChallan]]&lt;=TrafficData[[#This Row],[totalChallan]],TrafficData[[#This Row],[pendingChallan]]&lt;=TrafficData[[#This Row],[totalChallan]])</f>
        <v>1</v>
      </c>
      <c r="O3119" t="b">
        <f>AND(TrafficData[[#This Row],[pendingAmount]]&lt;=TrafficData[[#This Row],[totalAmount]],TrafficData[[#This Row],[disposedAmount]]&lt;=TrafficData[[#This Row],[totalAmount]])</f>
        <v>1</v>
      </c>
      <c r="P3119" t="b">
        <f>AND(TrafficData[[#This Row],[pendingCourt]]&lt;=TrafficData[[#This Row],[totalCourt]],TrafficData[[#This Row],[disposedCourt]]&lt;=TrafficData[[#This Row],[totalCourt]])</f>
        <v>1</v>
      </c>
    </row>
    <row r="3120" spans="1:16">
      <c r="A3120" s="1">
        <v>45124</v>
      </c>
      <c r="B3120">
        <v>205244</v>
      </c>
      <c r="C3120">
        <v>83037</v>
      </c>
      <c r="D3120">
        <v>122207</v>
      </c>
      <c r="E3120">
        <v>184329066</v>
      </c>
      <c r="F3120">
        <v>106250552</v>
      </c>
      <c r="G3120">
        <v>290579618</v>
      </c>
      <c r="H3120">
        <v>63682</v>
      </c>
      <c r="I3120">
        <v>12495</v>
      </c>
      <c r="J3120">
        <v>76177</v>
      </c>
      <c r="K3120" t="b">
        <f>TrafficData[[#This Row],[disposedChallan]]+TrafficData[[#This Row],[pendingChallan]]=TrafficData[[#This Row],[totalChallan]]</f>
        <v>1</v>
      </c>
      <c r="L3120" t="b">
        <f>TrafficData[[#This Row],[pendingAmount]]+TrafficData[[#This Row],[disposedAmount]]=TrafficData[[#This Row],[totalAmount]]</f>
        <v>1</v>
      </c>
      <c r="M3120" t="b">
        <f>TrafficData[[#This Row],[pendingCourt]]+TrafficData[[#This Row],[disposedCourt]]=TrafficData[[#This Row],[totalCourt]]</f>
        <v>1</v>
      </c>
      <c r="N3120" t="b">
        <f>AND(TrafficData[[#This Row],[disposedChallan]]&lt;=TrafficData[[#This Row],[totalChallan]],TrafficData[[#This Row],[pendingChallan]]&lt;=TrafficData[[#This Row],[totalChallan]])</f>
        <v>1</v>
      </c>
      <c r="O3120" t="b">
        <f>AND(TrafficData[[#This Row],[pendingAmount]]&lt;=TrafficData[[#This Row],[totalAmount]],TrafficData[[#This Row],[disposedAmount]]&lt;=TrafficData[[#This Row],[totalAmount]])</f>
        <v>1</v>
      </c>
      <c r="P3120" t="b">
        <f>AND(TrafficData[[#This Row],[pendingCourt]]&lt;=TrafficData[[#This Row],[totalCourt]],TrafficData[[#This Row],[disposedCourt]]&lt;=TrafficData[[#This Row],[totalCourt]])</f>
        <v>1</v>
      </c>
    </row>
    <row r="3121" spans="1:16">
      <c r="A3121" s="1">
        <v>45125</v>
      </c>
      <c r="B3121">
        <v>199442</v>
      </c>
      <c r="C3121">
        <v>79633</v>
      </c>
      <c r="D3121">
        <v>119809</v>
      </c>
      <c r="E3121">
        <v>187510565</v>
      </c>
      <c r="F3121">
        <v>115745525</v>
      </c>
      <c r="G3121">
        <v>303256090</v>
      </c>
      <c r="H3121">
        <v>64966</v>
      </c>
      <c r="I3121">
        <v>12444</v>
      </c>
      <c r="J3121">
        <v>77410</v>
      </c>
      <c r="K3121" t="b">
        <f>TrafficData[[#This Row],[disposedChallan]]+TrafficData[[#This Row],[pendingChallan]]=TrafficData[[#This Row],[totalChallan]]</f>
        <v>1</v>
      </c>
      <c r="L3121" t="b">
        <f>TrafficData[[#This Row],[pendingAmount]]+TrafficData[[#This Row],[disposedAmount]]=TrafficData[[#This Row],[totalAmount]]</f>
        <v>1</v>
      </c>
      <c r="M3121" t="b">
        <f>TrafficData[[#This Row],[pendingCourt]]+TrafficData[[#This Row],[disposedCourt]]=TrafficData[[#This Row],[totalCourt]]</f>
        <v>1</v>
      </c>
      <c r="N3121" t="b">
        <f>AND(TrafficData[[#This Row],[disposedChallan]]&lt;=TrafficData[[#This Row],[totalChallan]],TrafficData[[#This Row],[pendingChallan]]&lt;=TrafficData[[#This Row],[totalChallan]])</f>
        <v>1</v>
      </c>
      <c r="O3121" t="b">
        <f>AND(TrafficData[[#This Row],[pendingAmount]]&lt;=TrafficData[[#This Row],[totalAmount]],TrafficData[[#This Row],[disposedAmount]]&lt;=TrafficData[[#This Row],[totalAmount]])</f>
        <v>1</v>
      </c>
      <c r="P3121" t="b">
        <f>AND(TrafficData[[#This Row],[pendingCourt]]&lt;=TrafficData[[#This Row],[totalCourt]],TrafficData[[#This Row],[disposedCourt]]&lt;=TrafficData[[#This Row],[totalCourt]])</f>
        <v>1</v>
      </c>
    </row>
    <row r="3122" spans="1:16">
      <c r="A3122" s="1">
        <v>45126</v>
      </c>
      <c r="B3122">
        <v>224761</v>
      </c>
      <c r="C3122">
        <v>87206</v>
      </c>
      <c r="D3122">
        <v>137555</v>
      </c>
      <c r="E3122">
        <v>220326602</v>
      </c>
      <c r="F3122">
        <v>127977050</v>
      </c>
      <c r="G3122">
        <v>348303652</v>
      </c>
      <c r="H3122">
        <v>77136</v>
      </c>
      <c r="I3122">
        <v>14618</v>
      </c>
      <c r="J3122">
        <v>91754</v>
      </c>
      <c r="K3122" t="b">
        <f>TrafficData[[#This Row],[disposedChallan]]+TrafficData[[#This Row],[pendingChallan]]=TrafficData[[#This Row],[totalChallan]]</f>
        <v>1</v>
      </c>
      <c r="L3122" t="b">
        <f>TrafficData[[#This Row],[pendingAmount]]+TrafficData[[#This Row],[disposedAmount]]=TrafficData[[#This Row],[totalAmount]]</f>
        <v>1</v>
      </c>
      <c r="M3122" t="b">
        <f>TrafficData[[#This Row],[pendingCourt]]+TrafficData[[#This Row],[disposedCourt]]=TrafficData[[#This Row],[totalCourt]]</f>
        <v>1</v>
      </c>
      <c r="N3122" t="b">
        <f>AND(TrafficData[[#This Row],[disposedChallan]]&lt;=TrafficData[[#This Row],[totalChallan]],TrafficData[[#This Row],[pendingChallan]]&lt;=TrafficData[[#This Row],[totalChallan]])</f>
        <v>1</v>
      </c>
      <c r="O3122" t="b">
        <f>AND(TrafficData[[#This Row],[pendingAmount]]&lt;=TrafficData[[#This Row],[totalAmount]],TrafficData[[#This Row],[disposedAmount]]&lt;=TrafficData[[#This Row],[totalAmount]])</f>
        <v>1</v>
      </c>
      <c r="P3122" t="b">
        <f>AND(TrafficData[[#This Row],[pendingCourt]]&lt;=TrafficData[[#This Row],[totalCourt]],TrafficData[[#This Row],[disposedCourt]]&lt;=TrafficData[[#This Row],[totalCourt]])</f>
        <v>1</v>
      </c>
    </row>
    <row r="3123" spans="1:16">
      <c r="A3123" s="1">
        <v>45127</v>
      </c>
      <c r="B3123">
        <v>227717</v>
      </c>
      <c r="C3123">
        <v>88920</v>
      </c>
      <c r="D3123">
        <v>138797</v>
      </c>
      <c r="E3123">
        <v>215131666</v>
      </c>
      <c r="F3123">
        <v>137588319</v>
      </c>
      <c r="G3123">
        <v>352719985</v>
      </c>
      <c r="H3123">
        <v>74596</v>
      </c>
      <c r="I3123">
        <v>14268</v>
      </c>
      <c r="J3123">
        <v>88864</v>
      </c>
      <c r="K3123" t="b">
        <f>TrafficData[[#This Row],[disposedChallan]]+TrafficData[[#This Row],[pendingChallan]]=TrafficData[[#This Row],[totalChallan]]</f>
        <v>1</v>
      </c>
      <c r="L3123" t="b">
        <f>TrafficData[[#This Row],[pendingAmount]]+TrafficData[[#This Row],[disposedAmount]]=TrafficData[[#This Row],[totalAmount]]</f>
        <v>1</v>
      </c>
      <c r="M3123" t="b">
        <f>TrafficData[[#This Row],[pendingCourt]]+TrafficData[[#This Row],[disposedCourt]]=TrafficData[[#This Row],[totalCourt]]</f>
        <v>1</v>
      </c>
      <c r="N3123" t="b">
        <f>AND(TrafficData[[#This Row],[disposedChallan]]&lt;=TrafficData[[#This Row],[totalChallan]],TrafficData[[#This Row],[pendingChallan]]&lt;=TrafficData[[#This Row],[totalChallan]])</f>
        <v>1</v>
      </c>
      <c r="O3123" t="b">
        <f>AND(TrafficData[[#This Row],[pendingAmount]]&lt;=TrafficData[[#This Row],[totalAmount]],TrafficData[[#This Row],[disposedAmount]]&lt;=TrafficData[[#This Row],[totalAmount]])</f>
        <v>1</v>
      </c>
      <c r="P3123" t="b">
        <f>AND(TrafficData[[#This Row],[pendingCourt]]&lt;=TrafficData[[#This Row],[totalCourt]],TrafficData[[#This Row],[disposedCourt]]&lt;=TrafficData[[#This Row],[totalCourt]])</f>
        <v>1</v>
      </c>
    </row>
    <row r="3124" spans="1:16">
      <c r="A3124" s="1">
        <v>45128</v>
      </c>
      <c r="B3124">
        <v>219343</v>
      </c>
      <c r="C3124">
        <v>86649</v>
      </c>
      <c r="D3124">
        <v>132694</v>
      </c>
      <c r="E3124">
        <v>208547912</v>
      </c>
      <c r="F3124">
        <v>131500438</v>
      </c>
      <c r="G3124">
        <v>340048350</v>
      </c>
      <c r="H3124">
        <v>74362</v>
      </c>
      <c r="I3124">
        <v>14234</v>
      </c>
      <c r="J3124">
        <v>88596</v>
      </c>
      <c r="K3124" t="b">
        <f>TrafficData[[#This Row],[disposedChallan]]+TrafficData[[#This Row],[pendingChallan]]=TrafficData[[#This Row],[totalChallan]]</f>
        <v>1</v>
      </c>
      <c r="L3124" t="b">
        <f>TrafficData[[#This Row],[pendingAmount]]+TrafficData[[#This Row],[disposedAmount]]=TrafficData[[#This Row],[totalAmount]]</f>
        <v>1</v>
      </c>
      <c r="M3124" t="b">
        <f>TrafficData[[#This Row],[pendingCourt]]+TrafficData[[#This Row],[disposedCourt]]=TrafficData[[#This Row],[totalCourt]]</f>
        <v>1</v>
      </c>
      <c r="N3124" t="b">
        <f>AND(TrafficData[[#This Row],[disposedChallan]]&lt;=TrafficData[[#This Row],[totalChallan]],TrafficData[[#This Row],[pendingChallan]]&lt;=TrafficData[[#This Row],[totalChallan]])</f>
        <v>1</v>
      </c>
      <c r="O3124" t="b">
        <f>AND(TrafficData[[#This Row],[pendingAmount]]&lt;=TrafficData[[#This Row],[totalAmount]],TrafficData[[#This Row],[disposedAmount]]&lt;=TrafficData[[#This Row],[totalAmount]])</f>
        <v>1</v>
      </c>
      <c r="P3124" t="b">
        <f>AND(TrafficData[[#This Row],[pendingCourt]]&lt;=TrafficData[[#This Row],[totalCourt]],TrafficData[[#This Row],[disposedCourt]]&lt;=TrafficData[[#This Row],[totalCourt]])</f>
        <v>1</v>
      </c>
    </row>
    <row r="3125" spans="1:16">
      <c r="A3125" s="1">
        <v>45129</v>
      </c>
      <c r="B3125">
        <v>217462</v>
      </c>
      <c r="C3125">
        <v>85105</v>
      </c>
      <c r="D3125">
        <v>132357</v>
      </c>
      <c r="E3125">
        <v>202246016</v>
      </c>
      <c r="F3125">
        <v>110045497</v>
      </c>
      <c r="G3125">
        <v>312291513</v>
      </c>
      <c r="H3125">
        <v>73178</v>
      </c>
      <c r="I3125">
        <v>14466</v>
      </c>
      <c r="J3125">
        <v>87644</v>
      </c>
      <c r="K3125" t="b">
        <f>TrafficData[[#This Row],[disposedChallan]]+TrafficData[[#This Row],[pendingChallan]]=TrafficData[[#This Row],[totalChallan]]</f>
        <v>1</v>
      </c>
      <c r="L3125" t="b">
        <f>TrafficData[[#This Row],[pendingAmount]]+TrafficData[[#This Row],[disposedAmount]]=TrafficData[[#This Row],[totalAmount]]</f>
        <v>1</v>
      </c>
      <c r="M3125" t="b">
        <f>TrafficData[[#This Row],[pendingCourt]]+TrafficData[[#This Row],[disposedCourt]]=TrafficData[[#This Row],[totalCourt]]</f>
        <v>1</v>
      </c>
      <c r="N3125" t="b">
        <f>AND(TrafficData[[#This Row],[disposedChallan]]&lt;=TrafficData[[#This Row],[totalChallan]],TrafficData[[#This Row],[pendingChallan]]&lt;=TrafficData[[#This Row],[totalChallan]])</f>
        <v>1</v>
      </c>
      <c r="O3125" t="b">
        <f>AND(TrafficData[[#This Row],[pendingAmount]]&lt;=TrafficData[[#This Row],[totalAmount]],TrafficData[[#This Row],[disposedAmount]]&lt;=TrafficData[[#This Row],[totalAmount]])</f>
        <v>1</v>
      </c>
      <c r="P3125" t="b">
        <f>AND(TrafficData[[#This Row],[pendingCourt]]&lt;=TrafficData[[#This Row],[totalCourt]],TrafficData[[#This Row],[disposedCourt]]&lt;=TrafficData[[#This Row],[totalCourt]])</f>
        <v>1</v>
      </c>
    </row>
    <row r="3126" spans="1:16">
      <c r="A3126" s="1">
        <v>45130</v>
      </c>
      <c r="B3126">
        <v>188643</v>
      </c>
      <c r="C3126">
        <v>72179</v>
      </c>
      <c r="D3126">
        <v>116464</v>
      </c>
      <c r="E3126">
        <v>175365147</v>
      </c>
      <c r="F3126">
        <v>86860836</v>
      </c>
      <c r="G3126">
        <v>262225983</v>
      </c>
      <c r="H3126">
        <v>65699</v>
      </c>
      <c r="I3126">
        <v>13013</v>
      </c>
      <c r="J3126">
        <v>78712</v>
      </c>
      <c r="K3126" t="b">
        <f>TrafficData[[#This Row],[disposedChallan]]+TrafficData[[#This Row],[pendingChallan]]=TrafficData[[#This Row],[totalChallan]]</f>
        <v>1</v>
      </c>
      <c r="L3126" t="b">
        <f>TrafficData[[#This Row],[pendingAmount]]+TrafficData[[#This Row],[disposedAmount]]=TrafficData[[#This Row],[totalAmount]]</f>
        <v>1</v>
      </c>
      <c r="M3126" t="b">
        <f>TrafficData[[#This Row],[pendingCourt]]+TrafficData[[#This Row],[disposedCourt]]=TrafficData[[#This Row],[totalCourt]]</f>
        <v>1</v>
      </c>
      <c r="N3126" t="b">
        <f>AND(TrafficData[[#This Row],[disposedChallan]]&lt;=TrafficData[[#This Row],[totalChallan]],TrafficData[[#This Row],[pendingChallan]]&lt;=TrafficData[[#This Row],[totalChallan]])</f>
        <v>1</v>
      </c>
      <c r="O3126" t="b">
        <f>AND(TrafficData[[#This Row],[pendingAmount]]&lt;=TrafficData[[#This Row],[totalAmount]],TrafficData[[#This Row],[disposedAmount]]&lt;=TrafficData[[#This Row],[totalAmount]])</f>
        <v>1</v>
      </c>
      <c r="P3126" t="b">
        <f>AND(TrafficData[[#This Row],[pendingCourt]]&lt;=TrafficData[[#This Row],[totalCourt]],TrafficData[[#This Row],[disposedCourt]]&lt;=TrafficData[[#This Row],[totalCourt]])</f>
        <v>1</v>
      </c>
    </row>
    <row r="3127" spans="1:16">
      <c r="A3127" s="1">
        <v>45131</v>
      </c>
      <c r="B3127">
        <v>200582</v>
      </c>
      <c r="C3127">
        <v>77775</v>
      </c>
      <c r="D3127">
        <v>122807</v>
      </c>
      <c r="E3127">
        <v>197651563</v>
      </c>
      <c r="F3127">
        <v>108361613</v>
      </c>
      <c r="G3127">
        <v>306013176</v>
      </c>
      <c r="H3127">
        <v>70908</v>
      </c>
      <c r="I3127">
        <v>14052</v>
      </c>
      <c r="J3127">
        <v>84960</v>
      </c>
      <c r="K3127" t="b">
        <f>TrafficData[[#This Row],[disposedChallan]]+TrafficData[[#This Row],[pendingChallan]]=TrafficData[[#This Row],[totalChallan]]</f>
        <v>1</v>
      </c>
      <c r="L3127" t="b">
        <f>TrafficData[[#This Row],[pendingAmount]]+TrafficData[[#This Row],[disposedAmount]]=TrafficData[[#This Row],[totalAmount]]</f>
        <v>1</v>
      </c>
      <c r="M3127" t="b">
        <f>TrafficData[[#This Row],[pendingCourt]]+TrafficData[[#This Row],[disposedCourt]]=TrafficData[[#This Row],[totalCourt]]</f>
        <v>1</v>
      </c>
      <c r="N3127" t="b">
        <f>AND(TrafficData[[#This Row],[disposedChallan]]&lt;=TrafficData[[#This Row],[totalChallan]],TrafficData[[#This Row],[pendingChallan]]&lt;=TrafficData[[#This Row],[totalChallan]])</f>
        <v>1</v>
      </c>
      <c r="O3127" t="b">
        <f>AND(TrafficData[[#This Row],[pendingAmount]]&lt;=TrafficData[[#This Row],[totalAmount]],TrafficData[[#This Row],[disposedAmount]]&lt;=TrafficData[[#This Row],[totalAmount]])</f>
        <v>1</v>
      </c>
      <c r="P3127" t="b">
        <f>AND(TrafficData[[#This Row],[pendingCourt]]&lt;=TrafficData[[#This Row],[totalCourt]],TrafficData[[#This Row],[disposedCourt]]&lt;=TrafficData[[#This Row],[totalCourt]])</f>
        <v>1</v>
      </c>
    </row>
    <row r="3128" spans="1:16">
      <c r="A3128" s="1">
        <v>45132</v>
      </c>
      <c r="B3128">
        <v>199535</v>
      </c>
      <c r="C3128">
        <v>77926</v>
      </c>
      <c r="D3128">
        <v>121609</v>
      </c>
      <c r="E3128">
        <v>202357879</v>
      </c>
      <c r="F3128">
        <v>124750549</v>
      </c>
      <c r="G3128">
        <v>327108428</v>
      </c>
      <c r="H3128">
        <v>71342</v>
      </c>
      <c r="I3128">
        <v>13923</v>
      </c>
      <c r="J3128">
        <v>85265</v>
      </c>
      <c r="K3128" t="b">
        <f>TrafficData[[#This Row],[disposedChallan]]+TrafficData[[#This Row],[pendingChallan]]=TrafficData[[#This Row],[totalChallan]]</f>
        <v>1</v>
      </c>
      <c r="L3128" t="b">
        <f>TrafficData[[#This Row],[pendingAmount]]+TrafficData[[#This Row],[disposedAmount]]=TrafficData[[#This Row],[totalAmount]]</f>
        <v>1</v>
      </c>
      <c r="M3128" t="b">
        <f>TrafficData[[#This Row],[pendingCourt]]+TrafficData[[#This Row],[disposedCourt]]=TrafficData[[#This Row],[totalCourt]]</f>
        <v>1</v>
      </c>
      <c r="N3128" t="b">
        <f>AND(TrafficData[[#This Row],[disposedChallan]]&lt;=TrafficData[[#This Row],[totalChallan]],TrafficData[[#This Row],[pendingChallan]]&lt;=TrafficData[[#This Row],[totalChallan]])</f>
        <v>1</v>
      </c>
      <c r="O3128" t="b">
        <f>AND(TrafficData[[#This Row],[pendingAmount]]&lt;=TrafficData[[#This Row],[totalAmount]],TrafficData[[#This Row],[disposedAmount]]&lt;=TrafficData[[#This Row],[totalAmount]])</f>
        <v>1</v>
      </c>
      <c r="P3128" t="b">
        <f>AND(TrafficData[[#This Row],[pendingCourt]]&lt;=TrafficData[[#This Row],[totalCourt]],TrafficData[[#This Row],[disposedCourt]]&lt;=TrafficData[[#This Row],[totalCourt]])</f>
        <v>1</v>
      </c>
    </row>
    <row r="3129" spans="1:16">
      <c r="A3129" s="1">
        <v>45133</v>
      </c>
      <c r="B3129">
        <v>196459</v>
      </c>
      <c r="C3129">
        <v>80439</v>
      </c>
      <c r="D3129">
        <v>116020</v>
      </c>
      <c r="E3129">
        <v>189820948</v>
      </c>
      <c r="F3129">
        <v>121131457</v>
      </c>
      <c r="G3129">
        <v>310952405</v>
      </c>
      <c r="H3129">
        <v>63320</v>
      </c>
      <c r="I3129">
        <v>12966</v>
      </c>
      <c r="J3129">
        <v>76286</v>
      </c>
      <c r="K3129" t="b">
        <f>TrafficData[[#This Row],[disposedChallan]]+TrafficData[[#This Row],[pendingChallan]]=TrafficData[[#This Row],[totalChallan]]</f>
        <v>1</v>
      </c>
      <c r="L3129" t="b">
        <f>TrafficData[[#This Row],[pendingAmount]]+TrafficData[[#This Row],[disposedAmount]]=TrafficData[[#This Row],[totalAmount]]</f>
        <v>1</v>
      </c>
      <c r="M3129" t="b">
        <f>TrafficData[[#This Row],[pendingCourt]]+TrafficData[[#This Row],[disposedCourt]]=TrafficData[[#This Row],[totalCourt]]</f>
        <v>1</v>
      </c>
      <c r="N3129" t="b">
        <f>AND(TrafficData[[#This Row],[disposedChallan]]&lt;=TrafficData[[#This Row],[totalChallan]],TrafficData[[#This Row],[pendingChallan]]&lt;=TrafficData[[#This Row],[totalChallan]])</f>
        <v>1</v>
      </c>
      <c r="O3129" t="b">
        <f>AND(TrafficData[[#This Row],[pendingAmount]]&lt;=TrafficData[[#This Row],[totalAmount]],TrafficData[[#This Row],[disposedAmount]]&lt;=TrafficData[[#This Row],[totalAmount]])</f>
        <v>1</v>
      </c>
      <c r="P3129" t="b">
        <f>AND(TrafficData[[#This Row],[pendingCourt]]&lt;=TrafficData[[#This Row],[totalCourt]],TrafficData[[#This Row],[disposedCourt]]&lt;=TrafficData[[#This Row],[totalCourt]])</f>
        <v>1</v>
      </c>
    </row>
    <row r="3130" spans="1:16">
      <c r="A3130" s="1">
        <v>45134</v>
      </c>
      <c r="B3130">
        <v>203421</v>
      </c>
      <c r="C3130">
        <v>82264</v>
      </c>
      <c r="D3130">
        <v>121157</v>
      </c>
      <c r="E3130">
        <v>197919769</v>
      </c>
      <c r="F3130">
        <v>120423754</v>
      </c>
      <c r="G3130">
        <v>318343523</v>
      </c>
      <c r="H3130">
        <v>68551</v>
      </c>
      <c r="I3130">
        <v>13248</v>
      </c>
      <c r="J3130">
        <v>81799</v>
      </c>
      <c r="K3130" t="b">
        <f>TrafficData[[#This Row],[disposedChallan]]+TrafficData[[#This Row],[pendingChallan]]=TrafficData[[#This Row],[totalChallan]]</f>
        <v>1</v>
      </c>
      <c r="L3130" t="b">
        <f>TrafficData[[#This Row],[pendingAmount]]+TrafficData[[#This Row],[disposedAmount]]=TrafficData[[#This Row],[totalAmount]]</f>
        <v>1</v>
      </c>
      <c r="M3130" t="b">
        <f>TrafficData[[#This Row],[pendingCourt]]+TrafficData[[#This Row],[disposedCourt]]=TrafficData[[#This Row],[totalCourt]]</f>
        <v>1</v>
      </c>
      <c r="N3130" t="b">
        <f>AND(TrafficData[[#This Row],[disposedChallan]]&lt;=TrafficData[[#This Row],[totalChallan]],TrafficData[[#This Row],[pendingChallan]]&lt;=TrafficData[[#This Row],[totalChallan]])</f>
        <v>1</v>
      </c>
      <c r="O3130" t="b">
        <f>AND(TrafficData[[#This Row],[pendingAmount]]&lt;=TrafficData[[#This Row],[totalAmount]],TrafficData[[#This Row],[disposedAmount]]&lt;=TrafficData[[#This Row],[totalAmount]])</f>
        <v>1</v>
      </c>
      <c r="P3130" t="b">
        <f>AND(TrafficData[[#This Row],[pendingCourt]]&lt;=TrafficData[[#This Row],[totalCourt]],TrafficData[[#This Row],[disposedCourt]]&lt;=TrafficData[[#This Row],[totalCourt]])</f>
        <v>1</v>
      </c>
    </row>
    <row r="3131" spans="1:16">
      <c r="A3131" s="1">
        <v>45135</v>
      </c>
      <c r="B3131">
        <v>195338</v>
      </c>
      <c r="C3131">
        <v>77283</v>
      </c>
      <c r="D3131">
        <v>118055</v>
      </c>
      <c r="E3131">
        <v>175641117</v>
      </c>
      <c r="F3131">
        <v>107158059</v>
      </c>
      <c r="G3131">
        <v>282799176</v>
      </c>
      <c r="H3131">
        <v>64951</v>
      </c>
      <c r="I3131">
        <v>12523</v>
      </c>
      <c r="J3131">
        <v>77474</v>
      </c>
      <c r="K3131" t="b">
        <f>TrafficData[[#This Row],[disposedChallan]]+TrafficData[[#This Row],[pendingChallan]]=TrafficData[[#This Row],[totalChallan]]</f>
        <v>1</v>
      </c>
      <c r="L3131" t="b">
        <f>TrafficData[[#This Row],[pendingAmount]]+TrafficData[[#This Row],[disposedAmount]]=TrafficData[[#This Row],[totalAmount]]</f>
        <v>1</v>
      </c>
      <c r="M3131" t="b">
        <f>TrafficData[[#This Row],[pendingCourt]]+TrafficData[[#This Row],[disposedCourt]]=TrafficData[[#This Row],[totalCourt]]</f>
        <v>1</v>
      </c>
      <c r="N3131" t="b">
        <f>AND(TrafficData[[#This Row],[disposedChallan]]&lt;=TrafficData[[#This Row],[totalChallan]],TrafficData[[#This Row],[pendingChallan]]&lt;=TrafficData[[#This Row],[totalChallan]])</f>
        <v>1</v>
      </c>
      <c r="O3131" t="b">
        <f>AND(TrafficData[[#This Row],[pendingAmount]]&lt;=TrafficData[[#This Row],[totalAmount]],TrafficData[[#This Row],[disposedAmount]]&lt;=TrafficData[[#This Row],[totalAmount]])</f>
        <v>1</v>
      </c>
      <c r="P3131" t="b">
        <f>AND(TrafficData[[#This Row],[pendingCourt]]&lt;=TrafficData[[#This Row],[totalCourt]],TrafficData[[#This Row],[disposedCourt]]&lt;=TrafficData[[#This Row],[totalCourt]])</f>
        <v>1</v>
      </c>
    </row>
    <row r="3132" spans="1:16">
      <c r="A3132" s="1">
        <v>45136</v>
      </c>
      <c r="B3132">
        <v>190051</v>
      </c>
      <c r="C3132">
        <v>76299</v>
      </c>
      <c r="D3132">
        <v>113752</v>
      </c>
      <c r="E3132">
        <v>164633516</v>
      </c>
      <c r="F3132">
        <v>91637412</v>
      </c>
      <c r="G3132">
        <v>256270928</v>
      </c>
      <c r="H3132">
        <v>60161</v>
      </c>
      <c r="I3132">
        <v>12090</v>
      </c>
      <c r="J3132">
        <v>72251</v>
      </c>
      <c r="K3132" t="b">
        <f>TrafficData[[#This Row],[disposedChallan]]+TrafficData[[#This Row],[pendingChallan]]=TrafficData[[#This Row],[totalChallan]]</f>
        <v>1</v>
      </c>
      <c r="L3132" t="b">
        <f>TrafficData[[#This Row],[pendingAmount]]+TrafficData[[#This Row],[disposedAmount]]=TrafficData[[#This Row],[totalAmount]]</f>
        <v>1</v>
      </c>
      <c r="M3132" t="b">
        <f>TrafficData[[#This Row],[pendingCourt]]+TrafficData[[#This Row],[disposedCourt]]=TrafficData[[#This Row],[totalCourt]]</f>
        <v>1</v>
      </c>
      <c r="N3132" t="b">
        <f>AND(TrafficData[[#This Row],[disposedChallan]]&lt;=TrafficData[[#This Row],[totalChallan]],TrafficData[[#This Row],[pendingChallan]]&lt;=TrafficData[[#This Row],[totalChallan]])</f>
        <v>1</v>
      </c>
      <c r="O3132" t="b">
        <f>AND(TrafficData[[#This Row],[pendingAmount]]&lt;=TrafficData[[#This Row],[totalAmount]],TrafficData[[#This Row],[disposedAmount]]&lt;=TrafficData[[#This Row],[totalAmount]])</f>
        <v>1</v>
      </c>
      <c r="P3132" t="b">
        <f>AND(TrafficData[[#This Row],[pendingCourt]]&lt;=TrafficData[[#This Row],[totalCourt]],TrafficData[[#This Row],[disposedCourt]]&lt;=TrafficData[[#This Row],[totalCourt]])</f>
        <v>1</v>
      </c>
    </row>
    <row r="3133" spans="1:16">
      <c r="A3133" s="1">
        <v>45137</v>
      </c>
      <c r="B3133">
        <v>189896</v>
      </c>
      <c r="C3133">
        <v>73544</v>
      </c>
      <c r="D3133">
        <v>116352</v>
      </c>
      <c r="E3133">
        <v>162136730</v>
      </c>
      <c r="F3133">
        <v>81211265</v>
      </c>
      <c r="G3133">
        <v>243347995</v>
      </c>
      <c r="H3133">
        <v>62048</v>
      </c>
      <c r="I3133">
        <v>11827</v>
      </c>
      <c r="J3133">
        <v>73875</v>
      </c>
      <c r="K3133" t="b">
        <f>TrafficData[[#This Row],[disposedChallan]]+TrafficData[[#This Row],[pendingChallan]]=TrafficData[[#This Row],[totalChallan]]</f>
        <v>1</v>
      </c>
      <c r="L3133" t="b">
        <f>TrafficData[[#This Row],[pendingAmount]]+TrafficData[[#This Row],[disposedAmount]]=TrafficData[[#This Row],[totalAmount]]</f>
        <v>1</v>
      </c>
      <c r="M3133" t="b">
        <f>TrafficData[[#This Row],[pendingCourt]]+TrafficData[[#This Row],[disposedCourt]]=TrafficData[[#This Row],[totalCourt]]</f>
        <v>1</v>
      </c>
      <c r="N3133" t="b">
        <f>AND(TrafficData[[#This Row],[disposedChallan]]&lt;=TrafficData[[#This Row],[totalChallan]],TrafficData[[#This Row],[pendingChallan]]&lt;=TrafficData[[#This Row],[totalChallan]])</f>
        <v>1</v>
      </c>
      <c r="O3133" t="b">
        <f>AND(TrafficData[[#This Row],[pendingAmount]]&lt;=TrafficData[[#This Row],[totalAmount]],TrafficData[[#This Row],[disposedAmount]]&lt;=TrafficData[[#This Row],[totalAmount]])</f>
        <v>1</v>
      </c>
      <c r="P3133" t="b">
        <f>AND(TrafficData[[#This Row],[pendingCourt]]&lt;=TrafficData[[#This Row],[totalCourt]],TrafficData[[#This Row],[disposedCourt]]&lt;=TrafficData[[#This Row],[totalCourt]])</f>
        <v>1</v>
      </c>
    </row>
    <row r="3134" spans="1:16">
      <c r="A3134" s="1">
        <v>45138</v>
      </c>
      <c r="B3134">
        <v>210622</v>
      </c>
      <c r="C3134">
        <v>80740</v>
      </c>
      <c r="D3134">
        <v>129882</v>
      </c>
      <c r="E3134">
        <v>186616519</v>
      </c>
      <c r="F3134">
        <v>95852766</v>
      </c>
      <c r="G3134">
        <v>282469285</v>
      </c>
      <c r="H3134">
        <v>71394</v>
      </c>
      <c r="I3134">
        <v>13820</v>
      </c>
      <c r="J3134">
        <v>85214</v>
      </c>
      <c r="K3134" t="b">
        <f>TrafficData[[#This Row],[disposedChallan]]+TrafficData[[#This Row],[pendingChallan]]=TrafficData[[#This Row],[totalChallan]]</f>
        <v>1</v>
      </c>
      <c r="L3134" t="b">
        <f>TrafficData[[#This Row],[pendingAmount]]+TrafficData[[#This Row],[disposedAmount]]=TrafficData[[#This Row],[totalAmount]]</f>
        <v>1</v>
      </c>
      <c r="M3134" t="b">
        <f>TrafficData[[#This Row],[pendingCourt]]+TrafficData[[#This Row],[disposedCourt]]=TrafficData[[#This Row],[totalCourt]]</f>
        <v>1</v>
      </c>
      <c r="N3134" t="b">
        <f>AND(TrafficData[[#This Row],[disposedChallan]]&lt;=TrafficData[[#This Row],[totalChallan]],TrafficData[[#This Row],[pendingChallan]]&lt;=TrafficData[[#This Row],[totalChallan]])</f>
        <v>1</v>
      </c>
      <c r="O3134" t="b">
        <f>AND(TrafficData[[#This Row],[pendingAmount]]&lt;=TrafficData[[#This Row],[totalAmount]],TrafficData[[#This Row],[disposedAmount]]&lt;=TrafficData[[#This Row],[totalAmount]])</f>
        <v>1</v>
      </c>
      <c r="P3134" t="b">
        <f>AND(TrafficData[[#This Row],[pendingCourt]]&lt;=TrafficData[[#This Row],[totalCourt]],TrafficData[[#This Row],[disposedCourt]]&lt;=TrafficData[[#This Row],[totalCourt]])</f>
        <v>1</v>
      </c>
    </row>
    <row r="3135" spans="1:16">
      <c r="A3135" s="1">
        <v>45139</v>
      </c>
      <c r="B3135">
        <v>215150</v>
      </c>
      <c r="C3135">
        <v>87902</v>
      </c>
      <c r="D3135">
        <v>127248</v>
      </c>
      <c r="E3135">
        <v>193510981</v>
      </c>
      <c r="F3135">
        <v>132143026</v>
      </c>
      <c r="G3135">
        <v>325654007</v>
      </c>
      <c r="H3135">
        <v>71025</v>
      </c>
      <c r="I3135">
        <v>13954</v>
      </c>
      <c r="J3135">
        <v>84979</v>
      </c>
      <c r="K3135" t="b">
        <f>TrafficData[[#This Row],[disposedChallan]]+TrafficData[[#This Row],[pendingChallan]]=TrafficData[[#This Row],[totalChallan]]</f>
        <v>1</v>
      </c>
      <c r="L3135" t="b">
        <f>TrafficData[[#This Row],[pendingAmount]]+TrafficData[[#This Row],[disposedAmount]]=TrafficData[[#This Row],[totalAmount]]</f>
        <v>1</v>
      </c>
      <c r="M3135" t="b">
        <f>TrafficData[[#This Row],[pendingCourt]]+TrafficData[[#This Row],[disposedCourt]]=TrafficData[[#This Row],[totalCourt]]</f>
        <v>1</v>
      </c>
      <c r="N3135" t="b">
        <f>AND(TrafficData[[#This Row],[disposedChallan]]&lt;=TrafficData[[#This Row],[totalChallan]],TrafficData[[#This Row],[pendingChallan]]&lt;=TrafficData[[#This Row],[totalChallan]])</f>
        <v>1</v>
      </c>
      <c r="O3135" t="b">
        <f>AND(TrafficData[[#This Row],[pendingAmount]]&lt;=TrafficData[[#This Row],[totalAmount]],TrafficData[[#This Row],[disposedAmount]]&lt;=TrafficData[[#This Row],[totalAmount]])</f>
        <v>1</v>
      </c>
      <c r="P3135" t="b">
        <f>AND(TrafficData[[#This Row],[pendingCourt]]&lt;=TrafficData[[#This Row],[totalCourt]],TrafficData[[#This Row],[disposedCourt]]&lt;=TrafficData[[#This Row],[totalCourt]])</f>
        <v>1</v>
      </c>
    </row>
    <row r="3136" spans="1:16">
      <c r="A3136" s="1">
        <v>45140</v>
      </c>
      <c r="B3136">
        <v>205182</v>
      </c>
      <c r="C3136">
        <v>84382</v>
      </c>
      <c r="D3136">
        <v>120800</v>
      </c>
      <c r="E3136">
        <v>180265507</v>
      </c>
      <c r="F3136">
        <v>128977143</v>
      </c>
      <c r="G3136">
        <v>309242650</v>
      </c>
      <c r="H3136">
        <v>61264</v>
      </c>
      <c r="I3136">
        <v>12515</v>
      </c>
      <c r="J3136">
        <v>73779</v>
      </c>
      <c r="K3136" t="b">
        <f>TrafficData[[#This Row],[disposedChallan]]+TrafficData[[#This Row],[pendingChallan]]=TrafficData[[#This Row],[totalChallan]]</f>
        <v>1</v>
      </c>
      <c r="L3136" t="b">
        <f>TrafficData[[#This Row],[pendingAmount]]+TrafficData[[#This Row],[disposedAmount]]=TrafficData[[#This Row],[totalAmount]]</f>
        <v>1</v>
      </c>
      <c r="M3136" t="b">
        <f>TrafficData[[#This Row],[pendingCourt]]+TrafficData[[#This Row],[disposedCourt]]=TrafficData[[#This Row],[totalCourt]]</f>
        <v>1</v>
      </c>
      <c r="N3136" t="b">
        <f>AND(TrafficData[[#This Row],[disposedChallan]]&lt;=TrafficData[[#This Row],[totalChallan]],TrafficData[[#This Row],[pendingChallan]]&lt;=TrafficData[[#This Row],[totalChallan]])</f>
        <v>1</v>
      </c>
      <c r="O3136" t="b">
        <f>AND(TrafficData[[#This Row],[pendingAmount]]&lt;=TrafficData[[#This Row],[totalAmount]],TrafficData[[#This Row],[disposedAmount]]&lt;=TrafficData[[#This Row],[totalAmount]])</f>
        <v>1</v>
      </c>
      <c r="P3136" t="b">
        <f>AND(TrafficData[[#This Row],[pendingCourt]]&lt;=TrafficData[[#This Row],[totalCourt]],TrafficData[[#This Row],[disposedCourt]]&lt;=TrafficData[[#This Row],[totalCourt]])</f>
        <v>1</v>
      </c>
    </row>
    <row r="3137" spans="1:16">
      <c r="A3137" s="1">
        <v>45141</v>
      </c>
      <c r="B3137">
        <v>213583</v>
      </c>
      <c r="C3137">
        <v>86879</v>
      </c>
      <c r="D3137">
        <v>126704</v>
      </c>
      <c r="E3137">
        <v>196902190</v>
      </c>
      <c r="F3137">
        <v>249797966</v>
      </c>
      <c r="G3137">
        <v>446700156</v>
      </c>
      <c r="H3137">
        <v>67453</v>
      </c>
      <c r="I3137">
        <v>13366</v>
      </c>
      <c r="J3137">
        <v>80819</v>
      </c>
      <c r="K3137" t="b">
        <f>TrafficData[[#This Row],[disposedChallan]]+TrafficData[[#This Row],[pendingChallan]]=TrafficData[[#This Row],[totalChallan]]</f>
        <v>1</v>
      </c>
      <c r="L3137" t="b">
        <f>TrafficData[[#This Row],[pendingAmount]]+TrafficData[[#This Row],[disposedAmount]]=TrafficData[[#This Row],[totalAmount]]</f>
        <v>1</v>
      </c>
      <c r="M3137" t="b">
        <f>TrafficData[[#This Row],[pendingCourt]]+TrafficData[[#This Row],[disposedCourt]]=TrafficData[[#This Row],[totalCourt]]</f>
        <v>1</v>
      </c>
      <c r="N3137" t="b">
        <f>AND(TrafficData[[#This Row],[disposedChallan]]&lt;=TrafficData[[#This Row],[totalChallan]],TrafficData[[#This Row],[pendingChallan]]&lt;=TrafficData[[#This Row],[totalChallan]])</f>
        <v>1</v>
      </c>
      <c r="O3137" t="b">
        <f>AND(TrafficData[[#This Row],[pendingAmount]]&lt;=TrafficData[[#This Row],[totalAmount]],TrafficData[[#This Row],[disposedAmount]]&lt;=TrafficData[[#This Row],[totalAmount]])</f>
        <v>1</v>
      </c>
      <c r="P3137" t="b">
        <f>AND(TrafficData[[#This Row],[pendingCourt]]&lt;=TrafficData[[#This Row],[totalCourt]],TrafficData[[#This Row],[disposedCourt]]&lt;=TrafficData[[#This Row],[totalCourt]])</f>
        <v>1</v>
      </c>
    </row>
    <row r="3138" spans="1:16">
      <c r="A3138" s="1">
        <v>45142</v>
      </c>
      <c r="B3138">
        <v>218959</v>
      </c>
      <c r="C3138">
        <v>87931</v>
      </c>
      <c r="D3138">
        <v>131028</v>
      </c>
      <c r="E3138">
        <v>200739400</v>
      </c>
      <c r="F3138">
        <v>136962824</v>
      </c>
      <c r="G3138">
        <v>337702224</v>
      </c>
      <c r="H3138">
        <v>69940</v>
      </c>
      <c r="I3138">
        <v>13863</v>
      </c>
      <c r="J3138">
        <v>83803</v>
      </c>
      <c r="K3138" t="b">
        <f>TrafficData[[#This Row],[disposedChallan]]+TrafficData[[#This Row],[pendingChallan]]=TrafficData[[#This Row],[totalChallan]]</f>
        <v>1</v>
      </c>
      <c r="L3138" t="b">
        <f>TrafficData[[#This Row],[pendingAmount]]+TrafficData[[#This Row],[disposedAmount]]=TrafficData[[#This Row],[totalAmount]]</f>
        <v>1</v>
      </c>
      <c r="M3138" t="b">
        <f>TrafficData[[#This Row],[pendingCourt]]+TrafficData[[#This Row],[disposedCourt]]=TrafficData[[#This Row],[totalCourt]]</f>
        <v>1</v>
      </c>
      <c r="N3138" t="b">
        <f>AND(TrafficData[[#This Row],[disposedChallan]]&lt;=TrafficData[[#This Row],[totalChallan]],TrafficData[[#This Row],[pendingChallan]]&lt;=TrafficData[[#This Row],[totalChallan]])</f>
        <v>1</v>
      </c>
      <c r="O3138" t="b">
        <f>AND(TrafficData[[#This Row],[pendingAmount]]&lt;=TrafficData[[#This Row],[totalAmount]],TrafficData[[#This Row],[disposedAmount]]&lt;=TrafficData[[#This Row],[totalAmount]])</f>
        <v>1</v>
      </c>
      <c r="P3138" t="b">
        <f>AND(TrafficData[[#This Row],[pendingCourt]]&lt;=TrafficData[[#This Row],[totalCourt]],TrafficData[[#This Row],[disposedCourt]]&lt;=TrafficData[[#This Row],[totalCourt]])</f>
        <v>1</v>
      </c>
    </row>
    <row r="3139" spans="1:16">
      <c r="A3139" s="1">
        <v>45143</v>
      </c>
      <c r="B3139">
        <v>213342</v>
      </c>
      <c r="C3139">
        <v>89049</v>
      </c>
      <c r="D3139">
        <v>124293</v>
      </c>
      <c r="E3139">
        <v>187210712</v>
      </c>
      <c r="F3139">
        <v>125340092</v>
      </c>
      <c r="G3139">
        <v>312550804</v>
      </c>
      <c r="H3139">
        <v>65085</v>
      </c>
      <c r="I3139">
        <v>14058</v>
      </c>
      <c r="J3139">
        <v>79143</v>
      </c>
      <c r="K3139" t="b">
        <f>TrafficData[[#This Row],[disposedChallan]]+TrafficData[[#This Row],[pendingChallan]]=TrafficData[[#This Row],[totalChallan]]</f>
        <v>1</v>
      </c>
      <c r="L3139" t="b">
        <f>TrafficData[[#This Row],[pendingAmount]]+TrafficData[[#This Row],[disposedAmount]]=TrafficData[[#This Row],[totalAmount]]</f>
        <v>1</v>
      </c>
      <c r="M3139" t="b">
        <f>TrafficData[[#This Row],[pendingCourt]]+TrafficData[[#This Row],[disposedCourt]]=TrafficData[[#This Row],[totalCourt]]</f>
        <v>1</v>
      </c>
      <c r="N3139" t="b">
        <f>AND(TrafficData[[#This Row],[disposedChallan]]&lt;=TrafficData[[#This Row],[totalChallan]],TrafficData[[#This Row],[pendingChallan]]&lt;=TrafficData[[#This Row],[totalChallan]])</f>
        <v>1</v>
      </c>
      <c r="O3139" t="b">
        <f>AND(TrafficData[[#This Row],[pendingAmount]]&lt;=TrafficData[[#This Row],[totalAmount]],TrafficData[[#This Row],[disposedAmount]]&lt;=TrafficData[[#This Row],[totalAmount]])</f>
        <v>1</v>
      </c>
      <c r="P3139" t="b">
        <f>AND(TrafficData[[#This Row],[pendingCourt]]&lt;=TrafficData[[#This Row],[totalCourt]],TrafficData[[#This Row],[disposedCourt]]&lt;=TrafficData[[#This Row],[totalCourt]])</f>
        <v>1</v>
      </c>
    </row>
    <row r="3140" spans="1:16">
      <c r="A3140" s="1">
        <v>45144</v>
      </c>
      <c r="B3140">
        <v>176698</v>
      </c>
      <c r="C3140">
        <v>73335</v>
      </c>
      <c r="D3140">
        <v>103363</v>
      </c>
      <c r="E3140">
        <v>145927865</v>
      </c>
      <c r="F3140">
        <v>93745319</v>
      </c>
      <c r="G3140">
        <v>239673184</v>
      </c>
      <c r="H3140">
        <v>51087</v>
      </c>
      <c r="I3140">
        <v>10639</v>
      </c>
      <c r="J3140">
        <v>61726</v>
      </c>
      <c r="K3140" t="b">
        <f>TrafficData[[#This Row],[disposedChallan]]+TrafficData[[#This Row],[pendingChallan]]=TrafficData[[#This Row],[totalChallan]]</f>
        <v>1</v>
      </c>
      <c r="L3140" t="b">
        <f>TrafficData[[#This Row],[pendingAmount]]+TrafficData[[#This Row],[disposedAmount]]=TrafficData[[#This Row],[totalAmount]]</f>
        <v>1</v>
      </c>
      <c r="M3140" t="b">
        <f>TrafficData[[#This Row],[pendingCourt]]+TrafficData[[#This Row],[disposedCourt]]=TrafficData[[#This Row],[totalCourt]]</f>
        <v>1</v>
      </c>
      <c r="N3140" t="b">
        <f>AND(TrafficData[[#This Row],[disposedChallan]]&lt;=TrafficData[[#This Row],[totalChallan]],TrafficData[[#This Row],[pendingChallan]]&lt;=TrafficData[[#This Row],[totalChallan]])</f>
        <v>1</v>
      </c>
      <c r="O3140" t="b">
        <f>AND(TrafficData[[#This Row],[pendingAmount]]&lt;=TrafficData[[#This Row],[totalAmount]],TrafficData[[#This Row],[disposedAmount]]&lt;=TrafficData[[#This Row],[totalAmount]])</f>
        <v>1</v>
      </c>
      <c r="P3140" t="b">
        <f>AND(TrafficData[[#This Row],[pendingCourt]]&lt;=TrafficData[[#This Row],[totalCourt]],TrafficData[[#This Row],[disposedCourt]]&lt;=TrafficData[[#This Row],[totalCourt]])</f>
        <v>1</v>
      </c>
    </row>
    <row r="3141" spans="1:16">
      <c r="A3141" s="1">
        <v>45145</v>
      </c>
      <c r="B3141">
        <v>200061</v>
      </c>
      <c r="C3141">
        <v>81964</v>
      </c>
      <c r="D3141">
        <v>118097</v>
      </c>
      <c r="E3141">
        <v>177999774</v>
      </c>
      <c r="F3141">
        <v>114572752</v>
      </c>
      <c r="G3141">
        <v>292572526</v>
      </c>
      <c r="H3141">
        <v>62997</v>
      </c>
      <c r="I3141">
        <v>12487</v>
      </c>
      <c r="J3141">
        <v>75484</v>
      </c>
      <c r="K3141" t="b">
        <f>TrafficData[[#This Row],[disposedChallan]]+TrafficData[[#This Row],[pendingChallan]]=TrafficData[[#This Row],[totalChallan]]</f>
        <v>1</v>
      </c>
      <c r="L3141" t="b">
        <f>TrafficData[[#This Row],[pendingAmount]]+TrafficData[[#This Row],[disposedAmount]]=TrafficData[[#This Row],[totalAmount]]</f>
        <v>1</v>
      </c>
      <c r="M3141" t="b">
        <f>TrafficData[[#This Row],[pendingCourt]]+TrafficData[[#This Row],[disposedCourt]]=TrafficData[[#This Row],[totalCourt]]</f>
        <v>1</v>
      </c>
      <c r="N3141" t="b">
        <f>AND(TrafficData[[#This Row],[disposedChallan]]&lt;=TrafficData[[#This Row],[totalChallan]],TrafficData[[#This Row],[pendingChallan]]&lt;=TrafficData[[#This Row],[totalChallan]])</f>
        <v>1</v>
      </c>
      <c r="O3141" t="b">
        <f>AND(TrafficData[[#This Row],[pendingAmount]]&lt;=TrafficData[[#This Row],[totalAmount]],TrafficData[[#This Row],[disposedAmount]]&lt;=TrafficData[[#This Row],[totalAmount]])</f>
        <v>1</v>
      </c>
      <c r="P3141" t="b">
        <f>AND(TrafficData[[#This Row],[pendingCourt]]&lt;=TrafficData[[#This Row],[totalCourt]],TrafficData[[#This Row],[disposedCourt]]&lt;=TrafficData[[#This Row],[totalCourt]])</f>
        <v>1</v>
      </c>
    </row>
    <row r="3142" spans="1:16">
      <c r="A3142" s="1">
        <v>45146</v>
      </c>
      <c r="B3142">
        <v>209228</v>
      </c>
      <c r="C3142">
        <v>84789</v>
      </c>
      <c r="D3142">
        <v>124439</v>
      </c>
      <c r="E3142">
        <v>201151919</v>
      </c>
      <c r="F3142">
        <v>133220524</v>
      </c>
      <c r="G3142">
        <v>334372443</v>
      </c>
      <c r="H3142">
        <v>68856</v>
      </c>
      <c r="I3142">
        <v>13455</v>
      </c>
      <c r="J3142">
        <v>82311</v>
      </c>
      <c r="K3142" t="b">
        <f>TrafficData[[#This Row],[disposedChallan]]+TrafficData[[#This Row],[pendingChallan]]=TrafficData[[#This Row],[totalChallan]]</f>
        <v>1</v>
      </c>
      <c r="L3142" t="b">
        <f>TrafficData[[#This Row],[pendingAmount]]+TrafficData[[#This Row],[disposedAmount]]=TrafficData[[#This Row],[totalAmount]]</f>
        <v>1</v>
      </c>
      <c r="M3142" t="b">
        <f>TrafficData[[#This Row],[pendingCourt]]+TrafficData[[#This Row],[disposedCourt]]=TrafficData[[#This Row],[totalCourt]]</f>
        <v>1</v>
      </c>
      <c r="N3142" t="b">
        <f>AND(TrafficData[[#This Row],[disposedChallan]]&lt;=TrafficData[[#This Row],[totalChallan]],TrafficData[[#This Row],[pendingChallan]]&lt;=TrafficData[[#This Row],[totalChallan]])</f>
        <v>1</v>
      </c>
      <c r="O3142" t="b">
        <f>AND(TrafficData[[#This Row],[pendingAmount]]&lt;=TrafficData[[#This Row],[totalAmount]],TrafficData[[#This Row],[disposedAmount]]&lt;=TrafficData[[#This Row],[totalAmount]])</f>
        <v>1</v>
      </c>
      <c r="P3142" t="b">
        <f>AND(TrafficData[[#This Row],[pendingCourt]]&lt;=TrafficData[[#This Row],[totalCourt]],TrafficData[[#This Row],[disposedCourt]]&lt;=TrafficData[[#This Row],[totalCourt]])</f>
        <v>1</v>
      </c>
    </row>
    <row r="3143" spans="1:16">
      <c r="A3143" s="1">
        <v>45147</v>
      </c>
      <c r="B3143">
        <v>203319</v>
      </c>
      <c r="C3143">
        <v>83272</v>
      </c>
      <c r="D3143">
        <v>120047</v>
      </c>
      <c r="E3143">
        <v>191251477</v>
      </c>
      <c r="F3143">
        <v>136548705</v>
      </c>
      <c r="G3143">
        <v>327800182</v>
      </c>
      <c r="H3143">
        <v>66517</v>
      </c>
      <c r="I3143">
        <v>13476</v>
      </c>
      <c r="J3143">
        <v>79993</v>
      </c>
      <c r="K3143" t="b">
        <f>TrafficData[[#This Row],[disposedChallan]]+TrafficData[[#This Row],[pendingChallan]]=TrafficData[[#This Row],[totalChallan]]</f>
        <v>1</v>
      </c>
      <c r="L3143" t="b">
        <f>TrafficData[[#This Row],[pendingAmount]]+TrafficData[[#This Row],[disposedAmount]]=TrafficData[[#This Row],[totalAmount]]</f>
        <v>1</v>
      </c>
      <c r="M3143" t="b">
        <f>TrafficData[[#This Row],[pendingCourt]]+TrafficData[[#This Row],[disposedCourt]]=TrafficData[[#This Row],[totalCourt]]</f>
        <v>1</v>
      </c>
      <c r="N3143" t="b">
        <f>AND(TrafficData[[#This Row],[disposedChallan]]&lt;=TrafficData[[#This Row],[totalChallan]],TrafficData[[#This Row],[pendingChallan]]&lt;=TrafficData[[#This Row],[totalChallan]])</f>
        <v>1</v>
      </c>
      <c r="O3143" t="b">
        <f>AND(TrafficData[[#This Row],[pendingAmount]]&lt;=TrafficData[[#This Row],[totalAmount]],TrafficData[[#This Row],[disposedAmount]]&lt;=TrafficData[[#This Row],[totalAmount]])</f>
        <v>1</v>
      </c>
      <c r="P3143" t="b">
        <f>AND(TrafficData[[#This Row],[pendingCourt]]&lt;=TrafficData[[#This Row],[totalCourt]],TrafficData[[#This Row],[disposedCourt]]&lt;=TrafficData[[#This Row],[totalCourt]])</f>
        <v>1</v>
      </c>
    </row>
    <row r="3144" spans="1:16">
      <c r="A3144" s="1">
        <v>45148</v>
      </c>
      <c r="B3144">
        <v>203793</v>
      </c>
      <c r="C3144">
        <v>82479</v>
      </c>
      <c r="D3144">
        <v>121314</v>
      </c>
      <c r="E3144">
        <v>190714376</v>
      </c>
      <c r="F3144">
        <v>132012503</v>
      </c>
      <c r="G3144">
        <v>322726879</v>
      </c>
      <c r="H3144">
        <v>66923</v>
      </c>
      <c r="I3144">
        <v>13373</v>
      </c>
      <c r="J3144">
        <v>80296</v>
      </c>
      <c r="K3144" t="b">
        <f>TrafficData[[#This Row],[disposedChallan]]+TrafficData[[#This Row],[pendingChallan]]=TrafficData[[#This Row],[totalChallan]]</f>
        <v>1</v>
      </c>
      <c r="L3144" t="b">
        <f>TrafficData[[#This Row],[pendingAmount]]+TrafficData[[#This Row],[disposedAmount]]=TrafficData[[#This Row],[totalAmount]]</f>
        <v>1</v>
      </c>
      <c r="M3144" t="b">
        <f>TrafficData[[#This Row],[pendingCourt]]+TrafficData[[#This Row],[disposedCourt]]=TrafficData[[#This Row],[totalCourt]]</f>
        <v>1</v>
      </c>
      <c r="N3144" t="b">
        <f>AND(TrafficData[[#This Row],[disposedChallan]]&lt;=TrafficData[[#This Row],[totalChallan]],TrafficData[[#This Row],[pendingChallan]]&lt;=TrafficData[[#This Row],[totalChallan]])</f>
        <v>1</v>
      </c>
      <c r="O3144" t="b">
        <f>AND(TrafficData[[#This Row],[pendingAmount]]&lt;=TrafficData[[#This Row],[totalAmount]],TrafficData[[#This Row],[disposedAmount]]&lt;=TrafficData[[#This Row],[totalAmount]])</f>
        <v>1</v>
      </c>
      <c r="P3144" t="b">
        <f>AND(TrafficData[[#This Row],[pendingCourt]]&lt;=TrafficData[[#This Row],[totalCourt]],TrafficData[[#This Row],[disposedCourt]]&lt;=TrafficData[[#This Row],[totalCourt]])</f>
        <v>1</v>
      </c>
    </row>
    <row r="3145" spans="1:16">
      <c r="A3145" s="1">
        <v>45149</v>
      </c>
      <c r="B3145">
        <v>200888</v>
      </c>
      <c r="C3145">
        <v>84424</v>
      </c>
      <c r="D3145">
        <v>116464</v>
      </c>
      <c r="E3145">
        <v>184905441</v>
      </c>
      <c r="F3145">
        <v>131372638</v>
      </c>
      <c r="G3145">
        <v>316278079</v>
      </c>
      <c r="H3145">
        <v>64184</v>
      </c>
      <c r="I3145">
        <v>13157</v>
      </c>
      <c r="J3145">
        <v>77341</v>
      </c>
      <c r="K3145" t="b">
        <f>TrafficData[[#This Row],[disposedChallan]]+TrafficData[[#This Row],[pendingChallan]]=TrafficData[[#This Row],[totalChallan]]</f>
        <v>1</v>
      </c>
      <c r="L3145" t="b">
        <f>TrafficData[[#This Row],[pendingAmount]]+TrafficData[[#This Row],[disposedAmount]]=TrafficData[[#This Row],[totalAmount]]</f>
        <v>1</v>
      </c>
      <c r="M3145" t="b">
        <f>TrafficData[[#This Row],[pendingCourt]]+TrafficData[[#This Row],[disposedCourt]]=TrafficData[[#This Row],[totalCourt]]</f>
        <v>1</v>
      </c>
      <c r="N3145" t="b">
        <f>AND(TrafficData[[#This Row],[disposedChallan]]&lt;=TrafficData[[#This Row],[totalChallan]],TrafficData[[#This Row],[pendingChallan]]&lt;=TrafficData[[#This Row],[totalChallan]])</f>
        <v>1</v>
      </c>
      <c r="O3145" t="b">
        <f>AND(TrafficData[[#This Row],[pendingAmount]]&lt;=TrafficData[[#This Row],[totalAmount]],TrafficData[[#This Row],[disposedAmount]]&lt;=TrafficData[[#This Row],[totalAmount]])</f>
        <v>1</v>
      </c>
      <c r="P3145" t="b">
        <f>AND(TrafficData[[#This Row],[pendingCourt]]&lt;=TrafficData[[#This Row],[totalCourt]],TrafficData[[#This Row],[disposedCourt]]&lt;=TrafficData[[#This Row],[totalCourt]])</f>
        <v>1</v>
      </c>
    </row>
    <row r="3146" spans="1:16">
      <c r="A3146" s="1">
        <v>45150</v>
      </c>
      <c r="B3146">
        <v>201564</v>
      </c>
      <c r="C3146">
        <v>82088</v>
      </c>
      <c r="D3146">
        <v>119476</v>
      </c>
      <c r="E3146">
        <v>186483980</v>
      </c>
      <c r="F3146">
        <v>114908457</v>
      </c>
      <c r="G3146">
        <v>301392437</v>
      </c>
      <c r="H3146">
        <v>64395</v>
      </c>
      <c r="I3146">
        <v>14095</v>
      </c>
      <c r="J3146">
        <v>78490</v>
      </c>
      <c r="K3146" t="b">
        <f>TrafficData[[#This Row],[disposedChallan]]+TrafficData[[#This Row],[pendingChallan]]=TrafficData[[#This Row],[totalChallan]]</f>
        <v>1</v>
      </c>
      <c r="L3146" t="b">
        <f>TrafficData[[#This Row],[pendingAmount]]+TrafficData[[#This Row],[disposedAmount]]=TrafficData[[#This Row],[totalAmount]]</f>
        <v>1</v>
      </c>
      <c r="M3146" t="b">
        <f>TrafficData[[#This Row],[pendingCourt]]+TrafficData[[#This Row],[disposedCourt]]=TrafficData[[#This Row],[totalCourt]]</f>
        <v>1</v>
      </c>
      <c r="N3146" t="b">
        <f>AND(TrafficData[[#This Row],[disposedChallan]]&lt;=TrafficData[[#This Row],[totalChallan]],TrafficData[[#This Row],[pendingChallan]]&lt;=TrafficData[[#This Row],[totalChallan]])</f>
        <v>1</v>
      </c>
      <c r="O3146" t="b">
        <f>AND(TrafficData[[#This Row],[pendingAmount]]&lt;=TrafficData[[#This Row],[totalAmount]],TrafficData[[#This Row],[disposedAmount]]&lt;=TrafficData[[#This Row],[totalAmount]])</f>
        <v>1</v>
      </c>
      <c r="P3146" t="b">
        <f>AND(TrafficData[[#This Row],[pendingCourt]]&lt;=TrafficData[[#This Row],[totalCourt]],TrafficData[[#This Row],[disposedCourt]]&lt;=TrafficData[[#This Row],[totalCourt]])</f>
        <v>1</v>
      </c>
    </row>
    <row r="3147" spans="1:16">
      <c r="A3147" s="1">
        <v>45151</v>
      </c>
      <c r="B3147">
        <v>164301</v>
      </c>
      <c r="C3147">
        <v>65753</v>
      </c>
      <c r="D3147">
        <v>98548</v>
      </c>
      <c r="E3147">
        <v>137993828</v>
      </c>
      <c r="F3147">
        <v>86001105</v>
      </c>
      <c r="G3147">
        <v>223994933</v>
      </c>
      <c r="H3147">
        <v>50145</v>
      </c>
      <c r="I3147">
        <v>10361</v>
      </c>
      <c r="J3147">
        <v>60506</v>
      </c>
      <c r="K3147" t="b">
        <f>TrafficData[[#This Row],[disposedChallan]]+TrafficData[[#This Row],[pendingChallan]]=TrafficData[[#This Row],[totalChallan]]</f>
        <v>1</v>
      </c>
      <c r="L3147" t="b">
        <f>TrafficData[[#This Row],[pendingAmount]]+TrafficData[[#This Row],[disposedAmount]]=TrafficData[[#This Row],[totalAmount]]</f>
        <v>1</v>
      </c>
      <c r="M3147" t="b">
        <f>TrafficData[[#This Row],[pendingCourt]]+TrafficData[[#This Row],[disposedCourt]]=TrafficData[[#This Row],[totalCourt]]</f>
        <v>1</v>
      </c>
      <c r="N3147" t="b">
        <f>AND(TrafficData[[#This Row],[disposedChallan]]&lt;=TrafficData[[#This Row],[totalChallan]],TrafficData[[#This Row],[pendingChallan]]&lt;=TrafficData[[#This Row],[totalChallan]])</f>
        <v>1</v>
      </c>
      <c r="O3147" t="b">
        <f>AND(TrafficData[[#This Row],[pendingAmount]]&lt;=TrafficData[[#This Row],[totalAmount]],TrafficData[[#This Row],[disposedAmount]]&lt;=TrafficData[[#This Row],[totalAmount]])</f>
        <v>1</v>
      </c>
      <c r="P3147" t="b">
        <f>AND(TrafficData[[#This Row],[pendingCourt]]&lt;=TrafficData[[#This Row],[totalCourt]],TrafficData[[#This Row],[disposedCourt]]&lt;=TrafficData[[#This Row],[totalCourt]])</f>
        <v>1</v>
      </c>
    </row>
    <row r="3148" spans="1:16">
      <c r="A3148" s="1">
        <v>45152</v>
      </c>
      <c r="B3148">
        <v>199877</v>
      </c>
      <c r="C3148">
        <v>78102</v>
      </c>
      <c r="D3148">
        <v>121775</v>
      </c>
      <c r="E3148">
        <v>187911206</v>
      </c>
      <c r="F3148">
        <v>109493874</v>
      </c>
      <c r="G3148">
        <v>297405080</v>
      </c>
      <c r="H3148">
        <v>63983</v>
      </c>
      <c r="I3148">
        <v>12812</v>
      </c>
      <c r="J3148">
        <v>76795</v>
      </c>
      <c r="K3148" t="b">
        <f>TrafficData[[#This Row],[disposedChallan]]+TrafficData[[#This Row],[pendingChallan]]=TrafficData[[#This Row],[totalChallan]]</f>
        <v>1</v>
      </c>
      <c r="L3148" t="b">
        <f>TrafficData[[#This Row],[pendingAmount]]+TrafficData[[#This Row],[disposedAmount]]=TrafficData[[#This Row],[totalAmount]]</f>
        <v>1</v>
      </c>
      <c r="M3148" t="b">
        <f>TrafficData[[#This Row],[pendingCourt]]+TrafficData[[#This Row],[disposedCourt]]=TrafficData[[#This Row],[totalCourt]]</f>
        <v>1</v>
      </c>
      <c r="N3148" t="b">
        <f>AND(TrafficData[[#This Row],[disposedChallan]]&lt;=TrafficData[[#This Row],[totalChallan]],TrafficData[[#This Row],[pendingChallan]]&lt;=TrafficData[[#This Row],[totalChallan]])</f>
        <v>1</v>
      </c>
      <c r="O3148" t="b">
        <f>AND(TrafficData[[#This Row],[pendingAmount]]&lt;=TrafficData[[#This Row],[totalAmount]],TrafficData[[#This Row],[disposedAmount]]&lt;=TrafficData[[#This Row],[totalAmount]])</f>
        <v>1</v>
      </c>
      <c r="P3148" t="b">
        <f>AND(TrafficData[[#This Row],[pendingCourt]]&lt;=TrafficData[[#This Row],[totalCourt]],TrafficData[[#This Row],[disposedCourt]]&lt;=TrafficData[[#This Row],[totalCourt]])</f>
        <v>1</v>
      </c>
    </row>
    <row r="3149" spans="1:16">
      <c r="A3149" s="1">
        <v>45153</v>
      </c>
      <c r="B3149">
        <v>135055</v>
      </c>
      <c r="C3149">
        <v>51465</v>
      </c>
      <c r="D3149">
        <v>83590</v>
      </c>
      <c r="E3149">
        <v>105380669</v>
      </c>
      <c r="F3149">
        <v>55014844</v>
      </c>
      <c r="G3149">
        <v>160395513</v>
      </c>
      <c r="H3149">
        <v>40723</v>
      </c>
      <c r="I3149">
        <v>7578</v>
      </c>
      <c r="J3149">
        <v>48301</v>
      </c>
      <c r="K3149" t="b">
        <f>TrafficData[[#This Row],[disposedChallan]]+TrafficData[[#This Row],[pendingChallan]]=TrafficData[[#This Row],[totalChallan]]</f>
        <v>1</v>
      </c>
      <c r="L3149" t="b">
        <f>TrafficData[[#This Row],[pendingAmount]]+TrafficData[[#This Row],[disposedAmount]]=TrafficData[[#This Row],[totalAmount]]</f>
        <v>1</v>
      </c>
      <c r="M3149" t="b">
        <f>TrafficData[[#This Row],[pendingCourt]]+TrafficData[[#This Row],[disposedCourt]]=TrafficData[[#This Row],[totalCourt]]</f>
        <v>1</v>
      </c>
      <c r="N3149" t="b">
        <f>AND(TrafficData[[#This Row],[disposedChallan]]&lt;=TrafficData[[#This Row],[totalChallan]],TrafficData[[#This Row],[pendingChallan]]&lt;=TrafficData[[#This Row],[totalChallan]])</f>
        <v>1</v>
      </c>
      <c r="O3149" t="b">
        <f>AND(TrafficData[[#This Row],[pendingAmount]]&lt;=TrafficData[[#This Row],[totalAmount]],TrafficData[[#This Row],[disposedAmount]]&lt;=TrafficData[[#This Row],[totalAmount]])</f>
        <v>1</v>
      </c>
      <c r="P3149" t="b">
        <f>AND(TrafficData[[#This Row],[pendingCourt]]&lt;=TrafficData[[#This Row],[totalCourt]],TrafficData[[#This Row],[disposedCourt]]&lt;=TrafficData[[#This Row],[totalCourt]])</f>
        <v>1</v>
      </c>
    </row>
    <row r="3150" spans="1:16">
      <c r="A3150" s="1">
        <v>45154</v>
      </c>
      <c r="B3150">
        <v>202521</v>
      </c>
      <c r="C3150">
        <v>81963</v>
      </c>
      <c r="D3150">
        <v>120558</v>
      </c>
      <c r="E3150">
        <v>192187848</v>
      </c>
      <c r="F3150">
        <v>112447121</v>
      </c>
      <c r="G3150">
        <v>304634969</v>
      </c>
      <c r="H3150">
        <v>65853</v>
      </c>
      <c r="I3150">
        <v>12789</v>
      </c>
      <c r="J3150">
        <v>78642</v>
      </c>
      <c r="K3150" t="b">
        <f>TrafficData[[#This Row],[disposedChallan]]+TrafficData[[#This Row],[pendingChallan]]=TrafficData[[#This Row],[totalChallan]]</f>
        <v>1</v>
      </c>
      <c r="L3150" t="b">
        <f>TrafficData[[#This Row],[pendingAmount]]+TrafficData[[#This Row],[disposedAmount]]=TrafficData[[#This Row],[totalAmount]]</f>
        <v>1</v>
      </c>
      <c r="M3150" t="b">
        <f>TrafficData[[#This Row],[pendingCourt]]+TrafficData[[#This Row],[disposedCourt]]=TrafficData[[#This Row],[totalCourt]]</f>
        <v>1</v>
      </c>
      <c r="N3150" t="b">
        <f>AND(TrafficData[[#This Row],[disposedChallan]]&lt;=TrafficData[[#This Row],[totalChallan]],TrafficData[[#This Row],[pendingChallan]]&lt;=TrafficData[[#This Row],[totalChallan]])</f>
        <v>1</v>
      </c>
      <c r="O3150" t="b">
        <f>AND(TrafficData[[#This Row],[pendingAmount]]&lt;=TrafficData[[#This Row],[totalAmount]],TrafficData[[#This Row],[disposedAmount]]&lt;=TrafficData[[#This Row],[totalAmount]])</f>
        <v>1</v>
      </c>
      <c r="P3150" t="b">
        <f>AND(TrafficData[[#This Row],[pendingCourt]]&lt;=TrafficData[[#This Row],[totalCourt]],TrafficData[[#This Row],[disposedCourt]]&lt;=TrafficData[[#This Row],[totalCourt]])</f>
        <v>1</v>
      </c>
    </row>
    <row r="3151" spans="1:16">
      <c r="A3151" s="1">
        <v>45155</v>
      </c>
      <c r="B3151">
        <v>198447</v>
      </c>
      <c r="C3151">
        <v>79834</v>
      </c>
      <c r="D3151">
        <v>118613</v>
      </c>
      <c r="E3151">
        <v>183452593</v>
      </c>
      <c r="F3151">
        <v>123176008</v>
      </c>
      <c r="G3151">
        <v>306628601</v>
      </c>
      <c r="H3151">
        <v>62554</v>
      </c>
      <c r="I3151">
        <v>12370</v>
      </c>
      <c r="J3151">
        <v>74924</v>
      </c>
      <c r="K3151" t="b">
        <f>TrafficData[[#This Row],[disposedChallan]]+TrafficData[[#This Row],[pendingChallan]]=TrafficData[[#This Row],[totalChallan]]</f>
        <v>1</v>
      </c>
      <c r="L3151" t="b">
        <f>TrafficData[[#This Row],[pendingAmount]]+TrafficData[[#This Row],[disposedAmount]]=TrafficData[[#This Row],[totalAmount]]</f>
        <v>1</v>
      </c>
      <c r="M3151" t="b">
        <f>TrafficData[[#This Row],[pendingCourt]]+TrafficData[[#This Row],[disposedCourt]]=TrafficData[[#This Row],[totalCourt]]</f>
        <v>1</v>
      </c>
      <c r="N3151" t="b">
        <f>AND(TrafficData[[#This Row],[disposedChallan]]&lt;=TrafficData[[#This Row],[totalChallan]],TrafficData[[#This Row],[pendingChallan]]&lt;=TrafficData[[#This Row],[totalChallan]])</f>
        <v>1</v>
      </c>
      <c r="O3151" t="b">
        <f>AND(TrafficData[[#This Row],[pendingAmount]]&lt;=TrafficData[[#This Row],[totalAmount]],TrafficData[[#This Row],[disposedAmount]]&lt;=TrafficData[[#This Row],[totalAmount]])</f>
        <v>1</v>
      </c>
      <c r="P3151" t="b">
        <f>AND(TrafficData[[#This Row],[pendingCourt]]&lt;=TrafficData[[#This Row],[totalCourt]],TrafficData[[#This Row],[disposedCourt]]&lt;=TrafficData[[#This Row],[totalCourt]])</f>
        <v>1</v>
      </c>
    </row>
    <row r="3152" spans="1:16">
      <c r="A3152" s="1">
        <v>45156</v>
      </c>
      <c r="B3152">
        <v>202200</v>
      </c>
      <c r="C3152">
        <v>80642</v>
      </c>
      <c r="D3152">
        <v>121558</v>
      </c>
      <c r="E3152">
        <v>189803256</v>
      </c>
      <c r="F3152">
        <v>123191984</v>
      </c>
      <c r="G3152">
        <v>312995240</v>
      </c>
      <c r="H3152">
        <v>63648</v>
      </c>
      <c r="I3152">
        <v>12810</v>
      </c>
      <c r="J3152">
        <v>76458</v>
      </c>
      <c r="K3152" t="b">
        <f>TrafficData[[#This Row],[disposedChallan]]+TrafficData[[#This Row],[pendingChallan]]=TrafficData[[#This Row],[totalChallan]]</f>
        <v>1</v>
      </c>
      <c r="L3152" t="b">
        <f>TrafficData[[#This Row],[pendingAmount]]+TrafficData[[#This Row],[disposedAmount]]=TrafficData[[#This Row],[totalAmount]]</f>
        <v>1</v>
      </c>
      <c r="M3152" t="b">
        <f>TrafficData[[#This Row],[pendingCourt]]+TrafficData[[#This Row],[disposedCourt]]=TrafficData[[#This Row],[totalCourt]]</f>
        <v>1</v>
      </c>
      <c r="N3152" t="b">
        <f>AND(TrafficData[[#This Row],[disposedChallan]]&lt;=TrafficData[[#This Row],[totalChallan]],TrafficData[[#This Row],[pendingChallan]]&lt;=TrafficData[[#This Row],[totalChallan]])</f>
        <v>1</v>
      </c>
      <c r="O3152" t="b">
        <f>AND(TrafficData[[#This Row],[pendingAmount]]&lt;=TrafficData[[#This Row],[totalAmount]],TrafficData[[#This Row],[disposedAmount]]&lt;=TrafficData[[#This Row],[totalAmount]])</f>
        <v>1</v>
      </c>
      <c r="P3152" t="b">
        <f>AND(TrafficData[[#This Row],[pendingCourt]]&lt;=TrafficData[[#This Row],[totalCourt]],TrafficData[[#This Row],[disposedCourt]]&lt;=TrafficData[[#This Row],[totalCourt]])</f>
        <v>1</v>
      </c>
    </row>
    <row r="3153" spans="1:16">
      <c r="A3153" s="1">
        <v>45157</v>
      </c>
      <c r="B3153">
        <v>198611</v>
      </c>
      <c r="C3153">
        <v>80549</v>
      </c>
      <c r="D3153">
        <v>118062</v>
      </c>
      <c r="E3153">
        <v>177112020</v>
      </c>
      <c r="F3153">
        <v>112849788</v>
      </c>
      <c r="G3153">
        <v>289961808</v>
      </c>
      <c r="H3153">
        <v>60908</v>
      </c>
      <c r="I3153">
        <v>12603</v>
      </c>
      <c r="J3153">
        <v>73511</v>
      </c>
      <c r="K3153" t="b">
        <f>TrafficData[[#This Row],[disposedChallan]]+TrafficData[[#This Row],[pendingChallan]]=TrafficData[[#This Row],[totalChallan]]</f>
        <v>1</v>
      </c>
      <c r="L3153" t="b">
        <f>TrafficData[[#This Row],[pendingAmount]]+TrafficData[[#This Row],[disposedAmount]]=TrafficData[[#This Row],[totalAmount]]</f>
        <v>1</v>
      </c>
      <c r="M3153" t="b">
        <f>TrafficData[[#This Row],[pendingCourt]]+TrafficData[[#This Row],[disposedCourt]]=TrafficData[[#This Row],[totalCourt]]</f>
        <v>1</v>
      </c>
      <c r="N3153" t="b">
        <f>AND(TrafficData[[#This Row],[disposedChallan]]&lt;=TrafficData[[#This Row],[totalChallan]],TrafficData[[#This Row],[pendingChallan]]&lt;=TrafficData[[#This Row],[totalChallan]])</f>
        <v>1</v>
      </c>
      <c r="O3153" t="b">
        <f>AND(TrafficData[[#This Row],[pendingAmount]]&lt;=TrafficData[[#This Row],[totalAmount]],TrafficData[[#This Row],[disposedAmount]]&lt;=TrafficData[[#This Row],[totalAmount]])</f>
        <v>1</v>
      </c>
      <c r="P3153" t="b">
        <f>AND(TrafficData[[#This Row],[pendingCourt]]&lt;=TrafficData[[#This Row],[totalCourt]],TrafficData[[#This Row],[disposedCourt]]&lt;=TrafficData[[#This Row],[totalCourt]])</f>
        <v>1</v>
      </c>
    </row>
    <row r="3154" spans="1:16">
      <c r="A3154" s="1">
        <v>45158</v>
      </c>
      <c r="B3154">
        <v>165239</v>
      </c>
      <c r="C3154">
        <v>66352</v>
      </c>
      <c r="D3154">
        <v>98887</v>
      </c>
      <c r="E3154">
        <v>133720046</v>
      </c>
      <c r="F3154">
        <v>78117890</v>
      </c>
      <c r="G3154">
        <v>211837936</v>
      </c>
      <c r="H3154">
        <v>51090</v>
      </c>
      <c r="I3154">
        <v>10035</v>
      </c>
      <c r="J3154">
        <v>61125</v>
      </c>
      <c r="K3154" t="b">
        <f>TrafficData[[#This Row],[disposedChallan]]+TrafficData[[#This Row],[pendingChallan]]=TrafficData[[#This Row],[totalChallan]]</f>
        <v>1</v>
      </c>
      <c r="L3154" t="b">
        <f>TrafficData[[#This Row],[pendingAmount]]+TrafficData[[#This Row],[disposedAmount]]=TrafficData[[#This Row],[totalAmount]]</f>
        <v>1</v>
      </c>
      <c r="M3154" t="b">
        <f>TrafficData[[#This Row],[pendingCourt]]+TrafficData[[#This Row],[disposedCourt]]=TrafficData[[#This Row],[totalCourt]]</f>
        <v>1</v>
      </c>
      <c r="N3154" t="b">
        <f>AND(TrafficData[[#This Row],[disposedChallan]]&lt;=TrafficData[[#This Row],[totalChallan]],TrafficData[[#This Row],[pendingChallan]]&lt;=TrafficData[[#This Row],[totalChallan]])</f>
        <v>1</v>
      </c>
      <c r="O3154" t="b">
        <f>AND(TrafficData[[#This Row],[pendingAmount]]&lt;=TrafficData[[#This Row],[totalAmount]],TrafficData[[#This Row],[disposedAmount]]&lt;=TrafficData[[#This Row],[totalAmount]])</f>
        <v>1</v>
      </c>
      <c r="P3154" t="b">
        <f>AND(TrafficData[[#This Row],[pendingCourt]]&lt;=TrafficData[[#This Row],[totalCourt]],TrafficData[[#This Row],[disposedCourt]]&lt;=TrafficData[[#This Row],[totalCourt]])</f>
        <v>1</v>
      </c>
    </row>
    <row r="3155" spans="1:16">
      <c r="A3155" s="1">
        <v>45159</v>
      </c>
      <c r="B3155">
        <v>193015</v>
      </c>
      <c r="C3155">
        <v>77246</v>
      </c>
      <c r="D3155">
        <v>115769</v>
      </c>
      <c r="E3155">
        <v>177879912</v>
      </c>
      <c r="F3155">
        <v>105663116</v>
      </c>
      <c r="G3155">
        <v>283543028</v>
      </c>
      <c r="H3155">
        <v>58731</v>
      </c>
      <c r="I3155">
        <v>12295</v>
      </c>
      <c r="J3155">
        <v>71026</v>
      </c>
      <c r="K3155" t="b">
        <f>TrafficData[[#This Row],[disposedChallan]]+TrafficData[[#This Row],[pendingChallan]]=TrafficData[[#This Row],[totalChallan]]</f>
        <v>1</v>
      </c>
      <c r="L3155" t="b">
        <f>TrafficData[[#This Row],[pendingAmount]]+TrafficData[[#This Row],[disposedAmount]]=TrafficData[[#This Row],[totalAmount]]</f>
        <v>1</v>
      </c>
      <c r="M3155" t="b">
        <f>TrafficData[[#This Row],[pendingCourt]]+TrafficData[[#This Row],[disposedCourt]]=TrafficData[[#This Row],[totalCourt]]</f>
        <v>1</v>
      </c>
      <c r="N3155" t="b">
        <f>AND(TrafficData[[#This Row],[disposedChallan]]&lt;=TrafficData[[#This Row],[totalChallan]],TrafficData[[#This Row],[pendingChallan]]&lt;=TrafficData[[#This Row],[totalChallan]])</f>
        <v>1</v>
      </c>
      <c r="O3155" t="b">
        <f>AND(TrafficData[[#This Row],[pendingAmount]]&lt;=TrafficData[[#This Row],[totalAmount]],TrafficData[[#This Row],[disposedAmount]]&lt;=TrafficData[[#This Row],[totalAmount]])</f>
        <v>1</v>
      </c>
      <c r="P3155" t="b">
        <f>AND(TrafficData[[#This Row],[pendingCourt]]&lt;=TrafficData[[#This Row],[totalCourt]],TrafficData[[#This Row],[disposedCourt]]&lt;=TrafficData[[#This Row],[totalCourt]])</f>
        <v>1</v>
      </c>
    </row>
    <row r="3156" spans="1:16">
      <c r="A3156" s="1">
        <v>45160</v>
      </c>
      <c r="B3156">
        <v>202397</v>
      </c>
      <c r="C3156">
        <v>79041</v>
      </c>
      <c r="D3156">
        <v>123356</v>
      </c>
      <c r="E3156">
        <v>206622183</v>
      </c>
      <c r="F3156">
        <v>122726133</v>
      </c>
      <c r="G3156">
        <v>329348316</v>
      </c>
      <c r="H3156">
        <v>60974</v>
      </c>
      <c r="I3156">
        <v>11674</v>
      </c>
      <c r="J3156">
        <v>72648</v>
      </c>
      <c r="K3156" t="b">
        <f>TrafficData[[#This Row],[disposedChallan]]+TrafficData[[#This Row],[pendingChallan]]=TrafficData[[#This Row],[totalChallan]]</f>
        <v>1</v>
      </c>
      <c r="L3156" t="b">
        <f>TrafficData[[#This Row],[pendingAmount]]+TrafficData[[#This Row],[disposedAmount]]=TrafficData[[#This Row],[totalAmount]]</f>
        <v>1</v>
      </c>
      <c r="M3156" t="b">
        <f>TrafficData[[#This Row],[pendingCourt]]+TrafficData[[#This Row],[disposedCourt]]=TrafficData[[#This Row],[totalCourt]]</f>
        <v>1</v>
      </c>
      <c r="N3156" t="b">
        <f>AND(TrafficData[[#This Row],[disposedChallan]]&lt;=TrafficData[[#This Row],[totalChallan]],TrafficData[[#This Row],[pendingChallan]]&lt;=TrafficData[[#This Row],[totalChallan]])</f>
        <v>1</v>
      </c>
      <c r="O3156" t="b">
        <f>AND(TrafficData[[#This Row],[pendingAmount]]&lt;=TrafficData[[#This Row],[totalAmount]],TrafficData[[#This Row],[disposedAmount]]&lt;=TrafficData[[#This Row],[totalAmount]])</f>
        <v>1</v>
      </c>
      <c r="P3156" t="b">
        <f>AND(TrafficData[[#This Row],[pendingCourt]]&lt;=TrafficData[[#This Row],[totalCourt]],TrafficData[[#This Row],[disposedCourt]]&lt;=TrafficData[[#This Row],[totalCourt]])</f>
        <v>1</v>
      </c>
    </row>
    <row r="3157" spans="1:16">
      <c r="A3157" s="1">
        <v>45161</v>
      </c>
      <c r="B3157">
        <v>185758</v>
      </c>
      <c r="C3157">
        <v>76597</v>
      </c>
      <c r="D3157">
        <v>109161</v>
      </c>
      <c r="E3157">
        <v>177509689</v>
      </c>
      <c r="F3157">
        <v>115776019</v>
      </c>
      <c r="G3157">
        <v>293285708</v>
      </c>
      <c r="H3157">
        <v>51547</v>
      </c>
      <c r="I3157">
        <v>10996</v>
      </c>
      <c r="J3157">
        <v>62543</v>
      </c>
      <c r="K3157" t="b">
        <f>TrafficData[[#This Row],[disposedChallan]]+TrafficData[[#This Row],[pendingChallan]]=TrafficData[[#This Row],[totalChallan]]</f>
        <v>1</v>
      </c>
      <c r="L3157" t="b">
        <f>TrafficData[[#This Row],[pendingAmount]]+TrafficData[[#This Row],[disposedAmount]]=TrafficData[[#This Row],[totalAmount]]</f>
        <v>1</v>
      </c>
      <c r="M3157" t="b">
        <f>TrafficData[[#This Row],[pendingCourt]]+TrafficData[[#This Row],[disposedCourt]]=TrafficData[[#This Row],[totalCourt]]</f>
        <v>1</v>
      </c>
      <c r="N3157" t="b">
        <f>AND(TrafficData[[#This Row],[disposedChallan]]&lt;=TrafficData[[#This Row],[totalChallan]],TrafficData[[#This Row],[pendingChallan]]&lt;=TrafficData[[#This Row],[totalChallan]])</f>
        <v>1</v>
      </c>
      <c r="O3157" t="b">
        <f>AND(TrafficData[[#This Row],[pendingAmount]]&lt;=TrafficData[[#This Row],[totalAmount]],TrafficData[[#This Row],[disposedAmount]]&lt;=TrafficData[[#This Row],[totalAmount]])</f>
        <v>1</v>
      </c>
      <c r="P3157" t="b">
        <f>AND(TrafficData[[#This Row],[pendingCourt]]&lt;=TrafficData[[#This Row],[totalCourt]],TrafficData[[#This Row],[disposedCourt]]&lt;=TrafficData[[#This Row],[totalCourt]])</f>
        <v>1</v>
      </c>
    </row>
    <row r="3158" spans="1:16">
      <c r="A3158" s="1">
        <v>45162</v>
      </c>
      <c r="B3158">
        <v>211119</v>
      </c>
      <c r="C3158">
        <v>83301</v>
      </c>
      <c r="D3158">
        <v>127818</v>
      </c>
      <c r="E3158">
        <v>207301200</v>
      </c>
      <c r="F3158">
        <v>123192463</v>
      </c>
      <c r="G3158">
        <v>330493663</v>
      </c>
      <c r="H3158">
        <v>70940</v>
      </c>
      <c r="I3158">
        <v>14151</v>
      </c>
      <c r="J3158">
        <v>85091</v>
      </c>
      <c r="K3158" t="b">
        <f>TrafficData[[#This Row],[disposedChallan]]+TrafficData[[#This Row],[pendingChallan]]=TrafficData[[#This Row],[totalChallan]]</f>
        <v>1</v>
      </c>
      <c r="L3158" t="b">
        <f>TrafficData[[#This Row],[pendingAmount]]+TrafficData[[#This Row],[disposedAmount]]=TrafficData[[#This Row],[totalAmount]]</f>
        <v>1</v>
      </c>
      <c r="M3158" t="b">
        <f>TrafficData[[#This Row],[pendingCourt]]+TrafficData[[#This Row],[disposedCourt]]=TrafficData[[#This Row],[totalCourt]]</f>
        <v>1</v>
      </c>
      <c r="N3158" t="b">
        <f>AND(TrafficData[[#This Row],[disposedChallan]]&lt;=TrafficData[[#This Row],[totalChallan]],TrafficData[[#This Row],[pendingChallan]]&lt;=TrafficData[[#This Row],[totalChallan]])</f>
        <v>1</v>
      </c>
      <c r="O3158" t="b">
        <f>AND(TrafficData[[#This Row],[pendingAmount]]&lt;=TrafficData[[#This Row],[totalAmount]],TrafficData[[#This Row],[disposedAmount]]&lt;=TrafficData[[#This Row],[totalAmount]])</f>
        <v>1</v>
      </c>
      <c r="P3158" t="b">
        <f>AND(TrafficData[[#This Row],[pendingCourt]]&lt;=TrafficData[[#This Row],[totalCourt]],TrafficData[[#This Row],[disposedCourt]]&lt;=TrafficData[[#This Row],[totalCourt]])</f>
        <v>1</v>
      </c>
    </row>
    <row r="3159" spans="1:16">
      <c r="A3159" s="1">
        <v>45163</v>
      </c>
      <c r="B3159">
        <v>199293</v>
      </c>
      <c r="C3159">
        <v>81534</v>
      </c>
      <c r="D3159">
        <v>117759</v>
      </c>
      <c r="E3159">
        <v>191478495</v>
      </c>
      <c r="F3159">
        <v>118491524</v>
      </c>
      <c r="G3159">
        <v>309970019</v>
      </c>
      <c r="H3159">
        <v>65566</v>
      </c>
      <c r="I3159">
        <v>13692</v>
      </c>
      <c r="J3159">
        <v>79258</v>
      </c>
      <c r="K3159" t="b">
        <f>TrafficData[[#This Row],[disposedChallan]]+TrafficData[[#This Row],[pendingChallan]]=TrafficData[[#This Row],[totalChallan]]</f>
        <v>1</v>
      </c>
      <c r="L3159" t="b">
        <f>TrafficData[[#This Row],[pendingAmount]]+TrafficData[[#This Row],[disposedAmount]]=TrafficData[[#This Row],[totalAmount]]</f>
        <v>1</v>
      </c>
      <c r="M3159" t="b">
        <f>TrafficData[[#This Row],[pendingCourt]]+TrafficData[[#This Row],[disposedCourt]]=TrafficData[[#This Row],[totalCourt]]</f>
        <v>1</v>
      </c>
      <c r="N3159" t="b">
        <f>AND(TrafficData[[#This Row],[disposedChallan]]&lt;=TrafficData[[#This Row],[totalChallan]],TrafficData[[#This Row],[pendingChallan]]&lt;=TrafficData[[#This Row],[totalChallan]])</f>
        <v>1</v>
      </c>
      <c r="O3159" t="b">
        <f>AND(TrafficData[[#This Row],[pendingAmount]]&lt;=TrafficData[[#This Row],[totalAmount]],TrafficData[[#This Row],[disposedAmount]]&lt;=TrafficData[[#This Row],[totalAmount]])</f>
        <v>1</v>
      </c>
      <c r="P3159" t="b">
        <f>AND(TrafficData[[#This Row],[pendingCourt]]&lt;=TrafficData[[#This Row],[totalCourt]],TrafficData[[#This Row],[disposedCourt]]&lt;=TrafficData[[#This Row],[totalCourt]])</f>
        <v>1</v>
      </c>
    </row>
    <row r="3160" spans="1:16">
      <c r="A3160" s="1">
        <v>45164</v>
      </c>
      <c r="B3160">
        <v>189378</v>
      </c>
      <c r="C3160">
        <v>79514</v>
      </c>
      <c r="D3160">
        <v>109864</v>
      </c>
      <c r="E3160">
        <v>171902640</v>
      </c>
      <c r="F3160">
        <v>104001143</v>
      </c>
      <c r="G3160">
        <v>275903783</v>
      </c>
      <c r="H3160">
        <v>59888</v>
      </c>
      <c r="I3160">
        <v>12575</v>
      </c>
      <c r="J3160">
        <v>72463</v>
      </c>
      <c r="K3160" t="b">
        <f>TrafficData[[#This Row],[disposedChallan]]+TrafficData[[#This Row],[pendingChallan]]=TrafficData[[#This Row],[totalChallan]]</f>
        <v>1</v>
      </c>
      <c r="L3160" t="b">
        <f>TrafficData[[#This Row],[pendingAmount]]+TrafficData[[#This Row],[disposedAmount]]=TrafficData[[#This Row],[totalAmount]]</f>
        <v>1</v>
      </c>
      <c r="M3160" t="b">
        <f>TrafficData[[#This Row],[pendingCourt]]+TrafficData[[#This Row],[disposedCourt]]=TrafficData[[#This Row],[totalCourt]]</f>
        <v>1</v>
      </c>
      <c r="N3160" t="b">
        <f>AND(TrafficData[[#This Row],[disposedChallan]]&lt;=TrafficData[[#This Row],[totalChallan]],TrafficData[[#This Row],[pendingChallan]]&lt;=TrafficData[[#This Row],[totalChallan]])</f>
        <v>1</v>
      </c>
      <c r="O3160" t="b">
        <f>AND(TrafficData[[#This Row],[pendingAmount]]&lt;=TrafficData[[#This Row],[totalAmount]],TrafficData[[#This Row],[disposedAmount]]&lt;=TrafficData[[#This Row],[totalAmount]])</f>
        <v>1</v>
      </c>
      <c r="P3160" t="b">
        <f>AND(TrafficData[[#This Row],[pendingCourt]]&lt;=TrafficData[[#This Row],[totalCourt]],TrafficData[[#This Row],[disposedCourt]]&lt;=TrafficData[[#This Row],[totalCourt]])</f>
        <v>1</v>
      </c>
    </row>
    <row r="3161" spans="1:16">
      <c r="A3161" s="1">
        <v>45165</v>
      </c>
      <c r="B3161">
        <v>181892</v>
      </c>
      <c r="C3161">
        <v>71899</v>
      </c>
      <c r="D3161">
        <v>109993</v>
      </c>
      <c r="E3161">
        <v>151055091</v>
      </c>
      <c r="F3161">
        <v>83493736</v>
      </c>
      <c r="G3161">
        <v>234548827</v>
      </c>
      <c r="H3161">
        <v>52395</v>
      </c>
      <c r="I3161">
        <v>11037</v>
      </c>
      <c r="J3161">
        <v>63432</v>
      </c>
      <c r="K3161" t="b">
        <f>TrafficData[[#This Row],[disposedChallan]]+TrafficData[[#This Row],[pendingChallan]]=TrafficData[[#This Row],[totalChallan]]</f>
        <v>1</v>
      </c>
      <c r="L3161" t="b">
        <f>TrafficData[[#This Row],[pendingAmount]]+TrafficData[[#This Row],[disposedAmount]]=TrafficData[[#This Row],[totalAmount]]</f>
        <v>1</v>
      </c>
      <c r="M3161" t="b">
        <f>TrafficData[[#This Row],[pendingCourt]]+TrafficData[[#This Row],[disposedCourt]]=TrafficData[[#This Row],[totalCourt]]</f>
        <v>1</v>
      </c>
      <c r="N3161" t="b">
        <f>AND(TrafficData[[#This Row],[disposedChallan]]&lt;=TrafficData[[#This Row],[totalChallan]],TrafficData[[#This Row],[pendingChallan]]&lt;=TrafficData[[#This Row],[totalChallan]])</f>
        <v>1</v>
      </c>
      <c r="O3161" t="b">
        <f>AND(TrafficData[[#This Row],[pendingAmount]]&lt;=TrafficData[[#This Row],[totalAmount]],TrafficData[[#This Row],[disposedAmount]]&lt;=TrafficData[[#This Row],[totalAmount]])</f>
        <v>1</v>
      </c>
      <c r="P3161" t="b">
        <f>AND(TrafficData[[#This Row],[pendingCourt]]&lt;=TrafficData[[#This Row],[totalCourt]],TrafficData[[#This Row],[disposedCourt]]&lt;=TrafficData[[#This Row],[totalCourt]])</f>
        <v>1</v>
      </c>
    </row>
    <row r="3162" spans="1:16">
      <c r="A3162" s="1">
        <v>45166</v>
      </c>
      <c r="B3162">
        <v>203294</v>
      </c>
      <c r="C3162">
        <v>77435</v>
      </c>
      <c r="D3162">
        <v>125859</v>
      </c>
      <c r="E3162">
        <v>186121451</v>
      </c>
      <c r="F3162">
        <v>100351122</v>
      </c>
      <c r="G3162">
        <v>286472573</v>
      </c>
      <c r="H3162">
        <v>59104</v>
      </c>
      <c r="I3162">
        <v>11816</v>
      </c>
      <c r="J3162">
        <v>70920</v>
      </c>
      <c r="K3162" t="b">
        <f>TrafficData[[#This Row],[disposedChallan]]+TrafficData[[#This Row],[pendingChallan]]=TrafficData[[#This Row],[totalChallan]]</f>
        <v>1</v>
      </c>
      <c r="L3162" t="b">
        <f>TrafficData[[#This Row],[pendingAmount]]+TrafficData[[#This Row],[disposedAmount]]=TrafficData[[#This Row],[totalAmount]]</f>
        <v>1</v>
      </c>
      <c r="M3162" t="b">
        <f>TrafficData[[#This Row],[pendingCourt]]+TrafficData[[#This Row],[disposedCourt]]=TrafficData[[#This Row],[totalCourt]]</f>
        <v>1</v>
      </c>
      <c r="N3162" t="b">
        <f>AND(TrafficData[[#This Row],[disposedChallan]]&lt;=TrafficData[[#This Row],[totalChallan]],TrafficData[[#This Row],[pendingChallan]]&lt;=TrafficData[[#This Row],[totalChallan]])</f>
        <v>1</v>
      </c>
      <c r="O3162" t="b">
        <f>AND(TrafficData[[#This Row],[pendingAmount]]&lt;=TrafficData[[#This Row],[totalAmount]],TrafficData[[#This Row],[disposedAmount]]&lt;=TrafficData[[#This Row],[totalAmount]])</f>
        <v>1</v>
      </c>
      <c r="P3162" t="b">
        <f>AND(TrafficData[[#This Row],[pendingCourt]]&lt;=TrafficData[[#This Row],[totalCourt]],TrafficData[[#This Row],[disposedCourt]]&lt;=TrafficData[[#This Row],[totalCourt]])</f>
        <v>1</v>
      </c>
    </row>
    <row r="3163" spans="1:16">
      <c r="A3163" s="1">
        <v>45167</v>
      </c>
      <c r="B3163">
        <v>202234</v>
      </c>
      <c r="C3163">
        <v>76123</v>
      </c>
      <c r="D3163">
        <v>126111</v>
      </c>
      <c r="E3163">
        <v>199871585</v>
      </c>
      <c r="F3163">
        <v>106326510</v>
      </c>
      <c r="G3163">
        <v>306198095</v>
      </c>
      <c r="H3163">
        <v>63511</v>
      </c>
      <c r="I3163">
        <v>12782</v>
      </c>
      <c r="J3163">
        <v>76293</v>
      </c>
      <c r="K3163" t="b">
        <f>TrafficData[[#This Row],[disposedChallan]]+TrafficData[[#This Row],[pendingChallan]]=TrafficData[[#This Row],[totalChallan]]</f>
        <v>1</v>
      </c>
      <c r="L3163" t="b">
        <f>TrafficData[[#This Row],[pendingAmount]]+TrafficData[[#This Row],[disposedAmount]]=TrafficData[[#This Row],[totalAmount]]</f>
        <v>1</v>
      </c>
      <c r="M3163" t="b">
        <f>TrafficData[[#This Row],[pendingCourt]]+TrafficData[[#This Row],[disposedCourt]]=TrafficData[[#This Row],[totalCourt]]</f>
        <v>1</v>
      </c>
      <c r="N3163" t="b">
        <f>AND(TrafficData[[#This Row],[disposedChallan]]&lt;=TrafficData[[#This Row],[totalChallan]],TrafficData[[#This Row],[pendingChallan]]&lt;=TrafficData[[#This Row],[totalChallan]])</f>
        <v>1</v>
      </c>
      <c r="O3163" t="b">
        <f>AND(TrafficData[[#This Row],[pendingAmount]]&lt;=TrafficData[[#This Row],[totalAmount]],TrafficData[[#This Row],[disposedAmount]]&lt;=TrafficData[[#This Row],[totalAmount]])</f>
        <v>1</v>
      </c>
      <c r="P3163" t="b">
        <f>AND(TrafficData[[#This Row],[pendingCourt]]&lt;=TrafficData[[#This Row],[totalCourt]],TrafficData[[#This Row],[disposedCourt]]&lt;=TrafficData[[#This Row],[totalCourt]])</f>
        <v>1</v>
      </c>
    </row>
    <row r="3164" spans="1:16">
      <c r="A3164" s="1">
        <v>45168</v>
      </c>
      <c r="B3164">
        <v>182331</v>
      </c>
      <c r="C3164">
        <v>69416</v>
      </c>
      <c r="D3164">
        <v>112915</v>
      </c>
      <c r="E3164">
        <v>170586965</v>
      </c>
      <c r="F3164">
        <v>81540530</v>
      </c>
      <c r="G3164">
        <v>252127495</v>
      </c>
      <c r="H3164">
        <v>55766</v>
      </c>
      <c r="I3164">
        <v>11676</v>
      </c>
      <c r="J3164">
        <v>67442</v>
      </c>
      <c r="K3164" t="b">
        <f>TrafficData[[#This Row],[disposedChallan]]+TrafficData[[#This Row],[pendingChallan]]=TrafficData[[#This Row],[totalChallan]]</f>
        <v>1</v>
      </c>
      <c r="L3164" t="b">
        <f>TrafficData[[#This Row],[pendingAmount]]+TrafficData[[#This Row],[disposedAmount]]=TrafficData[[#This Row],[totalAmount]]</f>
        <v>1</v>
      </c>
      <c r="M3164" t="b">
        <f>TrafficData[[#This Row],[pendingCourt]]+TrafficData[[#This Row],[disposedCourt]]=TrafficData[[#This Row],[totalCourt]]</f>
        <v>1</v>
      </c>
      <c r="N3164" t="b">
        <f>AND(TrafficData[[#This Row],[disposedChallan]]&lt;=TrafficData[[#This Row],[totalChallan]],TrafficData[[#This Row],[pendingChallan]]&lt;=TrafficData[[#This Row],[totalChallan]])</f>
        <v>1</v>
      </c>
      <c r="O3164" t="b">
        <f>AND(TrafficData[[#This Row],[pendingAmount]]&lt;=TrafficData[[#This Row],[totalAmount]],TrafficData[[#This Row],[disposedAmount]]&lt;=TrafficData[[#This Row],[totalAmount]])</f>
        <v>1</v>
      </c>
      <c r="P3164" t="b">
        <f>AND(TrafficData[[#This Row],[pendingCourt]]&lt;=TrafficData[[#This Row],[totalCourt]],TrafficData[[#This Row],[disposedCourt]]&lt;=TrafficData[[#This Row],[totalCourt]])</f>
        <v>1</v>
      </c>
    </row>
    <row r="3165" spans="1:16">
      <c r="A3165" s="1">
        <v>45169</v>
      </c>
      <c r="B3165">
        <v>169061</v>
      </c>
      <c r="C3165">
        <v>66673</v>
      </c>
      <c r="D3165">
        <v>102388</v>
      </c>
      <c r="E3165">
        <v>141200210</v>
      </c>
      <c r="F3165">
        <v>78758996</v>
      </c>
      <c r="G3165">
        <v>219959206</v>
      </c>
      <c r="H3165">
        <v>46245</v>
      </c>
      <c r="I3165">
        <v>9380</v>
      </c>
      <c r="J3165">
        <v>55625</v>
      </c>
      <c r="K3165" t="b">
        <f>TrafficData[[#This Row],[disposedChallan]]+TrafficData[[#This Row],[pendingChallan]]=TrafficData[[#This Row],[totalChallan]]</f>
        <v>1</v>
      </c>
      <c r="L3165" t="b">
        <f>TrafficData[[#This Row],[pendingAmount]]+TrafficData[[#This Row],[disposedAmount]]=TrafficData[[#This Row],[totalAmount]]</f>
        <v>1</v>
      </c>
      <c r="M3165" t="b">
        <f>TrafficData[[#This Row],[pendingCourt]]+TrafficData[[#This Row],[disposedCourt]]=TrafficData[[#This Row],[totalCourt]]</f>
        <v>1</v>
      </c>
      <c r="N3165" t="b">
        <f>AND(TrafficData[[#This Row],[disposedChallan]]&lt;=TrafficData[[#This Row],[totalChallan]],TrafficData[[#This Row],[pendingChallan]]&lt;=TrafficData[[#This Row],[totalChallan]])</f>
        <v>1</v>
      </c>
      <c r="O3165" t="b">
        <f>AND(TrafficData[[#This Row],[pendingAmount]]&lt;=TrafficData[[#This Row],[totalAmount]],TrafficData[[#This Row],[disposedAmount]]&lt;=TrafficData[[#This Row],[totalAmount]])</f>
        <v>1</v>
      </c>
      <c r="P3165" t="b">
        <f>AND(TrafficData[[#This Row],[pendingCourt]]&lt;=TrafficData[[#This Row],[totalCourt]],TrafficData[[#This Row],[disposedCourt]]&lt;=TrafficData[[#This Row],[totalCourt]])</f>
        <v>1</v>
      </c>
    </row>
    <row r="3166" spans="1:16">
      <c r="A3166" s="1">
        <v>45170</v>
      </c>
      <c r="B3166">
        <v>189140</v>
      </c>
      <c r="C3166">
        <v>77882</v>
      </c>
      <c r="D3166">
        <v>111258</v>
      </c>
      <c r="E3166">
        <v>162901812</v>
      </c>
      <c r="F3166">
        <v>109194172</v>
      </c>
      <c r="G3166">
        <v>272095984</v>
      </c>
      <c r="H3166">
        <v>55189</v>
      </c>
      <c r="I3166">
        <v>10518</v>
      </c>
      <c r="J3166">
        <v>65707</v>
      </c>
      <c r="K3166" t="b">
        <f>TrafficData[[#This Row],[disposedChallan]]+TrafficData[[#This Row],[pendingChallan]]=TrafficData[[#This Row],[totalChallan]]</f>
        <v>1</v>
      </c>
      <c r="L3166" t="b">
        <f>TrafficData[[#This Row],[pendingAmount]]+TrafficData[[#This Row],[disposedAmount]]=TrafficData[[#This Row],[totalAmount]]</f>
        <v>1</v>
      </c>
      <c r="M3166" t="b">
        <f>TrafficData[[#This Row],[pendingCourt]]+TrafficData[[#This Row],[disposedCourt]]=TrafficData[[#This Row],[totalCourt]]</f>
        <v>1</v>
      </c>
      <c r="N3166" t="b">
        <f>AND(TrafficData[[#This Row],[disposedChallan]]&lt;=TrafficData[[#This Row],[totalChallan]],TrafficData[[#This Row],[pendingChallan]]&lt;=TrafficData[[#This Row],[totalChallan]])</f>
        <v>1</v>
      </c>
      <c r="O3166" t="b">
        <f>AND(TrafficData[[#This Row],[pendingAmount]]&lt;=TrafficData[[#This Row],[totalAmount]],TrafficData[[#This Row],[disposedAmount]]&lt;=TrafficData[[#This Row],[totalAmount]])</f>
        <v>1</v>
      </c>
      <c r="P3166" t="b">
        <f>AND(TrafficData[[#This Row],[pendingCourt]]&lt;=TrafficData[[#This Row],[totalCourt]],TrafficData[[#This Row],[disposedCourt]]&lt;=TrafficData[[#This Row],[totalCourt]])</f>
        <v>1</v>
      </c>
    </row>
    <row r="3167" spans="1:16">
      <c r="A3167" s="1">
        <v>45171</v>
      </c>
      <c r="B3167">
        <v>187008</v>
      </c>
      <c r="C3167">
        <v>78579</v>
      </c>
      <c r="D3167">
        <v>108429</v>
      </c>
      <c r="E3167">
        <v>160788573</v>
      </c>
      <c r="F3167">
        <v>109522218</v>
      </c>
      <c r="G3167">
        <v>270310791</v>
      </c>
      <c r="H3167">
        <v>53281</v>
      </c>
      <c r="I3167">
        <v>10875</v>
      </c>
      <c r="J3167">
        <v>64156</v>
      </c>
      <c r="K3167" t="b">
        <f>TrafficData[[#This Row],[disposedChallan]]+TrafficData[[#This Row],[pendingChallan]]=TrafficData[[#This Row],[totalChallan]]</f>
        <v>1</v>
      </c>
      <c r="L3167" t="b">
        <f>TrafficData[[#This Row],[pendingAmount]]+TrafficData[[#This Row],[disposedAmount]]=TrafficData[[#This Row],[totalAmount]]</f>
        <v>1</v>
      </c>
      <c r="M3167" t="b">
        <f>TrafficData[[#This Row],[pendingCourt]]+TrafficData[[#This Row],[disposedCourt]]=TrafficData[[#This Row],[totalCourt]]</f>
        <v>1</v>
      </c>
      <c r="N3167" t="b">
        <f>AND(TrafficData[[#This Row],[disposedChallan]]&lt;=TrafficData[[#This Row],[totalChallan]],TrafficData[[#This Row],[pendingChallan]]&lt;=TrafficData[[#This Row],[totalChallan]])</f>
        <v>1</v>
      </c>
      <c r="O3167" t="b">
        <f>AND(TrafficData[[#This Row],[pendingAmount]]&lt;=TrafficData[[#This Row],[totalAmount]],TrafficData[[#This Row],[disposedAmount]]&lt;=TrafficData[[#This Row],[totalAmount]])</f>
        <v>1</v>
      </c>
      <c r="P3167" t="b">
        <f>AND(TrafficData[[#This Row],[pendingCourt]]&lt;=TrafficData[[#This Row],[totalCourt]],TrafficData[[#This Row],[disposedCourt]]&lt;=TrafficData[[#This Row],[totalCourt]])</f>
        <v>1</v>
      </c>
    </row>
    <row r="3168" spans="1:16">
      <c r="A3168" s="1">
        <v>45172</v>
      </c>
      <c r="B3168">
        <v>178980</v>
      </c>
      <c r="C3168">
        <v>72075</v>
      </c>
      <c r="D3168">
        <v>106905</v>
      </c>
      <c r="E3168">
        <v>141312663</v>
      </c>
      <c r="F3168">
        <v>89423090</v>
      </c>
      <c r="G3168">
        <v>230735753</v>
      </c>
      <c r="H3168">
        <v>52236</v>
      </c>
      <c r="I3168">
        <v>9983</v>
      </c>
      <c r="J3168">
        <v>62219</v>
      </c>
      <c r="K3168" t="b">
        <f>TrafficData[[#This Row],[disposedChallan]]+TrafficData[[#This Row],[pendingChallan]]=TrafficData[[#This Row],[totalChallan]]</f>
        <v>1</v>
      </c>
      <c r="L3168" t="b">
        <f>TrafficData[[#This Row],[pendingAmount]]+TrafficData[[#This Row],[disposedAmount]]=TrafficData[[#This Row],[totalAmount]]</f>
        <v>1</v>
      </c>
      <c r="M3168" t="b">
        <f>TrafficData[[#This Row],[pendingCourt]]+TrafficData[[#This Row],[disposedCourt]]=TrafficData[[#This Row],[totalCourt]]</f>
        <v>1</v>
      </c>
      <c r="N3168" t="b">
        <f>AND(TrafficData[[#This Row],[disposedChallan]]&lt;=TrafficData[[#This Row],[totalChallan]],TrafficData[[#This Row],[pendingChallan]]&lt;=TrafficData[[#This Row],[totalChallan]])</f>
        <v>1</v>
      </c>
      <c r="O3168" t="b">
        <f>AND(TrafficData[[#This Row],[pendingAmount]]&lt;=TrafficData[[#This Row],[totalAmount]],TrafficData[[#This Row],[disposedAmount]]&lt;=TrafficData[[#This Row],[totalAmount]])</f>
        <v>1</v>
      </c>
      <c r="P3168" t="b">
        <f>AND(TrafficData[[#This Row],[pendingCourt]]&lt;=TrafficData[[#This Row],[totalCourt]],TrafficData[[#This Row],[disposedCourt]]&lt;=TrafficData[[#This Row],[totalCourt]])</f>
        <v>1</v>
      </c>
    </row>
    <row r="3169" spans="1:16">
      <c r="A3169" s="1">
        <v>45173</v>
      </c>
      <c r="B3169">
        <v>193690</v>
      </c>
      <c r="C3169">
        <v>78863</v>
      </c>
      <c r="D3169">
        <v>114827</v>
      </c>
      <c r="E3169">
        <v>177144128</v>
      </c>
      <c r="F3169">
        <v>112977777</v>
      </c>
      <c r="G3169">
        <v>290121905</v>
      </c>
      <c r="H3169">
        <v>60121</v>
      </c>
      <c r="I3169">
        <v>11324</v>
      </c>
      <c r="J3169">
        <v>71445</v>
      </c>
      <c r="K3169" t="b">
        <f>TrafficData[[#This Row],[disposedChallan]]+TrafficData[[#This Row],[pendingChallan]]=TrafficData[[#This Row],[totalChallan]]</f>
        <v>1</v>
      </c>
      <c r="L3169" t="b">
        <f>TrafficData[[#This Row],[pendingAmount]]+TrafficData[[#This Row],[disposedAmount]]=TrafficData[[#This Row],[totalAmount]]</f>
        <v>1</v>
      </c>
      <c r="M3169" t="b">
        <f>TrafficData[[#This Row],[pendingCourt]]+TrafficData[[#This Row],[disposedCourt]]=TrafficData[[#This Row],[totalCourt]]</f>
        <v>1</v>
      </c>
      <c r="N3169" t="b">
        <f>AND(TrafficData[[#This Row],[disposedChallan]]&lt;=TrafficData[[#This Row],[totalChallan]],TrafficData[[#This Row],[pendingChallan]]&lt;=TrafficData[[#This Row],[totalChallan]])</f>
        <v>1</v>
      </c>
      <c r="O3169" t="b">
        <f>AND(TrafficData[[#This Row],[pendingAmount]]&lt;=TrafficData[[#This Row],[totalAmount]],TrafficData[[#This Row],[disposedAmount]]&lt;=TrafficData[[#This Row],[totalAmount]])</f>
        <v>1</v>
      </c>
      <c r="P3169" t="b">
        <f>AND(TrafficData[[#This Row],[pendingCourt]]&lt;=TrafficData[[#This Row],[totalCourt]],TrafficData[[#This Row],[disposedCourt]]&lt;=TrafficData[[#This Row],[totalCourt]])</f>
        <v>1</v>
      </c>
    </row>
    <row r="3170" spans="1:16">
      <c r="A3170" s="1">
        <v>45174</v>
      </c>
      <c r="B3170">
        <v>194783</v>
      </c>
      <c r="C3170">
        <v>78125</v>
      </c>
      <c r="D3170">
        <v>116658</v>
      </c>
      <c r="E3170">
        <v>175966977</v>
      </c>
      <c r="F3170">
        <v>131185493</v>
      </c>
      <c r="G3170">
        <v>307152470</v>
      </c>
      <c r="H3170">
        <v>59752</v>
      </c>
      <c r="I3170">
        <v>11338</v>
      </c>
      <c r="J3170">
        <v>71090</v>
      </c>
      <c r="K3170" t="b">
        <f>TrafficData[[#This Row],[disposedChallan]]+TrafficData[[#This Row],[pendingChallan]]=TrafficData[[#This Row],[totalChallan]]</f>
        <v>1</v>
      </c>
      <c r="L3170" t="b">
        <f>TrafficData[[#This Row],[pendingAmount]]+TrafficData[[#This Row],[disposedAmount]]=TrafficData[[#This Row],[totalAmount]]</f>
        <v>1</v>
      </c>
      <c r="M3170" t="b">
        <f>TrafficData[[#This Row],[pendingCourt]]+TrafficData[[#This Row],[disposedCourt]]=TrafficData[[#This Row],[totalCourt]]</f>
        <v>1</v>
      </c>
      <c r="N3170" t="b">
        <f>AND(TrafficData[[#This Row],[disposedChallan]]&lt;=TrafficData[[#This Row],[totalChallan]],TrafficData[[#This Row],[pendingChallan]]&lt;=TrafficData[[#This Row],[totalChallan]])</f>
        <v>1</v>
      </c>
      <c r="O3170" t="b">
        <f>AND(TrafficData[[#This Row],[pendingAmount]]&lt;=TrafficData[[#This Row],[totalAmount]],TrafficData[[#This Row],[disposedAmount]]&lt;=TrafficData[[#This Row],[totalAmount]])</f>
        <v>1</v>
      </c>
      <c r="P3170" t="b">
        <f>AND(TrafficData[[#This Row],[pendingCourt]]&lt;=TrafficData[[#This Row],[totalCourt]],TrafficData[[#This Row],[disposedCourt]]&lt;=TrafficData[[#This Row],[totalCourt]])</f>
        <v>1</v>
      </c>
    </row>
    <row r="3171" spans="1:16">
      <c r="A3171" s="1">
        <v>45175</v>
      </c>
      <c r="B3171">
        <v>187872</v>
      </c>
      <c r="C3171">
        <v>73265</v>
      </c>
      <c r="D3171">
        <v>114607</v>
      </c>
      <c r="E3171">
        <v>173906951</v>
      </c>
      <c r="F3171">
        <v>118070407</v>
      </c>
      <c r="G3171">
        <v>291977358</v>
      </c>
      <c r="H3171">
        <v>57982</v>
      </c>
      <c r="I3171">
        <v>11028</v>
      </c>
      <c r="J3171">
        <v>69010</v>
      </c>
      <c r="K3171" t="b">
        <f>TrafficData[[#This Row],[disposedChallan]]+TrafficData[[#This Row],[pendingChallan]]=TrafficData[[#This Row],[totalChallan]]</f>
        <v>1</v>
      </c>
      <c r="L3171" t="b">
        <f>TrafficData[[#This Row],[pendingAmount]]+TrafficData[[#This Row],[disposedAmount]]=TrafficData[[#This Row],[totalAmount]]</f>
        <v>1</v>
      </c>
      <c r="M3171" t="b">
        <f>TrafficData[[#This Row],[pendingCourt]]+TrafficData[[#This Row],[disposedCourt]]=TrafficData[[#This Row],[totalCourt]]</f>
        <v>1</v>
      </c>
      <c r="N3171" t="b">
        <f>AND(TrafficData[[#This Row],[disposedChallan]]&lt;=TrafficData[[#This Row],[totalChallan]],TrafficData[[#This Row],[pendingChallan]]&lt;=TrafficData[[#This Row],[totalChallan]])</f>
        <v>1</v>
      </c>
      <c r="O3171" t="b">
        <f>AND(TrafficData[[#This Row],[pendingAmount]]&lt;=TrafficData[[#This Row],[totalAmount]],TrafficData[[#This Row],[disposedAmount]]&lt;=TrafficData[[#This Row],[totalAmount]])</f>
        <v>1</v>
      </c>
      <c r="P3171" t="b">
        <f>AND(TrafficData[[#This Row],[pendingCourt]]&lt;=TrafficData[[#This Row],[totalCourt]],TrafficData[[#This Row],[disposedCourt]]&lt;=TrafficData[[#This Row],[totalCourt]])</f>
        <v>1</v>
      </c>
    </row>
    <row r="3172" spans="1:16">
      <c r="A3172" s="1">
        <v>45176</v>
      </c>
      <c r="B3172">
        <v>169208</v>
      </c>
      <c r="C3172">
        <v>66413</v>
      </c>
      <c r="D3172">
        <v>102795</v>
      </c>
      <c r="E3172">
        <v>149365155</v>
      </c>
      <c r="F3172">
        <v>95391441</v>
      </c>
      <c r="G3172">
        <v>244756596</v>
      </c>
      <c r="H3172">
        <v>48704</v>
      </c>
      <c r="I3172">
        <v>8666</v>
      </c>
      <c r="J3172">
        <v>57370</v>
      </c>
      <c r="K3172" t="b">
        <f>TrafficData[[#This Row],[disposedChallan]]+TrafficData[[#This Row],[pendingChallan]]=TrafficData[[#This Row],[totalChallan]]</f>
        <v>1</v>
      </c>
      <c r="L3172" t="b">
        <f>TrafficData[[#This Row],[pendingAmount]]+TrafficData[[#This Row],[disposedAmount]]=TrafficData[[#This Row],[totalAmount]]</f>
        <v>1</v>
      </c>
      <c r="M3172" t="b">
        <f>TrafficData[[#This Row],[pendingCourt]]+TrafficData[[#This Row],[disposedCourt]]=TrafficData[[#This Row],[totalCourt]]</f>
        <v>1</v>
      </c>
      <c r="N3172" t="b">
        <f>AND(TrafficData[[#This Row],[disposedChallan]]&lt;=TrafficData[[#This Row],[totalChallan]],TrafficData[[#This Row],[pendingChallan]]&lt;=TrafficData[[#This Row],[totalChallan]])</f>
        <v>1</v>
      </c>
      <c r="O3172" t="b">
        <f>AND(TrafficData[[#This Row],[pendingAmount]]&lt;=TrafficData[[#This Row],[totalAmount]],TrafficData[[#This Row],[disposedAmount]]&lt;=TrafficData[[#This Row],[totalAmount]])</f>
        <v>1</v>
      </c>
      <c r="P3172" t="b">
        <f>AND(TrafficData[[#This Row],[pendingCourt]]&lt;=TrafficData[[#This Row],[totalCourt]],TrafficData[[#This Row],[disposedCourt]]&lt;=TrafficData[[#This Row],[totalCourt]])</f>
        <v>1</v>
      </c>
    </row>
    <row r="3173" spans="1:16">
      <c r="A3173" s="1">
        <v>45177</v>
      </c>
      <c r="B3173">
        <v>180699</v>
      </c>
      <c r="C3173">
        <v>71984</v>
      </c>
      <c r="D3173">
        <v>108715</v>
      </c>
      <c r="E3173">
        <v>160767686</v>
      </c>
      <c r="F3173">
        <v>109318650</v>
      </c>
      <c r="G3173">
        <v>270086336</v>
      </c>
      <c r="H3173">
        <v>54757</v>
      </c>
      <c r="I3173">
        <v>10103</v>
      </c>
      <c r="J3173">
        <v>64860</v>
      </c>
      <c r="K3173" t="b">
        <f>TrafficData[[#This Row],[disposedChallan]]+TrafficData[[#This Row],[pendingChallan]]=TrafficData[[#This Row],[totalChallan]]</f>
        <v>1</v>
      </c>
      <c r="L3173" t="b">
        <f>TrafficData[[#This Row],[pendingAmount]]+TrafficData[[#This Row],[disposedAmount]]=TrafficData[[#This Row],[totalAmount]]</f>
        <v>1</v>
      </c>
      <c r="M3173" t="b">
        <f>TrafficData[[#This Row],[pendingCourt]]+TrafficData[[#This Row],[disposedCourt]]=TrafficData[[#This Row],[totalCourt]]</f>
        <v>1</v>
      </c>
      <c r="N3173" t="b">
        <f>AND(TrafficData[[#This Row],[disposedChallan]]&lt;=TrafficData[[#This Row],[totalChallan]],TrafficData[[#This Row],[pendingChallan]]&lt;=TrafficData[[#This Row],[totalChallan]])</f>
        <v>1</v>
      </c>
      <c r="O3173" t="b">
        <f>AND(TrafficData[[#This Row],[pendingAmount]]&lt;=TrafficData[[#This Row],[totalAmount]],TrafficData[[#This Row],[disposedAmount]]&lt;=TrafficData[[#This Row],[totalAmount]])</f>
        <v>1</v>
      </c>
      <c r="P3173" t="b">
        <f>AND(TrafficData[[#This Row],[pendingCourt]]&lt;=TrafficData[[#This Row],[totalCourt]],TrafficData[[#This Row],[disposedCourt]]&lt;=TrafficData[[#This Row],[totalCourt]])</f>
        <v>1</v>
      </c>
    </row>
    <row r="3174" spans="1:16">
      <c r="A3174" s="1">
        <v>45178</v>
      </c>
      <c r="B3174">
        <v>165847</v>
      </c>
      <c r="C3174">
        <v>70057</v>
      </c>
      <c r="D3174">
        <v>95790</v>
      </c>
      <c r="E3174">
        <v>126548496</v>
      </c>
      <c r="F3174">
        <v>96326600</v>
      </c>
      <c r="G3174">
        <v>222875096</v>
      </c>
      <c r="H3174">
        <v>42167</v>
      </c>
      <c r="I3174">
        <v>8694</v>
      </c>
      <c r="J3174">
        <v>50861</v>
      </c>
      <c r="K3174" t="b">
        <f>TrafficData[[#This Row],[disposedChallan]]+TrafficData[[#This Row],[pendingChallan]]=TrafficData[[#This Row],[totalChallan]]</f>
        <v>1</v>
      </c>
      <c r="L3174" t="b">
        <f>TrafficData[[#This Row],[pendingAmount]]+TrafficData[[#This Row],[disposedAmount]]=TrafficData[[#This Row],[totalAmount]]</f>
        <v>1</v>
      </c>
      <c r="M3174" t="b">
        <f>TrafficData[[#This Row],[pendingCourt]]+TrafficData[[#This Row],[disposedCourt]]=TrafficData[[#This Row],[totalCourt]]</f>
        <v>1</v>
      </c>
      <c r="N3174" t="b">
        <f>AND(TrafficData[[#This Row],[disposedChallan]]&lt;=TrafficData[[#This Row],[totalChallan]],TrafficData[[#This Row],[pendingChallan]]&lt;=TrafficData[[#This Row],[totalChallan]])</f>
        <v>1</v>
      </c>
      <c r="O3174" t="b">
        <f>AND(TrafficData[[#This Row],[pendingAmount]]&lt;=TrafficData[[#This Row],[totalAmount]],TrafficData[[#This Row],[disposedAmount]]&lt;=TrafficData[[#This Row],[totalAmount]])</f>
        <v>1</v>
      </c>
      <c r="P3174" t="b">
        <f>AND(TrafficData[[#This Row],[pendingCourt]]&lt;=TrafficData[[#This Row],[totalCourt]],TrafficData[[#This Row],[disposedCourt]]&lt;=TrafficData[[#This Row],[totalCourt]])</f>
        <v>1</v>
      </c>
    </row>
    <row r="3175" spans="1:16">
      <c r="A3175" s="1">
        <v>45179</v>
      </c>
      <c r="B3175">
        <v>147529</v>
      </c>
      <c r="C3175">
        <v>61218</v>
      </c>
      <c r="D3175">
        <v>86311</v>
      </c>
      <c r="E3175">
        <v>106299321</v>
      </c>
      <c r="F3175">
        <v>71322559</v>
      </c>
      <c r="G3175">
        <v>177621880</v>
      </c>
      <c r="H3175">
        <v>37896</v>
      </c>
      <c r="I3175">
        <v>7252</v>
      </c>
      <c r="J3175">
        <v>45148</v>
      </c>
      <c r="K3175" t="b">
        <f>TrafficData[[#This Row],[disposedChallan]]+TrafficData[[#This Row],[pendingChallan]]=TrafficData[[#This Row],[totalChallan]]</f>
        <v>1</v>
      </c>
      <c r="L3175" t="b">
        <f>TrafficData[[#This Row],[pendingAmount]]+TrafficData[[#This Row],[disposedAmount]]=TrafficData[[#This Row],[totalAmount]]</f>
        <v>1</v>
      </c>
      <c r="M3175" t="b">
        <f>TrafficData[[#This Row],[pendingCourt]]+TrafficData[[#This Row],[disposedCourt]]=TrafficData[[#This Row],[totalCourt]]</f>
        <v>1</v>
      </c>
      <c r="N3175" t="b">
        <f>AND(TrafficData[[#This Row],[disposedChallan]]&lt;=TrafficData[[#This Row],[totalChallan]],TrafficData[[#This Row],[pendingChallan]]&lt;=TrafficData[[#This Row],[totalChallan]])</f>
        <v>1</v>
      </c>
      <c r="O3175" t="b">
        <f>AND(TrafficData[[#This Row],[pendingAmount]]&lt;=TrafficData[[#This Row],[totalAmount]],TrafficData[[#This Row],[disposedAmount]]&lt;=TrafficData[[#This Row],[totalAmount]])</f>
        <v>1</v>
      </c>
      <c r="P3175" t="b">
        <f>AND(TrafficData[[#This Row],[pendingCourt]]&lt;=TrafficData[[#This Row],[totalCourt]],TrafficData[[#This Row],[disposedCourt]]&lt;=TrafficData[[#This Row],[totalCourt]])</f>
        <v>1</v>
      </c>
    </row>
    <row r="3176" spans="1:16">
      <c r="A3176" s="1">
        <v>45180</v>
      </c>
      <c r="B3176">
        <v>179529</v>
      </c>
      <c r="C3176">
        <v>73293</v>
      </c>
      <c r="D3176">
        <v>106236</v>
      </c>
      <c r="E3176">
        <v>159643450</v>
      </c>
      <c r="F3176">
        <v>106683196</v>
      </c>
      <c r="G3176">
        <v>266326646</v>
      </c>
      <c r="H3176">
        <v>58124</v>
      </c>
      <c r="I3176">
        <v>11050</v>
      </c>
      <c r="J3176">
        <v>69174</v>
      </c>
      <c r="K3176" t="b">
        <f>TrafficData[[#This Row],[disposedChallan]]+TrafficData[[#This Row],[pendingChallan]]=TrafficData[[#This Row],[totalChallan]]</f>
        <v>1</v>
      </c>
      <c r="L3176" t="b">
        <f>TrafficData[[#This Row],[pendingAmount]]+TrafficData[[#This Row],[disposedAmount]]=TrafficData[[#This Row],[totalAmount]]</f>
        <v>1</v>
      </c>
      <c r="M3176" t="b">
        <f>TrafficData[[#This Row],[pendingCourt]]+TrafficData[[#This Row],[disposedCourt]]=TrafficData[[#This Row],[totalCourt]]</f>
        <v>1</v>
      </c>
      <c r="N3176" t="b">
        <f>AND(TrafficData[[#This Row],[disposedChallan]]&lt;=TrafficData[[#This Row],[totalChallan]],TrafficData[[#This Row],[pendingChallan]]&lt;=TrafficData[[#This Row],[totalChallan]])</f>
        <v>1</v>
      </c>
      <c r="O3176" t="b">
        <f>AND(TrafficData[[#This Row],[pendingAmount]]&lt;=TrafficData[[#This Row],[totalAmount]],TrafficData[[#This Row],[disposedAmount]]&lt;=TrafficData[[#This Row],[totalAmount]])</f>
        <v>1</v>
      </c>
      <c r="P3176" t="b">
        <f>AND(TrafficData[[#This Row],[pendingCourt]]&lt;=TrafficData[[#This Row],[totalCourt]],TrafficData[[#This Row],[disposedCourt]]&lt;=TrafficData[[#This Row],[totalCourt]])</f>
        <v>1</v>
      </c>
    </row>
    <row r="3177" spans="1:16">
      <c r="A3177" s="1">
        <v>45181</v>
      </c>
      <c r="B3177">
        <v>202841</v>
      </c>
      <c r="C3177">
        <v>78953</v>
      </c>
      <c r="D3177">
        <v>123888</v>
      </c>
      <c r="E3177">
        <v>192900903</v>
      </c>
      <c r="F3177">
        <v>127676774</v>
      </c>
      <c r="G3177">
        <v>320577677</v>
      </c>
      <c r="H3177">
        <v>65700</v>
      </c>
      <c r="I3177">
        <v>12158</v>
      </c>
      <c r="J3177">
        <v>77858</v>
      </c>
      <c r="K3177" t="b">
        <f>TrafficData[[#This Row],[disposedChallan]]+TrafficData[[#This Row],[pendingChallan]]=TrafficData[[#This Row],[totalChallan]]</f>
        <v>1</v>
      </c>
      <c r="L3177" t="b">
        <f>TrafficData[[#This Row],[pendingAmount]]+TrafficData[[#This Row],[disposedAmount]]=TrafficData[[#This Row],[totalAmount]]</f>
        <v>1</v>
      </c>
      <c r="M3177" t="b">
        <f>TrafficData[[#This Row],[pendingCourt]]+TrafficData[[#This Row],[disposedCourt]]=TrafficData[[#This Row],[totalCourt]]</f>
        <v>1</v>
      </c>
      <c r="N3177" t="b">
        <f>AND(TrafficData[[#This Row],[disposedChallan]]&lt;=TrafficData[[#This Row],[totalChallan]],TrafficData[[#This Row],[pendingChallan]]&lt;=TrafficData[[#This Row],[totalChallan]])</f>
        <v>1</v>
      </c>
      <c r="O3177" t="b">
        <f>AND(TrafficData[[#This Row],[pendingAmount]]&lt;=TrafficData[[#This Row],[totalAmount]],TrafficData[[#This Row],[disposedAmount]]&lt;=TrafficData[[#This Row],[totalAmount]])</f>
        <v>1</v>
      </c>
      <c r="P3177" t="b">
        <f>AND(TrafficData[[#This Row],[pendingCourt]]&lt;=TrafficData[[#This Row],[totalCourt]],TrafficData[[#This Row],[disposedCourt]]&lt;=TrafficData[[#This Row],[totalCourt]])</f>
        <v>1</v>
      </c>
    </row>
    <row r="3178" spans="1:16">
      <c r="A3178" s="1">
        <v>45182</v>
      </c>
      <c r="B3178">
        <v>202367</v>
      </c>
      <c r="C3178">
        <v>78403</v>
      </c>
      <c r="D3178">
        <v>123964</v>
      </c>
      <c r="E3178">
        <v>200700691</v>
      </c>
      <c r="F3178">
        <v>128095758</v>
      </c>
      <c r="G3178">
        <v>328796449</v>
      </c>
      <c r="H3178">
        <v>65820</v>
      </c>
      <c r="I3178">
        <v>12421</v>
      </c>
      <c r="J3178">
        <v>78241</v>
      </c>
      <c r="K3178" t="b">
        <f>TrafficData[[#This Row],[disposedChallan]]+TrafficData[[#This Row],[pendingChallan]]=TrafficData[[#This Row],[totalChallan]]</f>
        <v>1</v>
      </c>
      <c r="L3178" t="b">
        <f>TrafficData[[#This Row],[pendingAmount]]+TrafficData[[#This Row],[disposedAmount]]=TrafficData[[#This Row],[totalAmount]]</f>
        <v>1</v>
      </c>
      <c r="M3178" t="b">
        <f>TrafficData[[#This Row],[pendingCourt]]+TrafficData[[#This Row],[disposedCourt]]=TrafficData[[#This Row],[totalCourt]]</f>
        <v>1</v>
      </c>
      <c r="N3178" t="b">
        <f>AND(TrafficData[[#This Row],[disposedChallan]]&lt;=TrafficData[[#This Row],[totalChallan]],TrafficData[[#This Row],[pendingChallan]]&lt;=TrafficData[[#This Row],[totalChallan]])</f>
        <v>1</v>
      </c>
      <c r="O3178" t="b">
        <f>AND(TrafficData[[#This Row],[pendingAmount]]&lt;=TrafficData[[#This Row],[totalAmount]],TrafficData[[#This Row],[disposedAmount]]&lt;=TrafficData[[#This Row],[totalAmount]])</f>
        <v>1</v>
      </c>
      <c r="P3178" t="b">
        <f>AND(TrafficData[[#This Row],[pendingCourt]]&lt;=TrafficData[[#This Row],[totalCourt]],TrafficData[[#This Row],[disposedCourt]]&lt;=TrafficData[[#This Row],[totalCourt]])</f>
        <v>1</v>
      </c>
    </row>
    <row r="3179" spans="1:16">
      <c r="A3179" s="1">
        <v>45183</v>
      </c>
      <c r="B3179">
        <v>197739</v>
      </c>
      <c r="C3179">
        <v>76157</v>
      </c>
      <c r="D3179">
        <v>121582</v>
      </c>
      <c r="E3179">
        <v>197581618</v>
      </c>
      <c r="F3179">
        <v>126197259</v>
      </c>
      <c r="G3179">
        <v>323778877</v>
      </c>
      <c r="H3179">
        <v>70812</v>
      </c>
      <c r="I3179">
        <v>12740</v>
      </c>
      <c r="J3179">
        <v>83552</v>
      </c>
      <c r="K3179" t="b">
        <f>TrafficData[[#This Row],[disposedChallan]]+TrafficData[[#This Row],[pendingChallan]]=TrafficData[[#This Row],[totalChallan]]</f>
        <v>1</v>
      </c>
      <c r="L3179" t="b">
        <f>TrafficData[[#This Row],[pendingAmount]]+TrafficData[[#This Row],[disposedAmount]]=TrafficData[[#This Row],[totalAmount]]</f>
        <v>1</v>
      </c>
      <c r="M3179" t="b">
        <f>TrafficData[[#This Row],[pendingCourt]]+TrafficData[[#This Row],[disposedCourt]]=TrafficData[[#This Row],[totalCourt]]</f>
        <v>1</v>
      </c>
      <c r="N3179" t="b">
        <f>AND(TrafficData[[#This Row],[disposedChallan]]&lt;=TrafficData[[#This Row],[totalChallan]],TrafficData[[#This Row],[pendingChallan]]&lt;=TrafficData[[#This Row],[totalChallan]])</f>
        <v>1</v>
      </c>
      <c r="O3179" t="b">
        <f>AND(TrafficData[[#This Row],[pendingAmount]]&lt;=TrafficData[[#This Row],[totalAmount]],TrafficData[[#This Row],[disposedAmount]]&lt;=TrafficData[[#This Row],[totalAmount]])</f>
        <v>1</v>
      </c>
      <c r="P3179" t="b">
        <f>AND(TrafficData[[#This Row],[pendingCourt]]&lt;=TrafficData[[#This Row],[totalCourt]],TrafficData[[#This Row],[disposedCourt]]&lt;=TrafficData[[#This Row],[totalCourt]])</f>
        <v>1</v>
      </c>
    </row>
    <row r="3180" spans="1:16">
      <c r="A3180" s="1">
        <v>45184</v>
      </c>
      <c r="B3180">
        <v>199603</v>
      </c>
      <c r="C3180">
        <v>77100</v>
      </c>
      <c r="D3180">
        <v>122503</v>
      </c>
      <c r="E3180">
        <v>199229778</v>
      </c>
      <c r="F3180">
        <v>124888223</v>
      </c>
      <c r="G3180">
        <v>324118001</v>
      </c>
      <c r="H3180">
        <v>70200</v>
      </c>
      <c r="I3180">
        <v>12779</v>
      </c>
      <c r="J3180">
        <v>82979</v>
      </c>
      <c r="K3180" t="b">
        <f>TrafficData[[#This Row],[disposedChallan]]+TrafficData[[#This Row],[pendingChallan]]=TrafficData[[#This Row],[totalChallan]]</f>
        <v>1</v>
      </c>
      <c r="L3180" t="b">
        <f>TrafficData[[#This Row],[pendingAmount]]+TrafficData[[#This Row],[disposedAmount]]=TrafficData[[#This Row],[totalAmount]]</f>
        <v>1</v>
      </c>
      <c r="M3180" t="b">
        <f>TrafficData[[#This Row],[pendingCourt]]+TrafficData[[#This Row],[disposedCourt]]=TrafficData[[#This Row],[totalCourt]]</f>
        <v>1</v>
      </c>
      <c r="N3180" t="b">
        <f>AND(TrafficData[[#This Row],[disposedChallan]]&lt;=TrafficData[[#This Row],[totalChallan]],TrafficData[[#This Row],[pendingChallan]]&lt;=TrafficData[[#This Row],[totalChallan]])</f>
        <v>1</v>
      </c>
      <c r="O3180" t="b">
        <f>AND(TrafficData[[#This Row],[pendingAmount]]&lt;=TrafficData[[#This Row],[totalAmount]],TrafficData[[#This Row],[disposedAmount]]&lt;=TrafficData[[#This Row],[totalAmount]])</f>
        <v>1</v>
      </c>
      <c r="P3180" t="b">
        <f>AND(TrafficData[[#This Row],[pendingCourt]]&lt;=TrafficData[[#This Row],[totalCourt]],TrafficData[[#This Row],[disposedCourt]]&lt;=TrafficData[[#This Row],[totalCourt]])</f>
        <v>1</v>
      </c>
    </row>
    <row r="3181" spans="1:16">
      <c r="A3181" s="1">
        <v>45185</v>
      </c>
      <c r="B3181">
        <v>187713</v>
      </c>
      <c r="C3181">
        <v>74238</v>
      </c>
      <c r="D3181">
        <v>113475</v>
      </c>
      <c r="E3181">
        <v>171663718</v>
      </c>
      <c r="F3181">
        <v>105109488</v>
      </c>
      <c r="G3181">
        <v>276773206</v>
      </c>
      <c r="H3181">
        <v>63848</v>
      </c>
      <c r="I3181">
        <v>12022</v>
      </c>
      <c r="J3181">
        <v>75870</v>
      </c>
      <c r="K3181" t="b">
        <f>TrafficData[[#This Row],[disposedChallan]]+TrafficData[[#This Row],[pendingChallan]]=TrafficData[[#This Row],[totalChallan]]</f>
        <v>1</v>
      </c>
      <c r="L3181" t="b">
        <f>TrafficData[[#This Row],[pendingAmount]]+TrafficData[[#This Row],[disposedAmount]]=TrafficData[[#This Row],[totalAmount]]</f>
        <v>1</v>
      </c>
      <c r="M3181" t="b">
        <f>TrafficData[[#This Row],[pendingCourt]]+TrafficData[[#This Row],[disposedCourt]]=TrafficData[[#This Row],[totalCourt]]</f>
        <v>1</v>
      </c>
      <c r="N3181" t="b">
        <f>AND(TrafficData[[#This Row],[disposedChallan]]&lt;=TrafficData[[#This Row],[totalChallan]],TrafficData[[#This Row],[pendingChallan]]&lt;=TrafficData[[#This Row],[totalChallan]])</f>
        <v>1</v>
      </c>
      <c r="O3181" t="b">
        <f>AND(TrafficData[[#This Row],[pendingAmount]]&lt;=TrafficData[[#This Row],[totalAmount]],TrafficData[[#This Row],[disposedAmount]]&lt;=TrafficData[[#This Row],[totalAmount]])</f>
        <v>1</v>
      </c>
      <c r="P3181" t="b">
        <f>AND(TrafficData[[#This Row],[pendingCourt]]&lt;=TrafficData[[#This Row],[totalCourt]],TrafficData[[#This Row],[disposedCourt]]&lt;=TrafficData[[#This Row],[totalCourt]])</f>
        <v>1</v>
      </c>
    </row>
    <row r="3182" spans="1:16">
      <c r="A3182" s="1">
        <v>45186</v>
      </c>
      <c r="B3182">
        <v>172157</v>
      </c>
      <c r="C3182">
        <v>62852</v>
      </c>
      <c r="D3182">
        <v>109305</v>
      </c>
      <c r="E3182">
        <v>148847546</v>
      </c>
      <c r="F3182">
        <v>75389038</v>
      </c>
      <c r="G3182">
        <v>224236584</v>
      </c>
      <c r="H3182">
        <v>63184</v>
      </c>
      <c r="I3182">
        <v>10791</v>
      </c>
      <c r="J3182">
        <v>73975</v>
      </c>
      <c r="K3182" t="b">
        <f>TrafficData[[#This Row],[disposedChallan]]+TrafficData[[#This Row],[pendingChallan]]=TrafficData[[#This Row],[totalChallan]]</f>
        <v>1</v>
      </c>
      <c r="L3182" t="b">
        <f>TrafficData[[#This Row],[pendingAmount]]+TrafficData[[#This Row],[disposedAmount]]=TrafficData[[#This Row],[totalAmount]]</f>
        <v>1</v>
      </c>
      <c r="M3182" t="b">
        <f>TrafficData[[#This Row],[pendingCourt]]+TrafficData[[#This Row],[disposedCourt]]=TrafficData[[#This Row],[totalCourt]]</f>
        <v>1</v>
      </c>
      <c r="N3182" t="b">
        <f>AND(TrafficData[[#This Row],[disposedChallan]]&lt;=TrafficData[[#This Row],[totalChallan]],TrafficData[[#This Row],[pendingChallan]]&lt;=TrafficData[[#This Row],[totalChallan]])</f>
        <v>1</v>
      </c>
      <c r="O3182" t="b">
        <f>AND(TrafficData[[#This Row],[pendingAmount]]&lt;=TrafficData[[#This Row],[totalAmount]],TrafficData[[#This Row],[disposedAmount]]&lt;=TrafficData[[#This Row],[totalAmount]])</f>
        <v>1</v>
      </c>
      <c r="P3182" t="b">
        <f>AND(TrafficData[[#This Row],[pendingCourt]]&lt;=TrafficData[[#This Row],[totalCourt]],TrafficData[[#This Row],[disposedCourt]]&lt;=TrafficData[[#This Row],[totalCourt]])</f>
        <v>1</v>
      </c>
    </row>
    <row r="3183" spans="1:16">
      <c r="A3183" s="1">
        <v>45187</v>
      </c>
      <c r="B3183">
        <v>177911</v>
      </c>
      <c r="C3183">
        <v>67499</v>
      </c>
      <c r="D3183">
        <v>110412</v>
      </c>
      <c r="E3183">
        <v>172810864</v>
      </c>
      <c r="F3183">
        <v>92257479</v>
      </c>
      <c r="G3183">
        <v>265068343</v>
      </c>
      <c r="H3183">
        <v>70614</v>
      </c>
      <c r="I3183">
        <v>12730</v>
      </c>
      <c r="J3183">
        <v>83344</v>
      </c>
      <c r="K3183" t="b">
        <f>TrafficData[[#This Row],[disposedChallan]]+TrafficData[[#This Row],[pendingChallan]]=TrafficData[[#This Row],[totalChallan]]</f>
        <v>1</v>
      </c>
      <c r="L3183" t="b">
        <f>TrafficData[[#This Row],[pendingAmount]]+TrafficData[[#This Row],[disposedAmount]]=TrafficData[[#This Row],[totalAmount]]</f>
        <v>1</v>
      </c>
      <c r="M3183" t="b">
        <f>TrafficData[[#This Row],[pendingCourt]]+TrafficData[[#This Row],[disposedCourt]]=TrafficData[[#This Row],[totalCourt]]</f>
        <v>1</v>
      </c>
      <c r="N3183" t="b">
        <f>AND(TrafficData[[#This Row],[disposedChallan]]&lt;=TrafficData[[#This Row],[totalChallan]],TrafficData[[#This Row],[pendingChallan]]&lt;=TrafficData[[#This Row],[totalChallan]])</f>
        <v>1</v>
      </c>
      <c r="O3183" t="b">
        <f>AND(TrafficData[[#This Row],[pendingAmount]]&lt;=TrafficData[[#This Row],[totalAmount]],TrafficData[[#This Row],[disposedAmount]]&lt;=TrafficData[[#This Row],[totalAmount]])</f>
        <v>1</v>
      </c>
      <c r="P3183" t="b">
        <f>AND(TrafficData[[#This Row],[pendingCourt]]&lt;=TrafficData[[#This Row],[totalCourt]],TrafficData[[#This Row],[disposedCourt]]&lt;=TrafficData[[#This Row],[totalCourt]])</f>
        <v>1</v>
      </c>
    </row>
    <row r="3184" spans="1:16">
      <c r="A3184" s="1">
        <v>45188</v>
      </c>
      <c r="B3184">
        <v>186299</v>
      </c>
      <c r="C3184">
        <v>71647</v>
      </c>
      <c r="D3184">
        <v>114652</v>
      </c>
      <c r="E3184">
        <v>176010202</v>
      </c>
      <c r="F3184">
        <v>101432904</v>
      </c>
      <c r="G3184">
        <v>277443106</v>
      </c>
      <c r="H3184">
        <v>66851</v>
      </c>
      <c r="I3184">
        <v>12034</v>
      </c>
      <c r="J3184">
        <v>78885</v>
      </c>
      <c r="K3184" t="b">
        <f>TrafficData[[#This Row],[disposedChallan]]+TrafficData[[#This Row],[pendingChallan]]=TrafficData[[#This Row],[totalChallan]]</f>
        <v>1</v>
      </c>
      <c r="L3184" t="b">
        <f>TrafficData[[#This Row],[pendingAmount]]+TrafficData[[#This Row],[disposedAmount]]=TrafficData[[#This Row],[totalAmount]]</f>
        <v>1</v>
      </c>
      <c r="M3184" t="b">
        <f>TrafficData[[#This Row],[pendingCourt]]+TrafficData[[#This Row],[disposedCourt]]=TrafficData[[#This Row],[totalCourt]]</f>
        <v>1</v>
      </c>
      <c r="N3184" t="b">
        <f>AND(TrafficData[[#This Row],[disposedChallan]]&lt;=TrafficData[[#This Row],[totalChallan]],TrafficData[[#This Row],[pendingChallan]]&lt;=TrafficData[[#This Row],[totalChallan]])</f>
        <v>1</v>
      </c>
      <c r="O3184" t="b">
        <f>AND(TrafficData[[#This Row],[pendingAmount]]&lt;=TrafficData[[#This Row],[totalAmount]],TrafficData[[#This Row],[disposedAmount]]&lt;=TrafficData[[#This Row],[totalAmount]])</f>
        <v>1</v>
      </c>
      <c r="P3184" t="b">
        <f>AND(TrafficData[[#This Row],[pendingCourt]]&lt;=TrafficData[[#This Row],[totalCourt]],TrafficData[[#This Row],[disposedCourt]]&lt;=TrafficData[[#This Row],[totalCourt]])</f>
        <v>1</v>
      </c>
    </row>
    <row r="3185" spans="1:16">
      <c r="A3185" s="1">
        <v>45189</v>
      </c>
      <c r="B3185">
        <v>182986</v>
      </c>
      <c r="C3185">
        <v>73011</v>
      </c>
      <c r="D3185">
        <v>109975</v>
      </c>
      <c r="E3185">
        <v>181876987</v>
      </c>
      <c r="F3185">
        <v>111190770</v>
      </c>
      <c r="G3185">
        <v>293067757</v>
      </c>
      <c r="H3185">
        <v>64662</v>
      </c>
      <c r="I3185">
        <v>11596</v>
      </c>
      <c r="J3185">
        <v>76258</v>
      </c>
      <c r="K3185" t="b">
        <f>TrafficData[[#This Row],[disposedChallan]]+TrafficData[[#This Row],[pendingChallan]]=TrafficData[[#This Row],[totalChallan]]</f>
        <v>1</v>
      </c>
      <c r="L3185" t="b">
        <f>TrafficData[[#This Row],[pendingAmount]]+TrafficData[[#This Row],[disposedAmount]]=TrafficData[[#This Row],[totalAmount]]</f>
        <v>1</v>
      </c>
      <c r="M3185" t="b">
        <f>TrafficData[[#This Row],[pendingCourt]]+TrafficData[[#This Row],[disposedCourt]]=TrafficData[[#This Row],[totalCourt]]</f>
        <v>1</v>
      </c>
      <c r="N3185" t="b">
        <f>AND(TrafficData[[#This Row],[disposedChallan]]&lt;=TrafficData[[#This Row],[totalChallan]],TrafficData[[#This Row],[pendingChallan]]&lt;=TrafficData[[#This Row],[totalChallan]])</f>
        <v>1</v>
      </c>
      <c r="O3185" t="b">
        <f>AND(TrafficData[[#This Row],[pendingAmount]]&lt;=TrafficData[[#This Row],[totalAmount]],TrafficData[[#This Row],[disposedAmount]]&lt;=TrafficData[[#This Row],[totalAmount]])</f>
        <v>1</v>
      </c>
      <c r="P3185" t="b">
        <f>AND(TrafficData[[#This Row],[pendingCourt]]&lt;=TrafficData[[#This Row],[totalCourt]],TrafficData[[#This Row],[disposedCourt]]&lt;=TrafficData[[#This Row],[totalCourt]])</f>
        <v>1</v>
      </c>
    </row>
    <row r="3186" spans="1:16">
      <c r="A3186" s="1">
        <v>45190</v>
      </c>
      <c r="B3186">
        <v>190498</v>
      </c>
      <c r="C3186">
        <v>73574</v>
      </c>
      <c r="D3186">
        <v>116924</v>
      </c>
      <c r="E3186">
        <v>183979100</v>
      </c>
      <c r="F3186">
        <v>112277245</v>
      </c>
      <c r="G3186">
        <v>296256345</v>
      </c>
      <c r="H3186">
        <v>63642</v>
      </c>
      <c r="I3186">
        <v>10890</v>
      </c>
      <c r="J3186">
        <v>74532</v>
      </c>
      <c r="K3186" t="b">
        <f>TrafficData[[#This Row],[disposedChallan]]+TrafficData[[#This Row],[pendingChallan]]=TrafficData[[#This Row],[totalChallan]]</f>
        <v>1</v>
      </c>
      <c r="L3186" t="b">
        <f>TrafficData[[#This Row],[pendingAmount]]+TrafficData[[#This Row],[disposedAmount]]=TrafficData[[#This Row],[totalAmount]]</f>
        <v>1</v>
      </c>
      <c r="M3186" t="b">
        <f>TrafficData[[#This Row],[pendingCourt]]+TrafficData[[#This Row],[disposedCourt]]=TrafficData[[#This Row],[totalCourt]]</f>
        <v>1</v>
      </c>
      <c r="N3186" t="b">
        <f>AND(TrafficData[[#This Row],[disposedChallan]]&lt;=TrafficData[[#This Row],[totalChallan]],TrafficData[[#This Row],[pendingChallan]]&lt;=TrafficData[[#This Row],[totalChallan]])</f>
        <v>1</v>
      </c>
      <c r="O3186" t="b">
        <f>AND(TrafficData[[#This Row],[pendingAmount]]&lt;=TrafficData[[#This Row],[totalAmount]],TrafficData[[#This Row],[disposedAmount]]&lt;=TrafficData[[#This Row],[totalAmount]])</f>
        <v>1</v>
      </c>
      <c r="P3186" t="b">
        <f>AND(TrafficData[[#This Row],[pendingCourt]]&lt;=TrafficData[[#This Row],[totalCourt]],TrafficData[[#This Row],[disposedCourt]]&lt;=TrafficData[[#This Row],[totalCourt]])</f>
        <v>1</v>
      </c>
    </row>
    <row r="3187" spans="1:16">
      <c r="A3187" s="1">
        <v>45191</v>
      </c>
      <c r="B3187">
        <v>182880</v>
      </c>
      <c r="C3187">
        <v>72924</v>
      </c>
      <c r="D3187">
        <v>109956</v>
      </c>
      <c r="E3187">
        <v>178575594</v>
      </c>
      <c r="F3187">
        <v>109953178</v>
      </c>
      <c r="G3187">
        <v>288528772</v>
      </c>
      <c r="H3187">
        <v>58445</v>
      </c>
      <c r="I3187">
        <v>11430</v>
      </c>
      <c r="J3187">
        <v>69875</v>
      </c>
      <c r="K3187" t="b">
        <f>TrafficData[[#This Row],[disposedChallan]]+TrafficData[[#This Row],[pendingChallan]]=TrafficData[[#This Row],[totalChallan]]</f>
        <v>1</v>
      </c>
      <c r="L3187" t="b">
        <f>TrafficData[[#This Row],[pendingAmount]]+TrafficData[[#This Row],[disposedAmount]]=TrafficData[[#This Row],[totalAmount]]</f>
        <v>1</v>
      </c>
      <c r="M3187" t="b">
        <f>TrafficData[[#This Row],[pendingCourt]]+TrafficData[[#This Row],[disposedCourt]]=TrafficData[[#This Row],[totalCourt]]</f>
        <v>1</v>
      </c>
      <c r="N3187" t="b">
        <f>AND(TrafficData[[#This Row],[disposedChallan]]&lt;=TrafficData[[#This Row],[totalChallan]],TrafficData[[#This Row],[pendingChallan]]&lt;=TrafficData[[#This Row],[totalChallan]])</f>
        <v>1</v>
      </c>
      <c r="O3187" t="b">
        <f>AND(TrafficData[[#This Row],[pendingAmount]]&lt;=TrafficData[[#This Row],[totalAmount]],TrafficData[[#This Row],[disposedAmount]]&lt;=TrafficData[[#This Row],[totalAmount]])</f>
        <v>1</v>
      </c>
      <c r="P3187" t="b">
        <f>AND(TrafficData[[#This Row],[pendingCourt]]&lt;=TrafficData[[#This Row],[totalCourt]],TrafficData[[#This Row],[disposedCourt]]&lt;=TrafficData[[#This Row],[totalCourt]])</f>
        <v>1</v>
      </c>
    </row>
    <row r="3188" spans="1:16">
      <c r="A3188" s="1">
        <v>45192</v>
      </c>
      <c r="B3188">
        <v>179456</v>
      </c>
      <c r="C3188">
        <v>73656</v>
      </c>
      <c r="D3188">
        <v>105800</v>
      </c>
      <c r="E3188">
        <v>173045564</v>
      </c>
      <c r="F3188">
        <v>105849591</v>
      </c>
      <c r="G3188">
        <v>278895155</v>
      </c>
      <c r="H3188">
        <v>51897</v>
      </c>
      <c r="I3188">
        <v>10564</v>
      </c>
      <c r="J3188">
        <v>62461</v>
      </c>
      <c r="K3188" t="b">
        <f>TrafficData[[#This Row],[disposedChallan]]+TrafficData[[#This Row],[pendingChallan]]=TrafficData[[#This Row],[totalChallan]]</f>
        <v>1</v>
      </c>
      <c r="L3188" t="b">
        <f>TrafficData[[#This Row],[pendingAmount]]+TrafficData[[#This Row],[disposedAmount]]=TrafficData[[#This Row],[totalAmount]]</f>
        <v>1</v>
      </c>
      <c r="M3188" t="b">
        <f>TrafficData[[#This Row],[pendingCourt]]+TrafficData[[#This Row],[disposedCourt]]=TrafficData[[#This Row],[totalCourt]]</f>
        <v>1</v>
      </c>
      <c r="N3188" t="b">
        <f>AND(TrafficData[[#This Row],[disposedChallan]]&lt;=TrafficData[[#This Row],[totalChallan]],TrafficData[[#This Row],[pendingChallan]]&lt;=TrafficData[[#This Row],[totalChallan]])</f>
        <v>1</v>
      </c>
      <c r="O3188" t="b">
        <f>AND(TrafficData[[#This Row],[pendingAmount]]&lt;=TrafficData[[#This Row],[totalAmount]],TrafficData[[#This Row],[disposedAmount]]&lt;=TrafficData[[#This Row],[totalAmount]])</f>
        <v>1</v>
      </c>
      <c r="P3188" t="b">
        <f>AND(TrafficData[[#This Row],[pendingCourt]]&lt;=TrafficData[[#This Row],[totalCourt]],TrafficData[[#This Row],[disposedCourt]]&lt;=TrafficData[[#This Row],[totalCourt]])</f>
        <v>1</v>
      </c>
    </row>
    <row r="3189" spans="1:16">
      <c r="A3189" s="1">
        <v>45193</v>
      </c>
      <c r="B3189">
        <v>165678</v>
      </c>
      <c r="C3189">
        <v>64124</v>
      </c>
      <c r="D3189">
        <v>101554</v>
      </c>
      <c r="E3189">
        <v>152515397</v>
      </c>
      <c r="F3189">
        <v>81070888</v>
      </c>
      <c r="G3189">
        <v>233586285</v>
      </c>
      <c r="H3189">
        <v>56261</v>
      </c>
      <c r="I3189">
        <v>10154</v>
      </c>
      <c r="J3189">
        <v>66415</v>
      </c>
      <c r="K3189" t="b">
        <f>TrafficData[[#This Row],[disposedChallan]]+TrafficData[[#This Row],[pendingChallan]]=TrafficData[[#This Row],[totalChallan]]</f>
        <v>1</v>
      </c>
      <c r="L3189" t="b">
        <f>TrafficData[[#This Row],[pendingAmount]]+TrafficData[[#This Row],[disposedAmount]]=TrafficData[[#This Row],[totalAmount]]</f>
        <v>1</v>
      </c>
      <c r="M3189" t="b">
        <f>TrafficData[[#This Row],[pendingCourt]]+TrafficData[[#This Row],[disposedCourt]]=TrafficData[[#This Row],[totalCourt]]</f>
        <v>1</v>
      </c>
      <c r="N3189" t="b">
        <f>AND(TrafficData[[#This Row],[disposedChallan]]&lt;=TrafficData[[#This Row],[totalChallan]],TrafficData[[#This Row],[pendingChallan]]&lt;=TrafficData[[#This Row],[totalChallan]])</f>
        <v>1</v>
      </c>
      <c r="O3189" t="b">
        <f>AND(TrafficData[[#This Row],[pendingAmount]]&lt;=TrafficData[[#This Row],[totalAmount]],TrafficData[[#This Row],[disposedAmount]]&lt;=TrafficData[[#This Row],[totalAmount]])</f>
        <v>1</v>
      </c>
      <c r="P3189" t="b">
        <f>AND(TrafficData[[#This Row],[pendingCourt]]&lt;=TrafficData[[#This Row],[totalCourt]],TrafficData[[#This Row],[disposedCourt]]&lt;=TrafficData[[#This Row],[totalCourt]])</f>
        <v>1</v>
      </c>
    </row>
    <row r="3190" spans="1:16">
      <c r="A3190" s="1">
        <v>45194</v>
      </c>
      <c r="B3190">
        <v>197722</v>
      </c>
      <c r="C3190">
        <v>76454</v>
      </c>
      <c r="D3190">
        <v>121268</v>
      </c>
      <c r="E3190">
        <v>180930641</v>
      </c>
      <c r="F3190">
        <v>102961948</v>
      </c>
      <c r="G3190">
        <v>283892589</v>
      </c>
      <c r="H3190">
        <v>65686</v>
      </c>
      <c r="I3190">
        <v>12167</v>
      </c>
      <c r="J3190">
        <v>77853</v>
      </c>
      <c r="K3190" t="b">
        <f>TrafficData[[#This Row],[disposedChallan]]+TrafficData[[#This Row],[pendingChallan]]=TrafficData[[#This Row],[totalChallan]]</f>
        <v>1</v>
      </c>
      <c r="L3190" t="b">
        <f>TrafficData[[#This Row],[pendingAmount]]+TrafficData[[#This Row],[disposedAmount]]=TrafficData[[#This Row],[totalAmount]]</f>
        <v>1</v>
      </c>
      <c r="M3190" t="b">
        <f>TrafficData[[#This Row],[pendingCourt]]+TrafficData[[#This Row],[disposedCourt]]=TrafficData[[#This Row],[totalCourt]]</f>
        <v>1</v>
      </c>
      <c r="N3190" t="b">
        <f>AND(TrafficData[[#This Row],[disposedChallan]]&lt;=TrafficData[[#This Row],[totalChallan]],TrafficData[[#This Row],[pendingChallan]]&lt;=TrafficData[[#This Row],[totalChallan]])</f>
        <v>1</v>
      </c>
      <c r="O3190" t="b">
        <f>AND(TrafficData[[#This Row],[pendingAmount]]&lt;=TrafficData[[#This Row],[totalAmount]],TrafficData[[#This Row],[disposedAmount]]&lt;=TrafficData[[#This Row],[totalAmount]])</f>
        <v>1</v>
      </c>
      <c r="P3190" t="b">
        <f>AND(TrafficData[[#This Row],[pendingCourt]]&lt;=TrafficData[[#This Row],[totalCourt]],TrafficData[[#This Row],[disposedCourt]]&lt;=TrafficData[[#This Row],[totalCourt]])</f>
        <v>1</v>
      </c>
    </row>
    <row r="3191" spans="1:16">
      <c r="A3191" s="1">
        <v>45195</v>
      </c>
      <c r="B3191">
        <v>206248</v>
      </c>
      <c r="C3191">
        <v>79514</v>
      </c>
      <c r="D3191">
        <v>126734</v>
      </c>
      <c r="E3191">
        <v>209171035</v>
      </c>
      <c r="F3191">
        <v>119483582</v>
      </c>
      <c r="G3191">
        <v>328654617</v>
      </c>
      <c r="H3191">
        <v>69513</v>
      </c>
      <c r="I3191">
        <v>12443</v>
      </c>
      <c r="J3191">
        <v>81956</v>
      </c>
      <c r="K3191" t="b">
        <f>TrafficData[[#This Row],[disposedChallan]]+TrafficData[[#This Row],[pendingChallan]]=TrafficData[[#This Row],[totalChallan]]</f>
        <v>1</v>
      </c>
      <c r="L3191" t="b">
        <f>TrafficData[[#This Row],[pendingAmount]]+TrafficData[[#This Row],[disposedAmount]]=TrafficData[[#This Row],[totalAmount]]</f>
        <v>1</v>
      </c>
      <c r="M3191" t="b">
        <f>TrafficData[[#This Row],[pendingCourt]]+TrafficData[[#This Row],[disposedCourt]]=TrafficData[[#This Row],[totalCourt]]</f>
        <v>1</v>
      </c>
      <c r="N3191" t="b">
        <f>AND(TrafficData[[#This Row],[disposedChallan]]&lt;=TrafficData[[#This Row],[totalChallan]],TrafficData[[#This Row],[pendingChallan]]&lt;=TrafficData[[#This Row],[totalChallan]])</f>
        <v>1</v>
      </c>
      <c r="O3191" t="b">
        <f>AND(TrafficData[[#This Row],[pendingAmount]]&lt;=TrafficData[[#This Row],[totalAmount]],TrafficData[[#This Row],[disposedAmount]]&lt;=TrafficData[[#This Row],[totalAmount]])</f>
        <v>1</v>
      </c>
      <c r="P3191" t="b">
        <f>AND(TrafficData[[#This Row],[pendingCourt]]&lt;=TrafficData[[#This Row],[totalCourt]],TrafficData[[#This Row],[disposedCourt]]&lt;=TrafficData[[#This Row],[totalCourt]])</f>
        <v>1</v>
      </c>
    </row>
    <row r="3192" spans="1:16">
      <c r="A3192" s="1">
        <v>45196</v>
      </c>
      <c r="B3192">
        <v>195173</v>
      </c>
      <c r="C3192">
        <v>77188</v>
      </c>
      <c r="D3192">
        <v>117985</v>
      </c>
      <c r="E3192">
        <v>195666722</v>
      </c>
      <c r="F3192">
        <v>115616830</v>
      </c>
      <c r="G3192">
        <v>311283552</v>
      </c>
      <c r="H3192">
        <v>64729</v>
      </c>
      <c r="I3192">
        <v>11995</v>
      </c>
      <c r="J3192">
        <v>76724</v>
      </c>
      <c r="K3192" t="b">
        <f>TrafficData[[#This Row],[disposedChallan]]+TrafficData[[#This Row],[pendingChallan]]=TrafficData[[#This Row],[totalChallan]]</f>
        <v>1</v>
      </c>
      <c r="L3192" t="b">
        <f>TrafficData[[#This Row],[pendingAmount]]+TrafficData[[#This Row],[disposedAmount]]=TrafficData[[#This Row],[totalAmount]]</f>
        <v>1</v>
      </c>
      <c r="M3192" t="b">
        <f>TrafficData[[#This Row],[pendingCourt]]+TrafficData[[#This Row],[disposedCourt]]=TrafficData[[#This Row],[totalCourt]]</f>
        <v>1</v>
      </c>
      <c r="N3192" t="b">
        <f>AND(TrafficData[[#This Row],[disposedChallan]]&lt;=TrafficData[[#This Row],[totalChallan]],TrafficData[[#This Row],[pendingChallan]]&lt;=TrafficData[[#This Row],[totalChallan]])</f>
        <v>1</v>
      </c>
      <c r="O3192" t="b">
        <f>AND(TrafficData[[#This Row],[pendingAmount]]&lt;=TrafficData[[#This Row],[totalAmount]],TrafficData[[#This Row],[disposedAmount]]&lt;=TrafficData[[#This Row],[totalAmount]])</f>
        <v>1</v>
      </c>
      <c r="P3192" t="b">
        <f>AND(TrafficData[[#This Row],[pendingCourt]]&lt;=TrafficData[[#This Row],[totalCourt]],TrafficData[[#This Row],[disposedCourt]]&lt;=TrafficData[[#This Row],[totalCourt]])</f>
        <v>1</v>
      </c>
    </row>
    <row r="3193" spans="1:16">
      <c r="A3193" s="1">
        <v>45197</v>
      </c>
      <c r="B3193">
        <v>173136</v>
      </c>
      <c r="C3193">
        <v>65040</v>
      </c>
      <c r="D3193">
        <v>108096</v>
      </c>
      <c r="E3193">
        <v>166334575</v>
      </c>
      <c r="F3193">
        <v>90268139</v>
      </c>
      <c r="G3193">
        <v>256602714</v>
      </c>
      <c r="H3193">
        <v>56666</v>
      </c>
      <c r="I3193">
        <v>10682</v>
      </c>
      <c r="J3193">
        <v>67348</v>
      </c>
      <c r="K3193" t="b">
        <f>TrafficData[[#This Row],[disposedChallan]]+TrafficData[[#This Row],[pendingChallan]]=TrafficData[[#This Row],[totalChallan]]</f>
        <v>1</v>
      </c>
      <c r="L3193" t="b">
        <f>TrafficData[[#This Row],[pendingAmount]]+TrafficData[[#This Row],[disposedAmount]]=TrafficData[[#This Row],[totalAmount]]</f>
        <v>1</v>
      </c>
      <c r="M3193" t="b">
        <f>TrafficData[[#This Row],[pendingCourt]]+TrafficData[[#This Row],[disposedCourt]]=TrafficData[[#This Row],[totalCourt]]</f>
        <v>1</v>
      </c>
      <c r="N3193" t="b">
        <f>AND(TrafficData[[#This Row],[disposedChallan]]&lt;=TrafficData[[#This Row],[totalChallan]],TrafficData[[#This Row],[pendingChallan]]&lt;=TrafficData[[#This Row],[totalChallan]])</f>
        <v>1</v>
      </c>
      <c r="O3193" t="b">
        <f>AND(TrafficData[[#This Row],[pendingAmount]]&lt;=TrafficData[[#This Row],[totalAmount]],TrafficData[[#This Row],[disposedAmount]]&lt;=TrafficData[[#This Row],[totalAmount]])</f>
        <v>1</v>
      </c>
      <c r="P3193" t="b">
        <f>AND(TrafficData[[#This Row],[pendingCourt]]&lt;=TrafficData[[#This Row],[totalCourt]],TrafficData[[#This Row],[disposedCourt]]&lt;=TrafficData[[#This Row],[totalCourt]])</f>
        <v>1</v>
      </c>
    </row>
    <row r="3194" spans="1:16">
      <c r="A3194" s="1">
        <v>45198</v>
      </c>
      <c r="B3194">
        <v>171741</v>
      </c>
      <c r="C3194">
        <v>67962</v>
      </c>
      <c r="D3194">
        <v>103779</v>
      </c>
      <c r="E3194">
        <v>176982056</v>
      </c>
      <c r="F3194">
        <v>101165995</v>
      </c>
      <c r="G3194">
        <v>278148051</v>
      </c>
      <c r="H3194">
        <v>55279</v>
      </c>
      <c r="I3194">
        <v>11306</v>
      </c>
      <c r="J3194">
        <v>66585</v>
      </c>
      <c r="K3194" t="b">
        <f>TrafficData[[#This Row],[disposedChallan]]+TrafficData[[#This Row],[pendingChallan]]=TrafficData[[#This Row],[totalChallan]]</f>
        <v>1</v>
      </c>
      <c r="L3194" t="b">
        <f>TrafficData[[#This Row],[pendingAmount]]+TrafficData[[#This Row],[disposedAmount]]=TrafficData[[#This Row],[totalAmount]]</f>
        <v>1</v>
      </c>
      <c r="M3194" t="b">
        <f>TrafficData[[#This Row],[pendingCourt]]+TrafficData[[#This Row],[disposedCourt]]=TrafficData[[#This Row],[totalCourt]]</f>
        <v>1</v>
      </c>
      <c r="N3194" t="b">
        <f>AND(TrafficData[[#This Row],[disposedChallan]]&lt;=TrafficData[[#This Row],[totalChallan]],TrafficData[[#This Row],[pendingChallan]]&lt;=TrafficData[[#This Row],[totalChallan]])</f>
        <v>1</v>
      </c>
      <c r="O3194" t="b">
        <f>AND(TrafficData[[#This Row],[pendingAmount]]&lt;=TrafficData[[#This Row],[totalAmount]],TrafficData[[#This Row],[disposedAmount]]&lt;=TrafficData[[#This Row],[totalAmount]])</f>
        <v>1</v>
      </c>
      <c r="P3194" t="b">
        <f>AND(TrafficData[[#This Row],[pendingCourt]]&lt;=TrafficData[[#This Row],[totalCourt]],TrafficData[[#This Row],[disposedCourt]]&lt;=TrafficData[[#This Row],[totalCourt]])</f>
        <v>1</v>
      </c>
    </row>
    <row r="3195" spans="1:16">
      <c r="A3195" s="1">
        <v>45199</v>
      </c>
      <c r="B3195">
        <v>182414</v>
      </c>
      <c r="C3195">
        <v>69503</v>
      </c>
      <c r="D3195">
        <v>112911</v>
      </c>
      <c r="E3195">
        <v>178645088</v>
      </c>
      <c r="F3195">
        <v>94279696</v>
      </c>
      <c r="G3195">
        <v>272924784</v>
      </c>
      <c r="H3195">
        <v>64033</v>
      </c>
      <c r="I3195">
        <v>12239</v>
      </c>
      <c r="J3195">
        <v>76272</v>
      </c>
      <c r="K3195" t="b">
        <f>TrafficData[[#This Row],[disposedChallan]]+TrafficData[[#This Row],[pendingChallan]]=TrafficData[[#This Row],[totalChallan]]</f>
        <v>1</v>
      </c>
      <c r="L3195" t="b">
        <f>TrafficData[[#This Row],[pendingAmount]]+TrafficData[[#This Row],[disposedAmount]]=TrafficData[[#This Row],[totalAmount]]</f>
        <v>1</v>
      </c>
      <c r="M3195" t="b">
        <f>TrafficData[[#This Row],[pendingCourt]]+TrafficData[[#This Row],[disposedCourt]]=TrafficData[[#This Row],[totalCourt]]</f>
        <v>1</v>
      </c>
      <c r="N3195" t="b">
        <f>AND(TrafficData[[#This Row],[disposedChallan]]&lt;=TrafficData[[#This Row],[totalChallan]],TrafficData[[#This Row],[pendingChallan]]&lt;=TrafficData[[#This Row],[totalChallan]])</f>
        <v>1</v>
      </c>
      <c r="O3195" t="b">
        <f>AND(TrafficData[[#This Row],[pendingAmount]]&lt;=TrafficData[[#This Row],[totalAmount]],TrafficData[[#This Row],[disposedAmount]]&lt;=TrafficData[[#This Row],[totalAmount]])</f>
        <v>1</v>
      </c>
      <c r="P3195" t="b">
        <f>AND(TrafficData[[#This Row],[pendingCourt]]&lt;=TrafficData[[#This Row],[totalCourt]],TrafficData[[#This Row],[disposedCourt]]&lt;=TrafficData[[#This Row],[totalCourt]])</f>
        <v>1</v>
      </c>
    </row>
    <row r="3196" spans="1:16">
      <c r="A3196" s="1">
        <v>45200</v>
      </c>
      <c r="B3196">
        <v>173232</v>
      </c>
      <c r="C3196">
        <v>67305</v>
      </c>
      <c r="D3196">
        <v>105927</v>
      </c>
      <c r="E3196">
        <v>150224413</v>
      </c>
      <c r="F3196">
        <v>85368526</v>
      </c>
      <c r="G3196">
        <v>235592939</v>
      </c>
      <c r="H3196">
        <v>55443</v>
      </c>
      <c r="I3196">
        <v>10499</v>
      </c>
      <c r="J3196">
        <v>65942</v>
      </c>
      <c r="K3196" t="b">
        <f>TrafficData[[#This Row],[disposedChallan]]+TrafficData[[#This Row],[pendingChallan]]=TrafficData[[#This Row],[totalChallan]]</f>
        <v>1</v>
      </c>
      <c r="L3196" t="b">
        <f>TrafficData[[#This Row],[pendingAmount]]+TrafficData[[#This Row],[disposedAmount]]=TrafficData[[#This Row],[totalAmount]]</f>
        <v>1</v>
      </c>
      <c r="M3196" t="b">
        <f>TrafficData[[#This Row],[pendingCourt]]+TrafficData[[#This Row],[disposedCourt]]=TrafficData[[#This Row],[totalCourt]]</f>
        <v>1</v>
      </c>
      <c r="N3196" t="b">
        <f>AND(TrafficData[[#This Row],[disposedChallan]]&lt;=TrafficData[[#This Row],[totalChallan]],TrafficData[[#This Row],[pendingChallan]]&lt;=TrafficData[[#This Row],[totalChallan]])</f>
        <v>1</v>
      </c>
      <c r="O3196" t="b">
        <f>AND(TrafficData[[#This Row],[pendingAmount]]&lt;=TrafficData[[#This Row],[totalAmount]],TrafficData[[#This Row],[disposedAmount]]&lt;=TrafficData[[#This Row],[totalAmount]])</f>
        <v>1</v>
      </c>
      <c r="P3196" t="b">
        <f>AND(TrafficData[[#This Row],[pendingCourt]]&lt;=TrafficData[[#This Row],[totalCourt]],TrafficData[[#This Row],[disposedCourt]]&lt;=TrafficData[[#This Row],[totalCourt]])</f>
        <v>1</v>
      </c>
    </row>
    <row r="3197" spans="1:16">
      <c r="A3197" s="1">
        <v>45201</v>
      </c>
      <c r="B3197">
        <v>187464</v>
      </c>
      <c r="C3197">
        <v>77255</v>
      </c>
      <c r="D3197">
        <v>110209</v>
      </c>
      <c r="E3197">
        <v>154776240</v>
      </c>
      <c r="F3197">
        <v>90872334</v>
      </c>
      <c r="G3197">
        <v>245648574</v>
      </c>
      <c r="H3197">
        <v>56877</v>
      </c>
      <c r="I3197">
        <v>11112</v>
      </c>
      <c r="J3197">
        <v>67989</v>
      </c>
      <c r="K3197" t="b">
        <f>TrafficData[[#This Row],[disposedChallan]]+TrafficData[[#This Row],[pendingChallan]]=TrafficData[[#This Row],[totalChallan]]</f>
        <v>1</v>
      </c>
      <c r="L3197" t="b">
        <f>TrafficData[[#This Row],[pendingAmount]]+TrafficData[[#This Row],[disposedAmount]]=TrafficData[[#This Row],[totalAmount]]</f>
        <v>1</v>
      </c>
      <c r="M3197" t="b">
        <f>TrafficData[[#This Row],[pendingCourt]]+TrafficData[[#This Row],[disposedCourt]]=TrafficData[[#This Row],[totalCourt]]</f>
        <v>1</v>
      </c>
      <c r="N3197" t="b">
        <f>AND(TrafficData[[#This Row],[disposedChallan]]&lt;=TrafficData[[#This Row],[totalChallan]],TrafficData[[#This Row],[pendingChallan]]&lt;=TrafficData[[#This Row],[totalChallan]])</f>
        <v>1</v>
      </c>
      <c r="O3197" t="b">
        <f>AND(TrafficData[[#This Row],[pendingAmount]]&lt;=TrafficData[[#This Row],[totalAmount]],TrafficData[[#This Row],[disposedAmount]]&lt;=TrafficData[[#This Row],[totalAmount]])</f>
        <v>1</v>
      </c>
      <c r="P3197" t="b">
        <f>AND(TrafficData[[#This Row],[pendingCourt]]&lt;=TrafficData[[#This Row],[totalCourt]],TrafficData[[#This Row],[disposedCourt]]&lt;=TrafficData[[#This Row],[totalCourt]])</f>
        <v>1</v>
      </c>
    </row>
    <row r="3198" spans="1:16">
      <c r="A3198" s="1">
        <v>45202</v>
      </c>
      <c r="B3198">
        <v>198354</v>
      </c>
      <c r="C3198">
        <v>78126</v>
      </c>
      <c r="D3198">
        <v>120228</v>
      </c>
      <c r="E3198">
        <v>183528455</v>
      </c>
      <c r="F3198">
        <v>114621975</v>
      </c>
      <c r="G3198">
        <v>298150430</v>
      </c>
      <c r="H3198">
        <v>63107</v>
      </c>
      <c r="I3198">
        <v>12088</v>
      </c>
      <c r="J3198">
        <v>75195</v>
      </c>
      <c r="K3198" t="b">
        <f>TrafficData[[#This Row],[disposedChallan]]+TrafficData[[#This Row],[pendingChallan]]=TrafficData[[#This Row],[totalChallan]]</f>
        <v>1</v>
      </c>
      <c r="L3198" t="b">
        <f>TrafficData[[#This Row],[pendingAmount]]+TrafficData[[#This Row],[disposedAmount]]=TrafficData[[#This Row],[totalAmount]]</f>
        <v>1</v>
      </c>
      <c r="M3198" t="b">
        <f>TrafficData[[#This Row],[pendingCourt]]+TrafficData[[#This Row],[disposedCourt]]=TrafficData[[#This Row],[totalCourt]]</f>
        <v>1</v>
      </c>
      <c r="N3198" t="b">
        <f>AND(TrafficData[[#This Row],[disposedChallan]]&lt;=TrafficData[[#This Row],[totalChallan]],TrafficData[[#This Row],[pendingChallan]]&lt;=TrafficData[[#This Row],[totalChallan]])</f>
        <v>1</v>
      </c>
      <c r="O3198" t="b">
        <f>AND(TrafficData[[#This Row],[pendingAmount]]&lt;=TrafficData[[#This Row],[totalAmount]],TrafficData[[#This Row],[disposedAmount]]&lt;=TrafficData[[#This Row],[totalAmount]])</f>
        <v>1</v>
      </c>
      <c r="P3198" t="b">
        <f>AND(TrafficData[[#This Row],[pendingCourt]]&lt;=TrafficData[[#This Row],[totalCourt]],TrafficData[[#This Row],[disposedCourt]]&lt;=TrafficData[[#This Row],[totalCourt]])</f>
        <v>1</v>
      </c>
    </row>
    <row r="3199" spans="1:16">
      <c r="A3199" s="1">
        <v>45203</v>
      </c>
      <c r="B3199">
        <v>203901</v>
      </c>
      <c r="C3199">
        <v>80489</v>
      </c>
      <c r="D3199">
        <v>123412</v>
      </c>
      <c r="E3199">
        <v>202492380</v>
      </c>
      <c r="F3199">
        <v>130483107</v>
      </c>
      <c r="G3199">
        <v>332975487</v>
      </c>
      <c r="H3199">
        <v>63040</v>
      </c>
      <c r="I3199">
        <v>12061</v>
      </c>
      <c r="J3199">
        <v>75101</v>
      </c>
      <c r="K3199" t="b">
        <f>TrafficData[[#This Row],[disposedChallan]]+TrafficData[[#This Row],[pendingChallan]]=TrafficData[[#This Row],[totalChallan]]</f>
        <v>1</v>
      </c>
      <c r="L3199" t="b">
        <f>TrafficData[[#This Row],[pendingAmount]]+TrafficData[[#This Row],[disposedAmount]]=TrafficData[[#This Row],[totalAmount]]</f>
        <v>1</v>
      </c>
      <c r="M3199" t="b">
        <f>TrafficData[[#This Row],[pendingCourt]]+TrafficData[[#This Row],[disposedCourt]]=TrafficData[[#This Row],[totalCourt]]</f>
        <v>1</v>
      </c>
      <c r="N3199" t="b">
        <f>AND(TrafficData[[#This Row],[disposedChallan]]&lt;=TrafficData[[#This Row],[totalChallan]],TrafficData[[#This Row],[pendingChallan]]&lt;=TrafficData[[#This Row],[totalChallan]])</f>
        <v>1</v>
      </c>
      <c r="O3199" t="b">
        <f>AND(TrafficData[[#This Row],[pendingAmount]]&lt;=TrafficData[[#This Row],[totalAmount]],TrafficData[[#This Row],[disposedAmount]]&lt;=TrafficData[[#This Row],[totalAmount]])</f>
        <v>1</v>
      </c>
      <c r="P3199" t="b">
        <f>AND(TrafficData[[#This Row],[pendingCourt]]&lt;=TrafficData[[#This Row],[totalCourt]],TrafficData[[#This Row],[disposedCourt]]&lt;=TrafficData[[#This Row],[totalCourt]])</f>
        <v>1</v>
      </c>
    </row>
    <row r="3200" spans="1:16">
      <c r="A3200" s="1">
        <v>45204</v>
      </c>
      <c r="B3200">
        <v>205013</v>
      </c>
      <c r="C3200">
        <v>80437</v>
      </c>
      <c r="D3200">
        <v>124576</v>
      </c>
      <c r="E3200">
        <v>207463979</v>
      </c>
      <c r="F3200">
        <v>133962413</v>
      </c>
      <c r="G3200">
        <v>341426392</v>
      </c>
      <c r="H3200">
        <v>61914</v>
      </c>
      <c r="I3200">
        <v>11959</v>
      </c>
      <c r="J3200">
        <v>73873</v>
      </c>
      <c r="K3200" t="b">
        <f>TrafficData[[#This Row],[disposedChallan]]+TrafficData[[#This Row],[pendingChallan]]=TrafficData[[#This Row],[totalChallan]]</f>
        <v>1</v>
      </c>
      <c r="L3200" t="b">
        <f>TrafficData[[#This Row],[pendingAmount]]+TrafficData[[#This Row],[disposedAmount]]=TrafficData[[#This Row],[totalAmount]]</f>
        <v>1</v>
      </c>
      <c r="M3200" t="b">
        <f>TrafficData[[#This Row],[pendingCourt]]+TrafficData[[#This Row],[disposedCourt]]=TrafficData[[#This Row],[totalCourt]]</f>
        <v>1</v>
      </c>
      <c r="N3200" t="b">
        <f>AND(TrafficData[[#This Row],[disposedChallan]]&lt;=TrafficData[[#This Row],[totalChallan]],TrafficData[[#This Row],[pendingChallan]]&lt;=TrafficData[[#This Row],[totalChallan]])</f>
        <v>1</v>
      </c>
      <c r="O3200" t="b">
        <f>AND(TrafficData[[#This Row],[pendingAmount]]&lt;=TrafficData[[#This Row],[totalAmount]],TrafficData[[#This Row],[disposedAmount]]&lt;=TrafficData[[#This Row],[totalAmount]])</f>
        <v>1</v>
      </c>
      <c r="P3200" t="b">
        <f>AND(TrafficData[[#This Row],[pendingCourt]]&lt;=TrafficData[[#This Row],[totalCourt]],TrafficData[[#This Row],[disposedCourt]]&lt;=TrafficData[[#This Row],[totalCourt]])</f>
        <v>1</v>
      </c>
    </row>
    <row r="3201" spans="1:16">
      <c r="A3201" s="1">
        <v>45205</v>
      </c>
      <c r="B3201">
        <v>207522</v>
      </c>
      <c r="C3201">
        <v>81420</v>
      </c>
      <c r="D3201">
        <v>126102</v>
      </c>
      <c r="E3201">
        <v>198637925</v>
      </c>
      <c r="F3201">
        <v>133936059</v>
      </c>
      <c r="G3201">
        <v>332573984</v>
      </c>
      <c r="H3201">
        <v>64086</v>
      </c>
      <c r="I3201">
        <v>12346</v>
      </c>
      <c r="J3201">
        <v>76432</v>
      </c>
      <c r="K3201" t="b">
        <f>TrafficData[[#This Row],[disposedChallan]]+TrafficData[[#This Row],[pendingChallan]]=TrafficData[[#This Row],[totalChallan]]</f>
        <v>1</v>
      </c>
      <c r="L3201" t="b">
        <f>TrafficData[[#This Row],[pendingAmount]]+TrafficData[[#This Row],[disposedAmount]]=TrafficData[[#This Row],[totalAmount]]</f>
        <v>1</v>
      </c>
      <c r="M3201" t="b">
        <f>TrafficData[[#This Row],[pendingCourt]]+TrafficData[[#This Row],[disposedCourt]]=TrafficData[[#This Row],[totalCourt]]</f>
        <v>1</v>
      </c>
      <c r="N3201" t="b">
        <f>AND(TrafficData[[#This Row],[disposedChallan]]&lt;=TrafficData[[#This Row],[totalChallan]],TrafficData[[#This Row],[pendingChallan]]&lt;=TrafficData[[#This Row],[totalChallan]])</f>
        <v>1</v>
      </c>
      <c r="O3201" t="b">
        <f>AND(TrafficData[[#This Row],[pendingAmount]]&lt;=TrafficData[[#This Row],[totalAmount]],TrafficData[[#This Row],[disposedAmount]]&lt;=TrafficData[[#This Row],[totalAmount]])</f>
        <v>1</v>
      </c>
      <c r="P3201" t="b">
        <f>AND(TrafficData[[#This Row],[pendingCourt]]&lt;=TrafficData[[#This Row],[totalCourt]],TrafficData[[#This Row],[disposedCourt]]&lt;=TrafficData[[#This Row],[totalCourt]])</f>
        <v>1</v>
      </c>
    </row>
    <row r="3202" spans="1:16">
      <c r="A3202" s="1">
        <v>45206</v>
      </c>
      <c r="B3202">
        <v>206644</v>
      </c>
      <c r="C3202">
        <v>82310</v>
      </c>
      <c r="D3202">
        <v>124334</v>
      </c>
      <c r="E3202">
        <v>192273697</v>
      </c>
      <c r="F3202">
        <v>127176583</v>
      </c>
      <c r="G3202">
        <v>319450280</v>
      </c>
      <c r="H3202">
        <v>60628</v>
      </c>
      <c r="I3202">
        <v>12312</v>
      </c>
      <c r="J3202">
        <v>72940</v>
      </c>
      <c r="K3202" t="b">
        <f>TrafficData[[#This Row],[disposedChallan]]+TrafficData[[#This Row],[pendingChallan]]=TrafficData[[#This Row],[totalChallan]]</f>
        <v>1</v>
      </c>
      <c r="L3202" t="b">
        <f>TrafficData[[#This Row],[pendingAmount]]+TrafficData[[#This Row],[disposedAmount]]=TrafficData[[#This Row],[totalAmount]]</f>
        <v>1</v>
      </c>
      <c r="M3202" t="b">
        <f>TrafficData[[#This Row],[pendingCourt]]+TrafficData[[#This Row],[disposedCourt]]=TrafficData[[#This Row],[totalCourt]]</f>
        <v>1</v>
      </c>
      <c r="N3202" t="b">
        <f>AND(TrafficData[[#This Row],[disposedChallan]]&lt;=TrafficData[[#This Row],[totalChallan]],TrafficData[[#This Row],[pendingChallan]]&lt;=TrafficData[[#This Row],[totalChallan]])</f>
        <v>1</v>
      </c>
      <c r="O3202" t="b">
        <f>AND(TrafficData[[#This Row],[pendingAmount]]&lt;=TrafficData[[#This Row],[totalAmount]],TrafficData[[#This Row],[disposedAmount]]&lt;=TrafficData[[#This Row],[totalAmount]])</f>
        <v>1</v>
      </c>
      <c r="P3202" t="b">
        <f>AND(TrafficData[[#This Row],[pendingCourt]]&lt;=TrafficData[[#This Row],[totalCourt]],TrafficData[[#This Row],[disposedCourt]]&lt;=TrafficData[[#This Row],[totalCourt]])</f>
        <v>1</v>
      </c>
    </row>
    <row r="3203" spans="1:16">
      <c r="A3203" s="1">
        <v>45207</v>
      </c>
      <c r="B3203">
        <v>191057</v>
      </c>
      <c r="C3203">
        <v>73001</v>
      </c>
      <c r="D3203">
        <v>118056</v>
      </c>
      <c r="E3203">
        <v>165097090</v>
      </c>
      <c r="F3203">
        <v>93687008</v>
      </c>
      <c r="G3203">
        <v>258784098</v>
      </c>
      <c r="H3203">
        <v>52452</v>
      </c>
      <c r="I3203">
        <v>10129</v>
      </c>
      <c r="J3203">
        <v>62581</v>
      </c>
      <c r="K3203" t="b">
        <f>TrafficData[[#This Row],[disposedChallan]]+TrafficData[[#This Row],[pendingChallan]]=TrafficData[[#This Row],[totalChallan]]</f>
        <v>1</v>
      </c>
      <c r="L3203" t="b">
        <f>TrafficData[[#This Row],[pendingAmount]]+TrafficData[[#This Row],[disposedAmount]]=TrafficData[[#This Row],[totalAmount]]</f>
        <v>1</v>
      </c>
      <c r="M3203" t="b">
        <f>TrafficData[[#This Row],[pendingCourt]]+TrafficData[[#This Row],[disposedCourt]]=TrafficData[[#This Row],[totalCourt]]</f>
        <v>1</v>
      </c>
      <c r="N3203" t="b">
        <f>AND(TrafficData[[#This Row],[disposedChallan]]&lt;=TrafficData[[#This Row],[totalChallan]],TrafficData[[#This Row],[pendingChallan]]&lt;=TrafficData[[#This Row],[totalChallan]])</f>
        <v>1</v>
      </c>
      <c r="O3203" t="b">
        <f>AND(TrafficData[[#This Row],[pendingAmount]]&lt;=TrafficData[[#This Row],[totalAmount]],TrafficData[[#This Row],[disposedAmount]]&lt;=TrafficData[[#This Row],[totalAmount]])</f>
        <v>1</v>
      </c>
      <c r="P3203" t="b">
        <f>AND(TrafficData[[#This Row],[pendingCourt]]&lt;=TrafficData[[#This Row],[totalCourt]],TrafficData[[#This Row],[disposedCourt]]&lt;=TrafficData[[#This Row],[totalCourt]])</f>
        <v>1</v>
      </c>
    </row>
    <row r="3204" spans="1:16">
      <c r="A3204" s="1">
        <v>45208</v>
      </c>
      <c r="B3204">
        <v>209239</v>
      </c>
      <c r="C3204">
        <v>81962</v>
      </c>
      <c r="D3204">
        <v>127277</v>
      </c>
      <c r="E3204">
        <v>199650080</v>
      </c>
      <c r="F3204">
        <v>122475228</v>
      </c>
      <c r="G3204">
        <v>322125308</v>
      </c>
      <c r="H3204">
        <v>59927</v>
      </c>
      <c r="I3204">
        <v>11666</v>
      </c>
      <c r="J3204">
        <v>71593</v>
      </c>
      <c r="K3204" t="b">
        <f>TrafficData[[#This Row],[disposedChallan]]+TrafficData[[#This Row],[pendingChallan]]=TrafficData[[#This Row],[totalChallan]]</f>
        <v>1</v>
      </c>
      <c r="L3204" t="b">
        <f>TrafficData[[#This Row],[pendingAmount]]+TrafficData[[#This Row],[disposedAmount]]=TrafficData[[#This Row],[totalAmount]]</f>
        <v>1</v>
      </c>
      <c r="M3204" t="b">
        <f>TrafficData[[#This Row],[pendingCourt]]+TrafficData[[#This Row],[disposedCourt]]=TrafficData[[#This Row],[totalCourt]]</f>
        <v>1</v>
      </c>
      <c r="N3204" t="b">
        <f>AND(TrafficData[[#This Row],[disposedChallan]]&lt;=TrafficData[[#This Row],[totalChallan]],TrafficData[[#This Row],[pendingChallan]]&lt;=TrafficData[[#This Row],[totalChallan]])</f>
        <v>1</v>
      </c>
      <c r="O3204" t="b">
        <f>AND(TrafficData[[#This Row],[pendingAmount]]&lt;=TrafficData[[#This Row],[totalAmount]],TrafficData[[#This Row],[disposedAmount]]&lt;=TrafficData[[#This Row],[totalAmount]])</f>
        <v>1</v>
      </c>
      <c r="P3204" t="b">
        <f>AND(TrafficData[[#This Row],[pendingCourt]]&lt;=TrafficData[[#This Row],[totalCourt]],TrafficData[[#This Row],[disposedCourt]]&lt;=TrafficData[[#This Row],[totalCourt]])</f>
        <v>1</v>
      </c>
    </row>
    <row r="3205" spans="1:16">
      <c r="A3205" s="1">
        <v>45209</v>
      </c>
      <c r="B3205">
        <v>205571</v>
      </c>
      <c r="C3205">
        <v>81952</v>
      </c>
      <c r="D3205">
        <v>123619</v>
      </c>
      <c r="E3205">
        <v>206427248</v>
      </c>
      <c r="F3205">
        <v>134217902</v>
      </c>
      <c r="G3205">
        <v>340645150</v>
      </c>
      <c r="H3205">
        <v>57080</v>
      </c>
      <c r="I3205">
        <v>11177</v>
      </c>
      <c r="J3205">
        <v>68257</v>
      </c>
      <c r="K3205" t="b">
        <f>TrafficData[[#This Row],[disposedChallan]]+TrafficData[[#This Row],[pendingChallan]]=TrafficData[[#This Row],[totalChallan]]</f>
        <v>1</v>
      </c>
      <c r="L3205" t="b">
        <f>TrafficData[[#This Row],[pendingAmount]]+TrafficData[[#This Row],[disposedAmount]]=TrafficData[[#This Row],[totalAmount]]</f>
        <v>1</v>
      </c>
      <c r="M3205" t="b">
        <f>TrafficData[[#This Row],[pendingCourt]]+TrafficData[[#This Row],[disposedCourt]]=TrafficData[[#This Row],[totalCourt]]</f>
        <v>1</v>
      </c>
      <c r="N3205" t="b">
        <f>AND(TrafficData[[#This Row],[disposedChallan]]&lt;=TrafficData[[#This Row],[totalChallan]],TrafficData[[#This Row],[pendingChallan]]&lt;=TrafficData[[#This Row],[totalChallan]])</f>
        <v>1</v>
      </c>
      <c r="O3205" t="b">
        <f>AND(TrafficData[[#This Row],[pendingAmount]]&lt;=TrafficData[[#This Row],[totalAmount]],TrafficData[[#This Row],[disposedAmount]]&lt;=TrafficData[[#This Row],[totalAmount]])</f>
        <v>1</v>
      </c>
      <c r="P3205" t="b">
        <f>AND(TrafficData[[#This Row],[pendingCourt]]&lt;=TrafficData[[#This Row],[totalCourt]],TrafficData[[#This Row],[disposedCourt]]&lt;=TrafficData[[#This Row],[totalCourt]])</f>
        <v>1</v>
      </c>
    </row>
    <row r="3206" spans="1:16">
      <c r="A3206" s="1">
        <v>45210</v>
      </c>
      <c r="B3206">
        <v>204427</v>
      </c>
      <c r="C3206">
        <v>81735</v>
      </c>
      <c r="D3206">
        <v>122692</v>
      </c>
      <c r="E3206">
        <v>198791973</v>
      </c>
      <c r="F3206">
        <v>133491275</v>
      </c>
      <c r="G3206">
        <v>332283248</v>
      </c>
      <c r="H3206">
        <v>56205</v>
      </c>
      <c r="I3206">
        <v>10988</v>
      </c>
      <c r="J3206">
        <v>67193</v>
      </c>
      <c r="K3206" t="b">
        <f>TrafficData[[#This Row],[disposedChallan]]+TrafficData[[#This Row],[pendingChallan]]=TrafficData[[#This Row],[totalChallan]]</f>
        <v>1</v>
      </c>
      <c r="L3206" t="b">
        <f>TrafficData[[#This Row],[pendingAmount]]+TrafficData[[#This Row],[disposedAmount]]=TrafficData[[#This Row],[totalAmount]]</f>
        <v>1</v>
      </c>
      <c r="M3206" t="b">
        <f>TrafficData[[#This Row],[pendingCourt]]+TrafficData[[#This Row],[disposedCourt]]=TrafficData[[#This Row],[totalCourt]]</f>
        <v>1</v>
      </c>
      <c r="N3206" t="b">
        <f>AND(TrafficData[[#This Row],[disposedChallan]]&lt;=TrafficData[[#This Row],[totalChallan]],TrafficData[[#This Row],[pendingChallan]]&lt;=TrafficData[[#This Row],[totalChallan]])</f>
        <v>1</v>
      </c>
      <c r="O3206" t="b">
        <f>AND(TrafficData[[#This Row],[pendingAmount]]&lt;=TrafficData[[#This Row],[totalAmount]],TrafficData[[#This Row],[disposedAmount]]&lt;=TrafficData[[#This Row],[totalAmount]])</f>
        <v>1</v>
      </c>
      <c r="P3206" t="b">
        <f>AND(TrafficData[[#This Row],[pendingCourt]]&lt;=TrafficData[[#This Row],[totalCourt]],TrafficData[[#This Row],[disposedCourt]]&lt;=TrafficData[[#This Row],[totalCourt]])</f>
        <v>1</v>
      </c>
    </row>
    <row r="3207" spans="1:16">
      <c r="A3207" s="1">
        <v>45211</v>
      </c>
      <c r="B3207">
        <v>203554</v>
      </c>
      <c r="C3207">
        <v>80350</v>
      </c>
      <c r="D3207">
        <v>123204</v>
      </c>
      <c r="E3207">
        <v>192275524</v>
      </c>
      <c r="F3207">
        <v>129306076</v>
      </c>
      <c r="G3207">
        <v>321581600</v>
      </c>
      <c r="H3207">
        <v>55339</v>
      </c>
      <c r="I3207">
        <v>10971</v>
      </c>
      <c r="J3207">
        <v>66310</v>
      </c>
      <c r="K3207" t="b">
        <f>TrafficData[[#This Row],[disposedChallan]]+TrafficData[[#This Row],[pendingChallan]]=TrafficData[[#This Row],[totalChallan]]</f>
        <v>1</v>
      </c>
      <c r="L3207" t="b">
        <f>TrafficData[[#This Row],[pendingAmount]]+TrafficData[[#This Row],[disposedAmount]]=TrafficData[[#This Row],[totalAmount]]</f>
        <v>1</v>
      </c>
      <c r="M3207" t="b">
        <f>TrafficData[[#This Row],[pendingCourt]]+TrafficData[[#This Row],[disposedCourt]]=TrafficData[[#This Row],[totalCourt]]</f>
        <v>1</v>
      </c>
      <c r="N3207" t="b">
        <f>AND(TrafficData[[#This Row],[disposedChallan]]&lt;=TrafficData[[#This Row],[totalChallan]],TrafficData[[#This Row],[pendingChallan]]&lt;=TrafficData[[#This Row],[totalChallan]])</f>
        <v>1</v>
      </c>
      <c r="O3207" t="b">
        <f>AND(TrafficData[[#This Row],[pendingAmount]]&lt;=TrafficData[[#This Row],[totalAmount]],TrafficData[[#This Row],[disposedAmount]]&lt;=TrafficData[[#This Row],[totalAmount]])</f>
        <v>1</v>
      </c>
      <c r="P3207" t="b">
        <f>AND(TrafficData[[#This Row],[pendingCourt]]&lt;=TrafficData[[#This Row],[totalCourt]],TrafficData[[#This Row],[disposedCourt]]&lt;=TrafficData[[#This Row],[totalCourt]])</f>
        <v>1</v>
      </c>
    </row>
    <row r="3208" spans="1:16">
      <c r="A3208" s="1">
        <v>45212</v>
      </c>
      <c r="B3208">
        <v>200508</v>
      </c>
      <c r="C3208">
        <v>79348</v>
      </c>
      <c r="D3208">
        <v>121160</v>
      </c>
      <c r="E3208">
        <v>197252168</v>
      </c>
      <c r="F3208">
        <v>126265949</v>
      </c>
      <c r="G3208">
        <v>323518117</v>
      </c>
      <c r="H3208">
        <v>54771</v>
      </c>
      <c r="I3208">
        <v>10833</v>
      </c>
      <c r="J3208">
        <v>65604</v>
      </c>
      <c r="K3208" t="b">
        <f>TrafficData[[#This Row],[disposedChallan]]+TrafficData[[#This Row],[pendingChallan]]=TrafficData[[#This Row],[totalChallan]]</f>
        <v>1</v>
      </c>
      <c r="L3208" t="b">
        <f>TrafficData[[#This Row],[pendingAmount]]+TrafficData[[#This Row],[disposedAmount]]=TrafficData[[#This Row],[totalAmount]]</f>
        <v>1</v>
      </c>
      <c r="M3208" t="b">
        <f>TrafficData[[#This Row],[pendingCourt]]+TrafficData[[#This Row],[disposedCourt]]=TrafficData[[#This Row],[totalCourt]]</f>
        <v>1</v>
      </c>
      <c r="N3208" t="b">
        <f>AND(TrafficData[[#This Row],[disposedChallan]]&lt;=TrafficData[[#This Row],[totalChallan]],TrafficData[[#This Row],[pendingChallan]]&lt;=TrafficData[[#This Row],[totalChallan]])</f>
        <v>1</v>
      </c>
      <c r="O3208" t="b">
        <f>AND(TrafficData[[#This Row],[pendingAmount]]&lt;=TrafficData[[#This Row],[totalAmount]],TrafficData[[#This Row],[disposedAmount]]&lt;=TrafficData[[#This Row],[totalAmount]])</f>
        <v>1</v>
      </c>
      <c r="P3208" t="b">
        <f>AND(TrafficData[[#This Row],[pendingCourt]]&lt;=TrafficData[[#This Row],[totalCourt]],TrafficData[[#This Row],[disposedCourt]]&lt;=TrafficData[[#This Row],[totalCourt]])</f>
        <v>1</v>
      </c>
    </row>
    <row r="3209" spans="1:16">
      <c r="A3209" s="1">
        <v>45213</v>
      </c>
      <c r="B3209">
        <v>187467</v>
      </c>
      <c r="C3209">
        <v>73883</v>
      </c>
      <c r="D3209">
        <v>113584</v>
      </c>
      <c r="E3209">
        <v>174928363</v>
      </c>
      <c r="F3209">
        <v>101822955</v>
      </c>
      <c r="G3209">
        <v>276751318</v>
      </c>
      <c r="H3209">
        <v>52554</v>
      </c>
      <c r="I3209">
        <v>10556</v>
      </c>
      <c r="J3209">
        <v>63110</v>
      </c>
      <c r="K3209" t="b">
        <f>TrafficData[[#This Row],[disposedChallan]]+TrafficData[[#This Row],[pendingChallan]]=TrafficData[[#This Row],[totalChallan]]</f>
        <v>1</v>
      </c>
      <c r="L3209" t="b">
        <f>TrafficData[[#This Row],[pendingAmount]]+TrafficData[[#This Row],[disposedAmount]]=TrafficData[[#This Row],[totalAmount]]</f>
        <v>1</v>
      </c>
      <c r="M3209" t="b">
        <f>TrafficData[[#This Row],[pendingCourt]]+TrafficData[[#This Row],[disposedCourt]]=TrafficData[[#This Row],[totalCourt]]</f>
        <v>1</v>
      </c>
      <c r="N3209" t="b">
        <f>AND(TrafficData[[#This Row],[disposedChallan]]&lt;=TrafficData[[#This Row],[totalChallan]],TrafficData[[#This Row],[pendingChallan]]&lt;=TrafficData[[#This Row],[totalChallan]])</f>
        <v>1</v>
      </c>
      <c r="O3209" t="b">
        <f>AND(TrafficData[[#This Row],[pendingAmount]]&lt;=TrafficData[[#This Row],[totalAmount]],TrafficData[[#This Row],[disposedAmount]]&lt;=TrafficData[[#This Row],[totalAmount]])</f>
        <v>1</v>
      </c>
      <c r="P3209" t="b">
        <f>AND(TrafficData[[#This Row],[pendingCourt]]&lt;=TrafficData[[#This Row],[totalCourt]],TrafficData[[#This Row],[disposedCourt]]&lt;=TrafficData[[#This Row],[totalCourt]])</f>
        <v>1</v>
      </c>
    </row>
    <row r="3210" spans="1:16">
      <c r="A3210" s="1">
        <v>45214</v>
      </c>
      <c r="B3210">
        <v>185823</v>
      </c>
      <c r="C3210">
        <v>69770</v>
      </c>
      <c r="D3210">
        <v>116053</v>
      </c>
      <c r="E3210">
        <v>155661722</v>
      </c>
      <c r="F3210">
        <v>84602483</v>
      </c>
      <c r="G3210">
        <v>240264205</v>
      </c>
      <c r="H3210">
        <v>51713</v>
      </c>
      <c r="I3210">
        <v>10022</v>
      </c>
      <c r="J3210">
        <v>61735</v>
      </c>
      <c r="K3210" t="b">
        <f>TrafficData[[#This Row],[disposedChallan]]+TrafficData[[#This Row],[pendingChallan]]=TrafficData[[#This Row],[totalChallan]]</f>
        <v>1</v>
      </c>
      <c r="L3210" t="b">
        <f>TrafficData[[#This Row],[pendingAmount]]+TrafficData[[#This Row],[disposedAmount]]=TrafficData[[#This Row],[totalAmount]]</f>
        <v>1</v>
      </c>
      <c r="M3210" t="b">
        <f>TrafficData[[#This Row],[pendingCourt]]+TrafficData[[#This Row],[disposedCourt]]=TrafficData[[#This Row],[totalCourt]]</f>
        <v>1</v>
      </c>
      <c r="N3210" t="b">
        <f>AND(TrafficData[[#This Row],[disposedChallan]]&lt;=TrafficData[[#This Row],[totalChallan]],TrafficData[[#This Row],[pendingChallan]]&lt;=TrafficData[[#This Row],[totalChallan]])</f>
        <v>1</v>
      </c>
      <c r="O3210" t="b">
        <f>AND(TrafficData[[#This Row],[pendingAmount]]&lt;=TrafficData[[#This Row],[totalAmount]],TrafficData[[#This Row],[disposedAmount]]&lt;=TrafficData[[#This Row],[totalAmount]])</f>
        <v>1</v>
      </c>
      <c r="P3210" t="b">
        <f>AND(TrafficData[[#This Row],[pendingCourt]]&lt;=TrafficData[[#This Row],[totalCourt]],TrafficData[[#This Row],[disposedCourt]]&lt;=TrafficData[[#This Row],[totalCourt]])</f>
        <v>1</v>
      </c>
    </row>
    <row r="3211" spans="1:16">
      <c r="A3211" s="1">
        <v>45215</v>
      </c>
      <c r="B3211">
        <v>197199</v>
      </c>
      <c r="C3211">
        <v>74114</v>
      </c>
      <c r="D3211">
        <v>123085</v>
      </c>
      <c r="E3211">
        <v>191933019</v>
      </c>
      <c r="F3211">
        <v>104346314</v>
      </c>
      <c r="G3211">
        <v>296279333</v>
      </c>
      <c r="H3211">
        <v>57306</v>
      </c>
      <c r="I3211">
        <v>10116</v>
      </c>
      <c r="J3211">
        <v>67422</v>
      </c>
      <c r="K3211" t="b">
        <f>TrafficData[[#This Row],[disposedChallan]]+TrafficData[[#This Row],[pendingChallan]]=TrafficData[[#This Row],[totalChallan]]</f>
        <v>1</v>
      </c>
      <c r="L3211" t="b">
        <f>TrafficData[[#This Row],[pendingAmount]]+TrafficData[[#This Row],[disposedAmount]]=TrafficData[[#This Row],[totalAmount]]</f>
        <v>1</v>
      </c>
      <c r="M3211" t="b">
        <f>TrafficData[[#This Row],[pendingCourt]]+TrafficData[[#This Row],[disposedCourt]]=TrafficData[[#This Row],[totalCourt]]</f>
        <v>1</v>
      </c>
      <c r="N3211" t="b">
        <f>AND(TrafficData[[#This Row],[disposedChallan]]&lt;=TrafficData[[#This Row],[totalChallan]],TrafficData[[#This Row],[pendingChallan]]&lt;=TrafficData[[#This Row],[totalChallan]])</f>
        <v>1</v>
      </c>
      <c r="O3211" t="b">
        <f>AND(TrafficData[[#This Row],[pendingAmount]]&lt;=TrafficData[[#This Row],[totalAmount]],TrafficData[[#This Row],[disposedAmount]]&lt;=TrafficData[[#This Row],[totalAmount]])</f>
        <v>1</v>
      </c>
      <c r="P3211" t="b">
        <f>AND(TrafficData[[#This Row],[pendingCourt]]&lt;=TrafficData[[#This Row],[totalCourt]],TrafficData[[#This Row],[disposedCourt]]&lt;=TrafficData[[#This Row],[totalCourt]])</f>
        <v>1</v>
      </c>
    </row>
    <row r="3212" spans="1:16">
      <c r="A3212" s="1">
        <v>45216</v>
      </c>
      <c r="B3212">
        <v>197939</v>
      </c>
      <c r="C3212">
        <v>76547</v>
      </c>
      <c r="D3212">
        <v>121392</v>
      </c>
      <c r="E3212">
        <v>196711511</v>
      </c>
      <c r="F3212">
        <v>116660353</v>
      </c>
      <c r="G3212">
        <v>313371864</v>
      </c>
      <c r="H3212">
        <v>56644</v>
      </c>
      <c r="I3212">
        <v>10700</v>
      </c>
      <c r="J3212">
        <v>67344</v>
      </c>
      <c r="K3212" t="b">
        <f>TrafficData[[#This Row],[disposedChallan]]+TrafficData[[#This Row],[pendingChallan]]=TrafficData[[#This Row],[totalChallan]]</f>
        <v>1</v>
      </c>
      <c r="L3212" t="b">
        <f>TrafficData[[#This Row],[pendingAmount]]+TrafficData[[#This Row],[disposedAmount]]=TrafficData[[#This Row],[totalAmount]]</f>
        <v>1</v>
      </c>
      <c r="M3212" t="b">
        <f>TrafficData[[#This Row],[pendingCourt]]+TrafficData[[#This Row],[disposedCourt]]=TrafficData[[#This Row],[totalCourt]]</f>
        <v>1</v>
      </c>
      <c r="N3212" t="b">
        <f>AND(TrafficData[[#This Row],[disposedChallan]]&lt;=TrafficData[[#This Row],[totalChallan]],TrafficData[[#This Row],[pendingChallan]]&lt;=TrafficData[[#This Row],[totalChallan]])</f>
        <v>1</v>
      </c>
      <c r="O3212" t="b">
        <f>AND(TrafficData[[#This Row],[pendingAmount]]&lt;=TrafficData[[#This Row],[totalAmount]],TrafficData[[#This Row],[disposedAmount]]&lt;=TrafficData[[#This Row],[totalAmount]])</f>
        <v>1</v>
      </c>
      <c r="P3212" t="b">
        <f>AND(TrafficData[[#This Row],[pendingCourt]]&lt;=TrafficData[[#This Row],[totalCourt]],TrafficData[[#This Row],[disposedCourt]]&lt;=TrafficData[[#This Row],[totalCourt]])</f>
        <v>1</v>
      </c>
    </row>
    <row r="3213" spans="1:16">
      <c r="A3213" s="1">
        <v>45217</v>
      </c>
      <c r="B3213">
        <v>205208</v>
      </c>
      <c r="C3213">
        <v>78936</v>
      </c>
      <c r="D3213">
        <v>126272</v>
      </c>
      <c r="E3213">
        <v>203974700</v>
      </c>
      <c r="F3213">
        <v>120383009</v>
      </c>
      <c r="G3213">
        <v>324357709</v>
      </c>
      <c r="H3213">
        <v>58536</v>
      </c>
      <c r="I3213">
        <v>11230</v>
      </c>
      <c r="J3213">
        <v>69766</v>
      </c>
      <c r="K3213" t="b">
        <f>TrafficData[[#This Row],[disposedChallan]]+TrafficData[[#This Row],[pendingChallan]]=TrafficData[[#This Row],[totalChallan]]</f>
        <v>1</v>
      </c>
      <c r="L3213" t="b">
        <f>TrafficData[[#This Row],[pendingAmount]]+TrafficData[[#This Row],[disposedAmount]]=TrafficData[[#This Row],[totalAmount]]</f>
        <v>1</v>
      </c>
      <c r="M3213" t="b">
        <f>TrafficData[[#This Row],[pendingCourt]]+TrafficData[[#This Row],[disposedCourt]]=TrafficData[[#This Row],[totalCourt]]</f>
        <v>1</v>
      </c>
      <c r="N3213" t="b">
        <f>AND(TrafficData[[#This Row],[disposedChallan]]&lt;=TrafficData[[#This Row],[totalChallan]],TrafficData[[#This Row],[pendingChallan]]&lt;=TrafficData[[#This Row],[totalChallan]])</f>
        <v>1</v>
      </c>
      <c r="O3213" t="b">
        <f>AND(TrafficData[[#This Row],[pendingAmount]]&lt;=TrafficData[[#This Row],[totalAmount]],TrafficData[[#This Row],[disposedAmount]]&lt;=TrafficData[[#This Row],[totalAmount]])</f>
        <v>1</v>
      </c>
      <c r="P3213" t="b">
        <f>AND(TrafficData[[#This Row],[pendingCourt]]&lt;=TrafficData[[#This Row],[totalCourt]],TrafficData[[#This Row],[disposedCourt]]&lt;=TrafficData[[#This Row],[totalCourt]])</f>
        <v>1</v>
      </c>
    </row>
    <row r="3214" spans="1:16">
      <c r="A3214" s="1">
        <v>45218</v>
      </c>
      <c r="B3214">
        <v>204471</v>
      </c>
      <c r="C3214">
        <v>78426</v>
      </c>
      <c r="D3214">
        <v>126045</v>
      </c>
      <c r="E3214">
        <v>200421173</v>
      </c>
      <c r="F3214">
        <v>113979073</v>
      </c>
      <c r="G3214">
        <v>314400246</v>
      </c>
      <c r="H3214">
        <v>57756</v>
      </c>
      <c r="I3214">
        <v>10881</v>
      </c>
      <c r="J3214">
        <v>68637</v>
      </c>
      <c r="K3214" t="b">
        <f>TrafficData[[#This Row],[disposedChallan]]+TrafficData[[#This Row],[pendingChallan]]=TrafficData[[#This Row],[totalChallan]]</f>
        <v>1</v>
      </c>
      <c r="L3214" t="b">
        <f>TrafficData[[#This Row],[pendingAmount]]+TrafficData[[#This Row],[disposedAmount]]=TrafficData[[#This Row],[totalAmount]]</f>
        <v>1</v>
      </c>
      <c r="M3214" t="b">
        <f>TrafficData[[#This Row],[pendingCourt]]+TrafficData[[#This Row],[disposedCourt]]=TrafficData[[#This Row],[totalCourt]]</f>
        <v>1</v>
      </c>
      <c r="N3214" t="b">
        <f>AND(TrafficData[[#This Row],[disposedChallan]]&lt;=TrafficData[[#This Row],[totalChallan]],TrafficData[[#This Row],[pendingChallan]]&lt;=TrafficData[[#This Row],[totalChallan]])</f>
        <v>1</v>
      </c>
      <c r="O3214" t="b">
        <f>AND(TrafficData[[#This Row],[pendingAmount]]&lt;=TrafficData[[#This Row],[totalAmount]],TrafficData[[#This Row],[disposedAmount]]&lt;=TrafficData[[#This Row],[totalAmount]])</f>
        <v>1</v>
      </c>
      <c r="P3214" t="b">
        <f>AND(TrafficData[[#This Row],[pendingCourt]]&lt;=TrafficData[[#This Row],[totalCourt]],TrafficData[[#This Row],[disposedCourt]]&lt;=TrafficData[[#This Row],[totalCourt]])</f>
        <v>1</v>
      </c>
    </row>
    <row r="3215" spans="1:16">
      <c r="A3215" s="1">
        <v>45219</v>
      </c>
      <c r="B3215">
        <v>191769</v>
      </c>
      <c r="C3215">
        <v>75002</v>
      </c>
      <c r="D3215">
        <v>116767</v>
      </c>
      <c r="E3215">
        <v>182757530</v>
      </c>
      <c r="F3215">
        <v>107353304</v>
      </c>
      <c r="G3215">
        <v>290110834</v>
      </c>
      <c r="H3215">
        <v>52758</v>
      </c>
      <c r="I3215">
        <v>9990</v>
      </c>
      <c r="J3215">
        <v>62748</v>
      </c>
      <c r="K3215" t="b">
        <f>TrafficData[[#This Row],[disposedChallan]]+TrafficData[[#This Row],[pendingChallan]]=TrafficData[[#This Row],[totalChallan]]</f>
        <v>1</v>
      </c>
      <c r="L3215" t="b">
        <f>TrafficData[[#This Row],[pendingAmount]]+TrafficData[[#This Row],[disposedAmount]]=TrafficData[[#This Row],[totalAmount]]</f>
        <v>1</v>
      </c>
      <c r="M3215" t="b">
        <f>TrafficData[[#This Row],[pendingCourt]]+TrafficData[[#This Row],[disposedCourt]]=TrafficData[[#This Row],[totalCourt]]</f>
        <v>1</v>
      </c>
      <c r="N3215" t="b">
        <f>AND(TrafficData[[#This Row],[disposedChallan]]&lt;=TrafficData[[#This Row],[totalChallan]],TrafficData[[#This Row],[pendingChallan]]&lt;=TrafficData[[#This Row],[totalChallan]])</f>
        <v>1</v>
      </c>
      <c r="O3215" t="b">
        <f>AND(TrafficData[[#This Row],[pendingAmount]]&lt;=TrafficData[[#This Row],[totalAmount]],TrafficData[[#This Row],[disposedAmount]]&lt;=TrafficData[[#This Row],[totalAmount]])</f>
        <v>1</v>
      </c>
      <c r="P3215" t="b">
        <f>AND(TrafficData[[#This Row],[pendingCourt]]&lt;=TrafficData[[#This Row],[totalCourt]],TrafficData[[#This Row],[disposedCourt]]&lt;=TrafficData[[#This Row],[totalCourt]])</f>
        <v>1</v>
      </c>
    </row>
    <row r="3216" spans="1:16">
      <c r="A3216" s="1">
        <v>45220</v>
      </c>
      <c r="B3216">
        <v>198413</v>
      </c>
      <c r="C3216">
        <v>77725</v>
      </c>
      <c r="D3216">
        <v>120688</v>
      </c>
      <c r="E3216">
        <v>182020954</v>
      </c>
      <c r="F3216">
        <v>97246692</v>
      </c>
      <c r="G3216">
        <v>279267646</v>
      </c>
      <c r="H3216">
        <v>59431</v>
      </c>
      <c r="I3216">
        <v>11375</v>
      </c>
      <c r="J3216">
        <v>70806</v>
      </c>
      <c r="K3216" t="b">
        <f>TrafficData[[#This Row],[disposedChallan]]+TrafficData[[#This Row],[pendingChallan]]=TrafficData[[#This Row],[totalChallan]]</f>
        <v>1</v>
      </c>
      <c r="L3216" t="b">
        <f>TrafficData[[#This Row],[pendingAmount]]+TrafficData[[#This Row],[disposedAmount]]=TrafficData[[#This Row],[totalAmount]]</f>
        <v>1</v>
      </c>
      <c r="M3216" t="b">
        <f>TrafficData[[#This Row],[pendingCourt]]+TrafficData[[#This Row],[disposedCourt]]=TrafficData[[#This Row],[totalCourt]]</f>
        <v>1</v>
      </c>
      <c r="N3216" t="b">
        <f>AND(TrafficData[[#This Row],[disposedChallan]]&lt;=TrafficData[[#This Row],[totalChallan]],TrafficData[[#This Row],[pendingChallan]]&lt;=TrafficData[[#This Row],[totalChallan]])</f>
        <v>1</v>
      </c>
      <c r="O3216" t="b">
        <f>AND(TrafficData[[#This Row],[pendingAmount]]&lt;=TrafficData[[#This Row],[totalAmount]],TrafficData[[#This Row],[disposedAmount]]&lt;=TrafficData[[#This Row],[totalAmount]])</f>
        <v>1</v>
      </c>
      <c r="P3216" t="b">
        <f>AND(TrafficData[[#This Row],[pendingCourt]]&lt;=TrafficData[[#This Row],[totalCourt]],TrafficData[[#This Row],[disposedCourt]]&lt;=TrafficData[[#This Row],[totalCourt]])</f>
        <v>1</v>
      </c>
    </row>
    <row r="3217" spans="1:16">
      <c r="A3217" s="1">
        <v>45221</v>
      </c>
      <c r="B3217">
        <v>181876</v>
      </c>
      <c r="C3217">
        <v>68229</v>
      </c>
      <c r="D3217">
        <v>113647</v>
      </c>
      <c r="E3217">
        <v>157340630</v>
      </c>
      <c r="F3217">
        <v>76979653</v>
      </c>
      <c r="G3217">
        <v>234320283</v>
      </c>
      <c r="H3217">
        <v>52106</v>
      </c>
      <c r="I3217">
        <v>9944</v>
      </c>
      <c r="J3217">
        <v>62050</v>
      </c>
      <c r="K3217" t="b">
        <f>TrafficData[[#This Row],[disposedChallan]]+TrafficData[[#This Row],[pendingChallan]]=TrafficData[[#This Row],[totalChallan]]</f>
        <v>1</v>
      </c>
      <c r="L3217" t="b">
        <f>TrafficData[[#This Row],[pendingAmount]]+TrafficData[[#This Row],[disposedAmount]]=TrafficData[[#This Row],[totalAmount]]</f>
        <v>1</v>
      </c>
      <c r="M3217" t="b">
        <f>TrafficData[[#This Row],[pendingCourt]]+TrafficData[[#This Row],[disposedCourt]]=TrafficData[[#This Row],[totalCourt]]</f>
        <v>1</v>
      </c>
      <c r="N3217" t="b">
        <f>AND(TrafficData[[#This Row],[disposedChallan]]&lt;=TrafficData[[#This Row],[totalChallan]],TrafficData[[#This Row],[pendingChallan]]&lt;=TrafficData[[#This Row],[totalChallan]])</f>
        <v>1</v>
      </c>
      <c r="O3217" t="b">
        <f>AND(TrafficData[[#This Row],[pendingAmount]]&lt;=TrafficData[[#This Row],[totalAmount]],TrafficData[[#This Row],[disposedAmount]]&lt;=TrafficData[[#This Row],[totalAmount]])</f>
        <v>1</v>
      </c>
      <c r="P3217" t="b">
        <f>AND(TrafficData[[#This Row],[pendingCourt]]&lt;=TrafficData[[#This Row],[totalCourt]],TrafficData[[#This Row],[disposedCourt]]&lt;=TrafficData[[#This Row],[totalCourt]])</f>
        <v>1</v>
      </c>
    </row>
    <row r="3218" spans="1:16">
      <c r="A3218" s="1">
        <v>45222</v>
      </c>
      <c r="B3218">
        <v>173744</v>
      </c>
      <c r="C3218">
        <v>65381</v>
      </c>
      <c r="D3218">
        <v>108363</v>
      </c>
      <c r="E3218">
        <v>160556424</v>
      </c>
      <c r="F3218">
        <v>74384337</v>
      </c>
      <c r="G3218">
        <v>234940761</v>
      </c>
      <c r="H3218">
        <v>54529</v>
      </c>
      <c r="I3218">
        <v>10455</v>
      </c>
      <c r="J3218">
        <v>64984</v>
      </c>
      <c r="K3218" t="b">
        <f>TrafficData[[#This Row],[disposedChallan]]+TrafficData[[#This Row],[pendingChallan]]=TrafficData[[#This Row],[totalChallan]]</f>
        <v>1</v>
      </c>
      <c r="L3218" t="b">
        <f>TrafficData[[#This Row],[pendingAmount]]+TrafficData[[#This Row],[disposedAmount]]=TrafficData[[#This Row],[totalAmount]]</f>
        <v>1</v>
      </c>
      <c r="M3218" t="b">
        <f>TrafficData[[#This Row],[pendingCourt]]+TrafficData[[#This Row],[disposedCourt]]=TrafficData[[#This Row],[totalCourt]]</f>
        <v>1</v>
      </c>
      <c r="N3218" t="b">
        <f>AND(TrafficData[[#This Row],[disposedChallan]]&lt;=TrafficData[[#This Row],[totalChallan]],TrafficData[[#This Row],[pendingChallan]]&lt;=TrafficData[[#This Row],[totalChallan]])</f>
        <v>1</v>
      </c>
      <c r="O3218" t="b">
        <f>AND(TrafficData[[#This Row],[pendingAmount]]&lt;=TrafficData[[#This Row],[totalAmount]],TrafficData[[#This Row],[disposedAmount]]&lt;=TrafficData[[#This Row],[totalAmount]])</f>
        <v>1</v>
      </c>
      <c r="P3218" t="b">
        <f>AND(TrafficData[[#This Row],[pendingCourt]]&lt;=TrafficData[[#This Row],[totalCourt]],TrafficData[[#This Row],[disposedCourt]]&lt;=TrafficData[[#This Row],[totalCourt]])</f>
        <v>1</v>
      </c>
    </row>
    <row r="3219" spans="1:16">
      <c r="A3219" s="1">
        <v>45223</v>
      </c>
      <c r="B3219">
        <v>159986</v>
      </c>
      <c r="C3219">
        <v>58909</v>
      </c>
      <c r="D3219">
        <v>101077</v>
      </c>
      <c r="E3219">
        <v>137689270</v>
      </c>
      <c r="F3219">
        <v>60776279</v>
      </c>
      <c r="G3219">
        <v>198465549</v>
      </c>
      <c r="H3219">
        <v>47033</v>
      </c>
      <c r="I3219">
        <v>9038</v>
      </c>
      <c r="J3219">
        <v>56071</v>
      </c>
      <c r="K3219" t="b">
        <f>TrafficData[[#This Row],[disposedChallan]]+TrafficData[[#This Row],[pendingChallan]]=TrafficData[[#This Row],[totalChallan]]</f>
        <v>1</v>
      </c>
      <c r="L3219" t="b">
        <f>TrafficData[[#This Row],[pendingAmount]]+TrafficData[[#This Row],[disposedAmount]]=TrafficData[[#This Row],[totalAmount]]</f>
        <v>1</v>
      </c>
      <c r="M3219" t="b">
        <f>TrafficData[[#This Row],[pendingCourt]]+TrafficData[[#This Row],[disposedCourt]]=TrafficData[[#This Row],[totalCourt]]</f>
        <v>1</v>
      </c>
      <c r="N3219" t="b">
        <f>AND(TrafficData[[#This Row],[disposedChallan]]&lt;=TrafficData[[#This Row],[totalChallan]],TrafficData[[#This Row],[pendingChallan]]&lt;=TrafficData[[#This Row],[totalChallan]])</f>
        <v>1</v>
      </c>
      <c r="O3219" t="b">
        <f>AND(TrafficData[[#This Row],[pendingAmount]]&lt;=TrafficData[[#This Row],[totalAmount]],TrafficData[[#This Row],[disposedAmount]]&lt;=TrafficData[[#This Row],[totalAmount]])</f>
        <v>1</v>
      </c>
      <c r="P3219" t="b">
        <f>AND(TrafficData[[#This Row],[pendingCourt]]&lt;=TrafficData[[#This Row],[totalCourt]],TrafficData[[#This Row],[disposedCourt]]&lt;=TrafficData[[#This Row],[totalCourt]])</f>
        <v>1</v>
      </c>
    </row>
    <row r="3220" spans="1:16">
      <c r="A3220" s="1">
        <v>45224</v>
      </c>
      <c r="B3220">
        <v>187300</v>
      </c>
      <c r="C3220">
        <v>69580</v>
      </c>
      <c r="D3220">
        <v>117720</v>
      </c>
      <c r="E3220">
        <v>180797605</v>
      </c>
      <c r="F3220">
        <v>90124521</v>
      </c>
      <c r="G3220">
        <v>270922126</v>
      </c>
      <c r="H3220">
        <v>57562</v>
      </c>
      <c r="I3220">
        <v>10383</v>
      </c>
      <c r="J3220">
        <v>67945</v>
      </c>
      <c r="K3220" t="b">
        <f>TrafficData[[#This Row],[disposedChallan]]+TrafficData[[#This Row],[pendingChallan]]=TrafficData[[#This Row],[totalChallan]]</f>
        <v>1</v>
      </c>
      <c r="L3220" t="b">
        <f>TrafficData[[#This Row],[pendingAmount]]+TrafficData[[#This Row],[disposedAmount]]=TrafficData[[#This Row],[totalAmount]]</f>
        <v>1</v>
      </c>
      <c r="M3220" t="b">
        <f>TrafficData[[#This Row],[pendingCourt]]+TrafficData[[#This Row],[disposedCourt]]=TrafficData[[#This Row],[totalCourt]]</f>
        <v>1</v>
      </c>
      <c r="N3220" t="b">
        <f>AND(TrafficData[[#This Row],[disposedChallan]]&lt;=TrafficData[[#This Row],[totalChallan]],TrafficData[[#This Row],[pendingChallan]]&lt;=TrafficData[[#This Row],[totalChallan]])</f>
        <v>1</v>
      </c>
      <c r="O3220" t="b">
        <f>AND(TrafficData[[#This Row],[pendingAmount]]&lt;=TrafficData[[#This Row],[totalAmount]],TrafficData[[#This Row],[disposedAmount]]&lt;=TrafficData[[#This Row],[totalAmount]])</f>
        <v>1</v>
      </c>
      <c r="P3220" t="b">
        <f>AND(TrafficData[[#This Row],[pendingCourt]]&lt;=TrafficData[[#This Row],[totalCourt]],TrafficData[[#This Row],[disposedCourt]]&lt;=TrafficData[[#This Row],[totalCourt]])</f>
        <v>1</v>
      </c>
    </row>
    <row r="3221" spans="1:16">
      <c r="A3221" s="1">
        <v>45225</v>
      </c>
      <c r="B3221">
        <v>190434</v>
      </c>
      <c r="C3221">
        <v>73329</v>
      </c>
      <c r="D3221">
        <v>117105</v>
      </c>
      <c r="E3221">
        <v>192038431</v>
      </c>
      <c r="F3221">
        <v>110953713</v>
      </c>
      <c r="G3221">
        <v>302992144</v>
      </c>
      <c r="H3221">
        <v>58571</v>
      </c>
      <c r="I3221">
        <v>10803</v>
      </c>
      <c r="J3221">
        <v>69374</v>
      </c>
      <c r="K3221" t="b">
        <f>TrafficData[[#This Row],[disposedChallan]]+TrafficData[[#This Row],[pendingChallan]]=TrafficData[[#This Row],[totalChallan]]</f>
        <v>1</v>
      </c>
      <c r="L3221" t="b">
        <f>TrafficData[[#This Row],[pendingAmount]]+TrafficData[[#This Row],[disposedAmount]]=TrafficData[[#This Row],[totalAmount]]</f>
        <v>1</v>
      </c>
      <c r="M3221" t="b">
        <f>TrafficData[[#This Row],[pendingCourt]]+TrafficData[[#This Row],[disposedCourt]]=TrafficData[[#This Row],[totalCourt]]</f>
        <v>1</v>
      </c>
      <c r="N3221" t="b">
        <f>AND(TrafficData[[#This Row],[disposedChallan]]&lt;=TrafficData[[#This Row],[totalChallan]],TrafficData[[#This Row],[pendingChallan]]&lt;=TrafficData[[#This Row],[totalChallan]])</f>
        <v>1</v>
      </c>
      <c r="O3221" t="b">
        <f>AND(TrafficData[[#This Row],[pendingAmount]]&lt;=TrafficData[[#This Row],[totalAmount]],TrafficData[[#This Row],[disposedAmount]]&lt;=TrafficData[[#This Row],[totalAmount]])</f>
        <v>1</v>
      </c>
      <c r="P3221" t="b">
        <f>AND(TrafficData[[#This Row],[pendingCourt]]&lt;=TrafficData[[#This Row],[totalCourt]],TrafficData[[#This Row],[disposedCourt]]&lt;=TrafficData[[#This Row],[totalCourt]])</f>
        <v>1</v>
      </c>
    </row>
    <row r="3222" spans="1:16">
      <c r="A3222" s="1">
        <v>45226</v>
      </c>
      <c r="B3222">
        <v>193713</v>
      </c>
      <c r="C3222">
        <v>74038</v>
      </c>
      <c r="D3222">
        <v>119675</v>
      </c>
      <c r="E3222">
        <v>201719818</v>
      </c>
      <c r="F3222">
        <v>169348964</v>
      </c>
      <c r="G3222">
        <v>371068782</v>
      </c>
      <c r="H3222">
        <v>62645</v>
      </c>
      <c r="I3222">
        <v>11618</v>
      </c>
      <c r="J3222">
        <v>74263</v>
      </c>
      <c r="K3222" t="b">
        <f>TrafficData[[#This Row],[disposedChallan]]+TrafficData[[#This Row],[pendingChallan]]=TrafficData[[#This Row],[totalChallan]]</f>
        <v>1</v>
      </c>
      <c r="L3222" t="b">
        <f>TrafficData[[#This Row],[pendingAmount]]+TrafficData[[#This Row],[disposedAmount]]=TrafficData[[#This Row],[totalAmount]]</f>
        <v>1</v>
      </c>
      <c r="M3222" t="b">
        <f>TrafficData[[#This Row],[pendingCourt]]+TrafficData[[#This Row],[disposedCourt]]=TrafficData[[#This Row],[totalCourt]]</f>
        <v>1</v>
      </c>
      <c r="N3222" t="b">
        <f>AND(TrafficData[[#This Row],[disposedChallan]]&lt;=TrafficData[[#This Row],[totalChallan]],TrafficData[[#This Row],[pendingChallan]]&lt;=TrafficData[[#This Row],[totalChallan]])</f>
        <v>1</v>
      </c>
      <c r="O3222" t="b">
        <f>AND(TrafficData[[#This Row],[pendingAmount]]&lt;=TrafficData[[#This Row],[totalAmount]],TrafficData[[#This Row],[disposedAmount]]&lt;=TrafficData[[#This Row],[totalAmount]])</f>
        <v>1</v>
      </c>
      <c r="P3222" t="b">
        <f>AND(TrafficData[[#This Row],[pendingCourt]]&lt;=TrafficData[[#This Row],[totalCourt]],TrafficData[[#This Row],[disposedCourt]]&lt;=TrafficData[[#This Row],[totalCourt]])</f>
        <v>1</v>
      </c>
    </row>
    <row r="3223" spans="1:16">
      <c r="A3223" s="1">
        <v>45227</v>
      </c>
      <c r="B3223">
        <v>182495</v>
      </c>
      <c r="C3223">
        <v>73355</v>
      </c>
      <c r="D3223">
        <v>109140</v>
      </c>
      <c r="E3223">
        <v>185479828</v>
      </c>
      <c r="F3223">
        <v>105976191</v>
      </c>
      <c r="G3223">
        <v>291456019</v>
      </c>
      <c r="H3223">
        <v>56045</v>
      </c>
      <c r="I3223">
        <v>11265</v>
      </c>
      <c r="J3223">
        <v>67310</v>
      </c>
      <c r="K3223" t="b">
        <f>TrafficData[[#This Row],[disposedChallan]]+TrafficData[[#This Row],[pendingChallan]]=TrafficData[[#This Row],[totalChallan]]</f>
        <v>1</v>
      </c>
      <c r="L3223" t="b">
        <f>TrafficData[[#This Row],[pendingAmount]]+TrafficData[[#This Row],[disposedAmount]]=TrafficData[[#This Row],[totalAmount]]</f>
        <v>1</v>
      </c>
      <c r="M3223" t="b">
        <f>TrafficData[[#This Row],[pendingCourt]]+TrafficData[[#This Row],[disposedCourt]]=TrafficData[[#This Row],[totalCourt]]</f>
        <v>1</v>
      </c>
      <c r="N3223" t="b">
        <f>AND(TrafficData[[#This Row],[disposedChallan]]&lt;=TrafficData[[#This Row],[totalChallan]],TrafficData[[#This Row],[pendingChallan]]&lt;=TrafficData[[#This Row],[totalChallan]])</f>
        <v>1</v>
      </c>
      <c r="O3223" t="b">
        <f>AND(TrafficData[[#This Row],[pendingAmount]]&lt;=TrafficData[[#This Row],[totalAmount]],TrafficData[[#This Row],[disposedAmount]]&lt;=TrafficData[[#This Row],[totalAmount]])</f>
        <v>1</v>
      </c>
      <c r="P3223" t="b">
        <f>AND(TrafficData[[#This Row],[pendingCourt]]&lt;=TrafficData[[#This Row],[totalCourt]],TrafficData[[#This Row],[disposedCourt]]&lt;=TrafficData[[#This Row],[totalCourt]])</f>
        <v>1</v>
      </c>
    </row>
    <row r="3224" spans="1:16">
      <c r="A3224" s="1">
        <v>45228</v>
      </c>
      <c r="B3224">
        <v>171833</v>
      </c>
      <c r="C3224">
        <v>66143</v>
      </c>
      <c r="D3224">
        <v>105690</v>
      </c>
      <c r="E3224">
        <v>153196320</v>
      </c>
      <c r="F3224">
        <v>85700896</v>
      </c>
      <c r="G3224">
        <v>238897216</v>
      </c>
      <c r="H3224">
        <v>55174</v>
      </c>
      <c r="I3224">
        <v>10273</v>
      </c>
      <c r="J3224">
        <v>65447</v>
      </c>
      <c r="K3224" t="b">
        <f>TrafficData[[#This Row],[disposedChallan]]+TrafficData[[#This Row],[pendingChallan]]=TrafficData[[#This Row],[totalChallan]]</f>
        <v>1</v>
      </c>
      <c r="L3224" t="b">
        <f>TrafficData[[#This Row],[pendingAmount]]+TrafficData[[#This Row],[disposedAmount]]=TrafficData[[#This Row],[totalAmount]]</f>
        <v>1</v>
      </c>
      <c r="M3224" t="b">
        <f>TrafficData[[#This Row],[pendingCourt]]+TrafficData[[#This Row],[disposedCourt]]=TrafficData[[#This Row],[totalCourt]]</f>
        <v>1</v>
      </c>
      <c r="N3224" t="b">
        <f>AND(TrafficData[[#This Row],[disposedChallan]]&lt;=TrafficData[[#This Row],[totalChallan]],TrafficData[[#This Row],[pendingChallan]]&lt;=TrafficData[[#This Row],[totalChallan]])</f>
        <v>1</v>
      </c>
      <c r="O3224" t="b">
        <f>AND(TrafficData[[#This Row],[pendingAmount]]&lt;=TrafficData[[#This Row],[totalAmount]],TrafficData[[#This Row],[disposedAmount]]&lt;=TrafficData[[#This Row],[totalAmount]])</f>
        <v>1</v>
      </c>
      <c r="P3224" t="b">
        <f>AND(TrafficData[[#This Row],[pendingCourt]]&lt;=TrafficData[[#This Row],[totalCourt]],TrafficData[[#This Row],[disposedCourt]]&lt;=TrafficData[[#This Row],[totalCourt]])</f>
        <v>1</v>
      </c>
    </row>
    <row r="3225" spans="1:16">
      <c r="A3225" s="1">
        <v>45229</v>
      </c>
      <c r="B3225">
        <v>188268</v>
      </c>
      <c r="C3225">
        <v>71775</v>
      </c>
      <c r="D3225">
        <v>116493</v>
      </c>
      <c r="E3225">
        <v>190731233</v>
      </c>
      <c r="F3225">
        <v>101766856</v>
      </c>
      <c r="G3225">
        <v>292498089</v>
      </c>
      <c r="H3225">
        <v>61475</v>
      </c>
      <c r="I3225">
        <v>11075</v>
      </c>
      <c r="J3225">
        <v>72550</v>
      </c>
      <c r="K3225" t="b">
        <f>TrafficData[[#This Row],[disposedChallan]]+TrafficData[[#This Row],[pendingChallan]]=TrafficData[[#This Row],[totalChallan]]</f>
        <v>1</v>
      </c>
      <c r="L3225" t="b">
        <f>TrafficData[[#This Row],[pendingAmount]]+TrafficData[[#This Row],[disposedAmount]]=TrafficData[[#This Row],[totalAmount]]</f>
        <v>1</v>
      </c>
      <c r="M3225" t="b">
        <f>TrafficData[[#This Row],[pendingCourt]]+TrafficData[[#This Row],[disposedCourt]]=TrafficData[[#This Row],[totalCourt]]</f>
        <v>1</v>
      </c>
      <c r="N3225" t="b">
        <f>AND(TrafficData[[#This Row],[disposedChallan]]&lt;=TrafficData[[#This Row],[totalChallan]],TrafficData[[#This Row],[pendingChallan]]&lt;=TrafficData[[#This Row],[totalChallan]])</f>
        <v>1</v>
      </c>
      <c r="O3225" t="b">
        <f>AND(TrafficData[[#This Row],[pendingAmount]]&lt;=TrafficData[[#This Row],[totalAmount]],TrafficData[[#This Row],[disposedAmount]]&lt;=TrafficData[[#This Row],[totalAmount]])</f>
        <v>1</v>
      </c>
      <c r="P3225" t="b">
        <f>AND(TrafficData[[#This Row],[pendingCourt]]&lt;=TrafficData[[#This Row],[totalCourt]],TrafficData[[#This Row],[disposedCourt]]&lt;=TrafficData[[#This Row],[totalCourt]])</f>
        <v>1</v>
      </c>
    </row>
    <row r="3226" spans="1:16">
      <c r="A3226" s="1">
        <v>45230</v>
      </c>
      <c r="B3226">
        <v>194911</v>
      </c>
      <c r="C3226">
        <v>75565</v>
      </c>
      <c r="D3226">
        <v>119346</v>
      </c>
      <c r="E3226">
        <v>191114289</v>
      </c>
      <c r="F3226">
        <v>103131265</v>
      </c>
      <c r="G3226">
        <v>294245554</v>
      </c>
      <c r="H3226">
        <v>57298</v>
      </c>
      <c r="I3226">
        <v>10639</v>
      </c>
      <c r="J3226">
        <v>67937</v>
      </c>
      <c r="K3226" t="b">
        <f>TrafficData[[#This Row],[disposedChallan]]+TrafficData[[#This Row],[pendingChallan]]=TrafficData[[#This Row],[totalChallan]]</f>
        <v>1</v>
      </c>
      <c r="L3226" t="b">
        <f>TrafficData[[#This Row],[pendingAmount]]+TrafficData[[#This Row],[disposedAmount]]=TrafficData[[#This Row],[totalAmount]]</f>
        <v>1</v>
      </c>
      <c r="M3226" t="b">
        <f>TrafficData[[#This Row],[pendingCourt]]+TrafficData[[#This Row],[disposedCourt]]=TrafficData[[#This Row],[totalCourt]]</f>
        <v>1</v>
      </c>
      <c r="N3226" t="b">
        <f>AND(TrafficData[[#This Row],[disposedChallan]]&lt;=TrafficData[[#This Row],[totalChallan]],TrafficData[[#This Row],[pendingChallan]]&lt;=TrafficData[[#This Row],[totalChallan]])</f>
        <v>1</v>
      </c>
      <c r="O3226" t="b">
        <f>AND(TrafficData[[#This Row],[pendingAmount]]&lt;=TrafficData[[#This Row],[totalAmount]],TrafficData[[#This Row],[disposedAmount]]&lt;=TrafficData[[#This Row],[totalAmount]])</f>
        <v>1</v>
      </c>
      <c r="P3226" t="b">
        <f>AND(TrafficData[[#This Row],[pendingCourt]]&lt;=TrafficData[[#This Row],[totalCourt]],TrafficData[[#This Row],[disposedCourt]]&lt;=TrafficData[[#This Row],[totalCourt]])</f>
        <v>1</v>
      </c>
    </row>
    <row r="3227" spans="1:16">
      <c r="A3227" s="1">
        <v>45231</v>
      </c>
      <c r="B3227">
        <v>198241</v>
      </c>
      <c r="C3227">
        <v>77678</v>
      </c>
      <c r="D3227">
        <v>120563</v>
      </c>
      <c r="E3227">
        <v>187786763</v>
      </c>
      <c r="F3227">
        <v>114344543</v>
      </c>
      <c r="G3227">
        <v>302131306</v>
      </c>
      <c r="H3227">
        <v>59803</v>
      </c>
      <c r="I3227">
        <v>10836</v>
      </c>
      <c r="J3227">
        <v>70639</v>
      </c>
      <c r="K3227" t="b">
        <f>TrafficData[[#This Row],[disposedChallan]]+TrafficData[[#This Row],[pendingChallan]]=TrafficData[[#This Row],[totalChallan]]</f>
        <v>1</v>
      </c>
      <c r="L3227" t="b">
        <f>TrafficData[[#This Row],[pendingAmount]]+TrafficData[[#This Row],[disposedAmount]]=TrafficData[[#This Row],[totalAmount]]</f>
        <v>1</v>
      </c>
      <c r="M3227" t="b">
        <f>TrafficData[[#This Row],[pendingCourt]]+TrafficData[[#This Row],[disposedCourt]]=TrafficData[[#This Row],[totalCourt]]</f>
        <v>1</v>
      </c>
      <c r="N3227" t="b">
        <f>AND(TrafficData[[#This Row],[disposedChallan]]&lt;=TrafficData[[#This Row],[totalChallan]],TrafficData[[#This Row],[pendingChallan]]&lt;=TrafficData[[#This Row],[totalChallan]])</f>
        <v>1</v>
      </c>
      <c r="O3227" t="b">
        <f>AND(TrafficData[[#This Row],[pendingAmount]]&lt;=TrafficData[[#This Row],[totalAmount]],TrafficData[[#This Row],[disposedAmount]]&lt;=TrafficData[[#This Row],[totalAmount]])</f>
        <v>1</v>
      </c>
      <c r="P3227" t="b">
        <f>AND(TrafficData[[#This Row],[pendingCourt]]&lt;=TrafficData[[#This Row],[totalCourt]],TrafficData[[#This Row],[disposedCourt]]&lt;=TrafficData[[#This Row],[totalCourt]])</f>
        <v>1</v>
      </c>
    </row>
    <row r="3228" spans="1:16">
      <c r="A3228" s="1">
        <v>45232</v>
      </c>
      <c r="B3228">
        <v>217999</v>
      </c>
      <c r="C3228">
        <v>82686</v>
      </c>
      <c r="D3228">
        <v>135313</v>
      </c>
      <c r="E3228">
        <v>216855617</v>
      </c>
      <c r="F3228">
        <v>128951817</v>
      </c>
      <c r="G3228">
        <v>345807434</v>
      </c>
      <c r="H3228">
        <v>71248</v>
      </c>
      <c r="I3228">
        <v>12160</v>
      </c>
      <c r="J3228">
        <v>83408</v>
      </c>
      <c r="K3228" t="b">
        <f>TrafficData[[#This Row],[disposedChallan]]+TrafficData[[#This Row],[pendingChallan]]=TrafficData[[#This Row],[totalChallan]]</f>
        <v>1</v>
      </c>
      <c r="L3228" t="b">
        <f>TrafficData[[#This Row],[pendingAmount]]+TrafficData[[#This Row],[disposedAmount]]=TrafficData[[#This Row],[totalAmount]]</f>
        <v>1</v>
      </c>
      <c r="M3228" t="b">
        <f>TrafficData[[#This Row],[pendingCourt]]+TrafficData[[#This Row],[disposedCourt]]=TrafficData[[#This Row],[totalCourt]]</f>
        <v>1</v>
      </c>
      <c r="N3228" t="b">
        <f>AND(TrafficData[[#This Row],[disposedChallan]]&lt;=TrafficData[[#This Row],[totalChallan]],TrafficData[[#This Row],[pendingChallan]]&lt;=TrafficData[[#This Row],[totalChallan]])</f>
        <v>1</v>
      </c>
      <c r="O3228" t="b">
        <f>AND(TrafficData[[#This Row],[pendingAmount]]&lt;=TrafficData[[#This Row],[totalAmount]],TrafficData[[#This Row],[disposedAmount]]&lt;=TrafficData[[#This Row],[totalAmount]])</f>
        <v>1</v>
      </c>
      <c r="P3228" t="b">
        <f>AND(TrafficData[[#This Row],[pendingCourt]]&lt;=TrafficData[[#This Row],[totalCourt]],TrafficData[[#This Row],[disposedCourt]]&lt;=TrafficData[[#This Row],[totalCourt]])</f>
        <v>1</v>
      </c>
    </row>
    <row r="3229" spans="1:16">
      <c r="A3229" s="1">
        <v>45233</v>
      </c>
      <c r="B3229">
        <v>218048</v>
      </c>
      <c r="C3229">
        <v>79984</v>
      </c>
      <c r="D3229">
        <v>138064</v>
      </c>
      <c r="E3229">
        <v>236381578</v>
      </c>
      <c r="F3229">
        <v>134899675</v>
      </c>
      <c r="G3229">
        <v>371281253</v>
      </c>
      <c r="H3229">
        <v>74803</v>
      </c>
      <c r="I3229">
        <v>13263</v>
      </c>
      <c r="J3229">
        <v>88066</v>
      </c>
      <c r="K3229" t="b">
        <f>TrafficData[[#This Row],[disposedChallan]]+TrafficData[[#This Row],[pendingChallan]]=TrafficData[[#This Row],[totalChallan]]</f>
        <v>1</v>
      </c>
      <c r="L3229" t="b">
        <f>TrafficData[[#This Row],[pendingAmount]]+TrafficData[[#This Row],[disposedAmount]]=TrafficData[[#This Row],[totalAmount]]</f>
        <v>1</v>
      </c>
      <c r="M3229" t="b">
        <f>TrafficData[[#This Row],[pendingCourt]]+TrafficData[[#This Row],[disposedCourt]]=TrafficData[[#This Row],[totalCourt]]</f>
        <v>1</v>
      </c>
      <c r="N3229" t="b">
        <f>AND(TrafficData[[#This Row],[disposedChallan]]&lt;=TrafficData[[#This Row],[totalChallan]],TrafficData[[#This Row],[pendingChallan]]&lt;=TrafficData[[#This Row],[totalChallan]])</f>
        <v>1</v>
      </c>
      <c r="O3229" t="b">
        <f>AND(TrafficData[[#This Row],[pendingAmount]]&lt;=TrafficData[[#This Row],[totalAmount]],TrafficData[[#This Row],[disposedAmount]]&lt;=TrafficData[[#This Row],[totalAmount]])</f>
        <v>1</v>
      </c>
      <c r="P3229" t="b">
        <f>AND(TrafficData[[#This Row],[pendingCourt]]&lt;=TrafficData[[#This Row],[totalCourt]],TrafficData[[#This Row],[disposedCourt]]&lt;=TrafficData[[#This Row],[totalCourt]])</f>
        <v>1</v>
      </c>
    </row>
    <row r="3230" spans="1:16">
      <c r="A3230" s="1">
        <v>45234</v>
      </c>
      <c r="B3230">
        <v>223163</v>
      </c>
      <c r="C3230">
        <v>83213</v>
      </c>
      <c r="D3230">
        <v>139950</v>
      </c>
      <c r="E3230">
        <v>247407756</v>
      </c>
      <c r="F3230">
        <v>134705552</v>
      </c>
      <c r="G3230">
        <v>382113308</v>
      </c>
      <c r="H3230">
        <v>82760</v>
      </c>
      <c r="I3230">
        <v>14677</v>
      </c>
      <c r="J3230">
        <v>97437</v>
      </c>
      <c r="K3230" t="b">
        <f>TrafficData[[#This Row],[disposedChallan]]+TrafficData[[#This Row],[pendingChallan]]=TrafficData[[#This Row],[totalChallan]]</f>
        <v>1</v>
      </c>
      <c r="L3230" t="b">
        <f>TrafficData[[#This Row],[pendingAmount]]+TrafficData[[#This Row],[disposedAmount]]=TrafficData[[#This Row],[totalAmount]]</f>
        <v>1</v>
      </c>
      <c r="M3230" t="b">
        <f>TrafficData[[#This Row],[pendingCourt]]+TrafficData[[#This Row],[disposedCourt]]=TrafficData[[#This Row],[totalCourt]]</f>
        <v>1</v>
      </c>
      <c r="N3230" t="b">
        <f>AND(TrafficData[[#This Row],[disposedChallan]]&lt;=TrafficData[[#This Row],[totalChallan]],TrafficData[[#This Row],[pendingChallan]]&lt;=TrafficData[[#This Row],[totalChallan]])</f>
        <v>1</v>
      </c>
      <c r="O3230" t="b">
        <f>AND(TrafficData[[#This Row],[pendingAmount]]&lt;=TrafficData[[#This Row],[totalAmount]],TrafficData[[#This Row],[disposedAmount]]&lt;=TrafficData[[#This Row],[totalAmount]])</f>
        <v>1</v>
      </c>
      <c r="P3230" t="b">
        <f>AND(TrafficData[[#This Row],[pendingCourt]]&lt;=TrafficData[[#This Row],[totalCourt]],TrafficData[[#This Row],[disposedCourt]]&lt;=TrafficData[[#This Row],[totalCourt]])</f>
        <v>1</v>
      </c>
    </row>
    <row r="3231" spans="1:16">
      <c r="A3231" s="1">
        <v>45235</v>
      </c>
      <c r="B3231">
        <v>215521</v>
      </c>
      <c r="C3231">
        <v>76278</v>
      </c>
      <c r="D3231">
        <v>139243</v>
      </c>
      <c r="E3231">
        <v>223384919</v>
      </c>
      <c r="F3231">
        <v>102465323</v>
      </c>
      <c r="G3231">
        <v>325850242</v>
      </c>
      <c r="H3231">
        <v>76271</v>
      </c>
      <c r="I3231">
        <v>12621</v>
      </c>
      <c r="J3231">
        <v>88892</v>
      </c>
      <c r="K3231" t="b">
        <f>TrafficData[[#This Row],[disposedChallan]]+TrafficData[[#This Row],[pendingChallan]]=TrafficData[[#This Row],[totalChallan]]</f>
        <v>1</v>
      </c>
      <c r="L3231" t="b">
        <f>TrafficData[[#This Row],[pendingAmount]]+TrafficData[[#This Row],[disposedAmount]]=TrafficData[[#This Row],[totalAmount]]</f>
        <v>1</v>
      </c>
      <c r="M3231" t="b">
        <f>TrafficData[[#This Row],[pendingCourt]]+TrafficData[[#This Row],[disposedCourt]]=TrafficData[[#This Row],[totalCourt]]</f>
        <v>1</v>
      </c>
      <c r="N3231" t="b">
        <f>AND(TrafficData[[#This Row],[disposedChallan]]&lt;=TrafficData[[#This Row],[totalChallan]],TrafficData[[#This Row],[pendingChallan]]&lt;=TrafficData[[#This Row],[totalChallan]])</f>
        <v>1</v>
      </c>
      <c r="O3231" t="b">
        <f>AND(TrafficData[[#This Row],[pendingAmount]]&lt;=TrafficData[[#This Row],[totalAmount]],TrafficData[[#This Row],[disposedAmount]]&lt;=TrafficData[[#This Row],[totalAmount]])</f>
        <v>1</v>
      </c>
      <c r="P3231" t="b">
        <f>AND(TrafficData[[#This Row],[pendingCourt]]&lt;=TrafficData[[#This Row],[totalCourt]],TrafficData[[#This Row],[disposedCourt]]&lt;=TrafficData[[#This Row],[totalCourt]])</f>
        <v>1</v>
      </c>
    </row>
    <row r="3232" spans="1:16">
      <c r="A3232" s="1">
        <v>45236</v>
      </c>
      <c r="B3232">
        <v>232098</v>
      </c>
      <c r="C3232">
        <v>82463</v>
      </c>
      <c r="D3232">
        <v>149635</v>
      </c>
      <c r="E3232">
        <v>254794565</v>
      </c>
      <c r="F3232">
        <v>122208141</v>
      </c>
      <c r="G3232">
        <v>377002706</v>
      </c>
      <c r="H3232">
        <v>87258</v>
      </c>
      <c r="I3232">
        <v>14902</v>
      </c>
      <c r="J3232">
        <v>102160</v>
      </c>
      <c r="K3232" t="b">
        <f>TrafficData[[#This Row],[disposedChallan]]+TrafficData[[#This Row],[pendingChallan]]=TrafficData[[#This Row],[totalChallan]]</f>
        <v>1</v>
      </c>
      <c r="L3232" t="b">
        <f>TrafficData[[#This Row],[pendingAmount]]+TrafficData[[#This Row],[disposedAmount]]=TrafficData[[#This Row],[totalAmount]]</f>
        <v>1</v>
      </c>
      <c r="M3232" t="b">
        <f>TrafficData[[#This Row],[pendingCourt]]+TrafficData[[#This Row],[disposedCourt]]=TrafficData[[#This Row],[totalCourt]]</f>
        <v>1</v>
      </c>
      <c r="N3232" t="b">
        <f>AND(TrafficData[[#This Row],[disposedChallan]]&lt;=TrafficData[[#This Row],[totalChallan]],TrafficData[[#This Row],[pendingChallan]]&lt;=TrafficData[[#This Row],[totalChallan]])</f>
        <v>1</v>
      </c>
      <c r="O3232" t="b">
        <f>AND(TrafficData[[#This Row],[pendingAmount]]&lt;=TrafficData[[#This Row],[totalAmount]],TrafficData[[#This Row],[disposedAmount]]&lt;=TrafficData[[#This Row],[totalAmount]])</f>
        <v>1</v>
      </c>
      <c r="P3232" t="b">
        <f>AND(TrafficData[[#This Row],[pendingCourt]]&lt;=TrafficData[[#This Row],[totalCourt]],TrafficData[[#This Row],[disposedCourt]]&lt;=TrafficData[[#This Row],[totalCourt]])</f>
        <v>1</v>
      </c>
    </row>
    <row r="3233" spans="1:16">
      <c r="A3233" s="1">
        <v>45237</v>
      </c>
      <c r="B3233">
        <v>233248</v>
      </c>
      <c r="C3233">
        <v>80814</v>
      </c>
      <c r="D3233">
        <v>152434</v>
      </c>
      <c r="E3233">
        <v>268609874</v>
      </c>
      <c r="F3233">
        <v>135062351</v>
      </c>
      <c r="G3233">
        <v>403672225</v>
      </c>
      <c r="H3233">
        <v>89256</v>
      </c>
      <c r="I3233">
        <v>14383</v>
      </c>
      <c r="J3233">
        <v>103639</v>
      </c>
      <c r="K3233" t="b">
        <f>TrafficData[[#This Row],[disposedChallan]]+TrafficData[[#This Row],[pendingChallan]]=TrafficData[[#This Row],[totalChallan]]</f>
        <v>1</v>
      </c>
      <c r="L3233" t="b">
        <f>TrafficData[[#This Row],[pendingAmount]]+TrafficData[[#This Row],[disposedAmount]]=TrafficData[[#This Row],[totalAmount]]</f>
        <v>1</v>
      </c>
      <c r="M3233" t="b">
        <f>TrafficData[[#This Row],[pendingCourt]]+TrafficData[[#This Row],[disposedCourt]]=TrafficData[[#This Row],[totalCourt]]</f>
        <v>1</v>
      </c>
      <c r="N3233" t="b">
        <f>AND(TrafficData[[#This Row],[disposedChallan]]&lt;=TrafficData[[#This Row],[totalChallan]],TrafficData[[#This Row],[pendingChallan]]&lt;=TrafficData[[#This Row],[totalChallan]])</f>
        <v>1</v>
      </c>
      <c r="O3233" t="b">
        <f>AND(TrafficData[[#This Row],[pendingAmount]]&lt;=TrafficData[[#This Row],[totalAmount]],TrafficData[[#This Row],[disposedAmount]]&lt;=TrafficData[[#This Row],[totalAmount]])</f>
        <v>1</v>
      </c>
      <c r="P3233" t="b">
        <f>AND(TrafficData[[#This Row],[pendingCourt]]&lt;=TrafficData[[#This Row],[totalCourt]],TrafficData[[#This Row],[disposedCourt]]&lt;=TrafficData[[#This Row],[totalCourt]])</f>
        <v>1</v>
      </c>
    </row>
    <row r="3234" spans="1:16">
      <c r="A3234" s="1">
        <v>45238</v>
      </c>
      <c r="B3234">
        <v>219218</v>
      </c>
      <c r="C3234">
        <v>78271</v>
      </c>
      <c r="D3234">
        <v>140947</v>
      </c>
      <c r="E3234">
        <v>257104323</v>
      </c>
      <c r="F3234">
        <v>134721619</v>
      </c>
      <c r="G3234">
        <v>391825942</v>
      </c>
      <c r="H3234">
        <v>84539</v>
      </c>
      <c r="I3234">
        <v>14056</v>
      </c>
      <c r="J3234">
        <v>98595</v>
      </c>
      <c r="K3234" t="b">
        <f>TrafficData[[#This Row],[disposedChallan]]+TrafficData[[#This Row],[pendingChallan]]=TrafficData[[#This Row],[totalChallan]]</f>
        <v>1</v>
      </c>
      <c r="L3234" t="b">
        <f>TrafficData[[#This Row],[pendingAmount]]+TrafficData[[#This Row],[disposedAmount]]=TrafficData[[#This Row],[totalAmount]]</f>
        <v>1</v>
      </c>
      <c r="M3234" t="b">
        <f>TrafficData[[#This Row],[pendingCourt]]+TrafficData[[#This Row],[disposedCourt]]=TrafficData[[#This Row],[totalCourt]]</f>
        <v>1</v>
      </c>
      <c r="N3234" t="b">
        <f>AND(TrafficData[[#This Row],[disposedChallan]]&lt;=TrafficData[[#This Row],[totalChallan]],TrafficData[[#This Row],[pendingChallan]]&lt;=TrafficData[[#This Row],[totalChallan]])</f>
        <v>1</v>
      </c>
      <c r="O3234" t="b">
        <f>AND(TrafficData[[#This Row],[pendingAmount]]&lt;=TrafficData[[#This Row],[totalAmount]],TrafficData[[#This Row],[disposedAmount]]&lt;=TrafficData[[#This Row],[totalAmount]])</f>
        <v>1</v>
      </c>
      <c r="P3234" t="b">
        <f>AND(TrafficData[[#This Row],[pendingCourt]]&lt;=TrafficData[[#This Row],[totalCourt]],TrafficData[[#This Row],[disposedCourt]]&lt;=TrafficData[[#This Row],[totalCourt]])</f>
        <v>1</v>
      </c>
    </row>
    <row r="3235" spans="1:16">
      <c r="A3235" s="1">
        <v>45239</v>
      </c>
      <c r="B3235">
        <v>232686</v>
      </c>
      <c r="C3235">
        <v>79276</v>
      </c>
      <c r="D3235">
        <v>153410</v>
      </c>
      <c r="E3235">
        <v>276085652</v>
      </c>
      <c r="F3235">
        <v>129852753</v>
      </c>
      <c r="G3235">
        <v>405938405</v>
      </c>
      <c r="H3235">
        <v>91463</v>
      </c>
      <c r="I3235">
        <v>14835</v>
      </c>
      <c r="J3235">
        <v>106298</v>
      </c>
      <c r="K3235" t="b">
        <f>TrafficData[[#This Row],[disposedChallan]]+TrafficData[[#This Row],[pendingChallan]]=TrafficData[[#This Row],[totalChallan]]</f>
        <v>1</v>
      </c>
      <c r="L3235" t="b">
        <f>TrafficData[[#This Row],[pendingAmount]]+TrafficData[[#This Row],[disposedAmount]]=TrafficData[[#This Row],[totalAmount]]</f>
        <v>1</v>
      </c>
      <c r="M3235" t="b">
        <f>TrafficData[[#This Row],[pendingCourt]]+TrafficData[[#This Row],[disposedCourt]]=TrafficData[[#This Row],[totalCourt]]</f>
        <v>1</v>
      </c>
      <c r="N3235" t="b">
        <f>AND(TrafficData[[#This Row],[disposedChallan]]&lt;=TrafficData[[#This Row],[totalChallan]],TrafficData[[#This Row],[pendingChallan]]&lt;=TrafficData[[#This Row],[totalChallan]])</f>
        <v>1</v>
      </c>
      <c r="O3235" t="b">
        <f>AND(TrafficData[[#This Row],[pendingAmount]]&lt;=TrafficData[[#This Row],[totalAmount]],TrafficData[[#This Row],[disposedAmount]]&lt;=TrafficData[[#This Row],[totalAmount]])</f>
        <v>1</v>
      </c>
      <c r="P3235" t="b">
        <f>AND(TrafficData[[#This Row],[pendingCourt]]&lt;=TrafficData[[#This Row],[totalCourt]],TrafficData[[#This Row],[disposedCourt]]&lt;=TrafficData[[#This Row],[totalCourt]])</f>
        <v>1</v>
      </c>
    </row>
    <row r="3236" spans="1:16">
      <c r="A3236" s="1">
        <v>45240</v>
      </c>
      <c r="B3236">
        <v>198759</v>
      </c>
      <c r="C3236">
        <v>69038</v>
      </c>
      <c r="D3236">
        <v>129721</v>
      </c>
      <c r="E3236">
        <v>219507546</v>
      </c>
      <c r="F3236">
        <v>103234648</v>
      </c>
      <c r="G3236">
        <v>322742194</v>
      </c>
      <c r="H3236">
        <v>69089</v>
      </c>
      <c r="I3236">
        <v>12048</v>
      </c>
      <c r="J3236">
        <v>81137</v>
      </c>
      <c r="K3236" t="b">
        <f>TrafficData[[#This Row],[disposedChallan]]+TrafficData[[#This Row],[pendingChallan]]=TrafficData[[#This Row],[totalChallan]]</f>
        <v>1</v>
      </c>
      <c r="L3236" t="b">
        <f>TrafficData[[#This Row],[pendingAmount]]+TrafficData[[#This Row],[disposedAmount]]=TrafficData[[#This Row],[totalAmount]]</f>
        <v>1</v>
      </c>
      <c r="M3236" t="b">
        <f>TrafficData[[#This Row],[pendingCourt]]+TrafficData[[#This Row],[disposedCourt]]=TrafficData[[#This Row],[totalCourt]]</f>
        <v>1</v>
      </c>
      <c r="N3236" t="b">
        <f>AND(TrafficData[[#This Row],[disposedChallan]]&lt;=TrafficData[[#This Row],[totalChallan]],TrafficData[[#This Row],[pendingChallan]]&lt;=TrafficData[[#This Row],[totalChallan]])</f>
        <v>1</v>
      </c>
      <c r="O3236" t="b">
        <f>AND(TrafficData[[#This Row],[pendingAmount]]&lt;=TrafficData[[#This Row],[totalAmount]],TrafficData[[#This Row],[disposedAmount]]&lt;=TrafficData[[#This Row],[totalAmount]])</f>
        <v>1</v>
      </c>
      <c r="P3236" t="b">
        <f>AND(TrafficData[[#This Row],[pendingCourt]]&lt;=TrafficData[[#This Row],[totalCourt]],TrafficData[[#This Row],[disposedCourt]]&lt;=TrafficData[[#This Row],[totalCourt]])</f>
        <v>1</v>
      </c>
    </row>
    <row r="3237" spans="1:16">
      <c r="A3237" s="1">
        <v>45241</v>
      </c>
      <c r="B3237">
        <v>182439</v>
      </c>
      <c r="C3237">
        <v>64940</v>
      </c>
      <c r="D3237">
        <v>117499</v>
      </c>
      <c r="E3237">
        <v>189183547</v>
      </c>
      <c r="F3237">
        <v>75418905</v>
      </c>
      <c r="G3237">
        <v>264602452</v>
      </c>
      <c r="H3237">
        <v>63482</v>
      </c>
      <c r="I3237">
        <v>11572</v>
      </c>
      <c r="J3237">
        <v>75054</v>
      </c>
      <c r="K3237" t="b">
        <f>TrafficData[[#This Row],[disposedChallan]]+TrafficData[[#This Row],[pendingChallan]]=TrafficData[[#This Row],[totalChallan]]</f>
        <v>1</v>
      </c>
      <c r="L3237" t="b">
        <f>TrafficData[[#This Row],[pendingAmount]]+TrafficData[[#This Row],[disposedAmount]]=TrafficData[[#This Row],[totalAmount]]</f>
        <v>1</v>
      </c>
      <c r="M3237" t="b">
        <f>TrafficData[[#This Row],[pendingCourt]]+TrafficData[[#This Row],[disposedCourt]]=TrafficData[[#This Row],[totalCourt]]</f>
        <v>1</v>
      </c>
      <c r="N3237" t="b">
        <f>AND(TrafficData[[#This Row],[disposedChallan]]&lt;=TrafficData[[#This Row],[totalChallan]],TrafficData[[#This Row],[pendingChallan]]&lt;=TrafficData[[#This Row],[totalChallan]])</f>
        <v>1</v>
      </c>
      <c r="O3237" t="b">
        <f>AND(TrafficData[[#This Row],[pendingAmount]]&lt;=TrafficData[[#This Row],[totalAmount]],TrafficData[[#This Row],[disposedAmount]]&lt;=TrafficData[[#This Row],[totalAmount]])</f>
        <v>1</v>
      </c>
      <c r="P3237" t="b">
        <f>AND(TrafficData[[#This Row],[pendingCourt]]&lt;=TrafficData[[#This Row],[totalCourt]],TrafficData[[#This Row],[disposedCourt]]&lt;=TrafficData[[#This Row],[totalCourt]])</f>
        <v>1</v>
      </c>
    </row>
    <row r="3238" spans="1:16">
      <c r="A3238" s="1">
        <v>45242</v>
      </c>
      <c r="B3238">
        <v>129371</v>
      </c>
      <c r="C3238">
        <v>42328</v>
      </c>
      <c r="D3238">
        <v>87043</v>
      </c>
      <c r="E3238">
        <v>123675096</v>
      </c>
      <c r="F3238">
        <v>42579351</v>
      </c>
      <c r="G3238">
        <v>166254447</v>
      </c>
      <c r="H3238">
        <v>45841</v>
      </c>
      <c r="I3238">
        <v>6934</v>
      </c>
      <c r="J3238">
        <v>52775</v>
      </c>
      <c r="K3238" t="b">
        <f>TrafficData[[#This Row],[disposedChallan]]+TrafficData[[#This Row],[pendingChallan]]=TrafficData[[#This Row],[totalChallan]]</f>
        <v>1</v>
      </c>
      <c r="L3238" t="b">
        <f>TrafficData[[#This Row],[pendingAmount]]+TrafficData[[#This Row],[disposedAmount]]=TrafficData[[#This Row],[totalAmount]]</f>
        <v>1</v>
      </c>
      <c r="M3238" t="b">
        <f>TrafficData[[#This Row],[pendingCourt]]+TrafficData[[#This Row],[disposedCourt]]=TrafficData[[#This Row],[totalCourt]]</f>
        <v>1</v>
      </c>
      <c r="N3238" t="b">
        <f>AND(TrafficData[[#This Row],[disposedChallan]]&lt;=TrafficData[[#This Row],[totalChallan]],TrafficData[[#This Row],[pendingChallan]]&lt;=TrafficData[[#This Row],[totalChallan]])</f>
        <v>1</v>
      </c>
      <c r="O3238" t="b">
        <f>AND(TrafficData[[#This Row],[pendingAmount]]&lt;=TrafficData[[#This Row],[totalAmount]],TrafficData[[#This Row],[disposedAmount]]&lt;=TrafficData[[#This Row],[totalAmount]])</f>
        <v>1</v>
      </c>
      <c r="P3238" t="b">
        <f>AND(TrafficData[[#This Row],[pendingCourt]]&lt;=TrafficData[[#This Row],[totalCourt]],TrafficData[[#This Row],[disposedCourt]]&lt;=TrafficData[[#This Row],[totalCourt]])</f>
        <v>1</v>
      </c>
    </row>
    <row r="3239" spans="1:16">
      <c r="A3239" s="1">
        <v>45243</v>
      </c>
      <c r="B3239">
        <v>170223</v>
      </c>
      <c r="C3239">
        <v>58427</v>
      </c>
      <c r="D3239">
        <v>111796</v>
      </c>
      <c r="E3239">
        <v>172374621</v>
      </c>
      <c r="F3239">
        <v>63846710</v>
      </c>
      <c r="G3239">
        <v>236221331</v>
      </c>
      <c r="H3239">
        <v>56246</v>
      </c>
      <c r="I3239">
        <v>9402</v>
      </c>
      <c r="J3239">
        <v>65648</v>
      </c>
      <c r="K3239" t="b">
        <f>TrafficData[[#This Row],[disposedChallan]]+TrafficData[[#This Row],[pendingChallan]]=TrafficData[[#This Row],[totalChallan]]</f>
        <v>1</v>
      </c>
      <c r="L3239" t="b">
        <f>TrafficData[[#This Row],[pendingAmount]]+TrafficData[[#This Row],[disposedAmount]]=TrafficData[[#This Row],[totalAmount]]</f>
        <v>1</v>
      </c>
      <c r="M3239" t="b">
        <f>TrafficData[[#This Row],[pendingCourt]]+TrafficData[[#This Row],[disposedCourt]]=TrafficData[[#This Row],[totalCourt]]</f>
        <v>1</v>
      </c>
      <c r="N3239" t="b">
        <f>AND(TrafficData[[#This Row],[disposedChallan]]&lt;=TrafficData[[#This Row],[totalChallan]],TrafficData[[#This Row],[pendingChallan]]&lt;=TrafficData[[#This Row],[totalChallan]])</f>
        <v>1</v>
      </c>
      <c r="O3239" t="b">
        <f>AND(TrafficData[[#This Row],[pendingAmount]]&lt;=TrafficData[[#This Row],[totalAmount]],TrafficData[[#This Row],[disposedAmount]]&lt;=TrafficData[[#This Row],[totalAmount]])</f>
        <v>1</v>
      </c>
      <c r="P3239" t="b">
        <f>AND(TrafficData[[#This Row],[pendingCourt]]&lt;=TrafficData[[#This Row],[totalCourt]],TrafficData[[#This Row],[disposedCourt]]&lt;=TrafficData[[#This Row],[totalCourt]])</f>
        <v>1</v>
      </c>
    </row>
    <row r="3240" spans="1:16">
      <c r="A3240" s="1">
        <v>45244</v>
      </c>
      <c r="B3240">
        <v>201379</v>
      </c>
      <c r="C3240">
        <v>65144</v>
      </c>
      <c r="D3240">
        <v>136235</v>
      </c>
      <c r="E3240">
        <v>223219817</v>
      </c>
      <c r="F3240">
        <v>80631166</v>
      </c>
      <c r="G3240">
        <v>303850983</v>
      </c>
      <c r="H3240">
        <v>75890</v>
      </c>
      <c r="I3240">
        <v>11680</v>
      </c>
      <c r="J3240">
        <v>87570</v>
      </c>
      <c r="K3240" t="b">
        <f>TrafficData[[#This Row],[disposedChallan]]+TrafficData[[#This Row],[pendingChallan]]=TrafficData[[#This Row],[totalChallan]]</f>
        <v>1</v>
      </c>
      <c r="L3240" t="b">
        <f>TrafficData[[#This Row],[pendingAmount]]+TrafficData[[#This Row],[disposedAmount]]=TrafficData[[#This Row],[totalAmount]]</f>
        <v>1</v>
      </c>
      <c r="M3240" t="b">
        <f>TrafficData[[#This Row],[pendingCourt]]+TrafficData[[#This Row],[disposedCourt]]=TrafficData[[#This Row],[totalCourt]]</f>
        <v>1</v>
      </c>
      <c r="N3240" t="b">
        <f>AND(TrafficData[[#This Row],[disposedChallan]]&lt;=TrafficData[[#This Row],[totalChallan]],TrafficData[[#This Row],[pendingChallan]]&lt;=TrafficData[[#This Row],[totalChallan]])</f>
        <v>1</v>
      </c>
      <c r="O3240" t="b">
        <f>AND(TrafficData[[#This Row],[pendingAmount]]&lt;=TrafficData[[#This Row],[totalAmount]],TrafficData[[#This Row],[disposedAmount]]&lt;=TrafficData[[#This Row],[totalAmount]])</f>
        <v>1</v>
      </c>
      <c r="P3240" t="b">
        <f>AND(TrafficData[[#This Row],[pendingCourt]]&lt;=TrafficData[[#This Row],[totalCourt]],TrafficData[[#This Row],[disposedCourt]]&lt;=TrafficData[[#This Row],[totalCourt]])</f>
        <v>1</v>
      </c>
    </row>
    <row r="3241" spans="1:16">
      <c r="A3241" s="1">
        <v>45245</v>
      </c>
      <c r="B3241">
        <v>196719</v>
      </c>
      <c r="C3241">
        <v>65951</v>
      </c>
      <c r="D3241">
        <v>130768</v>
      </c>
      <c r="E3241">
        <v>206203345</v>
      </c>
      <c r="F3241">
        <v>80230542</v>
      </c>
      <c r="G3241">
        <v>286433887</v>
      </c>
      <c r="H3241">
        <v>71916</v>
      </c>
      <c r="I3241">
        <v>11587</v>
      </c>
      <c r="J3241">
        <v>83503</v>
      </c>
      <c r="K3241" t="b">
        <f>TrafficData[[#This Row],[disposedChallan]]+TrafficData[[#This Row],[pendingChallan]]=TrafficData[[#This Row],[totalChallan]]</f>
        <v>1</v>
      </c>
      <c r="L3241" t="b">
        <f>TrafficData[[#This Row],[pendingAmount]]+TrafficData[[#This Row],[disposedAmount]]=TrafficData[[#This Row],[totalAmount]]</f>
        <v>1</v>
      </c>
      <c r="M3241" t="b">
        <f>TrafficData[[#This Row],[pendingCourt]]+TrafficData[[#This Row],[disposedCourt]]=TrafficData[[#This Row],[totalCourt]]</f>
        <v>1</v>
      </c>
      <c r="N3241" t="b">
        <f>AND(TrafficData[[#This Row],[disposedChallan]]&lt;=TrafficData[[#This Row],[totalChallan]],TrafficData[[#This Row],[pendingChallan]]&lt;=TrafficData[[#This Row],[totalChallan]])</f>
        <v>1</v>
      </c>
      <c r="O3241" t="b">
        <f>AND(TrafficData[[#This Row],[pendingAmount]]&lt;=TrafficData[[#This Row],[totalAmount]],TrafficData[[#This Row],[disposedAmount]]&lt;=TrafficData[[#This Row],[totalAmount]])</f>
        <v>1</v>
      </c>
      <c r="P3241" t="b">
        <f>AND(TrafficData[[#This Row],[pendingCourt]]&lt;=TrafficData[[#This Row],[totalCourt]],TrafficData[[#This Row],[disposedCourt]]&lt;=TrafficData[[#This Row],[totalCourt]])</f>
        <v>1</v>
      </c>
    </row>
    <row r="3242" spans="1:16">
      <c r="A3242" s="1">
        <v>45246</v>
      </c>
      <c r="B3242">
        <v>213060</v>
      </c>
      <c r="C3242">
        <v>72555</v>
      </c>
      <c r="D3242">
        <v>140505</v>
      </c>
      <c r="E3242">
        <v>238813349</v>
      </c>
      <c r="F3242">
        <v>103384340</v>
      </c>
      <c r="G3242">
        <v>342197689</v>
      </c>
      <c r="H3242">
        <v>80781</v>
      </c>
      <c r="I3242">
        <v>12741</v>
      </c>
      <c r="J3242">
        <v>93522</v>
      </c>
      <c r="K3242" t="b">
        <f>TrafficData[[#This Row],[disposedChallan]]+TrafficData[[#This Row],[pendingChallan]]=TrafficData[[#This Row],[totalChallan]]</f>
        <v>1</v>
      </c>
      <c r="L3242" t="b">
        <f>TrafficData[[#This Row],[pendingAmount]]+TrafficData[[#This Row],[disposedAmount]]=TrafficData[[#This Row],[totalAmount]]</f>
        <v>1</v>
      </c>
      <c r="M3242" t="b">
        <f>TrafficData[[#This Row],[pendingCourt]]+TrafficData[[#This Row],[disposedCourt]]=TrafficData[[#This Row],[totalCourt]]</f>
        <v>1</v>
      </c>
      <c r="N3242" t="b">
        <f>AND(TrafficData[[#This Row],[disposedChallan]]&lt;=TrafficData[[#This Row],[totalChallan]],TrafficData[[#This Row],[pendingChallan]]&lt;=TrafficData[[#This Row],[totalChallan]])</f>
        <v>1</v>
      </c>
      <c r="O3242" t="b">
        <f>AND(TrafficData[[#This Row],[pendingAmount]]&lt;=TrafficData[[#This Row],[totalAmount]],TrafficData[[#This Row],[disposedAmount]]&lt;=TrafficData[[#This Row],[totalAmount]])</f>
        <v>1</v>
      </c>
      <c r="P3242" t="b">
        <f>AND(TrafficData[[#This Row],[pendingCourt]]&lt;=TrafficData[[#This Row],[totalCourt]],TrafficData[[#This Row],[disposedCourt]]&lt;=TrafficData[[#This Row],[totalCourt]])</f>
        <v>1</v>
      </c>
    </row>
    <row r="3243" spans="1:16">
      <c r="A3243" s="1">
        <v>45247</v>
      </c>
      <c r="B3243">
        <v>219172</v>
      </c>
      <c r="C3243">
        <v>74233</v>
      </c>
      <c r="D3243">
        <v>144939</v>
      </c>
      <c r="E3243">
        <v>240544528</v>
      </c>
      <c r="F3243">
        <v>113182228</v>
      </c>
      <c r="G3243">
        <v>353726756</v>
      </c>
      <c r="H3243">
        <v>82781</v>
      </c>
      <c r="I3243">
        <v>13314</v>
      </c>
      <c r="J3243">
        <v>96095</v>
      </c>
      <c r="K3243" t="b">
        <f>TrafficData[[#This Row],[disposedChallan]]+TrafficData[[#This Row],[pendingChallan]]=TrafficData[[#This Row],[totalChallan]]</f>
        <v>1</v>
      </c>
      <c r="L3243" t="b">
        <f>TrafficData[[#This Row],[pendingAmount]]+TrafficData[[#This Row],[disposedAmount]]=TrafficData[[#This Row],[totalAmount]]</f>
        <v>1</v>
      </c>
      <c r="M3243" t="b">
        <f>TrafficData[[#This Row],[pendingCourt]]+TrafficData[[#This Row],[disposedCourt]]=TrafficData[[#This Row],[totalCourt]]</f>
        <v>1</v>
      </c>
      <c r="N3243" t="b">
        <f>AND(TrafficData[[#This Row],[disposedChallan]]&lt;=TrafficData[[#This Row],[totalChallan]],TrafficData[[#This Row],[pendingChallan]]&lt;=TrafficData[[#This Row],[totalChallan]])</f>
        <v>1</v>
      </c>
      <c r="O3243" t="b">
        <f>AND(TrafficData[[#This Row],[pendingAmount]]&lt;=TrafficData[[#This Row],[totalAmount]],TrafficData[[#This Row],[disposedAmount]]&lt;=TrafficData[[#This Row],[totalAmount]])</f>
        <v>1</v>
      </c>
      <c r="P3243" t="b">
        <f>AND(TrafficData[[#This Row],[pendingCourt]]&lt;=TrafficData[[#This Row],[totalCourt]],TrafficData[[#This Row],[disposedCourt]]&lt;=TrafficData[[#This Row],[totalCourt]])</f>
        <v>1</v>
      </c>
    </row>
    <row r="3244" spans="1:16">
      <c r="A3244" s="1">
        <v>45248</v>
      </c>
      <c r="B3244">
        <v>228302</v>
      </c>
      <c r="C3244">
        <v>77333</v>
      </c>
      <c r="D3244">
        <v>150969</v>
      </c>
      <c r="E3244">
        <v>242274869</v>
      </c>
      <c r="F3244">
        <v>111110654</v>
      </c>
      <c r="G3244">
        <v>353385523</v>
      </c>
      <c r="H3244">
        <v>81582</v>
      </c>
      <c r="I3244">
        <v>13873</v>
      </c>
      <c r="J3244">
        <v>95455</v>
      </c>
      <c r="K3244" t="b">
        <f>TrafficData[[#This Row],[disposedChallan]]+TrafficData[[#This Row],[pendingChallan]]=TrafficData[[#This Row],[totalChallan]]</f>
        <v>1</v>
      </c>
      <c r="L3244" t="b">
        <f>TrafficData[[#This Row],[pendingAmount]]+TrafficData[[#This Row],[disposedAmount]]=TrafficData[[#This Row],[totalAmount]]</f>
        <v>1</v>
      </c>
      <c r="M3244" t="b">
        <f>TrafficData[[#This Row],[pendingCourt]]+TrafficData[[#This Row],[disposedCourt]]=TrafficData[[#This Row],[totalCourt]]</f>
        <v>1</v>
      </c>
      <c r="N3244" t="b">
        <f>AND(TrafficData[[#This Row],[disposedChallan]]&lt;=TrafficData[[#This Row],[totalChallan]],TrafficData[[#This Row],[pendingChallan]]&lt;=TrafficData[[#This Row],[totalChallan]])</f>
        <v>1</v>
      </c>
      <c r="O3244" t="b">
        <f>AND(TrafficData[[#This Row],[pendingAmount]]&lt;=TrafficData[[#This Row],[totalAmount]],TrafficData[[#This Row],[disposedAmount]]&lt;=TrafficData[[#This Row],[totalAmount]])</f>
        <v>1</v>
      </c>
      <c r="P3244" t="b">
        <f>AND(TrafficData[[#This Row],[pendingCourt]]&lt;=TrafficData[[#This Row],[totalCourt]],TrafficData[[#This Row],[disposedCourt]]&lt;=TrafficData[[#This Row],[totalCourt]])</f>
        <v>1</v>
      </c>
    </row>
    <row r="3245" spans="1:16">
      <c r="A3245" s="1">
        <v>45249</v>
      </c>
      <c r="B3245">
        <v>167698</v>
      </c>
      <c r="C3245">
        <v>56718</v>
      </c>
      <c r="D3245">
        <v>110980</v>
      </c>
      <c r="E3245">
        <v>169880296</v>
      </c>
      <c r="F3245">
        <v>75551131</v>
      </c>
      <c r="G3245">
        <v>245431427</v>
      </c>
      <c r="H3245">
        <v>63006</v>
      </c>
      <c r="I3245">
        <v>10266</v>
      </c>
      <c r="J3245">
        <v>73272</v>
      </c>
      <c r="K3245" t="b">
        <f>TrafficData[[#This Row],[disposedChallan]]+TrafficData[[#This Row],[pendingChallan]]=TrafficData[[#This Row],[totalChallan]]</f>
        <v>1</v>
      </c>
      <c r="L3245" t="b">
        <f>TrafficData[[#This Row],[pendingAmount]]+TrafficData[[#This Row],[disposedAmount]]=TrafficData[[#This Row],[totalAmount]]</f>
        <v>1</v>
      </c>
      <c r="M3245" t="b">
        <f>TrafficData[[#This Row],[pendingCourt]]+TrafficData[[#This Row],[disposedCourt]]=TrafficData[[#This Row],[totalCourt]]</f>
        <v>1</v>
      </c>
      <c r="N3245" t="b">
        <f>AND(TrafficData[[#This Row],[disposedChallan]]&lt;=TrafficData[[#This Row],[totalChallan]],TrafficData[[#This Row],[pendingChallan]]&lt;=TrafficData[[#This Row],[totalChallan]])</f>
        <v>1</v>
      </c>
      <c r="O3245" t="b">
        <f>AND(TrafficData[[#This Row],[pendingAmount]]&lt;=TrafficData[[#This Row],[totalAmount]],TrafficData[[#This Row],[disposedAmount]]&lt;=TrafficData[[#This Row],[totalAmount]])</f>
        <v>1</v>
      </c>
      <c r="P3245" t="b">
        <f>AND(TrafficData[[#This Row],[pendingCourt]]&lt;=TrafficData[[#This Row],[totalCourt]],TrafficData[[#This Row],[disposedCourt]]&lt;=TrafficData[[#This Row],[totalCourt]])</f>
        <v>1</v>
      </c>
    </row>
    <row r="3246" spans="1:16">
      <c r="A3246" s="1">
        <v>45250</v>
      </c>
      <c r="B3246">
        <v>200455</v>
      </c>
      <c r="C3246">
        <v>67484</v>
      </c>
      <c r="D3246">
        <v>132971</v>
      </c>
      <c r="E3246">
        <v>200301209</v>
      </c>
      <c r="F3246">
        <v>93559627</v>
      </c>
      <c r="G3246">
        <v>293860836</v>
      </c>
      <c r="H3246">
        <v>73046</v>
      </c>
      <c r="I3246">
        <v>11902</v>
      </c>
      <c r="J3246">
        <v>84948</v>
      </c>
      <c r="K3246" t="b">
        <f>TrafficData[[#This Row],[disposedChallan]]+TrafficData[[#This Row],[pendingChallan]]=TrafficData[[#This Row],[totalChallan]]</f>
        <v>1</v>
      </c>
      <c r="L3246" t="b">
        <f>TrafficData[[#This Row],[pendingAmount]]+TrafficData[[#This Row],[disposedAmount]]=TrafficData[[#This Row],[totalAmount]]</f>
        <v>1</v>
      </c>
      <c r="M3246" t="b">
        <f>TrafficData[[#This Row],[pendingCourt]]+TrafficData[[#This Row],[disposedCourt]]=TrafficData[[#This Row],[totalCourt]]</f>
        <v>1</v>
      </c>
      <c r="N3246" t="b">
        <f>AND(TrafficData[[#This Row],[disposedChallan]]&lt;=TrafficData[[#This Row],[totalChallan]],TrafficData[[#This Row],[pendingChallan]]&lt;=TrafficData[[#This Row],[totalChallan]])</f>
        <v>1</v>
      </c>
      <c r="O3246" t="b">
        <f>AND(TrafficData[[#This Row],[pendingAmount]]&lt;=TrafficData[[#This Row],[totalAmount]],TrafficData[[#This Row],[disposedAmount]]&lt;=TrafficData[[#This Row],[totalAmount]])</f>
        <v>1</v>
      </c>
      <c r="P3246" t="b">
        <f>AND(TrafficData[[#This Row],[pendingCourt]]&lt;=TrafficData[[#This Row],[totalCourt]],TrafficData[[#This Row],[disposedCourt]]&lt;=TrafficData[[#This Row],[totalCourt]])</f>
        <v>1</v>
      </c>
    </row>
    <row r="3247" spans="1:16">
      <c r="A3247" s="1">
        <v>45251</v>
      </c>
      <c r="B3247">
        <v>228015</v>
      </c>
      <c r="C3247">
        <v>77823</v>
      </c>
      <c r="D3247">
        <v>150192</v>
      </c>
      <c r="E3247">
        <v>247713267</v>
      </c>
      <c r="F3247">
        <v>124616123</v>
      </c>
      <c r="G3247">
        <v>372329390</v>
      </c>
      <c r="H3247">
        <v>81259</v>
      </c>
      <c r="I3247">
        <v>13047</v>
      </c>
      <c r="J3247">
        <v>94306</v>
      </c>
      <c r="K3247" t="b">
        <f>TrafficData[[#This Row],[disposedChallan]]+TrafficData[[#This Row],[pendingChallan]]=TrafficData[[#This Row],[totalChallan]]</f>
        <v>1</v>
      </c>
      <c r="L3247" t="b">
        <f>TrafficData[[#This Row],[pendingAmount]]+TrafficData[[#This Row],[disposedAmount]]=TrafficData[[#This Row],[totalAmount]]</f>
        <v>1</v>
      </c>
      <c r="M3247" t="b">
        <f>TrafficData[[#This Row],[pendingCourt]]+TrafficData[[#This Row],[disposedCourt]]=TrafficData[[#This Row],[totalCourt]]</f>
        <v>1</v>
      </c>
      <c r="N3247" t="b">
        <f>AND(TrafficData[[#This Row],[disposedChallan]]&lt;=TrafficData[[#This Row],[totalChallan]],TrafficData[[#This Row],[pendingChallan]]&lt;=TrafficData[[#This Row],[totalChallan]])</f>
        <v>1</v>
      </c>
      <c r="O3247" t="b">
        <f>AND(TrafficData[[#This Row],[pendingAmount]]&lt;=TrafficData[[#This Row],[totalAmount]],TrafficData[[#This Row],[disposedAmount]]&lt;=TrafficData[[#This Row],[totalAmount]])</f>
        <v>1</v>
      </c>
      <c r="P3247" t="b">
        <f>AND(TrafficData[[#This Row],[pendingCourt]]&lt;=TrafficData[[#This Row],[totalCourt]],TrafficData[[#This Row],[disposedCourt]]&lt;=TrafficData[[#This Row],[totalCourt]])</f>
        <v>1</v>
      </c>
    </row>
    <row r="3248" spans="1:16">
      <c r="A3248" s="1">
        <v>45252</v>
      </c>
      <c r="B3248">
        <v>222540</v>
      </c>
      <c r="C3248">
        <v>76517</v>
      </c>
      <c r="D3248">
        <v>146023</v>
      </c>
      <c r="E3248">
        <v>235039573</v>
      </c>
      <c r="F3248">
        <v>125137449</v>
      </c>
      <c r="G3248">
        <v>360177022</v>
      </c>
      <c r="H3248">
        <v>78997</v>
      </c>
      <c r="I3248">
        <v>12778</v>
      </c>
      <c r="J3248">
        <v>91775</v>
      </c>
      <c r="K3248" t="b">
        <f>TrafficData[[#This Row],[disposedChallan]]+TrafficData[[#This Row],[pendingChallan]]=TrafficData[[#This Row],[totalChallan]]</f>
        <v>1</v>
      </c>
      <c r="L3248" t="b">
        <f>TrafficData[[#This Row],[pendingAmount]]+TrafficData[[#This Row],[disposedAmount]]=TrafficData[[#This Row],[totalAmount]]</f>
        <v>1</v>
      </c>
      <c r="M3248" t="b">
        <f>TrafficData[[#This Row],[pendingCourt]]+TrafficData[[#This Row],[disposedCourt]]=TrafficData[[#This Row],[totalCourt]]</f>
        <v>1</v>
      </c>
      <c r="N3248" t="b">
        <f>AND(TrafficData[[#This Row],[disposedChallan]]&lt;=TrafficData[[#This Row],[totalChallan]],TrafficData[[#This Row],[pendingChallan]]&lt;=TrafficData[[#This Row],[totalChallan]])</f>
        <v>1</v>
      </c>
      <c r="O3248" t="b">
        <f>AND(TrafficData[[#This Row],[pendingAmount]]&lt;=TrafficData[[#This Row],[totalAmount]],TrafficData[[#This Row],[disposedAmount]]&lt;=TrafficData[[#This Row],[totalAmount]])</f>
        <v>1</v>
      </c>
      <c r="P3248" t="b">
        <f>AND(TrafficData[[#This Row],[pendingCourt]]&lt;=TrafficData[[#This Row],[totalCourt]],TrafficData[[#This Row],[disposedCourt]]&lt;=TrafficData[[#This Row],[totalCourt]])</f>
        <v>1</v>
      </c>
    </row>
    <row r="3249" spans="1:16">
      <c r="A3249" s="1">
        <v>45253</v>
      </c>
      <c r="B3249">
        <v>213635</v>
      </c>
      <c r="C3249">
        <v>76148</v>
      </c>
      <c r="D3249">
        <v>137487</v>
      </c>
      <c r="E3249">
        <v>229562399</v>
      </c>
      <c r="F3249">
        <v>118110964</v>
      </c>
      <c r="G3249">
        <v>347673363</v>
      </c>
      <c r="H3249">
        <v>75942</v>
      </c>
      <c r="I3249">
        <v>12317</v>
      </c>
      <c r="J3249">
        <v>88259</v>
      </c>
      <c r="K3249" t="b">
        <f>TrafficData[[#This Row],[disposedChallan]]+TrafficData[[#This Row],[pendingChallan]]=TrafficData[[#This Row],[totalChallan]]</f>
        <v>1</v>
      </c>
      <c r="L3249" t="b">
        <f>TrafficData[[#This Row],[pendingAmount]]+TrafficData[[#This Row],[disposedAmount]]=TrafficData[[#This Row],[totalAmount]]</f>
        <v>1</v>
      </c>
      <c r="M3249" t="b">
        <f>TrafficData[[#This Row],[pendingCourt]]+TrafficData[[#This Row],[disposedCourt]]=TrafficData[[#This Row],[totalCourt]]</f>
        <v>1</v>
      </c>
      <c r="N3249" t="b">
        <f>AND(TrafficData[[#This Row],[disposedChallan]]&lt;=TrafficData[[#This Row],[totalChallan]],TrafficData[[#This Row],[pendingChallan]]&lt;=TrafficData[[#This Row],[totalChallan]])</f>
        <v>1</v>
      </c>
      <c r="O3249" t="b">
        <f>AND(TrafficData[[#This Row],[pendingAmount]]&lt;=TrafficData[[#This Row],[totalAmount]],TrafficData[[#This Row],[disposedAmount]]&lt;=TrafficData[[#This Row],[totalAmount]])</f>
        <v>1</v>
      </c>
      <c r="P3249" t="b">
        <f>AND(TrafficData[[#This Row],[pendingCourt]]&lt;=TrafficData[[#This Row],[totalCourt]],TrafficData[[#This Row],[disposedCourt]]&lt;=TrafficData[[#This Row],[totalCourt]])</f>
        <v>1</v>
      </c>
    </row>
    <row r="3250" spans="1:16">
      <c r="A3250" s="1">
        <v>45254</v>
      </c>
      <c r="B3250">
        <v>208810</v>
      </c>
      <c r="C3250">
        <v>75204</v>
      </c>
      <c r="D3250">
        <v>133606</v>
      </c>
      <c r="E3250">
        <v>223746542</v>
      </c>
      <c r="F3250">
        <v>115445217</v>
      </c>
      <c r="G3250">
        <v>339191759</v>
      </c>
      <c r="H3250">
        <v>74227</v>
      </c>
      <c r="I3250">
        <v>12309</v>
      </c>
      <c r="J3250">
        <v>86536</v>
      </c>
      <c r="K3250" t="b">
        <f>TrafficData[[#This Row],[disposedChallan]]+TrafficData[[#This Row],[pendingChallan]]=TrafficData[[#This Row],[totalChallan]]</f>
        <v>1</v>
      </c>
      <c r="L3250" t="b">
        <f>TrafficData[[#This Row],[pendingAmount]]+TrafficData[[#This Row],[disposedAmount]]=TrafficData[[#This Row],[totalAmount]]</f>
        <v>1</v>
      </c>
      <c r="M3250" t="b">
        <f>TrafficData[[#This Row],[pendingCourt]]+TrafficData[[#This Row],[disposedCourt]]=TrafficData[[#This Row],[totalCourt]]</f>
        <v>1</v>
      </c>
      <c r="N3250" t="b">
        <f>AND(TrafficData[[#This Row],[disposedChallan]]&lt;=TrafficData[[#This Row],[totalChallan]],TrafficData[[#This Row],[pendingChallan]]&lt;=TrafficData[[#This Row],[totalChallan]])</f>
        <v>1</v>
      </c>
      <c r="O3250" t="b">
        <f>AND(TrafficData[[#This Row],[pendingAmount]]&lt;=TrafficData[[#This Row],[totalAmount]],TrafficData[[#This Row],[disposedAmount]]&lt;=TrafficData[[#This Row],[totalAmount]])</f>
        <v>1</v>
      </c>
      <c r="P3250" t="b">
        <f>AND(TrafficData[[#This Row],[pendingCourt]]&lt;=TrafficData[[#This Row],[totalCourt]],TrafficData[[#This Row],[disposedCourt]]&lt;=TrafficData[[#This Row],[totalCourt]])</f>
        <v>1</v>
      </c>
    </row>
    <row r="3251" spans="1:16">
      <c r="A3251" s="1">
        <v>45255</v>
      </c>
      <c r="B3251">
        <v>204991</v>
      </c>
      <c r="C3251">
        <v>74716</v>
      </c>
      <c r="D3251">
        <v>130275</v>
      </c>
      <c r="E3251">
        <v>215816652</v>
      </c>
      <c r="F3251">
        <v>111371956</v>
      </c>
      <c r="G3251">
        <v>327188608</v>
      </c>
      <c r="H3251">
        <v>72400</v>
      </c>
      <c r="I3251">
        <v>11813</v>
      </c>
      <c r="J3251">
        <v>84213</v>
      </c>
      <c r="K3251" t="b">
        <f>TrafficData[[#This Row],[disposedChallan]]+TrafficData[[#This Row],[pendingChallan]]=TrafficData[[#This Row],[totalChallan]]</f>
        <v>1</v>
      </c>
      <c r="L3251" t="b">
        <f>TrafficData[[#This Row],[pendingAmount]]+TrafficData[[#This Row],[disposedAmount]]=TrafficData[[#This Row],[totalAmount]]</f>
        <v>1</v>
      </c>
      <c r="M3251" t="b">
        <f>TrafficData[[#This Row],[pendingCourt]]+TrafficData[[#This Row],[disposedCourt]]=TrafficData[[#This Row],[totalCourt]]</f>
        <v>1</v>
      </c>
      <c r="N3251" t="b">
        <f>AND(TrafficData[[#This Row],[disposedChallan]]&lt;=TrafficData[[#This Row],[totalChallan]],TrafficData[[#This Row],[pendingChallan]]&lt;=TrafficData[[#This Row],[totalChallan]])</f>
        <v>1</v>
      </c>
      <c r="O3251" t="b">
        <f>AND(TrafficData[[#This Row],[pendingAmount]]&lt;=TrafficData[[#This Row],[totalAmount]],TrafficData[[#This Row],[disposedAmount]]&lt;=TrafficData[[#This Row],[totalAmount]])</f>
        <v>1</v>
      </c>
      <c r="P3251" t="b">
        <f>AND(TrafficData[[#This Row],[pendingCourt]]&lt;=TrafficData[[#This Row],[totalCourt]],TrafficData[[#This Row],[disposedCourt]]&lt;=TrafficData[[#This Row],[totalCourt]])</f>
        <v>1</v>
      </c>
    </row>
    <row r="3252" spans="1:16">
      <c r="A3252" s="1">
        <v>45256</v>
      </c>
      <c r="B3252">
        <v>192622</v>
      </c>
      <c r="C3252">
        <v>65685</v>
      </c>
      <c r="D3252">
        <v>126937</v>
      </c>
      <c r="E3252">
        <v>198537567</v>
      </c>
      <c r="F3252">
        <v>141591859</v>
      </c>
      <c r="G3252">
        <v>340129426</v>
      </c>
      <c r="H3252">
        <v>68118</v>
      </c>
      <c r="I3252">
        <v>10745</v>
      </c>
      <c r="J3252">
        <v>78863</v>
      </c>
      <c r="K3252" t="b">
        <f>TrafficData[[#This Row],[disposedChallan]]+TrafficData[[#This Row],[pendingChallan]]=TrafficData[[#This Row],[totalChallan]]</f>
        <v>1</v>
      </c>
      <c r="L3252" t="b">
        <f>TrafficData[[#This Row],[pendingAmount]]+TrafficData[[#This Row],[disposedAmount]]=TrafficData[[#This Row],[totalAmount]]</f>
        <v>1</v>
      </c>
      <c r="M3252" t="b">
        <f>TrafficData[[#This Row],[pendingCourt]]+TrafficData[[#This Row],[disposedCourt]]=TrafficData[[#This Row],[totalCourt]]</f>
        <v>1</v>
      </c>
      <c r="N3252" t="b">
        <f>AND(TrafficData[[#This Row],[disposedChallan]]&lt;=TrafficData[[#This Row],[totalChallan]],TrafficData[[#This Row],[pendingChallan]]&lt;=TrafficData[[#This Row],[totalChallan]])</f>
        <v>1</v>
      </c>
      <c r="O3252" t="b">
        <f>AND(TrafficData[[#This Row],[pendingAmount]]&lt;=TrafficData[[#This Row],[totalAmount]],TrafficData[[#This Row],[disposedAmount]]&lt;=TrafficData[[#This Row],[totalAmount]])</f>
        <v>1</v>
      </c>
      <c r="P3252" t="b">
        <f>AND(TrafficData[[#This Row],[pendingCourt]]&lt;=TrafficData[[#This Row],[totalCourt]],TrafficData[[#This Row],[disposedCourt]]&lt;=TrafficData[[#This Row],[totalCourt]])</f>
        <v>1</v>
      </c>
    </row>
    <row r="3253" spans="1:16">
      <c r="A3253" s="1">
        <v>45257</v>
      </c>
      <c r="B3253">
        <v>193367</v>
      </c>
      <c r="C3253">
        <v>68123</v>
      </c>
      <c r="D3253">
        <v>125244</v>
      </c>
      <c r="E3253">
        <v>190567764</v>
      </c>
      <c r="F3253">
        <v>85681625</v>
      </c>
      <c r="G3253">
        <v>276249389</v>
      </c>
      <c r="H3253">
        <v>64344</v>
      </c>
      <c r="I3253">
        <v>10915</v>
      </c>
      <c r="J3253">
        <v>75259</v>
      </c>
      <c r="K3253" t="b">
        <f>TrafficData[[#This Row],[disposedChallan]]+TrafficData[[#This Row],[pendingChallan]]=TrafficData[[#This Row],[totalChallan]]</f>
        <v>1</v>
      </c>
      <c r="L3253" t="b">
        <f>TrafficData[[#This Row],[pendingAmount]]+TrafficData[[#This Row],[disposedAmount]]=TrafficData[[#This Row],[totalAmount]]</f>
        <v>1</v>
      </c>
      <c r="M3253" t="b">
        <f>TrafficData[[#This Row],[pendingCourt]]+TrafficData[[#This Row],[disposedCourt]]=TrafficData[[#This Row],[totalCourt]]</f>
        <v>1</v>
      </c>
      <c r="N3253" t="b">
        <f>AND(TrafficData[[#This Row],[disposedChallan]]&lt;=TrafficData[[#This Row],[totalChallan]],TrafficData[[#This Row],[pendingChallan]]&lt;=TrafficData[[#This Row],[totalChallan]])</f>
        <v>1</v>
      </c>
      <c r="O3253" t="b">
        <f>AND(TrafficData[[#This Row],[pendingAmount]]&lt;=TrafficData[[#This Row],[totalAmount]],TrafficData[[#This Row],[disposedAmount]]&lt;=TrafficData[[#This Row],[totalAmount]])</f>
        <v>1</v>
      </c>
      <c r="P3253" t="b">
        <f>AND(TrafficData[[#This Row],[pendingCourt]]&lt;=TrafficData[[#This Row],[totalCourt]],TrafficData[[#This Row],[disposedCourt]]&lt;=TrafficData[[#This Row],[totalCourt]])</f>
        <v>1</v>
      </c>
    </row>
    <row r="3254" spans="1:16">
      <c r="A3254" s="1">
        <v>45258</v>
      </c>
      <c r="B3254">
        <v>218894</v>
      </c>
      <c r="C3254">
        <v>75586</v>
      </c>
      <c r="D3254">
        <v>143308</v>
      </c>
      <c r="E3254">
        <v>228210211</v>
      </c>
      <c r="F3254">
        <v>103931668</v>
      </c>
      <c r="G3254">
        <v>332141879</v>
      </c>
      <c r="H3254">
        <v>74966</v>
      </c>
      <c r="I3254">
        <v>11706</v>
      </c>
      <c r="J3254">
        <v>86672</v>
      </c>
      <c r="K3254" t="b">
        <f>TrafficData[[#This Row],[disposedChallan]]+TrafficData[[#This Row],[pendingChallan]]=TrafficData[[#This Row],[totalChallan]]</f>
        <v>1</v>
      </c>
      <c r="L3254" t="b">
        <f>TrafficData[[#This Row],[pendingAmount]]+TrafficData[[#This Row],[disposedAmount]]=TrafficData[[#This Row],[totalAmount]]</f>
        <v>1</v>
      </c>
      <c r="M3254" t="b">
        <f>TrafficData[[#This Row],[pendingCourt]]+TrafficData[[#This Row],[disposedCourt]]=TrafficData[[#This Row],[totalCourt]]</f>
        <v>1</v>
      </c>
      <c r="N3254" t="b">
        <f>AND(TrafficData[[#This Row],[disposedChallan]]&lt;=TrafficData[[#This Row],[totalChallan]],TrafficData[[#This Row],[pendingChallan]]&lt;=TrafficData[[#This Row],[totalChallan]])</f>
        <v>1</v>
      </c>
      <c r="O3254" t="b">
        <f>AND(TrafficData[[#This Row],[pendingAmount]]&lt;=TrafficData[[#This Row],[totalAmount]],TrafficData[[#This Row],[disposedAmount]]&lt;=TrafficData[[#This Row],[totalAmount]])</f>
        <v>1</v>
      </c>
      <c r="P3254" t="b">
        <f>AND(TrafficData[[#This Row],[pendingCourt]]&lt;=TrafficData[[#This Row],[totalCourt]],TrafficData[[#This Row],[disposedCourt]]&lt;=TrafficData[[#This Row],[totalCourt]])</f>
        <v>1</v>
      </c>
    </row>
    <row r="3255" spans="1:16">
      <c r="A3255" s="1">
        <v>45259</v>
      </c>
      <c r="B3255">
        <v>221442</v>
      </c>
      <c r="C3255">
        <v>76184</v>
      </c>
      <c r="D3255">
        <v>145258</v>
      </c>
      <c r="E3255">
        <v>227535509</v>
      </c>
      <c r="F3255">
        <v>112526217</v>
      </c>
      <c r="G3255">
        <v>340061726</v>
      </c>
      <c r="H3255">
        <v>77275</v>
      </c>
      <c r="I3255">
        <v>11964</v>
      </c>
      <c r="J3255">
        <v>89239</v>
      </c>
      <c r="K3255" t="b">
        <f>TrafficData[[#This Row],[disposedChallan]]+TrafficData[[#This Row],[pendingChallan]]=TrafficData[[#This Row],[totalChallan]]</f>
        <v>1</v>
      </c>
      <c r="L3255" t="b">
        <f>TrafficData[[#This Row],[pendingAmount]]+TrafficData[[#This Row],[disposedAmount]]=TrafficData[[#This Row],[totalAmount]]</f>
        <v>1</v>
      </c>
      <c r="M3255" t="b">
        <f>TrafficData[[#This Row],[pendingCourt]]+TrafficData[[#This Row],[disposedCourt]]=TrafficData[[#This Row],[totalCourt]]</f>
        <v>1</v>
      </c>
      <c r="N3255" t="b">
        <f>AND(TrafficData[[#This Row],[disposedChallan]]&lt;=TrafficData[[#This Row],[totalChallan]],TrafficData[[#This Row],[pendingChallan]]&lt;=TrafficData[[#This Row],[totalChallan]])</f>
        <v>1</v>
      </c>
      <c r="O3255" t="b">
        <f>AND(TrafficData[[#This Row],[pendingAmount]]&lt;=TrafficData[[#This Row],[totalAmount]],TrafficData[[#This Row],[disposedAmount]]&lt;=TrafficData[[#This Row],[totalAmount]])</f>
        <v>1</v>
      </c>
      <c r="P3255" t="b">
        <f>AND(TrafficData[[#This Row],[pendingCourt]]&lt;=TrafficData[[#This Row],[totalCourt]],TrafficData[[#This Row],[disposedCourt]]&lt;=TrafficData[[#This Row],[totalCourt]])</f>
        <v>1</v>
      </c>
    </row>
    <row r="3256" spans="1:16">
      <c r="A3256" s="1">
        <v>45260</v>
      </c>
      <c r="B3256">
        <v>210124</v>
      </c>
      <c r="C3256">
        <v>72426</v>
      </c>
      <c r="D3256">
        <v>137698</v>
      </c>
      <c r="E3256">
        <v>216839771</v>
      </c>
      <c r="F3256">
        <v>104429755</v>
      </c>
      <c r="G3256">
        <v>321269526</v>
      </c>
      <c r="H3256">
        <v>72106</v>
      </c>
      <c r="I3256">
        <v>11030</v>
      </c>
      <c r="J3256">
        <v>83136</v>
      </c>
      <c r="K3256" t="b">
        <f>TrafficData[[#This Row],[disposedChallan]]+TrafficData[[#This Row],[pendingChallan]]=TrafficData[[#This Row],[totalChallan]]</f>
        <v>1</v>
      </c>
      <c r="L3256" t="b">
        <f>TrafficData[[#This Row],[pendingAmount]]+TrafficData[[#This Row],[disposedAmount]]=TrafficData[[#This Row],[totalAmount]]</f>
        <v>1</v>
      </c>
      <c r="M3256" t="b">
        <f>TrafficData[[#This Row],[pendingCourt]]+TrafficData[[#This Row],[disposedCourt]]=TrafficData[[#This Row],[totalCourt]]</f>
        <v>1</v>
      </c>
      <c r="N3256" t="b">
        <f>AND(TrafficData[[#This Row],[disposedChallan]]&lt;=TrafficData[[#This Row],[totalChallan]],TrafficData[[#This Row],[pendingChallan]]&lt;=TrafficData[[#This Row],[totalChallan]])</f>
        <v>1</v>
      </c>
      <c r="O3256" t="b">
        <f>AND(TrafficData[[#This Row],[pendingAmount]]&lt;=TrafficData[[#This Row],[totalAmount]],TrafficData[[#This Row],[disposedAmount]]&lt;=TrafficData[[#This Row],[totalAmount]])</f>
        <v>1</v>
      </c>
      <c r="P3256" t="b">
        <f>AND(TrafficData[[#This Row],[pendingCourt]]&lt;=TrafficData[[#This Row],[totalCourt]],TrafficData[[#This Row],[disposedCourt]]&lt;=TrafficData[[#This Row],[totalCourt]])</f>
        <v>1</v>
      </c>
    </row>
    <row r="3257" spans="1:16">
      <c r="A3257" s="1">
        <v>45261</v>
      </c>
      <c r="B3257">
        <v>218379</v>
      </c>
      <c r="C3257">
        <v>81073</v>
      </c>
      <c r="D3257">
        <v>137306</v>
      </c>
      <c r="E3257">
        <v>221004434</v>
      </c>
      <c r="F3257">
        <v>124875906</v>
      </c>
      <c r="G3257">
        <v>345880340</v>
      </c>
      <c r="H3257">
        <v>63827</v>
      </c>
      <c r="I3257">
        <v>11524</v>
      </c>
      <c r="J3257">
        <v>75351</v>
      </c>
      <c r="K3257" t="b">
        <f>TrafficData[[#This Row],[disposedChallan]]+TrafficData[[#This Row],[pendingChallan]]=TrafficData[[#This Row],[totalChallan]]</f>
        <v>1</v>
      </c>
      <c r="L3257" t="b">
        <f>TrafficData[[#This Row],[pendingAmount]]+TrafficData[[#This Row],[disposedAmount]]=TrafficData[[#This Row],[totalAmount]]</f>
        <v>1</v>
      </c>
      <c r="M3257" t="b">
        <f>TrafficData[[#This Row],[pendingCourt]]+TrafficData[[#This Row],[disposedCourt]]=TrafficData[[#This Row],[totalCourt]]</f>
        <v>1</v>
      </c>
      <c r="N3257" t="b">
        <f>AND(TrafficData[[#This Row],[disposedChallan]]&lt;=TrafficData[[#This Row],[totalChallan]],TrafficData[[#This Row],[pendingChallan]]&lt;=TrafficData[[#This Row],[totalChallan]])</f>
        <v>1</v>
      </c>
      <c r="O3257" t="b">
        <f>AND(TrafficData[[#This Row],[pendingAmount]]&lt;=TrafficData[[#This Row],[totalAmount]],TrafficData[[#This Row],[disposedAmount]]&lt;=TrafficData[[#This Row],[totalAmount]])</f>
        <v>1</v>
      </c>
      <c r="P3257" t="b">
        <f>AND(TrafficData[[#This Row],[pendingCourt]]&lt;=TrafficData[[#This Row],[totalCourt]],TrafficData[[#This Row],[disposedCourt]]&lt;=TrafficData[[#This Row],[totalCourt]])</f>
        <v>1</v>
      </c>
    </row>
    <row r="3258" spans="1:16">
      <c r="A3258" s="1">
        <v>45262</v>
      </c>
      <c r="B3258">
        <v>220726</v>
      </c>
      <c r="C3258">
        <v>81180</v>
      </c>
      <c r="D3258">
        <v>139546</v>
      </c>
      <c r="E3258">
        <v>224916384</v>
      </c>
      <c r="F3258">
        <v>120098819</v>
      </c>
      <c r="G3258">
        <v>345015203</v>
      </c>
      <c r="H3258">
        <v>63689</v>
      </c>
      <c r="I3258">
        <v>11654</v>
      </c>
      <c r="J3258">
        <v>75343</v>
      </c>
      <c r="K3258" t="b">
        <f>TrafficData[[#This Row],[disposedChallan]]+TrafficData[[#This Row],[pendingChallan]]=TrafficData[[#This Row],[totalChallan]]</f>
        <v>1</v>
      </c>
      <c r="L3258" t="b">
        <f>TrafficData[[#This Row],[pendingAmount]]+TrafficData[[#This Row],[disposedAmount]]=TrafficData[[#This Row],[totalAmount]]</f>
        <v>1</v>
      </c>
      <c r="M3258" t="b">
        <f>TrafficData[[#This Row],[pendingCourt]]+TrafficData[[#This Row],[disposedCourt]]=TrafficData[[#This Row],[totalCourt]]</f>
        <v>1</v>
      </c>
      <c r="N3258" t="b">
        <f>AND(TrafficData[[#This Row],[disposedChallan]]&lt;=TrafficData[[#This Row],[totalChallan]],TrafficData[[#This Row],[pendingChallan]]&lt;=TrafficData[[#This Row],[totalChallan]])</f>
        <v>1</v>
      </c>
      <c r="O3258" t="b">
        <f>AND(TrafficData[[#This Row],[pendingAmount]]&lt;=TrafficData[[#This Row],[totalAmount]],TrafficData[[#This Row],[disposedAmount]]&lt;=TrafficData[[#This Row],[totalAmount]])</f>
        <v>1</v>
      </c>
      <c r="P3258" t="b">
        <f>AND(TrafficData[[#This Row],[pendingCourt]]&lt;=TrafficData[[#This Row],[totalCourt]],TrafficData[[#This Row],[disposedCourt]]&lt;=TrafficData[[#This Row],[totalCourt]])</f>
        <v>1</v>
      </c>
    </row>
    <row r="3259" spans="1:16">
      <c r="A3259" s="1">
        <v>45263</v>
      </c>
      <c r="B3259">
        <v>178350</v>
      </c>
      <c r="C3259">
        <v>64846</v>
      </c>
      <c r="D3259">
        <v>113504</v>
      </c>
      <c r="E3259">
        <v>183308037</v>
      </c>
      <c r="F3259">
        <v>91134693</v>
      </c>
      <c r="G3259">
        <v>274442730</v>
      </c>
      <c r="H3259">
        <v>53181</v>
      </c>
      <c r="I3259">
        <v>9314</v>
      </c>
      <c r="J3259">
        <v>62495</v>
      </c>
      <c r="K3259" t="b">
        <f>TrafficData[[#This Row],[disposedChallan]]+TrafficData[[#This Row],[pendingChallan]]=TrafficData[[#This Row],[totalChallan]]</f>
        <v>1</v>
      </c>
      <c r="L3259" t="b">
        <f>TrafficData[[#This Row],[pendingAmount]]+TrafficData[[#This Row],[disposedAmount]]=TrafficData[[#This Row],[totalAmount]]</f>
        <v>1</v>
      </c>
      <c r="M3259" t="b">
        <f>TrafficData[[#This Row],[pendingCourt]]+TrafficData[[#This Row],[disposedCourt]]=TrafficData[[#This Row],[totalCourt]]</f>
        <v>1</v>
      </c>
      <c r="N3259" t="b">
        <f>AND(TrafficData[[#This Row],[disposedChallan]]&lt;=TrafficData[[#This Row],[totalChallan]],TrafficData[[#This Row],[pendingChallan]]&lt;=TrafficData[[#This Row],[totalChallan]])</f>
        <v>1</v>
      </c>
      <c r="O3259" t="b">
        <f>AND(TrafficData[[#This Row],[pendingAmount]]&lt;=TrafficData[[#This Row],[totalAmount]],TrafficData[[#This Row],[disposedAmount]]&lt;=TrafficData[[#This Row],[totalAmount]])</f>
        <v>1</v>
      </c>
      <c r="P3259" t="b">
        <f>AND(TrafficData[[#This Row],[pendingCourt]]&lt;=TrafficData[[#This Row],[totalCourt]],TrafficData[[#This Row],[disposedCourt]]&lt;=TrafficData[[#This Row],[totalCourt]])</f>
        <v>1</v>
      </c>
    </row>
    <row r="3260" spans="1:16">
      <c r="A3260" s="1">
        <v>45264</v>
      </c>
      <c r="B3260">
        <v>197838</v>
      </c>
      <c r="C3260">
        <v>73557</v>
      </c>
      <c r="D3260">
        <v>124281</v>
      </c>
      <c r="E3260">
        <v>209032682</v>
      </c>
      <c r="F3260">
        <v>111966244</v>
      </c>
      <c r="G3260">
        <v>320998926</v>
      </c>
      <c r="H3260">
        <v>60865</v>
      </c>
      <c r="I3260">
        <v>10491</v>
      </c>
      <c r="J3260">
        <v>71356</v>
      </c>
      <c r="K3260" t="b">
        <f>TrafficData[[#This Row],[disposedChallan]]+TrafficData[[#This Row],[pendingChallan]]=TrafficData[[#This Row],[totalChallan]]</f>
        <v>1</v>
      </c>
      <c r="L3260" t="b">
        <f>TrafficData[[#This Row],[pendingAmount]]+TrafficData[[#This Row],[disposedAmount]]=TrafficData[[#This Row],[totalAmount]]</f>
        <v>1</v>
      </c>
      <c r="M3260" t="b">
        <f>TrafficData[[#This Row],[pendingCourt]]+TrafficData[[#This Row],[disposedCourt]]=TrafficData[[#This Row],[totalCourt]]</f>
        <v>1</v>
      </c>
      <c r="N3260" t="b">
        <f>AND(TrafficData[[#This Row],[disposedChallan]]&lt;=TrafficData[[#This Row],[totalChallan]],TrafficData[[#This Row],[pendingChallan]]&lt;=TrafficData[[#This Row],[totalChallan]])</f>
        <v>1</v>
      </c>
      <c r="O3260" t="b">
        <f>AND(TrafficData[[#This Row],[pendingAmount]]&lt;=TrafficData[[#This Row],[totalAmount]],TrafficData[[#This Row],[disposedAmount]]&lt;=TrafficData[[#This Row],[totalAmount]])</f>
        <v>1</v>
      </c>
      <c r="P3260" t="b">
        <f>AND(TrafficData[[#This Row],[pendingCourt]]&lt;=TrafficData[[#This Row],[totalCourt]],TrafficData[[#This Row],[disposedCourt]]&lt;=TrafficData[[#This Row],[totalCourt]])</f>
        <v>1</v>
      </c>
    </row>
    <row r="3261" spans="1:16">
      <c r="A3261" s="1">
        <v>45265</v>
      </c>
      <c r="B3261">
        <v>186780</v>
      </c>
      <c r="C3261">
        <v>71010</v>
      </c>
      <c r="D3261">
        <v>115770</v>
      </c>
      <c r="E3261">
        <v>198860527</v>
      </c>
      <c r="F3261">
        <v>114651502</v>
      </c>
      <c r="G3261">
        <v>313512029</v>
      </c>
      <c r="H3261">
        <v>59622</v>
      </c>
      <c r="I3261">
        <v>10160</v>
      </c>
      <c r="J3261">
        <v>69782</v>
      </c>
      <c r="K3261" t="b">
        <f>TrafficData[[#This Row],[disposedChallan]]+TrafficData[[#This Row],[pendingChallan]]=TrafficData[[#This Row],[totalChallan]]</f>
        <v>1</v>
      </c>
      <c r="L3261" t="b">
        <f>TrafficData[[#This Row],[pendingAmount]]+TrafficData[[#This Row],[disposedAmount]]=TrafficData[[#This Row],[totalAmount]]</f>
        <v>1</v>
      </c>
      <c r="M3261" t="b">
        <f>TrafficData[[#This Row],[pendingCourt]]+TrafficData[[#This Row],[disposedCourt]]=TrafficData[[#This Row],[totalCourt]]</f>
        <v>1</v>
      </c>
      <c r="N3261" t="b">
        <f>AND(TrafficData[[#This Row],[disposedChallan]]&lt;=TrafficData[[#This Row],[totalChallan]],TrafficData[[#This Row],[pendingChallan]]&lt;=TrafficData[[#This Row],[totalChallan]])</f>
        <v>1</v>
      </c>
      <c r="O3261" t="b">
        <f>AND(TrafficData[[#This Row],[pendingAmount]]&lt;=TrafficData[[#This Row],[totalAmount]],TrafficData[[#This Row],[disposedAmount]]&lt;=TrafficData[[#This Row],[totalAmount]])</f>
        <v>1</v>
      </c>
      <c r="P3261" t="b">
        <f>AND(TrafficData[[#This Row],[pendingCourt]]&lt;=TrafficData[[#This Row],[totalCourt]],TrafficData[[#This Row],[disposedCourt]]&lt;=TrafficData[[#This Row],[totalCourt]])</f>
        <v>1</v>
      </c>
    </row>
    <row r="3262" spans="1:16">
      <c r="A3262" s="1">
        <v>45266</v>
      </c>
      <c r="B3262">
        <v>182755</v>
      </c>
      <c r="C3262">
        <v>66731</v>
      </c>
      <c r="D3262">
        <v>116024</v>
      </c>
      <c r="E3262">
        <v>189459073</v>
      </c>
      <c r="F3262">
        <v>115563127</v>
      </c>
      <c r="G3262">
        <v>305022200</v>
      </c>
      <c r="H3262">
        <v>58821</v>
      </c>
      <c r="I3262">
        <v>10293</v>
      </c>
      <c r="J3262">
        <v>69114</v>
      </c>
      <c r="K3262" t="b">
        <f>TrafficData[[#This Row],[disposedChallan]]+TrafficData[[#This Row],[pendingChallan]]=TrafficData[[#This Row],[totalChallan]]</f>
        <v>1</v>
      </c>
      <c r="L3262" t="b">
        <f>TrafficData[[#This Row],[pendingAmount]]+TrafficData[[#This Row],[disposedAmount]]=TrafficData[[#This Row],[totalAmount]]</f>
        <v>1</v>
      </c>
      <c r="M3262" t="b">
        <f>TrafficData[[#This Row],[pendingCourt]]+TrafficData[[#This Row],[disposedCourt]]=TrafficData[[#This Row],[totalCourt]]</f>
        <v>1</v>
      </c>
      <c r="N3262" t="b">
        <f>AND(TrafficData[[#This Row],[disposedChallan]]&lt;=TrafficData[[#This Row],[totalChallan]],TrafficData[[#This Row],[pendingChallan]]&lt;=TrafficData[[#This Row],[totalChallan]])</f>
        <v>1</v>
      </c>
      <c r="O3262" t="b">
        <f>AND(TrafficData[[#This Row],[pendingAmount]]&lt;=TrafficData[[#This Row],[totalAmount]],TrafficData[[#This Row],[disposedAmount]]&lt;=TrafficData[[#This Row],[totalAmount]])</f>
        <v>1</v>
      </c>
      <c r="P3262" t="b">
        <f>AND(TrafficData[[#This Row],[pendingCourt]]&lt;=TrafficData[[#This Row],[totalCourt]],TrafficData[[#This Row],[disposedCourt]]&lt;=TrafficData[[#This Row],[totalCourt]])</f>
        <v>1</v>
      </c>
    </row>
    <row r="3263" spans="1:16">
      <c r="A3263" s="1">
        <v>45267</v>
      </c>
      <c r="B3263">
        <v>172087</v>
      </c>
      <c r="C3263">
        <v>63607</v>
      </c>
      <c r="D3263">
        <v>108480</v>
      </c>
      <c r="E3263">
        <v>181439008</v>
      </c>
      <c r="F3263">
        <v>105752761</v>
      </c>
      <c r="G3263">
        <v>287191769</v>
      </c>
      <c r="H3263">
        <v>53949</v>
      </c>
      <c r="I3263">
        <v>9693</v>
      </c>
      <c r="J3263">
        <v>63642</v>
      </c>
      <c r="K3263" t="b">
        <f>TrafficData[[#This Row],[disposedChallan]]+TrafficData[[#This Row],[pendingChallan]]=TrafficData[[#This Row],[totalChallan]]</f>
        <v>1</v>
      </c>
      <c r="L3263" t="b">
        <f>TrafficData[[#This Row],[pendingAmount]]+TrafficData[[#This Row],[disposedAmount]]=TrafficData[[#This Row],[totalAmount]]</f>
        <v>1</v>
      </c>
      <c r="M3263" t="b">
        <f>TrafficData[[#This Row],[pendingCourt]]+TrafficData[[#This Row],[disposedCourt]]=TrafficData[[#This Row],[totalCourt]]</f>
        <v>1</v>
      </c>
      <c r="N3263" t="b">
        <f>AND(TrafficData[[#This Row],[disposedChallan]]&lt;=TrafficData[[#This Row],[totalChallan]],TrafficData[[#This Row],[pendingChallan]]&lt;=TrafficData[[#This Row],[totalChallan]])</f>
        <v>1</v>
      </c>
      <c r="O3263" t="b">
        <f>AND(TrafficData[[#This Row],[pendingAmount]]&lt;=TrafficData[[#This Row],[totalAmount]],TrafficData[[#This Row],[disposedAmount]]&lt;=TrafficData[[#This Row],[totalAmount]])</f>
        <v>1</v>
      </c>
      <c r="P3263" t="b">
        <f>AND(TrafficData[[#This Row],[pendingCourt]]&lt;=TrafficData[[#This Row],[totalCourt]],TrafficData[[#This Row],[disposedCourt]]&lt;=TrafficData[[#This Row],[totalCourt]])</f>
        <v>1</v>
      </c>
    </row>
    <row r="3264" spans="1:16">
      <c r="A3264" s="1">
        <v>45268</v>
      </c>
      <c r="B3264">
        <v>199200</v>
      </c>
      <c r="C3264">
        <v>73583</v>
      </c>
      <c r="D3264">
        <v>125617</v>
      </c>
      <c r="E3264">
        <v>200576503</v>
      </c>
      <c r="F3264">
        <v>111255858</v>
      </c>
      <c r="G3264">
        <v>311832361</v>
      </c>
      <c r="H3264">
        <v>59273</v>
      </c>
      <c r="I3264">
        <v>11002</v>
      </c>
      <c r="J3264">
        <v>70275</v>
      </c>
      <c r="K3264" t="b">
        <f>TrafficData[[#This Row],[disposedChallan]]+TrafficData[[#This Row],[pendingChallan]]=TrafficData[[#This Row],[totalChallan]]</f>
        <v>1</v>
      </c>
      <c r="L3264" t="b">
        <f>TrafficData[[#This Row],[pendingAmount]]+TrafficData[[#This Row],[disposedAmount]]=TrafficData[[#This Row],[totalAmount]]</f>
        <v>1</v>
      </c>
      <c r="M3264" t="b">
        <f>TrafficData[[#This Row],[pendingCourt]]+TrafficData[[#This Row],[disposedCourt]]=TrafficData[[#This Row],[totalCourt]]</f>
        <v>1</v>
      </c>
      <c r="N3264" t="b">
        <f>AND(TrafficData[[#This Row],[disposedChallan]]&lt;=TrafficData[[#This Row],[totalChallan]],TrafficData[[#This Row],[pendingChallan]]&lt;=TrafficData[[#This Row],[totalChallan]])</f>
        <v>1</v>
      </c>
      <c r="O3264" t="b">
        <f>AND(TrafficData[[#This Row],[pendingAmount]]&lt;=TrafficData[[#This Row],[totalAmount]],TrafficData[[#This Row],[disposedAmount]]&lt;=TrafficData[[#This Row],[totalAmount]])</f>
        <v>1</v>
      </c>
      <c r="P3264" t="b">
        <f>AND(TrafficData[[#This Row],[pendingCourt]]&lt;=TrafficData[[#This Row],[totalCourt]],TrafficData[[#This Row],[disposedCourt]]&lt;=TrafficData[[#This Row],[totalCourt]])</f>
        <v>1</v>
      </c>
    </row>
    <row r="3265" spans="1:16">
      <c r="A3265" s="1">
        <v>45269</v>
      </c>
      <c r="B3265">
        <v>185516</v>
      </c>
      <c r="C3265">
        <v>72753</v>
      </c>
      <c r="D3265">
        <v>112763</v>
      </c>
      <c r="E3265">
        <v>175706515</v>
      </c>
      <c r="F3265">
        <v>99803397</v>
      </c>
      <c r="G3265">
        <v>275509912</v>
      </c>
      <c r="H3265">
        <v>60380</v>
      </c>
      <c r="I3265">
        <v>11097</v>
      </c>
      <c r="J3265">
        <v>71477</v>
      </c>
      <c r="K3265" t="b">
        <f>TrafficData[[#This Row],[disposedChallan]]+TrafficData[[#This Row],[pendingChallan]]=TrafficData[[#This Row],[totalChallan]]</f>
        <v>1</v>
      </c>
      <c r="L3265" t="b">
        <f>TrafficData[[#This Row],[pendingAmount]]+TrafficData[[#This Row],[disposedAmount]]=TrafficData[[#This Row],[totalAmount]]</f>
        <v>1</v>
      </c>
      <c r="M3265" t="b">
        <f>TrafficData[[#This Row],[pendingCourt]]+TrafficData[[#This Row],[disposedCourt]]=TrafficData[[#This Row],[totalCourt]]</f>
        <v>1</v>
      </c>
      <c r="N3265" t="b">
        <f>AND(TrafficData[[#This Row],[disposedChallan]]&lt;=TrafficData[[#This Row],[totalChallan]],TrafficData[[#This Row],[pendingChallan]]&lt;=TrafficData[[#This Row],[totalChallan]])</f>
        <v>1</v>
      </c>
      <c r="O3265" t="b">
        <f>AND(TrafficData[[#This Row],[pendingAmount]]&lt;=TrafficData[[#This Row],[totalAmount]],TrafficData[[#This Row],[disposedAmount]]&lt;=TrafficData[[#This Row],[totalAmount]])</f>
        <v>1</v>
      </c>
      <c r="P3265" t="b">
        <f>AND(TrafficData[[#This Row],[pendingCourt]]&lt;=TrafficData[[#This Row],[totalCourt]],TrafficData[[#This Row],[disposedCourt]]&lt;=TrafficData[[#This Row],[totalCourt]])</f>
        <v>1</v>
      </c>
    </row>
    <row r="3266" spans="1:16">
      <c r="A3266" s="1">
        <v>45270</v>
      </c>
      <c r="B3266">
        <v>174076</v>
      </c>
      <c r="C3266">
        <v>66265</v>
      </c>
      <c r="D3266">
        <v>107811</v>
      </c>
      <c r="E3266">
        <v>157492640</v>
      </c>
      <c r="F3266">
        <v>80328378</v>
      </c>
      <c r="G3266">
        <v>237821018</v>
      </c>
      <c r="H3266">
        <v>56847</v>
      </c>
      <c r="I3266">
        <v>9604</v>
      </c>
      <c r="J3266">
        <v>66451</v>
      </c>
      <c r="K3266" t="b">
        <f>TrafficData[[#This Row],[disposedChallan]]+TrafficData[[#This Row],[pendingChallan]]=TrafficData[[#This Row],[totalChallan]]</f>
        <v>1</v>
      </c>
      <c r="L3266" t="b">
        <f>TrafficData[[#This Row],[pendingAmount]]+TrafficData[[#This Row],[disposedAmount]]=TrafficData[[#This Row],[totalAmount]]</f>
        <v>1</v>
      </c>
      <c r="M3266" t="b">
        <f>TrafficData[[#This Row],[pendingCourt]]+TrafficData[[#This Row],[disposedCourt]]=TrafficData[[#This Row],[totalCourt]]</f>
        <v>1</v>
      </c>
      <c r="N3266" t="b">
        <f>AND(TrafficData[[#This Row],[disposedChallan]]&lt;=TrafficData[[#This Row],[totalChallan]],TrafficData[[#This Row],[pendingChallan]]&lt;=TrafficData[[#This Row],[totalChallan]])</f>
        <v>1</v>
      </c>
      <c r="O3266" t="b">
        <f>AND(TrafficData[[#This Row],[pendingAmount]]&lt;=TrafficData[[#This Row],[totalAmount]],TrafficData[[#This Row],[disposedAmount]]&lt;=TrafficData[[#This Row],[totalAmount]])</f>
        <v>1</v>
      </c>
      <c r="P3266" t="b">
        <f>AND(TrafficData[[#This Row],[pendingCourt]]&lt;=TrafficData[[#This Row],[totalCourt]],TrafficData[[#This Row],[disposedCourt]]&lt;=TrafficData[[#This Row],[totalCourt]])</f>
        <v>1</v>
      </c>
    </row>
    <row r="3267" spans="1:16">
      <c r="A3267" s="1">
        <v>45271</v>
      </c>
      <c r="B3267">
        <v>202760</v>
      </c>
      <c r="C3267">
        <v>73897</v>
      </c>
      <c r="D3267">
        <v>128863</v>
      </c>
      <c r="E3267">
        <v>199374456</v>
      </c>
      <c r="F3267">
        <v>106231257</v>
      </c>
      <c r="G3267">
        <v>305605713</v>
      </c>
      <c r="H3267">
        <v>63622</v>
      </c>
      <c r="I3267">
        <v>10897</v>
      </c>
      <c r="J3267">
        <v>74519</v>
      </c>
      <c r="K3267" t="b">
        <f>TrafficData[[#This Row],[disposedChallan]]+TrafficData[[#This Row],[pendingChallan]]=TrafficData[[#This Row],[totalChallan]]</f>
        <v>1</v>
      </c>
      <c r="L3267" t="b">
        <f>TrafficData[[#This Row],[pendingAmount]]+TrafficData[[#This Row],[disposedAmount]]=TrafficData[[#This Row],[totalAmount]]</f>
        <v>1</v>
      </c>
      <c r="M3267" t="b">
        <f>TrafficData[[#This Row],[pendingCourt]]+TrafficData[[#This Row],[disposedCourt]]=TrafficData[[#This Row],[totalCourt]]</f>
        <v>1</v>
      </c>
      <c r="N3267" t="b">
        <f>AND(TrafficData[[#This Row],[disposedChallan]]&lt;=TrafficData[[#This Row],[totalChallan]],TrafficData[[#This Row],[pendingChallan]]&lt;=TrafficData[[#This Row],[totalChallan]])</f>
        <v>1</v>
      </c>
      <c r="O3267" t="b">
        <f>AND(TrafficData[[#This Row],[pendingAmount]]&lt;=TrafficData[[#This Row],[totalAmount]],TrafficData[[#This Row],[disposedAmount]]&lt;=TrafficData[[#This Row],[totalAmount]])</f>
        <v>1</v>
      </c>
      <c r="P3267" t="b">
        <f>AND(TrafficData[[#This Row],[pendingCourt]]&lt;=TrafficData[[#This Row],[totalCourt]],TrafficData[[#This Row],[disposedCourt]]&lt;=TrafficData[[#This Row],[totalCourt]])</f>
        <v>1</v>
      </c>
    </row>
    <row r="3268" spans="1:16">
      <c r="A3268" s="1">
        <v>45272</v>
      </c>
      <c r="B3268">
        <v>204348</v>
      </c>
      <c r="C3268">
        <v>73632</v>
      </c>
      <c r="D3268">
        <v>130716</v>
      </c>
      <c r="E3268">
        <v>208422051</v>
      </c>
      <c r="F3268">
        <v>119789747</v>
      </c>
      <c r="G3268">
        <v>328211798</v>
      </c>
      <c r="H3268">
        <v>65667</v>
      </c>
      <c r="I3268">
        <v>11165</v>
      </c>
      <c r="J3268">
        <v>76832</v>
      </c>
      <c r="K3268" t="b">
        <f>TrafficData[[#This Row],[disposedChallan]]+TrafficData[[#This Row],[pendingChallan]]=TrafficData[[#This Row],[totalChallan]]</f>
        <v>1</v>
      </c>
      <c r="L3268" t="b">
        <f>TrafficData[[#This Row],[pendingAmount]]+TrafficData[[#This Row],[disposedAmount]]=TrafficData[[#This Row],[totalAmount]]</f>
        <v>1</v>
      </c>
      <c r="M3268" t="b">
        <f>TrafficData[[#This Row],[pendingCourt]]+TrafficData[[#This Row],[disposedCourt]]=TrafficData[[#This Row],[totalCourt]]</f>
        <v>1</v>
      </c>
      <c r="N3268" t="b">
        <f>AND(TrafficData[[#This Row],[disposedChallan]]&lt;=TrafficData[[#This Row],[totalChallan]],TrafficData[[#This Row],[pendingChallan]]&lt;=TrafficData[[#This Row],[totalChallan]])</f>
        <v>1</v>
      </c>
      <c r="O3268" t="b">
        <f>AND(TrafficData[[#This Row],[pendingAmount]]&lt;=TrafficData[[#This Row],[totalAmount]],TrafficData[[#This Row],[disposedAmount]]&lt;=TrafficData[[#This Row],[totalAmount]])</f>
        <v>1</v>
      </c>
      <c r="P3268" t="b">
        <f>AND(TrafficData[[#This Row],[pendingCourt]]&lt;=TrafficData[[#This Row],[totalCourt]],TrafficData[[#This Row],[disposedCourt]]&lt;=TrafficData[[#This Row],[totalCourt]])</f>
        <v>1</v>
      </c>
    </row>
    <row r="3269" spans="1:16">
      <c r="A3269" s="1">
        <v>45273</v>
      </c>
      <c r="B3269">
        <v>205093</v>
      </c>
      <c r="C3269">
        <v>75837</v>
      </c>
      <c r="D3269">
        <v>129256</v>
      </c>
      <c r="E3269">
        <v>210335918</v>
      </c>
      <c r="F3269">
        <v>124249550</v>
      </c>
      <c r="G3269">
        <v>334585468</v>
      </c>
      <c r="H3269">
        <v>64541</v>
      </c>
      <c r="I3269">
        <v>11127</v>
      </c>
      <c r="J3269">
        <v>75668</v>
      </c>
      <c r="K3269" t="b">
        <f>TrafficData[[#This Row],[disposedChallan]]+TrafficData[[#This Row],[pendingChallan]]=TrafficData[[#This Row],[totalChallan]]</f>
        <v>1</v>
      </c>
      <c r="L3269" t="b">
        <f>TrafficData[[#This Row],[pendingAmount]]+TrafficData[[#This Row],[disposedAmount]]=TrafficData[[#This Row],[totalAmount]]</f>
        <v>1</v>
      </c>
      <c r="M3269" t="b">
        <f>TrafficData[[#This Row],[pendingCourt]]+TrafficData[[#This Row],[disposedCourt]]=TrafficData[[#This Row],[totalCourt]]</f>
        <v>1</v>
      </c>
      <c r="N3269" t="b">
        <f>AND(TrafficData[[#This Row],[disposedChallan]]&lt;=TrafficData[[#This Row],[totalChallan]],TrafficData[[#This Row],[pendingChallan]]&lt;=TrafficData[[#This Row],[totalChallan]])</f>
        <v>1</v>
      </c>
      <c r="O3269" t="b">
        <f>AND(TrafficData[[#This Row],[pendingAmount]]&lt;=TrafficData[[#This Row],[totalAmount]],TrafficData[[#This Row],[disposedAmount]]&lt;=TrafficData[[#This Row],[totalAmount]])</f>
        <v>1</v>
      </c>
      <c r="P3269" t="b">
        <f>AND(TrafficData[[#This Row],[pendingCourt]]&lt;=TrafficData[[#This Row],[totalCourt]],TrafficData[[#This Row],[disposedCourt]]&lt;=TrafficData[[#This Row],[totalCourt]])</f>
        <v>1</v>
      </c>
    </row>
    <row r="3270" spans="1:16">
      <c r="A3270" s="1">
        <v>45274</v>
      </c>
      <c r="B3270">
        <v>205937</v>
      </c>
      <c r="C3270">
        <v>75617</v>
      </c>
      <c r="D3270">
        <v>130320</v>
      </c>
      <c r="E3270">
        <v>211695364</v>
      </c>
      <c r="F3270">
        <v>123190220</v>
      </c>
      <c r="G3270">
        <v>334885584</v>
      </c>
      <c r="H3270">
        <v>66530</v>
      </c>
      <c r="I3270">
        <v>11398</v>
      </c>
      <c r="J3270">
        <v>77928</v>
      </c>
      <c r="K3270" t="b">
        <f>TrafficData[[#This Row],[disposedChallan]]+TrafficData[[#This Row],[pendingChallan]]=TrafficData[[#This Row],[totalChallan]]</f>
        <v>1</v>
      </c>
      <c r="L3270" t="b">
        <f>TrafficData[[#This Row],[pendingAmount]]+TrafficData[[#This Row],[disposedAmount]]=TrafficData[[#This Row],[totalAmount]]</f>
        <v>1</v>
      </c>
      <c r="M3270" t="b">
        <f>TrafficData[[#This Row],[pendingCourt]]+TrafficData[[#This Row],[disposedCourt]]=TrafficData[[#This Row],[totalCourt]]</f>
        <v>1</v>
      </c>
      <c r="N3270" t="b">
        <f>AND(TrafficData[[#This Row],[disposedChallan]]&lt;=TrafficData[[#This Row],[totalChallan]],TrafficData[[#This Row],[pendingChallan]]&lt;=TrafficData[[#This Row],[totalChallan]])</f>
        <v>1</v>
      </c>
      <c r="O3270" t="b">
        <f>AND(TrafficData[[#This Row],[pendingAmount]]&lt;=TrafficData[[#This Row],[totalAmount]],TrafficData[[#This Row],[disposedAmount]]&lt;=TrafficData[[#This Row],[totalAmount]])</f>
        <v>1</v>
      </c>
      <c r="P3270" t="b">
        <f>AND(TrafficData[[#This Row],[pendingCourt]]&lt;=TrafficData[[#This Row],[totalCourt]],TrafficData[[#This Row],[disposedCourt]]&lt;=TrafficData[[#This Row],[totalCourt]])</f>
        <v>1</v>
      </c>
    </row>
    <row r="3271" spans="1:16">
      <c r="A3271" s="1">
        <v>45275</v>
      </c>
      <c r="B3271">
        <v>204362</v>
      </c>
      <c r="C3271">
        <v>73682</v>
      </c>
      <c r="D3271">
        <v>130680</v>
      </c>
      <c r="E3271">
        <v>207098684</v>
      </c>
      <c r="F3271">
        <v>109692871</v>
      </c>
      <c r="G3271">
        <v>316791555</v>
      </c>
      <c r="H3271">
        <v>64447</v>
      </c>
      <c r="I3271">
        <v>10871</v>
      </c>
      <c r="J3271">
        <v>75318</v>
      </c>
      <c r="K3271" t="b">
        <f>TrafficData[[#This Row],[disposedChallan]]+TrafficData[[#This Row],[pendingChallan]]=TrafficData[[#This Row],[totalChallan]]</f>
        <v>1</v>
      </c>
      <c r="L3271" t="b">
        <f>TrafficData[[#This Row],[pendingAmount]]+TrafficData[[#This Row],[disposedAmount]]=TrafficData[[#This Row],[totalAmount]]</f>
        <v>1</v>
      </c>
      <c r="M3271" t="b">
        <f>TrafficData[[#This Row],[pendingCourt]]+TrafficData[[#This Row],[disposedCourt]]=TrafficData[[#This Row],[totalCourt]]</f>
        <v>1</v>
      </c>
      <c r="N3271" t="b">
        <f>AND(TrafficData[[#This Row],[disposedChallan]]&lt;=TrafficData[[#This Row],[totalChallan]],TrafficData[[#This Row],[pendingChallan]]&lt;=TrafficData[[#This Row],[totalChallan]])</f>
        <v>1</v>
      </c>
      <c r="O3271" t="b">
        <f>AND(TrafficData[[#This Row],[pendingAmount]]&lt;=TrafficData[[#This Row],[totalAmount]],TrafficData[[#This Row],[disposedAmount]]&lt;=TrafficData[[#This Row],[totalAmount]])</f>
        <v>1</v>
      </c>
      <c r="P3271" t="b">
        <f>AND(TrafficData[[#This Row],[pendingCourt]]&lt;=TrafficData[[#This Row],[totalCourt]],TrafficData[[#This Row],[disposedCourt]]&lt;=TrafficData[[#This Row],[totalCourt]])</f>
        <v>1</v>
      </c>
    </row>
    <row r="3272" spans="1:16">
      <c r="A3272" s="1">
        <v>45276</v>
      </c>
      <c r="B3272">
        <v>196302</v>
      </c>
      <c r="C3272">
        <v>72918</v>
      </c>
      <c r="D3272">
        <v>123384</v>
      </c>
      <c r="E3272">
        <v>190313703</v>
      </c>
      <c r="F3272">
        <v>106755133</v>
      </c>
      <c r="G3272">
        <v>297068836</v>
      </c>
      <c r="H3272">
        <v>60193</v>
      </c>
      <c r="I3272">
        <v>10726</v>
      </c>
      <c r="J3272">
        <v>70919</v>
      </c>
      <c r="K3272" t="b">
        <f>TrafficData[[#This Row],[disposedChallan]]+TrafficData[[#This Row],[pendingChallan]]=TrafficData[[#This Row],[totalChallan]]</f>
        <v>1</v>
      </c>
      <c r="L3272" t="b">
        <f>TrafficData[[#This Row],[pendingAmount]]+TrafficData[[#This Row],[disposedAmount]]=TrafficData[[#This Row],[totalAmount]]</f>
        <v>1</v>
      </c>
      <c r="M3272" t="b">
        <f>TrafficData[[#This Row],[pendingCourt]]+TrafficData[[#This Row],[disposedCourt]]=TrafficData[[#This Row],[totalCourt]]</f>
        <v>1</v>
      </c>
      <c r="N3272" t="b">
        <f>AND(TrafficData[[#This Row],[disposedChallan]]&lt;=TrafficData[[#This Row],[totalChallan]],TrafficData[[#This Row],[pendingChallan]]&lt;=TrafficData[[#This Row],[totalChallan]])</f>
        <v>1</v>
      </c>
      <c r="O3272" t="b">
        <f>AND(TrafficData[[#This Row],[pendingAmount]]&lt;=TrafficData[[#This Row],[totalAmount]],TrafficData[[#This Row],[disposedAmount]]&lt;=TrafficData[[#This Row],[totalAmount]])</f>
        <v>1</v>
      </c>
      <c r="P3272" t="b">
        <f>AND(TrafficData[[#This Row],[pendingCourt]]&lt;=TrafficData[[#This Row],[totalCourt]],TrafficData[[#This Row],[disposedCourt]]&lt;=TrafficData[[#This Row],[totalCourt]])</f>
        <v>1</v>
      </c>
    </row>
    <row r="3273" spans="1:16">
      <c r="A3273" s="1">
        <v>45277</v>
      </c>
      <c r="B3273">
        <v>160138</v>
      </c>
      <c r="C3273">
        <v>58084</v>
      </c>
      <c r="D3273">
        <v>102054</v>
      </c>
      <c r="E3273">
        <v>162920822</v>
      </c>
      <c r="F3273">
        <v>78566887</v>
      </c>
      <c r="G3273">
        <v>241487709</v>
      </c>
      <c r="H3273">
        <v>54551</v>
      </c>
      <c r="I3273">
        <v>9054</v>
      </c>
      <c r="J3273">
        <v>63605</v>
      </c>
      <c r="K3273" t="b">
        <f>TrafficData[[#This Row],[disposedChallan]]+TrafficData[[#This Row],[pendingChallan]]=TrafficData[[#This Row],[totalChallan]]</f>
        <v>1</v>
      </c>
      <c r="L3273" t="b">
        <f>TrafficData[[#This Row],[pendingAmount]]+TrafficData[[#This Row],[disposedAmount]]=TrafficData[[#This Row],[totalAmount]]</f>
        <v>1</v>
      </c>
      <c r="M3273" t="b">
        <f>TrafficData[[#This Row],[pendingCourt]]+TrafficData[[#This Row],[disposedCourt]]=TrafficData[[#This Row],[totalCourt]]</f>
        <v>1</v>
      </c>
      <c r="N3273" t="b">
        <f>AND(TrafficData[[#This Row],[disposedChallan]]&lt;=TrafficData[[#This Row],[totalChallan]],TrafficData[[#This Row],[pendingChallan]]&lt;=TrafficData[[#This Row],[totalChallan]])</f>
        <v>1</v>
      </c>
      <c r="O3273" t="b">
        <f>AND(TrafficData[[#This Row],[pendingAmount]]&lt;=TrafficData[[#This Row],[totalAmount]],TrafficData[[#This Row],[disposedAmount]]&lt;=TrafficData[[#This Row],[totalAmount]])</f>
        <v>1</v>
      </c>
      <c r="P3273" t="b">
        <f>AND(TrafficData[[#This Row],[pendingCourt]]&lt;=TrafficData[[#This Row],[totalCourt]],TrafficData[[#This Row],[disposedCourt]]&lt;=TrafficData[[#This Row],[totalCourt]])</f>
        <v>1</v>
      </c>
    </row>
    <row r="3274" spans="1:16">
      <c r="A3274" s="1">
        <v>45278</v>
      </c>
      <c r="B3274">
        <v>184467</v>
      </c>
      <c r="C3274">
        <v>70187</v>
      </c>
      <c r="D3274">
        <v>114280</v>
      </c>
      <c r="E3274">
        <v>195835800</v>
      </c>
      <c r="F3274">
        <v>108299665</v>
      </c>
      <c r="G3274">
        <v>304135465</v>
      </c>
      <c r="H3274">
        <v>61332</v>
      </c>
      <c r="I3274">
        <v>10345</v>
      </c>
      <c r="J3274">
        <v>71677</v>
      </c>
      <c r="K3274" t="b">
        <f>TrafficData[[#This Row],[disposedChallan]]+TrafficData[[#This Row],[pendingChallan]]=TrafficData[[#This Row],[totalChallan]]</f>
        <v>1</v>
      </c>
      <c r="L3274" t="b">
        <f>TrafficData[[#This Row],[pendingAmount]]+TrafficData[[#This Row],[disposedAmount]]=TrafficData[[#This Row],[totalAmount]]</f>
        <v>1</v>
      </c>
      <c r="M3274" t="b">
        <f>TrafficData[[#This Row],[pendingCourt]]+TrafficData[[#This Row],[disposedCourt]]=TrafficData[[#This Row],[totalCourt]]</f>
        <v>1</v>
      </c>
      <c r="N3274" t="b">
        <f>AND(TrafficData[[#This Row],[disposedChallan]]&lt;=TrafficData[[#This Row],[totalChallan]],TrafficData[[#This Row],[pendingChallan]]&lt;=TrafficData[[#This Row],[totalChallan]])</f>
        <v>1</v>
      </c>
      <c r="O3274" t="b">
        <f>AND(TrafficData[[#This Row],[pendingAmount]]&lt;=TrafficData[[#This Row],[totalAmount]],TrafficData[[#This Row],[disposedAmount]]&lt;=TrafficData[[#This Row],[totalAmount]])</f>
        <v>1</v>
      </c>
      <c r="P3274" t="b">
        <f>AND(TrafficData[[#This Row],[pendingCourt]]&lt;=TrafficData[[#This Row],[totalCourt]],TrafficData[[#This Row],[disposedCourt]]&lt;=TrafficData[[#This Row],[totalCourt]])</f>
        <v>1</v>
      </c>
    </row>
    <row r="3275" spans="1:16">
      <c r="A3275" s="1">
        <v>45279</v>
      </c>
      <c r="B3275">
        <v>209892</v>
      </c>
      <c r="C3275">
        <v>75168</v>
      </c>
      <c r="D3275">
        <v>134724</v>
      </c>
      <c r="E3275">
        <v>217438414</v>
      </c>
      <c r="F3275">
        <v>122080209</v>
      </c>
      <c r="G3275">
        <v>339518623</v>
      </c>
      <c r="H3275">
        <v>66720</v>
      </c>
      <c r="I3275">
        <v>11297</v>
      </c>
      <c r="J3275">
        <v>78017</v>
      </c>
      <c r="K3275" t="b">
        <f>TrafficData[[#This Row],[disposedChallan]]+TrafficData[[#This Row],[pendingChallan]]=TrafficData[[#This Row],[totalChallan]]</f>
        <v>1</v>
      </c>
      <c r="L3275" t="b">
        <f>TrafficData[[#This Row],[pendingAmount]]+TrafficData[[#This Row],[disposedAmount]]=TrafficData[[#This Row],[totalAmount]]</f>
        <v>1</v>
      </c>
      <c r="M3275" t="b">
        <f>TrafficData[[#This Row],[pendingCourt]]+TrafficData[[#This Row],[disposedCourt]]=TrafficData[[#This Row],[totalCourt]]</f>
        <v>1</v>
      </c>
      <c r="N3275" t="b">
        <f>AND(TrafficData[[#This Row],[disposedChallan]]&lt;=TrafficData[[#This Row],[totalChallan]],TrafficData[[#This Row],[pendingChallan]]&lt;=TrafficData[[#This Row],[totalChallan]])</f>
        <v>1</v>
      </c>
      <c r="O3275" t="b">
        <f>AND(TrafficData[[#This Row],[pendingAmount]]&lt;=TrafficData[[#This Row],[totalAmount]],TrafficData[[#This Row],[disposedAmount]]&lt;=TrafficData[[#This Row],[totalAmount]])</f>
        <v>1</v>
      </c>
      <c r="P3275" t="b">
        <f>AND(TrafficData[[#This Row],[pendingCourt]]&lt;=TrafficData[[#This Row],[totalCourt]],TrafficData[[#This Row],[disposedCourt]]&lt;=TrafficData[[#This Row],[totalCourt]])</f>
        <v>1</v>
      </c>
    </row>
    <row r="3276" spans="1:16">
      <c r="A3276" s="1">
        <v>45280</v>
      </c>
      <c r="B3276">
        <v>219986</v>
      </c>
      <c r="C3276">
        <v>77644</v>
      </c>
      <c r="D3276">
        <v>142342</v>
      </c>
      <c r="E3276">
        <v>228684563</v>
      </c>
      <c r="F3276">
        <v>125807291</v>
      </c>
      <c r="G3276">
        <v>354491854</v>
      </c>
      <c r="H3276">
        <v>69101</v>
      </c>
      <c r="I3276">
        <v>11522</v>
      </c>
      <c r="J3276">
        <v>80623</v>
      </c>
      <c r="K3276" t="b">
        <f>TrafficData[[#This Row],[disposedChallan]]+TrafficData[[#This Row],[pendingChallan]]=TrafficData[[#This Row],[totalChallan]]</f>
        <v>1</v>
      </c>
      <c r="L3276" t="b">
        <f>TrafficData[[#This Row],[pendingAmount]]+TrafficData[[#This Row],[disposedAmount]]=TrafficData[[#This Row],[totalAmount]]</f>
        <v>1</v>
      </c>
      <c r="M3276" t="b">
        <f>TrafficData[[#This Row],[pendingCourt]]+TrafficData[[#This Row],[disposedCourt]]=TrafficData[[#This Row],[totalCourt]]</f>
        <v>1</v>
      </c>
      <c r="N3276" t="b">
        <f>AND(TrafficData[[#This Row],[disposedChallan]]&lt;=TrafficData[[#This Row],[totalChallan]],TrafficData[[#This Row],[pendingChallan]]&lt;=TrafficData[[#This Row],[totalChallan]])</f>
        <v>1</v>
      </c>
      <c r="O3276" t="b">
        <f>AND(TrafficData[[#This Row],[pendingAmount]]&lt;=TrafficData[[#This Row],[totalAmount]],TrafficData[[#This Row],[disposedAmount]]&lt;=TrafficData[[#This Row],[totalAmount]])</f>
        <v>1</v>
      </c>
      <c r="P3276" t="b">
        <f>AND(TrafficData[[#This Row],[pendingCourt]]&lt;=TrafficData[[#This Row],[totalCourt]],TrafficData[[#This Row],[disposedCourt]]&lt;=TrafficData[[#This Row],[totalCourt]])</f>
        <v>1</v>
      </c>
    </row>
    <row r="3277" spans="1:16">
      <c r="A3277" s="1">
        <v>45281</v>
      </c>
      <c r="B3277">
        <v>210676</v>
      </c>
      <c r="C3277">
        <v>76697</v>
      </c>
      <c r="D3277">
        <v>133979</v>
      </c>
      <c r="E3277">
        <v>222474596</v>
      </c>
      <c r="F3277">
        <v>127087419</v>
      </c>
      <c r="G3277">
        <v>349562015</v>
      </c>
      <c r="H3277">
        <v>64900</v>
      </c>
      <c r="I3277">
        <v>11094</v>
      </c>
      <c r="J3277">
        <v>75994</v>
      </c>
      <c r="K3277" t="b">
        <f>TrafficData[[#This Row],[disposedChallan]]+TrafficData[[#This Row],[pendingChallan]]=TrafficData[[#This Row],[totalChallan]]</f>
        <v>1</v>
      </c>
      <c r="L3277" t="b">
        <f>TrafficData[[#This Row],[pendingAmount]]+TrafficData[[#This Row],[disposedAmount]]=TrafficData[[#This Row],[totalAmount]]</f>
        <v>1</v>
      </c>
      <c r="M3277" t="b">
        <f>TrafficData[[#This Row],[pendingCourt]]+TrafficData[[#This Row],[disposedCourt]]=TrafficData[[#This Row],[totalCourt]]</f>
        <v>1</v>
      </c>
      <c r="N3277" t="b">
        <f>AND(TrafficData[[#This Row],[disposedChallan]]&lt;=TrafficData[[#This Row],[totalChallan]],TrafficData[[#This Row],[pendingChallan]]&lt;=TrafficData[[#This Row],[totalChallan]])</f>
        <v>1</v>
      </c>
      <c r="O3277" t="b">
        <f>AND(TrafficData[[#This Row],[pendingAmount]]&lt;=TrafficData[[#This Row],[totalAmount]],TrafficData[[#This Row],[disposedAmount]]&lt;=TrafficData[[#This Row],[totalAmount]])</f>
        <v>1</v>
      </c>
      <c r="P3277" t="b">
        <f>AND(TrafficData[[#This Row],[pendingCourt]]&lt;=TrafficData[[#This Row],[totalCourt]],TrafficData[[#This Row],[disposedCourt]]&lt;=TrafficData[[#This Row],[totalCourt]])</f>
        <v>1</v>
      </c>
    </row>
    <row r="3278" spans="1:16">
      <c r="A3278" s="1">
        <v>45282</v>
      </c>
      <c r="B3278">
        <v>210777</v>
      </c>
      <c r="C3278">
        <v>74759</v>
      </c>
      <c r="D3278">
        <v>136018</v>
      </c>
      <c r="E3278">
        <v>221314320</v>
      </c>
      <c r="F3278">
        <v>115144897</v>
      </c>
      <c r="G3278">
        <v>336459217</v>
      </c>
      <c r="H3278">
        <v>62625</v>
      </c>
      <c r="I3278">
        <v>11356</v>
      </c>
      <c r="J3278">
        <v>73981</v>
      </c>
      <c r="K3278" t="b">
        <f>TrafficData[[#This Row],[disposedChallan]]+TrafficData[[#This Row],[pendingChallan]]=TrafficData[[#This Row],[totalChallan]]</f>
        <v>1</v>
      </c>
      <c r="L3278" t="b">
        <f>TrafficData[[#This Row],[pendingAmount]]+TrafficData[[#This Row],[disposedAmount]]=TrafficData[[#This Row],[totalAmount]]</f>
        <v>1</v>
      </c>
      <c r="M3278" t="b">
        <f>TrafficData[[#This Row],[pendingCourt]]+TrafficData[[#This Row],[disposedCourt]]=TrafficData[[#This Row],[totalCourt]]</f>
        <v>1</v>
      </c>
      <c r="N3278" t="b">
        <f>AND(TrafficData[[#This Row],[disposedChallan]]&lt;=TrafficData[[#This Row],[totalChallan]],TrafficData[[#This Row],[pendingChallan]]&lt;=TrafficData[[#This Row],[totalChallan]])</f>
        <v>1</v>
      </c>
      <c r="O3278" t="b">
        <f>AND(TrafficData[[#This Row],[pendingAmount]]&lt;=TrafficData[[#This Row],[totalAmount]],TrafficData[[#This Row],[disposedAmount]]&lt;=TrafficData[[#This Row],[totalAmount]])</f>
        <v>1</v>
      </c>
      <c r="P3278" t="b">
        <f>AND(TrafficData[[#This Row],[pendingCourt]]&lt;=TrafficData[[#This Row],[totalCourt]],TrafficData[[#This Row],[disposedCourt]]&lt;=TrafficData[[#This Row],[totalCourt]])</f>
        <v>1</v>
      </c>
    </row>
    <row r="3279" spans="1:16">
      <c r="A3279" s="1">
        <v>45283</v>
      </c>
      <c r="B3279">
        <v>221429</v>
      </c>
      <c r="C3279">
        <v>77601</v>
      </c>
      <c r="D3279">
        <v>143828</v>
      </c>
      <c r="E3279">
        <v>225534921</v>
      </c>
      <c r="F3279">
        <v>261957018</v>
      </c>
      <c r="G3279">
        <v>487491939</v>
      </c>
      <c r="H3279">
        <v>64348</v>
      </c>
      <c r="I3279">
        <v>11859</v>
      </c>
      <c r="J3279">
        <v>76207</v>
      </c>
      <c r="K3279" t="b">
        <f>TrafficData[[#This Row],[disposedChallan]]+TrafficData[[#This Row],[pendingChallan]]=TrafficData[[#This Row],[totalChallan]]</f>
        <v>1</v>
      </c>
      <c r="L3279" t="b">
        <f>TrafficData[[#This Row],[pendingAmount]]+TrafficData[[#This Row],[disposedAmount]]=TrafficData[[#This Row],[totalAmount]]</f>
        <v>1</v>
      </c>
      <c r="M3279" t="b">
        <f>TrafficData[[#This Row],[pendingCourt]]+TrafficData[[#This Row],[disposedCourt]]=TrafficData[[#This Row],[totalCourt]]</f>
        <v>1</v>
      </c>
      <c r="N3279" t="b">
        <f>AND(TrafficData[[#This Row],[disposedChallan]]&lt;=TrafficData[[#This Row],[totalChallan]],TrafficData[[#This Row],[pendingChallan]]&lt;=TrafficData[[#This Row],[totalChallan]])</f>
        <v>1</v>
      </c>
      <c r="O3279" t="b">
        <f>AND(TrafficData[[#This Row],[pendingAmount]]&lt;=TrafficData[[#This Row],[totalAmount]],TrafficData[[#This Row],[disposedAmount]]&lt;=TrafficData[[#This Row],[totalAmount]])</f>
        <v>1</v>
      </c>
      <c r="P3279" t="b">
        <f>AND(TrafficData[[#This Row],[pendingCourt]]&lt;=TrafficData[[#This Row],[totalCourt]],TrafficData[[#This Row],[disposedCourt]]&lt;=TrafficData[[#This Row],[totalCourt]])</f>
        <v>1</v>
      </c>
    </row>
    <row r="3280" spans="1:16">
      <c r="A3280" s="1">
        <v>45284</v>
      </c>
      <c r="B3280">
        <v>200019</v>
      </c>
      <c r="C3280">
        <v>70106</v>
      </c>
      <c r="D3280">
        <v>129913</v>
      </c>
      <c r="E3280">
        <v>200489507</v>
      </c>
      <c r="F3280">
        <v>92759314</v>
      </c>
      <c r="G3280">
        <v>293248821</v>
      </c>
      <c r="H3280">
        <v>63860</v>
      </c>
      <c r="I3280">
        <v>11208</v>
      </c>
      <c r="J3280">
        <v>75068</v>
      </c>
      <c r="K3280" t="b">
        <f>TrafficData[[#This Row],[disposedChallan]]+TrafficData[[#This Row],[pendingChallan]]=TrafficData[[#This Row],[totalChallan]]</f>
        <v>1</v>
      </c>
      <c r="L3280" t="b">
        <f>TrafficData[[#This Row],[pendingAmount]]+TrafficData[[#This Row],[disposedAmount]]=TrafficData[[#This Row],[totalAmount]]</f>
        <v>1</v>
      </c>
      <c r="M3280" t="b">
        <f>TrafficData[[#This Row],[pendingCourt]]+TrafficData[[#This Row],[disposedCourt]]=TrafficData[[#This Row],[totalCourt]]</f>
        <v>1</v>
      </c>
      <c r="N3280" t="b">
        <f>AND(TrafficData[[#This Row],[disposedChallan]]&lt;=TrafficData[[#This Row],[totalChallan]],TrafficData[[#This Row],[pendingChallan]]&lt;=TrafficData[[#This Row],[totalChallan]])</f>
        <v>1</v>
      </c>
      <c r="O3280" t="b">
        <f>AND(TrafficData[[#This Row],[pendingAmount]]&lt;=TrafficData[[#This Row],[totalAmount]],TrafficData[[#This Row],[disposedAmount]]&lt;=TrafficData[[#This Row],[totalAmount]])</f>
        <v>1</v>
      </c>
      <c r="P3280" t="b">
        <f>AND(TrafficData[[#This Row],[pendingCourt]]&lt;=TrafficData[[#This Row],[totalCourt]],TrafficData[[#This Row],[disposedCourt]]&lt;=TrafficData[[#This Row],[totalCourt]])</f>
        <v>1</v>
      </c>
    </row>
    <row r="3281" spans="1:16">
      <c r="A3281" s="1">
        <v>45285</v>
      </c>
      <c r="B3281">
        <v>211226</v>
      </c>
      <c r="C3281">
        <v>70657</v>
      </c>
      <c r="D3281">
        <v>140569</v>
      </c>
      <c r="E3281">
        <v>214815248</v>
      </c>
      <c r="F3281">
        <v>92540927</v>
      </c>
      <c r="G3281">
        <v>307356175</v>
      </c>
      <c r="H3281">
        <v>64173</v>
      </c>
      <c r="I3281">
        <v>11639</v>
      </c>
      <c r="J3281">
        <v>75812</v>
      </c>
      <c r="K3281" t="b">
        <f>TrafficData[[#This Row],[disposedChallan]]+TrafficData[[#This Row],[pendingChallan]]=TrafficData[[#This Row],[totalChallan]]</f>
        <v>1</v>
      </c>
      <c r="L3281" t="b">
        <f>TrafficData[[#This Row],[pendingAmount]]+TrafficData[[#This Row],[disposedAmount]]=TrafficData[[#This Row],[totalAmount]]</f>
        <v>1</v>
      </c>
      <c r="M3281" t="b">
        <f>TrafficData[[#This Row],[pendingCourt]]+TrafficData[[#This Row],[disposedCourt]]=TrafficData[[#This Row],[totalCourt]]</f>
        <v>1</v>
      </c>
      <c r="N3281" t="b">
        <f>AND(TrafficData[[#This Row],[disposedChallan]]&lt;=TrafficData[[#This Row],[totalChallan]],TrafficData[[#This Row],[pendingChallan]]&lt;=TrafficData[[#This Row],[totalChallan]])</f>
        <v>1</v>
      </c>
      <c r="O3281" t="b">
        <f>AND(TrafficData[[#This Row],[pendingAmount]]&lt;=TrafficData[[#This Row],[totalAmount]],TrafficData[[#This Row],[disposedAmount]]&lt;=TrafficData[[#This Row],[totalAmount]])</f>
        <v>1</v>
      </c>
      <c r="P3281" t="b">
        <f>AND(TrafficData[[#This Row],[pendingCourt]]&lt;=TrafficData[[#This Row],[totalCourt]],TrafficData[[#This Row],[disposedCourt]]&lt;=TrafficData[[#This Row],[totalCourt]])</f>
        <v>1</v>
      </c>
    </row>
    <row r="3282" spans="1:16">
      <c r="A3282" s="1">
        <v>45286</v>
      </c>
      <c r="B3282">
        <v>217009</v>
      </c>
      <c r="C3282">
        <v>75653</v>
      </c>
      <c r="D3282">
        <v>141356</v>
      </c>
      <c r="E3282">
        <v>231741919</v>
      </c>
      <c r="F3282">
        <v>108317009</v>
      </c>
      <c r="G3282">
        <v>340058928</v>
      </c>
      <c r="H3282">
        <v>70373</v>
      </c>
      <c r="I3282">
        <v>12019</v>
      </c>
      <c r="J3282">
        <v>82392</v>
      </c>
      <c r="K3282" t="b">
        <f>TrafficData[[#This Row],[disposedChallan]]+TrafficData[[#This Row],[pendingChallan]]=TrafficData[[#This Row],[totalChallan]]</f>
        <v>1</v>
      </c>
      <c r="L3282" t="b">
        <f>TrafficData[[#This Row],[pendingAmount]]+TrafficData[[#This Row],[disposedAmount]]=TrafficData[[#This Row],[totalAmount]]</f>
        <v>1</v>
      </c>
      <c r="M3282" t="b">
        <f>TrafficData[[#This Row],[pendingCourt]]+TrafficData[[#This Row],[disposedCourt]]=TrafficData[[#This Row],[totalCourt]]</f>
        <v>1</v>
      </c>
      <c r="N3282" t="b">
        <f>AND(TrafficData[[#This Row],[disposedChallan]]&lt;=TrafficData[[#This Row],[totalChallan]],TrafficData[[#This Row],[pendingChallan]]&lt;=TrafficData[[#This Row],[totalChallan]])</f>
        <v>1</v>
      </c>
      <c r="O3282" t="b">
        <f>AND(TrafficData[[#This Row],[pendingAmount]]&lt;=TrafficData[[#This Row],[totalAmount]],TrafficData[[#This Row],[disposedAmount]]&lt;=TrafficData[[#This Row],[totalAmount]])</f>
        <v>1</v>
      </c>
      <c r="P3282" t="b">
        <f>AND(TrafficData[[#This Row],[pendingCourt]]&lt;=TrafficData[[#This Row],[totalCourt]],TrafficData[[#This Row],[disposedCourt]]&lt;=TrafficData[[#This Row],[totalCourt]])</f>
        <v>1</v>
      </c>
    </row>
    <row r="3283" spans="1:16">
      <c r="A3283" s="1">
        <v>45287</v>
      </c>
      <c r="B3283">
        <v>207273</v>
      </c>
      <c r="C3283">
        <v>74450</v>
      </c>
      <c r="D3283">
        <v>132823</v>
      </c>
      <c r="E3283">
        <v>215091525</v>
      </c>
      <c r="F3283">
        <v>114819343</v>
      </c>
      <c r="G3283">
        <v>329910868</v>
      </c>
      <c r="H3283">
        <v>63018</v>
      </c>
      <c r="I3283">
        <v>11242</v>
      </c>
      <c r="J3283">
        <v>74260</v>
      </c>
      <c r="K3283" t="b">
        <f>TrafficData[[#This Row],[disposedChallan]]+TrafficData[[#This Row],[pendingChallan]]=TrafficData[[#This Row],[totalChallan]]</f>
        <v>1</v>
      </c>
      <c r="L3283" t="b">
        <f>TrafficData[[#This Row],[pendingAmount]]+TrafficData[[#This Row],[disposedAmount]]=TrafficData[[#This Row],[totalAmount]]</f>
        <v>1</v>
      </c>
      <c r="M3283" t="b">
        <f>TrafficData[[#This Row],[pendingCourt]]+TrafficData[[#This Row],[disposedCourt]]=TrafficData[[#This Row],[totalCourt]]</f>
        <v>1</v>
      </c>
      <c r="N3283" t="b">
        <f>AND(TrafficData[[#This Row],[disposedChallan]]&lt;=TrafficData[[#This Row],[totalChallan]],TrafficData[[#This Row],[pendingChallan]]&lt;=TrafficData[[#This Row],[totalChallan]])</f>
        <v>1</v>
      </c>
      <c r="O3283" t="b">
        <f>AND(TrafficData[[#This Row],[pendingAmount]]&lt;=TrafficData[[#This Row],[totalAmount]],TrafficData[[#This Row],[disposedAmount]]&lt;=TrafficData[[#This Row],[totalAmount]])</f>
        <v>1</v>
      </c>
      <c r="P3283" t="b">
        <f>AND(TrafficData[[#This Row],[pendingCourt]]&lt;=TrafficData[[#This Row],[totalCourt]],TrafficData[[#This Row],[disposedCourt]]&lt;=TrafficData[[#This Row],[totalCourt]])</f>
        <v>1</v>
      </c>
    </row>
    <row r="3284" spans="1:16">
      <c r="A3284" s="1">
        <v>45288</v>
      </c>
      <c r="B3284">
        <v>208530</v>
      </c>
      <c r="C3284">
        <v>74666</v>
      </c>
      <c r="D3284">
        <v>133864</v>
      </c>
      <c r="E3284">
        <v>216304380</v>
      </c>
      <c r="F3284">
        <v>109140235</v>
      </c>
      <c r="G3284">
        <v>325444615</v>
      </c>
      <c r="H3284">
        <v>60707</v>
      </c>
      <c r="I3284">
        <v>11199</v>
      </c>
      <c r="J3284">
        <v>71906</v>
      </c>
      <c r="K3284" t="b">
        <f>TrafficData[[#This Row],[disposedChallan]]+TrafficData[[#This Row],[pendingChallan]]=TrafficData[[#This Row],[totalChallan]]</f>
        <v>1</v>
      </c>
      <c r="L3284" t="b">
        <f>TrafficData[[#This Row],[pendingAmount]]+TrafficData[[#This Row],[disposedAmount]]=TrafficData[[#This Row],[totalAmount]]</f>
        <v>1</v>
      </c>
      <c r="M3284" t="b">
        <f>TrafficData[[#This Row],[pendingCourt]]+TrafficData[[#This Row],[disposedCourt]]=TrafficData[[#This Row],[totalCourt]]</f>
        <v>1</v>
      </c>
      <c r="N3284" t="b">
        <f>AND(TrafficData[[#This Row],[disposedChallan]]&lt;=TrafficData[[#This Row],[totalChallan]],TrafficData[[#This Row],[pendingChallan]]&lt;=TrafficData[[#This Row],[totalChallan]])</f>
        <v>1</v>
      </c>
      <c r="O3284" t="b">
        <f>AND(TrafficData[[#This Row],[pendingAmount]]&lt;=TrafficData[[#This Row],[totalAmount]],TrafficData[[#This Row],[disposedAmount]]&lt;=TrafficData[[#This Row],[totalAmount]])</f>
        <v>1</v>
      </c>
      <c r="P3284" t="b">
        <f>AND(TrafficData[[#This Row],[pendingCourt]]&lt;=TrafficData[[#This Row],[totalCourt]],TrafficData[[#This Row],[disposedCourt]]&lt;=TrafficData[[#This Row],[totalCourt]])</f>
        <v>1</v>
      </c>
    </row>
    <row r="3285" spans="1:16">
      <c r="A3285" s="1">
        <v>45289</v>
      </c>
      <c r="B3285">
        <v>209632</v>
      </c>
      <c r="C3285">
        <v>74757</v>
      </c>
      <c r="D3285">
        <v>134875</v>
      </c>
      <c r="E3285">
        <v>219926608</v>
      </c>
      <c r="F3285">
        <v>107928105</v>
      </c>
      <c r="G3285">
        <v>327854713</v>
      </c>
      <c r="H3285">
        <v>63466</v>
      </c>
      <c r="I3285">
        <v>11375</v>
      </c>
      <c r="J3285">
        <v>74841</v>
      </c>
      <c r="K3285" t="b">
        <f>TrafficData[[#This Row],[disposedChallan]]+TrafficData[[#This Row],[pendingChallan]]=TrafficData[[#This Row],[totalChallan]]</f>
        <v>1</v>
      </c>
      <c r="L3285" t="b">
        <f>TrafficData[[#This Row],[pendingAmount]]+TrafficData[[#This Row],[disposedAmount]]=TrafficData[[#This Row],[totalAmount]]</f>
        <v>1</v>
      </c>
      <c r="M3285" t="b">
        <f>TrafficData[[#This Row],[pendingCourt]]+TrafficData[[#This Row],[disposedCourt]]=TrafficData[[#This Row],[totalCourt]]</f>
        <v>1</v>
      </c>
      <c r="N3285" t="b">
        <f>AND(TrafficData[[#This Row],[disposedChallan]]&lt;=TrafficData[[#This Row],[totalChallan]],TrafficData[[#This Row],[pendingChallan]]&lt;=TrafficData[[#This Row],[totalChallan]])</f>
        <v>1</v>
      </c>
      <c r="O3285" t="b">
        <f>AND(TrafficData[[#This Row],[pendingAmount]]&lt;=TrafficData[[#This Row],[totalAmount]],TrafficData[[#This Row],[disposedAmount]]&lt;=TrafficData[[#This Row],[totalAmount]])</f>
        <v>1</v>
      </c>
      <c r="P3285" t="b">
        <f>AND(TrafficData[[#This Row],[pendingCourt]]&lt;=TrafficData[[#This Row],[totalCourt]],TrafficData[[#This Row],[disposedCourt]]&lt;=TrafficData[[#This Row],[totalCourt]])</f>
        <v>1</v>
      </c>
    </row>
    <row r="3286" spans="1:16">
      <c r="A3286" s="1">
        <v>45290</v>
      </c>
      <c r="B3286">
        <v>219760</v>
      </c>
      <c r="C3286">
        <v>77459</v>
      </c>
      <c r="D3286">
        <v>142301</v>
      </c>
      <c r="E3286">
        <v>230731505</v>
      </c>
      <c r="F3286">
        <v>101986516</v>
      </c>
      <c r="G3286">
        <v>332718021</v>
      </c>
      <c r="H3286">
        <v>62153</v>
      </c>
      <c r="I3286">
        <v>12059</v>
      </c>
      <c r="J3286">
        <v>74212</v>
      </c>
      <c r="K3286" t="b">
        <f>TrafficData[[#This Row],[disposedChallan]]+TrafficData[[#This Row],[pendingChallan]]=TrafficData[[#This Row],[totalChallan]]</f>
        <v>1</v>
      </c>
      <c r="L3286" t="b">
        <f>TrafficData[[#This Row],[pendingAmount]]+TrafficData[[#This Row],[disposedAmount]]=TrafficData[[#This Row],[totalAmount]]</f>
        <v>1</v>
      </c>
      <c r="M3286" t="b">
        <f>TrafficData[[#This Row],[pendingCourt]]+TrafficData[[#This Row],[disposedCourt]]=TrafficData[[#This Row],[totalCourt]]</f>
        <v>1</v>
      </c>
      <c r="N3286" t="b">
        <f>AND(TrafficData[[#This Row],[disposedChallan]]&lt;=TrafficData[[#This Row],[totalChallan]],TrafficData[[#This Row],[pendingChallan]]&lt;=TrafficData[[#This Row],[totalChallan]])</f>
        <v>1</v>
      </c>
      <c r="O3286" t="b">
        <f>AND(TrafficData[[#This Row],[pendingAmount]]&lt;=TrafficData[[#This Row],[totalAmount]],TrafficData[[#This Row],[disposedAmount]]&lt;=TrafficData[[#This Row],[totalAmount]])</f>
        <v>1</v>
      </c>
      <c r="P3286" t="b">
        <f>AND(TrafficData[[#This Row],[pendingCourt]]&lt;=TrafficData[[#This Row],[totalCourt]],TrafficData[[#This Row],[disposedCourt]]&lt;=TrafficData[[#This Row],[totalCourt]])</f>
        <v>1</v>
      </c>
    </row>
    <row r="3287" spans="1:16">
      <c r="A3287" s="1">
        <v>45291</v>
      </c>
      <c r="B3287">
        <v>189468</v>
      </c>
      <c r="C3287">
        <v>64194</v>
      </c>
      <c r="D3287">
        <v>125274</v>
      </c>
      <c r="E3287">
        <v>185501666</v>
      </c>
      <c r="F3287">
        <v>77535654</v>
      </c>
      <c r="G3287">
        <v>263037320</v>
      </c>
      <c r="H3287">
        <v>57745</v>
      </c>
      <c r="I3287">
        <v>10258</v>
      </c>
      <c r="J3287">
        <v>68003</v>
      </c>
      <c r="K3287" t="b">
        <f>TrafficData[[#This Row],[disposedChallan]]+TrafficData[[#This Row],[pendingChallan]]=TrafficData[[#This Row],[totalChallan]]</f>
        <v>1</v>
      </c>
      <c r="L3287" t="b">
        <f>TrafficData[[#This Row],[pendingAmount]]+TrafficData[[#This Row],[disposedAmount]]=TrafficData[[#This Row],[totalAmount]]</f>
        <v>1</v>
      </c>
      <c r="M3287" t="b">
        <f>TrafficData[[#This Row],[pendingCourt]]+TrafficData[[#This Row],[disposedCourt]]=TrafficData[[#This Row],[totalCourt]]</f>
        <v>1</v>
      </c>
      <c r="N3287" t="b">
        <f>AND(TrafficData[[#This Row],[disposedChallan]]&lt;=TrafficData[[#This Row],[totalChallan]],TrafficData[[#This Row],[pendingChallan]]&lt;=TrafficData[[#This Row],[totalChallan]])</f>
        <v>1</v>
      </c>
      <c r="O3287" t="b">
        <f>AND(TrafficData[[#This Row],[pendingAmount]]&lt;=TrafficData[[#This Row],[totalAmount]],TrafficData[[#This Row],[disposedAmount]]&lt;=TrafficData[[#This Row],[totalAmount]])</f>
        <v>1</v>
      </c>
      <c r="P3287" t="b">
        <f>AND(TrafficData[[#This Row],[pendingCourt]]&lt;=TrafficData[[#This Row],[totalCourt]],TrafficData[[#This Row],[disposedCourt]]&lt;=TrafficData[[#This Row],[totalCourt]])</f>
        <v>1</v>
      </c>
    </row>
    <row r="3288" spans="1:16">
      <c r="A3288" s="1">
        <v>45292</v>
      </c>
      <c r="B3288">
        <v>170506</v>
      </c>
      <c r="C3288">
        <v>57655</v>
      </c>
      <c r="D3288">
        <v>112851</v>
      </c>
      <c r="E3288">
        <v>166736271</v>
      </c>
      <c r="F3288">
        <v>75917593</v>
      </c>
      <c r="G3288">
        <v>242653864</v>
      </c>
      <c r="H3288">
        <v>58746</v>
      </c>
      <c r="I3288">
        <v>9807</v>
      </c>
      <c r="J3288">
        <v>68553</v>
      </c>
      <c r="K3288" t="b">
        <f>TrafficData[[#This Row],[disposedChallan]]+TrafficData[[#This Row],[pendingChallan]]=TrafficData[[#This Row],[totalChallan]]</f>
        <v>1</v>
      </c>
      <c r="L3288" t="b">
        <f>TrafficData[[#This Row],[pendingAmount]]+TrafficData[[#This Row],[disposedAmount]]=TrafficData[[#This Row],[totalAmount]]</f>
        <v>1</v>
      </c>
      <c r="M3288" t="b">
        <f>TrafficData[[#This Row],[pendingCourt]]+TrafficData[[#This Row],[disposedCourt]]=TrafficData[[#This Row],[totalCourt]]</f>
        <v>1</v>
      </c>
      <c r="N3288" t="b">
        <f>AND(TrafficData[[#This Row],[disposedChallan]]&lt;=TrafficData[[#This Row],[totalChallan]],TrafficData[[#This Row],[pendingChallan]]&lt;=TrafficData[[#This Row],[totalChallan]])</f>
        <v>1</v>
      </c>
      <c r="O3288" t="b">
        <f>AND(TrafficData[[#This Row],[pendingAmount]]&lt;=TrafficData[[#This Row],[totalAmount]],TrafficData[[#This Row],[disposedAmount]]&lt;=TrafficData[[#This Row],[totalAmount]])</f>
        <v>1</v>
      </c>
      <c r="P3288" t="b">
        <f>AND(TrafficData[[#This Row],[pendingCourt]]&lt;=TrafficData[[#This Row],[totalCourt]],TrafficData[[#This Row],[disposedCourt]]&lt;=TrafficData[[#This Row],[totalCourt]])</f>
        <v>1</v>
      </c>
    </row>
    <row r="3289" spans="1:16">
      <c r="A3289" s="1">
        <v>45293</v>
      </c>
      <c r="B3289">
        <v>212200</v>
      </c>
      <c r="C3289">
        <v>72081</v>
      </c>
      <c r="D3289">
        <v>140119</v>
      </c>
      <c r="E3289">
        <v>201062727</v>
      </c>
      <c r="F3289">
        <v>91778324</v>
      </c>
      <c r="G3289">
        <v>292841051</v>
      </c>
      <c r="H3289">
        <v>69316</v>
      </c>
      <c r="I3289">
        <v>11212</v>
      </c>
      <c r="J3289">
        <v>80528</v>
      </c>
      <c r="K3289" t="b">
        <f>TrafficData[[#This Row],[disposedChallan]]+TrafficData[[#This Row],[pendingChallan]]=TrafficData[[#This Row],[totalChallan]]</f>
        <v>1</v>
      </c>
      <c r="L3289" t="b">
        <f>TrafficData[[#This Row],[pendingAmount]]+TrafficData[[#This Row],[disposedAmount]]=TrafficData[[#This Row],[totalAmount]]</f>
        <v>1</v>
      </c>
      <c r="M3289" t="b">
        <f>TrafficData[[#This Row],[pendingCourt]]+TrafficData[[#This Row],[disposedCourt]]=TrafficData[[#This Row],[totalCourt]]</f>
        <v>1</v>
      </c>
      <c r="N3289" t="b">
        <f>AND(TrafficData[[#This Row],[disposedChallan]]&lt;=TrafficData[[#This Row],[totalChallan]],TrafficData[[#This Row],[pendingChallan]]&lt;=TrafficData[[#This Row],[totalChallan]])</f>
        <v>1</v>
      </c>
      <c r="O3289" t="b">
        <f>AND(TrafficData[[#This Row],[pendingAmount]]&lt;=TrafficData[[#This Row],[totalAmount]],TrafficData[[#This Row],[disposedAmount]]&lt;=TrafficData[[#This Row],[totalAmount]])</f>
        <v>1</v>
      </c>
      <c r="P3289" t="b">
        <f>AND(TrafficData[[#This Row],[pendingCourt]]&lt;=TrafficData[[#This Row],[totalCourt]],TrafficData[[#This Row],[disposedCourt]]&lt;=TrafficData[[#This Row],[totalCourt]])</f>
        <v>1</v>
      </c>
    </row>
    <row r="3290" spans="1:16">
      <c r="A3290" s="1">
        <v>45294</v>
      </c>
      <c r="B3290">
        <v>212515</v>
      </c>
      <c r="C3290">
        <v>73635</v>
      </c>
      <c r="D3290">
        <v>138880</v>
      </c>
      <c r="E3290">
        <v>212006622</v>
      </c>
      <c r="F3290">
        <v>104679934</v>
      </c>
      <c r="G3290">
        <v>316686556</v>
      </c>
      <c r="H3290">
        <v>66499</v>
      </c>
      <c r="I3290">
        <v>11570</v>
      </c>
      <c r="J3290">
        <v>78069</v>
      </c>
      <c r="K3290" t="b">
        <f>TrafficData[[#This Row],[disposedChallan]]+TrafficData[[#This Row],[pendingChallan]]=TrafficData[[#This Row],[totalChallan]]</f>
        <v>1</v>
      </c>
      <c r="L3290" t="b">
        <f>TrafficData[[#This Row],[pendingAmount]]+TrafficData[[#This Row],[disposedAmount]]=TrafficData[[#This Row],[totalAmount]]</f>
        <v>1</v>
      </c>
      <c r="M3290" t="b">
        <f>TrafficData[[#This Row],[pendingCourt]]+TrafficData[[#This Row],[disposedCourt]]=TrafficData[[#This Row],[totalCourt]]</f>
        <v>1</v>
      </c>
      <c r="N3290" t="b">
        <f>AND(TrafficData[[#This Row],[disposedChallan]]&lt;=TrafficData[[#This Row],[totalChallan]],TrafficData[[#This Row],[pendingChallan]]&lt;=TrafficData[[#This Row],[totalChallan]])</f>
        <v>1</v>
      </c>
      <c r="O3290" t="b">
        <f>AND(TrafficData[[#This Row],[pendingAmount]]&lt;=TrafficData[[#This Row],[totalAmount]],TrafficData[[#This Row],[disposedAmount]]&lt;=TrafficData[[#This Row],[totalAmount]])</f>
        <v>1</v>
      </c>
      <c r="P3290" t="b">
        <f>AND(TrafficData[[#This Row],[pendingCourt]]&lt;=TrafficData[[#This Row],[totalCourt]],TrafficData[[#This Row],[disposedCourt]]&lt;=TrafficData[[#This Row],[totalCourt]])</f>
        <v>1</v>
      </c>
    </row>
    <row r="3291" spans="1:16">
      <c r="A3291" s="1">
        <v>45295</v>
      </c>
      <c r="B3291">
        <v>218980</v>
      </c>
      <c r="C3291">
        <v>76736</v>
      </c>
      <c r="D3291">
        <v>142244</v>
      </c>
      <c r="E3291">
        <v>218797197</v>
      </c>
      <c r="F3291">
        <v>118873830</v>
      </c>
      <c r="G3291">
        <v>337671027</v>
      </c>
      <c r="H3291">
        <v>70560</v>
      </c>
      <c r="I3291">
        <v>12056</v>
      </c>
      <c r="J3291">
        <v>82616</v>
      </c>
      <c r="K3291" t="b">
        <f>TrafficData[[#This Row],[disposedChallan]]+TrafficData[[#This Row],[pendingChallan]]=TrafficData[[#This Row],[totalChallan]]</f>
        <v>1</v>
      </c>
      <c r="L3291" t="b">
        <f>TrafficData[[#This Row],[pendingAmount]]+TrafficData[[#This Row],[disposedAmount]]=TrafficData[[#This Row],[totalAmount]]</f>
        <v>1</v>
      </c>
      <c r="M3291" t="b">
        <f>TrafficData[[#This Row],[pendingCourt]]+TrafficData[[#This Row],[disposedCourt]]=TrafficData[[#This Row],[totalCourt]]</f>
        <v>1</v>
      </c>
      <c r="N3291" t="b">
        <f>AND(TrafficData[[#This Row],[disposedChallan]]&lt;=TrafficData[[#This Row],[totalChallan]],TrafficData[[#This Row],[pendingChallan]]&lt;=TrafficData[[#This Row],[totalChallan]])</f>
        <v>1</v>
      </c>
      <c r="O3291" t="b">
        <f>AND(TrafficData[[#This Row],[pendingAmount]]&lt;=TrafficData[[#This Row],[totalAmount]],TrafficData[[#This Row],[disposedAmount]]&lt;=TrafficData[[#This Row],[totalAmount]])</f>
        <v>1</v>
      </c>
      <c r="P3291" t="b">
        <f>AND(TrafficData[[#This Row],[pendingCourt]]&lt;=TrafficData[[#This Row],[totalCourt]],TrafficData[[#This Row],[disposedCourt]]&lt;=TrafficData[[#This Row],[totalCourt]])</f>
        <v>1</v>
      </c>
    </row>
    <row r="3292" spans="1:16">
      <c r="A3292" s="1">
        <v>45296</v>
      </c>
      <c r="B3292">
        <v>216789</v>
      </c>
      <c r="C3292">
        <v>77555</v>
      </c>
      <c r="D3292">
        <v>139234</v>
      </c>
      <c r="E3292">
        <v>213972894</v>
      </c>
      <c r="F3292">
        <v>122922259</v>
      </c>
      <c r="G3292">
        <v>336895153</v>
      </c>
      <c r="H3292">
        <v>65331</v>
      </c>
      <c r="I3292">
        <v>11134</v>
      </c>
      <c r="J3292">
        <v>76465</v>
      </c>
      <c r="K3292" t="b">
        <f>TrafficData[[#This Row],[disposedChallan]]+TrafficData[[#This Row],[pendingChallan]]=TrafficData[[#This Row],[totalChallan]]</f>
        <v>1</v>
      </c>
      <c r="L3292" t="b">
        <f>TrafficData[[#This Row],[pendingAmount]]+TrafficData[[#This Row],[disposedAmount]]=TrafficData[[#This Row],[totalAmount]]</f>
        <v>1</v>
      </c>
      <c r="M3292" t="b">
        <f>TrafficData[[#This Row],[pendingCourt]]+TrafficData[[#This Row],[disposedCourt]]=TrafficData[[#This Row],[totalCourt]]</f>
        <v>1</v>
      </c>
      <c r="N3292" t="b">
        <f>AND(TrafficData[[#This Row],[disposedChallan]]&lt;=TrafficData[[#This Row],[totalChallan]],TrafficData[[#This Row],[pendingChallan]]&lt;=TrafficData[[#This Row],[totalChallan]])</f>
        <v>1</v>
      </c>
      <c r="O3292" t="b">
        <f>AND(TrafficData[[#This Row],[pendingAmount]]&lt;=TrafficData[[#This Row],[totalAmount]],TrafficData[[#This Row],[disposedAmount]]&lt;=TrafficData[[#This Row],[totalAmount]])</f>
        <v>1</v>
      </c>
      <c r="P3292" t="b">
        <f>AND(TrafficData[[#This Row],[pendingCourt]]&lt;=TrafficData[[#This Row],[totalCourt]],TrafficData[[#This Row],[disposedCourt]]&lt;=TrafficData[[#This Row],[totalCourt]])</f>
        <v>1</v>
      </c>
    </row>
    <row r="3293" spans="1:16">
      <c r="A3293" s="1">
        <v>45297</v>
      </c>
      <c r="B3293">
        <v>219897</v>
      </c>
      <c r="C3293">
        <v>78864</v>
      </c>
      <c r="D3293">
        <v>141033</v>
      </c>
      <c r="E3293">
        <v>217728525</v>
      </c>
      <c r="F3293">
        <v>121476580</v>
      </c>
      <c r="G3293">
        <v>339205105</v>
      </c>
      <c r="H3293">
        <v>69519</v>
      </c>
      <c r="I3293">
        <v>11900</v>
      </c>
      <c r="J3293">
        <v>81419</v>
      </c>
      <c r="K3293" t="b">
        <f>TrafficData[[#This Row],[disposedChallan]]+TrafficData[[#This Row],[pendingChallan]]=TrafficData[[#This Row],[totalChallan]]</f>
        <v>1</v>
      </c>
      <c r="L3293" t="b">
        <f>TrafficData[[#This Row],[pendingAmount]]+TrafficData[[#This Row],[disposedAmount]]=TrafficData[[#This Row],[totalAmount]]</f>
        <v>1</v>
      </c>
      <c r="M3293" t="b">
        <f>TrafficData[[#This Row],[pendingCourt]]+TrafficData[[#This Row],[disposedCourt]]=TrafficData[[#This Row],[totalCourt]]</f>
        <v>1</v>
      </c>
      <c r="N3293" t="b">
        <f>AND(TrafficData[[#This Row],[disposedChallan]]&lt;=TrafficData[[#This Row],[totalChallan]],TrafficData[[#This Row],[pendingChallan]]&lt;=TrafficData[[#This Row],[totalChallan]])</f>
        <v>1</v>
      </c>
      <c r="O3293" t="b">
        <f>AND(TrafficData[[#This Row],[pendingAmount]]&lt;=TrafficData[[#This Row],[totalAmount]],TrafficData[[#This Row],[disposedAmount]]&lt;=TrafficData[[#This Row],[totalAmount]])</f>
        <v>1</v>
      </c>
      <c r="P3293" t="b">
        <f>AND(TrafficData[[#This Row],[pendingCourt]]&lt;=TrafficData[[#This Row],[totalCourt]],TrafficData[[#This Row],[disposedCourt]]&lt;=TrafficData[[#This Row],[totalCourt]])</f>
        <v>1</v>
      </c>
    </row>
    <row r="3294" spans="1:16">
      <c r="A3294" s="1">
        <v>45298</v>
      </c>
      <c r="B3294">
        <v>190629</v>
      </c>
      <c r="C3294">
        <v>68138</v>
      </c>
      <c r="D3294">
        <v>122491</v>
      </c>
      <c r="E3294">
        <v>191695249</v>
      </c>
      <c r="F3294">
        <v>90489139</v>
      </c>
      <c r="G3294">
        <v>282184388</v>
      </c>
      <c r="H3294">
        <v>66695</v>
      </c>
      <c r="I3294">
        <v>10877</v>
      </c>
      <c r="J3294">
        <v>77572</v>
      </c>
      <c r="K3294" t="b">
        <f>TrafficData[[#This Row],[disposedChallan]]+TrafficData[[#This Row],[pendingChallan]]=TrafficData[[#This Row],[totalChallan]]</f>
        <v>1</v>
      </c>
      <c r="L3294" t="b">
        <f>TrafficData[[#This Row],[pendingAmount]]+TrafficData[[#This Row],[disposedAmount]]=TrafficData[[#This Row],[totalAmount]]</f>
        <v>1</v>
      </c>
      <c r="M3294" t="b">
        <f>TrafficData[[#This Row],[pendingCourt]]+TrafficData[[#This Row],[disposedCourt]]=TrafficData[[#This Row],[totalCourt]]</f>
        <v>1</v>
      </c>
      <c r="N3294" t="b">
        <f>AND(TrafficData[[#This Row],[disposedChallan]]&lt;=TrafficData[[#This Row],[totalChallan]],TrafficData[[#This Row],[pendingChallan]]&lt;=TrafficData[[#This Row],[totalChallan]])</f>
        <v>1</v>
      </c>
      <c r="O3294" t="b">
        <f>AND(TrafficData[[#This Row],[pendingAmount]]&lt;=TrafficData[[#This Row],[totalAmount]],TrafficData[[#This Row],[disposedAmount]]&lt;=TrafficData[[#This Row],[totalAmount]])</f>
        <v>1</v>
      </c>
      <c r="P3294" t="b">
        <f>AND(TrafficData[[#This Row],[pendingCourt]]&lt;=TrafficData[[#This Row],[totalCourt]],TrafficData[[#This Row],[disposedCourt]]&lt;=TrafficData[[#This Row],[totalCourt]])</f>
        <v>1</v>
      </c>
    </row>
    <row r="3295" spans="1:16">
      <c r="A3295" s="1">
        <v>45299</v>
      </c>
      <c r="B3295">
        <v>214292</v>
      </c>
      <c r="C3295">
        <v>74610</v>
      </c>
      <c r="D3295">
        <v>139682</v>
      </c>
      <c r="E3295">
        <v>211240091</v>
      </c>
      <c r="F3295">
        <v>114609378</v>
      </c>
      <c r="G3295">
        <v>325849469</v>
      </c>
      <c r="H3295">
        <v>71281</v>
      </c>
      <c r="I3295">
        <v>11980</v>
      </c>
      <c r="J3295">
        <v>83261</v>
      </c>
      <c r="K3295" t="b">
        <f>TrafficData[[#This Row],[disposedChallan]]+TrafficData[[#This Row],[pendingChallan]]=TrafficData[[#This Row],[totalChallan]]</f>
        <v>1</v>
      </c>
      <c r="L3295" t="b">
        <f>TrafficData[[#This Row],[pendingAmount]]+TrafficData[[#This Row],[disposedAmount]]=TrafficData[[#This Row],[totalAmount]]</f>
        <v>1</v>
      </c>
      <c r="M3295" t="b">
        <f>TrafficData[[#This Row],[pendingCourt]]+TrafficData[[#This Row],[disposedCourt]]=TrafficData[[#This Row],[totalCourt]]</f>
        <v>1</v>
      </c>
      <c r="N3295" t="b">
        <f>AND(TrafficData[[#This Row],[disposedChallan]]&lt;=TrafficData[[#This Row],[totalChallan]],TrafficData[[#This Row],[pendingChallan]]&lt;=TrafficData[[#This Row],[totalChallan]])</f>
        <v>1</v>
      </c>
      <c r="O3295" t="b">
        <f>AND(TrafficData[[#This Row],[pendingAmount]]&lt;=TrafficData[[#This Row],[totalAmount]],TrafficData[[#This Row],[disposedAmount]]&lt;=TrafficData[[#This Row],[totalAmount]])</f>
        <v>1</v>
      </c>
      <c r="P3295" t="b">
        <f>AND(TrafficData[[#This Row],[pendingCourt]]&lt;=TrafficData[[#This Row],[totalCourt]],TrafficData[[#This Row],[disposedCourt]]&lt;=TrafficData[[#This Row],[totalCourt]])</f>
        <v>1</v>
      </c>
    </row>
    <row r="3296" spans="1:16">
      <c r="A3296" s="1">
        <v>45300</v>
      </c>
      <c r="B3296">
        <v>203733</v>
      </c>
      <c r="C3296">
        <v>71489</v>
      </c>
      <c r="D3296">
        <v>132244</v>
      </c>
      <c r="E3296">
        <v>203916385</v>
      </c>
      <c r="F3296">
        <v>119239998</v>
      </c>
      <c r="G3296">
        <v>323156383</v>
      </c>
      <c r="H3296">
        <v>64380</v>
      </c>
      <c r="I3296">
        <v>10811</v>
      </c>
      <c r="J3296">
        <v>75191</v>
      </c>
      <c r="K3296" t="b">
        <f>TrafficData[[#This Row],[disposedChallan]]+TrafficData[[#This Row],[pendingChallan]]=TrafficData[[#This Row],[totalChallan]]</f>
        <v>1</v>
      </c>
      <c r="L3296" t="b">
        <f>TrafficData[[#This Row],[pendingAmount]]+TrafficData[[#This Row],[disposedAmount]]=TrafficData[[#This Row],[totalAmount]]</f>
        <v>1</v>
      </c>
      <c r="M3296" t="b">
        <f>TrafficData[[#This Row],[pendingCourt]]+TrafficData[[#This Row],[disposedCourt]]=TrafficData[[#This Row],[totalCourt]]</f>
        <v>1</v>
      </c>
      <c r="N3296" t="b">
        <f>AND(TrafficData[[#This Row],[disposedChallan]]&lt;=TrafficData[[#This Row],[totalChallan]],TrafficData[[#This Row],[pendingChallan]]&lt;=TrafficData[[#This Row],[totalChallan]])</f>
        <v>1</v>
      </c>
      <c r="O3296" t="b">
        <f>AND(TrafficData[[#This Row],[pendingAmount]]&lt;=TrafficData[[#This Row],[totalAmount]],TrafficData[[#This Row],[disposedAmount]]&lt;=TrafficData[[#This Row],[totalAmount]])</f>
        <v>1</v>
      </c>
      <c r="P3296" t="b">
        <f>AND(TrafficData[[#This Row],[pendingCourt]]&lt;=TrafficData[[#This Row],[totalCourt]],TrafficData[[#This Row],[disposedCourt]]&lt;=TrafficData[[#This Row],[totalCourt]])</f>
        <v>1</v>
      </c>
    </row>
    <row r="3297" spans="1:16">
      <c r="A3297" s="1">
        <v>45301</v>
      </c>
      <c r="B3297">
        <v>211557</v>
      </c>
      <c r="C3297">
        <v>75230</v>
      </c>
      <c r="D3297">
        <v>136327</v>
      </c>
      <c r="E3297">
        <v>212691314</v>
      </c>
      <c r="F3297">
        <v>129888541</v>
      </c>
      <c r="G3297">
        <v>342579855</v>
      </c>
      <c r="H3297">
        <v>67157</v>
      </c>
      <c r="I3297">
        <v>11124</v>
      </c>
      <c r="J3297">
        <v>78281</v>
      </c>
      <c r="K3297" t="b">
        <f>TrafficData[[#This Row],[disposedChallan]]+TrafficData[[#This Row],[pendingChallan]]=TrafficData[[#This Row],[totalChallan]]</f>
        <v>1</v>
      </c>
      <c r="L3297" t="b">
        <f>TrafficData[[#This Row],[pendingAmount]]+TrafficData[[#This Row],[disposedAmount]]=TrafficData[[#This Row],[totalAmount]]</f>
        <v>1</v>
      </c>
      <c r="M3297" t="b">
        <f>TrafficData[[#This Row],[pendingCourt]]+TrafficData[[#This Row],[disposedCourt]]=TrafficData[[#This Row],[totalCourt]]</f>
        <v>1</v>
      </c>
      <c r="N3297" t="b">
        <f>AND(TrafficData[[#This Row],[disposedChallan]]&lt;=TrafficData[[#This Row],[totalChallan]],TrafficData[[#This Row],[pendingChallan]]&lt;=TrafficData[[#This Row],[totalChallan]])</f>
        <v>1</v>
      </c>
      <c r="O3297" t="b">
        <f>AND(TrafficData[[#This Row],[pendingAmount]]&lt;=TrafficData[[#This Row],[totalAmount]],TrafficData[[#This Row],[disposedAmount]]&lt;=TrafficData[[#This Row],[totalAmount]])</f>
        <v>1</v>
      </c>
      <c r="P3297" t="b">
        <f>AND(TrafficData[[#This Row],[pendingCourt]]&lt;=TrafficData[[#This Row],[totalCourt]],TrafficData[[#This Row],[disposedCourt]]&lt;=TrafficData[[#This Row],[totalCourt]])</f>
        <v>1</v>
      </c>
    </row>
    <row r="3298" spans="1:16">
      <c r="A3298" s="1">
        <v>45302</v>
      </c>
      <c r="B3298">
        <v>211112</v>
      </c>
      <c r="C3298">
        <v>75618</v>
      </c>
      <c r="D3298">
        <v>135494</v>
      </c>
      <c r="E3298">
        <v>206938107</v>
      </c>
      <c r="F3298">
        <v>124252598</v>
      </c>
      <c r="G3298">
        <v>331190705</v>
      </c>
      <c r="H3298">
        <v>66945</v>
      </c>
      <c r="I3298">
        <v>10935</v>
      </c>
      <c r="J3298">
        <v>77880</v>
      </c>
      <c r="K3298" t="b">
        <f>TrafficData[[#This Row],[disposedChallan]]+TrafficData[[#This Row],[pendingChallan]]=TrafficData[[#This Row],[totalChallan]]</f>
        <v>1</v>
      </c>
      <c r="L3298" t="b">
        <f>TrafficData[[#This Row],[pendingAmount]]+TrafficData[[#This Row],[disposedAmount]]=TrafficData[[#This Row],[totalAmount]]</f>
        <v>1</v>
      </c>
      <c r="M3298" t="b">
        <f>TrafficData[[#This Row],[pendingCourt]]+TrafficData[[#This Row],[disposedCourt]]=TrafficData[[#This Row],[totalCourt]]</f>
        <v>1</v>
      </c>
      <c r="N3298" t="b">
        <f>AND(TrafficData[[#This Row],[disposedChallan]]&lt;=TrafficData[[#This Row],[totalChallan]],TrafficData[[#This Row],[pendingChallan]]&lt;=TrafficData[[#This Row],[totalChallan]])</f>
        <v>1</v>
      </c>
      <c r="O3298" t="b">
        <f>AND(TrafficData[[#This Row],[pendingAmount]]&lt;=TrafficData[[#This Row],[totalAmount]],TrafficData[[#This Row],[disposedAmount]]&lt;=TrafficData[[#This Row],[totalAmount]])</f>
        <v>1</v>
      </c>
      <c r="P3298" t="b">
        <f>AND(TrafficData[[#This Row],[pendingCourt]]&lt;=TrafficData[[#This Row],[totalCourt]],TrafficData[[#This Row],[disposedCourt]]&lt;=TrafficData[[#This Row],[totalCourt]])</f>
        <v>1</v>
      </c>
    </row>
    <row r="3299" spans="1:16">
      <c r="A3299" s="1">
        <v>45303</v>
      </c>
      <c r="B3299">
        <v>203036</v>
      </c>
      <c r="C3299">
        <v>72894</v>
      </c>
      <c r="D3299">
        <v>130142</v>
      </c>
      <c r="E3299">
        <v>201739556</v>
      </c>
      <c r="F3299">
        <v>114185253</v>
      </c>
      <c r="G3299">
        <v>315924809</v>
      </c>
      <c r="H3299">
        <v>61485</v>
      </c>
      <c r="I3299">
        <v>10220</v>
      </c>
      <c r="J3299">
        <v>71705</v>
      </c>
      <c r="K3299" t="b">
        <f>TrafficData[[#This Row],[disposedChallan]]+TrafficData[[#This Row],[pendingChallan]]=TrafficData[[#This Row],[totalChallan]]</f>
        <v>1</v>
      </c>
      <c r="L3299" t="b">
        <f>TrafficData[[#This Row],[pendingAmount]]+TrafficData[[#This Row],[disposedAmount]]=TrafficData[[#This Row],[totalAmount]]</f>
        <v>1</v>
      </c>
      <c r="M3299" t="b">
        <f>TrafficData[[#This Row],[pendingCourt]]+TrafficData[[#This Row],[disposedCourt]]=TrafficData[[#This Row],[totalCourt]]</f>
        <v>1</v>
      </c>
      <c r="N3299" t="b">
        <f>AND(TrafficData[[#This Row],[disposedChallan]]&lt;=TrafficData[[#This Row],[totalChallan]],TrafficData[[#This Row],[pendingChallan]]&lt;=TrafficData[[#This Row],[totalChallan]])</f>
        <v>1</v>
      </c>
      <c r="O3299" t="b">
        <f>AND(TrafficData[[#This Row],[pendingAmount]]&lt;=TrafficData[[#This Row],[totalAmount]],TrafficData[[#This Row],[disposedAmount]]&lt;=TrafficData[[#This Row],[totalAmount]])</f>
        <v>1</v>
      </c>
      <c r="P3299" t="b">
        <f>AND(TrafficData[[#This Row],[pendingCourt]]&lt;=TrafficData[[#This Row],[totalCourt]],TrafficData[[#This Row],[disposedCourt]]&lt;=TrafficData[[#This Row],[totalCourt]])</f>
        <v>1</v>
      </c>
    </row>
    <row r="3300" spans="1:16">
      <c r="A3300" s="1">
        <v>45304</v>
      </c>
      <c r="B3300">
        <v>203338</v>
      </c>
      <c r="C3300">
        <v>73026</v>
      </c>
      <c r="D3300">
        <v>130312</v>
      </c>
      <c r="E3300">
        <v>195136270</v>
      </c>
      <c r="F3300">
        <v>101608289</v>
      </c>
      <c r="G3300">
        <v>296744559</v>
      </c>
      <c r="H3300">
        <v>57462</v>
      </c>
      <c r="I3300">
        <v>9715</v>
      </c>
      <c r="J3300">
        <v>67177</v>
      </c>
      <c r="K3300" t="b">
        <f>TrafficData[[#This Row],[disposedChallan]]+TrafficData[[#This Row],[pendingChallan]]=TrafficData[[#This Row],[totalChallan]]</f>
        <v>1</v>
      </c>
      <c r="L3300" t="b">
        <f>TrafficData[[#This Row],[pendingAmount]]+TrafficData[[#This Row],[disposedAmount]]=TrafficData[[#This Row],[totalAmount]]</f>
        <v>1</v>
      </c>
      <c r="M3300" t="b">
        <f>TrafficData[[#This Row],[pendingCourt]]+TrafficData[[#This Row],[disposedCourt]]=TrafficData[[#This Row],[totalCourt]]</f>
        <v>1</v>
      </c>
      <c r="N3300" t="b">
        <f>AND(TrafficData[[#This Row],[disposedChallan]]&lt;=TrafficData[[#This Row],[totalChallan]],TrafficData[[#This Row],[pendingChallan]]&lt;=TrafficData[[#This Row],[totalChallan]])</f>
        <v>1</v>
      </c>
      <c r="O3300" t="b">
        <f>AND(TrafficData[[#This Row],[pendingAmount]]&lt;=TrafficData[[#This Row],[totalAmount]],TrafficData[[#This Row],[disposedAmount]]&lt;=TrafficData[[#This Row],[totalAmount]])</f>
        <v>1</v>
      </c>
      <c r="P3300" t="b">
        <f>AND(TrafficData[[#This Row],[pendingCourt]]&lt;=TrafficData[[#This Row],[totalCourt]],TrafficData[[#This Row],[disposedCourt]]&lt;=TrafficData[[#This Row],[totalCourt]])</f>
        <v>1</v>
      </c>
    </row>
    <row r="3301" spans="1:16">
      <c r="A3301" s="1">
        <v>45305</v>
      </c>
      <c r="B3301">
        <v>179468</v>
      </c>
      <c r="C3301">
        <v>62906</v>
      </c>
      <c r="D3301">
        <v>116562</v>
      </c>
      <c r="E3301">
        <v>159641166</v>
      </c>
      <c r="F3301">
        <v>76434983</v>
      </c>
      <c r="G3301">
        <v>236076149</v>
      </c>
      <c r="H3301">
        <v>50172</v>
      </c>
      <c r="I3301">
        <v>8389</v>
      </c>
      <c r="J3301">
        <v>58561</v>
      </c>
      <c r="K3301" t="b">
        <f>TrafficData[[#This Row],[disposedChallan]]+TrafficData[[#This Row],[pendingChallan]]=TrafficData[[#This Row],[totalChallan]]</f>
        <v>1</v>
      </c>
      <c r="L3301" t="b">
        <f>TrafficData[[#This Row],[pendingAmount]]+TrafficData[[#This Row],[disposedAmount]]=TrafficData[[#This Row],[totalAmount]]</f>
        <v>1</v>
      </c>
      <c r="M3301" t="b">
        <f>TrafficData[[#This Row],[pendingCourt]]+TrafficData[[#This Row],[disposedCourt]]=TrafficData[[#This Row],[totalCourt]]</f>
        <v>1</v>
      </c>
      <c r="N3301" t="b">
        <f>AND(TrafficData[[#This Row],[disposedChallan]]&lt;=TrafficData[[#This Row],[totalChallan]],TrafficData[[#This Row],[pendingChallan]]&lt;=TrafficData[[#This Row],[totalChallan]])</f>
        <v>1</v>
      </c>
      <c r="O3301" t="b">
        <f>AND(TrafficData[[#This Row],[pendingAmount]]&lt;=TrafficData[[#This Row],[totalAmount]],TrafficData[[#This Row],[disposedAmount]]&lt;=TrafficData[[#This Row],[totalAmount]])</f>
        <v>1</v>
      </c>
      <c r="P3301" t="b">
        <f>AND(TrafficData[[#This Row],[pendingCourt]]&lt;=TrafficData[[#This Row],[totalCourt]],TrafficData[[#This Row],[disposedCourt]]&lt;=TrafficData[[#This Row],[totalCourt]])</f>
        <v>1</v>
      </c>
    </row>
    <row r="3302" spans="1:16">
      <c r="A3302" s="1">
        <v>45306</v>
      </c>
      <c r="B3302">
        <v>169941</v>
      </c>
      <c r="C3302">
        <v>60379</v>
      </c>
      <c r="D3302">
        <v>109562</v>
      </c>
      <c r="E3302">
        <v>170019216</v>
      </c>
      <c r="F3302">
        <v>86664795</v>
      </c>
      <c r="G3302">
        <v>256684011</v>
      </c>
      <c r="H3302">
        <v>58560</v>
      </c>
      <c r="I3302">
        <v>9594</v>
      </c>
      <c r="J3302">
        <v>68154</v>
      </c>
      <c r="K3302" t="b">
        <f>TrafficData[[#This Row],[disposedChallan]]+TrafficData[[#This Row],[pendingChallan]]=TrafficData[[#This Row],[totalChallan]]</f>
        <v>1</v>
      </c>
      <c r="L3302" t="b">
        <f>TrafficData[[#This Row],[pendingAmount]]+TrafficData[[#This Row],[disposedAmount]]=TrafficData[[#This Row],[totalAmount]]</f>
        <v>1</v>
      </c>
      <c r="M3302" t="b">
        <f>TrafficData[[#This Row],[pendingCourt]]+TrafficData[[#This Row],[disposedCourt]]=TrafficData[[#This Row],[totalCourt]]</f>
        <v>1</v>
      </c>
      <c r="N3302" t="b">
        <f>AND(TrafficData[[#This Row],[disposedChallan]]&lt;=TrafficData[[#This Row],[totalChallan]],TrafficData[[#This Row],[pendingChallan]]&lt;=TrafficData[[#This Row],[totalChallan]])</f>
        <v>1</v>
      </c>
      <c r="O3302" t="b">
        <f>AND(TrafficData[[#This Row],[pendingAmount]]&lt;=TrafficData[[#This Row],[totalAmount]],TrafficData[[#This Row],[disposedAmount]]&lt;=TrafficData[[#This Row],[totalAmount]])</f>
        <v>1</v>
      </c>
      <c r="P3302" t="b">
        <f>AND(TrafficData[[#This Row],[pendingCourt]]&lt;=TrafficData[[#This Row],[totalCourt]],TrafficData[[#This Row],[disposedCourt]]&lt;=TrafficData[[#This Row],[totalCourt]])</f>
        <v>1</v>
      </c>
    </row>
    <row r="3303" spans="1:16">
      <c r="A3303" s="1">
        <v>45307</v>
      </c>
      <c r="B3303">
        <v>187693</v>
      </c>
      <c r="C3303">
        <v>65603</v>
      </c>
      <c r="D3303">
        <v>122090</v>
      </c>
      <c r="E3303">
        <v>189769239</v>
      </c>
      <c r="F3303">
        <v>106113502</v>
      </c>
      <c r="G3303">
        <v>295882741</v>
      </c>
      <c r="H3303">
        <v>59370</v>
      </c>
      <c r="I3303">
        <v>9728</v>
      </c>
      <c r="J3303">
        <v>69098</v>
      </c>
      <c r="K3303" t="b">
        <f>TrafficData[[#This Row],[disposedChallan]]+TrafficData[[#This Row],[pendingChallan]]=TrafficData[[#This Row],[totalChallan]]</f>
        <v>1</v>
      </c>
      <c r="L3303" t="b">
        <f>TrafficData[[#This Row],[pendingAmount]]+TrafficData[[#This Row],[disposedAmount]]=TrafficData[[#This Row],[totalAmount]]</f>
        <v>1</v>
      </c>
      <c r="M3303" t="b">
        <f>TrafficData[[#This Row],[pendingCourt]]+TrafficData[[#This Row],[disposedCourt]]=TrafficData[[#This Row],[totalCourt]]</f>
        <v>1</v>
      </c>
      <c r="N3303" t="b">
        <f>AND(TrafficData[[#This Row],[disposedChallan]]&lt;=TrafficData[[#This Row],[totalChallan]],TrafficData[[#This Row],[pendingChallan]]&lt;=TrafficData[[#This Row],[totalChallan]])</f>
        <v>1</v>
      </c>
      <c r="O3303" t="b">
        <f>AND(TrafficData[[#This Row],[pendingAmount]]&lt;=TrafficData[[#This Row],[totalAmount]],TrafficData[[#This Row],[disposedAmount]]&lt;=TrafficData[[#This Row],[totalAmount]])</f>
        <v>1</v>
      </c>
      <c r="P3303" t="b">
        <f>AND(TrafficData[[#This Row],[pendingCourt]]&lt;=TrafficData[[#This Row],[totalCourt]],TrafficData[[#This Row],[disposedCourt]]&lt;=TrafficData[[#This Row],[totalCourt]])</f>
        <v>1</v>
      </c>
    </row>
    <row r="3304" spans="1:16">
      <c r="A3304" s="1">
        <v>45308</v>
      </c>
      <c r="B3304">
        <v>185076</v>
      </c>
      <c r="C3304">
        <v>66094</v>
      </c>
      <c r="D3304">
        <v>118982</v>
      </c>
      <c r="E3304">
        <v>182459006</v>
      </c>
      <c r="F3304">
        <v>105164347</v>
      </c>
      <c r="G3304">
        <v>287623353</v>
      </c>
      <c r="H3304">
        <v>56337</v>
      </c>
      <c r="I3304">
        <v>9509</v>
      </c>
      <c r="J3304">
        <v>65846</v>
      </c>
      <c r="K3304" t="b">
        <f>TrafficData[[#This Row],[disposedChallan]]+TrafficData[[#This Row],[pendingChallan]]=TrafficData[[#This Row],[totalChallan]]</f>
        <v>1</v>
      </c>
      <c r="L3304" t="b">
        <f>TrafficData[[#This Row],[pendingAmount]]+TrafficData[[#This Row],[disposedAmount]]=TrafficData[[#This Row],[totalAmount]]</f>
        <v>1</v>
      </c>
      <c r="M3304" t="b">
        <f>TrafficData[[#This Row],[pendingCourt]]+TrafficData[[#This Row],[disposedCourt]]=TrafficData[[#This Row],[totalCourt]]</f>
        <v>1</v>
      </c>
      <c r="N3304" t="b">
        <f>AND(TrafficData[[#This Row],[disposedChallan]]&lt;=TrafficData[[#This Row],[totalChallan]],TrafficData[[#This Row],[pendingChallan]]&lt;=TrafficData[[#This Row],[totalChallan]])</f>
        <v>1</v>
      </c>
      <c r="O3304" t="b">
        <f>AND(TrafficData[[#This Row],[pendingAmount]]&lt;=TrafficData[[#This Row],[totalAmount]],TrafficData[[#This Row],[disposedAmount]]&lt;=TrafficData[[#This Row],[totalAmount]])</f>
        <v>1</v>
      </c>
      <c r="P3304" t="b">
        <f>AND(TrafficData[[#This Row],[pendingCourt]]&lt;=TrafficData[[#This Row],[totalCourt]],TrafficData[[#This Row],[disposedCourt]]&lt;=TrafficData[[#This Row],[totalCourt]])</f>
        <v>1</v>
      </c>
    </row>
    <row r="3305" spans="1:16">
      <c r="A3305" s="1">
        <v>45309</v>
      </c>
      <c r="B3305">
        <v>188636</v>
      </c>
      <c r="C3305">
        <v>67943</v>
      </c>
      <c r="D3305">
        <v>120693</v>
      </c>
      <c r="E3305">
        <v>181049716</v>
      </c>
      <c r="F3305">
        <v>107634809</v>
      </c>
      <c r="G3305">
        <v>288684525</v>
      </c>
      <c r="H3305">
        <v>57010</v>
      </c>
      <c r="I3305">
        <v>9725</v>
      </c>
      <c r="J3305">
        <v>66735</v>
      </c>
      <c r="K3305" t="b">
        <f>TrafficData[[#This Row],[disposedChallan]]+TrafficData[[#This Row],[pendingChallan]]=TrafficData[[#This Row],[totalChallan]]</f>
        <v>1</v>
      </c>
      <c r="L3305" t="b">
        <f>TrafficData[[#This Row],[pendingAmount]]+TrafficData[[#This Row],[disposedAmount]]=TrafficData[[#This Row],[totalAmount]]</f>
        <v>1</v>
      </c>
      <c r="M3305" t="b">
        <f>TrafficData[[#This Row],[pendingCourt]]+TrafficData[[#This Row],[disposedCourt]]=TrafficData[[#This Row],[totalCourt]]</f>
        <v>1</v>
      </c>
      <c r="N3305" t="b">
        <f>AND(TrafficData[[#This Row],[disposedChallan]]&lt;=TrafficData[[#This Row],[totalChallan]],TrafficData[[#This Row],[pendingChallan]]&lt;=TrafficData[[#This Row],[totalChallan]])</f>
        <v>1</v>
      </c>
      <c r="O3305" t="b">
        <f>AND(TrafficData[[#This Row],[pendingAmount]]&lt;=TrafficData[[#This Row],[totalAmount]],TrafficData[[#This Row],[disposedAmount]]&lt;=TrafficData[[#This Row],[totalAmount]])</f>
        <v>1</v>
      </c>
      <c r="P3305" t="b">
        <f>AND(TrafficData[[#This Row],[pendingCourt]]&lt;=TrafficData[[#This Row],[totalCourt]],TrafficData[[#This Row],[disposedCourt]]&lt;=TrafficData[[#This Row],[totalCourt]])</f>
        <v>1</v>
      </c>
    </row>
    <row r="3306" spans="1:16">
      <c r="A3306" s="1">
        <v>45310</v>
      </c>
      <c r="B3306">
        <v>188109</v>
      </c>
      <c r="C3306">
        <v>69282</v>
      </c>
      <c r="D3306">
        <v>118827</v>
      </c>
      <c r="E3306">
        <v>186580728</v>
      </c>
      <c r="F3306">
        <v>113290678</v>
      </c>
      <c r="G3306">
        <v>299871406</v>
      </c>
      <c r="H3306">
        <v>58009</v>
      </c>
      <c r="I3306">
        <v>9916</v>
      </c>
      <c r="J3306">
        <v>67925</v>
      </c>
      <c r="K3306" t="b">
        <f>TrafficData[[#This Row],[disposedChallan]]+TrafficData[[#This Row],[pendingChallan]]=TrafficData[[#This Row],[totalChallan]]</f>
        <v>1</v>
      </c>
      <c r="L3306" t="b">
        <f>TrafficData[[#This Row],[pendingAmount]]+TrafficData[[#This Row],[disposedAmount]]=TrafficData[[#This Row],[totalAmount]]</f>
        <v>1</v>
      </c>
      <c r="M3306" t="b">
        <f>TrafficData[[#This Row],[pendingCourt]]+TrafficData[[#This Row],[disposedCourt]]=TrafficData[[#This Row],[totalCourt]]</f>
        <v>1</v>
      </c>
      <c r="N3306" t="b">
        <f>AND(TrafficData[[#This Row],[disposedChallan]]&lt;=TrafficData[[#This Row],[totalChallan]],TrafficData[[#This Row],[pendingChallan]]&lt;=TrafficData[[#This Row],[totalChallan]])</f>
        <v>1</v>
      </c>
      <c r="O3306" t="b">
        <f>AND(TrafficData[[#This Row],[pendingAmount]]&lt;=TrafficData[[#This Row],[totalAmount]],TrafficData[[#This Row],[disposedAmount]]&lt;=TrafficData[[#This Row],[totalAmount]])</f>
        <v>1</v>
      </c>
      <c r="P3306" t="b">
        <f>AND(TrafficData[[#This Row],[pendingCourt]]&lt;=TrafficData[[#This Row],[totalCourt]],TrafficData[[#This Row],[disposedCourt]]&lt;=TrafficData[[#This Row],[totalCourt]])</f>
        <v>1</v>
      </c>
    </row>
    <row r="3307" spans="1:16">
      <c r="A3307" s="1">
        <v>45311</v>
      </c>
      <c r="B3307">
        <v>187632</v>
      </c>
      <c r="C3307">
        <v>68213</v>
      </c>
      <c r="D3307">
        <v>119419</v>
      </c>
      <c r="E3307">
        <v>176129717</v>
      </c>
      <c r="F3307">
        <v>104689887</v>
      </c>
      <c r="G3307">
        <v>280819604</v>
      </c>
      <c r="H3307">
        <v>54689</v>
      </c>
      <c r="I3307">
        <v>8798</v>
      </c>
      <c r="J3307">
        <v>63487</v>
      </c>
      <c r="K3307" t="b">
        <f>TrafficData[[#This Row],[disposedChallan]]+TrafficData[[#This Row],[pendingChallan]]=TrafficData[[#This Row],[totalChallan]]</f>
        <v>1</v>
      </c>
      <c r="L3307" t="b">
        <f>TrafficData[[#This Row],[pendingAmount]]+TrafficData[[#This Row],[disposedAmount]]=TrafficData[[#This Row],[totalAmount]]</f>
        <v>1</v>
      </c>
      <c r="M3307" t="b">
        <f>TrafficData[[#This Row],[pendingCourt]]+TrafficData[[#This Row],[disposedCourt]]=TrafficData[[#This Row],[totalCourt]]</f>
        <v>1</v>
      </c>
      <c r="N3307" t="b">
        <f>AND(TrafficData[[#This Row],[disposedChallan]]&lt;=TrafficData[[#This Row],[totalChallan]],TrafficData[[#This Row],[pendingChallan]]&lt;=TrafficData[[#This Row],[totalChallan]])</f>
        <v>1</v>
      </c>
      <c r="O3307" t="b">
        <f>AND(TrafficData[[#This Row],[pendingAmount]]&lt;=TrafficData[[#This Row],[totalAmount]],TrafficData[[#This Row],[disposedAmount]]&lt;=TrafficData[[#This Row],[totalAmount]])</f>
        <v>1</v>
      </c>
      <c r="P3307" t="b">
        <f>AND(TrafficData[[#This Row],[pendingCourt]]&lt;=TrafficData[[#This Row],[totalCourt]],TrafficData[[#This Row],[disposedCourt]]&lt;=TrafficData[[#This Row],[totalCourt]])</f>
        <v>1</v>
      </c>
    </row>
    <row r="3308" spans="1:16">
      <c r="A3308" s="1">
        <v>45312</v>
      </c>
      <c r="B3308">
        <v>165433</v>
      </c>
      <c r="C3308">
        <v>59655</v>
      </c>
      <c r="D3308">
        <v>105778</v>
      </c>
      <c r="E3308">
        <v>151006044</v>
      </c>
      <c r="F3308">
        <v>79862747</v>
      </c>
      <c r="G3308">
        <v>230868791</v>
      </c>
      <c r="H3308">
        <v>48215</v>
      </c>
      <c r="I3308">
        <v>8161</v>
      </c>
      <c r="J3308">
        <v>56376</v>
      </c>
      <c r="K3308" t="b">
        <f>TrafficData[[#This Row],[disposedChallan]]+TrafficData[[#This Row],[pendingChallan]]=TrafficData[[#This Row],[totalChallan]]</f>
        <v>1</v>
      </c>
      <c r="L3308" t="b">
        <f>TrafficData[[#This Row],[pendingAmount]]+TrafficData[[#This Row],[disposedAmount]]=TrafficData[[#This Row],[totalAmount]]</f>
        <v>1</v>
      </c>
      <c r="M3308" t="b">
        <f>TrafficData[[#This Row],[pendingCourt]]+TrafficData[[#This Row],[disposedCourt]]=TrafficData[[#This Row],[totalCourt]]</f>
        <v>1</v>
      </c>
      <c r="N3308" t="b">
        <f>AND(TrafficData[[#This Row],[disposedChallan]]&lt;=TrafficData[[#This Row],[totalChallan]],TrafficData[[#This Row],[pendingChallan]]&lt;=TrafficData[[#This Row],[totalChallan]])</f>
        <v>1</v>
      </c>
      <c r="O3308" t="b">
        <f>AND(TrafficData[[#This Row],[pendingAmount]]&lt;=TrafficData[[#This Row],[totalAmount]],TrafficData[[#This Row],[disposedAmount]]&lt;=TrafficData[[#This Row],[totalAmount]])</f>
        <v>1</v>
      </c>
      <c r="P3308" t="b">
        <f>AND(TrafficData[[#This Row],[pendingCourt]]&lt;=TrafficData[[#This Row],[totalCourt]],TrafficData[[#This Row],[disposedCourt]]&lt;=TrafficData[[#This Row],[totalCourt]])</f>
        <v>1</v>
      </c>
    </row>
    <row r="3309" spans="1:16">
      <c r="A3309" s="1">
        <v>45313</v>
      </c>
      <c r="B3309">
        <v>160398</v>
      </c>
      <c r="C3309">
        <v>52694</v>
      </c>
      <c r="D3309">
        <v>107704</v>
      </c>
      <c r="E3309">
        <v>142800750</v>
      </c>
      <c r="F3309">
        <v>74164205</v>
      </c>
      <c r="G3309">
        <v>216964955</v>
      </c>
      <c r="H3309">
        <v>44050</v>
      </c>
      <c r="I3309">
        <v>7142</v>
      </c>
      <c r="J3309">
        <v>51192</v>
      </c>
      <c r="K3309" t="b">
        <f>TrafficData[[#This Row],[disposedChallan]]+TrafficData[[#This Row],[pendingChallan]]=TrafficData[[#This Row],[totalChallan]]</f>
        <v>1</v>
      </c>
      <c r="L3309" t="b">
        <f>TrafficData[[#This Row],[pendingAmount]]+TrafficData[[#This Row],[disposedAmount]]=TrafficData[[#This Row],[totalAmount]]</f>
        <v>1</v>
      </c>
      <c r="M3309" t="b">
        <f>TrafficData[[#This Row],[pendingCourt]]+TrafficData[[#This Row],[disposedCourt]]=TrafficData[[#This Row],[totalCourt]]</f>
        <v>1</v>
      </c>
      <c r="N3309" t="b">
        <f>AND(TrafficData[[#This Row],[disposedChallan]]&lt;=TrafficData[[#This Row],[totalChallan]],TrafficData[[#This Row],[pendingChallan]]&lt;=TrafficData[[#This Row],[totalChallan]])</f>
        <v>1</v>
      </c>
      <c r="O3309" t="b">
        <f>AND(TrafficData[[#This Row],[pendingAmount]]&lt;=TrafficData[[#This Row],[totalAmount]],TrafficData[[#This Row],[disposedAmount]]&lt;=TrafficData[[#This Row],[totalAmount]])</f>
        <v>1</v>
      </c>
      <c r="P3309" t="b">
        <f>AND(TrafficData[[#This Row],[pendingCourt]]&lt;=TrafficData[[#This Row],[totalCourt]],TrafficData[[#This Row],[disposedCourt]]&lt;=TrafficData[[#This Row],[totalCourt]])</f>
        <v>1</v>
      </c>
    </row>
    <row r="3310" spans="1:16">
      <c r="A3310" s="1">
        <v>45314</v>
      </c>
      <c r="B3310">
        <v>186519</v>
      </c>
      <c r="C3310">
        <v>66676</v>
      </c>
      <c r="D3310">
        <v>119843</v>
      </c>
      <c r="E3310">
        <v>169223338</v>
      </c>
      <c r="F3310">
        <v>157174755</v>
      </c>
      <c r="G3310">
        <v>326398093</v>
      </c>
      <c r="H3310">
        <v>53528</v>
      </c>
      <c r="I3310">
        <v>8779</v>
      </c>
      <c r="J3310">
        <v>62307</v>
      </c>
      <c r="K3310" t="b">
        <f>TrafficData[[#This Row],[disposedChallan]]+TrafficData[[#This Row],[pendingChallan]]=TrafficData[[#This Row],[totalChallan]]</f>
        <v>1</v>
      </c>
      <c r="L3310" t="b">
        <f>TrafficData[[#This Row],[pendingAmount]]+TrafficData[[#This Row],[disposedAmount]]=TrafficData[[#This Row],[totalAmount]]</f>
        <v>1</v>
      </c>
      <c r="M3310" t="b">
        <f>TrafficData[[#This Row],[pendingCourt]]+TrafficData[[#This Row],[disposedCourt]]=TrafficData[[#This Row],[totalCourt]]</f>
        <v>1</v>
      </c>
      <c r="N3310" t="b">
        <f>AND(TrafficData[[#This Row],[disposedChallan]]&lt;=TrafficData[[#This Row],[totalChallan]],TrafficData[[#This Row],[pendingChallan]]&lt;=TrafficData[[#This Row],[totalChallan]])</f>
        <v>1</v>
      </c>
      <c r="O3310" t="b">
        <f>AND(TrafficData[[#This Row],[pendingAmount]]&lt;=TrafficData[[#This Row],[totalAmount]],TrafficData[[#This Row],[disposedAmount]]&lt;=TrafficData[[#This Row],[totalAmount]])</f>
        <v>1</v>
      </c>
      <c r="P3310" t="b">
        <f>AND(TrafficData[[#This Row],[pendingCourt]]&lt;=TrafficData[[#This Row],[totalCourt]],TrafficData[[#This Row],[disposedCourt]]&lt;=TrafficData[[#This Row],[totalCourt]])</f>
        <v>1</v>
      </c>
    </row>
    <row r="3311" spans="1:16">
      <c r="A3311" s="1">
        <v>45315</v>
      </c>
      <c r="B3311">
        <v>189118</v>
      </c>
      <c r="C3311">
        <v>66678</v>
      </c>
      <c r="D3311">
        <v>122440</v>
      </c>
      <c r="E3311">
        <v>191229334</v>
      </c>
      <c r="F3311">
        <v>110220822</v>
      </c>
      <c r="G3311">
        <v>301450156</v>
      </c>
      <c r="H3311">
        <v>55529</v>
      </c>
      <c r="I3311">
        <v>9267</v>
      </c>
      <c r="J3311">
        <v>64796</v>
      </c>
      <c r="K3311" t="b">
        <f>TrafficData[[#This Row],[disposedChallan]]+TrafficData[[#This Row],[pendingChallan]]=TrafficData[[#This Row],[totalChallan]]</f>
        <v>1</v>
      </c>
      <c r="L3311" t="b">
        <f>TrafficData[[#This Row],[pendingAmount]]+TrafficData[[#This Row],[disposedAmount]]=TrafficData[[#This Row],[totalAmount]]</f>
        <v>1</v>
      </c>
      <c r="M3311" t="b">
        <f>TrafficData[[#This Row],[pendingCourt]]+TrafficData[[#This Row],[disposedCourt]]=TrafficData[[#This Row],[totalCourt]]</f>
        <v>1</v>
      </c>
      <c r="N3311" t="b">
        <f>AND(TrafficData[[#This Row],[disposedChallan]]&lt;=TrafficData[[#This Row],[totalChallan]],TrafficData[[#This Row],[pendingChallan]]&lt;=TrafficData[[#This Row],[totalChallan]])</f>
        <v>1</v>
      </c>
      <c r="O3311" t="b">
        <f>AND(TrafficData[[#This Row],[pendingAmount]]&lt;=TrafficData[[#This Row],[totalAmount]],TrafficData[[#This Row],[disposedAmount]]&lt;=TrafficData[[#This Row],[totalAmount]])</f>
        <v>1</v>
      </c>
      <c r="P3311" t="b">
        <f>AND(TrafficData[[#This Row],[pendingCourt]]&lt;=TrafficData[[#This Row],[totalCourt]],TrafficData[[#This Row],[disposedCourt]]&lt;=TrafficData[[#This Row],[totalCourt]])</f>
        <v>1</v>
      </c>
    </row>
    <row r="3312" spans="1:16">
      <c r="A3312" s="1">
        <v>45316</v>
      </c>
      <c r="B3312">
        <v>192630</v>
      </c>
      <c r="C3312">
        <v>71440</v>
      </c>
      <c r="D3312">
        <v>121190</v>
      </c>
      <c r="E3312">
        <v>184421576</v>
      </c>
      <c r="F3312">
        <v>106225721</v>
      </c>
      <c r="G3312">
        <v>290647297</v>
      </c>
      <c r="H3312">
        <v>58400</v>
      </c>
      <c r="I3312">
        <v>9501</v>
      </c>
      <c r="J3312">
        <v>67901</v>
      </c>
      <c r="K3312" t="b">
        <f>TrafficData[[#This Row],[disposedChallan]]+TrafficData[[#This Row],[pendingChallan]]=TrafficData[[#This Row],[totalChallan]]</f>
        <v>1</v>
      </c>
      <c r="L3312" t="b">
        <f>TrafficData[[#This Row],[pendingAmount]]+TrafficData[[#This Row],[disposedAmount]]=TrafficData[[#This Row],[totalAmount]]</f>
        <v>1</v>
      </c>
      <c r="M3312" t="b">
        <f>TrafficData[[#This Row],[pendingCourt]]+TrafficData[[#This Row],[disposedCourt]]=TrafficData[[#This Row],[totalCourt]]</f>
        <v>1</v>
      </c>
      <c r="N3312" t="b">
        <f>AND(TrafficData[[#This Row],[disposedChallan]]&lt;=TrafficData[[#This Row],[totalChallan]],TrafficData[[#This Row],[pendingChallan]]&lt;=TrafficData[[#This Row],[totalChallan]])</f>
        <v>1</v>
      </c>
      <c r="O3312" t="b">
        <f>AND(TrafficData[[#This Row],[pendingAmount]]&lt;=TrafficData[[#This Row],[totalAmount]],TrafficData[[#This Row],[disposedAmount]]&lt;=TrafficData[[#This Row],[totalAmount]])</f>
        <v>1</v>
      </c>
      <c r="P3312" t="b">
        <f>AND(TrafficData[[#This Row],[pendingCourt]]&lt;=TrafficData[[#This Row],[totalCourt]],TrafficData[[#This Row],[disposedCourt]]&lt;=TrafficData[[#This Row],[totalCourt]])</f>
        <v>1</v>
      </c>
    </row>
    <row r="3313" spans="1:16">
      <c r="A3313" s="1">
        <v>45317</v>
      </c>
      <c r="B3313">
        <v>143823</v>
      </c>
      <c r="C3313">
        <v>48124</v>
      </c>
      <c r="D3313">
        <v>95699</v>
      </c>
      <c r="E3313">
        <v>113871438</v>
      </c>
      <c r="F3313">
        <v>56679608</v>
      </c>
      <c r="G3313">
        <v>170551046</v>
      </c>
      <c r="H3313">
        <v>42132</v>
      </c>
      <c r="I3313">
        <v>6501</v>
      </c>
      <c r="J3313">
        <v>48633</v>
      </c>
      <c r="K3313" t="b">
        <f>TrafficData[[#This Row],[disposedChallan]]+TrafficData[[#This Row],[pendingChallan]]=TrafficData[[#This Row],[totalChallan]]</f>
        <v>1</v>
      </c>
      <c r="L3313" t="b">
        <f>TrafficData[[#This Row],[pendingAmount]]+TrafficData[[#This Row],[disposedAmount]]=TrafficData[[#This Row],[totalAmount]]</f>
        <v>1</v>
      </c>
      <c r="M3313" t="b">
        <f>TrafficData[[#This Row],[pendingCourt]]+TrafficData[[#This Row],[disposedCourt]]=TrafficData[[#This Row],[totalCourt]]</f>
        <v>1</v>
      </c>
      <c r="N3313" t="b">
        <f>AND(TrafficData[[#This Row],[disposedChallan]]&lt;=TrafficData[[#This Row],[totalChallan]],TrafficData[[#This Row],[pendingChallan]]&lt;=TrafficData[[#This Row],[totalChallan]])</f>
        <v>1</v>
      </c>
      <c r="O3313" t="b">
        <f>AND(TrafficData[[#This Row],[pendingAmount]]&lt;=TrafficData[[#This Row],[totalAmount]],TrafficData[[#This Row],[disposedAmount]]&lt;=TrafficData[[#This Row],[totalAmount]])</f>
        <v>1</v>
      </c>
      <c r="P3313" t="b">
        <f>AND(TrafficData[[#This Row],[pendingCourt]]&lt;=TrafficData[[#This Row],[totalCourt]],TrafficData[[#This Row],[disposedCourt]]&lt;=TrafficData[[#This Row],[totalCourt]])</f>
        <v>1</v>
      </c>
    </row>
    <row r="3314" spans="1:16">
      <c r="A3314" s="1">
        <v>45318</v>
      </c>
      <c r="B3314">
        <v>195882</v>
      </c>
      <c r="C3314">
        <v>72046</v>
      </c>
      <c r="D3314">
        <v>123836</v>
      </c>
      <c r="E3314">
        <v>183590598</v>
      </c>
      <c r="F3314">
        <v>99218456</v>
      </c>
      <c r="G3314">
        <v>282809054</v>
      </c>
      <c r="H3314">
        <v>58121</v>
      </c>
      <c r="I3314">
        <v>9994</v>
      </c>
      <c r="J3314">
        <v>68115</v>
      </c>
      <c r="K3314" t="b">
        <f>TrafficData[[#This Row],[disposedChallan]]+TrafficData[[#This Row],[pendingChallan]]=TrafficData[[#This Row],[totalChallan]]</f>
        <v>1</v>
      </c>
      <c r="L3314" t="b">
        <f>TrafficData[[#This Row],[pendingAmount]]+TrafficData[[#This Row],[disposedAmount]]=TrafficData[[#This Row],[totalAmount]]</f>
        <v>1</v>
      </c>
      <c r="M3314" t="b">
        <f>TrafficData[[#This Row],[pendingCourt]]+TrafficData[[#This Row],[disposedCourt]]=TrafficData[[#This Row],[totalCourt]]</f>
        <v>1</v>
      </c>
      <c r="N3314" t="b">
        <f>AND(TrafficData[[#This Row],[disposedChallan]]&lt;=TrafficData[[#This Row],[totalChallan]],TrafficData[[#This Row],[pendingChallan]]&lt;=TrafficData[[#This Row],[totalChallan]])</f>
        <v>1</v>
      </c>
      <c r="O3314" t="b">
        <f>AND(TrafficData[[#This Row],[pendingAmount]]&lt;=TrafficData[[#This Row],[totalAmount]],TrafficData[[#This Row],[disposedAmount]]&lt;=TrafficData[[#This Row],[totalAmount]])</f>
        <v>1</v>
      </c>
      <c r="P3314" t="b">
        <f>AND(TrafficData[[#This Row],[pendingCourt]]&lt;=TrafficData[[#This Row],[totalCourt]],TrafficData[[#This Row],[disposedCourt]]&lt;=TrafficData[[#This Row],[totalCourt]])</f>
        <v>1</v>
      </c>
    </row>
    <row r="3315" spans="1:16">
      <c r="A3315" s="1">
        <v>45319</v>
      </c>
      <c r="B3315">
        <v>189761</v>
      </c>
      <c r="C3315">
        <v>65324</v>
      </c>
      <c r="D3315">
        <v>124437</v>
      </c>
      <c r="E3315">
        <v>177640784</v>
      </c>
      <c r="F3315">
        <v>83512189</v>
      </c>
      <c r="G3315">
        <v>261152973</v>
      </c>
      <c r="H3315">
        <v>58317</v>
      </c>
      <c r="I3315">
        <v>9488</v>
      </c>
      <c r="J3315">
        <v>67805</v>
      </c>
      <c r="K3315" t="b">
        <f>TrafficData[[#This Row],[disposedChallan]]+TrafficData[[#This Row],[pendingChallan]]=TrafficData[[#This Row],[totalChallan]]</f>
        <v>1</v>
      </c>
      <c r="L3315" t="b">
        <f>TrafficData[[#This Row],[pendingAmount]]+TrafficData[[#This Row],[disposedAmount]]=TrafficData[[#This Row],[totalAmount]]</f>
        <v>1</v>
      </c>
      <c r="M3315" t="b">
        <f>TrafficData[[#This Row],[pendingCourt]]+TrafficData[[#This Row],[disposedCourt]]=TrafficData[[#This Row],[totalCourt]]</f>
        <v>1</v>
      </c>
      <c r="N3315" t="b">
        <f>AND(TrafficData[[#This Row],[disposedChallan]]&lt;=TrafficData[[#This Row],[totalChallan]],TrafficData[[#This Row],[pendingChallan]]&lt;=TrafficData[[#This Row],[totalChallan]])</f>
        <v>1</v>
      </c>
      <c r="O3315" t="b">
        <f>AND(TrafficData[[#This Row],[pendingAmount]]&lt;=TrafficData[[#This Row],[totalAmount]],TrafficData[[#This Row],[disposedAmount]]&lt;=TrafficData[[#This Row],[totalAmount]])</f>
        <v>1</v>
      </c>
      <c r="P3315" t="b">
        <f>AND(TrafficData[[#This Row],[pendingCourt]]&lt;=TrafficData[[#This Row],[totalCourt]],TrafficData[[#This Row],[disposedCourt]]&lt;=TrafficData[[#This Row],[totalCourt]])</f>
        <v>1</v>
      </c>
    </row>
    <row r="3316" spans="1:16">
      <c r="A3316" s="1">
        <v>45320</v>
      </c>
      <c r="B3316">
        <v>208332</v>
      </c>
      <c r="C3316">
        <v>73002</v>
      </c>
      <c r="D3316">
        <v>135330</v>
      </c>
      <c r="E3316">
        <v>202276144</v>
      </c>
      <c r="F3316">
        <v>102987758</v>
      </c>
      <c r="G3316">
        <v>305263902</v>
      </c>
      <c r="H3316">
        <v>60522</v>
      </c>
      <c r="I3316">
        <v>10451</v>
      </c>
      <c r="J3316">
        <v>70973</v>
      </c>
      <c r="K3316" t="b">
        <f>TrafficData[[#This Row],[disposedChallan]]+TrafficData[[#This Row],[pendingChallan]]=TrafficData[[#This Row],[totalChallan]]</f>
        <v>1</v>
      </c>
      <c r="L3316" t="b">
        <f>TrafficData[[#This Row],[pendingAmount]]+TrafficData[[#This Row],[disposedAmount]]=TrafficData[[#This Row],[totalAmount]]</f>
        <v>1</v>
      </c>
      <c r="M3316" t="b">
        <f>TrafficData[[#This Row],[pendingCourt]]+TrafficData[[#This Row],[disposedCourt]]=TrafficData[[#This Row],[totalCourt]]</f>
        <v>1</v>
      </c>
      <c r="N3316" t="b">
        <f>AND(TrafficData[[#This Row],[disposedChallan]]&lt;=TrafficData[[#This Row],[totalChallan]],TrafficData[[#This Row],[pendingChallan]]&lt;=TrafficData[[#This Row],[totalChallan]])</f>
        <v>1</v>
      </c>
      <c r="O3316" t="b">
        <f>AND(TrafficData[[#This Row],[pendingAmount]]&lt;=TrafficData[[#This Row],[totalAmount]],TrafficData[[#This Row],[disposedAmount]]&lt;=TrafficData[[#This Row],[totalAmount]])</f>
        <v>1</v>
      </c>
      <c r="P3316" t="b">
        <f>AND(TrafficData[[#This Row],[pendingCourt]]&lt;=TrafficData[[#This Row],[totalCourt]],TrafficData[[#This Row],[disposedCourt]]&lt;=TrafficData[[#This Row],[totalCourt]])</f>
        <v>1</v>
      </c>
    </row>
    <row r="3317" spans="1:16">
      <c r="A3317" s="1">
        <v>45321</v>
      </c>
      <c r="B3317">
        <v>200692</v>
      </c>
      <c r="C3317">
        <v>71438</v>
      </c>
      <c r="D3317">
        <v>129254</v>
      </c>
      <c r="E3317">
        <v>200038086</v>
      </c>
      <c r="F3317">
        <v>106882864</v>
      </c>
      <c r="G3317">
        <v>306920950</v>
      </c>
      <c r="H3317">
        <v>60937</v>
      </c>
      <c r="I3317">
        <v>10024</v>
      </c>
      <c r="J3317">
        <v>70961</v>
      </c>
      <c r="K3317" t="b">
        <f>TrafficData[[#This Row],[disposedChallan]]+TrafficData[[#This Row],[pendingChallan]]=TrafficData[[#This Row],[totalChallan]]</f>
        <v>1</v>
      </c>
      <c r="L3317" t="b">
        <f>TrafficData[[#This Row],[pendingAmount]]+TrafficData[[#This Row],[disposedAmount]]=TrafficData[[#This Row],[totalAmount]]</f>
        <v>1</v>
      </c>
      <c r="M3317" t="b">
        <f>TrafficData[[#This Row],[pendingCourt]]+TrafficData[[#This Row],[disposedCourt]]=TrafficData[[#This Row],[totalCourt]]</f>
        <v>1</v>
      </c>
      <c r="N3317" t="b">
        <f>AND(TrafficData[[#This Row],[disposedChallan]]&lt;=TrafficData[[#This Row],[totalChallan]],TrafficData[[#This Row],[pendingChallan]]&lt;=TrafficData[[#This Row],[totalChallan]])</f>
        <v>1</v>
      </c>
      <c r="O3317" t="b">
        <f>AND(TrafficData[[#This Row],[pendingAmount]]&lt;=TrafficData[[#This Row],[totalAmount]],TrafficData[[#This Row],[disposedAmount]]&lt;=TrafficData[[#This Row],[totalAmount]])</f>
        <v>1</v>
      </c>
      <c r="P3317" t="b">
        <f>AND(TrafficData[[#This Row],[pendingCourt]]&lt;=TrafficData[[#This Row],[totalCourt]],TrafficData[[#This Row],[disposedCourt]]&lt;=TrafficData[[#This Row],[totalCourt]])</f>
        <v>1</v>
      </c>
    </row>
    <row r="3318" spans="1:16">
      <c r="A3318" s="1">
        <v>45322</v>
      </c>
      <c r="B3318">
        <v>188216</v>
      </c>
      <c r="C3318">
        <v>67498</v>
      </c>
      <c r="D3318">
        <v>120718</v>
      </c>
      <c r="E3318">
        <v>184291064</v>
      </c>
      <c r="F3318">
        <v>94871160</v>
      </c>
      <c r="G3318">
        <v>279162224</v>
      </c>
      <c r="H3318">
        <v>52882</v>
      </c>
      <c r="I3318">
        <v>8432</v>
      </c>
      <c r="J3318">
        <v>61314</v>
      </c>
      <c r="K3318" t="b">
        <f>TrafficData[[#This Row],[disposedChallan]]+TrafficData[[#This Row],[pendingChallan]]=TrafficData[[#This Row],[totalChallan]]</f>
        <v>1</v>
      </c>
      <c r="L3318" t="b">
        <f>TrafficData[[#This Row],[pendingAmount]]+TrafficData[[#This Row],[disposedAmount]]=TrafficData[[#This Row],[totalAmount]]</f>
        <v>1</v>
      </c>
      <c r="M3318" t="b">
        <f>TrafficData[[#This Row],[pendingCourt]]+TrafficData[[#This Row],[disposedCourt]]=TrafficData[[#This Row],[totalCourt]]</f>
        <v>1</v>
      </c>
      <c r="N3318" t="b">
        <f>AND(TrafficData[[#This Row],[disposedChallan]]&lt;=TrafficData[[#This Row],[totalChallan]],TrafficData[[#This Row],[pendingChallan]]&lt;=TrafficData[[#This Row],[totalChallan]])</f>
        <v>1</v>
      </c>
      <c r="O3318" t="b">
        <f>AND(TrafficData[[#This Row],[pendingAmount]]&lt;=TrafficData[[#This Row],[totalAmount]],TrafficData[[#This Row],[disposedAmount]]&lt;=TrafficData[[#This Row],[totalAmount]])</f>
        <v>1</v>
      </c>
      <c r="P3318" t="b">
        <f>AND(TrafficData[[#This Row],[pendingCourt]]&lt;=TrafficData[[#This Row],[totalCourt]],TrafficData[[#This Row],[disposedCourt]]&lt;=TrafficData[[#This Row],[totalCourt]])</f>
        <v>1</v>
      </c>
    </row>
    <row r="3319" spans="1:16">
      <c r="A3319" s="1">
        <v>45323</v>
      </c>
      <c r="B3319">
        <v>195761</v>
      </c>
      <c r="C3319">
        <v>72840</v>
      </c>
      <c r="D3319">
        <v>122921</v>
      </c>
      <c r="E3319">
        <v>178464670</v>
      </c>
      <c r="F3319">
        <v>115626650</v>
      </c>
      <c r="G3319">
        <v>294091320</v>
      </c>
      <c r="H3319">
        <v>53549</v>
      </c>
      <c r="I3319">
        <v>8934</v>
      </c>
      <c r="J3319">
        <v>62483</v>
      </c>
      <c r="K3319" t="b">
        <f>TrafficData[[#This Row],[disposedChallan]]+TrafficData[[#This Row],[pendingChallan]]=TrafficData[[#This Row],[totalChallan]]</f>
        <v>1</v>
      </c>
      <c r="L3319" t="b">
        <f>TrafficData[[#This Row],[pendingAmount]]+TrafficData[[#This Row],[disposedAmount]]=TrafficData[[#This Row],[totalAmount]]</f>
        <v>1</v>
      </c>
      <c r="M3319" t="b">
        <f>TrafficData[[#This Row],[pendingCourt]]+TrafficData[[#This Row],[disposedCourt]]=TrafficData[[#This Row],[totalCourt]]</f>
        <v>1</v>
      </c>
      <c r="N3319" t="b">
        <f>AND(TrafficData[[#This Row],[disposedChallan]]&lt;=TrafficData[[#This Row],[totalChallan]],TrafficData[[#This Row],[pendingChallan]]&lt;=TrafficData[[#This Row],[totalChallan]])</f>
        <v>1</v>
      </c>
      <c r="O3319" t="b">
        <f>AND(TrafficData[[#This Row],[pendingAmount]]&lt;=TrafficData[[#This Row],[totalAmount]],TrafficData[[#This Row],[disposedAmount]]&lt;=TrafficData[[#This Row],[totalAmount]])</f>
        <v>1</v>
      </c>
      <c r="P3319" t="b">
        <f>AND(TrafficData[[#This Row],[pendingCourt]]&lt;=TrafficData[[#This Row],[totalCourt]],TrafficData[[#This Row],[disposedCourt]]&lt;=TrafficData[[#This Row],[totalCourt]])</f>
        <v>1</v>
      </c>
    </row>
    <row r="3320" spans="1:16">
      <c r="A3320" s="1">
        <v>45324</v>
      </c>
      <c r="B3320">
        <v>200691</v>
      </c>
      <c r="C3320">
        <v>73780</v>
      </c>
      <c r="D3320">
        <v>126911</v>
      </c>
      <c r="E3320">
        <v>184315616</v>
      </c>
      <c r="F3320">
        <v>119271463</v>
      </c>
      <c r="G3320">
        <v>303587079</v>
      </c>
      <c r="H3320">
        <v>57697</v>
      </c>
      <c r="I3320">
        <v>9316</v>
      </c>
      <c r="J3320">
        <v>67013</v>
      </c>
      <c r="K3320" t="b">
        <f>TrafficData[[#This Row],[disposedChallan]]+TrafficData[[#This Row],[pendingChallan]]=TrafficData[[#This Row],[totalChallan]]</f>
        <v>1</v>
      </c>
      <c r="L3320" t="b">
        <f>TrafficData[[#This Row],[pendingAmount]]+TrafficData[[#This Row],[disposedAmount]]=TrafficData[[#This Row],[totalAmount]]</f>
        <v>1</v>
      </c>
      <c r="M3320" t="b">
        <f>TrafficData[[#This Row],[pendingCourt]]+TrafficData[[#This Row],[disposedCourt]]=TrafficData[[#This Row],[totalCourt]]</f>
        <v>1</v>
      </c>
      <c r="N3320" t="b">
        <f>AND(TrafficData[[#This Row],[disposedChallan]]&lt;=TrafficData[[#This Row],[totalChallan]],TrafficData[[#This Row],[pendingChallan]]&lt;=TrafficData[[#This Row],[totalChallan]])</f>
        <v>1</v>
      </c>
      <c r="O3320" t="b">
        <f>AND(TrafficData[[#This Row],[pendingAmount]]&lt;=TrafficData[[#This Row],[totalAmount]],TrafficData[[#This Row],[disposedAmount]]&lt;=TrafficData[[#This Row],[totalAmount]])</f>
        <v>1</v>
      </c>
      <c r="P3320" t="b">
        <f>AND(TrafficData[[#This Row],[pendingCourt]]&lt;=TrafficData[[#This Row],[totalCourt]],TrafficData[[#This Row],[disposedCourt]]&lt;=TrafficData[[#This Row],[totalCourt]])</f>
        <v>1</v>
      </c>
    </row>
    <row r="3321" spans="1:16">
      <c r="A3321" s="1">
        <v>45325</v>
      </c>
      <c r="B3321">
        <v>204579</v>
      </c>
      <c r="C3321">
        <v>75307</v>
      </c>
      <c r="D3321">
        <v>129272</v>
      </c>
      <c r="E3321">
        <v>187082105</v>
      </c>
      <c r="F3321">
        <v>114573536</v>
      </c>
      <c r="G3321">
        <v>301655641</v>
      </c>
      <c r="H3321">
        <v>57699</v>
      </c>
      <c r="I3321">
        <v>9661</v>
      </c>
      <c r="J3321">
        <v>67360</v>
      </c>
      <c r="K3321" t="b">
        <f>TrafficData[[#This Row],[disposedChallan]]+TrafficData[[#This Row],[pendingChallan]]=TrafficData[[#This Row],[totalChallan]]</f>
        <v>1</v>
      </c>
      <c r="L3321" t="b">
        <f>TrafficData[[#This Row],[pendingAmount]]+TrafficData[[#This Row],[disposedAmount]]=TrafficData[[#This Row],[totalAmount]]</f>
        <v>1</v>
      </c>
      <c r="M3321" t="b">
        <f>TrafficData[[#This Row],[pendingCourt]]+TrafficData[[#This Row],[disposedCourt]]=TrafficData[[#This Row],[totalCourt]]</f>
        <v>1</v>
      </c>
      <c r="N3321" t="b">
        <f>AND(TrafficData[[#This Row],[disposedChallan]]&lt;=TrafficData[[#This Row],[totalChallan]],TrafficData[[#This Row],[pendingChallan]]&lt;=TrafficData[[#This Row],[totalChallan]])</f>
        <v>1</v>
      </c>
      <c r="O3321" t="b">
        <f>AND(TrafficData[[#This Row],[pendingAmount]]&lt;=TrafficData[[#This Row],[totalAmount]],TrafficData[[#This Row],[disposedAmount]]&lt;=TrafficData[[#This Row],[totalAmount]])</f>
        <v>1</v>
      </c>
      <c r="P3321" t="b">
        <f>AND(TrafficData[[#This Row],[pendingCourt]]&lt;=TrafficData[[#This Row],[totalCourt]],TrafficData[[#This Row],[disposedCourt]]&lt;=TrafficData[[#This Row],[totalCourt]])</f>
        <v>1</v>
      </c>
    </row>
    <row r="3322" spans="1:16">
      <c r="A3322" s="1">
        <v>45326</v>
      </c>
      <c r="B3322">
        <v>189032</v>
      </c>
      <c r="C3322">
        <v>66267</v>
      </c>
      <c r="D3322">
        <v>122765</v>
      </c>
      <c r="E3322">
        <v>165677397</v>
      </c>
      <c r="F3322">
        <v>87406910</v>
      </c>
      <c r="G3322">
        <v>253084307</v>
      </c>
      <c r="H3322">
        <v>52786</v>
      </c>
      <c r="I3322">
        <v>8384</v>
      </c>
      <c r="J3322">
        <v>61170</v>
      </c>
      <c r="K3322" t="b">
        <f>TrafficData[[#This Row],[disposedChallan]]+TrafficData[[#This Row],[pendingChallan]]=TrafficData[[#This Row],[totalChallan]]</f>
        <v>1</v>
      </c>
      <c r="L3322" t="b">
        <f>TrafficData[[#This Row],[pendingAmount]]+TrafficData[[#This Row],[disposedAmount]]=TrafficData[[#This Row],[totalAmount]]</f>
        <v>1</v>
      </c>
      <c r="M3322" t="b">
        <f>TrafficData[[#This Row],[pendingCourt]]+TrafficData[[#This Row],[disposedCourt]]=TrafficData[[#This Row],[totalCourt]]</f>
        <v>1</v>
      </c>
      <c r="N3322" t="b">
        <f>AND(TrafficData[[#This Row],[disposedChallan]]&lt;=TrafficData[[#This Row],[totalChallan]],TrafficData[[#This Row],[pendingChallan]]&lt;=TrafficData[[#This Row],[totalChallan]])</f>
        <v>1</v>
      </c>
      <c r="O3322" t="b">
        <f>AND(TrafficData[[#This Row],[pendingAmount]]&lt;=TrafficData[[#This Row],[totalAmount]],TrafficData[[#This Row],[disposedAmount]]&lt;=TrafficData[[#This Row],[totalAmount]])</f>
        <v>1</v>
      </c>
      <c r="P3322" t="b">
        <f>AND(TrafficData[[#This Row],[pendingCourt]]&lt;=TrafficData[[#This Row],[totalCourt]],TrafficData[[#This Row],[disposedCourt]]&lt;=TrafficData[[#This Row],[totalCourt]])</f>
        <v>1</v>
      </c>
    </row>
    <row r="3323" spans="1:16">
      <c r="A3323" s="1">
        <v>45327</v>
      </c>
      <c r="B3323">
        <v>209634</v>
      </c>
      <c r="C3323">
        <v>73402</v>
      </c>
      <c r="D3323">
        <v>136232</v>
      </c>
      <c r="E3323">
        <v>199579613</v>
      </c>
      <c r="F3323">
        <v>109518448</v>
      </c>
      <c r="G3323">
        <v>309098061</v>
      </c>
      <c r="H3323">
        <v>64688</v>
      </c>
      <c r="I3323">
        <v>10153</v>
      </c>
      <c r="J3323">
        <v>74841</v>
      </c>
      <c r="K3323" t="b">
        <f>TrafficData[[#This Row],[disposedChallan]]+TrafficData[[#This Row],[pendingChallan]]=TrafficData[[#This Row],[totalChallan]]</f>
        <v>1</v>
      </c>
      <c r="L3323" t="b">
        <f>TrafficData[[#This Row],[pendingAmount]]+TrafficData[[#This Row],[disposedAmount]]=TrafficData[[#This Row],[totalAmount]]</f>
        <v>1</v>
      </c>
      <c r="M3323" t="b">
        <f>TrafficData[[#This Row],[pendingCourt]]+TrafficData[[#This Row],[disposedCourt]]=TrafficData[[#This Row],[totalCourt]]</f>
        <v>1</v>
      </c>
      <c r="N3323" t="b">
        <f>AND(TrafficData[[#This Row],[disposedChallan]]&lt;=TrafficData[[#This Row],[totalChallan]],TrafficData[[#This Row],[pendingChallan]]&lt;=TrafficData[[#This Row],[totalChallan]])</f>
        <v>1</v>
      </c>
      <c r="O3323" t="b">
        <f>AND(TrafficData[[#This Row],[pendingAmount]]&lt;=TrafficData[[#This Row],[totalAmount]],TrafficData[[#This Row],[disposedAmount]]&lt;=TrafficData[[#This Row],[totalAmount]])</f>
        <v>1</v>
      </c>
      <c r="P3323" t="b">
        <f>AND(TrafficData[[#This Row],[pendingCourt]]&lt;=TrafficData[[#This Row],[totalCourt]],TrafficData[[#This Row],[disposedCourt]]&lt;=TrafficData[[#This Row],[totalCourt]])</f>
        <v>1</v>
      </c>
    </row>
    <row r="3324" spans="1:16">
      <c r="A3324" s="1">
        <v>45328</v>
      </c>
      <c r="B3324">
        <v>199530</v>
      </c>
      <c r="C3324">
        <v>69478</v>
      </c>
      <c r="D3324">
        <v>130052</v>
      </c>
      <c r="E3324">
        <v>197713251</v>
      </c>
      <c r="F3324">
        <v>117604074</v>
      </c>
      <c r="G3324">
        <v>315317325</v>
      </c>
      <c r="H3324">
        <v>62611</v>
      </c>
      <c r="I3324">
        <v>9621</v>
      </c>
      <c r="J3324">
        <v>72232</v>
      </c>
      <c r="K3324" t="b">
        <f>TrafficData[[#This Row],[disposedChallan]]+TrafficData[[#This Row],[pendingChallan]]=TrafficData[[#This Row],[totalChallan]]</f>
        <v>1</v>
      </c>
      <c r="L3324" t="b">
        <f>TrafficData[[#This Row],[pendingAmount]]+TrafficData[[#This Row],[disposedAmount]]=TrafficData[[#This Row],[totalAmount]]</f>
        <v>1</v>
      </c>
      <c r="M3324" t="b">
        <f>TrafficData[[#This Row],[pendingCourt]]+TrafficData[[#This Row],[disposedCourt]]=TrafficData[[#This Row],[totalCourt]]</f>
        <v>1</v>
      </c>
      <c r="N3324" t="b">
        <f>AND(TrafficData[[#This Row],[disposedChallan]]&lt;=TrafficData[[#This Row],[totalChallan]],TrafficData[[#This Row],[pendingChallan]]&lt;=TrafficData[[#This Row],[totalChallan]])</f>
        <v>1</v>
      </c>
      <c r="O3324" t="b">
        <f>AND(TrafficData[[#This Row],[pendingAmount]]&lt;=TrafficData[[#This Row],[totalAmount]],TrafficData[[#This Row],[disposedAmount]]&lt;=TrafficData[[#This Row],[totalAmount]])</f>
        <v>1</v>
      </c>
      <c r="P3324" t="b">
        <f>AND(TrafficData[[#This Row],[pendingCourt]]&lt;=TrafficData[[#This Row],[totalCourt]],TrafficData[[#This Row],[disposedCourt]]&lt;=TrafficData[[#This Row],[totalCourt]])</f>
        <v>1</v>
      </c>
    </row>
    <row r="3325" spans="1:16">
      <c r="A3325" s="1">
        <v>45329</v>
      </c>
      <c r="B3325">
        <v>221952</v>
      </c>
      <c r="C3325">
        <v>77184</v>
      </c>
      <c r="D3325">
        <v>144768</v>
      </c>
      <c r="E3325">
        <v>220491148</v>
      </c>
      <c r="F3325">
        <v>127717174</v>
      </c>
      <c r="G3325">
        <v>348208322</v>
      </c>
      <c r="H3325">
        <v>68983</v>
      </c>
      <c r="I3325">
        <v>11077</v>
      </c>
      <c r="J3325">
        <v>80060</v>
      </c>
      <c r="K3325" t="b">
        <f>TrafficData[[#This Row],[disposedChallan]]+TrafficData[[#This Row],[pendingChallan]]=TrafficData[[#This Row],[totalChallan]]</f>
        <v>1</v>
      </c>
      <c r="L3325" t="b">
        <f>TrafficData[[#This Row],[pendingAmount]]+TrafficData[[#This Row],[disposedAmount]]=TrafficData[[#This Row],[totalAmount]]</f>
        <v>1</v>
      </c>
      <c r="M3325" t="b">
        <f>TrafficData[[#This Row],[pendingCourt]]+TrafficData[[#This Row],[disposedCourt]]=TrafficData[[#This Row],[totalCourt]]</f>
        <v>1</v>
      </c>
      <c r="N3325" t="b">
        <f>AND(TrafficData[[#This Row],[disposedChallan]]&lt;=TrafficData[[#This Row],[totalChallan]],TrafficData[[#This Row],[pendingChallan]]&lt;=TrafficData[[#This Row],[totalChallan]])</f>
        <v>1</v>
      </c>
      <c r="O3325" t="b">
        <f>AND(TrafficData[[#This Row],[pendingAmount]]&lt;=TrafficData[[#This Row],[totalAmount]],TrafficData[[#This Row],[disposedAmount]]&lt;=TrafficData[[#This Row],[totalAmount]])</f>
        <v>1</v>
      </c>
      <c r="P3325" t="b">
        <f>AND(TrafficData[[#This Row],[pendingCourt]]&lt;=TrafficData[[#This Row],[totalCourt]],TrafficData[[#This Row],[disposedCourt]]&lt;=TrafficData[[#This Row],[totalCourt]])</f>
        <v>1</v>
      </c>
    </row>
    <row r="3326" spans="1:16">
      <c r="A3326" s="1">
        <v>45330</v>
      </c>
      <c r="B3326">
        <v>214824</v>
      </c>
      <c r="C3326">
        <v>75954</v>
      </c>
      <c r="D3326">
        <v>138870</v>
      </c>
      <c r="E3326">
        <v>206908908</v>
      </c>
      <c r="F3326">
        <v>124754520</v>
      </c>
      <c r="G3326">
        <v>331663428</v>
      </c>
      <c r="H3326">
        <v>55797</v>
      </c>
      <c r="I3326">
        <v>10372</v>
      </c>
      <c r="J3326">
        <v>66169</v>
      </c>
      <c r="K3326" t="b">
        <f>TrafficData[[#This Row],[disposedChallan]]+TrafficData[[#This Row],[pendingChallan]]=TrafficData[[#This Row],[totalChallan]]</f>
        <v>1</v>
      </c>
      <c r="L3326" t="b">
        <f>TrafficData[[#This Row],[pendingAmount]]+TrafficData[[#This Row],[disposedAmount]]=TrafficData[[#This Row],[totalAmount]]</f>
        <v>1</v>
      </c>
      <c r="M3326" t="b">
        <f>TrafficData[[#This Row],[pendingCourt]]+TrafficData[[#This Row],[disposedCourt]]=TrafficData[[#This Row],[totalCourt]]</f>
        <v>1</v>
      </c>
      <c r="N3326" t="b">
        <f>AND(TrafficData[[#This Row],[disposedChallan]]&lt;=TrafficData[[#This Row],[totalChallan]],TrafficData[[#This Row],[pendingChallan]]&lt;=TrafficData[[#This Row],[totalChallan]])</f>
        <v>1</v>
      </c>
      <c r="O3326" t="b">
        <f>AND(TrafficData[[#This Row],[pendingAmount]]&lt;=TrafficData[[#This Row],[totalAmount]],TrafficData[[#This Row],[disposedAmount]]&lt;=TrafficData[[#This Row],[totalAmount]])</f>
        <v>1</v>
      </c>
      <c r="P3326" t="b">
        <f>AND(TrafficData[[#This Row],[pendingCourt]]&lt;=TrafficData[[#This Row],[totalCourt]],TrafficData[[#This Row],[disposedCourt]]&lt;=TrafficData[[#This Row],[totalCourt]])</f>
        <v>1</v>
      </c>
    </row>
    <row r="3327" spans="1:16">
      <c r="A3327" s="1">
        <v>45331</v>
      </c>
      <c r="B3327">
        <v>220230</v>
      </c>
      <c r="C3327">
        <v>78712</v>
      </c>
      <c r="D3327">
        <v>141518</v>
      </c>
      <c r="E3327">
        <v>209816240</v>
      </c>
      <c r="F3327">
        <v>120520845</v>
      </c>
      <c r="G3327">
        <v>330337085</v>
      </c>
      <c r="H3327">
        <v>69271</v>
      </c>
      <c r="I3327">
        <v>10988</v>
      </c>
      <c r="J3327">
        <v>80259</v>
      </c>
      <c r="K3327" t="b">
        <f>TrafficData[[#This Row],[disposedChallan]]+TrafficData[[#This Row],[pendingChallan]]=TrafficData[[#This Row],[totalChallan]]</f>
        <v>1</v>
      </c>
      <c r="L3327" t="b">
        <f>TrafficData[[#This Row],[pendingAmount]]+TrafficData[[#This Row],[disposedAmount]]=TrafficData[[#This Row],[totalAmount]]</f>
        <v>1</v>
      </c>
      <c r="M3327" t="b">
        <f>TrafficData[[#This Row],[pendingCourt]]+TrafficData[[#This Row],[disposedCourt]]=TrafficData[[#This Row],[totalCourt]]</f>
        <v>1</v>
      </c>
      <c r="N3327" t="b">
        <f>AND(TrafficData[[#This Row],[disposedChallan]]&lt;=TrafficData[[#This Row],[totalChallan]],TrafficData[[#This Row],[pendingChallan]]&lt;=TrafficData[[#This Row],[totalChallan]])</f>
        <v>1</v>
      </c>
      <c r="O3327" t="b">
        <f>AND(TrafficData[[#This Row],[pendingAmount]]&lt;=TrafficData[[#This Row],[totalAmount]],TrafficData[[#This Row],[disposedAmount]]&lt;=TrafficData[[#This Row],[totalAmount]])</f>
        <v>1</v>
      </c>
      <c r="P3327" t="b">
        <f>AND(TrafficData[[#This Row],[pendingCourt]]&lt;=TrafficData[[#This Row],[totalCourt]],TrafficData[[#This Row],[disposedCourt]]&lt;=TrafficData[[#This Row],[totalCourt]])</f>
        <v>1</v>
      </c>
    </row>
    <row r="3328" spans="1:16">
      <c r="A3328" s="1">
        <v>45332</v>
      </c>
      <c r="B3328">
        <v>213407</v>
      </c>
      <c r="C3328">
        <v>76088</v>
      </c>
      <c r="D3328">
        <v>137319</v>
      </c>
      <c r="E3328">
        <v>192830450</v>
      </c>
      <c r="F3328">
        <v>109125747</v>
      </c>
      <c r="G3328">
        <v>301956197</v>
      </c>
      <c r="H3328">
        <v>67309</v>
      </c>
      <c r="I3328">
        <v>10800</v>
      </c>
      <c r="J3328">
        <v>78109</v>
      </c>
      <c r="K3328" t="b">
        <f>TrafficData[[#This Row],[disposedChallan]]+TrafficData[[#This Row],[pendingChallan]]=TrafficData[[#This Row],[totalChallan]]</f>
        <v>1</v>
      </c>
      <c r="L3328" t="b">
        <f>TrafficData[[#This Row],[pendingAmount]]+TrafficData[[#This Row],[disposedAmount]]=TrafficData[[#This Row],[totalAmount]]</f>
        <v>1</v>
      </c>
      <c r="M3328" t="b">
        <f>TrafficData[[#This Row],[pendingCourt]]+TrafficData[[#This Row],[disposedCourt]]=TrafficData[[#This Row],[totalCourt]]</f>
        <v>1</v>
      </c>
      <c r="N3328" t="b">
        <f>AND(TrafficData[[#This Row],[disposedChallan]]&lt;=TrafficData[[#This Row],[totalChallan]],TrafficData[[#This Row],[pendingChallan]]&lt;=TrafficData[[#This Row],[totalChallan]])</f>
        <v>1</v>
      </c>
      <c r="O3328" t="b">
        <f>AND(TrafficData[[#This Row],[pendingAmount]]&lt;=TrafficData[[#This Row],[totalAmount]],TrafficData[[#This Row],[disposedAmount]]&lt;=TrafficData[[#This Row],[totalAmount]])</f>
        <v>1</v>
      </c>
      <c r="P3328" t="b">
        <f>AND(TrafficData[[#This Row],[pendingCourt]]&lt;=TrafficData[[#This Row],[totalCourt]],TrafficData[[#This Row],[disposedCourt]]&lt;=TrafficData[[#This Row],[totalCourt]])</f>
        <v>1</v>
      </c>
    </row>
    <row r="3329" spans="1:16">
      <c r="A3329" s="1">
        <v>45333</v>
      </c>
      <c r="B3329">
        <v>193284</v>
      </c>
      <c r="C3329">
        <v>66410</v>
      </c>
      <c r="D3329">
        <v>126874</v>
      </c>
      <c r="E3329">
        <v>171871372</v>
      </c>
      <c r="F3329">
        <v>81745676</v>
      </c>
      <c r="G3329">
        <v>253617048</v>
      </c>
      <c r="H3329">
        <v>60744</v>
      </c>
      <c r="I3329">
        <v>9292</v>
      </c>
      <c r="J3329">
        <v>70036</v>
      </c>
      <c r="K3329" t="b">
        <f>TrafficData[[#This Row],[disposedChallan]]+TrafficData[[#This Row],[pendingChallan]]=TrafficData[[#This Row],[totalChallan]]</f>
        <v>1</v>
      </c>
      <c r="L3329" t="b">
        <f>TrafficData[[#This Row],[pendingAmount]]+TrafficData[[#This Row],[disposedAmount]]=TrafficData[[#This Row],[totalAmount]]</f>
        <v>1</v>
      </c>
      <c r="M3329" t="b">
        <f>TrafficData[[#This Row],[pendingCourt]]+TrafficData[[#This Row],[disposedCourt]]=TrafficData[[#This Row],[totalCourt]]</f>
        <v>1</v>
      </c>
      <c r="N3329" t="b">
        <f>AND(TrafficData[[#This Row],[disposedChallan]]&lt;=TrafficData[[#This Row],[totalChallan]],TrafficData[[#This Row],[pendingChallan]]&lt;=TrafficData[[#This Row],[totalChallan]])</f>
        <v>1</v>
      </c>
      <c r="O3329" t="b">
        <f>AND(TrafficData[[#This Row],[pendingAmount]]&lt;=TrafficData[[#This Row],[totalAmount]],TrafficData[[#This Row],[disposedAmount]]&lt;=TrafficData[[#This Row],[totalAmount]])</f>
        <v>1</v>
      </c>
      <c r="P3329" t="b">
        <f>AND(TrafficData[[#This Row],[pendingCourt]]&lt;=TrafficData[[#This Row],[totalCourt]],TrafficData[[#This Row],[disposedCourt]]&lt;=TrafficData[[#This Row],[totalCourt]])</f>
        <v>1</v>
      </c>
    </row>
    <row r="3330" spans="1:16">
      <c r="A3330" s="1">
        <v>45334</v>
      </c>
      <c r="B3330">
        <v>210235</v>
      </c>
      <c r="C3330">
        <v>73191</v>
      </c>
      <c r="D3330">
        <v>137044</v>
      </c>
      <c r="E3330">
        <v>203685510</v>
      </c>
      <c r="F3330">
        <v>106842368</v>
      </c>
      <c r="G3330">
        <v>310527878</v>
      </c>
      <c r="H3330">
        <v>62470</v>
      </c>
      <c r="I3330">
        <v>10423</v>
      </c>
      <c r="J3330">
        <v>72893</v>
      </c>
      <c r="K3330" t="b">
        <f>TrafficData[[#This Row],[disposedChallan]]+TrafficData[[#This Row],[pendingChallan]]=TrafficData[[#This Row],[totalChallan]]</f>
        <v>1</v>
      </c>
      <c r="L3330" t="b">
        <f>TrafficData[[#This Row],[pendingAmount]]+TrafficData[[#This Row],[disposedAmount]]=TrafficData[[#This Row],[totalAmount]]</f>
        <v>1</v>
      </c>
      <c r="M3330" t="b">
        <f>TrafficData[[#This Row],[pendingCourt]]+TrafficData[[#This Row],[disposedCourt]]=TrafficData[[#This Row],[totalCourt]]</f>
        <v>1</v>
      </c>
      <c r="N3330" t="b">
        <f>AND(TrafficData[[#This Row],[disposedChallan]]&lt;=TrafficData[[#This Row],[totalChallan]],TrafficData[[#This Row],[pendingChallan]]&lt;=TrafficData[[#This Row],[totalChallan]])</f>
        <v>1</v>
      </c>
      <c r="O3330" t="b">
        <f>AND(TrafficData[[#This Row],[pendingAmount]]&lt;=TrafficData[[#This Row],[totalAmount]],TrafficData[[#This Row],[disposedAmount]]&lt;=TrafficData[[#This Row],[totalAmount]])</f>
        <v>1</v>
      </c>
      <c r="P3330" t="b">
        <f>AND(TrafficData[[#This Row],[pendingCourt]]&lt;=TrafficData[[#This Row],[totalCourt]],TrafficData[[#This Row],[disposedCourt]]&lt;=TrafficData[[#This Row],[totalCourt]])</f>
        <v>1</v>
      </c>
    </row>
    <row r="3331" spans="1:16">
      <c r="A3331" s="1">
        <v>45335</v>
      </c>
      <c r="B3331">
        <v>206727</v>
      </c>
      <c r="C3331">
        <v>73954</v>
      </c>
      <c r="D3331">
        <v>132773</v>
      </c>
      <c r="E3331">
        <v>201198317</v>
      </c>
      <c r="F3331">
        <v>108175946</v>
      </c>
      <c r="G3331">
        <v>309374263</v>
      </c>
      <c r="H3331">
        <v>62359</v>
      </c>
      <c r="I3331">
        <v>9836</v>
      </c>
      <c r="J3331">
        <v>72195</v>
      </c>
      <c r="K3331" t="b">
        <f>TrafficData[[#This Row],[disposedChallan]]+TrafficData[[#This Row],[pendingChallan]]=TrafficData[[#This Row],[totalChallan]]</f>
        <v>1</v>
      </c>
      <c r="L3331" t="b">
        <f>TrafficData[[#This Row],[pendingAmount]]+TrafficData[[#This Row],[disposedAmount]]=TrafficData[[#This Row],[totalAmount]]</f>
        <v>1</v>
      </c>
      <c r="M3331" t="b">
        <f>TrafficData[[#This Row],[pendingCourt]]+TrafficData[[#This Row],[disposedCourt]]=TrafficData[[#This Row],[totalCourt]]</f>
        <v>1</v>
      </c>
      <c r="N3331" t="b">
        <f>AND(TrafficData[[#This Row],[disposedChallan]]&lt;=TrafficData[[#This Row],[totalChallan]],TrafficData[[#This Row],[pendingChallan]]&lt;=TrafficData[[#This Row],[totalChallan]])</f>
        <v>1</v>
      </c>
      <c r="O3331" t="b">
        <f>AND(TrafficData[[#This Row],[pendingAmount]]&lt;=TrafficData[[#This Row],[totalAmount]],TrafficData[[#This Row],[disposedAmount]]&lt;=TrafficData[[#This Row],[totalAmount]])</f>
        <v>1</v>
      </c>
      <c r="P3331" t="b">
        <f>AND(TrafficData[[#This Row],[pendingCourt]]&lt;=TrafficData[[#This Row],[totalCourt]],TrafficData[[#This Row],[disposedCourt]]&lt;=TrafficData[[#This Row],[totalCourt]])</f>
        <v>1</v>
      </c>
    </row>
    <row r="3332" spans="1:16">
      <c r="A3332" s="1">
        <v>45336</v>
      </c>
      <c r="B3332">
        <v>212039</v>
      </c>
      <c r="C3332">
        <v>74157</v>
      </c>
      <c r="D3332">
        <v>137882</v>
      </c>
      <c r="E3332">
        <v>202928918</v>
      </c>
      <c r="F3332">
        <v>104221954</v>
      </c>
      <c r="G3332">
        <v>307150872</v>
      </c>
      <c r="H3332">
        <v>68570</v>
      </c>
      <c r="I3332">
        <v>10247</v>
      </c>
      <c r="J3332">
        <v>78817</v>
      </c>
      <c r="K3332" t="b">
        <f>TrafficData[[#This Row],[disposedChallan]]+TrafficData[[#This Row],[pendingChallan]]=TrafficData[[#This Row],[totalChallan]]</f>
        <v>1</v>
      </c>
      <c r="L3332" t="b">
        <f>TrafficData[[#This Row],[pendingAmount]]+TrafficData[[#This Row],[disposedAmount]]=TrafficData[[#This Row],[totalAmount]]</f>
        <v>1</v>
      </c>
      <c r="M3332" t="b">
        <f>TrafficData[[#This Row],[pendingCourt]]+TrafficData[[#This Row],[disposedCourt]]=TrafficData[[#This Row],[totalCourt]]</f>
        <v>1</v>
      </c>
      <c r="N3332" t="b">
        <f>AND(TrafficData[[#This Row],[disposedChallan]]&lt;=TrafficData[[#This Row],[totalChallan]],TrafficData[[#This Row],[pendingChallan]]&lt;=TrafficData[[#This Row],[totalChallan]])</f>
        <v>1</v>
      </c>
      <c r="O3332" t="b">
        <f>AND(TrafficData[[#This Row],[pendingAmount]]&lt;=TrafficData[[#This Row],[totalAmount]],TrafficData[[#This Row],[disposedAmount]]&lt;=TrafficData[[#This Row],[totalAmount]])</f>
        <v>1</v>
      </c>
      <c r="P3332" t="b">
        <f>AND(TrafficData[[#This Row],[pendingCourt]]&lt;=TrafficData[[#This Row],[totalCourt]],TrafficData[[#This Row],[disposedCourt]]&lt;=TrafficData[[#This Row],[totalCourt]])</f>
        <v>1</v>
      </c>
    </row>
    <row r="3333" spans="1:16">
      <c r="A3333" s="1">
        <v>45337</v>
      </c>
      <c r="B3333">
        <v>214600</v>
      </c>
      <c r="C3333">
        <v>75775</v>
      </c>
      <c r="D3333">
        <v>138825</v>
      </c>
      <c r="E3333">
        <v>204583005</v>
      </c>
      <c r="F3333">
        <v>115492101</v>
      </c>
      <c r="G3333">
        <v>320075106</v>
      </c>
      <c r="H3333">
        <v>69611</v>
      </c>
      <c r="I3333">
        <v>10735</v>
      </c>
      <c r="J3333">
        <v>80346</v>
      </c>
      <c r="K3333" t="b">
        <f>TrafficData[[#This Row],[disposedChallan]]+TrafficData[[#This Row],[pendingChallan]]=TrafficData[[#This Row],[totalChallan]]</f>
        <v>1</v>
      </c>
      <c r="L3333" t="b">
        <f>TrafficData[[#This Row],[pendingAmount]]+TrafficData[[#This Row],[disposedAmount]]=TrafficData[[#This Row],[totalAmount]]</f>
        <v>1</v>
      </c>
      <c r="M3333" t="b">
        <f>TrafficData[[#This Row],[pendingCourt]]+TrafficData[[#This Row],[disposedCourt]]=TrafficData[[#This Row],[totalCourt]]</f>
        <v>1</v>
      </c>
      <c r="N3333" t="b">
        <f>AND(TrafficData[[#This Row],[disposedChallan]]&lt;=TrafficData[[#This Row],[totalChallan]],TrafficData[[#This Row],[pendingChallan]]&lt;=TrafficData[[#This Row],[totalChallan]])</f>
        <v>1</v>
      </c>
      <c r="O3333" t="b">
        <f>AND(TrafficData[[#This Row],[pendingAmount]]&lt;=TrafficData[[#This Row],[totalAmount]],TrafficData[[#This Row],[disposedAmount]]&lt;=TrafficData[[#This Row],[totalAmount]])</f>
        <v>1</v>
      </c>
      <c r="P3333" t="b">
        <f>AND(TrafficData[[#This Row],[pendingCourt]]&lt;=TrafficData[[#This Row],[totalCourt]],TrafficData[[#This Row],[disposedCourt]]&lt;=TrafficData[[#This Row],[totalCourt]])</f>
        <v>1</v>
      </c>
    </row>
    <row r="3334" spans="1:16">
      <c r="A3334" s="1">
        <v>45338</v>
      </c>
      <c r="B3334">
        <v>211180</v>
      </c>
      <c r="C3334">
        <v>74858</v>
      </c>
      <c r="D3334">
        <v>136322</v>
      </c>
      <c r="E3334">
        <v>192763775</v>
      </c>
      <c r="F3334">
        <v>113530609</v>
      </c>
      <c r="G3334">
        <v>306294384</v>
      </c>
      <c r="H3334">
        <v>66890</v>
      </c>
      <c r="I3334">
        <v>9915</v>
      </c>
      <c r="J3334">
        <v>76805</v>
      </c>
      <c r="K3334" t="b">
        <f>TrafficData[[#This Row],[disposedChallan]]+TrafficData[[#This Row],[pendingChallan]]=TrafficData[[#This Row],[totalChallan]]</f>
        <v>1</v>
      </c>
      <c r="L3334" t="b">
        <f>TrafficData[[#This Row],[pendingAmount]]+TrafficData[[#This Row],[disposedAmount]]=TrafficData[[#This Row],[totalAmount]]</f>
        <v>1</v>
      </c>
      <c r="M3334" t="b">
        <f>TrafficData[[#This Row],[pendingCourt]]+TrafficData[[#This Row],[disposedCourt]]=TrafficData[[#This Row],[totalCourt]]</f>
        <v>1</v>
      </c>
      <c r="N3334" t="b">
        <f>AND(TrafficData[[#This Row],[disposedChallan]]&lt;=TrafficData[[#This Row],[totalChallan]],TrafficData[[#This Row],[pendingChallan]]&lt;=TrafficData[[#This Row],[totalChallan]])</f>
        <v>1</v>
      </c>
      <c r="O3334" t="b">
        <f>AND(TrafficData[[#This Row],[pendingAmount]]&lt;=TrafficData[[#This Row],[totalAmount]],TrafficData[[#This Row],[disposedAmount]]&lt;=TrafficData[[#This Row],[totalAmount]])</f>
        <v>1</v>
      </c>
      <c r="P3334" t="b">
        <f>AND(TrafficData[[#This Row],[pendingCourt]]&lt;=TrafficData[[#This Row],[totalCourt]],TrafficData[[#This Row],[disposedCourt]]&lt;=TrafficData[[#This Row],[totalCourt]])</f>
        <v>1</v>
      </c>
    </row>
    <row r="3335" spans="1:16">
      <c r="A3335" s="1">
        <v>45339</v>
      </c>
      <c r="B3335">
        <v>202536</v>
      </c>
      <c r="C3335">
        <v>76134</v>
      </c>
      <c r="D3335">
        <v>126402</v>
      </c>
      <c r="E3335">
        <v>185819464</v>
      </c>
      <c r="F3335">
        <v>112404316</v>
      </c>
      <c r="G3335">
        <v>298223780</v>
      </c>
      <c r="H3335">
        <v>57535</v>
      </c>
      <c r="I3335">
        <v>9645</v>
      </c>
      <c r="J3335">
        <v>67180</v>
      </c>
      <c r="K3335" t="b">
        <f>TrafficData[[#This Row],[disposedChallan]]+TrafficData[[#This Row],[pendingChallan]]=TrafficData[[#This Row],[totalChallan]]</f>
        <v>1</v>
      </c>
      <c r="L3335" t="b">
        <f>TrafficData[[#This Row],[pendingAmount]]+TrafficData[[#This Row],[disposedAmount]]=TrafficData[[#This Row],[totalAmount]]</f>
        <v>1</v>
      </c>
      <c r="M3335" t="b">
        <f>TrafficData[[#This Row],[pendingCourt]]+TrafficData[[#This Row],[disposedCourt]]=TrafficData[[#This Row],[totalCourt]]</f>
        <v>1</v>
      </c>
      <c r="N3335" t="b">
        <f>AND(TrafficData[[#This Row],[disposedChallan]]&lt;=TrafficData[[#This Row],[totalChallan]],TrafficData[[#This Row],[pendingChallan]]&lt;=TrafficData[[#This Row],[totalChallan]])</f>
        <v>1</v>
      </c>
      <c r="O3335" t="b">
        <f>AND(TrafficData[[#This Row],[pendingAmount]]&lt;=TrafficData[[#This Row],[totalAmount]],TrafficData[[#This Row],[disposedAmount]]&lt;=TrafficData[[#This Row],[totalAmount]])</f>
        <v>1</v>
      </c>
      <c r="P3335" t="b">
        <f>AND(TrafficData[[#This Row],[pendingCourt]]&lt;=TrafficData[[#This Row],[totalCourt]],TrafficData[[#This Row],[disposedCourt]]&lt;=TrafficData[[#This Row],[totalCourt]])</f>
        <v>1</v>
      </c>
    </row>
    <row r="3336" spans="1:16">
      <c r="A3336" s="1">
        <v>45340</v>
      </c>
      <c r="B3336">
        <v>189060</v>
      </c>
      <c r="C3336">
        <v>65247</v>
      </c>
      <c r="D3336">
        <v>123813</v>
      </c>
      <c r="E3336">
        <v>165080733</v>
      </c>
      <c r="F3336">
        <v>81490377</v>
      </c>
      <c r="G3336">
        <v>246571110</v>
      </c>
      <c r="H3336">
        <v>55378</v>
      </c>
      <c r="I3336">
        <v>8473</v>
      </c>
      <c r="J3336">
        <v>63851</v>
      </c>
      <c r="K3336" t="b">
        <f>TrafficData[[#This Row],[disposedChallan]]+TrafficData[[#This Row],[pendingChallan]]=TrafficData[[#This Row],[totalChallan]]</f>
        <v>1</v>
      </c>
      <c r="L3336" t="b">
        <f>TrafficData[[#This Row],[pendingAmount]]+TrafficData[[#This Row],[disposedAmount]]=TrafficData[[#This Row],[totalAmount]]</f>
        <v>1</v>
      </c>
      <c r="M3336" t="b">
        <f>TrafficData[[#This Row],[pendingCourt]]+TrafficData[[#This Row],[disposedCourt]]=TrafficData[[#This Row],[totalCourt]]</f>
        <v>1</v>
      </c>
      <c r="N3336" t="b">
        <f>AND(TrafficData[[#This Row],[disposedChallan]]&lt;=TrafficData[[#This Row],[totalChallan]],TrafficData[[#This Row],[pendingChallan]]&lt;=TrafficData[[#This Row],[totalChallan]])</f>
        <v>1</v>
      </c>
      <c r="O3336" t="b">
        <f>AND(TrafficData[[#This Row],[pendingAmount]]&lt;=TrafficData[[#This Row],[totalAmount]],TrafficData[[#This Row],[disposedAmount]]&lt;=TrafficData[[#This Row],[totalAmount]])</f>
        <v>1</v>
      </c>
      <c r="P3336" t="b">
        <f>AND(TrafficData[[#This Row],[pendingCourt]]&lt;=TrafficData[[#This Row],[totalCourt]],TrafficData[[#This Row],[disposedCourt]]&lt;=TrafficData[[#This Row],[totalCourt]])</f>
        <v>1</v>
      </c>
    </row>
    <row r="3337" spans="1:16">
      <c r="A3337" s="1">
        <v>45341</v>
      </c>
      <c r="B3337">
        <v>202578</v>
      </c>
      <c r="C3337">
        <v>69568</v>
      </c>
      <c r="D3337">
        <v>133010</v>
      </c>
      <c r="E3337">
        <v>193880685</v>
      </c>
      <c r="F3337">
        <v>99758781</v>
      </c>
      <c r="G3337">
        <v>293639466</v>
      </c>
      <c r="H3337">
        <v>64138</v>
      </c>
      <c r="I3337">
        <v>9645</v>
      </c>
      <c r="J3337">
        <v>73783</v>
      </c>
      <c r="K3337" t="b">
        <f>TrafficData[[#This Row],[disposedChallan]]+TrafficData[[#This Row],[pendingChallan]]=TrafficData[[#This Row],[totalChallan]]</f>
        <v>1</v>
      </c>
      <c r="L3337" t="b">
        <f>TrafficData[[#This Row],[pendingAmount]]+TrafficData[[#This Row],[disposedAmount]]=TrafficData[[#This Row],[totalAmount]]</f>
        <v>1</v>
      </c>
      <c r="M3337" t="b">
        <f>TrafficData[[#This Row],[pendingCourt]]+TrafficData[[#This Row],[disposedCourt]]=TrafficData[[#This Row],[totalCourt]]</f>
        <v>1</v>
      </c>
      <c r="N3337" t="b">
        <f>AND(TrafficData[[#This Row],[disposedChallan]]&lt;=TrafficData[[#This Row],[totalChallan]],TrafficData[[#This Row],[pendingChallan]]&lt;=TrafficData[[#This Row],[totalChallan]])</f>
        <v>1</v>
      </c>
      <c r="O3337" t="b">
        <f>AND(TrafficData[[#This Row],[pendingAmount]]&lt;=TrafficData[[#This Row],[totalAmount]],TrafficData[[#This Row],[disposedAmount]]&lt;=TrafficData[[#This Row],[totalAmount]])</f>
        <v>1</v>
      </c>
      <c r="P3337" t="b">
        <f>AND(TrafficData[[#This Row],[pendingCourt]]&lt;=TrafficData[[#This Row],[totalCourt]],TrafficData[[#This Row],[disposedCourt]]&lt;=TrafficData[[#This Row],[totalCourt]])</f>
        <v>1</v>
      </c>
    </row>
    <row r="3338" spans="1:16">
      <c r="A3338" s="1">
        <v>45342</v>
      </c>
      <c r="B3338">
        <v>185213</v>
      </c>
      <c r="C3338">
        <v>63993</v>
      </c>
      <c r="D3338">
        <v>121220</v>
      </c>
      <c r="E3338">
        <v>177461401</v>
      </c>
      <c r="F3338">
        <v>105405247</v>
      </c>
      <c r="G3338">
        <v>282866648</v>
      </c>
      <c r="H3338">
        <v>58872</v>
      </c>
      <c r="I3338">
        <v>8416</v>
      </c>
      <c r="J3338">
        <v>67288</v>
      </c>
      <c r="K3338" t="b">
        <f>TrafficData[[#This Row],[disposedChallan]]+TrafficData[[#This Row],[pendingChallan]]=TrafficData[[#This Row],[totalChallan]]</f>
        <v>1</v>
      </c>
      <c r="L3338" t="b">
        <f>TrafficData[[#This Row],[pendingAmount]]+TrafficData[[#This Row],[disposedAmount]]=TrafficData[[#This Row],[totalAmount]]</f>
        <v>1</v>
      </c>
      <c r="M3338" t="b">
        <f>TrafficData[[#This Row],[pendingCourt]]+TrafficData[[#This Row],[disposedCourt]]=TrafficData[[#This Row],[totalCourt]]</f>
        <v>1</v>
      </c>
      <c r="N3338" t="b">
        <f>AND(TrafficData[[#This Row],[disposedChallan]]&lt;=TrafficData[[#This Row],[totalChallan]],TrafficData[[#This Row],[pendingChallan]]&lt;=TrafficData[[#This Row],[totalChallan]])</f>
        <v>1</v>
      </c>
      <c r="O3338" t="b">
        <f>AND(TrafficData[[#This Row],[pendingAmount]]&lt;=TrafficData[[#This Row],[totalAmount]],TrafficData[[#This Row],[disposedAmount]]&lt;=TrafficData[[#This Row],[totalAmount]])</f>
        <v>1</v>
      </c>
      <c r="P3338" t="b">
        <f>AND(TrafficData[[#This Row],[pendingCourt]]&lt;=TrafficData[[#This Row],[totalCourt]],TrafficData[[#This Row],[disposedCourt]]&lt;=TrafficData[[#This Row],[totalCourt]])</f>
        <v>1</v>
      </c>
    </row>
    <row r="3339" spans="1:16">
      <c r="A3339" s="1">
        <v>45343</v>
      </c>
      <c r="B3339">
        <v>209807</v>
      </c>
      <c r="C3339">
        <v>72031</v>
      </c>
      <c r="D3339">
        <v>137776</v>
      </c>
      <c r="E3339">
        <v>198442780</v>
      </c>
      <c r="F3339">
        <v>118969845</v>
      </c>
      <c r="G3339">
        <v>317412625</v>
      </c>
      <c r="H3339">
        <v>63251</v>
      </c>
      <c r="I3339">
        <v>9674</v>
      </c>
      <c r="J3339">
        <v>72925</v>
      </c>
      <c r="K3339" t="b">
        <f>TrafficData[[#This Row],[disposedChallan]]+TrafficData[[#This Row],[pendingChallan]]=TrafficData[[#This Row],[totalChallan]]</f>
        <v>1</v>
      </c>
      <c r="L3339" t="b">
        <f>TrafficData[[#This Row],[pendingAmount]]+TrafficData[[#This Row],[disposedAmount]]=TrafficData[[#This Row],[totalAmount]]</f>
        <v>1</v>
      </c>
      <c r="M3339" t="b">
        <f>TrafficData[[#This Row],[pendingCourt]]+TrafficData[[#This Row],[disposedCourt]]=TrafficData[[#This Row],[totalCourt]]</f>
        <v>1</v>
      </c>
      <c r="N3339" t="b">
        <f>AND(TrafficData[[#This Row],[disposedChallan]]&lt;=TrafficData[[#This Row],[totalChallan]],TrafficData[[#This Row],[pendingChallan]]&lt;=TrafficData[[#This Row],[totalChallan]])</f>
        <v>1</v>
      </c>
      <c r="O3339" t="b">
        <f>AND(TrafficData[[#This Row],[pendingAmount]]&lt;=TrafficData[[#This Row],[totalAmount]],TrafficData[[#This Row],[disposedAmount]]&lt;=TrafficData[[#This Row],[totalAmount]])</f>
        <v>1</v>
      </c>
      <c r="P3339" t="b">
        <f>AND(TrafficData[[#This Row],[pendingCourt]]&lt;=TrafficData[[#This Row],[totalCourt]],TrafficData[[#This Row],[disposedCourt]]&lt;=TrafficData[[#This Row],[totalCourt]])</f>
        <v>1</v>
      </c>
    </row>
    <row r="3340" spans="1:16">
      <c r="A3340" s="1">
        <v>45344</v>
      </c>
      <c r="B3340">
        <v>209651</v>
      </c>
      <c r="C3340">
        <v>73039</v>
      </c>
      <c r="D3340">
        <v>136612</v>
      </c>
      <c r="E3340">
        <v>196212885</v>
      </c>
      <c r="F3340">
        <v>119116037</v>
      </c>
      <c r="G3340">
        <v>315328922</v>
      </c>
      <c r="H3340">
        <v>64469</v>
      </c>
      <c r="I3340">
        <v>9946</v>
      </c>
      <c r="J3340">
        <v>74415</v>
      </c>
      <c r="K3340" t="b">
        <f>TrafficData[[#This Row],[disposedChallan]]+TrafficData[[#This Row],[pendingChallan]]=TrafficData[[#This Row],[totalChallan]]</f>
        <v>1</v>
      </c>
      <c r="L3340" t="b">
        <f>TrafficData[[#This Row],[pendingAmount]]+TrafficData[[#This Row],[disposedAmount]]=TrafficData[[#This Row],[totalAmount]]</f>
        <v>1</v>
      </c>
      <c r="M3340" t="b">
        <f>TrafficData[[#This Row],[pendingCourt]]+TrafficData[[#This Row],[disposedCourt]]=TrafficData[[#This Row],[totalCourt]]</f>
        <v>1</v>
      </c>
      <c r="N3340" t="b">
        <f>AND(TrafficData[[#This Row],[disposedChallan]]&lt;=TrafficData[[#This Row],[totalChallan]],TrafficData[[#This Row],[pendingChallan]]&lt;=TrafficData[[#This Row],[totalChallan]])</f>
        <v>1</v>
      </c>
      <c r="O3340" t="b">
        <f>AND(TrafficData[[#This Row],[pendingAmount]]&lt;=TrafficData[[#This Row],[totalAmount]],TrafficData[[#This Row],[disposedAmount]]&lt;=TrafficData[[#This Row],[totalAmount]])</f>
        <v>1</v>
      </c>
      <c r="P3340" t="b">
        <f>AND(TrafficData[[#This Row],[pendingCourt]]&lt;=TrafficData[[#This Row],[totalCourt]],TrafficData[[#This Row],[disposedCourt]]&lt;=TrafficData[[#This Row],[totalCourt]])</f>
        <v>1</v>
      </c>
    </row>
    <row r="3341" spans="1:16">
      <c r="A3341" s="1">
        <v>45345</v>
      </c>
      <c r="B3341">
        <v>211215</v>
      </c>
      <c r="C3341">
        <v>74909</v>
      </c>
      <c r="D3341">
        <v>136306</v>
      </c>
      <c r="E3341">
        <v>196626433</v>
      </c>
      <c r="F3341">
        <v>114511412</v>
      </c>
      <c r="G3341">
        <v>311137845</v>
      </c>
      <c r="H3341">
        <v>65843</v>
      </c>
      <c r="I3341">
        <v>10113</v>
      </c>
      <c r="J3341">
        <v>75956</v>
      </c>
      <c r="K3341" t="b">
        <f>TrafficData[[#This Row],[disposedChallan]]+TrafficData[[#This Row],[pendingChallan]]=TrafficData[[#This Row],[totalChallan]]</f>
        <v>1</v>
      </c>
      <c r="L3341" t="b">
        <f>TrafficData[[#This Row],[pendingAmount]]+TrafficData[[#This Row],[disposedAmount]]=TrafficData[[#This Row],[totalAmount]]</f>
        <v>1</v>
      </c>
      <c r="M3341" t="b">
        <f>TrafficData[[#This Row],[pendingCourt]]+TrafficData[[#This Row],[disposedCourt]]=TrafficData[[#This Row],[totalCourt]]</f>
        <v>1</v>
      </c>
      <c r="N3341" t="b">
        <f>AND(TrafficData[[#This Row],[disposedChallan]]&lt;=TrafficData[[#This Row],[totalChallan]],TrafficData[[#This Row],[pendingChallan]]&lt;=TrafficData[[#This Row],[totalChallan]])</f>
        <v>1</v>
      </c>
      <c r="O3341" t="b">
        <f>AND(TrafficData[[#This Row],[pendingAmount]]&lt;=TrafficData[[#This Row],[totalAmount]],TrafficData[[#This Row],[disposedAmount]]&lt;=TrafficData[[#This Row],[totalAmount]])</f>
        <v>1</v>
      </c>
      <c r="P3341" t="b">
        <f>AND(TrafficData[[#This Row],[pendingCourt]]&lt;=TrafficData[[#This Row],[totalCourt]],TrafficData[[#This Row],[disposedCourt]]&lt;=TrafficData[[#This Row],[totalCourt]])</f>
        <v>1</v>
      </c>
    </row>
    <row r="3342" spans="1:16">
      <c r="A3342" s="1">
        <v>45346</v>
      </c>
      <c r="B3342">
        <v>199303</v>
      </c>
      <c r="C3342">
        <v>71110</v>
      </c>
      <c r="D3342">
        <v>128193</v>
      </c>
      <c r="E3342">
        <v>174681758</v>
      </c>
      <c r="F3342">
        <v>100405777</v>
      </c>
      <c r="G3342">
        <v>275087535</v>
      </c>
      <c r="H3342">
        <v>62421</v>
      </c>
      <c r="I3342">
        <v>9929</v>
      </c>
      <c r="J3342">
        <v>72350</v>
      </c>
      <c r="K3342" t="b">
        <f>TrafficData[[#This Row],[disposedChallan]]+TrafficData[[#This Row],[pendingChallan]]=TrafficData[[#This Row],[totalChallan]]</f>
        <v>1</v>
      </c>
      <c r="L3342" t="b">
        <f>TrafficData[[#This Row],[pendingAmount]]+TrafficData[[#This Row],[disposedAmount]]=TrafficData[[#This Row],[totalAmount]]</f>
        <v>1</v>
      </c>
      <c r="M3342" t="b">
        <f>TrafficData[[#This Row],[pendingCourt]]+TrafficData[[#This Row],[disposedCourt]]=TrafficData[[#This Row],[totalCourt]]</f>
        <v>1</v>
      </c>
      <c r="N3342" t="b">
        <f>AND(TrafficData[[#This Row],[disposedChallan]]&lt;=TrafficData[[#This Row],[totalChallan]],TrafficData[[#This Row],[pendingChallan]]&lt;=TrafficData[[#This Row],[totalChallan]])</f>
        <v>1</v>
      </c>
      <c r="O3342" t="b">
        <f>AND(TrafficData[[#This Row],[pendingAmount]]&lt;=TrafficData[[#This Row],[totalAmount]],TrafficData[[#This Row],[disposedAmount]]&lt;=TrafficData[[#This Row],[totalAmount]])</f>
        <v>1</v>
      </c>
      <c r="P3342" t="b">
        <f>AND(TrafficData[[#This Row],[pendingCourt]]&lt;=TrafficData[[#This Row],[totalCourt]],TrafficData[[#This Row],[disposedCourt]]&lt;=TrafficData[[#This Row],[totalCourt]])</f>
        <v>1</v>
      </c>
    </row>
    <row r="3343" spans="1:16">
      <c r="A3343" s="1">
        <v>45347</v>
      </c>
      <c r="B3343">
        <v>184801</v>
      </c>
      <c r="C3343">
        <v>61725</v>
      </c>
      <c r="D3343">
        <v>123076</v>
      </c>
      <c r="E3343">
        <v>169592299</v>
      </c>
      <c r="F3343">
        <v>79470373</v>
      </c>
      <c r="G3343">
        <v>249062672</v>
      </c>
      <c r="H3343">
        <v>60274</v>
      </c>
      <c r="I3343">
        <v>9207</v>
      </c>
      <c r="J3343">
        <v>69481</v>
      </c>
      <c r="K3343" t="b">
        <f>TrafficData[[#This Row],[disposedChallan]]+TrafficData[[#This Row],[pendingChallan]]=TrafficData[[#This Row],[totalChallan]]</f>
        <v>1</v>
      </c>
      <c r="L3343" t="b">
        <f>TrafficData[[#This Row],[pendingAmount]]+TrafficData[[#This Row],[disposedAmount]]=TrafficData[[#This Row],[totalAmount]]</f>
        <v>1</v>
      </c>
      <c r="M3343" t="b">
        <f>TrafficData[[#This Row],[pendingCourt]]+TrafficData[[#This Row],[disposedCourt]]=TrafficData[[#This Row],[totalCourt]]</f>
        <v>1</v>
      </c>
      <c r="N3343" t="b">
        <f>AND(TrafficData[[#This Row],[disposedChallan]]&lt;=TrafficData[[#This Row],[totalChallan]],TrafficData[[#This Row],[pendingChallan]]&lt;=TrafficData[[#This Row],[totalChallan]])</f>
        <v>1</v>
      </c>
      <c r="O3343" t="b">
        <f>AND(TrafficData[[#This Row],[pendingAmount]]&lt;=TrafficData[[#This Row],[totalAmount]],TrafficData[[#This Row],[disposedAmount]]&lt;=TrafficData[[#This Row],[totalAmount]])</f>
        <v>1</v>
      </c>
      <c r="P3343" t="b">
        <f>AND(TrafficData[[#This Row],[pendingCourt]]&lt;=TrafficData[[#This Row],[totalCourt]],TrafficData[[#This Row],[disposedCourt]]&lt;=TrafficData[[#This Row],[totalCourt]])</f>
        <v>1</v>
      </c>
    </row>
    <row r="3344" spans="1:16">
      <c r="A3344" s="1">
        <v>45348</v>
      </c>
      <c r="B3344">
        <v>199927</v>
      </c>
      <c r="C3344">
        <v>69307</v>
      </c>
      <c r="D3344">
        <v>130620</v>
      </c>
      <c r="E3344">
        <v>186305589</v>
      </c>
      <c r="F3344">
        <v>95853002</v>
      </c>
      <c r="G3344">
        <v>282158591</v>
      </c>
      <c r="H3344">
        <v>65909</v>
      </c>
      <c r="I3344">
        <v>10163</v>
      </c>
      <c r="J3344">
        <v>76072</v>
      </c>
      <c r="K3344" t="b">
        <f>TrafficData[[#This Row],[disposedChallan]]+TrafficData[[#This Row],[pendingChallan]]=TrafficData[[#This Row],[totalChallan]]</f>
        <v>1</v>
      </c>
      <c r="L3344" t="b">
        <f>TrafficData[[#This Row],[pendingAmount]]+TrafficData[[#This Row],[disposedAmount]]=TrafficData[[#This Row],[totalAmount]]</f>
        <v>1</v>
      </c>
      <c r="M3344" t="b">
        <f>TrafficData[[#This Row],[pendingCourt]]+TrafficData[[#This Row],[disposedCourt]]=TrafficData[[#This Row],[totalCourt]]</f>
        <v>1</v>
      </c>
      <c r="N3344" t="b">
        <f>AND(TrafficData[[#This Row],[disposedChallan]]&lt;=TrafficData[[#This Row],[totalChallan]],TrafficData[[#This Row],[pendingChallan]]&lt;=TrafficData[[#This Row],[totalChallan]])</f>
        <v>1</v>
      </c>
      <c r="O3344" t="b">
        <f>AND(TrafficData[[#This Row],[pendingAmount]]&lt;=TrafficData[[#This Row],[totalAmount]],TrafficData[[#This Row],[disposedAmount]]&lt;=TrafficData[[#This Row],[totalAmount]])</f>
        <v>1</v>
      </c>
      <c r="P3344" t="b">
        <f>AND(TrafficData[[#This Row],[pendingCourt]]&lt;=TrafficData[[#This Row],[totalCourt]],TrafficData[[#This Row],[disposedCourt]]&lt;=TrafficData[[#This Row],[totalCourt]])</f>
        <v>1</v>
      </c>
    </row>
    <row r="3345" spans="1:16">
      <c r="A3345" s="1">
        <v>45349</v>
      </c>
      <c r="B3345">
        <v>201211</v>
      </c>
      <c r="C3345">
        <v>71685</v>
      </c>
      <c r="D3345">
        <v>129526</v>
      </c>
      <c r="E3345">
        <v>190344937</v>
      </c>
      <c r="F3345">
        <v>109653081</v>
      </c>
      <c r="G3345">
        <v>299998018</v>
      </c>
      <c r="H3345">
        <v>68275</v>
      </c>
      <c r="I3345">
        <v>10410</v>
      </c>
      <c r="J3345">
        <v>78685</v>
      </c>
      <c r="K3345" t="b">
        <f>TrafficData[[#This Row],[disposedChallan]]+TrafficData[[#This Row],[pendingChallan]]=TrafficData[[#This Row],[totalChallan]]</f>
        <v>1</v>
      </c>
      <c r="L3345" t="b">
        <f>TrafficData[[#This Row],[pendingAmount]]+TrafficData[[#This Row],[disposedAmount]]=TrafficData[[#This Row],[totalAmount]]</f>
        <v>1</v>
      </c>
      <c r="M3345" t="b">
        <f>TrafficData[[#This Row],[pendingCourt]]+TrafficData[[#This Row],[disposedCourt]]=TrafficData[[#This Row],[totalCourt]]</f>
        <v>1</v>
      </c>
      <c r="N3345" t="b">
        <f>AND(TrafficData[[#This Row],[disposedChallan]]&lt;=TrafficData[[#This Row],[totalChallan]],TrafficData[[#This Row],[pendingChallan]]&lt;=TrafficData[[#This Row],[totalChallan]])</f>
        <v>1</v>
      </c>
      <c r="O3345" t="b">
        <f>AND(TrafficData[[#This Row],[pendingAmount]]&lt;=TrafficData[[#This Row],[totalAmount]],TrafficData[[#This Row],[disposedAmount]]&lt;=TrafficData[[#This Row],[totalAmount]])</f>
        <v>1</v>
      </c>
      <c r="P3345" t="b">
        <f>AND(TrafficData[[#This Row],[pendingCourt]]&lt;=TrafficData[[#This Row],[totalCourt]],TrafficData[[#This Row],[disposedCourt]]&lt;=TrafficData[[#This Row],[totalCourt]])</f>
        <v>1</v>
      </c>
    </row>
    <row r="3346" spans="1:16">
      <c r="A3346" s="1">
        <v>45350</v>
      </c>
      <c r="B3346">
        <v>205481</v>
      </c>
      <c r="C3346">
        <v>72529</v>
      </c>
      <c r="D3346">
        <v>132952</v>
      </c>
      <c r="E3346">
        <v>192737396</v>
      </c>
      <c r="F3346">
        <v>108604750</v>
      </c>
      <c r="G3346">
        <v>301342146</v>
      </c>
      <c r="H3346">
        <v>68414</v>
      </c>
      <c r="I3346">
        <v>10497</v>
      </c>
      <c r="J3346">
        <v>78911</v>
      </c>
      <c r="K3346" t="b">
        <f>TrafficData[[#This Row],[disposedChallan]]+TrafficData[[#This Row],[pendingChallan]]=TrafficData[[#This Row],[totalChallan]]</f>
        <v>1</v>
      </c>
      <c r="L3346" t="b">
        <f>TrafficData[[#This Row],[pendingAmount]]+TrafficData[[#This Row],[disposedAmount]]=TrafficData[[#This Row],[totalAmount]]</f>
        <v>1</v>
      </c>
      <c r="M3346" t="b">
        <f>TrafficData[[#This Row],[pendingCourt]]+TrafficData[[#This Row],[disposedCourt]]=TrafficData[[#This Row],[totalCourt]]</f>
        <v>1</v>
      </c>
      <c r="N3346" t="b">
        <f>AND(TrafficData[[#This Row],[disposedChallan]]&lt;=TrafficData[[#This Row],[totalChallan]],TrafficData[[#This Row],[pendingChallan]]&lt;=TrafficData[[#This Row],[totalChallan]])</f>
        <v>1</v>
      </c>
      <c r="O3346" t="b">
        <f>AND(TrafficData[[#This Row],[pendingAmount]]&lt;=TrafficData[[#This Row],[totalAmount]],TrafficData[[#This Row],[disposedAmount]]&lt;=TrafficData[[#This Row],[totalAmount]])</f>
        <v>1</v>
      </c>
      <c r="P3346" t="b">
        <f>AND(TrafficData[[#This Row],[pendingCourt]]&lt;=TrafficData[[#This Row],[totalCourt]],TrafficData[[#This Row],[disposedCourt]]&lt;=TrafficData[[#This Row],[totalCourt]])</f>
        <v>1</v>
      </c>
    </row>
    <row r="3347" spans="1:16">
      <c r="A3347" s="1">
        <v>45351</v>
      </c>
      <c r="B3347">
        <v>209697</v>
      </c>
      <c r="C3347">
        <v>73274</v>
      </c>
      <c r="D3347">
        <v>136423</v>
      </c>
      <c r="E3347">
        <v>204652741</v>
      </c>
      <c r="F3347">
        <v>102605645</v>
      </c>
      <c r="G3347">
        <v>307258386</v>
      </c>
      <c r="H3347">
        <v>69350</v>
      </c>
      <c r="I3347">
        <v>10692</v>
      </c>
      <c r="J3347">
        <v>80042</v>
      </c>
      <c r="K3347" t="b">
        <f>TrafficData[[#This Row],[disposedChallan]]+TrafficData[[#This Row],[pendingChallan]]=TrafficData[[#This Row],[totalChallan]]</f>
        <v>1</v>
      </c>
      <c r="L3347" t="b">
        <f>TrafficData[[#This Row],[pendingAmount]]+TrafficData[[#This Row],[disposedAmount]]=TrafficData[[#This Row],[totalAmount]]</f>
        <v>1</v>
      </c>
      <c r="M3347" t="b">
        <f>TrafficData[[#This Row],[pendingCourt]]+TrafficData[[#This Row],[disposedCourt]]=TrafficData[[#This Row],[totalCourt]]</f>
        <v>1</v>
      </c>
      <c r="N3347" t="b">
        <f>AND(TrafficData[[#This Row],[disposedChallan]]&lt;=TrafficData[[#This Row],[totalChallan]],TrafficData[[#This Row],[pendingChallan]]&lt;=TrafficData[[#This Row],[totalChallan]])</f>
        <v>1</v>
      </c>
      <c r="O3347" t="b">
        <f>AND(TrafficData[[#This Row],[pendingAmount]]&lt;=TrafficData[[#This Row],[totalAmount]],TrafficData[[#This Row],[disposedAmount]]&lt;=TrafficData[[#This Row],[totalAmount]])</f>
        <v>1</v>
      </c>
      <c r="P3347" t="b">
        <f>AND(TrafficData[[#This Row],[pendingCourt]]&lt;=TrafficData[[#This Row],[totalCourt]],TrafficData[[#This Row],[disposedCourt]]&lt;=TrafficData[[#This Row],[totalCourt]])</f>
        <v>1</v>
      </c>
    </row>
    <row r="3348" spans="1:16">
      <c r="A3348" s="1">
        <v>45352</v>
      </c>
      <c r="B3348">
        <v>219738</v>
      </c>
      <c r="C3348">
        <v>82078</v>
      </c>
      <c r="D3348">
        <v>137660</v>
      </c>
      <c r="E3348">
        <v>203987528</v>
      </c>
      <c r="F3348">
        <v>148655951</v>
      </c>
      <c r="G3348">
        <v>352643479</v>
      </c>
      <c r="H3348">
        <v>66178</v>
      </c>
      <c r="I3348">
        <v>10363</v>
      </c>
      <c r="J3348">
        <v>76541</v>
      </c>
      <c r="K3348" t="b">
        <f>TrafficData[[#This Row],[disposedChallan]]+TrafficData[[#This Row],[pendingChallan]]=TrafficData[[#This Row],[totalChallan]]</f>
        <v>1</v>
      </c>
      <c r="L3348" t="b">
        <f>TrafficData[[#This Row],[pendingAmount]]+TrafficData[[#This Row],[disposedAmount]]=TrafficData[[#This Row],[totalAmount]]</f>
        <v>1</v>
      </c>
      <c r="M3348" t="b">
        <f>TrafficData[[#This Row],[pendingCourt]]+TrafficData[[#This Row],[disposedCourt]]=TrafficData[[#This Row],[totalCourt]]</f>
        <v>1</v>
      </c>
      <c r="N3348" t="b">
        <f>AND(TrafficData[[#This Row],[disposedChallan]]&lt;=TrafficData[[#This Row],[totalChallan]],TrafficData[[#This Row],[pendingChallan]]&lt;=TrafficData[[#This Row],[totalChallan]])</f>
        <v>1</v>
      </c>
      <c r="O3348" t="b">
        <f>AND(TrafficData[[#This Row],[pendingAmount]]&lt;=TrafficData[[#This Row],[totalAmount]],TrafficData[[#This Row],[disposedAmount]]&lt;=TrafficData[[#This Row],[totalAmount]])</f>
        <v>1</v>
      </c>
      <c r="P3348" t="b">
        <f>AND(TrafficData[[#This Row],[pendingCourt]]&lt;=TrafficData[[#This Row],[totalCourt]],TrafficData[[#This Row],[disposedCourt]]&lt;=TrafficData[[#This Row],[totalCourt]])</f>
        <v>1</v>
      </c>
    </row>
    <row r="3349" spans="1:16">
      <c r="A3349" s="1">
        <v>45353</v>
      </c>
      <c r="B3349">
        <v>217652</v>
      </c>
      <c r="C3349">
        <v>82262</v>
      </c>
      <c r="D3349">
        <v>135390</v>
      </c>
      <c r="E3349">
        <v>200215997</v>
      </c>
      <c r="F3349">
        <v>136622509</v>
      </c>
      <c r="G3349">
        <v>336838506</v>
      </c>
      <c r="H3349">
        <v>62616</v>
      </c>
      <c r="I3349">
        <v>10194</v>
      </c>
      <c r="J3349">
        <v>72810</v>
      </c>
      <c r="K3349" t="b">
        <f>TrafficData[[#This Row],[disposedChallan]]+TrafficData[[#This Row],[pendingChallan]]=TrafficData[[#This Row],[totalChallan]]</f>
        <v>1</v>
      </c>
      <c r="L3349" t="b">
        <f>TrafficData[[#This Row],[pendingAmount]]+TrafficData[[#This Row],[disposedAmount]]=TrafficData[[#This Row],[totalAmount]]</f>
        <v>1</v>
      </c>
      <c r="M3349" t="b">
        <f>TrafficData[[#This Row],[pendingCourt]]+TrafficData[[#This Row],[disposedCourt]]=TrafficData[[#This Row],[totalCourt]]</f>
        <v>1</v>
      </c>
      <c r="N3349" t="b">
        <f>AND(TrafficData[[#This Row],[disposedChallan]]&lt;=TrafficData[[#This Row],[totalChallan]],TrafficData[[#This Row],[pendingChallan]]&lt;=TrafficData[[#This Row],[totalChallan]])</f>
        <v>1</v>
      </c>
      <c r="O3349" t="b">
        <f>AND(TrafficData[[#This Row],[pendingAmount]]&lt;=TrafficData[[#This Row],[totalAmount]],TrafficData[[#This Row],[disposedAmount]]&lt;=TrafficData[[#This Row],[totalAmount]])</f>
        <v>1</v>
      </c>
      <c r="P3349" t="b">
        <f>AND(TrafficData[[#This Row],[pendingCourt]]&lt;=TrafficData[[#This Row],[totalCourt]],TrafficData[[#This Row],[disposedCourt]]&lt;=TrafficData[[#This Row],[totalCourt]])</f>
        <v>1</v>
      </c>
    </row>
    <row r="3350" spans="1:16">
      <c r="A3350" s="1">
        <v>45354</v>
      </c>
      <c r="B3350">
        <v>203836</v>
      </c>
      <c r="C3350">
        <v>73009</v>
      </c>
      <c r="D3350">
        <v>130827</v>
      </c>
      <c r="E3350">
        <v>177088566</v>
      </c>
      <c r="F3350">
        <v>105651615</v>
      </c>
      <c r="G3350">
        <v>282740181</v>
      </c>
      <c r="H3350">
        <v>60582</v>
      </c>
      <c r="I3350">
        <v>9063</v>
      </c>
      <c r="J3350">
        <v>69645</v>
      </c>
      <c r="K3350" t="b">
        <f>TrafficData[[#This Row],[disposedChallan]]+TrafficData[[#This Row],[pendingChallan]]=TrafficData[[#This Row],[totalChallan]]</f>
        <v>1</v>
      </c>
      <c r="L3350" t="b">
        <f>TrafficData[[#This Row],[pendingAmount]]+TrafficData[[#This Row],[disposedAmount]]=TrafficData[[#This Row],[totalAmount]]</f>
        <v>1</v>
      </c>
      <c r="M3350" t="b">
        <f>TrafficData[[#This Row],[pendingCourt]]+TrafficData[[#This Row],[disposedCourt]]=TrafficData[[#This Row],[totalCourt]]</f>
        <v>1</v>
      </c>
      <c r="N3350" t="b">
        <f>AND(TrafficData[[#This Row],[disposedChallan]]&lt;=TrafficData[[#This Row],[totalChallan]],TrafficData[[#This Row],[pendingChallan]]&lt;=TrafficData[[#This Row],[totalChallan]])</f>
        <v>1</v>
      </c>
      <c r="O3350" t="b">
        <f>AND(TrafficData[[#This Row],[pendingAmount]]&lt;=TrafficData[[#This Row],[totalAmount]],TrafficData[[#This Row],[disposedAmount]]&lt;=TrafficData[[#This Row],[totalAmount]])</f>
        <v>1</v>
      </c>
      <c r="P3350" t="b">
        <f>AND(TrafficData[[#This Row],[pendingCourt]]&lt;=TrafficData[[#This Row],[totalCourt]],TrafficData[[#This Row],[disposedCourt]]&lt;=TrafficData[[#This Row],[totalCourt]])</f>
        <v>1</v>
      </c>
    </row>
    <row r="3351" spans="1:16">
      <c r="A3351" s="1">
        <v>45355</v>
      </c>
      <c r="B3351">
        <v>225353</v>
      </c>
      <c r="C3351">
        <v>81867</v>
      </c>
      <c r="D3351">
        <v>143486</v>
      </c>
      <c r="E3351">
        <v>205008943</v>
      </c>
      <c r="F3351">
        <v>129843691</v>
      </c>
      <c r="G3351">
        <v>334852634</v>
      </c>
      <c r="H3351">
        <v>71805</v>
      </c>
      <c r="I3351">
        <v>10570</v>
      </c>
      <c r="J3351">
        <v>82375</v>
      </c>
      <c r="K3351" t="b">
        <f>TrafficData[[#This Row],[disposedChallan]]+TrafficData[[#This Row],[pendingChallan]]=TrafficData[[#This Row],[totalChallan]]</f>
        <v>1</v>
      </c>
      <c r="L3351" t="b">
        <f>TrafficData[[#This Row],[pendingAmount]]+TrafficData[[#This Row],[disposedAmount]]=TrafficData[[#This Row],[totalAmount]]</f>
        <v>1</v>
      </c>
      <c r="M3351" t="b">
        <f>TrafficData[[#This Row],[pendingCourt]]+TrafficData[[#This Row],[disposedCourt]]=TrafficData[[#This Row],[totalCourt]]</f>
        <v>1</v>
      </c>
      <c r="N3351" t="b">
        <f>AND(TrafficData[[#This Row],[disposedChallan]]&lt;=TrafficData[[#This Row],[totalChallan]],TrafficData[[#This Row],[pendingChallan]]&lt;=TrafficData[[#This Row],[totalChallan]])</f>
        <v>1</v>
      </c>
      <c r="O3351" t="b">
        <f>AND(TrafficData[[#This Row],[pendingAmount]]&lt;=TrafficData[[#This Row],[totalAmount]],TrafficData[[#This Row],[disposedAmount]]&lt;=TrafficData[[#This Row],[totalAmount]])</f>
        <v>1</v>
      </c>
      <c r="P3351" t="b">
        <f>AND(TrafficData[[#This Row],[pendingCourt]]&lt;=TrafficData[[#This Row],[totalCourt]],TrafficData[[#This Row],[disposedCourt]]&lt;=TrafficData[[#This Row],[totalCourt]])</f>
        <v>1</v>
      </c>
    </row>
    <row r="3352" spans="1:16">
      <c r="A3352" s="1">
        <v>45356</v>
      </c>
      <c r="B3352">
        <v>223060</v>
      </c>
      <c r="C3352">
        <v>83067</v>
      </c>
      <c r="D3352">
        <v>139993</v>
      </c>
      <c r="E3352">
        <v>203472484</v>
      </c>
      <c r="F3352">
        <v>141361218</v>
      </c>
      <c r="G3352">
        <v>344833702</v>
      </c>
      <c r="H3352">
        <v>67906</v>
      </c>
      <c r="I3352">
        <v>10099</v>
      </c>
      <c r="J3352">
        <v>78005</v>
      </c>
      <c r="K3352" t="b">
        <f>TrafficData[[#This Row],[disposedChallan]]+TrafficData[[#This Row],[pendingChallan]]=TrafficData[[#This Row],[totalChallan]]</f>
        <v>1</v>
      </c>
      <c r="L3352" t="b">
        <f>TrafficData[[#This Row],[pendingAmount]]+TrafficData[[#This Row],[disposedAmount]]=TrafficData[[#This Row],[totalAmount]]</f>
        <v>1</v>
      </c>
      <c r="M3352" t="b">
        <f>TrafficData[[#This Row],[pendingCourt]]+TrafficData[[#This Row],[disposedCourt]]=TrafficData[[#This Row],[totalCourt]]</f>
        <v>1</v>
      </c>
      <c r="N3352" t="b">
        <f>AND(TrafficData[[#This Row],[disposedChallan]]&lt;=TrafficData[[#This Row],[totalChallan]],TrafficData[[#This Row],[pendingChallan]]&lt;=TrafficData[[#This Row],[totalChallan]])</f>
        <v>1</v>
      </c>
      <c r="O3352" t="b">
        <f>AND(TrafficData[[#This Row],[pendingAmount]]&lt;=TrafficData[[#This Row],[totalAmount]],TrafficData[[#This Row],[disposedAmount]]&lt;=TrafficData[[#This Row],[totalAmount]])</f>
        <v>1</v>
      </c>
      <c r="P3352" t="b">
        <f>AND(TrafficData[[#This Row],[pendingCourt]]&lt;=TrafficData[[#This Row],[totalCourt]],TrafficData[[#This Row],[disposedCourt]]&lt;=TrafficData[[#This Row],[totalCourt]])</f>
        <v>1</v>
      </c>
    </row>
    <row r="3353" spans="1:16">
      <c r="A3353" s="1">
        <v>45357</v>
      </c>
      <c r="B3353">
        <v>224359</v>
      </c>
      <c r="C3353">
        <v>82036</v>
      </c>
      <c r="D3353">
        <v>142323</v>
      </c>
      <c r="E3353">
        <v>222441679</v>
      </c>
      <c r="F3353">
        <v>155549096</v>
      </c>
      <c r="G3353">
        <v>377990775</v>
      </c>
      <c r="H3353">
        <v>71103</v>
      </c>
      <c r="I3353">
        <v>9926</v>
      </c>
      <c r="J3353">
        <v>81029</v>
      </c>
      <c r="K3353" t="b">
        <f>TrafficData[[#This Row],[disposedChallan]]+TrafficData[[#This Row],[pendingChallan]]=TrafficData[[#This Row],[totalChallan]]</f>
        <v>1</v>
      </c>
      <c r="L3353" t="b">
        <f>TrafficData[[#This Row],[pendingAmount]]+TrafficData[[#This Row],[disposedAmount]]=TrafficData[[#This Row],[totalAmount]]</f>
        <v>1</v>
      </c>
      <c r="M3353" t="b">
        <f>TrafficData[[#This Row],[pendingCourt]]+TrafficData[[#This Row],[disposedCourt]]=TrafficData[[#This Row],[totalCourt]]</f>
        <v>1</v>
      </c>
      <c r="N3353" t="b">
        <f>AND(TrafficData[[#This Row],[disposedChallan]]&lt;=TrafficData[[#This Row],[totalChallan]],TrafficData[[#This Row],[pendingChallan]]&lt;=TrafficData[[#This Row],[totalChallan]])</f>
        <v>1</v>
      </c>
      <c r="O3353" t="b">
        <f>AND(TrafficData[[#This Row],[pendingAmount]]&lt;=TrafficData[[#This Row],[totalAmount]],TrafficData[[#This Row],[disposedAmount]]&lt;=TrafficData[[#This Row],[totalAmount]])</f>
        <v>1</v>
      </c>
      <c r="P3353" t="b">
        <f>AND(TrafficData[[#This Row],[pendingCourt]]&lt;=TrafficData[[#This Row],[totalCourt]],TrafficData[[#This Row],[disposedCourt]]&lt;=TrafficData[[#This Row],[totalCourt]])</f>
        <v>1</v>
      </c>
    </row>
    <row r="3354" spans="1:16">
      <c r="A3354" s="1">
        <v>45358</v>
      </c>
      <c r="B3354">
        <v>212884</v>
      </c>
      <c r="C3354">
        <v>79403</v>
      </c>
      <c r="D3354">
        <v>133481</v>
      </c>
      <c r="E3354">
        <v>204815792</v>
      </c>
      <c r="F3354">
        <v>142173686</v>
      </c>
      <c r="G3354">
        <v>346989478</v>
      </c>
      <c r="H3354">
        <v>63270</v>
      </c>
      <c r="I3354">
        <v>9762</v>
      </c>
      <c r="J3354">
        <v>73032</v>
      </c>
      <c r="K3354" t="b">
        <f>TrafficData[[#This Row],[disposedChallan]]+TrafficData[[#This Row],[pendingChallan]]=TrafficData[[#This Row],[totalChallan]]</f>
        <v>1</v>
      </c>
      <c r="L3354" t="b">
        <f>TrafficData[[#This Row],[pendingAmount]]+TrafficData[[#This Row],[disposedAmount]]=TrafficData[[#This Row],[totalAmount]]</f>
        <v>1</v>
      </c>
      <c r="M3354" t="b">
        <f>TrafficData[[#This Row],[pendingCourt]]+TrafficData[[#This Row],[disposedCourt]]=TrafficData[[#This Row],[totalCourt]]</f>
        <v>1</v>
      </c>
      <c r="N3354" t="b">
        <f>AND(TrafficData[[#This Row],[disposedChallan]]&lt;=TrafficData[[#This Row],[totalChallan]],TrafficData[[#This Row],[pendingChallan]]&lt;=TrafficData[[#This Row],[totalChallan]])</f>
        <v>1</v>
      </c>
      <c r="O3354" t="b">
        <f>AND(TrafficData[[#This Row],[pendingAmount]]&lt;=TrafficData[[#This Row],[totalAmount]],TrafficData[[#This Row],[disposedAmount]]&lt;=TrafficData[[#This Row],[totalAmount]])</f>
        <v>1</v>
      </c>
      <c r="P3354" t="b">
        <f>AND(TrafficData[[#This Row],[pendingCourt]]&lt;=TrafficData[[#This Row],[totalCourt]],TrafficData[[#This Row],[disposedCourt]]&lt;=TrafficData[[#This Row],[totalCourt]])</f>
        <v>1</v>
      </c>
    </row>
    <row r="3355" spans="1:16">
      <c r="A3355" s="1">
        <v>45359</v>
      </c>
      <c r="B3355">
        <v>188750</v>
      </c>
      <c r="C3355">
        <v>70050</v>
      </c>
      <c r="D3355">
        <v>118700</v>
      </c>
      <c r="E3355">
        <v>168816536</v>
      </c>
      <c r="F3355">
        <v>116572557</v>
      </c>
      <c r="G3355">
        <v>285389093</v>
      </c>
      <c r="H3355">
        <v>60923</v>
      </c>
      <c r="I3355">
        <v>8887</v>
      </c>
      <c r="J3355">
        <v>69810</v>
      </c>
      <c r="K3355" t="b">
        <f>TrafficData[[#This Row],[disposedChallan]]+TrafficData[[#This Row],[pendingChallan]]=TrafficData[[#This Row],[totalChallan]]</f>
        <v>1</v>
      </c>
      <c r="L3355" t="b">
        <f>TrafficData[[#This Row],[pendingAmount]]+TrafficData[[#This Row],[disposedAmount]]=TrafficData[[#This Row],[totalAmount]]</f>
        <v>1</v>
      </c>
      <c r="M3355" t="b">
        <f>TrafficData[[#This Row],[pendingCourt]]+TrafficData[[#This Row],[disposedCourt]]=TrafficData[[#This Row],[totalCourt]]</f>
        <v>1</v>
      </c>
      <c r="N3355" t="b">
        <f>AND(TrafficData[[#This Row],[disposedChallan]]&lt;=TrafficData[[#This Row],[totalChallan]],TrafficData[[#This Row],[pendingChallan]]&lt;=TrafficData[[#This Row],[totalChallan]])</f>
        <v>1</v>
      </c>
      <c r="O3355" t="b">
        <f>AND(TrafficData[[#This Row],[pendingAmount]]&lt;=TrafficData[[#This Row],[totalAmount]],TrafficData[[#This Row],[disposedAmount]]&lt;=TrafficData[[#This Row],[totalAmount]])</f>
        <v>1</v>
      </c>
      <c r="P3355" t="b">
        <f>AND(TrafficData[[#This Row],[pendingCourt]]&lt;=TrafficData[[#This Row],[totalCourt]],TrafficData[[#This Row],[disposedCourt]]&lt;=TrafficData[[#This Row],[totalCourt]])</f>
        <v>1</v>
      </c>
    </row>
    <row r="3356" spans="1:16">
      <c r="A3356" s="1">
        <v>45360</v>
      </c>
      <c r="B3356">
        <v>207775</v>
      </c>
      <c r="C3356">
        <v>79671</v>
      </c>
      <c r="D3356">
        <v>128104</v>
      </c>
      <c r="E3356">
        <v>185800887</v>
      </c>
      <c r="F3356">
        <v>126384754</v>
      </c>
      <c r="G3356">
        <v>312185641</v>
      </c>
      <c r="H3356">
        <v>62032</v>
      </c>
      <c r="I3356">
        <v>9850</v>
      </c>
      <c r="J3356">
        <v>71882</v>
      </c>
      <c r="K3356" t="b">
        <f>TrafficData[[#This Row],[disposedChallan]]+TrafficData[[#This Row],[pendingChallan]]=TrafficData[[#This Row],[totalChallan]]</f>
        <v>1</v>
      </c>
      <c r="L3356" t="b">
        <f>TrafficData[[#This Row],[pendingAmount]]+TrafficData[[#This Row],[disposedAmount]]=TrafficData[[#This Row],[totalAmount]]</f>
        <v>1</v>
      </c>
      <c r="M3356" t="b">
        <f>TrafficData[[#This Row],[pendingCourt]]+TrafficData[[#This Row],[disposedCourt]]=TrafficData[[#This Row],[totalCourt]]</f>
        <v>1</v>
      </c>
      <c r="N3356" t="b">
        <f>AND(TrafficData[[#This Row],[disposedChallan]]&lt;=TrafficData[[#This Row],[totalChallan]],TrafficData[[#This Row],[pendingChallan]]&lt;=TrafficData[[#This Row],[totalChallan]])</f>
        <v>1</v>
      </c>
      <c r="O3356" t="b">
        <f>AND(TrafficData[[#This Row],[pendingAmount]]&lt;=TrafficData[[#This Row],[totalAmount]],TrafficData[[#This Row],[disposedAmount]]&lt;=TrafficData[[#This Row],[totalAmount]])</f>
        <v>1</v>
      </c>
      <c r="P3356" t="b">
        <f>AND(TrafficData[[#This Row],[pendingCourt]]&lt;=TrafficData[[#This Row],[totalCourt]],TrafficData[[#This Row],[disposedCourt]]&lt;=TrafficData[[#This Row],[totalCourt]])</f>
        <v>1</v>
      </c>
    </row>
    <row r="3357" spans="1:16">
      <c r="A3357" s="1">
        <v>45361</v>
      </c>
      <c r="B3357">
        <v>200435</v>
      </c>
      <c r="C3357">
        <v>72180</v>
      </c>
      <c r="D3357">
        <v>128255</v>
      </c>
      <c r="E3357">
        <v>170776298</v>
      </c>
      <c r="F3357">
        <v>97101454</v>
      </c>
      <c r="G3357">
        <v>267877752</v>
      </c>
      <c r="H3357">
        <v>60687</v>
      </c>
      <c r="I3357">
        <v>9010</v>
      </c>
      <c r="J3357">
        <v>69697</v>
      </c>
      <c r="K3357" t="b">
        <f>TrafficData[[#This Row],[disposedChallan]]+TrafficData[[#This Row],[pendingChallan]]=TrafficData[[#This Row],[totalChallan]]</f>
        <v>1</v>
      </c>
      <c r="L3357" t="b">
        <f>TrafficData[[#This Row],[pendingAmount]]+TrafficData[[#This Row],[disposedAmount]]=TrafficData[[#This Row],[totalAmount]]</f>
        <v>1</v>
      </c>
      <c r="M3357" t="b">
        <f>TrafficData[[#This Row],[pendingCourt]]+TrafficData[[#This Row],[disposedCourt]]=TrafficData[[#This Row],[totalCourt]]</f>
        <v>1</v>
      </c>
      <c r="N3357" t="b">
        <f>AND(TrafficData[[#This Row],[disposedChallan]]&lt;=TrafficData[[#This Row],[totalChallan]],TrafficData[[#This Row],[pendingChallan]]&lt;=TrafficData[[#This Row],[totalChallan]])</f>
        <v>1</v>
      </c>
      <c r="O3357" t="b">
        <f>AND(TrafficData[[#This Row],[pendingAmount]]&lt;=TrafficData[[#This Row],[totalAmount]],TrafficData[[#This Row],[disposedAmount]]&lt;=TrafficData[[#This Row],[totalAmount]])</f>
        <v>1</v>
      </c>
      <c r="P3357" t="b">
        <f>AND(TrafficData[[#This Row],[pendingCourt]]&lt;=TrafficData[[#This Row],[totalCourt]],TrafficData[[#This Row],[disposedCourt]]&lt;=TrafficData[[#This Row],[totalCourt]])</f>
        <v>1</v>
      </c>
    </row>
    <row r="3358" spans="1:16">
      <c r="A3358" s="1">
        <v>45362</v>
      </c>
      <c r="B3358">
        <v>221254</v>
      </c>
      <c r="C3358">
        <v>79569</v>
      </c>
      <c r="D3358">
        <v>141685</v>
      </c>
      <c r="E3358">
        <v>200542365</v>
      </c>
      <c r="F3358">
        <v>118817882</v>
      </c>
      <c r="G3358">
        <v>319360247</v>
      </c>
      <c r="H3358">
        <v>65661</v>
      </c>
      <c r="I3358">
        <v>10410</v>
      </c>
      <c r="J3358">
        <v>76071</v>
      </c>
      <c r="K3358" t="b">
        <f>TrafficData[[#This Row],[disposedChallan]]+TrafficData[[#This Row],[pendingChallan]]=TrafficData[[#This Row],[totalChallan]]</f>
        <v>1</v>
      </c>
      <c r="L3358" t="b">
        <f>TrafficData[[#This Row],[pendingAmount]]+TrafficData[[#This Row],[disposedAmount]]=TrafficData[[#This Row],[totalAmount]]</f>
        <v>1</v>
      </c>
      <c r="M3358" t="b">
        <f>TrafficData[[#This Row],[pendingCourt]]+TrafficData[[#This Row],[disposedCourt]]=TrafficData[[#This Row],[totalCourt]]</f>
        <v>1</v>
      </c>
      <c r="N3358" t="b">
        <f>AND(TrafficData[[#This Row],[disposedChallan]]&lt;=TrafficData[[#This Row],[totalChallan]],TrafficData[[#This Row],[pendingChallan]]&lt;=TrafficData[[#This Row],[totalChallan]])</f>
        <v>1</v>
      </c>
      <c r="O3358" t="b">
        <f>AND(TrafficData[[#This Row],[pendingAmount]]&lt;=TrafficData[[#This Row],[totalAmount]],TrafficData[[#This Row],[disposedAmount]]&lt;=TrafficData[[#This Row],[totalAmount]])</f>
        <v>1</v>
      </c>
      <c r="P3358" t="b">
        <f>AND(TrafficData[[#This Row],[pendingCourt]]&lt;=TrafficData[[#This Row],[totalCourt]],TrafficData[[#This Row],[disposedCourt]]&lt;=TrafficData[[#This Row],[totalCourt]])</f>
        <v>1</v>
      </c>
    </row>
    <row r="3359" spans="1:16">
      <c r="A3359" s="1">
        <v>45363</v>
      </c>
      <c r="B3359">
        <v>226489</v>
      </c>
      <c r="C3359">
        <v>80715</v>
      </c>
      <c r="D3359">
        <v>145774</v>
      </c>
      <c r="E3359">
        <v>215678860</v>
      </c>
      <c r="F3359">
        <v>133775313</v>
      </c>
      <c r="G3359">
        <v>349454173</v>
      </c>
      <c r="H3359">
        <v>66951</v>
      </c>
      <c r="I3359">
        <v>10689</v>
      </c>
      <c r="J3359">
        <v>77640</v>
      </c>
      <c r="K3359" t="b">
        <f>TrafficData[[#This Row],[disposedChallan]]+TrafficData[[#This Row],[pendingChallan]]=TrafficData[[#This Row],[totalChallan]]</f>
        <v>1</v>
      </c>
      <c r="L3359" t="b">
        <f>TrafficData[[#This Row],[pendingAmount]]+TrafficData[[#This Row],[disposedAmount]]=TrafficData[[#This Row],[totalAmount]]</f>
        <v>1</v>
      </c>
      <c r="M3359" t="b">
        <f>TrafficData[[#This Row],[pendingCourt]]+TrafficData[[#This Row],[disposedCourt]]=TrafficData[[#This Row],[totalCourt]]</f>
        <v>1</v>
      </c>
      <c r="N3359" t="b">
        <f>AND(TrafficData[[#This Row],[disposedChallan]]&lt;=TrafficData[[#This Row],[totalChallan]],TrafficData[[#This Row],[pendingChallan]]&lt;=TrafficData[[#This Row],[totalChallan]])</f>
        <v>1</v>
      </c>
      <c r="O3359" t="b">
        <f>AND(TrafficData[[#This Row],[pendingAmount]]&lt;=TrafficData[[#This Row],[totalAmount]],TrafficData[[#This Row],[disposedAmount]]&lt;=TrafficData[[#This Row],[totalAmount]])</f>
        <v>1</v>
      </c>
      <c r="P3359" t="b">
        <f>AND(TrafficData[[#This Row],[pendingCourt]]&lt;=TrafficData[[#This Row],[totalCourt]],TrafficData[[#This Row],[disposedCourt]]&lt;=TrafficData[[#This Row],[totalCourt]])</f>
        <v>1</v>
      </c>
    </row>
    <row r="3360" spans="1:16">
      <c r="A3360" s="1">
        <v>45364</v>
      </c>
      <c r="B3360">
        <v>224881</v>
      </c>
      <c r="C3360">
        <v>82468</v>
      </c>
      <c r="D3360">
        <v>142413</v>
      </c>
      <c r="E3360">
        <v>214062383</v>
      </c>
      <c r="F3360">
        <v>143802615</v>
      </c>
      <c r="G3360">
        <v>357864998</v>
      </c>
      <c r="H3360">
        <v>69994</v>
      </c>
      <c r="I3360">
        <v>10875</v>
      </c>
      <c r="J3360">
        <v>80869</v>
      </c>
      <c r="K3360" t="b">
        <f>TrafficData[[#This Row],[disposedChallan]]+TrafficData[[#This Row],[pendingChallan]]=TrafficData[[#This Row],[totalChallan]]</f>
        <v>1</v>
      </c>
      <c r="L3360" t="b">
        <f>TrafficData[[#This Row],[pendingAmount]]+TrafficData[[#This Row],[disposedAmount]]=TrafficData[[#This Row],[totalAmount]]</f>
        <v>1</v>
      </c>
      <c r="M3360" t="b">
        <f>TrafficData[[#This Row],[pendingCourt]]+TrafficData[[#This Row],[disposedCourt]]=TrafficData[[#This Row],[totalCourt]]</f>
        <v>1</v>
      </c>
      <c r="N3360" t="b">
        <f>AND(TrafficData[[#This Row],[disposedChallan]]&lt;=TrafficData[[#This Row],[totalChallan]],TrafficData[[#This Row],[pendingChallan]]&lt;=TrafficData[[#This Row],[totalChallan]])</f>
        <v>1</v>
      </c>
      <c r="O3360" t="b">
        <f>AND(TrafficData[[#This Row],[pendingAmount]]&lt;=TrafficData[[#This Row],[totalAmount]],TrafficData[[#This Row],[disposedAmount]]&lt;=TrafficData[[#This Row],[totalAmount]])</f>
        <v>1</v>
      </c>
      <c r="P3360" t="b">
        <f>AND(TrafficData[[#This Row],[pendingCourt]]&lt;=TrafficData[[#This Row],[totalCourt]],TrafficData[[#This Row],[disposedCourt]]&lt;=TrafficData[[#This Row],[totalCourt]])</f>
        <v>1</v>
      </c>
    </row>
    <row r="3361" spans="1:16">
      <c r="A3361" s="1">
        <v>45365</v>
      </c>
      <c r="B3361">
        <v>232600</v>
      </c>
      <c r="C3361">
        <v>84977</v>
      </c>
      <c r="D3361">
        <v>147623</v>
      </c>
      <c r="E3361">
        <v>230838003</v>
      </c>
      <c r="F3361">
        <v>151222570</v>
      </c>
      <c r="G3361">
        <v>382060573</v>
      </c>
      <c r="H3361">
        <v>73362</v>
      </c>
      <c r="I3361">
        <v>11182</v>
      </c>
      <c r="J3361">
        <v>84544</v>
      </c>
      <c r="K3361" t="b">
        <f>TrafficData[[#This Row],[disposedChallan]]+TrafficData[[#This Row],[pendingChallan]]=TrafficData[[#This Row],[totalChallan]]</f>
        <v>1</v>
      </c>
      <c r="L3361" t="b">
        <f>TrafficData[[#This Row],[pendingAmount]]+TrafficData[[#This Row],[disposedAmount]]=TrafficData[[#This Row],[totalAmount]]</f>
        <v>1</v>
      </c>
      <c r="M3361" t="b">
        <f>TrafficData[[#This Row],[pendingCourt]]+TrafficData[[#This Row],[disposedCourt]]=TrafficData[[#This Row],[totalCourt]]</f>
        <v>1</v>
      </c>
      <c r="N3361" t="b">
        <f>AND(TrafficData[[#This Row],[disposedChallan]]&lt;=TrafficData[[#This Row],[totalChallan]],TrafficData[[#This Row],[pendingChallan]]&lt;=TrafficData[[#This Row],[totalChallan]])</f>
        <v>1</v>
      </c>
      <c r="O3361" t="b">
        <f>AND(TrafficData[[#This Row],[pendingAmount]]&lt;=TrafficData[[#This Row],[totalAmount]],TrafficData[[#This Row],[disposedAmount]]&lt;=TrafficData[[#This Row],[totalAmount]])</f>
        <v>1</v>
      </c>
      <c r="P3361" t="b">
        <f>AND(TrafficData[[#This Row],[pendingCourt]]&lt;=TrafficData[[#This Row],[totalCourt]],TrafficData[[#This Row],[disposedCourt]]&lt;=TrafficData[[#This Row],[totalCourt]])</f>
        <v>1</v>
      </c>
    </row>
    <row r="3362" spans="1:16">
      <c r="A3362" s="1">
        <v>45366</v>
      </c>
      <c r="B3362">
        <v>230443</v>
      </c>
      <c r="C3362">
        <v>83532</v>
      </c>
      <c r="D3362">
        <v>146911</v>
      </c>
      <c r="E3362">
        <v>219435725</v>
      </c>
      <c r="F3362">
        <v>142256309</v>
      </c>
      <c r="G3362">
        <v>361692034</v>
      </c>
      <c r="H3362">
        <v>71365</v>
      </c>
      <c r="I3362">
        <v>10885</v>
      </c>
      <c r="J3362">
        <v>82250</v>
      </c>
      <c r="K3362" t="b">
        <f>TrafficData[[#This Row],[disposedChallan]]+TrafficData[[#This Row],[pendingChallan]]=TrafficData[[#This Row],[totalChallan]]</f>
        <v>1</v>
      </c>
      <c r="L3362" t="b">
        <f>TrafficData[[#This Row],[pendingAmount]]+TrafficData[[#This Row],[disposedAmount]]=TrafficData[[#This Row],[totalAmount]]</f>
        <v>1</v>
      </c>
      <c r="M3362" t="b">
        <f>TrafficData[[#This Row],[pendingCourt]]+TrafficData[[#This Row],[disposedCourt]]=TrafficData[[#This Row],[totalCourt]]</f>
        <v>1</v>
      </c>
      <c r="N3362" t="b">
        <f>AND(TrafficData[[#This Row],[disposedChallan]]&lt;=TrafficData[[#This Row],[totalChallan]],TrafficData[[#This Row],[pendingChallan]]&lt;=TrafficData[[#This Row],[totalChallan]])</f>
        <v>1</v>
      </c>
      <c r="O3362" t="b">
        <f>AND(TrafficData[[#This Row],[pendingAmount]]&lt;=TrafficData[[#This Row],[totalAmount]],TrafficData[[#This Row],[disposedAmount]]&lt;=TrafficData[[#This Row],[totalAmount]])</f>
        <v>1</v>
      </c>
      <c r="P3362" t="b">
        <f>AND(TrafficData[[#This Row],[pendingCourt]]&lt;=TrafficData[[#This Row],[totalCourt]],TrafficData[[#This Row],[disposedCourt]]&lt;=TrafficData[[#This Row],[totalCourt]])</f>
        <v>1</v>
      </c>
    </row>
    <row r="3363" spans="1:16">
      <c r="A3363" s="1">
        <v>45367</v>
      </c>
      <c r="B3363">
        <v>229969</v>
      </c>
      <c r="C3363">
        <v>83456</v>
      </c>
      <c r="D3363">
        <v>146513</v>
      </c>
      <c r="E3363">
        <v>217242746</v>
      </c>
      <c r="F3363">
        <v>127767243</v>
      </c>
      <c r="G3363">
        <v>345009989</v>
      </c>
      <c r="H3363">
        <v>74296</v>
      </c>
      <c r="I3363">
        <v>11368</v>
      </c>
      <c r="J3363">
        <v>85664</v>
      </c>
      <c r="K3363" t="b">
        <f>TrafficData[[#This Row],[disposedChallan]]+TrafficData[[#This Row],[pendingChallan]]=TrafficData[[#This Row],[totalChallan]]</f>
        <v>1</v>
      </c>
      <c r="L3363" t="b">
        <f>TrafficData[[#This Row],[pendingAmount]]+TrafficData[[#This Row],[disposedAmount]]=TrafficData[[#This Row],[totalAmount]]</f>
        <v>1</v>
      </c>
      <c r="M3363" t="b">
        <f>TrafficData[[#This Row],[pendingCourt]]+TrafficData[[#This Row],[disposedCourt]]=TrafficData[[#This Row],[totalCourt]]</f>
        <v>1</v>
      </c>
      <c r="N3363" t="b">
        <f>AND(TrafficData[[#This Row],[disposedChallan]]&lt;=TrafficData[[#This Row],[totalChallan]],TrafficData[[#This Row],[pendingChallan]]&lt;=TrafficData[[#This Row],[totalChallan]])</f>
        <v>1</v>
      </c>
      <c r="O3363" t="b">
        <f>AND(TrafficData[[#This Row],[pendingAmount]]&lt;=TrafficData[[#This Row],[totalAmount]],TrafficData[[#This Row],[disposedAmount]]&lt;=TrafficData[[#This Row],[totalAmount]])</f>
        <v>1</v>
      </c>
      <c r="P3363" t="b">
        <f>AND(TrafficData[[#This Row],[pendingCourt]]&lt;=TrafficData[[#This Row],[totalCourt]],TrafficData[[#This Row],[disposedCourt]]&lt;=TrafficData[[#This Row],[totalCourt]])</f>
        <v>1</v>
      </c>
    </row>
    <row r="3364" spans="1:16">
      <c r="A3364" s="1">
        <v>45368</v>
      </c>
      <c r="B3364">
        <v>207370</v>
      </c>
      <c r="C3364">
        <v>74849</v>
      </c>
      <c r="D3364">
        <v>132521</v>
      </c>
      <c r="E3364">
        <v>180672004</v>
      </c>
      <c r="F3364">
        <v>99415586</v>
      </c>
      <c r="G3364">
        <v>280087590</v>
      </c>
      <c r="H3364">
        <v>68268</v>
      </c>
      <c r="I3364">
        <v>10182</v>
      </c>
      <c r="J3364">
        <v>78450</v>
      </c>
      <c r="K3364" t="b">
        <f>TrafficData[[#This Row],[disposedChallan]]+TrafficData[[#This Row],[pendingChallan]]=TrafficData[[#This Row],[totalChallan]]</f>
        <v>1</v>
      </c>
      <c r="L3364" t="b">
        <f>TrafficData[[#This Row],[pendingAmount]]+TrafficData[[#This Row],[disposedAmount]]=TrafficData[[#This Row],[totalAmount]]</f>
        <v>1</v>
      </c>
      <c r="M3364" t="b">
        <f>TrafficData[[#This Row],[pendingCourt]]+TrafficData[[#This Row],[disposedCourt]]=TrafficData[[#This Row],[totalCourt]]</f>
        <v>1</v>
      </c>
      <c r="N3364" t="b">
        <f>AND(TrafficData[[#This Row],[disposedChallan]]&lt;=TrafficData[[#This Row],[totalChallan]],TrafficData[[#This Row],[pendingChallan]]&lt;=TrafficData[[#This Row],[totalChallan]])</f>
        <v>1</v>
      </c>
      <c r="O3364" t="b">
        <f>AND(TrafficData[[#This Row],[pendingAmount]]&lt;=TrafficData[[#This Row],[totalAmount]],TrafficData[[#This Row],[disposedAmount]]&lt;=TrafficData[[#This Row],[totalAmount]])</f>
        <v>1</v>
      </c>
      <c r="P3364" t="b">
        <f>AND(TrafficData[[#This Row],[pendingCourt]]&lt;=TrafficData[[#This Row],[totalCourt]],TrafficData[[#This Row],[disposedCourt]]&lt;=TrafficData[[#This Row],[totalCourt]])</f>
        <v>1</v>
      </c>
    </row>
    <row r="3365" spans="1:16">
      <c r="A3365" s="1">
        <v>45369</v>
      </c>
      <c r="B3365">
        <v>234599</v>
      </c>
      <c r="C3365">
        <v>82501</v>
      </c>
      <c r="D3365">
        <v>152098</v>
      </c>
      <c r="E3365">
        <v>221016877</v>
      </c>
      <c r="F3365">
        <v>121350949</v>
      </c>
      <c r="G3365">
        <v>342367826</v>
      </c>
      <c r="H3365">
        <v>76609</v>
      </c>
      <c r="I3365">
        <v>11540</v>
      </c>
      <c r="J3365">
        <v>88149</v>
      </c>
      <c r="K3365" t="b">
        <f>TrafficData[[#This Row],[disposedChallan]]+TrafficData[[#This Row],[pendingChallan]]=TrafficData[[#This Row],[totalChallan]]</f>
        <v>1</v>
      </c>
      <c r="L3365" t="b">
        <f>TrafficData[[#This Row],[pendingAmount]]+TrafficData[[#This Row],[disposedAmount]]=TrafficData[[#This Row],[totalAmount]]</f>
        <v>1</v>
      </c>
      <c r="M3365" t="b">
        <f>TrafficData[[#This Row],[pendingCourt]]+TrafficData[[#This Row],[disposedCourt]]=TrafficData[[#This Row],[totalCourt]]</f>
        <v>1</v>
      </c>
      <c r="N3365" t="b">
        <f>AND(TrafficData[[#This Row],[disposedChallan]]&lt;=TrafficData[[#This Row],[totalChallan]],TrafficData[[#This Row],[pendingChallan]]&lt;=TrafficData[[#This Row],[totalChallan]])</f>
        <v>1</v>
      </c>
      <c r="O3365" t="b">
        <f>AND(TrafficData[[#This Row],[pendingAmount]]&lt;=TrafficData[[#This Row],[totalAmount]],TrafficData[[#This Row],[disposedAmount]]&lt;=TrafficData[[#This Row],[totalAmount]])</f>
        <v>1</v>
      </c>
      <c r="P3365" t="b">
        <f>AND(TrafficData[[#This Row],[pendingCourt]]&lt;=TrafficData[[#This Row],[totalCourt]],TrafficData[[#This Row],[disposedCourt]]&lt;=TrafficData[[#This Row],[totalCourt]])</f>
        <v>1</v>
      </c>
    </row>
    <row r="3366" spans="1:16">
      <c r="A3366" s="1">
        <v>45370</v>
      </c>
      <c r="B3366">
        <v>238982</v>
      </c>
      <c r="C3366">
        <v>83636</v>
      </c>
      <c r="D3366">
        <v>155346</v>
      </c>
      <c r="E3366">
        <v>236488710</v>
      </c>
      <c r="F3366">
        <v>136331912</v>
      </c>
      <c r="G3366">
        <v>372820622</v>
      </c>
      <c r="H3366">
        <v>80585</v>
      </c>
      <c r="I3366">
        <v>12012</v>
      </c>
      <c r="J3366">
        <v>92597</v>
      </c>
      <c r="K3366" t="b">
        <f>TrafficData[[#This Row],[disposedChallan]]+TrafficData[[#This Row],[pendingChallan]]=TrafficData[[#This Row],[totalChallan]]</f>
        <v>1</v>
      </c>
      <c r="L3366" t="b">
        <f>TrafficData[[#This Row],[pendingAmount]]+TrafficData[[#This Row],[disposedAmount]]=TrafficData[[#This Row],[totalAmount]]</f>
        <v>1</v>
      </c>
      <c r="M3366" t="b">
        <f>TrafficData[[#This Row],[pendingCourt]]+TrafficData[[#This Row],[disposedCourt]]=TrafficData[[#This Row],[totalCourt]]</f>
        <v>1</v>
      </c>
      <c r="N3366" t="b">
        <f>AND(TrafficData[[#This Row],[disposedChallan]]&lt;=TrafficData[[#This Row],[totalChallan]],TrafficData[[#This Row],[pendingChallan]]&lt;=TrafficData[[#This Row],[totalChallan]])</f>
        <v>1</v>
      </c>
      <c r="O3366" t="b">
        <f>AND(TrafficData[[#This Row],[pendingAmount]]&lt;=TrafficData[[#This Row],[totalAmount]],TrafficData[[#This Row],[disposedAmount]]&lt;=TrafficData[[#This Row],[totalAmount]])</f>
        <v>1</v>
      </c>
      <c r="P3366" t="b">
        <f>AND(TrafficData[[#This Row],[pendingCourt]]&lt;=TrafficData[[#This Row],[totalCourt]],TrafficData[[#This Row],[disposedCourt]]&lt;=TrafficData[[#This Row],[totalCourt]])</f>
        <v>1</v>
      </c>
    </row>
    <row r="3367" spans="1:16">
      <c r="A3367" s="1">
        <v>45371</v>
      </c>
      <c r="B3367">
        <v>236521</v>
      </c>
      <c r="C3367">
        <v>82853</v>
      </c>
      <c r="D3367">
        <v>153668</v>
      </c>
      <c r="E3367">
        <v>227167813</v>
      </c>
      <c r="F3367">
        <v>131695608</v>
      </c>
      <c r="G3367">
        <v>358863421</v>
      </c>
      <c r="H3367">
        <v>79400</v>
      </c>
      <c r="I3367">
        <v>11573</v>
      </c>
      <c r="J3367">
        <v>90973</v>
      </c>
      <c r="K3367" t="b">
        <f>TrafficData[[#This Row],[disposedChallan]]+TrafficData[[#This Row],[pendingChallan]]=TrafficData[[#This Row],[totalChallan]]</f>
        <v>1</v>
      </c>
      <c r="L3367" t="b">
        <f>TrafficData[[#This Row],[pendingAmount]]+TrafficData[[#This Row],[disposedAmount]]=TrafficData[[#This Row],[totalAmount]]</f>
        <v>1</v>
      </c>
      <c r="M3367" t="b">
        <f>TrafficData[[#This Row],[pendingCourt]]+TrafficData[[#This Row],[disposedCourt]]=TrafficData[[#This Row],[totalCourt]]</f>
        <v>1</v>
      </c>
      <c r="N3367" t="b">
        <f>AND(TrafficData[[#This Row],[disposedChallan]]&lt;=TrafficData[[#This Row],[totalChallan]],TrafficData[[#This Row],[pendingChallan]]&lt;=TrafficData[[#This Row],[totalChallan]])</f>
        <v>1</v>
      </c>
      <c r="O3367" t="b">
        <f>AND(TrafficData[[#This Row],[pendingAmount]]&lt;=TrafficData[[#This Row],[totalAmount]],TrafficData[[#This Row],[disposedAmount]]&lt;=TrafficData[[#This Row],[totalAmount]])</f>
        <v>1</v>
      </c>
      <c r="P3367" t="b">
        <f>AND(TrafficData[[#This Row],[pendingCourt]]&lt;=TrafficData[[#This Row],[totalCourt]],TrafficData[[#This Row],[disposedCourt]]&lt;=TrafficData[[#This Row],[totalCourt]])</f>
        <v>1</v>
      </c>
    </row>
    <row r="3368" spans="1:16">
      <c r="A3368" s="1">
        <v>45372</v>
      </c>
      <c r="B3368">
        <v>249175</v>
      </c>
      <c r="C3368">
        <v>87895</v>
      </c>
      <c r="D3368">
        <v>161280</v>
      </c>
      <c r="E3368">
        <v>243915182</v>
      </c>
      <c r="F3368">
        <v>142747757</v>
      </c>
      <c r="G3368">
        <v>386662939</v>
      </c>
      <c r="H3368">
        <v>83693</v>
      </c>
      <c r="I3368">
        <v>12352</v>
      </c>
      <c r="J3368">
        <v>96045</v>
      </c>
      <c r="K3368" t="b">
        <f>TrafficData[[#This Row],[disposedChallan]]+TrafficData[[#This Row],[pendingChallan]]=TrafficData[[#This Row],[totalChallan]]</f>
        <v>1</v>
      </c>
      <c r="L3368" t="b">
        <f>TrafficData[[#This Row],[pendingAmount]]+TrafficData[[#This Row],[disposedAmount]]=TrafficData[[#This Row],[totalAmount]]</f>
        <v>1</v>
      </c>
      <c r="M3368" t="b">
        <f>TrafficData[[#This Row],[pendingCourt]]+TrafficData[[#This Row],[disposedCourt]]=TrafficData[[#This Row],[totalCourt]]</f>
        <v>1</v>
      </c>
      <c r="N3368" t="b">
        <f>AND(TrafficData[[#This Row],[disposedChallan]]&lt;=TrafficData[[#This Row],[totalChallan]],TrafficData[[#This Row],[pendingChallan]]&lt;=TrafficData[[#This Row],[totalChallan]])</f>
        <v>1</v>
      </c>
      <c r="O3368" t="b">
        <f>AND(TrafficData[[#This Row],[pendingAmount]]&lt;=TrafficData[[#This Row],[totalAmount]],TrafficData[[#This Row],[disposedAmount]]&lt;=TrafficData[[#This Row],[totalAmount]])</f>
        <v>1</v>
      </c>
      <c r="P3368" t="b">
        <f>AND(TrafficData[[#This Row],[pendingCourt]]&lt;=TrafficData[[#This Row],[totalCourt]],TrafficData[[#This Row],[disposedCourt]]&lt;=TrafficData[[#This Row],[totalCourt]])</f>
        <v>1</v>
      </c>
    </row>
    <row r="3369" spans="1:16">
      <c r="A3369" s="1">
        <v>45373</v>
      </c>
      <c r="B3369">
        <v>246908</v>
      </c>
      <c r="C3369">
        <v>87390</v>
      </c>
      <c r="D3369">
        <v>159518</v>
      </c>
      <c r="E3369">
        <v>269016837</v>
      </c>
      <c r="F3369">
        <v>137763745</v>
      </c>
      <c r="G3369">
        <v>406780582</v>
      </c>
      <c r="H3369">
        <v>85171</v>
      </c>
      <c r="I3369">
        <v>12341</v>
      </c>
      <c r="J3369">
        <v>97512</v>
      </c>
      <c r="K3369" t="b">
        <f>TrafficData[[#This Row],[disposedChallan]]+TrafficData[[#This Row],[pendingChallan]]=TrafficData[[#This Row],[totalChallan]]</f>
        <v>1</v>
      </c>
      <c r="L3369" t="b">
        <f>TrafficData[[#This Row],[pendingAmount]]+TrafficData[[#This Row],[disposedAmount]]=TrafficData[[#This Row],[totalAmount]]</f>
        <v>1</v>
      </c>
      <c r="M3369" t="b">
        <f>TrafficData[[#This Row],[pendingCourt]]+TrafficData[[#This Row],[disposedCourt]]=TrafficData[[#This Row],[totalCourt]]</f>
        <v>1</v>
      </c>
      <c r="N3369" t="b">
        <f>AND(TrafficData[[#This Row],[disposedChallan]]&lt;=TrafficData[[#This Row],[totalChallan]],TrafficData[[#This Row],[pendingChallan]]&lt;=TrafficData[[#This Row],[totalChallan]])</f>
        <v>1</v>
      </c>
      <c r="O3369" t="b">
        <f>AND(TrafficData[[#This Row],[pendingAmount]]&lt;=TrafficData[[#This Row],[totalAmount]],TrafficData[[#This Row],[disposedAmount]]&lt;=TrafficData[[#This Row],[totalAmount]])</f>
        <v>1</v>
      </c>
      <c r="P3369" t="b">
        <f>AND(TrafficData[[#This Row],[pendingCourt]]&lt;=TrafficData[[#This Row],[totalCourt]],TrafficData[[#This Row],[disposedCourt]]&lt;=TrafficData[[#This Row],[totalCourt]])</f>
        <v>1</v>
      </c>
    </row>
    <row r="3370" spans="1:16">
      <c r="A3370" s="1">
        <v>45374</v>
      </c>
      <c r="B3370">
        <v>246233</v>
      </c>
      <c r="C3370">
        <v>88994</v>
      </c>
      <c r="D3370">
        <v>157239</v>
      </c>
      <c r="E3370">
        <v>233230182</v>
      </c>
      <c r="F3370">
        <v>124335037</v>
      </c>
      <c r="G3370">
        <v>357565219</v>
      </c>
      <c r="H3370">
        <v>83208</v>
      </c>
      <c r="I3370">
        <v>12183</v>
      </c>
      <c r="J3370">
        <v>95391</v>
      </c>
      <c r="K3370" t="b">
        <f>TrafficData[[#This Row],[disposedChallan]]+TrafficData[[#This Row],[pendingChallan]]=TrafficData[[#This Row],[totalChallan]]</f>
        <v>1</v>
      </c>
      <c r="L3370" t="b">
        <f>TrafficData[[#This Row],[pendingAmount]]+TrafficData[[#This Row],[disposedAmount]]=TrafficData[[#This Row],[totalAmount]]</f>
        <v>1</v>
      </c>
      <c r="M3370" t="b">
        <f>TrafficData[[#This Row],[pendingCourt]]+TrafficData[[#This Row],[disposedCourt]]=TrafficData[[#This Row],[totalCourt]]</f>
        <v>1</v>
      </c>
      <c r="N3370" t="b">
        <f>AND(TrafficData[[#This Row],[disposedChallan]]&lt;=TrafficData[[#This Row],[totalChallan]],TrafficData[[#This Row],[pendingChallan]]&lt;=TrafficData[[#This Row],[totalChallan]])</f>
        <v>1</v>
      </c>
      <c r="O3370" t="b">
        <f>AND(TrafficData[[#This Row],[pendingAmount]]&lt;=TrafficData[[#This Row],[totalAmount]],TrafficData[[#This Row],[disposedAmount]]&lt;=TrafficData[[#This Row],[totalAmount]])</f>
        <v>1</v>
      </c>
      <c r="P3370" t="b">
        <f>AND(TrafficData[[#This Row],[pendingCourt]]&lt;=TrafficData[[#This Row],[totalCourt]],TrafficData[[#This Row],[disposedCourt]]&lt;=TrafficData[[#This Row],[totalCourt]])</f>
        <v>1</v>
      </c>
    </row>
    <row r="3371" spans="1:16">
      <c r="A3371" s="1">
        <v>45375</v>
      </c>
      <c r="B3371">
        <v>191494</v>
      </c>
      <c r="C3371">
        <v>64478</v>
      </c>
      <c r="D3371">
        <v>127016</v>
      </c>
      <c r="E3371">
        <v>171570101</v>
      </c>
      <c r="F3371">
        <v>72135087</v>
      </c>
      <c r="G3371">
        <v>243705188</v>
      </c>
      <c r="H3371">
        <v>64684</v>
      </c>
      <c r="I3371">
        <v>9051</v>
      </c>
      <c r="J3371">
        <v>73735</v>
      </c>
      <c r="K3371" t="b">
        <f>TrafficData[[#This Row],[disposedChallan]]+TrafficData[[#This Row],[pendingChallan]]=TrafficData[[#This Row],[totalChallan]]</f>
        <v>1</v>
      </c>
      <c r="L3371" t="b">
        <f>TrafficData[[#This Row],[pendingAmount]]+TrafficData[[#This Row],[disposedAmount]]=TrafficData[[#This Row],[totalAmount]]</f>
        <v>1</v>
      </c>
      <c r="M3371" t="b">
        <f>TrafficData[[#This Row],[pendingCourt]]+TrafficData[[#This Row],[disposedCourt]]=TrafficData[[#This Row],[totalCourt]]</f>
        <v>1</v>
      </c>
      <c r="N3371" t="b">
        <f>AND(TrafficData[[#This Row],[disposedChallan]]&lt;=TrafficData[[#This Row],[totalChallan]],TrafficData[[#This Row],[pendingChallan]]&lt;=TrafficData[[#This Row],[totalChallan]])</f>
        <v>1</v>
      </c>
      <c r="O3371" t="b">
        <f>AND(TrafficData[[#This Row],[pendingAmount]]&lt;=TrafficData[[#This Row],[totalAmount]],TrafficData[[#This Row],[disposedAmount]]&lt;=TrafficData[[#This Row],[totalAmount]])</f>
        <v>1</v>
      </c>
      <c r="P3371" t="b">
        <f>AND(TrafficData[[#This Row],[pendingCourt]]&lt;=TrafficData[[#This Row],[totalCourt]],TrafficData[[#This Row],[disposedCourt]]&lt;=TrafficData[[#This Row],[totalCourt]])</f>
        <v>1</v>
      </c>
    </row>
    <row r="3372" spans="1:16">
      <c r="A3372" s="1">
        <v>45376</v>
      </c>
      <c r="B3372">
        <v>162477</v>
      </c>
      <c r="C3372">
        <v>52148</v>
      </c>
      <c r="D3372">
        <v>110329</v>
      </c>
      <c r="E3372">
        <v>144573631</v>
      </c>
      <c r="F3372">
        <v>54415787</v>
      </c>
      <c r="G3372">
        <v>198989418</v>
      </c>
      <c r="H3372">
        <v>43339</v>
      </c>
      <c r="I3372">
        <v>7358</v>
      </c>
      <c r="J3372">
        <v>50697</v>
      </c>
      <c r="K3372" t="b">
        <f>TrafficData[[#This Row],[disposedChallan]]+TrafficData[[#This Row],[pendingChallan]]=TrafficData[[#This Row],[totalChallan]]</f>
        <v>1</v>
      </c>
      <c r="L3372" t="b">
        <f>TrafficData[[#This Row],[pendingAmount]]+TrafficData[[#This Row],[disposedAmount]]=TrafficData[[#This Row],[totalAmount]]</f>
        <v>1</v>
      </c>
      <c r="M3372" t="b">
        <f>TrafficData[[#This Row],[pendingCourt]]+TrafficData[[#This Row],[disposedCourt]]=TrafficData[[#This Row],[totalCourt]]</f>
        <v>1</v>
      </c>
      <c r="N3372" t="b">
        <f>AND(TrafficData[[#This Row],[disposedChallan]]&lt;=TrafficData[[#This Row],[totalChallan]],TrafficData[[#This Row],[pendingChallan]]&lt;=TrafficData[[#This Row],[totalChallan]])</f>
        <v>1</v>
      </c>
      <c r="O3372" t="b">
        <f>AND(TrafficData[[#This Row],[pendingAmount]]&lt;=TrafficData[[#This Row],[totalAmount]],TrafficData[[#This Row],[disposedAmount]]&lt;=TrafficData[[#This Row],[totalAmount]])</f>
        <v>1</v>
      </c>
      <c r="P3372" t="b">
        <f>AND(TrafficData[[#This Row],[pendingCourt]]&lt;=TrafficData[[#This Row],[totalCourt]],TrafficData[[#This Row],[disposedCourt]]&lt;=TrafficData[[#This Row],[totalCourt]])</f>
        <v>1</v>
      </c>
    </row>
    <row r="3373" spans="1:16">
      <c r="A3373" s="1">
        <v>45377</v>
      </c>
      <c r="B3373">
        <v>183510</v>
      </c>
      <c r="C3373">
        <v>62881</v>
      </c>
      <c r="D3373">
        <v>120629</v>
      </c>
      <c r="E3373">
        <v>151942735</v>
      </c>
      <c r="F3373">
        <v>73930125</v>
      </c>
      <c r="G3373">
        <v>225872860</v>
      </c>
      <c r="H3373">
        <v>51422</v>
      </c>
      <c r="I3373">
        <v>8135</v>
      </c>
      <c r="J3373">
        <v>59557</v>
      </c>
      <c r="K3373" t="b">
        <f>TrafficData[[#This Row],[disposedChallan]]+TrafficData[[#This Row],[pendingChallan]]=TrafficData[[#This Row],[totalChallan]]</f>
        <v>1</v>
      </c>
      <c r="L3373" t="b">
        <f>TrafficData[[#This Row],[pendingAmount]]+TrafficData[[#This Row],[disposedAmount]]=TrafficData[[#This Row],[totalAmount]]</f>
        <v>1</v>
      </c>
      <c r="M3373" t="b">
        <f>TrafficData[[#This Row],[pendingCourt]]+TrafficData[[#This Row],[disposedCourt]]=TrafficData[[#This Row],[totalCourt]]</f>
        <v>1</v>
      </c>
      <c r="N3373" t="b">
        <f>AND(TrafficData[[#This Row],[disposedChallan]]&lt;=TrafficData[[#This Row],[totalChallan]],TrafficData[[#This Row],[pendingChallan]]&lt;=TrafficData[[#This Row],[totalChallan]])</f>
        <v>1</v>
      </c>
      <c r="O3373" t="b">
        <f>AND(TrafficData[[#This Row],[pendingAmount]]&lt;=TrafficData[[#This Row],[totalAmount]],TrafficData[[#This Row],[disposedAmount]]&lt;=TrafficData[[#This Row],[totalAmount]])</f>
        <v>1</v>
      </c>
      <c r="P3373" t="b">
        <f>AND(TrafficData[[#This Row],[pendingCourt]]&lt;=TrafficData[[#This Row],[totalCourt]],TrafficData[[#This Row],[disposedCourt]]&lt;=TrafficData[[#This Row],[totalCourt]])</f>
        <v>1</v>
      </c>
    </row>
    <row r="3374" spans="1:16">
      <c r="A3374" s="1">
        <v>45378</v>
      </c>
      <c r="B3374">
        <v>225418</v>
      </c>
      <c r="C3374">
        <v>78437</v>
      </c>
      <c r="D3374">
        <v>146981</v>
      </c>
      <c r="E3374">
        <v>219716549</v>
      </c>
      <c r="F3374">
        <v>105620392</v>
      </c>
      <c r="G3374">
        <v>325336941</v>
      </c>
      <c r="H3374">
        <v>73692</v>
      </c>
      <c r="I3374">
        <v>10831</v>
      </c>
      <c r="J3374">
        <v>84523</v>
      </c>
      <c r="K3374" t="b">
        <f>TrafficData[[#This Row],[disposedChallan]]+TrafficData[[#This Row],[pendingChallan]]=TrafficData[[#This Row],[totalChallan]]</f>
        <v>1</v>
      </c>
      <c r="L3374" t="b">
        <f>TrafficData[[#This Row],[pendingAmount]]+TrafficData[[#This Row],[disposedAmount]]=TrafficData[[#This Row],[totalAmount]]</f>
        <v>1</v>
      </c>
      <c r="M3374" t="b">
        <f>TrafficData[[#This Row],[pendingCourt]]+TrafficData[[#This Row],[disposedCourt]]=TrafficData[[#This Row],[totalCourt]]</f>
        <v>1</v>
      </c>
      <c r="N3374" t="b">
        <f>AND(TrafficData[[#This Row],[disposedChallan]]&lt;=TrafficData[[#This Row],[totalChallan]],TrafficData[[#This Row],[pendingChallan]]&lt;=TrafficData[[#This Row],[totalChallan]])</f>
        <v>1</v>
      </c>
      <c r="O3374" t="b">
        <f>AND(TrafficData[[#This Row],[pendingAmount]]&lt;=TrafficData[[#This Row],[totalAmount]],TrafficData[[#This Row],[disposedAmount]]&lt;=TrafficData[[#This Row],[totalAmount]])</f>
        <v>1</v>
      </c>
      <c r="P3374" t="b">
        <f>AND(TrafficData[[#This Row],[pendingCourt]]&lt;=TrafficData[[#This Row],[totalCourt]],TrafficData[[#This Row],[disposedCourt]]&lt;=TrafficData[[#This Row],[totalCourt]])</f>
        <v>1</v>
      </c>
    </row>
    <row r="3375" spans="1:16">
      <c r="A3375" s="1">
        <v>45379</v>
      </c>
      <c r="B3375">
        <v>233365</v>
      </c>
      <c r="C3375">
        <v>81421</v>
      </c>
      <c r="D3375">
        <v>151944</v>
      </c>
      <c r="E3375">
        <v>236824088</v>
      </c>
      <c r="F3375">
        <v>116241532</v>
      </c>
      <c r="G3375">
        <v>353065620</v>
      </c>
      <c r="H3375">
        <v>77143</v>
      </c>
      <c r="I3375">
        <v>11370</v>
      </c>
      <c r="J3375">
        <v>88513</v>
      </c>
      <c r="K3375" t="b">
        <f>TrafficData[[#This Row],[disposedChallan]]+TrafficData[[#This Row],[pendingChallan]]=TrafficData[[#This Row],[totalChallan]]</f>
        <v>1</v>
      </c>
      <c r="L3375" t="b">
        <f>TrafficData[[#This Row],[pendingAmount]]+TrafficData[[#This Row],[disposedAmount]]=TrafficData[[#This Row],[totalAmount]]</f>
        <v>1</v>
      </c>
      <c r="M3375" t="b">
        <f>TrafficData[[#This Row],[pendingCourt]]+TrafficData[[#This Row],[disposedCourt]]=TrafficData[[#This Row],[totalCourt]]</f>
        <v>1</v>
      </c>
      <c r="N3375" t="b">
        <f>AND(TrafficData[[#This Row],[disposedChallan]]&lt;=TrafficData[[#This Row],[totalChallan]],TrafficData[[#This Row],[pendingChallan]]&lt;=TrafficData[[#This Row],[totalChallan]])</f>
        <v>1</v>
      </c>
      <c r="O3375" t="b">
        <f>AND(TrafficData[[#This Row],[pendingAmount]]&lt;=TrafficData[[#This Row],[totalAmount]],TrafficData[[#This Row],[disposedAmount]]&lt;=TrafficData[[#This Row],[totalAmount]])</f>
        <v>1</v>
      </c>
      <c r="P3375" t="b">
        <f>AND(TrafficData[[#This Row],[pendingCourt]]&lt;=TrafficData[[#This Row],[totalCourt]],TrafficData[[#This Row],[disposedCourt]]&lt;=TrafficData[[#This Row],[totalCourt]])</f>
        <v>1</v>
      </c>
    </row>
    <row r="3376" spans="1:16">
      <c r="A3376" s="1">
        <v>45380</v>
      </c>
      <c r="B3376">
        <v>235547</v>
      </c>
      <c r="C3376">
        <v>80115</v>
      </c>
      <c r="D3376">
        <v>155432</v>
      </c>
      <c r="E3376">
        <v>227528178</v>
      </c>
      <c r="F3376">
        <v>109357496</v>
      </c>
      <c r="G3376">
        <v>336885674</v>
      </c>
      <c r="H3376">
        <v>72274</v>
      </c>
      <c r="I3376">
        <v>10963</v>
      </c>
      <c r="J3376">
        <v>83237</v>
      </c>
      <c r="K3376" t="b">
        <f>TrafficData[[#This Row],[disposedChallan]]+TrafficData[[#This Row],[pendingChallan]]=TrafficData[[#This Row],[totalChallan]]</f>
        <v>1</v>
      </c>
      <c r="L3376" t="b">
        <f>TrafficData[[#This Row],[pendingAmount]]+TrafficData[[#This Row],[disposedAmount]]=TrafficData[[#This Row],[totalAmount]]</f>
        <v>1</v>
      </c>
      <c r="M3376" t="b">
        <f>TrafficData[[#This Row],[pendingCourt]]+TrafficData[[#This Row],[disposedCourt]]=TrafficData[[#This Row],[totalCourt]]</f>
        <v>1</v>
      </c>
      <c r="N3376" t="b">
        <f>AND(TrafficData[[#This Row],[disposedChallan]]&lt;=TrafficData[[#This Row],[totalChallan]],TrafficData[[#This Row],[pendingChallan]]&lt;=TrafficData[[#This Row],[totalChallan]])</f>
        <v>1</v>
      </c>
      <c r="O3376" t="b">
        <f>AND(TrafficData[[#This Row],[pendingAmount]]&lt;=TrafficData[[#This Row],[totalAmount]],TrafficData[[#This Row],[disposedAmount]]&lt;=TrafficData[[#This Row],[totalAmount]])</f>
        <v>1</v>
      </c>
      <c r="P3376" t="b">
        <f>AND(TrafficData[[#This Row],[pendingCourt]]&lt;=TrafficData[[#This Row],[totalCourt]],TrafficData[[#This Row],[disposedCourt]]&lt;=TrafficData[[#This Row],[totalCourt]])</f>
        <v>1</v>
      </c>
    </row>
    <row r="3377" spans="1:16">
      <c r="A3377" s="1">
        <v>45381</v>
      </c>
      <c r="B3377">
        <v>227159</v>
      </c>
      <c r="C3377">
        <v>77887</v>
      </c>
      <c r="D3377">
        <v>149272</v>
      </c>
      <c r="E3377">
        <v>230210817</v>
      </c>
      <c r="F3377">
        <v>107378678</v>
      </c>
      <c r="G3377">
        <v>337589495</v>
      </c>
      <c r="H3377">
        <v>73124</v>
      </c>
      <c r="I3377">
        <v>11195</v>
      </c>
      <c r="J3377">
        <v>84319</v>
      </c>
      <c r="K3377" t="b">
        <f>TrafficData[[#This Row],[disposedChallan]]+TrafficData[[#This Row],[pendingChallan]]=TrafficData[[#This Row],[totalChallan]]</f>
        <v>1</v>
      </c>
      <c r="L3377" t="b">
        <f>TrafficData[[#This Row],[pendingAmount]]+TrafficData[[#This Row],[disposedAmount]]=TrafficData[[#This Row],[totalAmount]]</f>
        <v>1</v>
      </c>
      <c r="M3377" t="b">
        <f>TrafficData[[#This Row],[pendingCourt]]+TrafficData[[#This Row],[disposedCourt]]=TrafficData[[#This Row],[totalCourt]]</f>
        <v>1</v>
      </c>
      <c r="N3377" t="b">
        <f>AND(TrafficData[[#This Row],[disposedChallan]]&lt;=TrafficData[[#This Row],[totalChallan]],TrafficData[[#This Row],[pendingChallan]]&lt;=TrafficData[[#This Row],[totalChallan]])</f>
        <v>1</v>
      </c>
      <c r="O3377" t="b">
        <f>AND(TrafficData[[#This Row],[pendingAmount]]&lt;=TrafficData[[#This Row],[totalAmount]],TrafficData[[#This Row],[disposedAmount]]&lt;=TrafficData[[#This Row],[totalAmount]])</f>
        <v>1</v>
      </c>
      <c r="P3377" t="b">
        <f>AND(TrafficData[[#This Row],[pendingCourt]]&lt;=TrafficData[[#This Row],[totalCourt]],TrafficData[[#This Row],[disposedCourt]]&lt;=TrafficData[[#This Row],[totalCourt]])</f>
        <v>1</v>
      </c>
    </row>
    <row r="3378" spans="1:16">
      <c r="A3378" s="1">
        <v>45382</v>
      </c>
      <c r="B3378">
        <v>206483</v>
      </c>
      <c r="C3378">
        <v>69515</v>
      </c>
      <c r="D3378">
        <v>136968</v>
      </c>
      <c r="E3378">
        <v>193639700</v>
      </c>
      <c r="F3378">
        <v>84504835</v>
      </c>
      <c r="G3378">
        <v>278144535</v>
      </c>
      <c r="H3378">
        <v>65377</v>
      </c>
      <c r="I3378">
        <v>9798</v>
      </c>
      <c r="J3378">
        <v>75175</v>
      </c>
      <c r="K3378" t="b">
        <f>TrafficData[[#This Row],[disposedChallan]]+TrafficData[[#This Row],[pendingChallan]]=TrafficData[[#This Row],[totalChallan]]</f>
        <v>1</v>
      </c>
      <c r="L3378" t="b">
        <f>TrafficData[[#This Row],[pendingAmount]]+TrafficData[[#This Row],[disposedAmount]]=TrafficData[[#This Row],[totalAmount]]</f>
        <v>1</v>
      </c>
      <c r="M3378" t="b">
        <f>TrafficData[[#This Row],[pendingCourt]]+TrafficData[[#This Row],[disposedCourt]]=TrafficData[[#This Row],[totalCourt]]</f>
        <v>1</v>
      </c>
      <c r="N3378" t="b">
        <f>AND(TrafficData[[#This Row],[disposedChallan]]&lt;=TrafficData[[#This Row],[totalChallan]],TrafficData[[#This Row],[pendingChallan]]&lt;=TrafficData[[#This Row],[totalChallan]])</f>
        <v>1</v>
      </c>
      <c r="O3378" t="b">
        <f>AND(TrafficData[[#This Row],[pendingAmount]]&lt;=TrafficData[[#This Row],[totalAmount]],TrafficData[[#This Row],[disposedAmount]]&lt;=TrafficData[[#This Row],[totalAmount]])</f>
        <v>1</v>
      </c>
      <c r="P3378" t="b">
        <f>AND(TrafficData[[#This Row],[pendingCourt]]&lt;=TrafficData[[#This Row],[totalCourt]],TrafficData[[#This Row],[disposedCourt]]&lt;=TrafficData[[#This Row],[totalCourt]])</f>
        <v>1</v>
      </c>
    </row>
    <row r="3379" spans="1:16">
      <c r="A3379" s="1">
        <v>45383</v>
      </c>
      <c r="B3379">
        <v>228485</v>
      </c>
      <c r="C3379">
        <v>79202</v>
      </c>
      <c r="D3379">
        <v>149283</v>
      </c>
      <c r="E3379">
        <v>217695195</v>
      </c>
      <c r="F3379">
        <v>106517796</v>
      </c>
      <c r="G3379">
        <v>324212991</v>
      </c>
      <c r="H3379">
        <v>76975</v>
      </c>
      <c r="I3379">
        <v>11004</v>
      </c>
      <c r="J3379">
        <v>87979</v>
      </c>
      <c r="K3379" t="b">
        <f>TrafficData[[#This Row],[disposedChallan]]+TrafficData[[#This Row],[pendingChallan]]=TrafficData[[#This Row],[totalChallan]]</f>
        <v>1</v>
      </c>
      <c r="L3379" t="b">
        <f>TrafficData[[#This Row],[pendingAmount]]+TrafficData[[#This Row],[disposedAmount]]=TrafficData[[#This Row],[totalAmount]]</f>
        <v>1</v>
      </c>
      <c r="M3379" t="b">
        <f>TrafficData[[#This Row],[pendingCourt]]+TrafficData[[#This Row],[disposedCourt]]=TrafficData[[#This Row],[totalCourt]]</f>
        <v>1</v>
      </c>
      <c r="N3379" t="b">
        <f>AND(TrafficData[[#This Row],[disposedChallan]]&lt;=TrafficData[[#This Row],[totalChallan]],TrafficData[[#This Row],[pendingChallan]]&lt;=TrafficData[[#This Row],[totalChallan]])</f>
        <v>1</v>
      </c>
      <c r="O3379" t="b">
        <f>AND(TrafficData[[#This Row],[pendingAmount]]&lt;=TrafficData[[#This Row],[totalAmount]],TrafficData[[#This Row],[disposedAmount]]&lt;=TrafficData[[#This Row],[totalAmount]])</f>
        <v>1</v>
      </c>
      <c r="P3379" t="b">
        <f>AND(TrafficData[[#This Row],[pendingCourt]]&lt;=TrafficData[[#This Row],[totalCourt]],TrafficData[[#This Row],[disposedCourt]]&lt;=TrafficData[[#This Row],[totalCourt]])</f>
        <v>1</v>
      </c>
    </row>
    <row r="3380" spans="1:16">
      <c r="A3380" s="1">
        <v>45384</v>
      </c>
      <c r="B3380">
        <v>227837</v>
      </c>
      <c r="C3380">
        <v>77650</v>
      </c>
      <c r="D3380">
        <v>150187</v>
      </c>
      <c r="E3380">
        <v>231761203</v>
      </c>
      <c r="F3380">
        <v>120171582</v>
      </c>
      <c r="G3380">
        <v>351932785</v>
      </c>
      <c r="H3380">
        <v>76230</v>
      </c>
      <c r="I3380">
        <v>10789</v>
      </c>
      <c r="J3380">
        <v>87019</v>
      </c>
      <c r="K3380" t="b">
        <f>TrafficData[[#This Row],[disposedChallan]]+TrafficData[[#This Row],[pendingChallan]]=TrafficData[[#This Row],[totalChallan]]</f>
        <v>1</v>
      </c>
      <c r="L3380" t="b">
        <f>TrafficData[[#This Row],[pendingAmount]]+TrafficData[[#This Row],[disposedAmount]]=TrafficData[[#This Row],[totalAmount]]</f>
        <v>1</v>
      </c>
      <c r="M3380" t="b">
        <f>TrafficData[[#This Row],[pendingCourt]]+TrafficData[[#This Row],[disposedCourt]]=TrafficData[[#This Row],[totalCourt]]</f>
        <v>1</v>
      </c>
      <c r="N3380" t="b">
        <f>AND(TrafficData[[#This Row],[disposedChallan]]&lt;=TrafficData[[#This Row],[totalChallan]],TrafficData[[#This Row],[pendingChallan]]&lt;=TrafficData[[#This Row],[totalChallan]])</f>
        <v>1</v>
      </c>
      <c r="O3380" t="b">
        <f>AND(TrafficData[[#This Row],[pendingAmount]]&lt;=TrafficData[[#This Row],[totalAmount]],TrafficData[[#This Row],[disposedAmount]]&lt;=TrafficData[[#This Row],[totalAmount]])</f>
        <v>1</v>
      </c>
      <c r="P3380" t="b">
        <f>AND(TrafficData[[#This Row],[pendingCourt]]&lt;=TrafficData[[#This Row],[totalCourt]],TrafficData[[#This Row],[disposedCourt]]&lt;=TrafficData[[#This Row],[totalCourt]])</f>
        <v>1</v>
      </c>
    </row>
    <row r="3381" spans="1:16">
      <c r="A3381" s="1">
        <v>45385</v>
      </c>
      <c r="B3381">
        <v>224668</v>
      </c>
      <c r="C3381">
        <v>79167</v>
      </c>
      <c r="D3381">
        <v>145501</v>
      </c>
      <c r="E3381">
        <v>216061500</v>
      </c>
      <c r="F3381">
        <v>119529082</v>
      </c>
      <c r="G3381">
        <v>335590582</v>
      </c>
      <c r="H3381">
        <v>72489</v>
      </c>
      <c r="I3381">
        <v>10403</v>
      </c>
      <c r="J3381">
        <v>82892</v>
      </c>
      <c r="K3381" t="b">
        <f>TrafficData[[#This Row],[disposedChallan]]+TrafficData[[#This Row],[pendingChallan]]=TrafficData[[#This Row],[totalChallan]]</f>
        <v>1</v>
      </c>
      <c r="L3381" t="b">
        <f>TrafficData[[#This Row],[pendingAmount]]+TrafficData[[#This Row],[disposedAmount]]=TrafficData[[#This Row],[totalAmount]]</f>
        <v>1</v>
      </c>
      <c r="M3381" t="b">
        <f>TrafficData[[#This Row],[pendingCourt]]+TrafficData[[#This Row],[disposedCourt]]=TrafficData[[#This Row],[totalCourt]]</f>
        <v>1</v>
      </c>
      <c r="N3381" t="b">
        <f>AND(TrafficData[[#This Row],[disposedChallan]]&lt;=TrafficData[[#This Row],[totalChallan]],TrafficData[[#This Row],[pendingChallan]]&lt;=TrafficData[[#This Row],[totalChallan]])</f>
        <v>1</v>
      </c>
      <c r="O3381" t="b">
        <f>AND(TrafficData[[#This Row],[pendingAmount]]&lt;=TrafficData[[#This Row],[totalAmount]],TrafficData[[#This Row],[disposedAmount]]&lt;=TrafficData[[#This Row],[totalAmount]])</f>
        <v>1</v>
      </c>
      <c r="P3381" t="b">
        <f>AND(TrafficData[[#This Row],[pendingCourt]]&lt;=TrafficData[[#This Row],[totalCourt]],TrafficData[[#This Row],[disposedCourt]]&lt;=TrafficData[[#This Row],[totalCourt]])</f>
        <v>1</v>
      </c>
    </row>
    <row r="3382" spans="1:16">
      <c r="A3382" s="1">
        <v>45386</v>
      </c>
      <c r="B3382">
        <v>235750</v>
      </c>
      <c r="C3382">
        <v>79291</v>
      </c>
      <c r="D3382">
        <v>156459</v>
      </c>
      <c r="E3382">
        <v>238739113</v>
      </c>
      <c r="F3382">
        <v>123081861</v>
      </c>
      <c r="G3382">
        <v>361820974</v>
      </c>
      <c r="H3382">
        <v>83143</v>
      </c>
      <c r="I3382">
        <v>11614</v>
      </c>
      <c r="J3382">
        <v>94757</v>
      </c>
      <c r="K3382" t="b">
        <f>TrafficData[[#This Row],[disposedChallan]]+TrafficData[[#This Row],[pendingChallan]]=TrafficData[[#This Row],[totalChallan]]</f>
        <v>1</v>
      </c>
      <c r="L3382" t="b">
        <f>TrafficData[[#This Row],[pendingAmount]]+TrafficData[[#This Row],[disposedAmount]]=TrafficData[[#This Row],[totalAmount]]</f>
        <v>1</v>
      </c>
      <c r="M3382" t="b">
        <f>TrafficData[[#This Row],[pendingCourt]]+TrafficData[[#This Row],[disposedCourt]]=TrafficData[[#This Row],[totalCourt]]</f>
        <v>1</v>
      </c>
      <c r="N3382" t="b">
        <f>AND(TrafficData[[#This Row],[disposedChallan]]&lt;=TrafficData[[#This Row],[totalChallan]],TrafficData[[#This Row],[pendingChallan]]&lt;=TrafficData[[#This Row],[totalChallan]])</f>
        <v>1</v>
      </c>
      <c r="O3382" t="b">
        <f>AND(TrafficData[[#This Row],[pendingAmount]]&lt;=TrafficData[[#This Row],[totalAmount]],TrafficData[[#This Row],[disposedAmount]]&lt;=TrafficData[[#This Row],[totalAmount]])</f>
        <v>1</v>
      </c>
      <c r="P3382" t="b">
        <f>AND(TrafficData[[#This Row],[pendingCourt]]&lt;=TrafficData[[#This Row],[totalCourt]],TrafficData[[#This Row],[disposedCourt]]&lt;=TrafficData[[#This Row],[totalCourt]])</f>
        <v>1</v>
      </c>
    </row>
    <row r="3383" spans="1:16">
      <c r="A3383" s="1">
        <v>45387</v>
      </c>
      <c r="B3383">
        <v>232486</v>
      </c>
      <c r="C3383">
        <v>77687</v>
      </c>
      <c r="D3383">
        <v>154799</v>
      </c>
      <c r="E3383">
        <v>232461342</v>
      </c>
      <c r="F3383">
        <v>113442285</v>
      </c>
      <c r="G3383">
        <v>345903627</v>
      </c>
      <c r="H3383">
        <v>77276</v>
      </c>
      <c r="I3383">
        <v>10626</v>
      </c>
      <c r="J3383">
        <v>87902</v>
      </c>
      <c r="K3383" t="b">
        <f>TrafficData[[#This Row],[disposedChallan]]+TrafficData[[#This Row],[pendingChallan]]=TrafficData[[#This Row],[totalChallan]]</f>
        <v>1</v>
      </c>
      <c r="L3383" t="b">
        <f>TrafficData[[#This Row],[pendingAmount]]+TrafficData[[#This Row],[disposedAmount]]=TrafficData[[#This Row],[totalAmount]]</f>
        <v>1</v>
      </c>
      <c r="M3383" t="b">
        <f>TrafficData[[#This Row],[pendingCourt]]+TrafficData[[#This Row],[disposedCourt]]=TrafficData[[#This Row],[totalCourt]]</f>
        <v>1</v>
      </c>
      <c r="N3383" t="b">
        <f>AND(TrafficData[[#This Row],[disposedChallan]]&lt;=TrafficData[[#This Row],[totalChallan]],TrafficData[[#This Row],[pendingChallan]]&lt;=TrafficData[[#This Row],[totalChallan]])</f>
        <v>1</v>
      </c>
      <c r="O3383" t="b">
        <f>AND(TrafficData[[#This Row],[pendingAmount]]&lt;=TrafficData[[#This Row],[totalAmount]],TrafficData[[#This Row],[disposedAmount]]&lt;=TrafficData[[#This Row],[totalAmount]])</f>
        <v>1</v>
      </c>
      <c r="P3383" t="b">
        <f>AND(TrafficData[[#This Row],[pendingCourt]]&lt;=TrafficData[[#This Row],[totalCourt]],TrafficData[[#This Row],[disposedCourt]]&lt;=TrafficData[[#This Row],[totalCourt]])</f>
        <v>1</v>
      </c>
    </row>
    <row r="3384" spans="1:16">
      <c r="A3384" s="1">
        <v>45388</v>
      </c>
      <c r="B3384">
        <v>231392</v>
      </c>
      <c r="C3384">
        <v>78514</v>
      </c>
      <c r="D3384">
        <v>152878</v>
      </c>
      <c r="E3384">
        <v>233445135</v>
      </c>
      <c r="F3384">
        <v>109073582</v>
      </c>
      <c r="G3384">
        <v>342518717</v>
      </c>
      <c r="H3384">
        <v>74799</v>
      </c>
      <c r="I3384">
        <v>10857</v>
      </c>
      <c r="J3384">
        <v>85656</v>
      </c>
      <c r="K3384" t="b">
        <f>TrafficData[[#This Row],[disposedChallan]]+TrafficData[[#This Row],[pendingChallan]]=TrafficData[[#This Row],[totalChallan]]</f>
        <v>1</v>
      </c>
      <c r="L3384" t="b">
        <f>TrafficData[[#This Row],[pendingAmount]]+TrafficData[[#This Row],[disposedAmount]]=TrafficData[[#This Row],[totalAmount]]</f>
        <v>1</v>
      </c>
      <c r="M3384" t="b">
        <f>TrafficData[[#This Row],[pendingCourt]]+TrafficData[[#This Row],[disposedCourt]]=TrafficData[[#This Row],[totalCourt]]</f>
        <v>1</v>
      </c>
      <c r="N3384" t="b">
        <f>AND(TrafficData[[#This Row],[disposedChallan]]&lt;=TrafficData[[#This Row],[totalChallan]],TrafficData[[#This Row],[pendingChallan]]&lt;=TrafficData[[#This Row],[totalChallan]])</f>
        <v>1</v>
      </c>
      <c r="O3384" t="b">
        <f>AND(TrafficData[[#This Row],[pendingAmount]]&lt;=TrafficData[[#This Row],[totalAmount]],TrafficData[[#This Row],[disposedAmount]]&lt;=TrafficData[[#This Row],[totalAmount]])</f>
        <v>1</v>
      </c>
      <c r="P3384" t="b">
        <f>AND(TrafficData[[#This Row],[pendingCourt]]&lt;=TrafficData[[#This Row],[totalCourt]],TrafficData[[#This Row],[disposedCourt]]&lt;=TrafficData[[#This Row],[totalCourt]])</f>
        <v>1</v>
      </c>
    </row>
    <row r="3385" spans="1:16">
      <c r="A3385" s="1">
        <v>45389</v>
      </c>
      <c r="B3385">
        <v>203991</v>
      </c>
      <c r="C3385">
        <v>68330</v>
      </c>
      <c r="D3385">
        <v>135661</v>
      </c>
      <c r="E3385">
        <v>196278914</v>
      </c>
      <c r="F3385">
        <v>81435087</v>
      </c>
      <c r="G3385">
        <v>277714001</v>
      </c>
      <c r="H3385">
        <v>65236</v>
      </c>
      <c r="I3385">
        <v>9316</v>
      </c>
      <c r="J3385">
        <v>74552</v>
      </c>
      <c r="K3385" t="b">
        <f>TrafficData[[#This Row],[disposedChallan]]+TrafficData[[#This Row],[pendingChallan]]=TrafficData[[#This Row],[totalChallan]]</f>
        <v>1</v>
      </c>
      <c r="L3385" t="b">
        <f>TrafficData[[#This Row],[pendingAmount]]+TrafficData[[#This Row],[disposedAmount]]=TrafficData[[#This Row],[totalAmount]]</f>
        <v>1</v>
      </c>
      <c r="M3385" t="b">
        <f>TrafficData[[#This Row],[pendingCourt]]+TrafficData[[#This Row],[disposedCourt]]=TrafficData[[#This Row],[totalCourt]]</f>
        <v>1</v>
      </c>
      <c r="N3385" t="b">
        <f>AND(TrafficData[[#This Row],[disposedChallan]]&lt;=TrafficData[[#This Row],[totalChallan]],TrafficData[[#This Row],[pendingChallan]]&lt;=TrafficData[[#This Row],[totalChallan]])</f>
        <v>1</v>
      </c>
      <c r="O3385" t="b">
        <f>AND(TrafficData[[#This Row],[pendingAmount]]&lt;=TrafficData[[#This Row],[totalAmount]],TrafficData[[#This Row],[disposedAmount]]&lt;=TrafficData[[#This Row],[totalAmount]])</f>
        <v>1</v>
      </c>
      <c r="P3385" t="b">
        <f>AND(TrafficData[[#This Row],[pendingCourt]]&lt;=TrafficData[[#This Row],[totalCourt]],TrafficData[[#This Row],[disposedCourt]]&lt;=TrafficData[[#This Row],[totalCourt]])</f>
        <v>1</v>
      </c>
    </row>
    <row r="3386" spans="1:16">
      <c r="A3386" s="1">
        <v>45390</v>
      </c>
      <c r="B3386">
        <v>230204</v>
      </c>
      <c r="C3386">
        <v>75279</v>
      </c>
      <c r="D3386">
        <v>154925</v>
      </c>
      <c r="E3386">
        <v>233493763</v>
      </c>
      <c r="F3386">
        <v>102822555</v>
      </c>
      <c r="G3386">
        <v>336316318</v>
      </c>
      <c r="H3386">
        <v>80154</v>
      </c>
      <c r="I3386">
        <v>11479</v>
      </c>
      <c r="J3386">
        <v>91633</v>
      </c>
      <c r="K3386" t="b">
        <f>TrafficData[[#This Row],[disposedChallan]]+TrafficData[[#This Row],[pendingChallan]]=TrafficData[[#This Row],[totalChallan]]</f>
        <v>1</v>
      </c>
      <c r="L3386" t="b">
        <f>TrafficData[[#This Row],[pendingAmount]]+TrafficData[[#This Row],[disposedAmount]]=TrafficData[[#This Row],[totalAmount]]</f>
        <v>1</v>
      </c>
      <c r="M3386" t="b">
        <f>TrafficData[[#This Row],[pendingCourt]]+TrafficData[[#This Row],[disposedCourt]]=TrafficData[[#This Row],[totalCourt]]</f>
        <v>1</v>
      </c>
      <c r="N3386" t="b">
        <f>AND(TrafficData[[#This Row],[disposedChallan]]&lt;=TrafficData[[#This Row],[totalChallan]],TrafficData[[#This Row],[pendingChallan]]&lt;=TrafficData[[#This Row],[totalChallan]])</f>
        <v>1</v>
      </c>
      <c r="O3386" t="b">
        <f>AND(TrafficData[[#This Row],[pendingAmount]]&lt;=TrafficData[[#This Row],[totalAmount]],TrafficData[[#This Row],[disposedAmount]]&lt;=TrafficData[[#This Row],[totalAmount]])</f>
        <v>1</v>
      </c>
      <c r="P3386" t="b">
        <f>AND(TrafficData[[#This Row],[pendingCourt]]&lt;=TrafficData[[#This Row],[totalCourt]],TrafficData[[#This Row],[disposedCourt]]&lt;=TrafficData[[#This Row],[totalCourt]])</f>
        <v>1</v>
      </c>
    </row>
    <row r="3387" spans="1:16">
      <c r="A3387" s="1">
        <v>45391</v>
      </c>
      <c r="B3387">
        <v>212631</v>
      </c>
      <c r="C3387">
        <v>70629</v>
      </c>
      <c r="D3387">
        <v>142002</v>
      </c>
      <c r="E3387">
        <v>226224534</v>
      </c>
      <c r="F3387">
        <v>97207703</v>
      </c>
      <c r="G3387">
        <v>323432237</v>
      </c>
      <c r="H3387">
        <v>74443</v>
      </c>
      <c r="I3387">
        <v>10995</v>
      </c>
      <c r="J3387">
        <v>85438</v>
      </c>
      <c r="K3387" t="b">
        <f>TrafficData[[#This Row],[disposedChallan]]+TrafficData[[#This Row],[pendingChallan]]=TrafficData[[#This Row],[totalChallan]]</f>
        <v>1</v>
      </c>
      <c r="L3387" t="b">
        <f>TrafficData[[#This Row],[pendingAmount]]+TrafficData[[#This Row],[disposedAmount]]=TrafficData[[#This Row],[totalAmount]]</f>
        <v>1</v>
      </c>
      <c r="M3387" t="b">
        <f>TrafficData[[#This Row],[pendingCourt]]+TrafficData[[#This Row],[disposedCourt]]=TrafficData[[#This Row],[totalCourt]]</f>
        <v>1</v>
      </c>
      <c r="N3387" t="b">
        <f>AND(TrafficData[[#This Row],[disposedChallan]]&lt;=TrafficData[[#This Row],[totalChallan]],TrafficData[[#This Row],[pendingChallan]]&lt;=TrafficData[[#This Row],[totalChallan]])</f>
        <v>1</v>
      </c>
      <c r="O3387" t="b">
        <f>AND(TrafficData[[#This Row],[pendingAmount]]&lt;=TrafficData[[#This Row],[totalAmount]],TrafficData[[#This Row],[disposedAmount]]&lt;=TrafficData[[#This Row],[totalAmount]])</f>
        <v>1</v>
      </c>
      <c r="P3387" t="b">
        <f>AND(TrafficData[[#This Row],[pendingCourt]]&lt;=TrafficData[[#This Row],[totalCourt]],TrafficData[[#This Row],[disposedCourt]]&lt;=TrafficData[[#This Row],[totalCourt]])</f>
        <v>1</v>
      </c>
    </row>
    <row r="3388" spans="1:16">
      <c r="A3388" s="1">
        <v>45392</v>
      </c>
      <c r="B3388">
        <v>222867</v>
      </c>
      <c r="C3388">
        <v>70485</v>
      </c>
      <c r="D3388">
        <v>152382</v>
      </c>
      <c r="E3388">
        <v>231221264</v>
      </c>
      <c r="F3388">
        <v>103757278</v>
      </c>
      <c r="G3388">
        <v>334978542</v>
      </c>
      <c r="H3388">
        <v>73990</v>
      </c>
      <c r="I3388">
        <v>10163</v>
      </c>
      <c r="J3388">
        <v>84153</v>
      </c>
      <c r="K3388" t="b">
        <f>TrafficData[[#This Row],[disposedChallan]]+TrafficData[[#This Row],[pendingChallan]]=TrafficData[[#This Row],[totalChallan]]</f>
        <v>1</v>
      </c>
      <c r="L3388" t="b">
        <f>TrafficData[[#This Row],[pendingAmount]]+TrafficData[[#This Row],[disposedAmount]]=TrafficData[[#This Row],[totalAmount]]</f>
        <v>1</v>
      </c>
      <c r="M3388" t="b">
        <f>TrafficData[[#This Row],[pendingCourt]]+TrafficData[[#This Row],[disposedCourt]]=TrafficData[[#This Row],[totalCourt]]</f>
        <v>1</v>
      </c>
      <c r="N3388" t="b">
        <f>AND(TrafficData[[#This Row],[disposedChallan]]&lt;=TrafficData[[#This Row],[totalChallan]],TrafficData[[#This Row],[pendingChallan]]&lt;=TrafficData[[#This Row],[totalChallan]])</f>
        <v>1</v>
      </c>
      <c r="O3388" t="b">
        <f>AND(TrafficData[[#This Row],[pendingAmount]]&lt;=TrafficData[[#This Row],[totalAmount]],TrafficData[[#This Row],[disposedAmount]]&lt;=TrafficData[[#This Row],[totalAmount]])</f>
        <v>1</v>
      </c>
      <c r="P3388" t="b">
        <f>AND(TrafficData[[#This Row],[pendingCourt]]&lt;=TrafficData[[#This Row],[totalCourt]],TrafficData[[#This Row],[disposedCourt]]&lt;=TrafficData[[#This Row],[totalCourt]])</f>
        <v>1</v>
      </c>
    </row>
    <row r="3389" spans="1:16">
      <c r="A3389" s="1">
        <v>45393</v>
      </c>
      <c r="B3389">
        <v>199840</v>
      </c>
      <c r="C3389">
        <v>64730</v>
      </c>
      <c r="D3389">
        <v>135110</v>
      </c>
      <c r="E3389">
        <v>193338955</v>
      </c>
      <c r="F3389">
        <v>83447483</v>
      </c>
      <c r="G3389">
        <v>276786438</v>
      </c>
      <c r="H3389">
        <v>69701</v>
      </c>
      <c r="I3389">
        <v>9078</v>
      </c>
      <c r="J3389">
        <v>78779</v>
      </c>
      <c r="K3389" t="b">
        <f>TrafficData[[#This Row],[disposedChallan]]+TrafficData[[#This Row],[pendingChallan]]=TrafficData[[#This Row],[totalChallan]]</f>
        <v>1</v>
      </c>
      <c r="L3389" t="b">
        <f>TrafficData[[#This Row],[pendingAmount]]+TrafficData[[#This Row],[disposedAmount]]=TrafficData[[#This Row],[totalAmount]]</f>
        <v>1</v>
      </c>
      <c r="M3389" t="b">
        <f>TrafficData[[#This Row],[pendingCourt]]+TrafficData[[#This Row],[disposedCourt]]=TrafficData[[#This Row],[totalCourt]]</f>
        <v>1</v>
      </c>
      <c r="N3389" t="b">
        <f>AND(TrafficData[[#This Row],[disposedChallan]]&lt;=TrafficData[[#This Row],[totalChallan]],TrafficData[[#This Row],[pendingChallan]]&lt;=TrafficData[[#This Row],[totalChallan]])</f>
        <v>1</v>
      </c>
      <c r="O3389" t="b">
        <f>AND(TrafficData[[#This Row],[pendingAmount]]&lt;=TrafficData[[#This Row],[totalAmount]],TrafficData[[#This Row],[disposedAmount]]&lt;=TrafficData[[#This Row],[totalAmount]])</f>
        <v>1</v>
      </c>
      <c r="P3389" t="b">
        <f>AND(TrafficData[[#This Row],[pendingCourt]]&lt;=TrafficData[[#This Row],[totalCourt]],TrafficData[[#This Row],[disposedCourt]]&lt;=TrafficData[[#This Row],[totalCourt]])</f>
        <v>1</v>
      </c>
    </row>
    <row r="3390" spans="1:16">
      <c r="A3390" s="1">
        <v>45394</v>
      </c>
      <c r="B3390">
        <v>228401</v>
      </c>
      <c r="C3390">
        <v>74822</v>
      </c>
      <c r="D3390">
        <v>153579</v>
      </c>
      <c r="E3390">
        <v>235792128</v>
      </c>
      <c r="F3390">
        <v>98887295</v>
      </c>
      <c r="G3390">
        <v>334679423</v>
      </c>
      <c r="H3390">
        <v>84352</v>
      </c>
      <c r="I3390">
        <v>11243</v>
      </c>
      <c r="J3390">
        <v>95595</v>
      </c>
      <c r="K3390" t="b">
        <f>TrafficData[[#This Row],[disposedChallan]]+TrafficData[[#This Row],[pendingChallan]]=TrafficData[[#This Row],[totalChallan]]</f>
        <v>1</v>
      </c>
      <c r="L3390" t="b">
        <f>TrafficData[[#This Row],[pendingAmount]]+TrafficData[[#This Row],[disposedAmount]]=TrafficData[[#This Row],[totalAmount]]</f>
        <v>1</v>
      </c>
      <c r="M3390" t="b">
        <f>TrafficData[[#This Row],[pendingCourt]]+TrafficData[[#This Row],[disposedCourt]]=TrafficData[[#This Row],[totalCourt]]</f>
        <v>1</v>
      </c>
      <c r="N3390" t="b">
        <f>AND(TrafficData[[#This Row],[disposedChallan]]&lt;=TrafficData[[#This Row],[totalChallan]],TrafficData[[#This Row],[pendingChallan]]&lt;=TrafficData[[#This Row],[totalChallan]])</f>
        <v>1</v>
      </c>
      <c r="O3390" t="b">
        <f>AND(TrafficData[[#This Row],[pendingAmount]]&lt;=TrafficData[[#This Row],[totalAmount]],TrafficData[[#This Row],[disposedAmount]]&lt;=TrafficData[[#This Row],[totalAmount]])</f>
        <v>1</v>
      </c>
      <c r="P3390" t="b">
        <f>AND(TrafficData[[#This Row],[pendingCourt]]&lt;=TrafficData[[#This Row],[totalCourt]],TrafficData[[#This Row],[disposedCourt]]&lt;=TrafficData[[#This Row],[totalCourt]])</f>
        <v>1</v>
      </c>
    </row>
    <row r="3391" spans="1:16">
      <c r="A3391" s="1">
        <v>45395</v>
      </c>
      <c r="B3391">
        <v>216143</v>
      </c>
      <c r="C3391">
        <v>72812</v>
      </c>
      <c r="D3391">
        <v>143331</v>
      </c>
      <c r="E3391">
        <v>205509665</v>
      </c>
      <c r="F3391">
        <v>92315605</v>
      </c>
      <c r="G3391">
        <v>297825270</v>
      </c>
      <c r="H3391">
        <v>76910</v>
      </c>
      <c r="I3391">
        <v>10420</v>
      </c>
      <c r="J3391">
        <v>87330</v>
      </c>
      <c r="K3391" t="b">
        <f>TrafficData[[#This Row],[disposedChallan]]+TrafficData[[#This Row],[pendingChallan]]=TrafficData[[#This Row],[totalChallan]]</f>
        <v>1</v>
      </c>
      <c r="L3391" t="b">
        <f>TrafficData[[#This Row],[pendingAmount]]+TrafficData[[#This Row],[disposedAmount]]=TrafficData[[#This Row],[totalAmount]]</f>
        <v>1</v>
      </c>
      <c r="M3391" t="b">
        <f>TrafficData[[#This Row],[pendingCourt]]+TrafficData[[#This Row],[disposedCourt]]=TrafficData[[#This Row],[totalCourt]]</f>
        <v>1</v>
      </c>
      <c r="N3391" t="b">
        <f>AND(TrafficData[[#This Row],[disposedChallan]]&lt;=TrafficData[[#This Row],[totalChallan]],TrafficData[[#This Row],[pendingChallan]]&lt;=TrafficData[[#This Row],[totalChallan]])</f>
        <v>1</v>
      </c>
      <c r="O3391" t="b">
        <f>AND(TrafficData[[#This Row],[pendingAmount]]&lt;=TrafficData[[#This Row],[totalAmount]],TrafficData[[#This Row],[disposedAmount]]&lt;=TrafficData[[#This Row],[totalAmount]])</f>
        <v>1</v>
      </c>
      <c r="P3391" t="b">
        <f>AND(TrafficData[[#This Row],[pendingCourt]]&lt;=TrafficData[[#This Row],[totalCourt]],TrafficData[[#This Row],[disposedCourt]]&lt;=TrafficData[[#This Row],[totalCourt]])</f>
        <v>1</v>
      </c>
    </row>
    <row r="3392" spans="1:16">
      <c r="A3392" s="1">
        <v>45396</v>
      </c>
      <c r="B3392">
        <v>184113</v>
      </c>
      <c r="C3392">
        <v>60182</v>
      </c>
      <c r="D3392">
        <v>123931</v>
      </c>
      <c r="E3392">
        <v>169762963</v>
      </c>
      <c r="F3392">
        <v>67619547</v>
      </c>
      <c r="G3392">
        <v>237382510</v>
      </c>
      <c r="H3392">
        <v>64648</v>
      </c>
      <c r="I3392">
        <v>8818</v>
      </c>
      <c r="J3392">
        <v>73466</v>
      </c>
      <c r="K3392" t="b">
        <f>TrafficData[[#This Row],[disposedChallan]]+TrafficData[[#This Row],[pendingChallan]]=TrafficData[[#This Row],[totalChallan]]</f>
        <v>1</v>
      </c>
      <c r="L3392" t="b">
        <f>TrafficData[[#This Row],[pendingAmount]]+TrafficData[[#This Row],[disposedAmount]]=TrafficData[[#This Row],[totalAmount]]</f>
        <v>1</v>
      </c>
      <c r="M3392" t="b">
        <f>TrafficData[[#This Row],[pendingCourt]]+TrafficData[[#This Row],[disposedCourt]]=TrafficData[[#This Row],[totalCourt]]</f>
        <v>1</v>
      </c>
      <c r="N3392" t="b">
        <f>AND(TrafficData[[#This Row],[disposedChallan]]&lt;=TrafficData[[#This Row],[totalChallan]],TrafficData[[#This Row],[pendingChallan]]&lt;=TrafficData[[#This Row],[totalChallan]])</f>
        <v>1</v>
      </c>
      <c r="O3392" t="b">
        <f>AND(TrafficData[[#This Row],[pendingAmount]]&lt;=TrafficData[[#This Row],[totalAmount]],TrafficData[[#This Row],[disposedAmount]]&lt;=TrafficData[[#This Row],[totalAmount]])</f>
        <v>1</v>
      </c>
      <c r="P3392" t="b">
        <f>AND(TrafficData[[#This Row],[pendingCourt]]&lt;=TrafficData[[#This Row],[totalCourt]],TrafficData[[#This Row],[disposedCourt]]&lt;=TrafficData[[#This Row],[totalCourt]])</f>
        <v>1</v>
      </c>
    </row>
    <row r="3393" spans="1:16">
      <c r="A3393" s="1">
        <v>45397</v>
      </c>
      <c r="B3393">
        <v>220333</v>
      </c>
      <c r="C3393">
        <v>69584</v>
      </c>
      <c r="D3393">
        <v>150749</v>
      </c>
      <c r="E3393">
        <v>220915487</v>
      </c>
      <c r="F3393">
        <v>89602137</v>
      </c>
      <c r="G3393">
        <v>310517624</v>
      </c>
      <c r="H3393">
        <v>83777</v>
      </c>
      <c r="I3393">
        <v>10881</v>
      </c>
      <c r="J3393">
        <v>94658</v>
      </c>
      <c r="K3393" t="b">
        <f>TrafficData[[#This Row],[disposedChallan]]+TrafficData[[#This Row],[pendingChallan]]=TrafficData[[#This Row],[totalChallan]]</f>
        <v>1</v>
      </c>
      <c r="L3393" t="b">
        <f>TrafficData[[#This Row],[pendingAmount]]+TrafficData[[#This Row],[disposedAmount]]=TrafficData[[#This Row],[totalAmount]]</f>
        <v>1</v>
      </c>
      <c r="M3393" t="b">
        <f>TrafficData[[#This Row],[pendingCourt]]+TrafficData[[#This Row],[disposedCourt]]=TrafficData[[#This Row],[totalCourt]]</f>
        <v>1</v>
      </c>
      <c r="N3393" t="b">
        <f>AND(TrafficData[[#This Row],[disposedChallan]]&lt;=TrafficData[[#This Row],[totalChallan]],TrafficData[[#This Row],[pendingChallan]]&lt;=TrafficData[[#This Row],[totalChallan]])</f>
        <v>1</v>
      </c>
      <c r="O3393" t="b">
        <f>AND(TrafficData[[#This Row],[pendingAmount]]&lt;=TrafficData[[#This Row],[totalAmount]],TrafficData[[#This Row],[disposedAmount]]&lt;=TrafficData[[#This Row],[totalAmount]])</f>
        <v>1</v>
      </c>
      <c r="P3393" t="b">
        <f>AND(TrafficData[[#This Row],[pendingCourt]]&lt;=TrafficData[[#This Row],[totalCourt]],TrafficData[[#This Row],[disposedCourt]]&lt;=TrafficData[[#This Row],[totalCourt]])</f>
        <v>1</v>
      </c>
    </row>
    <row r="3394" spans="1:16">
      <c r="A3394" s="1">
        <v>45398</v>
      </c>
      <c r="B3394">
        <v>211004</v>
      </c>
      <c r="C3394">
        <v>67728</v>
      </c>
      <c r="D3394">
        <v>143276</v>
      </c>
      <c r="E3394">
        <v>215519847</v>
      </c>
      <c r="F3394">
        <v>93117711</v>
      </c>
      <c r="G3394">
        <v>308637558</v>
      </c>
      <c r="H3394">
        <v>79259</v>
      </c>
      <c r="I3394">
        <v>10439</v>
      </c>
      <c r="J3394">
        <v>89698</v>
      </c>
      <c r="K3394" t="b">
        <f>TrafficData[[#This Row],[disposedChallan]]+TrafficData[[#This Row],[pendingChallan]]=TrafficData[[#This Row],[totalChallan]]</f>
        <v>1</v>
      </c>
      <c r="L3394" t="b">
        <f>TrafficData[[#This Row],[pendingAmount]]+TrafficData[[#This Row],[disposedAmount]]=TrafficData[[#This Row],[totalAmount]]</f>
        <v>1</v>
      </c>
      <c r="M3394" t="b">
        <f>TrafficData[[#This Row],[pendingCourt]]+TrafficData[[#This Row],[disposedCourt]]=TrafficData[[#This Row],[totalCourt]]</f>
        <v>1</v>
      </c>
      <c r="N3394" t="b">
        <f>AND(TrafficData[[#This Row],[disposedChallan]]&lt;=TrafficData[[#This Row],[totalChallan]],TrafficData[[#This Row],[pendingChallan]]&lt;=TrafficData[[#This Row],[totalChallan]])</f>
        <v>1</v>
      </c>
      <c r="O3394" t="b">
        <f>AND(TrafficData[[#This Row],[pendingAmount]]&lt;=TrafficData[[#This Row],[totalAmount]],TrafficData[[#This Row],[disposedAmount]]&lt;=TrafficData[[#This Row],[totalAmount]])</f>
        <v>1</v>
      </c>
      <c r="P3394" t="b">
        <f>AND(TrafficData[[#This Row],[pendingCourt]]&lt;=TrafficData[[#This Row],[totalCourt]],TrafficData[[#This Row],[disposedCourt]]&lt;=TrafficData[[#This Row],[totalCourt]])</f>
        <v>1</v>
      </c>
    </row>
    <row r="3395" spans="1:16">
      <c r="A3395" s="1">
        <v>45399</v>
      </c>
      <c r="B3395">
        <v>180366</v>
      </c>
      <c r="C3395">
        <v>57610</v>
      </c>
      <c r="D3395">
        <v>122756</v>
      </c>
      <c r="E3395">
        <v>183396170</v>
      </c>
      <c r="F3395">
        <v>74433376</v>
      </c>
      <c r="G3395">
        <v>257829546</v>
      </c>
      <c r="H3395">
        <v>69455</v>
      </c>
      <c r="I3395">
        <v>9309</v>
      </c>
      <c r="J3395">
        <v>78764</v>
      </c>
      <c r="K3395" t="b">
        <f>TrafficData[[#This Row],[disposedChallan]]+TrafficData[[#This Row],[pendingChallan]]=TrafficData[[#This Row],[totalChallan]]</f>
        <v>1</v>
      </c>
      <c r="L3395" t="b">
        <f>TrafficData[[#This Row],[pendingAmount]]+TrafficData[[#This Row],[disposedAmount]]=TrafficData[[#This Row],[totalAmount]]</f>
        <v>1</v>
      </c>
      <c r="M3395" t="b">
        <f>TrafficData[[#This Row],[pendingCourt]]+TrafficData[[#This Row],[disposedCourt]]=TrafficData[[#This Row],[totalCourt]]</f>
        <v>1</v>
      </c>
      <c r="N3395" t="b">
        <f>AND(TrafficData[[#This Row],[disposedChallan]]&lt;=TrafficData[[#This Row],[totalChallan]],TrafficData[[#This Row],[pendingChallan]]&lt;=TrafficData[[#This Row],[totalChallan]])</f>
        <v>1</v>
      </c>
      <c r="O3395" t="b">
        <f>AND(TrafficData[[#This Row],[pendingAmount]]&lt;=TrafficData[[#This Row],[totalAmount]],TrafficData[[#This Row],[disposedAmount]]&lt;=TrafficData[[#This Row],[totalAmount]])</f>
        <v>1</v>
      </c>
      <c r="P3395" t="b">
        <f>AND(TrafficData[[#This Row],[pendingCourt]]&lt;=TrafficData[[#This Row],[totalCourt]],TrafficData[[#This Row],[disposedCourt]]&lt;=TrafficData[[#This Row],[totalCourt]])</f>
        <v>1</v>
      </c>
    </row>
    <row r="3396" spans="1:16">
      <c r="A3396" s="1">
        <v>45400</v>
      </c>
      <c r="B3396">
        <v>180317</v>
      </c>
      <c r="C3396">
        <v>57959</v>
      </c>
      <c r="D3396">
        <v>122358</v>
      </c>
      <c r="E3396">
        <v>191813776</v>
      </c>
      <c r="F3396">
        <v>85149338</v>
      </c>
      <c r="G3396">
        <v>276963114</v>
      </c>
      <c r="H3396">
        <v>75308</v>
      </c>
      <c r="I3396">
        <v>10088</v>
      </c>
      <c r="J3396">
        <v>85396</v>
      </c>
      <c r="K3396" t="b">
        <f>TrafficData[[#This Row],[disposedChallan]]+TrafficData[[#This Row],[pendingChallan]]=TrafficData[[#This Row],[totalChallan]]</f>
        <v>1</v>
      </c>
      <c r="L3396" t="b">
        <f>TrafficData[[#This Row],[pendingAmount]]+TrafficData[[#This Row],[disposedAmount]]=TrafficData[[#This Row],[totalAmount]]</f>
        <v>1</v>
      </c>
      <c r="M3396" t="b">
        <f>TrafficData[[#This Row],[pendingCourt]]+TrafficData[[#This Row],[disposedCourt]]=TrafficData[[#This Row],[totalCourt]]</f>
        <v>1</v>
      </c>
      <c r="N3396" t="b">
        <f>AND(TrafficData[[#This Row],[disposedChallan]]&lt;=TrafficData[[#This Row],[totalChallan]],TrafficData[[#This Row],[pendingChallan]]&lt;=TrafficData[[#This Row],[totalChallan]])</f>
        <v>1</v>
      </c>
      <c r="O3396" t="b">
        <f>AND(TrafficData[[#This Row],[pendingAmount]]&lt;=TrafficData[[#This Row],[totalAmount]],TrafficData[[#This Row],[disposedAmount]]&lt;=TrafficData[[#This Row],[totalAmount]])</f>
        <v>1</v>
      </c>
      <c r="P3396" t="b">
        <f>AND(TrafficData[[#This Row],[pendingCourt]]&lt;=TrafficData[[#This Row],[totalCourt]],TrafficData[[#This Row],[disposedCourt]]&lt;=TrafficData[[#This Row],[totalCourt]])</f>
        <v>1</v>
      </c>
    </row>
    <row r="3397" spans="1:16">
      <c r="A3397" s="1">
        <v>45401</v>
      </c>
      <c r="B3397">
        <v>175461</v>
      </c>
      <c r="C3397">
        <v>57276</v>
      </c>
      <c r="D3397">
        <v>118185</v>
      </c>
      <c r="E3397">
        <v>183555325</v>
      </c>
      <c r="F3397">
        <v>82085260</v>
      </c>
      <c r="G3397">
        <v>265640585</v>
      </c>
      <c r="H3397">
        <v>73709</v>
      </c>
      <c r="I3397">
        <v>9952</v>
      </c>
      <c r="J3397">
        <v>83661</v>
      </c>
      <c r="K3397" t="b">
        <f>TrafficData[[#This Row],[disposedChallan]]+TrafficData[[#This Row],[pendingChallan]]=TrafficData[[#This Row],[totalChallan]]</f>
        <v>1</v>
      </c>
      <c r="L3397" t="b">
        <f>TrafficData[[#This Row],[pendingAmount]]+TrafficData[[#This Row],[disposedAmount]]=TrafficData[[#This Row],[totalAmount]]</f>
        <v>1</v>
      </c>
      <c r="M3397" t="b">
        <f>TrafficData[[#This Row],[pendingCourt]]+TrafficData[[#This Row],[disposedCourt]]=TrafficData[[#This Row],[totalCourt]]</f>
        <v>1</v>
      </c>
      <c r="N3397" t="b">
        <f>AND(TrafficData[[#This Row],[disposedChallan]]&lt;=TrafficData[[#This Row],[totalChallan]],TrafficData[[#This Row],[pendingChallan]]&lt;=TrafficData[[#This Row],[totalChallan]])</f>
        <v>1</v>
      </c>
      <c r="O3397" t="b">
        <f>AND(TrafficData[[#This Row],[pendingAmount]]&lt;=TrafficData[[#This Row],[totalAmount]],TrafficData[[#This Row],[disposedAmount]]&lt;=TrafficData[[#This Row],[totalAmount]])</f>
        <v>1</v>
      </c>
      <c r="P3397" t="b">
        <f>AND(TrafficData[[#This Row],[pendingCourt]]&lt;=TrafficData[[#This Row],[totalCourt]],TrafficData[[#This Row],[disposedCourt]]&lt;=TrafficData[[#This Row],[totalCourt]])</f>
        <v>1</v>
      </c>
    </row>
    <row r="3398" spans="1:16">
      <c r="A3398" s="1">
        <v>45402</v>
      </c>
      <c r="B3398">
        <v>196695</v>
      </c>
      <c r="C3398">
        <v>65487</v>
      </c>
      <c r="D3398">
        <v>131208</v>
      </c>
      <c r="E3398">
        <v>193312601</v>
      </c>
      <c r="F3398">
        <v>82650707</v>
      </c>
      <c r="G3398">
        <v>275963308</v>
      </c>
      <c r="H3398">
        <v>75007</v>
      </c>
      <c r="I3398">
        <v>10625</v>
      </c>
      <c r="J3398">
        <v>85632</v>
      </c>
      <c r="K3398" t="b">
        <f>TrafficData[[#This Row],[disposedChallan]]+TrafficData[[#This Row],[pendingChallan]]=TrafficData[[#This Row],[totalChallan]]</f>
        <v>1</v>
      </c>
      <c r="L3398" t="b">
        <f>TrafficData[[#This Row],[pendingAmount]]+TrafficData[[#This Row],[disposedAmount]]=TrafficData[[#This Row],[totalAmount]]</f>
        <v>1</v>
      </c>
      <c r="M3398" t="b">
        <f>TrafficData[[#This Row],[pendingCourt]]+TrafficData[[#This Row],[disposedCourt]]=TrafficData[[#This Row],[totalCourt]]</f>
        <v>1</v>
      </c>
      <c r="N3398" t="b">
        <f>AND(TrafficData[[#This Row],[disposedChallan]]&lt;=TrafficData[[#This Row],[totalChallan]],TrafficData[[#This Row],[pendingChallan]]&lt;=TrafficData[[#This Row],[totalChallan]])</f>
        <v>1</v>
      </c>
      <c r="O3398" t="b">
        <f>AND(TrafficData[[#This Row],[pendingAmount]]&lt;=TrafficData[[#This Row],[totalAmount]],TrafficData[[#This Row],[disposedAmount]]&lt;=TrafficData[[#This Row],[totalAmount]])</f>
        <v>1</v>
      </c>
      <c r="P3398" t="b">
        <f>AND(TrafficData[[#This Row],[pendingCourt]]&lt;=TrafficData[[#This Row],[totalCourt]],TrafficData[[#This Row],[disposedCourt]]&lt;=TrafficData[[#This Row],[totalCourt]])</f>
        <v>1</v>
      </c>
    </row>
    <row r="3399" spans="1:16">
      <c r="A3399" s="1">
        <v>45403</v>
      </c>
      <c r="B3399">
        <v>198948</v>
      </c>
      <c r="C3399">
        <v>63626</v>
      </c>
      <c r="D3399">
        <v>135322</v>
      </c>
      <c r="E3399">
        <v>185988610</v>
      </c>
      <c r="F3399">
        <v>71492894</v>
      </c>
      <c r="G3399">
        <v>257481504</v>
      </c>
      <c r="H3399">
        <v>72132</v>
      </c>
      <c r="I3399">
        <v>9232</v>
      </c>
      <c r="J3399">
        <v>81364</v>
      </c>
      <c r="K3399" t="b">
        <f>TrafficData[[#This Row],[disposedChallan]]+TrafficData[[#This Row],[pendingChallan]]=TrafficData[[#This Row],[totalChallan]]</f>
        <v>1</v>
      </c>
      <c r="L3399" t="b">
        <f>TrafficData[[#This Row],[pendingAmount]]+TrafficData[[#This Row],[disposedAmount]]=TrafficData[[#This Row],[totalAmount]]</f>
        <v>1</v>
      </c>
      <c r="M3399" t="b">
        <f>TrafficData[[#This Row],[pendingCourt]]+TrafficData[[#This Row],[disposedCourt]]=TrafficData[[#This Row],[totalCourt]]</f>
        <v>1</v>
      </c>
      <c r="N3399" t="b">
        <f>AND(TrafficData[[#This Row],[disposedChallan]]&lt;=TrafficData[[#This Row],[totalChallan]],TrafficData[[#This Row],[pendingChallan]]&lt;=TrafficData[[#This Row],[totalChallan]])</f>
        <v>1</v>
      </c>
      <c r="O3399" t="b">
        <f>AND(TrafficData[[#This Row],[pendingAmount]]&lt;=TrafficData[[#This Row],[totalAmount]],TrafficData[[#This Row],[disposedAmount]]&lt;=TrafficData[[#This Row],[totalAmount]])</f>
        <v>1</v>
      </c>
      <c r="P3399" t="b">
        <f>AND(TrafficData[[#This Row],[pendingCourt]]&lt;=TrafficData[[#This Row],[totalCourt]],TrafficData[[#This Row],[disposedCourt]]&lt;=TrafficData[[#This Row],[totalCourt]])</f>
        <v>1</v>
      </c>
    </row>
    <row r="3400" spans="1:16">
      <c r="A3400" s="1">
        <v>45404</v>
      </c>
      <c r="B3400">
        <v>204012</v>
      </c>
      <c r="C3400">
        <v>69819</v>
      </c>
      <c r="D3400">
        <v>134193</v>
      </c>
      <c r="E3400">
        <v>197839657</v>
      </c>
      <c r="F3400">
        <v>88569326</v>
      </c>
      <c r="G3400">
        <v>286408983</v>
      </c>
      <c r="H3400">
        <v>71351</v>
      </c>
      <c r="I3400">
        <v>10137</v>
      </c>
      <c r="J3400">
        <v>81488</v>
      </c>
      <c r="K3400" t="b">
        <f>TrafficData[[#This Row],[disposedChallan]]+TrafficData[[#This Row],[pendingChallan]]=TrafficData[[#This Row],[totalChallan]]</f>
        <v>1</v>
      </c>
      <c r="L3400" t="b">
        <f>TrafficData[[#This Row],[pendingAmount]]+TrafficData[[#This Row],[disposedAmount]]=TrafficData[[#This Row],[totalAmount]]</f>
        <v>1</v>
      </c>
      <c r="M3400" t="b">
        <f>TrafficData[[#This Row],[pendingCourt]]+TrafficData[[#This Row],[disposedCourt]]=TrafficData[[#This Row],[totalCourt]]</f>
        <v>1</v>
      </c>
      <c r="N3400" t="b">
        <f>AND(TrafficData[[#This Row],[disposedChallan]]&lt;=TrafficData[[#This Row],[totalChallan]],TrafficData[[#This Row],[pendingChallan]]&lt;=TrafficData[[#This Row],[totalChallan]])</f>
        <v>1</v>
      </c>
      <c r="O3400" t="b">
        <f>AND(TrafficData[[#This Row],[pendingAmount]]&lt;=TrafficData[[#This Row],[totalAmount]],TrafficData[[#This Row],[disposedAmount]]&lt;=TrafficData[[#This Row],[totalAmount]])</f>
        <v>1</v>
      </c>
      <c r="P3400" t="b">
        <f>AND(TrafficData[[#This Row],[pendingCourt]]&lt;=TrafficData[[#This Row],[totalCourt]],TrafficData[[#This Row],[disposedCourt]]&lt;=TrafficData[[#This Row],[totalCourt]])</f>
        <v>1</v>
      </c>
    </row>
    <row r="3401" spans="1:16">
      <c r="A3401" s="1">
        <v>45405</v>
      </c>
      <c r="B3401">
        <v>193995</v>
      </c>
      <c r="C3401">
        <v>64373</v>
      </c>
      <c r="D3401">
        <v>129622</v>
      </c>
      <c r="E3401">
        <v>197991532</v>
      </c>
      <c r="F3401">
        <v>90430815</v>
      </c>
      <c r="G3401">
        <v>288422347</v>
      </c>
      <c r="H3401">
        <v>69589</v>
      </c>
      <c r="I3401">
        <v>9527</v>
      </c>
      <c r="J3401">
        <v>79116</v>
      </c>
      <c r="K3401" t="b">
        <f>TrafficData[[#This Row],[disposedChallan]]+TrafficData[[#This Row],[pendingChallan]]=TrafficData[[#This Row],[totalChallan]]</f>
        <v>1</v>
      </c>
      <c r="L3401" t="b">
        <f>TrafficData[[#This Row],[pendingAmount]]+TrafficData[[#This Row],[disposedAmount]]=TrafficData[[#This Row],[totalAmount]]</f>
        <v>1</v>
      </c>
      <c r="M3401" t="b">
        <f>TrafficData[[#This Row],[pendingCourt]]+TrafficData[[#This Row],[disposedCourt]]=TrafficData[[#This Row],[totalCourt]]</f>
        <v>1</v>
      </c>
      <c r="N3401" t="b">
        <f>AND(TrafficData[[#This Row],[disposedChallan]]&lt;=TrafficData[[#This Row],[totalChallan]],TrafficData[[#This Row],[pendingChallan]]&lt;=TrafficData[[#This Row],[totalChallan]])</f>
        <v>1</v>
      </c>
      <c r="O3401" t="b">
        <f>AND(TrafficData[[#This Row],[pendingAmount]]&lt;=TrafficData[[#This Row],[totalAmount]],TrafficData[[#This Row],[disposedAmount]]&lt;=TrafficData[[#This Row],[totalAmount]])</f>
        <v>1</v>
      </c>
      <c r="P3401" t="b">
        <f>AND(TrafficData[[#This Row],[pendingCourt]]&lt;=TrafficData[[#This Row],[totalCourt]],TrafficData[[#This Row],[disposedCourt]]&lt;=TrafficData[[#This Row],[totalCourt]])</f>
        <v>1</v>
      </c>
    </row>
    <row r="3402" spans="1:16">
      <c r="A3402" s="1">
        <v>45406</v>
      </c>
      <c r="B3402">
        <v>197572</v>
      </c>
      <c r="C3402">
        <v>63612</v>
      </c>
      <c r="D3402">
        <v>133960</v>
      </c>
      <c r="E3402">
        <v>203843968</v>
      </c>
      <c r="F3402">
        <v>93879017</v>
      </c>
      <c r="G3402">
        <v>297722985</v>
      </c>
      <c r="H3402">
        <v>69609</v>
      </c>
      <c r="I3402">
        <v>9806</v>
      </c>
      <c r="J3402">
        <v>79415</v>
      </c>
      <c r="K3402" t="b">
        <f>TrafficData[[#This Row],[disposedChallan]]+TrafficData[[#This Row],[pendingChallan]]=TrafficData[[#This Row],[totalChallan]]</f>
        <v>1</v>
      </c>
      <c r="L3402" t="b">
        <f>TrafficData[[#This Row],[pendingAmount]]+TrafficData[[#This Row],[disposedAmount]]=TrafficData[[#This Row],[totalAmount]]</f>
        <v>1</v>
      </c>
      <c r="M3402" t="b">
        <f>TrafficData[[#This Row],[pendingCourt]]+TrafficData[[#This Row],[disposedCourt]]=TrafficData[[#This Row],[totalCourt]]</f>
        <v>1</v>
      </c>
      <c r="N3402" t="b">
        <f>AND(TrafficData[[#This Row],[disposedChallan]]&lt;=TrafficData[[#This Row],[totalChallan]],TrafficData[[#This Row],[pendingChallan]]&lt;=TrafficData[[#This Row],[totalChallan]])</f>
        <v>1</v>
      </c>
      <c r="O3402" t="b">
        <f>AND(TrafficData[[#This Row],[pendingAmount]]&lt;=TrafficData[[#This Row],[totalAmount]],TrafficData[[#This Row],[disposedAmount]]&lt;=TrafficData[[#This Row],[totalAmount]])</f>
        <v>1</v>
      </c>
      <c r="P3402" t="b">
        <f>AND(TrafficData[[#This Row],[pendingCourt]]&lt;=TrafficData[[#This Row],[totalCourt]],TrafficData[[#This Row],[disposedCourt]]&lt;=TrafficData[[#This Row],[totalCourt]])</f>
        <v>1</v>
      </c>
    </row>
    <row r="3403" spans="1:16">
      <c r="A3403" s="1">
        <v>45407</v>
      </c>
      <c r="B3403">
        <v>193973</v>
      </c>
      <c r="C3403">
        <v>60637</v>
      </c>
      <c r="D3403">
        <v>133336</v>
      </c>
      <c r="E3403">
        <v>198099700</v>
      </c>
      <c r="F3403">
        <v>86948366</v>
      </c>
      <c r="G3403">
        <v>285048066</v>
      </c>
      <c r="H3403">
        <v>67212</v>
      </c>
      <c r="I3403">
        <v>9501</v>
      </c>
      <c r="J3403">
        <v>76713</v>
      </c>
      <c r="K3403" t="b">
        <f>TrafficData[[#This Row],[disposedChallan]]+TrafficData[[#This Row],[pendingChallan]]=TrafficData[[#This Row],[totalChallan]]</f>
        <v>1</v>
      </c>
      <c r="L3403" t="b">
        <f>TrafficData[[#This Row],[pendingAmount]]+TrafficData[[#This Row],[disposedAmount]]=TrafficData[[#This Row],[totalAmount]]</f>
        <v>1</v>
      </c>
      <c r="M3403" t="b">
        <f>TrafficData[[#This Row],[pendingCourt]]+TrafficData[[#This Row],[disposedCourt]]=TrafficData[[#This Row],[totalCourt]]</f>
        <v>1</v>
      </c>
      <c r="N3403" t="b">
        <f>AND(TrafficData[[#This Row],[disposedChallan]]&lt;=TrafficData[[#This Row],[totalChallan]],TrafficData[[#This Row],[pendingChallan]]&lt;=TrafficData[[#This Row],[totalChallan]])</f>
        <v>1</v>
      </c>
      <c r="O3403" t="b">
        <f>AND(TrafficData[[#This Row],[pendingAmount]]&lt;=TrafficData[[#This Row],[totalAmount]],TrafficData[[#This Row],[disposedAmount]]&lt;=TrafficData[[#This Row],[totalAmount]])</f>
        <v>1</v>
      </c>
      <c r="P3403" t="b">
        <f>AND(TrafficData[[#This Row],[pendingCourt]]&lt;=TrafficData[[#This Row],[totalCourt]],TrafficData[[#This Row],[disposedCourt]]&lt;=TrafficData[[#This Row],[totalCourt]])</f>
        <v>1</v>
      </c>
    </row>
    <row r="3404" spans="1:16">
      <c r="A3404" s="1">
        <v>45408</v>
      </c>
      <c r="B3404">
        <v>184708</v>
      </c>
      <c r="C3404">
        <v>58532</v>
      </c>
      <c r="D3404">
        <v>126176</v>
      </c>
      <c r="E3404">
        <v>193407115</v>
      </c>
      <c r="F3404">
        <v>87085656</v>
      </c>
      <c r="G3404">
        <v>280492771</v>
      </c>
      <c r="H3404">
        <v>59094</v>
      </c>
      <c r="I3404">
        <v>8489</v>
      </c>
      <c r="J3404">
        <v>67583</v>
      </c>
      <c r="K3404" t="b">
        <f>TrafficData[[#This Row],[disposedChallan]]+TrafficData[[#This Row],[pendingChallan]]=TrafficData[[#This Row],[totalChallan]]</f>
        <v>1</v>
      </c>
      <c r="L3404" t="b">
        <f>TrafficData[[#This Row],[pendingAmount]]+TrafficData[[#This Row],[disposedAmount]]=TrafficData[[#This Row],[totalAmount]]</f>
        <v>1</v>
      </c>
      <c r="M3404" t="b">
        <f>TrafficData[[#This Row],[pendingCourt]]+TrafficData[[#This Row],[disposedCourt]]=TrafficData[[#This Row],[totalCourt]]</f>
        <v>1</v>
      </c>
      <c r="N3404" t="b">
        <f>AND(TrafficData[[#This Row],[disposedChallan]]&lt;=TrafficData[[#This Row],[totalChallan]],TrafficData[[#This Row],[pendingChallan]]&lt;=TrafficData[[#This Row],[totalChallan]])</f>
        <v>1</v>
      </c>
      <c r="O3404" t="b">
        <f>AND(TrafficData[[#This Row],[pendingAmount]]&lt;=TrafficData[[#This Row],[totalAmount]],TrafficData[[#This Row],[disposedAmount]]&lt;=TrafficData[[#This Row],[totalAmount]])</f>
        <v>1</v>
      </c>
      <c r="P3404" t="b">
        <f>AND(TrafficData[[#This Row],[pendingCourt]]&lt;=TrafficData[[#This Row],[totalCourt]],TrafficData[[#This Row],[disposedCourt]]&lt;=TrafficData[[#This Row],[totalCourt]])</f>
        <v>1</v>
      </c>
    </row>
    <row r="3405" spans="1:16">
      <c r="A3405" s="1">
        <v>45409</v>
      </c>
      <c r="B3405">
        <v>207419</v>
      </c>
      <c r="C3405">
        <v>66833</v>
      </c>
      <c r="D3405">
        <v>140586</v>
      </c>
      <c r="E3405">
        <v>210823915</v>
      </c>
      <c r="F3405">
        <v>86950784</v>
      </c>
      <c r="G3405">
        <v>297774699</v>
      </c>
      <c r="H3405">
        <v>70012</v>
      </c>
      <c r="I3405">
        <v>9955</v>
      </c>
      <c r="J3405">
        <v>79967</v>
      </c>
      <c r="K3405" t="b">
        <f>TrafficData[[#This Row],[disposedChallan]]+TrafficData[[#This Row],[pendingChallan]]=TrafficData[[#This Row],[totalChallan]]</f>
        <v>1</v>
      </c>
      <c r="L3405" t="b">
        <f>TrafficData[[#This Row],[pendingAmount]]+TrafficData[[#This Row],[disposedAmount]]=TrafficData[[#This Row],[totalAmount]]</f>
        <v>1</v>
      </c>
      <c r="M3405" t="b">
        <f>TrafficData[[#This Row],[pendingCourt]]+TrafficData[[#This Row],[disposedCourt]]=TrafficData[[#This Row],[totalCourt]]</f>
        <v>1</v>
      </c>
      <c r="N3405" t="b">
        <f>AND(TrafficData[[#This Row],[disposedChallan]]&lt;=TrafficData[[#This Row],[totalChallan]],TrafficData[[#This Row],[pendingChallan]]&lt;=TrafficData[[#This Row],[totalChallan]])</f>
        <v>1</v>
      </c>
      <c r="O3405" t="b">
        <f>AND(TrafficData[[#This Row],[pendingAmount]]&lt;=TrafficData[[#This Row],[totalAmount]],TrafficData[[#This Row],[disposedAmount]]&lt;=TrafficData[[#This Row],[totalAmount]])</f>
        <v>1</v>
      </c>
      <c r="P3405" t="b">
        <f>AND(TrafficData[[#This Row],[pendingCourt]]&lt;=TrafficData[[#This Row],[totalCourt]],TrafficData[[#This Row],[disposedCourt]]&lt;=TrafficData[[#This Row],[totalCourt]])</f>
        <v>1</v>
      </c>
    </row>
    <row r="3406" spans="1:16">
      <c r="A3406" s="1">
        <v>45410</v>
      </c>
      <c r="B3406">
        <v>198604</v>
      </c>
      <c r="C3406">
        <v>64475</v>
      </c>
      <c r="D3406">
        <v>134129</v>
      </c>
      <c r="E3406">
        <v>197793238</v>
      </c>
      <c r="F3406">
        <v>73433875</v>
      </c>
      <c r="G3406">
        <v>271227113</v>
      </c>
      <c r="H3406">
        <v>67548</v>
      </c>
      <c r="I3406">
        <v>9238</v>
      </c>
      <c r="J3406">
        <v>76786</v>
      </c>
      <c r="K3406" t="b">
        <f>TrafficData[[#This Row],[disposedChallan]]+TrafficData[[#This Row],[pendingChallan]]=TrafficData[[#This Row],[totalChallan]]</f>
        <v>1</v>
      </c>
      <c r="L3406" t="b">
        <f>TrafficData[[#This Row],[pendingAmount]]+TrafficData[[#This Row],[disposedAmount]]=TrafficData[[#This Row],[totalAmount]]</f>
        <v>1</v>
      </c>
      <c r="M3406" t="b">
        <f>TrafficData[[#This Row],[pendingCourt]]+TrafficData[[#This Row],[disposedCourt]]=TrafficData[[#This Row],[totalCourt]]</f>
        <v>1</v>
      </c>
      <c r="N3406" t="b">
        <f>AND(TrafficData[[#This Row],[disposedChallan]]&lt;=TrafficData[[#This Row],[totalChallan]],TrafficData[[#This Row],[pendingChallan]]&lt;=TrafficData[[#This Row],[totalChallan]])</f>
        <v>1</v>
      </c>
      <c r="O3406" t="b">
        <f>AND(TrafficData[[#This Row],[pendingAmount]]&lt;=TrafficData[[#This Row],[totalAmount]],TrafficData[[#This Row],[disposedAmount]]&lt;=TrafficData[[#This Row],[totalAmount]])</f>
        <v>1</v>
      </c>
      <c r="P3406" t="b">
        <f>AND(TrafficData[[#This Row],[pendingCourt]]&lt;=TrafficData[[#This Row],[totalCourt]],TrafficData[[#This Row],[disposedCourt]]&lt;=TrafficData[[#This Row],[totalCourt]])</f>
        <v>1</v>
      </c>
    </row>
    <row r="3407" spans="1:16">
      <c r="A3407" s="1">
        <v>45411</v>
      </c>
      <c r="B3407">
        <v>205484</v>
      </c>
      <c r="C3407">
        <v>69192</v>
      </c>
      <c r="D3407">
        <v>136292</v>
      </c>
      <c r="E3407">
        <v>195616904</v>
      </c>
      <c r="F3407">
        <v>83064701</v>
      </c>
      <c r="G3407">
        <v>278681605</v>
      </c>
      <c r="H3407">
        <v>71420</v>
      </c>
      <c r="I3407">
        <v>9866</v>
      </c>
      <c r="J3407">
        <v>81286</v>
      </c>
      <c r="K3407" t="b">
        <f>TrafficData[[#This Row],[disposedChallan]]+TrafficData[[#This Row],[pendingChallan]]=TrafficData[[#This Row],[totalChallan]]</f>
        <v>1</v>
      </c>
      <c r="L3407" t="b">
        <f>TrafficData[[#This Row],[pendingAmount]]+TrafficData[[#This Row],[disposedAmount]]=TrafficData[[#This Row],[totalAmount]]</f>
        <v>1</v>
      </c>
      <c r="M3407" t="b">
        <f>TrafficData[[#This Row],[pendingCourt]]+TrafficData[[#This Row],[disposedCourt]]=TrafficData[[#This Row],[totalCourt]]</f>
        <v>1</v>
      </c>
      <c r="N3407" t="b">
        <f>AND(TrafficData[[#This Row],[disposedChallan]]&lt;=TrafficData[[#This Row],[totalChallan]],TrafficData[[#This Row],[pendingChallan]]&lt;=TrafficData[[#This Row],[totalChallan]])</f>
        <v>1</v>
      </c>
      <c r="O3407" t="b">
        <f>AND(TrafficData[[#This Row],[pendingAmount]]&lt;=TrafficData[[#This Row],[totalAmount]],TrafficData[[#This Row],[disposedAmount]]&lt;=TrafficData[[#This Row],[totalAmount]])</f>
        <v>1</v>
      </c>
      <c r="P3407" t="b">
        <f>AND(TrafficData[[#This Row],[pendingCourt]]&lt;=TrafficData[[#This Row],[totalCourt]],TrafficData[[#This Row],[disposedCourt]]&lt;=TrafficData[[#This Row],[totalCourt]])</f>
        <v>1</v>
      </c>
    </row>
    <row r="3408" spans="1:16">
      <c r="A3408" s="1">
        <v>45412</v>
      </c>
      <c r="B3408">
        <v>217052</v>
      </c>
      <c r="C3408">
        <v>71989</v>
      </c>
      <c r="D3408">
        <v>145063</v>
      </c>
      <c r="E3408">
        <v>223303984</v>
      </c>
      <c r="F3408">
        <v>92467988</v>
      </c>
      <c r="G3408">
        <v>315771972</v>
      </c>
      <c r="H3408">
        <v>72011</v>
      </c>
      <c r="I3408">
        <v>10363</v>
      </c>
      <c r="J3408">
        <v>82374</v>
      </c>
      <c r="K3408" t="b">
        <f>TrafficData[[#This Row],[disposedChallan]]+TrafficData[[#This Row],[pendingChallan]]=TrafficData[[#This Row],[totalChallan]]</f>
        <v>1</v>
      </c>
      <c r="L3408" t="b">
        <f>TrafficData[[#This Row],[pendingAmount]]+TrafficData[[#This Row],[disposedAmount]]=TrafficData[[#This Row],[totalAmount]]</f>
        <v>1</v>
      </c>
      <c r="M3408" t="b">
        <f>TrafficData[[#This Row],[pendingCourt]]+TrafficData[[#This Row],[disposedCourt]]=TrafficData[[#This Row],[totalCourt]]</f>
        <v>1</v>
      </c>
      <c r="N3408" t="b">
        <f>AND(TrafficData[[#This Row],[disposedChallan]]&lt;=TrafficData[[#This Row],[totalChallan]],TrafficData[[#This Row],[pendingChallan]]&lt;=TrafficData[[#This Row],[totalChallan]])</f>
        <v>1</v>
      </c>
      <c r="O3408" t="b">
        <f>AND(TrafficData[[#This Row],[pendingAmount]]&lt;=TrafficData[[#This Row],[totalAmount]],TrafficData[[#This Row],[disposedAmount]]&lt;=TrafficData[[#This Row],[totalAmount]])</f>
        <v>1</v>
      </c>
      <c r="P3408" t="b">
        <f>AND(TrafficData[[#This Row],[pendingCourt]]&lt;=TrafficData[[#This Row],[totalCourt]],TrafficData[[#This Row],[disposedCourt]]&lt;=TrafficData[[#This Row],[totalCourt]])</f>
        <v>1</v>
      </c>
    </row>
    <row r="3409" spans="1:16">
      <c r="A3409" s="1">
        <v>45413</v>
      </c>
      <c r="B3409">
        <v>227166</v>
      </c>
      <c r="C3409">
        <v>75834</v>
      </c>
      <c r="D3409">
        <v>151332</v>
      </c>
      <c r="E3409">
        <v>220621694</v>
      </c>
      <c r="F3409">
        <v>99806340</v>
      </c>
      <c r="G3409">
        <v>320428034</v>
      </c>
      <c r="H3409">
        <v>80379</v>
      </c>
      <c r="I3409">
        <v>10481</v>
      </c>
      <c r="J3409">
        <v>90860</v>
      </c>
      <c r="K3409" t="b">
        <f>TrafficData[[#This Row],[disposedChallan]]+TrafficData[[#This Row],[pendingChallan]]=TrafficData[[#This Row],[totalChallan]]</f>
        <v>1</v>
      </c>
      <c r="L3409" t="b">
        <f>TrafficData[[#This Row],[pendingAmount]]+TrafficData[[#This Row],[disposedAmount]]=TrafficData[[#This Row],[totalAmount]]</f>
        <v>1</v>
      </c>
      <c r="M3409" t="b">
        <f>TrafficData[[#This Row],[pendingCourt]]+TrafficData[[#This Row],[disposedCourt]]=TrafficData[[#This Row],[totalCourt]]</f>
        <v>1</v>
      </c>
      <c r="N3409" t="b">
        <f>AND(TrafficData[[#This Row],[disposedChallan]]&lt;=TrafficData[[#This Row],[totalChallan]],TrafficData[[#This Row],[pendingChallan]]&lt;=TrafficData[[#This Row],[totalChallan]])</f>
        <v>1</v>
      </c>
      <c r="O3409" t="b">
        <f>AND(TrafficData[[#This Row],[pendingAmount]]&lt;=TrafficData[[#This Row],[totalAmount]],TrafficData[[#This Row],[disposedAmount]]&lt;=TrafficData[[#This Row],[totalAmount]])</f>
        <v>1</v>
      </c>
      <c r="P3409" t="b">
        <f>AND(TrafficData[[#This Row],[pendingCourt]]&lt;=TrafficData[[#This Row],[totalCourt]],TrafficData[[#This Row],[disposedCourt]]&lt;=TrafficData[[#This Row],[totalCourt]])</f>
        <v>1</v>
      </c>
    </row>
    <row r="3410" spans="1:16">
      <c r="A3410" s="1">
        <v>45414</v>
      </c>
      <c r="B3410">
        <v>232056</v>
      </c>
      <c r="C3410">
        <v>78461</v>
      </c>
      <c r="D3410">
        <v>153595</v>
      </c>
      <c r="E3410">
        <v>226651097</v>
      </c>
      <c r="F3410">
        <v>110673484</v>
      </c>
      <c r="G3410">
        <v>337324581</v>
      </c>
      <c r="H3410">
        <v>74591</v>
      </c>
      <c r="I3410">
        <v>10555</v>
      </c>
      <c r="J3410">
        <v>85146</v>
      </c>
      <c r="K3410" t="b">
        <f>TrafficData[[#This Row],[disposedChallan]]+TrafficData[[#This Row],[pendingChallan]]=TrafficData[[#This Row],[totalChallan]]</f>
        <v>1</v>
      </c>
      <c r="L3410" t="b">
        <f>TrafficData[[#This Row],[pendingAmount]]+TrafficData[[#This Row],[disposedAmount]]=TrafficData[[#This Row],[totalAmount]]</f>
        <v>1</v>
      </c>
      <c r="M3410" t="b">
        <f>TrafficData[[#This Row],[pendingCourt]]+TrafficData[[#This Row],[disposedCourt]]=TrafficData[[#This Row],[totalCourt]]</f>
        <v>1</v>
      </c>
      <c r="N3410" t="b">
        <f>AND(TrafficData[[#This Row],[disposedChallan]]&lt;=TrafficData[[#This Row],[totalChallan]],TrafficData[[#This Row],[pendingChallan]]&lt;=TrafficData[[#This Row],[totalChallan]])</f>
        <v>1</v>
      </c>
      <c r="O3410" t="b">
        <f>AND(TrafficData[[#This Row],[pendingAmount]]&lt;=TrafficData[[#This Row],[totalAmount]],TrafficData[[#This Row],[disposedAmount]]&lt;=TrafficData[[#This Row],[totalAmount]])</f>
        <v>1</v>
      </c>
      <c r="P3410" t="b">
        <f>AND(TrafficData[[#This Row],[pendingCourt]]&lt;=TrafficData[[#This Row],[totalCourt]],TrafficData[[#This Row],[disposedCourt]]&lt;=TrafficData[[#This Row],[totalCourt]])</f>
        <v>1</v>
      </c>
    </row>
    <row r="3411" spans="1:16">
      <c r="A3411" s="1">
        <v>45415</v>
      </c>
      <c r="B3411">
        <v>228813</v>
      </c>
      <c r="C3411">
        <v>77133</v>
      </c>
      <c r="D3411">
        <v>151680</v>
      </c>
      <c r="E3411">
        <v>220557486</v>
      </c>
      <c r="F3411">
        <v>115435429</v>
      </c>
      <c r="G3411">
        <v>335992915</v>
      </c>
      <c r="H3411">
        <v>77058</v>
      </c>
      <c r="I3411">
        <v>10552</v>
      </c>
      <c r="J3411">
        <v>87610</v>
      </c>
      <c r="K3411" t="b">
        <f>TrafficData[[#This Row],[disposedChallan]]+TrafficData[[#This Row],[pendingChallan]]=TrafficData[[#This Row],[totalChallan]]</f>
        <v>1</v>
      </c>
      <c r="L3411" t="b">
        <f>TrafficData[[#This Row],[pendingAmount]]+TrafficData[[#This Row],[disposedAmount]]=TrafficData[[#This Row],[totalAmount]]</f>
        <v>1</v>
      </c>
      <c r="M3411" t="b">
        <f>TrafficData[[#This Row],[pendingCourt]]+TrafficData[[#This Row],[disposedCourt]]=TrafficData[[#This Row],[totalCourt]]</f>
        <v>1</v>
      </c>
      <c r="N3411" t="b">
        <f>AND(TrafficData[[#This Row],[disposedChallan]]&lt;=TrafficData[[#This Row],[totalChallan]],TrafficData[[#This Row],[pendingChallan]]&lt;=TrafficData[[#This Row],[totalChallan]])</f>
        <v>1</v>
      </c>
      <c r="O3411" t="b">
        <f>AND(TrafficData[[#This Row],[pendingAmount]]&lt;=TrafficData[[#This Row],[totalAmount]],TrafficData[[#This Row],[disposedAmount]]&lt;=TrafficData[[#This Row],[totalAmount]])</f>
        <v>1</v>
      </c>
      <c r="P3411" t="b">
        <f>AND(TrafficData[[#This Row],[pendingCourt]]&lt;=TrafficData[[#This Row],[totalCourt]],TrafficData[[#This Row],[disposedCourt]]&lt;=TrafficData[[#This Row],[totalCourt]])</f>
        <v>1</v>
      </c>
    </row>
    <row r="3412" spans="1:16">
      <c r="A3412" s="1">
        <v>45416</v>
      </c>
      <c r="B3412">
        <v>224717</v>
      </c>
      <c r="C3412">
        <v>76227</v>
      </c>
      <c r="D3412">
        <v>148490</v>
      </c>
      <c r="E3412">
        <v>230000877</v>
      </c>
      <c r="F3412">
        <v>102617112</v>
      </c>
      <c r="G3412">
        <v>332617989</v>
      </c>
      <c r="H3412">
        <v>69096</v>
      </c>
      <c r="I3412">
        <v>10896</v>
      </c>
      <c r="J3412">
        <v>79992</v>
      </c>
      <c r="K3412" t="b">
        <f>TrafficData[[#This Row],[disposedChallan]]+TrafficData[[#This Row],[pendingChallan]]=TrafficData[[#This Row],[totalChallan]]</f>
        <v>1</v>
      </c>
      <c r="L3412" t="b">
        <f>TrafficData[[#This Row],[pendingAmount]]+TrafficData[[#This Row],[disposedAmount]]=TrafficData[[#This Row],[totalAmount]]</f>
        <v>1</v>
      </c>
      <c r="M3412" t="b">
        <f>TrafficData[[#This Row],[pendingCourt]]+TrafficData[[#This Row],[disposedCourt]]=TrafficData[[#This Row],[totalCourt]]</f>
        <v>1</v>
      </c>
      <c r="N3412" t="b">
        <f>AND(TrafficData[[#This Row],[disposedChallan]]&lt;=TrafficData[[#This Row],[totalChallan]],TrafficData[[#This Row],[pendingChallan]]&lt;=TrafficData[[#This Row],[totalChallan]])</f>
        <v>1</v>
      </c>
      <c r="O3412" t="b">
        <f>AND(TrafficData[[#This Row],[pendingAmount]]&lt;=TrafficData[[#This Row],[totalAmount]],TrafficData[[#This Row],[disposedAmount]]&lt;=TrafficData[[#This Row],[totalAmount]])</f>
        <v>1</v>
      </c>
      <c r="P3412" t="b">
        <f>AND(TrafficData[[#This Row],[pendingCourt]]&lt;=TrafficData[[#This Row],[totalCourt]],TrafficData[[#This Row],[disposedCourt]]&lt;=TrafficData[[#This Row],[totalCourt]])</f>
        <v>1</v>
      </c>
    </row>
    <row r="3413" spans="1:16">
      <c r="A3413" s="1">
        <v>45417</v>
      </c>
      <c r="B3413">
        <v>195774</v>
      </c>
      <c r="C3413">
        <v>62923</v>
      </c>
      <c r="D3413">
        <v>132851</v>
      </c>
      <c r="E3413">
        <v>178796472</v>
      </c>
      <c r="F3413">
        <v>135710584</v>
      </c>
      <c r="G3413">
        <v>314507056</v>
      </c>
      <c r="H3413">
        <v>60710</v>
      </c>
      <c r="I3413">
        <v>8661</v>
      </c>
      <c r="J3413">
        <v>69371</v>
      </c>
      <c r="K3413" t="b">
        <f>TrafficData[[#This Row],[disposedChallan]]+TrafficData[[#This Row],[pendingChallan]]=TrafficData[[#This Row],[totalChallan]]</f>
        <v>1</v>
      </c>
      <c r="L3413" t="b">
        <f>TrafficData[[#This Row],[pendingAmount]]+TrafficData[[#This Row],[disposedAmount]]=TrafficData[[#This Row],[totalAmount]]</f>
        <v>1</v>
      </c>
      <c r="M3413" t="b">
        <f>TrafficData[[#This Row],[pendingCourt]]+TrafficData[[#This Row],[disposedCourt]]=TrafficData[[#This Row],[totalCourt]]</f>
        <v>1</v>
      </c>
      <c r="N3413" t="b">
        <f>AND(TrafficData[[#This Row],[disposedChallan]]&lt;=TrafficData[[#This Row],[totalChallan]],TrafficData[[#This Row],[pendingChallan]]&lt;=TrafficData[[#This Row],[totalChallan]])</f>
        <v>1</v>
      </c>
      <c r="O3413" t="b">
        <f>AND(TrafficData[[#This Row],[pendingAmount]]&lt;=TrafficData[[#This Row],[totalAmount]],TrafficData[[#This Row],[disposedAmount]]&lt;=TrafficData[[#This Row],[totalAmount]])</f>
        <v>1</v>
      </c>
      <c r="P3413" t="b">
        <f>AND(TrafficData[[#This Row],[pendingCourt]]&lt;=TrafficData[[#This Row],[totalCourt]],TrafficData[[#This Row],[disposedCourt]]&lt;=TrafficData[[#This Row],[totalCourt]])</f>
        <v>1</v>
      </c>
    </row>
    <row r="3414" spans="1:16">
      <c r="A3414" s="1">
        <v>45418</v>
      </c>
      <c r="B3414">
        <v>200134</v>
      </c>
      <c r="C3414">
        <v>65907</v>
      </c>
      <c r="D3414">
        <v>134227</v>
      </c>
      <c r="E3414">
        <v>199319296</v>
      </c>
      <c r="F3414">
        <v>95838369</v>
      </c>
      <c r="G3414">
        <v>295157665</v>
      </c>
      <c r="H3414">
        <v>61247</v>
      </c>
      <c r="I3414">
        <v>9020</v>
      </c>
      <c r="J3414">
        <v>70267</v>
      </c>
      <c r="K3414" t="b">
        <f>TrafficData[[#This Row],[disposedChallan]]+TrafficData[[#This Row],[pendingChallan]]=TrafficData[[#This Row],[totalChallan]]</f>
        <v>1</v>
      </c>
      <c r="L3414" t="b">
        <f>TrafficData[[#This Row],[pendingAmount]]+TrafficData[[#This Row],[disposedAmount]]=TrafficData[[#This Row],[totalAmount]]</f>
        <v>1</v>
      </c>
      <c r="M3414" t="b">
        <f>TrafficData[[#This Row],[pendingCourt]]+TrafficData[[#This Row],[disposedCourt]]=TrafficData[[#This Row],[totalCourt]]</f>
        <v>1</v>
      </c>
      <c r="N3414" t="b">
        <f>AND(TrafficData[[#This Row],[disposedChallan]]&lt;=TrafficData[[#This Row],[totalChallan]],TrafficData[[#This Row],[pendingChallan]]&lt;=TrafficData[[#This Row],[totalChallan]])</f>
        <v>1</v>
      </c>
      <c r="O3414" t="b">
        <f>AND(TrafficData[[#This Row],[pendingAmount]]&lt;=TrafficData[[#This Row],[totalAmount]],TrafficData[[#This Row],[disposedAmount]]&lt;=TrafficData[[#This Row],[totalAmount]])</f>
        <v>1</v>
      </c>
      <c r="P3414" t="b">
        <f>AND(TrafficData[[#This Row],[pendingCourt]]&lt;=TrafficData[[#This Row],[totalCourt]],TrafficData[[#This Row],[disposedCourt]]&lt;=TrafficData[[#This Row],[totalCourt]])</f>
        <v>1</v>
      </c>
    </row>
    <row r="3415" spans="1:16">
      <c r="A3415" s="1">
        <v>45419</v>
      </c>
      <c r="B3415">
        <v>193230</v>
      </c>
      <c r="C3415">
        <v>63783</v>
      </c>
      <c r="D3415">
        <v>129447</v>
      </c>
      <c r="E3415">
        <v>189632503</v>
      </c>
      <c r="F3415">
        <v>99905349</v>
      </c>
      <c r="G3415">
        <v>289537852</v>
      </c>
      <c r="H3415">
        <v>59616</v>
      </c>
      <c r="I3415">
        <v>8399</v>
      </c>
      <c r="J3415">
        <v>68015</v>
      </c>
      <c r="K3415" t="b">
        <f>TrafficData[[#This Row],[disposedChallan]]+TrafficData[[#This Row],[pendingChallan]]=TrafficData[[#This Row],[totalChallan]]</f>
        <v>1</v>
      </c>
      <c r="L3415" t="b">
        <f>TrafficData[[#This Row],[pendingAmount]]+TrafficData[[#This Row],[disposedAmount]]=TrafficData[[#This Row],[totalAmount]]</f>
        <v>1</v>
      </c>
      <c r="M3415" t="b">
        <f>TrafficData[[#This Row],[pendingCourt]]+TrafficData[[#This Row],[disposedCourt]]=TrafficData[[#This Row],[totalCourt]]</f>
        <v>1</v>
      </c>
      <c r="N3415" t="b">
        <f>AND(TrafficData[[#This Row],[disposedChallan]]&lt;=TrafficData[[#This Row],[totalChallan]],TrafficData[[#This Row],[pendingChallan]]&lt;=TrafficData[[#This Row],[totalChallan]])</f>
        <v>1</v>
      </c>
      <c r="O3415" t="b">
        <f>AND(TrafficData[[#This Row],[pendingAmount]]&lt;=TrafficData[[#This Row],[totalAmount]],TrafficData[[#This Row],[disposedAmount]]&lt;=TrafficData[[#This Row],[totalAmount]])</f>
        <v>1</v>
      </c>
      <c r="P3415" t="b">
        <f>AND(TrafficData[[#This Row],[pendingCourt]]&lt;=TrafficData[[#This Row],[totalCourt]],TrafficData[[#This Row],[disposedCourt]]&lt;=TrafficData[[#This Row],[totalCourt]])</f>
        <v>1</v>
      </c>
    </row>
    <row r="3416" spans="1:16">
      <c r="A3416" s="1">
        <v>45420</v>
      </c>
      <c r="B3416">
        <v>211449</v>
      </c>
      <c r="C3416">
        <v>69883</v>
      </c>
      <c r="D3416">
        <v>141566</v>
      </c>
      <c r="E3416">
        <v>212114953</v>
      </c>
      <c r="F3416">
        <v>104117248</v>
      </c>
      <c r="G3416">
        <v>316232201</v>
      </c>
      <c r="H3416">
        <v>67686</v>
      </c>
      <c r="I3416">
        <v>9529</v>
      </c>
      <c r="J3416">
        <v>77215</v>
      </c>
      <c r="K3416" t="b">
        <f>TrafficData[[#This Row],[disposedChallan]]+TrafficData[[#This Row],[pendingChallan]]=TrafficData[[#This Row],[totalChallan]]</f>
        <v>1</v>
      </c>
      <c r="L3416" t="b">
        <f>TrafficData[[#This Row],[pendingAmount]]+TrafficData[[#This Row],[disposedAmount]]=TrafficData[[#This Row],[totalAmount]]</f>
        <v>1</v>
      </c>
      <c r="M3416" t="b">
        <f>TrafficData[[#This Row],[pendingCourt]]+TrafficData[[#This Row],[disposedCourt]]=TrafficData[[#This Row],[totalCourt]]</f>
        <v>1</v>
      </c>
      <c r="N3416" t="b">
        <f>AND(TrafficData[[#This Row],[disposedChallan]]&lt;=TrafficData[[#This Row],[totalChallan]],TrafficData[[#This Row],[pendingChallan]]&lt;=TrafficData[[#This Row],[totalChallan]])</f>
        <v>1</v>
      </c>
      <c r="O3416" t="b">
        <f>AND(TrafficData[[#This Row],[pendingAmount]]&lt;=TrafficData[[#This Row],[totalAmount]],TrafficData[[#This Row],[disposedAmount]]&lt;=TrafficData[[#This Row],[totalAmount]])</f>
        <v>1</v>
      </c>
      <c r="P3416" t="b">
        <f>AND(TrafficData[[#This Row],[pendingCourt]]&lt;=TrafficData[[#This Row],[totalCourt]],TrafficData[[#This Row],[disposedCourt]]&lt;=TrafficData[[#This Row],[totalCourt]])</f>
        <v>1</v>
      </c>
    </row>
    <row r="3417" spans="1:16">
      <c r="A3417" s="1">
        <v>45421</v>
      </c>
      <c r="B3417">
        <v>211348</v>
      </c>
      <c r="C3417">
        <v>71868</v>
      </c>
      <c r="D3417">
        <v>139480</v>
      </c>
      <c r="E3417">
        <v>210815977</v>
      </c>
      <c r="F3417">
        <v>111728685</v>
      </c>
      <c r="G3417">
        <v>322544662</v>
      </c>
      <c r="H3417">
        <v>67848</v>
      </c>
      <c r="I3417">
        <v>9493</v>
      </c>
      <c r="J3417">
        <v>77341</v>
      </c>
      <c r="K3417" t="b">
        <f>TrafficData[[#This Row],[disposedChallan]]+TrafficData[[#This Row],[pendingChallan]]=TrafficData[[#This Row],[totalChallan]]</f>
        <v>1</v>
      </c>
      <c r="L3417" t="b">
        <f>TrafficData[[#This Row],[pendingAmount]]+TrafficData[[#This Row],[disposedAmount]]=TrafficData[[#This Row],[totalAmount]]</f>
        <v>1</v>
      </c>
      <c r="M3417" t="b">
        <f>TrafficData[[#This Row],[pendingCourt]]+TrafficData[[#This Row],[disposedCourt]]=TrafficData[[#This Row],[totalCourt]]</f>
        <v>1</v>
      </c>
      <c r="N3417" t="b">
        <f>AND(TrafficData[[#This Row],[disposedChallan]]&lt;=TrafficData[[#This Row],[totalChallan]],TrafficData[[#This Row],[pendingChallan]]&lt;=TrafficData[[#This Row],[totalChallan]])</f>
        <v>1</v>
      </c>
      <c r="O3417" t="b">
        <f>AND(TrafficData[[#This Row],[pendingAmount]]&lt;=TrafficData[[#This Row],[totalAmount]],TrafficData[[#This Row],[disposedAmount]]&lt;=TrafficData[[#This Row],[totalAmount]])</f>
        <v>1</v>
      </c>
      <c r="P3417" t="b">
        <f>AND(TrafficData[[#This Row],[pendingCourt]]&lt;=TrafficData[[#This Row],[totalCourt]],TrafficData[[#This Row],[disposedCourt]]&lt;=TrafficData[[#This Row],[totalCourt]])</f>
        <v>1</v>
      </c>
    </row>
    <row r="3418" spans="1:16">
      <c r="A3418" s="1">
        <v>45422</v>
      </c>
      <c r="B3418">
        <v>199226</v>
      </c>
      <c r="C3418">
        <v>67206</v>
      </c>
      <c r="D3418">
        <v>132020</v>
      </c>
      <c r="E3418">
        <v>196889727</v>
      </c>
      <c r="F3418">
        <v>101260779</v>
      </c>
      <c r="G3418">
        <v>298150506</v>
      </c>
      <c r="H3418">
        <v>61137</v>
      </c>
      <c r="I3418">
        <v>8905</v>
      </c>
      <c r="J3418">
        <v>70042</v>
      </c>
      <c r="K3418" t="b">
        <f>TrafficData[[#This Row],[disposedChallan]]+TrafficData[[#This Row],[pendingChallan]]=TrafficData[[#This Row],[totalChallan]]</f>
        <v>1</v>
      </c>
      <c r="L3418" t="b">
        <f>TrafficData[[#This Row],[pendingAmount]]+TrafficData[[#This Row],[disposedAmount]]=TrafficData[[#This Row],[totalAmount]]</f>
        <v>1</v>
      </c>
      <c r="M3418" t="b">
        <f>TrafficData[[#This Row],[pendingCourt]]+TrafficData[[#This Row],[disposedCourt]]=TrafficData[[#This Row],[totalCourt]]</f>
        <v>1</v>
      </c>
      <c r="N3418" t="b">
        <f>AND(TrafficData[[#This Row],[disposedChallan]]&lt;=TrafficData[[#This Row],[totalChallan]],TrafficData[[#This Row],[pendingChallan]]&lt;=TrafficData[[#This Row],[totalChallan]])</f>
        <v>1</v>
      </c>
      <c r="O3418" t="b">
        <f>AND(TrafficData[[#This Row],[pendingAmount]]&lt;=TrafficData[[#This Row],[totalAmount]],TrafficData[[#This Row],[disposedAmount]]&lt;=TrafficData[[#This Row],[totalAmount]])</f>
        <v>1</v>
      </c>
      <c r="P3418" t="b">
        <f>AND(TrafficData[[#This Row],[pendingCourt]]&lt;=TrafficData[[#This Row],[totalCourt]],TrafficData[[#This Row],[disposedCourt]]&lt;=TrafficData[[#This Row],[totalCourt]])</f>
        <v>1</v>
      </c>
    </row>
    <row r="3419" spans="1:16">
      <c r="A3419" s="1">
        <v>45423</v>
      </c>
      <c r="B3419">
        <v>197613</v>
      </c>
      <c r="C3419">
        <v>67697</v>
      </c>
      <c r="D3419">
        <v>129916</v>
      </c>
      <c r="E3419">
        <v>183247155</v>
      </c>
      <c r="F3419">
        <v>89399249</v>
      </c>
      <c r="G3419">
        <v>272646404</v>
      </c>
      <c r="H3419">
        <v>62072</v>
      </c>
      <c r="I3419">
        <v>8563</v>
      </c>
      <c r="J3419">
        <v>70635</v>
      </c>
      <c r="K3419" t="b">
        <f>TrafficData[[#This Row],[disposedChallan]]+TrafficData[[#This Row],[pendingChallan]]=TrafficData[[#This Row],[totalChallan]]</f>
        <v>1</v>
      </c>
      <c r="L3419" t="b">
        <f>TrafficData[[#This Row],[pendingAmount]]+TrafficData[[#This Row],[disposedAmount]]=TrafficData[[#This Row],[totalAmount]]</f>
        <v>1</v>
      </c>
      <c r="M3419" t="b">
        <f>TrafficData[[#This Row],[pendingCourt]]+TrafficData[[#This Row],[disposedCourt]]=TrafficData[[#This Row],[totalCourt]]</f>
        <v>1</v>
      </c>
      <c r="N3419" t="b">
        <f>AND(TrafficData[[#This Row],[disposedChallan]]&lt;=TrafficData[[#This Row],[totalChallan]],TrafficData[[#This Row],[pendingChallan]]&lt;=TrafficData[[#This Row],[totalChallan]])</f>
        <v>1</v>
      </c>
      <c r="O3419" t="b">
        <f>AND(TrafficData[[#This Row],[pendingAmount]]&lt;=TrafficData[[#This Row],[totalAmount]],TrafficData[[#This Row],[disposedAmount]]&lt;=TrafficData[[#This Row],[totalAmount]])</f>
        <v>1</v>
      </c>
      <c r="P3419" t="b">
        <f>AND(TrafficData[[#This Row],[pendingCourt]]&lt;=TrafficData[[#This Row],[totalCourt]],TrafficData[[#This Row],[disposedCourt]]&lt;=TrafficData[[#This Row],[totalCourt]])</f>
        <v>1</v>
      </c>
    </row>
    <row r="3420" spans="1:16">
      <c r="A3420" s="1">
        <v>45424</v>
      </c>
      <c r="B3420">
        <v>190959</v>
      </c>
      <c r="C3420">
        <v>61557</v>
      </c>
      <c r="D3420">
        <v>129402</v>
      </c>
      <c r="E3420">
        <v>183983962</v>
      </c>
      <c r="F3420">
        <v>74932400</v>
      </c>
      <c r="G3420">
        <v>258916362</v>
      </c>
      <c r="H3420">
        <v>61632</v>
      </c>
      <c r="I3420">
        <v>8608</v>
      </c>
      <c r="J3420">
        <v>70240</v>
      </c>
      <c r="K3420" t="b">
        <f>TrafficData[[#This Row],[disposedChallan]]+TrafficData[[#This Row],[pendingChallan]]=TrafficData[[#This Row],[totalChallan]]</f>
        <v>1</v>
      </c>
      <c r="L3420" t="b">
        <f>TrafficData[[#This Row],[pendingAmount]]+TrafficData[[#This Row],[disposedAmount]]=TrafficData[[#This Row],[totalAmount]]</f>
        <v>1</v>
      </c>
      <c r="M3420" t="b">
        <f>TrafficData[[#This Row],[pendingCourt]]+TrafficData[[#This Row],[disposedCourt]]=TrafficData[[#This Row],[totalCourt]]</f>
        <v>1</v>
      </c>
      <c r="N3420" t="b">
        <f>AND(TrafficData[[#This Row],[disposedChallan]]&lt;=TrafficData[[#This Row],[totalChallan]],TrafficData[[#This Row],[pendingChallan]]&lt;=TrafficData[[#This Row],[totalChallan]])</f>
        <v>1</v>
      </c>
      <c r="O3420" t="b">
        <f>AND(TrafficData[[#This Row],[pendingAmount]]&lt;=TrafficData[[#This Row],[totalAmount]],TrafficData[[#This Row],[disposedAmount]]&lt;=TrafficData[[#This Row],[totalAmount]])</f>
        <v>1</v>
      </c>
      <c r="P3420" t="b">
        <f>AND(TrafficData[[#This Row],[pendingCourt]]&lt;=TrafficData[[#This Row],[totalCourt]],TrafficData[[#This Row],[disposedCourt]]&lt;=TrafficData[[#This Row],[totalCourt]])</f>
        <v>1</v>
      </c>
    </row>
    <row r="3421" spans="1:16">
      <c r="A3421" s="1">
        <v>45425</v>
      </c>
      <c r="B3421">
        <v>202256</v>
      </c>
      <c r="C3421">
        <v>68227</v>
      </c>
      <c r="D3421">
        <v>134029</v>
      </c>
      <c r="E3421">
        <v>209284181</v>
      </c>
      <c r="F3421">
        <v>98771430</v>
      </c>
      <c r="G3421">
        <v>308055611</v>
      </c>
      <c r="H3421">
        <v>67498</v>
      </c>
      <c r="I3421">
        <v>9410</v>
      </c>
      <c r="J3421">
        <v>76908</v>
      </c>
      <c r="K3421" t="b">
        <f>TrafficData[[#This Row],[disposedChallan]]+TrafficData[[#This Row],[pendingChallan]]=TrafficData[[#This Row],[totalChallan]]</f>
        <v>1</v>
      </c>
      <c r="L3421" t="b">
        <f>TrafficData[[#This Row],[pendingAmount]]+TrafficData[[#This Row],[disposedAmount]]=TrafficData[[#This Row],[totalAmount]]</f>
        <v>1</v>
      </c>
      <c r="M3421" t="b">
        <f>TrafficData[[#This Row],[pendingCourt]]+TrafficData[[#This Row],[disposedCourt]]=TrafficData[[#This Row],[totalCourt]]</f>
        <v>1</v>
      </c>
      <c r="N3421" t="b">
        <f>AND(TrafficData[[#This Row],[disposedChallan]]&lt;=TrafficData[[#This Row],[totalChallan]],TrafficData[[#This Row],[pendingChallan]]&lt;=TrafficData[[#This Row],[totalChallan]])</f>
        <v>1</v>
      </c>
      <c r="O3421" t="b">
        <f>AND(TrafficData[[#This Row],[pendingAmount]]&lt;=TrafficData[[#This Row],[totalAmount]],TrafficData[[#This Row],[disposedAmount]]&lt;=TrafficData[[#This Row],[totalAmount]])</f>
        <v>1</v>
      </c>
      <c r="P3421" t="b">
        <f>AND(TrafficData[[#This Row],[pendingCourt]]&lt;=TrafficData[[#This Row],[totalCourt]],TrafficData[[#This Row],[disposedCourt]]&lt;=TrafficData[[#This Row],[totalCourt]])</f>
        <v>1</v>
      </c>
    </row>
    <row r="3422" spans="1:16">
      <c r="A3422" s="1">
        <v>45426</v>
      </c>
      <c r="B3422">
        <v>203640</v>
      </c>
      <c r="C3422">
        <v>68581</v>
      </c>
      <c r="D3422">
        <v>135059</v>
      </c>
      <c r="E3422">
        <v>217983897</v>
      </c>
      <c r="F3422">
        <v>106844023</v>
      </c>
      <c r="G3422">
        <v>324827920</v>
      </c>
      <c r="H3422">
        <v>68388</v>
      </c>
      <c r="I3422">
        <v>9318</v>
      </c>
      <c r="J3422">
        <v>77706</v>
      </c>
      <c r="K3422" t="b">
        <f>TrafficData[[#This Row],[disposedChallan]]+TrafficData[[#This Row],[pendingChallan]]=TrafficData[[#This Row],[totalChallan]]</f>
        <v>1</v>
      </c>
      <c r="L3422" t="b">
        <f>TrafficData[[#This Row],[pendingAmount]]+TrafficData[[#This Row],[disposedAmount]]=TrafficData[[#This Row],[totalAmount]]</f>
        <v>1</v>
      </c>
      <c r="M3422" t="b">
        <f>TrafficData[[#This Row],[pendingCourt]]+TrafficData[[#This Row],[disposedCourt]]=TrafficData[[#This Row],[totalCourt]]</f>
        <v>1</v>
      </c>
      <c r="N3422" t="b">
        <f>AND(TrafficData[[#This Row],[disposedChallan]]&lt;=TrafficData[[#This Row],[totalChallan]],TrafficData[[#This Row],[pendingChallan]]&lt;=TrafficData[[#This Row],[totalChallan]])</f>
        <v>1</v>
      </c>
      <c r="O3422" t="b">
        <f>AND(TrafficData[[#This Row],[pendingAmount]]&lt;=TrafficData[[#This Row],[totalAmount]],TrafficData[[#This Row],[disposedAmount]]&lt;=TrafficData[[#This Row],[totalAmount]])</f>
        <v>1</v>
      </c>
      <c r="P3422" t="b">
        <f>AND(TrafficData[[#This Row],[pendingCourt]]&lt;=TrafficData[[#This Row],[totalCourt]],TrafficData[[#This Row],[disposedCourt]]&lt;=TrafficData[[#This Row],[totalCourt]])</f>
        <v>1</v>
      </c>
    </row>
    <row r="3423" spans="1:16">
      <c r="A3423" s="1">
        <v>45427</v>
      </c>
      <c r="B3423">
        <v>217485</v>
      </c>
      <c r="C3423">
        <v>71845</v>
      </c>
      <c r="D3423">
        <v>145640</v>
      </c>
      <c r="E3423">
        <v>227055479</v>
      </c>
      <c r="F3423">
        <v>110454176</v>
      </c>
      <c r="G3423">
        <v>337509655</v>
      </c>
      <c r="H3423">
        <v>70521</v>
      </c>
      <c r="I3423">
        <v>9598</v>
      </c>
      <c r="J3423">
        <v>80119</v>
      </c>
      <c r="K3423" t="b">
        <f>TrafficData[[#This Row],[disposedChallan]]+TrafficData[[#This Row],[pendingChallan]]=TrafficData[[#This Row],[totalChallan]]</f>
        <v>1</v>
      </c>
      <c r="L3423" t="b">
        <f>TrafficData[[#This Row],[pendingAmount]]+TrafficData[[#This Row],[disposedAmount]]=TrafficData[[#This Row],[totalAmount]]</f>
        <v>1</v>
      </c>
      <c r="M3423" t="b">
        <f>TrafficData[[#This Row],[pendingCourt]]+TrafficData[[#This Row],[disposedCourt]]=TrafficData[[#This Row],[totalCourt]]</f>
        <v>1</v>
      </c>
      <c r="N3423" t="b">
        <f>AND(TrafficData[[#This Row],[disposedChallan]]&lt;=TrafficData[[#This Row],[totalChallan]],TrafficData[[#This Row],[pendingChallan]]&lt;=TrafficData[[#This Row],[totalChallan]])</f>
        <v>1</v>
      </c>
      <c r="O3423" t="b">
        <f>AND(TrafficData[[#This Row],[pendingAmount]]&lt;=TrafficData[[#This Row],[totalAmount]],TrafficData[[#This Row],[disposedAmount]]&lt;=TrafficData[[#This Row],[totalAmount]])</f>
        <v>1</v>
      </c>
      <c r="P3423" t="b">
        <f>AND(TrafficData[[#This Row],[pendingCourt]]&lt;=TrafficData[[#This Row],[totalCourt]],TrafficData[[#This Row],[disposedCourt]]&lt;=TrafficData[[#This Row],[totalCourt]])</f>
        <v>1</v>
      </c>
    </row>
    <row r="3424" spans="1:16">
      <c r="A3424" s="1">
        <v>45428</v>
      </c>
      <c r="B3424">
        <v>215396</v>
      </c>
      <c r="C3424">
        <v>72108</v>
      </c>
      <c r="D3424">
        <v>143288</v>
      </c>
      <c r="E3424">
        <v>215944543</v>
      </c>
      <c r="F3424">
        <v>105823756</v>
      </c>
      <c r="G3424">
        <v>321768299</v>
      </c>
      <c r="H3424">
        <v>68563</v>
      </c>
      <c r="I3424">
        <v>9138</v>
      </c>
      <c r="J3424">
        <v>77701</v>
      </c>
      <c r="K3424" t="b">
        <f>TrafficData[[#This Row],[disposedChallan]]+TrafficData[[#This Row],[pendingChallan]]=TrafficData[[#This Row],[totalChallan]]</f>
        <v>1</v>
      </c>
      <c r="L3424" t="b">
        <f>TrafficData[[#This Row],[pendingAmount]]+TrafficData[[#This Row],[disposedAmount]]=TrafficData[[#This Row],[totalAmount]]</f>
        <v>1</v>
      </c>
      <c r="M3424" t="b">
        <f>TrafficData[[#This Row],[pendingCourt]]+TrafficData[[#This Row],[disposedCourt]]=TrafficData[[#This Row],[totalCourt]]</f>
        <v>1</v>
      </c>
      <c r="N3424" t="b">
        <f>AND(TrafficData[[#This Row],[disposedChallan]]&lt;=TrafficData[[#This Row],[totalChallan]],TrafficData[[#This Row],[pendingChallan]]&lt;=TrafficData[[#This Row],[totalChallan]])</f>
        <v>1</v>
      </c>
      <c r="O3424" t="b">
        <f>AND(TrafficData[[#This Row],[pendingAmount]]&lt;=TrafficData[[#This Row],[totalAmount]],TrafficData[[#This Row],[disposedAmount]]&lt;=TrafficData[[#This Row],[totalAmount]])</f>
        <v>1</v>
      </c>
      <c r="P3424" t="b">
        <f>AND(TrafficData[[#This Row],[pendingCourt]]&lt;=TrafficData[[#This Row],[totalCourt]],TrafficData[[#This Row],[disposedCourt]]&lt;=TrafficData[[#This Row],[totalCourt]])</f>
        <v>1</v>
      </c>
    </row>
    <row r="3425" spans="1:16">
      <c r="A3425" s="1">
        <v>45429</v>
      </c>
      <c r="B3425">
        <v>208622</v>
      </c>
      <c r="C3425">
        <v>71672</v>
      </c>
      <c r="D3425">
        <v>136950</v>
      </c>
      <c r="E3425">
        <v>207108170</v>
      </c>
      <c r="F3425">
        <v>108700333</v>
      </c>
      <c r="G3425">
        <v>315808503</v>
      </c>
      <c r="H3425">
        <v>64501</v>
      </c>
      <c r="I3425">
        <v>8425</v>
      </c>
      <c r="J3425">
        <v>72926</v>
      </c>
      <c r="K3425" t="b">
        <f>TrafficData[[#This Row],[disposedChallan]]+TrafficData[[#This Row],[pendingChallan]]=TrafficData[[#This Row],[totalChallan]]</f>
        <v>1</v>
      </c>
      <c r="L3425" t="b">
        <f>TrafficData[[#This Row],[pendingAmount]]+TrafficData[[#This Row],[disposedAmount]]=TrafficData[[#This Row],[totalAmount]]</f>
        <v>1</v>
      </c>
      <c r="M3425" t="b">
        <f>TrafficData[[#This Row],[pendingCourt]]+TrafficData[[#This Row],[disposedCourt]]=TrafficData[[#This Row],[totalCourt]]</f>
        <v>1</v>
      </c>
      <c r="N3425" t="b">
        <f>AND(TrafficData[[#This Row],[disposedChallan]]&lt;=TrafficData[[#This Row],[totalChallan]],TrafficData[[#This Row],[pendingChallan]]&lt;=TrafficData[[#This Row],[totalChallan]])</f>
        <v>1</v>
      </c>
      <c r="O3425" t="b">
        <f>AND(TrafficData[[#This Row],[pendingAmount]]&lt;=TrafficData[[#This Row],[totalAmount]],TrafficData[[#This Row],[disposedAmount]]&lt;=TrafficData[[#This Row],[totalAmount]])</f>
        <v>1</v>
      </c>
      <c r="P3425" t="b">
        <f>AND(TrafficData[[#This Row],[pendingCourt]]&lt;=TrafficData[[#This Row],[totalCourt]],TrafficData[[#This Row],[disposedCourt]]&lt;=TrafficData[[#This Row],[totalCourt]])</f>
        <v>1</v>
      </c>
    </row>
    <row r="3426" spans="1:16">
      <c r="A3426" s="1">
        <v>45430</v>
      </c>
      <c r="B3426">
        <v>208494</v>
      </c>
      <c r="C3426">
        <v>72958</v>
      </c>
      <c r="D3426">
        <v>135536</v>
      </c>
      <c r="E3426">
        <v>206316608</v>
      </c>
      <c r="F3426">
        <v>99645511</v>
      </c>
      <c r="G3426">
        <v>305962119</v>
      </c>
      <c r="H3426">
        <v>62316</v>
      </c>
      <c r="I3426">
        <v>9149</v>
      </c>
      <c r="J3426">
        <v>71465</v>
      </c>
      <c r="K3426" t="b">
        <f>TrafficData[[#This Row],[disposedChallan]]+TrafficData[[#This Row],[pendingChallan]]=TrafficData[[#This Row],[totalChallan]]</f>
        <v>1</v>
      </c>
      <c r="L3426" t="b">
        <f>TrafficData[[#This Row],[pendingAmount]]+TrafficData[[#This Row],[disposedAmount]]=TrafficData[[#This Row],[totalAmount]]</f>
        <v>1</v>
      </c>
      <c r="M3426" t="b">
        <f>TrafficData[[#This Row],[pendingCourt]]+TrafficData[[#This Row],[disposedCourt]]=TrafficData[[#This Row],[totalCourt]]</f>
        <v>1</v>
      </c>
      <c r="N3426" t="b">
        <f>AND(TrafficData[[#This Row],[disposedChallan]]&lt;=TrafficData[[#This Row],[totalChallan]],TrafficData[[#This Row],[pendingChallan]]&lt;=TrafficData[[#This Row],[totalChallan]])</f>
        <v>1</v>
      </c>
      <c r="O3426" t="b">
        <f>AND(TrafficData[[#This Row],[pendingAmount]]&lt;=TrafficData[[#This Row],[totalAmount]],TrafficData[[#This Row],[disposedAmount]]&lt;=TrafficData[[#This Row],[totalAmount]])</f>
        <v>1</v>
      </c>
      <c r="P3426" t="b">
        <f>AND(TrafficData[[#This Row],[pendingCourt]]&lt;=TrafficData[[#This Row],[totalCourt]],TrafficData[[#This Row],[disposedCourt]]&lt;=TrafficData[[#This Row],[totalCourt]])</f>
        <v>1</v>
      </c>
    </row>
    <row r="3427" spans="1:16">
      <c r="A3427" s="1">
        <v>45431</v>
      </c>
      <c r="B3427">
        <v>188899</v>
      </c>
      <c r="C3427">
        <v>64754</v>
      </c>
      <c r="D3427">
        <v>124145</v>
      </c>
      <c r="E3427">
        <v>174673187</v>
      </c>
      <c r="F3427">
        <v>77490435</v>
      </c>
      <c r="G3427">
        <v>252163622</v>
      </c>
      <c r="H3427">
        <v>54179</v>
      </c>
      <c r="I3427">
        <v>7397</v>
      </c>
      <c r="J3427">
        <v>61576</v>
      </c>
      <c r="K3427" t="b">
        <f>TrafficData[[#This Row],[disposedChallan]]+TrafficData[[#This Row],[pendingChallan]]=TrafficData[[#This Row],[totalChallan]]</f>
        <v>1</v>
      </c>
      <c r="L3427" t="b">
        <f>TrafficData[[#This Row],[pendingAmount]]+TrafficData[[#This Row],[disposedAmount]]=TrafficData[[#This Row],[totalAmount]]</f>
        <v>1</v>
      </c>
      <c r="M3427" t="b">
        <f>TrafficData[[#This Row],[pendingCourt]]+TrafficData[[#This Row],[disposedCourt]]=TrafficData[[#This Row],[totalCourt]]</f>
        <v>1</v>
      </c>
      <c r="N3427" t="b">
        <f>AND(TrafficData[[#This Row],[disposedChallan]]&lt;=TrafficData[[#This Row],[totalChallan]],TrafficData[[#This Row],[pendingChallan]]&lt;=TrafficData[[#This Row],[totalChallan]])</f>
        <v>1</v>
      </c>
      <c r="O3427" t="b">
        <f>AND(TrafficData[[#This Row],[pendingAmount]]&lt;=TrafficData[[#This Row],[totalAmount]],TrafficData[[#This Row],[disposedAmount]]&lt;=TrafficData[[#This Row],[totalAmount]])</f>
        <v>1</v>
      </c>
      <c r="P3427" t="b">
        <f>AND(TrafficData[[#This Row],[pendingCourt]]&lt;=TrafficData[[#This Row],[totalCourt]],TrafficData[[#This Row],[disposedCourt]]&lt;=TrafficData[[#This Row],[totalCourt]])</f>
        <v>1</v>
      </c>
    </row>
    <row r="3428" spans="1:16">
      <c r="A3428" s="1">
        <v>45432</v>
      </c>
      <c r="B3428">
        <v>186945</v>
      </c>
      <c r="C3428">
        <v>64676</v>
      </c>
      <c r="D3428">
        <v>122269</v>
      </c>
      <c r="E3428">
        <v>181224970</v>
      </c>
      <c r="F3428">
        <v>89555534</v>
      </c>
      <c r="G3428">
        <v>270780504</v>
      </c>
      <c r="H3428">
        <v>56150</v>
      </c>
      <c r="I3428">
        <v>8080</v>
      </c>
      <c r="J3428">
        <v>64230</v>
      </c>
      <c r="K3428" t="b">
        <f>TrafficData[[#This Row],[disposedChallan]]+TrafficData[[#This Row],[pendingChallan]]=TrafficData[[#This Row],[totalChallan]]</f>
        <v>1</v>
      </c>
      <c r="L3428" t="b">
        <f>TrafficData[[#This Row],[pendingAmount]]+TrafficData[[#This Row],[disposedAmount]]=TrafficData[[#This Row],[totalAmount]]</f>
        <v>1</v>
      </c>
      <c r="M3428" t="b">
        <f>TrafficData[[#This Row],[pendingCourt]]+TrafficData[[#This Row],[disposedCourt]]=TrafficData[[#This Row],[totalCourt]]</f>
        <v>1</v>
      </c>
      <c r="N3428" t="b">
        <f>AND(TrafficData[[#This Row],[disposedChallan]]&lt;=TrafficData[[#This Row],[totalChallan]],TrafficData[[#This Row],[pendingChallan]]&lt;=TrafficData[[#This Row],[totalChallan]])</f>
        <v>1</v>
      </c>
      <c r="O3428" t="b">
        <f>AND(TrafficData[[#This Row],[pendingAmount]]&lt;=TrafficData[[#This Row],[totalAmount]],TrafficData[[#This Row],[disposedAmount]]&lt;=TrafficData[[#This Row],[totalAmount]])</f>
        <v>1</v>
      </c>
      <c r="P3428" t="b">
        <f>AND(TrafficData[[#This Row],[pendingCourt]]&lt;=TrafficData[[#This Row],[totalCourt]],TrafficData[[#This Row],[disposedCourt]]&lt;=TrafficData[[#This Row],[totalCourt]])</f>
        <v>1</v>
      </c>
    </row>
    <row r="3429" spans="1:16">
      <c r="A3429" s="1">
        <v>45433</v>
      </c>
      <c r="B3429">
        <v>204550</v>
      </c>
      <c r="C3429">
        <v>68740</v>
      </c>
      <c r="D3429">
        <v>135810</v>
      </c>
      <c r="E3429">
        <v>203515973</v>
      </c>
      <c r="F3429">
        <v>105324089</v>
      </c>
      <c r="G3429">
        <v>308840062</v>
      </c>
      <c r="H3429">
        <v>66529</v>
      </c>
      <c r="I3429">
        <v>9072</v>
      </c>
      <c r="J3429">
        <v>75601</v>
      </c>
      <c r="K3429" t="b">
        <f>TrafficData[[#This Row],[disposedChallan]]+TrafficData[[#This Row],[pendingChallan]]=TrafficData[[#This Row],[totalChallan]]</f>
        <v>1</v>
      </c>
      <c r="L3429" t="b">
        <f>TrafficData[[#This Row],[pendingAmount]]+TrafficData[[#This Row],[disposedAmount]]=TrafficData[[#This Row],[totalAmount]]</f>
        <v>1</v>
      </c>
      <c r="M3429" t="b">
        <f>TrafficData[[#This Row],[pendingCourt]]+TrafficData[[#This Row],[disposedCourt]]=TrafficData[[#This Row],[totalCourt]]</f>
        <v>1</v>
      </c>
      <c r="N3429" t="b">
        <f>AND(TrafficData[[#This Row],[disposedChallan]]&lt;=TrafficData[[#This Row],[totalChallan]],TrafficData[[#This Row],[pendingChallan]]&lt;=TrafficData[[#This Row],[totalChallan]])</f>
        <v>1</v>
      </c>
      <c r="O3429" t="b">
        <f>AND(TrafficData[[#This Row],[pendingAmount]]&lt;=TrafficData[[#This Row],[totalAmount]],TrafficData[[#This Row],[disposedAmount]]&lt;=TrafficData[[#This Row],[totalAmount]])</f>
        <v>1</v>
      </c>
      <c r="P3429" t="b">
        <f>AND(TrafficData[[#This Row],[pendingCourt]]&lt;=TrafficData[[#This Row],[totalCourt]],TrafficData[[#This Row],[disposedCourt]]&lt;=TrafficData[[#This Row],[totalCourt]])</f>
        <v>1</v>
      </c>
    </row>
    <row r="3430" spans="1:16">
      <c r="A3430" s="1">
        <v>45434</v>
      </c>
      <c r="B3430">
        <v>193450</v>
      </c>
      <c r="C3430">
        <v>67438</v>
      </c>
      <c r="D3430">
        <v>126012</v>
      </c>
      <c r="E3430">
        <v>185301913</v>
      </c>
      <c r="F3430">
        <v>100982596</v>
      </c>
      <c r="G3430">
        <v>286284509</v>
      </c>
      <c r="H3430">
        <v>63508</v>
      </c>
      <c r="I3430">
        <v>8369</v>
      </c>
      <c r="J3430">
        <v>71877</v>
      </c>
      <c r="K3430" t="b">
        <f>TrafficData[[#This Row],[disposedChallan]]+TrafficData[[#This Row],[pendingChallan]]=TrafficData[[#This Row],[totalChallan]]</f>
        <v>1</v>
      </c>
      <c r="L3430" t="b">
        <f>TrafficData[[#This Row],[pendingAmount]]+TrafficData[[#This Row],[disposedAmount]]=TrafficData[[#This Row],[totalAmount]]</f>
        <v>1</v>
      </c>
      <c r="M3430" t="b">
        <f>TrafficData[[#This Row],[pendingCourt]]+TrafficData[[#This Row],[disposedCourt]]=TrafficData[[#This Row],[totalCourt]]</f>
        <v>1</v>
      </c>
      <c r="N3430" t="b">
        <f>AND(TrafficData[[#This Row],[disposedChallan]]&lt;=TrafficData[[#This Row],[totalChallan]],TrafficData[[#This Row],[pendingChallan]]&lt;=TrafficData[[#This Row],[totalChallan]])</f>
        <v>1</v>
      </c>
      <c r="O3430" t="b">
        <f>AND(TrafficData[[#This Row],[pendingAmount]]&lt;=TrafficData[[#This Row],[totalAmount]],TrafficData[[#This Row],[disposedAmount]]&lt;=TrafficData[[#This Row],[totalAmount]])</f>
        <v>1</v>
      </c>
      <c r="P3430" t="b">
        <f>AND(TrafficData[[#This Row],[pendingCourt]]&lt;=TrafficData[[#This Row],[totalCourt]],TrafficData[[#This Row],[disposedCourt]]&lt;=TrafficData[[#This Row],[totalCourt]])</f>
        <v>1</v>
      </c>
    </row>
    <row r="3431" spans="1:16">
      <c r="A3431" s="1">
        <v>45435</v>
      </c>
      <c r="B3431">
        <v>181921</v>
      </c>
      <c r="C3431">
        <v>62764</v>
      </c>
      <c r="D3431">
        <v>119157</v>
      </c>
      <c r="E3431">
        <v>165485340</v>
      </c>
      <c r="F3431">
        <v>87726647</v>
      </c>
      <c r="G3431">
        <v>253211987</v>
      </c>
      <c r="H3431">
        <v>60689</v>
      </c>
      <c r="I3431">
        <v>7913</v>
      </c>
      <c r="J3431">
        <v>68602</v>
      </c>
      <c r="K3431" t="b">
        <f>TrafficData[[#This Row],[disposedChallan]]+TrafficData[[#This Row],[pendingChallan]]=TrafficData[[#This Row],[totalChallan]]</f>
        <v>1</v>
      </c>
      <c r="L3431" t="b">
        <f>TrafficData[[#This Row],[pendingAmount]]+TrafficData[[#This Row],[disposedAmount]]=TrafficData[[#This Row],[totalAmount]]</f>
        <v>1</v>
      </c>
      <c r="M3431" t="b">
        <f>TrafficData[[#This Row],[pendingCourt]]+TrafficData[[#This Row],[disposedCourt]]=TrafficData[[#This Row],[totalCourt]]</f>
        <v>1</v>
      </c>
      <c r="N3431" t="b">
        <f>AND(TrafficData[[#This Row],[disposedChallan]]&lt;=TrafficData[[#This Row],[totalChallan]],TrafficData[[#This Row],[pendingChallan]]&lt;=TrafficData[[#This Row],[totalChallan]])</f>
        <v>1</v>
      </c>
      <c r="O3431" t="b">
        <f>AND(TrafficData[[#This Row],[pendingAmount]]&lt;=TrafficData[[#This Row],[totalAmount]],TrafficData[[#This Row],[disposedAmount]]&lt;=TrafficData[[#This Row],[totalAmount]])</f>
        <v>1</v>
      </c>
      <c r="P3431" t="b">
        <f>AND(TrafficData[[#This Row],[pendingCourt]]&lt;=TrafficData[[#This Row],[totalCourt]],TrafficData[[#This Row],[disposedCourt]]&lt;=TrafficData[[#This Row],[totalCourt]])</f>
        <v>1</v>
      </c>
    </row>
    <row r="3432" spans="1:16">
      <c r="A3432" s="1">
        <v>45436</v>
      </c>
      <c r="B3432">
        <v>191063</v>
      </c>
      <c r="C3432">
        <v>63797</v>
      </c>
      <c r="D3432">
        <v>127266</v>
      </c>
      <c r="E3432">
        <v>177289248</v>
      </c>
      <c r="F3432">
        <v>92381733</v>
      </c>
      <c r="G3432">
        <v>269670981</v>
      </c>
      <c r="H3432">
        <v>61877</v>
      </c>
      <c r="I3432">
        <v>7997</v>
      </c>
      <c r="J3432">
        <v>69874</v>
      </c>
      <c r="K3432" t="b">
        <f>TrafficData[[#This Row],[disposedChallan]]+TrafficData[[#This Row],[pendingChallan]]=TrafficData[[#This Row],[totalChallan]]</f>
        <v>1</v>
      </c>
      <c r="L3432" t="b">
        <f>TrafficData[[#This Row],[pendingAmount]]+TrafficData[[#This Row],[disposedAmount]]=TrafficData[[#This Row],[totalAmount]]</f>
        <v>1</v>
      </c>
      <c r="M3432" t="b">
        <f>TrafficData[[#This Row],[pendingCourt]]+TrafficData[[#This Row],[disposedCourt]]=TrafficData[[#This Row],[totalCourt]]</f>
        <v>1</v>
      </c>
      <c r="N3432" t="b">
        <f>AND(TrafficData[[#This Row],[disposedChallan]]&lt;=TrafficData[[#This Row],[totalChallan]],TrafficData[[#This Row],[pendingChallan]]&lt;=TrafficData[[#This Row],[totalChallan]])</f>
        <v>1</v>
      </c>
      <c r="O3432" t="b">
        <f>AND(TrafficData[[#This Row],[pendingAmount]]&lt;=TrafficData[[#This Row],[totalAmount]],TrafficData[[#This Row],[disposedAmount]]&lt;=TrafficData[[#This Row],[totalAmount]])</f>
        <v>1</v>
      </c>
      <c r="P3432" t="b">
        <f>AND(TrafficData[[#This Row],[pendingCourt]]&lt;=TrafficData[[#This Row],[totalCourt]],TrafficData[[#This Row],[disposedCourt]]&lt;=TrafficData[[#This Row],[totalCourt]])</f>
        <v>1</v>
      </c>
    </row>
    <row r="3433" spans="1:16">
      <c r="A3433" s="1">
        <v>45437</v>
      </c>
      <c r="B3433">
        <v>195900</v>
      </c>
      <c r="C3433">
        <v>66882</v>
      </c>
      <c r="D3433">
        <v>129018</v>
      </c>
      <c r="E3433">
        <v>171174939</v>
      </c>
      <c r="F3433">
        <v>88556185</v>
      </c>
      <c r="G3433">
        <v>259731124</v>
      </c>
      <c r="H3433">
        <v>58014</v>
      </c>
      <c r="I3433">
        <v>7852</v>
      </c>
      <c r="J3433">
        <v>65866</v>
      </c>
      <c r="K3433" t="b">
        <f>TrafficData[[#This Row],[disposedChallan]]+TrafficData[[#This Row],[pendingChallan]]=TrafficData[[#This Row],[totalChallan]]</f>
        <v>1</v>
      </c>
      <c r="L3433" t="b">
        <f>TrafficData[[#This Row],[pendingAmount]]+TrafficData[[#This Row],[disposedAmount]]=TrafficData[[#This Row],[totalAmount]]</f>
        <v>1</v>
      </c>
      <c r="M3433" t="b">
        <f>TrafficData[[#This Row],[pendingCourt]]+TrafficData[[#This Row],[disposedCourt]]=TrafficData[[#This Row],[totalCourt]]</f>
        <v>1</v>
      </c>
      <c r="N3433" t="b">
        <f>AND(TrafficData[[#This Row],[disposedChallan]]&lt;=TrafficData[[#This Row],[totalChallan]],TrafficData[[#This Row],[pendingChallan]]&lt;=TrafficData[[#This Row],[totalChallan]])</f>
        <v>1</v>
      </c>
      <c r="O3433" t="b">
        <f>AND(TrafficData[[#This Row],[pendingAmount]]&lt;=TrafficData[[#This Row],[totalAmount]],TrafficData[[#This Row],[disposedAmount]]&lt;=TrafficData[[#This Row],[totalAmount]])</f>
        <v>1</v>
      </c>
      <c r="P3433" t="b">
        <f>AND(TrafficData[[#This Row],[pendingCourt]]&lt;=TrafficData[[#This Row],[totalCourt]],TrafficData[[#This Row],[disposedCourt]]&lt;=TrafficData[[#This Row],[totalCourt]])</f>
        <v>1</v>
      </c>
    </row>
    <row r="3434" spans="1:16">
      <c r="A3434" s="1">
        <v>45438</v>
      </c>
      <c r="B3434">
        <v>179508</v>
      </c>
      <c r="C3434">
        <v>59255</v>
      </c>
      <c r="D3434">
        <v>120253</v>
      </c>
      <c r="E3434">
        <v>156970054</v>
      </c>
      <c r="F3434">
        <v>70051354</v>
      </c>
      <c r="G3434">
        <v>227021408</v>
      </c>
      <c r="H3434">
        <v>53008</v>
      </c>
      <c r="I3434">
        <v>6748</v>
      </c>
      <c r="J3434">
        <v>59756</v>
      </c>
      <c r="K3434" t="b">
        <f>TrafficData[[#This Row],[disposedChallan]]+TrafficData[[#This Row],[pendingChallan]]=TrafficData[[#This Row],[totalChallan]]</f>
        <v>1</v>
      </c>
      <c r="L3434" t="b">
        <f>TrafficData[[#This Row],[pendingAmount]]+TrafficData[[#This Row],[disposedAmount]]=TrafficData[[#This Row],[totalAmount]]</f>
        <v>1</v>
      </c>
      <c r="M3434" t="b">
        <f>TrafficData[[#This Row],[pendingCourt]]+TrafficData[[#This Row],[disposedCourt]]=TrafficData[[#This Row],[totalCourt]]</f>
        <v>1</v>
      </c>
      <c r="N3434" t="b">
        <f>AND(TrafficData[[#This Row],[disposedChallan]]&lt;=TrafficData[[#This Row],[totalChallan]],TrafficData[[#This Row],[pendingChallan]]&lt;=TrafficData[[#This Row],[totalChallan]])</f>
        <v>1</v>
      </c>
      <c r="O3434" t="b">
        <f>AND(TrafficData[[#This Row],[pendingAmount]]&lt;=TrafficData[[#This Row],[totalAmount]],TrafficData[[#This Row],[disposedAmount]]&lt;=TrafficData[[#This Row],[totalAmount]])</f>
        <v>1</v>
      </c>
      <c r="P3434" t="b">
        <f>AND(TrafficData[[#This Row],[pendingCourt]]&lt;=TrafficData[[#This Row],[totalCourt]],TrafficData[[#This Row],[disposedCourt]]&lt;=TrafficData[[#This Row],[totalCourt]])</f>
        <v>1</v>
      </c>
    </row>
    <row r="3435" spans="1:16">
      <c r="A3435" s="1">
        <v>45439</v>
      </c>
      <c r="B3435">
        <v>205285</v>
      </c>
      <c r="C3435">
        <v>67925</v>
      </c>
      <c r="D3435">
        <v>137360</v>
      </c>
      <c r="E3435">
        <v>206238465</v>
      </c>
      <c r="F3435">
        <v>92894403</v>
      </c>
      <c r="G3435">
        <v>299132868</v>
      </c>
      <c r="H3435">
        <v>67927</v>
      </c>
      <c r="I3435">
        <v>8788</v>
      </c>
      <c r="J3435">
        <v>76715</v>
      </c>
      <c r="K3435" t="b">
        <f>TrafficData[[#This Row],[disposedChallan]]+TrafficData[[#This Row],[pendingChallan]]=TrafficData[[#This Row],[totalChallan]]</f>
        <v>1</v>
      </c>
      <c r="L3435" t="b">
        <f>TrafficData[[#This Row],[pendingAmount]]+TrafficData[[#This Row],[disposedAmount]]=TrafficData[[#This Row],[totalAmount]]</f>
        <v>1</v>
      </c>
      <c r="M3435" t="b">
        <f>TrafficData[[#This Row],[pendingCourt]]+TrafficData[[#This Row],[disposedCourt]]=TrafficData[[#This Row],[totalCourt]]</f>
        <v>1</v>
      </c>
      <c r="N3435" t="b">
        <f>AND(TrafficData[[#This Row],[disposedChallan]]&lt;=TrafficData[[#This Row],[totalChallan]],TrafficData[[#This Row],[pendingChallan]]&lt;=TrafficData[[#This Row],[totalChallan]])</f>
        <v>1</v>
      </c>
      <c r="O3435" t="b">
        <f>AND(TrafficData[[#This Row],[pendingAmount]]&lt;=TrafficData[[#This Row],[totalAmount]],TrafficData[[#This Row],[disposedAmount]]&lt;=TrafficData[[#This Row],[totalAmount]])</f>
        <v>1</v>
      </c>
      <c r="P3435" t="b">
        <f>AND(TrafficData[[#This Row],[pendingCourt]]&lt;=TrafficData[[#This Row],[totalCourt]],TrafficData[[#This Row],[disposedCourt]]&lt;=TrafficData[[#This Row],[totalCourt]])</f>
        <v>1</v>
      </c>
    </row>
    <row r="3436" spans="1:16">
      <c r="A3436" s="1">
        <v>45440</v>
      </c>
      <c r="B3436">
        <v>200270</v>
      </c>
      <c r="C3436">
        <v>67385</v>
      </c>
      <c r="D3436">
        <v>132885</v>
      </c>
      <c r="E3436">
        <v>209548782</v>
      </c>
      <c r="F3436">
        <v>104898679</v>
      </c>
      <c r="G3436">
        <v>314447461</v>
      </c>
      <c r="H3436">
        <v>69220</v>
      </c>
      <c r="I3436">
        <v>9138</v>
      </c>
      <c r="J3436">
        <v>78358</v>
      </c>
      <c r="K3436" t="b">
        <f>TrafficData[[#This Row],[disposedChallan]]+TrafficData[[#This Row],[pendingChallan]]=TrafficData[[#This Row],[totalChallan]]</f>
        <v>1</v>
      </c>
      <c r="L3436" t="b">
        <f>TrafficData[[#This Row],[pendingAmount]]+TrafficData[[#This Row],[disposedAmount]]=TrafficData[[#This Row],[totalAmount]]</f>
        <v>1</v>
      </c>
      <c r="M3436" t="b">
        <f>TrafficData[[#This Row],[pendingCourt]]+TrafficData[[#This Row],[disposedCourt]]=TrafficData[[#This Row],[totalCourt]]</f>
        <v>1</v>
      </c>
      <c r="N3436" t="b">
        <f>AND(TrafficData[[#This Row],[disposedChallan]]&lt;=TrafficData[[#This Row],[totalChallan]],TrafficData[[#This Row],[pendingChallan]]&lt;=TrafficData[[#This Row],[totalChallan]])</f>
        <v>1</v>
      </c>
      <c r="O3436" t="b">
        <f>AND(TrafficData[[#This Row],[pendingAmount]]&lt;=TrafficData[[#This Row],[totalAmount]],TrafficData[[#This Row],[disposedAmount]]&lt;=TrafficData[[#This Row],[totalAmount]])</f>
        <v>1</v>
      </c>
      <c r="P3436" t="b">
        <f>AND(TrafficData[[#This Row],[pendingCourt]]&lt;=TrafficData[[#This Row],[totalCourt]],TrafficData[[#This Row],[disposedCourt]]&lt;=TrafficData[[#This Row],[totalCourt]])</f>
        <v>1</v>
      </c>
    </row>
    <row r="3437" spans="1:16">
      <c r="A3437" s="1">
        <v>45441</v>
      </c>
      <c r="B3437">
        <v>199523</v>
      </c>
      <c r="C3437">
        <v>66649</v>
      </c>
      <c r="D3437">
        <v>132874</v>
      </c>
      <c r="E3437">
        <v>214685050</v>
      </c>
      <c r="F3437">
        <v>105047822</v>
      </c>
      <c r="G3437">
        <v>319732872</v>
      </c>
      <c r="H3437">
        <v>66492</v>
      </c>
      <c r="I3437">
        <v>9136</v>
      </c>
      <c r="J3437">
        <v>75628</v>
      </c>
      <c r="K3437" t="b">
        <f>TrafficData[[#This Row],[disposedChallan]]+TrafficData[[#This Row],[pendingChallan]]=TrafficData[[#This Row],[totalChallan]]</f>
        <v>1</v>
      </c>
      <c r="L3437" t="b">
        <f>TrafficData[[#This Row],[pendingAmount]]+TrafficData[[#This Row],[disposedAmount]]=TrafficData[[#This Row],[totalAmount]]</f>
        <v>1</v>
      </c>
      <c r="M3437" t="b">
        <f>TrafficData[[#This Row],[pendingCourt]]+TrafficData[[#This Row],[disposedCourt]]=TrafficData[[#This Row],[totalCourt]]</f>
        <v>1</v>
      </c>
      <c r="N3437" t="b">
        <f>AND(TrafficData[[#This Row],[disposedChallan]]&lt;=TrafficData[[#This Row],[totalChallan]],TrafficData[[#This Row],[pendingChallan]]&lt;=TrafficData[[#This Row],[totalChallan]])</f>
        <v>1</v>
      </c>
      <c r="O3437" t="b">
        <f>AND(TrafficData[[#This Row],[pendingAmount]]&lt;=TrafficData[[#This Row],[totalAmount]],TrafficData[[#This Row],[disposedAmount]]&lt;=TrafficData[[#This Row],[totalAmount]])</f>
        <v>1</v>
      </c>
      <c r="P3437" t="b">
        <f>AND(TrafficData[[#This Row],[pendingCourt]]&lt;=TrafficData[[#This Row],[totalCourt]],TrafficData[[#This Row],[disposedCourt]]&lt;=TrafficData[[#This Row],[totalCourt]])</f>
        <v>1</v>
      </c>
    </row>
    <row r="3438" spans="1:16">
      <c r="A3438" s="1">
        <v>45442</v>
      </c>
      <c r="B3438">
        <v>196841</v>
      </c>
      <c r="C3438">
        <v>66870</v>
      </c>
      <c r="D3438">
        <v>129971</v>
      </c>
      <c r="E3438">
        <v>206241190</v>
      </c>
      <c r="F3438">
        <v>104111099</v>
      </c>
      <c r="G3438">
        <v>310352289</v>
      </c>
      <c r="H3438">
        <v>65446</v>
      </c>
      <c r="I3438">
        <v>9216</v>
      </c>
      <c r="J3438">
        <v>74662</v>
      </c>
      <c r="K3438" t="b">
        <f>TrafficData[[#This Row],[disposedChallan]]+TrafficData[[#This Row],[pendingChallan]]=TrafficData[[#This Row],[totalChallan]]</f>
        <v>1</v>
      </c>
      <c r="L3438" t="b">
        <f>TrafficData[[#This Row],[pendingAmount]]+TrafficData[[#This Row],[disposedAmount]]=TrafficData[[#This Row],[totalAmount]]</f>
        <v>1</v>
      </c>
      <c r="M3438" t="b">
        <f>TrafficData[[#This Row],[pendingCourt]]+TrafficData[[#This Row],[disposedCourt]]=TrafficData[[#This Row],[totalCourt]]</f>
        <v>1</v>
      </c>
      <c r="N3438" t="b">
        <f>AND(TrafficData[[#This Row],[disposedChallan]]&lt;=TrafficData[[#This Row],[totalChallan]],TrafficData[[#This Row],[pendingChallan]]&lt;=TrafficData[[#This Row],[totalChallan]])</f>
        <v>1</v>
      </c>
      <c r="O3438" t="b">
        <f>AND(TrafficData[[#This Row],[pendingAmount]]&lt;=TrafficData[[#This Row],[totalAmount]],TrafficData[[#This Row],[disposedAmount]]&lt;=TrafficData[[#This Row],[totalAmount]])</f>
        <v>1</v>
      </c>
      <c r="P3438" t="b">
        <f>AND(TrafficData[[#This Row],[pendingCourt]]&lt;=TrafficData[[#This Row],[totalCourt]],TrafficData[[#This Row],[disposedCourt]]&lt;=TrafficData[[#This Row],[totalCourt]])</f>
        <v>1</v>
      </c>
    </row>
    <row r="3439" spans="1:16">
      <c r="A3439" s="1">
        <v>45443</v>
      </c>
      <c r="B3439">
        <v>198148</v>
      </c>
      <c r="C3439">
        <v>66115</v>
      </c>
      <c r="D3439">
        <v>132033</v>
      </c>
      <c r="E3439">
        <v>214651765</v>
      </c>
      <c r="F3439">
        <v>98421744</v>
      </c>
      <c r="G3439">
        <v>313073509</v>
      </c>
      <c r="H3439">
        <v>63790</v>
      </c>
      <c r="I3439">
        <v>8835</v>
      </c>
      <c r="J3439">
        <v>72625</v>
      </c>
      <c r="K3439" t="b">
        <f>TrafficData[[#This Row],[disposedChallan]]+TrafficData[[#This Row],[pendingChallan]]=TrafficData[[#This Row],[totalChallan]]</f>
        <v>1</v>
      </c>
      <c r="L3439" t="b">
        <f>TrafficData[[#This Row],[pendingAmount]]+TrafficData[[#This Row],[disposedAmount]]=TrafficData[[#This Row],[totalAmount]]</f>
        <v>1</v>
      </c>
      <c r="M3439" t="b">
        <f>TrafficData[[#This Row],[pendingCourt]]+TrafficData[[#This Row],[disposedCourt]]=TrafficData[[#This Row],[totalCourt]]</f>
        <v>1</v>
      </c>
      <c r="N3439" t="b">
        <f>AND(TrafficData[[#This Row],[disposedChallan]]&lt;=TrafficData[[#This Row],[totalChallan]],TrafficData[[#This Row],[pendingChallan]]&lt;=TrafficData[[#This Row],[totalChallan]])</f>
        <v>1</v>
      </c>
      <c r="O3439" t="b">
        <f>AND(TrafficData[[#This Row],[pendingAmount]]&lt;=TrafficData[[#This Row],[totalAmount]],TrafficData[[#This Row],[disposedAmount]]&lt;=TrafficData[[#This Row],[totalAmount]])</f>
        <v>1</v>
      </c>
      <c r="P3439" t="b">
        <f>AND(TrafficData[[#This Row],[pendingCourt]]&lt;=TrafficData[[#This Row],[totalCourt]],TrafficData[[#This Row],[disposedCourt]]&lt;=TrafficData[[#This Row],[totalCourt]])</f>
        <v>1</v>
      </c>
    </row>
    <row r="3440" spans="1:16">
      <c r="A3440" s="1">
        <v>45444</v>
      </c>
      <c r="B3440">
        <v>207246</v>
      </c>
      <c r="C3440">
        <v>72508</v>
      </c>
      <c r="D3440">
        <v>134738</v>
      </c>
      <c r="E3440">
        <v>213445476</v>
      </c>
      <c r="F3440">
        <v>106293867</v>
      </c>
      <c r="G3440">
        <v>319739343</v>
      </c>
      <c r="H3440">
        <v>69250</v>
      </c>
      <c r="I3440">
        <v>9114</v>
      </c>
      <c r="J3440">
        <v>78364</v>
      </c>
      <c r="K3440" t="b">
        <f>TrafficData[[#This Row],[disposedChallan]]+TrafficData[[#This Row],[pendingChallan]]=TrafficData[[#This Row],[totalChallan]]</f>
        <v>1</v>
      </c>
      <c r="L3440" t="b">
        <f>TrafficData[[#This Row],[pendingAmount]]+TrafficData[[#This Row],[disposedAmount]]=TrafficData[[#This Row],[totalAmount]]</f>
        <v>1</v>
      </c>
      <c r="M3440" t="b">
        <f>TrafficData[[#This Row],[pendingCourt]]+TrafficData[[#This Row],[disposedCourt]]=TrafficData[[#This Row],[totalCourt]]</f>
        <v>1</v>
      </c>
      <c r="N3440" t="b">
        <f>AND(TrafficData[[#This Row],[disposedChallan]]&lt;=TrafficData[[#This Row],[totalChallan]],TrafficData[[#This Row],[pendingChallan]]&lt;=TrafficData[[#This Row],[totalChallan]])</f>
        <v>1</v>
      </c>
      <c r="O3440" t="b">
        <f>AND(TrafficData[[#This Row],[pendingAmount]]&lt;=TrafficData[[#This Row],[totalAmount]],TrafficData[[#This Row],[disposedAmount]]&lt;=TrafficData[[#This Row],[totalAmount]])</f>
        <v>1</v>
      </c>
      <c r="P3440" t="b">
        <f>AND(TrafficData[[#This Row],[pendingCourt]]&lt;=TrafficData[[#This Row],[totalCourt]],TrafficData[[#This Row],[disposedCourt]]&lt;=TrafficData[[#This Row],[totalCourt]])</f>
        <v>1</v>
      </c>
    </row>
    <row r="3441" spans="1:16">
      <c r="A3441" s="1">
        <v>45445</v>
      </c>
      <c r="B3441">
        <v>209095</v>
      </c>
      <c r="C3441">
        <v>70501</v>
      </c>
      <c r="D3441">
        <v>138594</v>
      </c>
      <c r="E3441">
        <v>190345010</v>
      </c>
      <c r="F3441">
        <v>89488491</v>
      </c>
      <c r="G3441">
        <v>279833501</v>
      </c>
      <c r="H3441">
        <v>67228</v>
      </c>
      <c r="I3441">
        <v>8384</v>
      </c>
      <c r="J3441">
        <v>75612</v>
      </c>
      <c r="K3441" t="b">
        <f>TrafficData[[#This Row],[disposedChallan]]+TrafficData[[#This Row],[pendingChallan]]=TrafficData[[#This Row],[totalChallan]]</f>
        <v>1</v>
      </c>
      <c r="L3441" t="b">
        <f>TrafficData[[#This Row],[pendingAmount]]+TrafficData[[#This Row],[disposedAmount]]=TrafficData[[#This Row],[totalAmount]]</f>
        <v>1</v>
      </c>
      <c r="M3441" t="b">
        <f>TrafficData[[#This Row],[pendingCourt]]+TrafficData[[#This Row],[disposedCourt]]=TrafficData[[#This Row],[totalCourt]]</f>
        <v>1</v>
      </c>
      <c r="N3441" t="b">
        <f>AND(TrafficData[[#This Row],[disposedChallan]]&lt;=TrafficData[[#This Row],[totalChallan]],TrafficData[[#This Row],[pendingChallan]]&lt;=TrafficData[[#This Row],[totalChallan]])</f>
        <v>1</v>
      </c>
      <c r="O3441" t="b">
        <f>AND(TrafficData[[#This Row],[pendingAmount]]&lt;=TrafficData[[#This Row],[totalAmount]],TrafficData[[#This Row],[disposedAmount]]&lt;=TrafficData[[#This Row],[totalAmount]])</f>
        <v>1</v>
      </c>
      <c r="P3441" t="b">
        <f>AND(TrafficData[[#This Row],[pendingCourt]]&lt;=TrafficData[[#This Row],[totalCourt]],TrafficData[[#This Row],[disposedCourt]]&lt;=TrafficData[[#This Row],[totalCourt]])</f>
        <v>1</v>
      </c>
    </row>
    <row r="3442" spans="1:16">
      <c r="A3442" s="1">
        <v>45446</v>
      </c>
      <c r="B3442">
        <v>214961</v>
      </c>
      <c r="C3442">
        <v>71295</v>
      </c>
      <c r="D3442">
        <v>143666</v>
      </c>
      <c r="E3442">
        <v>222568709</v>
      </c>
      <c r="F3442">
        <v>102553780</v>
      </c>
      <c r="G3442">
        <v>325122489</v>
      </c>
      <c r="H3442">
        <v>73703</v>
      </c>
      <c r="I3442">
        <v>9431</v>
      </c>
      <c r="J3442">
        <v>83134</v>
      </c>
      <c r="K3442" t="b">
        <f>TrafficData[[#This Row],[disposedChallan]]+TrafficData[[#This Row],[pendingChallan]]=TrafficData[[#This Row],[totalChallan]]</f>
        <v>1</v>
      </c>
      <c r="L3442" t="b">
        <f>TrafficData[[#This Row],[pendingAmount]]+TrafficData[[#This Row],[disposedAmount]]=TrafficData[[#This Row],[totalAmount]]</f>
        <v>1</v>
      </c>
      <c r="M3442" t="b">
        <f>TrafficData[[#This Row],[pendingCourt]]+TrafficData[[#This Row],[disposedCourt]]=TrafficData[[#This Row],[totalCourt]]</f>
        <v>1</v>
      </c>
      <c r="N3442" t="b">
        <f>AND(TrafficData[[#This Row],[disposedChallan]]&lt;=TrafficData[[#This Row],[totalChallan]],TrafficData[[#This Row],[pendingChallan]]&lt;=TrafficData[[#This Row],[totalChallan]])</f>
        <v>1</v>
      </c>
      <c r="O3442" t="b">
        <f>AND(TrafficData[[#This Row],[pendingAmount]]&lt;=TrafficData[[#This Row],[totalAmount]],TrafficData[[#This Row],[disposedAmount]]&lt;=TrafficData[[#This Row],[totalAmount]])</f>
        <v>1</v>
      </c>
      <c r="P3442" t="b">
        <f>AND(TrafficData[[#This Row],[pendingCourt]]&lt;=TrafficData[[#This Row],[totalCourt]],TrafficData[[#This Row],[disposedCourt]]&lt;=TrafficData[[#This Row],[totalCourt]])</f>
        <v>1</v>
      </c>
    </row>
    <row r="3443" spans="1:16">
      <c r="A3443" s="1">
        <v>45447</v>
      </c>
      <c r="B3443">
        <v>155543</v>
      </c>
      <c r="C3443">
        <v>49435</v>
      </c>
      <c r="D3443">
        <v>106108</v>
      </c>
      <c r="E3443">
        <v>172222581</v>
      </c>
      <c r="F3443">
        <v>85054090</v>
      </c>
      <c r="G3443">
        <v>257276671</v>
      </c>
      <c r="H3443">
        <v>57259</v>
      </c>
      <c r="I3443">
        <v>7686</v>
      </c>
      <c r="J3443">
        <v>64945</v>
      </c>
      <c r="K3443" t="b">
        <f>TrafficData[[#This Row],[disposedChallan]]+TrafficData[[#This Row],[pendingChallan]]=TrafficData[[#This Row],[totalChallan]]</f>
        <v>1</v>
      </c>
      <c r="L3443" t="b">
        <f>TrafficData[[#This Row],[pendingAmount]]+TrafficData[[#This Row],[disposedAmount]]=TrafficData[[#This Row],[totalAmount]]</f>
        <v>1</v>
      </c>
      <c r="M3443" t="b">
        <f>TrafficData[[#This Row],[pendingCourt]]+TrafficData[[#This Row],[disposedCourt]]=TrafficData[[#This Row],[totalCourt]]</f>
        <v>1</v>
      </c>
      <c r="N3443" t="b">
        <f>AND(TrafficData[[#This Row],[disposedChallan]]&lt;=TrafficData[[#This Row],[totalChallan]],TrafficData[[#This Row],[pendingChallan]]&lt;=TrafficData[[#This Row],[totalChallan]])</f>
        <v>1</v>
      </c>
      <c r="O3443" t="b">
        <f>AND(TrafficData[[#This Row],[pendingAmount]]&lt;=TrafficData[[#This Row],[totalAmount]],TrafficData[[#This Row],[disposedAmount]]&lt;=TrafficData[[#This Row],[totalAmount]])</f>
        <v>1</v>
      </c>
      <c r="P3443" t="b">
        <f>AND(TrafficData[[#This Row],[pendingCourt]]&lt;=TrafficData[[#This Row],[totalCourt]],TrafficData[[#This Row],[disposedCourt]]&lt;=TrafficData[[#This Row],[totalCourt]])</f>
        <v>1</v>
      </c>
    </row>
    <row r="3444" spans="1:16">
      <c r="A3444" s="1">
        <v>45448</v>
      </c>
      <c r="B3444">
        <v>229610</v>
      </c>
      <c r="C3444">
        <v>76414</v>
      </c>
      <c r="D3444">
        <v>153196</v>
      </c>
      <c r="E3444">
        <v>240703501</v>
      </c>
      <c r="F3444">
        <v>120213063</v>
      </c>
      <c r="G3444">
        <v>360916564</v>
      </c>
      <c r="H3444">
        <v>76815</v>
      </c>
      <c r="I3444">
        <v>9833</v>
      </c>
      <c r="J3444">
        <v>86648</v>
      </c>
      <c r="K3444" t="b">
        <f>TrafficData[[#This Row],[disposedChallan]]+TrafficData[[#This Row],[pendingChallan]]=TrafficData[[#This Row],[totalChallan]]</f>
        <v>1</v>
      </c>
      <c r="L3444" t="b">
        <f>TrafficData[[#This Row],[pendingAmount]]+TrafficData[[#This Row],[disposedAmount]]=TrafficData[[#This Row],[totalAmount]]</f>
        <v>1</v>
      </c>
      <c r="M3444" t="b">
        <f>TrafficData[[#This Row],[pendingCourt]]+TrafficData[[#This Row],[disposedCourt]]=TrafficData[[#This Row],[totalCourt]]</f>
        <v>1</v>
      </c>
      <c r="N3444" t="b">
        <f>AND(TrafficData[[#This Row],[disposedChallan]]&lt;=TrafficData[[#This Row],[totalChallan]],TrafficData[[#This Row],[pendingChallan]]&lt;=TrafficData[[#This Row],[totalChallan]])</f>
        <v>1</v>
      </c>
      <c r="O3444" t="b">
        <f>AND(TrafficData[[#This Row],[pendingAmount]]&lt;=TrafficData[[#This Row],[totalAmount]],TrafficData[[#This Row],[disposedAmount]]&lt;=TrafficData[[#This Row],[totalAmount]])</f>
        <v>1</v>
      </c>
      <c r="P3444" t="b">
        <f>AND(TrafficData[[#This Row],[pendingCourt]]&lt;=TrafficData[[#This Row],[totalCourt]],TrafficData[[#This Row],[disposedCourt]]&lt;=TrafficData[[#This Row],[totalCourt]])</f>
        <v>1</v>
      </c>
    </row>
    <row r="3445" spans="1:16">
      <c r="A3445" s="1">
        <v>45449</v>
      </c>
      <c r="B3445">
        <v>234226</v>
      </c>
      <c r="C3445">
        <v>76865</v>
      </c>
      <c r="D3445">
        <v>157361</v>
      </c>
      <c r="E3445">
        <v>237964340</v>
      </c>
      <c r="F3445">
        <v>128326534</v>
      </c>
      <c r="G3445">
        <v>366290874</v>
      </c>
      <c r="H3445">
        <v>81187</v>
      </c>
      <c r="I3445">
        <v>9935</v>
      </c>
      <c r="J3445">
        <v>91122</v>
      </c>
      <c r="K3445" t="b">
        <f>TrafficData[[#This Row],[disposedChallan]]+TrafficData[[#This Row],[pendingChallan]]=TrafficData[[#This Row],[totalChallan]]</f>
        <v>1</v>
      </c>
      <c r="L3445" t="b">
        <f>TrafficData[[#This Row],[pendingAmount]]+TrafficData[[#This Row],[disposedAmount]]=TrafficData[[#This Row],[totalAmount]]</f>
        <v>1</v>
      </c>
      <c r="M3445" t="b">
        <f>TrafficData[[#This Row],[pendingCourt]]+TrafficData[[#This Row],[disposedCourt]]=TrafficData[[#This Row],[totalCourt]]</f>
        <v>1</v>
      </c>
      <c r="N3445" t="b">
        <f>AND(TrafficData[[#This Row],[disposedChallan]]&lt;=TrafficData[[#This Row],[totalChallan]],TrafficData[[#This Row],[pendingChallan]]&lt;=TrafficData[[#This Row],[totalChallan]])</f>
        <v>1</v>
      </c>
      <c r="O3445" t="b">
        <f>AND(TrafficData[[#This Row],[pendingAmount]]&lt;=TrafficData[[#This Row],[totalAmount]],TrafficData[[#This Row],[disposedAmount]]&lt;=TrafficData[[#This Row],[totalAmount]])</f>
        <v>1</v>
      </c>
      <c r="P3445" t="b">
        <f>AND(TrafficData[[#This Row],[pendingCourt]]&lt;=TrafficData[[#This Row],[totalCourt]],TrafficData[[#This Row],[disposedCourt]]&lt;=TrafficData[[#This Row],[totalCourt]])</f>
        <v>1</v>
      </c>
    </row>
    <row r="3446" spans="1:16">
      <c r="A3446" s="1">
        <v>45450</v>
      </c>
      <c r="B3446">
        <v>232412</v>
      </c>
      <c r="C3446">
        <v>78268</v>
      </c>
      <c r="D3446">
        <v>154144</v>
      </c>
      <c r="E3446">
        <v>233087352</v>
      </c>
      <c r="F3446">
        <v>126008401</v>
      </c>
      <c r="G3446">
        <v>359095753</v>
      </c>
      <c r="H3446">
        <v>76978</v>
      </c>
      <c r="I3446">
        <v>9397</v>
      </c>
      <c r="J3446">
        <v>86375</v>
      </c>
      <c r="K3446" t="b">
        <f>TrafficData[[#This Row],[disposedChallan]]+TrafficData[[#This Row],[pendingChallan]]=TrafficData[[#This Row],[totalChallan]]</f>
        <v>1</v>
      </c>
      <c r="L3446" t="b">
        <f>TrafficData[[#This Row],[pendingAmount]]+TrafficData[[#This Row],[disposedAmount]]=TrafficData[[#This Row],[totalAmount]]</f>
        <v>1</v>
      </c>
      <c r="M3446" t="b">
        <f>TrafficData[[#This Row],[pendingCourt]]+TrafficData[[#This Row],[disposedCourt]]=TrafficData[[#This Row],[totalCourt]]</f>
        <v>1</v>
      </c>
      <c r="N3446" t="b">
        <f>AND(TrafficData[[#This Row],[disposedChallan]]&lt;=TrafficData[[#This Row],[totalChallan]],TrafficData[[#This Row],[pendingChallan]]&lt;=TrafficData[[#This Row],[totalChallan]])</f>
        <v>1</v>
      </c>
      <c r="O3446" t="b">
        <f>AND(TrafficData[[#This Row],[pendingAmount]]&lt;=TrafficData[[#This Row],[totalAmount]],TrafficData[[#This Row],[disposedAmount]]&lt;=TrafficData[[#This Row],[totalAmount]])</f>
        <v>1</v>
      </c>
      <c r="P3446" t="b">
        <f>AND(TrafficData[[#This Row],[pendingCourt]]&lt;=TrafficData[[#This Row],[totalCourt]],TrafficData[[#This Row],[disposedCourt]]&lt;=TrafficData[[#This Row],[totalCourt]])</f>
        <v>1</v>
      </c>
    </row>
    <row r="3447" spans="1:16">
      <c r="A3447" s="1">
        <v>45451</v>
      </c>
      <c r="B3447">
        <v>223370</v>
      </c>
      <c r="C3447">
        <v>76521</v>
      </c>
      <c r="D3447">
        <v>146849</v>
      </c>
      <c r="E3447">
        <v>210169939</v>
      </c>
      <c r="F3447">
        <v>109940051</v>
      </c>
      <c r="G3447">
        <v>320109990</v>
      </c>
      <c r="H3447">
        <v>73197</v>
      </c>
      <c r="I3447">
        <v>9535</v>
      </c>
      <c r="J3447">
        <v>82732</v>
      </c>
      <c r="K3447" t="b">
        <f>TrafficData[[#This Row],[disposedChallan]]+TrafficData[[#This Row],[pendingChallan]]=TrafficData[[#This Row],[totalChallan]]</f>
        <v>1</v>
      </c>
      <c r="L3447" t="b">
        <f>TrafficData[[#This Row],[pendingAmount]]+TrafficData[[#This Row],[disposedAmount]]=TrafficData[[#This Row],[totalAmount]]</f>
        <v>1</v>
      </c>
      <c r="M3447" t="b">
        <f>TrafficData[[#This Row],[pendingCourt]]+TrafficData[[#This Row],[disposedCourt]]=TrafficData[[#This Row],[totalCourt]]</f>
        <v>1</v>
      </c>
      <c r="N3447" t="b">
        <f>AND(TrafficData[[#This Row],[disposedChallan]]&lt;=TrafficData[[#This Row],[totalChallan]],TrafficData[[#This Row],[pendingChallan]]&lt;=TrafficData[[#This Row],[totalChallan]])</f>
        <v>1</v>
      </c>
      <c r="O3447" t="b">
        <f>AND(TrafficData[[#This Row],[pendingAmount]]&lt;=TrafficData[[#This Row],[totalAmount]],TrafficData[[#This Row],[disposedAmount]]&lt;=TrafficData[[#This Row],[totalAmount]])</f>
        <v>1</v>
      </c>
      <c r="P3447" t="b">
        <f>AND(TrafficData[[#This Row],[pendingCourt]]&lt;=TrafficData[[#This Row],[totalCourt]],TrafficData[[#This Row],[disposedCourt]]&lt;=TrafficData[[#This Row],[totalCourt]])</f>
        <v>1</v>
      </c>
    </row>
    <row r="3448" spans="1:16">
      <c r="A3448" s="1">
        <v>45452</v>
      </c>
      <c r="B3448">
        <v>190880</v>
      </c>
      <c r="C3448">
        <v>64655</v>
      </c>
      <c r="D3448">
        <v>126225</v>
      </c>
      <c r="E3448">
        <v>168293786</v>
      </c>
      <c r="F3448">
        <v>84143358</v>
      </c>
      <c r="G3448">
        <v>252437144</v>
      </c>
      <c r="H3448">
        <v>58758</v>
      </c>
      <c r="I3448">
        <v>7370</v>
      </c>
      <c r="J3448">
        <v>66128</v>
      </c>
      <c r="K3448" t="b">
        <f>TrafficData[[#This Row],[disposedChallan]]+TrafficData[[#This Row],[pendingChallan]]=TrafficData[[#This Row],[totalChallan]]</f>
        <v>1</v>
      </c>
      <c r="L3448" t="b">
        <f>TrafficData[[#This Row],[pendingAmount]]+TrafficData[[#This Row],[disposedAmount]]=TrafficData[[#This Row],[totalAmount]]</f>
        <v>1</v>
      </c>
      <c r="M3448" t="b">
        <f>TrafficData[[#This Row],[pendingCourt]]+TrafficData[[#This Row],[disposedCourt]]=TrafficData[[#This Row],[totalCourt]]</f>
        <v>1</v>
      </c>
      <c r="N3448" t="b">
        <f>AND(TrafficData[[#This Row],[disposedChallan]]&lt;=TrafficData[[#This Row],[totalChallan]],TrafficData[[#This Row],[pendingChallan]]&lt;=TrafficData[[#This Row],[totalChallan]])</f>
        <v>1</v>
      </c>
      <c r="O3448" t="b">
        <f>AND(TrafficData[[#This Row],[pendingAmount]]&lt;=TrafficData[[#This Row],[totalAmount]],TrafficData[[#This Row],[disposedAmount]]&lt;=TrafficData[[#This Row],[totalAmount]])</f>
        <v>1</v>
      </c>
      <c r="P3448" t="b">
        <f>AND(TrafficData[[#This Row],[pendingCourt]]&lt;=TrafficData[[#This Row],[totalCourt]],TrafficData[[#This Row],[disposedCourt]]&lt;=TrafficData[[#This Row],[totalCourt]])</f>
        <v>1</v>
      </c>
    </row>
    <row r="3449" spans="1:16">
      <c r="A3449" s="1">
        <v>45453</v>
      </c>
      <c r="B3449">
        <v>220884</v>
      </c>
      <c r="C3449">
        <v>72459</v>
      </c>
      <c r="D3449">
        <v>148425</v>
      </c>
      <c r="E3449">
        <v>224604419</v>
      </c>
      <c r="F3449">
        <v>109432472</v>
      </c>
      <c r="G3449">
        <v>334036891</v>
      </c>
      <c r="H3449">
        <v>75451</v>
      </c>
      <c r="I3449">
        <v>9218</v>
      </c>
      <c r="J3449">
        <v>84669</v>
      </c>
      <c r="K3449" t="b">
        <f>TrafficData[[#This Row],[disposedChallan]]+TrafficData[[#This Row],[pendingChallan]]=TrafficData[[#This Row],[totalChallan]]</f>
        <v>1</v>
      </c>
      <c r="L3449" t="b">
        <f>TrafficData[[#This Row],[pendingAmount]]+TrafficData[[#This Row],[disposedAmount]]=TrafficData[[#This Row],[totalAmount]]</f>
        <v>1</v>
      </c>
      <c r="M3449" t="b">
        <f>TrafficData[[#This Row],[pendingCourt]]+TrafficData[[#This Row],[disposedCourt]]=TrafficData[[#This Row],[totalCourt]]</f>
        <v>1</v>
      </c>
      <c r="N3449" t="b">
        <f>AND(TrafficData[[#This Row],[disposedChallan]]&lt;=TrafficData[[#This Row],[totalChallan]],TrafficData[[#This Row],[pendingChallan]]&lt;=TrafficData[[#This Row],[totalChallan]])</f>
        <v>1</v>
      </c>
      <c r="O3449" t="b">
        <f>AND(TrafficData[[#This Row],[pendingAmount]]&lt;=TrafficData[[#This Row],[totalAmount]],TrafficData[[#This Row],[disposedAmount]]&lt;=TrafficData[[#This Row],[totalAmount]])</f>
        <v>1</v>
      </c>
      <c r="P3449" t="b">
        <f>AND(TrafficData[[#This Row],[pendingCourt]]&lt;=TrafficData[[#This Row],[totalCourt]],TrafficData[[#This Row],[disposedCourt]]&lt;=TrafficData[[#This Row],[totalCourt]])</f>
        <v>1</v>
      </c>
    </row>
    <row r="3450" spans="1:16">
      <c r="A3450" s="1">
        <v>45454</v>
      </c>
      <c r="B3450">
        <v>236392</v>
      </c>
      <c r="C3450">
        <v>75819</v>
      </c>
      <c r="D3450">
        <v>160573</v>
      </c>
      <c r="E3450">
        <v>252638105</v>
      </c>
      <c r="F3450">
        <v>126098511</v>
      </c>
      <c r="G3450">
        <v>378736616</v>
      </c>
      <c r="H3450">
        <v>85398</v>
      </c>
      <c r="I3450">
        <v>10219</v>
      </c>
      <c r="J3450">
        <v>95617</v>
      </c>
      <c r="K3450" t="b">
        <f>TrafficData[[#This Row],[disposedChallan]]+TrafficData[[#This Row],[pendingChallan]]=TrafficData[[#This Row],[totalChallan]]</f>
        <v>1</v>
      </c>
      <c r="L3450" t="b">
        <f>TrafficData[[#This Row],[pendingAmount]]+TrafficData[[#This Row],[disposedAmount]]=TrafficData[[#This Row],[totalAmount]]</f>
        <v>1</v>
      </c>
      <c r="M3450" t="b">
        <f>TrafficData[[#This Row],[pendingCourt]]+TrafficData[[#This Row],[disposedCourt]]=TrafficData[[#This Row],[totalCourt]]</f>
        <v>1</v>
      </c>
      <c r="N3450" t="b">
        <f>AND(TrafficData[[#This Row],[disposedChallan]]&lt;=TrafficData[[#This Row],[totalChallan]],TrafficData[[#This Row],[pendingChallan]]&lt;=TrafficData[[#This Row],[totalChallan]])</f>
        <v>1</v>
      </c>
      <c r="O3450" t="b">
        <f>AND(TrafficData[[#This Row],[pendingAmount]]&lt;=TrafficData[[#This Row],[totalAmount]],TrafficData[[#This Row],[disposedAmount]]&lt;=TrafficData[[#This Row],[totalAmount]])</f>
        <v>1</v>
      </c>
      <c r="P3450" t="b">
        <f>AND(TrafficData[[#This Row],[pendingCourt]]&lt;=TrafficData[[#This Row],[totalCourt]],TrafficData[[#This Row],[disposedCourt]]&lt;=TrafficData[[#This Row],[totalCourt]])</f>
        <v>1</v>
      </c>
    </row>
    <row r="3451" spans="1:16">
      <c r="A3451" s="1">
        <v>45455</v>
      </c>
      <c r="B3451">
        <v>233007</v>
      </c>
      <c r="C3451">
        <v>75161</v>
      </c>
      <c r="D3451">
        <v>157846</v>
      </c>
      <c r="E3451">
        <v>250841997</v>
      </c>
      <c r="F3451">
        <v>126960084</v>
      </c>
      <c r="G3451">
        <v>377802081</v>
      </c>
      <c r="H3451">
        <v>83749</v>
      </c>
      <c r="I3451">
        <v>10182</v>
      </c>
      <c r="J3451">
        <v>93931</v>
      </c>
      <c r="K3451" t="b">
        <f>TrafficData[[#This Row],[disposedChallan]]+TrafficData[[#This Row],[pendingChallan]]=TrafficData[[#This Row],[totalChallan]]</f>
        <v>1</v>
      </c>
      <c r="L3451" t="b">
        <f>TrafficData[[#This Row],[pendingAmount]]+TrafficData[[#This Row],[disposedAmount]]=TrafficData[[#This Row],[totalAmount]]</f>
        <v>1</v>
      </c>
      <c r="M3451" t="b">
        <f>TrafficData[[#This Row],[pendingCourt]]+TrafficData[[#This Row],[disposedCourt]]=TrafficData[[#This Row],[totalCourt]]</f>
        <v>1</v>
      </c>
      <c r="N3451" t="b">
        <f>AND(TrafficData[[#This Row],[disposedChallan]]&lt;=TrafficData[[#This Row],[totalChallan]],TrafficData[[#This Row],[pendingChallan]]&lt;=TrafficData[[#This Row],[totalChallan]])</f>
        <v>1</v>
      </c>
      <c r="O3451" t="b">
        <f>AND(TrafficData[[#This Row],[pendingAmount]]&lt;=TrafficData[[#This Row],[totalAmount]],TrafficData[[#This Row],[disposedAmount]]&lt;=TrafficData[[#This Row],[totalAmount]])</f>
        <v>1</v>
      </c>
      <c r="P3451" t="b">
        <f>AND(TrafficData[[#This Row],[pendingCourt]]&lt;=TrafficData[[#This Row],[totalCourt]],TrafficData[[#This Row],[disposedCourt]]&lt;=TrafficData[[#This Row],[totalCourt]])</f>
        <v>1</v>
      </c>
    </row>
    <row r="3452" spans="1:16">
      <c r="A3452" s="1">
        <v>45456</v>
      </c>
      <c r="B3452">
        <v>237233</v>
      </c>
      <c r="C3452">
        <v>75041</v>
      </c>
      <c r="D3452">
        <v>162192</v>
      </c>
      <c r="E3452">
        <v>255516920</v>
      </c>
      <c r="F3452">
        <v>127305048</v>
      </c>
      <c r="G3452">
        <v>382821968</v>
      </c>
      <c r="H3452">
        <v>83428</v>
      </c>
      <c r="I3452">
        <v>10111</v>
      </c>
      <c r="J3452">
        <v>93539</v>
      </c>
      <c r="K3452" t="b">
        <f>TrafficData[[#This Row],[disposedChallan]]+TrafficData[[#This Row],[pendingChallan]]=TrafficData[[#This Row],[totalChallan]]</f>
        <v>1</v>
      </c>
      <c r="L3452" t="b">
        <f>TrafficData[[#This Row],[pendingAmount]]+TrafficData[[#This Row],[disposedAmount]]=TrafficData[[#This Row],[totalAmount]]</f>
        <v>1</v>
      </c>
      <c r="M3452" t="b">
        <f>TrafficData[[#This Row],[pendingCourt]]+TrafficData[[#This Row],[disposedCourt]]=TrafficData[[#This Row],[totalCourt]]</f>
        <v>1</v>
      </c>
      <c r="N3452" t="b">
        <f>AND(TrafficData[[#This Row],[disposedChallan]]&lt;=TrafficData[[#This Row],[totalChallan]],TrafficData[[#This Row],[pendingChallan]]&lt;=TrafficData[[#This Row],[totalChallan]])</f>
        <v>1</v>
      </c>
      <c r="O3452" t="b">
        <f>AND(TrafficData[[#This Row],[pendingAmount]]&lt;=TrafficData[[#This Row],[totalAmount]],TrafficData[[#This Row],[disposedAmount]]&lt;=TrafficData[[#This Row],[totalAmount]])</f>
        <v>1</v>
      </c>
      <c r="P3452" t="b">
        <f>AND(TrafficData[[#This Row],[pendingCourt]]&lt;=TrafficData[[#This Row],[totalCourt]],TrafficData[[#This Row],[disposedCourt]]&lt;=TrafficData[[#This Row],[totalCourt]])</f>
        <v>1</v>
      </c>
    </row>
    <row r="3453" spans="1:16">
      <c r="A3453" s="1">
        <v>45457</v>
      </c>
      <c r="B3453">
        <v>237095</v>
      </c>
      <c r="C3453">
        <v>76282</v>
      </c>
      <c r="D3453">
        <v>160813</v>
      </c>
      <c r="E3453">
        <v>248744647</v>
      </c>
      <c r="F3453">
        <v>125186983</v>
      </c>
      <c r="G3453">
        <v>373931630</v>
      </c>
      <c r="H3453">
        <v>83400</v>
      </c>
      <c r="I3453">
        <v>9685</v>
      </c>
      <c r="J3453">
        <v>93085</v>
      </c>
      <c r="K3453" t="b">
        <f>TrafficData[[#This Row],[disposedChallan]]+TrafficData[[#This Row],[pendingChallan]]=TrafficData[[#This Row],[totalChallan]]</f>
        <v>1</v>
      </c>
      <c r="L3453" t="b">
        <f>TrafficData[[#This Row],[pendingAmount]]+TrafficData[[#This Row],[disposedAmount]]=TrafficData[[#This Row],[totalAmount]]</f>
        <v>1</v>
      </c>
      <c r="M3453" t="b">
        <f>TrafficData[[#This Row],[pendingCourt]]+TrafficData[[#This Row],[disposedCourt]]=TrafficData[[#This Row],[totalCourt]]</f>
        <v>1</v>
      </c>
      <c r="N3453" t="b">
        <f>AND(TrafficData[[#This Row],[disposedChallan]]&lt;=TrafficData[[#This Row],[totalChallan]],TrafficData[[#This Row],[pendingChallan]]&lt;=TrafficData[[#This Row],[totalChallan]])</f>
        <v>1</v>
      </c>
      <c r="O3453" t="b">
        <f>AND(TrafficData[[#This Row],[pendingAmount]]&lt;=TrafficData[[#This Row],[totalAmount]],TrafficData[[#This Row],[disposedAmount]]&lt;=TrafficData[[#This Row],[totalAmount]])</f>
        <v>1</v>
      </c>
      <c r="P3453" t="b">
        <f>AND(TrafficData[[#This Row],[pendingCourt]]&lt;=TrafficData[[#This Row],[totalCourt]],TrafficData[[#This Row],[disposedCourt]]&lt;=TrafficData[[#This Row],[totalCourt]])</f>
        <v>1</v>
      </c>
    </row>
    <row r="3454" spans="1:16">
      <c r="A3454" s="1">
        <v>45458</v>
      </c>
      <c r="B3454">
        <v>241666</v>
      </c>
      <c r="C3454">
        <v>78431</v>
      </c>
      <c r="D3454">
        <v>163235</v>
      </c>
      <c r="E3454">
        <v>235194796</v>
      </c>
      <c r="F3454">
        <v>111413959</v>
      </c>
      <c r="G3454">
        <v>346608755</v>
      </c>
      <c r="H3454">
        <v>81409</v>
      </c>
      <c r="I3454">
        <v>10107</v>
      </c>
      <c r="J3454">
        <v>91516</v>
      </c>
      <c r="K3454" t="b">
        <f>TrafficData[[#This Row],[disposedChallan]]+TrafficData[[#This Row],[pendingChallan]]=TrafficData[[#This Row],[totalChallan]]</f>
        <v>1</v>
      </c>
      <c r="L3454" t="b">
        <f>TrafficData[[#This Row],[pendingAmount]]+TrafficData[[#This Row],[disposedAmount]]=TrafficData[[#This Row],[totalAmount]]</f>
        <v>1</v>
      </c>
      <c r="M3454" t="b">
        <f>TrafficData[[#This Row],[pendingCourt]]+TrafficData[[#This Row],[disposedCourt]]=TrafficData[[#This Row],[totalCourt]]</f>
        <v>1</v>
      </c>
      <c r="N3454" t="b">
        <f>AND(TrafficData[[#This Row],[disposedChallan]]&lt;=TrafficData[[#This Row],[totalChallan]],TrafficData[[#This Row],[pendingChallan]]&lt;=TrafficData[[#This Row],[totalChallan]])</f>
        <v>1</v>
      </c>
      <c r="O3454" t="b">
        <f>AND(TrafficData[[#This Row],[pendingAmount]]&lt;=TrafficData[[#This Row],[totalAmount]],TrafficData[[#This Row],[disposedAmount]]&lt;=TrafficData[[#This Row],[totalAmount]])</f>
        <v>1</v>
      </c>
      <c r="P3454" t="b">
        <f>AND(TrafficData[[#This Row],[pendingCourt]]&lt;=TrafficData[[#This Row],[totalCourt]],TrafficData[[#This Row],[disposedCourt]]&lt;=TrafficData[[#This Row],[totalCourt]])</f>
        <v>1</v>
      </c>
    </row>
    <row r="3455" spans="1:16">
      <c r="A3455" s="1">
        <v>45459</v>
      </c>
      <c r="B3455">
        <v>209973</v>
      </c>
      <c r="C3455">
        <v>66440</v>
      </c>
      <c r="D3455">
        <v>143533</v>
      </c>
      <c r="E3455">
        <v>196999294</v>
      </c>
      <c r="F3455">
        <v>142035443</v>
      </c>
      <c r="G3455">
        <v>339034737</v>
      </c>
      <c r="H3455">
        <v>69260</v>
      </c>
      <c r="I3455">
        <v>8279</v>
      </c>
      <c r="J3455">
        <v>77539</v>
      </c>
      <c r="K3455" t="b">
        <f>TrafficData[[#This Row],[disposedChallan]]+TrafficData[[#This Row],[pendingChallan]]=TrafficData[[#This Row],[totalChallan]]</f>
        <v>1</v>
      </c>
      <c r="L3455" t="b">
        <f>TrafficData[[#This Row],[pendingAmount]]+TrafficData[[#This Row],[disposedAmount]]=TrafficData[[#This Row],[totalAmount]]</f>
        <v>1</v>
      </c>
      <c r="M3455" t="b">
        <f>TrafficData[[#This Row],[pendingCourt]]+TrafficData[[#This Row],[disposedCourt]]=TrafficData[[#This Row],[totalCourt]]</f>
        <v>1</v>
      </c>
      <c r="N3455" t="b">
        <f>AND(TrafficData[[#This Row],[disposedChallan]]&lt;=TrafficData[[#This Row],[totalChallan]],TrafficData[[#This Row],[pendingChallan]]&lt;=TrafficData[[#This Row],[totalChallan]])</f>
        <v>1</v>
      </c>
      <c r="O3455" t="b">
        <f>AND(TrafficData[[#This Row],[pendingAmount]]&lt;=TrafficData[[#This Row],[totalAmount]],TrafficData[[#This Row],[disposedAmount]]&lt;=TrafficData[[#This Row],[totalAmount]])</f>
        <v>1</v>
      </c>
      <c r="P3455" t="b">
        <f>AND(TrafficData[[#This Row],[pendingCourt]]&lt;=TrafficData[[#This Row],[totalCourt]],TrafficData[[#This Row],[disposedCourt]]&lt;=TrafficData[[#This Row],[totalCourt]])</f>
        <v>1</v>
      </c>
    </row>
    <row r="3456" spans="1:16">
      <c r="A3456" s="1">
        <v>45460</v>
      </c>
      <c r="B3456">
        <v>204682</v>
      </c>
      <c r="C3456">
        <v>61460</v>
      </c>
      <c r="D3456">
        <v>143222</v>
      </c>
      <c r="E3456">
        <v>202111725</v>
      </c>
      <c r="F3456">
        <v>75911426</v>
      </c>
      <c r="G3456">
        <v>278023151</v>
      </c>
      <c r="H3456">
        <v>53177</v>
      </c>
      <c r="I3456">
        <v>7640</v>
      </c>
      <c r="J3456">
        <v>60817</v>
      </c>
      <c r="K3456" t="b">
        <f>TrafficData[[#This Row],[disposedChallan]]+TrafficData[[#This Row],[pendingChallan]]=TrafficData[[#This Row],[totalChallan]]</f>
        <v>1</v>
      </c>
      <c r="L3456" t="b">
        <f>TrafficData[[#This Row],[pendingAmount]]+TrafficData[[#This Row],[disposedAmount]]=TrafficData[[#This Row],[totalAmount]]</f>
        <v>1</v>
      </c>
      <c r="M3456" t="b">
        <f>TrafficData[[#This Row],[pendingCourt]]+TrafficData[[#This Row],[disposedCourt]]=TrafficData[[#This Row],[totalCourt]]</f>
        <v>1</v>
      </c>
      <c r="N3456" t="b">
        <f>AND(TrafficData[[#This Row],[disposedChallan]]&lt;=TrafficData[[#This Row],[totalChallan]],TrafficData[[#This Row],[pendingChallan]]&lt;=TrafficData[[#This Row],[totalChallan]])</f>
        <v>1</v>
      </c>
      <c r="O3456" t="b">
        <f>AND(TrafficData[[#This Row],[pendingAmount]]&lt;=TrafficData[[#This Row],[totalAmount]],TrafficData[[#This Row],[disposedAmount]]&lt;=TrafficData[[#This Row],[totalAmount]])</f>
        <v>1</v>
      </c>
      <c r="P3456" t="b">
        <f>AND(TrafficData[[#This Row],[pendingCourt]]&lt;=TrafficData[[#This Row],[totalCourt]],TrafficData[[#This Row],[disposedCourt]]&lt;=TrafficData[[#This Row],[totalCourt]])</f>
        <v>1</v>
      </c>
    </row>
    <row r="3457" spans="1:16">
      <c r="A3457" s="1">
        <v>45461</v>
      </c>
      <c r="B3457">
        <v>223850</v>
      </c>
      <c r="C3457">
        <v>71429</v>
      </c>
      <c r="D3457">
        <v>152421</v>
      </c>
      <c r="E3457">
        <v>226705583</v>
      </c>
      <c r="F3457">
        <v>105661967</v>
      </c>
      <c r="G3457">
        <v>332367550</v>
      </c>
      <c r="H3457">
        <v>74898</v>
      </c>
      <c r="I3457">
        <v>8871</v>
      </c>
      <c r="J3457">
        <v>83769</v>
      </c>
      <c r="K3457" t="b">
        <f>TrafficData[[#This Row],[disposedChallan]]+TrafficData[[#This Row],[pendingChallan]]=TrafficData[[#This Row],[totalChallan]]</f>
        <v>1</v>
      </c>
      <c r="L3457" t="b">
        <f>TrafficData[[#This Row],[pendingAmount]]+TrafficData[[#This Row],[disposedAmount]]=TrafficData[[#This Row],[totalAmount]]</f>
        <v>1</v>
      </c>
      <c r="M3457" t="b">
        <f>TrafficData[[#This Row],[pendingCourt]]+TrafficData[[#This Row],[disposedCourt]]=TrafficData[[#This Row],[totalCourt]]</f>
        <v>1</v>
      </c>
      <c r="N3457" t="b">
        <f>AND(TrafficData[[#This Row],[disposedChallan]]&lt;=TrafficData[[#This Row],[totalChallan]],TrafficData[[#This Row],[pendingChallan]]&lt;=TrafficData[[#This Row],[totalChallan]])</f>
        <v>1</v>
      </c>
      <c r="O3457" t="b">
        <f>AND(TrafficData[[#This Row],[pendingAmount]]&lt;=TrafficData[[#This Row],[totalAmount]],TrafficData[[#This Row],[disposedAmount]]&lt;=TrafficData[[#This Row],[totalAmount]])</f>
        <v>1</v>
      </c>
      <c r="P3457" t="b">
        <f>AND(TrafficData[[#This Row],[pendingCourt]]&lt;=TrafficData[[#This Row],[totalCourt]],TrafficData[[#This Row],[disposedCourt]]&lt;=TrafficData[[#This Row],[totalCourt]])</f>
        <v>1</v>
      </c>
    </row>
    <row r="3458" spans="1:16">
      <c r="A3458" s="1">
        <v>45462</v>
      </c>
      <c r="B3458">
        <v>228091</v>
      </c>
      <c r="C3458">
        <v>73985</v>
      </c>
      <c r="D3458">
        <v>154106</v>
      </c>
      <c r="E3458">
        <v>240535402</v>
      </c>
      <c r="F3458">
        <v>121937766</v>
      </c>
      <c r="G3458">
        <v>362473168</v>
      </c>
      <c r="H3458">
        <v>80214</v>
      </c>
      <c r="I3458">
        <v>9572</v>
      </c>
      <c r="J3458">
        <v>89786</v>
      </c>
      <c r="K3458" t="b">
        <f>TrafficData[[#This Row],[disposedChallan]]+TrafficData[[#This Row],[pendingChallan]]=TrafficData[[#This Row],[totalChallan]]</f>
        <v>1</v>
      </c>
      <c r="L3458" t="b">
        <f>TrafficData[[#This Row],[pendingAmount]]+TrafficData[[#This Row],[disposedAmount]]=TrafficData[[#This Row],[totalAmount]]</f>
        <v>1</v>
      </c>
      <c r="M3458" t="b">
        <f>TrafficData[[#This Row],[pendingCourt]]+TrafficData[[#This Row],[disposedCourt]]=TrafficData[[#This Row],[totalCourt]]</f>
        <v>1</v>
      </c>
      <c r="N3458" t="b">
        <f>AND(TrafficData[[#This Row],[disposedChallan]]&lt;=TrafficData[[#This Row],[totalChallan]],TrafficData[[#This Row],[pendingChallan]]&lt;=TrafficData[[#This Row],[totalChallan]])</f>
        <v>1</v>
      </c>
      <c r="O3458" t="b">
        <f>AND(TrafficData[[#This Row],[pendingAmount]]&lt;=TrafficData[[#This Row],[totalAmount]],TrafficData[[#This Row],[disposedAmount]]&lt;=TrafficData[[#This Row],[totalAmount]])</f>
        <v>1</v>
      </c>
      <c r="P3458" t="b">
        <f>AND(TrafficData[[#This Row],[pendingCourt]]&lt;=TrafficData[[#This Row],[totalCourt]],TrafficData[[#This Row],[disposedCourt]]&lt;=TrafficData[[#This Row],[totalCourt]])</f>
        <v>1</v>
      </c>
    </row>
    <row r="3459" spans="1:16">
      <c r="A3459" s="1">
        <v>45463</v>
      </c>
      <c r="B3459">
        <v>230905</v>
      </c>
      <c r="C3459">
        <v>73778</v>
      </c>
      <c r="D3459">
        <v>157127</v>
      </c>
      <c r="E3459">
        <v>241306350</v>
      </c>
      <c r="F3459">
        <v>116205239</v>
      </c>
      <c r="G3459">
        <v>357511589</v>
      </c>
      <c r="H3459">
        <v>83845</v>
      </c>
      <c r="I3459">
        <v>9801</v>
      </c>
      <c r="J3459">
        <v>93646</v>
      </c>
      <c r="K3459" t="b">
        <f>TrafficData[[#This Row],[disposedChallan]]+TrafficData[[#This Row],[pendingChallan]]=TrafficData[[#This Row],[totalChallan]]</f>
        <v>1</v>
      </c>
      <c r="L3459" t="b">
        <f>TrafficData[[#This Row],[pendingAmount]]+TrafficData[[#This Row],[disposedAmount]]=TrafficData[[#This Row],[totalAmount]]</f>
        <v>1</v>
      </c>
      <c r="M3459" t="b">
        <f>TrafficData[[#This Row],[pendingCourt]]+TrafficData[[#This Row],[disposedCourt]]=TrafficData[[#This Row],[totalCourt]]</f>
        <v>1</v>
      </c>
      <c r="N3459" t="b">
        <f>AND(TrafficData[[#This Row],[disposedChallan]]&lt;=TrafficData[[#This Row],[totalChallan]],TrafficData[[#This Row],[pendingChallan]]&lt;=TrafficData[[#This Row],[totalChallan]])</f>
        <v>1</v>
      </c>
      <c r="O3459" t="b">
        <f>AND(TrafficData[[#This Row],[pendingAmount]]&lt;=TrafficData[[#This Row],[totalAmount]],TrafficData[[#This Row],[disposedAmount]]&lt;=TrafficData[[#This Row],[totalAmount]])</f>
        <v>1</v>
      </c>
      <c r="P3459" t="b">
        <f>AND(TrafficData[[#This Row],[pendingCourt]]&lt;=TrafficData[[#This Row],[totalCourt]],TrafficData[[#This Row],[disposedCourt]]&lt;=TrafficData[[#This Row],[totalCourt]])</f>
        <v>1</v>
      </c>
    </row>
    <row r="3460" spans="1:16">
      <c r="A3460" s="1">
        <v>45464</v>
      </c>
      <c r="B3460">
        <v>215160</v>
      </c>
      <c r="C3460">
        <v>68873</v>
      </c>
      <c r="D3460">
        <v>146287</v>
      </c>
      <c r="E3460">
        <v>222768037</v>
      </c>
      <c r="F3460">
        <v>116231168</v>
      </c>
      <c r="G3460">
        <v>338999205</v>
      </c>
      <c r="H3460">
        <v>76410</v>
      </c>
      <c r="I3460">
        <v>9060</v>
      </c>
      <c r="J3460">
        <v>85470</v>
      </c>
      <c r="K3460" t="b">
        <f>TrafficData[[#This Row],[disposedChallan]]+TrafficData[[#This Row],[pendingChallan]]=TrafficData[[#This Row],[totalChallan]]</f>
        <v>1</v>
      </c>
      <c r="L3460" t="b">
        <f>TrafficData[[#This Row],[pendingAmount]]+TrafficData[[#This Row],[disposedAmount]]=TrafficData[[#This Row],[totalAmount]]</f>
        <v>1</v>
      </c>
      <c r="M3460" t="b">
        <f>TrafficData[[#This Row],[pendingCourt]]+TrafficData[[#This Row],[disposedCourt]]=TrafficData[[#This Row],[totalCourt]]</f>
        <v>1</v>
      </c>
      <c r="N3460" t="b">
        <f>AND(TrafficData[[#This Row],[disposedChallan]]&lt;=TrafficData[[#This Row],[totalChallan]],TrafficData[[#This Row],[pendingChallan]]&lt;=TrafficData[[#This Row],[totalChallan]])</f>
        <v>1</v>
      </c>
      <c r="O3460" t="b">
        <f>AND(TrafficData[[#This Row],[pendingAmount]]&lt;=TrafficData[[#This Row],[totalAmount]],TrafficData[[#This Row],[disposedAmount]]&lt;=TrafficData[[#This Row],[totalAmount]])</f>
        <v>1</v>
      </c>
      <c r="P3460" t="b">
        <f>AND(TrafficData[[#This Row],[pendingCourt]]&lt;=TrafficData[[#This Row],[totalCourt]],TrafficData[[#This Row],[disposedCourt]]&lt;=TrafficData[[#This Row],[totalCourt]])</f>
        <v>1</v>
      </c>
    </row>
    <row r="3461" spans="1:16">
      <c r="A3461" s="1">
        <v>45465</v>
      </c>
      <c r="B3461">
        <v>232213</v>
      </c>
      <c r="C3461">
        <v>74707</v>
      </c>
      <c r="D3461">
        <v>157506</v>
      </c>
      <c r="E3461">
        <v>232384063</v>
      </c>
      <c r="F3461">
        <v>110412644</v>
      </c>
      <c r="G3461">
        <v>342796707</v>
      </c>
      <c r="H3461">
        <v>85299</v>
      </c>
      <c r="I3461">
        <v>10210</v>
      </c>
      <c r="J3461">
        <v>95509</v>
      </c>
      <c r="K3461" t="b">
        <f>TrafficData[[#This Row],[disposedChallan]]+TrafficData[[#This Row],[pendingChallan]]=TrafficData[[#This Row],[totalChallan]]</f>
        <v>1</v>
      </c>
      <c r="L3461" t="b">
        <f>TrafficData[[#This Row],[pendingAmount]]+TrafficData[[#This Row],[disposedAmount]]=TrafficData[[#This Row],[totalAmount]]</f>
        <v>1</v>
      </c>
      <c r="M3461" t="b">
        <f>TrafficData[[#This Row],[pendingCourt]]+TrafficData[[#This Row],[disposedCourt]]=TrafficData[[#This Row],[totalCourt]]</f>
        <v>1</v>
      </c>
      <c r="N3461" t="b">
        <f>AND(TrafficData[[#This Row],[disposedChallan]]&lt;=TrafficData[[#This Row],[totalChallan]],TrafficData[[#This Row],[pendingChallan]]&lt;=TrafficData[[#This Row],[totalChallan]])</f>
        <v>1</v>
      </c>
      <c r="O3461" t="b">
        <f>AND(TrafficData[[#This Row],[pendingAmount]]&lt;=TrafficData[[#This Row],[totalAmount]],TrafficData[[#This Row],[disposedAmount]]&lt;=TrafficData[[#This Row],[totalAmount]])</f>
        <v>1</v>
      </c>
      <c r="P3461" t="b">
        <f>AND(TrafficData[[#This Row],[pendingCourt]]&lt;=TrafficData[[#This Row],[totalCourt]],TrafficData[[#This Row],[disposedCourt]]&lt;=TrafficData[[#This Row],[totalCourt]])</f>
        <v>1</v>
      </c>
    </row>
    <row r="3462" spans="1:16">
      <c r="A3462" s="1">
        <v>45466</v>
      </c>
      <c r="B3462">
        <v>215403</v>
      </c>
      <c r="C3462">
        <v>67287</v>
      </c>
      <c r="D3462">
        <v>148116</v>
      </c>
      <c r="E3462">
        <v>206267836</v>
      </c>
      <c r="F3462">
        <v>83295137</v>
      </c>
      <c r="G3462">
        <v>289562973</v>
      </c>
      <c r="H3462">
        <v>78416</v>
      </c>
      <c r="I3462">
        <v>9241</v>
      </c>
      <c r="J3462">
        <v>87657</v>
      </c>
      <c r="K3462" t="b">
        <f>TrafficData[[#This Row],[disposedChallan]]+TrafficData[[#This Row],[pendingChallan]]=TrafficData[[#This Row],[totalChallan]]</f>
        <v>1</v>
      </c>
      <c r="L3462" t="b">
        <f>TrafficData[[#This Row],[pendingAmount]]+TrafficData[[#This Row],[disposedAmount]]=TrafficData[[#This Row],[totalAmount]]</f>
        <v>1</v>
      </c>
      <c r="M3462" t="b">
        <f>TrafficData[[#This Row],[pendingCourt]]+TrafficData[[#This Row],[disposedCourt]]=TrafficData[[#This Row],[totalCourt]]</f>
        <v>1</v>
      </c>
      <c r="N3462" t="b">
        <f>AND(TrafficData[[#This Row],[disposedChallan]]&lt;=TrafficData[[#This Row],[totalChallan]],TrafficData[[#This Row],[pendingChallan]]&lt;=TrafficData[[#This Row],[totalChallan]])</f>
        <v>1</v>
      </c>
      <c r="O3462" t="b">
        <f>AND(TrafficData[[#This Row],[pendingAmount]]&lt;=TrafficData[[#This Row],[totalAmount]],TrafficData[[#This Row],[disposedAmount]]&lt;=TrafficData[[#This Row],[totalAmount]])</f>
        <v>1</v>
      </c>
      <c r="P3462" t="b">
        <f>AND(TrafficData[[#This Row],[pendingCourt]]&lt;=TrafficData[[#This Row],[totalCourt]],TrafficData[[#This Row],[disposedCourt]]&lt;=TrafficData[[#This Row],[totalCourt]])</f>
        <v>1</v>
      </c>
    </row>
    <row r="3463" spans="1:16">
      <c r="A3463" s="1">
        <v>45467</v>
      </c>
      <c r="B3463">
        <v>231327</v>
      </c>
      <c r="C3463">
        <v>71823</v>
      </c>
      <c r="D3463">
        <v>159504</v>
      </c>
      <c r="E3463">
        <v>234213594</v>
      </c>
      <c r="F3463">
        <v>106532082</v>
      </c>
      <c r="G3463">
        <v>340745676</v>
      </c>
      <c r="H3463">
        <v>85439</v>
      </c>
      <c r="I3463">
        <v>10181</v>
      </c>
      <c r="J3463">
        <v>95620</v>
      </c>
      <c r="K3463" t="b">
        <f>TrafficData[[#This Row],[disposedChallan]]+TrafficData[[#This Row],[pendingChallan]]=TrafficData[[#This Row],[totalChallan]]</f>
        <v>1</v>
      </c>
      <c r="L3463" t="b">
        <f>TrafficData[[#This Row],[pendingAmount]]+TrafficData[[#This Row],[disposedAmount]]=TrafficData[[#This Row],[totalAmount]]</f>
        <v>1</v>
      </c>
      <c r="M3463" t="b">
        <f>TrafficData[[#This Row],[pendingCourt]]+TrafficData[[#This Row],[disposedCourt]]=TrafficData[[#This Row],[totalCourt]]</f>
        <v>1</v>
      </c>
      <c r="N3463" t="b">
        <f>AND(TrafficData[[#This Row],[disposedChallan]]&lt;=TrafficData[[#This Row],[totalChallan]],TrafficData[[#This Row],[pendingChallan]]&lt;=TrafficData[[#This Row],[totalChallan]])</f>
        <v>1</v>
      </c>
      <c r="O3463" t="b">
        <f>AND(TrafficData[[#This Row],[pendingAmount]]&lt;=TrafficData[[#This Row],[totalAmount]],TrafficData[[#This Row],[disposedAmount]]&lt;=TrafficData[[#This Row],[totalAmount]])</f>
        <v>1</v>
      </c>
      <c r="P3463" t="b">
        <f>AND(TrafficData[[#This Row],[pendingCourt]]&lt;=TrafficData[[#This Row],[totalCourt]],TrafficData[[#This Row],[disposedCourt]]&lt;=TrafficData[[#This Row],[totalCourt]])</f>
        <v>1</v>
      </c>
    </row>
    <row r="3464" spans="1:16">
      <c r="A3464" s="1">
        <v>45468</v>
      </c>
      <c r="B3464">
        <v>231698</v>
      </c>
      <c r="C3464">
        <v>70733</v>
      </c>
      <c r="D3464">
        <v>160965</v>
      </c>
      <c r="E3464">
        <v>245034402</v>
      </c>
      <c r="F3464">
        <v>112715944</v>
      </c>
      <c r="G3464">
        <v>357750346</v>
      </c>
      <c r="H3464">
        <v>88388</v>
      </c>
      <c r="I3464">
        <v>10213</v>
      </c>
      <c r="J3464">
        <v>98601</v>
      </c>
      <c r="K3464" t="b">
        <f>TrafficData[[#This Row],[disposedChallan]]+TrafficData[[#This Row],[pendingChallan]]=TrafficData[[#This Row],[totalChallan]]</f>
        <v>1</v>
      </c>
      <c r="L3464" t="b">
        <f>TrafficData[[#This Row],[pendingAmount]]+TrafficData[[#This Row],[disposedAmount]]=TrafficData[[#This Row],[totalAmount]]</f>
        <v>1</v>
      </c>
      <c r="M3464" t="b">
        <f>TrafficData[[#This Row],[pendingCourt]]+TrafficData[[#This Row],[disposedCourt]]=TrafficData[[#This Row],[totalCourt]]</f>
        <v>1</v>
      </c>
      <c r="N3464" t="b">
        <f>AND(TrafficData[[#This Row],[disposedChallan]]&lt;=TrafficData[[#This Row],[totalChallan]],TrafficData[[#This Row],[pendingChallan]]&lt;=TrafficData[[#This Row],[totalChallan]])</f>
        <v>1</v>
      </c>
      <c r="O3464" t="b">
        <f>AND(TrafficData[[#This Row],[pendingAmount]]&lt;=TrafficData[[#This Row],[totalAmount]],TrafficData[[#This Row],[disposedAmount]]&lt;=TrafficData[[#This Row],[totalAmount]])</f>
        <v>1</v>
      </c>
      <c r="P3464" t="b">
        <f>AND(TrafficData[[#This Row],[pendingCourt]]&lt;=TrafficData[[#This Row],[totalCourt]],TrafficData[[#This Row],[disposedCourt]]&lt;=TrafficData[[#This Row],[totalCourt]])</f>
        <v>1</v>
      </c>
    </row>
    <row r="3465" spans="1:16">
      <c r="A3465" s="1">
        <v>45469</v>
      </c>
      <c r="B3465">
        <v>215474</v>
      </c>
      <c r="C3465">
        <v>68607</v>
      </c>
      <c r="D3465">
        <v>146867</v>
      </c>
      <c r="E3465">
        <v>224095202</v>
      </c>
      <c r="F3465">
        <v>110615419</v>
      </c>
      <c r="G3465">
        <v>334710621</v>
      </c>
      <c r="H3465">
        <v>74872</v>
      </c>
      <c r="I3465">
        <v>9060</v>
      </c>
      <c r="J3465">
        <v>83932</v>
      </c>
      <c r="K3465" t="b">
        <f>TrafficData[[#This Row],[disposedChallan]]+TrafficData[[#This Row],[pendingChallan]]=TrafficData[[#This Row],[totalChallan]]</f>
        <v>1</v>
      </c>
      <c r="L3465" t="b">
        <f>TrafficData[[#This Row],[pendingAmount]]+TrafficData[[#This Row],[disposedAmount]]=TrafficData[[#This Row],[totalAmount]]</f>
        <v>1</v>
      </c>
      <c r="M3465" t="b">
        <f>TrafficData[[#This Row],[pendingCourt]]+TrafficData[[#This Row],[disposedCourt]]=TrafficData[[#This Row],[totalCourt]]</f>
        <v>1</v>
      </c>
      <c r="N3465" t="b">
        <f>AND(TrafficData[[#This Row],[disposedChallan]]&lt;=TrafficData[[#This Row],[totalChallan]],TrafficData[[#This Row],[pendingChallan]]&lt;=TrafficData[[#This Row],[totalChallan]])</f>
        <v>1</v>
      </c>
      <c r="O3465" t="b">
        <f>AND(TrafficData[[#This Row],[pendingAmount]]&lt;=TrafficData[[#This Row],[totalAmount]],TrafficData[[#This Row],[disposedAmount]]&lt;=TrafficData[[#This Row],[totalAmount]])</f>
        <v>1</v>
      </c>
      <c r="P3465" t="b">
        <f>AND(TrafficData[[#This Row],[pendingCourt]]&lt;=TrafficData[[#This Row],[totalCourt]],TrafficData[[#This Row],[disposedCourt]]&lt;=TrafficData[[#This Row],[totalCourt]])</f>
        <v>1</v>
      </c>
    </row>
    <row r="3466" spans="1:16">
      <c r="A3466" s="1">
        <v>45470</v>
      </c>
      <c r="B3466">
        <v>224925</v>
      </c>
      <c r="C3466">
        <v>70335</v>
      </c>
      <c r="D3466">
        <v>154590</v>
      </c>
      <c r="E3466">
        <v>226170213</v>
      </c>
      <c r="F3466">
        <v>107518287</v>
      </c>
      <c r="G3466">
        <v>333688500</v>
      </c>
      <c r="H3466">
        <v>77889</v>
      </c>
      <c r="I3466">
        <v>9382</v>
      </c>
      <c r="J3466">
        <v>87271</v>
      </c>
      <c r="K3466" t="b">
        <f>TrafficData[[#This Row],[disposedChallan]]+TrafficData[[#This Row],[pendingChallan]]=TrafficData[[#This Row],[totalChallan]]</f>
        <v>1</v>
      </c>
      <c r="L3466" t="b">
        <f>TrafficData[[#This Row],[pendingAmount]]+TrafficData[[#This Row],[disposedAmount]]=TrafficData[[#This Row],[totalAmount]]</f>
        <v>1</v>
      </c>
      <c r="M3466" t="b">
        <f>TrafficData[[#This Row],[pendingCourt]]+TrafficData[[#This Row],[disposedCourt]]=TrafficData[[#This Row],[totalCourt]]</f>
        <v>1</v>
      </c>
      <c r="N3466" t="b">
        <f>AND(TrafficData[[#This Row],[disposedChallan]]&lt;=TrafficData[[#This Row],[totalChallan]],TrafficData[[#This Row],[pendingChallan]]&lt;=TrafficData[[#This Row],[totalChallan]])</f>
        <v>1</v>
      </c>
      <c r="O3466" t="b">
        <f>AND(TrafficData[[#This Row],[pendingAmount]]&lt;=TrafficData[[#This Row],[totalAmount]],TrafficData[[#This Row],[disposedAmount]]&lt;=TrafficData[[#This Row],[totalAmount]])</f>
        <v>1</v>
      </c>
      <c r="P3466" t="b">
        <f>AND(TrafficData[[#This Row],[pendingCourt]]&lt;=TrafficData[[#This Row],[totalCourt]],TrafficData[[#This Row],[disposedCourt]]&lt;=TrafficData[[#This Row],[totalCourt]])</f>
        <v>1</v>
      </c>
    </row>
    <row r="3467" spans="1:16">
      <c r="A3467" s="1">
        <v>45471</v>
      </c>
      <c r="B3467">
        <v>213887</v>
      </c>
      <c r="C3467">
        <v>68143</v>
      </c>
      <c r="D3467">
        <v>145744</v>
      </c>
      <c r="E3467">
        <v>202169222</v>
      </c>
      <c r="F3467">
        <v>94801793</v>
      </c>
      <c r="G3467">
        <v>296971015</v>
      </c>
      <c r="H3467">
        <v>68301</v>
      </c>
      <c r="I3467">
        <v>8228</v>
      </c>
      <c r="J3467">
        <v>76529</v>
      </c>
      <c r="K3467" t="b">
        <f>TrafficData[[#This Row],[disposedChallan]]+TrafficData[[#This Row],[pendingChallan]]=TrafficData[[#This Row],[totalChallan]]</f>
        <v>1</v>
      </c>
      <c r="L3467" t="b">
        <f>TrafficData[[#This Row],[pendingAmount]]+TrafficData[[#This Row],[disposedAmount]]=TrafficData[[#This Row],[totalAmount]]</f>
        <v>1</v>
      </c>
      <c r="M3467" t="b">
        <f>TrafficData[[#This Row],[pendingCourt]]+TrafficData[[#This Row],[disposedCourt]]=TrafficData[[#This Row],[totalCourt]]</f>
        <v>1</v>
      </c>
      <c r="N3467" t="b">
        <f>AND(TrafficData[[#This Row],[disposedChallan]]&lt;=TrafficData[[#This Row],[totalChallan]],TrafficData[[#This Row],[pendingChallan]]&lt;=TrafficData[[#This Row],[totalChallan]])</f>
        <v>1</v>
      </c>
      <c r="O3467" t="b">
        <f>AND(TrafficData[[#This Row],[pendingAmount]]&lt;=TrafficData[[#This Row],[totalAmount]],TrafficData[[#This Row],[disposedAmount]]&lt;=TrafficData[[#This Row],[totalAmount]])</f>
        <v>1</v>
      </c>
      <c r="P3467" t="b">
        <f>AND(TrafficData[[#This Row],[pendingCourt]]&lt;=TrafficData[[#This Row],[totalCourt]],TrafficData[[#This Row],[disposedCourt]]&lt;=TrafficData[[#This Row],[totalCourt]])</f>
        <v>1</v>
      </c>
    </row>
    <row r="3468" spans="1:16">
      <c r="A3468" s="1">
        <v>45472</v>
      </c>
      <c r="B3468">
        <v>226458</v>
      </c>
      <c r="C3468">
        <v>71419</v>
      </c>
      <c r="D3468">
        <v>155039</v>
      </c>
      <c r="E3468">
        <v>216502789</v>
      </c>
      <c r="F3468">
        <v>91513034</v>
      </c>
      <c r="G3468">
        <v>308015823</v>
      </c>
      <c r="H3468">
        <v>79334</v>
      </c>
      <c r="I3468">
        <v>9342</v>
      </c>
      <c r="J3468">
        <v>88676</v>
      </c>
      <c r="K3468" t="b">
        <f>TrafficData[[#This Row],[disposedChallan]]+TrafficData[[#This Row],[pendingChallan]]=TrafficData[[#This Row],[totalChallan]]</f>
        <v>1</v>
      </c>
      <c r="L3468" t="b">
        <f>TrafficData[[#This Row],[pendingAmount]]+TrafficData[[#This Row],[disposedAmount]]=TrafficData[[#This Row],[totalAmount]]</f>
        <v>1</v>
      </c>
      <c r="M3468" t="b">
        <f>TrafficData[[#This Row],[pendingCourt]]+TrafficData[[#This Row],[disposedCourt]]=TrafficData[[#This Row],[totalCourt]]</f>
        <v>1</v>
      </c>
      <c r="N3468" t="b">
        <f>AND(TrafficData[[#This Row],[disposedChallan]]&lt;=TrafficData[[#This Row],[totalChallan]],TrafficData[[#This Row],[pendingChallan]]&lt;=TrafficData[[#This Row],[totalChallan]])</f>
        <v>1</v>
      </c>
      <c r="O3468" t="b">
        <f>AND(TrafficData[[#This Row],[pendingAmount]]&lt;=TrafficData[[#This Row],[totalAmount]],TrafficData[[#This Row],[disposedAmount]]&lt;=TrafficData[[#This Row],[totalAmount]])</f>
        <v>1</v>
      </c>
      <c r="P3468" t="b">
        <f>AND(TrafficData[[#This Row],[pendingCourt]]&lt;=TrafficData[[#This Row],[totalCourt]],TrafficData[[#This Row],[disposedCourt]]&lt;=TrafficData[[#This Row],[totalCourt]])</f>
        <v>1</v>
      </c>
    </row>
    <row r="3469" spans="1:16">
      <c r="A3469" s="1">
        <v>45473</v>
      </c>
      <c r="B3469">
        <v>205914</v>
      </c>
      <c r="C3469">
        <v>61889</v>
      </c>
      <c r="D3469">
        <v>144025</v>
      </c>
      <c r="E3469">
        <v>186587715</v>
      </c>
      <c r="F3469">
        <v>70057735</v>
      </c>
      <c r="G3469">
        <v>256645450</v>
      </c>
      <c r="H3469">
        <v>72746</v>
      </c>
      <c r="I3469">
        <v>8325</v>
      </c>
      <c r="J3469">
        <v>81071</v>
      </c>
      <c r="K3469" t="b">
        <f>TrafficData[[#This Row],[disposedChallan]]+TrafficData[[#This Row],[pendingChallan]]=TrafficData[[#This Row],[totalChallan]]</f>
        <v>1</v>
      </c>
      <c r="L3469" t="b">
        <f>TrafficData[[#This Row],[pendingAmount]]+TrafficData[[#This Row],[disposedAmount]]=TrafficData[[#This Row],[totalAmount]]</f>
        <v>1</v>
      </c>
      <c r="M3469" t="b">
        <f>TrafficData[[#This Row],[pendingCourt]]+TrafficData[[#This Row],[disposedCourt]]=TrafficData[[#This Row],[totalCourt]]</f>
        <v>1</v>
      </c>
      <c r="N3469" t="b">
        <f>AND(TrafficData[[#This Row],[disposedChallan]]&lt;=TrafficData[[#This Row],[totalChallan]],TrafficData[[#This Row],[pendingChallan]]&lt;=TrafficData[[#This Row],[totalChallan]])</f>
        <v>1</v>
      </c>
      <c r="O3469" t="b">
        <f>AND(TrafficData[[#This Row],[pendingAmount]]&lt;=TrafficData[[#This Row],[totalAmount]],TrafficData[[#This Row],[disposedAmount]]&lt;=TrafficData[[#This Row],[totalAmount]])</f>
        <v>1</v>
      </c>
      <c r="P3469" t="b">
        <f>AND(TrafficData[[#This Row],[pendingCourt]]&lt;=TrafficData[[#This Row],[totalCourt]],TrafficData[[#This Row],[disposedCourt]]&lt;=TrafficData[[#This Row],[totalCourt]])</f>
        <v>1</v>
      </c>
    </row>
    <row r="3470" spans="1:16">
      <c r="A3470" s="1">
        <v>45474</v>
      </c>
      <c r="B3470">
        <v>228507</v>
      </c>
      <c r="C3470">
        <v>71759</v>
      </c>
      <c r="D3470">
        <v>156748</v>
      </c>
      <c r="E3470">
        <v>209386805</v>
      </c>
      <c r="F3470">
        <v>98788095</v>
      </c>
      <c r="G3470">
        <v>308174900</v>
      </c>
      <c r="H3470">
        <v>81707</v>
      </c>
      <c r="I3470">
        <v>9245</v>
      </c>
      <c r="J3470">
        <v>90952</v>
      </c>
      <c r="K3470" t="b">
        <f>TrafficData[[#This Row],[disposedChallan]]+TrafficData[[#This Row],[pendingChallan]]=TrafficData[[#This Row],[totalChallan]]</f>
        <v>1</v>
      </c>
      <c r="L3470" t="b">
        <f>TrafficData[[#This Row],[pendingAmount]]+TrafficData[[#This Row],[disposedAmount]]=TrafficData[[#This Row],[totalAmount]]</f>
        <v>1</v>
      </c>
      <c r="M3470" t="b">
        <f>TrafficData[[#This Row],[pendingCourt]]+TrafficData[[#This Row],[disposedCourt]]=TrafficData[[#This Row],[totalCourt]]</f>
        <v>1</v>
      </c>
      <c r="N3470" t="b">
        <f>AND(TrafficData[[#This Row],[disposedChallan]]&lt;=TrafficData[[#This Row],[totalChallan]],TrafficData[[#This Row],[pendingChallan]]&lt;=TrafficData[[#This Row],[totalChallan]])</f>
        <v>1</v>
      </c>
      <c r="O3470" t="b">
        <f>AND(TrafficData[[#This Row],[pendingAmount]]&lt;=TrafficData[[#This Row],[totalAmount]],TrafficData[[#This Row],[disposedAmount]]&lt;=TrafficData[[#This Row],[totalAmount]])</f>
        <v>1</v>
      </c>
      <c r="P3470" t="b">
        <f>AND(TrafficData[[#This Row],[pendingCourt]]&lt;=TrafficData[[#This Row],[totalCourt]],TrafficData[[#This Row],[disposedCourt]]&lt;=TrafficData[[#This Row],[totalCourt]])</f>
        <v>1</v>
      </c>
    </row>
    <row r="3471" spans="1:16">
      <c r="A3471" s="1">
        <v>45475</v>
      </c>
      <c r="B3471">
        <v>228468</v>
      </c>
      <c r="C3471">
        <v>75488</v>
      </c>
      <c r="D3471">
        <v>152980</v>
      </c>
      <c r="E3471">
        <v>220221020</v>
      </c>
      <c r="F3471">
        <v>115445766</v>
      </c>
      <c r="G3471">
        <v>335666786</v>
      </c>
      <c r="H3471">
        <v>78137</v>
      </c>
      <c r="I3471">
        <v>9113</v>
      </c>
      <c r="J3471">
        <v>87250</v>
      </c>
      <c r="K3471" t="b">
        <f>TrafficData[[#This Row],[disposedChallan]]+TrafficData[[#This Row],[pendingChallan]]=TrafficData[[#This Row],[totalChallan]]</f>
        <v>1</v>
      </c>
      <c r="L3471" t="b">
        <f>TrafficData[[#This Row],[pendingAmount]]+TrafficData[[#This Row],[disposedAmount]]=TrafficData[[#This Row],[totalAmount]]</f>
        <v>1</v>
      </c>
      <c r="M3471" t="b">
        <f>TrafficData[[#This Row],[pendingCourt]]+TrafficData[[#This Row],[disposedCourt]]=TrafficData[[#This Row],[totalCourt]]</f>
        <v>1</v>
      </c>
      <c r="N3471" t="b">
        <f>AND(TrafficData[[#This Row],[disposedChallan]]&lt;=TrafficData[[#This Row],[totalChallan]],TrafficData[[#This Row],[pendingChallan]]&lt;=TrafficData[[#This Row],[totalChallan]])</f>
        <v>1</v>
      </c>
      <c r="O3471" t="b">
        <f>AND(TrafficData[[#This Row],[pendingAmount]]&lt;=TrafficData[[#This Row],[totalAmount]],TrafficData[[#This Row],[disposedAmount]]&lt;=TrafficData[[#This Row],[totalAmount]])</f>
        <v>1</v>
      </c>
      <c r="P3471" t="b">
        <f>AND(TrafficData[[#This Row],[pendingCourt]]&lt;=TrafficData[[#This Row],[totalCourt]],TrafficData[[#This Row],[disposedCourt]]&lt;=TrafficData[[#This Row],[totalCourt]])</f>
        <v>1</v>
      </c>
    </row>
    <row r="3472" spans="1:16">
      <c r="A3472" s="1">
        <v>45476</v>
      </c>
      <c r="B3472">
        <v>230802</v>
      </c>
      <c r="C3472">
        <v>75902</v>
      </c>
      <c r="D3472">
        <v>154900</v>
      </c>
      <c r="E3472">
        <v>219109235</v>
      </c>
      <c r="F3472">
        <v>119579380</v>
      </c>
      <c r="G3472">
        <v>338688615</v>
      </c>
      <c r="H3472">
        <v>80350</v>
      </c>
      <c r="I3472">
        <v>9481</v>
      </c>
      <c r="J3472">
        <v>89831</v>
      </c>
      <c r="K3472" t="b">
        <f>TrafficData[[#This Row],[disposedChallan]]+TrafficData[[#This Row],[pendingChallan]]=TrafficData[[#This Row],[totalChallan]]</f>
        <v>1</v>
      </c>
      <c r="L3472" t="b">
        <f>TrafficData[[#This Row],[pendingAmount]]+TrafficData[[#This Row],[disposedAmount]]=TrafficData[[#This Row],[totalAmount]]</f>
        <v>1</v>
      </c>
      <c r="M3472" t="b">
        <f>TrafficData[[#This Row],[pendingCourt]]+TrafficData[[#This Row],[disposedCourt]]=TrafficData[[#This Row],[totalCourt]]</f>
        <v>1</v>
      </c>
      <c r="N3472" t="b">
        <f>AND(TrafficData[[#This Row],[disposedChallan]]&lt;=TrafficData[[#This Row],[totalChallan]],TrafficData[[#This Row],[pendingChallan]]&lt;=TrafficData[[#This Row],[totalChallan]])</f>
        <v>1</v>
      </c>
      <c r="O3472" t="b">
        <f>AND(TrafficData[[#This Row],[pendingAmount]]&lt;=TrafficData[[#This Row],[totalAmount]],TrafficData[[#This Row],[disposedAmount]]&lt;=TrafficData[[#This Row],[totalAmount]])</f>
        <v>1</v>
      </c>
      <c r="P3472" t="b">
        <f>AND(TrafficData[[#This Row],[pendingCourt]]&lt;=TrafficData[[#This Row],[totalCourt]],TrafficData[[#This Row],[disposedCourt]]&lt;=TrafficData[[#This Row],[totalCourt]])</f>
        <v>1</v>
      </c>
    </row>
    <row r="3473" spans="1:16">
      <c r="A3473" s="1">
        <v>45477</v>
      </c>
      <c r="B3473">
        <v>238333</v>
      </c>
      <c r="C3473">
        <v>75558</v>
      </c>
      <c r="D3473">
        <v>162775</v>
      </c>
      <c r="E3473">
        <v>241583570</v>
      </c>
      <c r="F3473">
        <v>118575690</v>
      </c>
      <c r="G3473">
        <v>360159260</v>
      </c>
      <c r="H3473">
        <v>82331</v>
      </c>
      <c r="I3473">
        <v>9423</v>
      </c>
      <c r="J3473">
        <v>91754</v>
      </c>
      <c r="K3473" t="b">
        <f>TrafficData[[#This Row],[disposedChallan]]+TrafficData[[#This Row],[pendingChallan]]=TrafficData[[#This Row],[totalChallan]]</f>
        <v>1</v>
      </c>
      <c r="L3473" t="b">
        <f>TrafficData[[#This Row],[pendingAmount]]+TrafficData[[#This Row],[disposedAmount]]=TrafficData[[#This Row],[totalAmount]]</f>
        <v>1</v>
      </c>
      <c r="M3473" t="b">
        <f>TrafficData[[#This Row],[pendingCourt]]+TrafficData[[#This Row],[disposedCourt]]=TrafficData[[#This Row],[totalCourt]]</f>
        <v>1</v>
      </c>
      <c r="N3473" t="b">
        <f>AND(TrafficData[[#This Row],[disposedChallan]]&lt;=TrafficData[[#This Row],[totalChallan]],TrafficData[[#This Row],[pendingChallan]]&lt;=TrafficData[[#This Row],[totalChallan]])</f>
        <v>1</v>
      </c>
      <c r="O3473" t="b">
        <f>AND(TrafficData[[#This Row],[pendingAmount]]&lt;=TrafficData[[#This Row],[totalAmount]],TrafficData[[#This Row],[disposedAmount]]&lt;=TrafficData[[#This Row],[totalAmount]])</f>
        <v>1</v>
      </c>
      <c r="P3473" t="b">
        <f>AND(TrafficData[[#This Row],[pendingCourt]]&lt;=TrafficData[[#This Row],[totalCourt]],TrafficData[[#This Row],[disposedCourt]]&lt;=TrafficData[[#This Row],[totalCourt]])</f>
        <v>1</v>
      </c>
    </row>
    <row r="3474" spans="1:16">
      <c r="A3474" s="1">
        <v>45478</v>
      </c>
      <c r="B3474">
        <v>230206</v>
      </c>
      <c r="C3474">
        <v>71805</v>
      </c>
      <c r="D3474">
        <v>158401</v>
      </c>
      <c r="E3474">
        <v>235486811</v>
      </c>
      <c r="F3474">
        <v>110549336</v>
      </c>
      <c r="G3474">
        <v>346036147</v>
      </c>
      <c r="H3474">
        <v>78020</v>
      </c>
      <c r="I3474">
        <v>9160</v>
      </c>
      <c r="J3474">
        <v>87180</v>
      </c>
      <c r="K3474" t="b">
        <f>TrafficData[[#This Row],[disposedChallan]]+TrafficData[[#This Row],[pendingChallan]]=TrafficData[[#This Row],[totalChallan]]</f>
        <v>1</v>
      </c>
      <c r="L3474" t="b">
        <f>TrafficData[[#This Row],[pendingAmount]]+TrafficData[[#This Row],[disposedAmount]]=TrafficData[[#This Row],[totalAmount]]</f>
        <v>1</v>
      </c>
      <c r="M3474" t="b">
        <f>TrafficData[[#This Row],[pendingCourt]]+TrafficData[[#This Row],[disposedCourt]]=TrafficData[[#This Row],[totalCourt]]</f>
        <v>1</v>
      </c>
      <c r="N3474" t="b">
        <f>AND(TrafficData[[#This Row],[disposedChallan]]&lt;=TrafficData[[#This Row],[totalChallan]],TrafficData[[#This Row],[pendingChallan]]&lt;=TrafficData[[#This Row],[totalChallan]])</f>
        <v>1</v>
      </c>
      <c r="O3474" t="b">
        <f>AND(TrafficData[[#This Row],[pendingAmount]]&lt;=TrafficData[[#This Row],[totalAmount]],TrafficData[[#This Row],[disposedAmount]]&lt;=TrafficData[[#This Row],[totalAmount]])</f>
        <v>1</v>
      </c>
      <c r="P3474" t="b">
        <f>AND(TrafficData[[#This Row],[pendingCourt]]&lt;=TrafficData[[#This Row],[totalCourt]],TrafficData[[#This Row],[disposedCourt]]&lt;=TrafficData[[#This Row],[totalCourt]])</f>
        <v>1</v>
      </c>
    </row>
    <row r="3475" spans="1:16">
      <c r="A3475" s="1">
        <v>45479</v>
      </c>
      <c r="B3475">
        <v>227235</v>
      </c>
      <c r="C3475">
        <v>71813</v>
      </c>
      <c r="D3475">
        <v>155422</v>
      </c>
      <c r="E3475">
        <v>226988131</v>
      </c>
      <c r="F3475">
        <v>99832474</v>
      </c>
      <c r="G3475">
        <v>326820605</v>
      </c>
      <c r="H3475">
        <v>82937</v>
      </c>
      <c r="I3475">
        <v>9392</v>
      </c>
      <c r="J3475">
        <v>92329</v>
      </c>
      <c r="K3475" t="b">
        <f>TrafficData[[#This Row],[disposedChallan]]+TrafficData[[#This Row],[pendingChallan]]=TrafficData[[#This Row],[totalChallan]]</f>
        <v>1</v>
      </c>
      <c r="L3475" t="b">
        <f>TrafficData[[#This Row],[pendingAmount]]+TrafficData[[#This Row],[disposedAmount]]=TrafficData[[#This Row],[totalAmount]]</f>
        <v>1</v>
      </c>
      <c r="M3475" t="b">
        <f>TrafficData[[#This Row],[pendingCourt]]+TrafficData[[#This Row],[disposedCourt]]=TrafficData[[#This Row],[totalCourt]]</f>
        <v>1</v>
      </c>
      <c r="N3475" t="b">
        <f>AND(TrafficData[[#This Row],[disposedChallan]]&lt;=TrafficData[[#This Row],[totalChallan]],TrafficData[[#This Row],[pendingChallan]]&lt;=TrafficData[[#This Row],[totalChallan]])</f>
        <v>1</v>
      </c>
      <c r="O3475" t="b">
        <f>AND(TrafficData[[#This Row],[pendingAmount]]&lt;=TrafficData[[#This Row],[totalAmount]],TrafficData[[#This Row],[disposedAmount]]&lt;=TrafficData[[#This Row],[totalAmount]])</f>
        <v>1</v>
      </c>
      <c r="P3475" t="b">
        <f>AND(TrafficData[[#This Row],[pendingCourt]]&lt;=TrafficData[[#This Row],[totalCourt]],TrafficData[[#This Row],[disposedCourt]]&lt;=TrafficData[[#This Row],[totalCourt]])</f>
        <v>1</v>
      </c>
    </row>
    <row r="3476" spans="1:16">
      <c r="A3476" s="1">
        <v>45480</v>
      </c>
      <c r="B3476">
        <v>203253</v>
      </c>
      <c r="C3476">
        <v>60184</v>
      </c>
      <c r="D3476">
        <v>143069</v>
      </c>
      <c r="E3476">
        <v>198285763</v>
      </c>
      <c r="F3476">
        <v>73787629</v>
      </c>
      <c r="G3476">
        <v>272073392</v>
      </c>
      <c r="H3476">
        <v>75444</v>
      </c>
      <c r="I3476">
        <v>8174</v>
      </c>
      <c r="J3476">
        <v>83618</v>
      </c>
      <c r="K3476" t="b">
        <f>TrafficData[[#This Row],[disposedChallan]]+TrafficData[[#This Row],[pendingChallan]]=TrafficData[[#This Row],[totalChallan]]</f>
        <v>1</v>
      </c>
      <c r="L3476" t="b">
        <f>TrafficData[[#This Row],[pendingAmount]]+TrafficData[[#This Row],[disposedAmount]]=TrafficData[[#This Row],[totalAmount]]</f>
        <v>1</v>
      </c>
      <c r="M3476" t="b">
        <f>TrafficData[[#This Row],[pendingCourt]]+TrafficData[[#This Row],[disposedCourt]]=TrafficData[[#This Row],[totalCourt]]</f>
        <v>1</v>
      </c>
      <c r="N3476" t="b">
        <f>AND(TrafficData[[#This Row],[disposedChallan]]&lt;=TrafficData[[#This Row],[totalChallan]],TrafficData[[#This Row],[pendingChallan]]&lt;=TrafficData[[#This Row],[totalChallan]])</f>
        <v>1</v>
      </c>
      <c r="O3476" t="b">
        <f>AND(TrafficData[[#This Row],[pendingAmount]]&lt;=TrafficData[[#This Row],[totalAmount]],TrafficData[[#This Row],[disposedAmount]]&lt;=TrafficData[[#This Row],[totalAmount]])</f>
        <v>1</v>
      </c>
      <c r="P3476" t="b">
        <f>AND(TrafficData[[#This Row],[pendingCourt]]&lt;=TrafficData[[#This Row],[totalCourt]],TrafficData[[#This Row],[disposedCourt]]&lt;=TrafficData[[#This Row],[totalCourt]])</f>
        <v>1</v>
      </c>
    </row>
    <row r="3477" spans="1:16">
      <c r="A3477" s="1">
        <v>45481</v>
      </c>
      <c r="B3477">
        <v>244221</v>
      </c>
      <c r="C3477">
        <v>72592</v>
      </c>
      <c r="D3477">
        <v>171629</v>
      </c>
      <c r="E3477">
        <v>256487680</v>
      </c>
      <c r="F3477">
        <v>106059886</v>
      </c>
      <c r="G3477">
        <v>362547566</v>
      </c>
      <c r="H3477">
        <v>93497</v>
      </c>
      <c r="I3477">
        <v>10260</v>
      </c>
      <c r="J3477">
        <v>103757</v>
      </c>
      <c r="K3477" t="b">
        <f>TrafficData[[#This Row],[disposedChallan]]+TrafficData[[#This Row],[pendingChallan]]=TrafficData[[#This Row],[totalChallan]]</f>
        <v>1</v>
      </c>
      <c r="L3477" t="b">
        <f>TrafficData[[#This Row],[pendingAmount]]+TrafficData[[#This Row],[disposedAmount]]=TrafficData[[#This Row],[totalAmount]]</f>
        <v>1</v>
      </c>
      <c r="M3477" t="b">
        <f>TrafficData[[#This Row],[pendingCourt]]+TrafficData[[#This Row],[disposedCourt]]=TrafficData[[#This Row],[totalCourt]]</f>
        <v>1</v>
      </c>
      <c r="N3477" t="b">
        <f>AND(TrafficData[[#This Row],[disposedChallan]]&lt;=TrafficData[[#This Row],[totalChallan]],TrafficData[[#This Row],[pendingChallan]]&lt;=TrafficData[[#This Row],[totalChallan]])</f>
        <v>1</v>
      </c>
      <c r="O3477" t="b">
        <f>AND(TrafficData[[#This Row],[pendingAmount]]&lt;=TrafficData[[#This Row],[totalAmount]],TrafficData[[#This Row],[disposedAmount]]&lt;=TrafficData[[#This Row],[totalAmount]])</f>
        <v>1</v>
      </c>
      <c r="P3477" t="b">
        <f>AND(TrafficData[[#This Row],[pendingCourt]]&lt;=TrafficData[[#This Row],[totalCourt]],TrafficData[[#This Row],[disposedCourt]]&lt;=TrafficData[[#This Row],[totalCourt]])</f>
        <v>1</v>
      </c>
    </row>
    <row r="3478" spans="1:16">
      <c r="A3478" s="1">
        <v>45482</v>
      </c>
      <c r="B3478">
        <v>230801</v>
      </c>
      <c r="C3478">
        <v>71268</v>
      </c>
      <c r="D3478">
        <v>159533</v>
      </c>
      <c r="E3478">
        <v>247292863</v>
      </c>
      <c r="F3478">
        <v>115817086</v>
      </c>
      <c r="G3478">
        <v>363109949</v>
      </c>
      <c r="H3478">
        <v>82356</v>
      </c>
      <c r="I3478">
        <v>9435</v>
      </c>
      <c r="J3478">
        <v>91791</v>
      </c>
      <c r="K3478" t="b">
        <f>TrafficData[[#This Row],[disposedChallan]]+TrafficData[[#This Row],[pendingChallan]]=TrafficData[[#This Row],[totalChallan]]</f>
        <v>1</v>
      </c>
      <c r="L3478" t="b">
        <f>TrafficData[[#This Row],[pendingAmount]]+TrafficData[[#This Row],[disposedAmount]]=TrafficData[[#This Row],[totalAmount]]</f>
        <v>1</v>
      </c>
      <c r="M3478" t="b">
        <f>TrafficData[[#This Row],[pendingCourt]]+TrafficData[[#This Row],[disposedCourt]]=TrafficData[[#This Row],[totalCourt]]</f>
        <v>1</v>
      </c>
      <c r="N3478" t="b">
        <f>AND(TrafficData[[#This Row],[disposedChallan]]&lt;=TrafficData[[#This Row],[totalChallan]],TrafficData[[#This Row],[pendingChallan]]&lt;=TrafficData[[#This Row],[totalChallan]])</f>
        <v>1</v>
      </c>
      <c r="O3478" t="b">
        <f>AND(TrafficData[[#This Row],[pendingAmount]]&lt;=TrafficData[[#This Row],[totalAmount]],TrafficData[[#This Row],[disposedAmount]]&lt;=TrafficData[[#This Row],[totalAmount]])</f>
        <v>1</v>
      </c>
      <c r="P3478" t="b">
        <f>AND(TrafficData[[#This Row],[pendingCourt]]&lt;=TrafficData[[#This Row],[totalCourt]],TrafficData[[#This Row],[disposedCourt]]&lt;=TrafficData[[#This Row],[totalCourt]])</f>
        <v>1</v>
      </c>
    </row>
    <row r="3479" spans="1:16">
      <c r="A3479" s="1">
        <v>45483</v>
      </c>
      <c r="B3479">
        <v>224599</v>
      </c>
      <c r="C3479">
        <v>69541</v>
      </c>
      <c r="D3479">
        <v>155058</v>
      </c>
      <c r="E3479">
        <v>246730123</v>
      </c>
      <c r="F3479">
        <v>112707201</v>
      </c>
      <c r="G3479">
        <v>359437324</v>
      </c>
      <c r="H3479">
        <v>88209</v>
      </c>
      <c r="I3479">
        <v>9549</v>
      </c>
      <c r="J3479">
        <v>97758</v>
      </c>
      <c r="K3479" t="b">
        <f>TrafficData[[#This Row],[disposedChallan]]+TrafficData[[#This Row],[pendingChallan]]=TrafficData[[#This Row],[totalChallan]]</f>
        <v>1</v>
      </c>
      <c r="L3479" t="b">
        <f>TrafficData[[#This Row],[pendingAmount]]+TrafficData[[#This Row],[disposedAmount]]=TrafficData[[#This Row],[totalAmount]]</f>
        <v>1</v>
      </c>
      <c r="M3479" t="b">
        <f>TrafficData[[#This Row],[pendingCourt]]+TrafficData[[#This Row],[disposedCourt]]=TrafficData[[#This Row],[totalCourt]]</f>
        <v>1</v>
      </c>
      <c r="N3479" t="b">
        <f>AND(TrafficData[[#This Row],[disposedChallan]]&lt;=TrafficData[[#This Row],[totalChallan]],TrafficData[[#This Row],[pendingChallan]]&lt;=TrafficData[[#This Row],[totalChallan]])</f>
        <v>1</v>
      </c>
      <c r="O3479" t="b">
        <f>AND(TrafficData[[#This Row],[pendingAmount]]&lt;=TrafficData[[#This Row],[totalAmount]],TrafficData[[#This Row],[disposedAmount]]&lt;=TrafficData[[#This Row],[totalAmount]])</f>
        <v>1</v>
      </c>
      <c r="P3479" t="b">
        <f>AND(TrafficData[[#This Row],[pendingCourt]]&lt;=TrafficData[[#This Row],[totalCourt]],TrafficData[[#This Row],[disposedCourt]]&lt;=TrafficData[[#This Row],[totalCourt]])</f>
        <v>1</v>
      </c>
    </row>
    <row r="3480" spans="1:16">
      <c r="A3480" s="1">
        <v>45484</v>
      </c>
      <c r="B3480">
        <v>216531</v>
      </c>
      <c r="C3480">
        <v>67390</v>
      </c>
      <c r="D3480">
        <v>149141</v>
      </c>
      <c r="E3480">
        <v>237042021</v>
      </c>
      <c r="F3480">
        <v>110830393</v>
      </c>
      <c r="G3480">
        <v>347872414</v>
      </c>
      <c r="H3480">
        <v>82103</v>
      </c>
      <c r="I3480">
        <v>9211</v>
      </c>
      <c r="J3480">
        <v>91314</v>
      </c>
      <c r="K3480" t="b">
        <f>TrafficData[[#This Row],[disposedChallan]]+TrafficData[[#This Row],[pendingChallan]]=TrafficData[[#This Row],[totalChallan]]</f>
        <v>1</v>
      </c>
      <c r="L3480" t="b">
        <f>TrafficData[[#This Row],[pendingAmount]]+TrafficData[[#This Row],[disposedAmount]]=TrafficData[[#This Row],[totalAmount]]</f>
        <v>1</v>
      </c>
      <c r="M3480" t="b">
        <f>TrafficData[[#This Row],[pendingCourt]]+TrafficData[[#This Row],[disposedCourt]]=TrafficData[[#This Row],[totalCourt]]</f>
        <v>1</v>
      </c>
      <c r="N3480" t="b">
        <f>AND(TrafficData[[#This Row],[disposedChallan]]&lt;=TrafficData[[#This Row],[totalChallan]],TrafficData[[#This Row],[pendingChallan]]&lt;=TrafficData[[#This Row],[totalChallan]])</f>
        <v>1</v>
      </c>
      <c r="O3480" t="b">
        <f>AND(TrafficData[[#This Row],[pendingAmount]]&lt;=TrafficData[[#This Row],[totalAmount]],TrafficData[[#This Row],[disposedAmount]]&lt;=TrafficData[[#This Row],[totalAmount]])</f>
        <v>1</v>
      </c>
      <c r="P3480" t="b">
        <f>AND(TrafficData[[#This Row],[pendingCourt]]&lt;=TrafficData[[#This Row],[totalCourt]],TrafficData[[#This Row],[disposedCourt]]&lt;=TrafficData[[#This Row],[totalCourt]])</f>
        <v>1</v>
      </c>
    </row>
    <row r="3481" spans="1:16">
      <c r="A3481" s="1">
        <v>45485</v>
      </c>
      <c r="B3481">
        <v>241900</v>
      </c>
      <c r="C3481">
        <v>73697</v>
      </c>
      <c r="D3481">
        <v>168203</v>
      </c>
      <c r="E3481">
        <v>265568788</v>
      </c>
      <c r="F3481">
        <v>111629689</v>
      </c>
      <c r="G3481">
        <v>377198477</v>
      </c>
      <c r="H3481">
        <v>92177</v>
      </c>
      <c r="I3481">
        <v>10312</v>
      </c>
      <c r="J3481">
        <v>102489</v>
      </c>
      <c r="K3481" t="b">
        <f>TrafficData[[#This Row],[disposedChallan]]+TrafficData[[#This Row],[pendingChallan]]=TrafficData[[#This Row],[totalChallan]]</f>
        <v>1</v>
      </c>
      <c r="L3481" t="b">
        <f>TrafficData[[#This Row],[pendingAmount]]+TrafficData[[#This Row],[disposedAmount]]=TrafficData[[#This Row],[totalAmount]]</f>
        <v>1</v>
      </c>
      <c r="M3481" t="b">
        <f>TrafficData[[#This Row],[pendingCourt]]+TrafficData[[#This Row],[disposedCourt]]=TrafficData[[#This Row],[totalCourt]]</f>
        <v>1</v>
      </c>
      <c r="N3481" t="b">
        <f>AND(TrafficData[[#This Row],[disposedChallan]]&lt;=TrafficData[[#This Row],[totalChallan]],TrafficData[[#This Row],[pendingChallan]]&lt;=TrafficData[[#This Row],[totalChallan]])</f>
        <v>1</v>
      </c>
      <c r="O3481" t="b">
        <f>AND(TrafficData[[#This Row],[pendingAmount]]&lt;=TrafficData[[#This Row],[totalAmount]],TrafficData[[#This Row],[disposedAmount]]&lt;=TrafficData[[#This Row],[totalAmount]])</f>
        <v>1</v>
      </c>
      <c r="P3481" t="b">
        <f>AND(TrafficData[[#This Row],[pendingCourt]]&lt;=TrafficData[[#This Row],[totalCourt]],TrafficData[[#This Row],[disposedCourt]]&lt;=TrafficData[[#This Row],[totalCourt]])</f>
        <v>1</v>
      </c>
    </row>
    <row r="3482" spans="1:16">
      <c r="A3482" s="1">
        <v>45486</v>
      </c>
      <c r="B3482">
        <v>230660</v>
      </c>
      <c r="C3482">
        <v>73020</v>
      </c>
      <c r="D3482">
        <v>157640</v>
      </c>
      <c r="E3482">
        <v>244138412</v>
      </c>
      <c r="F3482">
        <v>107166464</v>
      </c>
      <c r="G3482">
        <v>351304876</v>
      </c>
      <c r="H3482">
        <v>83935</v>
      </c>
      <c r="I3482">
        <v>9470</v>
      </c>
      <c r="J3482">
        <v>93405</v>
      </c>
      <c r="K3482" t="b">
        <f>TrafficData[[#This Row],[disposedChallan]]+TrafficData[[#This Row],[pendingChallan]]=TrafficData[[#This Row],[totalChallan]]</f>
        <v>1</v>
      </c>
      <c r="L3482" t="b">
        <f>TrafficData[[#This Row],[pendingAmount]]+TrafficData[[#This Row],[disposedAmount]]=TrafficData[[#This Row],[totalAmount]]</f>
        <v>1</v>
      </c>
      <c r="M3482" t="b">
        <f>TrafficData[[#This Row],[pendingCourt]]+TrafficData[[#This Row],[disposedCourt]]=TrafficData[[#This Row],[totalCourt]]</f>
        <v>1</v>
      </c>
      <c r="N3482" t="b">
        <f>AND(TrafficData[[#This Row],[disposedChallan]]&lt;=TrafficData[[#This Row],[totalChallan]],TrafficData[[#This Row],[pendingChallan]]&lt;=TrafficData[[#This Row],[totalChallan]])</f>
        <v>1</v>
      </c>
      <c r="O3482" t="b">
        <f>AND(TrafficData[[#This Row],[pendingAmount]]&lt;=TrafficData[[#This Row],[totalAmount]],TrafficData[[#This Row],[disposedAmount]]&lt;=TrafficData[[#This Row],[totalAmount]])</f>
        <v>1</v>
      </c>
      <c r="P3482" t="b">
        <f>AND(TrafficData[[#This Row],[pendingCourt]]&lt;=TrafficData[[#This Row],[totalCourt]],TrafficData[[#This Row],[disposedCourt]]&lt;=TrafficData[[#This Row],[totalCourt]])</f>
        <v>1</v>
      </c>
    </row>
    <row r="3483" spans="1:16">
      <c r="A3483" s="1">
        <v>45487</v>
      </c>
      <c r="B3483">
        <v>215975</v>
      </c>
      <c r="C3483">
        <v>64623</v>
      </c>
      <c r="D3483">
        <v>151352</v>
      </c>
      <c r="E3483">
        <v>208875678</v>
      </c>
      <c r="F3483">
        <v>81026116</v>
      </c>
      <c r="G3483">
        <v>289901794</v>
      </c>
      <c r="H3483">
        <v>78342</v>
      </c>
      <c r="I3483">
        <v>8690</v>
      </c>
      <c r="J3483">
        <v>87032</v>
      </c>
      <c r="K3483" t="b">
        <f>TrafficData[[#This Row],[disposedChallan]]+TrafficData[[#This Row],[pendingChallan]]=TrafficData[[#This Row],[totalChallan]]</f>
        <v>1</v>
      </c>
      <c r="L3483" t="b">
        <f>TrafficData[[#This Row],[pendingAmount]]+TrafficData[[#This Row],[disposedAmount]]=TrafficData[[#This Row],[totalAmount]]</f>
        <v>1</v>
      </c>
      <c r="M3483" t="b">
        <f>TrafficData[[#This Row],[pendingCourt]]+TrafficData[[#This Row],[disposedCourt]]=TrafficData[[#This Row],[totalCourt]]</f>
        <v>1</v>
      </c>
      <c r="N3483" t="b">
        <f>AND(TrafficData[[#This Row],[disposedChallan]]&lt;=TrafficData[[#This Row],[totalChallan]],TrafficData[[#This Row],[pendingChallan]]&lt;=TrafficData[[#This Row],[totalChallan]])</f>
        <v>1</v>
      </c>
      <c r="O3483" t="b">
        <f>AND(TrafficData[[#This Row],[pendingAmount]]&lt;=TrafficData[[#This Row],[totalAmount]],TrafficData[[#This Row],[disposedAmount]]&lt;=TrafficData[[#This Row],[totalAmount]])</f>
        <v>1</v>
      </c>
      <c r="P3483" t="b">
        <f>AND(TrafficData[[#This Row],[pendingCourt]]&lt;=TrafficData[[#This Row],[totalCourt]],TrafficData[[#This Row],[disposedCourt]]&lt;=TrafficData[[#This Row],[totalCourt]])</f>
        <v>1</v>
      </c>
    </row>
    <row r="3484" spans="1:16">
      <c r="A3484" s="1">
        <v>45488</v>
      </c>
      <c r="B3484">
        <v>217947</v>
      </c>
      <c r="C3484">
        <v>64940</v>
      </c>
      <c r="D3484">
        <v>153007</v>
      </c>
      <c r="E3484">
        <v>234356642</v>
      </c>
      <c r="F3484">
        <v>101442105</v>
      </c>
      <c r="G3484">
        <v>335798747</v>
      </c>
      <c r="H3484">
        <v>87967</v>
      </c>
      <c r="I3484">
        <v>9419</v>
      </c>
      <c r="J3484">
        <v>97386</v>
      </c>
      <c r="K3484" t="b">
        <f>TrafficData[[#This Row],[disposedChallan]]+TrafficData[[#This Row],[pendingChallan]]=TrafficData[[#This Row],[totalChallan]]</f>
        <v>1</v>
      </c>
      <c r="L3484" t="b">
        <f>TrafficData[[#This Row],[pendingAmount]]+TrafficData[[#This Row],[disposedAmount]]=TrafficData[[#This Row],[totalAmount]]</f>
        <v>1</v>
      </c>
      <c r="M3484" t="b">
        <f>TrafficData[[#This Row],[pendingCourt]]+TrafficData[[#This Row],[disposedCourt]]=TrafficData[[#This Row],[totalCourt]]</f>
        <v>1</v>
      </c>
      <c r="N3484" t="b">
        <f>AND(TrafficData[[#This Row],[disposedChallan]]&lt;=TrafficData[[#This Row],[totalChallan]],TrafficData[[#This Row],[pendingChallan]]&lt;=TrafficData[[#This Row],[totalChallan]])</f>
        <v>1</v>
      </c>
      <c r="O3484" t="b">
        <f>AND(TrafficData[[#This Row],[pendingAmount]]&lt;=TrafficData[[#This Row],[totalAmount]],TrafficData[[#This Row],[disposedAmount]]&lt;=TrafficData[[#This Row],[totalAmount]])</f>
        <v>1</v>
      </c>
      <c r="P3484" t="b">
        <f>AND(TrafficData[[#This Row],[pendingCourt]]&lt;=TrafficData[[#This Row],[totalCourt]],TrafficData[[#This Row],[disposedCourt]]&lt;=TrafficData[[#This Row],[totalCourt]])</f>
        <v>1</v>
      </c>
    </row>
    <row r="3485" spans="1:16">
      <c r="A3485" s="1">
        <v>45489</v>
      </c>
      <c r="B3485">
        <v>228031</v>
      </c>
      <c r="C3485">
        <v>67525</v>
      </c>
      <c r="D3485">
        <v>160506</v>
      </c>
      <c r="E3485">
        <v>247988626</v>
      </c>
      <c r="F3485">
        <v>105512415</v>
      </c>
      <c r="G3485">
        <v>353501041</v>
      </c>
      <c r="H3485">
        <v>87109</v>
      </c>
      <c r="I3485">
        <v>9458</v>
      </c>
      <c r="J3485">
        <v>96567</v>
      </c>
      <c r="K3485" t="b">
        <f>TrafficData[[#This Row],[disposedChallan]]+TrafficData[[#This Row],[pendingChallan]]=TrafficData[[#This Row],[totalChallan]]</f>
        <v>1</v>
      </c>
      <c r="L3485" t="b">
        <f>TrafficData[[#This Row],[pendingAmount]]+TrafficData[[#This Row],[disposedAmount]]=TrafficData[[#This Row],[totalAmount]]</f>
        <v>1</v>
      </c>
      <c r="M3485" t="b">
        <f>TrafficData[[#This Row],[pendingCourt]]+TrafficData[[#This Row],[disposedCourt]]=TrafficData[[#This Row],[totalCourt]]</f>
        <v>1</v>
      </c>
      <c r="N3485" t="b">
        <f>AND(TrafficData[[#This Row],[disposedChallan]]&lt;=TrafficData[[#This Row],[totalChallan]],TrafficData[[#This Row],[pendingChallan]]&lt;=TrafficData[[#This Row],[totalChallan]])</f>
        <v>1</v>
      </c>
      <c r="O3485" t="b">
        <f>AND(TrafficData[[#This Row],[pendingAmount]]&lt;=TrafficData[[#This Row],[totalAmount]],TrafficData[[#This Row],[disposedAmount]]&lt;=TrafficData[[#This Row],[totalAmount]])</f>
        <v>1</v>
      </c>
      <c r="P3485" t="b">
        <f>AND(TrafficData[[#This Row],[pendingCourt]]&lt;=TrafficData[[#This Row],[totalCourt]],TrafficData[[#This Row],[disposedCourt]]&lt;=TrafficData[[#This Row],[totalCourt]])</f>
        <v>1</v>
      </c>
    </row>
    <row r="3486" spans="1:16">
      <c r="A3486" s="1">
        <v>45490</v>
      </c>
      <c r="B3486">
        <v>210676</v>
      </c>
      <c r="C3486">
        <v>61959</v>
      </c>
      <c r="D3486">
        <v>148717</v>
      </c>
      <c r="E3486">
        <v>215633996</v>
      </c>
      <c r="F3486">
        <v>90531680</v>
      </c>
      <c r="G3486">
        <v>306165676</v>
      </c>
      <c r="H3486">
        <v>65639</v>
      </c>
      <c r="I3486">
        <v>8630</v>
      </c>
      <c r="J3486">
        <v>74269</v>
      </c>
      <c r="K3486" t="b">
        <f>TrafficData[[#This Row],[disposedChallan]]+TrafficData[[#This Row],[pendingChallan]]=TrafficData[[#This Row],[totalChallan]]</f>
        <v>1</v>
      </c>
      <c r="L3486" t="b">
        <f>TrafficData[[#This Row],[pendingAmount]]+TrafficData[[#This Row],[disposedAmount]]=TrafficData[[#This Row],[totalAmount]]</f>
        <v>1</v>
      </c>
      <c r="M3486" t="b">
        <f>TrafficData[[#This Row],[pendingCourt]]+TrafficData[[#This Row],[disposedCourt]]=TrafficData[[#This Row],[totalCourt]]</f>
        <v>1</v>
      </c>
      <c r="N3486" t="b">
        <f>AND(TrafficData[[#This Row],[disposedChallan]]&lt;=TrafficData[[#This Row],[totalChallan]],TrafficData[[#This Row],[pendingChallan]]&lt;=TrafficData[[#This Row],[totalChallan]])</f>
        <v>1</v>
      </c>
      <c r="O3486" t="b">
        <f>AND(TrafficData[[#This Row],[pendingAmount]]&lt;=TrafficData[[#This Row],[totalAmount]],TrafficData[[#This Row],[disposedAmount]]&lt;=TrafficData[[#This Row],[totalAmount]])</f>
        <v>1</v>
      </c>
      <c r="P3486" t="b">
        <f>AND(TrafficData[[#This Row],[pendingCourt]]&lt;=TrafficData[[#This Row],[totalCourt]],TrafficData[[#This Row],[disposedCourt]]&lt;=TrafficData[[#This Row],[totalCourt]])</f>
        <v>1</v>
      </c>
    </row>
    <row r="3487" spans="1:16">
      <c r="A3487" s="1">
        <v>45491</v>
      </c>
      <c r="B3487">
        <v>226981</v>
      </c>
      <c r="C3487">
        <v>68967</v>
      </c>
      <c r="D3487">
        <v>158014</v>
      </c>
      <c r="E3487">
        <v>246821389</v>
      </c>
      <c r="F3487">
        <v>109469215</v>
      </c>
      <c r="G3487">
        <v>356290604</v>
      </c>
      <c r="H3487">
        <v>83420</v>
      </c>
      <c r="I3487">
        <v>9274</v>
      </c>
      <c r="J3487">
        <v>92694</v>
      </c>
      <c r="K3487" t="b">
        <f>TrafficData[[#This Row],[disposedChallan]]+TrafficData[[#This Row],[pendingChallan]]=TrafficData[[#This Row],[totalChallan]]</f>
        <v>1</v>
      </c>
      <c r="L3487" t="b">
        <f>TrafficData[[#This Row],[pendingAmount]]+TrafficData[[#This Row],[disposedAmount]]=TrafficData[[#This Row],[totalAmount]]</f>
        <v>1</v>
      </c>
      <c r="M3487" t="b">
        <f>TrafficData[[#This Row],[pendingCourt]]+TrafficData[[#This Row],[disposedCourt]]=TrafficData[[#This Row],[totalCourt]]</f>
        <v>1</v>
      </c>
      <c r="N3487" t="b">
        <f>AND(TrafficData[[#This Row],[disposedChallan]]&lt;=TrafficData[[#This Row],[totalChallan]],TrafficData[[#This Row],[pendingChallan]]&lt;=TrafficData[[#This Row],[totalChallan]])</f>
        <v>1</v>
      </c>
      <c r="O3487" t="b">
        <f>AND(TrafficData[[#This Row],[pendingAmount]]&lt;=TrafficData[[#This Row],[totalAmount]],TrafficData[[#This Row],[disposedAmount]]&lt;=TrafficData[[#This Row],[totalAmount]])</f>
        <v>1</v>
      </c>
      <c r="P3487" t="b">
        <f>AND(TrafficData[[#This Row],[pendingCourt]]&lt;=TrafficData[[#This Row],[totalCourt]],TrafficData[[#This Row],[disposedCourt]]&lt;=TrafficData[[#This Row],[totalCourt]])</f>
        <v>1</v>
      </c>
    </row>
    <row r="3488" spans="1:16">
      <c r="A3488" s="1">
        <v>45492</v>
      </c>
      <c r="B3488">
        <v>248437</v>
      </c>
      <c r="C3488">
        <v>74874</v>
      </c>
      <c r="D3488">
        <v>173563</v>
      </c>
      <c r="E3488">
        <v>260595266</v>
      </c>
      <c r="F3488">
        <v>118356568</v>
      </c>
      <c r="G3488">
        <v>378951834</v>
      </c>
      <c r="H3488">
        <v>85102</v>
      </c>
      <c r="I3488">
        <v>9197</v>
      </c>
      <c r="J3488">
        <v>94299</v>
      </c>
      <c r="K3488" t="b">
        <f>TrafficData[[#This Row],[disposedChallan]]+TrafficData[[#This Row],[pendingChallan]]=TrafficData[[#This Row],[totalChallan]]</f>
        <v>1</v>
      </c>
      <c r="L3488" t="b">
        <f>TrafficData[[#This Row],[pendingAmount]]+TrafficData[[#This Row],[disposedAmount]]=TrafficData[[#This Row],[totalAmount]]</f>
        <v>1</v>
      </c>
      <c r="M3488" t="b">
        <f>TrafficData[[#This Row],[pendingCourt]]+TrafficData[[#This Row],[disposedCourt]]=TrafficData[[#This Row],[totalCourt]]</f>
        <v>1</v>
      </c>
      <c r="N3488" t="b">
        <f>AND(TrafficData[[#This Row],[disposedChallan]]&lt;=TrafficData[[#This Row],[totalChallan]],TrafficData[[#This Row],[pendingChallan]]&lt;=TrafficData[[#This Row],[totalChallan]])</f>
        <v>1</v>
      </c>
      <c r="O3488" t="b">
        <f>AND(TrafficData[[#This Row],[pendingAmount]]&lt;=TrafficData[[#This Row],[totalAmount]],TrafficData[[#This Row],[disposedAmount]]&lt;=TrafficData[[#This Row],[totalAmount]])</f>
        <v>1</v>
      </c>
      <c r="P3488" t="b">
        <f>AND(TrafficData[[#This Row],[pendingCourt]]&lt;=TrafficData[[#This Row],[totalCourt]],TrafficData[[#This Row],[disposedCourt]]&lt;=TrafficData[[#This Row],[totalCourt]])</f>
        <v>1</v>
      </c>
    </row>
    <row r="3489" spans="1:16">
      <c r="A3489" s="1">
        <v>45493</v>
      </c>
      <c r="B3489">
        <v>254859</v>
      </c>
      <c r="C3489">
        <v>79252</v>
      </c>
      <c r="D3489">
        <v>175607</v>
      </c>
      <c r="E3489">
        <v>259417816</v>
      </c>
      <c r="F3489">
        <v>108643903</v>
      </c>
      <c r="G3489">
        <v>368061719</v>
      </c>
      <c r="H3489">
        <v>85917</v>
      </c>
      <c r="I3489">
        <v>9528</v>
      </c>
      <c r="J3489">
        <v>95445</v>
      </c>
      <c r="K3489" t="b">
        <f>TrafficData[[#This Row],[disposedChallan]]+TrafficData[[#This Row],[pendingChallan]]=TrafficData[[#This Row],[totalChallan]]</f>
        <v>1</v>
      </c>
      <c r="L3489" t="b">
        <f>TrafficData[[#This Row],[pendingAmount]]+TrafficData[[#This Row],[disposedAmount]]=TrafficData[[#This Row],[totalAmount]]</f>
        <v>1</v>
      </c>
      <c r="M3489" t="b">
        <f>TrafficData[[#This Row],[pendingCourt]]+TrafficData[[#This Row],[disposedCourt]]=TrafficData[[#This Row],[totalCourt]]</f>
        <v>1</v>
      </c>
      <c r="N3489" t="b">
        <f>AND(TrafficData[[#This Row],[disposedChallan]]&lt;=TrafficData[[#This Row],[totalChallan]],TrafficData[[#This Row],[pendingChallan]]&lt;=TrafficData[[#This Row],[totalChallan]])</f>
        <v>1</v>
      </c>
      <c r="O3489" t="b">
        <f>AND(TrafficData[[#This Row],[pendingAmount]]&lt;=TrafficData[[#This Row],[totalAmount]],TrafficData[[#This Row],[disposedAmount]]&lt;=TrafficData[[#This Row],[totalAmount]])</f>
        <v>1</v>
      </c>
      <c r="P3489" t="b">
        <f>AND(TrafficData[[#This Row],[pendingCourt]]&lt;=TrafficData[[#This Row],[totalCourt]],TrafficData[[#This Row],[disposedCourt]]&lt;=TrafficData[[#This Row],[totalCourt]])</f>
        <v>1</v>
      </c>
    </row>
    <row r="3490" spans="1:16">
      <c r="A3490" s="1">
        <v>45494</v>
      </c>
      <c r="B3490">
        <v>214032</v>
      </c>
      <c r="C3490">
        <v>65117</v>
      </c>
      <c r="D3490">
        <v>148915</v>
      </c>
      <c r="E3490">
        <v>202746186</v>
      </c>
      <c r="F3490">
        <v>78545036</v>
      </c>
      <c r="G3490">
        <v>281291222</v>
      </c>
      <c r="H3490">
        <v>71283</v>
      </c>
      <c r="I3490">
        <v>7723</v>
      </c>
      <c r="J3490">
        <v>79006</v>
      </c>
      <c r="K3490" t="b">
        <f>TrafficData[[#This Row],[disposedChallan]]+TrafficData[[#This Row],[pendingChallan]]=TrafficData[[#This Row],[totalChallan]]</f>
        <v>1</v>
      </c>
      <c r="L3490" t="b">
        <f>TrafficData[[#This Row],[pendingAmount]]+TrafficData[[#This Row],[disposedAmount]]=TrafficData[[#This Row],[totalAmount]]</f>
        <v>1</v>
      </c>
      <c r="M3490" t="b">
        <f>TrafficData[[#This Row],[pendingCourt]]+TrafficData[[#This Row],[disposedCourt]]=TrafficData[[#This Row],[totalCourt]]</f>
        <v>1</v>
      </c>
      <c r="N3490" t="b">
        <f>AND(TrafficData[[#This Row],[disposedChallan]]&lt;=TrafficData[[#This Row],[totalChallan]],TrafficData[[#This Row],[pendingChallan]]&lt;=TrafficData[[#This Row],[totalChallan]])</f>
        <v>1</v>
      </c>
      <c r="O3490" t="b">
        <f>AND(TrafficData[[#This Row],[pendingAmount]]&lt;=TrafficData[[#This Row],[totalAmount]],TrafficData[[#This Row],[disposedAmount]]&lt;=TrafficData[[#This Row],[totalAmount]])</f>
        <v>1</v>
      </c>
      <c r="P3490" t="b">
        <f>AND(TrafficData[[#This Row],[pendingCourt]]&lt;=TrafficData[[#This Row],[totalCourt]],TrafficData[[#This Row],[disposedCourt]]&lt;=TrafficData[[#This Row],[totalCourt]])</f>
        <v>1</v>
      </c>
    </row>
    <row r="3491" spans="1:16">
      <c r="A3491" s="1">
        <v>45495</v>
      </c>
      <c r="B3491">
        <v>225823</v>
      </c>
      <c r="C3491">
        <v>69342</v>
      </c>
      <c r="D3491">
        <v>156481</v>
      </c>
      <c r="E3491">
        <v>219949383</v>
      </c>
      <c r="F3491">
        <v>100022643</v>
      </c>
      <c r="G3491">
        <v>319972026</v>
      </c>
      <c r="H3491">
        <v>74028</v>
      </c>
      <c r="I3491">
        <v>7840</v>
      </c>
      <c r="J3491">
        <v>81868</v>
      </c>
      <c r="K3491" t="b">
        <f>TrafficData[[#This Row],[disposedChallan]]+TrafficData[[#This Row],[pendingChallan]]=TrafficData[[#This Row],[totalChallan]]</f>
        <v>1</v>
      </c>
      <c r="L3491" t="b">
        <f>TrafficData[[#This Row],[pendingAmount]]+TrafficData[[#This Row],[disposedAmount]]=TrafficData[[#This Row],[totalAmount]]</f>
        <v>1</v>
      </c>
      <c r="M3491" t="b">
        <f>TrafficData[[#This Row],[pendingCourt]]+TrafficData[[#This Row],[disposedCourt]]=TrafficData[[#This Row],[totalCourt]]</f>
        <v>1</v>
      </c>
      <c r="N3491" t="b">
        <f>AND(TrafficData[[#This Row],[disposedChallan]]&lt;=TrafficData[[#This Row],[totalChallan]],TrafficData[[#This Row],[pendingChallan]]&lt;=TrafficData[[#This Row],[totalChallan]])</f>
        <v>1</v>
      </c>
      <c r="O3491" t="b">
        <f>AND(TrafficData[[#This Row],[pendingAmount]]&lt;=TrafficData[[#This Row],[totalAmount]],TrafficData[[#This Row],[disposedAmount]]&lt;=TrafficData[[#This Row],[totalAmount]])</f>
        <v>1</v>
      </c>
      <c r="P3491" t="b">
        <f>AND(TrafficData[[#This Row],[pendingCourt]]&lt;=TrafficData[[#This Row],[totalCourt]],TrafficData[[#This Row],[disposedCourt]]&lt;=TrafficData[[#This Row],[totalCourt]])</f>
        <v>1</v>
      </c>
    </row>
    <row r="3492" spans="1:16">
      <c r="A3492" s="1">
        <v>45496</v>
      </c>
      <c r="B3492">
        <v>224452</v>
      </c>
      <c r="C3492">
        <v>71718</v>
      </c>
      <c r="D3492">
        <v>152734</v>
      </c>
      <c r="E3492">
        <v>234068369</v>
      </c>
      <c r="F3492">
        <v>113034273</v>
      </c>
      <c r="G3492">
        <v>347102642</v>
      </c>
      <c r="H3492">
        <v>71658</v>
      </c>
      <c r="I3492">
        <v>7901</v>
      </c>
      <c r="J3492">
        <v>79559</v>
      </c>
      <c r="K3492" t="b">
        <f>TrafficData[[#This Row],[disposedChallan]]+TrafficData[[#This Row],[pendingChallan]]=TrafficData[[#This Row],[totalChallan]]</f>
        <v>1</v>
      </c>
      <c r="L3492" t="b">
        <f>TrafficData[[#This Row],[pendingAmount]]+TrafficData[[#This Row],[disposedAmount]]=TrafficData[[#This Row],[totalAmount]]</f>
        <v>1</v>
      </c>
      <c r="M3492" t="b">
        <f>TrafficData[[#This Row],[pendingCourt]]+TrafficData[[#This Row],[disposedCourt]]=TrafficData[[#This Row],[totalCourt]]</f>
        <v>1</v>
      </c>
      <c r="N3492" t="b">
        <f>AND(TrafficData[[#This Row],[disposedChallan]]&lt;=TrafficData[[#This Row],[totalChallan]],TrafficData[[#This Row],[pendingChallan]]&lt;=TrafficData[[#This Row],[totalChallan]])</f>
        <v>1</v>
      </c>
      <c r="O3492" t="b">
        <f>AND(TrafficData[[#This Row],[pendingAmount]]&lt;=TrafficData[[#This Row],[totalAmount]],TrafficData[[#This Row],[disposedAmount]]&lt;=TrafficData[[#This Row],[totalAmount]])</f>
        <v>1</v>
      </c>
      <c r="P3492" t="b">
        <f>AND(TrafficData[[#This Row],[pendingCourt]]&lt;=TrafficData[[#This Row],[totalCourt]],TrafficData[[#This Row],[disposedCourt]]&lt;=TrafficData[[#This Row],[totalCourt]])</f>
        <v>1</v>
      </c>
    </row>
    <row r="3493" spans="1:16">
      <c r="A3493" s="1">
        <v>45497</v>
      </c>
      <c r="B3493">
        <v>226802</v>
      </c>
      <c r="C3493">
        <v>72602</v>
      </c>
      <c r="D3493">
        <v>154200</v>
      </c>
      <c r="E3493">
        <v>230964503</v>
      </c>
      <c r="F3493">
        <v>113131140</v>
      </c>
      <c r="G3493">
        <v>344095643</v>
      </c>
      <c r="H3493">
        <v>71904</v>
      </c>
      <c r="I3493">
        <v>8025</v>
      </c>
      <c r="J3493">
        <v>79929</v>
      </c>
      <c r="K3493" t="b">
        <f>TrafficData[[#This Row],[disposedChallan]]+TrafficData[[#This Row],[pendingChallan]]=TrafficData[[#This Row],[totalChallan]]</f>
        <v>1</v>
      </c>
      <c r="L3493" t="b">
        <f>TrafficData[[#This Row],[pendingAmount]]+TrafficData[[#This Row],[disposedAmount]]=TrafficData[[#This Row],[totalAmount]]</f>
        <v>1</v>
      </c>
      <c r="M3493" t="b">
        <f>TrafficData[[#This Row],[pendingCourt]]+TrafficData[[#This Row],[disposedCourt]]=TrafficData[[#This Row],[totalCourt]]</f>
        <v>1</v>
      </c>
      <c r="N3493" t="b">
        <f>AND(TrafficData[[#This Row],[disposedChallan]]&lt;=TrafficData[[#This Row],[totalChallan]],TrafficData[[#This Row],[pendingChallan]]&lt;=TrafficData[[#This Row],[totalChallan]])</f>
        <v>1</v>
      </c>
      <c r="O3493" t="b">
        <f>AND(TrafficData[[#This Row],[pendingAmount]]&lt;=TrafficData[[#This Row],[totalAmount]],TrafficData[[#This Row],[disposedAmount]]&lt;=TrafficData[[#This Row],[totalAmount]])</f>
        <v>1</v>
      </c>
      <c r="P3493" t="b">
        <f>AND(TrafficData[[#This Row],[pendingCourt]]&lt;=TrafficData[[#This Row],[totalCourt]],TrafficData[[#This Row],[disposedCourt]]&lt;=TrafficData[[#This Row],[totalCourt]])</f>
        <v>1</v>
      </c>
    </row>
    <row r="3494" spans="1:16">
      <c r="A3494" s="1">
        <v>45498</v>
      </c>
      <c r="B3494">
        <v>226107</v>
      </c>
      <c r="C3494">
        <v>71804</v>
      </c>
      <c r="D3494">
        <v>154303</v>
      </c>
      <c r="E3494">
        <v>236434100</v>
      </c>
      <c r="F3494">
        <v>108045372</v>
      </c>
      <c r="G3494">
        <v>344479472</v>
      </c>
      <c r="H3494">
        <v>76309</v>
      </c>
      <c r="I3494">
        <v>8350</v>
      </c>
      <c r="J3494">
        <v>84659</v>
      </c>
      <c r="K3494" t="b">
        <f>TrafficData[[#This Row],[disposedChallan]]+TrafficData[[#This Row],[pendingChallan]]=TrafficData[[#This Row],[totalChallan]]</f>
        <v>1</v>
      </c>
      <c r="L3494" t="b">
        <f>TrafficData[[#This Row],[pendingAmount]]+TrafficData[[#This Row],[disposedAmount]]=TrafficData[[#This Row],[totalAmount]]</f>
        <v>1</v>
      </c>
      <c r="M3494" t="b">
        <f>TrafficData[[#This Row],[pendingCourt]]+TrafficData[[#This Row],[disposedCourt]]=TrafficData[[#This Row],[totalCourt]]</f>
        <v>1</v>
      </c>
      <c r="N3494" t="b">
        <f>AND(TrafficData[[#This Row],[disposedChallan]]&lt;=TrafficData[[#This Row],[totalChallan]],TrafficData[[#This Row],[pendingChallan]]&lt;=TrafficData[[#This Row],[totalChallan]])</f>
        <v>1</v>
      </c>
      <c r="O3494" t="b">
        <f>AND(TrafficData[[#This Row],[pendingAmount]]&lt;=TrafficData[[#This Row],[totalAmount]],TrafficData[[#This Row],[disposedAmount]]&lt;=TrafficData[[#This Row],[totalAmount]])</f>
        <v>1</v>
      </c>
      <c r="P3494" t="b">
        <f>AND(TrafficData[[#This Row],[pendingCourt]]&lt;=TrafficData[[#This Row],[totalCourt]],TrafficData[[#This Row],[disposedCourt]]&lt;=TrafficData[[#This Row],[totalCourt]])</f>
        <v>1</v>
      </c>
    </row>
    <row r="3495" spans="1:16">
      <c r="A3495" s="1">
        <v>45499</v>
      </c>
      <c r="B3495">
        <v>225340</v>
      </c>
      <c r="C3495">
        <v>70931</v>
      </c>
      <c r="D3495">
        <v>154409</v>
      </c>
      <c r="E3495">
        <v>228882311</v>
      </c>
      <c r="F3495">
        <v>105404247</v>
      </c>
      <c r="G3495">
        <v>334286558</v>
      </c>
      <c r="H3495">
        <v>73415</v>
      </c>
      <c r="I3495">
        <v>8080</v>
      </c>
      <c r="J3495">
        <v>81495</v>
      </c>
      <c r="K3495" t="b">
        <f>TrafficData[[#This Row],[disposedChallan]]+TrafficData[[#This Row],[pendingChallan]]=TrafficData[[#This Row],[totalChallan]]</f>
        <v>1</v>
      </c>
      <c r="L3495" t="b">
        <f>TrafficData[[#This Row],[pendingAmount]]+TrafficData[[#This Row],[disposedAmount]]=TrafficData[[#This Row],[totalAmount]]</f>
        <v>1</v>
      </c>
      <c r="M3495" t="b">
        <f>TrafficData[[#This Row],[pendingCourt]]+TrafficData[[#This Row],[disposedCourt]]=TrafficData[[#This Row],[totalCourt]]</f>
        <v>1</v>
      </c>
      <c r="N3495" t="b">
        <f>AND(TrafficData[[#This Row],[disposedChallan]]&lt;=TrafficData[[#This Row],[totalChallan]],TrafficData[[#This Row],[pendingChallan]]&lt;=TrafficData[[#This Row],[totalChallan]])</f>
        <v>1</v>
      </c>
      <c r="O3495" t="b">
        <f>AND(TrafficData[[#This Row],[pendingAmount]]&lt;=TrafficData[[#This Row],[totalAmount]],TrafficData[[#This Row],[disposedAmount]]&lt;=TrafficData[[#This Row],[totalAmount]])</f>
        <v>1</v>
      </c>
      <c r="P3495" t="b">
        <f>AND(TrafficData[[#This Row],[pendingCourt]]&lt;=TrafficData[[#This Row],[totalCourt]],TrafficData[[#This Row],[disposedCourt]]&lt;=TrafficData[[#This Row],[totalCourt]])</f>
        <v>1</v>
      </c>
    </row>
    <row r="3496" spans="1:16">
      <c r="A3496" s="1">
        <v>45500</v>
      </c>
      <c r="B3496">
        <v>223895</v>
      </c>
      <c r="C3496">
        <v>72211</v>
      </c>
      <c r="D3496">
        <v>151684</v>
      </c>
      <c r="E3496">
        <v>213946354</v>
      </c>
      <c r="F3496">
        <v>93710449</v>
      </c>
      <c r="G3496">
        <v>307656803</v>
      </c>
      <c r="H3496">
        <v>70806</v>
      </c>
      <c r="I3496">
        <v>8015</v>
      </c>
      <c r="J3496">
        <v>78821</v>
      </c>
      <c r="K3496" t="b">
        <f>TrafficData[[#This Row],[disposedChallan]]+TrafficData[[#This Row],[pendingChallan]]=TrafficData[[#This Row],[totalChallan]]</f>
        <v>1</v>
      </c>
      <c r="L3496" t="b">
        <f>TrafficData[[#This Row],[pendingAmount]]+TrafficData[[#This Row],[disposedAmount]]=TrafficData[[#This Row],[totalAmount]]</f>
        <v>1</v>
      </c>
      <c r="M3496" t="b">
        <f>TrafficData[[#This Row],[pendingCourt]]+TrafficData[[#This Row],[disposedCourt]]=TrafficData[[#This Row],[totalCourt]]</f>
        <v>1</v>
      </c>
      <c r="N3496" t="b">
        <f>AND(TrafficData[[#This Row],[disposedChallan]]&lt;=TrafficData[[#This Row],[totalChallan]],TrafficData[[#This Row],[pendingChallan]]&lt;=TrafficData[[#This Row],[totalChallan]])</f>
        <v>1</v>
      </c>
      <c r="O3496" t="b">
        <f>AND(TrafficData[[#This Row],[pendingAmount]]&lt;=TrafficData[[#This Row],[totalAmount]],TrafficData[[#This Row],[disposedAmount]]&lt;=TrafficData[[#This Row],[totalAmount]])</f>
        <v>1</v>
      </c>
      <c r="P3496" t="b">
        <f>AND(TrafficData[[#This Row],[pendingCourt]]&lt;=TrafficData[[#This Row],[totalCourt]],TrafficData[[#This Row],[disposedCourt]]&lt;=TrafficData[[#This Row],[totalCourt]])</f>
        <v>1</v>
      </c>
    </row>
    <row r="3497" spans="1:16">
      <c r="A3497" s="1">
        <v>45501</v>
      </c>
      <c r="B3497">
        <v>211907</v>
      </c>
      <c r="C3497">
        <v>66025</v>
      </c>
      <c r="D3497">
        <v>145882</v>
      </c>
      <c r="E3497">
        <v>189734559</v>
      </c>
      <c r="F3497">
        <v>77360108</v>
      </c>
      <c r="G3497">
        <v>267094667</v>
      </c>
      <c r="H3497">
        <v>60849</v>
      </c>
      <c r="I3497">
        <v>6983</v>
      </c>
      <c r="J3497">
        <v>67832</v>
      </c>
      <c r="K3497" t="b">
        <f>TrafficData[[#This Row],[disposedChallan]]+TrafficData[[#This Row],[pendingChallan]]=TrafficData[[#This Row],[totalChallan]]</f>
        <v>1</v>
      </c>
      <c r="L3497" t="b">
        <f>TrafficData[[#This Row],[pendingAmount]]+TrafficData[[#This Row],[disposedAmount]]=TrafficData[[#This Row],[totalAmount]]</f>
        <v>1</v>
      </c>
      <c r="M3497" t="b">
        <f>TrafficData[[#This Row],[pendingCourt]]+TrafficData[[#This Row],[disposedCourt]]=TrafficData[[#This Row],[totalCourt]]</f>
        <v>1</v>
      </c>
      <c r="N3497" t="b">
        <f>AND(TrafficData[[#This Row],[disposedChallan]]&lt;=TrafficData[[#This Row],[totalChallan]],TrafficData[[#This Row],[pendingChallan]]&lt;=TrafficData[[#This Row],[totalChallan]])</f>
        <v>1</v>
      </c>
      <c r="O3497" t="b">
        <f>AND(TrafficData[[#This Row],[pendingAmount]]&lt;=TrafficData[[#This Row],[totalAmount]],TrafficData[[#This Row],[disposedAmount]]&lt;=TrafficData[[#This Row],[totalAmount]])</f>
        <v>1</v>
      </c>
      <c r="P3497" t="b">
        <f>AND(TrafficData[[#This Row],[pendingCourt]]&lt;=TrafficData[[#This Row],[totalCourt]],TrafficData[[#This Row],[disposedCourt]]&lt;=TrafficData[[#This Row],[totalCourt]])</f>
        <v>1</v>
      </c>
    </row>
    <row r="3498" spans="1:16">
      <c r="A3498" s="1">
        <v>45502</v>
      </c>
      <c r="B3498">
        <v>208593</v>
      </c>
      <c r="C3498">
        <v>65023</v>
      </c>
      <c r="D3498">
        <v>143570</v>
      </c>
      <c r="E3498">
        <v>208749656</v>
      </c>
      <c r="F3498">
        <v>89042454</v>
      </c>
      <c r="G3498">
        <v>297792110</v>
      </c>
      <c r="H3498">
        <v>66991</v>
      </c>
      <c r="I3498">
        <v>7416</v>
      </c>
      <c r="J3498">
        <v>74407</v>
      </c>
      <c r="K3498" t="b">
        <f>TrafficData[[#This Row],[disposedChallan]]+TrafficData[[#This Row],[pendingChallan]]=TrafficData[[#This Row],[totalChallan]]</f>
        <v>1</v>
      </c>
      <c r="L3498" t="b">
        <f>TrafficData[[#This Row],[pendingAmount]]+TrafficData[[#This Row],[disposedAmount]]=TrafficData[[#This Row],[totalAmount]]</f>
        <v>1</v>
      </c>
      <c r="M3498" t="b">
        <f>TrafficData[[#This Row],[pendingCourt]]+TrafficData[[#This Row],[disposedCourt]]=TrafficData[[#This Row],[totalCourt]]</f>
        <v>1</v>
      </c>
      <c r="N3498" t="b">
        <f>AND(TrafficData[[#This Row],[disposedChallan]]&lt;=TrafficData[[#This Row],[totalChallan]],TrafficData[[#This Row],[pendingChallan]]&lt;=TrafficData[[#This Row],[totalChallan]])</f>
        <v>1</v>
      </c>
      <c r="O3498" t="b">
        <f>AND(TrafficData[[#This Row],[pendingAmount]]&lt;=TrafficData[[#This Row],[totalAmount]],TrafficData[[#This Row],[disposedAmount]]&lt;=TrafficData[[#This Row],[totalAmount]])</f>
        <v>1</v>
      </c>
      <c r="P3498" t="b">
        <f>AND(TrafficData[[#This Row],[pendingCourt]]&lt;=TrafficData[[#This Row],[totalCourt]],TrafficData[[#This Row],[disposedCourt]]&lt;=TrafficData[[#This Row],[totalCourt]])</f>
        <v>1</v>
      </c>
    </row>
    <row r="3499" spans="1:16">
      <c r="A3499" s="1">
        <v>45503</v>
      </c>
      <c r="B3499">
        <v>215061</v>
      </c>
      <c r="C3499">
        <v>65986</v>
      </c>
      <c r="D3499">
        <v>149075</v>
      </c>
      <c r="E3499">
        <v>228368110</v>
      </c>
      <c r="F3499">
        <v>98440731</v>
      </c>
      <c r="G3499">
        <v>326808841</v>
      </c>
      <c r="H3499">
        <v>66920</v>
      </c>
      <c r="I3499">
        <v>7342</v>
      </c>
      <c r="J3499">
        <v>74262</v>
      </c>
      <c r="K3499" t="b">
        <f>TrafficData[[#This Row],[disposedChallan]]+TrafficData[[#This Row],[pendingChallan]]=TrafficData[[#This Row],[totalChallan]]</f>
        <v>1</v>
      </c>
      <c r="L3499" t="b">
        <f>TrafficData[[#This Row],[pendingAmount]]+TrafficData[[#This Row],[disposedAmount]]=TrafficData[[#This Row],[totalAmount]]</f>
        <v>1</v>
      </c>
      <c r="M3499" t="b">
        <f>TrafficData[[#This Row],[pendingCourt]]+TrafficData[[#This Row],[disposedCourt]]=TrafficData[[#This Row],[totalCourt]]</f>
        <v>1</v>
      </c>
      <c r="N3499" t="b">
        <f>AND(TrafficData[[#This Row],[disposedChallan]]&lt;=TrafficData[[#This Row],[totalChallan]],TrafficData[[#This Row],[pendingChallan]]&lt;=TrafficData[[#This Row],[totalChallan]])</f>
        <v>1</v>
      </c>
      <c r="O3499" t="b">
        <f>AND(TrafficData[[#This Row],[pendingAmount]]&lt;=TrafficData[[#This Row],[totalAmount]],TrafficData[[#This Row],[disposedAmount]]&lt;=TrafficData[[#This Row],[totalAmount]])</f>
        <v>1</v>
      </c>
      <c r="P3499" t="b">
        <f>AND(TrafficData[[#This Row],[pendingCourt]]&lt;=TrafficData[[#This Row],[totalCourt]],TrafficData[[#This Row],[disposedCourt]]&lt;=TrafficData[[#This Row],[totalCourt]])</f>
        <v>1</v>
      </c>
    </row>
    <row r="3500" spans="1:16">
      <c r="A3500" s="1">
        <v>45504</v>
      </c>
      <c r="B3500">
        <v>190247</v>
      </c>
      <c r="C3500">
        <v>60385</v>
      </c>
      <c r="D3500">
        <v>129862</v>
      </c>
      <c r="E3500">
        <v>182335746</v>
      </c>
      <c r="F3500">
        <v>87721251</v>
      </c>
      <c r="G3500">
        <v>270056997</v>
      </c>
      <c r="H3500">
        <v>56475</v>
      </c>
      <c r="I3500">
        <v>6451</v>
      </c>
      <c r="J3500">
        <v>62926</v>
      </c>
      <c r="K3500" t="b">
        <f>TrafficData[[#This Row],[disposedChallan]]+TrafficData[[#This Row],[pendingChallan]]=TrafficData[[#This Row],[totalChallan]]</f>
        <v>1</v>
      </c>
      <c r="L3500" t="b">
        <f>TrafficData[[#This Row],[pendingAmount]]+TrafficData[[#This Row],[disposedAmount]]=TrafficData[[#This Row],[totalAmount]]</f>
        <v>1</v>
      </c>
      <c r="M3500" t="b">
        <f>TrafficData[[#This Row],[pendingCourt]]+TrafficData[[#This Row],[disposedCourt]]=TrafficData[[#This Row],[totalCourt]]</f>
        <v>1</v>
      </c>
      <c r="N3500" t="b">
        <f>AND(TrafficData[[#This Row],[disposedChallan]]&lt;=TrafficData[[#This Row],[totalChallan]],TrafficData[[#This Row],[pendingChallan]]&lt;=TrafficData[[#This Row],[totalChallan]])</f>
        <v>1</v>
      </c>
      <c r="O3500" t="b">
        <f>AND(TrafficData[[#This Row],[pendingAmount]]&lt;=TrafficData[[#This Row],[totalAmount]],TrafficData[[#This Row],[disposedAmount]]&lt;=TrafficData[[#This Row],[totalAmount]])</f>
        <v>1</v>
      </c>
      <c r="P3500" t="b">
        <f>AND(TrafficData[[#This Row],[pendingCourt]]&lt;=TrafficData[[#This Row],[totalCourt]],TrafficData[[#This Row],[disposedCourt]]&lt;=TrafficData[[#This Row],[totalCourt]])</f>
        <v>1</v>
      </c>
    </row>
    <row r="3501" spans="1:16">
      <c r="A3501" s="1">
        <v>45505</v>
      </c>
      <c r="B3501">
        <v>215563</v>
      </c>
      <c r="C3501">
        <v>69389</v>
      </c>
      <c r="D3501">
        <v>146174</v>
      </c>
      <c r="E3501">
        <v>206702213</v>
      </c>
      <c r="F3501">
        <v>108019420</v>
      </c>
      <c r="G3501">
        <v>314721633</v>
      </c>
      <c r="H3501">
        <v>65183</v>
      </c>
      <c r="I3501">
        <v>6853</v>
      </c>
      <c r="J3501">
        <v>72036</v>
      </c>
      <c r="K3501" t="b">
        <f>TrafficData[[#This Row],[disposedChallan]]+TrafficData[[#This Row],[pendingChallan]]=TrafficData[[#This Row],[totalChallan]]</f>
        <v>1</v>
      </c>
      <c r="L3501" t="b">
        <f>TrafficData[[#This Row],[pendingAmount]]+TrafficData[[#This Row],[disposedAmount]]=TrafficData[[#This Row],[totalAmount]]</f>
        <v>1</v>
      </c>
      <c r="M3501" t="b">
        <f>TrafficData[[#This Row],[pendingCourt]]+TrafficData[[#This Row],[disposedCourt]]=TrafficData[[#This Row],[totalCourt]]</f>
        <v>1</v>
      </c>
      <c r="N3501" t="b">
        <f>AND(TrafficData[[#This Row],[disposedChallan]]&lt;=TrafficData[[#This Row],[totalChallan]],TrafficData[[#This Row],[pendingChallan]]&lt;=TrafficData[[#This Row],[totalChallan]])</f>
        <v>1</v>
      </c>
      <c r="O3501" t="b">
        <f>AND(TrafficData[[#This Row],[pendingAmount]]&lt;=TrafficData[[#This Row],[totalAmount]],TrafficData[[#This Row],[disposedAmount]]&lt;=TrafficData[[#This Row],[totalAmount]])</f>
        <v>1</v>
      </c>
      <c r="P3501" t="b">
        <f>AND(TrafficData[[#This Row],[pendingCourt]]&lt;=TrafficData[[#This Row],[totalCourt]],TrafficData[[#This Row],[disposedCourt]]&lt;=TrafficData[[#This Row],[totalCourt]])</f>
        <v>1</v>
      </c>
    </row>
    <row r="3502" spans="1:16">
      <c r="A3502" s="1">
        <v>45506</v>
      </c>
      <c r="B3502">
        <v>222431</v>
      </c>
      <c r="C3502">
        <v>71006</v>
      </c>
      <c r="D3502">
        <v>151425</v>
      </c>
      <c r="E3502">
        <v>216186510</v>
      </c>
      <c r="F3502">
        <v>113140407</v>
      </c>
      <c r="G3502">
        <v>329326917</v>
      </c>
      <c r="H3502">
        <v>68712</v>
      </c>
      <c r="I3502">
        <v>7147</v>
      </c>
      <c r="J3502">
        <v>75859</v>
      </c>
      <c r="K3502" t="b">
        <f>TrafficData[[#This Row],[disposedChallan]]+TrafficData[[#This Row],[pendingChallan]]=TrafficData[[#This Row],[totalChallan]]</f>
        <v>1</v>
      </c>
      <c r="L3502" t="b">
        <f>TrafficData[[#This Row],[pendingAmount]]+TrafficData[[#This Row],[disposedAmount]]=TrafficData[[#This Row],[totalAmount]]</f>
        <v>1</v>
      </c>
      <c r="M3502" t="b">
        <f>TrafficData[[#This Row],[pendingCourt]]+TrafficData[[#This Row],[disposedCourt]]=TrafficData[[#This Row],[totalCourt]]</f>
        <v>1</v>
      </c>
      <c r="N3502" t="b">
        <f>AND(TrafficData[[#This Row],[disposedChallan]]&lt;=TrafficData[[#This Row],[totalChallan]],TrafficData[[#This Row],[pendingChallan]]&lt;=TrafficData[[#This Row],[totalChallan]])</f>
        <v>1</v>
      </c>
      <c r="O3502" t="b">
        <f>AND(TrafficData[[#This Row],[pendingAmount]]&lt;=TrafficData[[#This Row],[totalAmount]],TrafficData[[#This Row],[disposedAmount]]&lt;=TrafficData[[#This Row],[totalAmount]])</f>
        <v>1</v>
      </c>
      <c r="P3502" t="b">
        <f>AND(TrafficData[[#This Row],[pendingCourt]]&lt;=TrafficData[[#This Row],[totalCourt]],TrafficData[[#This Row],[disposedCourt]]&lt;=TrafficData[[#This Row],[totalCourt]])</f>
        <v>1</v>
      </c>
    </row>
    <row r="3503" spans="1:16">
      <c r="A3503" s="1">
        <v>45507</v>
      </c>
      <c r="B3503">
        <v>222234</v>
      </c>
      <c r="C3503">
        <v>73180</v>
      </c>
      <c r="D3503">
        <v>149054</v>
      </c>
      <c r="E3503">
        <v>218235786</v>
      </c>
      <c r="F3503">
        <v>342038216</v>
      </c>
      <c r="G3503">
        <v>560274002</v>
      </c>
      <c r="H3503">
        <v>68015</v>
      </c>
      <c r="I3503">
        <v>7724</v>
      </c>
      <c r="J3503">
        <v>75739</v>
      </c>
      <c r="K3503" t="b">
        <f>TrafficData[[#This Row],[disposedChallan]]+TrafficData[[#This Row],[pendingChallan]]=TrafficData[[#This Row],[totalChallan]]</f>
        <v>1</v>
      </c>
      <c r="L3503" t="b">
        <f>TrafficData[[#This Row],[pendingAmount]]+TrafficData[[#This Row],[disposedAmount]]=TrafficData[[#This Row],[totalAmount]]</f>
        <v>1</v>
      </c>
      <c r="M3503" t="b">
        <f>TrafficData[[#This Row],[pendingCourt]]+TrafficData[[#This Row],[disposedCourt]]=TrafficData[[#This Row],[totalCourt]]</f>
        <v>1</v>
      </c>
      <c r="N3503" t="b">
        <f>AND(TrafficData[[#This Row],[disposedChallan]]&lt;=TrafficData[[#This Row],[totalChallan]],TrafficData[[#This Row],[pendingChallan]]&lt;=TrafficData[[#This Row],[totalChallan]])</f>
        <v>1</v>
      </c>
      <c r="O3503" t="b">
        <f>AND(TrafficData[[#This Row],[pendingAmount]]&lt;=TrafficData[[#This Row],[totalAmount]],TrafficData[[#This Row],[disposedAmount]]&lt;=TrafficData[[#This Row],[totalAmount]])</f>
        <v>1</v>
      </c>
      <c r="P3503" t="b">
        <f>AND(TrafficData[[#This Row],[pendingCourt]]&lt;=TrafficData[[#This Row],[totalCourt]],TrafficData[[#This Row],[disposedCourt]]&lt;=TrafficData[[#This Row],[totalCourt]])</f>
        <v>1</v>
      </c>
    </row>
    <row r="3504" spans="1:16">
      <c r="A3504" s="1">
        <v>45508</v>
      </c>
      <c r="B3504">
        <v>205533</v>
      </c>
      <c r="C3504">
        <v>65895</v>
      </c>
      <c r="D3504">
        <v>139638</v>
      </c>
      <c r="E3504">
        <v>191768234</v>
      </c>
      <c r="F3504">
        <v>84769102</v>
      </c>
      <c r="G3504">
        <v>276537336</v>
      </c>
      <c r="H3504">
        <v>62316</v>
      </c>
      <c r="I3504">
        <v>6956</v>
      </c>
      <c r="J3504">
        <v>69272</v>
      </c>
      <c r="K3504" t="b">
        <f>TrafficData[[#This Row],[disposedChallan]]+TrafficData[[#This Row],[pendingChallan]]=TrafficData[[#This Row],[totalChallan]]</f>
        <v>1</v>
      </c>
      <c r="L3504" t="b">
        <f>TrafficData[[#This Row],[pendingAmount]]+TrafficData[[#This Row],[disposedAmount]]=TrafficData[[#This Row],[totalAmount]]</f>
        <v>1</v>
      </c>
      <c r="M3504" t="b">
        <f>TrafficData[[#This Row],[pendingCourt]]+TrafficData[[#This Row],[disposedCourt]]=TrafficData[[#This Row],[totalCourt]]</f>
        <v>1</v>
      </c>
      <c r="N3504" t="b">
        <f>AND(TrafficData[[#This Row],[disposedChallan]]&lt;=TrafficData[[#This Row],[totalChallan]],TrafficData[[#This Row],[pendingChallan]]&lt;=TrafficData[[#This Row],[totalChallan]])</f>
        <v>1</v>
      </c>
      <c r="O3504" t="b">
        <f>AND(TrafficData[[#This Row],[pendingAmount]]&lt;=TrafficData[[#This Row],[totalAmount]],TrafficData[[#This Row],[disposedAmount]]&lt;=TrafficData[[#This Row],[totalAmount]])</f>
        <v>1</v>
      </c>
      <c r="P3504" t="b">
        <f>AND(TrafficData[[#This Row],[pendingCourt]]&lt;=TrafficData[[#This Row],[totalCourt]],TrafficData[[#This Row],[disposedCourt]]&lt;=TrafficData[[#This Row],[totalCourt]])</f>
        <v>1</v>
      </c>
    </row>
    <row r="3505" spans="1:16">
      <c r="A3505" s="1">
        <v>45509</v>
      </c>
      <c r="B3505">
        <v>229105</v>
      </c>
      <c r="C3505">
        <v>73344</v>
      </c>
      <c r="D3505">
        <v>155761</v>
      </c>
      <c r="E3505">
        <v>242068816</v>
      </c>
      <c r="F3505">
        <v>114573864</v>
      </c>
      <c r="G3505">
        <v>356642680</v>
      </c>
      <c r="H3505">
        <v>71268</v>
      </c>
      <c r="I3505">
        <v>7753</v>
      </c>
      <c r="J3505">
        <v>79021</v>
      </c>
      <c r="K3505" t="b">
        <f>TrafficData[[#This Row],[disposedChallan]]+TrafficData[[#This Row],[pendingChallan]]=TrafficData[[#This Row],[totalChallan]]</f>
        <v>1</v>
      </c>
      <c r="L3505" t="b">
        <f>TrafficData[[#This Row],[pendingAmount]]+TrafficData[[#This Row],[disposedAmount]]=TrafficData[[#This Row],[totalAmount]]</f>
        <v>1</v>
      </c>
      <c r="M3505" t="b">
        <f>TrafficData[[#This Row],[pendingCourt]]+TrafficData[[#This Row],[disposedCourt]]=TrafficData[[#This Row],[totalCourt]]</f>
        <v>1</v>
      </c>
      <c r="N3505" t="b">
        <f>AND(TrafficData[[#This Row],[disposedChallan]]&lt;=TrafficData[[#This Row],[totalChallan]],TrafficData[[#This Row],[pendingChallan]]&lt;=TrafficData[[#This Row],[totalChallan]])</f>
        <v>1</v>
      </c>
      <c r="O3505" t="b">
        <f>AND(TrafficData[[#This Row],[pendingAmount]]&lt;=TrafficData[[#This Row],[totalAmount]],TrafficData[[#This Row],[disposedAmount]]&lt;=TrafficData[[#This Row],[totalAmount]])</f>
        <v>1</v>
      </c>
      <c r="P3505" t="b">
        <f>AND(TrafficData[[#This Row],[pendingCourt]]&lt;=TrafficData[[#This Row],[totalCourt]],TrafficData[[#This Row],[disposedCourt]]&lt;=TrafficData[[#This Row],[totalCourt]])</f>
        <v>1</v>
      </c>
    </row>
    <row r="3506" spans="1:16">
      <c r="A3506" s="1">
        <v>45510</v>
      </c>
      <c r="B3506">
        <v>233952</v>
      </c>
      <c r="C3506">
        <v>75803</v>
      </c>
      <c r="D3506">
        <v>158149</v>
      </c>
      <c r="E3506">
        <v>254013488</v>
      </c>
      <c r="F3506">
        <v>124681408</v>
      </c>
      <c r="G3506">
        <v>378694896</v>
      </c>
      <c r="H3506">
        <v>79715</v>
      </c>
      <c r="I3506">
        <v>8495</v>
      </c>
      <c r="J3506">
        <v>88210</v>
      </c>
      <c r="K3506" t="b">
        <f>TrafficData[[#This Row],[disposedChallan]]+TrafficData[[#This Row],[pendingChallan]]=TrafficData[[#This Row],[totalChallan]]</f>
        <v>1</v>
      </c>
      <c r="L3506" t="b">
        <f>TrafficData[[#This Row],[pendingAmount]]+TrafficData[[#This Row],[disposedAmount]]=TrafficData[[#This Row],[totalAmount]]</f>
        <v>1</v>
      </c>
      <c r="M3506" t="b">
        <f>TrafficData[[#This Row],[pendingCourt]]+TrafficData[[#This Row],[disposedCourt]]=TrafficData[[#This Row],[totalCourt]]</f>
        <v>1</v>
      </c>
      <c r="N3506" t="b">
        <f>AND(TrafficData[[#This Row],[disposedChallan]]&lt;=TrafficData[[#This Row],[totalChallan]],TrafficData[[#This Row],[pendingChallan]]&lt;=TrafficData[[#This Row],[totalChallan]])</f>
        <v>1</v>
      </c>
      <c r="O3506" t="b">
        <f>AND(TrafficData[[#This Row],[pendingAmount]]&lt;=TrafficData[[#This Row],[totalAmount]],TrafficData[[#This Row],[disposedAmount]]&lt;=TrafficData[[#This Row],[totalAmount]])</f>
        <v>1</v>
      </c>
      <c r="P3506" t="b">
        <f>AND(TrafficData[[#This Row],[pendingCourt]]&lt;=TrafficData[[#This Row],[totalCourt]],TrafficData[[#This Row],[disposedCourt]]&lt;=TrafficData[[#This Row],[totalCourt]])</f>
        <v>1</v>
      </c>
    </row>
    <row r="3507" spans="1:16">
      <c r="A3507" s="1">
        <v>45511</v>
      </c>
      <c r="B3507">
        <v>237687</v>
      </c>
      <c r="C3507">
        <v>76407</v>
      </c>
      <c r="D3507">
        <v>161280</v>
      </c>
      <c r="E3507">
        <v>262195043</v>
      </c>
      <c r="F3507">
        <v>133888155</v>
      </c>
      <c r="G3507">
        <v>396083198</v>
      </c>
      <c r="H3507">
        <v>77978</v>
      </c>
      <c r="I3507">
        <v>8274</v>
      </c>
      <c r="J3507">
        <v>86252</v>
      </c>
      <c r="K3507" t="b">
        <f>TrafficData[[#This Row],[disposedChallan]]+TrafficData[[#This Row],[pendingChallan]]=TrafficData[[#This Row],[totalChallan]]</f>
        <v>1</v>
      </c>
      <c r="L3507" t="b">
        <f>TrafficData[[#This Row],[pendingAmount]]+TrafficData[[#This Row],[disposedAmount]]=TrafficData[[#This Row],[totalAmount]]</f>
        <v>1</v>
      </c>
      <c r="M3507" t="b">
        <f>TrafficData[[#This Row],[pendingCourt]]+TrafficData[[#This Row],[disposedCourt]]=TrafficData[[#This Row],[totalCourt]]</f>
        <v>1</v>
      </c>
      <c r="N3507" t="b">
        <f>AND(TrafficData[[#This Row],[disposedChallan]]&lt;=TrafficData[[#This Row],[totalChallan]],TrafficData[[#This Row],[pendingChallan]]&lt;=TrafficData[[#This Row],[totalChallan]])</f>
        <v>1</v>
      </c>
      <c r="O3507" t="b">
        <f>AND(TrafficData[[#This Row],[pendingAmount]]&lt;=TrafficData[[#This Row],[totalAmount]],TrafficData[[#This Row],[disposedAmount]]&lt;=TrafficData[[#This Row],[totalAmount]])</f>
        <v>1</v>
      </c>
      <c r="P3507" t="b">
        <f>AND(TrafficData[[#This Row],[pendingCourt]]&lt;=TrafficData[[#This Row],[totalCourt]],TrafficData[[#This Row],[disposedCourt]]&lt;=TrafficData[[#This Row],[totalCourt]])</f>
        <v>1</v>
      </c>
    </row>
    <row r="3508" spans="1:16">
      <c r="A3508" s="1">
        <v>45512</v>
      </c>
      <c r="B3508">
        <v>246650</v>
      </c>
      <c r="C3508">
        <v>76628</v>
      </c>
      <c r="D3508">
        <v>170022</v>
      </c>
      <c r="E3508">
        <v>273862145</v>
      </c>
      <c r="F3508">
        <v>128128426</v>
      </c>
      <c r="G3508">
        <v>401990571</v>
      </c>
      <c r="H3508">
        <v>85975</v>
      </c>
      <c r="I3508">
        <v>9113</v>
      </c>
      <c r="J3508">
        <v>95088</v>
      </c>
      <c r="K3508" t="b">
        <f>TrafficData[[#This Row],[disposedChallan]]+TrafficData[[#This Row],[pendingChallan]]=TrafficData[[#This Row],[totalChallan]]</f>
        <v>1</v>
      </c>
      <c r="L3508" t="b">
        <f>TrafficData[[#This Row],[pendingAmount]]+TrafficData[[#This Row],[disposedAmount]]=TrafficData[[#This Row],[totalAmount]]</f>
        <v>1</v>
      </c>
      <c r="M3508" t="b">
        <f>TrafficData[[#This Row],[pendingCourt]]+TrafficData[[#This Row],[disposedCourt]]=TrafficData[[#This Row],[totalCourt]]</f>
        <v>1</v>
      </c>
      <c r="N3508" t="b">
        <f>AND(TrafficData[[#This Row],[disposedChallan]]&lt;=TrafficData[[#This Row],[totalChallan]],TrafficData[[#This Row],[pendingChallan]]&lt;=TrafficData[[#This Row],[totalChallan]])</f>
        <v>1</v>
      </c>
      <c r="O3508" t="b">
        <f>AND(TrafficData[[#This Row],[pendingAmount]]&lt;=TrafficData[[#This Row],[totalAmount]],TrafficData[[#This Row],[disposedAmount]]&lt;=TrafficData[[#This Row],[totalAmount]])</f>
        <v>1</v>
      </c>
      <c r="P3508" t="b">
        <f>AND(TrafficData[[#This Row],[pendingCourt]]&lt;=TrafficData[[#This Row],[totalCourt]],TrafficData[[#This Row],[disposedCourt]]&lt;=TrafficData[[#This Row],[totalCourt]])</f>
        <v>1</v>
      </c>
    </row>
    <row r="3509" spans="1:16">
      <c r="A3509" s="1">
        <v>45513</v>
      </c>
      <c r="B3509">
        <v>231599</v>
      </c>
      <c r="C3509">
        <v>73570</v>
      </c>
      <c r="D3509">
        <v>158029</v>
      </c>
      <c r="E3509">
        <v>253780297</v>
      </c>
      <c r="F3509">
        <v>120575452</v>
      </c>
      <c r="G3509">
        <v>374355749</v>
      </c>
      <c r="H3509">
        <v>82081</v>
      </c>
      <c r="I3509">
        <v>8724</v>
      </c>
      <c r="J3509">
        <v>90805</v>
      </c>
      <c r="K3509" t="b">
        <f>TrafficData[[#This Row],[disposedChallan]]+TrafficData[[#This Row],[pendingChallan]]=TrafficData[[#This Row],[totalChallan]]</f>
        <v>1</v>
      </c>
      <c r="L3509" t="b">
        <f>TrafficData[[#This Row],[pendingAmount]]+TrafficData[[#This Row],[disposedAmount]]=TrafficData[[#This Row],[totalAmount]]</f>
        <v>1</v>
      </c>
      <c r="M3509" t="b">
        <f>TrafficData[[#This Row],[pendingCourt]]+TrafficData[[#This Row],[disposedCourt]]=TrafficData[[#This Row],[totalCourt]]</f>
        <v>1</v>
      </c>
      <c r="N3509" t="b">
        <f>AND(TrafficData[[#This Row],[disposedChallan]]&lt;=TrafficData[[#This Row],[totalChallan]],TrafficData[[#This Row],[pendingChallan]]&lt;=TrafficData[[#This Row],[totalChallan]])</f>
        <v>1</v>
      </c>
      <c r="O3509" t="b">
        <f>AND(TrafficData[[#This Row],[pendingAmount]]&lt;=TrafficData[[#This Row],[totalAmount]],TrafficData[[#This Row],[disposedAmount]]&lt;=TrafficData[[#This Row],[totalAmount]])</f>
        <v>1</v>
      </c>
      <c r="P3509" t="b">
        <f>AND(TrafficData[[#This Row],[pendingCourt]]&lt;=TrafficData[[#This Row],[totalCourt]],TrafficData[[#This Row],[disposedCourt]]&lt;=TrafficData[[#This Row],[totalCourt]])</f>
        <v>1</v>
      </c>
    </row>
    <row r="3510" spans="1:16">
      <c r="A3510" s="1">
        <v>45514</v>
      </c>
      <c r="B3510">
        <v>247726</v>
      </c>
      <c r="C3510">
        <v>76871</v>
      </c>
      <c r="D3510">
        <v>170855</v>
      </c>
      <c r="E3510">
        <v>262693593</v>
      </c>
      <c r="F3510">
        <v>109275299</v>
      </c>
      <c r="G3510">
        <v>371968892</v>
      </c>
      <c r="H3510">
        <v>90738</v>
      </c>
      <c r="I3510">
        <v>9774</v>
      </c>
      <c r="J3510">
        <v>100512</v>
      </c>
      <c r="K3510" t="b">
        <f>TrafficData[[#This Row],[disposedChallan]]+TrafficData[[#This Row],[pendingChallan]]=TrafficData[[#This Row],[totalChallan]]</f>
        <v>1</v>
      </c>
      <c r="L3510" t="b">
        <f>TrafficData[[#This Row],[pendingAmount]]+TrafficData[[#This Row],[disposedAmount]]=TrafficData[[#This Row],[totalAmount]]</f>
        <v>1</v>
      </c>
      <c r="M3510" t="b">
        <f>TrafficData[[#This Row],[pendingCourt]]+TrafficData[[#This Row],[disposedCourt]]=TrafficData[[#This Row],[totalCourt]]</f>
        <v>1</v>
      </c>
      <c r="N3510" t="b">
        <f>AND(TrafficData[[#This Row],[disposedChallan]]&lt;=TrafficData[[#This Row],[totalChallan]],TrafficData[[#This Row],[pendingChallan]]&lt;=TrafficData[[#This Row],[totalChallan]])</f>
        <v>1</v>
      </c>
      <c r="O3510" t="b">
        <f>AND(TrafficData[[#This Row],[pendingAmount]]&lt;=TrafficData[[#This Row],[totalAmount]],TrafficData[[#This Row],[disposedAmount]]&lt;=TrafficData[[#This Row],[totalAmount]])</f>
        <v>1</v>
      </c>
      <c r="P3510" t="b">
        <f>AND(TrafficData[[#This Row],[pendingCourt]]&lt;=TrafficData[[#This Row],[totalCourt]],TrafficData[[#This Row],[disposedCourt]]&lt;=TrafficData[[#This Row],[totalCourt]])</f>
        <v>1</v>
      </c>
    </row>
    <row r="3511" spans="1:16">
      <c r="A3511" s="1">
        <v>45515</v>
      </c>
      <c r="B3511">
        <v>209663</v>
      </c>
      <c r="C3511">
        <v>65159</v>
      </c>
      <c r="D3511">
        <v>144504</v>
      </c>
      <c r="E3511">
        <v>200434658</v>
      </c>
      <c r="F3511">
        <v>84619843</v>
      </c>
      <c r="G3511">
        <v>285054501</v>
      </c>
      <c r="H3511">
        <v>67879</v>
      </c>
      <c r="I3511">
        <v>7215</v>
      </c>
      <c r="J3511">
        <v>75094</v>
      </c>
      <c r="K3511" t="b">
        <f>TrafficData[[#This Row],[disposedChallan]]+TrafficData[[#This Row],[pendingChallan]]=TrafficData[[#This Row],[totalChallan]]</f>
        <v>1</v>
      </c>
      <c r="L3511" t="b">
        <f>TrafficData[[#This Row],[pendingAmount]]+TrafficData[[#This Row],[disposedAmount]]=TrafficData[[#This Row],[totalAmount]]</f>
        <v>1</v>
      </c>
      <c r="M3511" t="b">
        <f>TrafficData[[#This Row],[pendingCourt]]+TrafficData[[#This Row],[disposedCourt]]=TrafficData[[#This Row],[totalCourt]]</f>
        <v>1</v>
      </c>
      <c r="N3511" t="b">
        <f>AND(TrafficData[[#This Row],[disposedChallan]]&lt;=TrafficData[[#This Row],[totalChallan]],TrafficData[[#This Row],[pendingChallan]]&lt;=TrafficData[[#This Row],[totalChallan]])</f>
        <v>1</v>
      </c>
      <c r="O3511" t="b">
        <f>AND(TrafficData[[#This Row],[pendingAmount]]&lt;=TrafficData[[#This Row],[totalAmount]],TrafficData[[#This Row],[disposedAmount]]&lt;=TrafficData[[#This Row],[totalAmount]])</f>
        <v>1</v>
      </c>
      <c r="P3511" t="b">
        <f>AND(TrafficData[[#This Row],[pendingCourt]]&lt;=TrafficData[[#This Row],[totalCourt]],TrafficData[[#This Row],[disposedCourt]]&lt;=TrafficData[[#This Row],[totalCourt]])</f>
        <v>1</v>
      </c>
    </row>
    <row r="3512" spans="1:16">
      <c r="A3512" s="1">
        <v>45516</v>
      </c>
      <c r="B3512">
        <v>227515</v>
      </c>
      <c r="C3512">
        <v>70370</v>
      </c>
      <c r="D3512">
        <v>157145</v>
      </c>
      <c r="E3512">
        <v>243252972</v>
      </c>
      <c r="F3512">
        <v>107736485</v>
      </c>
      <c r="G3512">
        <v>350989457</v>
      </c>
      <c r="H3512">
        <v>78187</v>
      </c>
      <c r="I3512">
        <v>8416</v>
      </c>
      <c r="J3512">
        <v>86603</v>
      </c>
      <c r="K3512" t="b">
        <f>TrafficData[[#This Row],[disposedChallan]]+TrafficData[[#This Row],[pendingChallan]]=TrafficData[[#This Row],[totalChallan]]</f>
        <v>1</v>
      </c>
      <c r="L3512" t="b">
        <f>TrafficData[[#This Row],[pendingAmount]]+TrafficData[[#This Row],[disposedAmount]]=TrafficData[[#This Row],[totalAmount]]</f>
        <v>1</v>
      </c>
      <c r="M3512" t="b">
        <f>TrafficData[[#This Row],[pendingCourt]]+TrafficData[[#This Row],[disposedCourt]]=TrafficData[[#This Row],[totalCourt]]</f>
        <v>1</v>
      </c>
      <c r="N3512" t="b">
        <f>AND(TrafficData[[#This Row],[disposedChallan]]&lt;=TrafficData[[#This Row],[totalChallan]],TrafficData[[#This Row],[pendingChallan]]&lt;=TrafficData[[#This Row],[totalChallan]])</f>
        <v>1</v>
      </c>
      <c r="O3512" t="b">
        <f>AND(TrafficData[[#This Row],[pendingAmount]]&lt;=TrafficData[[#This Row],[totalAmount]],TrafficData[[#This Row],[disposedAmount]]&lt;=TrafficData[[#This Row],[totalAmount]])</f>
        <v>1</v>
      </c>
      <c r="P3512" t="b">
        <f>AND(TrafficData[[#This Row],[pendingCourt]]&lt;=TrafficData[[#This Row],[totalCourt]],TrafficData[[#This Row],[disposedCourt]]&lt;=TrafficData[[#This Row],[totalCourt]])</f>
        <v>1</v>
      </c>
    </row>
    <row r="3513" spans="1:16">
      <c r="A3513" s="1">
        <v>45517</v>
      </c>
      <c r="B3513">
        <v>229670</v>
      </c>
      <c r="C3513">
        <v>72211</v>
      </c>
      <c r="D3513">
        <v>157459</v>
      </c>
      <c r="E3513">
        <v>243649563</v>
      </c>
      <c r="F3513">
        <v>131677252</v>
      </c>
      <c r="G3513">
        <v>375326815</v>
      </c>
      <c r="H3513">
        <v>81420</v>
      </c>
      <c r="I3513">
        <v>8477</v>
      </c>
      <c r="J3513">
        <v>89897</v>
      </c>
      <c r="K3513" t="b">
        <f>TrafficData[[#This Row],[disposedChallan]]+TrafficData[[#This Row],[pendingChallan]]=TrafficData[[#This Row],[totalChallan]]</f>
        <v>1</v>
      </c>
      <c r="L3513" t="b">
        <f>TrafficData[[#This Row],[pendingAmount]]+TrafficData[[#This Row],[disposedAmount]]=TrafficData[[#This Row],[totalAmount]]</f>
        <v>1</v>
      </c>
      <c r="M3513" t="b">
        <f>TrafficData[[#This Row],[pendingCourt]]+TrafficData[[#This Row],[disposedCourt]]=TrafficData[[#This Row],[totalCourt]]</f>
        <v>1</v>
      </c>
      <c r="N3513" t="b">
        <f>AND(TrafficData[[#This Row],[disposedChallan]]&lt;=TrafficData[[#This Row],[totalChallan]],TrafficData[[#This Row],[pendingChallan]]&lt;=TrafficData[[#This Row],[totalChallan]])</f>
        <v>1</v>
      </c>
      <c r="O3513" t="b">
        <f>AND(TrafficData[[#This Row],[pendingAmount]]&lt;=TrafficData[[#This Row],[totalAmount]],TrafficData[[#This Row],[disposedAmount]]&lt;=TrafficData[[#This Row],[totalAmount]])</f>
        <v>1</v>
      </c>
      <c r="P3513" t="b">
        <f>AND(TrafficData[[#This Row],[pendingCourt]]&lt;=TrafficData[[#This Row],[totalCourt]],TrafficData[[#This Row],[disposedCourt]]&lt;=TrafficData[[#This Row],[totalCourt]])</f>
        <v>1</v>
      </c>
    </row>
    <row r="3514" spans="1:16">
      <c r="A3514" s="1">
        <v>45518</v>
      </c>
      <c r="B3514">
        <v>228895</v>
      </c>
      <c r="C3514">
        <v>68903</v>
      </c>
      <c r="D3514">
        <v>159992</v>
      </c>
      <c r="E3514">
        <v>255235004</v>
      </c>
      <c r="F3514">
        <v>113526296</v>
      </c>
      <c r="G3514">
        <v>368761300</v>
      </c>
      <c r="H3514">
        <v>89713</v>
      </c>
      <c r="I3514">
        <v>9559</v>
      </c>
      <c r="J3514">
        <v>99272</v>
      </c>
      <c r="K3514" t="b">
        <f>TrafficData[[#This Row],[disposedChallan]]+TrafficData[[#This Row],[pendingChallan]]=TrafficData[[#This Row],[totalChallan]]</f>
        <v>1</v>
      </c>
      <c r="L3514" t="b">
        <f>TrafficData[[#This Row],[pendingAmount]]+TrafficData[[#This Row],[disposedAmount]]=TrafficData[[#This Row],[totalAmount]]</f>
        <v>1</v>
      </c>
      <c r="M3514" t="b">
        <f>TrafficData[[#This Row],[pendingCourt]]+TrafficData[[#This Row],[disposedCourt]]=TrafficData[[#This Row],[totalCourt]]</f>
        <v>1</v>
      </c>
      <c r="N3514" t="b">
        <f>AND(TrafficData[[#This Row],[disposedChallan]]&lt;=TrafficData[[#This Row],[totalChallan]],TrafficData[[#This Row],[pendingChallan]]&lt;=TrafficData[[#This Row],[totalChallan]])</f>
        <v>1</v>
      </c>
      <c r="O3514" t="b">
        <f>AND(TrafficData[[#This Row],[pendingAmount]]&lt;=TrafficData[[#This Row],[totalAmount]],TrafficData[[#This Row],[disposedAmount]]&lt;=TrafficData[[#This Row],[totalAmount]])</f>
        <v>1</v>
      </c>
      <c r="P3514" t="b">
        <f>AND(TrafficData[[#This Row],[pendingCourt]]&lt;=TrafficData[[#This Row],[totalCourt]],TrafficData[[#This Row],[disposedCourt]]&lt;=TrafficData[[#This Row],[totalCourt]])</f>
        <v>1</v>
      </c>
    </row>
    <row r="3515" spans="1:16">
      <c r="A3515" s="1">
        <v>45519</v>
      </c>
      <c r="B3515">
        <v>164153</v>
      </c>
      <c r="C3515">
        <v>48884</v>
      </c>
      <c r="D3515">
        <v>115269</v>
      </c>
      <c r="E3515">
        <v>148489440</v>
      </c>
      <c r="F3515">
        <v>57774602</v>
      </c>
      <c r="G3515">
        <v>206264042</v>
      </c>
      <c r="H3515">
        <v>55758</v>
      </c>
      <c r="I3515">
        <v>5419</v>
      </c>
      <c r="J3515">
        <v>61177</v>
      </c>
      <c r="K3515" t="b">
        <f>TrafficData[[#This Row],[disposedChallan]]+TrafficData[[#This Row],[pendingChallan]]=TrafficData[[#This Row],[totalChallan]]</f>
        <v>1</v>
      </c>
      <c r="L3515" t="b">
        <f>TrafficData[[#This Row],[pendingAmount]]+TrafficData[[#This Row],[disposedAmount]]=TrafficData[[#This Row],[totalAmount]]</f>
        <v>1</v>
      </c>
      <c r="M3515" t="b">
        <f>TrafficData[[#This Row],[pendingCourt]]+TrafficData[[#This Row],[disposedCourt]]=TrafficData[[#This Row],[totalCourt]]</f>
        <v>1</v>
      </c>
      <c r="N3515" t="b">
        <f>AND(TrafficData[[#This Row],[disposedChallan]]&lt;=TrafficData[[#This Row],[totalChallan]],TrafficData[[#This Row],[pendingChallan]]&lt;=TrafficData[[#This Row],[totalChallan]])</f>
        <v>1</v>
      </c>
      <c r="O3515" t="b">
        <f>AND(TrafficData[[#This Row],[pendingAmount]]&lt;=TrafficData[[#This Row],[totalAmount]],TrafficData[[#This Row],[disposedAmount]]&lt;=TrafficData[[#This Row],[totalAmount]])</f>
        <v>1</v>
      </c>
      <c r="P3515" t="b">
        <f>AND(TrafficData[[#This Row],[pendingCourt]]&lt;=TrafficData[[#This Row],[totalCourt]],TrafficData[[#This Row],[disposedCourt]]&lt;=TrafficData[[#This Row],[totalCourt]])</f>
        <v>1</v>
      </c>
    </row>
    <row r="3516" spans="1:16">
      <c r="A3516" s="1">
        <v>45520</v>
      </c>
      <c r="B3516">
        <v>245648</v>
      </c>
      <c r="C3516">
        <v>74988</v>
      </c>
      <c r="D3516">
        <v>170660</v>
      </c>
      <c r="E3516">
        <v>272434033</v>
      </c>
      <c r="F3516">
        <v>114038988</v>
      </c>
      <c r="G3516">
        <v>386473021</v>
      </c>
      <c r="H3516">
        <v>91968</v>
      </c>
      <c r="I3516">
        <v>9626</v>
      </c>
      <c r="J3516">
        <v>101594</v>
      </c>
      <c r="K3516" t="b">
        <f>TrafficData[[#This Row],[disposedChallan]]+TrafficData[[#This Row],[pendingChallan]]=TrafficData[[#This Row],[totalChallan]]</f>
        <v>1</v>
      </c>
      <c r="L3516" t="b">
        <f>TrafficData[[#This Row],[pendingAmount]]+TrafficData[[#This Row],[disposedAmount]]=TrafficData[[#This Row],[totalAmount]]</f>
        <v>1</v>
      </c>
      <c r="M3516" t="b">
        <f>TrafficData[[#This Row],[pendingCourt]]+TrafficData[[#This Row],[disposedCourt]]=TrafficData[[#This Row],[totalCourt]]</f>
        <v>1</v>
      </c>
      <c r="N3516" t="b">
        <f>AND(TrafficData[[#This Row],[disposedChallan]]&lt;=TrafficData[[#This Row],[totalChallan]],TrafficData[[#This Row],[pendingChallan]]&lt;=TrafficData[[#This Row],[totalChallan]])</f>
        <v>1</v>
      </c>
      <c r="O3516" t="b">
        <f>AND(TrafficData[[#This Row],[pendingAmount]]&lt;=TrafficData[[#This Row],[totalAmount]],TrafficData[[#This Row],[disposedAmount]]&lt;=TrafficData[[#This Row],[totalAmount]])</f>
        <v>1</v>
      </c>
      <c r="P3516" t="b">
        <f>AND(TrafficData[[#This Row],[pendingCourt]]&lt;=TrafficData[[#This Row],[totalCourt]],TrafficData[[#This Row],[disposedCourt]]&lt;=TrafficData[[#This Row],[totalCourt]])</f>
        <v>1</v>
      </c>
    </row>
    <row r="3517" spans="1:16">
      <c r="A3517" s="1">
        <v>45521</v>
      </c>
      <c r="B3517">
        <v>232773</v>
      </c>
      <c r="C3517">
        <v>73350</v>
      </c>
      <c r="D3517">
        <v>159423</v>
      </c>
      <c r="E3517">
        <v>255083122</v>
      </c>
      <c r="F3517">
        <v>104283464</v>
      </c>
      <c r="G3517">
        <v>359366586</v>
      </c>
      <c r="H3517">
        <v>83076</v>
      </c>
      <c r="I3517">
        <v>9081</v>
      </c>
      <c r="J3517">
        <v>92157</v>
      </c>
      <c r="K3517" t="b">
        <f>TrafficData[[#This Row],[disposedChallan]]+TrafficData[[#This Row],[pendingChallan]]=TrafficData[[#This Row],[totalChallan]]</f>
        <v>1</v>
      </c>
      <c r="L3517" t="b">
        <f>TrafficData[[#This Row],[pendingAmount]]+TrafficData[[#This Row],[disposedAmount]]=TrafficData[[#This Row],[totalAmount]]</f>
        <v>1</v>
      </c>
      <c r="M3517" t="b">
        <f>TrafficData[[#This Row],[pendingCourt]]+TrafficData[[#This Row],[disposedCourt]]=TrafficData[[#This Row],[totalCourt]]</f>
        <v>1</v>
      </c>
      <c r="N3517" t="b">
        <f>AND(TrafficData[[#This Row],[disposedChallan]]&lt;=TrafficData[[#This Row],[totalChallan]],TrafficData[[#This Row],[pendingChallan]]&lt;=TrafficData[[#This Row],[totalChallan]])</f>
        <v>1</v>
      </c>
      <c r="O3517" t="b">
        <f>AND(TrafficData[[#This Row],[pendingAmount]]&lt;=TrafficData[[#This Row],[totalAmount]],TrafficData[[#This Row],[disposedAmount]]&lt;=TrafficData[[#This Row],[totalAmount]])</f>
        <v>1</v>
      </c>
      <c r="P3517" t="b">
        <f>AND(TrafficData[[#This Row],[pendingCourt]]&lt;=TrafficData[[#This Row],[totalCourt]],TrafficData[[#This Row],[disposedCourt]]&lt;=TrafficData[[#This Row],[totalCourt]])</f>
        <v>1</v>
      </c>
    </row>
    <row r="3518" spans="1:16">
      <c r="A3518" s="1">
        <v>45522</v>
      </c>
      <c r="B3518">
        <v>216109</v>
      </c>
      <c r="C3518">
        <v>64682</v>
      </c>
      <c r="D3518">
        <v>151427</v>
      </c>
      <c r="E3518">
        <v>216852524</v>
      </c>
      <c r="F3518">
        <v>81766933</v>
      </c>
      <c r="G3518">
        <v>298619457</v>
      </c>
      <c r="H3518">
        <v>77958</v>
      </c>
      <c r="I3518">
        <v>8374</v>
      </c>
      <c r="J3518">
        <v>86332</v>
      </c>
      <c r="K3518" t="b">
        <f>TrafficData[[#This Row],[disposedChallan]]+TrafficData[[#This Row],[pendingChallan]]=TrafficData[[#This Row],[totalChallan]]</f>
        <v>1</v>
      </c>
      <c r="L3518" t="b">
        <f>TrafficData[[#This Row],[pendingAmount]]+TrafficData[[#This Row],[disposedAmount]]=TrafficData[[#This Row],[totalAmount]]</f>
        <v>1</v>
      </c>
      <c r="M3518" t="b">
        <f>TrafficData[[#This Row],[pendingCourt]]+TrafficData[[#This Row],[disposedCourt]]=TrafficData[[#This Row],[totalCourt]]</f>
        <v>1</v>
      </c>
      <c r="N3518" t="b">
        <f>AND(TrafficData[[#This Row],[disposedChallan]]&lt;=TrafficData[[#This Row],[totalChallan]],TrafficData[[#This Row],[pendingChallan]]&lt;=TrafficData[[#This Row],[totalChallan]])</f>
        <v>1</v>
      </c>
      <c r="O3518" t="b">
        <f>AND(TrafficData[[#This Row],[pendingAmount]]&lt;=TrafficData[[#This Row],[totalAmount]],TrafficData[[#This Row],[disposedAmount]]&lt;=TrafficData[[#This Row],[totalAmount]])</f>
        <v>1</v>
      </c>
      <c r="P3518" t="b">
        <f>AND(TrafficData[[#This Row],[pendingCourt]]&lt;=TrafficData[[#This Row],[totalCourt]],TrafficData[[#This Row],[disposedCourt]]&lt;=TrafficData[[#This Row],[totalCourt]])</f>
        <v>1</v>
      </c>
    </row>
    <row r="3519" spans="1:16">
      <c r="A3519" s="1">
        <v>45523</v>
      </c>
      <c r="B3519">
        <v>195626</v>
      </c>
      <c r="C3519">
        <v>57470</v>
      </c>
      <c r="D3519">
        <v>138156</v>
      </c>
      <c r="E3519">
        <v>190072417</v>
      </c>
      <c r="F3519">
        <v>67797152</v>
      </c>
      <c r="G3519">
        <v>257869569</v>
      </c>
      <c r="H3519">
        <v>68990</v>
      </c>
      <c r="I3519">
        <v>7730</v>
      </c>
      <c r="J3519">
        <v>76720</v>
      </c>
      <c r="K3519" t="b">
        <f>TrafficData[[#This Row],[disposedChallan]]+TrafficData[[#This Row],[pendingChallan]]=TrafficData[[#This Row],[totalChallan]]</f>
        <v>1</v>
      </c>
      <c r="L3519" t="b">
        <f>TrafficData[[#This Row],[pendingAmount]]+TrafficData[[#This Row],[disposedAmount]]=TrafficData[[#This Row],[totalAmount]]</f>
        <v>1</v>
      </c>
      <c r="M3519" t="b">
        <f>TrafficData[[#This Row],[pendingCourt]]+TrafficData[[#This Row],[disposedCourt]]=TrafficData[[#This Row],[totalCourt]]</f>
        <v>1</v>
      </c>
      <c r="N3519" t="b">
        <f>AND(TrafficData[[#This Row],[disposedChallan]]&lt;=TrafficData[[#This Row],[totalChallan]],TrafficData[[#This Row],[pendingChallan]]&lt;=TrafficData[[#This Row],[totalChallan]])</f>
        <v>1</v>
      </c>
      <c r="O3519" t="b">
        <f>AND(TrafficData[[#This Row],[pendingAmount]]&lt;=TrafficData[[#This Row],[totalAmount]],TrafficData[[#This Row],[disposedAmount]]&lt;=TrafficData[[#This Row],[totalAmount]])</f>
        <v>1</v>
      </c>
      <c r="P3519" t="b">
        <f>AND(TrafficData[[#This Row],[pendingCourt]]&lt;=TrafficData[[#This Row],[totalCourt]],TrafficData[[#This Row],[disposedCourt]]&lt;=TrafficData[[#This Row],[totalCourt]])</f>
        <v>1</v>
      </c>
    </row>
    <row r="3520" spans="1:16">
      <c r="A3520" s="1">
        <v>45524</v>
      </c>
      <c r="B3520">
        <v>232573</v>
      </c>
      <c r="C3520">
        <v>69109</v>
      </c>
      <c r="D3520">
        <v>163464</v>
      </c>
      <c r="E3520">
        <v>246840286</v>
      </c>
      <c r="F3520">
        <v>98456701</v>
      </c>
      <c r="G3520">
        <v>345296987</v>
      </c>
      <c r="H3520">
        <v>84841</v>
      </c>
      <c r="I3520">
        <v>9202</v>
      </c>
      <c r="J3520">
        <v>94043</v>
      </c>
      <c r="K3520" t="b">
        <f>TrafficData[[#This Row],[disposedChallan]]+TrafficData[[#This Row],[pendingChallan]]=TrafficData[[#This Row],[totalChallan]]</f>
        <v>1</v>
      </c>
      <c r="L3520" t="b">
        <f>TrafficData[[#This Row],[pendingAmount]]+TrafficData[[#This Row],[disposedAmount]]=TrafficData[[#This Row],[totalAmount]]</f>
        <v>1</v>
      </c>
      <c r="M3520" t="b">
        <f>TrafficData[[#This Row],[pendingCourt]]+TrafficData[[#This Row],[disposedCourt]]=TrafficData[[#This Row],[totalCourt]]</f>
        <v>1</v>
      </c>
      <c r="N3520" t="b">
        <f>AND(TrafficData[[#This Row],[disposedChallan]]&lt;=TrafficData[[#This Row],[totalChallan]],TrafficData[[#This Row],[pendingChallan]]&lt;=TrafficData[[#This Row],[totalChallan]])</f>
        <v>1</v>
      </c>
      <c r="O3520" t="b">
        <f>AND(TrafficData[[#This Row],[pendingAmount]]&lt;=TrafficData[[#This Row],[totalAmount]],TrafficData[[#This Row],[disposedAmount]]&lt;=TrafficData[[#This Row],[totalAmount]])</f>
        <v>1</v>
      </c>
      <c r="P3520" t="b">
        <f>AND(TrafficData[[#This Row],[pendingCourt]]&lt;=TrafficData[[#This Row],[totalCourt]],TrafficData[[#This Row],[disposedCourt]]&lt;=TrafficData[[#This Row],[totalCourt]])</f>
        <v>1</v>
      </c>
    </row>
    <row r="3521" spans="1:16">
      <c r="A3521" s="1">
        <v>45525</v>
      </c>
      <c r="B3521">
        <v>223640</v>
      </c>
      <c r="C3521">
        <v>66613</v>
      </c>
      <c r="D3521">
        <v>157027</v>
      </c>
      <c r="E3521">
        <v>250033138</v>
      </c>
      <c r="F3521">
        <v>109901999</v>
      </c>
      <c r="G3521">
        <v>359935137</v>
      </c>
      <c r="H3521">
        <v>80471</v>
      </c>
      <c r="I3521">
        <v>9064</v>
      </c>
      <c r="J3521">
        <v>89535</v>
      </c>
      <c r="K3521" t="b">
        <f>TrafficData[[#This Row],[disposedChallan]]+TrafficData[[#This Row],[pendingChallan]]=TrafficData[[#This Row],[totalChallan]]</f>
        <v>1</v>
      </c>
      <c r="L3521" t="b">
        <f>TrafficData[[#This Row],[pendingAmount]]+TrafficData[[#This Row],[disposedAmount]]=TrafficData[[#This Row],[totalAmount]]</f>
        <v>1</v>
      </c>
      <c r="M3521" t="b">
        <f>TrafficData[[#This Row],[pendingCourt]]+TrafficData[[#This Row],[disposedCourt]]=TrafficData[[#This Row],[totalCourt]]</f>
        <v>1</v>
      </c>
      <c r="N3521" t="b">
        <f>AND(TrafficData[[#This Row],[disposedChallan]]&lt;=TrafficData[[#This Row],[totalChallan]],TrafficData[[#This Row],[pendingChallan]]&lt;=TrafficData[[#This Row],[totalChallan]])</f>
        <v>1</v>
      </c>
      <c r="O3521" t="b">
        <f>AND(TrafficData[[#This Row],[pendingAmount]]&lt;=TrafficData[[#This Row],[totalAmount]],TrafficData[[#This Row],[disposedAmount]]&lt;=TrafficData[[#This Row],[totalAmount]])</f>
        <v>1</v>
      </c>
      <c r="P3521" t="b">
        <f>AND(TrafficData[[#This Row],[pendingCourt]]&lt;=TrafficData[[#This Row],[totalCourt]],TrafficData[[#This Row],[disposedCourt]]&lt;=TrafficData[[#This Row],[totalCourt]])</f>
        <v>1</v>
      </c>
    </row>
    <row r="3522" spans="1:16">
      <c r="A3522" s="1">
        <v>45526</v>
      </c>
      <c r="B3522">
        <v>243369</v>
      </c>
      <c r="C3522">
        <v>73232</v>
      </c>
      <c r="D3522">
        <v>170137</v>
      </c>
      <c r="E3522">
        <v>282287356</v>
      </c>
      <c r="F3522">
        <v>119384345</v>
      </c>
      <c r="G3522">
        <v>401671701</v>
      </c>
      <c r="H3522">
        <v>92003</v>
      </c>
      <c r="I3522">
        <v>10128</v>
      </c>
      <c r="J3522">
        <v>102131</v>
      </c>
      <c r="K3522" t="b">
        <f>TrafficData[[#This Row],[disposedChallan]]+TrafficData[[#This Row],[pendingChallan]]=TrafficData[[#This Row],[totalChallan]]</f>
        <v>1</v>
      </c>
      <c r="L3522" t="b">
        <f>TrafficData[[#This Row],[pendingAmount]]+TrafficData[[#This Row],[disposedAmount]]=TrafficData[[#This Row],[totalAmount]]</f>
        <v>1</v>
      </c>
      <c r="M3522" t="b">
        <f>TrafficData[[#This Row],[pendingCourt]]+TrafficData[[#This Row],[disposedCourt]]=TrafficData[[#This Row],[totalCourt]]</f>
        <v>1</v>
      </c>
      <c r="N3522" t="b">
        <f>AND(TrafficData[[#This Row],[disposedChallan]]&lt;=TrafficData[[#This Row],[totalChallan]],TrafficData[[#This Row],[pendingChallan]]&lt;=TrafficData[[#This Row],[totalChallan]])</f>
        <v>1</v>
      </c>
      <c r="O3522" t="b">
        <f>AND(TrafficData[[#This Row],[pendingAmount]]&lt;=TrafficData[[#This Row],[totalAmount]],TrafficData[[#This Row],[disposedAmount]]&lt;=TrafficData[[#This Row],[totalAmount]])</f>
        <v>1</v>
      </c>
      <c r="P3522" t="b">
        <f>AND(TrafficData[[#This Row],[pendingCourt]]&lt;=TrafficData[[#This Row],[totalCourt]],TrafficData[[#This Row],[disposedCourt]]&lt;=TrafficData[[#This Row],[totalCourt]])</f>
        <v>1</v>
      </c>
    </row>
    <row r="3523" spans="1:16">
      <c r="A3523" s="1">
        <v>45527</v>
      </c>
      <c r="B3523">
        <v>232912</v>
      </c>
      <c r="C3523">
        <v>71642</v>
      </c>
      <c r="D3523">
        <v>161270</v>
      </c>
      <c r="E3523">
        <v>255932398</v>
      </c>
      <c r="F3523">
        <v>116698656</v>
      </c>
      <c r="G3523">
        <v>372631054</v>
      </c>
      <c r="H3523">
        <v>81654</v>
      </c>
      <c r="I3523">
        <v>8942</v>
      </c>
      <c r="J3523">
        <v>90596</v>
      </c>
      <c r="K3523" t="b">
        <f>TrafficData[[#This Row],[disposedChallan]]+TrafficData[[#This Row],[pendingChallan]]=TrafficData[[#This Row],[totalChallan]]</f>
        <v>1</v>
      </c>
      <c r="L3523" t="b">
        <f>TrafficData[[#This Row],[pendingAmount]]+TrafficData[[#This Row],[disposedAmount]]=TrafficData[[#This Row],[totalAmount]]</f>
        <v>1</v>
      </c>
      <c r="M3523" t="b">
        <f>TrafficData[[#This Row],[pendingCourt]]+TrafficData[[#This Row],[disposedCourt]]=TrafficData[[#This Row],[totalCourt]]</f>
        <v>1</v>
      </c>
      <c r="N3523" t="b">
        <f>AND(TrafficData[[#This Row],[disposedChallan]]&lt;=TrafficData[[#This Row],[totalChallan]],TrafficData[[#This Row],[pendingChallan]]&lt;=TrafficData[[#This Row],[totalChallan]])</f>
        <v>1</v>
      </c>
      <c r="O3523" t="b">
        <f>AND(TrafficData[[#This Row],[pendingAmount]]&lt;=TrafficData[[#This Row],[totalAmount]],TrafficData[[#This Row],[disposedAmount]]&lt;=TrafficData[[#This Row],[totalAmount]])</f>
        <v>1</v>
      </c>
      <c r="P3523" t="b">
        <f>AND(TrafficData[[#This Row],[pendingCourt]]&lt;=TrafficData[[#This Row],[totalCourt]],TrafficData[[#This Row],[disposedCourt]]&lt;=TrafficData[[#This Row],[totalCourt]])</f>
        <v>1</v>
      </c>
    </row>
    <row r="3524" spans="1:16">
      <c r="A3524" s="1">
        <v>45528</v>
      </c>
      <c r="B3524">
        <v>236413</v>
      </c>
      <c r="C3524">
        <v>73344</v>
      </c>
      <c r="D3524">
        <v>163069</v>
      </c>
      <c r="E3524">
        <v>257348359</v>
      </c>
      <c r="F3524">
        <v>109640268</v>
      </c>
      <c r="G3524">
        <v>366988627</v>
      </c>
      <c r="H3524">
        <v>84090</v>
      </c>
      <c r="I3524">
        <v>10017</v>
      </c>
      <c r="J3524">
        <v>94107</v>
      </c>
      <c r="K3524" t="b">
        <f>TrafficData[[#This Row],[disposedChallan]]+TrafficData[[#This Row],[pendingChallan]]=TrafficData[[#This Row],[totalChallan]]</f>
        <v>1</v>
      </c>
      <c r="L3524" t="b">
        <f>TrafficData[[#This Row],[pendingAmount]]+TrafficData[[#This Row],[disposedAmount]]=TrafficData[[#This Row],[totalAmount]]</f>
        <v>1</v>
      </c>
      <c r="M3524" t="b">
        <f>TrafficData[[#This Row],[pendingCourt]]+TrafficData[[#This Row],[disposedCourt]]=TrafficData[[#This Row],[totalCourt]]</f>
        <v>1</v>
      </c>
      <c r="N3524" t="b">
        <f>AND(TrafficData[[#This Row],[disposedChallan]]&lt;=TrafficData[[#This Row],[totalChallan]],TrafficData[[#This Row],[pendingChallan]]&lt;=TrafficData[[#This Row],[totalChallan]])</f>
        <v>1</v>
      </c>
      <c r="O3524" t="b">
        <f>AND(TrafficData[[#This Row],[pendingAmount]]&lt;=TrafficData[[#This Row],[totalAmount]],TrafficData[[#This Row],[disposedAmount]]&lt;=TrafficData[[#This Row],[totalAmount]])</f>
        <v>1</v>
      </c>
      <c r="P3524" t="b">
        <f>AND(TrafficData[[#This Row],[pendingCourt]]&lt;=TrafficData[[#This Row],[totalCourt]],TrafficData[[#This Row],[disposedCourt]]&lt;=TrafficData[[#This Row],[totalCourt]])</f>
        <v>1</v>
      </c>
    </row>
    <row r="3525" spans="1:16">
      <c r="A3525" s="1">
        <v>45529</v>
      </c>
      <c r="B3525">
        <v>210314</v>
      </c>
      <c r="C3525">
        <v>65385</v>
      </c>
      <c r="D3525">
        <v>144929</v>
      </c>
      <c r="E3525">
        <v>209893137</v>
      </c>
      <c r="F3525">
        <v>83862316</v>
      </c>
      <c r="G3525">
        <v>293755453</v>
      </c>
      <c r="H3525">
        <v>73383</v>
      </c>
      <c r="I3525">
        <v>8021</v>
      </c>
      <c r="J3525">
        <v>81404</v>
      </c>
      <c r="K3525" t="b">
        <f>TrafficData[[#This Row],[disposedChallan]]+TrafficData[[#This Row],[pendingChallan]]=TrafficData[[#This Row],[totalChallan]]</f>
        <v>1</v>
      </c>
      <c r="L3525" t="b">
        <f>TrafficData[[#This Row],[pendingAmount]]+TrafficData[[#This Row],[disposedAmount]]=TrafficData[[#This Row],[totalAmount]]</f>
        <v>1</v>
      </c>
      <c r="M3525" t="b">
        <f>TrafficData[[#This Row],[pendingCourt]]+TrafficData[[#This Row],[disposedCourt]]=TrafficData[[#This Row],[totalCourt]]</f>
        <v>1</v>
      </c>
      <c r="N3525" t="b">
        <f>AND(TrafficData[[#This Row],[disposedChallan]]&lt;=TrafficData[[#This Row],[totalChallan]],TrafficData[[#This Row],[pendingChallan]]&lt;=TrafficData[[#This Row],[totalChallan]])</f>
        <v>1</v>
      </c>
      <c r="O3525" t="b">
        <f>AND(TrafficData[[#This Row],[pendingAmount]]&lt;=TrafficData[[#This Row],[totalAmount]],TrafficData[[#This Row],[disposedAmount]]&lt;=TrafficData[[#This Row],[totalAmount]])</f>
        <v>1</v>
      </c>
      <c r="P3525" t="b">
        <f>AND(TrafficData[[#This Row],[pendingCourt]]&lt;=TrafficData[[#This Row],[totalCourt]],TrafficData[[#This Row],[disposedCourt]]&lt;=TrafficData[[#This Row],[totalCourt]])</f>
        <v>1</v>
      </c>
    </row>
    <row r="3526" spans="1:16">
      <c r="A3526" s="1">
        <v>45530</v>
      </c>
      <c r="B3526">
        <v>200983</v>
      </c>
      <c r="C3526">
        <v>60549</v>
      </c>
      <c r="D3526">
        <v>140434</v>
      </c>
      <c r="E3526">
        <v>208804108</v>
      </c>
      <c r="F3526">
        <v>75107711</v>
      </c>
      <c r="G3526">
        <v>283911819</v>
      </c>
      <c r="H3526">
        <v>65473</v>
      </c>
      <c r="I3526">
        <v>7243</v>
      </c>
      <c r="J3526">
        <v>72716</v>
      </c>
      <c r="K3526" t="b">
        <f>TrafficData[[#This Row],[disposedChallan]]+TrafficData[[#This Row],[pendingChallan]]=TrafficData[[#This Row],[totalChallan]]</f>
        <v>1</v>
      </c>
      <c r="L3526" t="b">
        <f>TrafficData[[#This Row],[pendingAmount]]+TrafficData[[#This Row],[disposedAmount]]=TrafficData[[#This Row],[totalAmount]]</f>
        <v>1</v>
      </c>
      <c r="M3526" t="b">
        <f>TrafficData[[#This Row],[pendingCourt]]+TrafficData[[#This Row],[disposedCourt]]=TrafficData[[#This Row],[totalCourt]]</f>
        <v>1</v>
      </c>
      <c r="N3526" t="b">
        <f>AND(TrafficData[[#This Row],[disposedChallan]]&lt;=TrafficData[[#This Row],[totalChallan]],TrafficData[[#This Row],[pendingChallan]]&lt;=TrafficData[[#This Row],[totalChallan]])</f>
        <v>1</v>
      </c>
      <c r="O3526" t="b">
        <f>AND(TrafficData[[#This Row],[pendingAmount]]&lt;=TrafficData[[#This Row],[totalAmount]],TrafficData[[#This Row],[disposedAmount]]&lt;=TrafficData[[#This Row],[totalAmount]])</f>
        <v>1</v>
      </c>
      <c r="P3526" t="b">
        <f>AND(TrafficData[[#This Row],[pendingCourt]]&lt;=TrafficData[[#This Row],[totalCourt]],TrafficData[[#This Row],[disposedCourt]]&lt;=TrafficData[[#This Row],[totalCourt]])</f>
        <v>1</v>
      </c>
    </row>
    <row r="3527" spans="1:16">
      <c r="A3527" s="1">
        <v>45531</v>
      </c>
      <c r="B3527">
        <v>221095</v>
      </c>
      <c r="C3527">
        <v>66872</v>
      </c>
      <c r="D3527">
        <v>154223</v>
      </c>
      <c r="E3527">
        <v>239869538</v>
      </c>
      <c r="F3527">
        <v>97119341</v>
      </c>
      <c r="G3527">
        <v>336988879</v>
      </c>
      <c r="H3527">
        <v>72420</v>
      </c>
      <c r="I3527">
        <v>7956</v>
      </c>
      <c r="J3527">
        <v>80376</v>
      </c>
      <c r="K3527" t="b">
        <f>TrafficData[[#This Row],[disposedChallan]]+TrafficData[[#This Row],[pendingChallan]]=TrafficData[[#This Row],[totalChallan]]</f>
        <v>1</v>
      </c>
      <c r="L3527" t="b">
        <f>TrafficData[[#This Row],[pendingAmount]]+TrafficData[[#This Row],[disposedAmount]]=TrafficData[[#This Row],[totalAmount]]</f>
        <v>1</v>
      </c>
      <c r="M3527" t="b">
        <f>TrafficData[[#This Row],[pendingCourt]]+TrafficData[[#This Row],[disposedCourt]]=TrafficData[[#This Row],[totalCourt]]</f>
        <v>1</v>
      </c>
      <c r="N3527" t="b">
        <f>AND(TrafficData[[#This Row],[disposedChallan]]&lt;=TrafficData[[#This Row],[totalChallan]],TrafficData[[#This Row],[pendingChallan]]&lt;=TrafficData[[#This Row],[totalChallan]])</f>
        <v>1</v>
      </c>
      <c r="O3527" t="b">
        <f>AND(TrafficData[[#This Row],[pendingAmount]]&lt;=TrafficData[[#This Row],[totalAmount]],TrafficData[[#This Row],[disposedAmount]]&lt;=TrafficData[[#This Row],[totalAmount]])</f>
        <v>1</v>
      </c>
      <c r="P3527" t="b">
        <f>AND(TrafficData[[#This Row],[pendingCourt]]&lt;=TrafficData[[#This Row],[totalCourt]],TrafficData[[#This Row],[disposedCourt]]&lt;=TrafficData[[#This Row],[totalCourt]])</f>
        <v>1</v>
      </c>
    </row>
    <row r="3528" spans="1:16">
      <c r="A3528" s="1">
        <v>45532</v>
      </c>
      <c r="B3528">
        <v>217788</v>
      </c>
      <c r="C3528">
        <v>66791</v>
      </c>
      <c r="D3528">
        <v>150997</v>
      </c>
      <c r="E3528">
        <v>245405391</v>
      </c>
      <c r="F3528">
        <v>164382435</v>
      </c>
      <c r="G3528">
        <v>409787826</v>
      </c>
      <c r="H3528">
        <v>79845</v>
      </c>
      <c r="I3528">
        <v>8584</v>
      </c>
      <c r="J3528">
        <v>88429</v>
      </c>
      <c r="K3528" t="b">
        <f>TrafficData[[#This Row],[disposedChallan]]+TrafficData[[#This Row],[pendingChallan]]=TrafficData[[#This Row],[totalChallan]]</f>
        <v>1</v>
      </c>
      <c r="L3528" t="b">
        <f>TrafficData[[#This Row],[pendingAmount]]+TrafficData[[#This Row],[disposedAmount]]=TrafficData[[#This Row],[totalAmount]]</f>
        <v>1</v>
      </c>
      <c r="M3528" t="b">
        <f>TrafficData[[#This Row],[pendingCourt]]+TrafficData[[#This Row],[disposedCourt]]=TrafficData[[#This Row],[totalCourt]]</f>
        <v>1</v>
      </c>
      <c r="N3528" t="b">
        <f>AND(TrafficData[[#This Row],[disposedChallan]]&lt;=TrafficData[[#This Row],[totalChallan]],TrafficData[[#This Row],[pendingChallan]]&lt;=TrafficData[[#This Row],[totalChallan]])</f>
        <v>1</v>
      </c>
      <c r="O3528" t="b">
        <f>AND(TrafficData[[#This Row],[pendingAmount]]&lt;=TrafficData[[#This Row],[totalAmount]],TrafficData[[#This Row],[disposedAmount]]&lt;=TrafficData[[#This Row],[totalAmount]])</f>
        <v>1</v>
      </c>
      <c r="P3528" t="b">
        <f>AND(TrafficData[[#This Row],[pendingCourt]]&lt;=TrafficData[[#This Row],[totalCourt]],TrafficData[[#This Row],[disposedCourt]]&lt;=TrafficData[[#This Row],[totalCourt]])</f>
        <v>1</v>
      </c>
    </row>
    <row r="3529" spans="1:16">
      <c r="A3529" s="1">
        <v>45533</v>
      </c>
      <c r="B3529">
        <v>210063</v>
      </c>
      <c r="C3529">
        <v>63656</v>
      </c>
      <c r="D3529">
        <v>146407</v>
      </c>
      <c r="E3529">
        <v>232992393</v>
      </c>
      <c r="F3529">
        <v>102103585</v>
      </c>
      <c r="G3529">
        <v>335095978</v>
      </c>
      <c r="H3529">
        <v>79257</v>
      </c>
      <c r="I3529">
        <v>8348</v>
      </c>
      <c r="J3529">
        <v>87605</v>
      </c>
      <c r="K3529" t="b">
        <f>TrafficData[[#This Row],[disposedChallan]]+TrafficData[[#This Row],[pendingChallan]]=TrafficData[[#This Row],[totalChallan]]</f>
        <v>1</v>
      </c>
      <c r="L3529" t="b">
        <f>TrafficData[[#This Row],[pendingAmount]]+TrafficData[[#This Row],[disposedAmount]]=TrafficData[[#This Row],[totalAmount]]</f>
        <v>1</v>
      </c>
      <c r="M3529" t="b">
        <f>TrafficData[[#This Row],[pendingCourt]]+TrafficData[[#This Row],[disposedCourt]]=TrafficData[[#This Row],[totalCourt]]</f>
        <v>1</v>
      </c>
      <c r="N3529" t="b">
        <f>AND(TrafficData[[#This Row],[disposedChallan]]&lt;=TrafficData[[#This Row],[totalChallan]],TrafficData[[#This Row],[pendingChallan]]&lt;=TrafficData[[#This Row],[totalChallan]])</f>
        <v>1</v>
      </c>
      <c r="O3529" t="b">
        <f>AND(TrafficData[[#This Row],[pendingAmount]]&lt;=TrafficData[[#This Row],[totalAmount]],TrafficData[[#This Row],[disposedAmount]]&lt;=TrafficData[[#This Row],[totalAmount]])</f>
        <v>1</v>
      </c>
      <c r="P3529" t="b">
        <f>AND(TrafficData[[#This Row],[pendingCourt]]&lt;=TrafficData[[#This Row],[totalCourt]],TrafficData[[#This Row],[disposedCourt]]&lt;=TrafficData[[#This Row],[totalCourt]])</f>
        <v>1</v>
      </c>
    </row>
    <row r="3530" spans="1:16">
      <c r="A3530" s="1">
        <v>45534</v>
      </c>
      <c r="B3530">
        <v>223313</v>
      </c>
      <c r="C3530">
        <v>70223</v>
      </c>
      <c r="D3530">
        <v>153090</v>
      </c>
      <c r="E3530">
        <v>257643259</v>
      </c>
      <c r="F3530">
        <v>106579745</v>
      </c>
      <c r="G3530">
        <v>364223004</v>
      </c>
      <c r="H3530">
        <v>83533</v>
      </c>
      <c r="I3530">
        <v>9122</v>
      </c>
      <c r="J3530">
        <v>92655</v>
      </c>
      <c r="K3530" t="b">
        <f>TrafficData[[#This Row],[disposedChallan]]+TrafficData[[#This Row],[pendingChallan]]=TrafficData[[#This Row],[totalChallan]]</f>
        <v>1</v>
      </c>
      <c r="L3530" t="b">
        <f>TrafficData[[#This Row],[pendingAmount]]+TrafficData[[#This Row],[disposedAmount]]=TrafficData[[#This Row],[totalAmount]]</f>
        <v>1</v>
      </c>
      <c r="M3530" t="b">
        <f>TrafficData[[#This Row],[pendingCourt]]+TrafficData[[#This Row],[disposedCourt]]=TrafficData[[#This Row],[totalCourt]]</f>
        <v>1</v>
      </c>
      <c r="N3530" t="b">
        <f>AND(TrafficData[[#This Row],[disposedChallan]]&lt;=TrafficData[[#This Row],[totalChallan]],TrafficData[[#This Row],[pendingChallan]]&lt;=TrafficData[[#This Row],[totalChallan]])</f>
        <v>1</v>
      </c>
      <c r="O3530" t="b">
        <f>AND(TrafficData[[#This Row],[pendingAmount]]&lt;=TrafficData[[#This Row],[totalAmount]],TrafficData[[#This Row],[disposedAmount]]&lt;=TrafficData[[#This Row],[totalAmount]])</f>
        <v>1</v>
      </c>
      <c r="P3530" t="b">
        <f>AND(TrafficData[[#This Row],[pendingCourt]]&lt;=TrafficData[[#This Row],[totalCourt]],TrafficData[[#This Row],[disposedCourt]]&lt;=TrafficData[[#This Row],[totalCourt]])</f>
        <v>1</v>
      </c>
    </row>
    <row r="3531" spans="1:16">
      <c r="A3531" s="1">
        <v>45535</v>
      </c>
      <c r="B3531">
        <v>220542</v>
      </c>
      <c r="C3531">
        <v>69683</v>
      </c>
      <c r="D3531">
        <v>150859</v>
      </c>
      <c r="E3531">
        <v>256695202</v>
      </c>
      <c r="F3531">
        <v>97905079</v>
      </c>
      <c r="G3531">
        <v>354600281</v>
      </c>
      <c r="H3531">
        <v>77785</v>
      </c>
      <c r="I3531">
        <v>8790</v>
      </c>
      <c r="J3531">
        <v>86575</v>
      </c>
      <c r="K3531" t="b">
        <f>TrafficData[[#This Row],[disposedChallan]]+TrafficData[[#This Row],[pendingChallan]]=TrafficData[[#This Row],[totalChallan]]</f>
        <v>1</v>
      </c>
      <c r="L3531" t="b">
        <f>TrafficData[[#This Row],[pendingAmount]]+TrafficData[[#This Row],[disposedAmount]]=TrafficData[[#This Row],[totalAmount]]</f>
        <v>1</v>
      </c>
      <c r="M3531" t="b">
        <f>TrafficData[[#This Row],[pendingCourt]]+TrafficData[[#This Row],[disposedCourt]]=TrafficData[[#This Row],[totalCourt]]</f>
        <v>1</v>
      </c>
      <c r="N3531" t="b">
        <f>AND(TrafficData[[#This Row],[disposedChallan]]&lt;=TrafficData[[#This Row],[totalChallan]],TrafficData[[#This Row],[pendingChallan]]&lt;=TrafficData[[#This Row],[totalChallan]])</f>
        <v>1</v>
      </c>
      <c r="O3531" t="b">
        <f>AND(TrafficData[[#This Row],[pendingAmount]]&lt;=TrafficData[[#This Row],[totalAmount]],TrafficData[[#This Row],[disposedAmount]]&lt;=TrafficData[[#This Row],[totalAmount]])</f>
        <v>1</v>
      </c>
      <c r="P3531" t="b">
        <f>AND(TrafficData[[#This Row],[pendingCourt]]&lt;=TrafficData[[#This Row],[totalCourt]],TrafficData[[#This Row],[disposedCourt]]&lt;=TrafficData[[#This Row],[totalCourt]])</f>
        <v>1</v>
      </c>
    </row>
    <row r="3532" spans="1:16">
      <c r="A3532" s="1">
        <v>45536</v>
      </c>
      <c r="B3532">
        <v>213523</v>
      </c>
      <c r="C3532">
        <v>67444</v>
      </c>
      <c r="D3532">
        <v>146079</v>
      </c>
      <c r="E3532">
        <v>209088127</v>
      </c>
      <c r="F3532">
        <v>84974694</v>
      </c>
      <c r="G3532">
        <v>294062821</v>
      </c>
      <c r="H3532">
        <v>76968</v>
      </c>
      <c r="I3532">
        <v>7751</v>
      </c>
      <c r="J3532">
        <v>84719</v>
      </c>
      <c r="K3532" t="b">
        <f>TrafficData[[#This Row],[disposedChallan]]+TrafficData[[#This Row],[pendingChallan]]=TrafficData[[#This Row],[totalChallan]]</f>
        <v>1</v>
      </c>
      <c r="L3532" t="b">
        <f>TrafficData[[#This Row],[pendingAmount]]+TrafficData[[#This Row],[disposedAmount]]=TrafficData[[#This Row],[totalAmount]]</f>
        <v>1</v>
      </c>
      <c r="M3532" t="b">
        <f>TrafficData[[#This Row],[pendingCourt]]+TrafficData[[#This Row],[disposedCourt]]=TrafficData[[#This Row],[totalCourt]]</f>
        <v>1</v>
      </c>
      <c r="N3532" t="b">
        <f>AND(TrafficData[[#This Row],[disposedChallan]]&lt;=TrafficData[[#This Row],[totalChallan]],TrafficData[[#This Row],[pendingChallan]]&lt;=TrafficData[[#This Row],[totalChallan]])</f>
        <v>1</v>
      </c>
      <c r="O3532" t="b">
        <f>AND(TrafficData[[#This Row],[pendingAmount]]&lt;=TrafficData[[#This Row],[totalAmount]],TrafficData[[#This Row],[disposedAmount]]&lt;=TrafficData[[#This Row],[totalAmount]])</f>
        <v>1</v>
      </c>
      <c r="P3532" t="b">
        <f>AND(TrafficData[[#This Row],[pendingCourt]]&lt;=TrafficData[[#This Row],[totalCourt]],TrafficData[[#This Row],[disposedCourt]]&lt;=TrafficData[[#This Row],[totalCourt]])</f>
        <v>1</v>
      </c>
    </row>
    <row r="3533" spans="1:16">
      <c r="A3533" s="1">
        <v>45537</v>
      </c>
      <c r="B3533">
        <v>237513</v>
      </c>
      <c r="C3533">
        <v>73062</v>
      </c>
      <c r="D3533">
        <v>164451</v>
      </c>
      <c r="E3533">
        <v>270080652</v>
      </c>
      <c r="F3533">
        <v>110946983</v>
      </c>
      <c r="G3533">
        <v>381027635</v>
      </c>
      <c r="H3533">
        <v>90529</v>
      </c>
      <c r="I3533">
        <v>9078</v>
      </c>
      <c r="J3533">
        <v>99607</v>
      </c>
      <c r="K3533" t="b">
        <f>TrafficData[[#This Row],[disposedChallan]]+TrafficData[[#This Row],[pendingChallan]]=TrafficData[[#This Row],[totalChallan]]</f>
        <v>1</v>
      </c>
      <c r="L3533" t="b">
        <f>TrafficData[[#This Row],[pendingAmount]]+TrafficData[[#This Row],[disposedAmount]]=TrafficData[[#This Row],[totalAmount]]</f>
        <v>1</v>
      </c>
      <c r="M3533" t="b">
        <f>TrafficData[[#This Row],[pendingCourt]]+TrafficData[[#This Row],[disposedCourt]]=TrafficData[[#This Row],[totalCourt]]</f>
        <v>1</v>
      </c>
      <c r="N3533" t="b">
        <f>AND(TrafficData[[#This Row],[disposedChallan]]&lt;=TrafficData[[#This Row],[totalChallan]],TrafficData[[#This Row],[pendingChallan]]&lt;=TrafficData[[#This Row],[totalChallan]])</f>
        <v>1</v>
      </c>
      <c r="O3533" t="b">
        <f>AND(TrafficData[[#This Row],[pendingAmount]]&lt;=TrafficData[[#This Row],[totalAmount]],TrafficData[[#This Row],[disposedAmount]]&lt;=TrafficData[[#This Row],[totalAmount]])</f>
        <v>1</v>
      </c>
      <c r="P3533" t="b">
        <f>AND(TrafficData[[#This Row],[pendingCourt]]&lt;=TrafficData[[#This Row],[totalCourt]],TrafficData[[#This Row],[disposedCourt]]&lt;=TrafficData[[#This Row],[totalCourt]])</f>
        <v>1</v>
      </c>
    </row>
    <row r="3534" spans="1:16">
      <c r="A3534" s="1">
        <v>45538</v>
      </c>
      <c r="B3534">
        <v>242696</v>
      </c>
      <c r="C3534">
        <v>74988</v>
      </c>
      <c r="D3534">
        <v>167708</v>
      </c>
      <c r="E3534">
        <v>277009596</v>
      </c>
      <c r="F3534">
        <v>122763045</v>
      </c>
      <c r="G3534">
        <v>399772641</v>
      </c>
      <c r="H3534">
        <v>94013</v>
      </c>
      <c r="I3534">
        <v>9477</v>
      </c>
      <c r="J3534">
        <v>103490</v>
      </c>
      <c r="K3534" t="b">
        <f>TrafficData[[#This Row],[disposedChallan]]+TrafficData[[#This Row],[pendingChallan]]=TrafficData[[#This Row],[totalChallan]]</f>
        <v>1</v>
      </c>
      <c r="L3534" t="b">
        <f>TrafficData[[#This Row],[pendingAmount]]+TrafficData[[#This Row],[disposedAmount]]=TrafficData[[#This Row],[totalAmount]]</f>
        <v>1</v>
      </c>
      <c r="M3534" t="b">
        <f>TrafficData[[#This Row],[pendingCourt]]+TrafficData[[#This Row],[disposedCourt]]=TrafficData[[#This Row],[totalCourt]]</f>
        <v>1</v>
      </c>
      <c r="N3534" t="b">
        <f>AND(TrafficData[[#This Row],[disposedChallan]]&lt;=TrafficData[[#This Row],[totalChallan]],TrafficData[[#This Row],[pendingChallan]]&lt;=TrafficData[[#This Row],[totalChallan]])</f>
        <v>1</v>
      </c>
      <c r="O3534" t="b">
        <f>AND(TrafficData[[#This Row],[pendingAmount]]&lt;=TrafficData[[#This Row],[totalAmount]],TrafficData[[#This Row],[disposedAmount]]&lt;=TrafficData[[#This Row],[totalAmount]])</f>
        <v>1</v>
      </c>
      <c r="P3534" t="b">
        <f>AND(TrafficData[[#This Row],[pendingCourt]]&lt;=TrafficData[[#This Row],[totalCourt]],TrafficData[[#This Row],[disposedCourt]]&lt;=TrafficData[[#This Row],[totalCourt]])</f>
        <v>1</v>
      </c>
    </row>
    <row r="3535" spans="1:16">
      <c r="A3535" s="1">
        <v>45539</v>
      </c>
      <c r="B3535">
        <v>224490</v>
      </c>
      <c r="C3535">
        <v>71023</v>
      </c>
      <c r="D3535">
        <v>153467</v>
      </c>
      <c r="E3535">
        <v>251877547</v>
      </c>
      <c r="F3535">
        <v>118382215</v>
      </c>
      <c r="G3535">
        <v>370259762</v>
      </c>
      <c r="H3535">
        <v>83646</v>
      </c>
      <c r="I3535">
        <v>8845</v>
      </c>
      <c r="J3535">
        <v>92491</v>
      </c>
      <c r="K3535" t="b">
        <f>TrafficData[[#This Row],[disposedChallan]]+TrafficData[[#This Row],[pendingChallan]]=TrafficData[[#This Row],[totalChallan]]</f>
        <v>1</v>
      </c>
      <c r="L3535" t="b">
        <f>TrafficData[[#This Row],[pendingAmount]]+TrafficData[[#This Row],[disposedAmount]]=TrafficData[[#This Row],[totalAmount]]</f>
        <v>1</v>
      </c>
      <c r="M3535" t="b">
        <f>TrafficData[[#This Row],[pendingCourt]]+TrafficData[[#This Row],[disposedCourt]]=TrafficData[[#This Row],[totalCourt]]</f>
        <v>1</v>
      </c>
      <c r="N3535" t="b">
        <f>AND(TrafficData[[#This Row],[disposedChallan]]&lt;=TrafficData[[#This Row],[totalChallan]],TrafficData[[#This Row],[pendingChallan]]&lt;=TrafficData[[#This Row],[totalChallan]])</f>
        <v>1</v>
      </c>
      <c r="O3535" t="b">
        <f>AND(TrafficData[[#This Row],[pendingAmount]]&lt;=TrafficData[[#This Row],[totalAmount]],TrafficData[[#This Row],[disposedAmount]]&lt;=TrafficData[[#This Row],[totalAmount]])</f>
        <v>1</v>
      </c>
      <c r="P3535" t="b">
        <f>AND(TrafficData[[#This Row],[pendingCourt]]&lt;=TrafficData[[#This Row],[totalCourt]],TrafficData[[#This Row],[disposedCourt]]&lt;=TrafficData[[#This Row],[totalCourt]])</f>
        <v>1</v>
      </c>
    </row>
    <row r="3536" spans="1:16">
      <c r="A3536" s="1">
        <v>45540</v>
      </c>
      <c r="B3536">
        <v>241036</v>
      </c>
      <c r="C3536">
        <v>73702</v>
      </c>
      <c r="D3536">
        <v>167334</v>
      </c>
      <c r="E3536">
        <v>276000483</v>
      </c>
      <c r="F3536">
        <v>119877256</v>
      </c>
      <c r="G3536">
        <v>395877739</v>
      </c>
      <c r="H3536">
        <v>90257</v>
      </c>
      <c r="I3536">
        <v>9245</v>
      </c>
      <c r="J3536">
        <v>99502</v>
      </c>
      <c r="K3536" t="b">
        <f>TrafficData[[#This Row],[disposedChallan]]+TrafficData[[#This Row],[pendingChallan]]=TrafficData[[#This Row],[totalChallan]]</f>
        <v>1</v>
      </c>
      <c r="L3536" t="b">
        <f>TrafficData[[#This Row],[pendingAmount]]+TrafficData[[#This Row],[disposedAmount]]=TrafficData[[#This Row],[totalAmount]]</f>
        <v>1</v>
      </c>
      <c r="M3536" t="b">
        <f>TrafficData[[#This Row],[pendingCourt]]+TrafficData[[#This Row],[disposedCourt]]=TrafficData[[#This Row],[totalCourt]]</f>
        <v>1</v>
      </c>
      <c r="N3536" t="b">
        <f>AND(TrafficData[[#This Row],[disposedChallan]]&lt;=TrafficData[[#This Row],[totalChallan]],TrafficData[[#This Row],[pendingChallan]]&lt;=TrafficData[[#This Row],[totalChallan]])</f>
        <v>1</v>
      </c>
      <c r="O3536" t="b">
        <f>AND(TrafficData[[#This Row],[pendingAmount]]&lt;=TrafficData[[#This Row],[totalAmount]],TrafficData[[#This Row],[disposedAmount]]&lt;=TrafficData[[#This Row],[totalAmount]])</f>
        <v>1</v>
      </c>
      <c r="P3536" t="b">
        <f>AND(TrafficData[[#This Row],[pendingCourt]]&lt;=TrafficData[[#This Row],[totalCourt]],TrafficData[[#This Row],[disposedCourt]]&lt;=TrafficData[[#This Row],[totalCourt]])</f>
        <v>1</v>
      </c>
    </row>
    <row r="3537" spans="1:16">
      <c r="A3537" s="1">
        <v>45541</v>
      </c>
      <c r="B3537">
        <v>225307</v>
      </c>
      <c r="C3537">
        <v>70658</v>
      </c>
      <c r="D3537">
        <v>154649</v>
      </c>
      <c r="E3537">
        <v>240952227</v>
      </c>
      <c r="F3537">
        <v>118783729</v>
      </c>
      <c r="G3537">
        <v>359735956</v>
      </c>
      <c r="H3537">
        <v>80224</v>
      </c>
      <c r="I3537">
        <v>8330</v>
      </c>
      <c r="J3537">
        <v>88554</v>
      </c>
      <c r="K3537" t="b">
        <f>TrafficData[[#This Row],[disposedChallan]]+TrafficData[[#This Row],[pendingChallan]]=TrafficData[[#This Row],[totalChallan]]</f>
        <v>1</v>
      </c>
      <c r="L3537" t="b">
        <f>TrafficData[[#This Row],[pendingAmount]]+TrafficData[[#This Row],[disposedAmount]]=TrafficData[[#This Row],[totalAmount]]</f>
        <v>1</v>
      </c>
      <c r="M3537" t="b">
        <f>TrafficData[[#This Row],[pendingCourt]]+TrafficData[[#This Row],[disposedCourt]]=TrafficData[[#This Row],[totalCourt]]</f>
        <v>1</v>
      </c>
      <c r="N3537" t="b">
        <f>AND(TrafficData[[#This Row],[disposedChallan]]&lt;=TrafficData[[#This Row],[totalChallan]],TrafficData[[#This Row],[pendingChallan]]&lt;=TrafficData[[#This Row],[totalChallan]])</f>
        <v>1</v>
      </c>
      <c r="O3537" t="b">
        <f>AND(TrafficData[[#This Row],[pendingAmount]]&lt;=TrafficData[[#This Row],[totalAmount]],TrafficData[[#This Row],[disposedAmount]]&lt;=TrafficData[[#This Row],[totalAmount]])</f>
        <v>1</v>
      </c>
      <c r="P3537" t="b">
        <f>AND(TrafficData[[#This Row],[pendingCourt]]&lt;=TrafficData[[#This Row],[totalCourt]],TrafficData[[#This Row],[disposedCourt]]&lt;=TrafficData[[#This Row],[totalCourt]])</f>
        <v>1</v>
      </c>
    </row>
    <row r="3538" spans="1:16">
      <c r="A3538" s="1">
        <v>45542</v>
      </c>
      <c r="B3538">
        <v>219738</v>
      </c>
      <c r="C3538">
        <v>68618</v>
      </c>
      <c r="D3538">
        <v>151120</v>
      </c>
      <c r="E3538">
        <v>240933596</v>
      </c>
      <c r="F3538">
        <v>98410000</v>
      </c>
      <c r="G3538">
        <v>339343596</v>
      </c>
      <c r="H3538">
        <v>85103</v>
      </c>
      <c r="I3538">
        <v>9097</v>
      </c>
      <c r="J3538">
        <v>94200</v>
      </c>
      <c r="K3538" t="b">
        <f>TrafficData[[#This Row],[disposedChallan]]+TrafficData[[#This Row],[pendingChallan]]=TrafficData[[#This Row],[totalChallan]]</f>
        <v>1</v>
      </c>
      <c r="L3538" t="b">
        <f>TrafficData[[#This Row],[pendingAmount]]+TrafficData[[#This Row],[disposedAmount]]=TrafficData[[#This Row],[totalAmount]]</f>
        <v>1</v>
      </c>
      <c r="M3538" t="b">
        <f>TrafficData[[#This Row],[pendingCourt]]+TrafficData[[#This Row],[disposedCourt]]=TrafficData[[#This Row],[totalCourt]]</f>
        <v>1</v>
      </c>
      <c r="N3538" t="b">
        <f>AND(TrafficData[[#This Row],[disposedChallan]]&lt;=TrafficData[[#This Row],[totalChallan]],TrafficData[[#This Row],[pendingChallan]]&lt;=TrafficData[[#This Row],[totalChallan]])</f>
        <v>1</v>
      </c>
      <c r="O3538" t="b">
        <f>AND(TrafficData[[#This Row],[pendingAmount]]&lt;=TrafficData[[#This Row],[totalAmount]],TrafficData[[#This Row],[disposedAmount]]&lt;=TrafficData[[#This Row],[totalAmount]])</f>
        <v>1</v>
      </c>
      <c r="P3538" t="b">
        <f>AND(TrafficData[[#This Row],[pendingCourt]]&lt;=TrafficData[[#This Row],[totalCourt]],TrafficData[[#This Row],[disposedCourt]]&lt;=TrafficData[[#This Row],[totalCourt]])</f>
        <v>1</v>
      </c>
    </row>
    <row r="3539" spans="1:16">
      <c r="A3539" s="1">
        <v>45543</v>
      </c>
      <c r="B3539">
        <v>211995</v>
      </c>
      <c r="C3539">
        <v>66005</v>
      </c>
      <c r="D3539">
        <v>145990</v>
      </c>
      <c r="E3539">
        <v>227771562</v>
      </c>
      <c r="F3539">
        <v>84412241</v>
      </c>
      <c r="G3539">
        <v>312183803</v>
      </c>
      <c r="H3539">
        <v>83834</v>
      </c>
      <c r="I3539">
        <v>8593</v>
      </c>
      <c r="J3539">
        <v>92427</v>
      </c>
      <c r="K3539" t="b">
        <f>TrafficData[[#This Row],[disposedChallan]]+TrafficData[[#This Row],[pendingChallan]]=TrafficData[[#This Row],[totalChallan]]</f>
        <v>1</v>
      </c>
      <c r="L3539" t="b">
        <f>TrafficData[[#This Row],[pendingAmount]]+TrafficData[[#This Row],[disposedAmount]]=TrafficData[[#This Row],[totalAmount]]</f>
        <v>1</v>
      </c>
      <c r="M3539" t="b">
        <f>TrafficData[[#This Row],[pendingCourt]]+TrafficData[[#This Row],[disposedCourt]]=TrafficData[[#This Row],[totalCourt]]</f>
        <v>1</v>
      </c>
      <c r="N3539" t="b">
        <f>AND(TrafficData[[#This Row],[disposedChallan]]&lt;=TrafficData[[#This Row],[totalChallan]],TrafficData[[#This Row],[pendingChallan]]&lt;=TrafficData[[#This Row],[totalChallan]])</f>
        <v>1</v>
      </c>
      <c r="O3539" t="b">
        <f>AND(TrafficData[[#This Row],[pendingAmount]]&lt;=TrafficData[[#This Row],[totalAmount]],TrafficData[[#This Row],[disposedAmount]]&lt;=TrafficData[[#This Row],[totalAmount]])</f>
        <v>1</v>
      </c>
      <c r="P3539" t="b">
        <f>AND(TrafficData[[#This Row],[pendingCourt]]&lt;=TrafficData[[#This Row],[totalCourt]],TrafficData[[#This Row],[disposedCourt]]&lt;=TrafficData[[#This Row],[totalCourt]])</f>
        <v>1</v>
      </c>
    </row>
    <row r="3540" spans="1:16">
      <c r="A3540" s="1">
        <v>45544</v>
      </c>
      <c r="B3540">
        <v>218886</v>
      </c>
      <c r="C3540">
        <v>68533</v>
      </c>
      <c r="D3540">
        <v>150353</v>
      </c>
      <c r="E3540">
        <v>237969797</v>
      </c>
      <c r="F3540">
        <v>100206230</v>
      </c>
      <c r="G3540">
        <v>338176027</v>
      </c>
      <c r="H3540">
        <v>89328</v>
      </c>
      <c r="I3540">
        <v>9007</v>
      </c>
      <c r="J3540">
        <v>98335</v>
      </c>
      <c r="K3540" t="b">
        <f>TrafficData[[#This Row],[disposedChallan]]+TrafficData[[#This Row],[pendingChallan]]=TrafficData[[#This Row],[totalChallan]]</f>
        <v>1</v>
      </c>
      <c r="L3540" t="b">
        <f>TrafficData[[#This Row],[pendingAmount]]+TrafficData[[#This Row],[disposedAmount]]=TrafficData[[#This Row],[totalAmount]]</f>
        <v>1</v>
      </c>
      <c r="M3540" t="b">
        <f>TrafficData[[#This Row],[pendingCourt]]+TrafficData[[#This Row],[disposedCourt]]=TrafficData[[#This Row],[totalCourt]]</f>
        <v>1</v>
      </c>
      <c r="N3540" t="b">
        <f>AND(TrafficData[[#This Row],[disposedChallan]]&lt;=TrafficData[[#This Row],[totalChallan]],TrafficData[[#This Row],[pendingChallan]]&lt;=TrafficData[[#This Row],[totalChallan]])</f>
        <v>1</v>
      </c>
      <c r="O3540" t="b">
        <f>AND(TrafficData[[#This Row],[pendingAmount]]&lt;=TrafficData[[#This Row],[totalAmount]],TrafficData[[#This Row],[disposedAmount]]&lt;=TrafficData[[#This Row],[totalAmount]])</f>
        <v>1</v>
      </c>
      <c r="P3540" t="b">
        <f>AND(TrafficData[[#This Row],[pendingCourt]]&lt;=TrafficData[[#This Row],[totalCourt]],TrafficData[[#This Row],[disposedCourt]]&lt;=TrafficData[[#This Row],[totalCourt]])</f>
        <v>1</v>
      </c>
    </row>
    <row r="3541" spans="1:16">
      <c r="A3541" s="1">
        <v>45545</v>
      </c>
      <c r="B3541">
        <v>226030</v>
      </c>
      <c r="C3541">
        <v>70664</v>
      </c>
      <c r="D3541">
        <v>155366</v>
      </c>
      <c r="E3541">
        <v>263460177</v>
      </c>
      <c r="F3541">
        <v>113953906</v>
      </c>
      <c r="G3541">
        <v>377414083</v>
      </c>
      <c r="H3541">
        <v>89921</v>
      </c>
      <c r="I3541">
        <v>8939</v>
      </c>
      <c r="J3541">
        <v>98860</v>
      </c>
      <c r="K3541" t="b">
        <f>TrafficData[[#This Row],[disposedChallan]]+TrafficData[[#This Row],[pendingChallan]]=TrafficData[[#This Row],[totalChallan]]</f>
        <v>1</v>
      </c>
      <c r="L3541" t="b">
        <f>TrafficData[[#This Row],[pendingAmount]]+TrafficData[[#This Row],[disposedAmount]]=TrafficData[[#This Row],[totalAmount]]</f>
        <v>1</v>
      </c>
      <c r="M3541" t="b">
        <f>TrafficData[[#This Row],[pendingCourt]]+TrafficData[[#This Row],[disposedCourt]]=TrafficData[[#This Row],[totalCourt]]</f>
        <v>1</v>
      </c>
      <c r="N3541" t="b">
        <f>AND(TrafficData[[#This Row],[disposedChallan]]&lt;=TrafficData[[#This Row],[totalChallan]],TrafficData[[#This Row],[pendingChallan]]&lt;=TrafficData[[#This Row],[totalChallan]])</f>
        <v>1</v>
      </c>
      <c r="O3541" t="b">
        <f>AND(TrafficData[[#This Row],[pendingAmount]]&lt;=TrafficData[[#This Row],[totalAmount]],TrafficData[[#This Row],[disposedAmount]]&lt;=TrafficData[[#This Row],[totalAmount]])</f>
        <v>1</v>
      </c>
      <c r="P3541" t="b">
        <f>AND(TrafficData[[#This Row],[pendingCourt]]&lt;=TrafficData[[#This Row],[totalCourt]],TrafficData[[#This Row],[disposedCourt]]&lt;=TrafficData[[#This Row],[totalCourt]])</f>
        <v>1</v>
      </c>
    </row>
    <row r="3542" spans="1:16">
      <c r="A3542" s="1">
        <v>45546</v>
      </c>
      <c r="B3542">
        <v>216973</v>
      </c>
      <c r="C3542">
        <v>67762</v>
      </c>
      <c r="D3542">
        <v>149211</v>
      </c>
      <c r="E3542">
        <v>251481883</v>
      </c>
      <c r="F3542">
        <v>112774640</v>
      </c>
      <c r="G3542">
        <v>364256523</v>
      </c>
      <c r="H3542">
        <v>89601</v>
      </c>
      <c r="I3542">
        <v>8903</v>
      </c>
      <c r="J3542">
        <v>98504</v>
      </c>
      <c r="K3542" t="b">
        <f>TrafficData[[#This Row],[disposedChallan]]+TrafficData[[#This Row],[pendingChallan]]=TrafficData[[#This Row],[totalChallan]]</f>
        <v>1</v>
      </c>
      <c r="L3542" t="b">
        <f>TrafficData[[#This Row],[pendingAmount]]+TrafficData[[#This Row],[disposedAmount]]=TrafficData[[#This Row],[totalAmount]]</f>
        <v>1</v>
      </c>
      <c r="M3542" t="b">
        <f>TrafficData[[#This Row],[pendingCourt]]+TrafficData[[#This Row],[disposedCourt]]=TrafficData[[#This Row],[totalCourt]]</f>
        <v>1</v>
      </c>
      <c r="N3542" t="b">
        <f>AND(TrafficData[[#This Row],[disposedChallan]]&lt;=TrafficData[[#This Row],[totalChallan]],TrafficData[[#This Row],[pendingChallan]]&lt;=TrafficData[[#This Row],[totalChallan]])</f>
        <v>1</v>
      </c>
      <c r="O3542" t="b">
        <f>AND(TrafficData[[#This Row],[pendingAmount]]&lt;=TrafficData[[#This Row],[totalAmount]],TrafficData[[#This Row],[disposedAmount]]&lt;=TrafficData[[#This Row],[totalAmount]])</f>
        <v>1</v>
      </c>
      <c r="P3542" t="b">
        <f>AND(TrafficData[[#This Row],[pendingCourt]]&lt;=TrafficData[[#This Row],[totalCourt]],TrafficData[[#This Row],[disposedCourt]]&lt;=TrafficData[[#This Row],[totalCourt]])</f>
        <v>1</v>
      </c>
    </row>
    <row r="3543" spans="1:16">
      <c r="A3543" s="1">
        <v>45547</v>
      </c>
      <c r="B3543">
        <v>214417</v>
      </c>
      <c r="C3543">
        <v>69197</v>
      </c>
      <c r="D3543">
        <v>145220</v>
      </c>
      <c r="E3543">
        <v>236934838</v>
      </c>
      <c r="F3543">
        <v>114317351</v>
      </c>
      <c r="G3543">
        <v>351252189</v>
      </c>
      <c r="H3543">
        <v>79017</v>
      </c>
      <c r="I3543">
        <v>8301</v>
      </c>
      <c r="J3543">
        <v>87318</v>
      </c>
      <c r="K3543" t="b">
        <f>TrafficData[[#This Row],[disposedChallan]]+TrafficData[[#This Row],[pendingChallan]]=TrafficData[[#This Row],[totalChallan]]</f>
        <v>1</v>
      </c>
      <c r="L3543" t="b">
        <f>TrafficData[[#This Row],[pendingAmount]]+TrafficData[[#This Row],[disposedAmount]]=TrafficData[[#This Row],[totalAmount]]</f>
        <v>1</v>
      </c>
      <c r="M3543" t="b">
        <f>TrafficData[[#This Row],[pendingCourt]]+TrafficData[[#This Row],[disposedCourt]]=TrafficData[[#This Row],[totalCourt]]</f>
        <v>1</v>
      </c>
      <c r="N3543" t="b">
        <f>AND(TrafficData[[#This Row],[disposedChallan]]&lt;=TrafficData[[#This Row],[totalChallan]],TrafficData[[#This Row],[pendingChallan]]&lt;=TrafficData[[#This Row],[totalChallan]])</f>
        <v>1</v>
      </c>
      <c r="O3543" t="b">
        <f>AND(TrafficData[[#This Row],[pendingAmount]]&lt;=TrafficData[[#This Row],[totalAmount]],TrafficData[[#This Row],[disposedAmount]]&lt;=TrafficData[[#This Row],[totalAmount]])</f>
        <v>1</v>
      </c>
      <c r="P3543" t="b">
        <f>AND(TrafficData[[#This Row],[pendingCourt]]&lt;=TrafficData[[#This Row],[totalCourt]],TrafficData[[#This Row],[disposedCourt]]&lt;=TrafficData[[#This Row],[totalCourt]])</f>
        <v>1</v>
      </c>
    </row>
    <row r="3544" spans="1:16">
      <c r="A3544" s="1">
        <v>45548</v>
      </c>
      <c r="B3544">
        <v>215264</v>
      </c>
      <c r="C3544">
        <v>68785</v>
      </c>
      <c r="D3544">
        <v>146479</v>
      </c>
      <c r="E3544">
        <v>235869004</v>
      </c>
      <c r="F3544">
        <v>116446778</v>
      </c>
      <c r="G3544">
        <v>352315782</v>
      </c>
      <c r="H3544">
        <v>72183</v>
      </c>
      <c r="I3544">
        <v>8167</v>
      </c>
      <c r="J3544">
        <v>80350</v>
      </c>
      <c r="K3544" t="b">
        <f>TrafficData[[#This Row],[disposedChallan]]+TrafficData[[#This Row],[pendingChallan]]=TrafficData[[#This Row],[totalChallan]]</f>
        <v>1</v>
      </c>
      <c r="L3544" t="b">
        <f>TrafficData[[#This Row],[pendingAmount]]+TrafficData[[#This Row],[disposedAmount]]=TrafficData[[#This Row],[totalAmount]]</f>
        <v>1</v>
      </c>
      <c r="M3544" t="b">
        <f>TrafficData[[#This Row],[pendingCourt]]+TrafficData[[#This Row],[disposedCourt]]=TrafficData[[#This Row],[totalCourt]]</f>
        <v>1</v>
      </c>
      <c r="N3544" t="b">
        <f>AND(TrafficData[[#This Row],[disposedChallan]]&lt;=TrafficData[[#This Row],[totalChallan]],TrafficData[[#This Row],[pendingChallan]]&lt;=TrafficData[[#This Row],[totalChallan]])</f>
        <v>1</v>
      </c>
      <c r="O3544" t="b">
        <f>AND(TrafficData[[#This Row],[pendingAmount]]&lt;=TrafficData[[#This Row],[totalAmount]],TrafficData[[#This Row],[disposedAmount]]&lt;=TrafficData[[#This Row],[totalAmount]])</f>
        <v>1</v>
      </c>
      <c r="P3544" t="b">
        <f>AND(TrafficData[[#This Row],[pendingCourt]]&lt;=TrafficData[[#This Row],[totalCourt]],TrafficData[[#This Row],[disposedCourt]]&lt;=TrafficData[[#This Row],[totalCourt]])</f>
        <v>1</v>
      </c>
    </row>
    <row r="3545" spans="1:16">
      <c r="A3545" s="1">
        <v>45549</v>
      </c>
      <c r="B3545">
        <v>226606</v>
      </c>
      <c r="C3545">
        <v>71401</v>
      </c>
      <c r="D3545">
        <v>155205</v>
      </c>
      <c r="E3545">
        <v>244739159</v>
      </c>
      <c r="F3545">
        <v>107393186</v>
      </c>
      <c r="G3545">
        <v>352132345</v>
      </c>
      <c r="H3545">
        <v>89243</v>
      </c>
      <c r="I3545">
        <v>9387</v>
      </c>
      <c r="J3545">
        <v>98630</v>
      </c>
      <c r="K3545" t="b">
        <f>TrafficData[[#This Row],[disposedChallan]]+TrafficData[[#This Row],[pendingChallan]]=TrafficData[[#This Row],[totalChallan]]</f>
        <v>1</v>
      </c>
      <c r="L3545" t="b">
        <f>TrafficData[[#This Row],[pendingAmount]]+TrafficData[[#This Row],[disposedAmount]]=TrafficData[[#This Row],[totalAmount]]</f>
        <v>1</v>
      </c>
      <c r="M3545" t="b">
        <f>TrafficData[[#This Row],[pendingCourt]]+TrafficData[[#This Row],[disposedCourt]]=TrafficData[[#This Row],[totalCourt]]</f>
        <v>1</v>
      </c>
      <c r="N3545" t="b">
        <f>AND(TrafficData[[#This Row],[disposedChallan]]&lt;=TrafficData[[#This Row],[totalChallan]],TrafficData[[#This Row],[pendingChallan]]&lt;=TrafficData[[#This Row],[totalChallan]])</f>
        <v>1</v>
      </c>
      <c r="O3545" t="b">
        <f>AND(TrafficData[[#This Row],[pendingAmount]]&lt;=TrafficData[[#This Row],[totalAmount]],TrafficData[[#This Row],[disposedAmount]]&lt;=TrafficData[[#This Row],[totalAmount]])</f>
        <v>1</v>
      </c>
      <c r="P3545" t="b">
        <f>AND(TrafficData[[#This Row],[pendingCourt]]&lt;=TrafficData[[#This Row],[totalCourt]],TrafficData[[#This Row],[disposedCourt]]&lt;=TrafficData[[#This Row],[totalCourt]])</f>
        <v>1</v>
      </c>
    </row>
    <row r="3546" spans="1:16">
      <c r="A3546" s="1">
        <v>45550</v>
      </c>
      <c r="B3546">
        <v>203380</v>
      </c>
      <c r="C3546">
        <v>59220</v>
      </c>
      <c r="D3546">
        <v>144160</v>
      </c>
      <c r="E3546">
        <v>216311277</v>
      </c>
      <c r="F3546">
        <v>78500763</v>
      </c>
      <c r="G3546">
        <v>294812040</v>
      </c>
      <c r="H3546">
        <v>83112</v>
      </c>
      <c r="I3546">
        <v>8390</v>
      </c>
      <c r="J3546">
        <v>91502</v>
      </c>
      <c r="K3546" t="b">
        <f>TrafficData[[#This Row],[disposedChallan]]+TrafficData[[#This Row],[pendingChallan]]=TrafficData[[#This Row],[totalChallan]]</f>
        <v>1</v>
      </c>
      <c r="L3546" t="b">
        <f>TrafficData[[#This Row],[pendingAmount]]+TrafficData[[#This Row],[disposedAmount]]=TrafficData[[#This Row],[totalAmount]]</f>
        <v>1</v>
      </c>
      <c r="M3546" t="b">
        <f>TrafficData[[#This Row],[pendingCourt]]+TrafficData[[#This Row],[disposedCourt]]=TrafficData[[#This Row],[totalCourt]]</f>
        <v>1</v>
      </c>
      <c r="N3546" t="b">
        <f>AND(TrafficData[[#This Row],[disposedChallan]]&lt;=TrafficData[[#This Row],[totalChallan]],TrafficData[[#This Row],[pendingChallan]]&lt;=TrafficData[[#This Row],[totalChallan]])</f>
        <v>1</v>
      </c>
      <c r="O3546" t="b">
        <f>AND(TrafficData[[#This Row],[pendingAmount]]&lt;=TrafficData[[#This Row],[totalAmount]],TrafficData[[#This Row],[disposedAmount]]&lt;=TrafficData[[#This Row],[totalAmount]])</f>
        <v>1</v>
      </c>
      <c r="P3546" t="b">
        <f>AND(TrafficData[[#This Row],[pendingCourt]]&lt;=TrafficData[[#This Row],[totalCourt]],TrafficData[[#This Row],[disposedCourt]]&lt;=TrafficData[[#This Row],[totalCourt]])</f>
        <v>1</v>
      </c>
    </row>
    <row r="3547" spans="1:16">
      <c r="A3547" s="1">
        <v>45551</v>
      </c>
      <c r="B3547">
        <v>200988</v>
      </c>
      <c r="C3547">
        <v>60786</v>
      </c>
      <c r="D3547">
        <v>140202</v>
      </c>
      <c r="E3547">
        <v>218974577</v>
      </c>
      <c r="F3547">
        <v>87821630</v>
      </c>
      <c r="G3547">
        <v>306796207</v>
      </c>
      <c r="H3547">
        <v>73125</v>
      </c>
      <c r="I3547">
        <v>7833</v>
      </c>
      <c r="J3547">
        <v>80958</v>
      </c>
      <c r="K3547" t="b">
        <f>TrafficData[[#This Row],[disposedChallan]]+TrafficData[[#This Row],[pendingChallan]]=TrafficData[[#This Row],[totalChallan]]</f>
        <v>1</v>
      </c>
      <c r="L3547" t="b">
        <f>TrafficData[[#This Row],[pendingAmount]]+TrafficData[[#This Row],[disposedAmount]]=TrafficData[[#This Row],[totalAmount]]</f>
        <v>1</v>
      </c>
      <c r="M3547" t="b">
        <f>TrafficData[[#This Row],[pendingCourt]]+TrafficData[[#This Row],[disposedCourt]]=TrafficData[[#This Row],[totalCourt]]</f>
        <v>1</v>
      </c>
      <c r="N3547" t="b">
        <f>AND(TrafficData[[#This Row],[disposedChallan]]&lt;=TrafficData[[#This Row],[totalChallan]],TrafficData[[#This Row],[pendingChallan]]&lt;=TrafficData[[#This Row],[totalChallan]])</f>
        <v>1</v>
      </c>
      <c r="O3547" t="b">
        <f>AND(TrafficData[[#This Row],[pendingAmount]]&lt;=TrafficData[[#This Row],[totalAmount]],TrafficData[[#This Row],[disposedAmount]]&lt;=TrafficData[[#This Row],[totalAmount]])</f>
        <v>1</v>
      </c>
      <c r="P3547" t="b">
        <f>AND(TrafficData[[#This Row],[pendingCourt]]&lt;=TrafficData[[#This Row],[totalCourt]],TrafficData[[#This Row],[disposedCourt]]&lt;=TrafficData[[#This Row],[totalCourt]])</f>
        <v>1</v>
      </c>
    </row>
    <row r="3548" spans="1:16">
      <c r="A3548" s="1">
        <v>45552</v>
      </c>
      <c r="B3548">
        <v>193230</v>
      </c>
      <c r="C3548">
        <v>57615</v>
      </c>
      <c r="D3548">
        <v>135615</v>
      </c>
      <c r="E3548">
        <v>212999391</v>
      </c>
      <c r="F3548">
        <v>84789824</v>
      </c>
      <c r="G3548">
        <v>297789215</v>
      </c>
      <c r="H3548">
        <v>69685</v>
      </c>
      <c r="I3548">
        <v>7426</v>
      </c>
      <c r="J3548">
        <v>77111</v>
      </c>
      <c r="K3548" t="b">
        <f>TrafficData[[#This Row],[disposedChallan]]+TrafficData[[#This Row],[pendingChallan]]=TrafficData[[#This Row],[totalChallan]]</f>
        <v>1</v>
      </c>
      <c r="L3548" t="b">
        <f>TrafficData[[#This Row],[pendingAmount]]+TrafficData[[#This Row],[disposedAmount]]=TrafficData[[#This Row],[totalAmount]]</f>
        <v>1</v>
      </c>
      <c r="M3548" t="b">
        <f>TrafficData[[#This Row],[pendingCourt]]+TrafficData[[#This Row],[disposedCourt]]=TrafficData[[#This Row],[totalCourt]]</f>
        <v>1</v>
      </c>
      <c r="N3548" t="b">
        <f>AND(TrafficData[[#This Row],[disposedChallan]]&lt;=TrafficData[[#This Row],[totalChallan]],TrafficData[[#This Row],[pendingChallan]]&lt;=TrafficData[[#This Row],[totalChallan]])</f>
        <v>1</v>
      </c>
      <c r="O3548" t="b">
        <f>AND(TrafficData[[#This Row],[pendingAmount]]&lt;=TrafficData[[#This Row],[totalAmount]],TrafficData[[#This Row],[disposedAmount]]&lt;=TrafficData[[#This Row],[totalAmount]])</f>
        <v>1</v>
      </c>
      <c r="P3548" t="b">
        <f>AND(TrafficData[[#This Row],[pendingCourt]]&lt;=TrafficData[[#This Row],[totalCourt]],TrafficData[[#This Row],[disposedCourt]]&lt;=TrafficData[[#This Row],[totalCourt]])</f>
        <v>1</v>
      </c>
    </row>
    <row r="3549" spans="1:16">
      <c r="A3549" s="1">
        <v>45553</v>
      </c>
      <c r="B3549">
        <v>211485</v>
      </c>
      <c r="C3549">
        <v>67500</v>
      </c>
      <c r="D3549">
        <v>143985</v>
      </c>
      <c r="E3549">
        <v>225958087</v>
      </c>
      <c r="F3549">
        <v>110901567</v>
      </c>
      <c r="G3549">
        <v>336859654</v>
      </c>
      <c r="H3549">
        <v>71893</v>
      </c>
      <c r="I3549">
        <v>7900</v>
      </c>
      <c r="J3549">
        <v>79793</v>
      </c>
      <c r="K3549" t="b">
        <f>TrafficData[[#This Row],[disposedChallan]]+TrafficData[[#This Row],[pendingChallan]]=TrafficData[[#This Row],[totalChallan]]</f>
        <v>1</v>
      </c>
      <c r="L3549" t="b">
        <f>TrafficData[[#This Row],[pendingAmount]]+TrafficData[[#This Row],[disposedAmount]]=TrafficData[[#This Row],[totalAmount]]</f>
        <v>1</v>
      </c>
      <c r="M3549" t="b">
        <f>TrafficData[[#This Row],[pendingCourt]]+TrafficData[[#This Row],[disposedCourt]]=TrafficData[[#This Row],[totalCourt]]</f>
        <v>1</v>
      </c>
      <c r="N3549" t="b">
        <f>AND(TrafficData[[#This Row],[disposedChallan]]&lt;=TrafficData[[#This Row],[totalChallan]],TrafficData[[#This Row],[pendingChallan]]&lt;=TrafficData[[#This Row],[totalChallan]])</f>
        <v>1</v>
      </c>
      <c r="O3549" t="b">
        <f>AND(TrafficData[[#This Row],[pendingAmount]]&lt;=TrafficData[[#This Row],[totalAmount]],TrafficData[[#This Row],[disposedAmount]]&lt;=TrafficData[[#This Row],[totalAmount]])</f>
        <v>1</v>
      </c>
      <c r="P3549" t="b">
        <f>AND(TrafficData[[#This Row],[pendingCourt]]&lt;=TrafficData[[#This Row],[totalCourt]],TrafficData[[#This Row],[disposedCourt]]&lt;=TrafficData[[#This Row],[totalCourt]])</f>
        <v>1</v>
      </c>
    </row>
    <row r="3550" spans="1:16">
      <c r="A3550" s="1">
        <v>45554</v>
      </c>
      <c r="B3550">
        <v>243377</v>
      </c>
      <c r="C3550">
        <v>74302</v>
      </c>
      <c r="D3550">
        <v>169075</v>
      </c>
      <c r="E3550">
        <v>269856335</v>
      </c>
      <c r="F3550">
        <v>122537465</v>
      </c>
      <c r="G3550">
        <v>392393800</v>
      </c>
      <c r="H3550">
        <v>92252</v>
      </c>
      <c r="I3550">
        <v>9452</v>
      </c>
      <c r="J3550">
        <v>101704</v>
      </c>
      <c r="K3550" t="b">
        <f>TrafficData[[#This Row],[disposedChallan]]+TrafficData[[#This Row],[pendingChallan]]=TrafficData[[#This Row],[totalChallan]]</f>
        <v>1</v>
      </c>
      <c r="L3550" t="b">
        <f>TrafficData[[#This Row],[pendingAmount]]+TrafficData[[#This Row],[disposedAmount]]=TrafficData[[#This Row],[totalAmount]]</f>
        <v>1</v>
      </c>
      <c r="M3550" t="b">
        <f>TrafficData[[#This Row],[pendingCourt]]+TrafficData[[#This Row],[disposedCourt]]=TrafficData[[#This Row],[totalCourt]]</f>
        <v>1</v>
      </c>
      <c r="N3550" t="b">
        <f>AND(TrafficData[[#This Row],[disposedChallan]]&lt;=TrafficData[[#This Row],[totalChallan]],TrafficData[[#This Row],[pendingChallan]]&lt;=TrafficData[[#This Row],[totalChallan]])</f>
        <v>1</v>
      </c>
      <c r="O3550" t="b">
        <f>AND(TrafficData[[#This Row],[pendingAmount]]&lt;=TrafficData[[#This Row],[totalAmount]],TrafficData[[#This Row],[disposedAmount]]&lt;=TrafficData[[#This Row],[totalAmount]])</f>
        <v>1</v>
      </c>
      <c r="P3550" t="b">
        <f>AND(TrafficData[[#This Row],[pendingCourt]]&lt;=TrafficData[[#This Row],[totalCourt]],TrafficData[[#This Row],[disposedCourt]]&lt;=TrafficData[[#This Row],[totalCourt]])</f>
        <v>1</v>
      </c>
    </row>
    <row r="3551" spans="1:16">
      <c r="A3551" s="1">
        <v>45555</v>
      </c>
      <c r="B3551">
        <v>245315</v>
      </c>
      <c r="C3551">
        <v>74547</v>
      </c>
      <c r="D3551">
        <v>170768</v>
      </c>
      <c r="E3551">
        <v>274962423</v>
      </c>
      <c r="F3551">
        <v>125729795</v>
      </c>
      <c r="G3551">
        <v>400692218</v>
      </c>
      <c r="H3551">
        <v>91953</v>
      </c>
      <c r="I3551">
        <v>9210</v>
      </c>
      <c r="J3551">
        <v>101163</v>
      </c>
      <c r="K3551" t="b">
        <f>TrafficData[[#This Row],[disposedChallan]]+TrafficData[[#This Row],[pendingChallan]]=TrafficData[[#This Row],[totalChallan]]</f>
        <v>1</v>
      </c>
      <c r="L3551" t="b">
        <f>TrafficData[[#This Row],[pendingAmount]]+TrafficData[[#This Row],[disposedAmount]]=TrafficData[[#This Row],[totalAmount]]</f>
        <v>1</v>
      </c>
      <c r="M3551" t="b">
        <f>TrafficData[[#This Row],[pendingCourt]]+TrafficData[[#This Row],[disposedCourt]]=TrafficData[[#This Row],[totalCourt]]</f>
        <v>1</v>
      </c>
      <c r="N3551" t="b">
        <f>AND(TrafficData[[#This Row],[disposedChallan]]&lt;=TrafficData[[#This Row],[totalChallan]],TrafficData[[#This Row],[pendingChallan]]&lt;=TrafficData[[#This Row],[totalChallan]])</f>
        <v>1</v>
      </c>
      <c r="O3551" t="b">
        <f>AND(TrafficData[[#This Row],[pendingAmount]]&lt;=TrafficData[[#This Row],[totalAmount]],TrafficData[[#This Row],[disposedAmount]]&lt;=TrafficData[[#This Row],[totalAmount]])</f>
        <v>1</v>
      </c>
      <c r="P3551" t="b">
        <f>AND(TrafficData[[#This Row],[pendingCourt]]&lt;=TrafficData[[#This Row],[totalCourt]],TrafficData[[#This Row],[disposedCourt]]&lt;=TrafficData[[#This Row],[totalCourt]])</f>
        <v>1</v>
      </c>
    </row>
    <row r="3552" spans="1:16">
      <c r="A3552" s="1">
        <v>45556</v>
      </c>
      <c r="B3552">
        <v>240737</v>
      </c>
      <c r="C3552">
        <v>75669</v>
      </c>
      <c r="D3552">
        <v>165068</v>
      </c>
      <c r="E3552">
        <v>255068290</v>
      </c>
      <c r="F3552">
        <v>107753399</v>
      </c>
      <c r="G3552">
        <v>362821689</v>
      </c>
      <c r="H3552">
        <v>76374</v>
      </c>
      <c r="I3552">
        <v>8302</v>
      </c>
      <c r="J3552">
        <v>84676</v>
      </c>
      <c r="K3552" t="b">
        <f>TrafficData[[#This Row],[disposedChallan]]+TrafficData[[#This Row],[pendingChallan]]=TrafficData[[#This Row],[totalChallan]]</f>
        <v>1</v>
      </c>
      <c r="L3552" t="b">
        <f>TrafficData[[#This Row],[pendingAmount]]+TrafficData[[#This Row],[disposedAmount]]=TrafficData[[#This Row],[totalAmount]]</f>
        <v>1</v>
      </c>
      <c r="M3552" t="b">
        <f>TrafficData[[#This Row],[pendingCourt]]+TrafficData[[#This Row],[disposedCourt]]=TrafficData[[#This Row],[totalCourt]]</f>
        <v>1</v>
      </c>
      <c r="N3552" t="b">
        <f>AND(TrafficData[[#This Row],[disposedChallan]]&lt;=TrafficData[[#This Row],[totalChallan]],TrafficData[[#This Row],[pendingChallan]]&lt;=TrafficData[[#This Row],[totalChallan]])</f>
        <v>1</v>
      </c>
      <c r="O3552" t="b">
        <f>AND(TrafficData[[#This Row],[pendingAmount]]&lt;=TrafficData[[#This Row],[totalAmount]],TrafficData[[#This Row],[disposedAmount]]&lt;=TrafficData[[#This Row],[totalAmount]])</f>
        <v>1</v>
      </c>
      <c r="P3552" t="b">
        <f>AND(TrafficData[[#This Row],[pendingCourt]]&lt;=TrafficData[[#This Row],[totalCourt]],TrafficData[[#This Row],[disposedCourt]]&lt;=TrafficData[[#This Row],[totalCourt]])</f>
        <v>1</v>
      </c>
    </row>
    <row r="3553" spans="1:16">
      <c r="A3553" s="1">
        <v>45557</v>
      </c>
      <c r="B3553">
        <v>222967</v>
      </c>
      <c r="C3553">
        <v>68196</v>
      </c>
      <c r="D3553">
        <v>154771</v>
      </c>
      <c r="E3553">
        <v>233444792</v>
      </c>
      <c r="F3553">
        <v>87347190</v>
      </c>
      <c r="G3553">
        <v>320791982</v>
      </c>
      <c r="H3553">
        <v>82656</v>
      </c>
      <c r="I3553">
        <v>8010</v>
      </c>
      <c r="J3553">
        <v>90666</v>
      </c>
      <c r="K3553" t="b">
        <f>TrafficData[[#This Row],[disposedChallan]]+TrafficData[[#This Row],[pendingChallan]]=TrafficData[[#This Row],[totalChallan]]</f>
        <v>1</v>
      </c>
      <c r="L3553" t="b">
        <f>TrafficData[[#This Row],[pendingAmount]]+TrafficData[[#This Row],[disposedAmount]]=TrafficData[[#This Row],[totalAmount]]</f>
        <v>1</v>
      </c>
      <c r="M3553" t="b">
        <f>TrafficData[[#This Row],[pendingCourt]]+TrafficData[[#This Row],[disposedCourt]]=TrafficData[[#This Row],[totalCourt]]</f>
        <v>1</v>
      </c>
      <c r="N3553" t="b">
        <f>AND(TrafficData[[#This Row],[disposedChallan]]&lt;=TrafficData[[#This Row],[totalChallan]],TrafficData[[#This Row],[pendingChallan]]&lt;=TrafficData[[#This Row],[totalChallan]])</f>
        <v>1</v>
      </c>
      <c r="O3553" t="b">
        <f>AND(TrafficData[[#This Row],[pendingAmount]]&lt;=TrafficData[[#This Row],[totalAmount]],TrafficData[[#This Row],[disposedAmount]]&lt;=TrafficData[[#This Row],[totalAmount]])</f>
        <v>1</v>
      </c>
      <c r="P3553" t="b">
        <f>AND(TrafficData[[#This Row],[pendingCourt]]&lt;=TrafficData[[#This Row],[totalCourt]],TrafficData[[#This Row],[disposedCourt]]&lt;=TrafficData[[#This Row],[totalCourt]])</f>
        <v>1</v>
      </c>
    </row>
    <row r="3554" spans="1:16">
      <c r="A3554" s="1">
        <v>45558</v>
      </c>
      <c r="B3554">
        <v>239364</v>
      </c>
      <c r="C3554">
        <v>74093</v>
      </c>
      <c r="D3554">
        <v>165271</v>
      </c>
      <c r="E3554">
        <v>273100245</v>
      </c>
      <c r="F3554">
        <v>104833641</v>
      </c>
      <c r="G3554">
        <v>377933886</v>
      </c>
      <c r="H3554">
        <v>77032</v>
      </c>
      <c r="I3554">
        <v>9468</v>
      </c>
      <c r="J3554">
        <v>86500</v>
      </c>
      <c r="K3554" t="b">
        <f>TrafficData[[#This Row],[disposedChallan]]+TrafficData[[#This Row],[pendingChallan]]=TrafficData[[#This Row],[totalChallan]]</f>
        <v>1</v>
      </c>
      <c r="L3554" t="b">
        <f>TrafficData[[#This Row],[pendingAmount]]+TrafficData[[#This Row],[disposedAmount]]=TrafficData[[#This Row],[totalAmount]]</f>
        <v>1</v>
      </c>
      <c r="M3554" t="b">
        <f>TrafficData[[#This Row],[pendingCourt]]+TrafficData[[#This Row],[disposedCourt]]=TrafficData[[#This Row],[totalCourt]]</f>
        <v>1</v>
      </c>
      <c r="N3554" t="b">
        <f>AND(TrafficData[[#This Row],[disposedChallan]]&lt;=TrafficData[[#This Row],[totalChallan]],TrafficData[[#This Row],[pendingChallan]]&lt;=TrafficData[[#This Row],[totalChallan]])</f>
        <v>1</v>
      </c>
      <c r="O3554" t="b">
        <f>AND(TrafficData[[#This Row],[pendingAmount]]&lt;=TrafficData[[#This Row],[totalAmount]],TrafficData[[#This Row],[disposedAmount]]&lt;=TrafficData[[#This Row],[totalAmount]])</f>
        <v>1</v>
      </c>
      <c r="P3554" t="b">
        <f>AND(TrafficData[[#This Row],[pendingCourt]]&lt;=TrafficData[[#This Row],[totalCourt]],TrafficData[[#This Row],[disposedCourt]]&lt;=TrafficData[[#This Row],[totalCourt]])</f>
        <v>1</v>
      </c>
    </row>
    <row r="3555" spans="1:16">
      <c r="A3555" s="1">
        <v>45559</v>
      </c>
      <c r="B3555">
        <v>238259</v>
      </c>
      <c r="C3555">
        <v>73161</v>
      </c>
      <c r="D3555">
        <v>165098</v>
      </c>
      <c r="E3555">
        <v>273910126</v>
      </c>
      <c r="F3555">
        <v>117725546</v>
      </c>
      <c r="G3555">
        <v>391635672</v>
      </c>
      <c r="H3555">
        <v>87487</v>
      </c>
      <c r="I3555">
        <v>9174</v>
      </c>
      <c r="J3555">
        <v>96661</v>
      </c>
      <c r="K3555" t="b">
        <f>TrafficData[[#This Row],[disposedChallan]]+TrafficData[[#This Row],[pendingChallan]]=TrafficData[[#This Row],[totalChallan]]</f>
        <v>1</v>
      </c>
      <c r="L3555" t="b">
        <f>TrafficData[[#This Row],[pendingAmount]]+TrafficData[[#This Row],[disposedAmount]]=TrafficData[[#This Row],[totalAmount]]</f>
        <v>1</v>
      </c>
      <c r="M3555" t="b">
        <f>TrafficData[[#This Row],[pendingCourt]]+TrafficData[[#This Row],[disposedCourt]]=TrafficData[[#This Row],[totalCourt]]</f>
        <v>1</v>
      </c>
      <c r="N3555" t="b">
        <f>AND(TrafficData[[#This Row],[disposedChallan]]&lt;=TrafficData[[#This Row],[totalChallan]],TrafficData[[#This Row],[pendingChallan]]&lt;=TrafficData[[#This Row],[totalChallan]])</f>
        <v>1</v>
      </c>
      <c r="O3555" t="b">
        <f>AND(TrafficData[[#This Row],[pendingAmount]]&lt;=TrafficData[[#This Row],[totalAmount]],TrafficData[[#This Row],[disposedAmount]]&lt;=TrafficData[[#This Row],[totalAmount]])</f>
        <v>1</v>
      </c>
      <c r="P3555" t="b">
        <f>AND(TrafficData[[#This Row],[pendingCourt]]&lt;=TrafficData[[#This Row],[totalCourt]],TrafficData[[#This Row],[disposedCourt]]&lt;=TrafficData[[#This Row],[totalCourt]])</f>
        <v>1</v>
      </c>
    </row>
    <row r="3556" spans="1:16">
      <c r="A3556" s="1">
        <v>45560</v>
      </c>
      <c r="B3556">
        <v>231894</v>
      </c>
      <c r="C3556">
        <v>72388</v>
      </c>
      <c r="D3556">
        <v>159506</v>
      </c>
      <c r="E3556">
        <v>270346858</v>
      </c>
      <c r="F3556">
        <v>116216084</v>
      </c>
      <c r="G3556">
        <v>386562942</v>
      </c>
      <c r="H3556">
        <v>83905</v>
      </c>
      <c r="I3556">
        <v>8664</v>
      </c>
      <c r="J3556">
        <v>92569</v>
      </c>
      <c r="K3556" t="b">
        <f>TrafficData[[#This Row],[disposedChallan]]+TrafficData[[#This Row],[pendingChallan]]=TrafficData[[#This Row],[totalChallan]]</f>
        <v>1</v>
      </c>
      <c r="L3556" t="b">
        <f>TrafficData[[#This Row],[pendingAmount]]+TrafficData[[#This Row],[disposedAmount]]=TrafficData[[#This Row],[totalAmount]]</f>
        <v>1</v>
      </c>
      <c r="M3556" t="b">
        <f>TrafficData[[#This Row],[pendingCourt]]+TrafficData[[#This Row],[disposedCourt]]=TrafficData[[#This Row],[totalCourt]]</f>
        <v>1</v>
      </c>
      <c r="N3556" t="b">
        <f>AND(TrafficData[[#This Row],[disposedChallan]]&lt;=TrafficData[[#This Row],[totalChallan]],TrafficData[[#This Row],[pendingChallan]]&lt;=TrafficData[[#This Row],[totalChallan]])</f>
        <v>1</v>
      </c>
      <c r="O3556" t="b">
        <f>AND(TrafficData[[#This Row],[pendingAmount]]&lt;=TrafficData[[#This Row],[totalAmount]],TrafficData[[#This Row],[disposedAmount]]&lt;=TrafficData[[#This Row],[totalAmount]])</f>
        <v>1</v>
      </c>
      <c r="P3556" t="b">
        <f>AND(TrafficData[[#This Row],[pendingCourt]]&lt;=TrafficData[[#This Row],[totalCourt]],TrafficData[[#This Row],[disposedCourt]]&lt;=TrafficData[[#This Row],[totalCourt]])</f>
        <v>1</v>
      </c>
    </row>
    <row r="3557" spans="1:16">
      <c r="A3557" s="1">
        <v>45561</v>
      </c>
      <c r="B3557">
        <v>226225</v>
      </c>
      <c r="C3557">
        <v>70701</v>
      </c>
      <c r="D3557">
        <v>155524</v>
      </c>
      <c r="E3557">
        <v>255947956</v>
      </c>
      <c r="F3557">
        <v>106835007</v>
      </c>
      <c r="G3557">
        <v>362782963</v>
      </c>
      <c r="H3557">
        <v>78505</v>
      </c>
      <c r="I3557">
        <v>8727</v>
      </c>
      <c r="J3557">
        <v>87232</v>
      </c>
      <c r="K3557" t="b">
        <f>TrafficData[[#This Row],[disposedChallan]]+TrafficData[[#This Row],[pendingChallan]]=TrafficData[[#This Row],[totalChallan]]</f>
        <v>1</v>
      </c>
      <c r="L3557" t="b">
        <f>TrafficData[[#This Row],[pendingAmount]]+TrafficData[[#This Row],[disposedAmount]]=TrafficData[[#This Row],[totalAmount]]</f>
        <v>1</v>
      </c>
      <c r="M3557" t="b">
        <f>TrafficData[[#This Row],[pendingCourt]]+TrafficData[[#This Row],[disposedCourt]]=TrafficData[[#This Row],[totalCourt]]</f>
        <v>1</v>
      </c>
      <c r="N3557" t="b">
        <f>AND(TrafficData[[#This Row],[disposedChallan]]&lt;=TrafficData[[#This Row],[totalChallan]],TrafficData[[#This Row],[pendingChallan]]&lt;=TrafficData[[#This Row],[totalChallan]])</f>
        <v>1</v>
      </c>
      <c r="O3557" t="b">
        <f>AND(TrafficData[[#This Row],[pendingAmount]]&lt;=TrafficData[[#This Row],[totalAmount]],TrafficData[[#This Row],[disposedAmount]]&lt;=TrafficData[[#This Row],[totalAmount]])</f>
        <v>1</v>
      </c>
      <c r="P3557" t="b">
        <f>AND(TrafficData[[#This Row],[pendingCourt]]&lt;=TrafficData[[#This Row],[totalCourt]],TrafficData[[#This Row],[disposedCourt]]&lt;=TrafficData[[#This Row],[totalCourt]])</f>
        <v>1</v>
      </c>
    </row>
    <row r="3558" spans="1:16">
      <c r="A3558" s="1">
        <v>45562</v>
      </c>
      <c r="B3558">
        <v>225048</v>
      </c>
      <c r="C3558">
        <v>71040</v>
      </c>
      <c r="D3558">
        <v>154008</v>
      </c>
      <c r="E3558">
        <v>250576796</v>
      </c>
      <c r="F3558">
        <v>105880710</v>
      </c>
      <c r="G3558">
        <v>356457506</v>
      </c>
      <c r="H3558">
        <v>80437</v>
      </c>
      <c r="I3558">
        <v>9047</v>
      </c>
      <c r="J3558">
        <v>89484</v>
      </c>
      <c r="K3558" t="b">
        <f>TrafficData[[#This Row],[disposedChallan]]+TrafficData[[#This Row],[pendingChallan]]=TrafficData[[#This Row],[totalChallan]]</f>
        <v>1</v>
      </c>
      <c r="L3558" t="b">
        <f>TrafficData[[#This Row],[pendingAmount]]+TrafficData[[#This Row],[disposedAmount]]=TrafficData[[#This Row],[totalAmount]]</f>
        <v>1</v>
      </c>
      <c r="M3558" t="b">
        <f>TrafficData[[#This Row],[pendingCourt]]+TrafficData[[#This Row],[disposedCourt]]=TrafficData[[#This Row],[totalCourt]]</f>
        <v>1</v>
      </c>
      <c r="N3558" t="b">
        <f>AND(TrafficData[[#This Row],[disposedChallan]]&lt;=TrafficData[[#This Row],[totalChallan]],TrafficData[[#This Row],[pendingChallan]]&lt;=TrafficData[[#This Row],[totalChallan]])</f>
        <v>1</v>
      </c>
      <c r="O3558" t="b">
        <f>AND(TrafficData[[#This Row],[pendingAmount]]&lt;=TrafficData[[#This Row],[totalAmount]],TrafficData[[#This Row],[disposedAmount]]&lt;=TrafficData[[#This Row],[totalAmount]])</f>
        <v>1</v>
      </c>
      <c r="P3558" t="b">
        <f>AND(TrafficData[[#This Row],[pendingCourt]]&lt;=TrafficData[[#This Row],[totalCourt]],TrafficData[[#This Row],[disposedCourt]]&lt;=TrafficData[[#This Row],[totalCourt]])</f>
        <v>1</v>
      </c>
    </row>
    <row r="3559" spans="1:16">
      <c r="A3559" s="1">
        <v>45563</v>
      </c>
      <c r="B3559">
        <v>230343</v>
      </c>
      <c r="C3559">
        <v>73696</v>
      </c>
      <c r="D3559">
        <v>156647</v>
      </c>
      <c r="E3559">
        <v>243505798</v>
      </c>
      <c r="F3559">
        <v>100528629</v>
      </c>
      <c r="G3559">
        <v>344034427</v>
      </c>
      <c r="H3559">
        <v>80156</v>
      </c>
      <c r="I3559">
        <v>9146</v>
      </c>
      <c r="J3559">
        <v>89302</v>
      </c>
      <c r="K3559" t="b">
        <f>TrafficData[[#This Row],[disposedChallan]]+TrafficData[[#This Row],[pendingChallan]]=TrafficData[[#This Row],[totalChallan]]</f>
        <v>1</v>
      </c>
      <c r="L3559" t="b">
        <f>TrafficData[[#This Row],[pendingAmount]]+TrafficData[[#This Row],[disposedAmount]]=TrafficData[[#This Row],[totalAmount]]</f>
        <v>1</v>
      </c>
      <c r="M3559" t="b">
        <f>TrafficData[[#This Row],[pendingCourt]]+TrafficData[[#This Row],[disposedCourt]]=TrafficData[[#This Row],[totalCourt]]</f>
        <v>1</v>
      </c>
      <c r="N3559" t="b">
        <f>AND(TrafficData[[#This Row],[disposedChallan]]&lt;=TrafficData[[#This Row],[totalChallan]],TrafficData[[#This Row],[pendingChallan]]&lt;=TrafficData[[#This Row],[totalChallan]])</f>
        <v>1</v>
      </c>
      <c r="O3559" t="b">
        <f>AND(TrafficData[[#This Row],[pendingAmount]]&lt;=TrafficData[[#This Row],[totalAmount]],TrafficData[[#This Row],[disposedAmount]]&lt;=TrafficData[[#This Row],[totalAmount]])</f>
        <v>1</v>
      </c>
      <c r="P3559" t="b">
        <f>AND(TrafficData[[#This Row],[pendingCourt]]&lt;=TrafficData[[#This Row],[totalCourt]],TrafficData[[#This Row],[disposedCourt]]&lt;=TrafficData[[#This Row],[totalCourt]])</f>
        <v>1</v>
      </c>
    </row>
    <row r="3560" spans="1:16">
      <c r="A3560" s="1">
        <v>45564</v>
      </c>
      <c r="B3560">
        <v>215589</v>
      </c>
      <c r="C3560">
        <v>67441</v>
      </c>
      <c r="D3560">
        <v>148148</v>
      </c>
      <c r="E3560">
        <v>218225436</v>
      </c>
      <c r="F3560">
        <v>82993160</v>
      </c>
      <c r="G3560">
        <v>301218596</v>
      </c>
      <c r="H3560">
        <v>76952</v>
      </c>
      <c r="I3560">
        <v>8062</v>
      </c>
      <c r="J3560">
        <v>85014</v>
      </c>
      <c r="K3560" t="b">
        <f>TrafficData[[#This Row],[disposedChallan]]+TrafficData[[#This Row],[pendingChallan]]=TrafficData[[#This Row],[totalChallan]]</f>
        <v>1</v>
      </c>
      <c r="L3560" t="b">
        <f>TrafficData[[#This Row],[pendingAmount]]+TrafficData[[#This Row],[disposedAmount]]=TrafficData[[#This Row],[totalAmount]]</f>
        <v>1</v>
      </c>
      <c r="M3560" t="b">
        <f>TrafficData[[#This Row],[pendingCourt]]+TrafficData[[#This Row],[disposedCourt]]=TrafficData[[#This Row],[totalCourt]]</f>
        <v>1</v>
      </c>
      <c r="N3560" t="b">
        <f>AND(TrafficData[[#This Row],[disposedChallan]]&lt;=TrafficData[[#This Row],[totalChallan]],TrafficData[[#This Row],[pendingChallan]]&lt;=TrafficData[[#This Row],[totalChallan]])</f>
        <v>1</v>
      </c>
      <c r="O3560" t="b">
        <f>AND(TrafficData[[#This Row],[pendingAmount]]&lt;=TrafficData[[#This Row],[totalAmount]],TrafficData[[#This Row],[disposedAmount]]&lt;=TrafficData[[#This Row],[totalAmount]])</f>
        <v>1</v>
      </c>
      <c r="P3560" t="b">
        <f>AND(TrafficData[[#This Row],[pendingCourt]]&lt;=TrafficData[[#This Row],[totalCourt]],TrafficData[[#This Row],[disposedCourt]]&lt;=TrafficData[[#This Row],[totalCourt]])</f>
        <v>1</v>
      </c>
    </row>
    <row r="3561" spans="1:16">
      <c r="A3561" s="1">
        <v>45565</v>
      </c>
      <c r="B3561">
        <v>233813</v>
      </c>
      <c r="C3561">
        <v>73132</v>
      </c>
      <c r="D3561">
        <v>160681</v>
      </c>
      <c r="E3561">
        <v>253465664</v>
      </c>
      <c r="F3561">
        <v>99897849</v>
      </c>
      <c r="G3561">
        <v>353363513</v>
      </c>
      <c r="H3561">
        <v>86147</v>
      </c>
      <c r="I3561">
        <v>8830</v>
      </c>
      <c r="J3561">
        <v>94977</v>
      </c>
      <c r="K3561" t="b">
        <f>TrafficData[[#This Row],[disposedChallan]]+TrafficData[[#This Row],[pendingChallan]]=TrafficData[[#This Row],[totalChallan]]</f>
        <v>1</v>
      </c>
      <c r="L3561" t="b">
        <f>TrafficData[[#This Row],[pendingAmount]]+TrafficData[[#This Row],[disposedAmount]]=TrafficData[[#This Row],[totalAmount]]</f>
        <v>1</v>
      </c>
      <c r="M3561" t="b">
        <f>TrafficData[[#This Row],[pendingCourt]]+TrafficData[[#This Row],[disposedCourt]]=TrafficData[[#This Row],[totalCourt]]</f>
        <v>1</v>
      </c>
      <c r="N3561" t="b">
        <f>AND(TrafficData[[#This Row],[disposedChallan]]&lt;=TrafficData[[#This Row],[totalChallan]],TrafficData[[#This Row],[pendingChallan]]&lt;=TrafficData[[#This Row],[totalChallan]])</f>
        <v>1</v>
      </c>
      <c r="O3561" t="b">
        <f>AND(TrafficData[[#This Row],[pendingAmount]]&lt;=TrafficData[[#This Row],[totalAmount]],TrafficData[[#This Row],[disposedAmount]]&lt;=TrafficData[[#This Row],[totalAmount]])</f>
        <v>1</v>
      </c>
      <c r="P3561" t="b">
        <f>AND(TrafficData[[#This Row],[pendingCourt]]&lt;=TrafficData[[#This Row],[totalCourt]],TrafficData[[#This Row],[disposedCourt]]&lt;=TrafficData[[#This Row],[totalCourt]])</f>
        <v>1</v>
      </c>
    </row>
    <row r="3562" spans="1:16">
      <c r="A3562" s="1">
        <v>45566</v>
      </c>
      <c r="B3562">
        <v>221005</v>
      </c>
      <c r="C3562">
        <v>68019</v>
      </c>
      <c r="D3562">
        <v>152986</v>
      </c>
      <c r="E3562">
        <v>245216897</v>
      </c>
      <c r="F3562">
        <v>108075719</v>
      </c>
      <c r="G3562">
        <v>353292616</v>
      </c>
      <c r="H3562">
        <v>84855</v>
      </c>
      <c r="I3562">
        <v>9377</v>
      </c>
      <c r="J3562">
        <v>94232</v>
      </c>
      <c r="K3562" t="b">
        <f>TrafficData[[#This Row],[disposedChallan]]+TrafficData[[#This Row],[pendingChallan]]=TrafficData[[#This Row],[totalChallan]]</f>
        <v>1</v>
      </c>
      <c r="L3562" t="b">
        <f>TrafficData[[#This Row],[pendingAmount]]+TrafficData[[#This Row],[disposedAmount]]=TrafficData[[#This Row],[totalAmount]]</f>
        <v>1</v>
      </c>
      <c r="M3562" t="b">
        <f>TrafficData[[#This Row],[pendingCourt]]+TrafficData[[#This Row],[disposedCourt]]=TrafficData[[#This Row],[totalCourt]]</f>
        <v>1</v>
      </c>
      <c r="N3562" t="b">
        <f>AND(TrafficData[[#This Row],[disposedChallan]]&lt;=TrafficData[[#This Row],[totalChallan]],TrafficData[[#This Row],[pendingChallan]]&lt;=TrafficData[[#This Row],[totalChallan]])</f>
        <v>1</v>
      </c>
      <c r="O3562" t="b">
        <f>AND(TrafficData[[#This Row],[pendingAmount]]&lt;=TrafficData[[#This Row],[totalAmount]],TrafficData[[#This Row],[disposedAmount]]&lt;=TrafficData[[#This Row],[totalAmount]])</f>
        <v>1</v>
      </c>
      <c r="P3562" t="b">
        <f>AND(TrafficData[[#This Row],[pendingCourt]]&lt;=TrafficData[[#This Row],[totalCourt]],TrafficData[[#This Row],[disposedCourt]]&lt;=TrafficData[[#This Row],[totalCourt]])</f>
        <v>1</v>
      </c>
    </row>
    <row r="3563" spans="1:16">
      <c r="A3563" s="1">
        <v>45567</v>
      </c>
      <c r="B3563">
        <v>224189</v>
      </c>
      <c r="C3563">
        <v>72773</v>
      </c>
      <c r="D3563">
        <v>151416</v>
      </c>
      <c r="E3563">
        <v>243271460</v>
      </c>
      <c r="F3563">
        <v>103656189</v>
      </c>
      <c r="G3563">
        <v>346927649</v>
      </c>
      <c r="H3563">
        <v>81893</v>
      </c>
      <c r="I3563">
        <v>8959</v>
      </c>
      <c r="J3563">
        <v>90852</v>
      </c>
      <c r="K3563" t="b">
        <f>TrafficData[[#This Row],[disposedChallan]]+TrafficData[[#This Row],[pendingChallan]]=TrafficData[[#This Row],[totalChallan]]</f>
        <v>1</v>
      </c>
      <c r="L3563" t="b">
        <f>TrafficData[[#This Row],[pendingAmount]]+TrafficData[[#This Row],[disposedAmount]]=TrafficData[[#This Row],[totalAmount]]</f>
        <v>1</v>
      </c>
      <c r="M3563" t="b">
        <f>TrafficData[[#This Row],[pendingCourt]]+TrafficData[[#This Row],[disposedCourt]]=TrafficData[[#This Row],[totalCourt]]</f>
        <v>1</v>
      </c>
      <c r="N3563" t="b">
        <f>AND(TrafficData[[#This Row],[disposedChallan]]&lt;=TrafficData[[#This Row],[totalChallan]],TrafficData[[#This Row],[pendingChallan]]&lt;=TrafficData[[#This Row],[totalChallan]])</f>
        <v>1</v>
      </c>
      <c r="O3563" t="b">
        <f>AND(TrafficData[[#This Row],[pendingAmount]]&lt;=TrafficData[[#This Row],[totalAmount]],TrafficData[[#This Row],[disposedAmount]]&lt;=TrafficData[[#This Row],[totalAmount]])</f>
        <v>1</v>
      </c>
      <c r="P3563" t="b">
        <f>AND(TrafficData[[#This Row],[pendingCourt]]&lt;=TrafficData[[#This Row],[totalCourt]],TrafficData[[#This Row],[disposedCourt]]&lt;=TrafficData[[#This Row],[totalCourt]])</f>
        <v>1</v>
      </c>
    </row>
    <row r="3564" spans="1:16">
      <c r="A3564" s="1">
        <v>45568</v>
      </c>
      <c r="B3564">
        <v>243884</v>
      </c>
      <c r="C3564">
        <v>72085</v>
      </c>
      <c r="D3564">
        <v>171799</v>
      </c>
      <c r="E3564">
        <v>285517172</v>
      </c>
      <c r="F3564">
        <v>115998676</v>
      </c>
      <c r="G3564">
        <v>401515848</v>
      </c>
      <c r="H3564">
        <v>85718</v>
      </c>
      <c r="I3564">
        <v>9339</v>
      </c>
      <c r="J3564">
        <v>95057</v>
      </c>
      <c r="K3564" t="b">
        <f>TrafficData[[#This Row],[disposedChallan]]+TrafficData[[#This Row],[pendingChallan]]=TrafficData[[#This Row],[totalChallan]]</f>
        <v>1</v>
      </c>
      <c r="L3564" t="b">
        <f>TrafficData[[#This Row],[pendingAmount]]+TrafficData[[#This Row],[disposedAmount]]=TrafficData[[#This Row],[totalAmount]]</f>
        <v>1</v>
      </c>
      <c r="M3564" t="b">
        <f>TrafficData[[#This Row],[pendingCourt]]+TrafficData[[#This Row],[disposedCourt]]=TrafficData[[#This Row],[totalCourt]]</f>
        <v>1</v>
      </c>
      <c r="N3564" t="b">
        <f>AND(TrafficData[[#This Row],[disposedChallan]]&lt;=TrafficData[[#This Row],[totalChallan]],TrafficData[[#This Row],[pendingChallan]]&lt;=TrafficData[[#This Row],[totalChallan]])</f>
        <v>1</v>
      </c>
      <c r="O3564" t="b">
        <f>AND(TrafficData[[#This Row],[pendingAmount]]&lt;=TrafficData[[#This Row],[totalAmount]],TrafficData[[#This Row],[disposedAmount]]&lt;=TrafficData[[#This Row],[totalAmount]])</f>
        <v>1</v>
      </c>
      <c r="P3564" t="b">
        <f>AND(TrafficData[[#This Row],[pendingCourt]]&lt;=TrafficData[[#This Row],[totalCourt]],TrafficData[[#This Row],[disposedCourt]]&lt;=TrafficData[[#This Row],[totalCourt]])</f>
        <v>1</v>
      </c>
    </row>
    <row r="3565" spans="1:16">
      <c r="A3565" s="1">
        <v>45569</v>
      </c>
      <c r="B3565">
        <v>253179</v>
      </c>
      <c r="C3565">
        <v>75759</v>
      </c>
      <c r="D3565">
        <v>177420</v>
      </c>
      <c r="E3565">
        <v>295586770</v>
      </c>
      <c r="F3565">
        <v>125253109</v>
      </c>
      <c r="G3565">
        <v>420839879</v>
      </c>
      <c r="H3565">
        <v>92406</v>
      </c>
      <c r="I3565">
        <v>10129</v>
      </c>
      <c r="J3565">
        <v>102535</v>
      </c>
      <c r="K3565" t="b">
        <f>TrafficData[[#This Row],[disposedChallan]]+TrafficData[[#This Row],[pendingChallan]]=TrafficData[[#This Row],[totalChallan]]</f>
        <v>1</v>
      </c>
      <c r="L3565" t="b">
        <f>TrafficData[[#This Row],[pendingAmount]]+TrafficData[[#This Row],[disposedAmount]]=TrafficData[[#This Row],[totalAmount]]</f>
        <v>1</v>
      </c>
      <c r="M3565" t="b">
        <f>TrafficData[[#This Row],[pendingCourt]]+TrafficData[[#This Row],[disposedCourt]]=TrafficData[[#This Row],[totalCourt]]</f>
        <v>1</v>
      </c>
      <c r="N3565" t="b">
        <f>AND(TrafficData[[#This Row],[disposedChallan]]&lt;=TrafficData[[#This Row],[totalChallan]],TrafficData[[#This Row],[pendingChallan]]&lt;=TrafficData[[#This Row],[totalChallan]])</f>
        <v>1</v>
      </c>
      <c r="O3565" t="b">
        <f>AND(TrafficData[[#This Row],[pendingAmount]]&lt;=TrafficData[[#This Row],[totalAmount]],TrafficData[[#This Row],[disposedAmount]]&lt;=TrafficData[[#This Row],[totalAmount]])</f>
        <v>1</v>
      </c>
      <c r="P3565" t="b">
        <f>AND(TrafficData[[#This Row],[pendingCourt]]&lt;=TrafficData[[#This Row],[totalCourt]],TrafficData[[#This Row],[disposedCourt]]&lt;=TrafficData[[#This Row],[totalCourt]])</f>
        <v>1</v>
      </c>
    </row>
    <row r="3566" spans="1:16">
      <c r="A3566" s="1">
        <v>45570</v>
      </c>
      <c r="B3566">
        <v>246858</v>
      </c>
      <c r="C3566">
        <v>76445</v>
      </c>
      <c r="D3566">
        <v>170413</v>
      </c>
      <c r="E3566">
        <v>281731428</v>
      </c>
      <c r="F3566">
        <v>119896963</v>
      </c>
      <c r="G3566">
        <v>401628391</v>
      </c>
      <c r="H3566">
        <v>89099</v>
      </c>
      <c r="I3566">
        <v>9375</v>
      </c>
      <c r="J3566">
        <v>98474</v>
      </c>
      <c r="K3566" t="b">
        <f>TrafficData[[#This Row],[disposedChallan]]+TrafficData[[#This Row],[pendingChallan]]=TrafficData[[#This Row],[totalChallan]]</f>
        <v>1</v>
      </c>
      <c r="L3566" t="b">
        <f>TrafficData[[#This Row],[pendingAmount]]+TrafficData[[#This Row],[disposedAmount]]=TrafficData[[#This Row],[totalAmount]]</f>
        <v>1</v>
      </c>
      <c r="M3566" t="b">
        <f>TrafficData[[#This Row],[pendingCourt]]+TrafficData[[#This Row],[disposedCourt]]=TrafficData[[#This Row],[totalCourt]]</f>
        <v>1</v>
      </c>
      <c r="N3566" t="b">
        <f>AND(TrafficData[[#This Row],[disposedChallan]]&lt;=TrafficData[[#This Row],[totalChallan]],TrafficData[[#This Row],[pendingChallan]]&lt;=TrafficData[[#This Row],[totalChallan]])</f>
        <v>1</v>
      </c>
      <c r="O3566" t="b">
        <f>AND(TrafficData[[#This Row],[pendingAmount]]&lt;=TrafficData[[#This Row],[totalAmount]],TrafficData[[#This Row],[disposedAmount]]&lt;=TrafficData[[#This Row],[totalAmount]])</f>
        <v>1</v>
      </c>
      <c r="P3566" t="b">
        <f>AND(TrafficData[[#This Row],[pendingCourt]]&lt;=TrafficData[[#This Row],[totalCourt]],TrafficData[[#This Row],[disposedCourt]]&lt;=TrafficData[[#This Row],[totalCourt]])</f>
        <v>1</v>
      </c>
    </row>
    <row r="3567" spans="1:16">
      <c r="A3567" s="1">
        <v>45571</v>
      </c>
      <c r="B3567">
        <v>219152</v>
      </c>
      <c r="C3567">
        <v>66375</v>
      </c>
      <c r="D3567">
        <v>152777</v>
      </c>
      <c r="E3567">
        <v>235236243</v>
      </c>
      <c r="F3567">
        <v>91694270</v>
      </c>
      <c r="G3567">
        <v>326930513</v>
      </c>
      <c r="H3567">
        <v>80972</v>
      </c>
      <c r="I3567">
        <v>8582</v>
      </c>
      <c r="J3567">
        <v>89554</v>
      </c>
      <c r="K3567" t="b">
        <f>TrafficData[[#This Row],[disposedChallan]]+TrafficData[[#This Row],[pendingChallan]]=TrafficData[[#This Row],[totalChallan]]</f>
        <v>1</v>
      </c>
      <c r="L3567" t="b">
        <f>TrafficData[[#This Row],[pendingAmount]]+TrafficData[[#This Row],[disposedAmount]]=TrafficData[[#This Row],[totalAmount]]</f>
        <v>1</v>
      </c>
      <c r="M3567" t="b">
        <f>TrafficData[[#This Row],[pendingCourt]]+TrafficData[[#This Row],[disposedCourt]]=TrafficData[[#This Row],[totalCourt]]</f>
        <v>1</v>
      </c>
      <c r="N3567" t="b">
        <f>AND(TrafficData[[#This Row],[disposedChallan]]&lt;=TrafficData[[#This Row],[totalChallan]],TrafficData[[#This Row],[pendingChallan]]&lt;=TrafficData[[#This Row],[totalChallan]])</f>
        <v>1</v>
      </c>
      <c r="O3567" t="b">
        <f>AND(TrafficData[[#This Row],[pendingAmount]]&lt;=TrafficData[[#This Row],[totalAmount]],TrafficData[[#This Row],[disposedAmount]]&lt;=TrafficData[[#This Row],[totalAmount]])</f>
        <v>1</v>
      </c>
      <c r="P3567" t="b">
        <f>AND(TrafficData[[#This Row],[pendingCourt]]&lt;=TrafficData[[#This Row],[totalCourt]],TrafficData[[#This Row],[disposedCourt]]&lt;=TrafficData[[#This Row],[totalCourt]])</f>
        <v>1</v>
      </c>
    </row>
    <row r="3568" spans="1:16">
      <c r="A3568" s="1">
        <v>45572</v>
      </c>
      <c r="B3568">
        <v>250608</v>
      </c>
      <c r="C3568">
        <v>75651</v>
      </c>
      <c r="D3568">
        <v>174957</v>
      </c>
      <c r="E3568">
        <v>288423193</v>
      </c>
      <c r="F3568">
        <v>126105881</v>
      </c>
      <c r="G3568">
        <v>414529074</v>
      </c>
      <c r="H3568">
        <v>89876</v>
      </c>
      <c r="I3568">
        <v>9562</v>
      </c>
      <c r="J3568">
        <v>99438</v>
      </c>
      <c r="K3568" t="b">
        <f>TrafficData[[#This Row],[disposedChallan]]+TrafficData[[#This Row],[pendingChallan]]=TrafficData[[#This Row],[totalChallan]]</f>
        <v>1</v>
      </c>
      <c r="L3568" t="b">
        <f>TrafficData[[#This Row],[pendingAmount]]+TrafficData[[#This Row],[disposedAmount]]=TrafficData[[#This Row],[totalAmount]]</f>
        <v>1</v>
      </c>
      <c r="M3568" t="b">
        <f>TrafficData[[#This Row],[pendingCourt]]+TrafficData[[#This Row],[disposedCourt]]=TrafficData[[#This Row],[totalCourt]]</f>
        <v>1</v>
      </c>
      <c r="N3568" t="b">
        <f>AND(TrafficData[[#This Row],[disposedChallan]]&lt;=TrafficData[[#This Row],[totalChallan]],TrafficData[[#This Row],[pendingChallan]]&lt;=TrafficData[[#This Row],[totalChallan]])</f>
        <v>1</v>
      </c>
      <c r="O3568" t="b">
        <f>AND(TrafficData[[#This Row],[pendingAmount]]&lt;=TrafficData[[#This Row],[totalAmount]],TrafficData[[#This Row],[disposedAmount]]&lt;=TrafficData[[#This Row],[totalAmount]])</f>
        <v>1</v>
      </c>
      <c r="P3568" t="b">
        <f>AND(TrafficData[[#This Row],[pendingCourt]]&lt;=TrafficData[[#This Row],[totalCourt]],TrafficData[[#This Row],[disposedCourt]]&lt;=TrafficData[[#This Row],[totalCourt]])</f>
        <v>1</v>
      </c>
    </row>
    <row r="3569" spans="1:16">
      <c r="A3569" s="1">
        <v>45573</v>
      </c>
      <c r="B3569">
        <v>243070</v>
      </c>
      <c r="C3569">
        <v>74666</v>
      </c>
      <c r="D3569">
        <v>168404</v>
      </c>
      <c r="E3569">
        <v>288551903</v>
      </c>
      <c r="F3569">
        <v>130441618</v>
      </c>
      <c r="G3569">
        <v>418993521</v>
      </c>
      <c r="H3569">
        <v>87641</v>
      </c>
      <c r="I3569">
        <v>8724</v>
      </c>
      <c r="J3569">
        <v>96365</v>
      </c>
      <c r="K3569" t="b">
        <f>TrafficData[[#This Row],[disposedChallan]]+TrafficData[[#This Row],[pendingChallan]]=TrafficData[[#This Row],[totalChallan]]</f>
        <v>1</v>
      </c>
      <c r="L3569" t="b">
        <f>TrafficData[[#This Row],[pendingAmount]]+TrafficData[[#This Row],[disposedAmount]]=TrafficData[[#This Row],[totalAmount]]</f>
        <v>1</v>
      </c>
      <c r="M3569" t="b">
        <f>TrafficData[[#This Row],[pendingCourt]]+TrafficData[[#This Row],[disposedCourt]]=TrafficData[[#This Row],[totalCourt]]</f>
        <v>1</v>
      </c>
      <c r="N3569" t="b">
        <f>AND(TrafficData[[#This Row],[disposedChallan]]&lt;=TrafficData[[#This Row],[totalChallan]],TrafficData[[#This Row],[pendingChallan]]&lt;=TrafficData[[#This Row],[totalChallan]])</f>
        <v>1</v>
      </c>
      <c r="O3569" t="b">
        <f>AND(TrafficData[[#This Row],[pendingAmount]]&lt;=TrafficData[[#This Row],[totalAmount]],TrafficData[[#This Row],[disposedAmount]]&lt;=TrafficData[[#This Row],[totalAmount]])</f>
        <v>1</v>
      </c>
      <c r="P3569" t="b">
        <f>AND(TrafficData[[#This Row],[pendingCourt]]&lt;=TrafficData[[#This Row],[totalCourt]],TrafficData[[#This Row],[disposedCourt]]&lt;=TrafficData[[#This Row],[totalCourt]])</f>
        <v>1</v>
      </c>
    </row>
    <row r="3570" spans="1:16">
      <c r="A3570" s="1">
        <v>45574</v>
      </c>
      <c r="B3570">
        <v>245724</v>
      </c>
      <c r="C3570">
        <v>76301</v>
      </c>
      <c r="D3570">
        <v>169423</v>
      </c>
      <c r="E3570">
        <v>283460308</v>
      </c>
      <c r="F3570">
        <v>135100403</v>
      </c>
      <c r="G3570">
        <v>418560711</v>
      </c>
      <c r="H3570">
        <v>90020</v>
      </c>
      <c r="I3570">
        <v>9715</v>
      </c>
      <c r="J3570">
        <v>99735</v>
      </c>
      <c r="K3570" t="b">
        <f>TrafficData[[#This Row],[disposedChallan]]+TrafficData[[#This Row],[pendingChallan]]=TrafficData[[#This Row],[totalChallan]]</f>
        <v>1</v>
      </c>
      <c r="L3570" t="b">
        <f>TrafficData[[#This Row],[pendingAmount]]+TrafficData[[#This Row],[disposedAmount]]=TrafficData[[#This Row],[totalAmount]]</f>
        <v>1</v>
      </c>
      <c r="M3570" t="b">
        <f>TrafficData[[#This Row],[pendingCourt]]+TrafficData[[#This Row],[disposedCourt]]=TrafficData[[#This Row],[totalCourt]]</f>
        <v>1</v>
      </c>
      <c r="N3570" t="b">
        <f>AND(TrafficData[[#This Row],[disposedChallan]]&lt;=TrafficData[[#This Row],[totalChallan]],TrafficData[[#This Row],[pendingChallan]]&lt;=TrafficData[[#This Row],[totalChallan]])</f>
        <v>1</v>
      </c>
      <c r="O3570" t="b">
        <f>AND(TrafficData[[#This Row],[pendingAmount]]&lt;=TrafficData[[#This Row],[totalAmount]],TrafficData[[#This Row],[disposedAmount]]&lt;=TrafficData[[#This Row],[totalAmount]])</f>
        <v>1</v>
      </c>
      <c r="P3570" t="b">
        <f>AND(TrafficData[[#This Row],[pendingCourt]]&lt;=TrafficData[[#This Row],[totalCourt]],TrafficData[[#This Row],[disposedCourt]]&lt;=TrafficData[[#This Row],[totalCourt]])</f>
        <v>1</v>
      </c>
    </row>
    <row r="3571" spans="1:16">
      <c r="A3571" s="1">
        <v>45575</v>
      </c>
      <c r="B3571">
        <v>245970</v>
      </c>
      <c r="C3571">
        <v>76780</v>
      </c>
      <c r="D3571">
        <v>169190</v>
      </c>
      <c r="E3571">
        <v>287314376</v>
      </c>
      <c r="F3571">
        <v>129109117</v>
      </c>
      <c r="G3571">
        <v>416423493</v>
      </c>
      <c r="H3571">
        <v>93165</v>
      </c>
      <c r="I3571">
        <v>9215</v>
      </c>
      <c r="J3571">
        <v>102380</v>
      </c>
      <c r="K3571" t="b">
        <f>TrafficData[[#This Row],[disposedChallan]]+TrafficData[[#This Row],[pendingChallan]]=TrafficData[[#This Row],[totalChallan]]</f>
        <v>1</v>
      </c>
      <c r="L3571" t="b">
        <f>TrafficData[[#This Row],[pendingAmount]]+TrafficData[[#This Row],[disposedAmount]]=TrafficData[[#This Row],[totalAmount]]</f>
        <v>1</v>
      </c>
      <c r="M3571" t="b">
        <f>TrafficData[[#This Row],[pendingCourt]]+TrafficData[[#This Row],[disposedCourt]]=TrafficData[[#This Row],[totalCourt]]</f>
        <v>1</v>
      </c>
      <c r="N3571" t="b">
        <f>AND(TrafficData[[#This Row],[disposedChallan]]&lt;=TrafficData[[#This Row],[totalChallan]],TrafficData[[#This Row],[pendingChallan]]&lt;=TrafficData[[#This Row],[totalChallan]])</f>
        <v>1</v>
      </c>
      <c r="O3571" t="b">
        <f>AND(TrafficData[[#This Row],[pendingAmount]]&lt;=TrafficData[[#This Row],[totalAmount]],TrafficData[[#This Row],[disposedAmount]]&lt;=TrafficData[[#This Row],[totalAmount]])</f>
        <v>1</v>
      </c>
      <c r="P3571" t="b">
        <f>AND(TrafficData[[#This Row],[pendingCourt]]&lt;=TrafficData[[#This Row],[totalCourt]],TrafficData[[#This Row],[disposedCourt]]&lt;=TrafficData[[#This Row],[totalCourt]])</f>
        <v>1</v>
      </c>
    </row>
    <row r="3572" spans="1:16">
      <c r="A3572" s="1">
        <v>45576</v>
      </c>
      <c r="B3572">
        <v>222930</v>
      </c>
      <c r="C3572">
        <v>68643</v>
      </c>
      <c r="D3572">
        <v>154287</v>
      </c>
      <c r="E3572">
        <v>260060125</v>
      </c>
      <c r="F3572">
        <v>99009780</v>
      </c>
      <c r="G3572">
        <v>359069905</v>
      </c>
      <c r="H3572">
        <v>90376</v>
      </c>
      <c r="I3572">
        <v>8930</v>
      </c>
      <c r="J3572">
        <v>99306</v>
      </c>
      <c r="K3572" t="b">
        <f>TrafficData[[#This Row],[disposedChallan]]+TrafficData[[#This Row],[pendingChallan]]=TrafficData[[#This Row],[totalChallan]]</f>
        <v>1</v>
      </c>
      <c r="L3572" t="b">
        <f>TrafficData[[#This Row],[pendingAmount]]+TrafficData[[#This Row],[disposedAmount]]=TrafficData[[#This Row],[totalAmount]]</f>
        <v>1</v>
      </c>
      <c r="M3572" t="b">
        <f>TrafficData[[#This Row],[pendingCourt]]+TrafficData[[#This Row],[disposedCourt]]=TrafficData[[#This Row],[totalCourt]]</f>
        <v>1</v>
      </c>
      <c r="N3572" t="b">
        <f>AND(TrafficData[[#This Row],[disposedChallan]]&lt;=TrafficData[[#This Row],[totalChallan]],TrafficData[[#This Row],[pendingChallan]]&lt;=TrafficData[[#This Row],[totalChallan]])</f>
        <v>1</v>
      </c>
      <c r="O3572" t="b">
        <f>AND(TrafficData[[#This Row],[pendingAmount]]&lt;=TrafficData[[#This Row],[totalAmount]],TrafficData[[#This Row],[disposedAmount]]&lt;=TrafficData[[#This Row],[totalAmount]])</f>
        <v>1</v>
      </c>
      <c r="P3572" t="b">
        <f>AND(TrafficData[[#This Row],[pendingCourt]]&lt;=TrafficData[[#This Row],[totalCourt]],TrafficData[[#This Row],[disposedCourt]]&lt;=TrafficData[[#This Row],[totalCourt]])</f>
        <v>1</v>
      </c>
    </row>
    <row r="3573" spans="1:16">
      <c r="A3573" s="1">
        <v>45577</v>
      </c>
      <c r="B3573">
        <v>209250</v>
      </c>
      <c r="C3573">
        <v>61764</v>
      </c>
      <c r="D3573">
        <v>147486</v>
      </c>
      <c r="E3573">
        <v>240939295</v>
      </c>
      <c r="F3573">
        <v>74230714</v>
      </c>
      <c r="G3573">
        <v>315170009</v>
      </c>
      <c r="H3573">
        <v>81358</v>
      </c>
      <c r="I3573">
        <v>8540</v>
      </c>
      <c r="J3573">
        <v>89898</v>
      </c>
      <c r="K3573" t="b">
        <f>TrafficData[[#This Row],[disposedChallan]]+TrafficData[[#This Row],[pendingChallan]]=TrafficData[[#This Row],[totalChallan]]</f>
        <v>1</v>
      </c>
      <c r="L3573" t="b">
        <f>TrafficData[[#This Row],[pendingAmount]]+TrafficData[[#This Row],[disposedAmount]]=TrafficData[[#This Row],[totalAmount]]</f>
        <v>1</v>
      </c>
      <c r="M3573" t="b">
        <f>TrafficData[[#This Row],[pendingCourt]]+TrafficData[[#This Row],[disposedCourt]]=TrafficData[[#This Row],[totalCourt]]</f>
        <v>1</v>
      </c>
      <c r="N3573" t="b">
        <f>AND(TrafficData[[#This Row],[disposedChallan]]&lt;=TrafficData[[#This Row],[totalChallan]],TrafficData[[#This Row],[pendingChallan]]&lt;=TrafficData[[#This Row],[totalChallan]])</f>
        <v>1</v>
      </c>
      <c r="O3573" t="b">
        <f>AND(TrafficData[[#This Row],[pendingAmount]]&lt;=TrafficData[[#This Row],[totalAmount]],TrafficData[[#This Row],[disposedAmount]]&lt;=TrafficData[[#This Row],[totalAmount]])</f>
        <v>1</v>
      </c>
      <c r="P3573" t="b">
        <f>AND(TrafficData[[#This Row],[pendingCourt]]&lt;=TrafficData[[#This Row],[totalCourt]],TrafficData[[#This Row],[disposedCourt]]&lt;=TrafficData[[#This Row],[totalCourt]])</f>
        <v>1</v>
      </c>
    </row>
    <row r="3574" spans="1:16">
      <c r="A3574" s="1">
        <v>45578</v>
      </c>
      <c r="B3574">
        <v>215186</v>
      </c>
      <c r="C3574">
        <v>61593</v>
      </c>
      <c r="D3574">
        <v>153593</v>
      </c>
      <c r="E3574">
        <v>244697448</v>
      </c>
      <c r="F3574">
        <v>74807820</v>
      </c>
      <c r="G3574">
        <v>319505268</v>
      </c>
      <c r="H3574">
        <v>86091</v>
      </c>
      <c r="I3574">
        <v>8171</v>
      </c>
      <c r="J3574">
        <v>94262</v>
      </c>
      <c r="K3574" t="b">
        <f>TrafficData[[#This Row],[disposedChallan]]+TrafficData[[#This Row],[pendingChallan]]=TrafficData[[#This Row],[totalChallan]]</f>
        <v>1</v>
      </c>
      <c r="L3574" t="b">
        <f>TrafficData[[#This Row],[pendingAmount]]+TrafficData[[#This Row],[disposedAmount]]=TrafficData[[#This Row],[totalAmount]]</f>
        <v>1</v>
      </c>
      <c r="M3574" t="b">
        <f>TrafficData[[#This Row],[pendingCourt]]+TrafficData[[#This Row],[disposedCourt]]=TrafficData[[#This Row],[totalCourt]]</f>
        <v>1</v>
      </c>
      <c r="N3574" t="b">
        <f>AND(TrafficData[[#This Row],[disposedChallan]]&lt;=TrafficData[[#This Row],[totalChallan]],TrafficData[[#This Row],[pendingChallan]]&lt;=TrafficData[[#This Row],[totalChallan]])</f>
        <v>1</v>
      </c>
      <c r="O3574" t="b">
        <f>AND(TrafficData[[#This Row],[pendingAmount]]&lt;=TrafficData[[#This Row],[totalAmount]],TrafficData[[#This Row],[disposedAmount]]&lt;=TrafficData[[#This Row],[totalAmount]])</f>
        <v>1</v>
      </c>
      <c r="P3574" t="b">
        <f>AND(TrafficData[[#This Row],[pendingCourt]]&lt;=TrafficData[[#This Row],[totalCourt]],TrafficData[[#This Row],[disposedCourt]]&lt;=TrafficData[[#This Row],[totalCourt]])</f>
        <v>1</v>
      </c>
    </row>
    <row r="3575" spans="1:16">
      <c r="A3575" s="1">
        <v>45579</v>
      </c>
      <c r="B3575">
        <v>231939</v>
      </c>
      <c r="C3575">
        <v>68151</v>
      </c>
      <c r="D3575">
        <v>163788</v>
      </c>
      <c r="E3575">
        <v>283667824</v>
      </c>
      <c r="F3575">
        <v>105116081</v>
      </c>
      <c r="G3575">
        <v>388783905</v>
      </c>
      <c r="H3575">
        <v>92851</v>
      </c>
      <c r="I3575">
        <v>9337</v>
      </c>
      <c r="J3575">
        <v>102188</v>
      </c>
      <c r="K3575" t="b">
        <f>TrafficData[[#This Row],[disposedChallan]]+TrafficData[[#This Row],[pendingChallan]]=TrafficData[[#This Row],[totalChallan]]</f>
        <v>1</v>
      </c>
      <c r="L3575" t="b">
        <f>TrafficData[[#This Row],[pendingAmount]]+TrafficData[[#This Row],[disposedAmount]]=TrafficData[[#This Row],[totalAmount]]</f>
        <v>1</v>
      </c>
      <c r="M3575" t="b">
        <f>TrafficData[[#This Row],[pendingCourt]]+TrafficData[[#This Row],[disposedCourt]]=TrafficData[[#This Row],[totalCourt]]</f>
        <v>1</v>
      </c>
      <c r="N3575" t="b">
        <f>AND(TrafficData[[#This Row],[disposedChallan]]&lt;=TrafficData[[#This Row],[totalChallan]],TrafficData[[#This Row],[pendingChallan]]&lt;=TrafficData[[#This Row],[totalChallan]])</f>
        <v>1</v>
      </c>
      <c r="O3575" t="b">
        <f>AND(TrafficData[[#This Row],[pendingAmount]]&lt;=TrafficData[[#This Row],[totalAmount]],TrafficData[[#This Row],[disposedAmount]]&lt;=TrafficData[[#This Row],[totalAmount]])</f>
        <v>1</v>
      </c>
      <c r="P3575" t="b">
        <f>AND(TrafficData[[#This Row],[pendingCourt]]&lt;=TrafficData[[#This Row],[totalCourt]],TrafficData[[#This Row],[disposedCourt]]&lt;=TrafficData[[#This Row],[totalCourt]])</f>
        <v>1</v>
      </c>
    </row>
    <row r="3576" spans="1:16">
      <c r="A3576" s="1">
        <v>45580</v>
      </c>
      <c r="B3576">
        <v>230557</v>
      </c>
      <c r="C3576">
        <v>67644</v>
      </c>
      <c r="D3576">
        <v>162913</v>
      </c>
      <c r="E3576">
        <v>284616300</v>
      </c>
      <c r="F3576">
        <v>118146405</v>
      </c>
      <c r="G3576">
        <v>402762705</v>
      </c>
      <c r="H3576">
        <v>95973</v>
      </c>
      <c r="I3576">
        <v>9256</v>
      </c>
      <c r="J3576">
        <v>105229</v>
      </c>
      <c r="K3576" t="b">
        <f>TrafficData[[#This Row],[disposedChallan]]+TrafficData[[#This Row],[pendingChallan]]=TrafficData[[#This Row],[totalChallan]]</f>
        <v>1</v>
      </c>
      <c r="L3576" t="b">
        <f>TrafficData[[#This Row],[pendingAmount]]+TrafficData[[#This Row],[disposedAmount]]=TrafficData[[#This Row],[totalAmount]]</f>
        <v>1</v>
      </c>
      <c r="M3576" t="b">
        <f>TrafficData[[#This Row],[pendingCourt]]+TrafficData[[#This Row],[disposedCourt]]=TrafficData[[#This Row],[totalCourt]]</f>
        <v>1</v>
      </c>
      <c r="N3576" t="b">
        <f>AND(TrafficData[[#This Row],[disposedChallan]]&lt;=TrafficData[[#This Row],[totalChallan]],TrafficData[[#This Row],[pendingChallan]]&lt;=TrafficData[[#This Row],[totalChallan]])</f>
        <v>1</v>
      </c>
      <c r="O3576" t="b">
        <f>AND(TrafficData[[#This Row],[pendingAmount]]&lt;=TrafficData[[#This Row],[totalAmount]],TrafficData[[#This Row],[disposedAmount]]&lt;=TrafficData[[#This Row],[totalAmount]])</f>
        <v>1</v>
      </c>
      <c r="P3576" t="b">
        <f>AND(TrafficData[[#This Row],[pendingCourt]]&lt;=TrafficData[[#This Row],[totalCourt]],TrafficData[[#This Row],[disposedCourt]]&lt;=TrafficData[[#This Row],[totalCourt]])</f>
        <v>1</v>
      </c>
    </row>
    <row r="3577" spans="1:16">
      <c r="A3577" s="1">
        <v>45581</v>
      </c>
      <c r="B3577">
        <v>238243</v>
      </c>
      <c r="C3577">
        <v>68717</v>
      </c>
      <c r="D3577">
        <v>169526</v>
      </c>
      <c r="E3577">
        <v>286269823</v>
      </c>
      <c r="F3577">
        <v>118571064</v>
      </c>
      <c r="G3577">
        <v>404840887</v>
      </c>
      <c r="H3577">
        <v>88046</v>
      </c>
      <c r="I3577">
        <v>9084</v>
      </c>
      <c r="J3577">
        <v>97130</v>
      </c>
      <c r="K3577" t="b">
        <f>TrafficData[[#This Row],[disposedChallan]]+TrafficData[[#This Row],[pendingChallan]]=TrafficData[[#This Row],[totalChallan]]</f>
        <v>1</v>
      </c>
      <c r="L3577" t="b">
        <f>TrafficData[[#This Row],[pendingAmount]]+TrafficData[[#This Row],[disposedAmount]]=TrafficData[[#This Row],[totalAmount]]</f>
        <v>1</v>
      </c>
      <c r="M3577" t="b">
        <f>TrafficData[[#This Row],[pendingCourt]]+TrafficData[[#This Row],[disposedCourt]]=TrafficData[[#This Row],[totalCourt]]</f>
        <v>1</v>
      </c>
      <c r="N3577" t="b">
        <f>AND(TrafficData[[#This Row],[disposedChallan]]&lt;=TrafficData[[#This Row],[totalChallan]],TrafficData[[#This Row],[pendingChallan]]&lt;=TrafficData[[#This Row],[totalChallan]])</f>
        <v>1</v>
      </c>
      <c r="O3577" t="b">
        <f>AND(TrafficData[[#This Row],[pendingAmount]]&lt;=TrafficData[[#This Row],[totalAmount]],TrafficData[[#This Row],[disposedAmount]]&lt;=TrafficData[[#This Row],[totalAmount]])</f>
        <v>1</v>
      </c>
      <c r="P3577" t="b">
        <f>AND(TrafficData[[#This Row],[pendingCourt]]&lt;=TrafficData[[#This Row],[totalCourt]],TrafficData[[#This Row],[disposedCourt]]&lt;=TrafficData[[#This Row],[totalCourt]])</f>
        <v>1</v>
      </c>
    </row>
    <row r="3578" spans="1:16">
      <c r="A3578" s="1">
        <v>45582</v>
      </c>
      <c r="B3578">
        <v>251494</v>
      </c>
      <c r="C3578">
        <v>75815</v>
      </c>
      <c r="D3578">
        <v>175679</v>
      </c>
      <c r="E3578">
        <v>304368411</v>
      </c>
      <c r="F3578">
        <v>128244097</v>
      </c>
      <c r="G3578">
        <v>432612508</v>
      </c>
      <c r="H3578">
        <v>92812</v>
      </c>
      <c r="I3578">
        <v>9607</v>
      </c>
      <c r="J3578">
        <v>102419</v>
      </c>
      <c r="K3578" t="b">
        <f>TrafficData[[#This Row],[disposedChallan]]+TrafficData[[#This Row],[pendingChallan]]=TrafficData[[#This Row],[totalChallan]]</f>
        <v>1</v>
      </c>
      <c r="L3578" t="b">
        <f>TrafficData[[#This Row],[pendingAmount]]+TrafficData[[#This Row],[disposedAmount]]=TrafficData[[#This Row],[totalAmount]]</f>
        <v>1</v>
      </c>
      <c r="M3578" t="b">
        <f>TrafficData[[#This Row],[pendingCourt]]+TrafficData[[#This Row],[disposedCourt]]=TrafficData[[#This Row],[totalCourt]]</f>
        <v>1</v>
      </c>
      <c r="N3578" t="b">
        <f>AND(TrafficData[[#This Row],[disposedChallan]]&lt;=TrafficData[[#This Row],[totalChallan]],TrafficData[[#This Row],[pendingChallan]]&lt;=TrafficData[[#This Row],[totalChallan]])</f>
        <v>1</v>
      </c>
      <c r="O3578" t="b">
        <f>AND(TrafficData[[#This Row],[pendingAmount]]&lt;=TrafficData[[#This Row],[totalAmount]],TrafficData[[#This Row],[disposedAmount]]&lt;=TrafficData[[#This Row],[totalAmount]])</f>
        <v>1</v>
      </c>
      <c r="P3578" t="b">
        <f>AND(TrafficData[[#This Row],[pendingCourt]]&lt;=TrafficData[[#This Row],[totalCourt]],TrafficData[[#This Row],[disposedCourt]]&lt;=TrafficData[[#This Row],[totalCourt]])</f>
        <v>1</v>
      </c>
    </row>
    <row r="3579" spans="1:16">
      <c r="A3579" s="1">
        <v>45583</v>
      </c>
      <c r="B3579">
        <v>262834</v>
      </c>
      <c r="C3579">
        <v>80715</v>
      </c>
      <c r="D3579">
        <v>182119</v>
      </c>
      <c r="E3579">
        <v>314406129</v>
      </c>
      <c r="F3579">
        <v>142505249</v>
      </c>
      <c r="G3579">
        <v>456911378</v>
      </c>
      <c r="H3579">
        <v>96349</v>
      </c>
      <c r="I3579">
        <v>9691</v>
      </c>
      <c r="J3579">
        <v>106040</v>
      </c>
      <c r="K3579" t="b">
        <f>TrafficData[[#This Row],[disposedChallan]]+TrafficData[[#This Row],[pendingChallan]]=TrafficData[[#This Row],[totalChallan]]</f>
        <v>1</v>
      </c>
      <c r="L3579" t="b">
        <f>TrafficData[[#This Row],[pendingAmount]]+TrafficData[[#This Row],[disposedAmount]]=TrafficData[[#This Row],[totalAmount]]</f>
        <v>1</v>
      </c>
      <c r="M3579" t="b">
        <f>TrafficData[[#This Row],[pendingCourt]]+TrafficData[[#This Row],[disposedCourt]]=TrafficData[[#This Row],[totalCourt]]</f>
        <v>1</v>
      </c>
      <c r="N3579" t="b">
        <f>AND(TrafficData[[#This Row],[disposedChallan]]&lt;=TrafficData[[#This Row],[totalChallan]],TrafficData[[#This Row],[pendingChallan]]&lt;=TrafficData[[#This Row],[totalChallan]])</f>
        <v>1</v>
      </c>
      <c r="O3579" t="b">
        <f>AND(TrafficData[[#This Row],[pendingAmount]]&lt;=TrafficData[[#This Row],[totalAmount]],TrafficData[[#This Row],[disposedAmount]]&lt;=TrafficData[[#This Row],[totalAmount]])</f>
        <v>1</v>
      </c>
      <c r="P3579" t="b">
        <f>AND(TrafficData[[#This Row],[pendingCourt]]&lt;=TrafficData[[#This Row],[totalCourt]],TrafficData[[#This Row],[disposedCourt]]&lt;=TrafficData[[#This Row],[totalCourt]])</f>
        <v>1</v>
      </c>
    </row>
    <row r="3580" spans="1:16">
      <c r="A3580" s="1">
        <v>45584</v>
      </c>
      <c r="B3580">
        <v>257096</v>
      </c>
      <c r="C3580">
        <v>79090</v>
      </c>
      <c r="D3580">
        <v>178006</v>
      </c>
      <c r="E3580">
        <v>306478747</v>
      </c>
      <c r="F3580">
        <v>132825198</v>
      </c>
      <c r="G3580">
        <v>439303945</v>
      </c>
      <c r="H3580">
        <v>93345</v>
      </c>
      <c r="I3580">
        <v>9510</v>
      </c>
      <c r="J3580">
        <v>102855</v>
      </c>
      <c r="K3580" t="b">
        <f>TrafficData[[#This Row],[disposedChallan]]+TrafficData[[#This Row],[pendingChallan]]=TrafficData[[#This Row],[totalChallan]]</f>
        <v>1</v>
      </c>
      <c r="L3580" t="b">
        <f>TrafficData[[#This Row],[pendingAmount]]+TrafficData[[#This Row],[disposedAmount]]=TrafficData[[#This Row],[totalAmount]]</f>
        <v>1</v>
      </c>
      <c r="M3580" t="b">
        <f>TrafficData[[#This Row],[pendingCourt]]+TrafficData[[#This Row],[disposedCourt]]=TrafficData[[#This Row],[totalCourt]]</f>
        <v>1</v>
      </c>
      <c r="N3580" t="b">
        <f>AND(TrafficData[[#This Row],[disposedChallan]]&lt;=TrafficData[[#This Row],[totalChallan]],TrafficData[[#This Row],[pendingChallan]]&lt;=TrafficData[[#This Row],[totalChallan]])</f>
        <v>1</v>
      </c>
      <c r="O3580" t="b">
        <f>AND(TrafficData[[#This Row],[pendingAmount]]&lt;=TrafficData[[#This Row],[totalAmount]],TrafficData[[#This Row],[disposedAmount]]&lt;=TrafficData[[#This Row],[totalAmount]])</f>
        <v>1</v>
      </c>
      <c r="P3580" t="b">
        <f>AND(TrafficData[[#This Row],[pendingCourt]]&lt;=TrafficData[[#This Row],[totalCourt]],TrafficData[[#This Row],[disposedCourt]]&lt;=TrafficData[[#This Row],[totalCourt]])</f>
        <v>1</v>
      </c>
    </row>
    <row r="3581" spans="1:16">
      <c r="A3581" s="1">
        <v>45585</v>
      </c>
      <c r="B3581">
        <v>226377</v>
      </c>
      <c r="C3581">
        <v>68048</v>
      </c>
      <c r="D3581">
        <v>158329</v>
      </c>
      <c r="E3581">
        <v>237515511</v>
      </c>
      <c r="F3581">
        <v>86631976</v>
      </c>
      <c r="G3581">
        <v>324147487</v>
      </c>
      <c r="H3581">
        <v>75312</v>
      </c>
      <c r="I3581">
        <v>7802</v>
      </c>
      <c r="J3581">
        <v>83114</v>
      </c>
      <c r="K3581" t="b">
        <f>TrafficData[[#This Row],[disposedChallan]]+TrafficData[[#This Row],[pendingChallan]]=TrafficData[[#This Row],[totalChallan]]</f>
        <v>1</v>
      </c>
      <c r="L3581" t="b">
        <f>TrafficData[[#This Row],[pendingAmount]]+TrafficData[[#This Row],[disposedAmount]]=TrafficData[[#This Row],[totalAmount]]</f>
        <v>1</v>
      </c>
      <c r="M3581" t="b">
        <f>TrafficData[[#This Row],[pendingCourt]]+TrafficData[[#This Row],[disposedCourt]]=TrafficData[[#This Row],[totalCourt]]</f>
        <v>1</v>
      </c>
      <c r="N3581" t="b">
        <f>AND(TrafficData[[#This Row],[disposedChallan]]&lt;=TrafficData[[#This Row],[totalChallan]],TrafficData[[#This Row],[pendingChallan]]&lt;=TrafficData[[#This Row],[totalChallan]])</f>
        <v>1</v>
      </c>
      <c r="O3581" t="b">
        <f>AND(TrafficData[[#This Row],[pendingAmount]]&lt;=TrafficData[[#This Row],[totalAmount]],TrafficData[[#This Row],[disposedAmount]]&lt;=TrafficData[[#This Row],[totalAmount]])</f>
        <v>1</v>
      </c>
      <c r="P3581" t="b">
        <f>AND(TrafficData[[#This Row],[pendingCourt]]&lt;=TrafficData[[#This Row],[totalCourt]],TrafficData[[#This Row],[disposedCourt]]&lt;=TrafficData[[#This Row],[totalCourt]])</f>
        <v>1</v>
      </c>
    </row>
    <row r="3582" spans="1:16">
      <c r="A3582" s="1">
        <v>45586</v>
      </c>
      <c r="B3582">
        <v>249975</v>
      </c>
      <c r="C3582">
        <v>76672</v>
      </c>
      <c r="D3582">
        <v>173303</v>
      </c>
      <c r="E3582">
        <v>298032743</v>
      </c>
      <c r="F3582">
        <v>122842065</v>
      </c>
      <c r="G3582">
        <v>420874808</v>
      </c>
      <c r="H3582">
        <v>84293</v>
      </c>
      <c r="I3582">
        <v>8648</v>
      </c>
      <c r="J3582">
        <v>92941</v>
      </c>
      <c r="K3582" t="b">
        <f>TrafficData[[#This Row],[disposedChallan]]+TrafficData[[#This Row],[pendingChallan]]=TrafficData[[#This Row],[totalChallan]]</f>
        <v>1</v>
      </c>
      <c r="L3582" t="b">
        <f>TrafficData[[#This Row],[pendingAmount]]+TrafficData[[#This Row],[disposedAmount]]=TrafficData[[#This Row],[totalAmount]]</f>
        <v>1</v>
      </c>
      <c r="M3582" t="b">
        <f>TrafficData[[#This Row],[pendingCourt]]+TrafficData[[#This Row],[disposedCourt]]=TrafficData[[#This Row],[totalCourt]]</f>
        <v>1</v>
      </c>
      <c r="N3582" t="b">
        <f>AND(TrafficData[[#This Row],[disposedChallan]]&lt;=TrafficData[[#This Row],[totalChallan]],TrafficData[[#This Row],[pendingChallan]]&lt;=TrafficData[[#This Row],[totalChallan]])</f>
        <v>1</v>
      </c>
      <c r="O3582" t="b">
        <f>AND(TrafficData[[#This Row],[pendingAmount]]&lt;=TrafficData[[#This Row],[totalAmount]],TrafficData[[#This Row],[disposedAmount]]&lt;=TrafficData[[#This Row],[totalAmount]])</f>
        <v>1</v>
      </c>
      <c r="P3582" t="b">
        <f>AND(TrafficData[[#This Row],[pendingCourt]]&lt;=TrafficData[[#This Row],[totalCourt]],TrafficData[[#This Row],[disposedCourt]]&lt;=TrafficData[[#This Row],[totalCourt]])</f>
        <v>1</v>
      </c>
    </row>
    <row r="3583" spans="1:16">
      <c r="A3583" s="1">
        <v>45587</v>
      </c>
      <c r="B3583">
        <v>253326</v>
      </c>
      <c r="C3583">
        <v>79567</v>
      </c>
      <c r="D3583">
        <v>173759</v>
      </c>
      <c r="E3583">
        <v>304862986</v>
      </c>
      <c r="F3583">
        <v>141903394</v>
      </c>
      <c r="G3583">
        <v>446766380</v>
      </c>
      <c r="H3583">
        <v>88267</v>
      </c>
      <c r="I3583">
        <v>9287</v>
      </c>
      <c r="J3583">
        <v>97554</v>
      </c>
      <c r="K3583" t="b">
        <f>TrafficData[[#This Row],[disposedChallan]]+TrafficData[[#This Row],[pendingChallan]]=TrafficData[[#This Row],[totalChallan]]</f>
        <v>1</v>
      </c>
      <c r="L3583" t="b">
        <f>TrafficData[[#This Row],[pendingAmount]]+TrafficData[[#This Row],[disposedAmount]]=TrafficData[[#This Row],[totalAmount]]</f>
        <v>1</v>
      </c>
      <c r="M3583" t="b">
        <f>TrafficData[[#This Row],[pendingCourt]]+TrafficData[[#This Row],[disposedCourt]]=TrafficData[[#This Row],[totalCourt]]</f>
        <v>1</v>
      </c>
      <c r="N3583" t="b">
        <f>AND(TrafficData[[#This Row],[disposedChallan]]&lt;=TrafficData[[#This Row],[totalChallan]],TrafficData[[#This Row],[pendingChallan]]&lt;=TrafficData[[#This Row],[totalChallan]])</f>
        <v>1</v>
      </c>
      <c r="O3583" t="b">
        <f>AND(TrafficData[[#This Row],[pendingAmount]]&lt;=TrafficData[[#This Row],[totalAmount]],TrafficData[[#This Row],[disposedAmount]]&lt;=TrafficData[[#This Row],[totalAmount]])</f>
        <v>1</v>
      </c>
      <c r="P3583" t="b">
        <f>AND(TrafficData[[#This Row],[pendingCourt]]&lt;=TrafficData[[#This Row],[totalCourt]],TrafficData[[#This Row],[disposedCourt]]&lt;=TrafficData[[#This Row],[totalCourt]])</f>
        <v>1</v>
      </c>
    </row>
    <row r="3584" spans="1:16">
      <c r="A3584" s="1">
        <v>45588</v>
      </c>
      <c r="B3584">
        <v>261278</v>
      </c>
      <c r="C3584">
        <v>80709</v>
      </c>
      <c r="D3584">
        <v>180569</v>
      </c>
      <c r="E3584">
        <v>327116150</v>
      </c>
      <c r="F3584">
        <v>143586225</v>
      </c>
      <c r="G3584">
        <v>470702375</v>
      </c>
      <c r="H3584">
        <v>88632</v>
      </c>
      <c r="I3584">
        <v>9367</v>
      </c>
      <c r="J3584">
        <v>97999</v>
      </c>
      <c r="K3584" t="b">
        <f>TrafficData[[#This Row],[disposedChallan]]+TrafficData[[#This Row],[pendingChallan]]=TrafficData[[#This Row],[totalChallan]]</f>
        <v>1</v>
      </c>
      <c r="L3584" t="b">
        <f>TrafficData[[#This Row],[pendingAmount]]+TrafficData[[#This Row],[disposedAmount]]=TrafficData[[#This Row],[totalAmount]]</f>
        <v>1</v>
      </c>
      <c r="M3584" t="b">
        <f>TrafficData[[#This Row],[pendingCourt]]+TrafficData[[#This Row],[disposedCourt]]=TrafficData[[#This Row],[totalCourt]]</f>
        <v>1</v>
      </c>
      <c r="N3584" t="b">
        <f>AND(TrafficData[[#This Row],[disposedChallan]]&lt;=TrafficData[[#This Row],[totalChallan]],TrafficData[[#This Row],[pendingChallan]]&lt;=TrafficData[[#This Row],[totalChallan]])</f>
        <v>1</v>
      </c>
      <c r="O3584" t="b">
        <f>AND(TrafficData[[#This Row],[pendingAmount]]&lt;=TrafficData[[#This Row],[totalAmount]],TrafficData[[#This Row],[disposedAmount]]&lt;=TrafficData[[#This Row],[totalAmount]])</f>
        <v>1</v>
      </c>
      <c r="P3584" t="b">
        <f>AND(TrafficData[[#This Row],[pendingCourt]]&lt;=TrafficData[[#This Row],[totalCourt]],TrafficData[[#This Row],[disposedCourt]]&lt;=TrafficData[[#This Row],[totalCourt]])</f>
        <v>1</v>
      </c>
    </row>
    <row r="3585" spans="1:16">
      <c r="A3585" s="1">
        <v>45589</v>
      </c>
      <c r="B3585">
        <v>255930</v>
      </c>
      <c r="C3585">
        <v>79136</v>
      </c>
      <c r="D3585">
        <v>176794</v>
      </c>
      <c r="E3585">
        <v>312076872</v>
      </c>
      <c r="F3585">
        <v>133974606</v>
      </c>
      <c r="G3585">
        <v>446051478</v>
      </c>
      <c r="H3585">
        <v>88887</v>
      </c>
      <c r="I3585">
        <v>8957</v>
      </c>
      <c r="J3585">
        <v>97844</v>
      </c>
      <c r="K3585" t="b">
        <f>TrafficData[[#This Row],[disposedChallan]]+TrafficData[[#This Row],[pendingChallan]]=TrafficData[[#This Row],[totalChallan]]</f>
        <v>1</v>
      </c>
      <c r="L3585" t="b">
        <f>TrafficData[[#This Row],[pendingAmount]]+TrafficData[[#This Row],[disposedAmount]]=TrafficData[[#This Row],[totalAmount]]</f>
        <v>1</v>
      </c>
      <c r="M3585" t="b">
        <f>TrafficData[[#This Row],[pendingCourt]]+TrafficData[[#This Row],[disposedCourt]]=TrafficData[[#This Row],[totalCourt]]</f>
        <v>1</v>
      </c>
      <c r="N3585" t="b">
        <f>AND(TrafficData[[#This Row],[disposedChallan]]&lt;=TrafficData[[#This Row],[totalChallan]],TrafficData[[#This Row],[pendingChallan]]&lt;=TrafficData[[#This Row],[totalChallan]])</f>
        <v>1</v>
      </c>
      <c r="O3585" t="b">
        <f>AND(TrafficData[[#This Row],[pendingAmount]]&lt;=TrafficData[[#This Row],[totalAmount]],TrafficData[[#This Row],[disposedAmount]]&lt;=TrafficData[[#This Row],[totalAmount]])</f>
        <v>1</v>
      </c>
      <c r="P3585" t="b">
        <f>AND(TrafficData[[#This Row],[pendingCourt]]&lt;=TrafficData[[#This Row],[totalCourt]],TrafficData[[#This Row],[disposedCourt]]&lt;=TrafficData[[#This Row],[totalCourt]])</f>
        <v>1</v>
      </c>
    </row>
    <row r="3586" spans="1:16">
      <c r="A3586" s="1">
        <v>45590</v>
      </c>
      <c r="B3586">
        <v>242721</v>
      </c>
      <c r="C3586">
        <v>74532</v>
      </c>
      <c r="D3586">
        <v>168189</v>
      </c>
      <c r="E3586">
        <v>301015864</v>
      </c>
      <c r="F3586">
        <v>123601867</v>
      </c>
      <c r="G3586">
        <v>424617731</v>
      </c>
      <c r="H3586">
        <v>86626</v>
      </c>
      <c r="I3586">
        <v>8926</v>
      </c>
      <c r="J3586">
        <v>95552</v>
      </c>
      <c r="K3586" t="b">
        <f>TrafficData[[#This Row],[disposedChallan]]+TrafficData[[#This Row],[pendingChallan]]=TrafficData[[#This Row],[totalChallan]]</f>
        <v>1</v>
      </c>
      <c r="L3586" t="b">
        <f>TrafficData[[#This Row],[pendingAmount]]+TrafficData[[#This Row],[disposedAmount]]=TrafficData[[#This Row],[totalAmount]]</f>
        <v>1</v>
      </c>
      <c r="M3586" t="b">
        <f>TrafficData[[#This Row],[pendingCourt]]+TrafficData[[#This Row],[disposedCourt]]=TrafficData[[#This Row],[totalCourt]]</f>
        <v>1</v>
      </c>
      <c r="N3586" t="b">
        <f>AND(TrafficData[[#This Row],[disposedChallan]]&lt;=TrafficData[[#This Row],[totalChallan]],TrafficData[[#This Row],[pendingChallan]]&lt;=TrafficData[[#This Row],[totalChallan]])</f>
        <v>1</v>
      </c>
      <c r="O3586" t="b">
        <f>AND(TrafficData[[#This Row],[pendingAmount]]&lt;=TrafficData[[#This Row],[totalAmount]],TrafficData[[#This Row],[disposedAmount]]&lt;=TrafficData[[#This Row],[totalAmount]])</f>
        <v>1</v>
      </c>
      <c r="P3586" t="b">
        <f>AND(TrafficData[[#This Row],[pendingCourt]]&lt;=TrafficData[[#This Row],[totalCourt]],TrafficData[[#This Row],[disposedCourt]]&lt;=TrafficData[[#This Row],[totalCourt]])</f>
        <v>1</v>
      </c>
    </row>
    <row r="3587" spans="1:16">
      <c r="A3587" s="1">
        <v>45591</v>
      </c>
      <c r="B3587">
        <v>252713</v>
      </c>
      <c r="C3587">
        <v>79199</v>
      </c>
      <c r="D3587">
        <v>173514</v>
      </c>
      <c r="E3587">
        <v>306051997</v>
      </c>
      <c r="F3587">
        <v>118842529</v>
      </c>
      <c r="G3587">
        <v>424894526</v>
      </c>
      <c r="H3587">
        <v>93948</v>
      </c>
      <c r="I3587">
        <v>9183</v>
      </c>
      <c r="J3587">
        <v>103131</v>
      </c>
      <c r="K3587" t="b">
        <f>TrafficData[[#This Row],[disposedChallan]]+TrafficData[[#This Row],[pendingChallan]]=TrafficData[[#This Row],[totalChallan]]</f>
        <v>1</v>
      </c>
      <c r="L3587" t="b">
        <f>TrafficData[[#This Row],[pendingAmount]]+TrafficData[[#This Row],[disposedAmount]]=TrafficData[[#This Row],[totalAmount]]</f>
        <v>1</v>
      </c>
      <c r="M3587" t="b">
        <f>TrafficData[[#This Row],[pendingCourt]]+TrafficData[[#This Row],[disposedCourt]]=TrafficData[[#This Row],[totalCourt]]</f>
        <v>1</v>
      </c>
      <c r="N3587" t="b">
        <f>AND(TrafficData[[#This Row],[disposedChallan]]&lt;=TrafficData[[#This Row],[totalChallan]],TrafficData[[#This Row],[pendingChallan]]&lt;=TrafficData[[#This Row],[totalChallan]])</f>
        <v>1</v>
      </c>
      <c r="O3587" t="b">
        <f>AND(TrafficData[[#This Row],[pendingAmount]]&lt;=TrafficData[[#This Row],[totalAmount]],TrafficData[[#This Row],[disposedAmount]]&lt;=TrafficData[[#This Row],[totalAmount]])</f>
        <v>1</v>
      </c>
      <c r="P3587" t="b">
        <f>AND(TrafficData[[#This Row],[pendingCourt]]&lt;=TrafficData[[#This Row],[totalCourt]],TrafficData[[#This Row],[disposedCourt]]&lt;=TrafficData[[#This Row],[totalCourt]])</f>
        <v>1</v>
      </c>
    </row>
    <row r="3588" spans="1:16">
      <c r="A3588" s="1">
        <v>45592</v>
      </c>
      <c r="B3588">
        <v>229345</v>
      </c>
      <c r="C3588">
        <v>70950</v>
      </c>
      <c r="D3588">
        <v>158395</v>
      </c>
      <c r="E3588">
        <v>273261194</v>
      </c>
      <c r="F3588">
        <v>88050307</v>
      </c>
      <c r="G3588">
        <v>361311501</v>
      </c>
      <c r="H3588">
        <v>84532</v>
      </c>
      <c r="I3588">
        <v>8263</v>
      </c>
      <c r="J3588">
        <v>92795</v>
      </c>
      <c r="K3588" t="b">
        <f>TrafficData[[#This Row],[disposedChallan]]+TrafficData[[#This Row],[pendingChallan]]=TrafficData[[#This Row],[totalChallan]]</f>
        <v>1</v>
      </c>
      <c r="L3588" t="b">
        <f>TrafficData[[#This Row],[pendingAmount]]+TrafficData[[#This Row],[disposedAmount]]=TrafficData[[#This Row],[totalAmount]]</f>
        <v>1</v>
      </c>
      <c r="M3588" t="b">
        <f>TrafficData[[#This Row],[pendingCourt]]+TrafficData[[#This Row],[disposedCourt]]=TrafficData[[#This Row],[totalCourt]]</f>
        <v>1</v>
      </c>
      <c r="N3588" t="b">
        <f>AND(TrafficData[[#This Row],[disposedChallan]]&lt;=TrafficData[[#This Row],[totalChallan]],TrafficData[[#This Row],[pendingChallan]]&lt;=TrafficData[[#This Row],[totalChallan]])</f>
        <v>1</v>
      </c>
      <c r="O3588" t="b">
        <f>AND(TrafficData[[#This Row],[pendingAmount]]&lt;=TrafficData[[#This Row],[totalAmount]],TrafficData[[#This Row],[disposedAmount]]&lt;=TrafficData[[#This Row],[totalAmount]])</f>
        <v>1</v>
      </c>
      <c r="P3588" t="b">
        <f>AND(TrafficData[[#This Row],[pendingCourt]]&lt;=TrafficData[[#This Row],[totalCourt]],TrafficData[[#This Row],[disposedCourt]]&lt;=TrafficData[[#This Row],[totalCourt]])</f>
        <v>1</v>
      </c>
    </row>
    <row r="3589" spans="1:16">
      <c r="A3589" s="1">
        <v>45593</v>
      </c>
      <c r="B3589">
        <v>241849</v>
      </c>
      <c r="C3589">
        <v>74606</v>
      </c>
      <c r="D3589">
        <v>167243</v>
      </c>
      <c r="E3589">
        <v>306065662</v>
      </c>
      <c r="F3589">
        <v>108426234</v>
      </c>
      <c r="G3589">
        <v>414491896</v>
      </c>
      <c r="H3589">
        <v>93166</v>
      </c>
      <c r="I3589">
        <v>9164</v>
      </c>
      <c r="J3589">
        <v>102330</v>
      </c>
      <c r="K3589" t="b">
        <f>TrafficData[[#This Row],[disposedChallan]]+TrafficData[[#This Row],[pendingChallan]]=TrafficData[[#This Row],[totalChallan]]</f>
        <v>1</v>
      </c>
      <c r="L3589" t="b">
        <f>TrafficData[[#This Row],[pendingAmount]]+TrafficData[[#This Row],[disposedAmount]]=TrafficData[[#This Row],[totalAmount]]</f>
        <v>1</v>
      </c>
      <c r="M3589" t="b">
        <f>TrafficData[[#This Row],[pendingCourt]]+TrafficData[[#This Row],[disposedCourt]]=TrafficData[[#This Row],[totalCourt]]</f>
        <v>1</v>
      </c>
      <c r="N3589" t="b">
        <f>AND(TrafficData[[#This Row],[disposedChallan]]&lt;=TrafficData[[#This Row],[totalChallan]],TrafficData[[#This Row],[pendingChallan]]&lt;=TrafficData[[#This Row],[totalChallan]])</f>
        <v>1</v>
      </c>
      <c r="O3589" t="b">
        <f>AND(TrafficData[[#This Row],[pendingAmount]]&lt;=TrafficData[[#This Row],[totalAmount]],TrafficData[[#This Row],[disposedAmount]]&lt;=TrafficData[[#This Row],[totalAmount]])</f>
        <v>1</v>
      </c>
      <c r="P3589" t="b">
        <f>AND(TrafficData[[#This Row],[pendingCourt]]&lt;=TrafficData[[#This Row],[totalCourt]],TrafficData[[#This Row],[disposedCourt]]&lt;=TrafficData[[#This Row],[totalCourt]])</f>
        <v>1</v>
      </c>
    </row>
    <row r="3590" spans="1:16">
      <c r="A3590" s="1">
        <v>45594</v>
      </c>
      <c r="B3590">
        <v>215471</v>
      </c>
      <c r="C3590">
        <v>65614</v>
      </c>
      <c r="D3590">
        <v>149857</v>
      </c>
      <c r="E3590">
        <v>275485540</v>
      </c>
      <c r="F3590">
        <v>95769024</v>
      </c>
      <c r="G3590">
        <v>371254564</v>
      </c>
      <c r="H3590">
        <v>79463</v>
      </c>
      <c r="I3590">
        <v>7901</v>
      </c>
      <c r="J3590">
        <v>87364</v>
      </c>
      <c r="K3590" t="b">
        <f>TrafficData[[#This Row],[disposedChallan]]+TrafficData[[#This Row],[pendingChallan]]=TrafficData[[#This Row],[totalChallan]]</f>
        <v>1</v>
      </c>
      <c r="L3590" t="b">
        <f>TrafficData[[#This Row],[pendingAmount]]+TrafficData[[#This Row],[disposedAmount]]=TrafficData[[#This Row],[totalAmount]]</f>
        <v>1</v>
      </c>
      <c r="M3590" t="b">
        <f>TrafficData[[#This Row],[pendingCourt]]+TrafficData[[#This Row],[disposedCourt]]=TrafficData[[#This Row],[totalCourt]]</f>
        <v>1</v>
      </c>
      <c r="N3590" t="b">
        <f>AND(TrafficData[[#This Row],[disposedChallan]]&lt;=TrafficData[[#This Row],[totalChallan]],TrafficData[[#This Row],[pendingChallan]]&lt;=TrafficData[[#This Row],[totalChallan]])</f>
        <v>1</v>
      </c>
      <c r="O3590" t="b">
        <f>AND(TrafficData[[#This Row],[pendingAmount]]&lt;=TrafficData[[#This Row],[totalAmount]],TrafficData[[#This Row],[disposedAmount]]&lt;=TrafficData[[#This Row],[totalAmount]])</f>
        <v>1</v>
      </c>
      <c r="P3590" t="b">
        <f>AND(TrafficData[[#This Row],[pendingCourt]]&lt;=TrafficData[[#This Row],[totalCourt]],TrafficData[[#This Row],[disposedCourt]]&lt;=TrafficData[[#This Row],[totalCourt]])</f>
        <v>1</v>
      </c>
    </row>
    <row r="3591" spans="1:16">
      <c r="A3591" s="1">
        <v>45595</v>
      </c>
      <c r="B3591">
        <v>200341</v>
      </c>
      <c r="C3591">
        <v>59270</v>
      </c>
      <c r="D3591">
        <v>141071</v>
      </c>
      <c r="E3591">
        <v>254505765</v>
      </c>
      <c r="F3591">
        <v>83429471</v>
      </c>
      <c r="G3591">
        <v>337935236</v>
      </c>
      <c r="H3591">
        <v>74245</v>
      </c>
      <c r="I3591">
        <v>7496</v>
      </c>
      <c r="J3591">
        <v>81741</v>
      </c>
      <c r="K3591" t="b">
        <f>TrafficData[[#This Row],[disposedChallan]]+TrafficData[[#This Row],[pendingChallan]]=TrafficData[[#This Row],[totalChallan]]</f>
        <v>1</v>
      </c>
      <c r="L3591" t="b">
        <f>TrafficData[[#This Row],[pendingAmount]]+TrafficData[[#This Row],[disposedAmount]]=TrafficData[[#This Row],[totalAmount]]</f>
        <v>1</v>
      </c>
      <c r="M3591" t="b">
        <f>TrafficData[[#This Row],[pendingCourt]]+TrafficData[[#This Row],[disposedCourt]]=TrafficData[[#This Row],[totalCourt]]</f>
        <v>1</v>
      </c>
      <c r="N3591" t="b">
        <f>AND(TrafficData[[#This Row],[disposedChallan]]&lt;=TrafficData[[#This Row],[totalChallan]],TrafficData[[#This Row],[pendingChallan]]&lt;=TrafficData[[#This Row],[totalChallan]])</f>
        <v>1</v>
      </c>
      <c r="O3591" t="b">
        <f>AND(TrafficData[[#This Row],[pendingAmount]]&lt;=TrafficData[[#This Row],[totalAmount]],TrafficData[[#This Row],[disposedAmount]]&lt;=TrafficData[[#This Row],[totalAmount]])</f>
        <v>1</v>
      </c>
      <c r="P3591" t="b">
        <f>AND(TrafficData[[#This Row],[pendingCourt]]&lt;=TrafficData[[#This Row],[totalCourt]],TrafficData[[#This Row],[disposedCourt]]&lt;=TrafficData[[#This Row],[totalCourt]])</f>
        <v>1</v>
      </c>
    </row>
    <row r="3592" spans="1:16">
      <c r="A3592" s="1">
        <v>45596</v>
      </c>
      <c r="B3592">
        <v>140691</v>
      </c>
      <c r="C3592">
        <v>39163</v>
      </c>
      <c r="D3592">
        <v>101528</v>
      </c>
      <c r="E3592">
        <v>160920321</v>
      </c>
      <c r="F3592">
        <v>42278382</v>
      </c>
      <c r="G3592">
        <v>203198703</v>
      </c>
      <c r="H3592">
        <v>51763</v>
      </c>
      <c r="I3592">
        <v>5150</v>
      </c>
      <c r="J3592">
        <v>56913</v>
      </c>
      <c r="K3592" t="b">
        <f>TrafficData[[#This Row],[disposedChallan]]+TrafficData[[#This Row],[pendingChallan]]=TrafficData[[#This Row],[totalChallan]]</f>
        <v>1</v>
      </c>
      <c r="L3592" t="b">
        <f>TrafficData[[#This Row],[pendingAmount]]+TrafficData[[#This Row],[disposedAmount]]=TrafficData[[#This Row],[totalAmount]]</f>
        <v>1</v>
      </c>
      <c r="M3592" t="b">
        <f>TrafficData[[#This Row],[pendingCourt]]+TrafficData[[#This Row],[disposedCourt]]=TrafficData[[#This Row],[totalCourt]]</f>
        <v>1</v>
      </c>
      <c r="N3592" t="b">
        <f>AND(TrafficData[[#This Row],[disposedChallan]]&lt;=TrafficData[[#This Row],[totalChallan]],TrafficData[[#This Row],[pendingChallan]]&lt;=TrafficData[[#This Row],[totalChallan]])</f>
        <v>1</v>
      </c>
      <c r="O3592" t="b">
        <f>AND(TrafficData[[#This Row],[pendingAmount]]&lt;=TrafficData[[#This Row],[totalAmount]],TrafficData[[#This Row],[disposedAmount]]&lt;=TrafficData[[#This Row],[totalAmount]])</f>
        <v>1</v>
      </c>
      <c r="P3592" t="b">
        <f>AND(TrafficData[[#This Row],[pendingCourt]]&lt;=TrafficData[[#This Row],[totalCourt]],TrafficData[[#This Row],[disposedCourt]]&lt;=TrafficData[[#This Row],[totalCourt]])</f>
        <v>1</v>
      </c>
    </row>
    <row r="3593" spans="1:16">
      <c r="A3593" s="1">
        <v>45597</v>
      </c>
      <c r="B3593">
        <v>191462</v>
      </c>
      <c r="C3593">
        <v>57482</v>
      </c>
      <c r="D3593">
        <v>133980</v>
      </c>
      <c r="E3593">
        <v>222737704</v>
      </c>
      <c r="F3593">
        <v>78140180</v>
      </c>
      <c r="G3593">
        <v>300877884</v>
      </c>
      <c r="H3593">
        <v>65129</v>
      </c>
      <c r="I3593">
        <v>5952</v>
      </c>
      <c r="J3593">
        <v>71081</v>
      </c>
      <c r="K3593" t="b">
        <f>TrafficData[[#This Row],[disposedChallan]]+TrafficData[[#This Row],[pendingChallan]]=TrafficData[[#This Row],[totalChallan]]</f>
        <v>1</v>
      </c>
      <c r="L3593" t="b">
        <f>TrafficData[[#This Row],[pendingAmount]]+TrafficData[[#This Row],[disposedAmount]]=TrafficData[[#This Row],[totalAmount]]</f>
        <v>1</v>
      </c>
      <c r="M3593" t="b">
        <f>TrafficData[[#This Row],[pendingCourt]]+TrafficData[[#This Row],[disposedCourt]]=TrafficData[[#This Row],[totalCourt]]</f>
        <v>1</v>
      </c>
      <c r="N3593" t="b">
        <f>AND(TrafficData[[#This Row],[disposedChallan]]&lt;=TrafficData[[#This Row],[totalChallan]],TrafficData[[#This Row],[pendingChallan]]&lt;=TrafficData[[#This Row],[totalChallan]])</f>
        <v>1</v>
      </c>
      <c r="O3593" t="b">
        <f>AND(TrafficData[[#This Row],[pendingAmount]]&lt;=TrafficData[[#This Row],[totalAmount]],TrafficData[[#This Row],[disposedAmount]]&lt;=TrafficData[[#This Row],[totalAmount]])</f>
        <v>1</v>
      </c>
      <c r="P3593" t="b">
        <f>AND(TrafficData[[#This Row],[pendingCourt]]&lt;=TrafficData[[#This Row],[totalCourt]],TrafficData[[#This Row],[disposedCourt]]&lt;=TrafficData[[#This Row],[totalCourt]])</f>
        <v>1</v>
      </c>
    </row>
    <row r="3594" spans="1:16">
      <c r="A3594" s="1">
        <v>45598</v>
      </c>
      <c r="B3594">
        <v>243040</v>
      </c>
      <c r="C3594">
        <v>70716</v>
      </c>
      <c r="D3594">
        <v>172324</v>
      </c>
      <c r="E3594">
        <v>287555090</v>
      </c>
      <c r="F3594">
        <v>87015883</v>
      </c>
      <c r="G3594">
        <v>374570973</v>
      </c>
      <c r="H3594">
        <v>87949</v>
      </c>
      <c r="I3594">
        <v>8361</v>
      </c>
      <c r="J3594">
        <v>96310</v>
      </c>
      <c r="K3594" t="b">
        <f>TrafficData[[#This Row],[disposedChallan]]+TrafficData[[#This Row],[pendingChallan]]=TrafficData[[#This Row],[totalChallan]]</f>
        <v>1</v>
      </c>
      <c r="L3594" t="b">
        <f>TrafficData[[#This Row],[pendingAmount]]+TrafficData[[#This Row],[disposedAmount]]=TrafficData[[#This Row],[totalAmount]]</f>
        <v>1</v>
      </c>
      <c r="M3594" t="b">
        <f>TrafficData[[#This Row],[pendingCourt]]+TrafficData[[#This Row],[disposedCourt]]=TrafficData[[#This Row],[totalCourt]]</f>
        <v>1</v>
      </c>
      <c r="N3594" t="b">
        <f>AND(TrafficData[[#This Row],[disposedChallan]]&lt;=TrafficData[[#This Row],[totalChallan]],TrafficData[[#This Row],[pendingChallan]]&lt;=TrafficData[[#This Row],[totalChallan]])</f>
        <v>1</v>
      </c>
      <c r="O3594" t="b">
        <f>AND(TrafficData[[#This Row],[pendingAmount]]&lt;=TrafficData[[#This Row],[totalAmount]],TrafficData[[#This Row],[disposedAmount]]&lt;=TrafficData[[#This Row],[totalAmount]])</f>
        <v>1</v>
      </c>
      <c r="P3594" t="b">
        <f>AND(TrafficData[[#This Row],[pendingCourt]]&lt;=TrafficData[[#This Row],[totalCourt]],TrafficData[[#This Row],[disposedCourt]]&lt;=TrafficData[[#This Row],[totalCourt]])</f>
        <v>1</v>
      </c>
    </row>
    <row r="3595" spans="1:16">
      <c r="A3595" s="1">
        <v>45599</v>
      </c>
      <c r="B3595">
        <v>242004</v>
      </c>
      <c r="C3595">
        <v>67764</v>
      </c>
      <c r="D3595">
        <v>174240</v>
      </c>
      <c r="E3595">
        <v>296487483</v>
      </c>
      <c r="F3595">
        <v>76478980</v>
      </c>
      <c r="G3595">
        <v>372966463</v>
      </c>
      <c r="H3595">
        <v>93881</v>
      </c>
      <c r="I3595">
        <v>8328</v>
      </c>
      <c r="J3595">
        <v>102209</v>
      </c>
      <c r="K3595" t="b">
        <f>TrafficData[[#This Row],[disposedChallan]]+TrafficData[[#This Row],[pendingChallan]]=TrafficData[[#This Row],[totalChallan]]</f>
        <v>1</v>
      </c>
      <c r="L3595" t="b">
        <f>TrafficData[[#This Row],[pendingAmount]]+TrafficData[[#This Row],[disposedAmount]]=TrafficData[[#This Row],[totalAmount]]</f>
        <v>1</v>
      </c>
      <c r="M3595" t="b">
        <f>TrafficData[[#This Row],[pendingCourt]]+TrafficData[[#This Row],[disposedCourt]]=TrafficData[[#This Row],[totalCourt]]</f>
        <v>1</v>
      </c>
      <c r="N3595" t="b">
        <f>AND(TrafficData[[#This Row],[disposedChallan]]&lt;=TrafficData[[#This Row],[totalChallan]],TrafficData[[#This Row],[pendingChallan]]&lt;=TrafficData[[#This Row],[totalChallan]])</f>
        <v>1</v>
      </c>
      <c r="O3595" t="b">
        <f>AND(TrafficData[[#This Row],[pendingAmount]]&lt;=TrafficData[[#This Row],[totalAmount]],TrafficData[[#This Row],[disposedAmount]]&lt;=TrafficData[[#This Row],[totalAmount]])</f>
        <v>1</v>
      </c>
      <c r="P3595" t="b">
        <f>AND(TrafficData[[#This Row],[pendingCourt]]&lt;=TrafficData[[#This Row],[totalCourt]],TrafficData[[#This Row],[disposedCourt]]&lt;=TrafficData[[#This Row],[totalCourt]])</f>
        <v>1</v>
      </c>
    </row>
    <row r="3596" spans="1:16">
      <c r="A3596" s="1">
        <v>45600</v>
      </c>
      <c r="B3596">
        <v>267975</v>
      </c>
      <c r="C3596">
        <v>76293</v>
      </c>
      <c r="D3596">
        <v>191682</v>
      </c>
      <c r="E3596">
        <v>360534990</v>
      </c>
      <c r="F3596">
        <v>114891565</v>
      </c>
      <c r="G3596">
        <v>475426555</v>
      </c>
      <c r="H3596">
        <v>108495</v>
      </c>
      <c r="I3596">
        <v>9528</v>
      </c>
      <c r="J3596">
        <v>118023</v>
      </c>
      <c r="K3596" t="b">
        <f>TrafficData[[#This Row],[disposedChallan]]+TrafficData[[#This Row],[pendingChallan]]=TrafficData[[#This Row],[totalChallan]]</f>
        <v>1</v>
      </c>
      <c r="L3596" t="b">
        <f>TrafficData[[#This Row],[pendingAmount]]+TrafficData[[#This Row],[disposedAmount]]=TrafficData[[#This Row],[totalAmount]]</f>
        <v>1</v>
      </c>
      <c r="M3596" t="b">
        <f>TrafficData[[#This Row],[pendingCourt]]+TrafficData[[#This Row],[disposedCourt]]=TrafficData[[#This Row],[totalCourt]]</f>
        <v>1</v>
      </c>
      <c r="N3596" t="b">
        <f>AND(TrafficData[[#This Row],[disposedChallan]]&lt;=TrafficData[[#This Row],[totalChallan]],TrafficData[[#This Row],[pendingChallan]]&lt;=TrafficData[[#This Row],[totalChallan]])</f>
        <v>1</v>
      </c>
      <c r="O3596" t="b">
        <f>AND(TrafficData[[#This Row],[pendingAmount]]&lt;=TrafficData[[#This Row],[totalAmount]],TrafficData[[#This Row],[disposedAmount]]&lt;=TrafficData[[#This Row],[totalAmount]])</f>
        <v>1</v>
      </c>
      <c r="P3596" t="b">
        <f>AND(TrafficData[[#This Row],[pendingCourt]]&lt;=TrafficData[[#This Row],[totalCourt]],TrafficData[[#This Row],[disposedCourt]]&lt;=TrafficData[[#This Row],[totalCourt]])</f>
        <v>1</v>
      </c>
    </row>
    <row r="3597" spans="1:16">
      <c r="A3597" s="1">
        <v>45601</v>
      </c>
      <c r="B3597">
        <v>280284</v>
      </c>
      <c r="C3597">
        <v>80378</v>
      </c>
      <c r="D3597">
        <v>199906</v>
      </c>
      <c r="E3597">
        <v>383588101</v>
      </c>
      <c r="F3597">
        <v>141236394</v>
      </c>
      <c r="G3597">
        <v>524824495</v>
      </c>
      <c r="H3597">
        <v>107779</v>
      </c>
      <c r="I3597">
        <v>9714</v>
      </c>
      <c r="J3597">
        <v>117493</v>
      </c>
      <c r="K3597" t="b">
        <f>TrafficData[[#This Row],[disposedChallan]]+TrafficData[[#This Row],[pendingChallan]]=TrafficData[[#This Row],[totalChallan]]</f>
        <v>1</v>
      </c>
      <c r="L3597" t="b">
        <f>TrafficData[[#This Row],[pendingAmount]]+TrafficData[[#This Row],[disposedAmount]]=TrafficData[[#This Row],[totalAmount]]</f>
        <v>1</v>
      </c>
      <c r="M3597" t="b">
        <f>TrafficData[[#This Row],[pendingCourt]]+TrafficData[[#This Row],[disposedCourt]]=TrafficData[[#This Row],[totalCourt]]</f>
        <v>1</v>
      </c>
      <c r="N3597" t="b">
        <f>AND(TrafficData[[#This Row],[disposedChallan]]&lt;=TrafficData[[#This Row],[totalChallan]],TrafficData[[#This Row],[pendingChallan]]&lt;=TrafficData[[#This Row],[totalChallan]])</f>
        <v>1</v>
      </c>
      <c r="O3597" t="b">
        <f>AND(TrafficData[[#This Row],[pendingAmount]]&lt;=TrafficData[[#This Row],[totalAmount]],TrafficData[[#This Row],[disposedAmount]]&lt;=TrafficData[[#This Row],[totalAmount]])</f>
        <v>1</v>
      </c>
      <c r="P3597" t="b">
        <f>AND(TrafficData[[#This Row],[pendingCourt]]&lt;=TrafficData[[#This Row],[totalCourt]],TrafficData[[#This Row],[disposedCourt]]&lt;=TrafficData[[#This Row],[totalCourt]])</f>
        <v>1</v>
      </c>
    </row>
    <row r="3598" spans="1:16">
      <c r="A3598" s="1">
        <v>45602</v>
      </c>
      <c r="B3598">
        <v>283776</v>
      </c>
      <c r="C3598">
        <v>83904</v>
      </c>
      <c r="D3598">
        <v>199872</v>
      </c>
      <c r="E3598">
        <v>384915041</v>
      </c>
      <c r="F3598">
        <v>147164301</v>
      </c>
      <c r="G3598">
        <v>532079342</v>
      </c>
      <c r="H3598">
        <v>116235</v>
      </c>
      <c r="I3598">
        <v>10103</v>
      </c>
      <c r="J3598">
        <v>126338</v>
      </c>
      <c r="K3598" t="b">
        <f>TrafficData[[#This Row],[disposedChallan]]+TrafficData[[#This Row],[pendingChallan]]=TrafficData[[#This Row],[totalChallan]]</f>
        <v>1</v>
      </c>
      <c r="L3598" t="b">
        <f>TrafficData[[#This Row],[pendingAmount]]+TrafficData[[#This Row],[disposedAmount]]=TrafficData[[#This Row],[totalAmount]]</f>
        <v>1</v>
      </c>
      <c r="M3598" t="b">
        <f>TrafficData[[#This Row],[pendingCourt]]+TrafficData[[#This Row],[disposedCourt]]=TrafficData[[#This Row],[totalCourt]]</f>
        <v>1</v>
      </c>
      <c r="N3598" t="b">
        <f>AND(TrafficData[[#This Row],[disposedChallan]]&lt;=TrafficData[[#This Row],[totalChallan]],TrafficData[[#This Row],[pendingChallan]]&lt;=TrafficData[[#This Row],[totalChallan]])</f>
        <v>1</v>
      </c>
      <c r="O3598" t="b">
        <f>AND(TrafficData[[#This Row],[pendingAmount]]&lt;=TrafficData[[#This Row],[totalAmount]],TrafficData[[#This Row],[disposedAmount]]&lt;=TrafficData[[#This Row],[totalAmount]])</f>
        <v>1</v>
      </c>
      <c r="P3598" t="b">
        <f>AND(TrafficData[[#This Row],[pendingCourt]]&lt;=TrafficData[[#This Row],[totalCourt]],TrafficData[[#This Row],[disposedCourt]]&lt;=TrafficData[[#This Row],[totalCourt]])</f>
        <v>1</v>
      </c>
    </row>
    <row r="3599" spans="1:16">
      <c r="A3599" s="1">
        <v>45603</v>
      </c>
      <c r="B3599">
        <v>258982</v>
      </c>
      <c r="C3599">
        <v>76811</v>
      </c>
      <c r="D3599">
        <v>182171</v>
      </c>
      <c r="E3599">
        <v>340440896</v>
      </c>
      <c r="F3599">
        <v>130989640</v>
      </c>
      <c r="G3599">
        <v>471430536</v>
      </c>
      <c r="H3599">
        <v>112125</v>
      </c>
      <c r="I3599">
        <v>9337</v>
      </c>
      <c r="J3599">
        <v>121462</v>
      </c>
      <c r="K3599" t="b">
        <f>TrafficData[[#This Row],[disposedChallan]]+TrafficData[[#This Row],[pendingChallan]]=TrafficData[[#This Row],[totalChallan]]</f>
        <v>1</v>
      </c>
      <c r="L3599" t="b">
        <f>TrafficData[[#This Row],[pendingAmount]]+TrafficData[[#This Row],[disposedAmount]]=TrafficData[[#This Row],[totalAmount]]</f>
        <v>1</v>
      </c>
      <c r="M3599" t="b">
        <f>TrafficData[[#This Row],[pendingCourt]]+TrafficData[[#This Row],[disposedCourt]]=TrafficData[[#This Row],[totalCourt]]</f>
        <v>1</v>
      </c>
      <c r="N3599" t="b">
        <f>AND(TrafficData[[#This Row],[disposedChallan]]&lt;=TrafficData[[#This Row],[totalChallan]],TrafficData[[#This Row],[pendingChallan]]&lt;=TrafficData[[#This Row],[totalChallan]])</f>
        <v>1</v>
      </c>
      <c r="O3599" t="b">
        <f>AND(TrafficData[[#This Row],[pendingAmount]]&lt;=TrafficData[[#This Row],[totalAmount]],TrafficData[[#This Row],[disposedAmount]]&lt;=TrafficData[[#This Row],[totalAmount]])</f>
        <v>1</v>
      </c>
      <c r="P3599" t="b">
        <f>AND(TrafficData[[#This Row],[pendingCourt]]&lt;=TrafficData[[#This Row],[totalCourt]],TrafficData[[#This Row],[disposedCourt]]&lt;=TrafficData[[#This Row],[totalCourt]])</f>
        <v>1</v>
      </c>
    </row>
    <row r="3600" spans="1:16">
      <c r="A3600" s="1">
        <v>45604</v>
      </c>
      <c r="B3600">
        <v>267724</v>
      </c>
      <c r="C3600">
        <v>82164</v>
      </c>
      <c r="D3600">
        <v>185560</v>
      </c>
      <c r="E3600">
        <v>337371334</v>
      </c>
      <c r="F3600">
        <v>135156834</v>
      </c>
      <c r="G3600">
        <v>472528168</v>
      </c>
      <c r="H3600">
        <v>110255</v>
      </c>
      <c r="I3600">
        <v>9388</v>
      </c>
      <c r="J3600">
        <v>119643</v>
      </c>
      <c r="K3600" t="b">
        <f>TrafficData[[#This Row],[disposedChallan]]+TrafficData[[#This Row],[pendingChallan]]=TrafficData[[#This Row],[totalChallan]]</f>
        <v>1</v>
      </c>
      <c r="L3600" t="b">
        <f>TrafficData[[#This Row],[pendingAmount]]+TrafficData[[#This Row],[disposedAmount]]=TrafficData[[#This Row],[totalAmount]]</f>
        <v>1</v>
      </c>
      <c r="M3600" t="b">
        <f>TrafficData[[#This Row],[pendingCourt]]+TrafficData[[#This Row],[disposedCourt]]=TrafficData[[#This Row],[totalCourt]]</f>
        <v>1</v>
      </c>
      <c r="N3600" t="b">
        <f>AND(TrafficData[[#This Row],[disposedChallan]]&lt;=TrafficData[[#This Row],[totalChallan]],TrafficData[[#This Row],[pendingChallan]]&lt;=TrafficData[[#This Row],[totalChallan]])</f>
        <v>1</v>
      </c>
      <c r="O3600" t="b">
        <f>AND(TrafficData[[#This Row],[pendingAmount]]&lt;=TrafficData[[#This Row],[totalAmount]],TrafficData[[#This Row],[disposedAmount]]&lt;=TrafficData[[#This Row],[totalAmount]])</f>
        <v>1</v>
      </c>
      <c r="P3600" t="b">
        <f>AND(TrafficData[[#This Row],[pendingCourt]]&lt;=TrafficData[[#This Row],[totalCourt]],TrafficData[[#This Row],[disposedCourt]]&lt;=TrafficData[[#This Row],[totalCourt]])</f>
        <v>1</v>
      </c>
    </row>
    <row r="3601" spans="1:16">
      <c r="A3601" s="1">
        <v>45605</v>
      </c>
      <c r="B3601">
        <v>286740</v>
      </c>
      <c r="C3601">
        <v>85419</v>
      </c>
      <c r="D3601">
        <v>201321</v>
      </c>
      <c r="E3601">
        <v>349737754</v>
      </c>
      <c r="F3601">
        <v>126305616</v>
      </c>
      <c r="G3601">
        <v>476043370</v>
      </c>
      <c r="H3601">
        <v>111736</v>
      </c>
      <c r="I3601">
        <v>9875</v>
      </c>
      <c r="J3601">
        <v>121611</v>
      </c>
      <c r="K3601" t="b">
        <f>TrafficData[[#This Row],[disposedChallan]]+TrafficData[[#This Row],[pendingChallan]]=TrafficData[[#This Row],[totalChallan]]</f>
        <v>1</v>
      </c>
      <c r="L3601" t="b">
        <f>TrafficData[[#This Row],[pendingAmount]]+TrafficData[[#This Row],[disposedAmount]]=TrafficData[[#This Row],[totalAmount]]</f>
        <v>1</v>
      </c>
      <c r="M3601" t="b">
        <f>TrafficData[[#This Row],[pendingCourt]]+TrafficData[[#This Row],[disposedCourt]]=TrafficData[[#This Row],[totalCourt]]</f>
        <v>1</v>
      </c>
      <c r="N3601" t="b">
        <f>AND(TrafficData[[#This Row],[disposedChallan]]&lt;=TrafficData[[#This Row],[totalChallan]],TrafficData[[#This Row],[pendingChallan]]&lt;=TrafficData[[#This Row],[totalChallan]])</f>
        <v>1</v>
      </c>
      <c r="O3601" t="b">
        <f>AND(TrafficData[[#This Row],[pendingAmount]]&lt;=TrafficData[[#This Row],[totalAmount]],TrafficData[[#This Row],[disposedAmount]]&lt;=TrafficData[[#This Row],[totalAmount]])</f>
        <v>1</v>
      </c>
      <c r="P3601" t="b">
        <f>AND(TrafficData[[#This Row],[pendingCourt]]&lt;=TrafficData[[#This Row],[totalCourt]],TrafficData[[#This Row],[disposedCourt]]&lt;=TrafficData[[#This Row],[totalCourt]])</f>
        <v>1</v>
      </c>
    </row>
    <row r="3602" spans="1:16">
      <c r="A3602" s="1">
        <v>45606</v>
      </c>
      <c r="B3602">
        <v>270624</v>
      </c>
      <c r="C3602">
        <v>78203</v>
      </c>
      <c r="D3602">
        <v>192421</v>
      </c>
      <c r="E3602">
        <v>317319311</v>
      </c>
      <c r="F3602">
        <v>97757446</v>
      </c>
      <c r="G3602">
        <v>415076757</v>
      </c>
      <c r="H3602">
        <v>104620</v>
      </c>
      <c r="I3602">
        <v>8718</v>
      </c>
      <c r="J3602">
        <v>113338</v>
      </c>
      <c r="K3602" t="b">
        <f>TrafficData[[#This Row],[disposedChallan]]+TrafficData[[#This Row],[pendingChallan]]=TrafficData[[#This Row],[totalChallan]]</f>
        <v>1</v>
      </c>
      <c r="L3602" t="b">
        <f>TrafficData[[#This Row],[pendingAmount]]+TrafficData[[#This Row],[disposedAmount]]=TrafficData[[#This Row],[totalAmount]]</f>
        <v>1</v>
      </c>
      <c r="M3602" t="b">
        <f>TrafficData[[#This Row],[pendingCourt]]+TrafficData[[#This Row],[disposedCourt]]=TrafficData[[#This Row],[totalCourt]]</f>
        <v>1</v>
      </c>
      <c r="N3602" t="b">
        <f>AND(TrafficData[[#This Row],[disposedChallan]]&lt;=TrafficData[[#This Row],[totalChallan]],TrafficData[[#This Row],[pendingChallan]]&lt;=TrafficData[[#This Row],[totalChallan]])</f>
        <v>1</v>
      </c>
      <c r="O3602" t="b">
        <f>AND(TrafficData[[#This Row],[pendingAmount]]&lt;=TrafficData[[#This Row],[totalAmount]],TrafficData[[#This Row],[disposedAmount]]&lt;=TrafficData[[#This Row],[totalAmount]])</f>
        <v>1</v>
      </c>
      <c r="P3602" t="b">
        <f>AND(TrafficData[[#This Row],[pendingCourt]]&lt;=TrafficData[[#This Row],[totalCourt]],TrafficData[[#This Row],[disposedCourt]]&lt;=TrafficData[[#This Row],[totalCourt]])</f>
        <v>1</v>
      </c>
    </row>
    <row r="3603" spans="1:16">
      <c r="A3603" s="1">
        <v>45607</v>
      </c>
      <c r="B3603">
        <v>294651</v>
      </c>
      <c r="C3603">
        <v>83893</v>
      </c>
      <c r="D3603">
        <v>210758</v>
      </c>
      <c r="E3603">
        <v>367985050</v>
      </c>
      <c r="F3603">
        <v>130073356</v>
      </c>
      <c r="G3603">
        <v>498058406</v>
      </c>
      <c r="H3603">
        <v>119180</v>
      </c>
      <c r="I3603">
        <v>9658</v>
      </c>
      <c r="J3603">
        <v>128838</v>
      </c>
      <c r="K3603" t="b">
        <f>TrafficData[[#This Row],[disposedChallan]]+TrafficData[[#This Row],[pendingChallan]]=TrafficData[[#This Row],[totalChallan]]</f>
        <v>1</v>
      </c>
      <c r="L3603" t="b">
        <f>TrafficData[[#This Row],[pendingAmount]]+TrafficData[[#This Row],[disposedAmount]]=TrafficData[[#This Row],[totalAmount]]</f>
        <v>1</v>
      </c>
      <c r="M3603" t="b">
        <f>TrafficData[[#This Row],[pendingCourt]]+TrafficData[[#This Row],[disposedCourt]]=TrafficData[[#This Row],[totalCourt]]</f>
        <v>1</v>
      </c>
      <c r="N3603" t="b">
        <f>AND(TrafficData[[#This Row],[disposedChallan]]&lt;=TrafficData[[#This Row],[totalChallan]],TrafficData[[#This Row],[pendingChallan]]&lt;=TrafficData[[#This Row],[totalChallan]])</f>
        <v>1</v>
      </c>
      <c r="O3603" t="b">
        <f>AND(TrafficData[[#This Row],[pendingAmount]]&lt;=TrafficData[[#This Row],[totalAmount]],TrafficData[[#This Row],[disposedAmount]]&lt;=TrafficData[[#This Row],[totalAmount]])</f>
        <v>1</v>
      </c>
      <c r="P3603" t="b">
        <f>AND(TrafficData[[#This Row],[pendingCourt]]&lt;=TrafficData[[#This Row],[totalCourt]],TrafficData[[#This Row],[disposedCourt]]&lt;=TrafficData[[#This Row],[totalCourt]])</f>
        <v>1</v>
      </c>
    </row>
    <row r="3604" spans="1:16">
      <c r="A3604" s="1">
        <v>45608</v>
      </c>
      <c r="B3604">
        <v>276286</v>
      </c>
      <c r="C3604">
        <v>78387</v>
      </c>
      <c r="D3604">
        <v>197899</v>
      </c>
      <c r="E3604">
        <v>364255441</v>
      </c>
      <c r="F3604">
        <v>139670348</v>
      </c>
      <c r="G3604">
        <v>503925789</v>
      </c>
      <c r="H3604">
        <v>114259</v>
      </c>
      <c r="I3604">
        <v>9298</v>
      </c>
      <c r="J3604">
        <v>123557</v>
      </c>
      <c r="K3604" t="b">
        <f>TrafficData[[#This Row],[disposedChallan]]+TrafficData[[#This Row],[pendingChallan]]=TrafficData[[#This Row],[totalChallan]]</f>
        <v>1</v>
      </c>
      <c r="L3604" t="b">
        <f>TrafficData[[#This Row],[pendingAmount]]+TrafficData[[#This Row],[disposedAmount]]=TrafficData[[#This Row],[totalAmount]]</f>
        <v>1</v>
      </c>
      <c r="M3604" t="b">
        <f>TrafficData[[#This Row],[pendingCourt]]+TrafficData[[#This Row],[disposedCourt]]=TrafficData[[#This Row],[totalCourt]]</f>
        <v>1</v>
      </c>
      <c r="N3604" t="b">
        <f>AND(TrafficData[[#This Row],[disposedChallan]]&lt;=TrafficData[[#This Row],[totalChallan]],TrafficData[[#This Row],[pendingChallan]]&lt;=TrafficData[[#This Row],[totalChallan]])</f>
        <v>1</v>
      </c>
      <c r="O3604" t="b">
        <f>AND(TrafficData[[#This Row],[pendingAmount]]&lt;=TrafficData[[#This Row],[totalAmount]],TrafficData[[#This Row],[disposedAmount]]&lt;=TrafficData[[#This Row],[totalAmount]])</f>
        <v>1</v>
      </c>
      <c r="P3604" t="b">
        <f>AND(TrafficData[[#This Row],[pendingCourt]]&lt;=TrafficData[[#This Row],[totalCourt]],TrafficData[[#This Row],[disposedCourt]]&lt;=TrafficData[[#This Row],[totalCourt]])</f>
        <v>1</v>
      </c>
    </row>
    <row r="3605" spans="1:16">
      <c r="A3605" s="1">
        <v>45609</v>
      </c>
      <c r="B3605">
        <v>285907</v>
      </c>
      <c r="C3605">
        <v>84111</v>
      </c>
      <c r="D3605">
        <v>201796</v>
      </c>
      <c r="E3605">
        <v>379236438</v>
      </c>
      <c r="F3605">
        <v>143964994</v>
      </c>
      <c r="G3605">
        <v>523201432</v>
      </c>
      <c r="H3605">
        <v>111016</v>
      </c>
      <c r="I3605">
        <v>9891</v>
      </c>
      <c r="J3605">
        <v>120907</v>
      </c>
      <c r="K3605" t="b">
        <f>TrafficData[[#This Row],[disposedChallan]]+TrafficData[[#This Row],[pendingChallan]]=TrafficData[[#This Row],[totalChallan]]</f>
        <v>1</v>
      </c>
      <c r="L3605" t="b">
        <f>TrafficData[[#This Row],[pendingAmount]]+TrafficData[[#This Row],[disposedAmount]]=TrafficData[[#This Row],[totalAmount]]</f>
        <v>1</v>
      </c>
      <c r="M3605" t="b">
        <f>TrafficData[[#This Row],[pendingCourt]]+TrafficData[[#This Row],[disposedCourt]]=TrafficData[[#This Row],[totalCourt]]</f>
        <v>1</v>
      </c>
      <c r="N3605" t="b">
        <f>AND(TrafficData[[#This Row],[disposedChallan]]&lt;=TrafficData[[#This Row],[totalChallan]],TrafficData[[#This Row],[pendingChallan]]&lt;=TrafficData[[#This Row],[totalChallan]])</f>
        <v>1</v>
      </c>
      <c r="O3605" t="b">
        <f>AND(TrafficData[[#This Row],[pendingAmount]]&lt;=TrafficData[[#This Row],[totalAmount]],TrafficData[[#This Row],[disposedAmount]]&lt;=TrafficData[[#This Row],[totalAmount]])</f>
        <v>1</v>
      </c>
      <c r="P3605" t="b">
        <f>AND(TrafficData[[#This Row],[pendingCourt]]&lt;=TrafficData[[#This Row],[totalCourt]],TrafficData[[#This Row],[disposedCourt]]&lt;=TrafficData[[#This Row],[totalCourt]])</f>
        <v>1</v>
      </c>
    </row>
    <row r="3606" spans="1:16">
      <c r="A3606" s="1">
        <v>45610</v>
      </c>
      <c r="B3606">
        <v>272520</v>
      </c>
      <c r="C3606">
        <v>79972</v>
      </c>
      <c r="D3606">
        <v>192548</v>
      </c>
      <c r="E3606">
        <v>360761579</v>
      </c>
      <c r="F3606">
        <v>141333472</v>
      </c>
      <c r="G3606">
        <v>502095051</v>
      </c>
      <c r="H3606">
        <v>113459</v>
      </c>
      <c r="I3606">
        <v>9555</v>
      </c>
      <c r="J3606">
        <v>123014</v>
      </c>
      <c r="K3606" t="b">
        <f>TrafficData[[#This Row],[disposedChallan]]+TrafficData[[#This Row],[pendingChallan]]=TrafficData[[#This Row],[totalChallan]]</f>
        <v>1</v>
      </c>
      <c r="L3606" t="b">
        <f>TrafficData[[#This Row],[pendingAmount]]+TrafficData[[#This Row],[disposedAmount]]=TrafficData[[#This Row],[totalAmount]]</f>
        <v>1</v>
      </c>
      <c r="M3606" t="b">
        <f>TrafficData[[#This Row],[pendingCourt]]+TrafficData[[#This Row],[disposedCourt]]=TrafficData[[#This Row],[totalCourt]]</f>
        <v>1</v>
      </c>
      <c r="N3606" t="b">
        <f>AND(TrafficData[[#This Row],[disposedChallan]]&lt;=TrafficData[[#This Row],[totalChallan]],TrafficData[[#This Row],[pendingChallan]]&lt;=TrafficData[[#This Row],[totalChallan]])</f>
        <v>1</v>
      </c>
      <c r="O3606" t="b">
        <f>AND(TrafficData[[#This Row],[pendingAmount]]&lt;=TrafficData[[#This Row],[totalAmount]],TrafficData[[#This Row],[disposedAmount]]&lt;=TrafficData[[#This Row],[totalAmount]])</f>
        <v>1</v>
      </c>
      <c r="P3606" t="b">
        <f>AND(TrafficData[[#This Row],[pendingCourt]]&lt;=TrafficData[[#This Row],[totalCourt]],TrafficData[[#This Row],[disposedCourt]]&lt;=TrafficData[[#This Row],[totalCourt]])</f>
        <v>1</v>
      </c>
    </row>
    <row r="3607" spans="1:16">
      <c r="A3607" s="1">
        <v>45611</v>
      </c>
      <c r="B3607">
        <v>268287</v>
      </c>
      <c r="C3607">
        <v>80489</v>
      </c>
      <c r="D3607">
        <v>187798</v>
      </c>
      <c r="E3607">
        <v>340260293</v>
      </c>
      <c r="F3607">
        <v>134576648</v>
      </c>
      <c r="G3607">
        <v>474836941</v>
      </c>
      <c r="H3607">
        <v>106209</v>
      </c>
      <c r="I3607">
        <v>9339</v>
      </c>
      <c r="J3607">
        <v>115548</v>
      </c>
      <c r="K3607" t="b">
        <f>TrafficData[[#This Row],[disposedChallan]]+TrafficData[[#This Row],[pendingChallan]]=TrafficData[[#This Row],[totalChallan]]</f>
        <v>1</v>
      </c>
      <c r="L3607" t="b">
        <f>TrafficData[[#This Row],[pendingAmount]]+TrafficData[[#This Row],[disposedAmount]]=TrafficData[[#This Row],[totalAmount]]</f>
        <v>1</v>
      </c>
      <c r="M3607" t="b">
        <f>TrafficData[[#This Row],[pendingCourt]]+TrafficData[[#This Row],[disposedCourt]]=TrafficData[[#This Row],[totalCourt]]</f>
        <v>1</v>
      </c>
      <c r="N3607" t="b">
        <f>AND(TrafficData[[#This Row],[disposedChallan]]&lt;=TrafficData[[#This Row],[totalChallan]],TrafficData[[#This Row],[pendingChallan]]&lt;=TrafficData[[#This Row],[totalChallan]])</f>
        <v>1</v>
      </c>
      <c r="O3607" t="b">
        <f>AND(TrafficData[[#This Row],[pendingAmount]]&lt;=TrafficData[[#This Row],[totalAmount]],TrafficData[[#This Row],[disposedAmount]]&lt;=TrafficData[[#This Row],[totalAmount]])</f>
        <v>1</v>
      </c>
      <c r="P3607" t="b">
        <f>AND(TrafficData[[#This Row],[pendingCourt]]&lt;=TrafficData[[#This Row],[totalCourt]],TrafficData[[#This Row],[disposedCourt]]&lt;=TrafficData[[#This Row],[totalCourt]])</f>
        <v>1</v>
      </c>
    </row>
    <row r="3608" spans="1:16">
      <c r="A3608" s="1">
        <v>45612</v>
      </c>
      <c r="B3608">
        <v>283526</v>
      </c>
      <c r="C3608">
        <v>83499</v>
      </c>
      <c r="D3608">
        <v>200027</v>
      </c>
      <c r="E3608">
        <v>373691005</v>
      </c>
      <c r="F3608">
        <v>207700517</v>
      </c>
      <c r="G3608">
        <v>581391522</v>
      </c>
      <c r="H3608">
        <v>112488</v>
      </c>
      <c r="I3608">
        <v>9910</v>
      </c>
      <c r="J3608">
        <v>122398</v>
      </c>
      <c r="K3608" t="b">
        <f>TrafficData[[#This Row],[disposedChallan]]+TrafficData[[#This Row],[pendingChallan]]=TrafficData[[#This Row],[totalChallan]]</f>
        <v>1</v>
      </c>
      <c r="L3608" t="b">
        <f>TrafficData[[#This Row],[pendingAmount]]+TrafficData[[#This Row],[disposedAmount]]=TrafficData[[#This Row],[totalAmount]]</f>
        <v>1</v>
      </c>
      <c r="M3608" t="b">
        <f>TrafficData[[#This Row],[pendingCourt]]+TrafficData[[#This Row],[disposedCourt]]=TrafficData[[#This Row],[totalCourt]]</f>
        <v>1</v>
      </c>
      <c r="N3608" t="b">
        <f>AND(TrafficData[[#This Row],[disposedChallan]]&lt;=TrafficData[[#This Row],[totalChallan]],TrafficData[[#This Row],[pendingChallan]]&lt;=TrafficData[[#This Row],[totalChallan]])</f>
        <v>1</v>
      </c>
      <c r="O3608" t="b">
        <f>AND(TrafficData[[#This Row],[pendingAmount]]&lt;=TrafficData[[#This Row],[totalAmount]],TrafficData[[#This Row],[disposedAmount]]&lt;=TrafficData[[#This Row],[totalAmount]])</f>
        <v>1</v>
      </c>
      <c r="P3608" t="b">
        <f>AND(TrafficData[[#This Row],[pendingCourt]]&lt;=TrafficData[[#This Row],[totalCourt]],TrafficData[[#This Row],[disposedCourt]]&lt;=TrafficData[[#This Row],[totalCourt]])</f>
        <v>1</v>
      </c>
    </row>
    <row r="3609" spans="1:16">
      <c r="A3609" s="1">
        <v>45613</v>
      </c>
      <c r="B3609">
        <v>271760</v>
      </c>
      <c r="C3609">
        <v>77031</v>
      </c>
      <c r="D3609">
        <v>194729</v>
      </c>
      <c r="E3609">
        <v>333649608</v>
      </c>
      <c r="F3609">
        <v>105372287</v>
      </c>
      <c r="G3609">
        <v>439021895</v>
      </c>
      <c r="H3609">
        <v>110046</v>
      </c>
      <c r="I3609">
        <v>9417</v>
      </c>
      <c r="J3609">
        <v>119463</v>
      </c>
      <c r="K3609" t="b">
        <f>TrafficData[[#This Row],[disposedChallan]]+TrafficData[[#This Row],[pendingChallan]]=TrafficData[[#This Row],[totalChallan]]</f>
        <v>1</v>
      </c>
      <c r="L3609" t="b">
        <f>TrafficData[[#This Row],[pendingAmount]]+TrafficData[[#This Row],[disposedAmount]]=TrafficData[[#This Row],[totalAmount]]</f>
        <v>1</v>
      </c>
      <c r="M3609" t="b">
        <f>TrafficData[[#This Row],[pendingCourt]]+TrafficData[[#This Row],[disposedCourt]]=TrafficData[[#This Row],[totalCourt]]</f>
        <v>1</v>
      </c>
      <c r="N3609" t="b">
        <f>AND(TrafficData[[#This Row],[disposedChallan]]&lt;=TrafficData[[#This Row],[totalChallan]],TrafficData[[#This Row],[pendingChallan]]&lt;=TrafficData[[#This Row],[totalChallan]])</f>
        <v>1</v>
      </c>
      <c r="O3609" t="b">
        <f>AND(TrafficData[[#This Row],[pendingAmount]]&lt;=TrafficData[[#This Row],[totalAmount]],TrafficData[[#This Row],[disposedAmount]]&lt;=TrafficData[[#This Row],[totalAmount]])</f>
        <v>1</v>
      </c>
      <c r="P3609" t="b">
        <f>AND(TrafficData[[#This Row],[pendingCourt]]&lt;=TrafficData[[#This Row],[totalCourt]],TrafficData[[#This Row],[disposedCourt]]&lt;=TrafficData[[#This Row],[totalCourt]])</f>
        <v>1</v>
      </c>
    </row>
    <row r="3610" spans="1:16">
      <c r="A3610" s="1">
        <v>45614</v>
      </c>
      <c r="B3610">
        <v>286688</v>
      </c>
      <c r="C3610">
        <v>82895</v>
      </c>
      <c r="D3610">
        <v>203793</v>
      </c>
      <c r="E3610">
        <v>374286146</v>
      </c>
      <c r="F3610">
        <v>130906391</v>
      </c>
      <c r="G3610">
        <v>505192537</v>
      </c>
      <c r="H3610">
        <v>118668</v>
      </c>
      <c r="I3610">
        <v>10394</v>
      </c>
      <c r="J3610">
        <v>129062</v>
      </c>
      <c r="K3610" t="b">
        <f>TrafficData[[#This Row],[disposedChallan]]+TrafficData[[#This Row],[pendingChallan]]=TrafficData[[#This Row],[totalChallan]]</f>
        <v>1</v>
      </c>
      <c r="L3610" t="b">
        <f>TrafficData[[#This Row],[pendingAmount]]+TrafficData[[#This Row],[disposedAmount]]=TrafficData[[#This Row],[totalAmount]]</f>
        <v>1</v>
      </c>
      <c r="M3610" t="b">
        <f>TrafficData[[#This Row],[pendingCourt]]+TrafficData[[#This Row],[disposedCourt]]=TrafficData[[#This Row],[totalCourt]]</f>
        <v>1</v>
      </c>
      <c r="N3610" t="b">
        <f>AND(TrafficData[[#This Row],[disposedChallan]]&lt;=TrafficData[[#This Row],[totalChallan]],TrafficData[[#This Row],[pendingChallan]]&lt;=TrafficData[[#This Row],[totalChallan]])</f>
        <v>1</v>
      </c>
      <c r="O3610" t="b">
        <f>AND(TrafficData[[#This Row],[pendingAmount]]&lt;=TrafficData[[#This Row],[totalAmount]],TrafficData[[#This Row],[disposedAmount]]&lt;=TrafficData[[#This Row],[totalAmount]])</f>
        <v>1</v>
      </c>
      <c r="P3610" t="b">
        <f>AND(TrafficData[[#This Row],[pendingCourt]]&lt;=TrafficData[[#This Row],[totalCourt]],TrafficData[[#This Row],[disposedCourt]]&lt;=TrafficData[[#This Row],[totalCourt]])</f>
        <v>1</v>
      </c>
    </row>
    <row r="3611" spans="1:16">
      <c r="A3611" s="1">
        <v>45615</v>
      </c>
      <c r="B3611">
        <v>295382</v>
      </c>
      <c r="C3611">
        <v>83903</v>
      </c>
      <c r="D3611">
        <v>211479</v>
      </c>
      <c r="E3611">
        <v>393743345</v>
      </c>
      <c r="F3611">
        <v>140991241</v>
      </c>
      <c r="G3611">
        <v>534734586</v>
      </c>
      <c r="H3611">
        <v>122091</v>
      </c>
      <c r="I3611">
        <v>10745</v>
      </c>
      <c r="J3611">
        <v>132836</v>
      </c>
      <c r="K3611" t="b">
        <f>TrafficData[[#This Row],[disposedChallan]]+TrafficData[[#This Row],[pendingChallan]]=TrafficData[[#This Row],[totalChallan]]</f>
        <v>1</v>
      </c>
      <c r="L3611" t="b">
        <f>TrafficData[[#This Row],[pendingAmount]]+TrafficData[[#This Row],[disposedAmount]]=TrafficData[[#This Row],[totalAmount]]</f>
        <v>1</v>
      </c>
      <c r="M3611" t="b">
        <f>TrafficData[[#This Row],[pendingCourt]]+TrafficData[[#This Row],[disposedCourt]]=TrafficData[[#This Row],[totalCourt]]</f>
        <v>1</v>
      </c>
      <c r="N3611" t="b">
        <f>AND(TrafficData[[#This Row],[disposedChallan]]&lt;=TrafficData[[#This Row],[totalChallan]],TrafficData[[#This Row],[pendingChallan]]&lt;=TrafficData[[#This Row],[totalChallan]])</f>
        <v>1</v>
      </c>
      <c r="O3611" t="b">
        <f>AND(TrafficData[[#This Row],[pendingAmount]]&lt;=TrafficData[[#This Row],[totalAmount]],TrafficData[[#This Row],[disposedAmount]]&lt;=TrafficData[[#This Row],[totalAmount]])</f>
        <v>1</v>
      </c>
      <c r="P3611" t="b">
        <f>AND(TrafficData[[#This Row],[pendingCourt]]&lt;=TrafficData[[#This Row],[totalCourt]],TrafficData[[#This Row],[disposedCourt]]&lt;=TrafficData[[#This Row],[totalCourt]])</f>
        <v>1</v>
      </c>
    </row>
    <row r="3612" spans="1:16">
      <c r="A3612" s="1">
        <v>45616</v>
      </c>
      <c r="B3612">
        <v>294187</v>
      </c>
      <c r="C3612">
        <v>85359</v>
      </c>
      <c r="D3612">
        <v>208828</v>
      </c>
      <c r="E3612">
        <v>384390545</v>
      </c>
      <c r="F3612">
        <v>143763283</v>
      </c>
      <c r="G3612">
        <v>528153828</v>
      </c>
      <c r="H3612">
        <v>119260</v>
      </c>
      <c r="I3612">
        <v>10187</v>
      </c>
      <c r="J3612">
        <v>129447</v>
      </c>
      <c r="K3612" t="b">
        <f>TrafficData[[#This Row],[disposedChallan]]+TrafficData[[#This Row],[pendingChallan]]=TrafficData[[#This Row],[totalChallan]]</f>
        <v>1</v>
      </c>
      <c r="L3612" t="b">
        <f>TrafficData[[#This Row],[pendingAmount]]+TrafficData[[#This Row],[disposedAmount]]=TrafficData[[#This Row],[totalAmount]]</f>
        <v>1</v>
      </c>
      <c r="M3612" t="b">
        <f>TrafficData[[#This Row],[pendingCourt]]+TrafficData[[#This Row],[disposedCourt]]=TrafficData[[#This Row],[totalCourt]]</f>
        <v>1</v>
      </c>
      <c r="N3612" t="b">
        <f>AND(TrafficData[[#This Row],[disposedChallan]]&lt;=TrafficData[[#This Row],[totalChallan]],TrafficData[[#This Row],[pendingChallan]]&lt;=TrafficData[[#This Row],[totalChallan]])</f>
        <v>1</v>
      </c>
      <c r="O3612" t="b">
        <f>AND(TrafficData[[#This Row],[pendingAmount]]&lt;=TrafficData[[#This Row],[totalAmount]],TrafficData[[#This Row],[disposedAmount]]&lt;=TrafficData[[#This Row],[totalAmount]])</f>
        <v>1</v>
      </c>
      <c r="P3612" t="b">
        <f>AND(TrafficData[[#This Row],[pendingCourt]]&lt;=TrafficData[[#This Row],[totalCourt]],TrafficData[[#This Row],[disposedCourt]]&lt;=TrafficData[[#This Row],[totalCourt]])</f>
        <v>1</v>
      </c>
    </row>
    <row r="3613" spans="1:16">
      <c r="A3613" s="1">
        <v>45617</v>
      </c>
      <c r="B3613">
        <v>300821</v>
      </c>
      <c r="C3613">
        <v>85921</v>
      </c>
      <c r="D3613">
        <v>214900</v>
      </c>
      <c r="E3613">
        <v>384635464</v>
      </c>
      <c r="F3613">
        <v>154419117</v>
      </c>
      <c r="G3613">
        <v>539054581</v>
      </c>
      <c r="H3613">
        <v>118963</v>
      </c>
      <c r="I3613">
        <v>9827</v>
      </c>
      <c r="J3613">
        <v>128790</v>
      </c>
      <c r="K3613" t="b">
        <f>TrafficData[[#This Row],[disposedChallan]]+TrafficData[[#This Row],[pendingChallan]]=TrafficData[[#This Row],[totalChallan]]</f>
        <v>1</v>
      </c>
      <c r="L3613" t="b">
        <f>TrafficData[[#This Row],[pendingAmount]]+TrafficData[[#This Row],[disposedAmount]]=TrafficData[[#This Row],[totalAmount]]</f>
        <v>1</v>
      </c>
      <c r="M3613" t="b">
        <f>TrafficData[[#This Row],[pendingCourt]]+TrafficData[[#This Row],[disposedCourt]]=TrafficData[[#This Row],[totalCourt]]</f>
        <v>1</v>
      </c>
      <c r="N3613" t="b">
        <f>AND(TrafficData[[#This Row],[disposedChallan]]&lt;=TrafficData[[#This Row],[totalChallan]],TrafficData[[#This Row],[pendingChallan]]&lt;=TrafficData[[#This Row],[totalChallan]])</f>
        <v>1</v>
      </c>
      <c r="O3613" t="b">
        <f>AND(TrafficData[[#This Row],[pendingAmount]]&lt;=TrafficData[[#This Row],[totalAmount]],TrafficData[[#This Row],[disposedAmount]]&lt;=TrafficData[[#This Row],[totalAmount]])</f>
        <v>1</v>
      </c>
      <c r="P3613" t="b">
        <f>AND(TrafficData[[#This Row],[pendingCourt]]&lt;=TrafficData[[#This Row],[totalCourt]],TrafficData[[#This Row],[disposedCourt]]&lt;=TrafficData[[#This Row],[totalCourt]])</f>
        <v>1</v>
      </c>
    </row>
    <row r="3614" spans="1:16">
      <c r="A3614" s="1">
        <v>45618</v>
      </c>
      <c r="B3614">
        <v>306500</v>
      </c>
      <c r="C3614">
        <v>87742</v>
      </c>
      <c r="D3614">
        <v>218758</v>
      </c>
      <c r="E3614">
        <v>381545193</v>
      </c>
      <c r="F3614">
        <v>148302324</v>
      </c>
      <c r="G3614">
        <v>529847517</v>
      </c>
      <c r="H3614">
        <v>119215</v>
      </c>
      <c r="I3614">
        <v>10354</v>
      </c>
      <c r="J3614">
        <v>129569</v>
      </c>
      <c r="K3614" t="b">
        <f>TrafficData[[#This Row],[disposedChallan]]+TrafficData[[#This Row],[pendingChallan]]=TrafficData[[#This Row],[totalChallan]]</f>
        <v>1</v>
      </c>
      <c r="L3614" t="b">
        <f>TrafficData[[#This Row],[pendingAmount]]+TrafficData[[#This Row],[disposedAmount]]=TrafficData[[#This Row],[totalAmount]]</f>
        <v>1</v>
      </c>
      <c r="M3614" t="b">
        <f>TrafficData[[#This Row],[pendingCourt]]+TrafficData[[#This Row],[disposedCourt]]=TrafficData[[#This Row],[totalCourt]]</f>
        <v>1</v>
      </c>
      <c r="N3614" t="b">
        <f>AND(TrafficData[[#This Row],[disposedChallan]]&lt;=TrafficData[[#This Row],[totalChallan]],TrafficData[[#This Row],[pendingChallan]]&lt;=TrafficData[[#This Row],[totalChallan]])</f>
        <v>1</v>
      </c>
      <c r="O3614" t="b">
        <f>AND(TrafficData[[#This Row],[pendingAmount]]&lt;=TrafficData[[#This Row],[totalAmount]],TrafficData[[#This Row],[disposedAmount]]&lt;=TrafficData[[#This Row],[totalAmount]])</f>
        <v>1</v>
      </c>
      <c r="P3614" t="b">
        <f>AND(TrafficData[[#This Row],[pendingCourt]]&lt;=TrafficData[[#This Row],[totalCourt]],TrafficData[[#This Row],[disposedCourt]]&lt;=TrafficData[[#This Row],[totalCourt]])</f>
        <v>1</v>
      </c>
    </row>
    <row r="3615" spans="1:16">
      <c r="A3615" s="1">
        <v>45619</v>
      </c>
      <c r="B3615">
        <v>292464</v>
      </c>
      <c r="C3615">
        <v>87272</v>
      </c>
      <c r="D3615">
        <v>205192</v>
      </c>
      <c r="E3615">
        <v>352728809</v>
      </c>
      <c r="F3615">
        <v>132060653</v>
      </c>
      <c r="G3615">
        <v>484789462</v>
      </c>
      <c r="H3615">
        <v>115139</v>
      </c>
      <c r="I3615">
        <v>10371</v>
      </c>
      <c r="J3615">
        <v>125510</v>
      </c>
      <c r="K3615" t="b">
        <f>TrafficData[[#This Row],[disposedChallan]]+TrafficData[[#This Row],[pendingChallan]]=TrafficData[[#This Row],[totalChallan]]</f>
        <v>1</v>
      </c>
      <c r="L3615" t="b">
        <f>TrafficData[[#This Row],[pendingAmount]]+TrafficData[[#This Row],[disposedAmount]]=TrafficData[[#This Row],[totalAmount]]</f>
        <v>1</v>
      </c>
      <c r="M3615" t="b">
        <f>TrafficData[[#This Row],[pendingCourt]]+TrafficData[[#This Row],[disposedCourt]]=TrafficData[[#This Row],[totalCourt]]</f>
        <v>1</v>
      </c>
      <c r="N3615" t="b">
        <f>AND(TrafficData[[#This Row],[disposedChallan]]&lt;=TrafficData[[#This Row],[totalChallan]],TrafficData[[#This Row],[pendingChallan]]&lt;=TrafficData[[#This Row],[totalChallan]])</f>
        <v>1</v>
      </c>
      <c r="O3615" t="b">
        <f>AND(TrafficData[[#This Row],[pendingAmount]]&lt;=TrafficData[[#This Row],[totalAmount]],TrafficData[[#This Row],[disposedAmount]]&lt;=TrafficData[[#This Row],[totalAmount]])</f>
        <v>1</v>
      </c>
      <c r="P3615" t="b">
        <f>AND(TrafficData[[#This Row],[pendingCourt]]&lt;=TrafficData[[#This Row],[totalCourt]],TrafficData[[#This Row],[disposedCourt]]&lt;=TrafficData[[#This Row],[totalCourt]])</f>
        <v>1</v>
      </c>
    </row>
    <row r="3616" spans="1:16">
      <c r="A3616" s="1">
        <v>45620</v>
      </c>
      <c r="B3616">
        <v>268434</v>
      </c>
      <c r="C3616">
        <v>75231</v>
      </c>
      <c r="D3616">
        <v>193203</v>
      </c>
      <c r="E3616">
        <v>308122919</v>
      </c>
      <c r="F3616">
        <v>96283887</v>
      </c>
      <c r="G3616">
        <v>404406806</v>
      </c>
      <c r="H3616">
        <v>102374</v>
      </c>
      <c r="I3616">
        <v>8562</v>
      </c>
      <c r="J3616">
        <v>110936</v>
      </c>
      <c r="K3616" t="b">
        <f>TrafficData[[#This Row],[disposedChallan]]+TrafficData[[#This Row],[pendingChallan]]=TrafficData[[#This Row],[totalChallan]]</f>
        <v>1</v>
      </c>
      <c r="L3616" t="b">
        <f>TrafficData[[#This Row],[pendingAmount]]+TrafficData[[#This Row],[disposedAmount]]=TrafficData[[#This Row],[totalAmount]]</f>
        <v>1</v>
      </c>
      <c r="M3616" t="b">
        <f>TrafficData[[#This Row],[pendingCourt]]+TrafficData[[#This Row],[disposedCourt]]=TrafficData[[#This Row],[totalCourt]]</f>
        <v>1</v>
      </c>
      <c r="N3616" t="b">
        <f>AND(TrafficData[[#This Row],[disposedChallan]]&lt;=TrafficData[[#This Row],[totalChallan]],TrafficData[[#This Row],[pendingChallan]]&lt;=TrafficData[[#This Row],[totalChallan]])</f>
        <v>1</v>
      </c>
      <c r="O3616" t="b">
        <f>AND(TrafficData[[#This Row],[pendingAmount]]&lt;=TrafficData[[#This Row],[totalAmount]],TrafficData[[#This Row],[disposedAmount]]&lt;=TrafficData[[#This Row],[totalAmount]])</f>
        <v>1</v>
      </c>
      <c r="P3616" t="b">
        <f>AND(TrafficData[[#This Row],[pendingCourt]]&lt;=TrafficData[[#This Row],[totalCourt]],TrafficData[[#This Row],[disposedCourt]]&lt;=TrafficData[[#This Row],[totalCourt]])</f>
        <v>1</v>
      </c>
    </row>
    <row r="3617" spans="1:16">
      <c r="A3617" s="1">
        <v>45621</v>
      </c>
      <c r="B3617">
        <v>287667</v>
      </c>
      <c r="C3617">
        <v>80721</v>
      </c>
      <c r="D3617">
        <v>206946</v>
      </c>
      <c r="E3617">
        <v>359705257</v>
      </c>
      <c r="F3617">
        <v>127361618</v>
      </c>
      <c r="G3617">
        <v>487066875</v>
      </c>
      <c r="H3617">
        <v>115998</v>
      </c>
      <c r="I3617">
        <v>9893</v>
      </c>
      <c r="J3617">
        <v>125891</v>
      </c>
      <c r="K3617" t="b">
        <f>TrafficData[[#This Row],[disposedChallan]]+TrafficData[[#This Row],[pendingChallan]]=TrafficData[[#This Row],[totalChallan]]</f>
        <v>1</v>
      </c>
      <c r="L3617" t="b">
        <f>TrafficData[[#This Row],[pendingAmount]]+TrafficData[[#This Row],[disposedAmount]]=TrafficData[[#This Row],[totalAmount]]</f>
        <v>1</v>
      </c>
      <c r="M3617" t="b">
        <f>TrafficData[[#This Row],[pendingCourt]]+TrafficData[[#This Row],[disposedCourt]]=TrafficData[[#This Row],[totalCourt]]</f>
        <v>1</v>
      </c>
      <c r="N3617" t="b">
        <f>AND(TrafficData[[#This Row],[disposedChallan]]&lt;=TrafficData[[#This Row],[totalChallan]],TrafficData[[#This Row],[pendingChallan]]&lt;=TrafficData[[#This Row],[totalChallan]])</f>
        <v>1</v>
      </c>
      <c r="O3617" t="b">
        <f>AND(TrafficData[[#This Row],[pendingAmount]]&lt;=TrafficData[[#This Row],[totalAmount]],TrafficData[[#This Row],[disposedAmount]]&lt;=TrafficData[[#This Row],[totalAmount]])</f>
        <v>1</v>
      </c>
      <c r="P3617" t="b">
        <f>AND(TrafficData[[#This Row],[pendingCourt]]&lt;=TrafficData[[#This Row],[totalCourt]],TrafficData[[#This Row],[disposedCourt]]&lt;=TrafficData[[#This Row],[totalCourt]])</f>
        <v>1</v>
      </c>
    </row>
    <row r="3618" spans="1:16">
      <c r="A3618" s="1">
        <v>45622</v>
      </c>
      <c r="B3618">
        <v>280952</v>
      </c>
      <c r="C3618">
        <v>78216</v>
      </c>
      <c r="D3618">
        <v>202736</v>
      </c>
      <c r="E3618">
        <v>419555862</v>
      </c>
      <c r="F3618">
        <v>138107954</v>
      </c>
      <c r="G3618">
        <v>557663816</v>
      </c>
      <c r="H3618">
        <v>125783</v>
      </c>
      <c r="I3618">
        <v>10904</v>
      </c>
      <c r="J3618">
        <v>136687</v>
      </c>
      <c r="K3618" t="b">
        <f>TrafficData[[#This Row],[disposedChallan]]+TrafficData[[#This Row],[pendingChallan]]=TrafficData[[#This Row],[totalChallan]]</f>
        <v>1</v>
      </c>
      <c r="L3618" t="b">
        <f>TrafficData[[#This Row],[pendingAmount]]+TrafficData[[#This Row],[disposedAmount]]=TrafficData[[#This Row],[totalAmount]]</f>
        <v>1</v>
      </c>
      <c r="M3618" t="b">
        <f>TrafficData[[#This Row],[pendingCourt]]+TrafficData[[#This Row],[disposedCourt]]=TrafficData[[#This Row],[totalCourt]]</f>
        <v>1</v>
      </c>
      <c r="N3618" t="b">
        <f>AND(TrafficData[[#This Row],[disposedChallan]]&lt;=TrafficData[[#This Row],[totalChallan]],TrafficData[[#This Row],[pendingChallan]]&lt;=TrafficData[[#This Row],[totalChallan]])</f>
        <v>1</v>
      </c>
      <c r="O3618" t="b">
        <f>AND(TrafficData[[#This Row],[pendingAmount]]&lt;=TrafficData[[#This Row],[totalAmount]],TrafficData[[#This Row],[disposedAmount]]&lt;=TrafficData[[#This Row],[totalAmount]])</f>
        <v>1</v>
      </c>
      <c r="P3618" t="b">
        <f>AND(TrafficData[[#This Row],[pendingCourt]]&lt;=TrafficData[[#This Row],[totalCourt]],TrafficData[[#This Row],[disposedCourt]]&lt;=TrafficData[[#This Row],[totalCourt]])</f>
        <v>1</v>
      </c>
    </row>
    <row r="3619" spans="1:16">
      <c r="A3619" s="1">
        <v>45623</v>
      </c>
      <c r="B3619">
        <v>303156</v>
      </c>
      <c r="C3619">
        <v>86640</v>
      </c>
      <c r="D3619">
        <v>216516</v>
      </c>
      <c r="E3619">
        <v>450166958</v>
      </c>
      <c r="F3619">
        <v>147107541</v>
      </c>
      <c r="G3619">
        <v>597274499</v>
      </c>
      <c r="H3619">
        <v>131992</v>
      </c>
      <c r="I3619">
        <v>11373</v>
      </c>
      <c r="J3619">
        <v>143365</v>
      </c>
      <c r="K3619" t="b">
        <f>TrafficData[[#This Row],[disposedChallan]]+TrafficData[[#This Row],[pendingChallan]]=TrafficData[[#This Row],[totalChallan]]</f>
        <v>1</v>
      </c>
      <c r="L3619" t="b">
        <f>TrafficData[[#This Row],[pendingAmount]]+TrafficData[[#This Row],[disposedAmount]]=TrafficData[[#This Row],[totalAmount]]</f>
        <v>1</v>
      </c>
      <c r="M3619" t="b">
        <f>TrafficData[[#This Row],[pendingCourt]]+TrafficData[[#This Row],[disposedCourt]]=TrafficData[[#This Row],[totalCourt]]</f>
        <v>1</v>
      </c>
      <c r="N3619" t="b">
        <f>AND(TrafficData[[#This Row],[disposedChallan]]&lt;=TrafficData[[#This Row],[totalChallan]],TrafficData[[#This Row],[pendingChallan]]&lt;=TrafficData[[#This Row],[totalChallan]])</f>
        <v>1</v>
      </c>
      <c r="O3619" t="b">
        <f>AND(TrafficData[[#This Row],[pendingAmount]]&lt;=TrafficData[[#This Row],[totalAmount]],TrafficData[[#This Row],[disposedAmount]]&lt;=TrafficData[[#This Row],[totalAmount]])</f>
        <v>1</v>
      </c>
      <c r="P3619" t="b">
        <f>AND(TrafficData[[#This Row],[pendingCourt]]&lt;=TrafficData[[#This Row],[totalCourt]],TrafficData[[#This Row],[disposedCourt]]&lt;=TrafficData[[#This Row],[totalCourt]])</f>
        <v>1</v>
      </c>
    </row>
    <row r="3620" spans="1:16">
      <c r="A3620" s="1">
        <v>45624</v>
      </c>
      <c r="B3620">
        <v>296184</v>
      </c>
      <c r="C3620">
        <v>82312</v>
      </c>
      <c r="D3620">
        <v>213872</v>
      </c>
      <c r="E3620">
        <v>440380503</v>
      </c>
      <c r="F3620">
        <v>138101364</v>
      </c>
      <c r="G3620">
        <v>578481867</v>
      </c>
      <c r="H3620">
        <v>130159</v>
      </c>
      <c r="I3620">
        <v>10644</v>
      </c>
      <c r="J3620">
        <v>140803</v>
      </c>
      <c r="K3620" t="b">
        <f>TrafficData[[#This Row],[disposedChallan]]+TrafficData[[#This Row],[pendingChallan]]=TrafficData[[#This Row],[totalChallan]]</f>
        <v>1</v>
      </c>
      <c r="L3620" t="b">
        <f>TrafficData[[#This Row],[pendingAmount]]+TrafficData[[#This Row],[disposedAmount]]=TrafficData[[#This Row],[totalAmount]]</f>
        <v>1</v>
      </c>
      <c r="M3620" t="b">
        <f>TrafficData[[#This Row],[pendingCourt]]+TrafficData[[#This Row],[disposedCourt]]=TrafficData[[#This Row],[totalCourt]]</f>
        <v>1</v>
      </c>
      <c r="N3620" t="b">
        <f>AND(TrafficData[[#This Row],[disposedChallan]]&lt;=TrafficData[[#This Row],[totalChallan]],TrafficData[[#This Row],[pendingChallan]]&lt;=TrafficData[[#This Row],[totalChallan]])</f>
        <v>1</v>
      </c>
      <c r="O3620" t="b">
        <f>AND(TrafficData[[#This Row],[pendingAmount]]&lt;=TrafficData[[#This Row],[totalAmount]],TrafficData[[#This Row],[disposedAmount]]&lt;=TrafficData[[#This Row],[totalAmount]])</f>
        <v>1</v>
      </c>
      <c r="P3620" t="b">
        <f>AND(TrafficData[[#This Row],[pendingCourt]]&lt;=TrafficData[[#This Row],[totalCourt]],TrafficData[[#This Row],[disposedCourt]]&lt;=TrafficData[[#This Row],[totalCourt]])</f>
        <v>1</v>
      </c>
    </row>
    <row r="3621" spans="1:16">
      <c r="A3621" s="1">
        <v>45625</v>
      </c>
      <c r="B3621">
        <v>297645</v>
      </c>
      <c r="C3621">
        <v>80714</v>
      </c>
      <c r="D3621">
        <v>216931</v>
      </c>
      <c r="E3621">
        <v>451088717</v>
      </c>
      <c r="F3621">
        <v>127998141</v>
      </c>
      <c r="G3621">
        <v>579086858</v>
      </c>
      <c r="H3621">
        <v>136032</v>
      </c>
      <c r="I3621">
        <v>10716</v>
      </c>
      <c r="J3621">
        <v>146748</v>
      </c>
      <c r="K3621" t="b">
        <f>TrafficData[[#This Row],[disposedChallan]]+TrafficData[[#This Row],[pendingChallan]]=TrafficData[[#This Row],[totalChallan]]</f>
        <v>1</v>
      </c>
      <c r="L3621" t="b">
        <f>TrafficData[[#This Row],[pendingAmount]]+TrafficData[[#This Row],[disposedAmount]]=TrafficData[[#This Row],[totalAmount]]</f>
        <v>1</v>
      </c>
      <c r="M3621" t="b">
        <f>TrafficData[[#This Row],[pendingCourt]]+TrafficData[[#This Row],[disposedCourt]]=TrafficData[[#This Row],[totalCourt]]</f>
        <v>1</v>
      </c>
      <c r="N3621" t="b">
        <f>AND(TrafficData[[#This Row],[disposedChallan]]&lt;=TrafficData[[#This Row],[totalChallan]],TrafficData[[#This Row],[pendingChallan]]&lt;=TrafficData[[#This Row],[totalChallan]])</f>
        <v>1</v>
      </c>
      <c r="O3621" t="b">
        <f>AND(TrafficData[[#This Row],[pendingAmount]]&lt;=TrafficData[[#This Row],[totalAmount]],TrafficData[[#This Row],[disposedAmount]]&lt;=TrafficData[[#This Row],[totalAmount]])</f>
        <v>1</v>
      </c>
      <c r="P3621" t="b">
        <f>AND(TrafficData[[#This Row],[pendingCourt]]&lt;=TrafficData[[#This Row],[totalCourt]],TrafficData[[#This Row],[disposedCourt]]&lt;=TrafficData[[#This Row],[totalCourt]])</f>
        <v>1</v>
      </c>
    </row>
    <row r="3622" spans="1:16">
      <c r="A3622" s="1">
        <v>45626</v>
      </c>
      <c r="B3622">
        <v>267802</v>
      </c>
      <c r="C3622">
        <v>73336</v>
      </c>
      <c r="D3622">
        <v>194466</v>
      </c>
      <c r="E3622">
        <v>417675223</v>
      </c>
      <c r="F3622">
        <v>112590697</v>
      </c>
      <c r="G3622">
        <v>530265920</v>
      </c>
      <c r="H3622">
        <v>123931</v>
      </c>
      <c r="I3622">
        <v>10019</v>
      </c>
      <c r="J3622">
        <v>133950</v>
      </c>
      <c r="K3622" t="b">
        <f>TrafficData[[#This Row],[disposedChallan]]+TrafficData[[#This Row],[pendingChallan]]=TrafficData[[#This Row],[totalChallan]]</f>
        <v>1</v>
      </c>
      <c r="L3622" t="b">
        <f>TrafficData[[#This Row],[pendingAmount]]+TrafficData[[#This Row],[disposedAmount]]=TrafficData[[#This Row],[totalAmount]]</f>
        <v>1</v>
      </c>
      <c r="M3622" t="b">
        <f>TrafficData[[#This Row],[pendingCourt]]+TrafficData[[#This Row],[disposedCourt]]=TrafficData[[#This Row],[totalCourt]]</f>
        <v>1</v>
      </c>
      <c r="N3622" t="b">
        <f>AND(TrafficData[[#This Row],[disposedChallan]]&lt;=TrafficData[[#This Row],[totalChallan]],TrafficData[[#This Row],[pendingChallan]]&lt;=TrafficData[[#This Row],[totalChallan]])</f>
        <v>1</v>
      </c>
      <c r="O3622" t="b">
        <f>AND(TrafficData[[#This Row],[pendingAmount]]&lt;=TrafficData[[#This Row],[totalAmount]],TrafficData[[#This Row],[disposedAmount]]&lt;=TrafficData[[#This Row],[totalAmount]])</f>
        <v>1</v>
      </c>
      <c r="P3622" t="b">
        <f>AND(TrafficData[[#This Row],[pendingCourt]]&lt;=TrafficData[[#This Row],[totalCourt]],TrafficData[[#This Row],[disposedCourt]]&lt;=TrafficData[[#This Row],[totalCourt]])</f>
        <v>1</v>
      </c>
    </row>
    <row r="3623" spans="1:16">
      <c r="A3623" s="1">
        <v>45627</v>
      </c>
      <c r="B3623">
        <v>237392</v>
      </c>
      <c r="C3623">
        <v>71156</v>
      </c>
      <c r="D3623">
        <v>166236</v>
      </c>
      <c r="E3623">
        <v>349292007</v>
      </c>
      <c r="F3623">
        <v>97700237</v>
      </c>
      <c r="G3623">
        <v>446992244</v>
      </c>
      <c r="H3623">
        <v>104163</v>
      </c>
      <c r="I3623">
        <v>8439</v>
      </c>
      <c r="J3623">
        <v>112602</v>
      </c>
      <c r="K3623" t="b">
        <f>TrafficData[[#This Row],[disposedChallan]]+TrafficData[[#This Row],[pendingChallan]]=TrafficData[[#This Row],[totalChallan]]</f>
        <v>1</v>
      </c>
      <c r="L3623" t="b">
        <f>TrafficData[[#This Row],[pendingAmount]]+TrafficData[[#This Row],[disposedAmount]]=TrafficData[[#This Row],[totalAmount]]</f>
        <v>1</v>
      </c>
      <c r="M3623" t="b">
        <f>TrafficData[[#This Row],[pendingCourt]]+TrafficData[[#This Row],[disposedCourt]]=TrafficData[[#This Row],[totalCourt]]</f>
        <v>1</v>
      </c>
      <c r="N3623" t="b">
        <f>AND(TrafficData[[#This Row],[disposedChallan]]&lt;=TrafficData[[#This Row],[totalChallan]],TrafficData[[#This Row],[pendingChallan]]&lt;=TrafficData[[#This Row],[totalChallan]])</f>
        <v>1</v>
      </c>
      <c r="O3623" t="b">
        <f>AND(TrafficData[[#This Row],[pendingAmount]]&lt;=TrafficData[[#This Row],[totalAmount]],TrafficData[[#This Row],[disposedAmount]]&lt;=TrafficData[[#This Row],[totalAmount]])</f>
        <v>1</v>
      </c>
      <c r="P3623" t="b">
        <f>AND(TrafficData[[#This Row],[pendingCourt]]&lt;=TrafficData[[#This Row],[totalCourt]],TrafficData[[#This Row],[disposedCourt]]&lt;=TrafficData[[#This Row],[totalCourt]])</f>
        <v>1</v>
      </c>
    </row>
    <row r="3624" spans="1:16">
      <c r="A3624" s="1">
        <v>45628</v>
      </c>
      <c r="B3624">
        <v>254183</v>
      </c>
      <c r="C3624">
        <v>74197</v>
      </c>
      <c r="D3624">
        <v>179986</v>
      </c>
      <c r="E3624">
        <v>384170792</v>
      </c>
      <c r="F3624">
        <v>127756959</v>
      </c>
      <c r="G3624">
        <v>511927751</v>
      </c>
      <c r="H3624">
        <v>103364</v>
      </c>
      <c r="I3624">
        <v>9051</v>
      </c>
      <c r="J3624">
        <v>112415</v>
      </c>
      <c r="K3624" t="b">
        <f>TrafficData[[#This Row],[disposedChallan]]+TrafficData[[#This Row],[pendingChallan]]=TrafficData[[#This Row],[totalChallan]]</f>
        <v>1</v>
      </c>
      <c r="L3624" t="b">
        <f>TrafficData[[#This Row],[pendingAmount]]+TrafficData[[#This Row],[disposedAmount]]=TrafficData[[#This Row],[totalAmount]]</f>
        <v>1</v>
      </c>
      <c r="M3624" t="b">
        <f>TrafficData[[#This Row],[pendingCourt]]+TrafficData[[#This Row],[disposedCourt]]=TrafficData[[#This Row],[totalCourt]]</f>
        <v>1</v>
      </c>
      <c r="N3624" t="b">
        <f>AND(TrafficData[[#This Row],[disposedChallan]]&lt;=TrafficData[[#This Row],[totalChallan]],TrafficData[[#This Row],[pendingChallan]]&lt;=TrafficData[[#This Row],[totalChallan]])</f>
        <v>1</v>
      </c>
      <c r="O3624" t="b">
        <f>AND(TrafficData[[#This Row],[pendingAmount]]&lt;=TrafficData[[#This Row],[totalAmount]],TrafficData[[#This Row],[disposedAmount]]&lt;=TrafficData[[#This Row],[totalAmount]])</f>
        <v>1</v>
      </c>
      <c r="P3624" t="b">
        <f>AND(TrafficData[[#This Row],[pendingCourt]]&lt;=TrafficData[[#This Row],[totalCourt]],TrafficData[[#This Row],[disposedCourt]]&lt;=TrafficData[[#This Row],[totalCourt]])</f>
        <v>1</v>
      </c>
    </row>
    <row r="3625" spans="1:16">
      <c r="A3625" s="1">
        <v>45629</v>
      </c>
      <c r="B3625">
        <v>267230</v>
      </c>
      <c r="C3625">
        <v>78462</v>
      </c>
      <c r="D3625">
        <v>188768</v>
      </c>
      <c r="E3625">
        <v>391918549</v>
      </c>
      <c r="F3625">
        <v>146413460</v>
      </c>
      <c r="G3625">
        <v>538332009</v>
      </c>
      <c r="H3625">
        <v>113409</v>
      </c>
      <c r="I3625">
        <v>9153</v>
      </c>
      <c r="J3625">
        <v>122562</v>
      </c>
      <c r="K3625" t="b">
        <f>TrafficData[[#This Row],[disposedChallan]]+TrafficData[[#This Row],[pendingChallan]]=TrafficData[[#This Row],[totalChallan]]</f>
        <v>1</v>
      </c>
      <c r="L3625" t="b">
        <f>TrafficData[[#This Row],[pendingAmount]]+TrafficData[[#This Row],[disposedAmount]]=TrafficData[[#This Row],[totalAmount]]</f>
        <v>1</v>
      </c>
      <c r="M3625" t="b">
        <f>TrafficData[[#This Row],[pendingCourt]]+TrafficData[[#This Row],[disposedCourt]]=TrafficData[[#This Row],[totalCourt]]</f>
        <v>1</v>
      </c>
      <c r="N3625" t="b">
        <f>AND(TrafficData[[#This Row],[disposedChallan]]&lt;=TrafficData[[#This Row],[totalChallan]],TrafficData[[#This Row],[pendingChallan]]&lt;=TrafficData[[#This Row],[totalChallan]])</f>
        <v>1</v>
      </c>
      <c r="O3625" t="b">
        <f>AND(TrafficData[[#This Row],[pendingAmount]]&lt;=TrafficData[[#This Row],[totalAmount]],TrafficData[[#This Row],[disposedAmount]]&lt;=TrafficData[[#This Row],[totalAmount]])</f>
        <v>1</v>
      </c>
      <c r="P3625" t="b">
        <f>AND(TrafficData[[#This Row],[pendingCourt]]&lt;=TrafficData[[#This Row],[totalCourt]],TrafficData[[#This Row],[disposedCourt]]&lt;=TrafficData[[#This Row],[totalCourt]])</f>
        <v>1</v>
      </c>
    </row>
    <row r="3626" spans="1:16">
      <c r="A3626" s="1">
        <v>45630</v>
      </c>
      <c r="B3626">
        <v>266905</v>
      </c>
      <c r="C3626">
        <v>80058</v>
      </c>
      <c r="D3626">
        <v>186847</v>
      </c>
      <c r="E3626">
        <v>405948997</v>
      </c>
      <c r="F3626">
        <v>144829080</v>
      </c>
      <c r="G3626">
        <v>550778077</v>
      </c>
      <c r="H3626">
        <v>112507</v>
      </c>
      <c r="I3626">
        <v>9418</v>
      </c>
      <c r="J3626">
        <v>121925</v>
      </c>
      <c r="K3626" t="b">
        <f>TrafficData[[#This Row],[disposedChallan]]+TrafficData[[#This Row],[pendingChallan]]=TrafficData[[#This Row],[totalChallan]]</f>
        <v>1</v>
      </c>
      <c r="L3626" t="b">
        <f>TrafficData[[#This Row],[pendingAmount]]+TrafficData[[#This Row],[disposedAmount]]=TrafficData[[#This Row],[totalAmount]]</f>
        <v>1</v>
      </c>
      <c r="M3626" t="b">
        <f>TrafficData[[#This Row],[pendingCourt]]+TrafficData[[#This Row],[disposedCourt]]=TrafficData[[#This Row],[totalCourt]]</f>
        <v>1</v>
      </c>
      <c r="N3626" t="b">
        <f>AND(TrafficData[[#This Row],[disposedChallan]]&lt;=TrafficData[[#This Row],[totalChallan]],TrafficData[[#This Row],[pendingChallan]]&lt;=TrafficData[[#This Row],[totalChallan]])</f>
        <v>1</v>
      </c>
      <c r="O3626" t="b">
        <f>AND(TrafficData[[#This Row],[pendingAmount]]&lt;=TrafficData[[#This Row],[totalAmount]],TrafficData[[#This Row],[disposedAmount]]&lt;=TrafficData[[#This Row],[totalAmount]])</f>
        <v>1</v>
      </c>
      <c r="P3626" t="b">
        <f>AND(TrafficData[[#This Row],[pendingCourt]]&lt;=TrafficData[[#This Row],[totalCourt]],TrafficData[[#This Row],[disposedCourt]]&lt;=TrafficData[[#This Row],[totalCourt]])</f>
        <v>1</v>
      </c>
    </row>
    <row r="3627" spans="1:16">
      <c r="A3627" s="1">
        <v>45631</v>
      </c>
      <c r="B3627">
        <v>262270</v>
      </c>
      <c r="C3627">
        <v>80050</v>
      </c>
      <c r="D3627">
        <v>182220</v>
      </c>
      <c r="E3627">
        <v>383725150</v>
      </c>
      <c r="F3627">
        <v>146926019</v>
      </c>
      <c r="G3627">
        <v>530651169</v>
      </c>
      <c r="H3627">
        <v>105341</v>
      </c>
      <c r="I3627">
        <v>9087</v>
      </c>
      <c r="J3627">
        <v>114428</v>
      </c>
      <c r="K3627" t="b">
        <f>TrafficData[[#This Row],[disposedChallan]]+TrafficData[[#This Row],[pendingChallan]]=TrafficData[[#This Row],[totalChallan]]</f>
        <v>1</v>
      </c>
      <c r="L3627" t="b">
        <f>TrafficData[[#This Row],[pendingAmount]]+TrafficData[[#This Row],[disposedAmount]]=TrafficData[[#This Row],[totalAmount]]</f>
        <v>1</v>
      </c>
      <c r="M3627" t="b">
        <f>TrafficData[[#This Row],[pendingCourt]]+TrafficData[[#This Row],[disposedCourt]]=TrafficData[[#This Row],[totalCourt]]</f>
        <v>1</v>
      </c>
      <c r="N3627" t="b">
        <f>AND(TrafficData[[#This Row],[disposedChallan]]&lt;=TrafficData[[#This Row],[totalChallan]],TrafficData[[#This Row],[pendingChallan]]&lt;=TrafficData[[#This Row],[totalChallan]])</f>
        <v>1</v>
      </c>
      <c r="O3627" t="b">
        <f>AND(TrafficData[[#This Row],[pendingAmount]]&lt;=TrafficData[[#This Row],[totalAmount]],TrafficData[[#This Row],[disposedAmount]]&lt;=TrafficData[[#This Row],[totalAmount]])</f>
        <v>1</v>
      </c>
      <c r="P3627" t="b">
        <f>AND(TrafficData[[#This Row],[pendingCourt]]&lt;=TrafficData[[#This Row],[totalCourt]],TrafficData[[#This Row],[disposedCourt]]&lt;=TrafficData[[#This Row],[totalCourt]])</f>
        <v>1</v>
      </c>
    </row>
    <row r="3628" spans="1:16">
      <c r="A3628" s="1">
        <v>45632</v>
      </c>
      <c r="B3628">
        <v>252366</v>
      </c>
      <c r="C3628">
        <v>76875</v>
      </c>
      <c r="D3628">
        <v>175491</v>
      </c>
      <c r="E3628">
        <v>319925339</v>
      </c>
      <c r="F3628">
        <v>133330186</v>
      </c>
      <c r="G3628">
        <v>453255525</v>
      </c>
      <c r="H3628">
        <v>102669</v>
      </c>
      <c r="I3628">
        <v>8598</v>
      </c>
      <c r="J3628">
        <v>111267</v>
      </c>
      <c r="K3628" t="b">
        <f>TrafficData[[#This Row],[disposedChallan]]+TrafficData[[#This Row],[pendingChallan]]=TrafficData[[#This Row],[totalChallan]]</f>
        <v>1</v>
      </c>
      <c r="L3628" t="b">
        <f>TrafficData[[#This Row],[pendingAmount]]+TrafficData[[#This Row],[disposedAmount]]=TrafficData[[#This Row],[totalAmount]]</f>
        <v>1</v>
      </c>
      <c r="M3628" t="b">
        <f>TrafficData[[#This Row],[pendingCourt]]+TrafficData[[#This Row],[disposedCourt]]=TrafficData[[#This Row],[totalCourt]]</f>
        <v>1</v>
      </c>
      <c r="N3628" t="b">
        <f>AND(TrafficData[[#This Row],[disposedChallan]]&lt;=TrafficData[[#This Row],[totalChallan]],TrafficData[[#This Row],[pendingChallan]]&lt;=TrafficData[[#This Row],[totalChallan]])</f>
        <v>1</v>
      </c>
      <c r="O3628" t="b">
        <f>AND(TrafficData[[#This Row],[pendingAmount]]&lt;=TrafficData[[#This Row],[totalAmount]],TrafficData[[#This Row],[disposedAmount]]&lt;=TrafficData[[#This Row],[totalAmount]])</f>
        <v>1</v>
      </c>
      <c r="P3628" t="b">
        <f>AND(TrafficData[[#This Row],[pendingCourt]]&lt;=TrafficData[[#This Row],[totalCourt]],TrafficData[[#This Row],[disposedCourt]]&lt;=TrafficData[[#This Row],[totalCourt]])</f>
        <v>1</v>
      </c>
    </row>
    <row r="3629" spans="1:16">
      <c r="A3629" s="1">
        <v>45633</v>
      </c>
      <c r="B3629">
        <v>255466</v>
      </c>
      <c r="C3629">
        <v>78890</v>
      </c>
      <c r="D3629">
        <v>176576</v>
      </c>
      <c r="E3629">
        <v>312856888</v>
      </c>
      <c r="F3629">
        <v>121144489</v>
      </c>
      <c r="G3629">
        <v>434001377</v>
      </c>
      <c r="H3629">
        <v>98678</v>
      </c>
      <c r="I3629">
        <v>8862</v>
      </c>
      <c r="J3629">
        <v>107540</v>
      </c>
      <c r="K3629" t="b">
        <f>TrafficData[[#This Row],[disposedChallan]]+TrafficData[[#This Row],[pendingChallan]]=TrafficData[[#This Row],[totalChallan]]</f>
        <v>1</v>
      </c>
      <c r="L3629" t="b">
        <f>TrafficData[[#This Row],[pendingAmount]]+TrafficData[[#This Row],[disposedAmount]]=TrafficData[[#This Row],[totalAmount]]</f>
        <v>1</v>
      </c>
      <c r="M3629" t="b">
        <f>TrafficData[[#This Row],[pendingCourt]]+TrafficData[[#This Row],[disposedCourt]]=TrafficData[[#This Row],[totalCourt]]</f>
        <v>1</v>
      </c>
      <c r="N3629" t="b">
        <f>AND(TrafficData[[#This Row],[disposedChallan]]&lt;=TrafficData[[#This Row],[totalChallan]],TrafficData[[#This Row],[pendingChallan]]&lt;=TrafficData[[#This Row],[totalChallan]])</f>
        <v>1</v>
      </c>
      <c r="O3629" t="b">
        <f>AND(TrafficData[[#This Row],[pendingAmount]]&lt;=TrafficData[[#This Row],[totalAmount]],TrafficData[[#This Row],[disposedAmount]]&lt;=TrafficData[[#This Row],[totalAmount]])</f>
        <v>1</v>
      </c>
      <c r="P3629" t="b">
        <f>AND(TrafficData[[#This Row],[pendingCourt]]&lt;=TrafficData[[#This Row],[totalCourt]],TrafficData[[#This Row],[disposedCourt]]&lt;=TrafficData[[#This Row],[totalCourt]])</f>
        <v>1</v>
      </c>
    </row>
    <row r="3630" spans="1:16">
      <c r="A3630" s="1">
        <v>45634</v>
      </c>
      <c r="B3630">
        <v>237177</v>
      </c>
      <c r="C3630">
        <v>69939</v>
      </c>
      <c r="D3630">
        <v>167238</v>
      </c>
      <c r="E3630">
        <v>281651041</v>
      </c>
      <c r="F3630">
        <v>88633179</v>
      </c>
      <c r="G3630">
        <v>370284220</v>
      </c>
      <c r="H3630">
        <v>93569</v>
      </c>
      <c r="I3630">
        <v>7727</v>
      </c>
      <c r="J3630">
        <v>101296</v>
      </c>
      <c r="K3630" t="b">
        <f>TrafficData[[#This Row],[disposedChallan]]+TrafficData[[#This Row],[pendingChallan]]=TrafficData[[#This Row],[totalChallan]]</f>
        <v>1</v>
      </c>
      <c r="L3630" t="b">
        <f>TrafficData[[#This Row],[pendingAmount]]+TrafficData[[#This Row],[disposedAmount]]=TrafficData[[#This Row],[totalAmount]]</f>
        <v>1</v>
      </c>
      <c r="M3630" t="b">
        <f>TrafficData[[#This Row],[pendingCourt]]+TrafficData[[#This Row],[disposedCourt]]=TrafficData[[#This Row],[totalCourt]]</f>
        <v>1</v>
      </c>
      <c r="N3630" t="b">
        <f>AND(TrafficData[[#This Row],[disposedChallan]]&lt;=TrafficData[[#This Row],[totalChallan]],TrafficData[[#This Row],[pendingChallan]]&lt;=TrafficData[[#This Row],[totalChallan]])</f>
        <v>1</v>
      </c>
      <c r="O3630" t="b">
        <f>AND(TrafficData[[#This Row],[pendingAmount]]&lt;=TrafficData[[#This Row],[totalAmount]],TrafficData[[#This Row],[disposedAmount]]&lt;=TrafficData[[#This Row],[totalAmount]])</f>
        <v>1</v>
      </c>
      <c r="P3630" t="b">
        <f>AND(TrafficData[[#This Row],[pendingCourt]]&lt;=TrafficData[[#This Row],[totalCourt]],TrafficData[[#This Row],[disposedCourt]]&lt;=TrafficData[[#This Row],[totalCourt]])</f>
        <v>1</v>
      </c>
    </row>
    <row r="3631" spans="1:16">
      <c r="A3631" s="1">
        <v>45635</v>
      </c>
      <c r="B3631">
        <v>258293</v>
      </c>
      <c r="C3631">
        <v>76788</v>
      </c>
      <c r="D3631">
        <v>181505</v>
      </c>
      <c r="E3631">
        <v>328117681</v>
      </c>
      <c r="F3631">
        <v>126674543</v>
      </c>
      <c r="G3631">
        <v>454792224</v>
      </c>
      <c r="H3631">
        <v>101842</v>
      </c>
      <c r="I3631">
        <v>8398</v>
      </c>
      <c r="J3631">
        <v>110240</v>
      </c>
      <c r="K3631" t="b">
        <f>TrafficData[[#This Row],[disposedChallan]]+TrafficData[[#This Row],[pendingChallan]]=TrafficData[[#This Row],[totalChallan]]</f>
        <v>1</v>
      </c>
      <c r="L3631" t="b">
        <f>TrafficData[[#This Row],[pendingAmount]]+TrafficData[[#This Row],[disposedAmount]]=TrafficData[[#This Row],[totalAmount]]</f>
        <v>1</v>
      </c>
      <c r="M3631" t="b">
        <f>TrafficData[[#This Row],[pendingCourt]]+TrafficData[[#This Row],[disposedCourt]]=TrafficData[[#This Row],[totalCourt]]</f>
        <v>1</v>
      </c>
      <c r="N3631" t="b">
        <f>AND(TrafficData[[#This Row],[disposedChallan]]&lt;=TrafficData[[#This Row],[totalChallan]],TrafficData[[#This Row],[pendingChallan]]&lt;=TrafficData[[#This Row],[totalChallan]])</f>
        <v>1</v>
      </c>
      <c r="O3631" t="b">
        <f>AND(TrafficData[[#This Row],[pendingAmount]]&lt;=TrafficData[[#This Row],[totalAmount]],TrafficData[[#This Row],[disposedAmount]]&lt;=TrafficData[[#This Row],[totalAmount]])</f>
        <v>1</v>
      </c>
      <c r="P3631" t="b">
        <f>AND(TrafficData[[#This Row],[pendingCourt]]&lt;=TrafficData[[#This Row],[totalCourt]],TrafficData[[#This Row],[disposedCourt]]&lt;=TrafficData[[#This Row],[totalCourt]])</f>
        <v>1</v>
      </c>
    </row>
    <row r="3632" spans="1:16">
      <c r="A3632" s="1">
        <v>45636</v>
      </c>
      <c r="B3632">
        <v>264246</v>
      </c>
      <c r="C3632">
        <v>79574</v>
      </c>
      <c r="D3632">
        <v>184672</v>
      </c>
      <c r="E3632">
        <v>347202472</v>
      </c>
      <c r="F3632">
        <v>137763529</v>
      </c>
      <c r="G3632">
        <v>484966001</v>
      </c>
      <c r="H3632">
        <v>105760</v>
      </c>
      <c r="I3632">
        <v>9272</v>
      </c>
      <c r="J3632">
        <v>115032</v>
      </c>
      <c r="K3632" t="b">
        <f>TrafficData[[#This Row],[disposedChallan]]+TrafficData[[#This Row],[pendingChallan]]=TrafficData[[#This Row],[totalChallan]]</f>
        <v>1</v>
      </c>
      <c r="L3632" t="b">
        <f>TrafficData[[#This Row],[pendingAmount]]+TrafficData[[#This Row],[disposedAmount]]=TrafficData[[#This Row],[totalAmount]]</f>
        <v>1</v>
      </c>
      <c r="M3632" t="b">
        <f>TrafficData[[#This Row],[pendingCourt]]+TrafficData[[#This Row],[disposedCourt]]=TrafficData[[#This Row],[totalCourt]]</f>
        <v>1</v>
      </c>
      <c r="N3632" t="b">
        <f>AND(TrafficData[[#This Row],[disposedChallan]]&lt;=TrafficData[[#This Row],[totalChallan]],TrafficData[[#This Row],[pendingChallan]]&lt;=TrafficData[[#This Row],[totalChallan]])</f>
        <v>1</v>
      </c>
      <c r="O3632" t="b">
        <f>AND(TrafficData[[#This Row],[pendingAmount]]&lt;=TrafficData[[#This Row],[totalAmount]],TrafficData[[#This Row],[disposedAmount]]&lt;=TrafficData[[#This Row],[totalAmount]])</f>
        <v>1</v>
      </c>
      <c r="P3632" t="b">
        <f>AND(TrafficData[[#This Row],[pendingCourt]]&lt;=TrafficData[[#This Row],[totalCourt]],TrafficData[[#This Row],[disposedCourt]]&lt;=TrafficData[[#This Row],[totalCourt]])</f>
        <v>1</v>
      </c>
    </row>
    <row r="3633" spans="1:16">
      <c r="A3633" s="1">
        <v>45637</v>
      </c>
      <c r="B3633">
        <v>259177</v>
      </c>
      <c r="C3633">
        <v>79891</v>
      </c>
      <c r="D3633">
        <v>179286</v>
      </c>
      <c r="E3633">
        <v>343829524</v>
      </c>
      <c r="F3633">
        <v>138202545</v>
      </c>
      <c r="G3633">
        <v>482032069</v>
      </c>
      <c r="H3633">
        <v>102548</v>
      </c>
      <c r="I3633">
        <v>8950</v>
      </c>
      <c r="J3633">
        <v>111498</v>
      </c>
      <c r="K3633" t="b">
        <f>TrafficData[[#This Row],[disposedChallan]]+TrafficData[[#This Row],[pendingChallan]]=TrafficData[[#This Row],[totalChallan]]</f>
        <v>1</v>
      </c>
      <c r="L3633" t="b">
        <f>TrafficData[[#This Row],[pendingAmount]]+TrafficData[[#This Row],[disposedAmount]]=TrafficData[[#This Row],[totalAmount]]</f>
        <v>1</v>
      </c>
      <c r="M3633" t="b">
        <f>TrafficData[[#This Row],[pendingCourt]]+TrafficData[[#This Row],[disposedCourt]]=TrafficData[[#This Row],[totalCourt]]</f>
        <v>1</v>
      </c>
      <c r="N3633" t="b">
        <f>AND(TrafficData[[#This Row],[disposedChallan]]&lt;=TrafficData[[#This Row],[totalChallan]],TrafficData[[#This Row],[pendingChallan]]&lt;=TrafficData[[#This Row],[totalChallan]])</f>
        <v>1</v>
      </c>
      <c r="O3633" t="b">
        <f>AND(TrafficData[[#This Row],[pendingAmount]]&lt;=TrafficData[[#This Row],[totalAmount]],TrafficData[[#This Row],[disposedAmount]]&lt;=TrafficData[[#This Row],[totalAmount]])</f>
        <v>1</v>
      </c>
      <c r="P3633" t="b">
        <f>AND(TrafficData[[#This Row],[pendingCourt]]&lt;=TrafficData[[#This Row],[totalCourt]],TrafficData[[#This Row],[disposedCourt]]&lt;=TrafficData[[#This Row],[totalCourt]])</f>
        <v>1</v>
      </c>
    </row>
    <row r="3634" spans="1:16">
      <c r="A3634" s="1">
        <v>45638</v>
      </c>
      <c r="B3634">
        <v>228924</v>
      </c>
      <c r="C3634">
        <v>68965</v>
      </c>
      <c r="D3634">
        <v>159959</v>
      </c>
      <c r="E3634">
        <v>321508269</v>
      </c>
      <c r="F3634">
        <v>126948410</v>
      </c>
      <c r="G3634">
        <v>448456679</v>
      </c>
      <c r="H3634">
        <v>101294</v>
      </c>
      <c r="I3634">
        <v>8912</v>
      </c>
      <c r="J3634">
        <v>110206</v>
      </c>
      <c r="K3634" t="b">
        <f>TrafficData[[#This Row],[disposedChallan]]+TrafficData[[#This Row],[pendingChallan]]=TrafficData[[#This Row],[totalChallan]]</f>
        <v>1</v>
      </c>
      <c r="L3634" t="b">
        <f>TrafficData[[#This Row],[pendingAmount]]+TrafficData[[#This Row],[disposedAmount]]=TrafficData[[#This Row],[totalAmount]]</f>
        <v>1</v>
      </c>
      <c r="M3634" t="b">
        <f>TrafficData[[#This Row],[pendingCourt]]+TrafficData[[#This Row],[disposedCourt]]=TrafficData[[#This Row],[totalCourt]]</f>
        <v>1</v>
      </c>
      <c r="N3634" t="b">
        <f>AND(TrafficData[[#This Row],[disposedChallan]]&lt;=TrafficData[[#This Row],[totalChallan]],TrafficData[[#This Row],[pendingChallan]]&lt;=TrafficData[[#This Row],[totalChallan]])</f>
        <v>1</v>
      </c>
      <c r="O3634" t="b">
        <f>AND(TrafficData[[#This Row],[pendingAmount]]&lt;=TrafficData[[#This Row],[totalAmount]],TrafficData[[#This Row],[disposedAmount]]&lt;=TrafficData[[#This Row],[totalAmount]])</f>
        <v>1</v>
      </c>
      <c r="P3634" t="b">
        <f>AND(TrafficData[[#This Row],[pendingCourt]]&lt;=TrafficData[[#This Row],[totalCourt]],TrafficData[[#This Row],[disposedCourt]]&lt;=TrafficData[[#This Row],[totalCourt]])</f>
        <v>1</v>
      </c>
    </row>
    <row r="3635" spans="1:16">
      <c r="A3635" s="1">
        <v>45639</v>
      </c>
      <c r="B3635">
        <v>239229</v>
      </c>
      <c r="C3635">
        <v>73445</v>
      </c>
      <c r="D3635">
        <v>165784</v>
      </c>
      <c r="E3635">
        <v>315413721</v>
      </c>
      <c r="F3635">
        <v>125552083</v>
      </c>
      <c r="G3635">
        <v>440965804</v>
      </c>
      <c r="H3635">
        <v>99164</v>
      </c>
      <c r="I3635">
        <v>8701</v>
      </c>
      <c r="J3635">
        <v>107865</v>
      </c>
      <c r="K3635" t="b">
        <f>TrafficData[[#This Row],[disposedChallan]]+TrafficData[[#This Row],[pendingChallan]]=TrafficData[[#This Row],[totalChallan]]</f>
        <v>1</v>
      </c>
      <c r="L3635" t="b">
        <f>TrafficData[[#This Row],[pendingAmount]]+TrafficData[[#This Row],[disposedAmount]]=TrafficData[[#This Row],[totalAmount]]</f>
        <v>1</v>
      </c>
      <c r="M3635" t="b">
        <f>TrafficData[[#This Row],[pendingCourt]]+TrafficData[[#This Row],[disposedCourt]]=TrafficData[[#This Row],[totalCourt]]</f>
        <v>1</v>
      </c>
      <c r="N3635" t="b">
        <f>AND(TrafficData[[#This Row],[disposedChallan]]&lt;=TrafficData[[#This Row],[totalChallan]],TrafficData[[#This Row],[pendingChallan]]&lt;=TrafficData[[#This Row],[totalChallan]])</f>
        <v>1</v>
      </c>
      <c r="O3635" t="b">
        <f>AND(TrafficData[[#This Row],[pendingAmount]]&lt;=TrafficData[[#This Row],[totalAmount]],TrafficData[[#This Row],[disposedAmount]]&lt;=TrafficData[[#This Row],[totalAmount]])</f>
        <v>1</v>
      </c>
      <c r="P3635" t="b">
        <f>AND(TrafficData[[#This Row],[pendingCourt]]&lt;=TrafficData[[#This Row],[totalCourt]],TrafficData[[#This Row],[disposedCourt]]&lt;=TrafficData[[#This Row],[totalCourt]])</f>
        <v>1</v>
      </c>
    </row>
    <row r="3636" spans="1:16">
      <c r="A3636" s="1">
        <v>45640</v>
      </c>
      <c r="B3636">
        <v>243277</v>
      </c>
      <c r="C3636">
        <v>75645</v>
      </c>
      <c r="D3636">
        <v>167632</v>
      </c>
      <c r="E3636">
        <v>276709084</v>
      </c>
      <c r="F3636">
        <v>105229786</v>
      </c>
      <c r="G3636">
        <v>381938870</v>
      </c>
      <c r="H3636">
        <v>98567</v>
      </c>
      <c r="I3636">
        <v>9251</v>
      </c>
      <c r="J3636">
        <v>107818</v>
      </c>
      <c r="K3636" t="b">
        <f>TrafficData[[#This Row],[disposedChallan]]+TrafficData[[#This Row],[pendingChallan]]=TrafficData[[#This Row],[totalChallan]]</f>
        <v>1</v>
      </c>
      <c r="L3636" t="b">
        <f>TrafficData[[#This Row],[pendingAmount]]+TrafficData[[#This Row],[disposedAmount]]=TrafficData[[#This Row],[totalAmount]]</f>
        <v>1</v>
      </c>
      <c r="M3636" t="b">
        <f>TrafficData[[#This Row],[pendingCourt]]+TrafficData[[#This Row],[disposedCourt]]=TrafficData[[#This Row],[totalCourt]]</f>
        <v>1</v>
      </c>
      <c r="N3636" t="b">
        <f>AND(TrafficData[[#This Row],[disposedChallan]]&lt;=TrafficData[[#This Row],[totalChallan]],TrafficData[[#This Row],[pendingChallan]]&lt;=TrafficData[[#This Row],[totalChallan]])</f>
        <v>1</v>
      </c>
      <c r="O3636" t="b">
        <f>AND(TrafficData[[#This Row],[pendingAmount]]&lt;=TrafficData[[#This Row],[totalAmount]],TrafficData[[#This Row],[disposedAmount]]&lt;=TrafficData[[#This Row],[totalAmount]])</f>
        <v>1</v>
      </c>
      <c r="P3636" t="b">
        <f>AND(TrafficData[[#This Row],[pendingCourt]]&lt;=TrafficData[[#This Row],[totalCourt]],TrafficData[[#This Row],[disposedCourt]]&lt;=TrafficData[[#This Row],[totalCourt]])</f>
        <v>1</v>
      </c>
    </row>
    <row r="3637" spans="1:16">
      <c r="A3637" s="1">
        <v>45641</v>
      </c>
      <c r="B3637">
        <v>237319</v>
      </c>
      <c r="C3637">
        <v>69978</v>
      </c>
      <c r="D3637">
        <v>167341</v>
      </c>
      <c r="E3637">
        <v>272419200</v>
      </c>
      <c r="F3637">
        <v>83578485</v>
      </c>
      <c r="G3637">
        <v>355997685</v>
      </c>
      <c r="H3637">
        <v>97193</v>
      </c>
      <c r="I3637">
        <v>8278</v>
      </c>
      <c r="J3637">
        <v>105471</v>
      </c>
      <c r="K3637" t="b">
        <f>TrafficData[[#This Row],[disposedChallan]]+TrafficData[[#This Row],[pendingChallan]]=TrafficData[[#This Row],[totalChallan]]</f>
        <v>1</v>
      </c>
      <c r="L3637" t="b">
        <f>TrafficData[[#This Row],[pendingAmount]]+TrafficData[[#This Row],[disposedAmount]]=TrafficData[[#This Row],[totalAmount]]</f>
        <v>1</v>
      </c>
      <c r="M3637" t="b">
        <f>TrafficData[[#This Row],[pendingCourt]]+TrafficData[[#This Row],[disposedCourt]]=TrafficData[[#This Row],[totalCourt]]</f>
        <v>1</v>
      </c>
      <c r="N3637" t="b">
        <f>AND(TrafficData[[#This Row],[disposedChallan]]&lt;=TrafficData[[#This Row],[totalChallan]],TrafficData[[#This Row],[pendingChallan]]&lt;=TrafficData[[#This Row],[totalChallan]])</f>
        <v>1</v>
      </c>
      <c r="O3637" t="b">
        <f>AND(TrafficData[[#This Row],[pendingAmount]]&lt;=TrafficData[[#This Row],[totalAmount]],TrafficData[[#This Row],[disposedAmount]]&lt;=TrafficData[[#This Row],[totalAmount]])</f>
        <v>1</v>
      </c>
      <c r="P3637" t="b">
        <f>AND(TrafficData[[#This Row],[pendingCourt]]&lt;=TrafficData[[#This Row],[totalCourt]],TrafficData[[#This Row],[disposedCourt]]&lt;=TrafficData[[#This Row],[totalCourt]])</f>
        <v>1</v>
      </c>
    </row>
    <row r="3638" spans="1:16">
      <c r="A3638" s="1">
        <v>45642</v>
      </c>
      <c r="B3638">
        <v>258914</v>
      </c>
      <c r="C3638">
        <v>78210</v>
      </c>
      <c r="D3638">
        <v>180704</v>
      </c>
      <c r="E3638">
        <v>338941472</v>
      </c>
      <c r="F3638">
        <v>117704016</v>
      </c>
      <c r="G3638">
        <v>456645488</v>
      </c>
      <c r="H3638">
        <v>105196</v>
      </c>
      <c r="I3638">
        <v>9063</v>
      </c>
      <c r="J3638">
        <v>114259</v>
      </c>
      <c r="K3638" t="b">
        <f>TrafficData[[#This Row],[disposedChallan]]+TrafficData[[#This Row],[pendingChallan]]=TrafficData[[#This Row],[totalChallan]]</f>
        <v>1</v>
      </c>
      <c r="L3638" t="b">
        <f>TrafficData[[#This Row],[pendingAmount]]+TrafficData[[#This Row],[disposedAmount]]=TrafficData[[#This Row],[totalAmount]]</f>
        <v>1</v>
      </c>
      <c r="M3638" t="b">
        <f>TrafficData[[#This Row],[pendingCourt]]+TrafficData[[#This Row],[disposedCourt]]=TrafficData[[#This Row],[totalCourt]]</f>
        <v>1</v>
      </c>
      <c r="N3638" t="b">
        <f>AND(TrafficData[[#This Row],[disposedChallan]]&lt;=TrafficData[[#This Row],[totalChallan]],TrafficData[[#This Row],[pendingChallan]]&lt;=TrafficData[[#This Row],[totalChallan]])</f>
        <v>1</v>
      </c>
      <c r="O3638" t="b">
        <f>AND(TrafficData[[#This Row],[pendingAmount]]&lt;=TrafficData[[#This Row],[totalAmount]],TrafficData[[#This Row],[disposedAmount]]&lt;=TrafficData[[#This Row],[totalAmount]])</f>
        <v>1</v>
      </c>
      <c r="P3638" t="b">
        <f>AND(TrafficData[[#This Row],[pendingCourt]]&lt;=TrafficData[[#This Row],[totalCourt]],TrafficData[[#This Row],[disposedCourt]]&lt;=TrafficData[[#This Row],[totalCourt]])</f>
        <v>1</v>
      </c>
    </row>
    <row r="3639" spans="1:16">
      <c r="A3639" s="1">
        <v>45643</v>
      </c>
      <c r="B3639">
        <v>261572</v>
      </c>
      <c r="C3639">
        <v>78226</v>
      </c>
      <c r="D3639">
        <v>183346</v>
      </c>
      <c r="E3639">
        <v>385143219</v>
      </c>
      <c r="F3639">
        <v>133599517</v>
      </c>
      <c r="G3639">
        <v>518742736</v>
      </c>
      <c r="H3639">
        <v>107673</v>
      </c>
      <c r="I3639">
        <v>8749</v>
      </c>
      <c r="J3639">
        <v>116422</v>
      </c>
      <c r="K3639" t="b">
        <f>TrafficData[[#This Row],[disposedChallan]]+TrafficData[[#This Row],[pendingChallan]]=TrafficData[[#This Row],[totalChallan]]</f>
        <v>1</v>
      </c>
      <c r="L3639" t="b">
        <f>TrafficData[[#This Row],[pendingAmount]]+TrafficData[[#This Row],[disposedAmount]]=TrafficData[[#This Row],[totalAmount]]</f>
        <v>1</v>
      </c>
      <c r="M3639" t="b">
        <f>TrafficData[[#This Row],[pendingCourt]]+TrafficData[[#This Row],[disposedCourt]]=TrafficData[[#This Row],[totalCourt]]</f>
        <v>1</v>
      </c>
      <c r="N3639" t="b">
        <f>AND(TrafficData[[#This Row],[disposedChallan]]&lt;=TrafficData[[#This Row],[totalChallan]],TrafficData[[#This Row],[pendingChallan]]&lt;=TrafficData[[#This Row],[totalChallan]])</f>
        <v>1</v>
      </c>
      <c r="O3639" t="b">
        <f>AND(TrafficData[[#This Row],[pendingAmount]]&lt;=TrafficData[[#This Row],[totalAmount]],TrafficData[[#This Row],[disposedAmount]]&lt;=TrafficData[[#This Row],[totalAmount]])</f>
        <v>1</v>
      </c>
      <c r="P3639" t="b">
        <f>AND(TrafficData[[#This Row],[pendingCourt]]&lt;=TrafficData[[#This Row],[totalCourt]],TrafficData[[#This Row],[disposedCourt]]&lt;=TrafficData[[#This Row],[totalCourt]])</f>
        <v>1</v>
      </c>
    </row>
    <row r="3640" spans="1:16">
      <c r="A3640" s="1">
        <v>45644</v>
      </c>
      <c r="B3640">
        <v>261867</v>
      </c>
      <c r="C3640">
        <v>78195</v>
      </c>
      <c r="D3640">
        <v>183672</v>
      </c>
      <c r="E3640">
        <v>401838849</v>
      </c>
      <c r="F3640">
        <v>140600720</v>
      </c>
      <c r="G3640">
        <v>542439569</v>
      </c>
      <c r="H3640">
        <v>107332</v>
      </c>
      <c r="I3640">
        <v>9196</v>
      </c>
      <c r="J3640">
        <v>116528</v>
      </c>
      <c r="K3640" t="b">
        <f>TrafficData[[#This Row],[disposedChallan]]+TrafficData[[#This Row],[pendingChallan]]=TrafficData[[#This Row],[totalChallan]]</f>
        <v>1</v>
      </c>
      <c r="L3640" t="b">
        <f>TrafficData[[#This Row],[pendingAmount]]+TrafficData[[#This Row],[disposedAmount]]=TrafficData[[#This Row],[totalAmount]]</f>
        <v>1</v>
      </c>
      <c r="M3640" t="b">
        <f>TrafficData[[#This Row],[pendingCourt]]+TrafficData[[#This Row],[disposedCourt]]=TrafficData[[#This Row],[totalCourt]]</f>
        <v>1</v>
      </c>
      <c r="N3640" t="b">
        <f>AND(TrafficData[[#This Row],[disposedChallan]]&lt;=TrafficData[[#This Row],[totalChallan]],TrafficData[[#This Row],[pendingChallan]]&lt;=TrafficData[[#This Row],[totalChallan]])</f>
        <v>1</v>
      </c>
      <c r="O3640" t="b">
        <f>AND(TrafficData[[#This Row],[pendingAmount]]&lt;=TrafficData[[#This Row],[totalAmount]],TrafficData[[#This Row],[disposedAmount]]&lt;=TrafficData[[#This Row],[totalAmount]])</f>
        <v>1</v>
      </c>
      <c r="P3640" t="b">
        <f>AND(TrafficData[[#This Row],[pendingCourt]]&lt;=TrafficData[[#This Row],[totalCourt]],TrafficData[[#This Row],[disposedCourt]]&lt;=TrafficData[[#This Row],[totalCourt]])</f>
        <v>1</v>
      </c>
    </row>
    <row r="3641" spans="1:16">
      <c r="A3641" s="1">
        <v>45645</v>
      </c>
      <c r="B3641">
        <v>267787</v>
      </c>
      <c r="C3641">
        <v>79264</v>
      </c>
      <c r="D3641">
        <v>188523</v>
      </c>
      <c r="E3641">
        <v>404659740</v>
      </c>
      <c r="F3641">
        <v>136169136</v>
      </c>
      <c r="G3641">
        <v>540828876</v>
      </c>
      <c r="H3641">
        <v>107377</v>
      </c>
      <c r="I3641">
        <v>9448</v>
      </c>
      <c r="J3641">
        <v>116825</v>
      </c>
      <c r="K3641" t="b">
        <f>TrafficData[[#This Row],[disposedChallan]]+TrafficData[[#This Row],[pendingChallan]]=TrafficData[[#This Row],[totalChallan]]</f>
        <v>1</v>
      </c>
      <c r="L3641" t="b">
        <f>TrafficData[[#This Row],[pendingAmount]]+TrafficData[[#This Row],[disposedAmount]]=TrafficData[[#This Row],[totalAmount]]</f>
        <v>1</v>
      </c>
      <c r="M3641" t="b">
        <f>TrafficData[[#This Row],[pendingCourt]]+TrafficData[[#This Row],[disposedCourt]]=TrafficData[[#This Row],[totalCourt]]</f>
        <v>1</v>
      </c>
      <c r="N3641" t="b">
        <f>AND(TrafficData[[#This Row],[disposedChallan]]&lt;=TrafficData[[#This Row],[totalChallan]],TrafficData[[#This Row],[pendingChallan]]&lt;=TrafficData[[#This Row],[totalChallan]])</f>
        <v>1</v>
      </c>
      <c r="O3641" t="b">
        <f>AND(TrafficData[[#This Row],[pendingAmount]]&lt;=TrafficData[[#This Row],[totalAmount]],TrafficData[[#This Row],[disposedAmount]]&lt;=TrafficData[[#This Row],[totalAmount]])</f>
        <v>1</v>
      </c>
      <c r="P3641" t="b">
        <f>AND(TrafficData[[#This Row],[pendingCourt]]&lt;=TrafficData[[#This Row],[totalCourt]],TrafficData[[#This Row],[disposedCourt]]&lt;=TrafficData[[#This Row],[totalCourt]])</f>
        <v>1</v>
      </c>
    </row>
    <row r="3642" spans="1:16">
      <c r="A3642" s="1">
        <v>45646</v>
      </c>
      <c r="B3642">
        <v>259021</v>
      </c>
      <c r="C3642">
        <v>74433</v>
      </c>
      <c r="D3642">
        <v>184588</v>
      </c>
      <c r="E3642">
        <v>382285826</v>
      </c>
      <c r="F3642">
        <v>125277799</v>
      </c>
      <c r="G3642">
        <v>507563625</v>
      </c>
      <c r="H3642">
        <v>102860</v>
      </c>
      <c r="I3642">
        <v>8841</v>
      </c>
      <c r="J3642">
        <v>111701</v>
      </c>
      <c r="K3642" t="b">
        <f>TrafficData[[#This Row],[disposedChallan]]+TrafficData[[#This Row],[pendingChallan]]=TrafficData[[#This Row],[totalChallan]]</f>
        <v>1</v>
      </c>
      <c r="L3642" t="b">
        <f>TrafficData[[#This Row],[pendingAmount]]+TrafficData[[#This Row],[disposedAmount]]=TrafficData[[#This Row],[totalAmount]]</f>
        <v>1</v>
      </c>
      <c r="M3642" t="b">
        <f>TrafficData[[#This Row],[pendingCourt]]+TrafficData[[#This Row],[disposedCourt]]=TrafficData[[#This Row],[totalCourt]]</f>
        <v>1</v>
      </c>
      <c r="N3642" t="b">
        <f>AND(TrafficData[[#This Row],[disposedChallan]]&lt;=TrafficData[[#This Row],[totalChallan]],TrafficData[[#This Row],[pendingChallan]]&lt;=TrafficData[[#This Row],[totalChallan]])</f>
        <v>1</v>
      </c>
      <c r="O3642" t="b">
        <f>AND(TrafficData[[#This Row],[pendingAmount]]&lt;=TrafficData[[#This Row],[totalAmount]],TrafficData[[#This Row],[disposedAmount]]&lt;=TrafficData[[#This Row],[totalAmount]])</f>
        <v>1</v>
      </c>
      <c r="P3642" t="b">
        <f>AND(TrafficData[[#This Row],[pendingCourt]]&lt;=TrafficData[[#This Row],[totalCourt]],TrafficData[[#This Row],[disposedCourt]]&lt;=TrafficData[[#This Row],[totalCourt]])</f>
        <v>1</v>
      </c>
    </row>
    <row r="3643" spans="1:16">
      <c r="A3643" s="1">
        <v>45647</v>
      </c>
      <c r="B3643">
        <v>271985</v>
      </c>
      <c r="C3643">
        <v>82375</v>
      </c>
      <c r="D3643">
        <v>189610</v>
      </c>
      <c r="E3643">
        <v>374400709</v>
      </c>
      <c r="F3643">
        <v>120904970</v>
      </c>
      <c r="G3643">
        <v>495305679</v>
      </c>
      <c r="H3643">
        <v>107967</v>
      </c>
      <c r="I3643">
        <v>9140</v>
      </c>
      <c r="J3643">
        <v>117107</v>
      </c>
      <c r="K3643" t="b">
        <f>TrafficData[[#This Row],[disposedChallan]]+TrafficData[[#This Row],[pendingChallan]]=TrafficData[[#This Row],[totalChallan]]</f>
        <v>1</v>
      </c>
      <c r="L3643" t="b">
        <f>TrafficData[[#This Row],[pendingAmount]]+TrafficData[[#This Row],[disposedAmount]]=TrafficData[[#This Row],[totalAmount]]</f>
        <v>1</v>
      </c>
      <c r="M3643" t="b">
        <f>TrafficData[[#This Row],[pendingCourt]]+TrafficData[[#This Row],[disposedCourt]]=TrafficData[[#This Row],[totalCourt]]</f>
        <v>1</v>
      </c>
      <c r="N3643" t="b">
        <f>AND(TrafficData[[#This Row],[disposedChallan]]&lt;=TrafficData[[#This Row],[totalChallan]],TrafficData[[#This Row],[pendingChallan]]&lt;=TrafficData[[#This Row],[totalChallan]])</f>
        <v>1</v>
      </c>
      <c r="O3643" t="b">
        <f>AND(TrafficData[[#This Row],[pendingAmount]]&lt;=TrafficData[[#This Row],[totalAmount]],TrafficData[[#This Row],[disposedAmount]]&lt;=TrafficData[[#This Row],[totalAmount]])</f>
        <v>1</v>
      </c>
      <c r="P3643" t="b">
        <f>AND(TrafficData[[#This Row],[pendingCourt]]&lt;=TrafficData[[#This Row],[totalCourt]],TrafficData[[#This Row],[disposedCourt]]&lt;=TrafficData[[#This Row],[totalCourt]])</f>
        <v>1</v>
      </c>
    </row>
    <row r="3644" spans="1:16">
      <c r="A3644" s="1">
        <v>45648</v>
      </c>
      <c r="B3644">
        <v>253967</v>
      </c>
      <c r="C3644">
        <v>75532</v>
      </c>
      <c r="D3644">
        <v>178435</v>
      </c>
      <c r="E3644">
        <v>342001681</v>
      </c>
      <c r="F3644">
        <v>93323745</v>
      </c>
      <c r="G3644">
        <v>435325426</v>
      </c>
      <c r="H3644">
        <v>95106</v>
      </c>
      <c r="I3644">
        <v>7942</v>
      </c>
      <c r="J3644">
        <v>103048</v>
      </c>
      <c r="K3644" t="b">
        <f>TrafficData[[#This Row],[disposedChallan]]+TrafficData[[#This Row],[pendingChallan]]=TrafficData[[#This Row],[totalChallan]]</f>
        <v>1</v>
      </c>
      <c r="L3644" t="b">
        <f>TrafficData[[#This Row],[pendingAmount]]+TrafficData[[#This Row],[disposedAmount]]=TrafficData[[#This Row],[totalAmount]]</f>
        <v>1</v>
      </c>
      <c r="M3644" t="b">
        <f>TrafficData[[#This Row],[pendingCourt]]+TrafficData[[#This Row],[disposedCourt]]=TrafficData[[#This Row],[totalCourt]]</f>
        <v>1</v>
      </c>
      <c r="N3644" t="b">
        <f>AND(TrafficData[[#This Row],[disposedChallan]]&lt;=TrafficData[[#This Row],[totalChallan]],TrafficData[[#This Row],[pendingChallan]]&lt;=TrafficData[[#This Row],[totalChallan]])</f>
        <v>1</v>
      </c>
      <c r="O3644" t="b">
        <f>AND(TrafficData[[#This Row],[pendingAmount]]&lt;=TrafficData[[#This Row],[totalAmount]],TrafficData[[#This Row],[disposedAmount]]&lt;=TrafficData[[#This Row],[totalAmount]])</f>
        <v>1</v>
      </c>
      <c r="P3644" t="b">
        <f>AND(TrafficData[[#This Row],[pendingCourt]]&lt;=TrafficData[[#This Row],[totalCourt]],TrafficData[[#This Row],[disposedCourt]]&lt;=TrafficData[[#This Row],[totalCourt]])</f>
        <v>1</v>
      </c>
    </row>
    <row r="3645" spans="1:16">
      <c r="A3645" s="1">
        <v>45649</v>
      </c>
      <c r="B3645">
        <v>265467</v>
      </c>
      <c r="C3645">
        <v>80201</v>
      </c>
      <c r="D3645">
        <v>185266</v>
      </c>
      <c r="E3645">
        <v>379476800</v>
      </c>
      <c r="F3645">
        <v>126554512</v>
      </c>
      <c r="G3645">
        <v>506031312</v>
      </c>
      <c r="H3645">
        <v>100954</v>
      </c>
      <c r="I3645">
        <v>8371</v>
      </c>
      <c r="J3645">
        <v>109325</v>
      </c>
      <c r="K3645" t="b">
        <f>TrafficData[[#This Row],[disposedChallan]]+TrafficData[[#This Row],[pendingChallan]]=TrafficData[[#This Row],[totalChallan]]</f>
        <v>1</v>
      </c>
      <c r="L3645" t="b">
        <f>TrafficData[[#This Row],[pendingAmount]]+TrafficData[[#This Row],[disposedAmount]]=TrafficData[[#This Row],[totalAmount]]</f>
        <v>1</v>
      </c>
      <c r="M3645" t="b">
        <f>TrafficData[[#This Row],[pendingCourt]]+TrafficData[[#This Row],[disposedCourt]]=TrafficData[[#This Row],[totalCourt]]</f>
        <v>1</v>
      </c>
      <c r="N3645" t="b">
        <f>AND(TrafficData[[#This Row],[disposedChallan]]&lt;=TrafficData[[#This Row],[totalChallan]],TrafficData[[#This Row],[pendingChallan]]&lt;=TrafficData[[#This Row],[totalChallan]])</f>
        <v>1</v>
      </c>
      <c r="O3645" t="b">
        <f>AND(TrafficData[[#This Row],[pendingAmount]]&lt;=TrafficData[[#This Row],[totalAmount]],TrafficData[[#This Row],[disposedAmount]]&lt;=TrafficData[[#This Row],[totalAmount]])</f>
        <v>1</v>
      </c>
      <c r="P3645" t="b">
        <f>AND(TrafficData[[#This Row],[pendingCourt]]&lt;=TrafficData[[#This Row],[totalCourt]],TrafficData[[#This Row],[disposedCourt]]&lt;=TrafficData[[#This Row],[totalCourt]])</f>
        <v>1</v>
      </c>
    </row>
    <row r="3646" spans="1:16">
      <c r="A3646" s="1">
        <v>45650</v>
      </c>
      <c r="B3646">
        <v>262890</v>
      </c>
      <c r="C3646">
        <v>81283</v>
      </c>
      <c r="D3646">
        <v>181607</v>
      </c>
      <c r="E3646">
        <v>382325973</v>
      </c>
      <c r="F3646">
        <v>130612601</v>
      </c>
      <c r="G3646">
        <v>512938574</v>
      </c>
      <c r="H3646">
        <v>102894</v>
      </c>
      <c r="I3646">
        <v>8741</v>
      </c>
      <c r="J3646">
        <v>111635</v>
      </c>
      <c r="K3646" t="b">
        <f>TrafficData[[#This Row],[disposedChallan]]+TrafficData[[#This Row],[pendingChallan]]=TrafficData[[#This Row],[totalChallan]]</f>
        <v>1</v>
      </c>
      <c r="L3646" t="b">
        <f>TrafficData[[#This Row],[pendingAmount]]+TrafficData[[#This Row],[disposedAmount]]=TrafficData[[#This Row],[totalAmount]]</f>
        <v>1</v>
      </c>
      <c r="M3646" t="b">
        <f>TrafficData[[#This Row],[pendingCourt]]+TrafficData[[#This Row],[disposedCourt]]=TrafficData[[#This Row],[totalCourt]]</f>
        <v>1</v>
      </c>
      <c r="N3646" t="b">
        <f>AND(TrafficData[[#This Row],[disposedChallan]]&lt;=TrafficData[[#This Row],[totalChallan]],TrafficData[[#This Row],[pendingChallan]]&lt;=TrafficData[[#This Row],[totalChallan]])</f>
        <v>1</v>
      </c>
      <c r="O3646" t="b">
        <f>AND(TrafficData[[#This Row],[pendingAmount]]&lt;=TrafficData[[#This Row],[totalAmount]],TrafficData[[#This Row],[disposedAmount]]&lt;=TrafficData[[#This Row],[totalAmount]])</f>
        <v>1</v>
      </c>
      <c r="P3646" t="b">
        <f>AND(TrafficData[[#This Row],[pendingCourt]]&lt;=TrafficData[[#This Row],[totalCourt]],TrafficData[[#This Row],[disposedCourt]]&lt;=TrafficData[[#This Row],[totalCourt]])</f>
        <v>1</v>
      </c>
    </row>
    <row r="3647" spans="1:16">
      <c r="A3647" s="1">
        <v>45651</v>
      </c>
      <c r="B3647">
        <v>252525</v>
      </c>
      <c r="C3647">
        <v>75177</v>
      </c>
      <c r="D3647">
        <v>177348</v>
      </c>
      <c r="E3647">
        <v>323868945</v>
      </c>
      <c r="F3647">
        <v>100801299</v>
      </c>
      <c r="G3647">
        <v>424670244</v>
      </c>
      <c r="H3647">
        <v>100476</v>
      </c>
      <c r="I3647">
        <v>8116</v>
      </c>
      <c r="J3647">
        <v>108592</v>
      </c>
      <c r="K3647" t="b">
        <f>TrafficData[[#This Row],[disposedChallan]]+TrafficData[[#This Row],[pendingChallan]]=TrafficData[[#This Row],[totalChallan]]</f>
        <v>1</v>
      </c>
      <c r="L3647" t="b">
        <f>TrafficData[[#This Row],[pendingAmount]]+TrafficData[[#This Row],[disposedAmount]]=TrafficData[[#This Row],[totalAmount]]</f>
        <v>1</v>
      </c>
      <c r="M3647" t="b">
        <f>TrafficData[[#This Row],[pendingCourt]]+TrafficData[[#This Row],[disposedCourt]]=TrafficData[[#This Row],[totalCourt]]</f>
        <v>1</v>
      </c>
      <c r="N3647" t="b">
        <f>AND(TrafficData[[#This Row],[disposedChallan]]&lt;=TrafficData[[#This Row],[totalChallan]],TrafficData[[#This Row],[pendingChallan]]&lt;=TrafficData[[#This Row],[totalChallan]])</f>
        <v>1</v>
      </c>
      <c r="O3647" t="b">
        <f>AND(TrafficData[[#This Row],[pendingAmount]]&lt;=TrafficData[[#This Row],[totalAmount]],TrafficData[[#This Row],[disposedAmount]]&lt;=TrafficData[[#This Row],[totalAmount]])</f>
        <v>1</v>
      </c>
      <c r="P3647" t="b">
        <f>AND(TrafficData[[#This Row],[pendingCourt]]&lt;=TrafficData[[#This Row],[totalCourt]],TrafficData[[#This Row],[disposedCourt]]&lt;=TrafficData[[#This Row],[totalCourt]])</f>
        <v>1</v>
      </c>
    </row>
    <row r="3648" spans="1:16">
      <c r="A3648" s="1">
        <v>45652</v>
      </c>
      <c r="B3648">
        <v>267904</v>
      </c>
      <c r="C3648">
        <v>80422</v>
      </c>
      <c r="D3648">
        <v>187482</v>
      </c>
      <c r="E3648">
        <v>351437473</v>
      </c>
      <c r="F3648">
        <v>126171891</v>
      </c>
      <c r="G3648">
        <v>477609364</v>
      </c>
      <c r="H3648">
        <v>106175</v>
      </c>
      <c r="I3648">
        <v>8247</v>
      </c>
      <c r="J3648">
        <v>114422</v>
      </c>
      <c r="K3648" t="b">
        <f>TrafficData[[#This Row],[disposedChallan]]+TrafficData[[#This Row],[pendingChallan]]=TrafficData[[#This Row],[totalChallan]]</f>
        <v>1</v>
      </c>
      <c r="L3648" t="b">
        <f>TrafficData[[#This Row],[pendingAmount]]+TrafficData[[#This Row],[disposedAmount]]=TrafficData[[#This Row],[totalAmount]]</f>
        <v>1</v>
      </c>
      <c r="M3648" t="b">
        <f>TrafficData[[#This Row],[pendingCourt]]+TrafficData[[#This Row],[disposedCourt]]=TrafficData[[#This Row],[totalCourt]]</f>
        <v>1</v>
      </c>
      <c r="N3648" t="b">
        <f>AND(TrafficData[[#This Row],[disposedChallan]]&lt;=TrafficData[[#This Row],[totalChallan]],TrafficData[[#This Row],[pendingChallan]]&lt;=TrafficData[[#This Row],[totalChallan]])</f>
        <v>1</v>
      </c>
      <c r="O3648" t="b">
        <f>AND(TrafficData[[#This Row],[pendingAmount]]&lt;=TrafficData[[#This Row],[totalAmount]],TrafficData[[#This Row],[disposedAmount]]&lt;=TrafficData[[#This Row],[totalAmount]])</f>
        <v>1</v>
      </c>
      <c r="P3648" t="b">
        <f>AND(TrafficData[[#This Row],[pendingCourt]]&lt;=TrafficData[[#This Row],[totalCourt]],TrafficData[[#This Row],[disposedCourt]]&lt;=TrafficData[[#This Row],[totalCourt]])</f>
        <v>1</v>
      </c>
    </row>
    <row r="3649" spans="1:16">
      <c r="A3649" s="1">
        <v>45653</v>
      </c>
      <c r="B3649">
        <v>225594</v>
      </c>
      <c r="C3649">
        <v>72809</v>
      </c>
      <c r="D3649">
        <v>152785</v>
      </c>
      <c r="E3649">
        <v>220457143</v>
      </c>
      <c r="F3649">
        <v>105056542</v>
      </c>
      <c r="G3649">
        <v>325513685</v>
      </c>
      <c r="H3649">
        <v>72078</v>
      </c>
      <c r="I3649">
        <v>5401</v>
      </c>
      <c r="J3649">
        <v>77479</v>
      </c>
      <c r="K3649" t="b">
        <f>TrafficData[[#This Row],[disposedChallan]]+TrafficData[[#This Row],[pendingChallan]]=TrafficData[[#This Row],[totalChallan]]</f>
        <v>1</v>
      </c>
      <c r="L3649" t="b">
        <f>TrafficData[[#This Row],[pendingAmount]]+TrafficData[[#This Row],[disposedAmount]]=TrafficData[[#This Row],[totalAmount]]</f>
        <v>1</v>
      </c>
      <c r="M3649" t="b">
        <f>TrafficData[[#This Row],[pendingCourt]]+TrafficData[[#This Row],[disposedCourt]]=TrafficData[[#This Row],[totalCourt]]</f>
        <v>1</v>
      </c>
      <c r="N3649" t="b">
        <f>AND(TrafficData[[#This Row],[disposedChallan]]&lt;=TrafficData[[#This Row],[totalChallan]],TrafficData[[#This Row],[pendingChallan]]&lt;=TrafficData[[#This Row],[totalChallan]])</f>
        <v>1</v>
      </c>
      <c r="O3649" t="b">
        <f>AND(TrafficData[[#This Row],[pendingAmount]]&lt;=TrafficData[[#This Row],[totalAmount]],TrafficData[[#This Row],[disposedAmount]]&lt;=TrafficData[[#This Row],[totalAmount]])</f>
        <v>1</v>
      </c>
      <c r="P3649" t="b">
        <f>AND(TrafficData[[#This Row],[pendingCourt]]&lt;=TrafficData[[#This Row],[totalCourt]],TrafficData[[#This Row],[disposedCourt]]&lt;=TrafficData[[#This Row],[totalCourt]])</f>
        <v>1</v>
      </c>
    </row>
    <row r="3650" spans="1:16">
      <c r="A3650" s="1">
        <v>45654</v>
      </c>
      <c r="B3650">
        <v>243124</v>
      </c>
      <c r="C3650">
        <v>75529</v>
      </c>
      <c r="D3650">
        <v>167595</v>
      </c>
      <c r="E3650">
        <v>290576653</v>
      </c>
      <c r="F3650">
        <v>100260018</v>
      </c>
      <c r="G3650">
        <v>390836671</v>
      </c>
      <c r="H3650">
        <v>87075</v>
      </c>
      <c r="I3650">
        <v>6656</v>
      </c>
      <c r="J3650">
        <v>93731</v>
      </c>
      <c r="K3650" t="b">
        <f>TrafficData[[#This Row],[disposedChallan]]+TrafficData[[#This Row],[pendingChallan]]=TrafficData[[#This Row],[totalChallan]]</f>
        <v>1</v>
      </c>
      <c r="L3650" t="b">
        <f>TrafficData[[#This Row],[pendingAmount]]+TrafficData[[#This Row],[disposedAmount]]=TrafficData[[#This Row],[totalAmount]]</f>
        <v>1</v>
      </c>
      <c r="M3650" t="b">
        <f>TrafficData[[#This Row],[pendingCourt]]+TrafficData[[#This Row],[disposedCourt]]=TrafficData[[#This Row],[totalCourt]]</f>
        <v>1</v>
      </c>
      <c r="N3650" t="b">
        <f>AND(TrafficData[[#This Row],[disposedChallan]]&lt;=TrafficData[[#This Row],[totalChallan]],TrafficData[[#This Row],[pendingChallan]]&lt;=TrafficData[[#This Row],[totalChallan]])</f>
        <v>1</v>
      </c>
      <c r="O3650" t="b">
        <f>AND(TrafficData[[#This Row],[pendingAmount]]&lt;=TrafficData[[#This Row],[totalAmount]],TrafficData[[#This Row],[disposedAmount]]&lt;=TrafficData[[#This Row],[totalAmount]])</f>
        <v>1</v>
      </c>
      <c r="P3650" t="b">
        <f>AND(TrafficData[[#This Row],[pendingCourt]]&lt;=TrafficData[[#This Row],[totalCourt]],TrafficData[[#This Row],[disposedCourt]]&lt;=TrafficData[[#This Row],[totalCourt]])</f>
        <v>1</v>
      </c>
    </row>
    <row r="3651" spans="1:16">
      <c r="A3651" s="1">
        <v>45655</v>
      </c>
      <c r="B3651">
        <v>239056</v>
      </c>
      <c r="C3651">
        <v>73065</v>
      </c>
      <c r="D3651">
        <v>165991</v>
      </c>
      <c r="E3651">
        <v>273048044</v>
      </c>
      <c r="F3651">
        <v>85546066</v>
      </c>
      <c r="G3651">
        <v>358594110</v>
      </c>
      <c r="H3651">
        <v>90440</v>
      </c>
      <c r="I3651">
        <v>7533</v>
      </c>
      <c r="J3651">
        <v>97973</v>
      </c>
      <c r="K3651" t="b">
        <f>TrafficData[[#This Row],[disposedChallan]]+TrafficData[[#This Row],[pendingChallan]]=TrafficData[[#This Row],[totalChallan]]</f>
        <v>1</v>
      </c>
      <c r="L3651" t="b">
        <f>TrafficData[[#This Row],[pendingAmount]]+TrafficData[[#This Row],[disposedAmount]]=TrafficData[[#This Row],[totalAmount]]</f>
        <v>1</v>
      </c>
      <c r="M3651" t="b">
        <f>TrafficData[[#This Row],[pendingCourt]]+TrafficData[[#This Row],[disposedCourt]]=TrafficData[[#This Row],[totalCourt]]</f>
        <v>1</v>
      </c>
      <c r="N3651" t="b">
        <f>AND(TrafficData[[#This Row],[disposedChallan]]&lt;=TrafficData[[#This Row],[totalChallan]],TrafficData[[#This Row],[pendingChallan]]&lt;=TrafficData[[#This Row],[totalChallan]])</f>
        <v>1</v>
      </c>
      <c r="O3651" t="b">
        <f>AND(TrafficData[[#This Row],[pendingAmount]]&lt;=TrafficData[[#This Row],[totalAmount]],TrafficData[[#This Row],[disposedAmount]]&lt;=TrafficData[[#This Row],[totalAmount]])</f>
        <v>1</v>
      </c>
      <c r="P3651" t="b">
        <f>AND(TrafficData[[#This Row],[pendingCourt]]&lt;=TrafficData[[#This Row],[totalCourt]],TrafficData[[#This Row],[disposedCourt]]&lt;=TrafficData[[#This Row],[totalCourt]])</f>
        <v>1</v>
      </c>
    </row>
    <row r="3652" spans="1:16">
      <c r="A3652" s="1">
        <v>45656</v>
      </c>
      <c r="B3652">
        <v>246120</v>
      </c>
      <c r="C3652">
        <v>76591</v>
      </c>
      <c r="D3652">
        <v>169529</v>
      </c>
      <c r="E3652">
        <v>304716260</v>
      </c>
      <c r="F3652">
        <v>102202312</v>
      </c>
      <c r="G3652">
        <v>406918572</v>
      </c>
      <c r="H3652">
        <v>94618</v>
      </c>
      <c r="I3652">
        <v>8226</v>
      </c>
      <c r="J3652">
        <v>102844</v>
      </c>
      <c r="K3652" t="b">
        <f>TrafficData[[#This Row],[disposedChallan]]+TrafficData[[#This Row],[pendingChallan]]=TrafficData[[#This Row],[totalChallan]]</f>
        <v>1</v>
      </c>
      <c r="L3652" t="b">
        <f>TrafficData[[#This Row],[pendingAmount]]+TrafficData[[#This Row],[disposedAmount]]=TrafficData[[#This Row],[totalAmount]]</f>
        <v>1</v>
      </c>
      <c r="M3652" t="b">
        <f>TrafficData[[#This Row],[pendingCourt]]+TrafficData[[#This Row],[disposedCourt]]=TrafficData[[#This Row],[totalCourt]]</f>
        <v>1</v>
      </c>
      <c r="N3652" t="b">
        <f>AND(TrafficData[[#This Row],[disposedChallan]]&lt;=TrafficData[[#This Row],[totalChallan]],TrafficData[[#This Row],[pendingChallan]]&lt;=TrafficData[[#This Row],[totalChallan]])</f>
        <v>1</v>
      </c>
      <c r="O3652" t="b">
        <f>AND(TrafficData[[#This Row],[pendingAmount]]&lt;=TrafficData[[#This Row],[totalAmount]],TrafficData[[#This Row],[disposedAmount]]&lt;=TrafficData[[#This Row],[totalAmount]])</f>
        <v>1</v>
      </c>
      <c r="P3652" t="b">
        <f>AND(TrafficData[[#This Row],[pendingCourt]]&lt;=TrafficData[[#This Row],[totalCourt]],TrafficData[[#This Row],[disposedCourt]]&lt;=TrafficData[[#This Row],[totalCourt]])</f>
        <v>1</v>
      </c>
    </row>
    <row r="3653" spans="1:16">
      <c r="A3653" s="1">
        <v>45657</v>
      </c>
      <c r="B3653">
        <v>173951</v>
      </c>
      <c r="C3653">
        <v>51576</v>
      </c>
      <c r="D3653">
        <v>122375</v>
      </c>
      <c r="E3653">
        <v>220199376</v>
      </c>
      <c r="F3653">
        <v>84196520</v>
      </c>
      <c r="G3653">
        <v>304395896</v>
      </c>
      <c r="H3653">
        <v>65599</v>
      </c>
      <c r="I3653">
        <v>5642</v>
      </c>
      <c r="J3653">
        <v>71241</v>
      </c>
      <c r="K3653" t="b">
        <f>TrafficData[[#This Row],[disposedChallan]]+TrafficData[[#This Row],[pendingChallan]]=TrafficData[[#This Row],[totalChallan]]</f>
        <v>1</v>
      </c>
      <c r="L3653" t="b">
        <f>TrafficData[[#This Row],[pendingAmount]]+TrafficData[[#This Row],[disposedAmount]]=TrafficData[[#This Row],[totalAmount]]</f>
        <v>1</v>
      </c>
      <c r="M3653" t="b">
        <f>TrafficData[[#This Row],[pendingCourt]]+TrafficData[[#This Row],[disposedCourt]]=TrafficData[[#This Row],[totalCourt]]</f>
        <v>1</v>
      </c>
      <c r="N3653" t="b">
        <f>AND(TrafficData[[#This Row],[disposedChallan]]&lt;=TrafficData[[#This Row],[totalChallan]],TrafficData[[#This Row],[pendingChallan]]&lt;=TrafficData[[#This Row],[totalChallan]])</f>
        <v>1</v>
      </c>
      <c r="O3653" t="b">
        <f>AND(TrafficData[[#This Row],[pendingAmount]]&lt;=TrafficData[[#This Row],[totalAmount]],TrafficData[[#This Row],[disposedAmount]]&lt;=TrafficData[[#This Row],[totalAmount]])</f>
        <v>1</v>
      </c>
      <c r="P3653" t="b">
        <f>AND(TrafficData[[#This Row],[pendingCourt]]&lt;=TrafficData[[#This Row],[totalCourt]],TrafficData[[#This Row],[disposedCourt]]&lt;=TrafficData[[#This Row],[totalCourt]])</f>
        <v>1</v>
      </c>
    </row>
    <row r="3654" spans="1:16">
      <c r="A3654" s="1">
        <v>45658</v>
      </c>
      <c r="B3654">
        <v>218265</v>
      </c>
      <c r="C3654">
        <v>61320</v>
      </c>
      <c r="D3654">
        <v>156945</v>
      </c>
      <c r="E3654">
        <v>269867081</v>
      </c>
      <c r="F3654">
        <v>84739970</v>
      </c>
      <c r="G3654">
        <v>354607051</v>
      </c>
      <c r="H3654">
        <v>91746</v>
      </c>
      <c r="I3654">
        <v>7526</v>
      </c>
      <c r="J3654">
        <v>99272</v>
      </c>
      <c r="K3654" t="b">
        <f>TrafficData[[#This Row],[disposedChallan]]+TrafficData[[#This Row],[pendingChallan]]=TrafficData[[#This Row],[totalChallan]]</f>
        <v>1</v>
      </c>
      <c r="L3654" t="b">
        <f>TrafficData[[#This Row],[pendingAmount]]+TrafficData[[#This Row],[disposedAmount]]=TrafficData[[#This Row],[totalAmount]]</f>
        <v>1</v>
      </c>
      <c r="M3654" t="b">
        <f>TrafficData[[#This Row],[pendingCourt]]+TrafficData[[#This Row],[disposedCourt]]=TrafficData[[#This Row],[totalCourt]]</f>
        <v>1</v>
      </c>
      <c r="N3654" t="b">
        <f>AND(TrafficData[[#This Row],[disposedChallan]]&lt;=TrafficData[[#This Row],[totalChallan]],TrafficData[[#This Row],[pendingChallan]]&lt;=TrafficData[[#This Row],[totalChallan]])</f>
        <v>1</v>
      </c>
      <c r="O3654" t="b">
        <f>AND(TrafficData[[#This Row],[pendingAmount]]&lt;=TrafficData[[#This Row],[totalAmount]],TrafficData[[#This Row],[disposedAmount]]&lt;=TrafficData[[#This Row],[totalAmount]])</f>
        <v>1</v>
      </c>
      <c r="P3654" t="b">
        <f>AND(TrafficData[[#This Row],[pendingCourt]]&lt;=TrafficData[[#This Row],[totalCourt]],TrafficData[[#This Row],[disposedCourt]]&lt;=TrafficData[[#This Row],[totalCourt]])</f>
        <v>1</v>
      </c>
    </row>
    <row r="3655" spans="1:16">
      <c r="A3655" s="1">
        <v>45659</v>
      </c>
      <c r="B3655">
        <v>262483</v>
      </c>
      <c r="C3655">
        <v>80626</v>
      </c>
      <c r="D3655">
        <v>181857</v>
      </c>
      <c r="E3655">
        <v>321218288</v>
      </c>
      <c r="F3655">
        <v>126168874</v>
      </c>
      <c r="G3655">
        <v>447387162</v>
      </c>
      <c r="H3655">
        <v>98031</v>
      </c>
      <c r="I3655">
        <v>7934</v>
      </c>
      <c r="J3655">
        <v>105965</v>
      </c>
      <c r="K3655" t="b">
        <f>TrafficData[[#This Row],[disposedChallan]]+TrafficData[[#This Row],[pendingChallan]]=TrafficData[[#This Row],[totalChallan]]</f>
        <v>1</v>
      </c>
      <c r="L3655" t="b">
        <f>TrafficData[[#This Row],[pendingAmount]]+TrafficData[[#This Row],[disposedAmount]]=TrafficData[[#This Row],[totalAmount]]</f>
        <v>1</v>
      </c>
      <c r="M3655" t="b">
        <f>TrafficData[[#This Row],[pendingCourt]]+TrafficData[[#This Row],[disposedCourt]]=TrafficData[[#This Row],[totalCourt]]</f>
        <v>1</v>
      </c>
      <c r="N3655" t="b">
        <f>AND(TrafficData[[#This Row],[disposedChallan]]&lt;=TrafficData[[#This Row],[totalChallan]],TrafficData[[#This Row],[pendingChallan]]&lt;=TrafficData[[#This Row],[totalChallan]])</f>
        <v>1</v>
      </c>
      <c r="O3655" t="b">
        <f>AND(TrafficData[[#This Row],[pendingAmount]]&lt;=TrafficData[[#This Row],[totalAmount]],TrafficData[[#This Row],[disposedAmount]]&lt;=TrafficData[[#This Row],[totalAmount]])</f>
        <v>1</v>
      </c>
      <c r="P3655" t="b">
        <f>AND(TrafficData[[#This Row],[pendingCourt]]&lt;=TrafficData[[#This Row],[totalCourt]],TrafficData[[#This Row],[disposedCourt]]&lt;=TrafficData[[#This Row],[totalCourt]])</f>
        <v>1</v>
      </c>
    </row>
    <row r="3656" spans="1:16">
      <c r="A3656" s="1">
        <v>45660</v>
      </c>
      <c r="B3656">
        <v>273327</v>
      </c>
      <c r="C3656">
        <v>86205</v>
      </c>
      <c r="D3656">
        <v>187122</v>
      </c>
      <c r="E3656">
        <v>326332498</v>
      </c>
      <c r="F3656">
        <v>146952218</v>
      </c>
      <c r="G3656">
        <v>473284716</v>
      </c>
      <c r="H3656">
        <v>97289</v>
      </c>
      <c r="I3656">
        <v>8145</v>
      </c>
      <c r="J3656">
        <v>105434</v>
      </c>
      <c r="K3656" t="b">
        <f>TrafficData[[#This Row],[disposedChallan]]+TrafficData[[#This Row],[pendingChallan]]=TrafficData[[#This Row],[totalChallan]]</f>
        <v>1</v>
      </c>
      <c r="L3656" t="b">
        <f>TrafficData[[#This Row],[pendingAmount]]+TrafficData[[#This Row],[disposedAmount]]=TrafficData[[#This Row],[totalAmount]]</f>
        <v>1</v>
      </c>
      <c r="M3656" t="b">
        <f>TrafficData[[#This Row],[pendingCourt]]+TrafficData[[#This Row],[disposedCourt]]=TrafficData[[#This Row],[totalCourt]]</f>
        <v>1</v>
      </c>
      <c r="N3656" t="b">
        <f>AND(TrafficData[[#This Row],[disposedChallan]]&lt;=TrafficData[[#This Row],[totalChallan]],TrafficData[[#This Row],[pendingChallan]]&lt;=TrafficData[[#This Row],[totalChallan]])</f>
        <v>1</v>
      </c>
      <c r="O3656" t="b">
        <f>AND(TrafficData[[#This Row],[pendingAmount]]&lt;=TrafficData[[#This Row],[totalAmount]],TrafficData[[#This Row],[disposedAmount]]&lt;=TrafficData[[#This Row],[totalAmount]])</f>
        <v>1</v>
      </c>
      <c r="P3656" t="b">
        <f>AND(TrafficData[[#This Row],[pendingCourt]]&lt;=TrafficData[[#This Row],[totalCourt]],TrafficData[[#This Row],[disposedCourt]]&lt;=TrafficData[[#This Row],[totalCourt]])</f>
        <v>1</v>
      </c>
    </row>
    <row r="3657" spans="1:16">
      <c r="A3657" s="1">
        <v>45661</v>
      </c>
      <c r="B3657">
        <v>271942</v>
      </c>
      <c r="C3657">
        <v>86558</v>
      </c>
      <c r="D3657">
        <v>185384</v>
      </c>
      <c r="E3657">
        <v>346574579</v>
      </c>
      <c r="F3657">
        <v>132509054</v>
      </c>
      <c r="G3657">
        <v>479083633</v>
      </c>
      <c r="H3657">
        <v>96646</v>
      </c>
      <c r="I3657">
        <v>8540</v>
      </c>
      <c r="J3657">
        <v>105186</v>
      </c>
      <c r="K3657" t="b">
        <f>TrafficData[[#This Row],[disposedChallan]]+TrafficData[[#This Row],[pendingChallan]]=TrafficData[[#This Row],[totalChallan]]</f>
        <v>1</v>
      </c>
      <c r="L3657" t="b">
        <f>TrafficData[[#This Row],[pendingAmount]]+TrafficData[[#This Row],[disposedAmount]]=TrafficData[[#This Row],[totalAmount]]</f>
        <v>1</v>
      </c>
      <c r="M3657" t="b">
        <f>TrafficData[[#This Row],[pendingCourt]]+TrafficData[[#This Row],[disposedCourt]]=TrafficData[[#This Row],[totalCourt]]</f>
        <v>1</v>
      </c>
      <c r="N3657" t="b">
        <f>AND(TrafficData[[#This Row],[disposedChallan]]&lt;=TrafficData[[#This Row],[totalChallan]],TrafficData[[#This Row],[pendingChallan]]&lt;=TrafficData[[#This Row],[totalChallan]])</f>
        <v>1</v>
      </c>
      <c r="O3657" t="b">
        <f>AND(TrafficData[[#This Row],[pendingAmount]]&lt;=TrafficData[[#This Row],[totalAmount]],TrafficData[[#This Row],[disposedAmount]]&lt;=TrafficData[[#This Row],[totalAmount]])</f>
        <v>1</v>
      </c>
      <c r="P3657" t="b">
        <f>AND(TrafficData[[#This Row],[pendingCourt]]&lt;=TrafficData[[#This Row],[totalCourt]],TrafficData[[#This Row],[disposedCourt]]&lt;=TrafficData[[#This Row],[totalCourt]])</f>
        <v>1</v>
      </c>
    </row>
    <row r="3658" spans="1:16">
      <c r="A3658" s="1">
        <v>45662</v>
      </c>
      <c r="B3658">
        <v>262272</v>
      </c>
      <c r="C3658">
        <v>78589</v>
      </c>
      <c r="D3658">
        <v>183683</v>
      </c>
      <c r="E3658">
        <v>298153929</v>
      </c>
      <c r="F3658">
        <v>99933730</v>
      </c>
      <c r="G3658">
        <v>398087659</v>
      </c>
      <c r="H3658">
        <v>93579</v>
      </c>
      <c r="I3658">
        <v>7696</v>
      </c>
      <c r="J3658">
        <v>101275</v>
      </c>
      <c r="K3658" t="b">
        <f>TrafficData[[#This Row],[disposedChallan]]+TrafficData[[#This Row],[pendingChallan]]=TrafficData[[#This Row],[totalChallan]]</f>
        <v>1</v>
      </c>
      <c r="L3658" t="b">
        <f>TrafficData[[#This Row],[pendingAmount]]+TrafficData[[#This Row],[disposedAmount]]=TrafficData[[#This Row],[totalAmount]]</f>
        <v>1</v>
      </c>
      <c r="M3658" t="b">
        <f>TrafficData[[#This Row],[pendingCourt]]+TrafficData[[#This Row],[disposedCourt]]=TrafficData[[#This Row],[totalCourt]]</f>
        <v>1</v>
      </c>
      <c r="N3658" t="b">
        <f>AND(TrafficData[[#This Row],[disposedChallan]]&lt;=TrafficData[[#This Row],[totalChallan]],TrafficData[[#This Row],[pendingChallan]]&lt;=TrafficData[[#This Row],[totalChallan]])</f>
        <v>1</v>
      </c>
      <c r="O3658" t="b">
        <f>AND(TrafficData[[#This Row],[pendingAmount]]&lt;=TrafficData[[#This Row],[totalAmount]],TrafficData[[#This Row],[disposedAmount]]&lt;=TrafficData[[#This Row],[totalAmount]])</f>
        <v>1</v>
      </c>
      <c r="P3658" t="b">
        <f>AND(TrafficData[[#This Row],[pendingCourt]]&lt;=TrafficData[[#This Row],[totalCourt]],TrafficData[[#This Row],[disposedCourt]]&lt;=TrafficData[[#This Row],[totalCourt]])</f>
        <v>1</v>
      </c>
    </row>
    <row r="3659" spans="1:16">
      <c r="A3659" s="1">
        <v>45663</v>
      </c>
      <c r="B3659">
        <v>284360</v>
      </c>
      <c r="C3659">
        <v>84051</v>
      </c>
      <c r="D3659">
        <v>200309</v>
      </c>
      <c r="E3659">
        <v>353697890</v>
      </c>
      <c r="F3659">
        <v>128925269</v>
      </c>
      <c r="G3659">
        <v>482623159</v>
      </c>
      <c r="H3659">
        <v>115136</v>
      </c>
      <c r="I3659">
        <v>8541</v>
      </c>
      <c r="J3659">
        <v>123677</v>
      </c>
      <c r="K3659" t="b">
        <f>TrafficData[[#This Row],[disposedChallan]]+TrafficData[[#This Row],[pendingChallan]]=TrafficData[[#This Row],[totalChallan]]</f>
        <v>1</v>
      </c>
      <c r="L3659" t="b">
        <f>TrafficData[[#This Row],[pendingAmount]]+TrafficData[[#This Row],[disposedAmount]]=TrafficData[[#This Row],[totalAmount]]</f>
        <v>1</v>
      </c>
      <c r="M3659" t="b">
        <f>TrafficData[[#This Row],[pendingCourt]]+TrafficData[[#This Row],[disposedCourt]]=TrafficData[[#This Row],[totalCourt]]</f>
        <v>1</v>
      </c>
      <c r="N3659" t="b">
        <f>AND(TrafficData[[#This Row],[disposedChallan]]&lt;=TrafficData[[#This Row],[totalChallan]],TrafficData[[#This Row],[pendingChallan]]&lt;=TrafficData[[#This Row],[totalChallan]])</f>
        <v>1</v>
      </c>
      <c r="O3659" t="b">
        <f>AND(TrafficData[[#This Row],[pendingAmount]]&lt;=TrafficData[[#This Row],[totalAmount]],TrafficData[[#This Row],[disposedAmount]]&lt;=TrafficData[[#This Row],[totalAmount]])</f>
        <v>1</v>
      </c>
      <c r="P3659" t="b">
        <f>AND(TrafficData[[#This Row],[pendingCourt]]&lt;=TrafficData[[#This Row],[totalCourt]],TrafficData[[#This Row],[disposedCourt]]&lt;=TrafficData[[#This Row],[totalCourt]])</f>
        <v>1</v>
      </c>
    </row>
    <row r="3660" spans="1:16">
      <c r="A3660" s="1">
        <v>45664</v>
      </c>
      <c r="B3660">
        <v>271518</v>
      </c>
      <c r="C3660">
        <v>82444</v>
      </c>
      <c r="D3660">
        <v>189074</v>
      </c>
      <c r="E3660">
        <v>339343194</v>
      </c>
      <c r="F3660">
        <v>137989092</v>
      </c>
      <c r="G3660">
        <v>477332286</v>
      </c>
      <c r="H3660">
        <v>107189</v>
      </c>
      <c r="I3660">
        <v>8340</v>
      </c>
      <c r="J3660">
        <v>115529</v>
      </c>
      <c r="K3660" t="b">
        <f>TrafficData[[#This Row],[disposedChallan]]+TrafficData[[#This Row],[pendingChallan]]=TrafficData[[#This Row],[totalChallan]]</f>
        <v>1</v>
      </c>
      <c r="L3660" t="b">
        <f>TrafficData[[#This Row],[pendingAmount]]+TrafficData[[#This Row],[disposedAmount]]=TrafficData[[#This Row],[totalAmount]]</f>
        <v>1</v>
      </c>
      <c r="M3660" t="b">
        <f>TrafficData[[#This Row],[pendingCourt]]+TrafficData[[#This Row],[disposedCourt]]=TrafficData[[#This Row],[totalCourt]]</f>
        <v>1</v>
      </c>
      <c r="N3660" t="b">
        <f>AND(TrafficData[[#This Row],[disposedChallan]]&lt;=TrafficData[[#This Row],[totalChallan]],TrafficData[[#This Row],[pendingChallan]]&lt;=TrafficData[[#This Row],[totalChallan]])</f>
        <v>1</v>
      </c>
      <c r="O3660" t="b">
        <f>AND(TrafficData[[#This Row],[pendingAmount]]&lt;=TrafficData[[#This Row],[totalAmount]],TrafficData[[#This Row],[disposedAmount]]&lt;=TrafficData[[#This Row],[totalAmount]])</f>
        <v>1</v>
      </c>
      <c r="P3660" t="b">
        <f>AND(TrafficData[[#This Row],[pendingCourt]]&lt;=TrafficData[[#This Row],[totalCourt]],TrafficData[[#This Row],[disposedCourt]]&lt;=TrafficData[[#This Row],[totalCourt]])</f>
        <v>1</v>
      </c>
    </row>
    <row r="3661" spans="1:16">
      <c r="A3661" s="1">
        <v>45665</v>
      </c>
      <c r="B3661">
        <v>277421</v>
      </c>
      <c r="C3661">
        <v>85595</v>
      </c>
      <c r="D3661">
        <v>191826</v>
      </c>
      <c r="E3661">
        <v>351933602</v>
      </c>
      <c r="F3661">
        <v>145840311</v>
      </c>
      <c r="G3661">
        <v>497773913</v>
      </c>
      <c r="H3661">
        <v>103610</v>
      </c>
      <c r="I3661">
        <v>9035</v>
      </c>
      <c r="J3661">
        <v>112645</v>
      </c>
      <c r="K3661" t="b">
        <f>TrafficData[[#This Row],[disposedChallan]]+TrafficData[[#This Row],[pendingChallan]]=TrafficData[[#This Row],[totalChallan]]</f>
        <v>1</v>
      </c>
      <c r="L3661" t="b">
        <f>TrafficData[[#This Row],[pendingAmount]]+TrafficData[[#This Row],[disposedAmount]]=TrafficData[[#This Row],[totalAmount]]</f>
        <v>1</v>
      </c>
      <c r="M3661" t="b">
        <f>TrafficData[[#This Row],[pendingCourt]]+TrafficData[[#This Row],[disposedCourt]]=TrafficData[[#This Row],[totalCourt]]</f>
        <v>1</v>
      </c>
      <c r="N3661" t="b">
        <f>AND(TrafficData[[#This Row],[disposedChallan]]&lt;=TrafficData[[#This Row],[totalChallan]],TrafficData[[#This Row],[pendingChallan]]&lt;=TrafficData[[#This Row],[totalChallan]])</f>
        <v>1</v>
      </c>
      <c r="O3661" t="b">
        <f>AND(TrafficData[[#This Row],[pendingAmount]]&lt;=TrafficData[[#This Row],[totalAmount]],TrafficData[[#This Row],[disposedAmount]]&lt;=TrafficData[[#This Row],[totalAmount]])</f>
        <v>1</v>
      </c>
      <c r="P3661" t="b">
        <f>AND(TrafficData[[#This Row],[pendingCourt]]&lt;=TrafficData[[#This Row],[totalCourt]],TrafficData[[#This Row],[disposedCourt]]&lt;=TrafficData[[#This Row],[totalCourt]])</f>
        <v>1</v>
      </c>
    </row>
    <row r="3662" spans="1:16">
      <c r="A3662" s="1">
        <v>45666</v>
      </c>
      <c r="B3662">
        <v>284496</v>
      </c>
      <c r="C3662">
        <v>84613</v>
      </c>
      <c r="D3662">
        <v>199883</v>
      </c>
      <c r="E3662">
        <v>366984348</v>
      </c>
      <c r="F3662">
        <v>141327511</v>
      </c>
      <c r="G3662">
        <v>508311859</v>
      </c>
      <c r="H3662">
        <v>110916</v>
      </c>
      <c r="I3662">
        <v>9010</v>
      </c>
      <c r="J3662">
        <v>119926</v>
      </c>
      <c r="K3662" t="b">
        <f>TrafficData[[#This Row],[disposedChallan]]+TrafficData[[#This Row],[pendingChallan]]=TrafficData[[#This Row],[totalChallan]]</f>
        <v>1</v>
      </c>
      <c r="L3662" t="b">
        <f>TrafficData[[#This Row],[pendingAmount]]+TrafficData[[#This Row],[disposedAmount]]=TrafficData[[#This Row],[totalAmount]]</f>
        <v>1</v>
      </c>
      <c r="M3662" t="b">
        <f>TrafficData[[#This Row],[pendingCourt]]+TrafficData[[#This Row],[disposedCourt]]=TrafficData[[#This Row],[totalCourt]]</f>
        <v>1</v>
      </c>
      <c r="N3662" t="b">
        <f>AND(TrafficData[[#This Row],[disposedChallan]]&lt;=TrafficData[[#This Row],[totalChallan]],TrafficData[[#This Row],[pendingChallan]]&lt;=TrafficData[[#This Row],[totalChallan]])</f>
        <v>1</v>
      </c>
      <c r="O3662" t="b">
        <f>AND(TrafficData[[#This Row],[pendingAmount]]&lt;=TrafficData[[#This Row],[totalAmount]],TrafficData[[#This Row],[disposedAmount]]&lt;=TrafficData[[#This Row],[totalAmount]])</f>
        <v>1</v>
      </c>
      <c r="P3662" t="b">
        <f>AND(TrafficData[[#This Row],[pendingCourt]]&lt;=TrafficData[[#This Row],[totalCourt]],TrafficData[[#This Row],[disposedCourt]]&lt;=TrafficData[[#This Row],[totalCourt]])</f>
        <v>1</v>
      </c>
    </row>
    <row r="3663" spans="1:16">
      <c r="A3663" s="1">
        <v>45667</v>
      </c>
      <c r="B3663">
        <v>274888</v>
      </c>
      <c r="C3663">
        <v>82804</v>
      </c>
      <c r="D3663">
        <v>192084</v>
      </c>
      <c r="E3663">
        <v>366132353</v>
      </c>
      <c r="F3663">
        <v>131885920</v>
      </c>
      <c r="G3663">
        <v>498018273</v>
      </c>
      <c r="H3663">
        <v>107857</v>
      </c>
      <c r="I3663">
        <v>8618</v>
      </c>
      <c r="J3663">
        <v>116475</v>
      </c>
      <c r="K3663" t="b">
        <f>TrafficData[[#This Row],[disposedChallan]]+TrafficData[[#This Row],[pendingChallan]]=TrafficData[[#This Row],[totalChallan]]</f>
        <v>1</v>
      </c>
      <c r="L3663" t="b">
        <f>TrafficData[[#This Row],[pendingAmount]]+TrafficData[[#This Row],[disposedAmount]]=TrafficData[[#This Row],[totalAmount]]</f>
        <v>1</v>
      </c>
      <c r="M3663" t="b">
        <f>TrafficData[[#This Row],[pendingCourt]]+TrafficData[[#This Row],[disposedCourt]]=TrafficData[[#This Row],[totalCourt]]</f>
        <v>1</v>
      </c>
      <c r="N3663" t="b">
        <f>AND(TrafficData[[#This Row],[disposedChallan]]&lt;=TrafficData[[#This Row],[totalChallan]],TrafficData[[#This Row],[pendingChallan]]&lt;=TrafficData[[#This Row],[totalChallan]])</f>
        <v>1</v>
      </c>
      <c r="O3663" t="b">
        <f>AND(TrafficData[[#This Row],[pendingAmount]]&lt;=TrafficData[[#This Row],[totalAmount]],TrafficData[[#This Row],[disposedAmount]]&lt;=TrafficData[[#This Row],[totalAmount]])</f>
        <v>1</v>
      </c>
      <c r="P3663" t="b">
        <f>AND(TrafficData[[#This Row],[pendingCourt]]&lt;=TrafficData[[#This Row],[totalCourt]],TrafficData[[#This Row],[disposedCourt]]&lt;=TrafficData[[#This Row],[totalCourt]])</f>
        <v>1</v>
      </c>
    </row>
    <row r="3664" spans="1:16">
      <c r="A3664" s="1">
        <v>45668</v>
      </c>
      <c r="B3664">
        <v>269840</v>
      </c>
      <c r="C3664">
        <v>81101</v>
      </c>
      <c r="D3664">
        <v>188739</v>
      </c>
      <c r="E3664">
        <v>349857982</v>
      </c>
      <c r="F3664">
        <v>109936308</v>
      </c>
      <c r="G3664">
        <v>459794290</v>
      </c>
      <c r="H3664">
        <v>107285</v>
      </c>
      <c r="I3664">
        <v>8348</v>
      </c>
      <c r="J3664">
        <v>115633</v>
      </c>
      <c r="K3664" t="b">
        <f>TrafficData[[#This Row],[disposedChallan]]+TrafficData[[#This Row],[pendingChallan]]=TrafficData[[#This Row],[totalChallan]]</f>
        <v>1</v>
      </c>
      <c r="L3664" t="b">
        <f>TrafficData[[#This Row],[pendingAmount]]+TrafficData[[#This Row],[disposedAmount]]=TrafficData[[#This Row],[totalAmount]]</f>
        <v>1</v>
      </c>
      <c r="M3664" t="b">
        <f>TrafficData[[#This Row],[pendingCourt]]+TrafficData[[#This Row],[disposedCourt]]=TrafficData[[#This Row],[totalCourt]]</f>
        <v>1</v>
      </c>
      <c r="N3664" t="b">
        <f>AND(TrafficData[[#This Row],[disposedChallan]]&lt;=TrafficData[[#This Row],[totalChallan]],TrafficData[[#This Row],[pendingChallan]]&lt;=TrafficData[[#This Row],[totalChallan]])</f>
        <v>1</v>
      </c>
      <c r="O3664" t="b">
        <f>AND(TrafficData[[#This Row],[pendingAmount]]&lt;=TrafficData[[#This Row],[totalAmount]],TrafficData[[#This Row],[disposedAmount]]&lt;=TrafficData[[#This Row],[totalAmount]])</f>
        <v>1</v>
      </c>
      <c r="P3664" t="b">
        <f>AND(TrafficData[[#This Row],[pendingCourt]]&lt;=TrafficData[[#This Row],[totalCourt]],TrafficData[[#This Row],[disposedCourt]]&lt;=TrafficData[[#This Row],[totalCourt]])</f>
        <v>1</v>
      </c>
    </row>
    <row r="3665" spans="1:16">
      <c r="A3665" s="1">
        <v>45669</v>
      </c>
      <c r="B3665">
        <v>252376</v>
      </c>
      <c r="C3665">
        <v>72407</v>
      </c>
      <c r="D3665">
        <v>179969</v>
      </c>
      <c r="E3665">
        <v>321620101</v>
      </c>
      <c r="F3665">
        <v>90466475</v>
      </c>
      <c r="G3665">
        <v>412086576</v>
      </c>
      <c r="H3665">
        <v>102956</v>
      </c>
      <c r="I3665">
        <v>7764</v>
      </c>
      <c r="J3665">
        <v>110720</v>
      </c>
      <c r="K3665" t="b">
        <f>TrafficData[[#This Row],[disposedChallan]]+TrafficData[[#This Row],[pendingChallan]]=TrafficData[[#This Row],[totalChallan]]</f>
        <v>1</v>
      </c>
      <c r="L3665" t="b">
        <f>TrafficData[[#This Row],[pendingAmount]]+TrafficData[[#This Row],[disposedAmount]]=TrafficData[[#This Row],[totalAmount]]</f>
        <v>1</v>
      </c>
      <c r="M3665" t="b">
        <f>TrafficData[[#This Row],[pendingCourt]]+TrafficData[[#This Row],[disposedCourt]]=TrafficData[[#This Row],[totalCourt]]</f>
        <v>1</v>
      </c>
      <c r="N3665" t="b">
        <f>AND(TrafficData[[#This Row],[disposedChallan]]&lt;=TrafficData[[#This Row],[totalChallan]],TrafficData[[#This Row],[pendingChallan]]&lt;=TrafficData[[#This Row],[totalChallan]])</f>
        <v>1</v>
      </c>
      <c r="O3665" t="b">
        <f>AND(TrafficData[[#This Row],[pendingAmount]]&lt;=TrafficData[[#This Row],[totalAmount]],TrafficData[[#This Row],[disposedAmount]]&lt;=TrafficData[[#This Row],[totalAmount]])</f>
        <v>1</v>
      </c>
      <c r="P3665" t="b">
        <f>AND(TrafficData[[#This Row],[pendingCourt]]&lt;=TrafficData[[#This Row],[totalCourt]],TrafficData[[#This Row],[disposedCourt]]&lt;=TrafficData[[#This Row],[totalCourt]])</f>
        <v>1</v>
      </c>
    </row>
    <row r="3666" spans="1:16">
      <c r="A3666" s="1">
        <v>45670</v>
      </c>
      <c r="B3666">
        <v>260226</v>
      </c>
      <c r="C3666">
        <v>72966</v>
      </c>
      <c r="D3666">
        <v>187260</v>
      </c>
      <c r="E3666">
        <v>353277185</v>
      </c>
      <c r="F3666">
        <v>104995517</v>
      </c>
      <c r="G3666">
        <v>458272702</v>
      </c>
      <c r="H3666">
        <v>111711</v>
      </c>
      <c r="I3666">
        <v>8035</v>
      </c>
      <c r="J3666">
        <v>119746</v>
      </c>
      <c r="K3666" t="b">
        <f>TrafficData[[#This Row],[disposedChallan]]+TrafficData[[#This Row],[pendingChallan]]=TrafficData[[#This Row],[totalChallan]]</f>
        <v>1</v>
      </c>
      <c r="L3666" t="b">
        <f>TrafficData[[#This Row],[pendingAmount]]+TrafficData[[#This Row],[disposedAmount]]=TrafficData[[#This Row],[totalAmount]]</f>
        <v>1</v>
      </c>
      <c r="M3666" t="b">
        <f>TrafficData[[#This Row],[pendingCourt]]+TrafficData[[#This Row],[disposedCourt]]=TrafficData[[#This Row],[totalCourt]]</f>
        <v>1</v>
      </c>
      <c r="N3666" t="b">
        <f>AND(TrafficData[[#This Row],[disposedChallan]]&lt;=TrafficData[[#This Row],[totalChallan]],TrafficData[[#This Row],[pendingChallan]]&lt;=TrafficData[[#This Row],[totalChallan]])</f>
        <v>1</v>
      </c>
      <c r="O3666" t="b">
        <f>AND(TrafficData[[#This Row],[pendingAmount]]&lt;=TrafficData[[#This Row],[totalAmount]],TrafficData[[#This Row],[disposedAmount]]&lt;=TrafficData[[#This Row],[totalAmount]])</f>
        <v>1</v>
      </c>
      <c r="P3666" t="b">
        <f>AND(TrafficData[[#This Row],[pendingCourt]]&lt;=TrafficData[[#This Row],[totalCourt]],TrafficData[[#This Row],[disposedCourt]]&lt;=TrafficData[[#This Row],[totalCourt]])</f>
        <v>1</v>
      </c>
    </row>
    <row r="3667" spans="1:16">
      <c r="A3667" s="1">
        <v>45671</v>
      </c>
      <c r="B3667">
        <v>222175</v>
      </c>
      <c r="C3667">
        <v>59845</v>
      </c>
      <c r="D3667">
        <v>162330</v>
      </c>
      <c r="E3667">
        <v>321638654</v>
      </c>
      <c r="F3667">
        <v>90485421</v>
      </c>
      <c r="G3667">
        <v>412124075</v>
      </c>
      <c r="H3667">
        <v>102396</v>
      </c>
      <c r="I3667">
        <v>7609</v>
      </c>
      <c r="J3667">
        <v>110005</v>
      </c>
      <c r="K3667" t="b">
        <f>TrafficData[[#This Row],[disposedChallan]]+TrafficData[[#This Row],[pendingChallan]]=TrafficData[[#This Row],[totalChallan]]</f>
        <v>1</v>
      </c>
      <c r="L3667" t="b">
        <f>TrafficData[[#This Row],[pendingAmount]]+TrafficData[[#This Row],[disposedAmount]]=TrafficData[[#This Row],[totalAmount]]</f>
        <v>1</v>
      </c>
      <c r="M3667" t="b">
        <f>TrafficData[[#This Row],[pendingCourt]]+TrafficData[[#This Row],[disposedCourt]]=TrafficData[[#This Row],[totalCourt]]</f>
        <v>1</v>
      </c>
      <c r="N3667" t="b">
        <f>AND(TrafficData[[#This Row],[disposedChallan]]&lt;=TrafficData[[#This Row],[totalChallan]],TrafficData[[#This Row],[pendingChallan]]&lt;=TrafficData[[#This Row],[totalChallan]])</f>
        <v>1</v>
      </c>
      <c r="O3667" t="b">
        <f>AND(TrafficData[[#This Row],[pendingAmount]]&lt;=TrafficData[[#This Row],[totalAmount]],TrafficData[[#This Row],[disposedAmount]]&lt;=TrafficData[[#This Row],[totalAmount]])</f>
        <v>1</v>
      </c>
      <c r="P3667" t="b">
        <f>AND(TrafficData[[#This Row],[pendingCourt]]&lt;=TrafficData[[#This Row],[totalCourt]],TrafficData[[#This Row],[disposedCourt]]&lt;=TrafficData[[#This Row],[totalCourt]])</f>
        <v>1</v>
      </c>
    </row>
    <row r="3668" spans="1:16">
      <c r="A3668" s="1">
        <v>45672</v>
      </c>
      <c r="B3668">
        <v>245724</v>
      </c>
      <c r="C3668">
        <v>68868</v>
      </c>
      <c r="D3668">
        <v>176856</v>
      </c>
      <c r="E3668">
        <v>346350408</v>
      </c>
      <c r="F3668">
        <v>106194376</v>
      </c>
      <c r="G3668">
        <v>452544784</v>
      </c>
      <c r="H3668">
        <v>102668</v>
      </c>
      <c r="I3668">
        <v>7939</v>
      </c>
      <c r="J3668">
        <v>110607</v>
      </c>
      <c r="K3668" t="b">
        <f>TrafficData[[#This Row],[disposedChallan]]+TrafficData[[#This Row],[pendingChallan]]=TrafficData[[#This Row],[totalChallan]]</f>
        <v>1</v>
      </c>
      <c r="L3668" t="b">
        <f>TrafficData[[#This Row],[pendingAmount]]+TrafficData[[#This Row],[disposedAmount]]=TrafficData[[#This Row],[totalAmount]]</f>
        <v>1</v>
      </c>
      <c r="M3668" t="b">
        <f>TrafficData[[#This Row],[pendingCourt]]+TrafficData[[#This Row],[disposedCourt]]=TrafficData[[#This Row],[totalCourt]]</f>
        <v>1</v>
      </c>
      <c r="N3668" t="b">
        <f>AND(TrafficData[[#This Row],[disposedChallan]]&lt;=TrafficData[[#This Row],[totalChallan]],TrafficData[[#This Row],[pendingChallan]]&lt;=TrafficData[[#This Row],[totalChallan]])</f>
        <v>1</v>
      </c>
      <c r="O3668" t="b">
        <f>AND(TrafficData[[#This Row],[pendingAmount]]&lt;=TrafficData[[#This Row],[totalAmount]],TrafficData[[#This Row],[disposedAmount]]&lt;=TrafficData[[#This Row],[totalAmount]])</f>
        <v>1</v>
      </c>
      <c r="P3668" t="b">
        <f>AND(TrafficData[[#This Row],[pendingCourt]]&lt;=TrafficData[[#This Row],[totalCourt]],TrafficData[[#This Row],[disposedCourt]]&lt;=TrafficData[[#This Row],[totalCourt]])</f>
        <v>1</v>
      </c>
    </row>
    <row r="3669" spans="1:16">
      <c r="A3669" s="1">
        <v>45673</v>
      </c>
      <c r="B3669">
        <v>264069</v>
      </c>
      <c r="C3669">
        <v>76533</v>
      </c>
      <c r="D3669">
        <v>187536</v>
      </c>
      <c r="E3669">
        <v>372704333</v>
      </c>
      <c r="F3669">
        <v>120261559</v>
      </c>
      <c r="G3669">
        <v>492965892</v>
      </c>
      <c r="H3669">
        <v>104734</v>
      </c>
      <c r="I3669">
        <v>8452</v>
      </c>
      <c r="J3669">
        <v>113186</v>
      </c>
      <c r="K3669" t="b">
        <f>TrafficData[[#This Row],[disposedChallan]]+TrafficData[[#This Row],[pendingChallan]]=TrafficData[[#This Row],[totalChallan]]</f>
        <v>1</v>
      </c>
      <c r="L3669" t="b">
        <f>TrafficData[[#This Row],[pendingAmount]]+TrafficData[[#This Row],[disposedAmount]]=TrafficData[[#This Row],[totalAmount]]</f>
        <v>1</v>
      </c>
      <c r="M3669" t="b">
        <f>TrafficData[[#This Row],[pendingCourt]]+TrafficData[[#This Row],[disposedCourt]]=TrafficData[[#This Row],[totalCourt]]</f>
        <v>1</v>
      </c>
      <c r="N3669" t="b">
        <f>AND(TrafficData[[#This Row],[disposedChallan]]&lt;=TrafficData[[#This Row],[totalChallan]],TrafficData[[#This Row],[pendingChallan]]&lt;=TrafficData[[#This Row],[totalChallan]])</f>
        <v>1</v>
      </c>
      <c r="O3669" t="b">
        <f>AND(TrafficData[[#This Row],[pendingAmount]]&lt;=TrafficData[[#This Row],[totalAmount]],TrafficData[[#This Row],[disposedAmount]]&lt;=TrafficData[[#This Row],[totalAmount]])</f>
        <v>1</v>
      </c>
      <c r="P3669" t="b">
        <f>AND(TrafficData[[#This Row],[pendingCourt]]&lt;=TrafficData[[#This Row],[totalCourt]],TrafficData[[#This Row],[disposedCourt]]&lt;=TrafficData[[#This Row],[totalCourt]])</f>
        <v>1</v>
      </c>
    </row>
    <row r="3670" spans="1:16">
      <c r="A3670" s="1">
        <v>45674</v>
      </c>
      <c r="B3670">
        <v>274379</v>
      </c>
      <c r="C3670">
        <v>80777</v>
      </c>
      <c r="D3670">
        <v>193602</v>
      </c>
      <c r="E3670">
        <v>352122864</v>
      </c>
      <c r="F3670">
        <v>127542335</v>
      </c>
      <c r="G3670">
        <v>479665199</v>
      </c>
      <c r="H3670">
        <v>110256</v>
      </c>
      <c r="I3670">
        <v>8341</v>
      </c>
      <c r="J3670">
        <v>118597</v>
      </c>
      <c r="K3670" t="b">
        <f>TrafficData[[#This Row],[disposedChallan]]+TrafficData[[#This Row],[pendingChallan]]=TrafficData[[#This Row],[totalChallan]]</f>
        <v>1</v>
      </c>
      <c r="L3670" t="b">
        <f>TrafficData[[#This Row],[pendingAmount]]+TrafficData[[#This Row],[disposedAmount]]=TrafficData[[#This Row],[totalAmount]]</f>
        <v>1</v>
      </c>
      <c r="M3670" t="b">
        <f>TrafficData[[#This Row],[pendingCourt]]+TrafficData[[#This Row],[disposedCourt]]=TrafficData[[#This Row],[totalCourt]]</f>
        <v>1</v>
      </c>
      <c r="N3670" t="b">
        <f>AND(TrafficData[[#This Row],[disposedChallan]]&lt;=TrafficData[[#This Row],[totalChallan]],TrafficData[[#This Row],[pendingChallan]]&lt;=TrafficData[[#This Row],[totalChallan]])</f>
        <v>1</v>
      </c>
      <c r="O3670" t="b">
        <f>AND(TrafficData[[#This Row],[pendingAmount]]&lt;=TrafficData[[#This Row],[totalAmount]],TrafficData[[#This Row],[disposedAmount]]&lt;=TrafficData[[#This Row],[totalAmount]])</f>
        <v>1</v>
      </c>
      <c r="P3670" t="b">
        <f>AND(TrafficData[[#This Row],[pendingCourt]]&lt;=TrafficData[[#This Row],[totalCourt]],TrafficData[[#This Row],[disposedCourt]]&lt;=TrafficData[[#This Row],[totalCourt]])</f>
        <v>1</v>
      </c>
    </row>
    <row r="3671" spans="1:16">
      <c r="A3671" s="1">
        <v>45675</v>
      </c>
      <c r="B3671">
        <v>277542</v>
      </c>
      <c r="C3671">
        <v>80775</v>
      </c>
      <c r="D3671">
        <v>196767</v>
      </c>
      <c r="E3671">
        <v>335603993</v>
      </c>
      <c r="F3671">
        <v>118664582</v>
      </c>
      <c r="G3671">
        <v>454268575</v>
      </c>
      <c r="H3671">
        <v>107290</v>
      </c>
      <c r="I3671">
        <v>8229</v>
      </c>
      <c r="J3671">
        <v>115519</v>
      </c>
      <c r="K3671" t="b">
        <f>TrafficData[[#This Row],[disposedChallan]]+TrafficData[[#This Row],[pendingChallan]]=TrafficData[[#This Row],[totalChallan]]</f>
        <v>1</v>
      </c>
      <c r="L3671" t="b">
        <f>TrafficData[[#This Row],[pendingAmount]]+TrafficData[[#This Row],[disposedAmount]]=TrafficData[[#This Row],[totalAmount]]</f>
        <v>1</v>
      </c>
      <c r="M3671" t="b">
        <f>TrafficData[[#This Row],[pendingCourt]]+TrafficData[[#This Row],[disposedCourt]]=TrafficData[[#This Row],[totalCourt]]</f>
        <v>1</v>
      </c>
      <c r="N3671" t="b">
        <f>AND(TrafficData[[#This Row],[disposedChallan]]&lt;=TrafficData[[#This Row],[totalChallan]],TrafficData[[#This Row],[pendingChallan]]&lt;=TrafficData[[#This Row],[totalChallan]])</f>
        <v>1</v>
      </c>
      <c r="O3671" t="b">
        <f>AND(TrafficData[[#This Row],[pendingAmount]]&lt;=TrafficData[[#This Row],[totalAmount]],TrafficData[[#This Row],[disposedAmount]]&lt;=TrafficData[[#This Row],[totalAmount]])</f>
        <v>1</v>
      </c>
      <c r="P3671" t="b">
        <f>AND(TrafficData[[#This Row],[pendingCourt]]&lt;=TrafficData[[#This Row],[totalCourt]],TrafficData[[#This Row],[disposedCourt]]&lt;=TrafficData[[#This Row],[totalCourt]])</f>
        <v>1</v>
      </c>
    </row>
    <row r="3672" spans="1:16">
      <c r="A3672" s="1">
        <v>45676</v>
      </c>
      <c r="B3672">
        <v>265299</v>
      </c>
      <c r="C3672">
        <v>74422</v>
      </c>
      <c r="D3672">
        <v>190877</v>
      </c>
      <c r="E3672">
        <v>323389909</v>
      </c>
      <c r="F3672">
        <v>88654310</v>
      </c>
      <c r="G3672">
        <v>412044219</v>
      </c>
      <c r="H3672">
        <v>105347</v>
      </c>
      <c r="I3672">
        <v>7712</v>
      </c>
      <c r="J3672">
        <v>113059</v>
      </c>
      <c r="K3672" t="b">
        <f>TrafficData[[#This Row],[disposedChallan]]+TrafficData[[#This Row],[pendingChallan]]=TrafficData[[#This Row],[totalChallan]]</f>
        <v>1</v>
      </c>
      <c r="L3672" t="b">
        <f>TrafficData[[#This Row],[pendingAmount]]+TrafficData[[#This Row],[disposedAmount]]=TrafficData[[#This Row],[totalAmount]]</f>
        <v>1</v>
      </c>
      <c r="M3672" t="b">
        <f>TrafficData[[#This Row],[pendingCourt]]+TrafficData[[#This Row],[disposedCourt]]=TrafficData[[#This Row],[totalCourt]]</f>
        <v>1</v>
      </c>
      <c r="N3672" t="b">
        <f>AND(TrafficData[[#This Row],[disposedChallan]]&lt;=TrafficData[[#This Row],[totalChallan]],TrafficData[[#This Row],[pendingChallan]]&lt;=TrafficData[[#This Row],[totalChallan]])</f>
        <v>1</v>
      </c>
      <c r="O3672" t="b">
        <f>AND(TrafficData[[#This Row],[pendingAmount]]&lt;=TrafficData[[#This Row],[totalAmount]],TrafficData[[#This Row],[disposedAmount]]&lt;=TrafficData[[#This Row],[totalAmount]])</f>
        <v>1</v>
      </c>
      <c r="P3672" t="b">
        <f>AND(TrafficData[[#This Row],[pendingCourt]]&lt;=TrafficData[[#This Row],[totalCourt]],TrafficData[[#This Row],[disposedCourt]]&lt;=TrafficData[[#This Row],[totalCourt]])</f>
        <v>1</v>
      </c>
    </row>
    <row r="3673" spans="1:16">
      <c r="A3673" s="1">
        <v>45677</v>
      </c>
      <c r="B3673">
        <v>276917</v>
      </c>
      <c r="C3673">
        <v>82410</v>
      </c>
      <c r="D3673">
        <v>194507</v>
      </c>
      <c r="E3673">
        <v>336460514</v>
      </c>
      <c r="F3673">
        <v>116390094</v>
      </c>
      <c r="G3673">
        <v>452850608</v>
      </c>
      <c r="H3673">
        <v>102388</v>
      </c>
      <c r="I3673">
        <v>8081</v>
      </c>
      <c r="J3673">
        <v>110469</v>
      </c>
      <c r="K3673" t="b">
        <f>TrafficData[[#This Row],[disposedChallan]]+TrafficData[[#This Row],[pendingChallan]]=TrafficData[[#This Row],[totalChallan]]</f>
        <v>1</v>
      </c>
      <c r="L3673" t="b">
        <f>TrafficData[[#This Row],[pendingAmount]]+TrafficData[[#This Row],[disposedAmount]]=TrafficData[[#This Row],[totalAmount]]</f>
        <v>1</v>
      </c>
      <c r="M3673" t="b">
        <f>TrafficData[[#This Row],[pendingCourt]]+TrafficData[[#This Row],[disposedCourt]]=TrafficData[[#This Row],[totalCourt]]</f>
        <v>1</v>
      </c>
      <c r="N3673" t="b">
        <f>AND(TrafficData[[#This Row],[disposedChallan]]&lt;=TrafficData[[#This Row],[totalChallan]],TrafficData[[#This Row],[pendingChallan]]&lt;=TrafficData[[#This Row],[totalChallan]])</f>
        <v>1</v>
      </c>
      <c r="O3673" t="b">
        <f>AND(TrafficData[[#This Row],[pendingAmount]]&lt;=TrafficData[[#This Row],[totalAmount]],TrafficData[[#This Row],[disposedAmount]]&lt;=TrafficData[[#This Row],[totalAmount]])</f>
        <v>1</v>
      </c>
      <c r="P3673" t="b">
        <f>AND(TrafficData[[#This Row],[pendingCourt]]&lt;=TrafficData[[#This Row],[totalCourt]],TrafficData[[#This Row],[disposedCourt]]&lt;=TrafficData[[#This Row],[totalCourt]])</f>
        <v>1</v>
      </c>
    </row>
    <row r="3674" spans="1:16">
      <c r="A3674" s="1">
        <v>45678</v>
      </c>
      <c r="B3674">
        <v>272720</v>
      </c>
      <c r="C3674">
        <v>81894</v>
      </c>
      <c r="D3674">
        <v>190826</v>
      </c>
      <c r="E3674">
        <v>333456393</v>
      </c>
      <c r="F3674">
        <v>127452886</v>
      </c>
      <c r="G3674">
        <v>460909279</v>
      </c>
      <c r="H3674">
        <v>105587</v>
      </c>
      <c r="I3674">
        <v>8046</v>
      </c>
      <c r="J3674">
        <v>113633</v>
      </c>
      <c r="K3674" t="b">
        <f>TrafficData[[#This Row],[disposedChallan]]+TrafficData[[#This Row],[pendingChallan]]=TrafficData[[#This Row],[totalChallan]]</f>
        <v>1</v>
      </c>
      <c r="L3674" t="b">
        <f>TrafficData[[#This Row],[pendingAmount]]+TrafficData[[#This Row],[disposedAmount]]=TrafficData[[#This Row],[totalAmount]]</f>
        <v>1</v>
      </c>
      <c r="M3674" t="b">
        <f>TrafficData[[#This Row],[pendingCourt]]+TrafficData[[#This Row],[disposedCourt]]=TrafficData[[#This Row],[totalCourt]]</f>
        <v>1</v>
      </c>
      <c r="N3674" t="b">
        <f>AND(TrafficData[[#This Row],[disposedChallan]]&lt;=TrafficData[[#This Row],[totalChallan]],TrafficData[[#This Row],[pendingChallan]]&lt;=TrafficData[[#This Row],[totalChallan]])</f>
        <v>1</v>
      </c>
      <c r="O3674" t="b">
        <f>AND(TrafficData[[#This Row],[pendingAmount]]&lt;=TrafficData[[#This Row],[totalAmount]],TrafficData[[#This Row],[disposedAmount]]&lt;=TrafficData[[#This Row],[totalAmount]])</f>
        <v>1</v>
      </c>
      <c r="P3674" t="b">
        <f>AND(TrafficData[[#This Row],[pendingCourt]]&lt;=TrafficData[[#This Row],[totalCourt]],TrafficData[[#This Row],[disposedCourt]]&lt;=TrafficData[[#This Row],[totalCourt]])</f>
        <v>1</v>
      </c>
    </row>
    <row r="3675" spans="1:16">
      <c r="A3675" s="1">
        <v>45679</v>
      </c>
      <c r="B3675">
        <v>273270</v>
      </c>
      <c r="C3675">
        <v>81167</v>
      </c>
      <c r="D3675">
        <v>192103</v>
      </c>
      <c r="E3675">
        <v>339926238</v>
      </c>
      <c r="F3675">
        <v>122228906</v>
      </c>
      <c r="G3675">
        <v>462155144</v>
      </c>
      <c r="H3675">
        <v>102728</v>
      </c>
      <c r="I3675">
        <v>8009</v>
      </c>
      <c r="J3675">
        <v>110737</v>
      </c>
      <c r="K3675" t="b">
        <f>TrafficData[[#This Row],[disposedChallan]]+TrafficData[[#This Row],[pendingChallan]]=TrafficData[[#This Row],[totalChallan]]</f>
        <v>1</v>
      </c>
      <c r="L3675" t="b">
        <f>TrafficData[[#This Row],[pendingAmount]]+TrafficData[[#This Row],[disposedAmount]]=TrafficData[[#This Row],[totalAmount]]</f>
        <v>1</v>
      </c>
      <c r="M3675" t="b">
        <f>TrafficData[[#This Row],[pendingCourt]]+TrafficData[[#This Row],[disposedCourt]]=TrafficData[[#This Row],[totalCourt]]</f>
        <v>1</v>
      </c>
      <c r="N3675" t="b">
        <f>AND(TrafficData[[#This Row],[disposedChallan]]&lt;=TrafficData[[#This Row],[totalChallan]],TrafficData[[#This Row],[pendingChallan]]&lt;=TrafficData[[#This Row],[totalChallan]])</f>
        <v>1</v>
      </c>
      <c r="O3675" t="b">
        <f>AND(TrafficData[[#This Row],[pendingAmount]]&lt;=TrafficData[[#This Row],[totalAmount]],TrafficData[[#This Row],[disposedAmount]]&lt;=TrafficData[[#This Row],[totalAmount]])</f>
        <v>1</v>
      </c>
      <c r="P3675" t="b">
        <f>AND(TrafficData[[#This Row],[pendingCourt]]&lt;=TrafficData[[#This Row],[totalCourt]],TrafficData[[#This Row],[disposedCourt]]&lt;=TrafficData[[#This Row],[totalCourt]])</f>
        <v>1</v>
      </c>
    </row>
    <row r="3676" spans="1:16">
      <c r="A3676" s="1">
        <v>45680</v>
      </c>
      <c r="B3676">
        <v>264748</v>
      </c>
      <c r="C3676">
        <v>79985</v>
      </c>
      <c r="D3676">
        <v>184763</v>
      </c>
      <c r="E3676">
        <v>307926848</v>
      </c>
      <c r="F3676">
        <v>112114410</v>
      </c>
      <c r="G3676">
        <v>420041258</v>
      </c>
      <c r="H3676">
        <v>94221</v>
      </c>
      <c r="I3676">
        <v>7323</v>
      </c>
      <c r="J3676">
        <v>101544</v>
      </c>
      <c r="K3676" t="b">
        <f>TrafficData[[#This Row],[disposedChallan]]+TrafficData[[#This Row],[pendingChallan]]=TrafficData[[#This Row],[totalChallan]]</f>
        <v>1</v>
      </c>
      <c r="L3676" t="b">
        <f>TrafficData[[#This Row],[pendingAmount]]+TrafficData[[#This Row],[disposedAmount]]=TrafficData[[#This Row],[totalAmount]]</f>
        <v>1</v>
      </c>
      <c r="M3676" t="b">
        <f>TrafficData[[#This Row],[pendingCourt]]+TrafficData[[#This Row],[disposedCourt]]=TrafficData[[#This Row],[totalCourt]]</f>
        <v>1</v>
      </c>
      <c r="N3676" t="b">
        <f>AND(TrafficData[[#This Row],[disposedChallan]]&lt;=TrafficData[[#This Row],[totalChallan]],TrafficData[[#This Row],[pendingChallan]]&lt;=TrafficData[[#This Row],[totalChallan]])</f>
        <v>1</v>
      </c>
      <c r="O3676" t="b">
        <f>AND(TrafficData[[#This Row],[pendingAmount]]&lt;=TrafficData[[#This Row],[totalAmount]],TrafficData[[#This Row],[disposedAmount]]&lt;=TrafficData[[#This Row],[totalAmount]])</f>
        <v>1</v>
      </c>
      <c r="P3676" t="b">
        <f>AND(TrafficData[[#This Row],[pendingCourt]]&lt;=TrafficData[[#This Row],[totalCourt]],TrafficData[[#This Row],[disposedCourt]]&lt;=TrafficData[[#This Row],[totalCourt]])</f>
        <v>1</v>
      </c>
    </row>
    <row r="3677" spans="1:16">
      <c r="A3677" s="1">
        <v>45681</v>
      </c>
      <c r="B3677">
        <v>276803</v>
      </c>
      <c r="C3677">
        <v>81496</v>
      </c>
      <c r="D3677">
        <v>195307</v>
      </c>
      <c r="E3677">
        <v>355081555</v>
      </c>
      <c r="F3677">
        <v>120337825</v>
      </c>
      <c r="G3677">
        <v>475419380</v>
      </c>
      <c r="H3677">
        <v>104418</v>
      </c>
      <c r="I3677">
        <v>8261</v>
      </c>
      <c r="J3677">
        <v>112679</v>
      </c>
      <c r="K3677" t="b">
        <f>TrafficData[[#This Row],[disposedChallan]]+TrafficData[[#This Row],[pendingChallan]]=TrafficData[[#This Row],[totalChallan]]</f>
        <v>1</v>
      </c>
      <c r="L3677" t="b">
        <f>TrafficData[[#This Row],[pendingAmount]]+TrafficData[[#This Row],[disposedAmount]]=TrafficData[[#This Row],[totalAmount]]</f>
        <v>1</v>
      </c>
      <c r="M3677" t="b">
        <f>TrafficData[[#This Row],[pendingCourt]]+TrafficData[[#This Row],[disposedCourt]]=TrafficData[[#This Row],[totalCourt]]</f>
        <v>1</v>
      </c>
      <c r="N3677" t="b">
        <f>AND(TrafficData[[#This Row],[disposedChallan]]&lt;=TrafficData[[#This Row],[totalChallan]],TrafficData[[#This Row],[pendingChallan]]&lt;=TrafficData[[#This Row],[totalChallan]])</f>
        <v>1</v>
      </c>
      <c r="O3677" t="b">
        <f>AND(TrafficData[[#This Row],[pendingAmount]]&lt;=TrafficData[[#This Row],[totalAmount]],TrafficData[[#This Row],[disposedAmount]]&lt;=TrafficData[[#This Row],[totalAmount]])</f>
        <v>1</v>
      </c>
      <c r="P3677" t="b">
        <f>AND(TrafficData[[#This Row],[pendingCourt]]&lt;=TrafficData[[#This Row],[totalCourt]],TrafficData[[#This Row],[disposedCourt]]&lt;=TrafficData[[#This Row],[totalCourt]])</f>
        <v>1</v>
      </c>
    </row>
    <row r="3678" spans="1:16">
      <c r="A3678" s="1">
        <v>45682</v>
      </c>
      <c r="B3678">
        <v>272892</v>
      </c>
      <c r="C3678">
        <v>81776</v>
      </c>
      <c r="D3678">
        <v>191116</v>
      </c>
      <c r="E3678">
        <v>329928258</v>
      </c>
      <c r="F3678">
        <v>108615892</v>
      </c>
      <c r="G3678">
        <v>438544150</v>
      </c>
      <c r="H3678">
        <v>101421</v>
      </c>
      <c r="I3678">
        <v>8143</v>
      </c>
      <c r="J3678">
        <v>109564</v>
      </c>
      <c r="K3678" t="b">
        <f>TrafficData[[#This Row],[disposedChallan]]+TrafficData[[#This Row],[pendingChallan]]=TrafficData[[#This Row],[totalChallan]]</f>
        <v>1</v>
      </c>
      <c r="L3678" t="b">
        <f>TrafficData[[#This Row],[pendingAmount]]+TrafficData[[#This Row],[disposedAmount]]=TrafficData[[#This Row],[totalAmount]]</f>
        <v>1</v>
      </c>
      <c r="M3678" t="b">
        <f>TrafficData[[#This Row],[pendingCourt]]+TrafficData[[#This Row],[disposedCourt]]=TrafficData[[#This Row],[totalCourt]]</f>
        <v>1</v>
      </c>
      <c r="N3678" t="b">
        <f>AND(TrafficData[[#This Row],[disposedChallan]]&lt;=TrafficData[[#This Row],[totalChallan]],TrafficData[[#This Row],[pendingChallan]]&lt;=TrafficData[[#This Row],[totalChallan]])</f>
        <v>1</v>
      </c>
      <c r="O3678" t="b">
        <f>AND(TrafficData[[#This Row],[pendingAmount]]&lt;=TrafficData[[#This Row],[totalAmount]],TrafficData[[#This Row],[disposedAmount]]&lt;=TrafficData[[#This Row],[totalAmount]])</f>
        <v>1</v>
      </c>
      <c r="P3678" t="b">
        <f>AND(TrafficData[[#This Row],[pendingCourt]]&lt;=TrafficData[[#This Row],[totalCourt]],TrafficData[[#This Row],[disposedCourt]]&lt;=TrafficData[[#This Row],[totalCourt]])</f>
        <v>1</v>
      </c>
    </row>
    <row r="3679" spans="1:16">
      <c r="A3679" s="1">
        <v>45683</v>
      </c>
      <c r="B3679">
        <v>191070</v>
      </c>
      <c r="C3679">
        <v>52652</v>
      </c>
      <c r="D3679">
        <v>138418</v>
      </c>
      <c r="E3679">
        <v>197143930</v>
      </c>
      <c r="F3679">
        <v>55468475</v>
      </c>
      <c r="G3679">
        <v>252612405</v>
      </c>
      <c r="H3679">
        <v>68579</v>
      </c>
      <c r="I3679">
        <v>5110</v>
      </c>
      <c r="J3679">
        <v>73689</v>
      </c>
      <c r="K3679" t="b">
        <f>TrafficData[[#This Row],[disposedChallan]]+TrafficData[[#This Row],[pendingChallan]]=TrafficData[[#This Row],[totalChallan]]</f>
        <v>1</v>
      </c>
      <c r="L3679" t="b">
        <f>TrafficData[[#This Row],[pendingAmount]]+TrafficData[[#This Row],[disposedAmount]]=TrafficData[[#This Row],[totalAmount]]</f>
        <v>1</v>
      </c>
      <c r="M3679" t="b">
        <f>TrafficData[[#This Row],[pendingCourt]]+TrafficData[[#This Row],[disposedCourt]]=TrafficData[[#This Row],[totalCourt]]</f>
        <v>1</v>
      </c>
      <c r="N3679" t="b">
        <f>AND(TrafficData[[#This Row],[disposedChallan]]&lt;=TrafficData[[#This Row],[totalChallan]],TrafficData[[#This Row],[pendingChallan]]&lt;=TrafficData[[#This Row],[totalChallan]])</f>
        <v>1</v>
      </c>
      <c r="O3679" t="b">
        <f>AND(TrafficData[[#This Row],[pendingAmount]]&lt;=TrafficData[[#This Row],[totalAmount]],TrafficData[[#This Row],[disposedAmount]]&lt;=TrafficData[[#This Row],[totalAmount]])</f>
        <v>1</v>
      </c>
      <c r="P3679" t="b">
        <f>AND(TrafficData[[#This Row],[pendingCourt]]&lt;=TrafficData[[#This Row],[totalCourt]],TrafficData[[#This Row],[disposedCourt]]&lt;=TrafficData[[#This Row],[totalCourt]])</f>
        <v>1</v>
      </c>
    </row>
    <row r="3680" spans="1:16">
      <c r="A3680" s="1">
        <v>45684</v>
      </c>
      <c r="B3680">
        <v>275008</v>
      </c>
      <c r="C3680">
        <v>81825</v>
      </c>
      <c r="D3680">
        <v>193183</v>
      </c>
      <c r="E3680">
        <v>342328719</v>
      </c>
      <c r="F3680">
        <v>110925699</v>
      </c>
      <c r="G3680">
        <v>453254418</v>
      </c>
      <c r="H3680">
        <v>104522</v>
      </c>
      <c r="I3680">
        <v>8117</v>
      </c>
      <c r="J3680">
        <v>112639</v>
      </c>
      <c r="K3680" t="b">
        <f>TrafficData[[#This Row],[disposedChallan]]+TrafficData[[#This Row],[pendingChallan]]=TrafficData[[#This Row],[totalChallan]]</f>
        <v>1</v>
      </c>
      <c r="L3680" t="b">
        <f>TrafficData[[#This Row],[pendingAmount]]+TrafficData[[#This Row],[disposedAmount]]=TrafficData[[#This Row],[totalAmount]]</f>
        <v>1</v>
      </c>
      <c r="M3680" t="b">
        <f>TrafficData[[#This Row],[pendingCourt]]+TrafficData[[#This Row],[disposedCourt]]=TrafficData[[#This Row],[totalCourt]]</f>
        <v>1</v>
      </c>
      <c r="N3680" t="b">
        <f>AND(TrafficData[[#This Row],[disposedChallan]]&lt;=TrafficData[[#This Row],[totalChallan]],TrafficData[[#This Row],[pendingChallan]]&lt;=TrafficData[[#This Row],[totalChallan]])</f>
        <v>1</v>
      </c>
      <c r="O3680" t="b">
        <f>AND(TrafficData[[#This Row],[pendingAmount]]&lt;=TrafficData[[#This Row],[totalAmount]],TrafficData[[#This Row],[disposedAmount]]&lt;=TrafficData[[#This Row],[totalAmount]])</f>
        <v>1</v>
      </c>
      <c r="P3680" t="b">
        <f>AND(TrafficData[[#This Row],[pendingCourt]]&lt;=TrafficData[[#This Row],[totalCourt]],TrafficData[[#This Row],[disposedCourt]]&lt;=TrafficData[[#This Row],[totalCourt]])</f>
        <v>1</v>
      </c>
    </row>
    <row r="3681" spans="1:16">
      <c r="A3681" s="1">
        <v>45685</v>
      </c>
      <c r="B3681">
        <v>274454</v>
      </c>
      <c r="C3681">
        <v>81962</v>
      </c>
      <c r="D3681">
        <v>192492</v>
      </c>
      <c r="E3681">
        <v>340997015</v>
      </c>
      <c r="F3681">
        <v>118669744</v>
      </c>
      <c r="G3681">
        <v>459666759</v>
      </c>
      <c r="H3681">
        <v>102099</v>
      </c>
      <c r="I3681">
        <v>7726</v>
      </c>
      <c r="J3681">
        <v>109825</v>
      </c>
      <c r="K3681" t="b">
        <f>TrafficData[[#This Row],[disposedChallan]]+TrafficData[[#This Row],[pendingChallan]]=TrafficData[[#This Row],[totalChallan]]</f>
        <v>1</v>
      </c>
      <c r="L3681" t="b">
        <f>TrafficData[[#This Row],[pendingAmount]]+TrafficData[[#This Row],[disposedAmount]]=TrafficData[[#This Row],[totalAmount]]</f>
        <v>1</v>
      </c>
      <c r="M3681" t="b">
        <f>TrafficData[[#This Row],[pendingCourt]]+TrafficData[[#This Row],[disposedCourt]]=TrafficData[[#This Row],[totalCourt]]</f>
        <v>1</v>
      </c>
      <c r="N3681" t="b">
        <f>AND(TrafficData[[#This Row],[disposedChallan]]&lt;=TrafficData[[#This Row],[totalChallan]],TrafficData[[#This Row],[pendingChallan]]&lt;=TrafficData[[#This Row],[totalChallan]])</f>
        <v>1</v>
      </c>
      <c r="O3681" t="b">
        <f>AND(TrafficData[[#This Row],[pendingAmount]]&lt;=TrafficData[[#This Row],[totalAmount]],TrafficData[[#This Row],[disposedAmount]]&lt;=TrafficData[[#This Row],[totalAmount]])</f>
        <v>1</v>
      </c>
      <c r="P3681" t="b">
        <f>AND(TrafficData[[#This Row],[pendingCourt]]&lt;=TrafficData[[#This Row],[totalCourt]],TrafficData[[#This Row],[disposedCourt]]&lt;=TrafficData[[#This Row],[totalCourt]])</f>
        <v>1</v>
      </c>
    </row>
    <row r="3682" spans="1:16">
      <c r="A3682" s="1">
        <v>45686</v>
      </c>
      <c r="B3682">
        <v>281583</v>
      </c>
      <c r="C3682">
        <v>83897</v>
      </c>
      <c r="D3682">
        <v>197686</v>
      </c>
      <c r="E3682">
        <v>350757286</v>
      </c>
      <c r="F3682">
        <v>121775209</v>
      </c>
      <c r="G3682">
        <v>472532495</v>
      </c>
      <c r="H3682">
        <v>104837</v>
      </c>
      <c r="I3682">
        <v>8103</v>
      </c>
      <c r="J3682">
        <v>112940</v>
      </c>
      <c r="K3682" t="b">
        <f>TrafficData[[#This Row],[disposedChallan]]+TrafficData[[#This Row],[pendingChallan]]=TrafficData[[#This Row],[totalChallan]]</f>
        <v>1</v>
      </c>
      <c r="L3682" t="b">
        <f>TrafficData[[#This Row],[pendingAmount]]+TrafficData[[#This Row],[disposedAmount]]=TrafficData[[#This Row],[totalAmount]]</f>
        <v>1</v>
      </c>
      <c r="M3682" t="b">
        <f>TrafficData[[#This Row],[pendingCourt]]+TrafficData[[#This Row],[disposedCourt]]=TrafficData[[#This Row],[totalCourt]]</f>
        <v>1</v>
      </c>
      <c r="N3682" t="b">
        <f>AND(TrafficData[[#This Row],[disposedChallan]]&lt;=TrafficData[[#This Row],[totalChallan]],TrafficData[[#This Row],[pendingChallan]]&lt;=TrafficData[[#This Row],[totalChallan]])</f>
        <v>1</v>
      </c>
      <c r="O3682" t="b">
        <f>AND(TrafficData[[#This Row],[pendingAmount]]&lt;=TrafficData[[#This Row],[totalAmount]],TrafficData[[#This Row],[disposedAmount]]&lt;=TrafficData[[#This Row],[totalAmount]])</f>
        <v>1</v>
      </c>
      <c r="P3682" t="b">
        <f>AND(TrafficData[[#This Row],[pendingCourt]]&lt;=TrafficData[[#This Row],[totalCourt]],TrafficData[[#This Row],[disposedCourt]]&lt;=TrafficData[[#This Row],[totalCourt]])</f>
        <v>1</v>
      </c>
    </row>
    <row r="3683" spans="1:16">
      <c r="A3683" s="1">
        <v>45687</v>
      </c>
      <c r="B3683">
        <v>270801</v>
      </c>
      <c r="C3683">
        <v>80442</v>
      </c>
      <c r="D3683">
        <v>190359</v>
      </c>
      <c r="E3683">
        <v>352094597</v>
      </c>
      <c r="F3683">
        <v>108429767</v>
      </c>
      <c r="G3683">
        <v>460524364</v>
      </c>
      <c r="H3683">
        <v>99809</v>
      </c>
      <c r="I3683">
        <v>8368</v>
      </c>
      <c r="J3683">
        <v>108177</v>
      </c>
      <c r="K3683" t="b">
        <f>TrafficData[[#This Row],[disposedChallan]]+TrafficData[[#This Row],[pendingChallan]]=TrafficData[[#This Row],[totalChallan]]</f>
        <v>1</v>
      </c>
      <c r="L3683" t="b">
        <f>TrafficData[[#This Row],[pendingAmount]]+TrafficData[[#This Row],[disposedAmount]]=TrafficData[[#This Row],[totalAmount]]</f>
        <v>1</v>
      </c>
      <c r="M3683" t="b">
        <f>TrafficData[[#This Row],[pendingCourt]]+TrafficData[[#This Row],[disposedCourt]]=TrafficData[[#This Row],[totalCourt]]</f>
        <v>1</v>
      </c>
      <c r="N3683" t="b">
        <f>AND(TrafficData[[#This Row],[disposedChallan]]&lt;=TrafficData[[#This Row],[totalChallan]],TrafficData[[#This Row],[pendingChallan]]&lt;=TrafficData[[#This Row],[totalChallan]])</f>
        <v>1</v>
      </c>
      <c r="O3683" t="b">
        <f>AND(TrafficData[[#This Row],[pendingAmount]]&lt;=TrafficData[[#This Row],[totalAmount]],TrafficData[[#This Row],[disposedAmount]]&lt;=TrafficData[[#This Row],[totalAmount]])</f>
        <v>1</v>
      </c>
      <c r="P3683" t="b">
        <f>AND(TrafficData[[#This Row],[pendingCourt]]&lt;=TrafficData[[#This Row],[totalCourt]],TrafficData[[#This Row],[disposedCourt]]&lt;=TrafficData[[#This Row],[totalCourt]])</f>
        <v>1</v>
      </c>
    </row>
    <row r="3684" spans="1:16">
      <c r="A3684" s="1">
        <v>45688</v>
      </c>
      <c r="B3684">
        <v>265387</v>
      </c>
      <c r="C3684">
        <v>78456</v>
      </c>
      <c r="D3684">
        <v>186931</v>
      </c>
      <c r="E3684">
        <v>340146605</v>
      </c>
      <c r="F3684">
        <v>107194370</v>
      </c>
      <c r="G3684">
        <v>447340975</v>
      </c>
      <c r="H3684">
        <v>98305</v>
      </c>
      <c r="I3684">
        <v>8287</v>
      </c>
      <c r="J3684">
        <v>106592</v>
      </c>
      <c r="K3684" t="b">
        <f>TrafficData[[#This Row],[disposedChallan]]+TrafficData[[#This Row],[pendingChallan]]=TrafficData[[#This Row],[totalChallan]]</f>
        <v>1</v>
      </c>
      <c r="L3684" t="b">
        <f>TrafficData[[#This Row],[pendingAmount]]+TrafficData[[#This Row],[disposedAmount]]=TrafficData[[#This Row],[totalAmount]]</f>
        <v>1</v>
      </c>
      <c r="M3684" t="b">
        <f>TrafficData[[#This Row],[pendingCourt]]+TrafficData[[#This Row],[disposedCourt]]=TrafficData[[#This Row],[totalCourt]]</f>
        <v>1</v>
      </c>
      <c r="N3684" t="b">
        <f>AND(TrafficData[[#This Row],[disposedChallan]]&lt;=TrafficData[[#This Row],[totalChallan]],TrafficData[[#This Row],[pendingChallan]]&lt;=TrafficData[[#This Row],[totalChallan]])</f>
        <v>1</v>
      </c>
      <c r="O3684" t="b">
        <f>AND(TrafficData[[#This Row],[pendingAmount]]&lt;=TrafficData[[#This Row],[totalAmount]],TrafficData[[#This Row],[disposedAmount]]&lt;=TrafficData[[#This Row],[totalAmount]])</f>
        <v>1</v>
      </c>
      <c r="P3684" t="b">
        <f>AND(TrafficData[[#This Row],[pendingCourt]]&lt;=TrafficData[[#This Row],[totalCourt]],TrafficData[[#This Row],[disposedCourt]]&lt;=TrafficData[[#This Row],[totalCourt]])</f>
        <v>1</v>
      </c>
    </row>
    <row r="3685" spans="1:16">
      <c r="A3685" s="1">
        <v>45689</v>
      </c>
      <c r="B3685">
        <v>268141</v>
      </c>
      <c r="C3685">
        <v>82917</v>
      </c>
      <c r="D3685">
        <v>185224</v>
      </c>
      <c r="E3685">
        <v>330417872</v>
      </c>
      <c r="F3685">
        <v>120494676</v>
      </c>
      <c r="G3685">
        <v>450912548</v>
      </c>
      <c r="H3685">
        <v>107568</v>
      </c>
      <c r="I3685">
        <v>7939</v>
      </c>
      <c r="J3685">
        <v>115507</v>
      </c>
      <c r="K3685" t="b">
        <f>TrafficData[[#This Row],[disposedChallan]]+TrafficData[[#This Row],[pendingChallan]]=TrafficData[[#This Row],[totalChallan]]</f>
        <v>1</v>
      </c>
      <c r="L3685" t="b">
        <f>TrafficData[[#This Row],[pendingAmount]]+TrafficData[[#This Row],[disposedAmount]]=TrafficData[[#This Row],[totalAmount]]</f>
        <v>1</v>
      </c>
      <c r="M3685" t="b">
        <f>TrafficData[[#This Row],[pendingCourt]]+TrafficData[[#This Row],[disposedCourt]]=TrafficData[[#This Row],[totalCourt]]</f>
        <v>1</v>
      </c>
      <c r="N3685" t="b">
        <f>AND(TrafficData[[#This Row],[disposedChallan]]&lt;=TrafficData[[#This Row],[totalChallan]],TrafficData[[#This Row],[pendingChallan]]&lt;=TrafficData[[#This Row],[totalChallan]])</f>
        <v>1</v>
      </c>
      <c r="O3685" t="b">
        <f>AND(TrafficData[[#This Row],[pendingAmount]]&lt;=TrafficData[[#This Row],[totalAmount]],TrafficData[[#This Row],[disposedAmount]]&lt;=TrafficData[[#This Row],[totalAmount]])</f>
        <v>1</v>
      </c>
      <c r="P3685" t="b">
        <f>AND(TrafficData[[#This Row],[pendingCourt]]&lt;=TrafficData[[#This Row],[totalCourt]],TrafficData[[#This Row],[disposedCourt]]&lt;=TrafficData[[#This Row],[totalCourt]])</f>
        <v>1</v>
      </c>
    </row>
    <row r="3686" spans="1:16">
      <c r="A3686" s="1">
        <v>45690</v>
      </c>
      <c r="B3686">
        <v>250609</v>
      </c>
      <c r="C3686">
        <v>73996</v>
      </c>
      <c r="D3686">
        <v>176613</v>
      </c>
      <c r="E3686">
        <v>292803815</v>
      </c>
      <c r="F3686">
        <v>92952554</v>
      </c>
      <c r="G3686">
        <v>385756369</v>
      </c>
      <c r="H3686">
        <v>95876</v>
      </c>
      <c r="I3686">
        <v>6875</v>
      </c>
      <c r="J3686">
        <v>102751</v>
      </c>
      <c r="K3686" t="b">
        <f>TrafficData[[#This Row],[disposedChallan]]+TrafficData[[#This Row],[pendingChallan]]=TrafficData[[#This Row],[totalChallan]]</f>
        <v>1</v>
      </c>
      <c r="L3686" t="b">
        <f>TrafficData[[#This Row],[pendingAmount]]+TrafficData[[#This Row],[disposedAmount]]=TrafficData[[#This Row],[totalAmount]]</f>
        <v>1</v>
      </c>
      <c r="M3686" t="b">
        <f>TrafficData[[#This Row],[pendingCourt]]+TrafficData[[#This Row],[disposedCourt]]=TrafficData[[#This Row],[totalCourt]]</f>
        <v>1</v>
      </c>
      <c r="N3686" t="b">
        <f>AND(TrafficData[[#This Row],[disposedChallan]]&lt;=TrafficData[[#This Row],[totalChallan]],TrafficData[[#This Row],[pendingChallan]]&lt;=TrafficData[[#This Row],[totalChallan]])</f>
        <v>1</v>
      </c>
      <c r="O3686" t="b">
        <f>AND(TrafficData[[#This Row],[pendingAmount]]&lt;=TrafficData[[#This Row],[totalAmount]],TrafficData[[#This Row],[disposedAmount]]&lt;=TrafficData[[#This Row],[totalAmount]])</f>
        <v>1</v>
      </c>
      <c r="P3686" t="b">
        <f>AND(TrafficData[[#This Row],[pendingCourt]]&lt;=TrafficData[[#This Row],[totalCourt]],TrafficData[[#This Row],[disposedCourt]]&lt;=TrafficData[[#This Row],[totalCourt]])</f>
        <v>1</v>
      </c>
    </row>
    <row r="3687" spans="1:16">
      <c r="A3687" s="1">
        <v>45691</v>
      </c>
      <c r="B3687">
        <v>273454</v>
      </c>
      <c r="C3687">
        <v>80759</v>
      </c>
      <c r="D3687">
        <v>192695</v>
      </c>
      <c r="E3687">
        <v>337155036</v>
      </c>
      <c r="F3687">
        <v>116833746</v>
      </c>
      <c r="G3687">
        <v>453988782</v>
      </c>
      <c r="H3687">
        <v>111337</v>
      </c>
      <c r="I3687">
        <v>7616</v>
      </c>
      <c r="J3687">
        <v>118953</v>
      </c>
      <c r="K3687" t="b">
        <f>TrafficData[[#This Row],[disposedChallan]]+TrafficData[[#This Row],[pendingChallan]]=TrafficData[[#This Row],[totalChallan]]</f>
        <v>1</v>
      </c>
      <c r="L3687" t="b">
        <f>TrafficData[[#This Row],[pendingAmount]]+TrafficData[[#This Row],[disposedAmount]]=TrafficData[[#This Row],[totalAmount]]</f>
        <v>1</v>
      </c>
      <c r="M3687" t="b">
        <f>TrafficData[[#This Row],[pendingCourt]]+TrafficData[[#This Row],[disposedCourt]]=TrafficData[[#This Row],[totalCourt]]</f>
        <v>1</v>
      </c>
      <c r="N3687" t="b">
        <f>AND(TrafficData[[#This Row],[disposedChallan]]&lt;=TrafficData[[#This Row],[totalChallan]],TrafficData[[#This Row],[pendingChallan]]&lt;=TrafficData[[#This Row],[totalChallan]])</f>
        <v>1</v>
      </c>
      <c r="O3687" t="b">
        <f>AND(TrafficData[[#This Row],[pendingAmount]]&lt;=TrafficData[[#This Row],[totalAmount]],TrafficData[[#This Row],[disposedAmount]]&lt;=TrafficData[[#This Row],[totalAmount]])</f>
        <v>1</v>
      </c>
      <c r="P3687" t="b">
        <f>AND(TrafficData[[#This Row],[pendingCourt]]&lt;=TrafficData[[#This Row],[totalCourt]],TrafficData[[#This Row],[disposedCourt]]&lt;=TrafficData[[#This Row],[totalCourt]])</f>
        <v>1</v>
      </c>
    </row>
    <row r="3688" spans="1:16">
      <c r="A3688" s="1">
        <v>45692</v>
      </c>
      <c r="B3688">
        <v>266475</v>
      </c>
      <c r="C3688">
        <v>80031</v>
      </c>
      <c r="D3688">
        <v>186444</v>
      </c>
      <c r="E3688">
        <v>320217101</v>
      </c>
      <c r="F3688">
        <v>126818538</v>
      </c>
      <c r="G3688">
        <v>447035639</v>
      </c>
      <c r="H3688">
        <v>110363</v>
      </c>
      <c r="I3688">
        <v>7479</v>
      </c>
      <c r="J3688">
        <v>117842</v>
      </c>
      <c r="K3688" t="b">
        <f>TrafficData[[#This Row],[disposedChallan]]+TrafficData[[#This Row],[pendingChallan]]=TrafficData[[#This Row],[totalChallan]]</f>
        <v>1</v>
      </c>
      <c r="L3688" t="b">
        <f>TrafficData[[#This Row],[pendingAmount]]+TrafficData[[#This Row],[disposedAmount]]=TrafficData[[#This Row],[totalAmount]]</f>
        <v>1</v>
      </c>
      <c r="M3688" t="b">
        <f>TrafficData[[#This Row],[pendingCourt]]+TrafficData[[#This Row],[disposedCourt]]=TrafficData[[#This Row],[totalCourt]]</f>
        <v>1</v>
      </c>
      <c r="N3688" t="b">
        <f>AND(TrafficData[[#This Row],[disposedChallan]]&lt;=TrafficData[[#This Row],[totalChallan]],TrafficData[[#This Row],[pendingChallan]]&lt;=TrafficData[[#This Row],[totalChallan]])</f>
        <v>1</v>
      </c>
      <c r="O3688" t="b">
        <f>AND(TrafficData[[#This Row],[pendingAmount]]&lt;=TrafficData[[#This Row],[totalAmount]],TrafficData[[#This Row],[disposedAmount]]&lt;=TrafficData[[#This Row],[totalAmount]])</f>
        <v>1</v>
      </c>
      <c r="P3688" t="b">
        <f>AND(TrafficData[[#This Row],[pendingCourt]]&lt;=TrafficData[[#This Row],[totalCourt]],TrafficData[[#This Row],[disposedCourt]]&lt;=TrafficData[[#This Row],[totalCourt]])</f>
        <v>1</v>
      </c>
    </row>
    <row r="3689" spans="1:16">
      <c r="A3689" s="1">
        <v>45693</v>
      </c>
      <c r="B3689">
        <v>276780</v>
      </c>
      <c r="C3689">
        <v>83709</v>
      </c>
      <c r="D3689">
        <v>193071</v>
      </c>
      <c r="E3689">
        <v>330639462</v>
      </c>
      <c r="F3689">
        <v>135046461</v>
      </c>
      <c r="G3689">
        <v>465685923</v>
      </c>
      <c r="H3689">
        <v>114208</v>
      </c>
      <c r="I3689">
        <v>7867</v>
      </c>
      <c r="J3689">
        <v>122075</v>
      </c>
      <c r="K3689" t="b">
        <f>TrafficData[[#This Row],[disposedChallan]]+TrafficData[[#This Row],[pendingChallan]]=TrafficData[[#This Row],[totalChallan]]</f>
        <v>1</v>
      </c>
      <c r="L3689" t="b">
        <f>TrafficData[[#This Row],[pendingAmount]]+TrafficData[[#This Row],[disposedAmount]]=TrafficData[[#This Row],[totalAmount]]</f>
        <v>1</v>
      </c>
      <c r="M3689" t="b">
        <f>TrafficData[[#This Row],[pendingCourt]]+TrafficData[[#This Row],[disposedCourt]]=TrafficData[[#This Row],[totalCourt]]</f>
        <v>1</v>
      </c>
      <c r="N3689" t="b">
        <f>AND(TrafficData[[#This Row],[disposedChallan]]&lt;=TrafficData[[#This Row],[totalChallan]],TrafficData[[#This Row],[pendingChallan]]&lt;=TrafficData[[#This Row],[totalChallan]])</f>
        <v>1</v>
      </c>
      <c r="O3689" t="b">
        <f>AND(TrafficData[[#This Row],[pendingAmount]]&lt;=TrafficData[[#This Row],[totalAmount]],TrafficData[[#This Row],[disposedAmount]]&lt;=TrafficData[[#This Row],[totalAmount]])</f>
        <v>1</v>
      </c>
      <c r="P3689" t="b">
        <f>AND(TrafficData[[#This Row],[pendingCourt]]&lt;=TrafficData[[#This Row],[totalCourt]],TrafficData[[#This Row],[disposedCourt]]&lt;=TrafficData[[#This Row],[totalCourt]])</f>
        <v>1</v>
      </c>
    </row>
    <row r="3690" spans="1:16">
      <c r="A3690" s="1">
        <v>45694</v>
      </c>
      <c r="B3690">
        <v>264608</v>
      </c>
      <c r="C3690">
        <v>82042</v>
      </c>
      <c r="D3690">
        <v>182566</v>
      </c>
      <c r="E3690">
        <v>326800677</v>
      </c>
      <c r="F3690">
        <v>136221982</v>
      </c>
      <c r="G3690">
        <v>463022659</v>
      </c>
      <c r="H3690">
        <v>105496</v>
      </c>
      <c r="I3690">
        <v>7490</v>
      </c>
      <c r="J3690">
        <v>112986</v>
      </c>
      <c r="K3690" t="b">
        <f>TrafficData[[#This Row],[disposedChallan]]+TrafficData[[#This Row],[pendingChallan]]=TrafficData[[#This Row],[totalChallan]]</f>
        <v>1</v>
      </c>
      <c r="L3690" t="b">
        <f>TrafficData[[#This Row],[pendingAmount]]+TrafficData[[#This Row],[disposedAmount]]=TrafficData[[#This Row],[totalAmount]]</f>
        <v>1</v>
      </c>
      <c r="M3690" t="b">
        <f>TrafficData[[#This Row],[pendingCourt]]+TrafficData[[#This Row],[disposedCourt]]=TrafficData[[#This Row],[totalCourt]]</f>
        <v>1</v>
      </c>
      <c r="N3690" t="b">
        <f>AND(TrafficData[[#This Row],[disposedChallan]]&lt;=TrafficData[[#This Row],[totalChallan]],TrafficData[[#This Row],[pendingChallan]]&lt;=TrafficData[[#This Row],[totalChallan]])</f>
        <v>1</v>
      </c>
      <c r="O3690" t="b">
        <f>AND(TrafficData[[#This Row],[pendingAmount]]&lt;=TrafficData[[#This Row],[totalAmount]],TrafficData[[#This Row],[disposedAmount]]&lt;=TrafficData[[#This Row],[totalAmount]])</f>
        <v>1</v>
      </c>
      <c r="P3690" t="b">
        <f>AND(TrafficData[[#This Row],[pendingCourt]]&lt;=TrafficData[[#This Row],[totalCourt]],TrafficData[[#This Row],[disposedCourt]]&lt;=TrafficData[[#This Row],[totalCourt]])</f>
        <v>1</v>
      </c>
    </row>
    <row r="3691" spans="1:16">
      <c r="A3691" s="1">
        <v>45695</v>
      </c>
      <c r="B3691">
        <v>268211</v>
      </c>
      <c r="C3691">
        <v>80085</v>
      </c>
      <c r="D3691">
        <v>188126</v>
      </c>
      <c r="E3691">
        <v>343239061</v>
      </c>
      <c r="F3691">
        <v>126672491</v>
      </c>
      <c r="G3691">
        <v>469911552</v>
      </c>
      <c r="H3691">
        <v>108577</v>
      </c>
      <c r="I3691">
        <v>7775</v>
      </c>
      <c r="J3691">
        <v>116352</v>
      </c>
      <c r="K3691" t="b">
        <f>TrafficData[[#This Row],[disposedChallan]]+TrafficData[[#This Row],[pendingChallan]]=TrafficData[[#This Row],[totalChallan]]</f>
        <v>1</v>
      </c>
      <c r="L3691" t="b">
        <f>TrafficData[[#This Row],[pendingAmount]]+TrafficData[[#This Row],[disposedAmount]]=TrafficData[[#This Row],[totalAmount]]</f>
        <v>1</v>
      </c>
      <c r="M3691" t="b">
        <f>TrafficData[[#This Row],[pendingCourt]]+TrafficData[[#This Row],[disposedCourt]]=TrafficData[[#This Row],[totalCourt]]</f>
        <v>1</v>
      </c>
      <c r="N3691" t="b">
        <f>AND(TrafficData[[#This Row],[disposedChallan]]&lt;=TrafficData[[#This Row],[totalChallan]],TrafficData[[#This Row],[pendingChallan]]&lt;=TrafficData[[#This Row],[totalChallan]])</f>
        <v>1</v>
      </c>
      <c r="O3691" t="b">
        <f>AND(TrafficData[[#This Row],[pendingAmount]]&lt;=TrafficData[[#This Row],[totalAmount]],TrafficData[[#This Row],[disposedAmount]]&lt;=TrafficData[[#This Row],[totalAmount]])</f>
        <v>1</v>
      </c>
      <c r="P3691" t="b">
        <f>AND(TrafficData[[#This Row],[pendingCourt]]&lt;=TrafficData[[#This Row],[totalCourt]],TrafficData[[#This Row],[disposedCourt]]&lt;=TrafficData[[#This Row],[totalCourt]])</f>
        <v>1</v>
      </c>
    </row>
    <row r="3692" spans="1:16">
      <c r="A3692" s="1">
        <v>45696</v>
      </c>
      <c r="B3692">
        <v>260195</v>
      </c>
      <c r="C3692">
        <v>79413</v>
      </c>
      <c r="D3692">
        <v>180782</v>
      </c>
      <c r="E3692">
        <v>307085039</v>
      </c>
      <c r="F3692">
        <v>104362117</v>
      </c>
      <c r="G3692">
        <v>411447156</v>
      </c>
      <c r="H3692">
        <v>101979</v>
      </c>
      <c r="I3692">
        <v>7602</v>
      </c>
      <c r="J3692">
        <v>109581</v>
      </c>
      <c r="K3692" t="b">
        <f>TrafficData[[#This Row],[disposedChallan]]+TrafficData[[#This Row],[pendingChallan]]=TrafficData[[#This Row],[totalChallan]]</f>
        <v>1</v>
      </c>
      <c r="L3692" t="b">
        <f>TrafficData[[#This Row],[pendingAmount]]+TrafficData[[#This Row],[disposedAmount]]=TrafficData[[#This Row],[totalAmount]]</f>
        <v>1</v>
      </c>
      <c r="M3692" t="b">
        <f>TrafficData[[#This Row],[pendingCourt]]+TrafficData[[#This Row],[disposedCourt]]=TrafficData[[#This Row],[totalCourt]]</f>
        <v>1</v>
      </c>
      <c r="N3692" t="b">
        <f>AND(TrafficData[[#This Row],[disposedChallan]]&lt;=TrafficData[[#This Row],[totalChallan]],TrafficData[[#This Row],[pendingChallan]]&lt;=TrafficData[[#This Row],[totalChallan]])</f>
        <v>1</v>
      </c>
      <c r="O3692" t="b">
        <f>AND(TrafficData[[#This Row],[pendingAmount]]&lt;=TrafficData[[#This Row],[totalAmount]],TrafficData[[#This Row],[disposedAmount]]&lt;=TrafficData[[#This Row],[totalAmount]])</f>
        <v>1</v>
      </c>
      <c r="P3692" t="b">
        <f>AND(TrafficData[[#This Row],[pendingCourt]]&lt;=TrafficData[[#This Row],[totalCourt]],TrafficData[[#This Row],[disposedCourt]]&lt;=TrafficData[[#This Row],[totalCourt]])</f>
        <v>1</v>
      </c>
    </row>
    <row r="3693" spans="1:16">
      <c r="A3693" s="1">
        <v>45697</v>
      </c>
      <c r="B3693">
        <v>244444</v>
      </c>
      <c r="C3693">
        <v>72755</v>
      </c>
      <c r="D3693">
        <v>171689</v>
      </c>
      <c r="E3693">
        <v>288094887</v>
      </c>
      <c r="F3693">
        <v>89828053</v>
      </c>
      <c r="G3693">
        <v>377922940</v>
      </c>
      <c r="H3693">
        <v>98911</v>
      </c>
      <c r="I3693">
        <v>7236</v>
      </c>
      <c r="J3693">
        <v>106147</v>
      </c>
      <c r="K3693" t="b">
        <f>TrafficData[[#This Row],[disposedChallan]]+TrafficData[[#This Row],[pendingChallan]]=TrafficData[[#This Row],[totalChallan]]</f>
        <v>1</v>
      </c>
      <c r="L3693" t="b">
        <f>TrafficData[[#This Row],[pendingAmount]]+TrafficData[[#This Row],[disposedAmount]]=TrafficData[[#This Row],[totalAmount]]</f>
        <v>1</v>
      </c>
      <c r="M3693" t="b">
        <f>TrafficData[[#This Row],[pendingCourt]]+TrafficData[[#This Row],[disposedCourt]]=TrafficData[[#This Row],[totalCourt]]</f>
        <v>1</v>
      </c>
      <c r="N3693" t="b">
        <f>AND(TrafficData[[#This Row],[disposedChallan]]&lt;=TrafficData[[#This Row],[totalChallan]],TrafficData[[#This Row],[pendingChallan]]&lt;=TrafficData[[#This Row],[totalChallan]])</f>
        <v>1</v>
      </c>
      <c r="O3693" t="b">
        <f>AND(TrafficData[[#This Row],[pendingAmount]]&lt;=TrafficData[[#This Row],[totalAmount]],TrafficData[[#This Row],[disposedAmount]]&lt;=TrafficData[[#This Row],[totalAmount]])</f>
        <v>1</v>
      </c>
      <c r="P3693" t="b">
        <f>AND(TrafficData[[#This Row],[pendingCourt]]&lt;=TrafficData[[#This Row],[totalCourt]],TrafficData[[#This Row],[disposedCourt]]&lt;=TrafficData[[#This Row],[totalCourt]])</f>
        <v>1</v>
      </c>
    </row>
    <row r="3694" spans="1:16">
      <c r="A3694" s="1">
        <v>45698</v>
      </c>
      <c r="B3694">
        <v>269892</v>
      </c>
      <c r="C3694">
        <v>79842</v>
      </c>
      <c r="D3694">
        <v>190050</v>
      </c>
      <c r="E3694">
        <v>337108050</v>
      </c>
      <c r="F3694">
        <v>119043588</v>
      </c>
      <c r="G3694">
        <v>456151638</v>
      </c>
      <c r="H3694">
        <v>114378</v>
      </c>
      <c r="I3694">
        <v>7933</v>
      </c>
      <c r="J3694">
        <v>122311</v>
      </c>
      <c r="K3694" t="b">
        <f>TrafficData[[#This Row],[disposedChallan]]+TrafficData[[#This Row],[pendingChallan]]=TrafficData[[#This Row],[totalChallan]]</f>
        <v>1</v>
      </c>
      <c r="L3694" t="b">
        <f>TrafficData[[#This Row],[pendingAmount]]+TrafficData[[#This Row],[disposedAmount]]=TrafficData[[#This Row],[totalAmount]]</f>
        <v>1</v>
      </c>
      <c r="M3694" t="b">
        <f>TrafficData[[#This Row],[pendingCourt]]+TrafficData[[#This Row],[disposedCourt]]=TrafficData[[#This Row],[totalCourt]]</f>
        <v>1</v>
      </c>
      <c r="N3694" t="b">
        <f>AND(TrafficData[[#This Row],[disposedChallan]]&lt;=TrafficData[[#This Row],[totalChallan]],TrafficData[[#This Row],[pendingChallan]]&lt;=TrafficData[[#This Row],[totalChallan]])</f>
        <v>1</v>
      </c>
      <c r="O3694" t="b">
        <f>AND(TrafficData[[#This Row],[pendingAmount]]&lt;=TrafficData[[#This Row],[totalAmount]],TrafficData[[#This Row],[disposedAmount]]&lt;=TrafficData[[#This Row],[totalAmount]])</f>
        <v>1</v>
      </c>
      <c r="P3694" t="b">
        <f>AND(TrafficData[[#This Row],[pendingCourt]]&lt;=TrafficData[[#This Row],[totalCourt]],TrafficData[[#This Row],[disposedCourt]]&lt;=TrafficData[[#This Row],[totalCourt]])</f>
        <v>1</v>
      </c>
    </row>
    <row r="3695" spans="1:16">
      <c r="A3695" s="1">
        <v>45699</v>
      </c>
      <c r="B3695">
        <v>272736</v>
      </c>
      <c r="C3695">
        <v>80803</v>
      </c>
      <c r="D3695">
        <v>191933</v>
      </c>
      <c r="E3695">
        <v>361574049</v>
      </c>
      <c r="F3695">
        <v>138450939</v>
      </c>
      <c r="G3695">
        <v>500024988</v>
      </c>
      <c r="H3695">
        <v>112691</v>
      </c>
      <c r="I3695">
        <v>7586</v>
      </c>
      <c r="J3695">
        <v>120277</v>
      </c>
      <c r="K3695" t="b">
        <f>TrafficData[[#This Row],[disposedChallan]]+TrafficData[[#This Row],[pendingChallan]]=TrafficData[[#This Row],[totalChallan]]</f>
        <v>1</v>
      </c>
      <c r="L3695" t="b">
        <f>TrafficData[[#This Row],[pendingAmount]]+TrafficData[[#This Row],[disposedAmount]]=TrafficData[[#This Row],[totalAmount]]</f>
        <v>1</v>
      </c>
      <c r="M3695" t="b">
        <f>TrafficData[[#This Row],[pendingCourt]]+TrafficData[[#This Row],[disposedCourt]]=TrafficData[[#This Row],[totalCourt]]</f>
        <v>1</v>
      </c>
      <c r="N3695" t="b">
        <f>AND(TrafficData[[#This Row],[disposedChallan]]&lt;=TrafficData[[#This Row],[totalChallan]],TrafficData[[#This Row],[pendingChallan]]&lt;=TrafficData[[#This Row],[totalChallan]])</f>
        <v>1</v>
      </c>
      <c r="O3695" t="b">
        <f>AND(TrafficData[[#This Row],[pendingAmount]]&lt;=TrafficData[[#This Row],[totalAmount]],TrafficData[[#This Row],[disposedAmount]]&lt;=TrafficData[[#This Row],[totalAmount]])</f>
        <v>1</v>
      </c>
      <c r="P3695" t="b">
        <f>AND(TrafficData[[#This Row],[pendingCourt]]&lt;=TrafficData[[#This Row],[totalCourt]],TrafficData[[#This Row],[disposedCourt]]&lt;=TrafficData[[#This Row],[totalCourt]])</f>
        <v>1</v>
      </c>
    </row>
    <row r="3696" spans="1:16">
      <c r="A3696" s="1">
        <v>45700</v>
      </c>
      <c r="B3696">
        <v>268772</v>
      </c>
      <c r="C3696">
        <v>80403</v>
      </c>
      <c r="D3696">
        <v>188369</v>
      </c>
      <c r="E3696">
        <v>352196709</v>
      </c>
      <c r="F3696">
        <v>132442297</v>
      </c>
      <c r="G3696">
        <v>484639006</v>
      </c>
      <c r="H3696">
        <v>107336</v>
      </c>
      <c r="I3696">
        <v>7561</v>
      </c>
      <c r="J3696">
        <v>114897</v>
      </c>
      <c r="K3696" t="b">
        <f>TrafficData[[#This Row],[disposedChallan]]+TrafficData[[#This Row],[pendingChallan]]=TrafficData[[#This Row],[totalChallan]]</f>
        <v>1</v>
      </c>
      <c r="L3696" t="b">
        <f>TrafficData[[#This Row],[pendingAmount]]+TrafficData[[#This Row],[disposedAmount]]=TrafficData[[#This Row],[totalAmount]]</f>
        <v>1</v>
      </c>
      <c r="M3696" t="b">
        <f>TrafficData[[#This Row],[pendingCourt]]+TrafficData[[#This Row],[disposedCourt]]=TrafficData[[#This Row],[totalCourt]]</f>
        <v>1</v>
      </c>
      <c r="N3696" t="b">
        <f>AND(TrafficData[[#This Row],[disposedChallan]]&lt;=TrafficData[[#This Row],[totalChallan]],TrafficData[[#This Row],[pendingChallan]]&lt;=TrafficData[[#This Row],[totalChallan]])</f>
        <v>1</v>
      </c>
      <c r="O3696" t="b">
        <f>AND(TrafficData[[#This Row],[pendingAmount]]&lt;=TrafficData[[#This Row],[totalAmount]],TrafficData[[#This Row],[disposedAmount]]&lt;=TrafficData[[#This Row],[totalAmount]])</f>
        <v>1</v>
      </c>
      <c r="P3696" t="b">
        <f>AND(TrafficData[[#This Row],[pendingCourt]]&lt;=TrafficData[[#This Row],[totalCourt]],TrafficData[[#This Row],[disposedCourt]]&lt;=TrafficData[[#This Row],[totalCourt]])</f>
        <v>1</v>
      </c>
    </row>
    <row r="3697" spans="1:16">
      <c r="A3697" s="1">
        <v>45701</v>
      </c>
      <c r="B3697">
        <v>267545</v>
      </c>
      <c r="C3697">
        <v>80498</v>
      </c>
      <c r="D3697">
        <v>187047</v>
      </c>
      <c r="E3697">
        <v>354749409</v>
      </c>
      <c r="F3697">
        <v>126114209</v>
      </c>
      <c r="G3697">
        <v>480863618</v>
      </c>
      <c r="H3697">
        <v>105300</v>
      </c>
      <c r="I3697">
        <v>7306</v>
      </c>
      <c r="J3697">
        <v>112606</v>
      </c>
      <c r="K3697" t="b">
        <f>TrafficData[[#This Row],[disposedChallan]]+TrafficData[[#This Row],[pendingChallan]]=TrafficData[[#This Row],[totalChallan]]</f>
        <v>1</v>
      </c>
      <c r="L3697" t="b">
        <f>TrafficData[[#This Row],[pendingAmount]]+TrafficData[[#This Row],[disposedAmount]]=TrafficData[[#This Row],[totalAmount]]</f>
        <v>1</v>
      </c>
      <c r="M3697" t="b">
        <f>TrafficData[[#This Row],[pendingCourt]]+TrafficData[[#This Row],[disposedCourt]]=TrafficData[[#This Row],[totalCourt]]</f>
        <v>1</v>
      </c>
      <c r="N3697" t="b">
        <f>AND(TrafficData[[#This Row],[disposedChallan]]&lt;=TrafficData[[#This Row],[totalChallan]],TrafficData[[#This Row],[pendingChallan]]&lt;=TrafficData[[#This Row],[totalChallan]])</f>
        <v>1</v>
      </c>
      <c r="O3697" t="b">
        <f>AND(TrafficData[[#This Row],[pendingAmount]]&lt;=TrafficData[[#This Row],[totalAmount]],TrafficData[[#This Row],[disposedAmount]]&lt;=TrafficData[[#This Row],[totalAmount]])</f>
        <v>1</v>
      </c>
      <c r="P3697" t="b">
        <f>AND(TrafficData[[#This Row],[pendingCourt]]&lt;=TrafficData[[#This Row],[totalCourt]],TrafficData[[#This Row],[disposedCourt]]&lt;=TrafficData[[#This Row],[totalCourt]])</f>
        <v>1</v>
      </c>
    </row>
    <row r="3698" spans="1:16">
      <c r="A3698" s="1">
        <v>45702</v>
      </c>
      <c r="B3698">
        <v>272413</v>
      </c>
      <c r="C3698">
        <v>81446</v>
      </c>
      <c r="D3698">
        <v>190967</v>
      </c>
      <c r="E3698">
        <v>350601999</v>
      </c>
      <c r="F3698">
        <v>134627710</v>
      </c>
      <c r="G3698">
        <v>485229709</v>
      </c>
      <c r="H3698">
        <v>102973</v>
      </c>
      <c r="I3698">
        <v>7189</v>
      </c>
      <c r="J3698">
        <v>110162</v>
      </c>
      <c r="K3698" t="b">
        <f>TrafficData[[#This Row],[disposedChallan]]+TrafficData[[#This Row],[pendingChallan]]=TrafficData[[#This Row],[totalChallan]]</f>
        <v>1</v>
      </c>
      <c r="L3698" t="b">
        <f>TrafficData[[#This Row],[pendingAmount]]+TrafficData[[#This Row],[disposedAmount]]=TrafficData[[#This Row],[totalAmount]]</f>
        <v>1</v>
      </c>
      <c r="M3698" t="b">
        <f>TrafficData[[#This Row],[pendingCourt]]+TrafficData[[#This Row],[disposedCourt]]=TrafficData[[#This Row],[totalCourt]]</f>
        <v>1</v>
      </c>
      <c r="N3698" t="b">
        <f>AND(TrafficData[[#This Row],[disposedChallan]]&lt;=TrafficData[[#This Row],[totalChallan]],TrafficData[[#This Row],[pendingChallan]]&lt;=TrafficData[[#This Row],[totalChallan]])</f>
        <v>1</v>
      </c>
      <c r="O3698" t="b">
        <f>AND(TrafficData[[#This Row],[pendingAmount]]&lt;=TrafficData[[#This Row],[totalAmount]],TrafficData[[#This Row],[disposedAmount]]&lt;=TrafficData[[#This Row],[totalAmount]])</f>
        <v>1</v>
      </c>
      <c r="P3698" t="b">
        <f>AND(TrafficData[[#This Row],[pendingCourt]]&lt;=TrafficData[[#This Row],[totalCourt]],TrafficData[[#This Row],[disposedCourt]]&lt;=TrafficData[[#This Row],[totalCourt]])</f>
        <v>1</v>
      </c>
    </row>
    <row r="3699" spans="1:16">
      <c r="A3699" s="1">
        <v>45703</v>
      </c>
      <c r="B3699">
        <v>300480</v>
      </c>
      <c r="C3699">
        <v>89339</v>
      </c>
      <c r="D3699">
        <v>211141</v>
      </c>
      <c r="E3699">
        <v>366271339</v>
      </c>
      <c r="F3699">
        <v>127310190</v>
      </c>
      <c r="G3699">
        <v>493581529</v>
      </c>
      <c r="H3699">
        <v>117524</v>
      </c>
      <c r="I3699">
        <v>8826</v>
      </c>
      <c r="J3699">
        <v>126350</v>
      </c>
      <c r="K3699" t="b">
        <f>TrafficData[[#This Row],[disposedChallan]]+TrafficData[[#This Row],[pendingChallan]]=TrafficData[[#This Row],[totalChallan]]</f>
        <v>1</v>
      </c>
      <c r="L3699" t="b">
        <f>TrafficData[[#This Row],[pendingAmount]]+TrafficData[[#This Row],[disposedAmount]]=TrafficData[[#This Row],[totalAmount]]</f>
        <v>1</v>
      </c>
      <c r="M3699" t="b">
        <f>TrafficData[[#This Row],[pendingCourt]]+TrafficData[[#This Row],[disposedCourt]]=TrafficData[[#This Row],[totalCourt]]</f>
        <v>1</v>
      </c>
      <c r="N3699" t="b">
        <f>AND(TrafficData[[#This Row],[disposedChallan]]&lt;=TrafficData[[#This Row],[totalChallan]],TrafficData[[#This Row],[pendingChallan]]&lt;=TrafficData[[#This Row],[totalChallan]])</f>
        <v>1</v>
      </c>
      <c r="O3699" t="b">
        <f>AND(TrafficData[[#This Row],[pendingAmount]]&lt;=TrafficData[[#This Row],[totalAmount]],TrafficData[[#This Row],[disposedAmount]]&lt;=TrafficData[[#This Row],[totalAmount]])</f>
        <v>1</v>
      </c>
      <c r="P3699" t="b">
        <f>AND(TrafficData[[#This Row],[pendingCourt]]&lt;=TrafficData[[#This Row],[totalCourt]],TrafficData[[#This Row],[disposedCourt]]&lt;=TrafficData[[#This Row],[totalCourt]])</f>
        <v>1</v>
      </c>
    </row>
    <row r="3700" spans="1:16">
      <c r="A3700" s="1">
        <v>45704</v>
      </c>
      <c r="B3700">
        <v>266530</v>
      </c>
      <c r="C3700">
        <v>75877</v>
      </c>
      <c r="D3700">
        <v>190653</v>
      </c>
      <c r="E3700">
        <v>306393614</v>
      </c>
      <c r="F3700">
        <v>97528381</v>
      </c>
      <c r="G3700">
        <v>403921995</v>
      </c>
      <c r="H3700">
        <v>104141</v>
      </c>
      <c r="I3700">
        <v>6889</v>
      </c>
      <c r="J3700">
        <v>111030</v>
      </c>
      <c r="K3700" t="b">
        <f>TrafficData[[#This Row],[disposedChallan]]+TrafficData[[#This Row],[pendingChallan]]=TrafficData[[#This Row],[totalChallan]]</f>
        <v>1</v>
      </c>
      <c r="L3700" t="b">
        <f>TrafficData[[#This Row],[pendingAmount]]+TrafficData[[#This Row],[disposedAmount]]=TrafficData[[#This Row],[totalAmount]]</f>
        <v>1</v>
      </c>
      <c r="M3700" t="b">
        <f>TrafficData[[#This Row],[pendingCourt]]+TrafficData[[#This Row],[disposedCourt]]=TrafficData[[#This Row],[totalCourt]]</f>
        <v>1</v>
      </c>
      <c r="N3700" t="b">
        <f>AND(TrafficData[[#This Row],[disposedChallan]]&lt;=TrafficData[[#This Row],[totalChallan]],TrafficData[[#This Row],[pendingChallan]]&lt;=TrafficData[[#This Row],[totalChallan]])</f>
        <v>1</v>
      </c>
      <c r="O3700" t="b">
        <f>AND(TrafficData[[#This Row],[pendingAmount]]&lt;=TrafficData[[#This Row],[totalAmount]],TrafficData[[#This Row],[disposedAmount]]&lt;=TrafficData[[#This Row],[totalAmount]])</f>
        <v>1</v>
      </c>
      <c r="P3700" t="b">
        <f>AND(TrafficData[[#This Row],[pendingCourt]]&lt;=TrafficData[[#This Row],[totalCourt]],TrafficData[[#This Row],[disposedCourt]]&lt;=TrafficData[[#This Row],[totalCourt]])</f>
        <v>1</v>
      </c>
    </row>
    <row r="3701" spans="1:16">
      <c r="A3701" s="1">
        <v>45705</v>
      </c>
      <c r="B3701">
        <v>287878</v>
      </c>
      <c r="C3701">
        <v>81544</v>
      </c>
      <c r="D3701">
        <v>206334</v>
      </c>
      <c r="E3701">
        <v>368949750</v>
      </c>
      <c r="F3701">
        <v>129093919</v>
      </c>
      <c r="G3701">
        <v>498043669</v>
      </c>
      <c r="H3701">
        <v>115759</v>
      </c>
      <c r="I3701">
        <v>8076</v>
      </c>
      <c r="J3701">
        <v>123835</v>
      </c>
      <c r="K3701" t="b">
        <f>TrafficData[[#This Row],[disposedChallan]]+TrafficData[[#This Row],[pendingChallan]]=TrafficData[[#This Row],[totalChallan]]</f>
        <v>1</v>
      </c>
      <c r="L3701" t="b">
        <f>TrafficData[[#This Row],[pendingAmount]]+TrafficData[[#This Row],[disposedAmount]]=TrafficData[[#This Row],[totalAmount]]</f>
        <v>1</v>
      </c>
      <c r="M3701" t="b">
        <f>TrafficData[[#This Row],[pendingCourt]]+TrafficData[[#This Row],[disposedCourt]]=TrafficData[[#This Row],[totalCourt]]</f>
        <v>1</v>
      </c>
      <c r="N3701" t="b">
        <f>AND(TrafficData[[#This Row],[disposedChallan]]&lt;=TrafficData[[#This Row],[totalChallan]],TrafficData[[#This Row],[pendingChallan]]&lt;=TrafficData[[#This Row],[totalChallan]])</f>
        <v>1</v>
      </c>
      <c r="O3701" t="b">
        <f>AND(TrafficData[[#This Row],[pendingAmount]]&lt;=TrafficData[[#This Row],[totalAmount]],TrafficData[[#This Row],[disposedAmount]]&lt;=TrafficData[[#This Row],[totalAmount]])</f>
        <v>1</v>
      </c>
      <c r="P3701" t="b">
        <f>AND(TrafficData[[#This Row],[pendingCourt]]&lt;=TrafficData[[#This Row],[totalCourt]],TrafficData[[#This Row],[disposedCourt]]&lt;=TrafficData[[#This Row],[totalCourt]])</f>
        <v>1</v>
      </c>
    </row>
    <row r="3702" spans="1:16">
      <c r="A3702" s="1">
        <v>45706</v>
      </c>
      <c r="B3702">
        <v>292279</v>
      </c>
      <c r="C3702">
        <v>84717</v>
      </c>
      <c r="D3702">
        <v>207562</v>
      </c>
      <c r="E3702">
        <v>377819602</v>
      </c>
      <c r="F3702">
        <v>143844416</v>
      </c>
      <c r="G3702">
        <v>521664018</v>
      </c>
      <c r="H3702">
        <v>115827</v>
      </c>
      <c r="I3702">
        <v>7892</v>
      </c>
      <c r="J3702">
        <v>123719</v>
      </c>
      <c r="K3702" t="b">
        <f>TrafficData[[#This Row],[disposedChallan]]+TrafficData[[#This Row],[pendingChallan]]=TrafficData[[#This Row],[totalChallan]]</f>
        <v>1</v>
      </c>
      <c r="L3702" t="b">
        <f>TrafficData[[#This Row],[pendingAmount]]+TrafficData[[#This Row],[disposedAmount]]=TrafficData[[#This Row],[totalAmount]]</f>
        <v>1</v>
      </c>
      <c r="M3702" t="b">
        <f>TrafficData[[#This Row],[pendingCourt]]+TrafficData[[#This Row],[disposedCourt]]=TrafficData[[#This Row],[totalCourt]]</f>
        <v>1</v>
      </c>
      <c r="N3702" t="b">
        <f>AND(TrafficData[[#This Row],[disposedChallan]]&lt;=TrafficData[[#This Row],[totalChallan]],TrafficData[[#This Row],[pendingChallan]]&lt;=TrafficData[[#This Row],[totalChallan]])</f>
        <v>1</v>
      </c>
      <c r="O3702" t="b">
        <f>AND(TrafficData[[#This Row],[pendingAmount]]&lt;=TrafficData[[#This Row],[totalAmount]],TrafficData[[#This Row],[disposedAmount]]&lt;=TrafficData[[#This Row],[totalAmount]])</f>
        <v>1</v>
      </c>
      <c r="P3702" t="b">
        <f>AND(TrafficData[[#This Row],[pendingCourt]]&lt;=TrafficData[[#This Row],[totalCourt]],TrafficData[[#This Row],[disposedCourt]]&lt;=TrafficData[[#This Row],[totalCourt]])</f>
        <v>1</v>
      </c>
    </row>
    <row r="3703" spans="1:16">
      <c r="A3703" s="1">
        <v>45707</v>
      </c>
      <c r="B3703">
        <v>291743</v>
      </c>
      <c r="C3703">
        <v>84292</v>
      </c>
      <c r="D3703">
        <v>207451</v>
      </c>
      <c r="E3703">
        <v>385151438</v>
      </c>
      <c r="F3703">
        <v>136496744</v>
      </c>
      <c r="G3703">
        <v>521648182</v>
      </c>
      <c r="H3703">
        <v>117270</v>
      </c>
      <c r="I3703">
        <v>7920</v>
      </c>
      <c r="J3703">
        <v>125190</v>
      </c>
      <c r="K3703" t="b">
        <f>TrafficData[[#This Row],[disposedChallan]]+TrafficData[[#This Row],[pendingChallan]]=TrafficData[[#This Row],[totalChallan]]</f>
        <v>1</v>
      </c>
      <c r="L3703" t="b">
        <f>TrafficData[[#This Row],[pendingAmount]]+TrafficData[[#This Row],[disposedAmount]]=TrafficData[[#This Row],[totalAmount]]</f>
        <v>1</v>
      </c>
      <c r="M3703" t="b">
        <f>TrafficData[[#This Row],[pendingCourt]]+TrafficData[[#This Row],[disposedCourt]]=TrafficData[[#This Row],[totalCourt]]</f>
        <v>1</v>
      </c>
      <c r="N3703" t="b">
        <f>AND(TrafficData[[#This Row],[disposedChallan]]&lt;=TrafficData[[#This Row],[totalChallan]],TrafficData[[#This Row],[pendingChallan]]&lt;=TrafficData[[#This Row],[totalChallan]])</f>
        <v>1</v>
      </c>
      <c r="O3703" t="b">
        <f>AND(TrafficData[[#This Row],[pendingAmount]]&lt;=TrafficData[[#This Row],[totalAmount]],TrafficData[[#This Row],[disposedAmount]]&lt;=TrafficData[[#This Row],[totalAmount]])</f>
        <v>1</v>
      </c>
      <c r="P3703" t="b">
        <f>AND(TrafficData[[#This Row],[pendingCourt]]&lt;=TrafficData[[#This Row],[totalCourt]],TrafficData[[#This Row],[disposedCourt]]&lt;=TrafficData[[#This Row],[totalCourt]])</f>
        <v>1</v>
      </c>
    </row>
    <row r="3704" spans="1:16">
      <c r="A3704" s="1">
        <v>45708</v>
      </c>
      <c r="B3704">
        <v>272641</v>
      </c>
      <c r="C3704">
        <v>79896</v>
      </c>
      <c r="D3704">
        <v>192745</v>
      </c>
      <c r="E3704">
        <v>361388713</v>
      </c>
      <c r="F3704">
        <v>131214752</v>
      </c>
      <c r="G3704">
        <v>492603465</v>
      </c>
      <c r="H3704">
        <v>106467</v>
      </c>
      <c r="I3704">
        <v>7197</v>
      </c>
      <c r="J3704">
        <v>113664</v>
      </c>
      <c r="K3704" t="b">
        <f>TrafficData[[#This Row],[disposedChallan]]+TrafficData[[#This Row],[pendingChallan]]=TrafficData[[#This Row],[totalChallan]]</f>
        <v>1</v>
      </c>
      <c r="L3704" t="b">
        <f>TrafficData[[#This Row],[pendingAmount]]+TrafficData[[#This Row],[disposedAmount]]=TrafficData[[#This Row],[totalAmount]]</f>
        <v>1</v>
      </c>
      <c r="M3704" t="b">
        <f>TrafficData[[#This Row],[pendingCourt]]+TrafficData[[#This Row],[disposedCourt]]=TrafficData[[#This Row],[totalCourt]]</f>
        <v>1</v>
      </c>
      <c r="N3704" t="b">
        <f>AND(TrafficData[[#This Row],[disposedChallan]]&lt;=TrafficData[[#This Row],[totalChallan]],TrafficData[[#This Row],[pendingChallan]]&lt;=TrafficData[[#This Row],[totalChallan]])</f>
        <v>1</v>
      </c>
      <c r="O3704" t="b">
        <f>AND(TrafficData[[#This Row],[pendingAmount]]&lt;=TrafficData[[#This Row],[totalAmount]],TrafficData[[#This Row],[disposedAmount]]&lt;=TrafficData[[#This Row],[totalAmount]])</f>
        <v>1</v>
      </c>
      <c r="P3704" t="b">
        <f>AND(TrafficData[[#This Row],[pendingCourt]]&lt;=TrafficData[[#This Row],[totalCourt]],TrafficData[[#This Row],[disposedCourt]]&lt;=TrafficData[[#This Row],[totalCourt]])</f>
        <v>1</v>
      </c>
    </row>
    <row r="3705" spans="1:16">
      <c r="A3705" s="1">
        <v>45709</v>
      </c>
      <c r="B3705">
        <v>282769</v>
      </c>
      <c r="C3705">
        <v>83941</v>
      </c>
      <c r="D3705">
        <v>198828</v>
      </c>
      <c r="E3705">
        <v>374365414</v>
      </c>
      <c r="F3705">
        <v>137973964</v>
      </c>
      <c r="G3705">
        <v>512339378</v>
      </c>
      <c r="H3705">
        <v>113207</v>
      </c>
      <c r="I3705">
        <v>7780</v>
      </c>
      <c r="J3705">
        <v>120987</v>
      </c>
      <c r="K3705" t="b">
        <f>TrafficData[[#This Row],[disposedChallan]]+TrafficData[[#This Row],[pendingChallan]]=TrafficData[[#This Row],[totalChallan]]</f>
        <v>1</v>
      </c>
      <c r="L3705" t="b">
        <f>TrafficData[[#This Row],[pendingAmount]]+TrafficData[[#This Row],[disposedAmount]]=TrafficData[[#This Row],[totalAmount]]</f>
        <v>1</v>
      </c>
      <c r="M3705" t="b">
        <f>TrafficData[[#This Row],[pendingCourt]]+TrafficData[[#This Row],[disposedCourt]]=TrafficData[[#This Row],[totalCourt]]</f>
        <v>1</v>
      </c>
      <c r="N3705" t="b">
        <f>AND(TrafficData[[#This Row],[disposedChallan]]&lt;=TrafficData[[#This Row],[totalChallan]],TrafficData[[#This Row],[pendingChallan]]&lt;=TrafficData[[#This Row],[totalChallan]])</f>
        <v>1</v>
      </c>
      <c r="O3705" t="b">
        <f>AND(TrafficData[[#This Row],[pendingAmount]]&lt;=TrafficData[[#This Row],[totalAmount]],TrafficData[[#This Row],[disposedAmount]]&lt;=TrafficData[[#This Row],[totalAmount]])</f>
        <v>1</v>
      </c>
      <c r="P3705" t="b">
        <f>AND(TrafficData[[#This Row],[pendingCourt]]&lt;=TrafficData[[#This Row],[totalCourt]],TrafficData[[#This Row],[disposedCourt]]&lt;=TrafficData[[#This Row],[totalCourt]])</f>
        <v>1</v>
      </c>
    </row>
    <row r="3706" spans="1:16">
      <c r="A3706" s="1">
        <v>45710</v>
      </c>
      <c r="B3706">
        <v>281965</v>
      </c>
      <c r="C3706">
        <v>84607</v>
      </c>
      <c r="D3706">
        <v>197358</v>
      </c>
      <c r="E3706">
        <v>361787301</v>
      </c>
      <c r="F3706">
        <v>122915052</v>
      </c>
      <c r="G3706">
        <v>484702353</v>
      </c>
      <c r="H3706">
        <v>96906</v>
      </c>
      <c r="I3706">
        <v>7952</v>
      </c>
      <c r="J3706">
        <v>104858</v>
      </c>
      <c r="K3706" t="b">
        <f>TrafficData[[#This Row],[disposedChallan]]+TrafficData[[#This Row],[pendingChallan]]=TrafficData[[#This Row],[totalChallan]]</f>
        <v>1</v>
      </c>
      <c r="L3706" t="b">
        <f>TrafficData[[#This Row],[pendingAmount]]+TrafficData[[#This Row],[disposedAmount]]=TrafficData[[#This Row],[totalAmount]]</f>
        <v>1</v>
      </c>
      <c r="M3706" t="b">
        <f>TrafficData[[#This Row],[pendingCourt]]+TrafficData[[#This Row],[disposedCourt]]=TrafficData[[#This Row],[totalCourt]]</f>
        <v>1</v>
      </c>
      <c r="N3706" t="b">
        <f>AND(TrafficData[[#This Row],[disposedChallan]]&lt;=TrafficData[[#This Row],[totalChallan]],TrafficData[[#This Row],[pendingChallan]]&lt;=TrafficData[[#This Row],[totalChallan]])</f>
        <v>1</v>
      </c>
      <c r="O3706" t="b">
        <f>AND(TrafficData[[#This Row],[pendingAmount]]&lt;=TrafficData[[#This Row],[totalAmount]],TrafficData[[#This Row],[disposedAmount]]&lt;=TrafficData[[#This Row],[totalAmount]])</f>
        <v>1</v>
      </c>
      <c r="P3706" t="b">
        <f>AND(TrafficData[[#This Row],[pendingCourt]]&lt;=TrafficData[[#This Row],[totalCourt]],TrafficData[[#This Row],[disposedCourt]]&lt;=TrafficData[[#This Row],[totalCourt]])</f>
        <v>1</v>
      </c>
    </row>
    <row r="3707" spans="1:16">
      <c r="A3707" s="1">
        <v>45711</v>
      </c>
      <c r="B3707">
        <v>254167</v>
      </c>
      <c r="C3707">
        <v>73538</v>
      </c>
      <c r="D3707">
        <v>180629</v>
      </c>
      <c r="E3707">
        <v>296628552</v>
      </c>
      <c r="F3707">
        <v>95721763</v>
      </c>
      <c r="G3707">
        <v>392350315</v>
      </c>
      <c r="H3707">
        <v>101402</v>
      </c>
      <c r="I3707">
        <v>7035</v>
      </c>
      <c r="J3707">
        <v>108437</v>
      </c>
      <c r="K3707" t="b">
        <f>TrafficData[[#This Row],[disposedChallan]]+TrafficData[[#This Row],[pendingChallan]]=TrafficData[[#This Row],[totalChallan]]</f>
        <v>1</v>
      </c>
      <c r="L3707" t="b">
        <f>TrafficData[[#This Row],[pendingAmount]]+TrafficData[[#This Row],[disposedAmount]]=TrafficData[[#This Row],[totalAmount]]</f>
        <v>1</v>
      </c>
      <c r="M3707" t="b">
        <f>TrafficData[[#This Row],[pendingCourt]]+TrafficData[[#This Row],[disposedCourt]]=TrafficData[[#This Row],[totalCourt]]</f>
        <v>1</v>
      </c>
      <c r="N3707" t="b">
        <f>AND(TrafficData[[#This Row],[disposedChallan]]&lt;=TrafficData[[#This Row],[totalChallan]],TrafficData[[#This Row],[pendingChallan]]&lt;=TrafficData[[#This Row],[totalChallan]])</f>
        <v>1</v>
      </c>
      <c r="O3707" t="b">
        <f>AND(TrafficData[[#This Row],[pendingAmount]]&lt;=TrafficData[[#This Row],[totalAmount]],TrafficData[[#This Row],[disposedAmount]]&lt;=TrafficData[[#This Row],[totalAmount]])</f>
        <v>1</v>
      </c>
      <c r="P3707" t="b">
        <f>AND(TrafficData[[#This Row],[pendingCourt]]&lt;=TrafficData[[#This Row],[totalCourt]],TrafficData[[#This Row],[disposedCourt]]&lt;=TrafficData[[#This Row],[totalCourt]])</f>
        <v>1</v>
      </c>
    </row>
    <row r="3708" spans="1:16">
      <c r="A3708" s="1">
        <v>45712</v>
      </c>
      <c r="B3708">
        <v>283910</v>
      </c>
      <c r="C3708">
        <v>78384</v>
      </c>
      <c r="D3708">
        <v>205526</v>
      </c>
      <c r="E3708">
        <v>392091734</v>
      </c>
      <c r="F3708">
        <v>117790803</v>
      </c>
      <c r="G3708">
        <v>509882537</v>
      </c>
      <c r="H3708">
        <v>117093</v>
      </c>
      <c r="I3708">
        <v>8141</v>
      </c>
      <c r="J3708">
        <v>125234</v>
      </c>
      <c r="K3708" t="b">
        <f>TrafficData[[#This Row],[disposedChallan]]+TrafficData[[#This Row],[pendingChallan]]=TrafficData[[#This Row],[totalChallan]]</f>
        <v>1</v>
      </c>
      <c r="L3708" t="b">
        <f>TrafficData[[#This Row],[pendingAmount]]+TrafficData[[#This Row],[disposedAmount]]=TrafficData[[#This Row],[totalAmount]]</f>
        <v>1</v>
      </c>
      <c r="M3708" t="b">
        <f>TrafficData[[#This Row],[pendingCourt]]+TrafficData[[#This Row],[disposedCourt]]=TrafficData[[#This Row],[totalCourt]]</f>
        <v>1</v>
      </c>
      <c r="N3708" t="b">
        <f>AND(TrafficData[[#This Row],[disposedChallan]]&lt;=TrafficData[[#This Row],[totalChallan]],TrafficData[[#This Row],[pendingChallan]]&lt;=TrafficData[[#This Row],[totalChallan]])</f>
        <v>1</v>
      </c>
      <c r="O3708" t="b">
        <f>AND(TrafficData[[#This Row],[pendingAmount]]&lt;=TrafficData[[#This Row],[totalAmount]],TrafficData[[#This Row],[disposedAmount]]&lt;=TrafficData[[#This Row],[totalAmount]])</f>
        <v>1</v>
      </c>
      <c r="P3708" t="b">
        <f>AND(TrafficData[[#This Row],[pendingCourt]]&lt;=TrafficData[[#This Row],[totalCourt]],TrafficData[[#This Row],[disposedCourt]]&lt;=TrafficData[[#This Row],[totalCourt]])</f>
        <v>1</v>
      </c>
    </row>
    <row r="3709" spans="1:16">
      <c r="A3709" s="1">
        <v>45713</v>
      </c>
      <c r="B3709">
        <v>278490</v>
      </c>
      <c r="C3709">
        <v>77617</v>
      </c>
      <c r="D3709">
        <v>200873</v>
      </c>
      <c r="E3709">
        <v>399528156</v>
      </c>
      <c r="F3709">
        <v>125690284</v>
      </c>
      <c r="G3709">
        <v>525218440</v>
      </c>
      <c r="H3709">
        <v>118733</v>
      </c>
      <c r="I3709">
        <v>8019</v>
      </c>
      <c r="J3709">
        <v>126752</v>
      </c>
      <c r="K3709" t="b">
        <f>TrafficData[[#This Row],[disposedChallan]]+TrafficData[[#This Row],[pendingChallan]]=TrafficData[[#This Row],[totalChallan]]</f>
        <v>1</v>
      </c>
      <c r="L3709" t="b">
        <f>TrafficData[[#This Row],[pendingAmount]]+TrafficData[[#This Row],[disposedAmount]]=TrafficData[[#This Row],[totalAmount]]</f>
        <v>1</v>
      </c>
      <c r="M3709" t="b">
        <f>TrafficData[[#This Row],[pendingCourt]]+TrafficData[[#This Row],[disposedCourt]]=TrafficData[[#This Row],[totalCourt]]</f>
        <v>1</v>
      </c>
      <c r="N3709" t="b">
        <f>AND(TrafficData[[#This Row],[disposedChallan]]&lt;=TrafficData[[#This Row],[totalChallan]],TrafficData[[#This Row],[pendingChallan]]&lt;=TrafficData[[#This Row],[totalChallan]])</f>
        <v>1</v>
      </c>
      <c r="O3709" t="b">
        <f>AND(TrafficData[[#This Row],[pendingAmount]]&lt;=TrafficData[[#This Row],[totalAmount]],TrafficData[[#This Row],[disposedAmount]]&lt;=TrafficData[[#This Row],[totalAmount]])</f>
        <v>1</v>
      </c>
      <c r="P3709" t="b">
        <f>AND(TrafficData[[#This Row],[pendingCourt]]&lt;=TrafficData[[#This Row],[totalCourt]],TrafficData[[#This Row],[disposedCourt]]&lt;=TrafficData[[#This Row],[totalCourt]])</f>
        <v>1</v>
      </c>
    </row>
    <row r="3710" spans="1:16">
      <c r="A3710" s="1">
        <v>45714</v>
      </c>
      <c r="B3710">
        <v>240411</v>
      </c>
      <c r="C3710">
        <v>64078</v>
      </c>
      <c r="D3710">
        <v>176333</v>
      </c>
      <c r="E3710">
        <v>322910687</v>
      </c>
      <c r="F3710">
        <v>89238122</v>
      </c>
      <c r="G3710">
        <v>412148809</v>
      </c>
      <c r="H3710">
        <v>102154</v>
      </c>
      <c r="I3710">
        <v>6940</v>
      </c>
      <c r="J3710">
        <v>109094</v>
      </c>
      <c r="K3710" t="b">
        <f>TrafficData[[#This Row],[disposedChallan]]+TrafficData[[#This Row],[pendingChallan]]=TrafficData[[#This Row],[totalChallan]]</f>
        <v>1</v>
      </c>
      <c r="L3710" t="b">
        <f>TrafficData[[#This Row],[pendingAmount]]+TrafficData[[#This Row],[disposedAmount]]=TrafficData[[#This Row],[totalAmount]]</f>
        <v>1</v>
      </c>
      <c r="M3710" t="b">
        <f>TrafficData[[#This Row],[pendingCourt]]+TrafficData[[#This Row],[disposedCourt]]=TrafficData[[#This Row],[totalCourt]]</f>
        <v>1</v>
      </c>
      <c r="N3710" t="b">
        <f>AND(TrafficData[[#This Row],[disposedChallan]]&lt;=TrafficData[[#This Row],[totalChallan]],TrafficData[[#This Row],[pendingChallan]]&lt;=TrafficData[[#This Row],[totalChallan]])</f>
        <v>1</v>
      </c>
      <c r="O3710" t="b">
        <f>AND(TrafficData[[#This Row],[pendingAmount]]&lt;=TrafficData[[#This Row],[totalAmount]],TrafficData[[#This Row],[disposedAmount]]&lt;=TrafficData[[#This Row],[totalAmount]])</f>
        <v>1</v>
      </c>
      <c r="P3710" t="b">
        <f>AND(TrafficData[[#This Row],[pendingCourt]]&lt;=TrafficData[[#This Row],[totalCourt]],TrafficData[[#This Row],[disposedCourt]]&lt;=TrafficData[[#This Row],[totalCourt]])</f>
        <v>1</v>
      </c>
    </row>
    <row r="3711" spans="1:16">
      <c r="A3711" s="1">
        <v>45715</v>
      </c>
      <c r="B3711">
        <v>258139</v>
      </c>
      <c r="C3711">
        <v>70089</v>
      </c>
      <c r="D3711">
        <v>188050</v>
      </c>
      <c r="E3711">
        <v>368155254</v>
      </c>
      <c r="F3711">
        <v>177050512</v>
      </c>
      <c r="G3711">
        <v>545205766</v>
      </c>
      <c r="H3711">
        <v>111514</v>
      </c>
      <c r="I3711">
        <v>7086</v>
      </c>
      <c r="J3711">
        <v>118600</v>
      </c>
      <c r="K3711" t="b">
        <f>TrafficData[[#This Row],[disposedChallan]]+TrafficData[[#This Row],[pendingChallan]]=TrafficData[[#This Row],[totalChallan]]</f>
        <v>1</v>
      </c>
      <c r="L3711" t="b">
        <f>TrafficData[[#This Row],[pendingAmount]]+TrafficData[[#This Row],[disposedAmount]]=TrafficData[[#This Row],[totalAmount]]</f>
        <v>1</v>
      </c>
      <c r="M3711" t="b">
        <f>TrafficData[[#This Row],[pendingCourt]]+TrafficData[[#This Row],[disposedCourt]]=TrafficData[[#This Row],[totalCourt]]</f>
        <v>1</v>
      </c>
      <c r="N3711" t="b">
        <f>AND(TrafficData[[#This Row],[disposedChallan]]&lt;=TrafficData[[#This Row],[totalChallan]],TrafficData[[#This Row],[pendingChallan]]&lt;=TrafficData[[#This Row],[totalChallan]])</f>
        <v>1</v>
      </c>
      <c r="O3711" t="b">
        <f>AND(TrafficData[[#This Row],[pendingAmount]]&lt;=TrafficData[[#This Row],[totalAmount]],TrafficData[[#This Row],[disposedAmount]]&lt;=TrafficData[[#This Row],[totalAmount]])</f>
        <v>1</v>
      </c>
      <c r="P3711" t="b">
        <f>AND(TrafficData[[#This Row],[pendingCourt]]&lt;=TrafficData[[#This Row],[totalCourt]],TrafficData[[#This Row],[disposedCourt]]&lt;=TrafficData[[#This Row],[totalCourt]])</f>
        <v>1</v>
      </c>
    </row>
    <row r="3712" spans="1:16">
      <c r="A3712" s="1">
        <v>45716</v>
      </c>
      <c r="B3712">
        <v>267561</v>
      </c>
      <c r="C3712">
        <v>75223</v>
      </c>
      <c r="D3712">
        <v>192338</v>
      </c>
      <c r="E3712">
        <v>361606046</v>
      </c>
      <c r="F3712">
        <v>122300346</v>
      </c>
      <c r="G3712">
        <v>483906392</v>
      </c>
      <c r="H3712">
        <v>111076</v>
      </c>
      <c r="I3712">
        <v>7162</v>
      </c>
      <c r="J3712">
        <v>118238</v>
      </c>
      <c r="K3712" t="b">
        <f>TrafficData[[#This Row],[disposedChallan]]+TrafficData[[#This Row],[pendingChallan]]=TrafficData[[#This Row],[totalChallan]]</f>
        <v>1</v>
      </c>
      <c r="L3712" t="b">
        <f>TrafficData[[#This Row],[pendingAmount]]+TrafficData[[#This Row],[disposedAmount]]=TrafficData[[#This Row],[totalAmount]]</f>
        <v>1</v>
      </c>
      <c r="M3712" t="b">
        <f>TrafficData[[#This Row],[pendingCourt]]+TrafficData[[#This Row],[disposedCourt]]=TrafficData[[#This Row],[totalCourt]]</f>
        <v>1</v>
      </c>
      <c r="N3712" t="b">
        <f>AND(TrafficData[[#This Row],[disposedChallan]]&lt;=TrafficData[[#This Row],[totalChallan]],TrafficData[[#This Row],[pendingChallan]]&lt;=TrafficData[[#This Row],[totalChallan]])</f>
        <v>1</v>
      </c>
      <c r="O3712" t="b">
        <f>AND(TrafficData[[#This Row],[pendingAmount]]&lt;=TrafficData[[#This Row],[totalAmount]],TrafficData[[#This Row],[disposedAmount]]&lt;=TrafficData[[#This Row],[totalAmount]])</f>
        <v>1</v>
      </c>
      <c r="P3712" t="b">
        <f>AND(TrafficData[[#This Row],[pendingCourt]]&lt;=TrafficData[[#This Row],[totalCourt]],TrafficData[[#This Row],[disposedCourt]]&lt;=TrafficData[[#This Row],[totalCourt]])</f>
        <v>1</v>
      </c>
    </row>
    <row r="3713" spans="1:16">
      <c r="A3713" s="1">
        <v>45717</v>
      </c>
      <c r="B3713">
        <v>265329</v>
      </c>
      <c r="C3713">
        <v>83107</v>
      </c>
      <c r="D3713">
        <v>182222</v>
      </c>
      <c r="E3713">
        <v>340503355</v>
      </c>
      <c r="F3713">
        <v>154805290</v>
      </c>
      <c r="G3713">
        <v>495308645</v>
      </c>
      <c r="H3713">
        <v>101380</v>
      </c>
      <c r="I3713">
        <v>7046</v>
      </c>
      <c r="J3713">
        <v>108426</v>
      </c>
      <c r="K3713" t="b">
        <f>TrafficData[[#This Row],[disposedChallan]]+TrafficData[[#This Row],[pendingChallan]]=TrafficData[[#This Row],[totalChallan]]</f>
        <v>1</v>
      </c>
      <c r="L3713" t="b">
        <f>TrafficData[[#This Row],[pendingAmount]]+TrafficData[[#This Row],[disposedAmount]]=TrafficData[[#This Row],[totalAmount]]</f>
        <v>1</v>
      </c>
      <c r="M3713" t="b">
        <f>TrafficData[[#This Row],[pendingCourt]]+TrafficData[[#This Row],[disposedCourt]]=TrafficData[[#This Row],[totalCourt]]</f>
        <v>1</v>
      </c>
      <c r="N3713" t="b">
        <f>AND(TrafficData[[#This Row],[disposedChallan]]&lt;=TrafficData[[#This Row],[totalChallan]],TrafficData[[#This Row],[pendingChallan]]&lt;=TrafficData[[#This Row],[totalChallan]])</f>
        <v>1</v>
      </c>
      <c r="O3713" t="b">
        <f>AND(TrafficData[[#This Row],[pendingAmount]]&lt;=TrafficData[[#This Row],[totalAmount]],TrafficData[[#This Row],[disposedAmount]]&lt;=TrafficData[[#This Row],[totalAmount]])</f>
        <v>1</v>
      </c>
      <c r="P3713" t="b">
        <f>AND(TrafficData[[#This Row],[pendingCourt]]&lt;=TrafficData[[#This Row],[totalCourt]],TrafficData[[#This Row],[disposedCourt]]&lt;=TrafficData[[#This Row],[totalCourt]])</f>
        <v>1</v>
      </c>
    </row>
    <row r="3714" spans="1:16">
      <c r="A3714" s="1">
        <v>45718</v>
      </c>
      <c r="B3714">
        <v>232304</v>
      </c>
      <c r="C3714">
        <v>75116</v>
      </c>
      <c r="D3714">
        <v>157188</v>
      </c>
      <c r="E3714">
        <v>264332284</v>
      </c>
      <c r="F3714">
        <v>128046450</v>
      </c>
      <c r="G3714">
        <v>392378734</v>
      </c>
      <c r="H3714">
        <v>84801</v>
      </c>
      <c r="I3714">
        <v>5416</v>
      </c>
      <c r="J3714">
        <v>90217</v>
      </c>
      <c r="K3714" t="b">
        <f>TrafficData[[#This Row],[disposedChallan]]+TrafficData[[#This Row],[pendingChallan]]=TrafficData[[#This Row],[totalChallan]]</f>
        <v>1</v>
      </c>
      <c r="L3714" t="b">
        <f>TrafficData[[#This Row],[pendingAmount]]+TrafficData[[#This Row],[disposedAmount]]=TrafficData[[#This Row],[totalAmount]]</f>
        <v>1</v>
      </c>
      <c r="M3714" t="b">
        <f>TrafficData[[#This Row],[pendingCourt]]+TrafficData[[#This Row],[disposedCourt]]=TrafficData[[#This Row],[totalCourt]]</f>
        <v>1</v>
      </c>
      <c r="N3714" t="b">
        <f>AND(TrafficData[[#This Row],[disposedChallan]]&lt;=TrafficData[[#This Row],[totalChallan]],TrafficData[[#This Row],[pendingChallan]]&lt;=TrafficData[[#This Row],[totalChallan]])</f>
        <v>1</v>
      </c>
      <c r="O3714" t="b">
        <f>AND(TrafficData[[#This Row],[pendingAmount]]&lt;=TrafficData[[#This Row],[totalAmount]],TrafficData[[#This Row],[disposedAmount]]&lt;=TrafficData[[#This Row],[totalAmount]])</f>
        <v>1</v>
      </c>
      <c r="P3714" t="b">
        <f>AND(TrafficData[[#This Row],[pendingCourt]]&lt;=TrafficData[[#This Row],[totalCourt]],TrafficData[[#This Row],[disposedCourt]]&lt;=TrafficData[[#This Row],[totalCourt]])</f>
        <v>1</v>
      </c>
    </row>
    <row r="3715" spans="1:16">
      <c r="A3715" s="1">
        <v>45719</v>
      </c>
      <c r="B3715">
        <v>263029</v>
      </c>
      <c r="C3715">
        <v>81318</v>
      </c>
      <c r="D3715">
        <v>181711</v>
      </c>
      <c r="E3715">
        <v>346340916</v>
      </c>
      <c r="F3715">
        <v>159768740</v>
      </c>
      <c r="G3715">
        <v>506109656</v>
      </c>
      <c r="H3715">
        <v>102988</v>
      </c>
      <c r="I3715">
        <v>6393</v>
      </c>
      <c r="J3715">
        <v>109381</v>
      </c>
      <c r="K3715" t="b">
        <f>TrafficData[[#This Row],[disposedChallan]]+TrafficData[[#This Row],[pendingChallan]]=TrafficData[[#This Row],[totalChallan]]</f>
        <v>1</v>
      </c>
      <c r="L3715" t="b">
        <f>TrafficData[[#This Row],[pendingAmount]]+TrafficData[[#This Row],[disposedAmount]]=TrafficData[[#This Row],[totalAmount]]</f>
        <v>1</v>
      </c>
      <c r="M3715" t="b">
        <f>TrafficData[[#This Row],[pendingCourt]]+TrafficData[[#This Row],[disposedCourt]]=TrafficData[[#This Row],[totalCourt]]</f>
        <v>1</v>
      </c>
      <c r="N3715" t="b">
        <f>AND(TrafficData[[#This Row],[disposedChallan]]&lt;=TrafficData[[#This Row],[totalChallan]],TrafficData[[#This Row],[pendingChallan]]&lt;=TrafficData[[#This Row],[totalChallan]])</f>
        <v>1</v>
      </c>
      <c r="O3715" t="b">
        <f>AND(TrafficData[[#This Row],[pendingAmount]]&lt;=TrafficData[[#This Row],[totalAmount]],TrafficData[[#This Row],[disposedAmount]]&lt;=TrafficData[[#This Row],[totalAmount]])</f>
        <v>1</v>
      </c>
      <c r="P3715" t="b">
        <f>AND(TrafficData[[#This Row],[pendingCourt]]&lt;=TrafficData[[#This Row],[totalCourt]],TrafficData[[#This Row],[disposedCourt]]&lt;=TrafficData[[#This Row],[totalCourt]])</f>
        <v>1</v>
      </c>
    </row>
    <row r="3716" spans="1:16">
      <c r="A3716" s="1">
        <v>45720</v>
      </c>
      <c r="B3716">
        <v>254787</v>
      </c>
      <c r="C3716">
        <v>76614</v>
      </c>
      <c r="D3716">
        <v>178173</v>
      </c>
      <c r="E3716">
        <v>348553401</v>
      </c>
      <c r="F3716">
        <v>172179541</v>
      </c>
      <c r="G3716">
        <v>520732942</v>
      </c>
      <c r="H3716">
        <v>103923</v>
      </c>
      <c r="I3716">
        <v>6623</v>
      </c>
      <c r="J3716">
        <v>110546</v>
      </c>
      <c r="K3716" t="b">
        <f>TrafficData[[#This Row],[disposedChallan]]+TrafficData[[#This Row],[pendingChallan]]=TrafficData[[#This Row],[totalChallan]]</f>
        <v>1</v>
      </c>
      <c r="L3716" t="b">
        <f>TrafficData[[#This Row],[pendingAmount]]+TrafficData[[#This Row],[disposedAmount]]=TrafficData[[#This Row],[totalAmount]]</f>
        <v>1</v>
      </c>
      <c r="M3716" t="b">
        <f>TrafficData[[#This Row],[pendingCourt]]+TrafficData[[#This Row],[disposedCourt]]=TrafficData[[#This Row],[totalCourt]]</f>
        <v>1</v>
      </c>
      <c r="N3716" t="b">
        <f>AND(TrafficData[[#This Row],[disposedChallan]]&lt;=TrafficData[[#This Row],[totalChallan]],TrafficData[[#This Row],[pendingChallan]]&lt;=TrafficData[[#This Row],[totalChallan]])</f>
        <v>1</v>
      </c>
      <c r="O3716" t="b">
        <f>AND(TrafficData[[#This Row],[pendingAmount]]&lt;=TrafficData[[#This Row],[totalAmount]],TrafficData[[#This Row],[disposedAmount]]&lt;=TrafficData[[#This Row],[totalAmount]])</f>
        <v>1</v>
      </c>
      <c r="P3716" t="b">
        <f>AND(TrafficData[[#This Row],[pendingCourt]]&lt;=TrafficData[[#This Row],[totalCourt]],TrafficData[[#This Row],[disposedCourt]]&lt;=TrafficData[[#This Row],[totalCourt]])</f>
        <v>1</v>
      </c>
    </row>
    <row r="3717" spans="1:16">
      <c r="A3717" s="1">
        <v>45721</v>
      </c>
      <c r="B3717">
        <v>254294</v>
      </c>
      <c r="C3717">
        <v>75871</v>
      </c>
      <c r="D3717">
        <v>178423</v>
      </c>
      <c r="E3717">
        <v>348310763</v>
      </c>
      <c r="F3717">
        <v>172349247</v>
      </c>
      <c r="G3717">
        <v>520660010</v>
      </c>
      <c r="H3717">
        <v>101057</v>
      </c>
      <c r="I3717">
        <v>6718</v>
      </c>
      <c r="J3717">
        <v>107775</v>
      </c>
      <c r="K3717" t="b">
        <f>TrafficData[[#This Row],[disposedChallan]]+TrafficData[[#This Row],[pendingChallan]]=TrafficData[[#This Row],[totalChallan]]</f>
        <v>1</v>
      </c>
      <c r="L3717" t="b">
        <f>TrafficData[[#This Row],[pendingAmount]]+TrafficData[[#This Row],[disposedAmount]]=TrafficData[[#This Row],[totalAmount]]</f>
        <v>1</v>
      </c>
      <c r="M3717" t="b">
        <f>TrafficData[[#This Row],[pendingCourt]]+TrafficData[[#This Row],[disposedCourt]]=TrafficData[[#This Row],[totalCourt]]</f>
        <v>1</v>
      </c>
      <c r="N3717" t="b">
        <f>AND(TrafficData[[#This Row],[disposedChallan]]&lt;=TrafficData[[#This Row],[totalChallan]],TrafficData[[#This Row],[pendingChallan]]&lt;=TrafficData[[#This Row],[totalChallan]])</f>
        <v>1</v>
      </c>
      <c r="O3717" t="b">
        <f>AND(TrafficData[[#This Row],[pendingAmount]]&lt;=TrafficData[[#This Row],[totalAmount]],TrafficData[[#This Row],[disposedAmount]]&lt;=TrafficData[[#This Row],[totalAmount]])</f>
        <v>1</v>
      </c>
      <c r="P3717" t="b">
        <f>AND(TrafficData[[#This Row],[pendingCourt]]&lt;=TrafficData[[#This Row],[totalCourt]],TrafficData[[#This Row],[disposedCourt]]&lt;=TrafficData[[#This Row],[totalCourt]])</f>
        <v>1</v>
      </c>
    </row>
    <row r="3718" spans="1:16">
      <c r="A3718" s="1">
        <v>45722</v>
      </c>
      <c r="B3718">
        <v>257225</v>
      </c>
      <c r="C3718">
        <v>75319</v>
      </c>
      <c r="D3718">
        <v>181906</v>
      </c>
      <c r="E3718">
        <v>357600110</v>
      </c>
      <c r="F3718">
        <v>234988953</v>
      </c>
      <c r="G3718">
        <v>592589063</v>
      </c>
      <c r="H3718">
        <v>104251</v>
      </c>
      <c r="I3718">
        <v>7044</v>
      </c>
      <c r="J3718">
        <v>111295</v>
      </c>
      <c r="K3718" t="b">
        <f>TrafficData[[#This Row],[disposedChallan]]+TrafficData[[#This Row],[pendingChallan]]=TrafficData[[#This Row],[totalChallan]]</f>
        <v>1</v>
      </c>
      <c r="L3718" t="b">
        <f>TrafficData[[#This Row],[pendingAmount]]+TrafficData[[#This Row],[disposedAmount]]=TrafficData[[#This Row],[totalAmount]]</f>
        <v>1</v>
      </c>
      <c r="M3718" t="b">
        <f>TrafficData[[#This Row],[pendingCourt]]+TrafficData[[#This Row],[disposedCourt]]=TrafficData[[#This Row],[totalCourt]]</f>
        <v>1</v>
      </c>
      <c r="N3718" t="b">
        <f>AND(TrafficData[[#This Row],[disposedChallan]]&lt;=TrafficData[[#This Row],[totalChallan]],TrafficData[[#This Row],[pendingChallan]]&lt;=TrafficData[[#This Row],[totalChallan]])</f>
        <v>1</v>
      </c>
      <c r="O3718" t="b">
        <f>AND(TrafficData[[#This Row],[pendingAmount]]&lt;=TrafficData[[#This Row],[totalAmount]],TrafficData[[#This Row],[disposedAmount]]&lt;=TrafficData[[#This Row],[totalAmount]])</f>
        <v>1</v>
      </c>
      <c r="P3718" t="b">
        <f>AND(TrafficData[[#This Row],[pendingCourt]]&lt;=TrafficData[[#This Row],[totalCourt]],TrafficData[[#This Row],[disposedCourt]]&lt;=TrafficData[[#This Row],[totalCourt]])</f>
        <v>1</v>
      </c>
    </row>
    <row r="3719" spans="1:16">
      <c r="A3719" s="1">
        <v>45723</v>
      </c>
      <c r="B3719">
        <v>268433</v>
      </c>
      <c r="C3719">
        <v>77900</v>
      </c>
      <c r="D3719">
        <v>190533</v>
      </c>
      <c r="E3719">
        <v>373468889</v>
      </c>
      <c r="F3719">
        <v>228697193</v>
      </c>
      <c r="G3719">
        <v>602166082</v>
      </c>
      <c r="H3719">
        <v>108607</v>
      </c>
      <c r="I3719">
        <v>7340</v>
      </c>
      <c r="J3719">
        <v>115947</v>
      </c>
      <c r="K3719" t="b">
        <f>TrafficData[[#This Row],[disposedChallan]]+TrafficData[[#This Row],[pendingChallan]]=TrafficData[[#This Row],[totalChallan]]</f>
        <v>1</v>
      </c>
      <c r="L3719" t="b">
        <f>TrafficData[[#This Row],[pendingAmount]]+TrafficData[[#This Row],[disposedAmount]]=TrafficData[[#This Row],[totalAmount]]</f>
        <v>1</v>
      </c>
      <c r="M3719" t="b">
        <f>TrafficData[[#This Row],[pendingCourt]]+TrafficData[[#This Row],[disposedCourt]]=TrafficData[[#This Row],[totalCourt]]</f>
        <v>1</v>
      </c>
      <c r="N3719" t="b">
        <f>AND(TrafficData[[#This Row],[disposedChallan]]&lt;=TrafficData[[#This Row],[totalChallan]],TrafficData[[#This Row],[pendingChallan]]&lt;=TrafficData[[#This Row],[totalChallan]])</f>
        <v>1</v>
      </c>
      <c r="O3719" t="b">
        <f>AND(TrafficData[[#This Row],[pendingAmount]]&lt;=TrafficData[[#This Row],[totalAmount]],TrafficData[[#This Row],[disposedAmount]]&lt;=TrafficData[[#This Row],[totalAmount]])</f>
        <v>1</v>
      </c>
      <c r="P3719" t="b">
        <f>AND(TrafficData[[#This Row],[pendingCourt]]&lt;=TrafficData[[#This Row],[totalCourt]],TrafficData[[#This Row],[disposedCourt]]&lt;=TrafficData[[#This Row],[totalCourt]])</f>
        <v>1</v>
      </c>
    </row>
    <row r="3720" spans="1:16">
      <c r="A3720" s="1">
        <v>45724</v>
      </c>
      <c r="B3720">
        <v>258626</v>
      </c>
      <c r="C3720">
        <v>77089</v>
      </c>
      <c r="D3720">
        <v>181537</v>
      </c>
      <c r="E3720">
        <v>345622566</v>
      </c>
      <c r="F3720">
        <v>147974092</v>
      </c>
      <c r="G3720">
        <v>493596658</v>
      </c>
      <c r="H3720">
        <v>103401</v>
      </c>
      <c r="I3720">
        <v>7050</v>
      </c>
      <c r="J3720">
        <v>110451</v>
      </c>
      <c r="K3720" t="b">
        <f>TrafficData[[#This Row],[disposedChallan]]+TrafficData[[#This Row],[pendingChallan]]=TrafficData[[#This Row],[totalChallan]]</f>
        <v>1</v>
      </c>
      <c r="L3720" t="b">
        <f>TrafficData[[#This Row],[pendingAmount]]+TrafficData[[#This Row],[disposedAmount]]=TrafficData[[#This Row],[totalAmount]]</f>
        <v>1</v>
      </c>
      <c r="M3720" t="b">
        <f>TrafficData[[#This Row],[pendingCourt]]+TrafficData[[#This Row],[disposedCourt]]=TrafficData[[#This Row],[totalCourt]]</f>
        <v>1</v>
      </c>
      <c r="N3720" t="b">
        <f>AND(TrafficData[[#This Row],[disposedChallan]]&lt;=TrafficData[[#This Row],[totalChallan]],TrafficData[[#This Row],[pendingChallan]]&lt;=TrafficData[[#This Row],[totalChallan]])</f>
        <v>1</v>
      </c>
      <c r="O3720" t="b">
        <f>AND(TrafficData[[#This Row],[pendingAmount]]&lt;=TrafficData[[#This Row],[totalAmount]],TrafficData[[#This Row],[disposedAmount]]&lt;=TrafficData[[#This Row],[totalAmount]])</f>
        <v>1</v>
      </c>
      <c r="P3720" t="b">
        <f>AND(TrafficData[[#This Row],[pendingCourt]]&lt;=TrafficData[[#This Row],[totalCourt]],TrafficData[[#This Row],[disposedCourt]]&lt;=TrafficData[[#This Row],[totalCourt]])</f>
        <v>1</v>
      </c>
    </row>
    <row r="3721" spans="1:16">
      <c r="A3721" s="1">
        <v>45725</v>
      </c>
      <c r="B3721">
        <v>246168</v>
      </c>
      <c r="C3721">
        <v>67608</v>
      </c>
      <c r="D3721">
        <v>178560</v>
      </c>
      <c r="E3721">
        <v>316989750</v>
      </c>
      <c r="F3721">
        <v>118889147</v>
      </c>
      <c r="G3721">
        <v>435878897</v>
      </c>
      <c r="H3721">
        <v>101055</v>
      </c>
      <c r="I3721">
        <v>6379</v>
      </c>
      <c r="J3721">
        <v>107434</v>
      </c>
      <c r="K3721" t="b">
        <f>TrafficData[[#This Row],[disposedChallan]]+TrafficData[[#This Row],[pendingChallan]]=TrafficData[[#This Row],[totalChallan]]</f>
        <v>1</v>
      </c>
      <c r="L3721" t="b">
        <f>TrafficData[[#This Row],[pendingAmount]]+TrafficData[[#This Row],[disposedAmount]]=TrafficData[[#This Row],[totalAmount]]</f>
        <v>1</v>
      </c>
      <c r="M3721" t="b">
        <f>TrafficData[[#This Row],[pendingCourt]]+TrafficData[[#This Row],[disposedCourt]]=TrafficData[[#This Row],[totalCourt]]</f>
        <v>1</v>
      </c>
      <c r="N3721" t="b">
        <f>AND(TrafficData[[#This Row],[disposedChallan]]&lt;=TrafficData[[#This Row],[totalChallan]],TrafficData[[#This Row],[pendingChallan]]&lt;=TrafficData[[#This Row],[totalChallan]])</f>
        <v>1</v>
      </c>
      <c r="O3721" t="b">
        <f>AND(TrafficData[[#This Row],[pendingAmount]]&lt;=TrafficData[[#This Row],[totalAmount]],TrafficData[[#This Row],[disposedAmount]]&lt;=TrafficData[[#This Row],[totalAmount]])</f>
        <v>1</v>
      </c>
      <c r="P3721" t="b">
        <f>AND(TrafficData[[#This Row],[pendingCourt]]&lt;=TrafficData[[#This Row],[totalCourt]],TrafficData[[#This Row],[disposedCourt]]&lt;=TrafficData[[#This Row],[totalCourt]])</f>
        <v>1</v>
      </c>
    </row>
    <row r="3722" spans="1:16">
      <c r="A3722" s="1">
        <v>45726</v>
      </c>
      <c r="B3722">
        <v>268407</v>
      </c>
      <c r="C3722">
        <v>74663</v>
      </c>
      <c r="D3722">
        <v>193744</v>
      </c>
      <c r="E3722">
        <v>379506395</v>
      </c>
      <c r="F3722">
        <v>156559343</v>
      </c>
      <c r="G3722">
        <v>536065738</v>
      </c>
      <c r="H3722">
        <v>115123</v>
      </c>
      <c r="I3722">
        <v>7011</v>
      </c>
      <c r="J3722">
        <v>122134</v>
      </c>
      <c r="K3722" t="b">
        <f>TrafficData[[#This Row],[disposedChallan]]+TrafficData[[#This Row],[pendingChallan]]=TrafficData[[#This Row],[totalChallan]]</f>
        <v>1</v>
      </c>
      <c r="L3722" t="b">
        <f>TrafficData[[#This Row],[pendingAmount]]+TrafficData[[#This Row],[disposedAmount]]=TrafficData[[#This Row],[totalAmount]]</f>
        <v>1</v>
      </c>
      <c r="M3722" t="b">
        <f>TrafficData[[#This Row],[pendingCourt]]+TrafficData[[#This Row],[disposedCourt]]=TrafficData[[#This Row],[totalCourt]]</f>
        <v>1</v>
      </c>
      <c r="N3722" t="b">
        <f>AND(TrafficData[[#This Row],[disposedChallan]]&lt;=TrafficData[[#This Row],[totalChallan]],TrafficData[[#This Row],[pendingChallan]]&lt;=TrafficData[[#This Row],[totalChallan]])</f>
        <v>1</v>
      </c>
      <c r="O3722" t="b">
        <f>AND(TrafficData[[#This Row],[pendingAmount]]&lt;=TrafficData[[#This Row],[totalAmount]],TrafficData[[#This Row],[disposedAmount]]&lt;=TrafficData[[#This Row],[totalAmount]])</f>
        <v>1</v>
      </c>
      <c r="P3722" t="b">
        <f>AND(TrafficData[[#This Row],[pendingCourt]]&lt;=TrafficData[[#This Row],[totalCourt]],TrafficData[[#This Row],[disposedCourt]]&lt;=TrafficData[[#This Row],[totalCourt]])</f>
        <v>1</v>
      </c>
    </row>
    <row r="3723" spans="1:16">
      <c r="A3723" s="1">
        <v>45727</v>
      </c>
      <c r="B3723">
        <v>269497</v>
      </c>
      <c r="C3723">
        <v>75187</v>
      </c>
      <c r="D3723">
        <v>194310</v>
      </c>
      <c r="E3723">
        <v>391868712</v>
      </c>
      <c r="F3723">
        <v>159406034</v>
      </c>
      <c r="G3723">
        <v>551274746</v>
      </c>
      <c r="H3723">
        <v>112445</v>
      </c>
      <c r="I3723">
        <v>7353</v>
      </c>
      <c r="J3723">
        <v>119798</v>
      </c>
      <c r="K3723" t="b">
        <f>TrafficData[[#This Row],[disposedChallan]]+TrafficData[[#This Row],[pendingChallan]]=TrafficData[[#This Row],[totalChallan]]</f>
        <v>1</v>
      </c>
      <c r="L3723" t="b">
        <f>TrafficData[[#This Row],[pendingAmount]]+TrafficData[[#This Row],[disposedAmount]]=TrafficData[[#This Row],[totalAmount]]</f>
        <v>1</v>
      </c>
      <c r="M3723" t="b">
        <f>TrafficData[[#This Row],[pendingCourt]]+TrafficData[[#This Row],[disposedCourt]]=TrafficData[[#This Row],[totalCourt]]</f>
        <v>1</v>
      </c>
      <c r="N3723" t="b">
        <f>AND(TrafficData[[#This Row],[disposedChallan]]&lt;=TrafficData[[#This Row],[totalChallan]],TrafficData[[#This Row],[pendingChallan]]&lt;=TrafficData[[#This Row],[totalChallan]])</f>
        <v>1</v>
      </c>
      <c r="O3723" t="b">
        <f>AND(TrafficData[[#This Row],[pendingAmount]]&lt;=TrafficData[[#This Row],[totalAmount]],TrafficData[[#This Row],[disposedAmount]]&lt;=TrafficData[[#This Row],[totalAmount]])</f>
        <v>1</v>
      </c>
      <c r="P3723" t="b">
        <f>AND(TrafficData[[#This Row],[pendingCourt]]&lt;=TrafficData[[#This Row],[totalCourt]],TrafficData[[#This Row],[disposedCourt]]&lt;=TrafficData[[#This Row],[totalCourt]])</f>
        <v>1</v>
      </c>
    </row>
    <row r="3724" spans="1:16">
      <c r="A3724" s="1">
        <v>45728</v>
      </c>
      <c r="B3724">
        <v>271222</v>
      </c>
      <c r="C3724">
        <v>76082</v>
      </c>
      <c r="D3724">
        <v>195140</v>
      </c>
      <c r="E3724">
        <v>376362478</v>
      </c>
      <c r="F3724">
        <v>148067095</v>
      </c>
      <c r="G3724">
        <v>524429573</v>
      </c>
      <c r="H3724">
        <v>111552</v>
      </c>
      <c r="I3724">
        <v>7228</v>
      </c>
      <c r="J3724">
        <v>118780</v>
      </c>
      <c r="K3724" t="b">
        <f>TrafficData[[#This Row],[disposedChallan]]+TrafficData[[#This Row],[pendingChallan]]=TrafficData[[#This Row],[totalChallan]]</f>
        <v>1</v>
      </c>
      <c r="L3724" t="b">
        <f>TrafficData[[#This Row],[pendingAmount]]+TrafficData[[#This Row],[disposedAmount]]=TrafficData[[#This Row],[totalAmount]]</f>
        <v>1</v>
      </c>
      <c r="M3724" t="b">
        <f>TrafficData[[#This Row],[pendingCourt]]+TrafficData[[#This Row],[disposedCourt]]=TrafficData[[#This Row],[totalCourt]]</f>
        <v>1</v>
      </c>
      <c r="N3724" t="b">
        <f>AND(TrafficData[[#This Row],[disposedChallan]]&lt;=TrafficData[[#This Row],[totalChallan]],TrafficData[[#This Row],[pendingChallan]]&lt;=TrafficData[[#This Row],[totalChallan]])</f>
        <v>1</v>
      </c>
      <c r="O3724" t="b">
        <f>AND(TrafficData[[#This Row],[pendingAmount]]&lt;=TrafficData[[#This Row],[totalAmount]],TrafficData[[#This Row],[disposedAmount]]&lt;=TrafficData[[#This Row],[totalAmount]])</f>
        <v>1</v>
      </c>
      <c r="P3724" t="b">
        <f>AND(TrafficData[[#This Row],[pendingCourt]]&lt;=TrafficData[[#This Row],[totalCourt]],TrafficData[[#This Row],[disposedCourt]]&lt;=TrafficData[[#This Row],[totalCourt]])</f>
        <v>1</v>
      </c>
    </row>
    <row r="3725" spans="1:16">
      <c r="A3725" s="1">
        <v>45729</v>
      </c>
      <c r="B3725">
        <v>246391</v>
      </c>
      <c r="C3725">
        <v>67626</v>
      </c>
      <c r="D3725">
        <v>178765</v>
      </c>
      <c r="E3725">
        <v>347294134</v>
      </c>
      <c r="F3725">
        <v>107857437</v>
      </c>
      <c r="G3725">
        <v>455151571</v>
      </c>
      <c r="H3725">
        <v>103280</v>
      </c>
      <c r="I3725">
        <v>6274</v>
      </c>
      <c r="J3725">
        <v>109554</v>
      </c>
      <c r="K3725" t="b">
        <f>TrafficData[[#This Row],[disposedChallan]]+TrafficData[[#This Row],[pendingChallan]]=TrafficData[[#This Row],[totalChallan]]</f>
        <v>1</v>
      </c>
      <c r="L3725" t="b">
        <f>TrafficData[[#This Row],[pendingAmount]]+TrafficData[[#This Row],[disposedAmount]]=TrafficData[[#This Row],[totalAmount]]</f>
        <v>1</v>
      </c>
      <c r="M3725" t="b">
        <f>TrafficData[[#This Row],[pendingCourt]]+TrafficData[[#This Row],[disposedCourt]]=TrafficData[[#This Row],[totalCourt]]</f>
        <v>1</v>
      </c>
      <c r="N3725" t="b">
        <f>AND(TrafficData[[#This Row],[disposedChallan]]&lt;=TrafficData[[#This Row],[totalChallan]],TrafficData[[#This Row],[pendingChallan]]&lt;=TrafficData[[#This Row],[totalChallan]])</f>
        <v>1</v>
      </c>
      <c r="O3725" t="b">
        <f>AND(TrafficData[[#This Row],[pendingAmount]]&lt;=TrafficData[[#This Row],[totalAmount]],TrafficData[[#This Row],[disposedAmount]]&lt;=TrafficData[[#This Row],[totalAmount]])</f>
        <v>1</v>
      </c>
      <c r="P3725" t="b">
        <f>AND(TrafficData[[#This Row],[pendingCourt]]&lt;=TrafficData[[#This Row],[totalCourt]],TrafficData[[#This Row],[disposedCourt]]&lt;=TrafficData[[#This Row],[totalCourt]])</f>
        <v>1</v>
      </c>
    </row>
    <row r="3726" spans="1:16">
      <c r="A3726" s="1">
        <v>45730</v>
      </c>
      <c r="B3726">
        <v>198622</v>
      </c>
      <c r="C3726">
        <v>50860</v>
      </c>
      <c r="D3726">
        <v>147762</v>
      </c>
      <c r="E3726">
        <v>250216363</v>
      </c>
      <c r="F3726">
        <v>127309425</v>
      </c>
      <c r="G3726">
        <v>377525788</v>
      </c>
      <c r="H3726">
        <v>79954</v>
      </c>
      <c r="I3726">
        <v>5291</v>
      </c>
      <c r="J3726">
        <v>85245</v>
      </c>
      <c r="K3726" t="b">
        <f>TrafficData[[#This Row],[disposedChallan]]+TrafficData[[#This Row],[pendingChallan]]=TrafficData[[#This Row],[totalChallan]]</f>
        <v>1</v>
      </c>
      <c r="L3726" t="b">
        <f>TrafficData[[#This Row],[pendingAmount]]+TrafficData[[#This Row],[disposedAmount]]=TrafficData[[#This Row],[totalAmount]]</f>
        <v>1</v>
      </c>
      <c r="M3726" t="b">
        <f>TrafficData[[#This Row],[pendingCourt]]+TrafficData[[#This Row],[disposedCourt]]=TrafficData[[#This Row],[totalCourt]]</f>
        <v>1</v>
      </c>
      <c r="N3726" t="b">
        <f>AND(TrafficData[[#This Row],[disposedChallan]]&lt;=TrafficData[[#This Row],[totalChallan]],TrafficData[[#This Row],[pendingChallan]]&lt;=TrafficData[[#This Row],[totalChallan]])</f>
        <v>1</v>
      </c>
      <c r="O3726" t="b">
        <f>AND(TrafficData[[#This Row],[pendingAmount]]&lt;=TrafficData[[#This Row],[totalAmount]],TrafficData[[#This Row],[disposedAmount]]&lt;=TrafficData[[#This Row],[totalAmount]])</f>
        <v>1</v>
      </c>
      <c r="P3726" t="b">
        <f>AND(TrafficData[[#This Row],[pendingCourt]]&lt;=TrafficData[[#This Row],[totalCourt]],TrafficData[[#This Row],[disposedCourt]]&lt;=TrafficData[[#This Row],[totalCourt]])</f>
        <v>1</v>
      </c>
    </row>
    <row r="3727" spans="1:16">
      <c r="A3727" s="1">
        <v>45731</v>
      </c>
      <c r="B3727">
        <v>217328</v>
      </c>
      <c r="C3727">
        <v>62532</v>
      </c>
      <c r="D3727">
        <v>154796</v>
      </c>
      <c r="E3727">
        <v>291072698</v>
      </c>
      <c r="F3727">
        <v>88329628</v>
      </c>
      <c r="G3727">
        <v>379402326</v>
      </c>
      <c r="H3727">
        <v>80813</v>
      </c>
      <c r="I3727">
        <v>5352</v>
      </c>
      <c r="J3727">
        <v>86165</v>
      </c>
      <c r="K3727" t="b">
        <f>TrafficData[[#This Row],[disposedChallan]]+TrafficData[[#This Row],[pendingChallan]]=TrafficData[[#This Row],[totalChallan]]</f>
        <v>1</v>
      </c>
      <c r="L3727" t="b">
        <f>TrafficData[[#This Row],[pendingAmount]]+TrafficData[[#This Row],[disposedAmount]]=TrafficData[[#This Row],[totalAmount]]</f>
        <v>1</v>
      </c>
      <c r="M3727" t="b">
        <f>TrafficData[[#This Row],[pendingCourt]]+TrafficData[[#This Row],[disposedCourt]]=TrafficData[[#This Row],[totalCourt]]</f>
        <v>1</v>
      </c>
      <c r="N3727" t="b">
        <f>AND(TrafficData[[#This Row],[disposedChallan]]&lt;=TrafficData[[#This Row],[totalChallan]],TrafficData[[#This Row],[pendingChallan]]&lt;=TrafficData[[#This Row],[totalChallan]])</f>
        <v>1</v>
      </c>
      <c r="O3727" t="b">
        <f>AND(TrafficData[[#This Row],[pendingAmount]]&lt;=TrafficData[[#This Row],[totalAmount]],TrafficData[[#This Row],[disposedAmount]]&lt;=TrafficData[[#This Row],[totalAmount]])</f>
        <v>1</v>
      </c>
      <c r="P3727" t="b">
        <f>AND(TrafficData[[#This Row],[pendingCourt]]&lt;=TrafficData[[#This Row],[totalCourt]],TrafficData[[#This Row],[disposedCourt]]&lt;=TrafficData[[#This Row],[totalCourt]])</f>
        <v>1</v>
      </c>
    </row>
    <row r="3728" spans="1:16">
      <c r="A3728" s="1">
        <v>45732</v>
      </c>
      <c r="B3728">
        <v>248770</v>
      </c>
      <c r="C3728">
        <v>66980</v>
      </c>
      <c r="D3728">
        <v>181790</v>
      </c>
      <c r="E3728">
        <v>318062307</v>
      </c>
      <c r="F3728">
        <v>96052190</v>
      </c>
      <c r="G3728">
        <v>414114497</v>
      </c>
      <c r="H3728">
        <v>101043</v>
      </c>
      <c r="I3728">
        <v>6333</v>
      </c>
      <c r="J3728">
        <v>107376</v>
      </c>
      <c r="K3728" t="b">
        <f>TrafficData[[#This Row],[disposedChallan]]+TrafficData[[#This Row],[pendingChallan]]=TrafficData[[#This Row],[totalChallan]]</f>
        <v>1</v>
      </c>
      <c r="L3728" t="b">
        <f>TrafficData[[#This Row],[pendingAmount]]+TrafficData[[#This Row],[disposedAmount]]=TrafficData[[#This Row],[totalAmount]]</f>
        <v>1</v>
      </c>
      <c r="M3728" t="b">
        <f>TrafficData[[#This Row],[pendingCourt]]+TrafficData[[#This Row],[disposedCourt]]=TrafficData[[#This Row],[totalCourt]]</f>
        <v>1</v>
      </c>
      <c r="N3728" t="b">
        <f>AND(TrafficData[[#This Row],[disposedChallan]]&lt;=TrafficData[[#This Row],[totalChallan]],TrafficData[[#This Row],[pendingChallan]]&lt;=TrafficData[[#This Row],[totalChallan]])</f>
        <v>1</v>
      </c>
      <c r="O3728" t="b">
        <f>AND(TrafficData[[#This Row],[pendingAmount]]&lt;=TrafficData[[#This Row],[totalAmount]],TrafficData[[#This Row],[disposedAmount]]&lt;=TrafficData[[#This Row],[totalAmount]])</f>
        <v>1</v>
      </c>
      <c r="P3728" t="b">
        <f>AND(TrafficData[[#This Row],[pendingCourt]]&lt;=TrafficData[[#This Row],[totalCourt]],TrafficData[[#This Row],[disposedCourt]]&lt;=TrafficData[[#This Row],[totalCourt]])</f>
        <v>1</v>
      </c>
    </row>
    <row r="3729" spans="1:16">
      <c r="A3729" s="1">
        <v>45733</v>
      </c>
      <c r="B3729">
        <v>290607</v>
      </c>
      <c r="C3729">
        <v>78133</v>
      </c>
      <c r="D3729">
        <v>212474</v>
      </c>
      <c r="E3729">
        <v>425288669</v>
      </c>
      <c r="F3729">
        <v>141191773</v>
      </c>
      <c r="G3729">
        <v>566480442</v>
      </c>
      <c r="H3729">
        <v>124992</v>
      </c>
      <c r="I3729">
        <v>7520</v>
      </c>
      <c r="J3729">
        <v>132512</v>
      </c>
      <c r="K3729" t="b">
        <f>TrafficData[[#This Row],[disposedChallan]]+TrafficData[[#This Row],[pendingChallan]]=TrafficData[[#This Row],[totalChallan]]</f>
        <v>1</v>
      </c>
      <c r="L3729" t="b">
        <f>TrafficData[[#This Row],[pendingAmount]]+TrafficData[[#This Row],[disposedAmount]]=TrafficData[[#This Row],[totalAmount]]</f>
        <v>1</v>
      </c>
      <c r="M3729" t="b">
        <f>TrafficData[[#This Row],[pendingCourt]]+TrafficData[[#This Row],[disposedCourt]]=TrafficData[[#This Row],[totalCourt]]</f>
        <v>1</v>
      </c>
      <c r="N3729" t="b">
        <f>AND(TrafficData[[#This Row],[disposedChallan]]&lt;=TrafficData[[#This Row],[totalChallan]],TrafficData[[#This Row],[pendingChallan]]&lt;=TrafficData[[#This Row],[totalChallan]])</f>
        <v>1</v>
      </c>
      <c r="O3729" t="b">
        <f>AND(TrafficData[[#This Row],[pendingAmount]]&lt;=TrafficData[[#This Row],[totalAmount]],TrafficData[[#This Row],[disposedAmount]]&lt;=TrafficData[[#This Row],[totalAmount]])</f>
        <v>1</v>
      </c>
      <c r="P3729" t="b">
        <f>AND(TrafficData[[#This Row],[pendingCourt]]&lt;=TrafficData[[#This Row],[totalCourt]],TrafficData[[#This Row],[disposedCourt]]&lt;=TrafficData[[#This Row],[totalCourt]])</f>
        <v>1</v>
      </c>
    </row>
    <row r="3730" spans="1:16">
      <c r="A3730" s="1">
        <v>45734</v>
      </c>
      <c r="B3730">
        <v>286433</v>
      </c>
      <c r="C3730">
        <v>79475</v>
      </c>
      <c r="D3730">
        <v>206958</v>
      </c>
      <c r="E3730">
        <v>421674744</v>
      </c>
      <c r="F3730">
        <v>166017736</v>
      </c>
      <c r="G3730">
        <v>587692480</v>
      </c>
      <c r="H3730">
        <v>115316</v>
      </c>
      <c r="I3730">
        <v>7289</v>
      </c>
      <c r="J3730">
        <v>122605</v>
      </c>
      <c r="K3730" t="b">
        <f>TrafficData[[#This Row],[disposedChallan]]+TrafficData[[#This Row],[pendingChallan]]=TrafficData[[#This Row],[totalChallan]]</f>
        <v>1</v>
      </c>
      <c r="L3730" t="b">
        <f>TrafficData[[#This Row],[pendingAmount]]+TrafficData[[#This Row],[disposedAmount]]=TrafficData[[#This Row],[totalAmount]]</f>
        <v>1</v>
      </c>
      <c r="M3730" t="b">
        <f>TrafficData[[#This Row],[pendingCourt]]+TrafficData[[#This Row],[disposedCourt]]=TrafficData[[#This Row],[totalCourt]]</f>
        <v>1</v>
      </c>
      <c r="N3730" t="b">
        <f>AND(TrafficData[[#This Row],[disposedChallan]]&lt;=TrafficData[[#This Row],[totalChallan]],TrafficData[[#This Row],[pendingChallan]]&lt;=TrafficData[[#This Row],[totalChallan]])</f>
        <v>1</v>
      </c>
      <c r="O3730" t="b">
        <f>AND(TrafficData[[#This Row],[pendingAmount]]&lt;=TrafficData[[#This Row],[totalAmount]],TrafficData[[#This Row],[disposedAmount]]&lt;=TrafficData[[#This Row],[totalAmount]])</f>
        <v>1</v>
      </c>
      <c r="P3730" t="b">
        <f>AND(TrafficData[[#This Row],[pendingCourt]]&lt;=TrafficData[[#This Row],[totalCourt]],TrafficData[[#This Row],[disposedCourt]]&lt;=TrafficData[[#This Row],[totalCourt]])</f>
        <v>1</v>
      </c>
    </row>
    <row r="3731" spans="1:16">
      <c r="A3731" s="1">
        <v>45735</v>
      </c>
      <c r="B3731">
        <v>275274</v>
      </c>
      <c r="C3731">
        <v>76334</v>
      </c>
      <c r="D3731">
        <v>198940</v>
      </c>
      <c r="E3731">
        <v>411635238</v>
      </c>
      <c r="F3731">
        <v>160381401</v>
      </c>
      <c r="G3731">
        <v>572016639</v>
      </c>
      <c r="H3731">
        <v>110644</v>
      </c>
      <c r="I3731">
        <v>7175</v>
      </c>
      <c r="J3731">
        <v>117819</v>
      </c>
      <c r="K3731" t="b">
        <f>TrafficData[[#This Row],[disposedChallan]]+TrafficData[[#This Row],[pendingChallan]]=TrafficData[[#This Row],[totalChallan]]</f>
        <v>1</v>
      </c>
      <c r="L3731" t="b">
        <f>TrafficData[[#This Row],[pendingAmount]]+TrafficData[[#This Row],[disposedAmount]]=TrafficData[[#This Row],[totalAmount]]</f>
        <v>1</v>
      </c>
      <c r="M3731" t="b">
        <f>TrafficData[[#This Row],[pendingCourt]]+TrafficData[[#This Row],[disposedCourt]]=TrafficData[[#This Row],[totalCourt]]</f>
        <v>1</v>
      </c>
      <c r="N3731" t="b">
        <f>AND(TrafficData[[#This Row],[disposedChallan]]&lt;=TrafficData[[#This Row],[totalChallan]],TrafficData[[#This Row],[pendingChallan]]&lt;=TrafficData[[#This Row],[totalChallan]])</f>
        <v>1</v>
      </c>
      <c r="O3731" t="b">
        <f>AND(TrafficData[[#This Row],[pendingAmount]]&lt;=TrafficData[[#This Row],[totalAmount]],TrafficData[[#This Row],[disposedAmount]]&lt;=TrafficData[[#This Row],[totalAmount]])</f>
        <v>1</v>
      </c>
      <c r="P3731" t="b">
        <f>AND(TrafficData[[#This Row],[pendingCourt]]&lt;=TrafficData[[#This Row],[totalCourt]],TrafficData[[#This Row],[disposedCourt]]&lt;=TrafficData[[#This Row],[totalCourt]])</f>
        <v>1</v>
      </c>
    </row>
    <row r="3732" spans="1:16">
      <c r="A3732" s="1">
        <v>45736</v>
      </c>
      <c r="B3732">
        <v>286014</v>
      </c>
      <c r="C3732">
        <v>79528</v>
      </c>
      <c r="D3732">
        <v>206486</v>
      </c>
      <c r="E3732">
        <v>430738562</v>
      </c>
      <c r="F3732">
        <v>158587158</v>
      </c>
      <c r="G3732">
        <v>589325720</v>
      </c>
      <c r="H3732">
        <v>119441</v>
      </c>
      <c r="I3732">
        <v>7628</v>
      </c>
      <c r="J3732">
        <v>127069</v>
      </c>
      <c r="K3732" t="b">
        <f>TrafficData[[#This Row],[disposedChallan]]+TrafficData[[#This Row],[pendingChallan]]=TrafficData[[#This Row],[totalChallan]]</f>
        <v>1</v>
      </c>
      <c r="L3732" t="b">
        <f>TrafficData[[#This Row],[pendingAmount]]+TrafficData[[#This Row],[disposedAmount]]=TrafficData[[#This Row],[totalAmount]]</f>
        <v>1</v>
      </c>
      <c r="M3732" t="b">
        <f>TrafficData[[#This Row],[pendingCourt]]+TrafficData[[#This Row],[disposedCourt]]=TrafficData[[#This Row],[totalCourt]]</f>
        <v>1</v>
      </c>
      <c r="N3732" t="b">
        <f>AND(TrafficData[[#This Row],[disposedChallan]]&lt;=TrafficData[[#This Row],[totalChallan]],TrafficData[[#This Row],[pendingChallan]]&lt;=TrafficData[[#This Row],[totalChallan]])</f>
        <v>1</v>
      </c>
      <c r="O3732" t="b">
        <f>AND(TrafficData[[#This Row],[pendingAmount]]&lt;=TrafficData[[#This Row],[totalAmount]],TrafficData[[#This Row],[disposedAmount]]&lt;=TrafficData[[#This Row],[totalAmount]])</f>
        <v>1</v>
      </c>
      <c r="P3732" t="b">
        <f>AND(TrafficData[[#This Row],[pendingCourt]]&lt;=TrafficData[[#This Row],[totalCourt]],TrafficData[[#This Row],[disposedCourt]]&lt;=TrafficData[[#This Row],[totalCourt]])</f>
        <v>1</v>
      </c>
    </row>
    <row r="3733" spans="1:16">
      <c r="A3733" s="1">
        <v>45737</v>
      </c>
      <c r="B3733">
        <v>288955</v>
      </c>
      <c r="C3733">
        <v>80390</v>
      </c>
      <c r="D3733">
        <v>208565</v>
      </c>
      <c r="E3733">
        <v>423280780</v>
      </c>
      <c r="F3733">
        <v>165432974</v>
      </c>
      <c r="G3733">
        <v>588713754</v>
      </c>
      <c r="H3733">
        <v>119088</v>
      </c>
      <c r="I3733">
        <v>7106</v>
      </c>
      <c r="J3733">
        <v>126194</v>
      </c>
      <c r="K3733" t="b">
        <f>TrafficData[[#This Row],[disposedChallan]]+TrafficData[[#This Row],[pendingChallan]]=TrafficData[[#This Row],[totalChallan]]</f>
        <v>1</v>
      </c>
      <c r="L3733" t="b">
        <f>TrafficData[[#This Row],[pendingAmount]]+TrafficData[[#This Row],[disposedAmount]]=TrafficData[[#This Row],[totalAmount]]</f>
        <v>1</v>
      </c>
      <c r="M3733" t="b">
        <f>TrafficData[[#This Row],[pendingCourt]]+TrafficData[[#This Row],[disposedCourt]]=TrafficData[[#This Row],[totalCourt]]</f>
        <v>1</v>
      </c>
      <c r="N3733" t="b">
        <f>AND(TrafficData[[#This Row],[disposedChallan]]&lt;=TrafficData[[#This Row],[totalChallan]],TrafficData[[#This Row],[pendingChallan]]&lt;=TrafficData[[#This Row],[totalChallan]])</f>
        <v>1</v>
      </c>
      <c r="O3733" t="b">
        <f>AND(TrafficData[[#This Row],[pendingAmount]]&lt;=TrafficData[[#This Row],[totalAmount]],TrafficData[[#This Row],[disposedAmount]]&lt;=TrafficData[[#This Row],[totalAmount]])</f>
        <v>1</v>
      </c>
      <c r="P3733" t="b">
        <f>AND(TrafficData[[#This Row],[pendingCourt]]&lt;=TrafficData[[#This Row],[totalCourt]],TrafficData[[#This Row],[disposedCourt]]&lt;=TrafficData[[#This Row],[totalCourt]])</f>
        <v>1</v>
      </c>
    </row>
    <row r="3734" spans="1:16">
      <c r="A3734" s="1">
        <v>45738</v>
      </c>
      <c r="B3734">
        <v>288305</v>
      </c>
      <c r="C3734">
        <v>80882</v>
      </c>
      <c r="D3734">
        <v>207423</v>
      </c>
      <c r="E3734">
        <v>429348548</v>
      </c>
      <c r="F3734">
        <v>153716120</v>
      </c>
      <c r="G3734">
        <v>583064668</v>
      </c>
      <c r="H3734">
        <v>119049</v>
      </c>
      <c r="I3734">
        <v>7396</v>
      </c>
      <c r="J3734">
        <v>126445</v>
      </c>
      <c r="K3734" t="b">
        <f>TrafficData[[#This Row],[disposedChallan]]+TrafficData[[#This Row],[pendingChallan]]=TrafficData[[#This Row],[totalChallan]]</f>
        <v>1</v>
      </c>
      <c r="L3734" t="b">
        <f>TrafficData[[#This Row],[pendingAmount]]+TrafficData[[#This Row],[disposedAmount]]=TrafficData[[#This Row],[totalAmount]]</f>
        <v>1</v>
      </c>
      <c r="M3734" t="b">
        <f>TrafficData[[#This Row],[pendingCourt]]+TrafficData[[#This Row],[disposedCourt]]=TrafficData[[#This Row],[totalCourt]]</f>
        <v>1</v>
      </c>
      <c r="N3734" t="b">
        <f>AND(TrafficData[[#This Row],[disposedChallan]]&lt;=TrafficData[[#This Row],[totalChallan]],TrafficData[[#This Row],[pendingChallan]]&lt;=TrafficData[[#This Row],[totalChallan]])</f>
        <v>1</v>
      </c>
      <c r="O3734" t="b">
        <f>AND(TrafficData[[#This Row],[pendingAmount]]&lt;=TrafficData[[#This Row],[totalAmount]],TrafficData[[#This Row],[disposedAmount]]&lt;=TrafficData[[#This Row],[totalAmount]])</f>
        <v>1</v>
      </c>
      <c r="P3734" t="b">
        <f>AND(TrafficData[[#This Row],[pendingCourt]]&lt;=TrafficData[[#This Row],[totalCourt]],TrafficData[[#This Row],[disposedCourt]]&lt;=TrafficData[[#This Row],[totalCourt]])</f>
        <v>1</v>
      </c>
    </row>
    <row r="3735" spans="1:16">
      <c r="A3735" s="1">
        <v>45739</v>
      </c>
      <c r="B3735">
        <v>267856</v>
      </c>
      <c r="C3735">
        <v>72593</v>
      </c>
      <c r="D3735">
        <v>195263</v>
      </c>
      <c r="E3735">
        <v>371202953</v>
      </c>
      <c r="F3735">
        <v>117850733</v>
      </c>
      <c r="G3735">
        <v>489053686</v>
      </c>
      <c r="H3735">
        <v>104361</v>
      </c>
      <c r="I3735">
        <v>6489</v>
      </c>
      <c r="J3735">
        <v>110850</v>
      </c>
      <c r="K3735" t="b">
        <f>TrafficData[[#This Row],[disposedChallan]]+TrafficData[[#This Row],[pendingChallan]]=TrafficData[[#This Row],[totalChallan]]</f>
        <v>1</v>
      </c>
      <c r="L3735" t="b">
        <f>TrafficData[[#This Row],[pendingAmount]]+TrafficData[[#This Row],[disposedAmount]]=TrafficData[[#This Row],[totalAmount]]</f>
        <v>1</v>
      </c>
      <c r="M3735" t="b">
        <f>TrafficData[[#This Row],[pendingCourt]]+TrafficData[[#This Row],[disposedCourt]]=TrafficData[[#This Row],[totalCourt]]</f>
        <v>1</v>
      </c>
      <c r="N3735" t="b">
        <f>AND(TrafficData[[#This Row],[disposedChallan]]&lt;=TrafficData[[#This Row],[totalChallan]],TrafficData[[#This Row],[pendingChallan]]&lt;=TrafficData[[#This Row],[totalChallan]])</f>
        <v>1</v>
      </c>
      <c r="O3735" t="b">
        <f>AND(TrafficData[[#This Row],[pendingAmount]]&lt;=TrafficData[[#This Row],[totalAmount]],TrafficData[[#This Row],[disposedAmount]]&lt;=TrafficData[[#This Row],[totalAmount]])</f>
        <v>1</v>
      </c>
      <c r="P3735" t="b">
        <f>AND(TrafficData[[#This Row],[pendingCourt]]&lt;=TrafficData[[#This Row],[totalCourt]],TrafficData[[#This Row],[disposedCourt]]&lt;=TrafficData[[#This Row],[totalCourt]])</f>
        <v>1</v>
      </c>
    </row>
    <row r="3736" spans="1:16">
      <c r="A3736" s="1">
        <v>45740</v>
      </c>
      <c r="B3736">
        <v>287265</v>
      </c>
      <c r="C3736">
        <v>79506</v>
      </c>
      <c r="D3736">
        <v>207759</v>
      </c>
      <c r="E3736">
        <v>441949820</v>
      </c>
      <c r="F3736">
        <v>143316867</v>
      </c>
      <c r="G3736">
        <v>585266687</v>
      </c>
      <c r="H3736">
        <v>116783</v>
      </c>
      <c r="I3736">
        <v>7584</v>
      </c>
      <c r="J3736">
        <v>124367</v>
      </c>
      <c r="K3736" t="b">
        <f>TrafficData[[#This Row],[disposedChallan]]+TrafficData[[#This Row],[pendingChallan]]=TrafficData[[#This Row],[totalChallan]]</f>
        <v>1</v>
      </c>
      <c r="L3736" t="b">
        <f>TrafficData[[#This Row],[pendingAmount]]+TrafficData[[#This Row],[disposedAmount]]=TrafficData[[#This Row],[totalAmount]]</f>
        <v>1</v>
      </c>
      <c r="M3736" t="b">
        <f>TrafficData[[#This Row],[pendingCourt]]+TrafficData[[#This Row],[disposedCourt]]=TrafficData[[#This Row],[totalCourt]]</f>
        <v>1</v>
      </c>
      <c r="N3736" t="b">
        <f>AND(TrafficData[[#This Row],[disposedChallan]]&lt;=TrafficData[[#This Row],[totalChallan]],TrafficData[[#This Row],[pendingChallan]]&lt;=TrafficData[[#This Row],[totalChallan]])</f>
        <v>1</v>
      </c>
      <c r="O3736" t="b">
        <f>AND(TrafficData[[#This Row],[pendingAmount]]&lt;=TrafficData[[#This Row],[totalAmount]],TrafficData[[#This Row],[disposedAmount]]&lt;=TrafficData[[#This Row],[totalAmount]])</f>
        <v>1</v>
      </c>
      <c r="P3736" t="b">
        <f>AND(TrafficData[[#This Row],[pendingCourt]]&lt;=TrafficData[[#This Row],[totalCourt]],TrafficData[[#This Row],[disposedCourt]]&lt;=TrafficData[[#This Row],[totalCourt]])</f>
        <v>1</v>
      </c>
    </row>
    <row r="3737" spans="1:16">
      <c r="A3737" s="1">
        <v>45741</v>
      </c>
      <c r="B3737">
        <v>285401</v>
      </c>
      <c r="C3737">
        <v>79266</v>
      </c>
      <c r="D3737">
        <v>206135</v>
      </c>
      <c r="E3737">
        <v>426586623</v>
      </c>
      <c r="F3737">
        <v>147182153</v>
      </c>
      <c r="G3737">
        <v>573768776</v>
      </c>
      <c r="H3737">
        <v>117662</v>
      </c>
      <c r="I3737">
        <v>7268</v>
      </c>
      <c r="J3737">
        <v>124930</v>
      </c>
      <c r="K3737" t="b">
        <f>TrafficData[[#This Row],[disposedChallan]]+TrafficData[[#This Row],[pendingChallan]]=TrafficData[[#This Row],[totalChallan]]</f>
        <v>1</v>
      </c>
      <c r="L3737" t="b">
        <f>TrafficData[[#This Row],[pendingAmount]]+TrafficData[[#This Row],[disposedAmount]]=TrafficData[[#This Row],[totalAmount]]</f>
        <v>1</v>
      </c>
      <c r="M3737" t="b">
        <f>TrafficData[[#This Row],[pendingCourt]]+TrafficData[[#This Row],[disposedCourt]]=TrafficData[[#This Row],[totalCourt]]</f>
        <v>1</v>
      </c>
      <c r="N3737" t="b">
        <f>AND(TrafficData[[#This Row],[disposedChallan]]&lt;=TrafficData[[#This Row],[totalChallan]],TrafficData[[#This Row],[pendingChallan]]&lt;=TrafficData[[#This Row],[totalChallan]])</f>
        <v>1</v>
      </c>
      <c r="O3737" t="b">
        <f>AND(TrafficData[[#This Row],[pendingAmount]]&lt;=TrafficData[[#This Row],[totalAmount]],TrafficData[[#This Row],[disposedAmount]]&lt;=TrafficData[[#This Row],[totalAmount]])</f>
        <v>1</v>
      </c>
      <c r="P3737" t="b">
        <f>AND(TrafficData[[#This Row],[pendingCourt]]&lt;=TrafficData[[#This Row],[totalCourt]],TrafficData[[#This Row],[disposedCourt]]&lt;=TrafficData[[#This Row],[totalCourt]])</f>
        <v>1</v>
      </c>
    </row>
    <row r="3738" spans="1:16">
      <c r="A3738" s="1">
        <v>45742</v>
      </c>
      <c r="B3738">
        <v>298447</v>
      </c>
      <c r="C3738">
        <v>83526</v>
      </c>
      <c r="D3738">
        <v>214921</v>
      </c>
      <c r="E3738">
        <v>430696306</v>
      </c>
      <c r="F3738">
        <v>151388493</v>
      </c>
      <c r="G3738">
        <v>582084799</v>
      </c>
      <c r="H3738">
        <v>118597</v>
      </c>
      <c r="I3738">
        <v>7459</v>
      </c>
      <c r="J3738">
        <v>126056</v>
      </c>
      <c r="K3738" t="b">
        <f>TrafficData[[#This Row],[disposedChallan]]+TrafficData[[#This Row],[pendingChallan]]=TrafficData[[#This Row],[totalChallan]]</f>
        <v>1</v>
      </c>
      <c r="L3738" t="b">
        <f>TrafficData[[#This Row],[pendingAmount]]+TrafficData[[#This Row],[disposedAmount]]=TrafficData[[#This Row],[totalAmount]]</f>
        <v>1</v>
      </c>
      <c r="M3738" t="b">
        <f>TrafficData[[#This Row],[pendingCourt]]+TrafficData[[#This Row],[disposedCourt]]=TrafficData[[#This Row],[totalCourt]]</f>
        <v>1</v>
      </c>
      <c r="N3738" t="b">
        <f>AND(TrafficData[[#This Row],[disposedChallan]]&lt;=TrafficData[[#This Row],[totalChallan]],TrafficData[[#This Row],[pendingChallan]]&lt;=TrafficData[[#This Row],[totalChallan]])</f>
        <v>1</v>
      </c>
      <c r="O3738" t="b">
        <f>AND(TrafficData[[#This Row],[pendingAmount]]&lt;=TrafficData[[#This Row],[totalAmount]],TrafficData[[#This Row],[disposedAmount]]&lt;=TrafficData[[#This Row],[totalAmount]])</f>
        <v>1</v>
      </c>
      <c r="P3738" t="b">
        <f>AND(TrafficData[[#This Row],[pendingCourt]]&lt;=TrafficData[[#This Row],[totalCourt]],TrafficData[[#This Row],[disposedCourt]]&lt;=TrafficData[[#This Row],[totalCourt]])</f>
        <v>1</v>
      </c>
    </row>
    <row r="3739" spans="1:16">
      <c r="A3739" s="1">
        <v>45743</v>
      </c>
      <c r="B3739">
        <v>290466</v>
      </c>
      <c r="C3739">
        <v>80961</v>
      </c>
      <c r="D3739">
        <v>209505</v>
      </c>
      <c r="E3739">
        <v>433474704</v>
      </c>
      <c r="F3739">
        <v>143786805</v>
      </c>
      <c r="G3739">
        <v>577261509</v>
      </c>
      <c r="H3739">
        <v>115562</v>
      </c>
      <c r="I3739">
        <v>7335</v>
      </c>
      <c r="J3739">
        <v>122897</v>
      </c>
      <c r="K3739" t="b">
        <f>TrafficData[[#This Row],[disposedChallan]]+TrafficData[[#This Row],[pendingChallan]]=TrafficData[[#This Row],[totalChallan]]</f>
        <v>1</v>
      </c>
      <c r="L3739" t="b">
        <f>TrafficData[[#This Row],[pendingAmount]]+TrafficData[[#This Row],[disposedAmount]]=TrafficData[[#This Row],[totalAmount]]</f>
        <v>1</v>
      </c>
      <c r="M3739" t="b">
        <f>TrafficData[[#This Row],[pendingCourt]]+TrafficData[[#This Row],[disposedCourt]]=TrafficData[[#This Row],[totalCourt]]</f>
        <v>1</v>
      </c>
      <c r="N3739" t="b">
        <f>AND(TrafficData[[#This Row],[disposedChallan]]&lt;=TrafficData[[#This Row],[totalChallan]],TrafficData[[#This Row],[pendingChallan]]&lt;=TrafficData[[#This Row],[totalChallan]])</f>
        <v>1</v>
      </c>
      <c r="O3739" t="b">
        <f>AND(TrafficData[[#This Row],[pendingAmount]]&lt;=TrafficData[[#This Row],[totalAmount]],TrafficData[[#This Row],[disposedAmount]]&lt;=TrafficData[[#This Row],[totalAmount]])</f>
        <v>1</v>
      </c>
      <c r="P3739" t="b">
        <f>AND(TrafficData[[#This Row],[pendingCourt]]&lt;=TrafficData[[#This Row],[totalCourt]],TrafficData[[#This Row],[disposedCourt]]&lt;=TrafficData[[#This Row],[totalCourt]])</f>
        <v>1</v>
      </c>
    </row>
    <row r="3740" spans="1:16">
      <c r="A3740" s="1">
        <v>45744</v>
      </c>
      <c r="B3740">
        <v>282746</v>
      </c>
      <c r="C3740">
        <v>79165</v>
      </c>
      <c r="D3740">
        <v>203581</v>
      </c>
      <c r="E3740">
        <v>411439342</v>
      </c>
      <c r="F3740">
        <v>136793537</v>
      </c>
      <c r="G3740">
        <v>548232879</v>
      </c>
      <c r="H3740">
        <v>112955</v>
      </c>
      <c r="I3740">
        <v>6729</v>
      </c>
      <c r="J3740">
        <v>119684</v>
      </c>
      <c r="K3740" t="b">
        <f>TrafficData[[#This Row],[disposedChallan]]+TrafficData[[#This Row],[pendingChallan]]=TrafficData[[#This Row],[totalChallan]]</f>
        <v>1</v>
      </c>
      <c r="L3740" t="b">
        <f>TrafficData[[#This Row],[pendingAmount]]+TrafficData[[#This Row],[disposedAmount]]=TrafficData[[#This Row],[totalAmount]]</f>
        <v>1</v>
      </c>
      <c r="M3740" t="b">
        <f>TrafficData[[#This Row],[pendingCourt]]+TrafficData[[#This Row],[disposedCourt]]=TrafficData[[#This Row],[totalCourt]]</f>
        <v>1</v>
      </c>
      <c r="N3740" t="b">
        <f>AND(TrafficData[[#This Row],[disposedChallan]]&lt;=TrafficData[[#This Row],[totalChallan]],TrafficData[[#This Row],[pendingChallan]]&lt;=TrafficData[[#This Row],[totalChallan]])</f>
        <v>1</v>
      </c>
      <c r="O3740" t="b">
        <f>AND(TrafficData[[#This Row],[pendingAmount]]&lt;=TrafficData[[#This Row],[totalAmount]],TrafficData[[#This Row],[disposedAmount]]&lt;=TrafficData[[#This Row],[totalAmount]])</f>
        <v>1</v>
      </c>
      <c r="P3740" t="b">
        <f>AND(TrafficData[[#This Row],[pendingCourt]]&lt;=TrafficData[[#This Row],[totalCourt]],TrafficData[[#This Row],[disposedCourt]]&lt;=TrafficData[[#This Row],[totalCourt]])</f>
        <v>1</v>
      </c>
    </row>
    <row r="3741" spans="1:16">
      <c r="A3741" s="1">
        <v>45745</v>
      </c>
      <c r="B3741">
        <v>278230</v>
      </c>
      <c r="C3741">
        <v>78176</v>
      </c>
      <c r="D3741">
        <v>200054</v>
      </c>
      <c r="E3741">
        <v>391346484</v>
      </c>
      <c r="F3741">
        <v>128889233</v>
      </c>
      <c r="G3741">
        <v>520235717</v>
      </c>
      <c r="H3741">
        <v>113638</v>
      </c>
      <c r="I3741">
        <v>7424</v>
      </c>
      <c r="J3741">
        <v>121062</v>
      </c>
      <c r="K3741" t="b">
        <f>TrafficData[[#This Row],[disposedChallan]]+TrafficData[[#This Row],[pendingChallan]]=TrafficData[[#This Row],[totalChallan]]</f>
        <v>1</v>
      </c>
      <c r="L3741" t="b">
        <f>TrafficData[[#This Row],[pendingAmount]]+TrafficData[[#This Row],[disposedAmount]]=TrafficData[[#This Row],[totalAmount]]</f>
        <v>1</v>
      </c>
      <c r="M3741" t="b">
        <f>TrafficData[[#This Row],[pendingCourt]]+TrafficData[[#This Row],[disposedCourt]]=TrafficData[[#This Row],[totalCourt]]</f>
        <v>1</v>
      </c>
      <c r="N3741" t="b">
        <f>AND(TrafficData[[#This Row],[disposedChallan]]&lt;=TrafficData[[#This Row],[totalChallan]],TrafficData[[#This Row],[pendingChallan]]&lt;=TrafficData[[#This Row],[totalChallan]])</f>
        <v>1</v>
      </c>
      <c r="O3741" t="b">
        <f>AND(TrafficData[[#This Row],[pendingAmount]]&lt;=TrafficData[[#This Row],[totalAmount]],TrafficData[[#This Row],[disposedAmount]]&lt;=TrafficData[[#This Row],[totalAmount]])</f>
        <v>1</v>
      </c>
      <c r="P3741" t="b">
        <f>AND(TrafficData[[#This Row],[pendingCourt]]&lt;=TrafficData[[#This Row],[totalCourt]],TrafficData[[#This Row],[disposedCourt]]&lt;=TrafficData[[#This Row],[totalCourt]])</f>
        <v>1</v>
      </c>
    </row>
    <row r="3742" spans="1:16">
      <c r="A3742" s="1">
        <v>45746</v>
      </c>
      <c r="B3742">
        <v>250806</v>
      </c>
      <c r="C3742">
        <v>68247</v>
      </c>
      <c r="D3742">
        <v>182559</v>
      </c>
      <c r="E3742">
        <v>330496460</v>
      </c>
      <c r="F3742">
        <v>159974801</v>
      </c>
      <c r="G3742">
        <v>490471261</v>
      </c>
      <c r="H3742">
        <v>99803</v>
      </c>
      <c r="I3742">
        <v>6142</v>
      </c>
      <c r="J3742">
        <v>105945</v>
      </c>
      <c r="K3742" t="b">
        <f>TrafficData[[#This Row],[disposedChallan]]+TrafficData[[#This Row],[pendingChallan]]=TrafficData[[#This Row],[totalChallan]]</f>
        <v>1</v>
      </c>
      <c r="L3742" t="b">
        <f>TrafficData[[#This Row],[pendingAmount]]+TrafficData[[#This Row],[disposedAmount]]=TrafficData[[#This Row],[totalAmount]]</f>
        <v>1</v>
      </c>
      <c r="M3742" t="b">
        <f>TrafficData[[#This Row],[pendingCourt]]+TrafficData[[#This Row],[disposedCourt]]=TrafficData[[#This Row],[totalCourt]]</f>
        <v>1</v>
      </c>
      <c r="N3742" t="b">
        <f>AND(TrafficData[[#This Row],[disposedChallan]]&lt;=TrafficData[[#This Row],[totalChallan]],TrafficData[[#This Row],[pendingChallan]]&lt;=TrafficData[[#This Row],[totalChallan]])</f>
        <v>1</v>
      </c>
      <c r="O3742" t="b">
        <f>AND(TrafficData[[#This Row],[pendingAmount]]&lt;=TrafficData[[#This Row],[totalAmount]],TrafficData[[#This Row],[disposedAmount]]&lt;=TrafficData[[#This Row],[totalAmount]])</f>
        <v>1</v>
      </c>
      <c r="P3742" t="b">
        <f>AND(TrafficData[[#This Row],[pendingCourt]]&lt;=TrafficData[[#This Row],[totalCourt]],TrafficData[[#This Row],[disposedCourt]]&lt;=TrafficData[[#This Row],[totalCourt]])</f>
        <v>1</v>
      </c>
    </row>
    <row r="3743" spans="1:16">
      <c r="A3743" s="1">
        <v>45747</v>
      </c>
      <c r="B3743">
        <v>246623</v>
      </c>
      <c r="C3743">
        <v>64841</v>
      </c>
      <c r="D3743">
        <v>181782</v>
      </c>
      <c r="E3743">
        <v>340014084</v>
      </c>
      <c r="F3743">
        <v>88966583</v>
      </c>
      <c r="G3743">
        <v>428980667</v>
      </c>
      <c r="H3743">
        <v>97552</v>
      </c>
      <c r="I3743">
        <v>5451</v>
      </c>
      <c r="J3743">
        <v>103003</v>
      </c>
      <c r="K3743" t="b">
        <f>TrafficData[[#This Row],[disposedChallan]]+TrafficData[[#This Row],[pendingChallan]]=TrafficData[[#This Row],[totalChallan]]</f>
        <v>1</v>
      </c>
      <c r="L3743" t="b">
        <f>TrafficData[[#This Row],[pendingAmount]]+TrafficData[[#This Row],[disposedAmount]]=TrafficData[[#This Row],[totalAmount]]</f>
        <v>1</v>
      </c>
      <c r="M3743" t="b">
        <f>TrafficData[[#This Row],[pendingCourt]]+TrafficData[[#This Row],[disposedCourt]]=TrafficData[[#This Row],[totalCourt]]</f>
        <v>1</v>
      </c>
      <c r="N3743" t="b">
        <f>AND(TrafficData[[#This Row],[disposedChallan]]&lt;=TrafficData[[#This Row],[totalChallan]],TrafficData[[#This Row],[pendingChallan]]&lt;=TrafficData[[#This Row],[totalChallan]])</f>
        <v>1</v>
      </c>
      <c r="O3743" t="b">
        <f>AND(TrafficData[[#This Row],[pendingAmount]]&lt;=TrafficData[[#This Row],[totalAmount]],TrafficData[[#This Row],[disposedAmount]]&lt;=TrafficData[[#This Row],[totalAmount]])</f>
        <v>1</v>
      </c>
      <c r="P3743" t="b">
        <f>AND(TrafficData[[#This Row],[pendingCourt]]&lt;=TrafficData[[#This Row],[totalCourt]],TrafficData[[#This Row],[disposedCourt]]&lt;=TrafficData[[#This Row],[totalCourt]])</f>
        <v>1</v>
      </c>
    </row>
    <row r="3744" spans="1:16">
      <c r="A3744" s="1">
        <v>45748</v>
      </c>
      <c r="B3744">
        <v>274857</v>
      </c>
      <c r="C3744">
        <v>77908</v>
      </c>
      <c r="D3744">
        <v>196949</v>
      </c>
      <c r="E3744">
        <v>378797275</v>
      </c>
      <c r="F3744">
        <v>127530824</v>
      </c>
      <c r="G3744">
        <v>506328099</v>
      </c>
      <c r="H3744">
        <v>114113</v>
      </c>
      <c r="I3744">
        <v>6984</v>
      </c>
      <c r="J3744">
        <v>121097</v>
      </c>
      <c r="K3744" t="b">
        <f>TrafficData[[#This Row],[disposedChallan]]+TrafficData[[#This Row],[pendingChallan]]=TrafficData[[#This Row],[totalChallan]]</f>
        <v>1</v>
      </c>
      <c r="L3744" t="b">
        <f>TrafficData[[#This Row],[pendingAmount]]+TrafficData[[#This Row],[disposedAmount]]=TrafficData[[#This Row],[totalAmount]]</f>
        <v>1</v>
      </c>
      <c r="M3744" t="b">
        <f>TrafficData[[#This Row],[pendingCourt]]+TrafficData[[#This Row],[disposedCourt]]=TrafficData[[#This Row],[totalCourt]]</f>
        <v>1</v>
      </c>
      <c r="N3744" t="b">
        <f>AND(TrafficData[[#This Row],[disposedChallan]]&lt;=TrafficData[[#This Row],[totalChallan]],TrafficData[[#This Row],[pendingChallan]]&lt;=TrafficData[[#This Row],[totalChallan]])</f>
        <v>1</v>
      </c>
      <c r="O3744" t="b">
        <f>AND(TrafficData[[#This Row],[pendingAmount]]&lt;=TrafficData[[#This Row],[totalAmount]],TrafficData[[#This Row],[disposedAmount]]&lt;=TrafficData[[#This Row],[totalAmount]])</f>
        <v>1</v>
      </c>
      <c r="P3744" t="b">
        <f>AND(TrafficData[[#This Row],[pendingCourt]]&lt;=TrafficData[[#This Row],[totalCourt]],TrafficData[[#This Row],[disposedCourt]]&lt;=TrafficData[[#This Row],[totalCourt]])</f>
        <v>1</v>
      </c>
    </row>
    <row r="3745" spans="1:16">
      <c r="A3745" s="1">
        <v>45749</v>
      </c>
      <c r="B3745">
        <v>290393</v>
      </c>
      <c r="C3745">
        <v>83064</v>
      </c>
      <c r="D3745">
        <v>207329</v>
      </c>
      <c r="E3745">
        <v>400263756</v>
      </c>
      <c r="F3745">
        <v>206092960</v>
      </c>
      <c r="G3745">
        <v>606356716</v>
      </c>
      <c r="H3745">
        <v>115185</v>
      </c>
      <c r="I3745">
        <v>7574</v>
      </c>
      <c r="J3745">
        <v>122759</v>
      </c>
      <c r="K3745" t="b">
        <f>TrafficData[[#This Row],[disposedChallan]]+TrafficData[[#This Row],[pendingChallan]]=TrafficData[[#This Row],[totalChallan]]</f>
        <v>1</v>
      </c>
      <c r="L3745" t="b">
        <f>TrafficData[[#This Row],[pendingAmount]]+TrafficData[[#This Row],[disposedAmount]]=TrafficData[[#This Row],[totalAmount]]</f>
        <v>1</v>
      </c>
      <c r="M3745" t="b">
        <f>TrafficData[[#This Row],[pendingCourt]]+TrafficData[[#This Row],[disposedCourt]]=TrafficData[[#This Row],[totalCourt]]</f>
        <v>1</v>
      </c>
      <c r="N3745" t="b">
        <f>AND(TrafficData[[#This Row],[disposedChallan]]&lt;=TrafficData[[#This Row],[totalChallan]],TrafficData[[#This Row],[pendingChallan]]&lt;=TrafficData[[#This Row],[totalChallan]])</f>
        <v>1</v>
      </c>
      <c r="O3745" t="b">
        <f>AND(TrafficData[[#This Row],[pendingAmount]]&lt;=TrafficData[[#This Row],[totalAmount]],TrafficData[[#This Row],[disposedAmount]]&lt;=TrafficData[[#This Row],[totalAmount]])</f>
        <v>1</v>
      </c>
      <c r="P3745" t="b">
        <f>AND(TrafficData[[#This Row],[pendingCourt]]&lt;=TrafficData[[#This Row],[totalCourt]],TrafficData[[#This Row],[disposedCourt]]&lt;=TrafficData[[#This Row],[totalCourt]])</f>
        <v>1</v>
      </c>
    </row>
    <row r="3746" spans="1:16">
      <c r="A3746" s="1">
        <v>45750</v>
      </c>
      <c r="B3746">
        <v>284058</v>
      </c>
      <c r="C3746">
        <v>79929</v>
      </c>
      <c r="D3746">
        <v>204129</v>
      </c>
      <c r="E3746">
        <v>416846939</v>
      </c>
      <c r="F3746">
        <v>140438871</v>
      </c>
      <c r="G3746">
        <v>557285810</v>
      </c>
      <c r="H3746">
        <v>120708</v>
      </c>
      <c r="I3746">
        <v>7126</v>
      </c>
      <c r="J3746">
        <v>127834</v>
      </c>
      <c r="K3746" t="b">
        <f>TrafficData[[#This Row],[disposedChallan]]+TrafficData[[#This Row],[pendingChallan]]=TrafficData[[#This Row],[totalChallan]]</f>
        <v>1</v>
      </c>
      <c r="L3746" t="b">
        <f>TrafficData[[#This Row],[pendingAmount]]+TrafficData[[#This Row],[disposedAmount]]=TrafficData[[#This Row],[totalAmount]]</f>
        <v>1</v>
      </c>
      <c r="M3746" t="b">
        <f>TrafficData[[#This Row],[pendingCourt]]+TrafficData[[#This Row],[disposedCourt]]=TrafficData[[#This Row],[totalCourt]]</f>
        <v>1</v>
      </c>
      <c r="N3746" t="b">
        <f>AND(TrafficData[[#This Row],[disposedChallan]]&lt;=TrafficData[[#This Row],[totalChallan]],TrafficData[[#This Row],[pendingChallan]]&lt;=TrafficData[[#This Row],[totalChallan]])</f>
        <v>1</v>
      </c>
      <c r="O3746" t="b">
        <f>AND(TrafficData[[#This Row],[pendingAmount]]&lt;=TrafficData[[#This Row],[totalAmount]],TrafficData[[#This Row],[disposedAmount]]&lt;=TrafficData[[#This Row],[totalAmount]])</f>
        <v>1</v>
      </c>
      <c r="P3746" t="b">
        <f>AND(TrafficData[[#This Row],[pendingCourt]]&lt;=TrafficData[[#This Row],[totalCourt]],TrafficData[[#This Row],[disposedCourt]]&lt;=TrafficData[[#This Row],[totalCourt]])</f>
        <v>1</v>
      </c>
    </row>
    <row r="3747" spans="1:16">
      <c r="A3747" s="1">
        <v>45751</v>
      </c>
      <c r="B3747">
        <v>279424</v>
      </c>
      <c r="C3747">
        <v>78102</v>
      </c>
      <c r="D3747">
        <v>201322</v>
      </c>
      <c r="E3747">
        <v>407814106</v>
      </c>
      <c r="F3747">
        <v>140002183</v>
      </c>
      <c r="G3747">
        <v>547816289</v>
      </c>
      <c r="H3747">
        <v>122201</v>
      </c>
      <c r="I3747">
        <v>7206</v>
      </c>
      <c r="J3747">
        <v>129407</v>
      </c>
      <c r="K3747" t="b">
        <f>TrafficData[[#This Row],[disposedChallan]]+TrafficData[[#This Row],[pendingChallan]]=TrafficData[[#This Row],[totalChallan]]</f>
        <v>1</v>
      </c>
      <c r="L3747" t="b">
        <f>TrafficData[[#This Row],[pendingAmount]]+TrafficData[[#This Row],[disposedAmount]]=TrafficData[[#This Row],[totalAmount]]</f>
        <v>1</v>
      </c>
      <c r="M3747" t="b">
        <f>TrafficData[[#This Row],[pendingCourt]]+TrafficData[[#This Row],[disposedCourt]]=TrafficData[[#This Row],[totalCourt]]</f>
        <v>1</v>
      </c>
      <c r="N3747" t="b">
        <f>AND(TrafficData[[#This Row],[disposedChallan]]&lt;=TrafficData[[#This Row],[totalChallan]],TrafficData[[#This Row],[pendingChallan]]&lt;=TrafficData[[#This Row],[totalChallan]])</f>
        <v>1</v>
      </c>
      <c r="O3747" t="b">
        <f>AND(TrafficData[[#This Row],[pendingAmount]]&lt;=TrafficData[[#This Row],[totalAmount]],TrafficData[[#This Row],[disposedAmount]]&lt;=TrafficData[[#This Row],[totalAmount]])</f>
        <v>1</v>
      </c>
      <c r="P3747" t="b">
        <f>AND(TrafficData[[#This Row],[pendingCourt]]&lt;=TrafficData[[#This Row],[totalCourt]],TrafficData[[#This Row],[disposedCourt]]&lt;=TrafficData[[#This Row],[totalCourt]])</f>
        <v>1</v>
      </c>
    </row>
    <row r="3748" spans="1:16">
      <c r="A3748" s="1">
        <v>45752</v>
      </c>
      <c r="B3748">
        <v>270364</v>
      </c>
      <c r="C3748">
        <v>74353</v>
      </c>
      <c r="D3748">
        <v>196011</v>
      </c>
      <c r="E3748">
        <v>408919339</v>
      </c>
      <c r="F3748">
        <v>119661536</v>
      </c>
      <c r="G3748">
        <v>528580875</v>
      </c>
      <c r="H3748">
        <v>115508</v>
      </c>
      <c r="I3748">
        <v>6512</v>
      </c>
      <c r="J3748">
        <v>122020</v>
      </c>
      <c r="K3748" t="b">
        <f>TrafficData[[#This Row],[disposedChallan]]+TrafficData[[#This Row],[pendingChallan]]=TrafficData[[#This Row],[totalChallan]]</f>
        <v>1</v>
      </c>
      <c r="L3748" t="b">
        <f>TrafficData[[#This Row],[pendingAmount]]+TrafficData[[#This Row],[disposedAmount]]=TrafficData[[#This Row],[totalAmount]]</f>
        <v>1</v>
      </c>
      <c r="M3748" t="b">
        <f>TrafficData[[#This Row],[pendingCourt]]+TrafficData[[#This Row],[disposedCourt]]=TrafficData[[#This Row],[totalCourt]]</f>
        <v>1</v>
      </c>
      <c r="N3748" t="b">
        <f>AND(TrafficData[[#This Row],[disposedChallan]]&lt;=TrafficData[[#This Row],[totalChallan]],TrafficData[[#This Row],[pendingChallan]]&lt;=TrafficData[[#This Row],[totalChallan]])</f>
        <v>1</v>
      </c>
      <c r="O3748" t="b">
        <f>AND(TrafficData[[#This Row],[pendingAmount]]&lt;=TrafficData[[#This Row],[totalAmount]],TrafficData[[#This Row],[disposedAmount]]&lt;=TrafficData[[#This Row],[totalAmount]])</f>
        <v>1</v>
      </c>
      <c r="P3748" t="b">
        <f>AND(TrafficData[[#This Row],[pendingCourt]]&lt;=TrafficData[[#This Row],[totalCourt]],TrafficData[[#This Row],[disposedCourt]]&lt;=TrafficData[[#This Row],[totalCourt]])</f>
        <v>1</v>
      </c>
    </row>
    <row r="3749" spans="1:16">
      <c r="A3749" s="1">
        <v>45753</v>
      </c>
      <c r="B3749">
        <v>230920</v>
      </c>
      <c r="C3749">
        <v>60294</v>
      </c>
      <c r="D3749">
        <v>170626</v>
      </c>
      <c r="E3749">
        <v>325438887</v>
      </c>
      <c r="F3749">
        <v>85203687</v>
      </c>
      <c r="G3749">
        <v>410642574</v>
      </c>
      <c r="H3749">
        <v>104679</v>
      </c>
      <c r="I3749">
        <v>6174</v>
      </c>
      <c r="J3749">
        <v>110853</v>
      </c>
      <c r="K3749" t="b">
        <f>TrafficData[[#This Row],[disposedChallan]]+TrafficData[[#This Row],[pendingChallan]]=TrafficData[[#This Row],[totalChallan]]</f>
        <v>1</v>
      </c>
      <c r="L3749" t="b">
        <f>TrafficData[[#This Row],[pendingAmount]]+TrafficData[[#This Row],[disposedAmount]]=TrafficData[[#This Row],[totalAmount]]</f>
        <v>1</v>
      </c>
      <c r="M3749" t="b">
        <f>TrafficData[[#This Row],[pendingCourt]]+TrafficData[[#This Row],[disposedCourt]]=TrafficData[[#This Row],[totalCourt]]</f>
        <v>1</v>
      </c>
      <c r="N3749" t="b">
        <f>AND(TrafficData[[#This Row],[disposedChallan]]&lt;=TrafficData[[#This Row],[totalChallan]],TrafficData[[#This Row],[pendingChallan]]&lt;=TrafficData[[#This Row],[totalChallan]])</f>
        <v>1</v>
      </c>
      <c r="O3749" t="b">
        <f>AND(TrafficData[[#This Row],[pendingAmount]]&lt;=TrafficData[[#This Row],[totalAmount]],TrafficData[[#This Row],[disposedAmount]]&lt;=TrafficData[[#This Row],[totalAmount]])</f>
        <v>1</v>
      </c>
      <c r="P3749" t="b">
        <f>AND(TrafficData[[#This Row],[pendingCourt]]&lt;=TrafficData[[#This Row],[totalCourt]],TrafficData[[#This Row],[disposedCourt]]&lt;=TrafficData[[#This Row],[totalCourt]])</f>
        <v>1</v>
      </c>
    </row>
    <row r="3750" spans="1:16">
      <c r="A3750" s="1">
        <v>45754</v>
      </c>
      <c r="B3750">
        <v>276137</v>
      </c>
      <c r="C3750">
        <v>73067</v>
      </c>
      <c r="D3750">
        <v>203070</v>
      </c>
      <c r="E3750">
        <v>432809248</v>
      </c>
      <c r="F3750">
        <v>120872472</v>
      </c>
      <c r="G3750">
        <v>553681720</v>
      </c>
      <c r="H3750">
        <v>125091</v>
      </c>
      <c r="I3750">
        <v>7388</v>
      </c>
      <c r="J3750">
        <v>132479</v>
      </c>
      <c r="K3750" t="b">
        <f>TrafficData[[#This Row],[disposedChallan]]+TrafficData[[#This Row],[pendingChallan]]=TrafficData[[#This Row],[totalChallan]]</f>
        <v>1</v>
      </c>
      <c r="L3750" t="b">
        <f>TrafficData[[#This Row],[pendingAmount]]+TrafficData[[#This Row],[disposedAmount]]=TrafficData[[#This Row],[totalAmount]]</f>
        <v>1</v>
      </c>
      <c r="M3750" t="b">
        <f>TrafficData[[#This Row],[pendingCourt]]+TrafficData[[#This Row],[disposedCourt]]=TrafficData[[#This Row],[totalCourt]]</f>
        <v>1</v>
      </c>
      <c r="N3750" t="b">
        <f>AND(TrafficData[[#This Row],[disposedChallan]]&lt;=TrafficData[[#This Row],[totalChallan]],TrafficData[[#This Row],[pendingChallan]]&lt;=TrafficData[[#This Row],[totalChallan]])</f>
        <v>1</v>
      </c>
      <c r="O3750" t="b">
        <f>AND(TrafficData[[#This Row],[pendingAmount]]&lt;=TrafficData[[#This Row],[totalAmount]],TrafficData[[#This Row],[disposedAmount]]&lt;=TrafficData[[#This Row],[totalAmount]])</f>
        <v>1</v>
      </c>
      <c r="P3750" t="b">
        <f>AND(TrafficData[[#This Row],[pendingCourt]]&lt;=TrafficData[[#This Row],[totalCourt]],TrafficData[[#This Row],[disposedCourt]]&lt;=TrafficData[[#This Row],[totalCourt]])</f>
        <v>1</v>
      </c>
    </row>
    <row r="3751" spans="1:16">
      <c r="A3751" s="1">
        <v>45755</v>
      </c>
      <c r="B3751">
        <v>297635</v>
      </c>
      <c r="C3751">
        <v>76878</v>
      </c>
      <c r="D3751">
        <v>220757</v>
      </c>
      <c r="E3751">
        <v>464550958</v>
      </c>
      <c r="F3751">
        <v>143406606</v>
      </c>
      <c r="G3751">
        <v>607957564</v>
      </c>
      <c r="H3751">
        <v>134290</v>
      </c>
      <c r="I3751">
        <v>7495</v>
      </c>
      <c r="J3751">
        <v>141785</v>
      </c>
      <c r="K3751" t="b">
        <f>TrafficData[[#This Row],[disposedChallan]]+TrafficData[[#This Row],[pendingChallan]]=TrafficData[[#This Row],[totalChallan]]</f>
        <v>1</v>
      </c>
      <c r="L3751" t="b">
        <f>TrafficData[[#This Row],[pendingAmount]]+TrafficData[[#This Row],[disposedAmount]]=TrafficData[[#This Row],[totalAmount]]</f>
        <v>1</v>
      </c>
      <c r="M3751" t="b">
        <f>TrafficData[[#This Row],[pendingCourt]]+TrafficData[[#This Row],[disposedCourt]]=TrafficData[[#This Row],[totalCourt]]</f>
        <v>1</v>
      </c>
      <c r="N3751" t="b">
        <f>AND(TrafficData[[#This Row],[disposedChallan]]&lt;=TrafficData[[#This Row],[totalChallan]],TrafficData[[#This Row],[pendingChallan]]&lt;=TrafficData[[#This Row],[totalChallan]])</f>
        <v>1</v>
      </c>
      <c r="O3751" t="b">
        <f>AND(TrafficData[[#This Row],[pendingAmount]]&lt;=TrafficData[[#This Row],[totalAmount]],TrafficData[[#This Row],[disposedAmount]]&lt;=TrafficData[[#This Row],[totalAmount]])</f>
        <v>1</v>
      </c>
      <c r="P3751" t="b">
        <f>AND(TrafficData[[#This Row],[pendingCourt]]&lt;=TrafficData[[#This Row],[totalCourt]],TrafficData[[#This Row],[disposedCourt]]&lt;=TrafficData[[#This Row],[totalCourt]])</f>
        <v>1</v>
      </c>
    </row>
    <row r="3752" spans="1:16">
      <c r="A3752" s="1">
        <v>45756</v>
      </c>
      <c r="B3752">
        <v>286673</v>
      </c>
      <c r="C3752">
        <v>73544</v>
      </c>
      <c r="D3752">
        <v>213129</v>
      </c>
      <c r="E3752">
        <v>441385280</v>
      </c>
      <c r="F3752">
        <v>130776540</v>
      </c>
      <c r="G3752">
        <v>572161820</v>
      </c>
      <c r="H3752">
        <v>134290</v>
      </c>
      <c r="I3752">
        <v>7388</v>
      </c>
      <c r="J3752">
        <v>141678</v>
      </c>
      <c r="K3752" t="b">
        <f>TrafficData[[#This Row],[disposedChallan]]+TrafficData[[#This Row],[pendingChallan]]=TrafficData[[#This Row],[totalChallan]]</f>
        <v>1</v>
      </c>
      <c r="L3752" t="b">
        <f>TrafficData[[#This Row],[pendingAmount]]+TrafficData[[#This Row],[disposedAmount]]=TrafficData[[#This Row],[totalAmount]]</f>
        <v>1</v>
      </c>
      <c r="M3752" t="b">
        <f>TrafficData[[#This Row],[pendingCourt]]+TrafficData[[#This Row],[disposedCourt]]=TrafficData[[#This Row],[totalCourt]]</f>
        <v>1</v>
      </c>
      <c r="N3752" t="b">
        <f>AND(TrafficData[[#This Row],[disposedChallan]]&lt;=TrafficData[[#This Row],[totalChallan]],TrafficData[[#This Row],[pendingChallan]]&lt;=TrafficData[[#This Row],[totalChallan]])</f>
        <v>1</v>
      </c>
      <c r="O3752" t="b">
        <f>AND(TrafficData[[#This Row],[pendingAmount]]&lt;=TrafficData[[#This Row],[totalAmount]],TrafficData[[#This Row],[disposedAmount]]&lt;=TrafficData[[#This Row],[totalAmount]])</f>
        <v>1</v>
      </c>
      <c r="P3752" t="b">
        <f>AND(TrafficData[[#This Row],[pendingCourt]]&lt;=TrafficData[[#This Row],[totalCourt]],TrafficData[[#This Row],[disposedCourt]]&lt;=TrafficData[[#This Row],[totalCourt]])</f>
        <v>1</v>
      </c>
    </row>
    <row r="3753" spans="1:16">
      <c r="A3753" s="1">
        <v>45757</v>
      </c>
      <c r="B3753">
        <v>245288</v>
      </c>
      <c r="C3753">
        <v>62192</v>
      </c>
      <c r="D3753">
        <v>183096</v>
      </c>
      <c r="E3753">
        <v>357301634</v>
      </c>
      <c r="F3753">
        <v>102651621</v>
      </c>
      <c r="G3753">
        <v>459953255</v>
      </c>
      <c r="H3753">
        <v>111893</v>
      </c>
      <c r="I3753">
        <v>6172</v>
      </c>
      <c r="J3753">
        <v>118065</v>
      </c>
      <c r="K3753" t="b">
        <f>TrafficData[[#This Row],[disposedChallan]]+TrafficData[[#This Row],[pendingChallan]]=TrafficData[[#This Row],[totalChallan]]</f>
        <v>1</v>
      </c>
      <c r="L3753" t="b">
        <f>TrafficData[[#This Row],[pendingAmount]]+TrafficData[[#This Row],[disposedAmount]]=TrafficData[[#This Row],[totalAmount]]</f>
        <v>1</v>
      </c>
      <c r="M3753" t="b">
        <f>TrafficData[[#This Row],[pendingCourt]]+TrafficData[[#This Row],[disposedCourt]]=TrafficData[[#This Row],[totalCourt]]</f>
        <v>1</v>
      </c>
      <c r="N3753" t="b">
        <f>AND(TrafficData[[#This Row],[disposedChallan]]&lt;=TrafficData[[#This Row],[totalChallan]],TrafficData[[#This Row],[pendingChallan]]&lt;=TrafficData[[#This Row],[totalChallan]])</f>
        <v>1</v>
      </c>
      <c r="O3753" t="b">
        <f>AND(TrafficData[[#This Row],[pendingAmount]]&lt;=TrafficData[[#This Row],[totalAmount]],TrafficData[[#This Row],[disposedAmount]]&lt;=TrafficData[[#This Row],[totalAmount]])</f>
        <v>1</v>
      </c>
      <c r="P3753" t="b">
        <f>AND(TrafficData[[#This Row],[pendingCourt]]&lt;=TrafficData[[#This Row],[totalCourt]],TrafficData[[#This Row],[disposedCourt]]&lt;=TrafficData[[#This Row],[totalCourt]])</f>
        <v>1</v>
      </c>
    </row>
    <row r="3754" spans="1:16">
      <c r="A3754" s="1">
        <v>45758</v>
      </c>
      <c r="B3754">
        <v>254175</v>
      </c>
      <c r="C3754">
        <v>65006</v>
      </c>
      <c r="D3754">
        <v>189169</v>
      </c>
      <c r="E3754">
        <v>371493475</v>
      </c>
      <c r="F3754">
        <v>100259809</v>
      </c>
      <c r="G3754">
        <v>471753284</v>
      </c>
      <c r="H3754">
        <v>114851</v>
      </c>
      <c r="I3754">
        <v>6372</v>
      </c>
      <c r="J3754">
        <v>121223</v>
      </c>
      <c r="K3754" t="b">
        <f>TrafficData[[#This Row],[disposedChallan]]+TrafficData[[#This Row],[pendingChallan]]=TrafficData[[#This Row],[totalChallan]]</f>
        <v>1</v>
      </c>
      <c r="L3754" t="b">
        <f>TrafficData[[#This Row],[pendingAmount]]+TrafficData[[#This Row],[disposedAmount]]=TrafficData[[#This Row],[totalAmount]]</f>
        <v>1</v>
      </c>
      <c r="M3754" t="b">
        <f>TrafficData[[#This Row],[pendingCourt]]+TrafficData[[#This Row],[disposedCourt]]=TrafficData[[#This Row],[totalCourt]]</f>
        <v>1</v>
      </c>
      <c r="N3754" t="b">
        <f>AND(TrafficData[[#This Row],[disposedChallan]]&lt;=TrafficData[[#This Row],[totalChallan]],TrafficData[[#This Row],[pendingChallan]]&lt;=TrafficData[[#This Row],[totalChallan]])</f>
        <v>1</v>
      </c>
      <c r="O3754" t="b">
        <f>AND(TrafficData[[#This Row],[pendingAmount]]&lt;=TrafficData[[#This Row],[totalAmount]],TrafficData[[#This Row],[disposedAmount]]&lt;=TrafficData[[#This Row],[totalAmount]])</f>
        <v>1</v>
      </c>
      <c r="P3754" t="b">
        <f>AND(TrafficData[[#This Row],[pendingCourt]]&lt;=TrafficData[[#This Row],[totalCourt]],TrafficData[[#This Row],[disposedCourt]]&lt;=TrafficData[[#This Row],[totalCourt]])</f>
        <v>1</v>
      </c>
    </row>
    <row r="3755" spans="1:16">
      <c r="A3755" s="1">
        <v>45759</v>
      </c>
      <c r="B3755">
        <v>265284</v>
      </c>
      <c r="C3755">
        <v>69608</v>
      </c>
      <c r="D3755">
        <v>195676</v>
      </c>
      <c r="E3755">
        <v>392126933</v>
      </c>
      <c r="F3755">
        <v>98542718</v>
      </c>
      <c r="G3755">
        <v>490669651</v>
      </c>
      <c r="H3755">
        <v>113533</v>
      </c>
      <c r="I3755">
        <v>6615</v>
      </c>
      <c r="J3755">
        <v>120148</v>
      </c>
      <c r="K3755" t="b">
        <f>TrafficData[[#This Row],[disposedChallan]]+TrafficData[[#This Row],[pendingChallan]]=TrafficData[[#This Row],[totalChallan]]</f>
        <v>1</v>
      </c>
      <c r="L3755" t="b">
        <f>TrafficData[[#This Row],[pendingAmount]]+TrafficData[[#This Row],[disposedAmount]]=TrafficData[[#This Row],[totalAmount]]</f>
        <v>1</v>
      </c>
      <c r="M3755" t="b">
        <f>TrafficData[[#This Row],[pendingCourt]]+TrafficData[[#This Row],[disposedCourt]]=TrafficData[[#This Row],[totalCourt]]</f>
        <v>1</v>
      </c>
      <c r="N3755" t="b">
        <f>AND(TrafficData[[#This Row],[disposedChallan]]&lt;=TrafficData[[#This Row],[totalChallan]],TrafficData[[#This Row],[pendingChallan]]&lt;=TrafficData[[#This Row],[totalChallan]])</f>
        <v>1</v>
      </c>
      <c r="O3755" t="b">
        <f>AND(TrafficData[[#This Row],[pendingAmount]]&lt;=TrafficData[[#This Row],[totalAmount]],TrafficData[[#This Row],[disposedAmount]]&lt;=TrafficData[[#This Row],[totalAmount]])</f>
        <v>1</v>
      </c>
      <c r="P3755" t="b">
        <f>AND(TrafficData[[#This Row],[pendingCourt]]&lt;=TrafficData[[#This Row],[totalCourt]],TrafficData[[#This Row],[disposedCourt]]&lt;=TrafficData[[#This Row],[totalCourt]])</f>
        <v>1</v>
      </c>
    </row>
    <row r="3756" spans="1:16">
      <c r="A3756" s="1">
        <v>45760</v>
      </c>
      <c r="B3756">
        <v>264323</v>
      </c>
      <c r="C3756">
        <v>71254</v>
      </c>
      <c r="D3756">
        <v>193069</v>
      </c>
      <c r="E3756">
        <v>333986209</v>
      </c>
      <c r="F3756">
        <v>84532943</v>
      </c>
      <c r="G3756">
        <v>418519152</v>
      </c>
      <c r="H3756">
        <v>112655</v>
      </c>
      <c r="I3756">
        <v>6519</v>
      </c>
      <c r="J3756">
        <v>119174</v>
      </c>
      <c r="K3756" t="b">
        <f>TrafficData[[#This Row],[disposedChallan]]+TrafficData[[#This Row],[pendingChallan]]=TrafficData[[#This Row],[totalChallan]]</f>
        <v>1</v>
      </c>
      <c r="L3756" t="b">
        <f>TrafficData[[#This Row],[pendingAmount]]+TrafficData[[#This Row],[disposedAmount]]=TrafficData[[#This Row],[totalAmount]]</f>
        <v>1</v>
      </c>
      <c r="M3756" t="b">
        <f>TrafficData[[#This Row],[pendingCourt]]+TrafficData[[#This Row],[disposedCourt]]=TrafficData[[#This Row],[totalCourt]]</f>
        <v>1</v>
      </c>
      <c r="N3756" t="b">
        <f>AND(TrafficData[[#This Row],[disposedChallan]]&lt;=TrafficData[[#This Row],[totalChallan]],TrafficData[[#This Row],[pendingChallan]]&lt;=TrafficData[[#This Row],[totalChallan]])</f>
        <v>1</v>
      </c>
      <c r="O3756" t="b">
        <f>AND(TrafficData[[#This Row],[pendingAmount]]&lt;=TrafficData[[#This Row],[totalAmount]],TrafficData[[#This Row],[disposedAmount]]&lt;=TrafficData[[#This Row],[totalAmount]])</f>
        <v>1</v>
      </c>
      <c r="P3756" t="b">
        <f>AND(TrafficData[[#This Row],[pendingCourt]]&lt;=TrafficData[[#This Row],[totalCourt]],TrafficData[[#This Row],[disposedCourt]]&lt;=TrafficData[[#This Row],[totalCourt]])</f>
        <v>1</v>
      </c>
    </row>
    <row r="3757" spans="1:16">
      <c r="A3757" s="1">
        <v>45761</v>
      </c>
      <c r="B3757">
        <v>247786</v>
      </c>
      <c r="C3757">
        <v>62597</v>
      </c>
      <c r="D3757">
        <v>185189</v>
      </c>
      <c r="E3757">
        <v>328985601</v>
      </c>
      <c r="F3757">
        <v>74251820</v>
      </c>
      <c r="G3757">
        <v>403237421</v>
      </c>
      <c r="H3757">
        <v>112234</v>
      </c>
      <c r="I3757">
        <v>6212</v>
      </c>
      <c r="J3757">
        <v>118446</v>
      </c>
      <c r="K3757" t="b">
        <f>TrafficData[[#This Row],[disposedChallan]]+TrafficData[[#This Row],[pendingChallan]]=TrafficData[[#This Row],[totalChallan]]</f>
        <v>1</v>
      </c>
      <c r="L3757" t="b">
        <f>TrafficData[[#This Row],[pendingAmount]]+TrafficData[[#This Row],[disposedAmount]]=TrafficData[[#This Row],[totalAmount]]</f>
        <v>1</v>
      </c>
      <c r="M3757" t="b">
        <f>TrafficData[[#This Row],[pendingCourt]]+TrafficData[[#This Row],[disposedCourt]]=TrafficData[[#This Row],[totalCourt]]</f>
        <v>1</v>
      </c>
      <c r="N3757" t="b">
        <f>AND(TrafficData[[#This Row],[disposedChallan]]&lt;=TrafficData[[#This Row],[totalChallan]],TrafficData[[#This Row],[pendingChallan]]&lt;=TrafficData[[#This Row],[totalChallan]])</f>
        <v>1</v>
      </c>
      <c r="O3757" t="b">
        <f>AND(TrafficData[[#This Row],[pendingAmount]]&lt;=TrafficData[[#This Row],[totalAmount]],TrafficData[[#This Row],[disposedAmount]]&lt;=TrafficData[[#This Row],[totalAmount]])</f>
        <v>1</v>
      </c>
      <c r="P3757" t="b">
        <f>AND(TrafficData[[#This Row],[pendingCourt]]&lt;=TrafficData[[#This Row],[totalCourt]],TrafficData[[#This Row],[disposedCourt]]&lt;=TrafficData[[#This Row],[totalCourt]])</f>
        <v>1</v>
      </c>
    </row>
    <row r="3758" spans="1:16">
      <c r="A3758" s="1">
        <v>45762</v>
      </c>
      <c r="B3758">
        <v>284714</v>
      </c>
      <c r="C3758">
        <v>75573</v>
      </c>
      <c r="D3758">
        <v>209141</v>
      </c>
      <c r="E3758">
        <v>431612400</v>
      </c>
      <c r="F3758">
        <v>111448540</v>
      </c>
      <c r="G3758">
        <v>543060940</v>
      </c>
      <c r="H3758">
        <v>129312</v>
      </c>
      <c r="I3758">
        <v>7301</v>
      </c>
      <c r="J3758">
        <v>136613</v>
      </c>
      <c r="K3758" t="b">
        <f>TrafficData[[#This Row],[disposedChallan]]+TrafficData[[#This Row],[pendingChallan]]=TrafficData[[#This Row],[totalChallan]]</f>
        <v>1</v>
      </c>
      <c r="L3758" t="b">
        <f>TrafficData[[#This Row],[pendingAmount]]+TrafficData[[#This Row],[disposedAmount]]=TrafficData[[#This Row],[totalAmount]]</f>
        <v>1</v>
      </c>
      <c r="M3758" t="b">
        <f>TrafficData[[#This Row],[pendingCourt]]+TrafficData[[#This Row],[disposedCourt]]=TrafficData[[#This Row],[totalCourt]]</f>
        <v>1</v>
      </c>
      <c r="N3758" t="b">
        <f>AND(TrafficData[[#This Row],[disposedChallan]]&lt;=TrafficData[[#This Row],[totalChallan]],TrafficData[[#This Row],[pendingChallan]]&lt;=TrafficData[[#This Row],[totalChallan]])</f>
        <v>1</v>
      </c>
      <c r="O3758" t="b">
        <f>AND(TrafficData[[#This Row],[pendingAmount]]&lt;=TrafficData[[#This Row],[totalAmount]],TrafficData[[#This Row],[disposedAmount]]&lt;=TrafficData[[#This Row],[totalAmount]])</f>
        <v>1</v>
      </c>
      <c r="P3758" t="b">
        <f>AND(TrafficData[[#This Row],[pendingCourt]]&lt;=TrafficData[[#This Row],[totalCourt]],TrafficData[[#This Row],[disposedCourt]]&lt;=TrafficData[[#This Row],[totalCourt]])</f>
        <v>1</v>
      </c>
    </row>
    <row r="3759" spans="1:16">
      <c r="A3759" s="1">
        <v>45763</v>
      </c>
      <c r="B3759">
        <v>281386</v>
      </c>
      <c r="C3759">
        <v>71629</v>
      </c>
      <c r="D3759">
        <v>209757</v>
      </c>
      <c r="E3759">
        <v>413252443</v>
      </c>
      <c r="F3759">
        <v>126430216</v>
      </c>
      <c r="G3759">
        <v>539682659</v>
      </c>
      <c r="H3759">
        <v>124157</v>
      </c>
      <c r="I3759">
        <v>7025</v>
      </c>
      <c r="J3759">
        <v>131182</v>
      </c>
      <c r="K3759" t="b">
        <f>TrafficData[[#This Row],[disposedChallan]]+TrafficData[[#This Row],[pendingChallan]]=TrafficData[[#This Row],[totalChallan]]</f>
        <v>1</v>
      </c>
      <c r="L3759" t="b">
        <f>TrafficData[[#This Row],[pendingAmount]]+TrafficData[[#This Row],[disposedAmount]]=TrafficData[[#This Row],[totalAmount]]</f>
        <v>1</v>
      </c>
      <c r="M3759" t="b">
        <f>TrafficData[[#This Row],[pendingCourt]]+TrafficData[[#This Row],[disposedCourt]]=TrafficData[[#This Row],[totalCourt]]</f>
        <v>1</v>
      </c>
      <c r="N3759" t="b">
        <f>AND(TrafficData[[#This Row],[disposedChallan]]&lt;=TrafficData[[#This Row],[totalChallan]],TrafficData[[#This Row],[pendingChallan]]&lt;=TrafficData[[#This Row],[totalChallan]])</f>
        <v>1</v>
      </c>
      <c r="O3759" t="b">
        <f>AND(TrafficData[[#This Row],[pendingAmount]]&lt;=TrafficData[[#This Row],[totalAmount]],TrafficData[[#This Row],[disposedAmount]]&lt;=TrafficData[[#This Row],[totalAmount]])</f>
        <v>1</v>
      </c>
      <c r="P3759" t="b">
        <f>AND(TrafficData[[#This Row],[pendingCourt]]&lt;=TrafficData[[#This Row],[totalCourt]],TrafficData[[#This Row],[disposedCourt]]&lt;=TrafficData[[#This Row],[totalCourt]])</f>
        <v>1</v>
      </c>
    </row>
    <row r="3760" spans="1:16">
      <c r="A3760" s="1">
        <v>45764</v>
      </c>
      <c r="B3760">
        <v>285232</v>
      </c>
      <c r="C3760">
        <v>73532</v>
      </c>
      <c r="D3760">
        <v>211700</v>
      </c>
      <c r="E3760">
        <v>423055066</v>
      </c>
      <c r="F3760">
        <v>131455931</v>
      </c>
      <c r="G3760">
        <v>554510997</v>
      </c>
      <c r="H3760">
        <v>120155</v>
      </c>
      <c r="I3760">
        <v>6812</v>
      </c>
      <c r="J3760">
        <v>126967</v>
      </c>
      <c r="K3760" t="b">
        <f>TrafficData[[#This Row],[disposedChallan]]+TrafficData[[#This Row],[pendingChallan]]=TrafficData[[#This Row],[totalChallan]]</f>
        <v>1</v>
      </c>
      <c r="L3760" t="b">
        <f>TrafficData[[#This Row],[pendingAmount]]+TrafficData[[#This Row],[disposedAmount]]=TrafficData[[#This Row],[totalAmount]]</f>
        <v>1</v>
      </c>
      <c r="M3760" t="b">
        <f>TrafficData[[#This Row],[pendingCourt]]+TrafficData[[#This Row],[disposedCourt]]=TrafficData[[#This Row],[totalCourt]]</f>
        <v>1</v>
      </c>
      <c r="N3760" t="b">
        <f>AND(TrafficData[[#This Row],[disposedChallan]]&lt;=TrafficData[[#This Row],[totalChallan]],TrafficData[[#This Row],[pendingChallan]]&lt;=TrafficData[[#This Row],[totalChallan]])</f>
        <v>1</v>
      </c>
      <c r="O3760" t="b">
        <f>AND(TrafficData[[#This Row],[pendingAmount]]&lt;=TrafficData[[#This Row],[totalAmount]],TrafficData[[#This Row],[disposedAmount]]&lt;=TrafficData[[#This Row],[totalAmount]])</f>
        <v>1</v>
      </c>
      <c r="P3760" t="b">
        <f>AND(TrafficData[[#This Row],[pendingCourt]]&lt;=TrafficData[[#This Row],[totalCourt]],TrafficData[[#This Row],[disposedCourt]]&lt;=TrafficData[[#This Row],[totalCourt]])</f>
        <v>1</v>
      </c>
    </row>
    <row r="3761" spans="1:16">
      <c r="A3761" s="1">
        <v>45765</v>
      </c>
      <c r="B3761">
        <v>284531</v>
      </c>
      <c r="C3761">
        <v>71090</v>
      </c>
      <c r="D3761">
        <v>213441</v>
      </c>
      <c r="E3761">
        <v>375799280</v>
      </c>
      <c r="F3761">
        <v>106763457</v>
      </c>
      <c r="G3761">
        <v>482562737</v>
      </c>
      <c r="H3761">
        <v>120933</v>
      </c>
      <c r="I3761">
        <v>6835</v>
      </c>
      <c r="J3761">
        <v>127768</v>
      </c>
      <c r="K3761" t="b">
        <f>TrafficData[[#This Row],[disposedChallan]]+TrafficData[[#This Row],[pendingChallan]]=TrafficData[[#This Row],[totalChallan]]</f>
        <v>1</v>
      </c>
      <c r="L3761" t="b">
        <f>TrafficData[[#This Row],[pendingAmount]]+TrafficData[[#This Row],[disposedAmount]]=TrafficData[[#This Row],[totalAmount]]</f>
        <v>1</v>
      </c>
      <c r="M3761" t="b">
        <f>TrafficData[[#This Row],[pendingCourt]]+TrafficData[[#This Row],[disposedCourt]]=TrafficData[[#This Row],[totalCourt]]</f>
        <v>1</v>
      </c>
      <c r="N3761" t="b">
        <f>AND(TrafficData[[#This Row],[disposedChallan]]&lt;=TrafficData[[#This Row],[totalChallan]],TrafficData[[#This Row],[pendingChallan]]&lt;=TrafficData[[#This Row],[totalChallan]])</f>
        <v>1</v>
      </c>
      <c r="O3761" t="b">
        <f>AND(TrafficData[[#This Row],[pendingAmount]]&lt;=TrafficData[[#This Row],[totalAmount]],TrafficData[[#This Row],[disposedAmount]]&lt;=TrafficData[[#This Row],[totalAmount]])</f>
        <v>1</v>
      </c>
      <c r="P3761" t="b">
        <f>AND(TrafficData[[#This Row],[pendingCourt]]&lt;=TrafficData[[#This Row],[totalCourt]],TrafficData[[#This Row],[disposedCourt]]&lt;=TrafficData[[#This Row],[totalCourt]])</f>
        <v>1</v>
      </c>
    </row>
    <row r="3762" spans="1:16">
      <c r="A3762" s="1">
        <v>45766</v>
      </c>
      <c r="B3762">
        <v>279791</v>
      </c>
      <c r="C3762">
        <v>71813</v>
      </c>
      <c r="D3762">
        <v>207978</v>
      </c>
      <c r="E3762">
        <v>391032389</v>
      </c>
      <c r="F3762">
        <v>104547886</v>
      </c>
      <c r="G3762">
        <v>495580275</v>
      </c>
      <c r="H3762">
        <v>116914</v>
      </c>
      <c r="I3762">
        <v>5993</v>
      </c>
      <c r="J3762">
        <v>122907</v>
      </c>
      <c r="K3762" t="b">
        <f>TrafficData[[#This Row],[disposedChallan]]+TrafficData[[#This Row],[pendingChallan]]=TrafficData[[#This Row],[totalChallan]]</f>
        <v>1</v>
      </c>
      <c r="L3762" t="b">
        <f>TrafficData[[#This Row],[pendingAmount]]+TrafficData[[#This Row],[disposedAmount]]=TrafficData[[#This Row],[totalAmount]]</f>
        <v>1</v>
      </c>
      <c r="M3762" t="b">
        <f>TrafficData[[#This Row],[pendingCourt]]+TrafficData[[#This Row],[disposedCourt]]=TrafficData[[#This Row],[totalCourt]]</f>
        <v>1</v>
      </c>
      <c r="N3762" t="b">
        <f>AND(TrafficData[[#This Row],[disposedChallan]]&lt;=TrafficData[[#This Row],[totalChallan]],TrafficData[[#This Row],[pendingChallan]]&lt;=TrafficData[[#This Row],[totalChallan]])</f>
        <v>1</v>
      </c>
      <c r="O3762" t="b">
        <f>AND(TrafficData[[#This Row],[pendingAmount]]&lt;=TrafficData[[#This Row],[totalAmount]],TrafficData[[#This Row],[disposedAmount]]&lt;=TrafficData[[#This Row],[totalAmount]])</f>
        <v>1</v>
      </c>
      <c r="P3762" t="b">
        <f>AND(TrafficData[[#This Row],[pendingCourt]]&lt;=TrafficData[[#This Row],[totalCourt]],TrafficData[[#This Row],[disposedCourt]]&lt;=TrafficData[[#This Row],[totalCourt]])</f>
        <v>1</v>
      </c>
    </row>
    <row r="3763" spans="1:16">
      <c r="A3763" s="1">
        <v>45767</v>
      </c>
      <c r="B3763">
        <v>255150</v>
      </c>
      <c r="C3763">
        <v>63216</v>
      </c>
      <c r="D3763">
        <v>191934</v>
      </c>
      <c r="E3763">
        <v>320703087</v>
      </c>
      <c r="F3763">
        <v>81765870</v>
      </c>
      <c r="G3763">
        <v>402468957</v>
      </c>
      <c r="H3763">
        <v>107695</v>
      </c>
      <c r="I3763">
        <v>6336</v>
      </c>
      <c r="J3763">
        <v>114031</v>
      </c>
      <c r="K3763" t="b">
        <f>TrafficData[[#This Row],[disposedChallan]]+TrafficData[[#This Row],[pendingChallan]]=TrafficData[[#This Row],[totalChallan]]</f>
        <v>1</v>
      </c>
      <c r="L3763" t="b">
        <f>TrafficData[[#This Row],[pendingAmount]]+TrafficData[[#This Row],[disposedAmount]]=TrafficData[[#This Row],[totalAmount]]</f>
        <v>1</v>
      </c>
      <c r="M3763" t="b">
        <f>TrafficData[[#This Row],[pendingCourt]]+TrafficData[[#This Row],[disposedCourt]]=TrafficData[[#This Row],[totalCourt]]</f>
        <v>1</v>
      </c>
      <c r="N3763" t="b">
        <f>AND(TrafficData[[#This Row],[disposedChallan]]&lt;=TrafficData[[#This Row],[totalChallan]],TrafficData[[#This Row],[pendingChallan]]&lt;=TrafficData[[#This Row],[totalChallan]])</f>
        <v>1</v>
      </c>
      <c r="O3763" t="b">
        <f>AND(TrafficData[[#This Row],[pendingAmount]]&lt;=TrafficData[[#This Row],[totalAmount]],TrafficData[[#This Row],[disposedAmount]]&lt;=TrafficData[[#This Row],[totalAmount]])</f>
        <v>1</v>
      </c>
      <c r="P3763" t="b">
        <f>AND(TrafficData[[#This Row],[pendingCourt]]&lt;=TrafficData[[#This Row],[totalCourt]],TrafficData[[#This Row],[disposedCourt]]&lt;=TrafficData[[#This Row],[totalCourt]])</f>
        <v>1</v>
      </c>
    </row>
    <row r="3764" spans="1:16">
      <c r="A3764" s="1">
        <v>45768</v>
      </c>
      <c r="B3764">
        <v>278153</v>
      </c>
      <c r="C3764">
        <v>71809</v>
      </c>
      <c r="D3764">
        <v>206344</v>
      </c>
      <c r="E3764">
        <v>397158065</v>
      </c>
      <c r="F3764">
        <v>117531640</v>
      </c>
      <c r="G3764">
        <v>514689705</v>
      </c>
      <c r="H3764">
        <v>114102</v>
      </c>
      <c r="I3764">
        <v>6588</v>
      </c>
      <c r="J3764">
        <v>120690</v>
      </c>
      <c r="K3764" t="b">
        <f>TrafficData[[#This Row],[disposedChallan]]+TrafficData[[#This Row],[pendingChallan]]=TrafficData[[#This Row],[totalChallan]]</f>
        <v>1</v>
      </c>
      <c r="L3764" t="b">
        <f>TrafficData[[#This Row],[pendingAmount]]+TrafficData[[#This Row],[disposedAmount]]=TrafficData[[#This Row],[totalAmount]]</f>
        <v>1</v>
      </c>
      <c r="M3764" t="b">
        <f>TrafficData[[#This Row],[pendingCourt]]+TrafficData[[#This Row],[disposedCourt]]=TrafficData[[#This Row],[totalCourt]]</f>
        <v>1</v>
      </c>
      <c r="N3764" t="b">
        <f>AND(TrafficData[[#This Row],[disposedChallan]]&lt;=TrafficData[[#This Row],[totalChallan]],TrafficData[[#This Row],[pendingChallan]]&lt;=TrafficData[[#This Row],[totalChallan]])</f>
        <v>1</v>
      </c>
      <c r="O3764" t="b">
        <f>AND(TrafficData[[#This Row],[pendingAmount]]&lt;=TrafficData[[#This Row],[totalAmount]],TrafficData[[#This Row],[disposedAmount]]&lt;=TrafficData[[#This Row],[totalAmount]])</f>
        <v>1</v>
      </c>
      <c r="P3764" t="b">
        <f>AND(TrafficData[[#This Row],[pendingCourt]]&lt;=TrafficData[[#This Row],[totalCourt]],TrafficData[[#This Row],[disposedCourt]]&lt;=TrafficData[[#This Row],[totalCourt]])</f>
        <v>1</v>
      </c>
    </row>
    <row r="3765" spans="1:16">
      <c r="A3765" s="1">
        <v>45769</v>
      </c>
      <c r="B3765">
        <v>275828</v>
      </c>
      <c r="C3765">
        <v>72192</v>
      </c>
      <c r="D3765">
        <v>203636</v>
      </c>
      <c r="E3765">
        <v>407245384</v>
      </c>
      <c r="F3765">
        <v>122864685</v>
      </c>
      <c r="G3765">
        <v>530110069</v>
      </c>
      <c r="H3765">
        <v>115254</v>
      </c>
      <c r="I3765">
        <v>6437</v>
      </c>
      <c r="J3765">
        <v>121691</v>
      </c>
      <c r="K3765" t="b">
        <f>TrafficData[[#This Row],[disposedChallan]]+TrafficData[[#This Row],[pendingChallan]]=TrafficData[[#This Row],[totalChallan]]</f>
        <v>1</v>
      </c>
      <c r="L3765" t="b">
        <f>TrafficData[[#This Row],[pendingAmount]]+TrafficData[[#This Row],[disposedAmount]]=TrafficData[[#This Row],[totalAmount]]</f>
        <v>1</v>
      </c>
      <c r="M3765" t="b">
        <f>TrafficData[[#This Row],[pendingCourt]]+TrafficData[[#This Row],[disposedCourt]]=TrafficData[[#This Row],[totalCourt]]</f>
        <v>1</v>
      </c>
      <c r="N3765" t="b">
        <f>AND(TrafficData[[#This Row],[disposedChallan]]&lt;=TrafficData[[#This Row],[totalChallan]],TrafficData[[#This Row],[pendingChallan]]&lt;=TrafficData[[#This Row],[totalChallan]])</f>
        <v>1</v>
      </c>
      <c r="O3765" t="b">
        <f>AND(TrafficData[[#This Row],[pendingAmount]]&lt;=TrafficData[[#This Row],[totalAmount]],TrafficData[[#This Row],[disposedAmount]]&lt;=TrafficData[[#This Row],[totalAmount]])</f>
        <v>1</v>
      </c>
      <c r="P3765" t="b">
        <f>AND(TrafficData[[#This Row],[pendingCourt]]&lt;=TrafficData[[#This Row],[totalCourt]],TrafficData[[#This Row],[disposedCourt]]&lt;=TrafficData[[#This Row],[totalCourt]])</f>
        <v>1</v>
      </c>
    </row>
    <row r="3766" spans="1:16">
      <c r="A3766" s="1">
        <v>45770</v>
      </c>
      <c r="B3766">
        <v>265932</v>
      </c>
      <c r="C3766">
        <v>71115</v>
      </c>
      <c r="D3766">
        <v>194817</v>
      </c>
      <c r="E3766">
        <v>405786226</v>
      </c>
      <c r="F3766">
        <v>123886754</v>
      </c>
      <c r="G3766">
        <v>529672980</v>
      </c>
      <c r="H3766">
        <v>111270</v>
      </c>
      <c r="I3766">
        <v>6145</v>
      </c>
      <c r="J3766">
        <v>117415</v>
      </c>
      <c r="K3766" t="b">
        <f>TrafficData[[#This Row],[disposedChallan]]+TrafficData[[#This Row],[pendingChallan]]=TrafficData[[#This Row],[totalChallan]]</f>
        <v>1</v>
      </c>
      <c r="L3766" t="b">
        <f>TrafficData[[#This Row],[pendingAmount]]+TrafficData[[#This Row],[disposedAmount]]=TrafficData[[#This Row],[totalAmount]]</f>
        <v>1</v>
      </c>
      <c r="M3766" t="b">
        <f>TrafficData[[#This Row],[pendingCourt]]+TrafficData[[#This Row],[disposedCourt]]=TrafficData[[#This Row],[totalCourt]]</f>
        <v>1</v>
      </c>
      <c r="N3766" t="b">
        <f>AND(TrafficData[[#This Row],[disposedChallan]]&lt;=TrafficData[[#This Row],[totalChallan]],TrafficData[[#This Row],[pendingChallan]]&lt;=TrafficData[[#This Row],[totalChallan]])</f>
        <v>1</v>
      </c>
      <c r="O3766" t="b">
        <f>AND(TrafficData[[#This Row],[pendingAmount]]&lt;=TrafficData[[#This Row],[totalAmount]],TrafficData[[#This Row],[disposedAmount]]&lt;=TrafficData[[#This Row],[totalAmount]])</f>
        <v>1</v>
      </c>
      <c r="P3766" t="b">
        <f>AND(TrafficData[[#This Row],[pendingCourt]]&lt;=TrafficData[[#This Row],[totalCourt]],TrafficData[[#This Row],[disposedCourt]]&lt;=TrafficData[[#This Row],[totalCourt]])</f>
        <v>1</v>
      </c>
    </row>
    <row r="3767" spans="1:16">
      <c r="A3767" s="1">
        <v>45771</v>
      </c>
      <c r="B3767">
        <v>274495</v>
      </c>
      <c r="C3767">
        <v>72019</v>
      </c>
      <c r="D3767">
        <v>202476</v>
      </c>
      <c r="E3767">
        <v>407386496</v>
      </c>
      <c r="F3767">
        <v>110993733</v>
      </c>
      <c r="G3767">
        <v>518380229</v>
      </c>
      <c r="H3767">
        <v>112915</v>
      </c>
      <c r="I3767">
        <v>6244</v>
      </c>
      <c r="J3767">
        <v>119159</v>
      </c>
      <c r="K3767" t="b">
        <f>TrafficData[[#This Row],[disposedChallan]]+TrafficData[[#This Row],[pendingChallan]]=TrafficData[[#This Row],[totalChallan]]</f>
        <v>1</v>
      </c>
      <c r="L3767" t="b">
        <f>TrafficData[[#This Row],[pendingAmount]]+TrafficData[[#This Row],[disposedAmount]]=TrafficData[[#This Row],[totalAmount]]</f>
        <v>1</v>
      </c>
      <c r="M3767" t="b">
        <f>TrafficData[[#This Row],[pendingCourt]]+TrafficData[[#This Row],[disposedCourt]]=TrafficData[[#This Row],[totalCourt]]</f>
        <v>1</v>
      </c>
      <c r="N3767" t="b">
        <f>AND(TrafficData[[#This Row],[disposedChallan]]&lt;=TrafficData[[#This Row],[totalChallan]],TrafficData[[#This Row],[pendingChallan]]&lt;=TrafficData[[#This Row],[totalChallan]])</f>
        <v>1</v>
      </c>
      <c r="O3767" t="b">
        <f>AND(TrafficData[[#This Row],[pendingAmount]]&lt;=TrafficData[[#This Row],[totalAmount]],TrafficData[[#This Row],[disposedAmount]]&lt;=TrafficData[[#This Row],[totalAmount]])</f>
        <v>1</v>
      </c>
      <c r="P3767" t="b">
        <f>AND(TrafficData[[#This Row],[pendingCourt]]&lt;=TrafficData[[#This Row],[totalCourt]],TrafficData[[#This Row],[disposedCourt]]&lt;=TrafficData[[#This Row],[totalCourt]])</f>
        <v>1</v>
      </c>
    </row>
    <row r="3768" spans="1:16">
      <c r="A3768" s="1">
        <v>45772</v>
      </c>
      <c r="B3768">
        <v>279286</v>
      </c>
      <c r="C3768">
        <v>74081</v>
      </c>
      <c r="D3768">
        <v>205205</v>
      </c>
      <c r="E3768">
        <v>426374527</v>
      </c>
      <c r="F3768">
        <v>115476056</v>
      </c>
      <c r="G3768">
        <v>541850583</v>
      </c>
      <c r="H3768">
        <v>106954</v>
      </c>
      <c r="I3768">
        <v>6386</v>
      </c>
      <c r="J3768">
        <v>113340</v>
      </c>
      <c r="K3768" t="b">
        <f>TrafficData[[#This Row],[disposedChallan]]+TrafficData[[#This Row],[pendingChallan]]=TrafficData[[#This Row],[totalChallan]]</f>
        <v>1</v>
      </c>
      <c r="L3768" t="b">
        <f>TrafficData[[#This Row],[pendingAmount]]+TrafficData[[#This Row],[disposedAmount]]=TrafficData[[#This Row],[totalAmount]]</f>
        <v>1</v>
      </c>
      <c r="M3768" t="b">
        <f>TrafficData[[#This Row],[pendingCourt]]+TrafficData[[#This Row],[disposedCourt]]=TrafficData[[#This Row],[totalCourt]]</f>
        <v>1</v>
      </c>
      <c r="N3768" t="b">
        <f>AND(TrafficData[[#This Row],[disposedChallan]]&lt;=TrafficData[[#This Row],[totalChallan]],TrafficData[[#This Row],[pendingChallan]]&lt;=TrafficData[[#This Row],[totalChallan]])</f>
        <v>1</v>
      </c>
      <c r="O3768" t="b">
        <f>AND(TrafficData[[#This Row],[pendingAmount]]&lt;=TrafficData[[#This Row],[totalAmount]],TrafficData[[#This Row],[disposedAmount]]&lt;=TrafficData[[#This Row],[totalAmount]])</f>
        <v>1</v>
      </c>
      <c r="P3768" t="b">
        <f>AND(TrafficData[[#This Row],[pendingCourt]]&lt;=TrafficData[[#This Row],[totalCourt]],TrafficData[[#This Row],[disposedCourt]]&lt;=TrafficData[[#This Row],[totalCourt]])</f>
        <v>1</v>
      </c>
    </row>
    <row r="3769" spans="1:16">
      <c r="A3769" s="1">
        <v>45773</v>
      </c>
      <c r="B3769">
        <v>282732</v>
      </c>
      <c r="C3769">
        <v>75839</v>
      </c>
      <c r="D3769">
        <v>206893</v>
      </c>
      <c r="E3769">
        <v>399925434</v>
      </c>
      <c r="F3769">
        <v>106773580</v>
      </c>
      <c r="G3769">
        <v>506699014</v>
      </c>
      <c r="H3769">
        <v>94553</v>
      </c>
      <c r="I3769">
        <v>6555</v>
      </c>
      <c r="J3769">
        <v>101108</v>
      </c>
      <c r="K3769" t="b">
        <f>TrafficData[[#This Row],[disposedChallan]]+TrafficData[[#This Row],[pendingChallan]]=TrafficData[[#This Row],[totalChallan]]</f>
        <v>1</v>
      </c>
      <c r="L3769" t="b">
        <f>TrafficData[[#This Row],[pendingAmount]]+TrafficData[[#This Row],[disposedAmount]]=TrafficData[[#This Row],[totalAmount]]</f>
        <v>1</v>
      </c>
      <c r="M3769" t="b">
        <f>TrafficData[[#This Row],[pendingCourt]]+TrafficData[[#This Row],[disposedCourt]]=TrafficData[[#This Row],[totalCourt]]</f>
        <v>1</v>
      </c>
      <c r="N3769" t="b">
        <f>AND(TrafficData[[#This Row],[disposedChallan]]&lt;=TrafficData[[#This Row],[totalChallan]],TrafficData[[#This Row],[pendingChallan]]&lt;=TrafficData[[#This Row],[totalChallan]])</f>
        <v>1</v>
      </c>
      <c r="O3769" t="b">
        <f>AND(TrafficData[[#This Row],[pendingAmount]]&lt;=TrafficData[[#This Row],[totalAmount]],TrafficData[[#This Row],[disposedAmount]]&lt;=TrafficData[[#This Row],[totalAmount]])</f>
        <v>1</v>
      </c>
      <c r="P3769" t="b">
        <f>AND(TrafficData[[#This Row],[pendingCourt]]&lt;=TrafficData[[#This Row],[totalCourt]],TrafficData[[#This Row],[disposedCourt]]&lt;=TrafficData[[#This Row],[totalCourt]])</f>
        <v>1</v>
      </c>
    </row>
    <row r="3770" spans="1:16">
      <c r="A3770" s="1">
        <v>45774</v>
      </c>
      <c r="B3770">
        <v>260751</v>
      </c>
      <c r="C3770">
        <v>67144</v>
      </c>
      <c r="D3770">
        <v>193607</v>
      </c>
      <c r="E3770">
        <v>329033574</v>
      </c>
      <c r="F3770">
        <v>82079781</v>
      </c>
      <c r="G3770">
        <v>411113355</v>
      </c>
      <c r="H3770">
        <v>103845</v>
      </c>
      <c r="I3770">
        <v>5827</v>
      </c>
      <c r="J3770">
        <v>109672</v>
      </c>
      <c r="K3770" t="b">
        <f>TrafficData[[#This Row],[disposedChallan]]+TrafficData[[#This Row],[pendingChallan]]=TrafficData[[#This Row],[totalChallan]]</f>
        <v>1</v>
      </c>
      <c r="L3770" t="b">
        <f>TrafficData[[#This Row],[pendingAmount]]+TrafficData[[#This Row],[disposedAmount]]=TrafficData[[#This Row],[totalAmount]]</f>
        <v>1</v>
      </c>
      <c r="M3770" t="b">
        <f>TrafficData[[#This Row],[pendingCourt]]+TrafficData[[#This Row],[disposedCourt]]=TrafficData[[#This Row],[totalCourt]]</f>
        <v>1</v>
      </c>
      <c r="N3770" t="b">
        <f>AND(TrafficData[[#This Row],[disposedChallan]]&lt;=TrafficData[[#This Row],[totalChallan]],TrafficData[[#This Row],[pendingChallan]]&lt;=TrafficData[[#This Row],[totalChallan]])</f>
        <v>1</v>
      </c>
      <c r="O3770" t="b">
        <f>AND(TrafficData[[#This Row],[pendingAmount]]&lt;=TrafficData[[#This Row],[totalAmount]],TrafficData[[#This Row],[disposedAmount]]&lt;=TrafficData[[#This Row],[totalAmount]])</f>
        <v>1</v>
      </c>
      <c r="P3770" t="b">
        <f>AND(TrafficData[[#This Row],[pendingCourt]]&lt;=TrafficData[[#This Row],[totalCourt]],TrafficData[[#This Row],[disposedCourt]]&lt;=TrafficData[[#This Row],[totalCourt]])</f>
        <v>1</v>
      </c>
    </row>
    <row r="3771" spans="1:16">
      <c r="A3771" s="1">
        <v>45775</v>
      </c>
      <c r="B3771">
        <v>288313</v>
      </c>
      <c r="C3771">
        <v>72086</v>
      </c>
      <c r="D3771">
        <v>216227</v>
      </c>
      <c r="E3771">
        <v>413693454</v>
      </c>
      <c r="F3771">
        <v>98664005</v>
      </c>
      <c r="G3771">
        <v>512357459</v>
      </c>
      <c r="H3771">
        <v>118485</v>
      </c>
      <c r="I3771">
        <v>6559</v>
      </c>
      <c r="J3771">
        <v>125044</v>
      </c>
      <c r="K3771" t="b">
        <f>TrafficData[[#This Row],[disposedChallan]]+TrafficData[[#This Row],[pendingChallan]]=TrafficData[[#This Row],[totalChallan]]</f>
        <v>1</v>
      </c>
      <c r="L3771" t="b">
        <f>TrafficData[[#This Row],[pendingAmount]]+TrafficData[[#This Row],[disposedAmount]]=TrafficData[[#This Row],[totalAmount]]</f>
        <v>1</v>
      </c>
      <c r="M3771" t="b">
        <f>TrafficData[[#This Row],[pendingCourt]]+TrafficData[[#This Row],[disposedCourt]]=TrafficData[[#This Row],[totalCourt]]</f>
        <v>1</v>
      </c>
      <c r="N3771" t="b">
        <f>AND(TrafficData[[#This Row],[disposedChallan]]&lt;=TrafficData[[#This Row],[totalChallan]],TrafficData[[#This Row],[pendingChallan]]&lt;=TrafficData[[#This Row],[totalChallan]])</f>
        <v>1</v>
      </c>
      <c r="O3771" t="b">
        <f>AND(TrafficData[[#This Row],[pendingAmount]]&lt;=TrafficData[[#This Row],[totalAmount]],TrafficData[[#This Row],[disposedAmount]]&lt;=TrafficData[[#This Row],[totalAmount]])</f>
        <v>1</v>
      </c>
      <c r="P3771" t="b">
        <f>AND(TrafficData[[#This Row],[pendingCourt]]&lt;=TrafficData[[#This Row],[totalCourt]],TrafficData[[#This Row],[disposedCourt]]&lt;=TrafficData[[#This Row],[totalCourt]])</f>
        <v>1</v>
      </c>
    </row>
    <row r="3772" spans="1:16">
      <c r="A3772" s="1">
        <v>45776</v>
      </c>
      <c r="B3772">
        <v>266284</v>
      </c>
      <c r="C3772">
        <v>67931</v>
      </c>
      <c r="D3772">
        <v>198353</v>
      </c>
      <c r="E3772">
        <v>379626413</v>
      </c>
      <c r="F3772">
        <v>99936596</v>
      </c>
      <c r="G3772">
        <v>479563009</v>
      </c>
      <c r="H3772">
        <v>97471</v>
      </c>
      <c r="I3772">
        <v>5806</v>
      </c>
      <c r="J3772">
        <v>103277</v>
      </c>
      <c r="K3772" t="b">
        <f>TrafficData[[#This Row],[disposedChallan]]+TrafficData[[#This Row],[pendingChallan]]=TrafficData[[#This Row],[totalChallan]]</f>
        <v>1</v>
      </c>
      <c r="L3772" t="b">
        <f>TrafficData[[#This Row],[pendingAmount]]+TrafficData[[#This Row],[disposedAmount]]=TrafficData[[#This Row],[totalAmount]]</f>
        <v>1</v>
      </c>
      <c r="M3772" t="b">
        <f>TrafficData[[#This Row],[pendingCourt]]+TrafficData[[#This Row],[disposedCourt]]=TrafficData[[#This Row],[totalCourt]]</f>
        <v>1</v>
      </c>
      <c r="N3772" t="b">
        <f>AND(TrafficData[[#This Row],[disposedChallan]]&lt;=TrafficData[[#This Row],[totalChallan]],TrafficData[[#This Row],[pendingChallan]]&lt;=TrafficData[[#This Row],[totalChallan]])</f>
        <v>1</v>
      </c>
      <c r="O3772" t="b">
        <f>AND(TrafficData[[#This Row],[pendingAmount]]&lt;=TrafficData[[#This Row],[totalAmount]],TrafficData[[#This Row],[disposedAmount]]&lt;=TrafficData[[#This Row],[totalAmount]])</f>
        <v>1</v>
      </c>
      <c r="P3772" t="b">
        <f>AND(TrafficData[[#This Row],[pendingCourt]]&lt;=TrafficData[[#This Row],[totalCourt]],TrafficData[[#This Row],[disposedCourt]]&lt;=TrafficData[[#This Row],[totalCourt]])</f>
        <v>1</v>
      </c>
    </row>
    <row r="3773" spans="1:16">
      <c r="A3773" s="1">
        <v>45777</v>
      </c>
      <c r="B3773">
        <v>260400</v>
      </c>
      <c r="C3773">
        <v>65900</v>
      </c>
      <c r="D3773">
        <v>194500</v>
      </c>
      <c r="E3773">
        <v>372581738</v>
      </c>
      <c r="F3773">
        <v>94345944</v>
      </c>
      <c r="G3773">
        <v>466927682</v>
      </c>
      <c r="H3773">
        <v>97542</v>
      </c>
      <c r="I3773">
        <v>5183</v>
      </c>
      <c r="J3773">
        <v>102725</v>
      </c>
      <c r="K3773" t="b">
        <f>TrafficData[[#This Row],[disposedChallan]]+TrafficData[[#This Row],[pendingChallan]]=TrafficData[[#This Row],[totalChallan]]</f>
        <v>1</v>
      </c>
      <c r="L3773" t="b">
        <f>TrafficData[[#This Row],[pendingAmount]]+TrafficData[[#This Row],[disposedAmount]]=TrafficData[[#This Row],[totalAmount]]</f>
        <v>1</v>
      </c>
      <c r="M3773" t="b">
        <f>TrafficData[[#This Row],[pendingCourt]]+TrafficData[[#This Row],[disposedCourt]]=TrafficData[[#This Row],[totalCourt]]</f>
        <v>1</v>
      </c>
      <c r="N3773" t="b">
        <f>AND(TrafficData[[#This Row],[disposedChallan]]&lt;=TrafficData[[#This Row],[totalChallan]],TrafficData[[#This Row],[pendingChallan]]&lt;=TrafficData[[#This Row],[totalChallan]])</f>
        <v>1</v>
      </c>
      <c r="O3773" t="b">
        <f>AND(TrafficData[[#This Row],[pendingAmount]]&lt;=TrafficData[[#This Row],[totalAmount]],TrafficData[[#This Row],[disposedAmount]]&lt;=TrafficData[[#This Row],[totalAmount]])</f>
        <v>1</v>
      </c>
      <c r="P3773" t="b">
        <f>AND(TrafficData[[#This Row],[pendingCourt]]&lt;=TrafficData[[#This Row],[totalCourt]],TrafficData[[#This Row],[disposedCourt]]&lt;=TrafficData[[#This Row],[totalCourt]])</f>
        <v>1</v>
      </c>
    </row>
    <row r="3774" spans="1:16">
      <c r="A3774" s="1">
        <v>45778</v>
      </c>
      <c r="B3774">
        <v>272221</v>
      </c>
      <c r="C3774">
        <v>73064</v>
      </c>
      <c r="D3774">
        <v>199157</v>
      </c>
      <c r="E3774">
        <v>367108978</v>
      </c>
      <c r="F3774">
        <v>114309533</v>
      </c>
      <c r="G3774">
        <v>481418511</v>
      </c>
      <c r="H3774">
        <v>104014</v>
      </c>
      <c r="I3774">
        <v>5470</v>
      </c>
      <c r="J3774">
        <v>109484</v>
      </c>
      <c r="K3774" t="b">
        <f>TrafficData[[#This Row],[disposedChallan]]+TrafficData[[#This Row],[pendingChallan]]=TrafficData[[#This Row],[totalChallan]]</f>
        <v>1</v>
      </c>
      <c r="L3774" t="b">
        <f>TrafficData[[#This Row],[pendingAmount]]+TrafficData[[#This Row],[disposedAmount]]=TrafficData[[#This Row],[totalAmount]]</f>
        <v>1</v>
      </c>
      <c r="M3774" t="b">
        <f>TrafficData[[#This Row],[pendingCourt]]+TrafficData[[#This Row],[disposedCourt]]=TrafficData[[#This Row],[totalCourt]]</f>
        <v>1</v>
      </c>
      <c r="N3774" t="b">
        <f>AND(TrafficData[[#This Row],[disposedChallan]]&lt;=TrafficData[[#This Row],[totalChallan]],TrafficData[[#This Row],[pendingChallan]]&lt;=TrafficData[[#This Row],[totalChallan]])</f>
        <v>1</v>
      </c>
      <c r="O3774" t="b">
        <f>AND(TrafficData[[#This Row],[pendingAmount]]&lt;=TrafficData[[#This Row],[totalAmount]],TrafficData[[#This Row],[disposedAmount]]&lt;=TrafficData[[#This Row],[totalAmount]])</f>
        <v>1</v>
      </c>
      <c r="P3774" t="b">
        <f>AND(TrafficData[[#This Row],[pendingCourt]]&lt;=TrafficData[[#This Row],[totalCourt]],TrafficData[[#This Row],[disposedCourt]]&lt;=TrafficData[[#This Row],[totalCourt]])</f>
        <v>1</v>
      </c>
    </row>
    <row r="3775" spans="1:16">
      <c r="A3775" s="1">
        <v>45779</v>
      </c>
      <c r="B3775">
        <v>277721</v>
      </c>
      <c r="C3775">
        <v>76390</v>
      </c>
      <c r="D3775">
        <v>201331</v>
      </c>
      <c r="E3775">
        <v>366283345</v>
      </c>
      <c r="F3775">
        <v>127509243</v>
      </c>
      <c r="G3775">
        <v>493792588</v>
      </c>
      <c r="H3775">
        <v>100270</v>
      </c>
      <c r="I3775">
        <v>5124</v>
      </c>
      <c r="J3775">
        <v>105394</v>
      </c>
      <c r="K3775" t="b">
        <f>TrafficData[[#This Row],[disposedChallan]]+TrafficData[[#This Row],[pendingChallan]]=TrafficData[[#This Row],[totalChallan]]</f>
        <v>1</v>
      </c>
      <c r="L3775" t="b">
        <f>TrafficData[[#This Row],[pendingAmount]]+TrafficData[[#This Row],[disposedAmount]]=TrafficData[[#This Row],[totalAmount]]</f>
        <v>1</v>
      </c>
      <c r="M3775" t="b">
        <f>TrafficData[[#This Row],[pendingCourt]]+TrafficData[[#This Row],[disposedCourt]]=TrafficData[[#This Row],[totalCourt]]</f>
        <v>1</v>
      </c>
      <c r="N3775" t="b">
        <f>AND(TrafficData[[#This Row],[disposedChallan]]&lt;=TrafficData[[#This Row],[totalChallan]],TrafficData[[#This Row],[pendingChallan]]&lt;=TrafficData[[#This Row],[totalChallan]])</f>
        <v>1</v>
      </c>
      <c r="O3775" t="b">
        <f>AND(TrafficData[[#This Row],[pendingAmount]]&lt;=TrafficData[[#This Row],[totalAmount]],TrafficData[[#This Row],[disposedAmount]]&lt;=TrafficData[[#This Row],[totalAmount]])</f>
        <v>1</v>
      </c>
      <c r="P3775" t="b">
        <f>AND(TrafficData[[#This Row],[pendingCourt]]&lt;=TrafficData[[#This Row],[totalCourt]],TrafficData[[#This Row],[disposedCourt]]&lt;=TrafficData[[#This Row],[totalCourt]])</f>
        <v>1</v>
      </c>
    </row>
    <row r="3776" spans="1:16">
      <c r="A3776" s="1">
        <v>45780</v>
      </c>
      <c r="B3776">
        <v>288143</v>
      </c>
      <c r="C3776">
        <v>76739</v>
      </c>
      <c r="D3776">
        <v>211404</v>
      </c>
      <c r="E3776">
        <v>400166885</v>
      </c>
      <c r="F3776">
        <v>128613786</v>
      </c>
      <c r="G3776">
        <v>528780671</v>
      </c>
      <c r="H3776">
        <v>114009</v>
      </c>
      <c r="I3776">
        <v>6025</v>
      </c>
      <c r="J3776">
        <v>120034</v>
      </c>
      <c r="K3776" t="b">
        <f>TrafficData[[#This Row],[disposedChallan]]+TrafficData[[#This Row],[pendingChallan]]=TrafficData[[#This Row],[totalChallan]]</f>
        <v>1</v>
      </c>
      <c r="L3776" t="b">
        <f>TrafficData[[#This Row],[pendingAmount]]+TrafficData[[#This Row],[disposedAmount]]=TrafficData[[#This Row],[totalAmount]]</f>
        <v>1</v>
      </c>
      <c r="M3776" t="b">
        <f>TrafficData[[#This Row],[pendingCourt]]+TrafficData[[#This Row],[disposedCourt]]=TrafficData[[#This Row],[totalCourt]]</f>
        <v>1</v>
      </c>
      <c r="N3776" t="b">
        <f>AND(TrafficData[[#This Row],[disposedChallan]]&lt;=TrafficData[[#This Row],[totalChallan]],TrafficData[[#This Row],[pendingChallan]]&lt;=TrafficData[[#This Row],[totalChallan]])</f>
        <v>1</v>
      </c>
      <c r="O3776" t="b">
        <f>AND(TrafficData[[#This Row],[pendingAmount]]&lt;=TrafficData[[#This Row],[totalAmount]],TrafficData[[#This Row],[disposedAmount]]&lt;=TrafficData[[#This Row],[totalAmount]])</f>
        <v>1</v>
      </c>
      <c r="P3776" t="b">
        <f>AND(TrafficData[[#This Row],[pendingCourt]]&lt;=TrafficData[[#This Row],[totalCourt]],TrafficData[[#This Row],[disposedCourt]]&lt;=TrafficData[[#This Row],[totalCourt]])</f>
        <v>1</v>
      </c>
    </row>
    <row r="3777" spans="1:16">
      <c r="A3777" s="1">
        <v>45781</v>
      </c>
      <c r="B3777">
        <v>246852</v>
      </c>
      <c r="C3777">
        <v>63538</v>
      </c>
      <c r="D3777">
        <v>183314</v>
      </c>
      <c r="E3777">
        <v>318312092</v>
      </c>
      <c r="F3777">
        <v>87852591</v>
      </c>
      <c r="G3777">
        <v>406164683</v>
      </c>
      <c r="H3777">
        <v>93050</v>
      </c>
      <c r="I3777">
        <v>4807</v>
      </c>
      <c r="J3777">
        <v>97857</v>
      </c>
      <c r="K3777" t="b">
        <f>TrafficData[[#This Row],[disposedChallan]]+TrafficData[[#This Row],[pendingChallan]]=TrafficData[[#This Row],[totalChallan]]</f>
        <v>1</v>
      </c>
      <c r="L3777" t="b">
        <f>TrafficData[[#This Row],[pendingAmount]]+TrafficData[[#This Row],[disposedAmount]]=TrafficData[[#This Row],[totalAmount]]</f>
        <v>1</v>
      </c>
      <c r="M3777" t="b">
        <f>TrafficData[[#This Row],[pendingCourt]]+TrafficData[[#This Row],[disposedCourt]]=TrafficData[[#This Row],[totalCourt]]</f>
        <v>1</v>
      </c>
      <c r="N3777" t="b">
        <f>AND(TrafficData[[#This Row],[disposedChallan]]&lt;=TrafficData[[#This Row],[totalChallan]],TrafficData[[#This Row],[pendingChallan]]&lt;=TrafficData[[#This Row],[totalChallan]])</f>
        <v>1</v>
      </c>
      <c r="O3777" t="b">
        <f>AND(TrafficData[[#This Row],[pendingAmount]]&lt;=TrafficData[[#This Row],[totalAmount]],TrafficData[[#This Row],[disposedAmount]]&lt;=TrafficData[[#This Row],[totalAmount]])</f>
        <v>1</v>
      </c>
      <c r="P3777" t="b">
        <f>AND(TrafficData[[#This Row],[pendingCourt]]&lt;=TrafficData[[#This Row],[totalCourt]],TrafficData[[#This Row],[disposedCourt]]&lt;=TrafficData[[#This Row],[totalCourt]])</f>
        <v>1</v>
      </c>
    </row>
    <row r="3778" spans="1:16">
      <c r="A3778" s="1">
        <v>45782</v>
      </c>
      <c r="B3778">
        <v>277734</v>
      </c>
      <c r="C3778">
        <v>71846</v>
      </c>
      <c r="D3778">
        <v>205888</v>
      </c>
      <c r="E3778">
        <v>398862854</v>
      </c>
      <c r="F3778">
        <v>121150639</v>
      </c>
      <c r="G3778">
        <v>520013493</v>
      </c>
      <c r="H3778">
        <v>109026</v>
      </c>
      <c r="I3778">
        <v>5755</v>
      </c>
      <c r="J3778">
        <v>114781</v>
      </c>
      <c r="K3778" t="b">
        <f>TrafficData[[#This Row],[disposedChallan]]+TrafficData[[#This Row],[pendingChallan]]=TrafficData[[#This Row],[totalChallan]]</f>
        <v>1</v>
      </c>
      <c r="L3778" t="b">
        <f>TrafficData[[#This Row],[pendingAmount]]+TrafficData[[#This Row],[disposedAmount]]=TrafficData[[#This Row],[totalAmount]]</f>
        <v>1</v>
      </c>
      <c r="M3778" t="b">
        <f>TrafficData[[#This Row],[pendingCourt]]+TrafficData[[#This Row],[disposedCourt]]=TrafficData[[#This Row],[totalCourt]]</f>
        <v>1</v>
      </c>
      <c r="N3778" t="b">
        <f>AND(TrafficData[[#This Row],[disposedChallan]]&lt;=TrafficData[[#This Row],[totalChallan]],TrafficData[[#This Row],[pendingChallan]]&lt;=TrafficData[[#This Row],[totalChallan]])</f>
        <v>1</v>
      </c>
      <c r="O3778" t="b">
        <f>AND(TrafficData[[#This Row],[pendingAmount]]&lt;=TrafficData[[#This Row],[totalAmount]],TrafficData[[#This Row],[disposedAmount]]&lt;=TrafficData[[#This Row],[totalAmount]])</f>
        <v>1</v>
      </c>
      <c r="P3778" t="b">
        <f>AND(TrafficData[[#This Row],[pendingCourt]]&lt;=TrafficData[[#This Row],[totalCourt]],TrafficData[[#This Row],[disposedCourt]]&lt;=TrafficData[[#This Row],[totalCourt]])</f>
        <v>1</v>
      </c>
    </row>
    <row r="3779" spans="1:16">
      <c r="A3779" s="1">
        <v>45783</v>
      </c>
      <c r="B3779">
        <v>282714</v>
      </c>
      <c r="C3779">
        <v>73204</v>
      </c>
      <c r="D3779">
        <v>209510</v>
      </c>
      <c r="E3779">
        <v>401976994</v>
      </c>
      <c r="F3779">
        <v>123966775</v>
      </c>
      <c r="G3779">
        <v>525943769</v>
      </c>
      <c r="H3779">
        <v>115269</v>
      </c>
      <c r="I3779">
        <v>5877</v>
      </c>
      <c r="J3779">
        <v>121146</v>
      </c>
      <c r="K3779" t="b">
        <f>TrafficData[[#This Row],[disposedChallan]]+TrafficData[[#This Row],[pendingChallan]]=TrafficData[[#This Row],[totalChallan]]</f>
        <v>1</v>
      </c>
      <c r="L3779" t="b">
        <f>TrafficData[[#This Row],[pendingAmount]]+TrafficData[[#This Row],[disposedAmount]]=TrafficData[[#This Row],[totalAmount]]</f>
        <v>1</v>
      </c>
      <c r="M3779" t="b">
        <f>TrafficData[[#This Row],[pendingCourt]]+TrafficData[[#This Row],[disposedCourt]]=TrafficData[[#This Row],[totalCourt]]</f>
        <v>1</v>
      </c>
      <c r="N3779" t="b">
        <f>AND(TrafficData[[#This Row],[disposedChallan]]&lt;=TrafficData[[#This Row],[totalChallan]],TrafficData[[#This Row],[pendingChallan]]&lt;=TrafficData[[#This Row],[totalChallan]])</f>
        <v>1</v>
      </c>
      <c r="O3779" t="b">
        <f>AND(TrafficData[[#This Row],[pendingAmount]]&lt;=TrafficData[[#This Row],[totalAmount]],TrafficData[[#This Row],[disposedAmount]]&lt;=TrafficData[[#This Row],[totalAmount]])</f>
        <v>1</v>
      </c>
      <c r="P3779" t="b">
        <f>AND(TrafficData[[#This Row],[pendingCourt]]&lt;=TrafficData[[#This Row],[totalCourt]],TrafficData[[#This Row],[disposedCourt]]&lt;=TrafficData[[#This Row],[totalCourt]])</f>
        <v>1</v>
      </c>
    </row>
    <row r="3780" spans="1:16">
      <c r="A3780" s="1">
        <v>45784</v>
      </c>
      <c r="B3780">
        <v>264252</v>
      </c>
      <c r="C3780">
        <v>67008</v>
      </c>
      <c r="D3780">
        <v>197244</v>
      </c>
      <c r="E3780">
        <v>378561481</v>
      </c>
      <c r="F3780">
        <v>120240559</v>
      </c>
      <c r="G3780">
        <v>498802040</v>
      </c>
      <c r="H3780">
        <v>106524</v>
      </c>
      <c r="I3780">
        <v>5469</v>
      </c>
      <c r="J3780">
        <v>111993</v>
      </c>
      <c r="K3780" t="b">
        <f>TrafficData[[#This Row],[disposedChallan]]+TrafficData[[#This Row],[pendingChallan]]=TrafficData[[#This Row],[totalChallan]]</f>
        <v>1</v>
      </c>
      <c r="L3780" t="b">
        <f>TrafficData[[#This Row],[pendingAmount]]+TrafficData[[#This Row],[disposedAmount]]=TrafficData[[#This Row],[totalAmount]]</f>
        <v>1</v>
      </c>
      <c r="M3780" t="b">
        <f>TrafficData[[#This Row],[pendingCourt]]+TrafficData[[#This Row],[disposedCourt]]=TrafficData[[#This Row],[totalCourt]]</f>
        <v>1</v>
      </c>
      <c r="N3780" t="b">
        <f>AND(TrafficData[[#This Row],[disposedChallan]]&lt;=TrafficData[[#This Row],[totalChallan]],TrafficData[[#This Row],[pendingChallan]]&lt;=TrafficData[[#This Row],[totalChallan]])</f>
        <v>1</v>
      </c>
      <c r="O3780" t="b">
        <f>AND(TrafficData[[#This Row],[pendingAmount]]&lt;=TrafficData[[#This Row],[totalAmount]],TrafficData[[#This Row],[disposedAmount]]&lt;=TrafficData[[#This Row],[totalAmount]])</f>
        <v>1</v>
      </c>
      <c r="P3780" t="b">
        <f>AND(TrafficData[[#This Row],[pendingCourt]]&lt;=TrafficData[[#This Row],[totalCourt]],TrafficData[[#This Row],[disposedCourt]]&lt;=TrafficData[[#This Row],[totalCourt]])</f>
        <v>1</v>
      </c>
    </row>
    <row r="3781" spans="1:16">
      <c r="A3781" s="1">
        <v>45785</v>
      </c>
      <c r="B3781">
        <v>279848</v>
      </c>
      <c r="C3781">
        <v>72923</v>
      </c>
      <c r="D3781">
        <v>206925</v>
      </c>
      <c r="E3781">
        <v>402590235</v>
      </c>
      <c r="F3781">
        <v>130253902</v>
      </c>
      <c r="G3781">
        <v>532844137</v>
      </c>
      <c r="H3781">
        <v>114879</v>
      </c>
      <c r="I3781">
        <v>5748</v>
      </c>
      <c r="J3781">
        <v>120627</v>
      </c>
      <c r="K3781" t="b">
        <f>TrafficData[[#This Row],[disposedChallan]]+TrafficData[[#This Row],[pendingChallan]]=TrafficData[[#This Row],[totalChallan]]</f>
        <v>1</v>
      </c>
      <c r="L3781" t="b">
        <f>TrafficData[[#This Row],[pendingAmount]]+TrafficData[[#This Row],[disposedAmount]]=TrafficData[[#This Row],[totalAmount]]</f>
        <v>1</v>
      </c>
      <c r="M3781" t="b">
        <f>TrafficData[[#This Row],[pendingCourt]]+TrafficData[[#This Row],[disposedCourt]]=TrafficData[[#This Row],[totalCourt]]</f>
        <v>1</v>
      </c>
      <c r="N3781" t="b">
        <f>AND(TrafficData[[#This Row],[disposedChallan]]&lt;=TrafficData[[#This Row],[totalChallan]],TrafficData[[#This Row],[pendingChallan]]&lt;=TrafficData[[#This Row],[totalChallan]])</f>
        <v>1</v>
      </c>
      <c r="O3781" t="b">
        <f>AND(TrafficData[[#This Row],[pendingAmount]]&lt;=TrafficData[[#This Row],[totalAmount]],TrafficData[[#This Row],[disposedAmount]]&lt;=TrafficData[[#This Row],[totalAmount]])</f>
        <v>1</v>
      </c>
      <c r="P3781" t="b">
        <f>AND(TrafficData[[#This Row],[pendingCourt]]&lt;=TrafficData[[#This Row],[totalCourt]],TrafficData[[#This Row],[disposedCourt]]&lt;=TrafficData[[#This Row],[totalCourt]])</f>
        <v>1</v>
      </c>
    </row>
    <row r="3782" spans="1:16">
      <c r="A3782" s="1">
        <v>45786</v>
      </c>
      <c r="B3782">
        <v>272704</v>
      </c>
      <c r="C3782">
        <v>72119</v>
      </c>
      <c r="D3782">
        <v>200585</v>
      </c>
      <c r="E3782">
        <v>399786466</v>
      </c>
      <c r="F3782">
        <v>113081654</v>
      </c>
      <c r="G3782">
        <v>512868120</v>
      </c>
      <c r="H3782">
        <v>118368</v>
      </c>
      <c r="I3782">
        <v>5992</v>
      </c>
      <c r="J3782">
        <v>124360</v>
      </c>
      <c r="K3782" t="b">
        <f>TrafficData[[#This Row],[disposedChallan]]+TrafficData[[#This Row],[pendingChallan]]=TrafficData[[#This Row],[totalChallan]]</f>
        <v>1</v>
      </c>
      <c r="L3782" t="b">
        <f>TrafficData[[#This Row],[pendingAmount]]+TrafficData[[#This Row],[disposedAmount]]=TrafficData[[#This Row],[totalAmount]]</f>
        <v>1</v>
      </c>
      <c r="M3782" t="b">
        <f>TrafficData[[#This Row],[pendingCourt]]+TrafficData[[#This Row],[disposedCourt]]=TrafficData[[#This Row],[totalCourt]]</f>
        <v>1</v>
      </c>
      <c r="N3782" t="b">
        <f>AND(TrafficData[[#This Row],[disposedChallan]]&lt;=TrafficData[[#This Row],[totalChallan]],TrafficData[[#This Row],[pendingChallan]]&lt;=TrafficData[[#This Row],[totalChallan]])</f>
        <v>1</v>
      </c>
      <c r="O3782" t="b">
        <f>AND(TrafficData[[#This Row],[pendingAmount]]&lt;=TrafficData[[#This Row],[totalAmount]],TrafficData[[#This Row],[disposedAmount]]&lt;=TrafficData[[#This Row],[totalAmount]])</f>
        <v>1</v>
      </c>
      <c r="P3782" t="b">
        <f>AND(TrafficData[[#This Row],[pendingCourt]]&lt;=TrafficData[[#This Row],[totalCourt]],TrafficData[[#This Row],[disposedCourt]]&lt;=TrafficData[[#This Row],[totalCourt]])</f>
        <v>1</v>
      </c>
    </row>
    <row r="3783" spans="1:16">
      <c r="A3783" s="1">
        <v>45787</v>
      </c>
      <c r="B3783">
        <v>261056</v>
      </c>
      <c r="C3783">
        <v>69771</v>
      </c>
      <c r="D3783">
        <v>191285</v>
      </c>
      <c r="E3783">
        <v>349862077</v>
      </c>
      <c r="F3783">
        <v>96274099</v>
      </c>
      <c r="G3783">
        <v>446136176</v>
      </c>
      <c r="H3783">
        <v>110281</v>
      </c>
      <c r="I3783">
        <v>5592</v>
      </c>
      <c r="J3783">
        <v>115873</v>
      </c>
      <c r="K3783" t="b">
        <f>TrafficData[[#This Row],[disposedChallan]]+TrafficData[[#This Row],[pendingChallan]]=TrafficData[[#This Row],[totalChallan]]</f>
        <v>1</v>
      </c>
      <c r="L3783" t="b">
        <f>TrafficData[[#This Row],[pendingAmount]]+TrafficData[[#This Row],[disposedAmount]]=TrafficData[[#This Row],[totalAmount]]</f>
        <v>1</v>
      </c>
      <c r="M3783" t="b">
        <f>TrafficData[[#This Row],[pendingCourt]]+TrafficData[[#This Row],[disposedCourt]]=TrafficData[[#This Row],[totalCourt]]</f>
        <v>1</v>
      </c>
      <c r="N3783" t="b">
        <f>AND(TrafficData[[#This Row],[disposedChallan]]&lt;=TrafficData[[#This Row],[totalChallan]],TrafficData[[#This Row],[pendingChallan]]&lt;=TrafficData[[#This Row],[totalChallan]])</f>
        <v>1</v>
      </c>
      <c r="O3783" t="b">
        <f>AND(TrafficData[[#This Row],[pendingAmount]]&lt;=TrafficData[[#This Row],[totalAmount]],TrafficData[[#This Row],[disposedAmount]]&lt;=TrafficData[[#This Row],[totalAmount]])</f>
        <v>1</v>
      </c>
      <c r="P3783" t="b">
        <f>AND(TrafficData[[#This Row],[pendingCourt]]&lt;=TrafficData[[#This Row],[totalCourt]],TrafficData[[#This Row],[disposedCourt]]&lt;=TrafficData[[#This Row],[totalCourt]])</f>
        <v>1</v>
      </c>
    </row>
    <row r="3784" spans="1:16">
      <c r="A3784" s="1">
        <v>45788</v>
      </c>
      <c r="B3784">
        <v>252308</v>
      </c>
      <c r="C3784">
        <v>65015</v>
      </c>
      <c r="D3784">
        <v>187293</v>
      </c>
      <c r="E3784">
        <v>329217944</v>
      </c>
      <c r="F3784">
        <v>80417092</v>
      </c>
      <c r="G3784">
        <v>409635036</v>
      </c>
      <c r="H3784">
        <v>103620</v>
      </c>
      <c r="I3784">
        <v>5502</v>
      </c>
      <c r="J3784">
        <v>109122</v>
      </c>
      <c r="K3784" t="b">
        <f>TrafficData[[#This Row],[disposedChallan]]+TrafficData[[#This Row],[pendingChallan]]=TrafficData[[#This Row],[totalChallan]]</f>
        <v>1</v>
      </c>
      <c r="L3784" t="b">
        <f>TrafficData[[#This Row],[pendingAmount]]+TrafficData[[#This Row],[disposedAmount]]=TrafficData[[#This Row],[totalAmount]]</f>
        <v>1</v>
      </c>
      <c r="M3784" t="b">
        <f>TrafficData[[#This Row],[pendingCourt]]+TrafficData[[#This Row],[disposedCourt]]=TrafficData[[#This Row],[totalCourt]]</f>
        <v>1</v>
      </c>
      <c r="N3784" t="b">
        <f>AND(TrafficData[[#This Row],[disposedChallan]]&lt;=TrafficData[[#This Row],[totalChallan]],TrafficData[[#This Row],[pendingChallan]]&lt;=TrafficData[[#This Row],[totalChallan]])</f>
        <v>1</v>
      </c>
      <c r="O3784" t="b">
        <f>AND(TrafficData[[#This Row],[pendingAmount]]&lt;=TrafficData[[#This Row],[totalAmount]],TrafficData[[#This Row],[disposedAmount]]&lt;=TrafficData[[#This Row],[totalAmount]])</f>
        <v>1</v>
      </c>
      <c r="P3784" t="b">
        <f>AND(TrafficData[[#This Row],[pendingCourt]]&lt;=TrafficData[[#This Row],[totalCourt]],TrafficData[[#This Row],[disposedCourt]]&lt;=TrafficData[[#This Row],[totalCourt]])</f>
        <v>1</v>
      </c>
    </row>
    <row r="3785" spans="1:16">
      <c r="A3785" s="1">
        <v>45789</v>
      </c>
      <c r="B3785">
        <v>272127</v>
      </c>
      <c r="C3785">
        <v>71410</v>
      </c>
      <c r="D3785">
        <v>200717</v>
      </c>
      <c r="E3785">
        <v>380571758</v>
      </c>
      <c r="F3785">
        <v>101018897</v>
      </c>
      <c r="G3785">
        <v>481590655</v>
      </c>
      <c r="H3785">
        <v>112473</v>
      </c>
      <c r="I3785">
        <v>6120</v>
      </c>
      <c r="J3785">
        <v>118593</v>
      </c>
      <c r="K3785" t="b">
        <f>TrafficData[[#This Row],[disposedChallan]]+TrafficData[[#This Row],[pendingChallan]]=TrafficData[[#This Row],[totalChallan]]</f>
        <v>1</v>
      </c>
      <c r="L3785" t="b">
        <f>TrafficData[[#This Row],[pendingAmount]]+TrafficData[[#This Row],[disposedAmount]]=TrafficData[[#This Row],[totalAmount]]</f>
        <v>1</v>
      </c>
      <c r="M3785" t="b">
        <f>TrafficData[[#This Row],[pendingCourt]]+TrafficData[[#This Row],[disposedCourt]]=TrafficData[[#This Row],[totalCourt]]</f>
        <v>1</v>
      </c>
      <c r="N3785" t="b">
        <f>AND(TrafficData[[#This Row],[disposedChallan]]&lt;=TrafficData[[#This Row],[totalChallan]],TrafficData[[#This Row],[pendingChallan]]&lt;=TrafficData[[#This Row],[totalChallan]])</f>
        <v>1</v>
      </c>
      <c r="O3785" t="b">
        <f>AND(TrafficData[[#This Row],[pendingAmount]]&lt;=TrafficData[[#This Row],[totalAmount]],TrafficData[[#This Row],[disposedAmount]]&lt;=TrafficData[[#This Row],[totalAmount]])</f>
        <v>1</v>
      </c>
      <c r="P3785" t="b">
        <f>AND(TrafficData[[#This Row],[pendingCourt]]&lt;=TrafficData[[#This Row],[totalCourt]],TrafficData[[#This Row],[disposedCourt]]&lt;=TrafficData[[#This Row],[totalCourt]])</f>
        <v>1</v>
      </c>
    </row>
    <row r="3786" spans="1:16">
      <c r="A3786" s="1">
        <v>45790</v>
      </c>
      <c r="B3786">
        <v>275150</v>
      </c>
      <c r="C3786">
        <v>71537</v>
      </c>
      <c r="D3786">
        <v>203613</v>
      </c>
      <c r="E3786">
        <v>395637962</v>
      </c>
      <c r="F3786">
        <v>118012997</v>
      </c>
      <c r="G3786">
        <v>513650959</v>
      </c>
      <c r="H3786">
        <v>117390</v>
      </c>
      <c r="I3786">
        <v>6070</v>
      </c>
      <c r="J3786">
        <v>123460</v>
      </c>
      <c r="K3786" t="b">
        <f>TrafficData[[#This Row],[disposedChallan]]+TrafficData[[#This Row],[pendingChallan]]=TrafficData[[#This Row],[totalChallan]]</f>
        <v>1</v>
      </c>
      <c r="L3786" t="b">
        <f>TrafficData[[#This Row],[pendingAmount]]+TrafficData[[#This Row],[disposedAmount]]=TrafficData[[#This Row],[totalAmount]]</f>
        <v>1</v>
      </c>
      <c r="M3786" t="b">
        <f>TrafficData[[#This Row],[pendingCourt]]+TrafficData[[#This Row],[disposedCourt]]=TrafficData[[#This Row],[totalCourt]]</f>
        <v>1</v>
      </c>
      <c r="N3786" t="b">
        <f>AND(TrafficData[[#This Row],[disposedChallan]]&lt;=TrafficData[[#This Row],[totalChallan]],TrafficData[[#This Row],[pendingChallan]]&lt;=TrafficData[[#This Row],[totalChallan]])</f>
        <v>1</v>
      </c>
      <c r="O3786" t="b">
        <f>AND(TrafficData[[#This Row],[pendingAmount]]&lt;=TrafficData[[#This Row],[totalAmount]],TrafficData[[#This Row],[disposedAmount]]&lt;=TrafficData[[#This Row],[totalAmount]])</f>
        <v>1</v>
      </c>
      <c r="P3786" t="b">
        <f>AND(TrafficData[[#This Row],[pendingCourt]]&lt;=TrafficData[[#This Row],[totalCourt]],TrafficData[[#This Row],[disposedCourt]]&lt;=TrafficData[[#This Row],[totalCourt]])</f>
        <v>1</v>
      </c>
    </row>
    <row r="3787" spans="1:16">
      <c r="A3787" s="1">
        <v>45791</v>
      </c>
      <c r="B3787">
        <v>270026</v>
      </c>
      <c r="C3787">
        <v>69680</v>
      </c>
      <c r="D3787">
        <v>200346</v>
      </c>
      <c r="E3787">
        <v>402814741</v>
      </c>
      <c r="F3787">
        <v>120607163</v>
      </c>
      <c r="G3787">
        <v>523421904</v>
      </c>
      <c r="H3787">
        <v>112718</v>
      </c>
      <c r="I3787">
        <v>5934</v>
      </c>
      <c r="J3787">
        <v>118652</v>
      </c>
      <c r="K3787" t="b">
        <f>TrafficData[[#This Row],[disposedChallan]]+TrafficData[[#This Row],[pendingChallan]]=TrafficData[[#This Row],[totalChallan]]</f>
        <v>1</v>
      </c>
      <c r="L3787" t="b">
        <f>TrafficData[[#This Row],[pendingAmount]]+TrafficData[[#This Row],[disposedAmount]]=TrafficData[[#This Row],[totalAmount]]</f>
        <v>1</v>
      </c>
      <c r="M3787" t="b">
        <f>TrafficData[[#This Row],[pendingCourt]]+TrafficData[[#This Row],[disposedCourt]]=TrafficData[[#This Row],[totalCourt]]</f>
        <v>1</v>
      </c>
      <c r="N3787" t="b">
        <f>AND(TrafficData[[#This Row],[disposedChallan]]&lt;=TrafficData[[#This Row],[totalChallan]],TrafficData[[#This Row],[pendingChallan]]&lt;=TrafficData[[#This Row],[totalChallan]])</f>
        <v>1</v>
      </c>
      <c r="O3787" t="b">
        <f>AND(TrafficData[[#This Row],[pendingAmount]]&lt;=TrafficData[[#This Row],[totalAmount]],TrafficData[[#This Row],[disposedAmount]]&lt;=TrafficData[[#This Row],[totalAmount]])</f>
        <v>1</v>
      </c>
      <c r="P3787" t="b">
        <f>AND(TrafficData[[#This Row],[pendingCourt]]&lt;=TrafficData[[#This Row],[totalCourt]],TrafficData[[#This Row],[disposedCourt]]&lt;=TrafficData[[#This Row],[totalCourt]])</f>
        <v>1</v>
      </c>
    </row>
    <row r="3788" spans="1:16">
      <c r="A3788" s="1">
        <v>45792</v>
      </c>
      <c r="B3788">
        <v>283906</v>
      </c>
      <c r="C3788">
        <v>73290</v>
      </c>
      <c r="D3788">
        <v>210616</v>
      </c>
      <c r="E3788">
        <v>422631164</v>
      </c>
      <c r="F3788">
        <v>131081903</v>
      </c>
      <c r="G3788">
        <v>553713067</v>
      </c>
      <c r="H3788">
        <v>115422</v>
      </c>
      <c r="I3788">
        <v>6450</v>
      </c>
      <c r="J3788">
        <v>121872</v>
      </c>
      <c r="K3788" t="b">
        <f>TrafficData[[#This Row],[disposedChallan]]+TrafficData[[#This Row],[pendingChallan]]=TrafficData[[#This Row],[totalChallan]]</f>
        <v>1</v>
      </c>
      <c r="L3788" t="b">
        <f>TrafficData[[#This Row],[pendingAmount]]+TrafficData[[#This Row],[disposedAmount]]=TrafficData[[#This Row],[totalAmount]]</f>
        <v>1</v>
      </c>
      <c r="M3788" t="b">
        <f>TrafficData[[#This Row],[pendingCourt]]+TrafficData[[#This Row],[disposedCourt]]=TrafficData[[#This Row],[totalCourt]]</f>
        <v>1</v>
      </c>
      <c r="N3788" t="b">
        <f>AND(TrafficData[[#This Row],[disposedChallan]]&lt;=TrafficData[[#This Row],[totalChallan]],TrafficData[[#This Row],[pendingChallan]]&lt;=TrafficData[[#This Row],[totalChallan]])</f>
        <v>1</v>
      </c>
      <c r="O3788" t="b">
        <f>AND(TrafficData[[#This Row],[pendingAmount]]&lt;=TrafficData[[#This Row],[totalAmount]],TrafficData[[#This Row],[disposedAmount]]&lt;=TrafficData[[#This Row],[totalAmount]])</f>
        <v>1</v>
      </c>
      <c r="P3788" t="b">
        <f>AND(TrafficData[[#This Row],[pendingCourt]]&lt;=TrafficData[[#This Row],[totalCourt]],TrafficData[[#This Row],[disposedCourt]]&lt;=TrafficData[[#This Row],[totalCourt]])</f>
        <v>1</v>
      </c>
    </row>
    <row r="3789" spans="1:16">
      <c r="A3789" s="1">
        <v>45793</v>
      </c>
      <c r="B3789">
        <v>294383</v>
      </c>
      <c r="C3789">
        <v>76809</v>
      </c>
      <c r="D3789">
        <v>217574</v>
      </c>
      <c r="E3789">
        <v>424937145</v>
      </c>
      <c r="F3789">
        <v>130840099</v>
      </c>
      <c r="G3789">
        <v>555777244</v>
      </c>
      <c r="H3789">
        <v>117508</v>
      </c>
      <c r="I3789">
        <v>6515</v>
      </c>
      <c r="J3789">
        <v>124023</v>
      </c>
      <c r="K3789" t="b">
        <f>TrafficData[[#This Row],[disposedChallan]]+TrafficData[[#This Row],[pendingChallan]]=TrafficData[[#This Row],[totalChallan]]</f>
        <v>1</v>
      </c>
      <c r="L3789" t="b">
        <f>TrafficData[[#This Row],[pendingAmount]]+TrafficData[[#This Row],[disposedAmount]]=TrafficData[[#This Row],[totalAmount]]</f>
        <v>1</v>
      </c>
      <c r="M3789" t="b">
        <f>TrafficData[[#This Row],[pendingCourt]]+TrafficData[[#This Row],[disposedCourt]]=TrafficData[[#This Row],[totalCourt]]</f>
        <v>1</v>
      </c>
      <c r="N3789" t="b">
        <f>AND(TrafficData[[#This Row],[disposedChallan]]&lt;=TrafficData[[#This Row],[totalChallan]],TrafficData[[#This Row],[pendingChallan]]&lt;=TrafficData[[#This Row],[totalChallan]])</f>
        <v>1</v>
      </c>
      <c r="O3789" t="b">
        <f>AND(TrafficData[[#This Row],[pendingAmount]]&lt;=TrafficData[[#This Row],[totalAmount]],TrafficData[[#This Row],[disposedAmount]]&lt;=TrafficData[[#This Row],[totalAmount]])</f>
        <v>1</v>
      </c>
      <c r="P3789" t="b">
        <f>AND(TrafficData[[#This Row],[pendingCourt]]&lt;=TrafficData[[#This Row],[totalCourt]],TrafficData[[#This Row],[disposedCourt]]&lt;=TrafficData[[#This Row],[totalCourt]])</f>
        <v>1</v>
      </c>
    </row>
    <row r="3790" spans="1:16">
      <c r="A3790" s="1">
        <v>45794</v>
      </c>
      <c r="B3790">
        <v>295649</v>
      </c>
      <c r="C3790">
        <v>77265</v>
      </c>
      <c r="D3790">
        <v>218384</v>
      </c>
      <c r="E3790">
        <v>440333242</v>
      </c>
      <c r="F3790">
        <v>122568553</v>
      </c>
      <c r="G3790">
        <v>562901795</v>
      </c>
      <c r="H3790">
        <v>118237</v>
      </c>
      <c r="I3790">
        <v>6669</v>
      </c>
      <c r="J3790">
        <v>124906</v>
      </c>
      <c r="K3790" t="b">
        <f>TrafficData[[#This Row],[disposedChallan]]+TrafficData[[#This Row],[pendingChallan]]=TrafficData[[#This Row],[totalChallan]]</f>
        <v>1</v>
      </c>
      <c r="L3790" t="b">
        <f>TrafficData[[#This Row],[pendingAmount]]+TrafficData[[#This Row],[disposedAmount]]=TrafficData[[#This Row],[totalAmount]]</f>
        <v>1</v>
      </c>
      <c r="M3790" t="b">
        <f>TrafficData[[#This Row],[pendingCourt]]+TrafficData[[#This Row],[disposedCourt]]=TrafficData[[#This Row],[totalCourt]]</f>
        <v>1</v>
      </c>
      <c r="N3790" t="b">
        <f>AND(TrafficData[[#This Row],[disposedChallan]]&lt;=TrafficData[[#This Row],[totalChallan]],TrafficData[[#This Row],[pendingChallan]]&lt;=TrafficData[[#This Row],[totalChallan]])</f>
        <v>1</v>
      </c>
      <c r="O3790" t="b">
        <f>AND(TrafficData[[#This Row],[pendingAmount]]&lt;=TrafficData[[#This Row],[totalAmount]],TrafficData[[#This Row],[disposedAmount]]&lt;=TrafficData[[#This Row],[totalAmount]])</f>
        <v>1</v>
      </c>
      <c r="P3790" t="b">
        <f>AND(TrafficData[[#This Row],[pendingCourt]]&lt;=TrafficData[[#This Row],[totalCourt]],TrafficData[[#This Row],[disposedCourt]]&lt;=TrafficData[[#This Row],[totalCourt]])</f>
        <v>1</v>
      </c>
    </row>
    <row r="3791" spans="1:16">
      <c r="A3791" s="1">
        <v>45795</v>
      </c>
      <c r="B3791">
        <v>278121</v>
      </c>
      <c r="C3791">
        <v>71483</v>
      </c>
      <c r="D3791">
        <v>206638</v>
      </c>
      <c r="E3791">
        <v>377039909</v>
      </c>
      <c r="F3791">
        <v>93033553</v>
      </c>
      <c r="G3791">
        <v>470073462</v>
      </c>
      <c r="H3791">
        <v>108679</v>
      </c>
      <c r="I3791">
        <v>6034</v>
      </c>
      <c r="J3791">
        <v>114713</v>
      </c>
      <c r="K3791" t="b">
        <f>TrafficData[[#This Row],[disposedChallan]]+TrafficData[[#This Row],[pendingChallan]]=TrafficData[[#This Row],[totalChallan]]</f>
        <v>1</v>
      </c>
      <c r="L3791" t="b">
        <f>TrafficData[[#This Row],[pendingAmount]]+TrafficData[[#This Row],[disposedAmount]]=TrafficData[[#This Row],[totalAmount]]</f>
        <v>1</v>
      </c>
      <c r="M3791" t="b">
        <f>TrafficData[[#This Row],[pendingCourt]]+TrafficData[[#This Row],[disposedCourt]]=TrafficData[[#This Row],[totalCourt]]</f>
        <v>1</v>
      </c>
      <c r="N3791" t="b">
        <f>AND(TrafficData[[#This Row],[disposedChallan]]&lt;=TrafficData[[#This Row],[totalChallan]],TrafficData[[#This Row],[pendingChallan]]&lt;=TrafficData[[#This Row],[totalChallan]])</f>
        <v>1</v>
      </c>
      <c r="O3791" t="b">
        <f>AND(TrafficData[[#This Row],[pendingAmount]]&lt;=TrafficData[[#This Row],[totalAmount]],TrafficData[[#This Row],[disposedAmount]]&lt;=TrafficData[[#This Row],[totalAmount]])</f>
        <v>1</v>
      </c>
      <c r="P3791" t="b">
        <f>AND(TrafficData[[#This Row],[pendingCourt]]&lt;=TrafficData[[#This Row],[totalCourt]],TrafficData[[#This Row],[disposedCourt]]&lt;=TrafficData[[#This Row],[totalCourt]])</f>
        <v>1</v>
      </c>
    </row>
    <row r="3792" spans="1:16">
      <c r="A3792" s="1">
        <v>45796</v>
      </c>
      <c r="B3792">
        <v>285184</v>
      </c>
      <c r="C3792">
        <v>73171</v>
      </c>
      <c r="D3792">
        <v>212013</v>
      </c>
      <c r="E3792">
        <v>406488317</v>
      </c>
      <c r="F3792">
        <v>111983010</v>
      </c>
      <c r="G3792">
        <v>518471327</v>
      </c>
      <c r="H3792">
        <v>110181</v>
      </c>
      <c r="I3792">
        <v>6401</v>
      </c>
      <c r="J3792">
        <v>116582</v>
      </c>
      <c r="K3792" t="b">
        <f>TrafficData[[#This Row],[disposedChallan]]+TrafficData[[#This Row],[pendingChallan]]=TrafficData[[#This Row],[totalChallan]]</f>
        <v>1</v>
      </c>
      <c r="L3792" t="b">
        <f>TrafficData[[#This Row],[pendingAmount]]+TrafficData[[#This Row],[disposedAmount]]=TrafficData[[#This Row],[totalAmount]]</f>
        <v>1</v>
      </c>
      <c r="M3792" t="b">
        <f>TrafficData[[#This Row],[pendingCourt]]+TrafficData[[#This Row],[disposedCourt]]=TrafficData[[#This Row],[totalCourt]]</f>
        <v>1</v>
      </c>
      <c r="N3792" t="b">
        <f>AND(TrafficData[[#This Row],[disposedChallan]]&lt;=TrafficData[[#This Row],[totalChallan]],TrafficData[[#This Row],[pendingChallan]]&lt;=TrafficData[[#This Row],[totalChallan]])</f>
        <v>1</v>
      </c>
      <c r="O3792" t="b">
        <f>AND(TrafficData[[#This Row],[pendingAmount]]&lt;=TrafficData[[#This Row],[totalAmount]],TrafficData[[#This Row],[disposedAmount]]&lt;=TrafficData[[#This Row],[totalAmount]])</f>
        <v>1</v>
      </c>
      <c r="P3792" t="b">
        <f>AND(TrafficData[[#This Row],[pendingCourt]]&lt;=TrafficData[[#This Row],[totalCourt]],TrafficData[[#This Row],[disposedCourt]]&lt;=TrafficData[[#This Row],[totalCourt]])</f>
        <v>1</v>
      </c>
    </row>
    <row r="3793" spans="1:16">
      <c r="A3793" s="1">
        <v>45797</v>
      </c>
      <c r="B3793">
        <v>282779</v>
      </c>
      <c r="C3793">
        <v>72047</v>
      </c>
      <c r="D3793">
        <v>210732</v>
      </c>
      <c r="E3793">
        <v>414205708</v>
      </c>
      <c r="F3793">
        <v>114299755</v>
      </c>
      <c r="G3793">
        <v>528505463</v>
      </c>
      <c r="H3793">
        <v>119532</v>
      </c>
      <c r="I3793">
        <v>6579</v>
      </c>
      <c r="J3793">
        <v>126111</v>
      </c>
      <c r="K3793" t="b">
        <f>TrafficData[[#This Row],[disposedChallan]]+TrafficData[[#This Row],[pendingChallan]]=TrafficData[[#This Row],[totalChallan]]</f>
        <v>1</v>
      </c>
      <c r="L3793" t="b">
        <f>TrafficData[[#This Row],[pendingAmount]]+TrafficData[[#This Row],[disposedAmount]]=TrafficData[[#This Row],[totalAmount]]</f>
        <v>1</v>
      </c>
      <c r="M3793" t="b">
        <f>TrafficData[[#This Row],[pendingCourt]]+TrafficData[[#This Row],[disposedCourt]]=TrafficData[[#This Row],[totalCourt]]</f>
        <v>1</v>
      </c>
      <c r="N3793" t="b">
        <f>AND(TrafficData[[#This Row],[disposedChallan]]&lt;=TrafficData[[#This Row],[totalChallan]],TrafficData[[#This Row],[pendingChallan]]&lt;=TrafficData[[#This Row],[totalChallan]])</f>
        <v>1</v>
      </c>
      <c r="O3793" t="b">
        <f>AND(TrafficData[[#This Row],[pendingAmount]]&lt;=TrafficData[[#This Row],[totalAmount]],TrafficData[[#This Row],[disposedAmount]]&lt;=TrafficData[[#This Row],[totalAmount]])</f>
        <v>1</v>
      </c>
      <c r="P3793" t="b">
        <f>AND(TrafficData[[#This Row],[pendingCourt]]&lt;=TrafficData[[#This Row],[totalCourt]],TrafficData[[#This Row],[disposedCourt]]&lt;=TrafficData[[#This Row],[totalCourt]])</f>
        <v>1</v>
      </c>
    </row>
    <row r="3794" spans="1:16">
      <c r="A3794" s="1">
        <v>45798</v>
      </c>
      <c r="B3794">
        <v>277880</v>
      </c>
      <c r="C3794">
        <v>69561</v>
      </c>
      <c r="D3794">
        <v>208319</v>
      </c>
      <c r="E3794">
        <v>405202875</v>
      </c>
      <c r="F3794">
        <v>117790402</v>
      </c>
      <c r="G3794">
        <v>522993277</v>
      </c>
      <c r="H3794">
        <v>113738</v>
      </c>
      <c r="I3794">
        <v>6059</v>
      </c>
      <c r="J3794">
        <v>119797</v>
      </c>
      <c r="K3794" t="b">
        <f>TrafficData[[#This Row],[disposedChallan]]+TrafficData[[#This Row],[pendingChallan]]=TrafficData[[#This Row],[totalChallan]]</f>
        <v>1</v>
      </c>
      <c r="L3794" t="b">
        <f>TrafficData[[#This Row],[pendingAmount]]+TrafficData[[#This Row],[disposedAmount]]=TrafficData[[#This Row],[totalAmount]]</f>
        <v>1</v>
      </c>
      <c r="M3794" t="b">
        <f>TrafficData[[#This Row],[pendingCourt]]+TrafficData[[#This Row],[disposedCourt]]=TrafficData[[#This Row],[totalCourt]]</f>
        <v>1</v>
      </c>
      <c r="N3794" t="b">
        <f>AND(TrafficData[[#This Row],[disposedChallan]]&lt;=TrafficData[[#This Row],[totalChallan]],TrafficData[[#This Row],[pendingChallan]]&lt;=TrafficData[[#This Row],[totalChallan]])</f>
        <v>1</v>
      </c>
      <c r="O3794" t="b">
        <f>AND(TrafficData[[#This Row],[pendingAmount]]&lt;=TrafficData[[#This Row],[totalAmount]],TrafficData[[#This Row],[disposedAmount]]&lt;=TrafficData[[#This Row],[totalAmount]])</f>
        <v>1</v>
      </c>
      <c r="P3794" t="b">
        <f>AND(TrafficData[[#This Row],[pendingCourt]]&lt;=TrafficData[[#This Row],[totalCourt]],TrafficData[[#This Row],[disposedCourt]]&lt;=TrafficData[[#This Row],[totalCourt]])</f>
        <v>1</v>
      </c>
    </row>
    <row r="3795" spans="1:16">
      <c r="A3795" s="1">
        <v>45799</v>
      </c>
      <c r="B3795">
        <v>281628</v>
      </c>
      <c r="C3795">
        <v>71600</v>
      </c>
      <c r="D3795">
        <v>210028</v>
      </c>
      <c r="E3795">
        <v>406828734</v>
      </c>
      <c r="F3795">
        <v>113934826</v>
      </c>
      <c r="G3795">
        <v>520763560</v>
      </c>
      <c r="H3795">
        <v>116999</v>
      </c>
      <c r="I3795">
        <v>5261</v>
      </c>
      <c r="J3795">
        <v>122260</v>
      </c>
      <c r="K3795" t="b">
        <f>TrafficData[[#This Row],[disposedChallan]]+TrafficData[[#This Row],[pendingChallan]]=TrafficData[[#This Row],[totalChallan]]</f>
        <v>1</v>
      </c>
      <c r="L3795" t="b">
        <f>TrafficData[[#This Row],[pendingAmount]]+TrafficData[[#This Row],[disposedAmount]]=TrafficData[[#This Row],[totalAmount]]</f>
        <v>1</v>
      </c>
      <c r="M3795" t="b">
        <f>TrafficData[[#This Row],[pendingCourt]]+TrafficData[[#This Row],[disposedCourt]]=TrafficData[[#This Row],[totalCourt]]</f>
        <v>1</v>
      </c>
      <c r="N3795" t="b">
        <f>AND(TrafficData[[#This Row],[disposedChallan]]&lt;=TrafficData[[#This Row],[totalChallan]],TrafficData[[#This Row],[pendingChallan]]&lt;=TrafficData[[#This Row],[totalChallan]])</f>
        <v>1</v>
      </c>
      <c r="O3795" t="b">
        <f>AND(TrafficData[[#This Row],[pendingAmount]]&lt;=TrafficData[[#This Row],[totalAmount]],TrafficData[[#This Row],[disposedAmount]]&lt;=TrafficData[[#This Row],[totalAmount]])</f>
        <v>1</v>
      </c>
      <c r="P3795" t="b">
        <f>AND(TrafficData[[#This Row],[pendingCourt]]&lt;=TrafficData[[#This Row],[totalCourt]],TrafficData[[#This Row],[disposedCourt]]&lt;=TrafficData[[#This Row],[totalCourt]])</f>
        <v>1</v>
      </c>
    </row>
    <row r="3796" spans="1:16">
      <c r="A3796" s="1">
        <v>45800</v>
      </c>
      <c r="B3796">
        <v>254340</v>
      </c>
      <c r="C3796">
        <v>68083</v>
      </c>
      <c r="D3796">
        <v>186257</v>
      </c>
      <c r="E3796">
        <v>334958697</v>
      </c>
      <c r="F3796">
        <v>111489479</v>
      </c>
      <c r="G3796">
        <v>446448176</v>
      </c>
      <c r="H3796">
        <v>106954</v>
      </c>
      <c r="I3796">
        <v>5179</v>
      </c>
      <c r="J3796">
        <v>112133</v>
      </c>
      <c r="K3796" t="b">
        <f>TrafficData[[#This Row],[disposedChallan]]+TrafficData[[#This Row],[pendingChallan]]=TrafficData[[#This Row],[totalChallan]]</f>
        <v>1</v>
      </c>
      <c r="L3796" t="b">
        <f>TrafficData[[#This Row],[pendingAmount]]+TrafficData[[#This Row],[disposedAmount]]=TrafficData[[#This Row],[totalAmount]]</f>
        <v>1</v>
      </c>
      <c r="M3796" t="b">
        <f>TrafficData[[#This Row],[pendingCourt]]+TrafficData[[#This Row],[disposedCourt]]=TrafficData[[#This Row],[totalCourt]]</f>
        <v>1</v>
      </c>
      <c r="N3796" t="b">
        <f>AND(TrafficData[[#This Row],[disposedChallan]]&lt;=TrafficData[[#This Row],[totalChallan]],TrafficData[[#This Row],[pendingChallan]]&lt;=TrafficData[[#This Row],[totalChallan]])</f>
        <v>1</v>
      </c>
      <c r="O3796" t="b">
        <f>AND(TrafficData[[#This Row],[pendingAmount]]&lt;=TrafficData[[#This Row],[totalAmount]],TrafficData[[#This Row],[disposedAmount]]&lt;=TrafficData[[#This Row],[totalAmount]])</f>
        <v>1</v>
      </c>
      <c r="P3796" t="b">
        <f>AND(TrafficData[[#This Row],[pendingCourt]]&lt;=TrafficData[[#This Row],[totalCourt]],TrafficData[[#This Row],[disposedCourt]]&lt;=TrafficData[[#This Row],[totalCourt]])</f>
        <v>1</v>
      </c>
    </row>
    <row r="3797" spans="1:16">
      <c r="A3797" s="1">
        <v>45801</v>
      </c>
      <c r="B3797">
        <v>250264</v>
      </c>
      <c r="C3797">
        <v>61423</v>
      </c>
      <c r="D3797">
        <v>188841</v>
      </c>
      <c r="E3797">
        <v>368932736</v>
      </c>
      <c r="F3797">
        <v>93836296</v>
      </c>
      <c r="G3797">
        <v>462769032</v>
      </c>
      <c r="H3797">
        <v>107040</v>
      </c>
      <c r="I3797">
        <v>5644</v>
      </c>
      <c r="J3797">
        <v>112684</v>
      </c>
      <c r="K3797" t="b">
        <f>TrafficData[[#This Row],[disposedChallan]]+TrafficData[[#This Row],[pendingChallan]]=TrafficData[[#This Row],[totalChallan]]</f>
        <v>1</v>
      </c>
      <c r="L3797" t="b">
        <f>TrafficData[[#This Row],[pendingAmount]]+TrafficData[[#This Row],[disposedAmount]]=TrafficData[[#This Row],[totalAmount]]</f>
        <v>1</v>
      </c>
      <c r="M3797" t="b">
        <f>TrafficData[[#This Row],[pendingCourt]]+TrafficData[[#This Row],[disposedCourt]]=TrafficData[[#This Row],[totalCourt]]</f>
        <v>1</v>
      </c>
      <c r="N3797" t="b">
        <f>AND(TrafficData[[#This Row],[disposedChallan]]&lt;=TrafficData[[#This Row],[totalChallan]],TrafficData[[#This Row],[pendingChallan]]&lt;=TrafficData[[#This Row],[totalChallan]])</f>
        <v>1</v>
      </c>
      <c r="O3797" t="b">
        <f>AND(TrafficData[[#This Row],[pendingAmount]]&lt;=TrafficData[[#This Row],[totalAmount]],TrafficData[[#This Row],[disposedAmount]]&lt;=TrafficData[[#This Row],[totalAmount]])</f>
        <v>1</v>
      </c>
      <c r="P3797" t="b">
        <f>AND(TrafficData[[#This Row],[pendingCourt]]&lt;=TrafficData[[#This Row],[totalCourt]],TrafficData[[#This Row],[disposedCourt]]&lt;=TrafficData[[#This Row],[totalCourt]])</f>
        <v>1</v>
      </c>
    </row>
    <row r="3798" spans="1:16">
      <c r="A3798" s="1">
        <v>45802</v>
      </c>
      <c r="B3798">
        <v>234774</v>
      </c>
      <c r="C3798">
        <v>58393</v>
      </c>
      <c r="D3798">
        <v>176381</v>
      </c>
      <c r="E3798">
        <v>314093770</v>
      </c>
      <c r="F3798">
        <v>73961702</v>
      </c>
      <c r="G3798">
        <v>388055472</v>
      </c>
      <c r="H3798">
        <v>99527</v>
      </c>
      <c r="I3798">
        <v>4902</v>
      </c>
      <c r="J3798">
        <v>104429</v>
      </c>
      <c r="K3798" t="b">
        <f>TrafficData[[#This Row],[disposedChallan]]+TrafficData[[#This Row],[pendingChallan]]=TrafficData[[#This Row],[totalChallan]]</f>
        <v>1</v>
      </c>
      <c r="L3798" t="b">
        <f>TrafficData[[#This Row],[pendingAmount]]+TrafficData[[#This Row],[disposedAmount]]=TrafficData[[#This Row],[totalAmount]]</f>
        <v>1</v>
      </c>
      <c r="M3798" t="b">
        <f>TrafficData[[#This Row],[pendingCourt]]+TrafficData[[#This Row],[disposedCourt]]=TrafficData[[#This Row],[totalCourt]]</f>
        <v>1</v>
      </c>
      <c r="N3798" t="b">
        <f>AND(TrafficData[[#This Row],[disposedChallan]]&lt;=TrafficData[[#This Row],[totalChallan]],TrafficData[[#This Row],[pendingChallan]]&lt;=TrafficData[[#This Row],[totalChallan]])</f>
        <v>1</v>
      </c>
      <c r="O3798" t="b">
        <f>AND(TrafficData[[#This Row],[pendingAmount]]&lt;=TrafficData[[#This Row],[totalAmount]],TrafficData[[#This Row],[disposedAmount]]&lt;=TrafficData[[#This Row],[totalAmount]])</f>
        <v>1</v>
      </c>
      <c r="P3798" t="b">
        <f>AND(TrafficData[[#This Row],[pendingCourt]]&lt;=TrafficData[[#This Row],[totalCourt]],TrafficData[[#This Row],[disposedCourt]]&lt;=TrafficData[[#This Row],[totalCourt]])</f>
        <v>1</v>
      </c>
    </row>
    <row r="3799" spans="1:16">
      <c r="A3799" s="1">
        <v>45803</v>
      </c>
      <c r="B3799">
        <v>264029</v>
      </c>
      <c r="C3799">
        <v>62583</v>
      </c>
      <c r="D3799">
        <v>201446</v>
      </c>
      <c r="E3799">
        <v>390056582</v>
      </c>
      <c r="F3799">
        <v>93896175</v>
      </c>
      <c r="G3799">
        <v>483952757</v>
      </c>
      <c r="H3799">
        <v>117138</v>
      </c>
      <c r="I3799">
        <v>5905</v>
      </c>
      <c r="J3799">
        <v>123043</v>
      </c>
      <c r="K3799" t="b">
        <f>TrafficData[[#This Row],[disposedChallan]]+TrafficData[[#This Row],[pendingChallan]]=TrafficData[[#This Row],[totalChallan]]</f>
        <v>1</v>
      </c>
      <c r="L3799" t="b">
        <f>TrafficData[[#This Row],[pendingAmount]]+TrafficData[[#This Row],[disposedAmount]]=TrafficData[[#This Row],[totalAmount]]</f>
        <v>1</v>
      </c>
      <c r="M3799" t="b">
        <f>TrafficData[[#This Row],[pendingCourt]]+TrafficData[[#This Row],[disposedCourt]]=TrafficData[[#This Row],[totalCourt]]</f>
        <v>1</v>
      </c>
      <c r="N3799" t="b">
        <f>AND(TrafficData[[#This Row],[disposedChallan]]&lt;=TrafficData[[#This Row],[totalChallan]],TrafficData[[#This Row],[pendingChallan]]&lt;=TrafficData[[#This Row],[totalChallan]])</f>
        <v>1</v>
      </c>
      <c r="O3799" t="b">
        <f>AND(TrafficData[[#This Row],[pendingAmount]]&lt;=TrafficData[[#This Row],[totalAmount]],TrafficData[[#This Row],[disposedAmount]]&lt;=TrafficData[[#This Row],[totalAmount]])</f>
        <v>1</v>
      </c>
      <c r="P3799" t="b">
        <f>AND(TrafficData[[#This Row],[pendingCourt]]&lt;=TrafficData[[#This Row],[totalCourt]],TrafficData[[#This Row],[disposedCourt]]&lt;=TrafficData[[#This Row],[totalCourt]])</f>
        <v>1</v>
      </c>
    </row>
    <row r="3800" spans="1:16">
      <c r="A3800" s="1">
        <v>45804</v>
      </c>
      <c r="B3800">
        <v>274445</v>
      </c>
      <c r="C3800">
        <v>66564</v>
      </c>
      <c r="D3800">
        <v>207881</v>
      </c>
      <c r="E3800">
        <v>400997454</v>
      </c>
      <c r="F3800">
        <v>109718344</v>
      </c>
      <c r="G3800">
        <v>510715798</v>
      </c>
      <c r="H3800">
        <v>116821</v>
      </c>
      <c r="I3800">
        <v>5725</v>
      </c>
      <c r="J3800">
        <v>122546</v>
      </c>
      <c r="K3800" t="b">
        <f>TrafficData[[#This Row],[disposedChallan]]+TrafficData[[#This Row],[pendingChallan]]=TrafficData[[#This Row],[totalChallan]]</f>
        <v>1</v>
      </c>
      <c r="L3800" t="b">
        <f>TrafficData[[#This Row],[pendingAmount]]+TrafficData[[#This Row],[disposedAmount]]=TrafficData[[#This Row],[totalAmount]]</f>
        <v>1</v>
      </c>
      <c r="M3800" t="b">
        <f>TrafficData[[#This Row],[pendingCourt]]+TrafficData[[#This Row],[disposedCourt]]=TrafficData[[#This Row],[totalCourt]]</f>
        <v>1</v>
      </c>
      <c r="N3800" t="b">
        <f>AND(TrafficData[[#This Row],[disposedChallan]]&lt;=TrafficData[[#This Row],[totalChallan]],TrafficData[[#This Row],[pendingChallan]]&lt;=TrafficData[[#This Row],[totalChallan]])</f>
        <v>1</v>
      </c>
      <c r="O3800" t="b">
        <f>AND(TrafficData[[#This Row],[pendingAmount]]&lt;=TrafficData[[#This Row],[totalAmount]],TrafficData[[#This Row],[disposedAmount]]&lt;=TrafficData[[#This Row],[totalAmount]])</f>
        <v>1</v>
      </c>
      <c r="P3800" t="b">
        <f>AND(TrafficData[[#This Row],[pendingCourt]]&lt;=TrafficData[[#This Row],[totalCourt]],TrafficData[[#This Row],[disposedCourt]]&lt;=TrafficData[[#This Row],[totalCourt]])</f>
        <v>1</v>
      </c>
    </row>
    <row r="3801" spans="1:16">
      <c r="A3801" s="1">
        <v>45805</v>
      </c>
      <c r="B3801">
        <v>279714</v>
      </c>
      <c r="C3801">
        <v>67887</v>
      </c>
      <c r="D3801">
        <v>211827</v>
      </c>
      <c r="E3801">
        <v>414667894</v>
      </c>
      <c r="F3801">
        <v>109305378</v>
      </c>
      <c r="G3801">
        <v>523973272</v>
      </c>
      <c r="H3801">
        <v>120276</v>
      </c>
      <c r="I3801">
        <v>5909</v>
      </c>
      <c r="J3801">
        <v>126185</v>
      </c>
      <c r="K3801" t="b">
        <f>TrafficData[[#This Row],[disposedChallan]]+TrafficData[[#This Row],[pendingChallan]]=TrafficData[[#This Row],[totalChallan]]</f>
        <v>1</v>
      </c>
      <c r="L3801" t="b">
        <f>TrafficData[[#This Row],[pendingAmount]]+TrafficData[[#This Row],[disposedAmount]]=TrafficData[[#This Row],[totalAmount]]</f>
        <v>1</v>
      </c>
      <c r="M3801" t="b">
        <f>TrafficData[[#This Row],[pendingCourt]]+TrafficData[[#This Row],[disposedCourt]]=TrafficData[[#This Row],[totalCourt]]</f>
        <v>1</v>
      </c>
      <c r="N3801" t="b">
        <f>AND(TrafficData[[#This Row],[disposedChallan]]&lt;=TrafficData[[#This Row],[totalChallan]],TrafficData[[#This Row],[pendingChallan]]&lt;=TrafficData[[#This Row],[totalChallan]])</f>
        <v>1</v>
      </c>
      <c r="O3801" t="b">
        <f>AND(TrafficData[[#This Row],[pendingAmount]]&lt;=TrafficData[[#This Row],[totalAmount]],TrafficData[[#This Row],[disposedAmount]]&lt;=TrafficData[[#This Row],[totalAmount]])</f>
        <v>1</v>
      </c>
      <c r="P3801" t="b">
        <f>AND(TrafficData[[#This Row],[pendingCourt]]&lt;=TrafficData[[#This Row],[totalCourt]],TrafficData[[#This Row],[disposedCourt]]&lt;=TrafficData[[#This Row],[totalCourt]])</f>
        <v>1</v>
      </c>
    </row>
    <row r="3802" spans="1:16">
      <c r="A3802" s="1">
        <v>45806</v>
      </c>
      <c r="B3802">
        <v>254785</v>
      </c>
      <c r="C3802">
        <v>62587</v>
      </c>
      <c r="D3802">
        <v>192198</v>
      </c>
      <c r="E3802">
        <v>388303860</v>
      </c>
      <c r="F3802">
        <v>99680566</v>
      </c>
      <c r="G3802">
        <v>487984426</v>
      </c>
      <c r="H3802">
        <v>105194</v>
      </c>
      <c r="I3802">
        <v>5459</v>
      </c>
      <c r="J3802">
        <v>110653</v>
      </c>
      <c r="K3802" t="b">
        <f>TrafficData[[#This Row],[disposedChallan]]+TrafficData[[#This Row],[pendingChallan]]=TrafficData[[#This Row],[totalChallan]]</f>
        <v>1</v>
      </c>
      <c r="L3802" t="b">
        <f>TrafficData[[#This Row],[pendingAmount]]+TrafficData[[#This Row],[disposedAmount]]=TrafficData[[#This Row],[totalAmount]]</f>
        <v>1</v>
      </c>
      <c r="M3802" t="b">
        <f>TrafficData[[#This Row],[pendingCourt]]+TrafficData[[#This Row],[disposedCourt]]=TrafficData[[#This Row],[totalCourt]]</f>
        <v>1</v>
      </c>
      <c r="N3802" t="b">
        <f>AND(TrafficData[[#This Row],[disposedChallan]]&lt;=TrafficData[[#This Row],[totalChallan]],TrafficData[[#This Row],[pendingChallan]]&lt;=TrafficData[[#This Row],[totalChallan]])</f>
        <v>1</v>
      </c>
      <c r="O3802" t="b">
        <f>AND(TrafficData[[#This Row],[pendingAmount]]&lt;=TrafficData[[#This Row],[totalAmount]],TrafficData[[#This Row],[disposedAmount]]&lt;=TrafficData[[#This Row],[totalAmount]])</f>
        <v>1</v>
      </c>
      <c r="P3802" t="b">
        <f>AND(TrafficData[[#This Row],[pendingCourt]]&lt;=TrafficData[[#This Row],[totalCourt]],TrafficData[[#This Row],[disposedCourt]]&lt;=TrafficData[[#This Row],[totalCourt]])</f>
        <v>1</v>
      </c>
    </row>
    <row r="3803" spans="1:16">
      <c r="A3803" s="1">
        <v>45807</v>
      </c>
      <c r="B3803">
        <v>253201</v>
      </c>
      <c r="C3803">
        <v>62984</v>
      </c>
      <c r="D3803">
        <v>190217</v>
      </c>
      <c r="E3803">
        <v>389368912</v>
      </c>
      <c r="F3803">
        <v>97589728</v>
      </c>
      <c r="G3803">
        <v>486958640</v>
      </c>
      <c r="H3803">
        <v>108009</v>
      </c>
      <c r="I3803">
        <v>5616</v>
      </c>
      <c r="J3803">
        <v>113625</v>
      </c>
      <c r="K3803" t="b">
        <f>TrafficData[[#This Row],[disposedChallan]]+TrafficData[[#This Row],[pendingChallan]]=TrafficData[[#This Row],[totalChallan]]</f>
        <v>1</v>
      </c>
      <c r="L3803" t="b">
        <f>TrafficData[[#This Row],[pendingAmount]]+TrafficData[[#This Row],[disposedAmount]]=TrafficData[[#This Row],[totalAmount]]</f>
        <v>1</v>
      </c>
      <c r="M3803" t="b">
        <f>TrafficData[[#This Row],[pendingCourt]]+TrafficData[[#This Row],[disposedCourt]]=TrafficData[[#This Row],[totalCourt]]</f>
        <v>1</v>
      </c>
      <c r="N3803" t="b">
        <f>AND(TrafficData[[#This Row],[disposedChallan]]&lt;=TrafficData[[#This Row],[totalChallan]],TrafficData[[#This Row],[pendingChallan]]&lt;=TrafficData[[#This Row],[totalChallan]])</f>
        <v>1</v>
      </c>
      <c r="O3803" t="b">
        <f>AND(TrafficData[[#This Row],[pendingAmount]]&lt;=TrafficData[[#This Row],[totalAmount]],TrafficData[[#This Row],[disposedAmount]]&lt;=TrafficData[[#This Row],[totalAmount]])</f>
        <v>1</v>
      </c>
      <c r="P3803" t="b">
        <f>AND(TrafficData[[#This Row],[pendingCourt]]&lt;=TrafficData[[#This Row],[totalCourt]],TrafficData[[#This Row],[disposedCourt]]&lt;=TrafficData[[#This Row],[totalCourt]])</f>
        <v>1</v>
      </c>
    </row>
    <row r="3804" spans="1:16">
      <c r="A3804" s="1">
        <v>45808</v>
      </c>
      <c r="B3804">
        <v>251815</v>
      </c>
      <c r="C3804">
        <v>63535</v>
      </c>
      <c r="D3804">
        <v>188280</v>
      </c>
      <c r="E3804">
        <v>365892936</v>
      </c>
      <c r="F3804">
        <v>87652169</v>
      </c>
      <c r="G3804">
        <v>453545105</v>
      </c>
      <c r="H3804">
        <v>101986</v>
      </c>
      <c r="I3804">
        <v>5324</v>
      </c>
      <c r="J3804">
        <v>107310</v>
      </c>
      <c r="K3804" t="b">
        <f>TrafficData[[#This Row],[disposedChallan]]+TrafficData[[#This Row],[pendingChallan]]=TrafficData[[#This Row],[totalChallan]]</f>
        <v>1</v>
      </c>
      <c r="L3804" t="b">
        <f>TrafficData[[#This Row],[pendingAmount]]+TrafficData[[#This Row],[disposedAmount]]=TrafficData[[#This Row],[totalAmount]]</f>
        <v>1</v>
      </c>
      <c r="M3804" t="b">
        <f>TrafficData[[#This Row],[pendingCourt]]+TrafficData[[#This Row],[disposedCourt]]=TrafficData[[#This Row],[totalCourt]]</f>
        <v>1</v>
      </c>
      <c r="N3804" t="b">
        <f>AND(TrafficData[[#This Row],[disposedChallan]]&lt;=TrafficData[[#This Row],[totalChallan]],TrafficData[[#This Row],[pendingChallan]]&lt;=TrafficData[[#This Row],[totalChallan]])</f>
        <v>1</v>
      </c>
      <c r="O3804" t="b">
        <f>AND(TrafficData[[#This Row],[pendingAmount]]&lt;=TrafficData[[#This Row],[totalAmount]],TrafficData[[#This Row],[disposedAmount]]&lt;=TrafficData[[#This Row],[totalAmount]])</f>
        <v>1</v>
      </c>
      <c r="P3804" t="b">
        <f>AND(TrafficData[[#This Row],[pendingCourt]]&lt;=TrafficData[[#This Row],[totalCourt]],TrafficData[[#This Row],[disposedCourt]]&lt;=TrafficData[[#This Row],[totalCourt]])</f>
        <v>1</v>
      </c>
    </row>
    <row r="3805" spans="1:16">
      <c r="A3805" s="1">
        <v>45809</v>
      </c>
      <c r="B3805">
        <v>246634</v>
      </c>
      <c r="C3805">
        <v>66199</v>
      </c>
      <c r="D3805">
        <v>180435</v>
      </c>
      <c r="E3805">
        <v>308809271</v>
      </c>
      <c r="F3805">
        <v>86076917</v>
      </c>
      <c r="G3805">
        <v>394886188</v>
      </c>
      <c r="H3805">
        <v>104065</v>
      </c>
      <c r="I3805">
        <v>4754</v>
      </c>
      <c r="J3805">
        <v>108819</v>
      </c>
      <c r="K3805" t="b">
        <f>TrafficData[[#This Row],[disposedChallan]]+TrafficData[[#This Row],[pendingChallan]]=TrafficData[[#This Row],[totalChallan]]</f>
        <v>1</v>
      </c>
      <c r="L3805" t="b">
        <f>TrafficData[[#This Row],[pendingAmount]]+TrafficData[[#This Row],[disposedAmount]]=TrafficData[[#This Row],[totalAmount]]</f>
        <v>1</v>
      </c>
      <c r="M3805" t="b">
        <f>TrafficData[[#This Row],[pendingCourt]]+TrafficData[[#This Row],[disposedCourt]]=TrafficData[[#This Row],[totalCourt]]</f>
        <v>1</v>
      </c>
      <c r="N3805" t="b">
        <f>AND(TrafficData[[#This Row],[disposedChallan]]&lt;=TrafficData[[#This Row],[totalChallan]],TrafficData[[#This Row],[pendingChallan]]&lt;=TrafficData[[#This Row],[totalChallan]])</f>
        <v>1</v>
      </c>
      <c r="O3805" t="b">
        <f>AND(TrafficData[[#This Row],[pendingAmount]]&lt;=TrafficData[[#This Row],[totalAmount]],TrafficData[[#This Row],[disposedAmount]]&lt;=TrafficData[[#This Row],[totalAmount]])</f>
        <v>1</v>
      </c>
      <c r="P3805" t="b">
        <f>AND(TrafficData[[#This Row],[pendingCourt]]&lt;=TrafficData[[#This Row],[totalCourt]],TrafficData[[#This Row],[disposedCourt]]&lt;=TrafficData[[#This Row],[totalCourt]])</f>
        <v>1</v>
      </c>
    </row>
    <row r="3806" spans="1:16">
      <c r="A3806" s="1">
        <v>45810</v>
      </c>
      <c r="B3806">
        <v>287295</v>
      </c>
      <c r="C3806">
        <v>75360</v>
      </c>
      <c r="D3806">
        <v>211935</v>
      </c>
      <c r="E3806">
        <v>391651688</v>
      </c>
      <c r="F3806">
        <v>127060520</v>
      </c>
      <c r="G3806">
        <v>518712208</v>
      </c>
      <c r="H3806">
        <v>119427</v>
      </c>
      <c r="I3806">
        <v>5313</v>
      </c>
      <c r="J3806">
        <v>124740</v>
      </c>
      <c r="K3806" t="b">
        <f>TrafficData[[#This Row],[disposedChallan]]+TrafficData[[#This Row],[pendingChallan]]=TrafficData[[#This Row],[totalChallan]]</f>
        <v>1</v>
      </c>
      <c r="L3806" t="b">
        <f>TrafficData[[#This Row],[pendingAmount]]+TrafficData[[#This Row],[disposedAmount]]=TrafficData[[#This Row],[totalAmount]]</f>
        <v>1</v>
      </c>
      <c r="M3806" t="b">
        <f>TrafficData[[#This Row],[pendingCourt]]+TrafficData[[#This Row],[disposedCourt]]=TrafficData[[#This Row],[totalCourt]]</f>
        <v>1</v>
      </c>
      <c r="N3806" t="b">
        <f>AND(TrafficData[[#This Row],[disposedChallan]]&lt;=TrafficData[[#This Row],[totalChallan]],TrafficData[[#This Row],[pendingChallan]]&lt;=TrafficData[[#This Row],[totalChallan]])</f>
        <v>1</v>
      </c>
      <c r="O3806" t="b">
        <f>AND(TrafficData[[#This Row],[pendingAmount]]&lt;=TrafficData[[#This Row],[totalAmount]],TrafficData[[#This Row],[disposedAmount]]&lt;=TrafficData[[#This Row],[totalAmount]])</f>
        <v>1</v>
      </c>
      <c r="P3806" t="b">
        <f>AND(TrafficData[[#This Row],[pendingCourt]]&lt;=TrafficData[[#This Row],[totalCourt]],TrafficData[[#This Row],[disposedCourt]]&lt;=TrafficData[[#This Row],[totalCourt]])</f>
        <v>1</v>
      </c>
    </row>
    <row r="3807" spans="1:16">
      <c r="A3807" s="1">
        <v>45811</v>
      </c>
      <c r="B3807">
        <v>298421</v>
      </c>
      <c r="C3807">
        <v>75720</v>
      </c>
      <c r="D3807">
        <v>222701</v>
      </c>
      <c r="E3807">
        <v>426178246</v>
      </c>
      <c r="F3807">
        <v>134766317</v>
      </c>
      <c r="G3807">
        <v>560944563</v>
      </c>
      <c r="H3807">
        <v>130598</v>
      </c>
      <c r="I3807">
        <v>5704</v>
      </c>
      <c r="J3807">
        <v>136302</v>
      </c>
      <c r="K3807" t="b">
        <f>TrafficData[[#This Row],[disposedChallan]]+TrafficData[[#This Row],[pendingChallan]]=TrafficData[[#This Row],[totalChallan]]</f>
        <v>1</v>
      </c>
      <c r="L3807" t="b">
        <f>TrafficData[[#This Row],[pendingAmount]]+TrafficData[[#This Row],[disposedAmount]]=TrafficData[[#This Row],[totalAmount]]</f>
        <v>1</v>
      </c>
      <c r="M3807" t="b">
        <f>TrafficData[[#This Row],[pendingCourt]]+TrafficData[[#This Row],[disposedCourt]]=TrafficData[[#This Row],[totalCourt]]</f>
        <v>1</v>
      </c>
      <c r="N3807" t="b">
        <f>AND(TrafficData[[#This Row],[disposedChallan]]&lt;=TrafficData[[#This Row],[totalChallan]],TrafficData[[#This Row],[pendingChallan]]&lt;=TrafficData[[#This Row],[totalChallan]])</f>
        <v>1</v>
      </c>
      <c r="O3807" t="b">
        <f>AND(TrafficData[[#This Row],[pendingAmount]]&lt;=TrafficData[[#This Row],[totalAmount]],TrafficData[[#This Row],[disposedAmount]]&lt;=TrafficData[[#This Row],[totalAmount]])</f>
        <v>1</v>
      </c>
      <c r="P3807" t="b">
        <f>AND(TrafficData[[#This Row],[pendingCourt]]&lt;=TrafficData[[#This Row],[totalCourt]],TrafficData[[#This Row],[disposedCourt]]&lt;=TrafficData[[#This Row],[totalCourt]])</f>
        <v>1</v>
      </c>
    </row>
    <row r="3808" spans="1:16">
      <c r="A3808" s="1">
        <v>45812</v>
      </c>
      <c r="B3808">
        <v>294603</v>
      </c>
      <c r="C3808">
        <v>74551</v>
      </c>
      <c r="D3808">
        <v>220052</v>
      </c>
      <c r="E3808">
        <v>428870372</v>
      </c>
      <c r="F3808">
        <v>132687468</v>
      </c>
      <c r="G3808">
        <v>561557840</v>
      </c>
      <c r="H3808">
        <v>121416</v>
      </c>
      <c r="I3808">
        <v>5782</v>
      </c>
      <c r="J3808">
        <v>127198</v>
      </c>
      <c r="K3808" t="b">
        <f>TrafficData[[#This Row],[disposedChallan]]+TrafficData[[#This Row],[pendingChallan]]=TrafficData[[#This Row],[totalChallan]]</f>
        <v>1</v>
      </c>
      <c r="L3808" t="b">
        <f>TrafficData[[#This Row],[pendingAmount]]+TrafficData[[#This Row],[disposedAmount]]=TrafficData[[#This Row],[totalAmount]]</f>
        <v>1</v>
      </c>
      <c r="M3808" t="b">
        <f>TrafficData[[#This Row],[pendingCourt]]+TrafficData[[#This Row],[disposedCourt]]=TrafficData[[#This Row],[totalCourt]]</f>
        <v>1</v>
      </c>
      <c r="N3808" t="b">
        <f>AND(TrafficData[[#This Row],[disposedChallan]]&lt;=TrafficData[[#This Row],[totalChallan]],TrafficData[[#This Row],[pendingChallan]]&lt;=TrafficData[[#This Row],[totalChallan]])</f>
        <v>1</v>
      </c>
      <c r="O3808" t="b">
        <f>AND(TrafficData[[#This Row],[pendingAmount]]&lt;=TrafficData[[#This Row],[totalAmount]],TrafficData[[#This Row],[disposedAmount]]&lt;=TrafficData[[#This Row],[totalAmount]])</f>
        <v>1</v>
      </c>
      <c r="P3808" t="b">
        <f>AND(TrafficData[[#This Row],[pendingCourt]]&lt;=TrafficData[[#This Row],[totalCourt]],TrafficData[[#This Row],[disposedCourt]]&lt;=TrafficData[[#This Row],[totalCourt]])</f>
        <v>1</v>
      </c>
    </row>
    <row r="3809" spans="1:16">
      <c r="A3809" s="1">
        <v>45813</v>
      </c>
      <c r="B3809">
        <v>288602</v>
      </c>
      <c r="C3809">
        <v>73293</v>
      </c>
      <c r="D3809">
        <v>215309</v>
      </c>
      <c r="E3809">
        <v>420548848</v>
      </c>
      <c r="F3809">
        <v>125091033</v>
      </c>
      <c r="G3809">
        <v>545639881</v>
      </c>
      <c r="H3809">
        <v>118686</v>
      </c>
      <c r="I3809">
        <v>5602</v>
      </c>
      <c r="J3809">
        <v>124288</v>
      </c>
      <c r="K3809" t="b">
        <f>TrafficData[[#This Row],[disposedChallan]]+TrafficData[[#This Row],[pendingChallan]]=TrafficData[[#This Row],[totalChallan]]</f>
        <v>1</v>
      </c>
      <c r="L3809" t="b">
        <f>TrafficData[[#This Row],[pendingAmount]]+TrafficData[[#This Row],[disposedAmount]]=TrafficData[[#This Row],[totalAmount]]</f>
        <v>1</v>
      </c>
      <c r="M3809" t="b">
        <f>TrafficData[[#This Row],[pendingCourt]]+TrafficData[[#This Row],[disposedCourt]]=TrafficData[[#This Row],[totalCourt]]</f>
        <v>1</v>
      </c>
      <c r="N3809" t="b">
        <f>AND(TrafficData[[#This Row],[disposedChallan]]&lt;=TrafficData[[#This Row],[totalChallan]],TrafficData[[#This Row],[pendingChallan]]&lt;=TrafficData[[#This Row],[totalChallan]])</f>
        <v>1</v>
      </c>
      <c r="O3809" t="b">
        <f>AND(TrafficData[[#This Row],[pendingAmount]]&lt;=TrafficData[[#This Row],[totalAmount]],TrafficData[[#This Row],[disposedAmount]]&lt;=TrafficData[[#This Row],[totalAmount]])</f>
        <v>1</v>
      </c>
      <c r="P3809" t="b">
        <f>AND(TrafficData[[#This Row],[pendingCourt]]&lt;=TrafficData[[#This Row],[totalCourt]],TrafficData[[#This Row],[disposedCourt]]&lt;=TrafficData[[#This Row],[totalCourt]])</f>
        <v>1</v>
      </c>
    </row>
    <row r="3810" spans="1:16">
      <c r="A3810" s="1">
        <v>45814</v>
      </c>
      <c r="B3810">
        <v>281893</v>
      </c>
      <c r="C3810">
        <v>71699</v>
      </c>
      <c r="D3810">
        <v>210194</v>
      </c>
      <c r="E3810">
        <v>400261894</v>
      </c>
      <c r="F3810">
        <v>124266073</v>
      </c>
      <c r="G3810">
        <v>524527967</v>
      </c>
      <c r="H3810">
        <v>121486</v>
      </c>
      <c r="I3810">
        <v>4772</v>
      </c>
      <c r="J3810">
        <v>126258</v>
      </c>
      <c r="K3810" t="b">
        <f>TrafficData[[#This Row],[disposedChallan]]+TrafficData[[#This Row],[pendingChallan]]=TrafficData[[#This Row],[totalChallan]]</f>
        <v>1</v>
      </c>
      <c r="L3810" t="b">
        <f>TrafficData[[#This Row],[pendingAmount]]+TrafficData[[#This Row],[disposedAmount]]=TrafficData[[#This Row],[totalAmount]]</f>
        <v>1</v>
      </c>
      <c r="M3810" t="b">
        <f>TrafficData[[#This Row],[pendingCourt]]+TrafficData[[#This Row],[disposedCourt]]=TrafficData[[#This Row],[totalCourt]]</f>
        <v>1</v>
      </c>
      <c r="N3810" t="b">
        <f>AND(TrafficData[[#This Row],[disposedChallan]]&lt;=TrafficData[[#This Row],[totalChallan]],TrafficData[[#This Row],[pendingChallan]]&lt;=TrafficData[[#This Row],[totalChallan]])</f>
        <v>1</v>
      </c>
      <c r="O3810" t="b">
        <f>AND(TrafficData[[#This Row],[pendingAmount]]&lt;=TrafficData[[#This Row],[totalAmount]],TrafficData[[#This Row],[disposedAmount]]&lt;=TrafficData[[#This Row],[totalAmount]])</f>
        <v>1</v>
      </c>
      <c r="P3810" t="b">
        <f>AND(TrafficData[[#This Row],[pendingCourt]]&lt;=TrafficData[[#This Row],[totalCourt]],TrafficData[[#This Row],[disposedCourt]]&lt;=TrafficData[[#This Row],[totalCourt]])</f>
        <v>1</v>
      </c>
    </row>
    <row r="3811" spans="1:16">
      <c r="A3811" s="1">
        <v>45815</v>
      </c>
      <c r="B3811">
        <v>258841</v>
      </c>
      <c r="C3811">
        <v>63245</v>
      </c>
      <c r="D3811">
        <v>195596</v>
      </c>
      <c r="E3811">
        <v>337604722</v>
      </c>
      <c r="F3811">
        <v>93736992</v>
      </c>
      <c r="G3811">
        <v>431341714</v>
      </c>
      <c r="H3811">
        <v>102501</v>
      </c>
      <c r="I3811">
        <v>5138</v>
      </c>
      <c r="J3811">
        <v>107639</v>
      </c>
      <c r="K3811" t="b">
        <f>TrafficData[[#This Row],[disposedChallan]]+TrafficData[[#This Row],[pendingChallan]]=TrafficData[[#This Row],[totalChallan]]</f>
        <v>1</v>
      </c>
      <c r="L3811" t="b">
        <f>TrafficData[[#This Row],[pendingAmount]]+TrafficData[[#This Row],[disposedAmount]]=TrafficData[[#This Row],[totalAmount]]</f>
        <v>1</v>
      </c>
      <c r="M3811" t="b">
        <f>TrafficData[[#This Row],[pendingCourt]]+TrafficData[[#This Row],[disposedCourt]]=TrafficData[[#This Row],[totalCourt]]</f>
        <v>1</v>
      </c>
      <c r="N3811" t="b">
        <f>AND(TrafficData[[#This Row],[disposedChallan]]&lt;=TrafficData[[#This Row],[totalChallan]],TrafficData[[#This Row],[pendingChallan]]&lt;=TrafficData[[#This Row],[totalChallan]])</f>
        <v>1</v>
      </c>
      <c r="O3811" t="b">
        <f>AND(TrafficData[[#This Row],[pendingAmount]]&lt;=TrafficData[[#This Row],[totalAmount]],TrafficData[[#This Row],[disposedAmount]]&lt;=TrafficData[[#This Row],[totalAmount]])</f>
        <v>1</v>
      </c>
      <c r="P3811" t="b">
        <f>AND(TrafficData[[#This Row],[pendingCourt]]&lt;=TrafficData[[#This Row],[totalCourt]],TrafficData[[#This Row],[disposedCourt]]&lt;=TrafficData[[#This Row],[totalCourt]])</f>
        <v>1</v>
      </c>
    </row>
    <row r="3812" spans="1:16">
      <c r="A3812" s="1">
        <v>45816</v>
      </c>
      <c r="B3812">
        <v>262474</v>
      </c>
      <c r="C3812">
        <v>65219</v>
      </c>
      <c r="D3812">
        <v>197255</v>
      </c>
      <c r="E3812">
        <v>333822055</v>
      </c>
      <c r="F3812">
        <v>82081270</v>
      </c>
      <c r="G3812">
        <v>415903325</v>
      </c>
      <c r="H3812">
        <v>115815</v>
      </c>
      <c r="I3812">
        <v>5132</v>
      </c>
      <c r="J3812">
        <v>120947</v>
      </c>
      <c r="K3812" t="b">
        <f>TrafficData[[#This Row],[disposedChallan]]+TrafficData[[#This Row],[pendingChallan]]=TrafficData[[#This Row],[totalChallan]]</f>
        <v>1</v>
      </c>
      <c r="L3812" t="b">
        <f>TrafficData[[#This Row],[pendingAmount]]+TrafficData[[#This Row],[disposedAmount]]=TrafficData[[#This Row],[totalAmount]]</f>
        <v>1</v>
      </c>
      <c r="M3812" t="b">
        <f>TrafficData[[#This Row],[pendingCourt]]+TrafficData[[#This Row],[disposedCourt]]=TrafficData[[#This Row],[totalCourt]]</f>
        <v>1</v>
      </c>
      <c r="N3812" t="b">
        <f>AND(TrafficData[[#This Row],[disposedChallan]]&lt;=TrafficData[[#This Row],[totalChallan]],TrafficData[[#This Row],[pendingChallan]]&lt;=TrafficData[[#This Row],[totalChallan]])</f>
        <v>1</v>
      </c>
      <c r="O3812" t="b">
        <f>AND(TrafficData[[#This Row],[pendingAmount]]&lt;=TrafficData[[#This Row],[totalAmount]],TrafficData[[#This Row],[disposedAmount]]&lt;=TrafficData[[#This Row],[totalAmount]])</f>
        <v>1</v>
      </c>
      <c r="P3812" t="b">
        <f>AND(TrafficData[[#This Row],[pendingCourt]]&lt;=TrafficData[[#This Row],[totalCourt]],TrafficData[[#This Row],[disposedCourt]]&lt;=TrafficData[[#This Row],[totalCourt]])</f>
        <v>1</v>
      </c>
    </row>
    <row r="3813" spans="1:16">
      <c r="A3813" s="1">
        <v>45817</v>
      </c>
      <c r="B3813">
        <v>287888</v>
      </c>
      <c r="C3813">
        <v>71286</v>
      </c>
      <c r="D3813">
        <v>216602</v>
      </c>
      <c r="E3813">
        <v>402240424</v>
      </c>
      <c r="F3813">
        <v>116262629</v>
      </c>
      <c r="G3813">
        <v>518503053</v>
      </c>
      <c r="H3813">
        <v>121945</v>
      </c>
      <c r="I3813">
        <v>5297</v>
      </c>
      <c r="J3813">
        <v>127242</v>
      </c>
      <c r="K3813" t="b">
        <f>TrafficData[[#This Row],[disposedChallan]]+TrafficData[[#This Row],[pendingChallan]]=TrafficData[[#This Row],[totalChallan]]</f>
        <v>1</v>
      </c>
      <c r="L3813" t="b">
        <f>TrafficData[[#This Row],[pendingAmount]]+TrafficData[[#This Row],[disposedAmount]]=TrafficData[[#This Row],[totalAmount]]</f>
        <v>1</v>
      </c>
      <c r="M3813" t="b">
        <f>TrafficData[[#This Row],[pendingCourt]]+TrafficData[[#This Row],[disposedCourt]]=TrafficData[[#This Row],[totalCourt]]</f>
        <v>1</v>
      </c>
      <c r="N3813" t="b">
        <f>AND(TrafficData[[#This Row],[disposedChallan]]&lt;=TrafficData[[#This Row],[totalChallan]],TrafficData[[#This Row],[pendingChallan]]&lt;=TrafficData[[#This Row],[totalChallan]])</f>
        <v>1</v>
      </c>
      <c r="O3813" t="b">
        <f>AND(TrafficData[[#This Row],[pendingAmount]]&lt;=TrafficData[[#This Row],[totalAmount]],TrafficData[[#This Row],[disposedAmount]]&lt;=TrafficData[[#This Row],[totalAmount]])</f>
        <v>1</v>
      </c>
      <c r="P3813" t="b">
        <f>AND(TrafficData[[#This Row],[pendingCourt]]&lt;=TrafficData[[#This Row],[totalCourt]],TrafficData[[#This Row],[disposedCourt]]&lt;=TrafficData[[#This Row],[totalCourt]])</f>
        <v>1</v>
      </c>
    </row>
    <row r="3814" spans="1:16">
      <c r="A3814" s="1">
        <v>45818</v>
      </c>
      <c r="B3814">
        <v>281062</v>
      </c>
      <c r="C3814">
        <v>71471</v>
      </c>
      <c r="D3814">
        <v>209591</v>
      </c>
      <c r="E3814">
        <v>395637213</v>
      </c>
      <c r="F3814">
        <v>121459906</v>
      </c>
      <c r="G3814">
        <v>517097119</v>
      </c>
      <c r="H3814">
        <v>116387</v>
      </c>
      <c r="I3814">
        <v>5302</v>
      </c>
      <c r="J3814">
        <v>121689</v>
      </c>
      <c r="K3814" t="b">
        <f>TrafficData[[#This Row],[disposedChallan]]+TrafficData[[#This Row],[pendingChallan]]=TrafficData[[#This Row],[totalChallan]]</f>
        <v>1</v>
      </c>
      <c r="L3814" t="b">
        <f>TrafficData[[#This Row],[pendingAmount]]+TrafficData[[#This Row],[disposedAmount]]=TrafficData[[#This Row],[totalAmount]]</f>
        <v>1</v>
      </c>
      <c r="M3814" t="b">
        <f>TrafficData[[#This Row],[pendingCourt]]+TrafficData[[#This Row],[disposedCourt]]=TrafficData[[#This Row],[totalCourt]]</f>
        <v>1</v>
      </c>
      <c r="N3814" t="b">
        <f>AND(TrafficData[[#This Row],[disposedChallan]]&lt;=TrafficData[[#This Row],[totalChallan]],TrafficData[[#This Row],[pendingChallan]]&lt;=TrafficData[[#This Row],[totalChallan]])</f>
        <v>1</v>
      </c>
      <c r="O3814" t="b">
        <f>AND(TrafficData[[#This Row],[pendingAmount]]&lt;=TrafficData[[#This Row],[totalAmount]],TrafficData[[#This Row],[disposedAmount]]&lt;=TrafficData[[#This Row],[totalAmount]])</f>
        <v>1</v>
      </c>
      <c r="P3814" t="b">
        <f>AND(TrafficData[[#This Row],[pendingCourt]]&lt;=TrafficData[[#This Row],[totalCourt]],TrafficData[[#This Row],[disposedCourt]]&lt;=TrafficData[[#This Row],[totalCourt]])</f>
        <v>1</v>
      </c>
    </row>
    <row r="3815" spans="1:16">
      <c r="A3815" s="1">
        <v>45819</v>
      </c>
      <c r="B3815">
        <v>281994</v>
      </c>
      <c r="C3815">
        <v>69225</v>
      </c>
      <c r="D3815">
        <v>212769</v>
      </c>
      <c r="E3815">
        <v>406796870</v>
      </c>
      <c r="F3815">
        <v>119350104</v>
      </c>
      <c r="G3815">
        <v>526146974</v>
      </c>
      <c r="H3815">
        <v>127038</v>
      </c>
      <c r="I3815">
        <v>5465</v>
      </c>
      <c r="J3815">
        <v>132503</v>
      </c>
      <c r="K3815" t="b">
        <f>TrafficData[[#This Row],[disposedChallan]]+TrafficData[[#This Row],[pendingChallan]]=TrafficData[[#This Row],[totalChallan]]</f>
        <v>1</v>
      </c>
      <c r="L3815" t="b">
        <f>TrafficData[[#This Row],[pendingAmount]]+TrafficData[[#This Row],[disposedAmount]]=TrafficData[[#This Row],[totalAmount]]</f>
        <v>1</v>
      </c>
      <c r="M3815" t="b">
        <f>TrafficData[[#This Row],[pendingCourt]]+TrafficData[[#This Row],[disposedCourt]]=TrafficData[[#This Row],[totalCourt]]</f>
        <v>1</v>
      </c>
      <c r="N3815" t="b">
        <f>AND(TrafficData[[#This Row],[disposedChallan]]&lt;=TrafficData[[#This Row],[totalChallan]],TrafficData[[#This Row],[pendingChallan]]&lt;=TrafficData[[#This Row],[totalChallan]])</f>
        <v>1</v>
      </c>
      <c r="O3815" t="b">
        <f>AND(TrafficData[[#This Row],[pendingAmount]]&lt;=TrafficData[[#This Row],[totalAmount]],TrafficData[[#This Row],[disposedAmount]]&lt;=TrafficData[[#This Row],[totalAmount]])</f>
        <v>1</v>
      </c>
      <c r="P3815" t="b">
        <f>AND(TrafficData[[#This Row],[pendingCourt]]&lt;=TrafficData[[#This Row],[totalCourt]],TrafficData[[#This Row],[disposedCourt]]&lt;=TrafficData[[#This Row],[totalCourt]])</f>
        <v>1</v>
      </c>
    </row>
    <row r="3816" spans="1:16">
      <c r="A3816" s="1">
        <v>45820</v>
      </c>
      <c r="B3816">
        <v>269440</v>
      </c>
      <c r="C3816">
        <v>68389</v>
      </c>
      <c r="D3816">
        <v>201051</v>
      </c>
      <c r="E3816">
        <v>384100303</v>
      </c>
      <c r="F3816">
        <v>118674614</v>
      </c>
      <c r="G3816">
        <v>502774917</v>
      </c>
      <c r="H3816">
        <v>110500</v>
      </c>
      <c r="I3816">
        <v>5327</v>
      </c>
      <c r="J3816">
        <v>115827</v>
      </c>
      <c r="K3816" t="b">
        <f>TrafficData[[#This Row],[disposedChallan]]+TrafficData[[#This Row],[pendingChallan]]=TrafficData[[#This Row],[totalChallan]]</f>
        <v>1</v>
      </c>
      <c r="L3816" t="b">
        <f>TrafficData[[#This Row],[pendingAmount]]+TrafficData[[#This Row],[disposedAmount]]=TrafficData[[#This Row],[totalAmount]]</f>
        <v>1</v>
      </c>
      <c r="M3816" t="b">
        <f>TrafficData[[#This Row],[pendingCourt]]+TrafficData[[#This Row],[disposedCourt]]=TrafficData[[#This Row],[totalCourt]]</f>
        <v>1</v>
      </c>
      <c r="N3816" t="b">
        <f>AND(TrafficData[[#This Row],[disposedChallan]]&lt;=TrafficData[[#This Row],[totalChallan]],TrafficData[[#This Row],[pendingChallan]]&lt;=TrafficData[[#This Row],[totalChallan]])</f>
        <v>1</v>
      </c>
      <c r="O3816" t="b">
        <f>AND(TrafficData[[#This Row],[pendingAmount]]&lt;=TrafficData[[#This Row],[totalAmount]],TrafficData[[#This Row],[disposedAmount]]&lt;=TrafficData[[#This Row],[totalAmount]])</f>
        <v>1</v>
      </c>
      <c r="P3816" t="b">
        <f>AND(TrafficData[[#This Row],[pendingCourt]]&lt;=TrafficData[[#This Row],[totalCourt]],TrafficData[[#This Row],[disposedCourt]]&lt;=TrafficData[[#This Row],[totalCourt]])</f>
        <v>1</v>
      </c>
    </row>
    <row r="3817" spans="1:16">
      <c r="A3817" s="1">
        <v>45821</v>
      </c>
      <c r="B3817">
        <v>266312</v>
      </c>
      <c r="C3817">
        <v>67002</v>
      </c>
      <c r="D3817">
        <v>199310</v>
      </c>
      <c r="E3817">
        <v>392195331</v>
      </c>
      <c r="F3817">
        <v>120515069</v>
      </c>
      <c r="G3817">
        <v>512710400</v>
      </c>
      <c r="H3817">
        <v>103817</v>
      </c>
      <c r="I3817">
        <v>5267</v>
      </c>
      <c r="J3817">
        <v>109084</v>
      </c>
      <c r="K3817" t="b">
        <f>TrafficData[[#This Row],[disposedChallan]]+TrafficData[[#This Row],[pendingChallan]]=TrafficData[[#This Row],[totalChallan]]</f>
        <v>1</v>
      </c>
      <c r="L3817" t="b">
        <f>TrafficData[[#This Row],[pendingAmount]]+TrafficData[[#This Row],[disposedAmount]]=TrafficData[[#This Row],[totalAmount]]</f>
        <v>1</v>
      </c>
      <c r="M3817" t="b">
        <f>TrafficData[[#This Row],[pendingCourt]]+TrafficData[[#This Row],[disposedCourt]]=TrafficData[[#This Row],[totalCourt]]</f>
        <v>1</v>
      </c>
      <c r="N3817" t="b">
        <f>AND(TrafficData[[#This Row],[disposedChallan]]&lt;=TrafficData[[#This Row],[totalChallan]],TrafficData[[#This Row],[pendingChallan]]&lt;=TrafficData[[#This Row],[totalChallan]])</f>
        <v>1</v>
      </c>
      <c r="O3817" t="b">
        <f>AND(TrafficData[[#This Row],[pendingAmount]]&lt;=TrafficData[[#This Row],[totalAmount]],TrafficData[[#This Row],[disposedAmount]]&lt;=TrafficData[[#This Row],[totalAmount]])</f>
        <v>1</v>
      </c>
      <c r="P3817" t="b">
        <f>AND(TrafficData[[#This Row],[pendingCourt]]&lt;=TrafficData[[#This Row],[totalCourt]],TrafficData[[#This Row],[disposedCourt]]&lt;=TrafficData[[#This Row],[totalCourt]])</f>
        <v>1</v>
      </c>
    </row>
    <row r="3818" spans="1:16">
      <c r="A3818" s="1">
        <v>45822</v>
      </c>
      <c r="B3818">
        <v>255478</v>
      </c>
      <c r="C3818">
        <v>64469</v>
      </c>
      <c r="D3818">
        <v>191009</v>
      </c>
      <c r="E3818">
        <v>349817794</v>
      </c>
      <c r="F3818">
        <v>93409455</v>
      </c>
      <c r="G3818">
        <v>443227249</v>
      </c>
      <c r="H3818">
        <v>96508</v>
      </c>
      <c r="I3818">
        <v>5105</v>
      </c>
      <c r="J3818">
        <v>101613</v>
      </c>
      <c r="K3818" t="b">
        <f>TrafficData[[#This Row],[disposedChallan]]+TrafficData[[#This Row],[pendingChallan]]=TrafficData[[#This Row],[totalChallan]]</f>
        <v>1</v>
      </c>
      <c r="L3818" t="b">
        <f>TrafficData[[#This Row],[pendingAmount]]+TrafficData[[#This Row],[disposedAmount]]=TrafficData[[#This Row],[totalAmount]]</f>
        <v>1</v>
      </c>
      <c r="M3818" t="b">
        <f>TrafficData[[#This Row],[pendingCourt]]+TrafficData[[#This Row],[disposedCourt]]=TrafficData[[#This Row],[totalCourt]]</f>
        <v>1</v>
      </c>
      <c r="N3818" t="b">
        <f>AND(TrafficData[[#This Row],[disposedChallan]]&lt;=TrafficData[[#This Row],[totalChallan]],TrafficData[[#This Row],[pendingChallan]]&lt;=TrafficData[[#This Row],[totalChallan]])</f>
        <v>1</v>
      </c>
      <c r="O3818" t="b">
        <f>AND(TrafficData[[#This Row],[pendingAmount]]&lt;=TrafficData[[#This Row],[totalAmount]],TrafficData[[#This Row],[disposedAmount]]&lt;=TrafficData[[#This Row],[totalAmount]])</f>
        <v>1</v>
      </c>
      <c r="P3818" t="b">
        <f>AND(TrafficData[[#This Row],[pendingCourt]]&lt;=TrafficData[[#This Row],[totalCourt]],TrafficData[[#This Row],[disposedCourt]]&lt;=TrafficData[[#This Row],[totalCourt]])</f>
        <v>1</v>
      </c>
    </row>
    <row r="3819" spans="1:16">
      <c r="A3819" s="1">
        <v>45823</v>
      </c>
      <c r="B3819">
        <v>236576</v>
      </c>
      <c r="C3819">
        <v>56917</v>
      </c>
      <c r="D3819">
        <v>179659</v>
      </c>
      <c r="E3819">
        <v>312666453</v>
      </c>
      <c r="F3819">
        <v>78071655</v>
      </c>
      <c r="G3819">
        <v>390738108</v>
      </c>
      <c r="H3819">
        <v>89018</v>
      </c>
      <c r="I3819">
        <v>4557</v>
      </c>
      <c r="J3819">
        <v>93575</v>
      </c>
      <c r="K3819" t="b">
        <f>TrafficData[[#This Row],[disposedChallan]]+TrafficData[[#This Row],[pendingChallan]]=TrafficData[[#This Row],[totalChallan]]</f>
        <v>1</v>
      </c>
      <c r="L3819" t="b">
        <f>TrafficData[[#This Row],[pendingAmount]]+TrafficData[[#This Row],[disposedAmount]]=TrafficData[[#This Row],[totalAmount]]</f>
        <v>1</v>
      </c>
      <c r="M3819" t="b">
        <f>TrafficData[[#This Row],[pendingCourt]]+TrafficData[[#This Row],[disposedCourt]]=TrafficData[[#This Row],[totalCourt]]</f>
        <v>1</v>
      </c>
      <c r="N3819" t="b">
        <f>AND(TrafficData[[#This Row],[disposedChallan]]&lt;=TrafficData[[#This Row],[totalChallan]],TrafficData[[#This Row],[pendingChallan]]&lt;=TrafficData[[#This Row],[totalChallan]])</f>
        <v>1</v>
      </c>
      <c r="O3819" t="b">
        <f>AND(TrafficData[[#This Row],[pendingAmount]]&lt;=TrafficData[[#This Row],[totalAmount]],TrafficData[[#This Row],[disposedAmount]]&lt;=TrafficData[[#This Row],[totalAmount]])</f>
        <v>1</v>
      </c>
      <c r="P3819" t="b">
        <f>AND(TrafficData[[#This Row],[pendingCourt]]&lt;=TrafficData[[#This Row],[totalCourt]],TrafficData[[#This Row],[disposedCourt]]&lt;=TrafficData[[#This Row],[totalCourt]])</f>
        <v>1</v>
      </c>
    </row>
    <row r="3820" spans="1:16">
      <c r="A3820" s="1">
        <v>45824</v>
      </c>
      <c r="B3820">
        <v>269761</v>
      </c>
      <c r="C3820">
        <v>63418</v>
      </c>
      <c r="D3820">
        <v>206343</v>
      </c>
      <c r="E3820">
        <v>391283115</v>
      </c>
      <c r="F3820">
        <v>100251198</v>
      </c>
      <c r="G3820">
        <v>491534313</v>
      </c>
      <c r="H3820">
        <v>111296</v>
      </c>
      <c r="I3820">
        <v>5652</v>
      </c>
      <c r="J3820">
        <v>116948</v>
      </c>
      <c r="K3820" t="b">
        <f>TrafficData[[#This Row],[disposedChallan]]+TrafficData[[#This Row],[pendingChallan]]=TrafficData[[#This Row],[totalChallan]]</f>
        <v>1</v>
      </c>
      <c r="L3820" t="b">
        <f>TrafficData[[#This Row],[pendingAmount]]+TrafficData[[#This Row],[disposedAmount]]=TrafficData[[#This Row],[totalAmount]]</f>
        <v>1</v>
      </c>
      <c r="M3820" t="b">
        <f>TrafficData[[#This Row],[pendingCourt]]+TrafficData[[#This Row],[disposedCourt]]=TrafficData[[#This Row],[totalCourt]]</f>
        <v>1</v>
      </c>
      <c r="N3820" t="b">
        <f>AND(TrafficData[[#This Row],[disposedChallan]]&lt;=TrafficData[[#This Row],[totalChallan]],TrafficData[[#This Row],[pendingChallan]]&lt;=TrafficData[[#This Row],[totalChallan]])</f>
        <v>1</v>
      </c>
      <c r="O3820" t="b">
        <f>AND(TrafficData[[#This Row],[pendingAmount]]&lt;=TrafficData[[#This Row],[totalAmount]],TrafficData[[#This Row],[disposedAmount]]&lt;=TrafficData[[#This Row],[totalAmount]])</f>
        <v>1</v>
      </c>
      <c r="P3820" t="b">
        <f>AND(TrafficData[[#This Row],[pendingCourt]]&lt;=TrafficData[[#This Row],[totalCourt]],TrafficData[[#This Row],[disposedCourt]]&lt;=TrafficData[[#This Row],[totalCourt]])</f>
        <v>1</v>
      </c>
    </row>
    <row r="3821" spans="1:16">
      <c r="A3821" s="1">
        <v>45825</v>
      </c>
      <c r="B3821">
        <v>255101</v>
      </c>
      <c r="C3821">
        <v>61078</v>
      </c>
      <c r="D3821">
        <v>194023</v>
      </c>
      <c r="E3821">
        <v>364688242</v>
      </c>
      <c r="F3821">
        <v>104165829</v>
      </c>
      <c r="G3821">
        <v>468854071</v>
      </c>
      <c r="H3821">
        <v>106776</v>
      </c>
      <c r="I3821">
        <v>4837</v>
      </c>
      <c r="J3821">
        <v>111613</v>
      </c>
      <c r="K3821" t="b">
        <f>TrafficData[[#This Row],[disposedChallan]]+TrafficData[[#This Row],[pendingChallan]]=TrafficData[[#This Row],[totalChallan]]</f>
        <v>1</v>
      </c>
      <c r="L3821" t="b">
        <f>TrafficData[[#This Row],[pendingAmount]]+TrafficData[[#This Row],[disposedAmount]]=TrafficData[[#This Row],[totalAmount]]</f>
        <v>1</v>
      </c>
      <c r="M3821" t="b">
        <f>TrafficData[[#This Row],[pendingCourt]]+TrafficData[[#This Row],[disposedCourt]]=TrafficData[[#This Row],[totalCourt]]</f>
        <v>1</v>
      </c>
      <c r="N3821" t="b">
        <f>AND(TrafficData[[#This Row],[disposedChallan]]&lt;=TrafficData[[#This Row],[totalChallan]],TrafficData[[#This Row],[pendingChallan]]&lt;=TrafficData[[#This Row],[totalChallan]])</f>
        <v>1</v>
      </c>
      <c r="O3821" t="b">
        <f>AND(TrafficData[[#This Row],[pendingAmount]]&lt;=TrafficData[[#This Row],[totalAmount]],TrafficData[[#This Row],[disposedAmount]]&lt;=TrafficData[[#This Row],[totalAmount]])</f>
        <v>1</v>
      </c>
      <c r="P3821" t="b">
        <f>AND(TrafficData[[#This Row],[pendingCourt]]&lt;=TrafficData[[#This Row],[totalCourt]],TrafficData[[#This Row],[disposedCourt]]&lt;=TrafficData[[#This Row],[totalCourt]])</f>
        <v>1</v>
      </c>
    </row>
    <row r="3822" spans="1:16">
      <c r="A3822" s="1">
        <v>45826</v>
      </c>
      <c r="B3822">
        <v>279275</v>
      </c>
      <c r="C3822">
        <v>66569</v>
      </c>
      <c r="D3822">
        <v>212706</v>
      </c>
      <c r="E3822">
        <v>403156013</v>
      </c>
      <c r="F3822">
        <v>109582602</v>
      </c>
      <c r="G3822">
        <v>512738615</v>
      </c>
      <c r="H3822">
        <v>124539</v>
      </c>
      <c r="I3822">
        <v>5849</v>
      </c>
      <c r="J3822">
        <v>130388</v>
      </c>
      <c r="K3822" t="b">
        <f>TrafficData[[#This Row],[disposedChallan]]+TrafficData[[#This Row],[pendingChallan]]=TrafficData[[#This Row],[totalChallan]]</f>
        <v>1</v>
      </c>
      <c r="L3822" t="b">
        <f>TrafficData[[#This Row],[pendingAmount]]+TrafficData[[#This Row],[disposedAmount]]=TrafficData[[#This Row],[totalAmount]]</f>
        <v>1</v>
      </c>
      <c r="M3822" t="b">
        <f>TrafficData[[#This Row],[pendingCourt]]+TrafficData[[#This Row],[disposedCourt]]=TrafficData[[#This Row],[totalCourt]]</f>
        <v>1</v>
      </c>
      <c r="N3822" t="b">
        <f>AND(TrafficData[[#This Row],[disposedChallan]]&lt;=TrafficData[[#This Row],[totalChallan]],TrafficData[[#This Row],[pendingChallan]]&lt;=TrafficData[[#This Row],[totalChallan]])</f>
        <v>1</v>
      </c>
      <c r="O3822" t="b">
        <f>AND(TrafficData[[#This Row],[pendingAmount]]&lt;=TrafficData[[#This Row],[totalAmount]],TrafficData[[#This Row],[disposedAmount]]&lt;=TrafficData[[#This Row],[totalAmount]])</f>
        <v>1</v>
      </c>
      <c r="P3822" t="b">
        <f>AND(TrafficData[[#This Row],[pendingCourt]]&lt;=TrafficData[[#This Row],[totalCourt]],TrafficData[[#This Row],[disposedCourt]]&lt;=TrafficData[[#This Row],[totalCourt]])</f>
        <v>1</v>
      </c>
    </row>
    <row r="3823" spans="1:16">
      <c r="A3823" s="1">
        <v>45827</v>
      </c>
      <c r="B3823">
        <v>271303</v>
      </c>
      <c r="C3823">
        <v>64214</v>
      </c>
      <c r="D3823">
        <v>207089</v>
      </c>
      <c r="E3823">
        <v>402799851</v>
      </c>
      <c r="F3823">
        <v>110721150</v>
      </c>
      <c r="G3823">
        <v>513521001</v>
      </c>
      <c r="H3823">
        <v>120035</v>
      </c>
      <c r="I3823">
        <v>5901</v>
      </c>
      <c r="J3823">
        <v>125936</v>
      </c>
      <c r="K3823" t="b">
        <f>TrafficData[[#This Row],[disposedChallan]]+TrafficData[[#This Row],[pendingChallan]]=TrafficData[[#This Row],[totalChallan]]</f>
        <v>1</v>
      </c>
      <c r="L3823" t="b">
        <f>TrafficData[[#This Row],[pendingAmount]]+TrafficData[[#This Row],[disposedAmount]]=TrafficData[[#This Row],[totalAmount]]</f>
        <v>1</v>
      </c>
      <c r="M3823" t="b">
        <f>TrafficData[[#This Row],[pendingCourt]]+TrafficData[[#This Row],[disposedCourt]]=TrafficData[[#This Row],[totalCourt]]</f>
        <v>1</v>
      </c>
      <c r="N3823" t="b">
        <f>AND(TrafficData[[#This Row],[disposedChallan]]&lt;=TrafficData[[#This Row],[totalChallan]],TrafficData[[#This Row],[pendingChallan]]&lt;=TrafficData[[#This Row],[totalChallan]])</f>
        <v>1</v>
      </c>
      <c r="O3823" t="b">
        <f>AND(TrafficData[[#This Row],[pendingAmount]]&lt;=TrafficData[[#This Row],[totalAmount]],TrafficData[[#This Row],[disposedAmount]]&lt;=TrafficData[[#This Row],[totalAmount]])</f>
        <v>1</v>
      </c>
      <c r="P3823" t="b">
        <f>AND(TrafficData[[#This Row],[pendingCourt]]&lt;=TrafficData[[#This Row],[totalCourt]],TrafficData[[#This Row],[disposedCourt]]&lt;=TrafficData[[#This Row],[totalCourt]])</f>
        <v>1</v>
      </c>
    </row>
    <row r="3824" spans="1:16">
      <c r="A3824" s="1">
        <v>45828</v>
      </c>
      <c r="B3824">
        <v>289944</v>
      </c>
      <c r="C3824">
        <v>67482</v>
      </c>
      <c r="D3824">
        <v>222462</v>
      </c>
      <c r="E3824">
        <v>418351877</v>
      </c>
      <c r="F3824">
        <v>111512110</v>
      </c>
      <c r="G3824">
        <v>529863987</v>
      </c>
      <c r="H3824">
        <v>119000</v>
      </c>
      <c r="I3824">
        <v>6340</v>
      </c>
      <c r="J3824">
        <v>125340</v>
      </c>
      <c r="K3824" t="b">
        <f>TrafficData[[#This Row],[disposedChallan]]+TrafficData[[#This Row],[pendingChallan]]=TrafficData[[#This Row],[totalChallan]]</f>
        <v>1</v>
      </c>
      <c r="L3824" t="b">
        <f>TrafficData[[#This Row],[pendingAmount]]+TrafficData[[#This Row],[disposedAmount]]=TrafficData[[#This Row],[totalAmount]]</f>
        <v>1</v>
      </c>
      <c r="M3824" t="b">
        <f>TrafficData[[#This Row],[pendingCourt]]+TrafficData[[#This Row],[disposedCourt]]=TrafficData[[#This Row],[totalCourt]]</f>
        <v>1</v>
      </c>
      <c r="N3824" t="b">
        <f>AND(TrafficData[[#This Row],[disposedChallan]]&lt;=TrafficData[[#This Row],[totalChallan]],TrafficData[[#This Row],[pendingChallan]]&lt;=TrafficData[[#This Row],[totalChallan]])</f>
        <v>1</v>
      </c>
      <c r="O3824" t="b">
        <f>AND(TrafficData[[#This Row],[pendingAmount]]&lt;=TrafficData[[#This Row],[totalAmount]],TrafficData[[#This Row],[disposedAmount]]&lt;=TrafficData[[#This Row],[totalAmount]])</f>
        <v>1</v>
      </c>
      <c r="P3824" t="b">
        <f>AND(TrafficData[[#This Row],[pendingCourt]]&lt;=TrafficData[[#This Row],[totalCourt]],TrafficData[[#This Row],[disposedCourt]]&lt;=TrafficData[[#This Row],[totalCourt]])</f>
        <v>1</v>
      </c>
    </row>
    <row r="3825" spans="1:16">
      <c r="A3825" s="1">
        <v>45829</v>
      </c>
      <c r="B3825">
        <v>283856</v>
      </c>
      <c r="C3825">
        <v>68071</v>
      </c>
      <c r="D3825">
        <v>215785</v>
      </c>
      <c r="E3825">
        <v>396839897</v>
      </c>
      <c r="F3825">
        <v>99844926</v>
      </c>
      <c r="G3825">
        <v>496684823</v>
      </c>
      <c r="H3825">
        <v>120436</v>
      </c>
      <c r="I3825">
        <v>6027</v>
      </c>
      <c r="J3825">
        <v>126463</v>
      </c>
      <c r="K3825" t="b">
        <f>TrafficData[[#This Row],[disposedChallan]]+TrafficData[[#This Row],[pendingChallan]]=TrafficData[[#This Row],[totalChallan]]</f>
        <v>1</v>
      </c>
      <c r="L3825" t="b">
        <f>TrafficData[[#This Row],[pendingAmount]]+TrafficData[[#This Row],[disposedAmount]]=TrafficData[[#This Row],[totalAmount]]</f>
        <v>1</v>
      </c>
      <c r="M3825" t="b">
        <f>TrafficData[[#This Row],[pendingCourt]]+TrafficData[[#This Row],[disposedCourt]]=TrafficData[[#This Row],[totalCourt]]</f>
        <v>1</v>
      </c>
      <c r="N3825" t="b">
        <f>AND(TrafficData[[#This Row],[disposedChallan]]&lt;=TrafficData[[#This Row],[totalChallan]],TrafficData[[#This Row],[pendingChallan]]&lt;=TrafficData[[#This Row],[totalChallan]])</f>
        <v>1</v>
      </c>
      <c r="O3825" t="b">
        <f>AND(TrafficData[[#This Row],[pendingAmount]]&lt;=TrafficData[[#This Row],[totalAmount]],TrafficData[[#This Row],[disposedAmount]]&lt;=TrafficData[[#This Row],[totalAmount]])</f>
        <v>1</v>
      </c>
      <c r="P3825" t="b">
        <f>AND(TrafficData[[#This Row],[pendingCourt]]&lt;=TrafficData[[#This Row],[totalCourt]],TrafficData[[#This Row],[disposedCourt]]&lt;=TrafficData[[#This Row],[totalCourt]])</f>
        <v>1</v>
      </c>
    </row>
    <row r="3826" spans="1:16">
      <c r="A3826" s="1">
        <v>45830</v>
      </c>
      <c r="B3826">
        <v>254586</v>
      </c>
      <c r="C3826">
        <v>58515</v>
      </c>
      <c r="D3826">
        <v>196071</v>
      </c>
      <c r="E3826">
        <v>338554374</v>
      </c>
      <c r="F3826">
        <v>73846657</v>
      </c>
      <c r="G3826">
        <v>412401031</v>
      </c>
      <c r="H3826">
        <v>110830</v>
      </c>
      <c r="I3826">
        <v>5429</v>
      </c>
      <c r="J3826">
        <v>116259</v>
      </c>
      <c r="K3826" t="b">
        <f>TrafficData[[#This Row],[disposedChallan]]+TrafficData[[#This Row],[pendingChallan]]=TrafficData[[#This Row],[totalChallan]]</f>
        <v>1</v>
      </c>
      <c r="L3826" t="b">
        <f>TrafficData[[#This Row],[pendingAmount]]+TrafficData[[#This Row],[disposedAmount]]=TrafficData[[#This Row],[totalAmount]]</f>
        <v>1</v>
      </c>
      <c r="M3826" t="b">
        <f>TrafficData[[#This Row],[pendingCourt]]+TrafficData[[#This Row],[disposedCourt]]=TrafficData[[#This Row],[totalCourt]]</f>
        <v>1</v>
      </c>
      <c r="N3826" t="b">
        <f>AND(TrafficData[[#This Row],[disposedChallan]]&lt;=TrafficData[[#This Row],[totalChallan]],TrafficData[[#This Row],[pendingChallan]]&lt;=TrafficData[[#This Row],[totalChallan]])</f>
        <v>1</v>
      </c>
      <c r="O3826" t="b">
        <f>AND(TrafficData[[#This Row],[pendingAmount]]&lt;=TrafficData[[#This Row],[totalAmount]],TrafficData[[#This Row],[disposedAmount]]&lt;=TrafficData[[#This Row],[totalAmount]])</f>
        <v>1</v>
      </c>
      <c r="P3826" t="b">
        <f>AND(TrafficData[[#This Row],[pendingCourt]]&lt;=TrafficData[[#This Row],[totalCourt]],TrafficData[[#This Row],[disposedCourt]]&lt;=TrafficData[[#This Row],[totalCourt]])</f>
        <v>1</v>
      </c>
    </row>
    <row r="3827" spans="1:16">
      <c r="A3827" s="1">
        <v>45831</v>
      </c>
      <c r="B3827">
        <v>282142</v>
      </c>
      <c r="C3827">
        <v>65755</v>
      </c>
      <c r="D3827">
        <v>216387</v>
      </c>
      <c r="E3827">
        <v>401371319</v>
      </c>
      <c r="F3827">
        <v>99976417</v>
      </c>
      <c r="G3827">
        <v>501347736</v>
      </c>
      <c r="H3827">
        <v>116920</v>
      </c>
      <c r="I3827">
        <v>5602</v>
      </c>
      <c r="J3827">
        <v>122522</v>
      </c>
      <c r="K3827" t="b">
        <f>TrafficData[[#This Row],[disposedChallan]]+TrafficData[[#This Row],[pendingChallan]]=TrafficData[[#This Row],[totalChallan]]</f>
        <v>1</v>
      </c>
      <c r="L3827" t="b">
        <f>TrafficData[[#This Row],[pendingAmount]]+TrafficData[[#This Row],[disposedAmount]]=TrafficData[[#This Row],[totalAmount]]</f>
        <v>1</v>
      </c>
      <c r="M3827" t="b">
        <f>TrafficData[[#This Row],[pendingCourt]]+TrafficData[[#This Row],[disposedCourt]]=TrafficData[[#This Row],[totalCourt]]</f>
        <v>1</v>
      </c>
      <c r="N3827" t="b">
        <f>AND(TrafficData[[#This Row],[disposedChallan]]&lt;=TrafficData[[#This Row],[totalChallan]],TrafficData[[#This Row],[pendingChallan]]&lt;=TrafficData[[#This Row],[totalChallan]])</f>
        <v>1</v>
      </c>
      <c r="O3827" t="b">
        <f>AND(TrafficData[[#This Row],[pendingAmount]]&lt;=TrafficData[[#This Row],[totalAmount]],TrafficData[[#This Row],[disposedAmount]]&lt;=TrafficData[[#This Row],[totalAmount]])</f>
        <v>1</v>
      </c>
      <c r="P3827" t="b">
        <f>AND(TrafficData[[#This Row],[pendingCourt]]&lt;=TrafficData[[#This Row],[totalCourt]],TrafficData[[#This Row],[disposedCourt]]&lt;=TrafficData[[#This Row],[totalCourt]])</f>
        <v>1</v>
      </c>
    </row>
    <row r="3828" spans="1:16">
      <c r="A3828" s="1">
        <v>45832</v>
      </c>
      <c r="B3828">
        <v>282233</v>
      </c>
      <c r="C3828">
        <v>67758</v>
      </c>
      <c r="D3828">
        <v>214475</v>
      </c>
      <c r="E3828">
        <v>407540959</v>
      </c>
      <c r="F3828">
        <v>112428264</v>
      </c>
      <c r="G3828">
        <v>519969223</v>
      </c>
      <c r="H3828">
        <v>114356</v>
      </c>
      <c r="I3828">
        <v>5319</v>
      </c>
      <c r="J3828">
        <v>119675</v>
      </c>
      <c r="K3828" t="b">
        <f>TrafficData[[#This Row],[disposedChallan]]+TrafficData[[#This Row],[pendingChallan]]=TrafficData[[#This Row],[totalChallan]]</f>
        <v>1</v>
      </c>
      <c r="L3828" t="b">
        <f>TrafficData[[#This Row],[pendingAmount]]+TrafficData[[#This Row],[disposedAmount]]=TrafficData[[#This Row],[totalAmount]]</f>
        <v>1</v>
      </c>
      <c r="M3828" t="b">
        <f>TrafficData[[#This Row],[pendingCourt]]+TrafficData[[#This Row],[disposedCourt]]=TrafficData[[#This Row],[totalCourt]]</f>
        <v>1</v>
      </c>
      <c r="N3828" t="b">
        <f>AND(TrafficData[[#This Row],[disposedChallan]]&lt;=TrafficData[[#This Row],[totalChallan]],TrafficData[[#This Row],[pendingChallan]]&lt;=TrafficData[[#This Row],[totalChallan]])</f>
        <v>1</v>
      </c>
      <c r="O3828" t="b">
        <f>AND(TrafficData[[#This Row],[pendingAmount]]&lt;=TrafficData[[#This Row],[totalAmount]],TrafficData[[#This Row],[disposedAmount]]&lt;=TrafficData[[#This Row],[totalAmount]])</f>
        <v>1</v>
      </c>
      <c r="P3828" t="b">
        <f>AND(TrafficData[[#This Row],[pendingCourt]]&lt;=TrafficData[[#This Row],[totalCourt]],TrafficData[[#This Row],[disposedCourt]]&lt;=TrafficData[[#This Row],[totalCourt]])</f>
        <v>1</v>
      </c>
    </row>
    <row r="3829" spans="1:16">
      <c r="A3829" s="1">
        <v>45833</v>
      </c>
      <c r="B3829">
        <v>261215</v>
      </c>
      <c r="C3829">
        <v>62749</v>
      </c>
      <c r="D3829">
        <v>198466</v>
      </c>
      <c r="E3829">
        <v>387670420</v>
      </c>
      <c r="F3829">
        <v>105719852</v>
      </c>
      <c r="G3829">
        <v>493390272</v>
      </c>
      <c r="H3829">
        <v>110327</v>
      </c>
      <c r="I3829">
        <v>5090</v>
      </c>
      <c r="J3829">
        <v>115417</v>
      </c>
      <c r="K3829" t="b">
        <f>TrafficData[[#This Row],[disposedChallan]]+TrafficData[[#This Row],[pendingChallan]]=TrafficData[[#This Row],[totalChallan]]</f>
        <v>1</v>
      </c>
      <c r="L3829" t="b">
        <f>TrafficData[[#This Row],[pendingAmount]]+TrafficData[[#This Row],[disposedAmount]]=TrafficData[[#This Row],[totalAmount]]</f>
        <v>1</v>
      </c>
      <c r="M3829" t="b">
        <f>TrafficData[[#This Row],[pendingCourt]]+TrafficData[[#This Row],[disposedCourt]]=TrafficData[[#This Row],[totalCourt]]</f>
        <v>1</v>
      </c>
      <c r="N3829" t="b">
        <f>AND(TrafficData[[#This Row],[disposedChallan]]&lt;=TrafficData[[#This Row],[totalChallan]],TrafficData[[#This Row],[pendingChallan]]&lt;=TrafficData[[#This Row],[totalChallan]])</f>
        <v>1</v>
      </c>
      <c r="O3829" t="b">
        <f>AND(TrafficData[[#This Row],[pendingAmount]]&lt;=TrafficData[[#This Row],[totalAmount]],TrafficData[[#This Row],[disposedAmount]]&lt;=TrafficData[[#This Row],[totalAmount]])</f>
        <v>1</v>
      </c>
      <c r="P3829" t="b">
        <f>AND(TrafficData[[#This Row],[pendingCourt]]&lt;=TrafficData[[#This Row],[totalCourt]],TrafficData[[#This Row],[disposedCourt]]&lt;=TrafficData[[#This Row],[totalCourt]])</f>
        <v>1</v>
      </c>
    </row>
    <row r="3830" spans="1:16">
      <c r="A3830" s="1">
        <v>45834</v>
      </c>
      <c r="B3830">
        <v>248132</v>
      </c>
      <c r="C3830">
        <v>59368</v>
      </c>
      <c r="D3830">
        <v>188764</v>
      </c>
      <c r="E3830">
        <v>380341318</v>
      </c>
      <c r="F3830">
        <v>102847968</v>
      </c>
      <c r="G3830">
        <v>483189286</v>
      </c>
      <c r="H3830">
        <v>105072</v>
      </c>
      <c r="I3830">
        <v>5163</v>
      </c>
      <c r="J3830">
        <v>110235</v>
      </c>
      <c r="K3830" t="b">
        <f>TrafficData[[#This Row],[disposedChallan]]+TrafficData[[#This Row],[pendingChallan]]=TrafficData[[#This Row],[totalChallan]]</f>
        <v>1</v>
      </c>
      <c r="L3830" t="b">
        <f>TrafficData[[#This Row],[pendingAmount]]+TrafficData[[#This Row],[disposedAmount]]=TrafficData[[#This Row],[totalAmount]]</f>
        <v>1</v>
      </c>
      <c r="M3830" t="b">
        <f>TrafficData[[#This Row],[pendingCourt]]+TrafficData[[#This Row],[disposedCourt]]=TrafficData[[#This Row],[totalCourt]]</f>
        <v>1</v>
      </c>
      <c r="N3830" t="b">
        <f>AND(TrafficData[[#This Row],[disposedChallan]]&lt;=TrafficData[[#This Row],[totalChallan]],TrafficData[[#This Row],[pendingChallan]]&lt;=TrafficData[[#This Row],[totalChallan]])</f>
        <v>1</v>
      </c>
      <c r="O3830" t="b">
        <f>AND(TrafficData[[#This Row],[pendingAmount]]&lt;=TrafficData[[#This Row],[totalAmount]],TrafficData[[#This Row],[disposedAmount]]&lt;=TrafficData[[#This Row],[totalAmount]])</f>
        <v>1</v>
      </c>
      <c r="P3830" t="b">
        <f>AND(TrafficData[[#This Row],[pendingCourt]]&lt;=TrafficData[[#This Row],[totalCourt]],TrafficData[[#This Row],[disposedCourt]]&lt;=TrafficData[[#This Row],[totalCourt]])</f>
        <v>1</v>
      </c>
    </row>
    <row r="3831" spans="1:16">
      <c r="A3831" s="1">
        <v>45835</v>
      </c>
      <c r="B3831">
        <v>260258</v>
      </c>
      <c r="C3831">
        <v>61566</v>
      </c>
      <c r="D3831">
        <v>198692</v>
      </c>
      <c r="E3831">
        <v>380226534</v>
      </c>
      <c r="F3831">
        <v>100541631</v>
      </c>
      <c r="G3831">
        <v>480768165</v>
      </c>
      <c r="H3831">
        <v>105178</v>
      </c>
      <c r="I3831">
        <v>5333</v>
      </c>
      <c r="J3831">
        <v>110511</v>
      </c>
      <c r="K3831" t="b">
        <f>TrafficData[[#This Row],[disposedChallan]]+TrafficData[[#This Row],[pendingChallan]]=TrafficData[[#This Row],[totalChallan]]</f>
        <v>1</v>
      </c>
      <c r="L3831" t="b">
        <f>TrafficData[[#This Row],[pendingAmount]]+TrafficData[[#This Row],[disposedAmount]]=TrafficData[[#This Row],[totalAmount]]</f>
        <v>1</v>
      </c>
      <c r="M3831" t="b">
        <f>TrafficData[[#This Row],[pendingCourt]]+TrafficData[[#This Row],[disposedCourt]]=TrafficData[[#This Row],[totalCourt]]</f>
        <v>1</v>
      </c>
      <c r="N3831" t="b">
        <f>AND(TrafficData[[#This Row],[disposedChallan]]&lt;=TrafficData[[#This Row],[totalChallan]],TrafficData[[#This Row],[pendingChallan]]&lt;=TrafficData[[#This Row],[totalChallan]])</f>
        <v>1</v>
      </c>
      <c r="O3831" t="b">
        <f>AND(TrafficData[[#This Row],[pendingAmount]]&lt;=TrafficData[[#This Row],[totalAmount]],TrafficData[[#This Row],[disposedAmount]]&lt;=TrafficData[[#This Row],[totalAmount]])</f>
        <v>1</v>
      </c>
      <c r="P3831" t="b">
        <f>AND(TrafficData[[#This Row],[pendingCourt]]&lt;=TrafficData[[#This Row],[totalCourt]],TrafficData[[#This Row],[disposedCourt]]&lt;=TrafficData[[#This Row],[totalCourt]])</f>
        <v>1</v>
      </c>
    </row>
    <row r="3832" spans="1:16">
      <c r="A3832" s="1">
        <v>45836</v>
      </c>
      <c r="B3832">
        <v>266857</v>
      </c>
      <c r="C3832">
        <v>66037</v>
      </c>
      <c r="D3832">
        <v>200820</v>
      </c>
      <c r="E3832">
        <v>370335653</v>
      </c>
      <c r="F3832">
        <v>93797147</v>
      </c>
      <c r="G3832">
        <v>464132800</v>
      </c>
      <c r="H3832">
        <v>105073</v>
      </c>
      <c r="I3832">
        <v>5364</v>
      </c>
      <c r="J3832">
        <v>110437</v>
      </c>
      <c r="K3832" t="b">
        <f>TrafficData[[#This Row],[disposedChallan]]+TrafficData[[#This Row],[pendingChallan]]=TrafficData[[#This Row],[totalChallan]]</f>
        <v>1</v>
      </c>
      <c r="L3832" t="b">
        <f>TrafficData[[#This Row],[pendingAmount]]+TrafficData[[#This Row],[disposedAmount]]=TrafficData[[#This Row],[totalAmount]]</f>
        <v>1</v>
      </c>
      <c r="M3832" t="b">
        <f>TrafficData[[#This Row],[pendingCourt]]+TrafficData[[#This Row],[disposedCourt]]=TrafficData[[#This Row],[totalCourt]]</f>
        <v>1</v>
      </c>
      <c r="N3832" t="b">
        <f>AND(TrafficData[[#This Row],[disposedChallan]]&lt;=TrafficData[[#This Row],[totalChallan]],TrafficData[[#This Row],[pendingChallan]]&lt;=TrafficData[[#This Row],[totalChallan]])</f>
        <v>1</v>
      </c>
      <c r="O3832" t="b">
        <f>AND(TrafficData[[#This Row],[pendingAmount]]&lt;=TrafficData[[#This Row],[totalAmount]],TrafficData[[#This Row],[disposedAmount]]&lt;=TrafficData[[#This Row],[totalAmount]])</f>
        <v>1</v>
      </c>
      <c r="P3832" t="b">
        <f>AND(TrafficData[[#This Row],[pendingCourt]]&lt;=TrafficData[[#This Row],[totalCourt]],TrafficData[[#This Row],[disposedCourt]]&lt;=TrafficData[[#This Row],[totalCourt]])</f>
        <v>1</v>
      </c>
    </row>
    <row r="3833" spans="1:16">
      <c r="A3833" s="1">
        <v>45837</v>
      </c>
      <c r="B3833">
        <v>245247</v>
      </c>
      <c r="C3833">
        <v>59340</v>
      </c>
      <c r="D3833">
        <v>185907</v>
      </c>
      <c r="E3833">
        <v>314657065</v>
      </c>
      <c r="F3833">
        <v>72379600</v>
      </c>
      <c r="G3833">
        <v>387036665</v>
      </c>
      <c r="H3833">
        <v>100583</v>
      </c>
      <c r="I3833">
        <v>5044</v>
      </c>
      <c r="J3833">
        <v>105627</v>
      </c>
      <c r="K3833" t="b">
        <f>TrafficData[[#This Row],[disposedChallan]]+TrafficData[[#This Row],[pendingChallan]]=TrafficData[[#This Row],[totalChallan]]</f>
        <v>1</v>
      </c>
      <c r="L3833" t="b">
        <f>TrafficData[[#This Row],[pendingAmount]]+TrafficData[[#This Row],[disposedAmount]]=TrafficData[[#This Row],[totalAmount]]</f>
        <v>1</v>
      </c>
      <c r="M3833" t="b">
        <f>TrafficData[[#This Row],[pendingCourt]]+TrafficData[[#This Row],[disposedCourt]]=TrafficData[[#This Row],[totalCourt]]</f>
        <v>1</v>
      </c>
      <c r="N3833" t="b">
        <f>AND(TrafficData[[#This Row],[disposedChallan]]&lt;=TrafficData[[#This Row],[totalChallan]],TrafficData[[#This Row],[pendingChallan]]&lt;=TrafficData[[#This Row],[totalChallan]])</f>
        <v>1</v>
      </c>
      <c r="O3833" t="b">
        <f>AND(TrafficData[[#This Row],[pendingAmount]]&lt;=TrafficData[[#This Row],[totalAmount]],TrafficData[[#This Row],[disposedAmount]]&lt;=TrafficData[[#This Row],[totalAmount]])</f>
        <v>1</v>
      </c>
      <c r="P3833" t="b">
        <f>AND(TrafficData[[#This Row],[pendingCourt]]&lt;=TrafficData[[#This Row],[totalCourt]],TrafficData[[#This Row],[disposedCourt]]&lt;=TrafficData[[#This Row],[totalCourt]])</f>
        <v>1</v>
      </c>
    </row>
    <row r="3834" spans="1:16">
      <c r="A3834" s="1">
        <v>45838</v>
      </c>
      <c r="B3834">
        <v>267053</v>
      </c>
      <c r="C3834">
        <v>64302</v>
      </c>
      <c r="D3834">
        <v>202751</v>
      </c>
      <c r="E3834">
        <v>379475656</v>
      </c>
      <c r="F3834">
        <v>86919471</v>
      </c>
      <c r="G3834">
        <v>466395127</v>
      </c>
      <c r="H3834">
        <v>110449</v>
      </c>
      <c r="I3834">
        <v>5448</v>
      </c>
      <c r="J3834">
        <v>115897</v>
      </c>
      <c r="K3834" t="b">
        <f>TrafficData[[#This Row],[disposedChallan]]+TrafficData[[#This Row],[pendingChallan]]=TrafficData[[#This Row],[totalChallan]]</f>
        <v>1</v>
      </c>
      <c r="L3834" t="b">
        <f>TrafficData[[#This Row],[pendingAmount]]+TrafficData[[#This Row],[disposedAmount]]=TrafficData[[#This Row],[totalAmount]]</f>
        <v>1</v>
      </c>
      <c r="M3834" t="b">
        <f>TrafficData[[#This Row],[pendingCourt]]+TrafficData[[#This Row],[disposedCourt]]=TrafficData[[#This Row],[totalCourt]]</f>
        <v>1</v>
      </c>
      <c r="N3834" t="b">
        <f>AND(TrafficData[[#This Row],[disposedChallan]]&lt;=TrafficData[[#This Row],[totalChallan]],TrafficData[[#This Row],[pendingChallan]]&lt;=TrafficData[[#This Row],[totalChallan]])</f>
        <v>1</v>
      </c>
      <c r="O3834" t="b">
        <f>AND(TrafficData[[#This Row],[pendingAmount]]&lt;=TrafficData[[#This Row],[totalAmount]],TrafficData[[#This Row],[disposedAmount]]&lt;=TrafficData[[#This Row],[totalAmount]])</f>
        <v>1</v>
      </c>
      <c r="P3834" t="b">
        <f>AND(TrafficData[[#This Row],[pendingCourt]]&lt;=TrafficData[[#This Row],[totalCourt]],TrafficData[[#This Row],[disposedCourt]]&lt;=TrafficData[[#This Row],[totalCourt]])</f>
        <v>1</v>
      </c>
    </row>
    <row r="3835" spans="1:16">
      <c r="A3835" s="1">
        <v>45839</v>
      </c>
      <c r="B3835">
        <v>276880</v>
      </c>
      <c r="C3835">
        <v>66994</v>
      </c>
      <c r="D3835">
        <v>209886</v>
      </c>
      <c r="E3835">
        <v>377992594</v>
      </c>
      <c r="F3835">
        <v>111644067</v>
      </c>
      <c r="G3835">
        <v>489636661</v>
      </c>
      <c r="H3835">
        <v>126642</v>
      </c>
      <c r="I3835">
        <v>4983</v>
      </c>
      <c r="J3835">
        <v>131625</v>
      </c>
      <c r="K3835" t="b">
        <f>TrafficData[[#This Row],[disposedChallan]]+TrafficData[[#This Row],[pendingChallan]]=TrafficData[[#This Row],[totalChallan]]</f>
        <v>1</v>
      </c>
      <c r="L3835" t="b">
        <f>TrafficData[[#This Row],[pendingAmount]]+TrafficData[[#This Row],[disposedAmount]]=TrafficData[[#This Row],[totalAmount]]</f>
        <v>1</v>
      </c>
      <c r="M3835" t="b">
        <f>TrafficData[[#This Row],[pendingCourt]]+TrafficData[[#This Row],[disposedCourt]]=TrafficData[[#This Row],[totalCourt]]</f>
        <v>1</v>
      </c>
      <c r="N3835" t="b">
        <f>AND(TrafficData[[#This Row],[disposedChallan]]&lt;=TrafficData[[#This Row],[totalChallan]],TrafficData[[#This Row],[pendingChallan]]&lt;=TrafficData[[#This Row],[totalChallan]])</f>
        <v>1</v>
      </c>
      <c r="O3835" t="b">
        <f>AND(TrafficData[[#This Row],[pendingAmount]]&lt;=TrafficData[[#This Row],[totalAmount]],TrafficData[[#This Row],[disposedAmount]]&lt;=TrafficData[[#This Row],[totalAmount]])</f>
        <v>1</v>
      </c>
      <c r="P3835" t="b">
        <f>AND(TrafficData[[#This Row],[pendingCourt]]&lt;=TrafficData[[#This Row],[totalCourt]],TrafficData[[#This Row],[disposedCourt]]&lt;=TrafficData[[#This Row],[totalCourt]])</f>
        <v>1</v>
      </c>
    </row>
    <row r="3836" spans="1:16">
      <c r="A3836" s="1">
        <v>45840</v>
      </c>
      <c r="B3836">
        <v>283059</v>
      </c>
      <c r="C3836">
        <v>68007</v>
      </c>
      <c r="D3836">
        <v>215052</v>
      </c>
      <c r="E3836">
        <v>399286144</v>
      </c>
      <c r="F3836">
        <v>122005207</v>
      </c>
      <c r="G3836">
        <v>521291351</v>
      </c>
      <c r="H3836">
        <v>123188</v>
      </c>
      <c r="I3836">
        <v>5306</v>
      </c>
      <c r="J3836">
        <v>128494</v>
      </c>
      <c r="K3836" t="b">
        <f>TrafficData[[#This Row],[disposedChallan]]+TrafficData[[#This Row],[pendingChallan]]=TrafficData[[#This Row],[totalChallan]]</f>
        <v>1</v>
      </c>
      <c r="L3836" t="b">
        <f>TrafficData[[#This Row],[pendingAmount]]+TrafficData[[#This Row],[disposedAmount]]=TrafficData[[#This Row],[totalAmount]]</f>
        <v>1</v>
      </c>
      <c r="M3836" t="b">
        <f>TrafficData[[#This Row],[pendingCourt]]+TrafficData[[#This Row],[disposedCourt]]=TrafficData[[#This Row],[totalCourt]]</f>
        <v>1</v>
      </c>
      <c r="N3836" t="b">
        <f>AND(TrafficData[[#This Row],[disposedChallan]]&lt;=TrafficData[[#This Row],[totalChallan]],TrafficData[[#This Row],[pendingChallan]]&lt;=TrafficData[[#This Row],[totalChallan]])</f>
        <v>1</v>
      </c>
      <c r="O3836" t="b">
        <f>AND(TrafficData[[#This Row],[pendingAmount]]&lt;=TrafficData[[#This Row],[totalAmount]],TrafficData[[#This Row],[disposedAmount]]&lt;=TrafficData[[#This Row],[totalAmount]])</f>
        <v>1</v>
      </c>
      <c r="P3836" t="b">
        <f>AND(TrafficData[[#This Row],[pendingCourt]]&lt;=TrafficData[[#This Row],[totalCourt]],TrafficData[[#This Row],[disposedCourt]]&lt;=TrafficData[[#This Row],[totalCourt]])</f>
        <v>1</v>
      </c>
    </row>
    <row r="3837" spans="1:16">
      <c r="A3837" s="1">
        <v>45841</v>
      </c>
      <c r="B3837">
        <v>278685</v>
      </c>
      <c r="C3837">
        <v>67126</v>
      </c>
      <c r="D3837">
        <v>211559</v>
      </c>
      <c r="E3837">
        <v>401729426</v>
      </c>
      <c r="F3837">
        <v>124325334</v>
      </c>
      <c r="G3837">
        <v>526054760</v>
      </c>
      <c r="H3837">
        <v>128239</v>
      </c>
      <c r="I3837">
        <v>5358</v>
      </c>
      <c r="J3837">
        <v>133597</v>
      </c>
      <c r="K3837" t="b">
        <f>TrafficData[[#This Row],[disposedChallan]]+TrafficData[[#This Row],[pendingChallan]]=TrafficData[[#This Row],[totalChallan]]</f>
        <v>1</v>
      </c>
      <c r="L3837" t="b">
        <f>TrafficData[[#This Row],[pendingAmount]]+TrafficData[[#This Row],[disposedAmount]]=TrafficData[[#This Row],[totalAmount]]</f>
        <v>1</v>
      </c>
      <c r="M3837" t="b">
        <f>TrafficData[[#This Row],[pendingCourt]]+TrafficData[[#This Row],[disposedCourt]]=TrafficData[[#This Row],[totalCourt]]</f>
        <v>1</v>
      </c>
      <c r="N3837" t="b">
        <f>AND(TrafficData[[#This Row],[disposedChallan]]&lt;=TrafficData[[#This Row],[totalChallan]],TrafficData[[#This Row],[pendingChallan]]&lt;=TrafficData[[#This Row],[totalChallan]])</f>
        <v>1</v>
      </c>
      <c r="O3837" t="b">
        <f>AND(TrafficData[[#This Row],[pendingAmount]]&lt;=TrafficData[[#This Row],[totalAmount]],TrafficData[[#This Row],[disposedAmount]]&lt;=TrafficData[[#This Row],[totalAmount]])</f>
        <v>1</v>
      </c>
      <c r="P3837" t="b">
        <f>AND(TrafficData[[#This Row],[pendingCourt]]&lt;=TrafficData[[#This Row],[totalCourt]],TrafficData[[#This Row],[disposedCourt]]&lt;=TrafficData[[#This Row],[totalCourt]])</f>
        <v>1</v>
      </c>
    </row>
    <row r="3838" spans="1:16">
      <c r="A3838" s="1">
        <v>45842</v>
      </c>
      <c r="B3838">
        <v>273345</v>
      </c>
      <c r="C3838">
        <v>65419</v>
      </c>
      <c r="D3838">
        <v>207926</v>
      </c>
      <c r="E3838">
        <v>402105751</v>
      </c>
      <c r="F3838">
        <v>118350999</v>
      </c>
      <c r="G3838">
        <v>520456750</v>
      </c>
      <c r="H3838">
        <v>123513</v>
      </c>
      <c r="I3838">
        <v>5387</v>
      </c>
      <c r="J3838">
        <v>128900</v>
      </c>
      <c r="K3838" t="b">
        <f>TrafficData[[#This Row],[disposedChallan]]+TrafficData[[#This Row],[pendingChallan]]=TrafficData[[#This Row],[totalChallan]]</f>
        <v>1</v>
      </c>
      <c r="L3838" t="b">
        <f>TrafficData[[#This Row],[pendingAmount]]+TrafficData[[#This Row],[disposedAmount]]=TrafficData[[#This Row],[totalAmount]]</f>
        <v>1</v>
      </c>
      <c r="M3838" t="b">
        <f>TrafficData[[#This Row],[pendingCourt]]+TrafficData[[#This Row],[disposedCourt]]=TrafficData[[#This Row],[totalCourt]]</f>
        <v>1</v>
      </c>
      <c r="N3838" t="b">
        <f>AND(TrafficData[[#This Row],[disposedChallan]]&lt;=TrafficData[[#This Row],[totalChallan]],TrafficData[[#This Row],[pendingChallan]]&lt;=TrafficData[[#This Row],[totalChallan]])</f>
        <v>1</v>
      </c>
      <c r="O3838" t="b">
        <f>AND(TrafficData[[#This Row],[pendingAmount]]&lt;=TrafficData[[#This Row],[totalAmount]],TrafficData[[#This Row],[disposedAmount]]&lt;=TrafficData[[#This Row],[totalAmount]])</f>
        <v>1</v>
      </c>
      <c r="P3838" t="b">
        <f>AND(TrafficData[[#This Row],[pendingCourt]]&lt;=TrafficData[[#This Row],[totalCourt]],TrafficData[[#This Row],[disposedCourt]]&lt;=TrafficData[[#This Row],[totalCourt]])</f>
        <v>1</v>
      </c>
    </row>
    <row r="3839" spans="1:16">
      <c r="A3839" s="1">
        <v>45843</v>
      </c>
      <c r="B3839">
        <v>256474</v>
      </c>
      <c r="C3839">
        <v>60093</v>
      </c>
      <c r="D3839">
        <v>196381</v>
      </c>
      <c r="E3839">
        <v>380684891</v>
      </c>
      <c r="F3839">
        <v>100326588</v>
      </c>
      <c r="G3839">
        <v>481011479</v>
      </c>
      <c r="H3839">
        <v>118908</v>
      </c>
      <c r="I3839">
        <v>5430</v>
      </c>
      <c r="J3839">
        <v>124338</v>
      </c>
      <c r="K3839" t="b">
        <f>TrafficData[[#This Row],[disposedChallan]]+TrafficData[[#This Row],[pendingChallan]]=TrafficData[[#This Row],[totalChallan]]</f>
        <v>1</v>
      </c>
      <c r="L3839" t="b">
        <f>TrafficData[[#This Row],[pendingAmount]]+TrafficData[[#This Row],[disposedAmount]]=TrafficData[[#This Row],[totalAmount]]</f>
        <v>1</v>
      </c>
      <c r="M3839" t="b">
        <f>TrafficData[[#This Row],[pendingCourt]]+TrafficData[[#This Row],[disposedCourt]]=TrafficData[[#This Row],[totalCourt]]</f>
        <v>1</v>
      </c>
      <c r="N3839" t="b">
        <f>AND(TrafficData[[#This Row],[disposedChallan]]&lt;=TrafficData[[#This Row],[totalChallan]],TrafficData[[#This Row],[pendingChallan]]&lt;=TrafficData[[#This Row],[totalChallan]])</f>
        <v>1</v>
      </c>
      <c r="O3839" t="b">
        <f>AND(TrafficData[[#This Row],[pendingAmount]]&lt;=TrafficData[[#This Row],[totalAmount]],TrafficData[[#This Row],[disposedAmount]]&lt;=TrafficData[[#This Row],[totalAmount]])</f>
        <v>1</v>
      </c>
      <c r="P3839" t="b">
        <f>AND(TrafficData[[#This Row],[pendingCourt]]&lt;=TrafficData[[#This Row],[totalCourt]],TrafficData[[#This Row],[disposedCourt]]&lt;=TrafficData[[#This Row],[totalCourt]])</f>
        <v>1</v>
      </c>
    </row>
    <row r="3840" spans="1:16">
      <c r="A3840" s="1">
        <v>45844</v>
      </c>
      <c r="B3840">
        <v>217945</v>
      </c>
      <c r="C3840">
        <v>48880</v>
      </c>
      <c r="D3840">
        <v>169065</v>
      </c>
      <c r="E3840">
        <v>301069364</v>
      </c>
      <c r="F3840">
        <v>68244341</v>
      </c>
      <c r="G3840">
        <v>369313705</v>
      </c>
      <c r="H3840">
        <v>105333</v>
      </c>
      <c r="I3840">
        <v>4605</v>
      </c>
      <c r="J3840">
        <v>109938</v>
      </c>
      <c r="K3840" t="b">
        <f>TrafficData[[#This Row],[disposedChallan]]+TrafficData[[#This Row],[pendingChallan]]=TrafficData[[#This Row],[totalChallan]]</f>
        <v>1</v>
      </c>
      <c r="L3840" t="b">
        <f>TrafficData[[#This Row],[pendingAmount]]+TrafficData[[#This Row],[disposedAmount]]=TrafficData[[#This Row],[totalAmount]]</f>
        <v>1</v>
      </c>
      <c r="M3840" t="b">
        <f>TrafficData[[#This Row],[pendingCourt]]+TrafficData[[#This Row],[disposedCourt]]=TrafficData[[#This Row],[totalCourt]]</f>
        <v>1</v>
      </c>
      <c r="N3840" t="b">
        <f>AND(TrafficData[[#This Row],[disposedChallan]]&lt;=TrafficData[[#This Row],[totalChallan]],TrafficData[[#This Row],[pendingChallan]]&lt;=TrafficData[[#This Row],[totalChallan]])</f>
        <v>1</v>
      </c>
      <c r="O3840" t="b">
        <f>AND(TrafficData[[#This Row],[pendingAmount]]&lt;=TrafficData[[#This Row],[totalAmount]],TrafficData[[#This Row],[disposedAmount]]&lt;=TrafficData[[#This Row],[totalAmount]])</f>
        <v>1</v>
      </c>
      <c r="P3840" t="b">
        <f>AND(TrafficData[[#This Row],[pendingCourt]]&lt;=TrafficData[[#This Row],[totalCourt]],TrafficData[[#This Row],[disposedCourt]]&lt;=TrafficData[[#This Row],[totalCourt]])</f>
        <v>1</v>
      </c>
    </row>
    <row r="3841" spans="1:16">
      <c r="A3841" s="1">
        <v>45845</v>
      </c>
      <c r="B3841">
        <v>264894</v>
      </c>
      <c r="C3841">
        <v>60115</v>
      </c>
      <c r="D3841">
        <v>204779</v>
      </c>
      <c r="E3841">
        <v>380635202</v>
      </c>
      <c r="F3841">
        <v>101330914</v>
      </c>
      <c r="G3841">
        <v>481966116</v>
      </c>
      <c r="H3841">
        <v>126814</v>
      </c>
      <c r="I3841">
        <v>5109</v>
      </c>
      <c r="J3841">
        <v>131923</v>
      </c>
      <c r="K3841" t="b">
        <f>TrafficData[[#This Row],[disposedChallan]]+TrafficData[[#This Row],[pendingChallan]]=TrafficData[[#This Row],[totalChallan]]</f>
        <v>1</v>
      </c>
      <c r="L3841" t="b">
        <f>TrafficData[[#This Row],[pendingAmount]]+TrafficData[[#This Row],[disposedAmount]]=TrafficData[[#This Row],[totalAmount]]</f>
        <v>1</v>
      </c>
      <c r="M3841" t="b">
        <f>TrafficData[[#This Row],[pendingCourt]]+TrafficData[[#This Row],[disposedCourt]]=TrafficData[[#This Row],[totalCourt]]</f>
        <v>1</v>
      </c>
      <c r="N3841" t="b">
        <f>AND(TrafficData[[#This Row],[disposedChallan]]&lt;=TrafficData[[#This Row],[totalChallan]],TrafficData[[#This Row],[pendingChallan]]&lt;=TrafficData[[#This Row],[totalChallan]])</f>
        <v>1</v>
      </c>
      <c r="O3841" t="b">
        <f>AND(TrafficData[[#This Row],[pendingAmount]]&lt;=TrafficData[[#This Row],[totalAmount]],TrafficData[[#This Row],[disposedAmount]]&lt;=TrafficData[[#This Row],[totalAmount]])</f>
        <v>1</v>
      </c>
      <c r="P3841" t="b">
        <f>AND(TrafficData[[#This Row],[pendingCourt]]&lt;=TrafficData[[#This Row],[totalCourt]],TrafficData[[#This Row],[disposedCourt]]&lt;=TrafficData[[#This Row],[totalCourt]])</f>
        <v>1</v>
      </c>
    </row>
    <row r="3842" spans="1:16">
      <c r="A3842" s="1">
        <v>45846</v>
      </c>
      <c r="B3842">
        <v>258801</v>
      </c>
      <c r="C3842">
        <v>58925</v>
      </c>
      <c r="D3842">
        <v>199876</v>
      </c>
      <c r="E3842">
        <v>384690810</v>
      </c>
      <c r="F3842">
        <v>112221863</v>
      </c>
      <c r="G3842">
        <v>496912673</v>
      </c>
      <c r="H3842">
        <v>129699</v>
      </c>
      <c r="I3842">
        <v>5112</v>
      </c>
      <c r="J3842">
        <v>134811</v>
      </c>
      <c r="K3842" t="b">
        <f>TrafficData[[#This Row],[disposedChallan]]+TrafficData[[#This Row],[pendingChallan]]=TrafficData[[#This Row],[totalChallan]]</f>
        <v>1</v>
      </c>
      <c r="L3842" t="b">
        <f>TrafficData[[#This Row],[pendingAmount]]+TrafficData[[#This Row],[disposedAmount]]=TrafficData[[#This Row],[totalAmount]]</f>
        <v>1</v>
      </c>
      <c r="M3842" t="b">
        <f>TrafficData[[#This Row],[pendingCourt]]+TrafficData[[#This Row],[disposedCourt]]=TrafficData[[#This Row],[totalCourt]]</f>
        <v>1</v>
      </c>
      <c r="N3842" t="b">
        <f>AND(TrafficData[[#This Row],[disposedChallan]]&lt;=TrafficData[[#This Row],[totalChallan]],TrafficData[[#This Row],[pendingChallan]]&lt;=TrafficData[[#This Row],[totalChallan]])</f>
        <v>1</v>
      </c>
      <c r="O3842" t="b">
        <f>AND(TrafficData[[#This Row],[pendingAmount]]&lt;=TrafficData[[#This Row],[totalAmount]],TrafficData[[#This Row],[disposedAmount]]&lt;=TrafficData[[#This Row],[totalAmount]])</f>
        <v>1</v>
      </c>
      <c r="P3842" t="b">
        <f>AND(TrafficData[[#This Row],[pendingCourt]]&lt;=TrafficData[[#This Row],[totalCourt]],TrafficData[[#This Row],[disposedCourt]]&lt;=TrafficData[[#This Row],[totalCourt]])</f>
        <v>1</v>
      </c>
    </row>
    <row r="3843" spans="1:16">
      <c r="A3843" s="1">
        <v>45847</v>
      </c>
      <c r="B3843">
        <v>253088</v>
      </c>
      <c r="C3843">
        <v>55491</v>
      </c>
      <c r="D3843">
        <v>197597</v>
      </c>
      <c r="E3843">
        <v>372781036</v>
      </c>
      <c r="F3843">
        <v>99581411</v>
      </c>
      <c r="G3843">
        <v>472362447</v>
      </c>
      <c r="H3843">
        <v>115030</v>
      </c>
      <c r="I3843">
        <v>5262</v>
      </c>
      <c r="J3843">
        <v>120292</v>
      </c>
      <c r="K3843" t="b">
        <f>TrafficData[[#This Row],[disposedChallan]]+TrafficData[[#This Row],[pendingChallan]]=TrafficData[[#This Row],[totalChallan]]</f>
        <v>1</v>
      </c>
      <c r="L3843" t="b">
        <f>TrafficData[[#This Row],[pendingAmount]]+TrafficData[[#This Row],[disposedAmount]]=TrafficData[[#This Row],[totalAmount]]</f>
        <v>1</v>
      </c>
      <c r="M3843" t="b">
        <f>TrafficData[[#This Row],[pendingCourt]]+TrafficData[[#This Row],[disposedCourt]]=TrafficData[[#This Row],[totalCourt]]</f>
        <v>1</v>
      </c>
      <c r="N3843" t="b">
        <f>AND(TrafficData[[#This Row],[disposedChallan]]&lt;=TrafficData[[#This Row],[totalChallan]],TrafficData[[#This Row],[pendingChallan]]&lt;=TrafficData[[#This Row],[totalChallan]])</f>
        <v>1</v>
      </c>
      <c r="O3843" t="b">
        <f>AND(TrafficData[[#This Row],[pendingAmount]]&lt;=TrafficData[[#This Row],[totalAmount]],TrafficData[[#This Row],[disposedAmount]]&lt;=TrafficData[[#This Row],[totalAmount]])</f>
        <v>1</v>
      </c>
      <c r="P3843" t="b">
        <f>AND(TrafficData[[#This Row],[pendingCourt]]&lt;=TrafficData[[#This Row],[totalCourt]],TrafficData[[#This Row],[disposedCourt]]&lt;=TrafficData[[#This Row],[totalCourt]])</f>
        <v>1</v>
      </c>
    </row>
    <row r="3844" spans="1:16">
      <c r="A3844" s="1">
        <v>45848</v>
      </c>
      <c r="B3844">
        <v>260961</v>
      </c>
      <c r="C3844">
        <v>61752</v>
      </c>
      <c r="D3844">
        <v>199209</v>
      </c>
      <c r="E3844">
        <v>386124070</v>
      </c>
      <c r="F3844">
        <v>112232616</v>
      </c>
      <c r="G3844">
        <v>498356686</v>
      </c>
      <c r="H3844">
        <v>121716</v>
      </c>
      <c r="I3844">
        <v>5124</v>
      </c>
      <c r="J3844">
        <v>126840</v>
      </c>
      <c r="K3844" t="b">
        <f>TrafficData[[#This Row],[disposedChallan]]+TrafficData[[#This Row],[pendingChallan]]=TrafficData[[#This Row],[totalChallan]]</f>
        <v>1</v>
      </c>
      <c r="L3844" t="b">
        <f>TrafficData[[#This Row],[pendingAmount]]+TrafficData[[#This Row],[disposedAmount]]=TrafficData[[#This Row],[totalAmount]]</f>
        <v>1</v>
      </c>
      <c r="M3844" t="b">
        <f>TrafficData[[#This Row],[pendingCourt]]+TrafficData[[#This Row],[disposedCourt]]=TrafficData[[#This Row],[totalCourt]]</f>
        <v>1</v>
      </c>
      <c r="N3844" t="b">
        <f>AND(TrafficData[[#This Row],[disposedChallan]]&lt;=TrafficData[[#This Row],[totalChallan]],TrafficData[[#This Row],[pendingChallan]]&lt;=TrafficData[[#This Row],[totalChallan]])</f>
        <v>1</v>
      </c>
      <c r="O3844" t="b">
        <f>AND(TrafficData[[#This Row],[pendingAmount]]&lt;=TrafficData[[#This Row],[totalAmount]],TrafficData[[#This Row],[disposedAmount]]&lt;=TrafficData[[#This Row],[totalAmount]])</f>
        <v>1</v>
      </c>
      <c r="P3844" t="b">
        <f>AND(TrafficData[[#This Row],[pendingCourt]]&lt;=TrafficData[[#This Row],[totalCourt]],TrafficData[[#This Row],[disposedCourt]]&lt;=TrafficData[[#This Row],[totalCourt]])</f>
        <v>1</v>
      </c>
    </row>
    <row r="3845" spans="1:16">
      <c r="A3845" s="1">
        <v>45849</v>
      </c>
      <c r="B3845">
        <v>278494</v>
      </c>
      <c r="C3845">
        <v>65212</v>
      </c>
      <c r="D3845">
        <v>213282</v>
      </c>
      <c r="E3845">
        <v>420572374</v>
      </c>
      <c r="F3845">
        <v>111821207</v>
      </c>
      <c r="G3845">
        <v>532393581</v>
      </c>
      <c r="H3845">
        <v>130571</v>
      </c>
      <c r="I3845">
        <v>5626</v>
      </c>
      <c r="J3845">
        <v>136197</v>
      </c>
      <c r="K3845" t="b">
        <f>TrafficData[[#This Row],[disposedChallan]]+TrafficData[[#This Row],[pendingChallan]]=TrafficData[[#This Row],[totalChallan]]</f>
        <v>1</v>
      </c>
      <c r="L3845" t="b">
        <f>TrafficData[[#This Row],[pendingAmount]]+TrafficData[[#This Row],[disposedAmount]]=TrafficData[[#This Row],[totalAmount]]</f>
        <v>1</v>
      </c>
      <c r="M3845" t="b">
        <f>TrafficData[[#This Row],[pendingCourt]]+TrafficData[[#This Row],[disposedCourt]]=TrafficData[[#This Row],[totalCourt]]</f>
        <v>1</v>
      </c>
      <c r="N3845" t="b">
        <f>AND(TrafficData[[#This Row],[disposedChallan]]&lt;=TrafficData[[#This Row],[totalChallan]],TrafficData[[#This Row],[pendingChallan]]&lt;=TrafficData[[#This Row],[totalChallan]])</f>
        <v>1</v>
      </c>
      <c r="O3845" t="b">
        <f>AND(TrafficData[[#This Row],[pendingAmount]]&lt;=TrafficData[[#This Row],[totalAmount]],TrafficData[[#This Row],[disposedAmount]]&lt;=TrafficData[[#This Row],[totalAmount]])</f>
        <v>1</v>
      </c>
      <c r="P3845" t="b">
        <f>AND(TrafficData[[#This Row],[pendingCourt]]&lt;=TrafficData[[#This Row],[totalCourt]],TrafficData[[#This Row],[disposedCourt]]&lt;=TrafficData[[#This Row],[totalCourt]])</f>
        <v>1</v>
      </c>
    </row>
    <row r="3846" spans="1:16">
      <c r="A3846" s="1">
        <v>45850</v>
      </c>
      <c r="B3846">
        <v>265995</v>
      </c>
      <c r="C3846">
        <v>61941</v>
      </c>
      <c r="D3846">
        <v>204054</v>
      </c>
      <c r="E3846">
        <v>385694244</v>
      </c>
      <c r="F3846">
        <v>87202182</v>
      </c>
      <c r="G3846">
        <v>472896426</v>
      </c>
      <c r="H3846">
        <v>109703</v>
      </c>
      <c r="I3846">
        <v>5367</v>
      </c>
      <c r="J3846">
        <v>115070</v>
      </c>
      <c r="K3846" t="b">
        <f>TrafficData[[#This Row],[disposedChallan]]+TrafficData[[#This Row],[pendingChallan]]=TrafficData[[#This Row],[totalChallan]]</f>
        <v>1</v>
      </c>
      <c r="L3846" t="b">
        <f>TrafficData[[#This Row],[pendingAmount]]+TrafficData[[#This Row],[disposedAmount]]=TrafficData[[#This Row],[totalAmount]]</f>
        <v>1</v>
      </c>
      <c r="M3846" t="b">
        <f>TrafficData[[#This Row],[pendingCourt]]+TrafficData[[#This Row],[disposedCourt]]=TrafficData[[#This Row],[totalCourt]]</f>
        <v>1</v>
      </c>
      <c r="N3846" t="b">
        <f>AND(TrafficData[[#This Row],[disposedChallan]]&lt;=TrafficData[[#This Row],[totalChallan]],TrafficData[[#This Row],[pendingChallan]]&lt;=TrafficData[[#This Row],[totalChallan]])</f>
        <v>1</v>
      </c>
      <c r="O3846" t="b">
        <f>AND(TrafficData[[#This Row],[pendingAmount]]&lt;=TrafficData[[#This Row],[totalAmount]],TrafficData[[#This Row],[disposedAmount]]&lt;=TrafficData[[#This Row],[totalAmount]])</f>
        <v>1</v>
      </c>
      <c r="P3846" t="b">
        <f>AND(TrafficData[[#This Row],[pendingCourt]]&lt;=TrafficData[[#This Row],[totalCourt]],TrafficData[[#This Row],[disposedCourt]]&lt;=TrafficData[[#This Row],[totalCourt]])</f>
        <v>1</v>
      </c>
    </row>
    <row r="3847" spans="1:16">
      <c r="A3847" s="1">
        <v>45851</v>
      </c>
      <c r="B3847">
        <v>247879</v>
      </c>
      <c r="C3847">
        <v>58798</v>
      </c>
      <c r="D3847">
        <v>189081</v>
      </c>
      <c r="E3847">
        <v>337090121</v>
      </c>
      <c r="F3847">
        <v>72733835</v>
      </c>
      <c r="G3847">
        <v>409823956</v>
      </c>
      <c r="H3847">
        <v>103661</v>
      </c>
      <c r="I3847">
        <v>4746</v>
      </c>
      <c r="J3847">
        <v>108407</v>
      </c>
      <c r="K3847" t="b">
        <f>TrafficData[[#This Row],[disposedChallan]]+TrafficData[[#This Row],[pendingChallan]]=TrafficData[[#This Row],[totalChallan]]</f>
        <v>1</v>
      </c>
      <c r="L3847" t="b">
        <f>TrafficData[[#This Row],[pendingAmount]]+TrafficData[[#This Row],[disposedAmount]]=TrafficData[[#This Row],[totalAmount]]</f>
        <v>1</v>
      </c>
      <c r="M3847" t="b">
        <f>TrafficData[[#This Row],[pendingCourt]]+TrafficData[[#This Row],[disposedCourt]]=TrafficData[[#This Row],[totalCourt]]</f>
        <v>1</v>
      </c>
      <c r="N3847" t="b">
        <f>AND(TrafficData[[#This Row],[disposedChallan]]&lt;=TrafficData[[#This Row],[totalChallan]],TrafficData[[#This Row],[pendingChallan]]&lt;=TrafficData[[#This Row],[totalChallan]])</f>
        <v>1</v>
      </c>
      <c r="O3847" t="b">
        <f>AND(TrafficData[[#This Row],[pendingAmount]]&lt;=TrafficData[[#This Row],[totalAmount]],TrafficData[[#This Row],[disposedAmount]]&lt;=TrafficData[[#This Row],[totalAmount]])</f>
        <v>1</v>
      </c>
      <c r="P3847" t="b">
        <f>AND(TrafficData[[#This Row],[pendingCourt]]&lt;=TrafficData[[#This Row],[totalCourt]],TrafficData[[#This Row],[disposedCourt]]&lt;=TrafficData[[#This Row],[totalCourt]])</f>
        <v>1</v>
      </c>
    </row>
    <row r="3848" spans="1:16">
      <c r="A3848" s="1">
        <v>45852</v>
      </c>
      <c r="B3848">
        <v>258669</v>
      </c>
      <c r="C3848">
        <v>59373</v>
      </c>
      <c r="D3848">
        <v>199296</v>
      </c>
      <c r="E3848">
        <v>382291068</v>
      </c>
      <c r="F3848">
        <v>94228668</v>
      </c>
      <c r="G3848">
        <v>476519736</v>
      </c>
      <c r="H3848">
        <v>109241</v>
      </c>
      <c r="I3848">
        <v>4941</v>
      </c>
      <c r="J3848">
        <v>114182</v>
      </c>
      <c r="K3848" t="b">
        <f>TrafficData[[#This Row],[disposedChallan]]+TrafficData[[#This Row],[pendingChallan]]=TrafficData[[#This Row],[totalChallan]]</f>
        <v>1</v>
      </c>
      <c r="L3848" t="b">
        <f>TrafficData[[#This Row],[pendingAmount]]+TrafficData[[#This Row],[disposedAmount]]=TrafficData[[#This Row],[totalAmount]]</f>
        <v>1</v>
      </c>
      <c r="M3848" t="b">
        <f>TrafficData[[#This Row],[pendingCourt]]+TrafficData[[#This Row],[disposedCourt]]=TrafficData[[#This Row],[totalCourt]]</f>
        <v>1</v>
      </c>
      <c r="N3848" t="b">
        <f>AND(TrafficData[[#This Row],[disposedChallan]]&lt;=TrafficData[[#This Row],[totalChallan]],TrafficData[[#This Row],[pendingChallan]]&lt;=TrafficData[[#This Row],[totalChallan]])</f>
        <v>1</v>
      </c>
      <c r="O3848" t="b">
        <f>AND(TrafficData[[#This Row],[pendingAmount]]&lt;=TrafficData[[#This Row],[totalAmount]],TrafficData[[#This Row],[disposedAmount]]&lt;=TrafficData[[#This Row],[totalAmount]])</f>
        <v>1</v>
      </c>
      <c r="P3848" t="b">
        <f>AND(TrafficData[[#This Row],[pendingCourt]]&lt;=TrafficData[[#This Row],[totalCourt]],TrafficData[[#This Row],[disposedCourt]]&lt;=TrafficData[[#This Row],[totalCourt]])</f>
        <v>1</v>
      </c>
    </row>
    <row r="3849" spans="1:16">
      <c r="A3849" s="1">
        <v>45853</v>
      </c>
      <c r="B3849">
        <v>276598</v>
      </c>
      <c r="C3849">
        <v>64360</v>
      </c>
      <c r="D3849">
        <v>212238</v>
      </c>
      <c r="E3849">
        <v>419064644</v>
      </c>
      <c r="F3849">
        <v>110472240</v>
      </c>
      <c r="G3849">
        <v>529536884</v>
      </c>
      <c r="H3849">
        <v>118294</v>
      </c>
      <c r="I3849">
        <v>5498</v>
      </c>
      <c r="J3849">
        <v>123792</v>
      </c>
      <c r="K3849" t="b">
        <f>TrafficData[[#This Row],[disposedChallan]]+TrafficData[[#This Row],[pendingChallan]]=TrafficData[[#This Row],[totalChallan]]</f>
        <v>1</v>
      </c>
      <c r="L3849" t="b">
        <f>TrafficData[[#This Row],[pendingAmount]]+TrafficData[[#This Row],[disposedAmount]]=TrafficData[[#This Row],[totalAmount]]</f>
        <v>1</v>
      </c>
      <c r="M3849" t="b">
        <f>TrafficData[[#This Row],[pendingCourt]]+TrafficData[[#This Row],[disposedCourt]]=TrafficData[[#This Row],[totalCourt]]</f>
        <v>1</v>
      </c>
      <c r="N3849" t="b">
        <f>AND(TrafficData[[#This Row],[disposedChallan]]&lt;=TrafficData[[#This Row],[totalChallan]],TrafficData[[#This Row],[pendingChallan]]&lt;=TrafficData[[#This Row],[totalChallan]])</f>
        <v>1</v>
      </c>
      <c r="O3849" t="b">
        <f>AND(TrafficData[[#This Row],[pendingAmount]]&lt;=TrafficData[[#This Row],[totalAmount]],TrafficData[[#This Row],[disposedAmount]]&lt;=TrafficData[[#This Row],[totalAmount]])</f>
        <v>1</v>
      </c>
      <c r="P3849" t="b">
        <f>AND(TrafficData[[#This Row],[pendingCourt]]&lt;=TrafficData[[#This Row],[totalCourt]],TrafficData[[#This Row],[disposedCourt]]&lt;=TrafficData[[#This Row],[totalCourt]])</f>
        <v>1</v>
      </c>
    </row>
    <row r="3850" spans="1:16">
      <c r="A3850" s="1">
        <v>45854</v>
      </c>
      <c r="B3850">
        <v>270265</v>
      </c>
      <c r="C3850">
        <v>61807</v>
      </c>
      <c r="D3850">
        <v>208458</v>
      </c>
      <c r="E3850">
        <v>408800405</v>
      </c>
      <c r="F3850">
        <v>111713118</v>
      </c>
      <c r="G3850">
        <v>520513523</v>
      </c>
      <c r="H3850">
        <v>116960</v>
      </c>
      <c r="I3850">
        <v>5593</v>
      </c>
      <c r="J3850">
        <v>122553</v>
      </c>
      <c r="K3850" t="b">
        <f>TrafficData[[#This Row],[disposedChallan]]+TrafficData[[#This Row],[pendingChallan]]=TrafficData[[#This Row],[totalChallan]]</f>
        <v>1</v>
      </c>
      <c r="L3850" t="b">
        <f>TrafficData[[#This Row],[pendingAmount]]+TrafficData[[#This Row],[disposedAmount]]=TrafficData[[#This Row],[totalAmount]]</f>
        <v>1</v>
      </c>
      <c r="M3850" t="b">
        <f>TrafficData[[#This Row],[pendingCourt]]+TrafficData[[#This Row],[disposedCourt]]=TrafficData[[#This Row],[totalCourt]]</f>
        <v>1</v>
      </c>
      <c r="N3850" t="b">
        <f>AND(TrafficData[[#This Row],[disposedChallan]]&lt;=TrafficData[[#This Row],[totalChallan]],TrafficData[[#This Row],[pendingChallan]]&lt;=TrafficData[[#This Row],[totalChallan]])</f>
        <v>1</v>
      </c>
      <c r="O3850" t="b">
        <f>AND(TrafficData[[#This Row],[pendingAmount]]&lt;=TrafficData[[#This Row],[totalAmount]],TrafficData[[#This Row],[disposedAmount]]&lt;=TrafficData[[#This Row],[totalAmount]])</f>
        <v>1</v>
      </c>
      <c r="P3850" t="b">
        <f>AND(TrafficData[[#This Row],[pendingCourt]]&lt;=TrafficData[[#This Row],[totalCourt]],TrafficData[[#This Row],[disposedCourt]]&lt;=TrafficData[[#This Row],[totalCourt]])</f>
        <v>1</v>
      </c>
    </row>
    <row r="3851" spans="1:16">
      <c r="A3851" s="1">
        <v>45855</v>
      </c>
      <c r="B3851">
        <v>260253</v>
      </c>
      <c r="C3851">
        <v>61159</v>
      </c>
      <c r="D3851">
        <v>199094</v>
      </c>
      <c r="E3851">
        <v>384846312</v>
      </c>
      <c r="F3851">
        <v>105035390</v>
      </c>
      <c r="G3851">
        <v>489881702</v>
      </c>
      <c r="H3851">
        <v>113353</v>
      </c>
      <c r="I3851">
        <v>5367</v>
      </c>
      <c r="J3851">
        <v>118720</v>
      </c>
      <c r="K3851" t="b">
        <f>TrafficData[[#This Row],[disposedChallan]]+TrafficData[[#This Row],[pendingChallan]]=TrafficData[[#This Row],[totalChallan]]</f>
        <v>1</v>
      </c>
      <c r="L3851" t="b">
        <f>TrafficData[[#This Row],[pendingAmount]]+TrafficData[[#This Row],[disposedAmount]]=TrafficData[[#This Row],[totalAmount]]</f>
        <v>1</v>
      </c>
      <c r="M3851" t="b">
        <f>TrafficData[[#This Row],[pendingCourt]]+TrafficData[[#This Row],[disposedCourt]]=TrafficData[[#This Row],[totalCourt]]</f>
        <v>1</v>
      </c>
      <c r="N3851" t="b">
        <f>AND(TrafficData[[#This Row],[disposedChallan]]&lt;=TrafficData[[#This Row],[totalChallan]],TrafficData[[#This Row],[pendingChallan]]&lt;=TrafficData[[#This Row],[totalChallan]])</f>
        <v>1</v>
      </c>
      <c r="O3851" t="b">
        <f>AND(TrafficData[[#This Row],[pendingAmount]]&lt;=TrafficData[[#This Row],[totalAmount]],TrafficData[[#This Row],[disposedAmount]]&lt;=TrafficData[[#This Row],[totalAmount]])</f>
        <v>1</v>
      </c>
      <c r="P3851" t="b">
        <f>AND(TrafficData[[#This Row],[pendingCourt]]&lt;=TrafficData[[#This Row],[totalCourt]],TrafficData[[#This Row],[disposedCourt]]&lt;=TrafficData[[#This Row],[totalCourt]])</f>
        <v>1</v>
      </c>
    </row>
    <row r="3852" spans="1:16">
      <c r="A3852" s="1">
        <v>45856</v>
      </c>
      <c r="B3852">
        <v>270249</v>
      </c>
      <c r="C3852">
        <v>63196</v>
      </c>
      <c r="D3852">
        <v>207053</v>
      </c>
      <c r="E3852">
        <v>384168892</v>
      </c>
      <c r="F3852">
        <v>102037478</v>
      </c>
      <c r="G3852">
        <v>486206370</v>
      </c>
      <c r="H3852">
        <v>116960</v>
      </c>
      <c r="I3852">
        <v>5053</v>
      </c>
      <c r="J3852">
        <v>122013</v>
      </c>
      <c r="K3852" t="b">
        <f>TrafficData[[#This Row],[disposedChallan]]+TrafficData[[#This Row],[pendingChallan]]=TrafficData[[#This Row],[totalChallan]]</f>
        <v>1</v>
      </c>
      <c r="L3852" t="b">
        <f>TrafficData[[#This Row],[pendingAmount]]+TrafficData[[#This Row],[disposedAmount]]=TrafficData[[#This Row],[totalAmount]]</f>
        <v>1</v>
      </c>
      <c r="M3852" t="b">
        <f>TrafficData[[#This Row],[pendingCourt]]+TrafficData[[#This Row],[disposedCourt]]=TrafficData[[#This Row],[totalCourt]]</f>
        <v>1</v>
      </c>
      <c r="N3852" t="b">
        <f>AND(TrafficData[[#This Row],[disposedChallan]]&lt;=TrafficData[[#This Row],[totalChallan]],TrafficData[[#This Row],[pendingChallan]]&lt;=TrafficData[[#This Row],[totalChallan]])</f>
        <v>1</v>
      </c>
      <c r="O3852" t="b">
        <f>AND(TrafficData[[#This Row],[pendingAmount]]&lt;=TrafficData[[#This Row],[totalAmount]],TrafficData[[#This Row],[disposedAmount]]&lt;=TrafficData[[#This Row],[totalAmount]])</f>
        <v>1</v>
      </c>
      <c r="P3852" t="b">
        <f>AND(TrafficData[[#This Row],[pendingCourt]]&lt;=TrafficData[[#This Row],[totalCourt]],TrafficData[[#This Row],[disposedCourt]]&lt;=TrafficData[[#This Row],[totalCourt]])</f>
        <v>1</v>
      </c>
    </row>
    <row r="3853" spans="1:16">
      <c r="A3853" s="1">
        <v>45857</v>
      </c>
      <c r="B3853">
        <v>261351</v>
      </c>
      <c r="C3853">
        <v>62835</v>
      </c>
      <c r="D3853">
        <v>198516</v>
      </c>
      <c r="E3853">
        <v>371770430</v>
      </c>
      <c r="F3853">
        <v>92732925</v>
      </c>
      <c r="G3853">
        <v>464503355</v>
      </c>
      <c r="H3853">
        <v>103595</v>
      </c>
      <c r="I3853">
        <v>5012</v>
      </c>
      <c r="J3853">
        <v>108607</v>
      </c>
      <c r="K3853" t="b">
        <f>TrafficData[[#This Row],[disposedChallan]]+TrafficData[[#This Row],[pendingChallan]]=TrafficData[[#This Row],[totalChallan]]</f>
        <v>1</v>
      </c>
      <c r="L3853" t="b">
        <f>TrafficData[[#This Row],[pendingAmount]]+TrafficData[[#This Row],[disposedAmount]]=TrafficData[[#This Row],[totalAmount]]</f>
        <v>1</v>
      </c>
      <c r="M3853" t="b">
        <f>TrafficData[[#This Row],[pendingCourt]]+TrafficData[[#This Row],[disposedCourt]]=TrafficData[[#This Row],[totalCourt]]</f>
        <v>1</v>
      </c>
      <c r="N3853" t="b">
        <f>AND(TrafficData[[#This Row],[disposedChallan]]&lt;=TrafficData[[#This Row],[totalChallan]],TrafficData[[#This Row],[pendingChallan]]&lt;=TrafficData[[#This Row],[totalChallan]])</f>
        <v>1</v>
      </c>
      <c r="O3853" t="b">
        <f>AND(TrafficData[[#This Row],[pendingAmount]]&lt;=TrafficData[[#This Row],[totalAmount]],TrafficData[[#This Row],[disposedAmount]]&lt;=TrafficData[[#This Row],[totalAmount]])</f>
        <v>1</v>
      </c>
      <c r="P3853" t="b">
        <f>AND(TrafficData[[#This Row],[pendingCourt]]&lt;=TrafficData[[#This Row],[totalCourt]],TrafficData[[#This Row],[disposedCourt]]&lt;=TrafficData[[#This Row],[totalCourt]])</f>
        <v>1</v>
      </c>
    </row>
    <row r="3854" spans="1:16">
      <c r="A3854" s="1">
        <v>45858</v>
      </c>
      <c r="B3854">
        <v>247647</v>
      </c>
      <c r="C3854">
        <v>57694</v>
      </c>
      <c r="D3854">
        <v>189953</v>
      </c>
      <c r="E3854">
        <v>314017229</v>
      </c>
      <c r="F3854">
        <v>70221686</v>
      </c>
      <c r="G3854">
        <v>384238915</v>
      </c>
      <c r="H3854">
        <v>99443</v>
      </c>
      <c r="I3854">
        <v>4800</v>
      </c>
      <c r="J3854">
        <v>104243</v>
      </c>
      <c r="K3854" t="b">
        <f>TrafficData[[#This Row],[disposedChallan]]+TrafficData[[#This Row],[pendingChallan]]=TrafficData[[#This Row],[totalChallan]]</f>
        <v>1</v>
      </c>
      <c r="L3854" t="b">
        <f>TrafficData[[#This Row],[pendingAmount]]+TrafficData[[#This Row],[disposedAmount]]=TrafficData[[#This Row],[totalAmount]]</f>
        <v>1</v>
      </c>
      <c r="M3854" t="b">
        <f>TrafficData[[#This Row],[pendingCourt]]+TrafficData[[#This Row],[disposedCourt]]=TrafficData[[#This Row],[totalCourt]]</f>
        <v>1</v>
      </c>
      <c r="N3854" t="b">
        <f>AND(TrafficData[[#This Row],[disposedChallan]]&lt;=TrafficData[[#This Row],[totalChallan]],TrafficData[[#This Row],[pendingChallan]]&lt;=TrafficData[[#This Row],[totalChallan]])</f>
        <v>1</v>
      </c>
      <c r="O3854" t="b">
        <f>AND(TrafficData[[#This Row],[pendingAmount]]&lt;=TrafficData[[#This Row],[totalAmount]],TrafficData[[#This Row],[disposedAmount]]&lt;=TrafficData[[#This Row],[totalAmount]])</f>
        <v>1</v>
      </c>
      <c r="P3854" t="b">
        <f>AND(TrafficData[[#This Row],[pendingCourt]]&lt;=TrafficData[[#This Row],[totalCourt]],TrafficData[[#This Row],[disposedCourt]]&lt;=TrafficData[[#This Row],[totalCourt]])</f>
        <v>1</v>
      </c>
    </row>
    <row r="3855" spans="1:16">
      <c r="A3855" s="1">
        <v>45859</v>
      </c>
      <c r="B3855">
        <v>241334</v>
      </c>
      <c r="C3855">
        <v>56586</v>
      </c>
      <c r="D3855">
        <v>184748</v>
      </c>
      <c r="E3855">
        <v>355321586</v>
      </c>
      <c r="F3855">
        <v>87084905</v>
      </c>
      <c r="G3855">
        <v>442406491</v>
      </c>
      <c r="H3855">
        <v>105804</v>
      </c>
      <c r="I3855">
        <v>4172</v>
      </c>
      <c r="J3855">
        <v>109976</v>
      </c>
      <c r="K3855" t="b">
        <f>TrafficData[[#This Row],[disposedChallan]]+TrafficData[[#This Row],[pendingChallan]]=TrafficData[[#This Row],[totalChallan]]</f>
        <v>1</v>
      </c>
      <c r="L3855" t="b">
        <f>TrafficData[[#This Row],[pendingAmount]]+TrafficData[[#This Row],[disposedAmount]]=TrafficData[[#This Row],[totalAmount]]</f>
        <v>1</v>
      </c>
      <c r="M3855" t="b">
        <f>TrafficData[[#This Row],[pendingCourt]]+TrafficData[[#This Row],[disposedCourt]]=TrafficData[[#This Row],[totalCourt]]</f>
        <v>1</v>
      </c>
      <c r="N3855" t="b">
        <f>AND(TrafficData[[#This Row],[disposedChallan]]&lt;=TrafficData[[#This Row],[totalChallan]],TrafficData[[#This Row],[pendingChallan]]&lt;=TrafficData[[#This Row],[totalChallan]])</f>
        <v>1</v>
      </c>
      <c r="O3855" t="b">
        <f>AND(TrafficData[[#This Row],[pendingAmount]]&lt;=TrafficData[[#This Row],[totalAmount]],TrafficData[[#This Row],[disposedAmount]]&lt;=TrafficData[[#This Row],[totalAmount]])</f>
        <v>1</v>
      </c>
      <c r="P3855" t="b">
        <f>AND(TrafficData[[#This Row],[pendingCourt]]&lt;=TrafficData[[#This Row],[totalCourt]],TrafficData[[#This Row],[disposedCourt]]&lt;=TrafficData[[#This Row],[totalCourt]])</f>
        <v>1</v>
      </c>
    </row>
    <row r="3856" spans="1:16">
      <c r="A3856" s="1">
        <v>45860</v>
      </c>
      <c r="B3856">
        <v>244188</v>
      </c>
      <c r="C3856">
        <v>57087</v>
      </c>
      <c r="D3856">
        <v>187101</v>
      </c>
      <c r="E3856">
        <v>346074053</v>
      </c>
      <c r="F3856">
        <v>94067571</v>
      </c>
      <c r="G3856">
        <v>440141624</v>
      </c>
      <c r="H3856">
        <v>104469</v>
      </c>
      <c r="I3856">
        <v>4230</v>
      </c>
      <c r="J3856">
        <v>108699</v>
      </c>
      <c r="K3856" t="b">
        <f>TrafficData[[#This Row],[disposedChallan]]+TrafficData[[#This Row],[pendingChallan]]=TrafficData[[#This Row],[totalChallan]]</f>
        <v>1</v>
      </c>
      <c r="L3856" t="b">
        <f>TrafficData[[#This Row],[pendingAmount]]+TrafficData[[#This Row],[disposedAmount]]=TrafficData[[#This Row],[totalAmount]]</f>
        <v>1</v>
      </c>
      <c r="M3856" t="b">
        <f>TrafficData[[#This Row],[pendingCourt]]+TrafficData[[#This Row],[disposedCourt]]=TrafficData[[#This Row],[totalCourt]]</f>
        <v>1</v>
      </c>
      <c r="N3856" t="b">
        <f>AND(TrafficData[[#This Row],[disposedChallan]]&lt;=TrafficData[[#This Row],[totalChallan]],TrafficData[[#This Row],[pendingChallan]]&lt;=TrafficData[[#This Row],[totalChallan]])</f>
        <v>1</v>
      </c>
      <c r="O3856" t="b">
        <f>AND(TrafficData[[#This Row],[pendingAmount]]&lt;=TrafficData[[#This Row],[totalAmount]],TrafficData[[#This Row],[disposedAmount]]&lt;=TrafficData[[#This Row],[totalAmount]])</f>
        <v>1</v>
      </c>
      <c r="P3856" t="b">
        <f>AND(TrafficData[[#This Row],[pendingCourt]]&lt;=TrafficData[[#This Row],[totalCourt]],TrafficData[[#This Row],[disposedCourt]]&lt;=TrafficData[[#This Row],[totalCourt]])</f>
        <v>1</v>
      </c>
    </row>
    <row r="3857" spans="1:16">
      <c r="A3857" s="1">
        <v>45861</v>
      </c>
      <c r="B3857">
        <v>251301</v>
      </c>
      <c r="C3857">
        <v>60779</v>
      </c>
      <c r="D3857">
        <v>190522</v>
      </c>
      <c r="E3857">
        <v>358931868</v>
      </c>
      <c r="F3857">
        <v>105068160</v>
      </c>
      <c r="G3857">
        <v>464000028</v>
      </c>
      <c r="H3857">
        <v>107183</v>
      </c>
      <c r="I3857">
        <v>4299</v>
      </c>
      <c r="J3857">
        <v>111482</v>
      </c>
      <c r="K3857" t="b">
        <f>TrafficData[[#This Row],[disposedChallan]]+TrafficData[[#This Row],[pendingChallan]]=TrafficData[[#This Row],[totalChallan]]</f>
        <v>1</v>
      </c>
      <c r="L3857" t="b">
        <f>TrafficData[[#This Row],[pendingAmount]]+TrafficData[[#This Row],[disposedAmount]]=TrafficData[[#This Row],[totalAmount]]</f>
        <v>1</v>
      </c>
      <c r="M3857" t="b">
        <f>TrafficData[[#This Row],[pendingCourt]]+TrafficData[[#This Row],[disposedCourt]]=TrafficData[[#This Row],[totalCourt]]</f>
        <v>1</v>
      </c>
      <c r="N3857" t="b">
        <f>AND(TrafficData[[#This Row],[disposedChallan]]&lt;=TrafficData[[#This Row],[totalChallan]],TrafficData[[#This Row],[pendingChallan]]&lt;=TrafficData[[#This Row],[totalChallan]])</f>
        <v>1</v>
      </c>
      <c r="O3857" t="b">
        <f>AND(TrafficData[[#This Row],[pendingAmount]]&lt;=TrafficData[[#This Row],[totalAmount]],TrafficData[[#This Row],[disposedAmount]]&lt;=TrafficData[[#This Row],[totalAmount]])</f>
        <v>1</v>
      </c>
      <c r="P3857" t="b">
        <f>AND(TrafficData[[#This Row],[pendingCourt]]&lt;=TrafficData[[#This Row],[totalCourt]],TrafficData[[#This Row],[disposedCourt]]&lt;=TrafficData[[#This Row],[totalCourt]])</f>
        <v>1</v>
      </c>
    </row>
    <row r="3858" spans="1:16">
      <c r="A3858" s="1">
        <v>45862</v>
      </c>
      <c r="B3858">
        <v>261893</v>
      </c>
      <c r="C3858">
        <v>60661</v>
      </c>
      <c r="D3858">
        <v>201232</v>
      </c>
      <c r="E3858">
        <v>386424025</v>
      </c>
      <c r="F3858">
        <v>99698039</v>
      </c>
      <c r="G3858">
        <v>486122064</v>
      </c>
      <c r="H3858">
        <v>113324</v>
      </c>
      <c r="I3858">
        <v>4959</v>
      </c>
      <c r="J3858">
        <v>118283</v>
      </c>
      <c r="K3858" t="b">
        <f>TrafficData[[#This Row],[disposedChallan]]+TrafficData[[#This Row],[pendingChallan]]=TrafficData[[#This Row],[totalChallan]]</f>
        <v>1</v>
      </c>
      <c r="L3858" t="b">
        <f>TrafficData[[#This Row],[pendingAmount]]+TrafficData[[#This Row],[disposedAmount]]=TrafficData[[#This Row],[totalAmount]]</f>
        <v>1</v>
      </c>
      <c r="M3858" t="b">
        <f>TrafficData[[#This Row],[pendingCourt]]+TrafficData[[#This Row],[disposedCourt]]=TrafficData[[#This Row],[totalCourt]]</f>
        <v>1</v>
      </c>
      <c r="N3858" t="b">
        <f>AND(TrafficData[[#This Row],[disposedChallan]]&lt;=TrafficData[[#This Row],[totalChallan]],TrafficData[[#This Row],[pendingChallan]]&lt;=TrafficData[[#This Row],[totalChallan]])</f>
        <v>1</v>
      </c>
      <c r="O3858" t="b">
        <f>AND(TrafficData[[#This Row],[pendingAmount]]&lt;=TrafficData[[#This Row],[totalAmount]],TrafficData[[#This Row],[disposedAmount]]&lt;=TrafficData[[#This Row],[totalAmount]])</f>
        <v>1</v>
      </c>
      <c r="P3858" t="b">
        <f>AND(TrafficData[[#This Row],[pendingCourt]]&lt;=TrafficData[[#This Row],[totalCourt]],TrafficData[[#This Row],[disposedCourt]]&lt;=TrafficData[[#This Row],[totalCourt]])</f>
        <v>1</v>
      </c>
    </row>
    <row r="3859" spans="1:16">
      <c r="A3859" s="1">
        <v>45863</v>
      </c>
      <c r="B3859">
        <v>250892</v>
      </c>
      <c r="C3859">
        <v>60653</v>
      </c>
      <c r="D3859">
        <v>190239</v>
      </c>
      <c r="E3859">
        <v>372957377</v>
      </c>
      <c r="F3859">
        <v>98346390</v>
      </c>
      <c r="G3859">
        <v>471303767</v>
      </c>
      <c r="H3859">
        <v>104784</v>
      </c>
      <c r="I3859">
        <v>4842</v>
      </c>
      <c r="J3859">
        <v>109626</v>
      </c>
      <c r="K3859" t="b">
        <f>TrafficData[[#This Row],[disposedChallan]]+TrafficData[[#This Row],[pendingChallan]]=TrafficData[[#This Row],[totalChallan]]</f>
        <v>1</v>
      </c>
      <c r="L3859" t="b">
        <f>TrafficData[[#This Row],[pendingAmount]]+TrafficData[[#This Row],[disposedAmount]]=TrafficData[[#This Row],[totalAmount]]</f>
        <v>1</v>
      </c>
      <c r="M3859" t="b">
        <f>TrafficData[[#This Row],[pendingCourt]]+TrafficData[[#This Row],[disposedCourt]]=TrafficData[[#This Row],[totalCourt]]</f>
        <v>1</v>
      </c>
      <c r="N3859" t="b">
        <f>AND(TrafficData[[#This Row],[disposedChallan]]&lt;=TrafficData[[#This Row],[totalChallan]],TrafficData[[#This Row],[pendingChallan]]&lt;=TrafficData[[#This Row],[totalChallan]])</f>
        <v>1</v>
      </c>
      <c r="O3859" t="b">
        <f>AND(TrafficData[[#This Row],[pendingAmount]]&lt;=TrafficData[[#This Row],[totalAmount]],TrafficData[[#This Row],[disposedAmount]]&lt;=TrafficData[[#This Row],[totalAmount]])</f>
        <v>1</v>
      </c>
      <c r="P3859" t="b">
        <f>AND(TrafficData[[#This Row],[pendingCourt]]&lt;=TrafficData[[#This Row],[totalCourt]],TrafficData[[#This Row],[disposedCourt]]&lt;=TrafficData[[#This Row],[totalCourt]])</f>
        <v>1</v>
      </c>
    </row>
    <row r="3860" spans="1:16">
      <c r="A3860" s="1">
        <v>45864</v>
      </c>
      <c r="B3860">
        <v>240702</v>
      </c>
      <c r="C3860">
        <v>56174</v>
      </c>
      <c r="D3860">
        <v>184528</v>
      </c>
      <c r="E3860">
        <v>343074059</v>
      </c>
      <c r="F3860">
        <v>81865805</v>
      </c>
      <c r="G3860">
        <v>424939864</v>
      </c>
      <c r="H3860">
        <v>98649</v>
      </c>
      <c r="I3860">
        <v>4681</v>
      </c>
      <c r="J3860">
        <v>103330</v>
      </c>
      <c r="K3860" t="b">
        <f>TrafficData[[#This Row],[disposedChallan]]+TrafficData[[#This Row],[pendingChallan]]=TrafficData[[#This Row],[totalChallan]]</f>
        <v>1</v>
      </c>
      <c r="L3860" t="b">
        <f>TrafficData[[#This Row],[pendingAmount]]+TrafficData[[#This Row],[disposedAmount]]=TrafficData[[#This Row],[totalAmount]]</f>
        <v>1</v>
      </c>
      <c r="M3860" t="b">
        <f>TrafficData[[#This Row],[pendingCourt]]+TrafficData[[#This Row],[disposedCourt]]=TrafficData[[#This Row],[totalCourt]]</f>
        <v>1</v>
      </c>
      <c r="N3860" t="b">
        <f>AND(TrafficData[[#This Row],[disposedChallan]]&lt;=TrafficData[[#This Row],[totalChallan]],TrafficData[[#This Row],[pendingChallan]]&lt;=TrafficData[[#This Row],[totalChallan]])</f>
        <v>1</v>
      </c>
      <c r="O3860" t="b">
        <f>AND(TrafficData[[#This Row],[pendingAmount]]&lt;=TrafficData[[#This Row],[totalAmount]],TrafficData[[#This Row],[disposedAmount]]&lt;=TrafficData[[#This Row],[totalAmount]])</f>
        <v>1</v>
      </c>
      <c r="P3860" t="b">
        <f>AND(TrafficData[[#This Row],[pendingCourt]]&lt;=TrafficData[[#This Row],[totalCourt]],TrafficData[[#This Row],[disposedCourt]]&lt;=TrafficData[[#This Row],[totalCourt]])</f>
        <v>1</v>
      </c>
    </row>
    <row r="3861" spans="1:16">
      <c r="A3861" s="1">
        <v>45865</v>
      </c>
      <c r="B3861">
        <v>232453</v>
      </c>
      <c r="C3861">
        <v>50741</v>
      </c>
      <c r="D3861">
        <v>181712</v>
      </c>
      <c r="E3861">
        <v>297768756</v>
      </c>
      <c r="F3861">
        <v>65132560</v>
      </c>
      <c r="G3861">
        <v>362901316</v>
      </c>
      <c r="H3861">
        <v>88460</v>
      </c>
      <c r="I3861">
        <v>4571</v>
      </c>
      <c r="J3861">
        <v>93031</v>
      </c>
      <c r="K3861" t="b">
        <f>TrafficData[[#This Row],[disposedChallan]]+TrafficData[[#This Row],[pendingChallan]]=TrafficData[[#This Row],[totalChallan]]</f>
        <v>1</v>
      </c>
      <c r="L3861" t="b">
        <f>TrafficData[[#This Row],[pendingAmount]]+TrafficData[[#This Row],[disposedAmount]]=TrafficData[[#This Row],[totalAmount]]</f>
        <v>1</v>
      </c>
      <c r="M3861" t="b">
        <f>TrafficData[[#This Row],[pendingCourt]]+TrafficData[[#This Row],[disposedCourt]]=TrafficData[[#This Row],[totalCourt]]</f>
        <v>1</v>
      </c>
      <c r="N3861" t="b">
        <f>AND(TrafficData[[#This Row],[disposedChallan]]&lt;=TrafficData[[#This Row],[totalChallan]],TrafficData[[#This Row],[pendingChallan]]&lt;=TrafficData[[#This Row],[totalChallan]])</f>
        <v>1</v>
      </c>
      <c r="O3861" t="b">
        <f>AND(TrafficData[[#This Row],[pendingAmount]]&lt;=TrafficData[[#This Row],[totalAmount]],TrafficData[[#This Row],[disposedAmount]]&lt;=TrafficData[[#This Row],[totalAmount]])</f>
        <v>1</v>
      </c>
      <c r="P3861" t="b">
        <f>AND(TrafficData[[#This Row],[pendingCourt]]&lt;=TrafficData[[#This Row],[totalCourt]],TrafficData[[#This Row],[disposedCourt]]&lt;=TrafficData[[#This Row],[totalCourt]])</f>
        <v>1</v>
      </c>
    </row>
    <row r="3862" spans="1:16">
      <c r="A3862" s="1">
        <v>45866</v>
      </c>
      <c r="B3862">
        <v>256711</v>
      </c>
      <c r="C3862">
        <v>56611</v>
      </c>
      <c r="D3862">
        <v>200100</v>
      </c>
      <c r="E3862">
        <v>386666056</v>
      </c>
      <c r="F3862">
        <v>82723780</v>
      </c>
      <c r="G3862">
        <v>469389836</v>
      </c>
      <c r="H3862">
        <v>108091</v>
      </c>
      <c r="I3862">
        <v>4814</v>
      </c>
      <c r="J3862">
        <v>112905</v>
      </c>
      <c r="K3862" t="b">
        <f>TrafficData[[#This Row],[disposedChallan]]+TrafficData[[#This Row],[pendingChallan]]=TrafficData[[#This Row],[totalChallan]]</f>
        <v>1</v>
      </c>
      <c r="L3862" t="b">
        <f>TrafficData[[#This Row],[pendingAmount]]+TrafficData[[#This Row],[disposedAmount]]=TrafficData[[#This Row],[totalAmount]]</f>
        <v>1</v>
      </c>
      <c r="M3862" t="b">
        <f>TrafficData[[#This Row],[pendingCourt]]+TrafficData[[#This Row],[disposedCourt]]=TrafficData[[#This Row],[totalCourt]]</f>
        <v>1</v>
      </c>
      <c r="N3862" t="b">
        <f>AND(TrafficData[[#This Row],[disposedChallan]]&lt;=TrafficData[[#This Row],[totalChallan]],TrafficData[[#This Row],[pendingChallan]]&lt;=TrafficData[[#This Row],[totalChallan]])</f>
        <v>1</v>
      </c>
      <c r="O3862" t="b">
        <f>AND(TrafficData[[#This Row],[pendingAmount]]&lt;=TrafficData[[#This Row],[totalAmount]],TrafficData[[#This Row],[disposedAmount]]&lt;=TrafficData[[#This Row],[totalAmount]])</f>
        <v>1</v>
      </c>
      <c r="P3862" t="b">
        <f>AND(TrafficData[[#This Row],[pendingCourt]]&lt;=TrafficData[[#This Row],[totalCourt]],TrafficData[[#This Row],[disposedCourt]]&lt;=TrafficData[[#This Row],[totalCourt]])</f>
        <v>1</v>
      </c>
    </row>
    <row r="3863" spans="1:16">
      <c r="A3863" s="1">
        <v>45867</v>
      </c>
      <c r="B3863">
        <v>271233</v>
      </c>
      <c r="C3863">
        <v>61587</v>
      </c>
      <c r="D3863">
        <v>209646</v>
      </c>
      <c r="E3863">
        <v>416178886</v>
      </c>
      <c r="F3863">
        <v>102862542</v>
      </c>
      <c r="G3863">
        <v>519041428</v>
      </c>
      <c r="H3863">
        <v>102375</v>
      </c>
      <c r="I3863">
        <v>4617</v>
      </c>
      <c r="J3863">
        <v>106992</v>
      </c>
      <c r="K3863" t="b">
        <f>TrafficData[[#This Row],[disposedChallan]]+TrafficData[[#This Row],[pendingChallan]]=TrafficData[[#This Row],[totalChallan]]</f>
        <v>1</v>
      </c>
      <c r="L3863" t="b">
        <f>TrafficData[[#This Row],[pendingAmount]]+TrafficData[[#This Row],[disposedAmount]]=TrafficData[[#This Row],[totalAmount]]</f>
        <v>1</v>
      </c>
      <c r="M3863" t="b">
        <f>TrafficData[[#This Row],[pendingCourt]]+TrafficData[[#This Row],[disposedCourt]]=TrafficData[[#This Row],[totalCourt]]</f>
        <v>1</v>
      </c>
      <c r="N3863" t="b">
        <f>AND(TrafficData[[#This Row],[disposedChallan]]&lt;=TrafficData[[#This Row],[totalChallan]],TrafficData[[#This Row],[pendingChallan]]&lt;=TrafficData[[#This Row],[totalChallan]])</f>
        <v>1</v>
      </c>
      <c r="O3863" t="b">
        <f>AND(TrafficData[[#This Row],[pendingAmount]]&lt;=TrafficData[[#This Row],[totalAmount]],TrafficData[[#This Row],[disposedAmount]]&lt;=TrafficData[[#This Row],[totalAmount]])</f>
        <v>1</v>
      </c>
      <c r="P3863" t="b">
        <f>AND(TrafficData[[#This Row],[pendingCourt]]&lt;=TrafficData[[#This Row],[totalCourt]],TrafficData[[#This Row],[disposedCourt]]&lt;=TrafficData[[#This Row],[totalCourt]])</f>
        <v>1</v>
      </c>
    </row>
    <row r="3864" spans="1:16">
      <c r="A3864" s="1">
        <v>45868</v>
      </c>
      <c r="B3864">
        <v>272423</v>
      </c>
      <c r="C3864">
        <v>63189</v>
      </c>
      <c r="D3864">
        <v>209234</v>
      </c>
      <c r="E3864">
        <v>416370783</v>
      </c>
      <c r="F3864">
        <v>101011328</v>
      </c>
      <c r="G3864">
        <v>517382111</v>
      </c>
      <c r="H3864">
        <v>108074</v>
      </c>
      <c r="I3864">
        <v>4808</v>
      </c>
      <c r="J3864">
        <v>112882</v>
      </c>
      <c r="K3864" t="b">
        <f>TrafficData[[#This Row],[disposedChallan]]+TrafficData[[#This Row],[pendingChallan]]=TrafficData[[#This Row],[totalChallan]]</f>
        <v>1</v>
      </c>
      <c r="L3864" t="b">
        <f>TrafficData[[#This Row],[pendingAmount]]+TrafficData[[#This Row],[disposedAmount]]=TrafficData[[#This Row],[totalAmount]]</f>
        <v>1</v>
      </c>
      <c r="M3864" t="b">
        <f>TrafficData[[#This Row],[pendingCourt]]+TrafficData[[#This Row],[disposedCourt]]=TrafficData[[#This Row],[totalCourt]]</f>
        <v>1</v>
      </c>
      <c r="N3864" t="b">
        <f>AND(TrafficData[[#This Row],[disposedChallan]]&lt;=TrafficData[[#This Row],[totalChallan]],TrafficData[[#This Row],[pendingChallan]]&lt;=TrafficData[[#This Row],[totalChallan]])</f>
        <v>1</v>
      </c>
      <c r="O3864" t="b">
        <f>AND(TrafficData[[#This Row],[pendingAmount]]&lt;=TrafficData[[#This Row],[totalAmount]],TrafficData[[#This Row],[disposedAmount]]&lt;=TrafficData[[#This Row],[totalAmount]])</f>
        <v>1</v>
      </c>
      <c r="P3864" t="b">
        <f>AND(TrafficData[[#This Row],[pendingCourt]]&lt;=TrafficData[[#This Row],[totalCourt]],TrafficData[[#This Row],[disposedCourt]]&lt;=TrafficData[[#This Row],[totalCourt]])</f>
        <v>1</v>
      </c>
    </row>
    <row r="3865" spans="1:16">
      <c r="A3865" s="1">
        <v>45869</v>
      </c>
      <c r="B3865">
        <v>254156</v>
      </c>
      <c r="C3865">
        <v>58860</v>
      </c>
      <c r="D3865">
        <v>195296</v>
      </c>
      <c r="E3865">
        <v>387064629</v>
      </c>
      <c r="F3865">
        <v>88701059</v>
      </c>
      <c r="G3865">
        <v>475765688</v>
      </c>
      <c r="H3865">
        <v>96986</v>
      </c>
      <c r="I3865">
        <v>4210</v>
      </c>
      <c r="J3865">
        <v>101196</v>
      </c>
      <c r="K3865" t="b">
        <f>TrafficData[[#This Row],[disposedChallan]]+TrafficData[[#This Row],[pendingChallan]]=TrafficData[[#This Row],[totalChallan]]</f>
        <v>1</v>
      </c>
      <c r="L3865" t="b">
        <f>TrafficData[[#This Row],[pendingAmount]]+TrafficData[[#This Row],[disposedAmount]]=TrafficData[[#This Row],[totalAmount]]</f>
        <v>1</v>
      </c>
      <c r="M3865" t="b">
        <f>TrafficData[[#This Row],[pendingCourt]]+TrafficData[[#This Row],[disposedCourt]]=TrafficData[[#This Row],[totalCourt]]</f>
        <v>1</v>
      </c>
      <c r="N3865" t="b">
        <f>AND(TrafficData[[#This Row],[disposedChallan]]&lt;=TrafficData[[#This Row],[totalChallan]],TrafficData[[#This Row],[pendingChallan]]&lt;=TrafficData[[#This Row],[totalChallan]])</f>
        <v>1</v>
      </c>
      <c r="O3865" t="b">
        <f>AND(TrafficData[[#This Row],[pendingAmount]]&lt;=TrafficData[[#This Row],[totalAmount]],TrafficData[[#This Row],[disposedAmount]]&lt;=TrafficData[[#This Row],[totalAmount]])</f>
        <v>1</v>
      </c>
      <c r="P3865" t="b">
        <f>AND(TrafficData[[#This Row],[pendingCourt]]&lt;=TrafficData[[#This Row],[totalCourt]],TrafficData[[#This Row],[disposedCourt]]&lt;=TrafficData[[#This Row],[totalCourt]])</f>
        <v>1</v>
      </c>
    </row>
    <row r="3866" spans="1:16">
      <c r="A3866" s="1">
        <v>45870</v>
      </c>
      <c r="B3866">
        <v>267709</v>
      </c>
      <c r="C3866">
        <v>62597</v>
      </c>
      <c r="D3866">
        <v>205112</v>
      </c>
      <c r="E3866">
        <v>421029382</v>
      </c>
      <c r="F3866">
        <v>114510364</v>
      </c>
      <c r="G3866">
        <v>535539746</v>
      </c>
      <c r="H3866">
        <v>121126</v>
      </c>
      <c r="I3866">
        <v>4359</v>
      </c>
      <c r="J3866">
        <v>125485</v>
      </c>
      <c r="K3866" t="b">
        <f>TrafficData[[#This Row],[disposedChallan]]+TrafficData[[#This Row],[pendingChallan]]=TrafficData[[#This Row],[totalChallan]]</f>
        <v>1</v>
      </c>
      <c r="L3866" t="b">
        <f>TrafficData[[#This Row],[pendingAmount]]+TrafficData[[#This Row],[disposedAmount]]=TrafficData[[#This Row],[totalAmount]]</f>
        <v>1</v>
      </c>
      <c r="M3866" t="b">
        <f>TrafficData[[#This Row],[pendingCourt]]+TrafficData[[#This Row],[disposedCourt]]=TrafficData[[#This Row],[totalCourt]]</f>
        <v>1</v>
      </c>
      <c r="N3866" t="b">
        <f>AND(TrafficData[[#This Row],[disposedChallan]]&lt;=TrafficData[[#This Row],[totalChallan]],TrafficData[[#This Row],[pendingChallan]]&lt;=TrafficData[[#This Row],[totalChallan]])</f>
        <v>1</v>
      </c>
      <c r="O3866" t="b">
        <f>AND(TrafficData[[#This Row],[pendingAmount]]&lt;=TrafficData[[#This Row],[totalAmount]],TrafficData[[#This Row],[disposedAmount]]&lt;=TrafficData[[#This Row],[totalAmount]])</f>
        <v>1</v>
      </c>
      <c r="P3866" t="b">
        <f>AND(TrafficData[[#This Row],[pendingCourt]]&lt;=TrafficData[[#This Row],[totalCourt]],TrafficData[[#This Row],[disposedCourt]]&lt;=TrafficData[[#This Row],[totalCourt]])</f>
        <v>1</v>
      </c>
    </row>
    <row r="3867" spans="1:16">
      <c r="A3867" s="1">
        <v>45871</v>
      </c>
      <c r="B3867">
        <v>279402</v>
      </c>
      <c r="C3867">
        <v>67916</v>
      </c>
      <c r="D3867">
        <v>211486</v>
      </c>
      <c r="E3867">
        <v>412182209</v>
      </c>
      <c r="F3867">
        <v>111607415</v>
      </c>
      <c r="G3867">
        <v>523789624</v>
      </c>
      <c r="H3867">
        <v>118473</v>
      </c>
      <c r="I3867">
        <v>4785</v>
      </c>
      <c r="J3867">
        <v>123258</v>
      </c>
      <c r="K3867" t="b">
        <f>TrafficData[[#This Row],[disposedChallan]]+TrafficData[[#This Row],[pendingChallan]]=TrafficData[[#This Row],[totalChallan]]</f>
        <v>1</v>
      </c>
      <c r="L3867" t="b">
        <f>TrafficData[[#This Row],[pendingAmount]]+TrafficData[[#This Row],[disposedAmount]]=TrafficData[[#This Row],[totalAmount]]</f>
        <v>1</v>
      </c>
      <c r="M3867" t="b">
        <f>TrafficData[[#This Row],[pendingCourt]]+TrafficData[[#This Row],[disposedCourt]]=TrafficData[[#This Row],[totalCourt]]</f>
        <v>1</v>
      </c>
      <c r="N3867" t="b">
        <f>AND(TrafficData[[#This Row],[disposedChallan]]&lt;=TrafficData[[#This Row],[totalChallan]],TrafficData[[#This Row],[pendingChallan]]&lt;=TrafficData[[#This Row],[totalChallan]])</f>
        <v>1</v>
      </c>
      <c r="O3867" t="b">
        <f>AND(TrafficData[[#This Row],[pendingAmount]]&lt;=TrafficData[[#This Row],[totalAmount]],TrafficData[[#This Row],[disposedAmount]]&lt;=TrafficData[[#This Row],[totalAmount]])</f>
        <v>1</v>
      </c>
      <c r="P3867" t="b">
        <f>AND(TrafficData[[#This Row],[pendingCourt]]&lt;=TrafficData[[#This Row],[totalCourt]],TrafficData[[#This Row],[disposedCourt]]&lt;=TrafficData[[#This Row],[totalCourt]])</f>
        <v>1</v>
      </c>
    </row>
    <row r="3868" spans="1:16">
      <c r="A3868" s="1">
        <v>45872</v>
      </c>
      <c r="B3868">
        <v>241263</v>
      </c>
      <c r="C3868">
        <v>58219</v>
      </c>
      <c r="D3868">
        <v>183044</v>
      </c>
      <c r="E3868">
        <v>333722553</v>
      </c>
      <c r="F3868">
        <v>75981769</v>
      </c>
      <c r="G3868">
        <v>409704322</v>
      </c>
      <c r="H3868">
        <v>99352</v>
      </c>
      <c r="I3868">
        <v>4134</v>
      </c>
      <c r="J3868">
        <v>103486</v>
      </c>
      <c r="K3868" t="b">
        <f>TrafficData[[#This Row],[disposedChallan]]+TrafficData[[#This Row],[pendingChallan]]=TrafficData[[#This Row],[totalChallan]]</f>
        <v>1</v>
      </c>
      <c r="L3868" t="b">
        <f>TrafficData[[#This Row],[pendingAmount]]+TrafficData[[#This Row],[disposedAmount]]=TrafficData[[#This Row],[totalAmount]]</f>
        <v>1</v>
      </c>
      <c r="M3868" t="b">
        <f>TrafficData[[#This Row],[pendingCourt]]+TrafficData[[#This Row],[disposedCourt]]=TrafficData[[#This Row],[totalCourt]]</f>
        <v>1</v>
      </c>
      <c r="N3868" t="b">
        <f>AND(TrafficData[[#This Row],[disposedChallan]]&lt;=TrafficData[[#This Row],[totalChallan]],TrafficData[[#This Row],[pendingChallan]]&lt;=TrafficData[[#This Row],[totalChallan]])</f>
        <v>1</v>
      </c>
      <c r="O3868" t="b">
        <f>AND(TrafficData[[#This Row],[pendingAmount]]&lt;=TrafficData[[#This Row],[totalAmount]],TrafficData[[#This Row],[disposedAmount]]&lt;=TrafficData[[#This Row],[totalAmount]])</f>
        <v>1</v>
      </c>
      <c r="P3868" t="b">
        <f>AND(TrafficData[[#This Row],[pendingCourt]]&lt;=TrafficData[[#This Row],[totalCourt]],TrafficData[[#This Row],[disposedCourt]]&lt;=TrafficData[[#This Row],[totalCourt]])</f>
        <v>1</v>
      </c>
    </row>
    <row r="3869" spans="1:16">
      <c r="A3869" s="1">
        <v>45873</v>
      </c>
      <c r="B3869">
        <v>262298</v>
      </c>
      <c r="C3869">
        <v>62065</v>
      </c>
      <c r="D3869">
        <v>200233</v>
      </c>
      <c r="E3869">
        <v>407765289</v>
      </c>
      <c r="F3869">
        <v>107475265</v>
      </c>
      <c r="G3869">
        <v>515240554</v>
      </c>
      <c r="H3869">
        <v>111618</v>
      </c>
      <c r="I3869">
        <v>4352</v>
      </c>
      <c r="J3869">
        <v>115970</v>
      </c>
      <c r="K3869" t="b">
        <f>TrafficData[[#This Row],[disposedChallan]]+TrafficData[[#This Row],[pendingChallan]]=TrafficData[[#This Row],[totalChallan]]</f>
        <v>1</v>
      </c>
      <c r="L3869" t="b">
        <f>TrafficData[[#This Row],[pendingAmount]]+TrafficData[[#This Row],[disposedAmount]]=TrafficData[[#This Row],[totalAmount]]</f>
        <v>1</v>
      </c>
      <c r="M3869" t="b">
        <f>TrafficData[[#This Row],[pendingCourt]]+TrafficData[[#This Row],[disposedCourt]]=TrafficData[[#This Row],[totalCourt]]</f>
        <v>1</v>
      </c>
      <c r="N3869" t="b">
        <f>AND(TrafficData[[#This Row],[disposedChallan]]&lt;=TrafficData[[#This Row],[totalChallan]],TrafficData[[#This Row],[pendingChallan]]&lt;=TrafficData[[#This Row],[totalChallan]])</f>
        <v>1</v>
      </c>
      <c r="O3869" t="b">
        <f>AND(TrafficData[[#This Row],[pendingAmount]]&lt;=TrafficData[[#This Row],[totalAmount]],TrafficData[[#This Row],[disposedAmount]]&lt;=TrafficData[[#This Row],[totalAmount]])</f>
        <v>1</v>
      </c>
      <c r="P3869" t="b">
        <f>AND(TrafficData[[#This Row],[pendingCourt]]&lt;=TrafficData[[#This Row],[totalCourt]],TrafficData[[#This Row],[disposedCourt]]&lt;=TrafficData[[#This Row],[totalCourt]])</f>
        <v>1</v>
      </c>
    </row>
    <row r="3870" spans="1:16">
      <c r="A3870" s="1">
        <v>45874</v>
      </c>
      <c r="B3870">
        <v>278037</v>
      </c>
      <c r="C3870">
        <v>64421</v>
      </c>
      <c r="D3870">
        <v>213616</v>
      </c>
      <c r="E3870">
        <v>442520330</v>
      </c>
      <c r="F3870">
        <v>116397832</v>
      </c>
      <c r="G3870">
        <v>558918162</v>
      </c>
      <c r="H3870">
        <v>122414</v>
      </c>
      <c r="I3870">
        <v>4521</v>
      </c>
      <c r="J3870">
        <v>126935</v>
      </c>
      <c r="K3870" t="b">
        <f>TrafficData[[#This Row],[disposedChallan]]+TrafficData[[#This Row],[pendingChallan]]=TrafficData[[#This Row],[totalChallan]]</f>
        <v>1</v>
      </c>
      <c r="L3870" t="b">
        <f>TrafficData[[#This Row],[pendingAmount]]+TrafficData[[#This Row],[disposedAmount]]=TrafficData[[#This Row],[totalAmount]]</f>
        <v>1</v>
      </c>
      <c r="M3870" t="b">
        <f>TrafficData[[#This Row],[pendingCourt]]+TrafficData[[#This Row],[disposedCourt]]=TrafficData[[#This Row],[totalCourt]]</f>
        <v>1</v>
      </c>
      <c r="N3870" t="b">
        <f>AND(TrafficData[[#This Row],[disposedChallan]]&lt;=TrafficData[[#This Row],[totalChallan]],TrafficData[[#This Row],[pendingChallan]]&lt;=TrafficData[[#This Row],[totalChallan]])</f>
        <v>1</v>
      </c>
      <c r="O3870" t="b">
        <f>AND(TrafficData[[#This Row],[pendingAmount]]&lt;=TrafficData[[#This Row],[totalAmount]],TrafficData[[#This Row],[disposedAmount]]&lt;=TrafficData[[#This Row],[totalAmount]])</f>
        <v>1</v>
      </c>
      <c r="P3870" t="b">
        <f>AND(TrafficData[[#This Row],[pendingCourt]]&lt;=TrafficData[[#This Row],[totalCourt]],TrafficData[[#This Row],[disposedCourt]]&lt;=TrafficData[[#This Row],[totalCourt]])</f>
        <v>1</v>
      </c>
    </row>
    <row r="3871" spans="1:16">
      <c r="A3871" s="1">
        <v>45875</v>
      </c>
      <c r="B3871">
        <v>292681</v>
      </c>
      <c r="C3871">
        <v>66729</v>
      </c>
      <c r="D3871">
        <v>225952</v>
      </c>
      <c r="E3871">
        <v>470319017</v>
      </c>
      <c r="F3871">
        <v>124364385</v>
      </c>
      <c r="G3871">
        <v>594683402</v>
      </c>
      <c r="H3871">
        <v>119485</v>
      </c>
      <c r="I3871">
        <v>4819</v>
      </c>
      <c r="J3871">
        <v>124304</v>
      </c>
      <c r="K3871" t="b">
        <f>TrafficData[[#This Row],[disposedChallan]]+TrafficData[[#This Row],[pendingChallan]]=TrafficData[[#This Row],[totalChallan]]</f>
        <v>1</v>
      </c>
      <c r="L3871" t="b">
        <f>TrafficData[[#This Row],[pendingAmount]]+TrafficData[[#This Row],[disposedAmount]]=TrafficData[[#This Row],[totalAmount]]</f>
        <v>1</v>
      </c>
      <c r="M3871" t="b">
        <f>TrafficData[[#This Row],[pendingCourt]]+TrafficData[[#This Row],[disposedCourt]]=TrafficData[[#This Row],[totalCourt]]</f>
        <v>1</v>
      </c>
      <c r="N3871" t="b">
        <f>AND(TrafficData[[#This Row],[disposedChallan]]&lt;=TrafficData[[#This Row],[totalChallan]],TrafficData[[#This Row],[pendingChallan]]&lt;=TrafficData[[#This Row],[totalChallan]])</f>
        <v>1</v>
      </c>
      <c r="O3871" t="b">
        <f>AND(TrafficData[[#This Row],[pendingAmount]]&lt;=TrafficData[[#This Row],[totalAmount]],TrafficData[[#This Row],[disposedAmount]]&lt;=TrafficData[[#This Row],[totalAmount]])</f>
        <v>1</v>
      </c>
      <c r="P3871" t="b">
        <f>AND(TrafficData[[#This Row],[pendingCourt]]&lt;=TrafficData[[#This Row],[totalCourt]],TrafficData[[#This Row],[disposedCourt]]&lt;=TrafficData[[#This Row],[totalCourt]])</f>
        <v>1</v>
      </c>
    </row>
    <row r="3872" spans="1:16">
      <c r="A3872" s="1">
        <v>45876</v>
      </c>
      <c r="B3872">
        <v>284075</v>
      </c>
      <c r="C3872">
        <v>66693</v>
      </c>
      <c r="D3872">
        <v>217382</v>
      </c>
      <c r="E3872">
        <v>452732144</v>
      </c>
      <c r="F3872">
        <v>123998423</v>
      </c>
      <c r="G3872">
        <v>576730567</v>
      </c>
      <c r="H3872">
        <v>108391</v>
      </c>
      <c r="I3872">
        <v>4527</v>
      </c>
      <c r="J3872">
        <v>112918</v>
      </c>
      <c r="K3872" t="b">
        <f>TrafficData[[#This Row],[disposedChallan]]+TrafficData[[#This Row],[pendingChallan]]=TrafficData[[#This Row],[totalChallan]]</f>
        <v>1</v>
      </c>
      <c r="L3872" t="b">
        <f>TrafficData[[#This Row],[pendingAmount]]+TrafficData[[#This Row],[disposedAmount]]=TrafficData[[#This Row],[totalAmount]]</f>
        <v>1</v>
      </c>
      <c r="M3872" t="b">
        <f>TrafficData[[#This Row],[pendingCourt]]+TrafficData[[#This Row],[disposedCourt]]=TrafficData[[#This Row],[totalCourt]]</f>
        <v>1</v>
      </c>
      <c r="N3872" t="b">
        <f>AND(TrafficData[[#This Row],[disposedChallan]]&lt;=TrafficData[[#This Row],[totalChallan]],TrafficData[[#This Row],[pendingChallan]]&lt;=TrafficData[[#This Row],[totalChallan]])</f>
        <v>1</v>
      </c>
      <c r="O3872" t="b">
        <f>AND(TrafficData[[#This Row],[pendingAmount]]&lt;=TrafficData[[#This Row],[totalAmount]],TrafficData[[#This Row],[disposedAmount]]&lt;=TrafficData[[#This Row],[totalAmount]])</f>
        <v>1</v>
      </c>
      <c r="P3872" t="b">
        <f>AND(TrafficData[[#This Row],[pendingCourt]]&lt;=TrafficData[[#This Row],[totalCourt]],TrafficData[[#This Row],[disposedCourt]]&lt;=TrafficData[[#This Row],[totalCourt]])</f>
        <v>1</v>
      </c>
    </row>
    <row r="3873" spans="1:16">
      <c r="A3873" s="1">
        <v>45877</v>
      </c>
      <c r="B3873">
        <v>259681</v>
      </c>
      <c r="C3873">
        <v>60832</v>
      </c>
      <c r="D3873">
        <v>198849</v>
      </c>
      <c r="E3873">
        <v>417335871</v>
      </c>
      <c r="F3873">
        <v>103289585</v>
      </c>
      <c r="G3873">
        <v>520625456</v>
      </c>
      <c r="H3873">
        <v>98923</v>
      </c>
      <c r="I3873">
        <v>4473</v>
      </c>
      <c r="J3873">
        <v>103396</v>
      </c>
      <c r="K3873" t="b">
        <f>TrafficData[[#This Row],[disposedChallan]]+TrafficData[[#This Row],[pendingChallan]]=TrafficData[[#This Row],[totalChallan]]</f>
        <v>1</v>
      </c>
      <c r="L3873" t="b">
        <f>TrafficData[[#This Row],[pendingAmount]]+TrafficData[[#This Row],[disposedAmount]]=TrafficData[[#This Row],[totalAmount]]</f>
        <v>1</v>
      </c>
      <c r="M3873" t="b">
        <f>TrafficData[[#This Row],[pendingCourt]]+TrafficData[[#This Row],[disposedCourt]]=TrafficData[[#This Row],[totalCourt]]</f>
        <v>1</v>
      </c>
      <c r="N3873" t="b">
        <f>AND(TrafficData[[#This Row],[disposedChallan]]&lt;=TrafficData[[#This Row],[totalChallan]],TrafficData[[#This Row],[pendingChallan]]&lt;=TrafficData[[#This Row],[totalChallan]])</f>
        <v>1</v>
      </c>
      <c r="O3873" t="b">
        <f>AND(TrafficData[[#This Row],[pendingAmount]]&lt;=TrafficData[[#This Row],[totalAmount]],TrafficData[[#This Row],[disposedAmount]]&lt;=TrafficData[[#This Row],[totalAmount]])</f>
        <v>1</v>
      </c>
      <c r="P3873" t="b">
        <f>AND(TrafficData[[#This Row],[pendingCourt]]&lt;=TrafficData[[#This Row],[totalCourt]],TrafficData[[#This Row],[disposedCourt]]&lt;=TrafficData[[#This Row],[totalCourt]])</f>
        <v>1</v>
      </c>
    </row>
    <row r="3874" spans="1:16">
      <c r="A3874" s="1">
        <v>45878</v>
      </c>
      <c r="B3874">
        <v>190385</v>
      </c>
      <c r="C3874">
        <v>46039</v>
      </c>
      <c r="D3874">
        <v>144346</v>
      </c>
      <c r="E3874">
        <v>246636361</v>
      </c>
      <c r="F3874">
        <v>55299633</v>
      </c>
      <c r="G3874">
        <v>301935994</v>
      </c>
      <c r="H3874">
        <v>62382</v>
      </c>
      <c r="I3874">
        <v>2715</v>
      </c>
      <c r="J3874">
        <v>65097</v>
      </c>
      <c r="K3874" t="b">
        <f>TrafficData[[#This Row],[disposedChallan]]+TrafficData[[#This Row],[pendingChallan]]=TrafficData[[#This Row],[totalChallan]]</f>
        <v>1</v>
      </c>
      <c r="L3874" t="b">
        <f>TrafficData[[#This Row],[pendingAmount]]+TrafficData[[#This Row],[disposedAmount]]=TrafficData[[#This Row],[totalAmount]]</f>
        <v>1</v>
      </c>
      <c r="M3874" t="b">
        <f>TrafficData[[#This Row],[pendingCourt]]+TrafficData[[#This Row],[disposedCourt]]=TrafficData[[#This Row],[totalCourt]]</f>
        <v>1</v>
      </c>
      <c r="N3874" t="b">
        <f>AND(TrafficData[[#This Row],[disposedChallan]]&lt;=TrafficData[[#This Row],[totalChallan]],TrafficData[[#This Row],[pendingChallan]]&lt;=TrafficData[[#This Row],[totalChallan]])</f>
        <v>1</v>
      </c>
      <c r="O3874" t="b">
        <f>AND(TrafficData[[#This Row],[pendingAmount]]&lt;=TrafficData[[#This Row],[totalAmount]],TrafficData[[#This Row],[disposedAmount]]&lt;=TrafficData[[#This Row],[totalAmount]])</f>
        <v>1</v>
      </c>
      <c r="P3874" t="b">
        <f>AND(TrafficData[[#This Row],[pendingCourt]]&lt;=TrafficData[[#This Row],[totalCourt]],TrafficData[[#This Row],[disposedCourt]]&lt;=TrafficData[[#This Row],[totalCourt]])</f>
        <v>1</v>
      </c>
    </row>
    <row r="3875" spans="1:16">
      <c r="A3875" s="1">
        <v>45879</v>
      </c>
      <c r="B3875">
        <v>241337</v>
      </c>
      <c r="C3875">
        <v>54155</v>
      </c>
      <c r="D3875">
        <v>187182</v>
      </c>
      <c r="E3875">
        <v>322029931</v>
      </c>
      <c r="F3875">
        <v>63261185</v>
      </c>
      <c r="G3875">
        <v>385291116</v>
      </c>
      <c r="H3875">
        <v>91918</v>
      </c>
      <c r="I3875">
        <v>4051</v>
      </c>
      <c r="J3875">
        <v>95969</v>
      </c>
      <c r="K3875" t="b">
        <f>TrafficData[[#This Row],[disposedChallan]]+TrafficData[[#This Row],[pendingChallan]]=TrafficData[[#This Row],[totalChallan]]</f>
        <v>1</v>
      </c>
      <c r="L3875" t="b">
        <f>TrafficData[[#This Row],[pendingAmount]]+TrafficData[[#This Row],[disposedAmount]]=TrafficData[[#This Row],[totalAmount]]</f>
        <v>1</v>
      </c>
      <c r="M3875" t="b">
        <f>TrafficData[[#This Row],[pendingCourt]]+TrafficData[[#This Row],[disposedCourt]]=TrafficData[[#This Row],[totalCourt]]</f>
        <v>1</v>
      </c>
      <c r="N3875" t="b">
        <f>AND(TrafficData[[#This Row],[disposedChallan]]&lt;=TrafficData[[#This Row],[totalChallan]],TrafficData[[#This Row],[pendingChallan]]&lt;=TrafficData[[#This Row],[totalChallan]])</f>
        <v>1</v>
      </c>
      <c r="O3875" t="b">
        <f>AND(TrafficData[[#This Row],[pendingAmount]]&lt;=TrafficData[[#This Row],[totalAmount]],TrafficData[[#This Row],[disposedAmount]]&lt;=TrafficData[[#This Row],[totalAmount]])</f>
        <v>1</v>
      </c>
      <c r="P3875" t="b">
        <f>AND(TrafficData[[#This Row],[pendingCourt]]&lt;=TrafficData[[#This Row],[totalCourt]],TrafficData[[#This Row],[disposedCourt]]&lt;=TrafficData[[#This Row],[totalCourt]])</f>
        <v>1</v>
      </c>
    </row>
    <row r="3876" spans="1:16">
      <c r="A3876" s="1">
        <v>45880</v>
      </c>
      <c r="B3876">
        <v>268633</v>
      </c>
      <c r="C3876">
        <v>60141</v>
      </c>
      <c r="D3876">
        <v>208492</v>
      </c>
      <c r="E3876">
        <v>386981706</v>
      </c>
      <c r="F3876">
        <v>98591246</v>
      </c>
      <c r="G3876">
        <v>485572952</v>
      </c>
      <c r="H3876">
        <v>113982</v>
      </c>
      <c r="I3876">
        <v>4046</v>
      </c>
      <c r="J3876">
        <v>118028</v>
      </c>
      <c r="K3876" t="b">
        <f>TrafficData[[#This Row],[disposedChallan]]+TrafficData[[#This Row],[pendingChallan]]=TrafficData[[#This Row],[totalChallan]]</f>
        <v>1</v>
      </c>
      <c r="L3876" t="b">
        <f>TrafficData[[#This Row],[pendingAmount]]+TrafficData[[#This Row],[disposedAmount]]=TrafficData[[#This Row],[totalAmount]]</f>
        <v>1</v>
      </c>
      <c r="M3876" t="b">
        <f>TrafficData[[#This Row],[pendingCourt]]+TrafficData[[#This Row],[disposedCourt]]=TrafficData[[#This Row],[totalCourt]]</f>
        <v>1</v>
      </c>
      <c r="N3876" t="b">
        <f>AND(TrafficData[[#This Row],[disposedChallan]]&lt;=TrafficData[[#This Row],[totalChallan]],TrafficData[[#This Row],[pendingChallan]]&lt;=TrafficData[[#This Row],[totalChallan]])</f>
        <v>1</v>
      </c>
      <c r="O3876" t="b">
        <f>AND(TrafficData[[#This Row],[pendingAmount]]&lt;=TrafficData[[#This Row],[totalAmount]],TrafficData[[#This Row],[disposedAmount]]&lt;=TrafficData[[#This Row],[totalAmount]])</f>
        <v>1</v>
      </c>
      <c r="P3876" t="b">
        <f>AND(TrafficData[[#This Row],[pendingCourt]]&lt;=TrafficData[[#This Row],[totalCourt]],TrafficData[[#This Row],[disposedCourt]]&lt;=TrafficData[[#This Row],[totalCourt]])</f>
        <v>1</v>
      </c>
    </row>
    <row r="3877" spans="1:16">
      <c r="A3877" s="1">
        <v>45881</v>
      </c>
      <c r="B3877">
        <v>278353</v>
      </c>
      <c r="C3877">
        <v>62846</v>
      </c>
      <c r="D3877">
        <v>215507</v>
      </c>
      <c r="E3877">
        <v>429681098</v>
      </c>
      <c r="F3877">
        <v>119696573</v>
      </c>
      <c r="G3877">
        <v>549377671</v>
      </c>
      <c r="H3877">
        <v>115072</v>
      </c>
      <c r="I3877">
        <v>4293</v>
      </c>
      <c r="J3877">
        <v>119365</v>
      </c>
      <c r="K3877" t="b">
        <f>TrafficData[[#This Row],[disposedChallan]]+TrafficData[[#This Row],[pendingChallan]]=TrafficData[[#This Row],[totalChallan]]</f>
        <v>1</v>
      </c>
      <c r="L3877" t="b">
        <f>TrafficData[[#This Row],[pendingAmount]]+TrafficData[[#This Row],[disposedAmount]]=TrafficData[[#This Row],[totalAmount]]</f>
        <v>1</v>
      </c>
      <c r="M3877" t="b">
        <f>TrafficData[[#This Row],[pendingCourt]]+TrafficData[[#This Row],[disposedCourt]]=TrafficData[[#This Row],[totalCourt]]</f>
        <v>1</v>
      </c>
      <c r="N3877" t="b">
        <f>AND(TrafficData[[#This Row],[disposedChallan]]&lt;=TrafficData[[#This Row],[totalChallan]],TrafficData[[#This Row],[pendingChallan]]&lt;=TrafficData[[#This Row],[totalChallan]])</f>
        <v>1</v>
      </c>
      <c r="O3877" t="b">
        <f>AND(TrafficData[[#This Row],[pendingAmount]]&lt;=TrafficData[[#This Row],[totalAmount]],TrafficData[[#This Row],[disposedAmount]]&lt;=TrafficData[[#This Row],[totalAmount]])</f>
        <v>1</v>
      </c>
      <c r="P3877" t="b">
        <f>AND(TrafficData[[#This Row],[pendingCourt]]&lt;=TrafficData[[#This Row],[totalCourt]],TrafficData[[#This Row],[disposedCourt]]&lt;=TrafficData[[#This Row],[totalCourt]])</f>
        <v>1</v>
      </c>
    </row>
    <row r="3878" spans="1:16">
      <c r="A3878" s="1">
        <v>45882</v>
      </c>
      <c r="B3878">
        <v>250333</v>
      </c>
      <c r="C3878">
        <v>56028</v>
      </c>
      <c r="D3878">
        <v>194305</v>
      </c>
      <c r="E3878">
        <v>384223978</v>
      </c>
      <c r="F3878">
        <v>113765349</v>
      </c>
      <c r="G3878">
        <v>497989327</v>
      </c>
      <c r="H3878">
        <v>102034</v>
      </c>
      <c r="I3878">
        <v>3723</v>
      </c>
      <c r="J3878">
        <v>105757</v>
      </c>
      <c r="K3878" t="b">
        <f>TrafficData[[#This Row],[disposedChallan]]+TrafficData[[#This Row],[pendingChallan]]=TrafficData[[#This Row],[totalChallan]]</f>
        <v>1</v>
      </c>
      <c r="L3878" t="b">
        <f>TrafficData[[#This Row],[pendingAmount]]+TrafficData[[#This Row],[disposedAmount]]=TrafficData[[#This Row],[totalAmount]]</f>
        <v>1</v>
      </c>
      <c r="M3878" t="b">
        <f>TrafficData[[#This Row],[pendingCourt]]+TrafficData[[#This Row],[disposedCourt]]=TrafficData[[#This Row],[totalCourt]]</f>
        <v>1</v>
      </c>
      <c r="N3878" t="b">
        <f>AND(TrafficData[[#This Row],[disposedChallan]]&lt;=TrafficData[[#This Row],[totalChallan]],TrafficData[[#This Row],[pendingChallan]]&lt;=TrafficData[[#This Row],[totalChallan]])</f>
        <v>1</v>
      </c>
      <c r="O3878" t="b">
        <f>AND(TrafficData[[#This Row],[pendingAmount]]&lt;=TrafficData[[#This Row],[totalAmount]],TrafficData[[#This Row],[disposedAmount]]&lt;=TrafficData[[#This Row],[totalAmount]])</f>
        <v>1</v>
      </c>
      <c r="P3878" t="b">
        <f>AND(TrafficData[[#This Row],[pendingCourt]]&lt;=TrafficData[[#This Row],[totalCourt]],TrafficData[[#This Row],[disposedCourt]]&lt;=TrafficData[[#This Row],[totalCourt]])</f>
        <v>1</v>
      </c>
    </row>
    <row r="3879" spans="1:16">
      <c r="A3879" s="1">
        <v>45883</v>
      </c>
      <c r="B3879">
        <v>244744</v>
      </c>
      <c r="C3879">
        <v>54983</v>
      </c>
      <c r="D3879">
        <v>189761</v>
      </c>
      <c r="E3879">
        <v>361226956</v>
      </c>
      <c r="F3879">
        <v>102425322</v>
      </c>
      <c r="G3879">
        <v>463652278</v>
      </c>
      <c r="H3879">
        <v>91502</v>
      </c>
      <c r="I3879">
        <v>3430</v>
      </c>
      <c r="J3879">
        <v>94932</v>
      </c>
      <c r="K3879" t="b">
        <f>TrafficData[[#This Row],[disposedChallan]]+TrafficData[[#This Row],[pendingChallan]]=TrafficData[[#This Row],[totalChallan]]</f>
        <v>1</v>
      </c>
      <c r="L3879" t="b">
        <f>TrafficData[[#This Row],[pendingAmount]]+TrafficData[[#This Row],[disposedAmount]]=TrafficData[[#This Row],[totalAmount]]</f>
        <v>1</v>
      </c>
      <c r="M3879" t="b">
        <f>TrafficData[[#This Row],[pendingCourt]]+TrafficData[[#This Row],[disposedCourt]]=TrafficData[[#This Row],[totalCourt]]</f>
        <v>1</v>
      </c>
      <c r="N3879" t="b">
        <f>AND(TrafficData[[#This Row],[disposedChallan]]&lt;=TrafficData[[#This Row],[totalChallan]],TrafficData[[#This Row],[pendingChallan]]&lt;=TrafficData[[#This Row],[totalChallan]])</f>
        <v>1</v>
      </c>
      <c r="O3879" t="b">
        <f>AND(TrafficData[[#This Row],[pendingAmount]]&lt;=TrafficData[[#This Row],[totalAmount]],TrafficData[[#This Row],[disposedAmount]]&lt;=TrafficData[[#This Row],[totalAmount]])</f>
        <v>1</v>
      </c>
      <c r="P3879" t="b">
        <f>AND(TrafficData[[#This Row],[pendingCourt]]&lt;=TrafficData[[#This Row],[totalCourt]],TrafficData[[#This Row],[disposedCourt]]&lt;=TrafficData[[#This Row],[totalCourt]])</f>
        <v>1</v>
      </c>
    </row>
    <row r="3880" spans="1:16">
      <c r="A3880" s="1">
        <v>45884</v>
      </c>
      <c r="B3880">
        <v>175714</v>
      </c>
      <c r="C3880">
        <v>37768</v>
      </c>
      <c r="D3880">
        <v>137946</v>
      </c>
      <c r="E3880">
        <v>252075667</v>
      </c>
      <c r="F3880">
        <v>48317146</v>
      </c>
      <c r="G3880">
        <v>300392813</v>
      </c>
      <c r="H3880">
        <v>60880</v>
      </c>
      <c r="I3880">
        <v>2683</v>
      </c>
      <c r="J3880">
        <v>63563</v>
      </c>
      <c r="K3880" t="b">
        <f>TrafficData[[#This Row],[disposedChallan]]+TrafficData[[#This Row],[pendingChallan]]=TrafficData[[#This Row],[totalChallan]]</f>
        <v>1</v>
      </c>
      <c r="L3880" t="b">
        <f>TrafficData[[#This Row],[pendingAmount]]+TrafficData[[#This Row],[disposedAmount]]=TrafficData[[#This Row],[totalAmount]]</f>
        <v>1</v>
      </c>
      <c r="M3880" t="b">
        <f>TrafficData[[#This Row],[pendingCourt]]+TrafficData[[#This Row],[disposedCourt]]=TrafficData[[#This Row],[totalCourt]]</f>
        <v>1</v>
      </c>
      <c r="N3880" t="b">
        <f>AND(TrafficData[[#This Row],[disposedChallan]]&lt;=TrafficData[[#This Row],[totalChallan]],TrafficData[[#This Row],[pendingChallan]]&lt;=TrafficData[[#This Row],[totalChallan]])</f>
        <v>1</v>
      </c>
      <c r="O3880" t="b">
        <f>AND(TrafficData[[#This Row],[pendingAmount]]&lt;=TrafficData[[#This Row],[totalAmount]],TrafficData[[#This Row],[disposedAmount]]&lt;=TrafficData[[#This Row],[totalAmount]])</f>
        <v>1</v>
      </c>
      <c r="P3880" t="b">
        <f>AND(TrafficData[[#This Row],[pendingCourt]]&lt;=TrafficData[[#This Row],[totalCourt]],TrafficData[[#This Row],[disposedCourt]]&lt;=TrafficData[[#This Row],[totalCourt]])</f>
        <v>1</v>
      </c>
    </row>
    <row r="3881" spans="1:16">
      <c r="A3881" s="1">
        <v>45885</v>
      </c>
      <c r="B3881">
        <v>233623</v>
      </c>
      <c r="C3881">
        <v>52570</v>
      </c>
      <c r="D3881">
        <v>181053</v>
      </c>
      <c r="E3881">
        <v>355751786</v>
      </c>
      <c r="F3881">
        <v>70784539</v>
      </c>
      <c r="G3881">
        <v>426536325</v>
      </c>
      <c r="H3881">
        <v>93463</v>
      </c>
      <c r="I3881">
        <v>3910</v>
      </c>
      <c r="J3881">
        <v>97373</v>
      </c>
      <c r="K3881" t="b">
        <f>TrafficData[[#This Row],[disposedChallan]]+TrafficData[[#This Row],[pendingChallan]]=TrafficData[[#This Row],[totalChallan]]</f>
        <v>1</v>
      </c>
      <c r="L3881" t="b">
        <f>TrafficData[[#This Row],[pendingAmount]]+TrafficData[[#This Row],[disposedAmount]]=TrafficData[[#This Row],[totalAmount]]</f>
        <v>1</v>
      </c>
      <c r="M3881" t="b">
        <f>TrafficData[[#This Row],[pendingCourt]]+TrafficData[[#This Row],[disposedCourt]]=TrafficData[[#This Row],[totalCourt]]</f>
        <v>1</v>
      </c>
      <c r="N3881" t="b">
        <f>AND(TrafficData[[#This Row],[disposedChallan]]&lt;=TrafficData[[#This Row],[totalChallan]],TrafficData[[#This Row],[pendingChallan]]&lt;=TrafficData[[#This Row],[totalChallan]])</f>
        <v>1</v>
      </c>
      <c r="O3881" t="b">
        <f>AND(TrafficData[[#This Row],[pendingAmount]]&lt;=TrafficData[[#This Row],[totalAmount]],TrafficData[[#This Row],[disposedAmount]]&lt;=TrafficData[[#This Row],[totalAmount]])</f>
        <v>1</v>
      </c>
      <c r="P3881" t="b">
        <f>AND(TrafficData[[#This Row],[pendingCourt]]&lt;=TrafficData[[#This Row],[totalCourt]],TrafficData[[#This Row],[disposedCourt]]&lt;=TrafficData[[#This Row],[totalCourt]])</f>
        <v>1</v>
      </c>
    </row>
    <row r="3882" spans="1:16">
      <c r="A3882" s="1">
        <v>45886</v>
      </c>
      <c r="B3882">
        <v>219945</v>
      </c>
      <c r="C3882">
        <v>49695</v>
      </c>
      <c r="D3882">
        <v>170250</v>
      </c>
      <c r="E3882">
        <v>320139097</v>
      </c>
      <c r="F3882">
        <v>66788811</v>
      </c>
      <c r="G3882">
        <v>386927908</v>
      </c>
      <c r="H3882">
        <v>88264</v>
      </c>
      <c r="I3882">
        <v>3617</v>
      </c>
      <c r="J3882">
        <v>91881</v>
      </c>
      <c r="K3882" t="b">
        <f>TrafficData[[#This Row],[disposedChallan]]+TrafficData[[#This Row],[pendingChallan]]=TrafficData[[#This Row],[totalChallan]]</f>
        <v>1</v>
      </c>
      <c r="L3882" t="b">
        <f>TrafficData[[#This Row],[pendingAmount]]+TrafficData[[#This Row],[disposedAmount]]=TrafficData[[#This Row],[totalAmount]]</f>
        <v>1</v>
      </c>
      <c r="M3882" t="b">
        <f>TrafficData[[#This Row],[pendingCourt]]+TrafficData[[#This Row],[disposedCourt]]=TrafficData[[#This Row],[totalCourt]]</f>
        <v>1</v>
      </c>
      <c r="N3882" t="b">
        <f>AND(TrafficData[[#This Row],[disposedChallan]]&lt;=TrafficData[[#This Row],[totalChallan]],TrafficData[[#This Row],[pendingChallan]]&lt;=TrafficData[[#This Row],[totalChallan]])</f>
        <v>1</v>
      </c>
      <c r="O3882" t="b">
        <f>AND(TrafficData[[#This Row],[pendingAmount]]&lt;=TrafficData[[#This Row],[totalAmount]],TrafficData[[#This Row],[disposedAmount]]&lt;=TrafficData[[#This Row],[totalAmount]])</f>
        <v>1</v>
      </c>
      <c r="P3882" t="b">
        <f>AND(TrafficData[[#This Row],[pendingCourt]]&lt;=TrafficData[[#This Row],[totalCourt]],TrafficData[[#This Row],[disposedCourt]]&lt;=TrafficData[[#This Row],[totalCourt]])</f>
        <v>1</v>
      </c>
    </row>
    <row r="3883" spans="1:16">
      <c r="A3883" s="1">
        <v>45887</v>
      </c>
      <c r="B3883">
        <v>236884</v>
      </c>
      <c r="C3883">
        <v>51694</v>
      </c>
      <c r="D3883">
        <v>185190</v>
      </c>
      <c r="E3883">
        <v>388456039</v>
      </c>
      <c r="F3883">
        <v>91106877</v>
      </c>
      <c r="G3883">
        <v>479562916</v>
      </c>
      <c r="H3883">
        <v>95578</v>
      </c>
      <c r="I3883">
        <v>3966</v>
      </c>
      <c r="J3883">
        <v>99544</v>
      </c>
      <c r="K3883" t="b">
        <f>TrafficData[[#This Row],[disposedChallan]]+TrafficData[[#This Row],[pendingChallan]]=TrafficData[[#This Row],[totalChallan]]</f>
        <v>1</v>
      </c>
      <c r="L3883" t="b">
        <f>TrafficData[[#This Row],[pendingAmount]]+TrafficData[[#This Row],[disposedAmount]]=TrafficData[[#This Row],[totalAmount]]</f>
        <v>1</v>
      </c>
      <c r="M3883" t="b">
        <f>TrafficData[[#This Row],[pendingCourt]]+TrafficData[[#This Row],[disposedCourt]]=TrafficData[[#This Row],[totalCourt]]</f>
        <v>1</v>
      </c>
      <c r="N3883" t="b">
        <f>AND(TrafficData[[#This Row],[disposedChallan]]&lt;=TrafficData[[#This Row],[totalChallan]],TrafficData[[#This Row],[pendingChallan]]&lt;=TrafficData[[#This Row],[totalChallan]])</f>
        <v>1</v>
      </c>
      <c r="O3883" t="b">
        <f>AND(TrafficData[[#This Row],[pendingAmount]]&lt;=TrafficData[[#This Row],[totalAmount]],TrafficData[[#This Row],[disposedAmount]]&lt;=TrafficData[[#This Row],[totalAmount]])</f>
        <v>1</v>
      </c>
      <c r="P3883" t="b">
        <f>AND(TrafficData[[#This Row],[pendingCourt]]&lt;=TrafficData[[#This Row],[totalCourt]],TrafficData[[#This Row],[disposedCourt]]&lt;=TrafficData[[#This Row],[totalCourt]])</f>
        <v>1</v>
      </c>
    </row>
    <row r="3884" spans="1:16">
      <c r="A3884" s="1">
        <v>45888</v>
      </c>
      <c r="B3884">
        <v>270092</v>
      </c>
      <c r="C3884">
        <v>61145</v>
      </c>
      <c r="D3884">
        <v>208947</v>
      </c>
      <c r="E3884">
        <v>439451963</v>
      </c>
      <c r="F3884">
        <v>117016560</v>
      </c>
      <c r="G3884">
        <v>556468523</v>
      </c>
      <c r="H3884">
        <v>112566</v>
      </c>
      <c r="I3884">
        <v>4622</v>
      </c>
      <c r="J3884">
        <v>117188</v>
      </c>
      <c r="K3884" t="b">
        <f>TrafficData[[#This Row],[disposedChallan]]+TrafficData[[#This Row],[pendingChallan]]=TrafficData[[#This Row],[totalChallan]]</f>
        <v>1</v>
      </c>
      <c r="L3884" t="b">
        <f>TrafficData[[#This Row],[pendingAmount]]+TrafficData[[#This Row],[disposedAmount]]=TrafficData[[#This Row],[totalAmount]]</f>
        <v>1</v>
      </c>
      <c r="M3884" t="b">
        <f>TrafficData[[#This Row],[pendingCourt]]+TrafficData[[#This Row],[disposedCourt]]=TrafficData[[#This Row],[totalCourt]]</f>
        <v>1</v>
      </c>
      <c r="N3884" t="b">
        <f>AND(TrafficData[[#This Row],[disposedChallan]]&lt;=TrafficData[[#This Row],[totalChallan]],TrafficData[[#This Row],[pendingChallan]]&lt;=TrafficData[[#This Row],[totalChallan]])</f>
        <v>1</v>
      </c>
      <c r="O3884" t="b">
        <f>AND(TrafficData[[#This Row],[pendingAmount]]&lt;=TrafficData[[#This Row],[totalAmount]],TrafficData[[#This Row],[disposedAmount]]&lt;=TrafficData[[#This Row],[totalAmount]])</f>
        <v>1</v>
      </c>
      <c r="P3884" t="b">
        <f>AND(TrafficData[[#This Row],[pendingCourt]]&lt;=TrafficData[[#This Row],[totalCourt]],TrafficData[[#This Row],[disposedCourt]]&lt;=TrafficData[[#This Row],[totalCourt]])</f>
        <v>1</v>
      </c>
    </row>
    <row r="3885" spans="1:16">
      <c r="A3885" s="1">
        <v>45889</v>
      </c>
      <c r="B3885">
        <v>275790</v>
      </c>
      <c r="C3885">
        <v>61261</v>
      </c>
      <c r="D3885">
        <v>214529</v>
      </c>
      <c r="E3885">
        <v>440370902</v>
      </c>
      <c r="F3885">
        <v>114938934</v>
      </c>
      <c r="G3885">
        <v>555309836</v>
      </c>
      <c r="H3885">
        <v>113765</v>
      </c>
      <c r="I3885">
        <v>4755</v>
      </c>
      <c r="J3885">
        <v>118520</v>
      </c>
      <c r="K3885" t="b">
        <f>TrafficData[[#This Row],[disposedChallan]]+TrafficData[[#This Row],[pendingChallan]]=TrafficData[[#This Row],[totalChallan]]</f>
        <v>1</v>
      </c>
      <c r="L3885" t="b">
        <f>TrafficData[[#This Row],[pendingAmount]]+TrafficData[[#This Row],[disposedAmount]]=TrafficData[[#This Row],[totalAmount]]</f>
        <v>1</v>
      </c>
      <c r="M3885" t="b">
        <f>TrafficData[[#This Row],[pendingCourt]]+TrafficData[[#This Row],[disposedCourt]]=TrafficData[[#This Row],[totalCourt]]</f>
        <v>1</v>
      </c>
      <c r="N3885" t="b">
        <f>AND(TrafficData[[#This Row],[disposedChallan]]&lt;=TrafficData[[#This Row],[totalChallan]],TrafficData[[#This Row],[pendingChallan]]&lt;=TrafficData[[#This Row],[totalChallan]])</f>
        <v>1</v>
      </c>
      <c r="O3885" t="b">
        <f>AND(TrafficData[[#This Row],[pendingAmount]]&lt;=TrafficData[[#This Row],[totalAmount]],TrafficData[[#This Row],[disposedAmount]]&lt;=TrafficData[[#This Row],[totalAmount]])</f>
        <v>1</v>
      </c>
      <c r="P3885" t="b">
        <f>AND(TrafficData[[#This Row],[pendingCourt]]&lt;=TrafficData[[#This Row],[totalCourt]],TrafficData[[#This Row],[disposedCourt]]&lt;=TrafficData[[#This Row],[totalCourt]])</f>
        <v>1</v>
      </c>
    </row>
    <row r="3886" spans="1:16">
      <c r="A3886" s="1">
        <v>45890</v>
      </c>
      <c r="B3886">
        <v>268357</v>
      </c>
      <c r="C3886">
        <v>60773</v>
      </c>
      <c r="D3886">
        <v>207584</v>
      </c>
      <c r="E3886">
        <v>434754748</v>
      </c>
      <c r="F3886">
        <v>112013319</v>
      </c>
      <c r="G3886">
        <v>546768067</v>
      </c>
      <c r="H3886">
        <v>110652</v>
      </c>
      <c r="I3886">
        <v>4561</v>
      </c>
      <c r="J3886">
        <v>115213</v>
      </c>
      <c r="K3886" t="b">
        <f>TrafficData[[#This Row],[disposedChallan]]+TrafficData[[#This Row],[pendingChallan]]=TrafficData[[#This Row],[totalChallan]]</f>
        <v>1</v>
      </c>
      <c r="L3886" t="b">
        <f>TrafficData[[#This Row],[pendingAmount]]+TrafficData[[#This Row],[disposedAmount]]=TrafficData[[#This Row],[totalAmount]]</f>
        <v>1</v>
      </c>
      <c r="M3886" t="b">
        <f>TrafficData[[#This Row],[pendingCourt]]+TrafficData[[#This Row],[disposedCourt]]=TrafficData[[#This Row],[totalCourt]]</f>
        <v>1</v>
      </c>
      <c r="N3886" t="b">
        <f>AND(TrafficData[[#This Row],[disposedChallan]]&lt;=TrafficData[[#This Row],[totalChallan]],TrafficData[[#This Row],[pendingChallan]]&lt;=TrafficData[[#This Row],[totalChallan]])</f>
        <v>1</v>
      </c>
      <c r="O3886" t="b">
        <f>AND(TrafficData[[#This Row],[pendingAmount]]&lt;=TrafficData[[#This Row],[totalAmount]],TrafficData[[#This Row],[disposedAmount]]&lt;=TrafficData[[#This Row],[totalAmount]])</f>
        <v>1</v>
      </c>
      <c r="P3886" t="b">
        <f>AND(TrafficData[[#This Row],[pendingCourt]]&lt;=TrafficData[[#This Row],[totalCourt]],TrafficData[[#This Row],[disposedCourt]]&lt;=TrafficData[[#This Row],[totalCourt]])</f>
        <v>1</v>
      </c>
    </row>
    <row r="3887" spans="1:16">
      <c r="A3887" s="1">
        <v>45891</v>
      </c>
      <c r="B3887">
        <v>278109</v>
      </c>
      <c r="C3887">
        <v>61225</v>
      </c>
      <c r="D3887">
        <v>216884</v>
      </c>
      <c r="E3887">
        <v>439861697</v>
      </c>
      <c r="F3887">
        <v>109608169</v>
      </c>
      <c r="G3887">
        <v>549469866</v>
      </c>
      <c r="H3887">
        <v>115734</v>
      </c>
      <c r="I3887">
        <v>5004</v>
      </c>
      <c r="J3887">
        <v>120738</v>
      </c>
      <c r="K3887" t="b">
        <f>TrafficData[[#This Row],[disposedChallan]]+TrafficData[[#This Row],[pendingChallan]]=TrafficData[[#This Row],[totalChallan]]</f>
        <v>1</v>
      </c>
      <c r="L3887" t="b">
        <f>TrafficData[[#This Row],[pendingAmount]]+TrafficData[[#This Row],[disposedAmount]]=TrafficData[[#This Row],[totalAmount]]</f>
        <v>1</v>
      </c>
      <c r="M3887" t="b">
        <f>TrafficData[[#This Row],[pendingCourt]]+TrafficData[[#This Row],[disposedCourt]]=TrafficData[[#This Row],[totalCourt]]</f>
        <v>1</v>
      </c>
      <c r="N3887" t="b">
        <f>AND(TrafficData[[#This Row],[disposedChallan]]&lt;=TrafficData[[#This Row],[totalChallan]],TrafficData[[#This Row],[pendingChallan]]&lt;=TrafficData[[#This Row],[totalChallan]])</f>
        <v>1</v>
      </c>
      <c r="O3887" t="b">
        <f>AND(TrafficData[[#This Row],[pendingAmount]]&lt;=TrafficData[[#This Row],[totalAmount]],TrafficData[[#This Row],[disposedAmount]]&lt;=TrafficData[[#This Row],[totalAmount]])</f>
        <v>1</v>
      </c>
      <c r="P3887" t="b">
        <f>AND(TrafficData[[#This Row],[pendingCourt]]&lt;=TrafficData[[#This Row],[totalCourt]],TrafficData[[#This Row],[disposedCourt]]&lt;=TrafficData[[#This Row],[totalCourt]])</f>
        <v>1</v>
      </c>
    </row>
    <row r="3888" spans="1:16">
      <c r="A3888" s="1">
        <v>45892</v>
      </c>
      <c r="B3888">
        <v>263401</v>
      </c>
      <c r="C3888">
        <v>59489</v>
      </c>
      <c r="D3888">
        <v>203912</v>
      </c>
      <c r="E3888">
        <v>384045990</v>
      </c>
      <c r="F3888">
        <v>95199063</v>
      </c>
      <c r="G3888">
        <v>479245053</v>
      </c>
      <c r="H3888">
        <v>102376</v>
      </c>
      <c r="I3888">
        <v>4597</v>
      </c>
      <c r="J3888">
        <v>106973</v>
      </c>
      <c r="K3888" t="b">
        <f>TrafficData[[#This Row],[disposedChallan]]+TrafficData[[#This Row],[pendingChallan]]=TrafficData[[#This Row],[totalChallan]]</f>
        <v>1</v>
      </c>
      <c r="L3888" t="b">
        <f>TrafficData[[#This Row],[pendingAmount]]+TrafficData[[#This Row],[disposedAmount]]=TrafficData[[#This Row],[totalAmount]]</f>
        <v>1</v>
      </c>
      <c r="M3888" t="b">
        <f>TrafficData[[#This Row],[pendingCourt]]+TrafficData[[#This Row],[disposedCourt]]=TrafficData[[#This Row],[totalCourt]]</f>
        <v>1</v>
      </c>
      <c r="N3888" t="b">
        <f>AND(TrafficData[[#This Row],[disposedChallan]]&lt;=TrafficData[[#This Row],[totalChallan]],TrafficData[[#This Row],[pendingChallan]]&lt;=TrafficData[[#This Row],[totalChallan]])</f>
        <v>1</v>
      </c>
      <c r="O3888" t="b">
        <f>AND(TrafficData[[#This Row],[pendingAmount]]&lt;=TrafficData[[#This Row],[totalAmount]],TrafficData[[#This Row],[disposedAmount]]&lt;=TrafficData[[#This Row],[totalAmount]])</f>
        <v>1</v>
      </c>
      <c r="P3888" t="b">
        <f>AND(TrafficData[[#This Row],[pendingCourt]]&lt;=TrafficData[[#This Row],[totalCourt]],TrafficData[[#This Row],[disposedCourt]]&lt;=TrafficData[[#This Row],[totalCourt]])</f>
        <v>1</v>
      </c>
    </row>
    <row r="3889" spans="1:16">
      <c r="A3889" s="1">
        <v>45893</v>
      </c>
      <c r="B3889">
        <v>231341</v>
      </c>
      <c r="C3889">
        <v>51002</v>
      </c>
      <c r="D3889">
        <v>180339</v>
      </c>
      <c r="E3889">
        <v>310837445</v>
      </c>
      <c r="F3889">
        <v>68436142</v>
      </c>
      <c r="G3889">
        <v>379273587</v>
      </c>
      <c r="H3889">
        <v>89487</v>
      </c>
      <c r="I3889">
        <v>3802</v>
      </c>
      <c r="J3889">
        <v>93289</v>
      </c>
      <c r="K3889" t="b">
        <f>TrafficData[[#This Row],[disposedChallan]]+TrafficData[[#This Row],[pendingChallan]]=TrafficData[[#This Row],[totalChallan]]</f>
        <v>1</v>
      </c>
      <c r="L3889" t="b">
        <f>TrafficData[[#This Row],[pendingAmount]]+TrafficData[[#This Row],[disposedAmount]]=TrafficData[[#This Row],[totalAmount]]</f>
        <v>1</v>
      </c>
      <c r="M3889" t="b">
        <f>TrafficData[[#This Row],[pendingCourt]]+TrafficData[[#This Row],[disposedCourt]]=TrafficData[[#This Row],[totalCourt]]</f>
        <v>1</v>
      </c>
      <c r="N3889" t="b">
        <f>AND(TrafficData[[#This Row],[disposedChallan]]&lt;=TrafficData[[#This Row],[totalChallan]],TrafficData[[#This Row],[pendingChallan]]&lt;=TrafficData[[#This Row],[totalChallan]])</f>
        <v>1</v>
      </c>
      <c r="O3889" t="b">
        <f>AND(TrafficData[[#This Row],[pendingAmount]]&lt;=TrafficData[[#This Row],[totalAmount]],TrafficData[[#This Row],[disposedAmount]]&lt;=TrafficData[[#This Row],[totalAmount]])</f>
        <v>1</v>
      </c>
      <c r="P3889" t="b">
        <f>AND(TrafficData[[#This Row],[pendingCourt]]&lt;=TrafficData[[#This Row],[totalCourt]],TrafficData[[#This Row],[disposedCourt]]&lt;=TrafficData[[#This Row],[totalCourt]])</f>
        <v>1</v>
      </c>
    </row>
    <row r="3890" spans="1:16">
      <c r="A3890" s="1">
        <v>45894</v>
      </c>
      <c r="B3890">
        <v>263953</v>
      </c>
      <c r="C3890">
        <v>56436</v>
      </c>
      <c r="D3890">
        <v>207517</v>
      </c>
      <c r="E3890">
        <v>410493864</v>
      </c>
      <c r="F3890">
        <v>93477212</v>
      </c>
      <c r="G3890">
        <v>503971076</v>
      </c>
      <c r="H3890">
        <v>100554</v>
      </c>
      <c r="I3890">
        <v>4079</v>
      </c>
      <c r="J3890">
        <v>104633</v>
      </c>
      <c r="K3890" t="b">
        <f>TrafficData[[#This Row],[disposedChallan]]+TrafficData[[#This Row],[pendingChallan]]=TrafficData[[#This Row],[totalChallan]]</f>
        <v>1</v>
      </c>
      <c r="L3890" t="b">
        <f>TrafficData[[#This Row],[pendingAmount]]+TrafficData[[#This Row],[disposedAmount]]=TrafficData[[#This Row],[totalAmount]]</f>
        <v>1</v>
      </c>
      <c r="M3890" t="b">
        <f>TrafficData[[#This Row],[pendingCourt]]+TrafficData[[#This Row],[disposedCourt]]=TrafficData[[#This Row],[totalCourt]]</f>
        <v>1</v>
      </c>
      <c r="N3890" t="b">
        <f>AND(TrafficData[[#This Row],[disposedChallan]]&lt;=TrafficData[[#This Row],[totalChallan]],TrafficData[[#This Row],[pendingChallan]]&lt;=TrafficData[[#This Row],[totalChallan]])</f>
        <v>1</v>
      </c>
      <c r="O3890" t="b">
        <f>AND(TrafficData[[#This Row],[pendingAmount]]&lt;=TrafficData[[#This Row],[totalAmount]],TrafficData[[#This Row],[disposedAmount]]&lt;=TrafficData[[#This Row],[totalAmount]])</f>
        <v>1</v>
      </c>
      <c r="P3890" t="b">
        <f>AND(TrafficData[[#This Row],[pendingCourt]]&lt;=TrafficData[[#This Row],[totalCourt]],TrafficData[[#This Row],[disposedCourt]]&lt;=TrafficData[[#This Row],[totalCourt]])</f>
        <v>1</v>
      </c>
    </row>
    <row r="3891" spans="1:16">
      <c r="A3891" s="1">
        <v>45895</v>
      </c>
      <c r="B3891">
        <v>268059</v>
      </c>
      <c r="C3891">
        <v>55537</v>
      </c>
      <c r="D3891">
        <v>212522</v>
      </c>
      <c r="E3891">
        <v>414772172</v>
      </c>
      <c r="F3891">
        <v>99274680</v>
      </c>
      <c r="G3891">
        <v>514046852</v>
      </c>
      <c r="H3891">
        <v>100865</v>
      </c>
      <c r="I3891">
        <v>4027</v>
      </c>
      <c r="J3891">
        <v>104892</v>
      </c>
      <c r="K3891" t="b">
        <f>TrafficData[[#This Row],[disposedChallan]]+TrafficData[[#This Row],[pendingChallan]]=TrafficData[[#This Row],[totalChallan]]</f>
        <v>1</v>
      </c>
      <c r="L3891" t="b">
        <f>TrafficData[[#This Row],[pendingAmount]]+TrafficData[[#This Row],[disposedAmount]]=TrafficData[[#This Row],[totalAmount]]</f>
        <v>1</v>
      </c>
      <c r="M3891" t="b">
        <f>TrafficData[[#This Row],[pendingCourt]]+TrafficData[[#This Row],[disposedCourt]]=TrafficData[[#This Row],[totalCourt]]</f>
        <v>1</v>
      </c>
      <c r="N3891" t="b">
        <f>AND(TrafficData[[#This Row],[disposedChallan]]&lt;=TrafficData[[#This Row],[totalChallan]],TrafficData[[#This Row],[pendingChallan]]&lt;=TrafficData[[#This Row],[totalChallan]])</f>
        <v>1</v>
      </c>
      <c r="O3891" t="b">
        <f>AND(TrafficData[[#This Row],[pendingAmount]]&lt;=TrafficData[[#This Row],[totalAmount]],TrafficData[[#This Row],[disposedAmount]]&lt;=TrafficData[[#This Row],[totalAmount]])</f>
        <v>1</v>
      </c>
      <c r="P3891" t="b">
        <f>AND(TrafficData[[#This Row],[pendingCourt]]&lt;=TrafficData[[#This Row],[totalCourt]],TrafficData[[#This Row],[disposedCourt]]&lt;=TrafficData[[#This Row],[totalCourt]])</f>
        <v>1</v>
      </c>
    </row>
    <row r="3892" spans="1:16">
      <c r="A3892" s="1">
        <v>45896</v>
      </c>
      <c r="B3892">
        <v>247663</v>
      </c>
      <c r="C3892">
        <v>49683</v>
      </c>
      <c r="D3892">
        <v>197980</v>
      </c>
      <c r="E3892">
        <v>388632463</v>
      </c>
      <c r="F3892">
        <v>86580528</v>
      </c>
      <c r="G3892">
        <v>475212991</v>
      </c>
      <c r="H3892">
        <v>72307</v>
      </c>
      <c r="I3892">
        <v>3352</v>
      </c>
      <c r="J3892">
        <v>75659</v>
      </c>
      <c r="K3892" t="b">
        <f>TrafficData[[#This Row],[disposedChallan]]+TrafficData[[#This Row],[pendingChallan]]=TrafficData[[#This Row],[totalChallan]]</f>
        <v>1</v>
      </c>
      <c r="L3892" t="b">
        <f>TrafficData[[#This Row],[pendingAmount]]+TrafficData[[#This Row],[disposedAmount]]=TrafficData[[#This Row],[totalAmount]]</f>
        <v>1</v>
      </c>
      <c r="M3892" t="b">
        <f>TrafficData[[#This Row],[pendingCourt]]+TrafficData[[#This Row],[disposedCourt]]=TrafficData[[#This Row],[totalCourt]]</f>
        <v>1</v>
      </c>
      <c r="N3892" t="b">
        <f>AND(TrafficData[[#This Row],[disposedChallan]]&lt;=TrafficData[[#This Row],[totalChallan]],TrafficData[[#This Row],[pendingChallan]]&lt;=TrafficData[[#This Row],[totalChallan]])</f>
        <v>1</v>
      </c>
      <c r="O3892" t="b">
        <f>AND(TrafficData[[#This Row],[pendingAmount]]&lt;=TrafficData[[#This Row],[totalAmount]],TrafficData[[#This Row],[disposedAmount]]&lt;=TrafficData[[#This Row],[totalAmount]])</f>
        <v>1</v>
      </c>
      <c r="P3892" t="b">
        <f>AND(TrafficData[[#This Row],[pendingCourt]]&lt;=TrafficData[[#This Row],[totalCourt]],TrafficData[[#This Row],[disposedCourt]]&lt;=TrafficData[[#This Row],[totalCourt]])</f>
        <v>1</v>
      </c>
    </row>
    <row r="3893" spans="1:16">
      <c r="A3893" s="1">
        <v>45897</v>
      </c>
      <c r="B3893">
        <v>249726</v>
      </c>
      <c r="C3893">
        <v>53408</v>
      </c>
      <c r="D3893">
        <v>196318</v>
      </c>
      <c r="E3893">
        <v>398245152</v>
      </c>
      <c r="F3893">
        <v>91042472</v>
      </c>
      <c r="G3893">
        <v>489287624</v>
      </c>
      <c r="H3893">
        <v>108013</v>
      </c>
      <c r="I3893">
        <v>3940</v>
      </c>
      <c r="J3893">
        <v>111953</v>
      </c>
      <c r="K3893" t="b">
        <f>TrafficData[[#This Row],[disposedChallan]]+TrafficData[[#This Row],[pendingChallan]]=TrafficData[[#This Row],[totalChallan]]</f>
        <v>1</v>
      </c>
      <c r="L3893" t="b">
        <f>TrafficData[[#This Row],[pendingAmount]]+TrafficData[[#This Row],[disposedAmount]]=TrafficData[[#This Row],[totalAmount]]</f>
        <v>1</v>
      </c>
      <c r="M3893" t="b">
        <f>TrafficData[[#This Row],[pendingCourt]]+TrafficData[[#This Row],[disposedCourt]]=TrafficData[[#This Row],[totalCourt]]</f>
        <v>1</v>
      </c>
      <c r="N3893" t="b">
        <f>AND(TrafficData[[#This Row],[disposedChallan]]&lt;=TrafficData[[#This Row],[totalChallan]],TrafficData[[#This Row],[pendingChallan]]&lt;=TrafficData[[#This Row],[totalChallan]])</f>
        <v>1</v>
      </c>
      <c r="O3893" t="b">
        <f>AND(TrafficData[[#This Row],[pendingAmount]]&lt;=TrafficData[[#This Row],[totalAmount]],TrafficData[[#This Row],[disposedAmount]]&lt;=TrafficData[[#This Row],[totalAmount]])</f>
        <v>1</v>
      </c>
      <c r="P3893" t="b">
        <f>AND(TrafficData[[#This Row],[pendingCourt]]&lt;=TrafficData[[#This Row],[totalCourt]],TrafficData[[#This Row],[disposedCourt]]&lt;=TrafficData[[#This Row],[totalCourt]])</f>
        <v>1</v>
      </c>
    </row>
    <row r="3894" spans="1:16">
      <c r="A3894" s="1">
        <v>45898</v>
      </c>
      <c r="B3894">
        <v>236852</v>
      </c>
      <c r="C3894">
        <v>51728</v>
      </c>
      <c r="D3894">
        <v>185124</v>
      </c>
      <c r="E3894">
        <v>391020440</v>
      </c>
      <c r="F3894">
        <v>87032156</v>
      </c>
      <c r="G3894">
        <v>478052596</v>
      </c>
      <c r="H3894">
        <v>97455</v>
      </c>
      <c r="I3894">
        <v>3731</v>
      </c>
      <c r="J3894">
        <v>101186</v>
      </c>
      <c r="K3894" t="b">
        <f>TrafficData[[#This Row],[disposedChallan]]+TrafficData[[#This Row],[pendingChallan]]=TrafficData[[#This Row],[totalChallan]]</f>
        <v>1</v>
      </c>
      <c r="L3894" t="b">
        <f>TrafficData[[#This Row],[pendingAmount]]+TrafficData[[#This Row],[disposedAmount]]=TrafficData[[#This Row],[totalAmount]]</f>
        <v>1</v>
      </c>
      <c r="M3894" t="b">
        <f>TrafficData[[#This Row],[pendingCourt]]+TrafficData[[#This Row],[disposedCourt]]=TrafficData[[#This Row],[totalCourt]]</f>
        <v>1</v>
      </c>
      <c r="N3894" t="b">
        <f>AND(TrafficData[[#This Row],[disposedChallan]]&lt;=TrafficData[[#This Row],[totalChallan]],TrafficData[[#This Row],[pendingChallan]]&lt;=TrafficData[[#This Row],[totalChallan]])</f>
        <v>1</v>
      </c>
      <c r="O3894" t="b">
        <f>AND(TrafficData[[#This Row],[pendingAmount]]&lt;=TrafficData[[#This Row],[totalAmount]],TrafficData[[#This Row],[disposedAmount]]&lt;=TrafficData[[#This Row],[totalAmount]])</f>
        <v>1</v>
      </c>
      <c r="P3894" t="b">
        <f>AND(TrafficData[[#This Row],[pendingCourt]]&lt;=TrafficData[[#This Row],[totalCourt]],TrafficData[[#This Row],[disposedCourt]]&lt;=TrafficData[[#This Row],[totalCourt]])</f>
        <v>1</v>
      </c>
    </row>
    <row r="3895" spans="1:16">
      <c r="A3895" s="1">
        <v>45899</v>
      </c>
      <c r="B3895">
        <v>253887</v>
      </c>
      <c r="C3895">
        <v>54951</v>
      </c>
      <c r="D3895">
        <v>198936</v>
      </c>
      <c r="E3895">
        <v>409119276</v>
      </c>
      <c r="F3895">
        <v>83529551</v>
      </c>
      <c r="G3895">
        <v>492648827</v>
      </c>
      <c r="H3895">
        <v>103650</v>
      </c>
      <c r="I3895">
        <v>4135</v>
      </c>
      <c r="J3895">
        <v>107785</v>
      </c>
      <c r="K3895" t="b">
        <f>TrafficData[[#This Row],[disposedChallan]]+TrafficData[[#This Row],[pendingChallan]]=TrafficData[[#This Row],[totalChallan]]</f>
        <v>1</v>
      </c>
      <c r="L3895" t="b">
        <f>TrafficData[[#This Row],[pendingAmount]]+TrafficData[[#This Row],[disposedAmount]]=TrafficData[[#This Row],[totalAmount]]</f>
        <v>1</v>
      </c>
      <c r="M3895" t="b">
        <f>TrafficData[[#This Row],[pendingCourt]]+TrafficData[[#This Row],[disposedCourt]]=TrafficData[[#This Row],[totalCourt]]</f>
        <v>1</v>
      </c>
      <c r="N3895" t="b">
        <f>AND(TrafficData[[#This Row],[disposedChallan]]&lt;=TrafficData[[#This Row],[totalChallan]],TrafficData[[#This Row],[pendingChallan]]&lt;=TrafficData[[#This Row],[totalChallan]])</f>
        <v>1</v>
      </c>
      <c r="O3895" t="b">
        <f>AND(TrafficData[[#This Row],[pendingAmount]]&lt;=TrafficData[[#This Row],[totalAmount]],TrafficData[[#This Row],[disposedAmount]]&lt;=TrafficData[[#This Row],[totalAmount]])</f>
        <v>1</v>
      </c>
      <c r="P3895" t="b">
        <f>AND(TrafficData[[#This Row],[pendingCourt]]&lt;=TrafficData[[#This Row],[totalCourt]],TrafficData[[#This Row],[disposedCourt]]&lt;=TrafficData[[#This Row],[totalCourt]])</f>
        <v>1</v>
      </c>
    </row>
    <row r="3896" spans="1:16">
      <c r="A3896" s="1">
        <v>45900</v>
      </c>
      <c r="B3896">
        <v>207685</v>
      </c>
      <c r="C3896">
        <v>45209</v>
      </c>
      <c r="D3896">
        <v>162476</v>
      </c>
      <c r="E3896">
        <v>327356041</v>
      </c>
      <c r="F3896">
        <v>60736579</v>
      </c>
      <c r="G3896">
        <v>388092620</v>
      </c>
      <c r="H3896">
        <v>82521</v>
      </c>
      <c r="I3896">
        <v>3665</v>
      </c>
      <c r="J3896">
        <v>86186</v>
      </c>
      <c r="K3896" t="b">
        <f>TrafficData[[#This Row],[disposedChallan]]+TrafficData[[#This Row],[pendingChallan]]=TrafficData[[#This Row],[totalChallan]]</f>
        <v>1</v>
      </c>
      <c r="L3896" t="b">
        <f>TrafficData[[#This Row],[pendingAmount]]+TrafficData[[#This Row],[disposedAmount]]=TrafficData[[#This Row],[totalAmount]]</f>
        <v>1</v>
      </c>
      <c r="M3896" t="b">
        <f>TrafficData[[#This Row],[pendingCourt]]+TrafficData[[#This Row],[disposedCourt]]=TrafficData[[#This Row],[totalCourt]]</f>
        <v>1</v>
      </c>
      <c r="N3896" t="b">
        <f>AND(TrafficData[[#This Row],[disposedChallan]]&lt;=TrafficData[[#This Row],[totalChallan]],TrafficData[[#This Row],[pendingChallan]]&lt;=TrafficData[[#This Row],[totalChallan]])</f>
        <v>1</v>
      </c>
      <c r="O3896" t="b">
        <f>AND(TrafficData[[#This Row],[pendingAmount]]&lt;=TrafficData[[#This Row],[totalAmount]],TrafficData[[#This Row],[disposedAmount]]&lt;=TrafficData[[#This Row],[totalAmount]])</f>
        <v>1</v>
      </c>
      <c r="P3896" t="b">
        <f>AND(TrafficData[[#This Row],[pendingCourt]]&lt;=TrafficData[[#This Row],[totalCourt]],TrafficData[[#This Row],[disposedCourt]]&lt;=TrafficData[[#This Row],[totalCourt]])</f>
        <v>1</v>
      </c>
    </row>
    <row r="3897" spans="1:16">
      <c r="A3897" s="1">
        <v>45901</v>
      </c>
      <c r="B3897">
        <v>226713</v>
      </c>
      <c r="C3897">
        <v>53129</v>
      </c>
      <c r="D3897">
        <v>173584</v>
      </c>
      <c r="E3897">
        <v>334075435</v>
      </c>
      <c r="F3897">
        <v>90577670</v>
      </c>
      <c r="G3897">
        <v>424653105</v>
      </c>
      <c r="H3897">
        <v>84400</v>
      </c>
      <c r="I3897">
        <v>3413</v>
      </c>
      <c r="J3897">
        <v>87813</v>
      </c>
      <c r="K3897" t="b">
        <f>TrafficData[[#This Row],[disposedChallan]]+TrafficData[[#This Row],[pendingChallan]]=TrafficData[[#This Row],[totalChallan]]</f>
        <v>1</v>
      </c>
      <c r="L3897" t="b">
        <f>TrafficData[[#This Row],[pendingAmount]]+TrafficData[[#This Row],[disposedAmount]]=TrafficData[[#This Row],[totalAmount]]</f>
        <v>1</v>
      </c>
      <c r="M3897" t="b">
        <f>TrafficData[[#This Row],[pendingCourt]]+TrafficData[[#This Row],[disposedCourt]]=TrafficData[[#This Row],[totalCourt]]</f>
        <v>1</v>
      </c>
      <c r="N3897" t="b">
        <f>AND(TrafficData[[#This Row],[disposedChallan]]&lt;=TrafficData[[#This Row],[totalChallan]],TrafficData[[#This Row],[pendingChallan]]&lt;=TrafficData[[#This Row],[totalChallan]])</f>
        <v>1</v>
      </c>
      <c r="O3897" t="b">
        <f>AND(TrafficData[[#This Row],[pendingAmount]]&lt;=TrafficData[[#This Row],[totalAmount]],TrafficData[[#This Row],[disposedAmount]]&lt;=TrafficData[[#This Row],[totalAmount]])</f>
        <v>1</v>
      </c>
      <c r="P3897" t="b">
        <f>AND(TrafficData[[#This Row],[pendingCourt]]&lt;=TrafficData[[#This Row],[totalCourt]],TrafficData[[#This Row],[disposedCourt]]&lt;=TrafficData[[#This Row],[totalCourt]])</f>
        <v>1</v>
      </c>
    </row>
    <row r="3898" spans="1:16">
      <c r="A3898" s="1">
        <v>45902</v>
      </c>
      <c r="B3898">
        <v>236448</v>
      </c>
      <c r="C3898">
        <v>52950</v>
      </c>
      <c r="D3898">
        <v>183498</v>
      </c>
      <c r="E3898">
        <v>371783788</v>
      </c>
      <c r="F3898">
        <v>99385404</v>
      </c>
      <c r="G3898">
        <v>471169192</v>
      </c>
      <c r="H3898">
        <v>93521</v>
      </c>
      <c r="I3898">
        <v>3372</v>
      </c>
      <c r="J3898">
        <v>96893</v>
      </c>
      <c r="K3898" t="b">
        <f>TrafficData[[#This Row],[disposedChallan]]+TrafficData[[#This Row],[pendingChallan]]=TrafficData[[#This Row],[totalChallan]]</f>
        <v>1</v>
      </c>
      <c r="L3898" t="b">
        <f>TrafficData[[#This Row],[pendingAmount]]+TrafficData[[#This Row],[disposedAmount]]=TrafficData[[#This Row],[totalAmount]]</f>
        <v>1</v>
      </c>
      <c r="M3898" t="b">
        <f>TrafficData[[#This Row],[pendingCourt]]+TrafficData[[#This Row],[disposedCourt]]=TrafficData[[#This Row],[totalCourt]]</f>
        <v>1</v>
      </c>
      <c r="N3898" t="b">
        <f>AND(TrafficData[[#This Row],[disposedChallan]]&lt;=TrafficData[[#This Row],[totalChallan]],TrafficData[[#This Row],[pendingChallan]]&lt;=TrafficData[[#This Row],[totalChallan]])</f>
        <v>1</v>
      </c>
      <c r="O3898" t="b">
        <f>AND(TrafficData[[#This Row],[pendingAmount]]&lt;=TrafficData[[#This Row],[totalAmount]],TrafficData[[#This Row],[disposedAmount]]&lt;=TrafficData[[#This Row],[totalAmount]])</f>
        <v>1</v>
      </c>
      <c r="P3898" t="b">
        <f>AND(TrafficData[[#This Row],[pendingCourt]]&lt;=TrafficData[[#This Row],[totalCourt]],TrafficData[[#This Row],[disposedCourt]]&lt;=TrafficData[[#This Row],[totalCourt]])</f>
        <v>1</v>
      </c>
    </row>
    <row r="3899" spans="1:16">
      <c r="A3899" s="1">
        <v>45903</v>
      </c>
      <c r="B3899">
        <v>245262</v>
      </c>
      <c r="C3899">
        <v>54286</v>
      </c>
      <c r="D3899">
        <v>190976</v>
      </c>
      <c r="E3899">
        <v>371228295</v>
      </c>
      <c r="F3899">
        <v>107219441</v>
      </c>
      <c r="G3899">
        <v>478447736</v>
      </c>
      <c r="H3899">
        <v>100523</v>
      </c>
      <c r="I3899">
        <v>3687</v>
      </c>
      <c r="J3899">
        <v>104210</v>
      </c>
      <c r="K3899" t="b">
        <f>TrafficData[[#This Row],[disposedChallan]]+TrafficData[[#This Row],[pendingChallan]]=TrafficData[[#This Row],[totalChallan]]</f>
        <v>1</v>
      </c>
      <c r="L3899" t="b">
        <f>TrafficData[[#This Row],[pendingAmount]]+TrafficData[[#This Row],[disposedAmount]]=TrafficData[[#This Row],[totalAmount]]</f>
        <v>1</v>
      </c>
      <c r="M3899" t="b">
        <f>TrafficData[[#This Row],[pendingCourt]]+TrafficData[[#This Row],[disposedCourt]]=TrafficData[[#This Row],[totalCourt]]</f>
        <v>1</v>
      </c>
      <c r="N3899" t="b">
        <f>AND(TrafficData[[#This Row],[disposedChallan]]&lt;=TrafficData[[#This Row],[totalChallan]],TrafficData[[#This Row],[pendingChallan]]&lt;=TrafficData[[#This Row],[totalChallan]])</f>
        <v>1</v>
      </c>
      <c r="O3899" t="b">
        <f>AND(TrafficData[[#This Row],[pendingAmount]]&lt;=TrafficData[[#This Row],[totalAmount]],TrafficData[[#This Row],[disposedAmount]]&lt;=TrafficData[[#This Row],[totalAmount]])</f>
        <v>1</v>
      </c>
      <c r="P3899" t="b">
        <f>AND(TrafficData[[#This Row],[pendingCourt]]&lt;=TrafficData[[#This Row],[totalCourt]],TrafficData[[#This Row],[disposedCourt]]&lt;=TrafficData[[#This Row],[totalCourt]])</f>
        <v>1</v>
      </c>
    </row>
    <row r="3900" spans="1:16">
      <c r="A3900" s="1">
        <v>45904</v>
      </c>
      <c r="B3900">
        <v>255752</v>
      </c>
      <c r="C3900">
        <v>53909</v>
      </c>
      <c r="D3900">
        <v>201843</v>
      </c>
      <c r="E3900">
        <v>407455502</v>
      </c>
      <c r="F3900">
        <v>105219565</v>
      </c>
      <c r="G3900">
        <v>512675067</v>
      </c>
      <c r="H3900">
        <v>104403</v>
      </c>
      <c r="I3900">
        <v>4127</v>
      </c>
      <c r="J3900">
        <v>108530</v>
      </c>
      <c r="K3900" t="b">
        <f>TrafficData[[#This Row],[disposedChallan]]+TrafficData[[#This Row],[pendingChallan]]=TrafficData[[#This Row],[totalChallan]]</f>
        <v>1</v>
      </c>
      <c r="L3900" t="b">
        <f>TrafficData[[#This Row],[pendingAmount]]+TrafficData[[#This Row],[disposedAmount]]=TrafficData[[#This Row],[totalAmount]]</f>
        <v>1</v>
      </c>
      <c r="M3900" t="b">
        <f>TrafficData[[#This Row],[pendingCourt]]+TrafficData[[#This Row],[disposedCourt]]=TrafficData[[#This Row],[totalCourt]]</f>
        <v>1</v>
      </c>
      <c r="N3900" t="b">
        <f>AND(TrafficData[[#This Row],[disposedChallan]]&lt;=TrafficData[[#This Row],[totalChallan]],TrafficData[[#This Row],[pendingChallan]]&lt;=TrafficData[[#This Row],[totalChallan]])</f>
        <v>1</v>
      </c>
      <c r="O3900" t="b">
        <f>AND(TrafficData[[#This Row],[pendingAmount]]&lt;=TrafficData[[#This Row],[totalAmount]],TrafficData[[#This Row],[disposedAmount]]&lt;=TrafficData[[#This Row],[totalAmount]])</f>
        <v>1</v>
      </c>
      <c r="P3900" t="b">
        <f>AND(TrafficData[[#This Row],[pendingCourt]]&lt;=TrafficData[[#This Row],[totalCourt]],TrafficData[[#This Row],[disposedCourt]]&lt;=TrafficData[[#This Row],[totalCourt]])</f>
        <v>1</v>
      </c>
    </row>
    <row r="3901" spans="1:16">
      <c r="A3901" s="1">
        <v>45905</v>
      </c>
      <c r="B3901">
        <v>232898</v>
      </c>
      <c r="C3901">
        <v>46620</v>
      </c>
      <c r="D3901">
        <v>186278</v>
      </c>
      <c r="E3901">
        <v>380946436</v>
      </c>
      <c r="F3901">
        <v>82054563</v>
      </c>
      <c r="G3901">
        <v>463000999</v>
      </c>
      <c r="H3901">
        <v>91108</v>
      </c>
      <c r="I3901">
        <v>3923</v>
      </c>
      <c r="J3901">
        <v>95031</v>
      </c>
      <c r="K3901" t="b">
        <f>TrafficData[[#This Row],[disposedChallan]]+TrafficData[[#This Row],[pendingChallan]]=TrafficData[[#This Row],[totalChallan]]</f>
        <v>1</v>
      </c>
      <c r="L3901" t="b">
        <f>TrafficData[[#This Row],[pendingAmount]]+TrafficData[[#This Row],[disposedAmount]]=TrafficData[[#This Row],[totalAmount]]</f>
        <v>1</v>
      </c>
      <c r="M3901" t="b">
        <f>TrafficData[[#This Row],[pendingCourt]]+TrafficData[[#This Row],[disposedCourt]]=TrafficData[[#This Row],[totalCourt]]</f>
        <v>1</v>
      </c>
      <c r="N3901" t="b">
        <f>AND(TrafficData[[#This Row],[disposedChallan]]&lt;=TrafficData[[#This Row],[totalChallan]],TrafficData[[#This Row],[pendingChallan]]&lt;=TrafficData[[#This Row],[totalChallan]])</f>
        <v>1</v>
      </c>
      <c r="O3901" t="b">
        <f>AND(TrafficData[[#This Row],[pendingAmount]]&lt;=TrafficData[[#This Row],[totalAmount]],TrafficData[[#This Row],[disposedAmount]]&lt;=TrafficData[[#This Row],[totalAmount]])</f>
        <v>1</v>
      </c>
      <c r="P3901" t="b">
        <f>AND(TrafficData[[#This Row],[pendingCourt]]&lt;=TrafficData[[#This Row],[totalCourt]],TrafficData[[#This Row],[disposedCourt]]&lt;=TrafficData[[#This Row],[totalCourt]])</f>
        <v>1</v>
      </c>
    </row>
    <row r="3902" spans="1:16">
      <c r="A3902" s="1">
        <v>45906</v>
      </c>
      <c r="B3902">
        <v>227726</v>
      </c>
      <c r="C3902">
        <v>45381</v>
      </c>
      <c r="D3902">
        <v>182345</v>
      </c>
      <c r="E3902">
        <v>376409938</v>
      </c>
      <c r="F3902">
        <v>71792595</v>
      </c>
      <c r="G3902">
        <v>448202533</v>
      </c>
      <c r="H3902">
        <v>83305</v>
      </c>
      <c r="I3902">
        <v>4009</v>
      </c>
      <c r="J3902">
        <v>87314</v>
      </c>
      <c r="K3902" t="b">
        <f>TrafficData[[#This Row],[disposedChallan]]+TrafficData[[#This Row],[pendingChallan]]=TrafficData[[#This Row],[totalChallan]]</f>
        <v>1</v>
      </c>
      <c r="L3902" t="b">
        <f>TrafficData[[#This Row],[pendingAmount]]+TrafficData[[#This Row],[disposedAmount]]=TrafficData[[#This Row],[totalAmount]]</f>
        <v>1</v>
      </c>
      <c r="M3902" t="b">
        <f>TrafficData[[#This Row],[pendingCourt]]+TrafficData[[#This Row],[disposedCourt]]=TrafficData[[#This Row],[totalCourt]]</f>
        <v>1</v>
      </c>
      <c r="N3902" t="b">
        <f>AND(TrafficData[[#This Row],[disposedChallan]]&lt;=TrafficData[[#This Row],[totalChallan]],TrafficData[[#This Row],[pendingChallan]]&lt;=TrafficData[[#This Row],[totalChallan]])</f>
        <v>1</v>
      </c>
      <c r="O3902" t="b">
        <f>AND(TrafficData[[#This Row],[pendingAmount]]&lt;=TrafficData[[#This Row],[totalAmount]],TrafficData[[#This Row],[disposedAmount]]&lt;=TrafficData[[#This Row],[totalAmount]])</f>
        <v>1</v>
      </c>
      <c r="P3902" t="b">
        <f>AND(TrafficData[[#This Row],[pendingCourt]]&lt;=TrafficData[[#This Row],[totalCourt]],TrafficData[[#This Row],[disposedCourt]]&lt;=TrafficData[[#This Row],[totalCourt]])</f>
        <v>1</v>
      </c>
    </row>
    <row r="3903" spans="1:16">
      <c r="A3903" s="1">
        <v>45907</v>
      </c>
      <c r="B3903">
        <v>223538</v>
      </c>
      <c r="C3903">
        <v>45970</v>
      </c>
      <c r="D3903">
        <v>177568</v>
      </c>
      <c r="E3903">
        <v>335065470</v>
      </c>
      <c r="F3903">
        <v>63499963</v>
      </c>
      <c r="G3903">
        <v>398565433</v>
      </c>
      <c r="H3903">
        <v>87062</v>
      </c>
      <c r="I3903">
        <v>3965</v>
      </c>
      <c r="J3903">
        <v>91027</v>
      </c>
      <c r="K3903" t="b">
        <f>TrafficData[[#This Row],[disposedChallan]]+TrafficData[[#This Row],[pendingChallan]]=TrafficData[[#This Row],[totalChallan]]</f>
        <v>1</v>
      </c>
      <c r="L3903" t="b">
        <f>TrafficData[[#This Row],[pendingAmount]]+TrafficData[[#This Row],[disposedAmount]]=TrafficData[[#This Row],[totalAmount]]</f>
        <v>1</v>
      </c>
      <c r="M3903" t="b">
        <f>TrafficData[[#This Row],[pendingCourt]]+TrafficData[[#This Row],[disposedCourt]]=TrafficData[[#This Row],[totalCourt]]</f>
        <v>1</v>
      </c>
      <c r="N3903" t="b">
        <f>AND(TrafficData[[#This Row],[disposedChallan]]&lt;=TrafficData[[#This Row],[totalChallan]],TrafficData[[#This Row],[pendingChallan]]&lt;=TrafficData[[#This Row],[totalChallan]])</f>
        <v>1</v>
      </c>
      <c r="O3903" t="b">
        <f>AND(TrafficData[[#This Row],[pendingAmount]]&lt;=TrafficData[[#This Row],[totalAmount]],TrafficData[[#This Row],[disposedAmount]]&lt;=TrafficData[[#This Row],[totalAmount]])</f>
        <v>1</v>
      </c>
      <c r="P3903" t="b">
        <f>AND(TrafficData[[#This Row],[pendingCourt]]&lt;=TrafficData[[#This Row],[totalCourt]],TrafficData[[#This Row],[disposedCourt]]&lt;=TrafficData[[#This Row],[totalCourt]])</f>
        <v>1</v>
      </c>
    </row>
    <row r="3904" spans="1:16">
      <c r="A3904" s="1">
        <v>45908</v>
      </c>
      <c r="B3904">
        <v>284593</v>
      </c>
      <c r="C3904">
        <v>61362</v>
      </c>
      <c r="D3904">
        <v>223231</v>
      </c>
      <c r="E3904">
        <v>438856418</v>
      </c>
      <c r="F3904">
        <v>104852367</v>
      </c>
      <c r="G3904">
        <v>543708785</v>
      </c>
      <c r="H3904">
        <v>110958</v>
      </c>
      <c r="I3904">
        <v>4392</v>
      </c>
      <c r="J3904">
        <v>115350</v>
      </c>
      <c r="K3904" t="b">
        <f>TrafficData[[#This Row],[disposedChallan]]+TrafficData[[#This Row],[pendingChallan]]=TrafficData[[#This Row],[totalChallan]]</f>
        <v>1</v>
      </c>
      <c r="L3904" t="b">
        <f>TrafficData[[#This Row],[pendingAmount]]+TrafficData[[#This Row],[disposedAmount]]=TrafficData[[#This Row],[totalAmount]]</f>
        <v>1</v>
      </c>
      <c r="M3904" t="b">
        <f>TrafficData[[#This Row],[pendingCourt]]+TrafficData[[#This Row],[disposedCourt]]=TrafficData[[#This Row],[totalCourt]]</f>
        <v>1</v>
      </c>
      <c r="N3904" t="b">
        <f>AND(TrafficData[[#This Row],[disposedChallan]]&lt;=TrafficData[[#This Row],[totalChallan]],TrafficData[[#This Row],[pendingChallan]]&lt;=TrafficData[[#This Row],[totalChallan]])</f>
        <v>1</v>
      </c>
      <c r="O3904" t="b">
        <f>AND(TrafficData[[#This Row],[pendingAmount]]&lt;=TrafficData[[#This Row],[totalAmount]],TrafficData[[#This Row],[disposedAmount]]&lt;=TrafficData[[#This Row],[totalAmount]])</f>
        <v>1</v>
      </c>
      <c r="P3904" t="b">
        <f>AND(TrafficData[[#This Row],[pendingCourt]]&lt;=TrafficData[[#This Row],[totalCourt]],TrafficData[[#This Row],[disposedCourt]]&lt;=TrafficData[[#This Row],[totalCourt]])</f>
        <v>1</v>
      </c>
    </row>
    <row r="3905" spans="1:16">
      <c r="A3905" s="1">
        <v>45909</v>
      </c>
      <c r="B3905">
        <v>273822</v>
      </c>
      <c r="C3905">
        <v>59850</v>
      </c>
      <c r="D3905">
        <v>213972</v>
      </c>
      <c r="E3905">
        <v>441464463</v>
      </c>
      <c r="F3905">
        <v>114447852</v>
      </c>
      <c r="G3905">
        <v>555912315</v>
      </c>
      <c r="H3905">
        <v>104110</v>
      </c>
      <c r="I3905">
        <v>4093</v>
      </c>
      <c r="J3905">
        <v>108203</v>
      </c>
      <c r="K3905" t="b">
        <f>TrafficData[[#This Row],[disposedChallan]]+TrafficData[[#This Row],[pendingChallan]]=TrafficData[[#This Row],[totalChallan]]</f>
        <v>1</v>
      </c>
      <c r="L3905" t="b">
        <f>TrafficData[[#This Row],[pendingAmount]]+TrafficData[[#This Row],[disposedAmount]]=TrafficData[[#This Row],[totalAmount]]</f>
        <v>1</v>
      </c>
      <c r="M3905" t="b">
        <f>TrafficData[[#This Row],[pendingCourt]]+TrafficData[[#This Row],[disposedCourt]]=TrafficData[[#This Row],[totalCourt]]</f>
        <v>1</v>
      </c>
      <c r="N3905" t="b">
        <f>AND(TrafficData[[#This Row],[disposedChallan]]&lt;=TrafficData[[#This Row],[totalChallan]],TrafficData[[#This Row],[pendingChallan]]&lt;=TrafficData[[#This Row],[totalChallan]])</f>
        <v>1</v>
      </c>
      <c r="O3905" t="b">
        <f>AND(TrafficData[[#This Row],[pendingAmount]]&lt;=TrafficData[[#This Row],[totalAmount]],TrafficData[[#This Row],[disposedAmount]]&lt;=TrafficData[[#This Row],[totalAmount]])</f>
        <v>1</v>
      </c>
      <c r="P3905" t="b">
        <f>AND(TrafficData[[#This Row],[pendingCourt]]&lt;=TrafficData[[#This Row],[totalCourt]],TrafficData[[#This Row],[disposedCourt]]&lt;=TrafficData[[#This Row],[totalCourt]])</f>
        <v>1</v>
      </c>
    </row>
    <row r="3906" spans="1:16">
      <c r="A3906" s="1">
        <v>45910</v>
      </c>
      <c r="B3906">
        <v>275903</v>
      </c>
      <c r="C3906">
        <v>61518</v>
      </c>
      <c r="D3906">
        <v>214385</v>
      </c>
      <c r="E3906">
        <v>443977661</v>
      </c>
      <c r="F3906">
        <v>119100249</v>
      </c>
      <c r="G3906">
        <v>563077910</v>
      </c>
      <c r="H3906">
        <v>107115</v>
      </c>
      <c r="I3906">
        <v>3788</v>
      </c>
      <c r="J3906">
        <v>110903</v>
      </c>
      <c r="K3906" t="b">
        <f>TrafficData[[#This Row],[disposedChallan]]+TrafficData[[#This Row],[pendingChallan]]=TrafficData[[#This Row],[totalChallan]]</f>
        <v>1</v>
      </c>
      <c r="L3906" t="b">
        <f>TrafficData[[#This Row],[pendingAmount]]+TrafficData[[#This Row],[disposedAmount]]=TrafficData[[#This Row],[totalAmount]]</f>
        <v>1</v>
      </c>
      <c r="M3906" t="b">
        <f>TrafficData[[#This Row],[pendingCourt]]+TrafficData[[#This Row],[disposedCourt]]=TrafficData[[#This Row],[totalCourt]]</f>
        <v>1</v>
      </c>
      <c r="N3906" t="b">
        <f>AND(TrafficData[[#This Row],[disposedChallan]]&lt;=TrafficData[[#This Row],[totalChallan]],TrafficData[[#This Row],[pendingChallan]]&lt;=TrafficData[[#This Row],[totalChallan]])</f>
        <v>1</v>
      </c>
      <c r="O3906" t="b">
        <f>AND(TrafficData[[#This Row],[pendingAmount]]&lt;=TrafficData[[#This Row],[totalAmount]],TrafficData[[#This Row],[disposedAmount]]&lt;=TrafficData[[#This Row],[totalAmount]])</f>
        <v>1</v>
      </c>
      <c r="P3906" t="b">
        <f>AND(TrafficData[[#This Row],[pendingCourt]]&lt;=TrafficData[[#This Row],[totalCourt]],TrafficData[[#This Row],[disposedCourt]]&lt;=TrafficData[[#This Row],[totalCourt]])</f>
        <v>1</v>
      </c>
    </row>
    <row r="3907" spans="1:16">
      <c r="A3907" s="1">
        <v>45911</v>
      </c>
      <c r="B3907">
        <v>278110</v>
      </c>
      <c r="C3907">
        <v>61423</v>
      </c>
      <c r="D3907">
        <v>216687</v>
      </c>
      <c r="E3907">
        <v>454434742</v>
      </c>
      <c r="F3907">
        <v>114296872</v>
      </c>
      <c r="G3907">
        <v>568731614</v>
      </c>
      <c r="H3907">
        <v>108199</v>
      </c>
      <c r="I3907">
        <v>3889</v>
      </c>
      <c r="J3907">
        <v>112088</v>
      </c>
      <c r="K3907" t="b">
        <f>TrafficData[[#This Row],[disposedChallan]]+TrafficData[[#This Row],[pendingChallan]]=TrafficData[[#This Row],[totalChallan]]</f>
        <v>1</v>
      </c>
      <c r="L3907" t="b">
        <f>TrafficData[[#This Row],[pendingAmount]]+TrafficData[[#This Row],[disposedAmount]]=TrafficData[[#This Row],[totalAmount]]</f>
        <v>1</v>
      </c>
      <c r="M3907" t="b">
        <f>TrafficData[[#This Row],[pendingCourt]]+TrafficData[[#This Row],[disposedCourt]]=TrafficData[[#This Row],[totalCourt]]</f>
        <v>1</v>
      </c>
      <c r="N3907" t="b">
        <f>AND(TrafficData[[#This Row],[disposedChallan]]&lt;=TrafficData[[#This Row],[totalChallan]],TrafficData[[#This Row],[pendingChallan]]&lt;=TrafficData[[#This Row],[totalChallan]])</f>
        <v>1</v>
      </c>
      <c r="O3907" t="b">
        <f>AND(TrafficData[[#This Row],[pendingAmount]]&lt;=TrafficData[[#This Row],[totalAmount]],TrafficData[[#This Row],[disposedAmount]]&lt;=TrafficData[[#This Row],[totalAmount]])</f>
        <v>1</v>
      </c>
      <c r="P3907" t="b">
        <f>AND(TrafficData[[#This Row],[pendingCourt]]&lt;=TrafficData[[#This Row],[totalCourt]],TrafficData[[#This Row],[disposedCourt]]&lt;=TrafficData[[#This Row],[totalCourt]])</f>
        <v>1</v>
      </c>
    </row>
    <row r="3908" spans="1:16">
      <c r="A3908" s="1">
        <v>45912</v>
      </c>
      <c r="B3908">
        <v>278156</v>
      </c>
      <c r="C3908">
        <v>61196</v>
      </c>
      <c r="D3908">
        <v>216960</v>
      </c>
      <c r="E3908">
        <v>453046235</v>
      </c>
      <c r="F3908">
        <v>113183511</v>
      </c>
      <c r="G3908">
        <v>566229746</v>
      </c>
      <c r="H3908">
        <v>100722</v>
      </c>
      <c r="I3908">
        <v>3752</v>
      </c>
      <c r="J3908">
        <v>104474</v>
      </c>
      <c r="K3908" t="b">
        <f>TrafficData[[#This Row],[disposedChallan]]+TrafficData[[#This Row],[pendingChallan]]=TrafficData[[#This Row],[totalChallan]]</f>
        <v>1</v>
      </c>
      <c r="L3908" t="b">
        <f>TrafficData[[#This Row],[pendingAmount]]+TrafficData[[#This Row],[disposedAmount]]=TrafficData[[#This Row],[totalAmount]]</f>
        <v>1</v>
      </c>
      <c r="M3908" t="b">
        <f>TrafficData[[#This Row],[pendingCourt]]+TrafficData[[#This Row],[disposedCourt]]=TrafficData[[#This Row],[totalCourt]]</f>
        <v>1</v>
      </c>
      <c r="N3908" t="b">
        <f>AND(TrafficData[[#This Row],[disposedChallan]]&lt;=TrafficData[[#This Row],[totalChallan]],TrafficData[[#This Row],[pendingChallan]]&lt;=TrafficData[[#This Row],[totalChallan]])</f>
        <v>1</v>
      </c>
      <c r="O3908" t="b">
        <f>AND(TrafficData[[#This Row],[pendingAmount]]&lt;=TrafficData[[#This Row],[totalAmount]],TrafficData[[#This Row],[disposedAmount]]&lt;=TrafficData[[#This Row],[totalAmount]])</f>
        <v>1</v>
      </c>
      <c r="P3908" t="b">
        <f>AND(TrafficData[[#This Row],[pendingCourt]]&lt;=TrafficData[[#This Row],[totalCourt]],TrafficData[[#This Row],[disposedCourt]]&lt;=TrafficData[[#This Row],[totalCourt]])</f>
        <v>1</v>
      </c>
    </row>
    <row r="3909" spans="1:16">
      <c r="A3909" s="1">
        <v>45913</v>
      </c>
      <c r="B3909">
        <v>272165</v>
      </c>
      <c r="C3909">
        <v>61615</v>
      </c>
      <c r="D3909">
        <v>210550</v>
      </c>
      <c r="E3909">
        <v>403744696</v>
      </c>
      <c r="F3909">
        <v>90464305</v>
      </c>
      <c r="G3909">
        <v>494209001</v>
      </c>
      <c r="H3909">
        <v>93322</v>
      </c>
      <c r="I3909">
        <v>3481</v>
      </c>
      <c r="J3909">
        <v>96803</v>
      </c>
      <c r="K3909" t="b">
        <f>TrafficData[[#This Row],[disposedChallan]]+TrafficData[[#This Row],[pendingChallan]]=TrafficData[[#This Row],[totalChallan]]</f>
        <v>1</v>
      </c>
      <c r="L3909" t="b">
        <f>TrafficData[[#This Row],[pendingAmount]]+TrafficData[[#This Row],[disposedAmount]]=TrafficData[[#This Row],[totalAmount]]</f>
        <v>1</v>
      </c>
      <c r="M3909" t="b">
        <f>TrafficData[[#This Row],[pendingCourt]]+TrafficData[[#This Row],[disposedCourt]]=TrafficData[[#This Row],[totalCourt]]</f>
        <v>1</v>
      </c>
      <c r="N3909" t="b">
        <f>AND(TrafficData[[#This Row],[disposedChallan]]&lt;=TrafficData[[#This Row],[totalChallan]],TrafficData[[#This Row],[pendingChallan]]&lt;=TrafficData[[#This Row],[totalChallan]])</f>
        <v>1</v>
      </c>
      <c r="O3909" t="b">
        <f>AND(TrafficData[[#This Row],[pendingAmount]]&lt;=TrafficData[[#This Row],[totalAmount]],TrafficData[[#This Row],[disposedAmount]]&lt;=TrafficData[[#This Row],[totalAmount]])</f>
        <v>1</v>
      </c>
      <c r="P3909" t="b">
        <f>AND(TrafficData[[#This Row],[pendingCourt]]&lt;=TrafficData[[#This Row],[totalCourt]],TrafficData[[#This Row],[disposedCourt]]&lt;=TrafficData[[#This Row],[totalCourt]])</f>
        <v>1</v>
      </c>
    </row>
    <row r="3910" spans="1:16">
      <c r="A3910" s="1">
        <v>45914</v>
      </c>
      <c r="B3910">
        <v>252799</v>
      </c>
      <c r="C3910">
        <v>53931</v>
      </c>
      <c r="D3910">
        <v>198868</v>
      </c>
      <c r="E3910">
        <v>366954560</v>
      </c>
      <c r="F3910">
        <v>69504909</v>
      </c>
      <c r="G3910">
        <v>436459469</v>
      </c>
      <c r="H3910">
        <v>93793</v>
      </c>
      <c r="I3910">
        <v>3729</v>
      </c>
      <c r="J3910">
        <v>97522</v>
      </c>
      <c r="K3910" t="b">
        <f>TrafficData[[#This Row],[disposedChallan]]+TrafficData[[#This Row],[pendingChallan]]=TrafficData[[#This Row],[totalChallan]]</f>
        <v>1</v>
      </c>
      <c r="L3910" t="b">
        <f>TrafficData[[#This Row],[pendingAmount]]+TrafficData[[#This Row],[disposedAmount]]=TrafficData[[#This Row],[totalAmount]]</f>
        <v>1</v>
      </c>
      <c r="M3910" t="b">
        <f>TrafficData[[#This Row],[pendingCourt]]+TrafficData[[#This Row],[disposedCourt]]=TrafficData[[#This Row],[totalCourt]]</f>
        <v>1</v>
      </c>
      <c r="N3910" t="b">
        <f>AND(TrafficData[[#This Row],[disposedChallan]]&lt;=TrafficData[[#This Row],[totalChallan]],TrafficData[[#This Row],[pendingChallan]]&lt;=TrafficData[[#This Row],[totalChallan]])</f>
        <v>1</v>
      </c>
      <c r="O3910" t="b">
        <f>AND(TrafficData[[#This Row],[pendingAmount]]&lt;=TrafficData[[#This Row],[totalAmount]],TrafficData[[#This Row],[disposedAmount]]&lt;=TrafficData[[#This Row],[totalAmount]])</f>
        <v>1</v>
      </c>
      <c r="P3910" t="b">
        <f>AND(TrafficData[[#This Row],[pendingCourt]]&lt;=TrafficData[[#This Row],[totalCourt]],TrafficData[[#This Row],[disposedCourt]]&lt;=TrafficData[[#This Row],[totalCourt]])</f>
        <v>1</v>
      </c>
    </row>
    <row r="3911" spans="1:16">
      <c r="A3911" s="1">
        <v>45915</v>
      </c>
      <c r="B3911">
        <v>279051</v>
      </c>
      <c r="C3911">
        <v>59398</v>
      </c>
      <c r="D3911">
        <v>219653</v>
      </c>
      <c r="E3911">
        <v>431099358</v>
      </c>
      <c r="F3911">
        <v>90839837</v>
      </c>
      <c r="G3911">
        <v>521939195</v>
      </c>
      <c r="H3911">
        <v>109471</v>
      </c>
      <c r="I3911">
        <v>4000</v>
      </c>
      <c r="J3911">
        <v>113471</v>
      </c>
      <c r="K3911" t="b">
        <f>TrafficData[[#This Row],[disposedChallan]]+TrafficData[[#This Row],[pendingChallan]]=TrafficData[[#This Row],[totalChallan]]</f>
        <v>1</v>
      </c>
      <c r="L3911" t="b">
        <f>TrafficData[[#This Row],[pendingAmount]]+TrafficData[[#This Row],[disposedAmount]]=TrafficData[[#This Row],[totalAmount]]</f>
        <v>1</v>
      </c>
      <c r="M3911" t="b">
        <f>TrafficData[[#This Row],[pendingCourt]]+TrafficData[[#This Row],[disposedCourt]]=TrafficData[[#This Row],[totalCourt]]</f>
        <v>1</v>
      </c>
      <c r="N3911" t="b">
        <f>AND(TrafficData[[#This Row],[disposedChallan]]&lt;=TrafficData[[#This Row],[totalChallan]],TrafficData[[#This Row],[pendingChallan]]&lt;=TrafficData[[#This Row],[totalChallan]])</f>
        <v>1</v>
      </c>
      <c r="O3911" t="b">
        <f>AND(TrafficData[[#This Row],[pendingAmount]]&lt;=TrafficData[[#This Row],[totalAmount]],TrafficData[[#This Row],[disposedAmount]]&lt;=TrafficData[[#This Row],[totalAmount]])</f>
        <v>1</v>
      </c>
      <c r="P3911" t="b">
        <f>AND(TrafficData[[#This Row],[pendingCourt]]&lt;=TrafficData[[#This Row],[totalCourt]],TrafficData[[#This Row],[disposedCourt]]&lt;=TrafficData[[#This Row],[totalCourt]])</f>
        <v>1</v>
      </c>
    </row>
    <row r="3912" spans="1:16">
      <c r="A3912" s="1">
        <v>45916</v>
      </c>
      <c r="B3912">
        <v>272120</v>
      </c>
      <c r="C3912">
        <v>59243</v>
      </c>
      <c r="D3912">
        <v>212877</v>
      </c>
      <c r="E3912">
        <v>422390737</v>
      </c>
      <c r="F3912">
        <v>100628362</v>
      </c>
      <c r="G3912">
        <v>523019099</v>
      </c>
      <c r="H3912">
        <v>104038</v>
      </c>
      <c r="I3912">
        <v>3766</v>
      </c>
      <c r="J3912">
        <v>107804</v>
      </c>
      <c r="K3912" t="b">
        <f>TrafficData[[#This Row],[disposedChallan]]+TrafficData[[#This Row],[pendingChallan]]=TrafficData[[#This Row],[totalChallan]]</f>
        <v>1</v>
      </c>
      <c r="L3912" t="b">
        <f>TrafficData[[#This Row],[pendingAmount]]+TrafficData[[#This Row],[disposedAmount]]=TrafficData[[#This Row],[totalAmount]]</f>
        <v>1</v>
      </c>
      <c r="M3912" t="b">
        <f>TrafficData[[#This Row],[pendingCourt]]+TrafficData[[#This Row],[disposedCourt]]=TrafficData[[#This Row],[totalCourt]]</f>
        <v>1</v>
      </c>
      <c r="N3912" t="b">
        <f>AND(TrafficData[[#This Row],[disposedChallan]]&lt;=TrafficData[[#This Row],[totalChallan]],TrafficData[[#This Row],[pendingChallan]]&lt;=TrafficData[[#This Row],[totalChallan]])</f>
        <v>1</v>
      </c>
      <c r="O3912" t="b">
        <f>AND(TrafficData[[#This Row],[pendingAmount]]&lt;=TrafficData[[#This Row],[totalAmount]],TrafficData[[#This Row],[disposedAmount]]&lt;=TrafficData[[#This Row],[totalAmount]])</f>
        <v>1</v>
      </c>
      <c r="P3912" t="b">
        <f>AND(TrafficData[[#This Row],[pendingCourt]]&lt;=TrafficData[[#This Row],[totalCourt]],TrafficData[[#This Row],[disposedCourt]]&lt;=TrafficData[[#This Row],[totalCourt]])</f>
        <v>1</v>
      </c>
    </row>
    <row r="3913" spans="1:16">
      <c r="A3913" s="1">
        <v>45917</v>
      </c>
      <c r="B3913">
        <v>258318</v>
      </c>
      <c r="C3913">
        <v>56930</v>
      </c>
      <c r="D3913">
        <v>201388</v>
      </c>
      <c r="E3913">
        <v>393529971</v>
      </c>
      <c r="F3913">
        <v>90670981</v>
      </c>
      <c r="G3913">
        <v>484200952</v>
      </c>
      <c r="H3913">
        <v>105461</v>
      </c>
      <c r="I3913">
        <v>3716</v>
      </c>
      <c r="J3913">
        <v>109177</v>
      </c>
      <c r="K3913" t="b">
        <f>TrafficData[[#This Row],[disposedChallan]]+TrafficData[[#This Row],[pendingChallan]]=TrafficData[[#This Row],[totalChallan]]</f>
        <v>1</v>
      </c>
      <c r="L3913" t="b">
        <f>TrafficData[[#This Row],[pendingAmount]]+TrafficData[[#This Row],[disposedAmount]]=TrafficData[[#This Row],[totalAmount]]</f>
        <v>1</v>
      </c>
      <c r="M3913" t="b">
        <f>TrafficData[[#This Row],[pendingCourt]]+TrafficData[[#This Row],[disposedCourt]]=TrafficData[[#This Row],[totalCourt]]</f>
        <v>1</v>
      </c>
      <c r="N3913" t="b">
        <f>AND(TrafficData[[#This Row],[disposedChallan]]&lt;=TrafficData[[#This Row],[totalChallan]],TrafficData[[#This Row],[pendingChallan]]&lt;=TrafficData[[#This Row],[totalChallan]])</f>
        <v>1</v>
      </c>
      <c r="O3913" t="b">
        <f>AND(TrafficData[[#This Row],[pendingAmount]]&lt;=TrafficData[[#This Row],[totalAmount]],TrafficData[[#This Row],[disposedAmount]]&lt;=TrafficData[[#This Row],[totalAmount]])</f>
        <v>1</v>
      </c>
      <c r="P3913" t="b">
        <f>AND(TrafficData[[#This Row],[pendingCourt]]&lt;=TrafficData[[#This Row],[totalCourt]],TrafficData[[#This Row],[disposedCourt]]&lt;=TrafficData[[#This Row],[totalCourt]])</f>
        <v>1</v>
      </c>
    </row>
    <row r="3914" spans="1:16">
      <c r="A3914" s="1">
        <v>45918</v>
      </c>
      <c r="B3914">
        <v>283059</v>
      </c>
      <c r="C3914">
        <v>60772</v>
      </c>
      <c r="D3914">
        <v>222287</v>
      </c>
      <c r="E3914">
        <v>438562341</v>
      </c>
      <c r="F3914">
        <v>104141820</v>
      </c>
      <c r="G3914">
        <v>542704161</v>
      </c>
      <c r="H3914">
        <v>108041</v>
      </c>
      <c r="I3914">
        <v>3738</v>
      </c>
      <c r="J3914">
        <v>111779</v>
      </c>
      <c r="K3914" t="b">
        <f>TrafficData[[#This Row],[disposedChallan]]+TrafficData[[#This Row],[pendingChallan]]=TrafficData[[#This Row],[totalChallan]]</f>
        <v>1</v>
      </c>
      <c r="L3914" t="b">
        <f>TrafficData[[#This Row],[pendingAmount]]+TrafficData[[#This Row],[disposedAmount]]=TrafficData[[#This Row],[totalAmount]]</f>
        <v>1</v>
      </c>
      <c r="M3914" t="b">
        <f>TrafficData[[#This Row],[pendingCourt]]+TrafficData[[#This Row],[disposedCourt]]=TrafficData[[#This Row],[totalCourt]]</f>
        <v>1</v>
      </c>
      <c r="N3914" t="b">
        <f>AND(TrafficData[[#This Row],[disposedChallan]]&lt;=TrafficData[[#This Row],[totalChallan]],TrafficData[[#This Row],[pendingChallan]]&lt;=TrafficData[[#This Row],[totalChallan]])</f>
        <v>1</v>
      </c>
      <c r="O3914" t="b">
        <f>AND(TrafficData[[#This Row],[pendingAmount]]&lt;=TrafficData[[#This Row],[totalAmount]],TrafficData[[#This Row],[disposedAmount]]&lt;=TrafficData[[#This Row],[totalAmount]])</f>
        <v>1</v>
      </c>
      <c r="P3914" t="b">
        <f>AND(TrafficData[[#This Row],[pendingCourt]]&lt;=TrafficData[[#This Row],[totalCourt]],TrafficData[[#This Row],[disposedCourt]]&lt;=TrafficData[[#This Row],[totalCourt]])</f>
        <v>1</v>
      </c>
    </row>
    <row r="3915" spans="1:16">
      <c r="A3915" s="1">
        <v>45919</v>
      </c>
      <c r="B3915">
        <v>275362</v>
      </c>
      <c r="C3915">
        <v>61299</v>
      </c>
      <c r="D3915">
        <v>214063</v>
      </c>
      <c r="E3915">
        <v>438561378</v>
      </c>
      <c r="F3915">
        <v>105680368</v>
      </c>
      <c r="G3915">
        <v>544241746</v>
      </c>
      <c r="H3915">
        <v>105906</v>
      </c>
      <c r="I3915">
        <v>3575</v>
      </c>
      <c r="J3915">
        <v>109481</v>
      </c>
      <c r="K3915" t="b">
        <f>TrafficData[[#This Row],[disposedChallan]]+TrafficData[[#This Row],[pendingChallan]]=TrafficData[[#This Row],[totalChallan]]</f>
        <v>1</v>
      </c>
      <c r="L3915" t="b">
        <f>TrafficData[[#This Row],[pendingAmount]]+TrafficData[[#This Row],[disposedAmount]]=TrafficData[[#This Row],[totalAmount]]</f>
        <v>1</v>
      </c>
      <c r="M3915" t="b">
        <f>TrafficData[[#This Row],[pendingCourt]]+TrafficData[[#This Row],[disposedCourt]]=TrafficData[[#This Row],[totalCourt]]</f>
        <v>1</v>
      </c>
      <c r="N3915" t="b">
        <f>AND(TrafficData[[#This Row],[disposedChallan]]&lt;=TrafficData[[#This Row],[totalChallan]],TrafficData[[#This Row],[pendingChallan]]&lt;=TrafficData[[#This Row],[totalChallan]])</f>
        <v>1</v>
      </c>
      <c r="O3915" t="b">
        <f>AND(TrafficData[[#This Row],[pendingAmount]]&lt;=TrafficData[[#This Row],[totalAmount]],TrafficData[[#This Row],[disposedAmount]]&lt;=TrafficData[[#This Row],[totalAmount]])</f>
        <v>1</v>
      </c>
      <c r="P3915" t="b">
        <f>AND(TrafficData[[#This Row],[pendingCourt]]&lt;=TrafficData[[#This Row],[totalCourt]],TrafficData[[#This Row],[disposedCourt]]&lt;=TrafficData[[#This Row],[totalCourt]])</f>
        <v>1</v>
      </c>
    </row>
    <row r="3916" spans="1:16">
      <c r="A3916" s="1">
        <v>45920</v>
      </c>
      <c r="B3916">
        <v>271259</v>
      </c>
      <c r="C3916">
        <v>62564</v>
      </c>
      <c r="D3916">
        <v>208695</v>
      </c>
      <c r="E3916">
        <v>424708400</v>
      </c>
      <c r="F3916">
        <v>93877971</v>
      </c>
      <c r="G3916">
        <v>518586371</v>
      </c>
      <c r="H3916">
        <v>103759</v>
      </c>
      <c r="I3916">
        <v>3802</v>
      </c>
      <c r="J3916">
        <v>107561</v>
      </c>
      <c r="K3916" t="b">
        <f>TrafficData[[#This Row],[disposedChallan]]+TrafficData[[#This Row],[pendingChallan]]=TrafficData[[#This Row],[totalChallan]]</f>
        <v>1</v>
      </c>
      <c r="L3916" t="b">
        <f>TrafficData[[#This Row],[pendingAmount]]+TrafficData[[#This Row],[disposedAmount]]=TrafficData[[#This Row],[totalAmount]]</f>
        <v>1</v>
      </c>
      <c r="M3916" t="b">
        <f>TrafficData[[#This Row],[pendingCourt]]+TrafficData[[#This Row],[disposedCourt]]=TrafficData[[#This Row],[totalCourt]]</f>
        <v>1</v>
      </c>
      <c r="N3916" t="b">
        <f>AND(TrafficData[[#This Row],[disposedChallan]]&lt;=TrafficData[[#This Row],[totalChallan]],TrafficData[[#This Row],[pendingChallan]]&lt;=TrafficData[[#This Row],[totalChallan]])</f>
        <v>1</v>
      </c>
      <c r="O3916" t="b">
        <f>AND(TrafficData[[#This Row],[pendingAmount]]&lt;=TrafficData[[#This Row],[totalAmount]],TrafficData[[#This Row],[disposedAmount]]&lt;=TrafficData[[#This Row],[totalAmount]])</f>
        <v>1</v>
      </c>
      <c r="P3916" t="b">
        <f>AND(TrafficData[[#This Row],[pendingCourt]]&lt;=TrafficData[[#This Row],[totalCourt]],TrafficData[[#This Row],[disposedCourt]]&lt;=TrafficData[[#This Row],[totalCourt]])</f>
        <v>1</v>
      </c>
    </row>
    <row r="3917" spans="1:16">
      <c r="A3917" s="1">
        <v>45921</v>
      </c>
      <c r="B3917">
        <v>240182</v>
      </c>
      <c r="C3917">
        <v>55137</v>
      </c>
      <c r="D3917">
        <v>185045</v>
      </c>
      <c r="E3917">
        <v>343299833</v>
      </c>
      <c r="F3917">
        <v>67051201</v>
      </c>
      <c r="G3917">
        <v>410351034</v>
      </c>
      <c r="H3917">
        <v>88162</v>
      </c>
      <c r="I3917">
        <v>3108</v>
      </c>
      <c r="J3917">
        <v>91270</v>
      </c>
      <c r="K3917" t="b">
        <f>TrafficData[[#This Row],[disposedChallan]]+TrafficData[[#This Row],[pendingChallan]]=TrafficData[[#This Row],[totalChallan]]</f>
        <v>1</v>
      </c>
      <c r="L3917" t="b">
        <f>TrafficData[[#This Row],[pendingAmount]]+TrafficData[[#This Row],[disposedAmount]]=TrafficData[[#This Row],[totalAmount]]</f>
        <v>1</v>
      </c>
      <c r="M3917" t="b">
        <f>TrafficData[[#This Row],[pendingCourt]]+TrafficData[[#This Row],[disposedCourt]]=TrafficData[[#This Row],[totalCourt]]</f>
        <v>1</v>
      </c>
      <c r="N3917" t="b">
        <f>AND(TrafficData[[#This Row],[disposedChallan]]&lt;=TrafficData[[#This Row],[totalChallan]],TrafficData[[#This Row],[pendingChallan]]&lt;=TrafficData[[#This Row],[totalChallan]])</f>
        <v>1</v>
      </c>
      <c r="O3917" t="b">
        <f>AND(TrafficData[[#This Row],[pendingAmount]]&lt;=TrafficData[[#This Row],[totalAmount]],TrafficData[[#This Row],[disposedAmount]]&lt;=TrafficData[[#This Row],[totalAmount]])</f>
        <v>1</v>
      </c>
      <c r="P3917" t="b">
        <f>AND(TrafficData[[#This Row],[pendingCourt]]&lt;=TrafficData[[#This Row],[totalCourt]],TrafficData[[#This Row],[disposedCourt]]&lt;=TrafficData[[#This Row],[totalCourt]])</f>
        <v>1</v>
      </c>
    </row>
    <row r="3918" spans="1:16">
      <c r="A3918" s="1">
        <v>45922</v>
      </c>
      <c r="B3918">
        <v>271587</v>
      </c>
      <c r="C3918">
        <v>61438</v>
      </c>
      <c r="D3918">
        <v>210149</v>
      </c>
      <c r="E3918">
        <v>415282713</v>
      </c>
      <c r="F3918">
        <v>85004790</v>
      </c>
      <c r="G3918">
        <v>500287503</v>
      </c>
      <c r="H3918">
        <v>103167</v>
      </c>
      <c r="I3918">
        <v>3668</v>
      </c>
      <c r="J3918">
        <v>106835</v>
      </c>
      <c r="K3918" t="b">
        <f>TrafficData[[#This Row],[disposedChallan]]+TrafficData[[#This Row],[pendingChallan]]=TrafficData[[#This Row],[totalChallan]]</f>
        <v>1</v>
      </c>
      <c r="L3918" t="b">
        <f>TrafficData[[#This Row],[pendingAmount]]+TrafficData[[#This Row],[disposedAmount]]=TrafficData[[#This Row],[totalAmount]]</f>
        <v>1</v>
      </c>
      <c r="M3918" t="b">
        <f>TrafficData[[#This Row],[pendingCourt]]+TrafficData[[#This Row],[disposedCourt]]=TrafficData[[#This Row],[totalCourt]]</f>
        <v>1</v>
      </c>
      <c r="N3918" t="b">
        <f>AND(TrafficData[[#This Row],[disposedChallan]]&lt;=TrafficData[[#This Row],[totalChallan]],TrafficData[[#This Row],[pendingChallan]]&lt;=TrafficData[[#This Row],[totalChallan]])</f>
        <v>1</v>
      </c>
      <c r="O3918" t="b">
        <f>AND(TrafficData[[#This Row],[pendingAmount]]&lt;=TrafficData[[#This Row],[totalAmount]],TrafficData[[#This Row],[disposedAmount]]&lt;=TrafficData[[#This Row],[totalAmount]])</f>
        <v>1</v>
      </c>
      <c r="P3918" t="b">
        <f>AND(TrafficData[[#This Row],[pendingCourt]]&lt;=TrafficData[[#This Row],[totalCourt]],TrafficData[[#This Row],[disposedCourt]]&lt;=TrafficData[[#This Row],[totalCourt]])</f>
        <v>1</v>
      </c>
    </row>
    <row r="3919" spans="1:16">
      <c r="A3919" s="1">
        <v>45923</v>
      </c>
      <c r="B3919">
        <v>255353</v>
      </c>
      <c r="C3919">
        <v>53177</v>
      </c>
      <c r="D3919">
        <v>202176</v>
      </c>
      <c r="E3919">
        <v>416272796</v>
      </c>
      <c r="F3919">
        <v>96925081</v>
      </c>
      <c r="G3919">
        <v>513197877</v>
      </c>
      <c r="H3919">
        <v>99035</v>
      </c>
      <c r="I3919">
        <v>3386</v>
      </c>
      <c r="J3919">
        <v>102421</v>
      </c>
      <c r="K3919" t="b">
        <f>TrafficData[[#This Row],[disposedChallan]]+TrafficData[[#This Row],[pendingChallan]]=TrafficData[[#This Row],[totalChallan]]</f>
        <v>1</v>
      </c>
      <c r="L3919" t="b">
        <f>TrafficData[[#This Row],[pendingAmount]]+TrafficData[[#This Row],[disposedAmount]]=TrafficData[[#This Row],[totalAmount]]</f>
        <v>1</v>
      </c>
      <c r="M3919" t="b">
        <f>TrafficData[[#This Row],[pendingCourt]]+TrafficData[[#This Row],[disposedCourt]]=TrafficData[[#This Row],[totalCourt]]</f>
        <v>1</v>
      </c>
      <c r="N3919" t="b">
        <f>AND(TrafficData[[#This Row],[disposedChallan]]&lt;=TrafficData[[#This Row],[totalChallan]],TrafficData[[#This Row],[pendingChallan]]&lt;=TrafficData[[#This Row],[totalChallan]])</f>
        <v>1</v>
      </c>
      <c r="O3919" t="b">
        <f>AND(TrafficData[[#This Row],[pendingAmount]]&lt;=TrafficData[[#This Row],[totalAmount]],TrafficData[[#This Row],[disposedAmount]]&lt;=TrafficData[[#This Row],[totalAmount]])</f>
        <v>1</v>
      </c>
      <c r="P3919" t="b">
        <f>AND(TrafficData[[#This Row],[pendingCourt]]&lt;=TrafficData[[#This Row],[totalCourt]],TrafficData[[#This Row],[disposedCourt]]&lt;=TrafficData[[#This Row],[totalCourt]])</f>
        <v>1</v>
      </c>
    </row>
    <row r="3920" spans="1:16">
      <c r="A3920" s="1">
        <v>45924</v>
      </c>
      <c r="B3920">
        <v>258041</v>
      </c>
      <c r="C3920">
        <v>53529</v>
      </c>
      <c r="D3920">
        <v>204512</v>
      </c>
      <c r="E3920">
        <v>397886847</v>
      </c>
      <c r="F3920">
        <v>100773420</v>
      </c>
      <c r="G3920">
        <v>498660267</v>
      </c>
      <c r="H3920">
        <v>100264</v>
      </c>
      <c r="I3920">
        <v>3058</v>
      </c>
      <c r="J3920">
        <v>103322</v>
      </c>
      <c r="K3920" t="b">
        <f>TrafficData[[#This Row],[disposedChallan]]+TrafficData[[#This Row],[pendingChallan]]=TrafficData[[#This Row],[totalChallan]]</f>
        <v>1</v>
      </c>
      <c r="L3920" t="b">
        <f>TrafficData[[#This Row],[pendingAmount]]+TrafficData[[#This Row],[disposedAmount]]=TrafficData[[#This Row],[totalAmount]]</f>
        <v>1</v>
      </c>
      <c r="M3920" t="b">
        <f>TrafficData[[#This Row],[pendingCourt]]+TrafficData[[#This Row],[disposedCourt]]=TrafficData[[#This Row],[totalCourt]]</f>
        <v>1</v>
      </c>
      <c r="N3920" t="b">
        <f>AND(TrafficData[[#This Row],[disposedChallan]]&lt;=TrafficData[[#This Row],[totalChallan]],TrafficData[[#This Row],[pendingChallan]]&lt;=TrafficData[[#This Row],[totalChallan]])</f>
        <v>1</v>
      </c>
      <c r="O3920" t="b">
        <f>AND(TrafficData[[#This Row],[pendingAmount]]&lt;=TrafficData[[#This Row],[totalAmount]],TrafficData[[#This Row],[disposedAmount]]&lt;=TrafficData[[#This Row],[totalAmount]])</f>
        <v>1</v>
      </c>
      <c r="P3920" t="b">
        <f>AND(TrafficData[[#This Row],[pendingCourt]]&lt;=TrafficData[[#This Row],[totalCourt]],TrafficData[[#This Row],[disposedCourt]]&lt;=TrafficData[[#This Row],[totalCourt]])</f>
        <v>1</v>
      </c>
    </row>
    <row r="3921" spans="1:16">
      <c r="A3921" s="1">
        <v>45925</v>
      </c>
      <c r="B3921">
        <v>259204</v>
      </c>
      <c r="C3921">
        <v>52372</v>
      </c>
      <c r="D3921">
        <v>206832</v>
      </c>
      <c r="E3921">
        <v>412838521</v>
      </c>
      <c r="F3921">
        <v>96104236</v>
      </c>
      <c r="G3921">
        <v>508942757</v>
      </c>
      <c r="H3921">
        <v>98485</v>
      </c>
      <c r="I3921">
        <v>3376</v>
      </c>
      <c r="J3921">
        <v>101861</v>
      </c>
      <c r="K3921" t="b">
        <f>TrafficData[[#This Row],[disposedChallan]]+TrafficData[[#This Row],[pendingChallan]]=TrafficData[[#This Row],[totalChallan]]</f>
        <v>1</v>
      </c>
      <c r="L3921" t="b">
        <f>TrafficData[[#This Row],[pendingAmount]]+TrafficData[[#This Row],[disposedAmount]]=TrafficData[[#This Row],[totalAmount]]</f>
        <v>1</v>
      </c>
      <c r="M3921" t="b">
        <f>TrafficData[[#This Row],[pendingCourt]]+TrafficData[[#This Row],[disposedCourt]]=TrafficData[[#This Row],[totalCourt]]</f>
        <v>1</v>
      </c>
      <c r="N3921" t="b">
        <f>AND(TrafficData[[#This Row],[disposedChallan]]&lt;=TrafficData[[#This Row],[totalChallan]],TrafficData[[#This Row],[pendingChallan]]&lt;=TrafficData[[#This Row],[totalChallan]])</f>
        <v>1</v>
      </c>
      <c r="O3921" t="b">
        <f>AND(TrafficData[[#This Row],[pendingAmount]]&lt;=TrafficData[[#This Row],[totalAmount]],TrafficData[[#This Row],[disposedAmount]]&lt;=TrafficData[[#This Row],[totalAmount]])</f>
        <v>1</v>
      </c>
      <c r="P3921" t="b">
        <f>AND(TrafficData[[#This Row],[pendingCourt]]&lt;=TrafficData[[#This Row],[totalCourt]],TrafficData[[#This Row],[disposedCourt]]&lt;=TrafficData[[#This Row],[totalCourt]])</f>
        <v>1</v>
      </c>
    </row>
    <row r="3922" spans="1:16">
      <c r="A3922" s="1">
        <v>45926</v>
      </c>
      <c r="B3922">
        <v>256672</v>
      </c>
      <c r="C3922">
        <v>51891</v>
      </c>
      <c r="D3922">
        <v>204781</v>
      </c>
      <c r="E3922">
        <v>404490584</v>
      </c>
      <c r="F3922">
        <v>92859873</v>
      </c>
      <c r="G3922">
        <v>497350457</v>
      </c>
      <c r="H3922">
        <v>96293</v>
      </c>
      <c r="I3922">
        <v>3341</v>
      </c>
      <c r="J3922">
        <v>99634</v>
      </c>
      <c r="K3922" t="b">
        <f>TrafficData[[#This Row],[disposedChallan]]+TrafficData[[#This Row],[pendingChallan]]=TrafficData[[#This Row],[totalChallan]]</f>
        <v>1</v>
      </c>
      <c r="L3922" t="b">
        <f>TrafficData[[#This Row],[pendingAmount]]+TrafficData[[#This Row],[disposedAmount]]=TrafficData[[#This Row],[totalAmount]]</f>
        <v>1</v>
      </c>
      <c r="M3922" t="b">
        <f>TrafficData[[#This Row],[pendingCourt]]+TrafficData[[#This Row],[disposedCourt]]=TrafficData[[#This Row],[totalCourt]]</f>
        <v>1</v>
      </c>
      <c r="N3922" t="b">
        <f>AND(TrafficData[[#This Row],[disposedChallan]]&lt;=TrafficData[[#This Row],[totalChallan]],TrafficData[[#This Row],[pendingChallan]]&lt;=TrafficData[[#This Row],[totalChallan]])</f>
        <v>1</v>
      </c>
      <c r="O3922" t="b">
        <f>AND(TrafficData[[#This Row],[pendingAmount]]&lt;=TrafficData[[#This Row],[totalAmount]],TrafficData[[#This Row],[disposedAmount]]&lt;=TrafficData[[#This Row],[totalAmount]])</f>
        <v>1</v>
      </c>
      <c r="P3922" t="b">
        <f>AND(TrafficData[[#This Row],[pendingCourt]]&lt;=TrafficData[[#This Row],[totalCourt]],TrafficData[[#This Row],[disposedCourt]]&lt;=TrafficData[[#This Row],[totalCourt]])</f>
        <v>1</v>
      </c>
    </row>
    <row r="3923" spans="1:16">
      <c r="A3923" s="1">
        <v>45927</v>
      </c>
      <c r="B3923">
        <v>248784</v>
      </c>
      <c r="C3923">
        <v>51877</v>
      </c>
      <c r="D3923">
        <v>196907</v>
      </c>
      <c r="E3923">
        <v>370922398</v>
      </c>
      <c r="F3923">
        <v>79338942</v>
      </c>
      <c r="G3923">
        <v>450261340</v>
      </c>
      <c r="H3923">
        <v>98158</v>
      </c>
      <c r="I3923">
        <v>3419</v>
      </c>
      <c r="J3923">
        <v>101577</v>
      </c>
      <c r="K3923" t="b">
        <f>TrafficData[[#This Row],[disposedChallan]]+TrafficData[[#This Row],[pendingChallan]]=TrafficData[[#This Row],[totalChallan]]</f>
        <v>1</v>
      </c>
      <c r="L3923" t="b">
        <f>TrafficData[[#This Row],[pendingAmount]]+TrafficData[[#This Row],[disposedAmount]]=TrafficData[[#This Row],[totalAmount]]</f>
        <v>1</v>
      </c>
      <c r="M3923" t="b">
        <f>TrafficData[[#This Row],[pendingCourt]]+TrafficData[[#This Row],[disposedCourt]]=TrafficData[[#This Row],[totalCourt]]</f>
        <v>1</v>
      </c>
      <c r="N3923" t="b">
        <f>AND(TrafficData[[#This Row],[disposedChallan]]&lt;=TrafficData[[#This Row],[totalChallan]],TrafficData[[#This Row],[pendingChallan]]&lt;=TrafficData[[#This Row],[totalChallan]])</f>
        <v>1</v>
      </c>
      <c r="O3923" t="b">
        <f>AND(TrafficData[[#This Row],[pendingAmount]]&lt;=TrafficData[[#This Row],[totalAmount]],TrafficData[[#This Row],[disposedAmount]]&lt;=TrafficData[[#This Row],[totalAmount]])</f>
        <v>1</v>
      </c>
      <c r="P3923" t="b">
        <f>AND(TrafficData[[#This Row],[pendingCourt]]&lt;=TrafficData[[#This Row],[totalCourt]],TrafficData[[#This Row],[disposedCourt]]&lt;=TrafficData[[#This Row],[totalCourt]])</f>
        <v>1</v>
      </c>
    </row>
    <row r="3924" spans="1:16">
      <c r="A3924" s="1">
        <v>45928</v>
      </c>
      <c r="B3924">
        <v>222361</v>
      </c>
      <c r="C3924">
        <v>44939</v>
      </c>
      <c r="D3924">
        <v>177422</v>
      </c>
      <c r="E3924">
        <v>321983505</v>
      </c>
      <c r="F3924">
        <v>59203354</v>
      </c>
      <c r="G3924">
        <v>381186859</v>
      </c>
      <c r="H3924">
        <v>89426</v>
      </c>
      <c r="I3924">
        <v>3212</v>
      </c>
      <c r="J3924">
        <v>92638</v>
      </c>
      <c r="K3924" t="b">
        <f>TrafficData[[#This Row],[disposedChallan]]+TrafficData[[#This Row],[pendingChallan]]=TrafficData[[#This Row],[totalChallan]]</f>
        <v>1</v>
      </c>
      <c r="L3924" t="b">
        <f>TrafficData[[#This Row],[pendingAmount]]+TrafficData[[#This Row],[disposedAmount]]=TrafficData[[#This Row],[totalAmount]]</f>
        <v>1</v>
      </c>
      <c r="M3924" t="b">
        <f>TrafficData[[#This Row],[pendingCourt]]+TrafficData[[#This Row],[disposedCourt]]=TrafficData[[#This Row],[totalCourt]]</f>
        <v>1</v>
      </c>
      <c r="N3924" t="b">
        <f>AND(TrafficData[[#This Row],[disposedChallan]]&lt;=TrafficData[[#This Row],[totalChallan]],TrafficData[[#This Row],[pendingChallan]]&lt;=TrafficData[[#This Row],[totalChallan]])</f>
        <v>1</v>
      </c>
      <c r="O3924" t="b">
        <f>AND(TrafficData[[#This Row],[pendingAmount]]&lt;=TrafficData[[#This Row],[totalAmount]],TrafficData[[#This Row],[disposedAmount]]&lt;=TrafficData[[#This Row],[totalAmount]])</f>
        <v>1</v>
      </c>
      <c r="P3924" t="b">
        <f>AND(TrafficData[[#This Row],[pendingCourt]]&lt;=TrafficData[[#This Row],[totalCourt]],TrafficData[[#This Row],[disposedCourt]]&lt;=TrafficData[[#This Row],[totalCourt]])</f>
        <v>1</v>
      </c>
    </row>
    <row r="3925" spans="1:16">
      <c r="A3925" s="1">
        <v>45929</v>
      </c>
      <c r="B3925">
        <v>248093</v>
      </c>
      <c r="C3925">
        <v>49146</v>
      </c>
      <c r="D3925">
        <v>198947</v>
      </c>
      <c r="E3925">
        <v>376992445</v>
      </c>
      <c r="F3925">
        <v>70652428</v>
      </c>
      <c r="G3925">
        <v>447644873</v>
      </c>
      <c r="H3925">
        <v>101190</v>
      </c>
      <c r="I3925">
        <v>3376</v>
      </c>
      <c r="J3925">
        <v>104566</v>
      </c>
      <c r="K3925" t="b">
        <f>TrafficData[[#This Row],[disposedChallan]]+TrafficData[[#This Row],[pendingChallan]]=TrafficData[[#This Row],[totalChallan]]</f>
        <v>1</v>
      </c>
      <c r="L3925" t="b">
        <f>TrafficData[[#This Row],[pendingAmount]]+TrafficData[[#This Row],[disposedAmount]]=TrafficData[[#This Row],[totalAmount]]</f>
        <v>1</v>
      </c>
      <c r="M3925" t="b">
        <f>TrafficData[[#This Row],[pendingCourt]]+TrafficData[[#This Row],[disposedCourt]]=TrafficData[[#This Row],[totalCourt]]</f>
        <v>1</v>
      </c>
      <c r="N3925" t="b">
        <f>AND(TrafficData[[#This Row],[disposedChallan]]&lt;=TrafficData[[#This Row],[totalChallan]],TrafficData[[#This Row],[pendingChallan]]&lt;=TrafficData[[#This Row],[totalChallan]])</f>
        <v>1</v>
      </c>
      <c r="O3925" t="b">
        <f>AND(TrafficData[[#This Row],[pendingAmount]]&lt;=TrafficData[[#This Row],[totalAmount]],TrafficData[[#This Row],[disposedAmount]]&lt;=TrafficData[[#This Row],[totalAmount]])</f>
        <v>1</v>
      </c>
      <c r="P3925" t="b">
        <f>AND(TrafficData[[#This Row],[pendingCourt]]&lt;=TrafficData[[#This Row],[totalCourt]],TrafficData[[#This Row],[disposedCourt]]&lt;=TrafficData[[#This Row],[totalCourt]])</f>
        <v>1</v>
      </c>
    </row>
    <row r="3926" spans="1:16">
      <c r="A3926" s="1">
        <v>45930</v>
      </c>
      <c r="B3926">
        <v>227579</v>
      </c>
      <c r="C3926">
        <v>45709</v>
      </c>
      <c r="D3926">
        <v>181870</v>
      </c>
      <c r="E3926">
        <v>342687944</v>
      </c>
      <c r="F3926">
        <v>63290147</v>
      </c>
      <c r="G3926">
        <v>405978091</v>
      </c>
      <c r="H3926">
        <v>93172</v>
      </c>
      <c r="I3926">
        <v>2750</v>
      </c>
      <c r="J3926">
        <v>95922</v>
      </c>
      <c r="K3926" t="b">
        <f>TrafficData[[#This Row],[disposedChallan]]+TrafficData[[#This Row],[pendingChallan]]=TrafficData[[#This Row],[totalChallan]]</f>
        <v>1</v>
      </c>
      <c r="L3926" t="b">
        <f>TrafficData[[#This Row],[pendingAmount]]+TrafficData[[#This Row],[disposedAmount]]=TrafficData[[#This Row],[totalAmount]]</f>
        <v>1</v>
      </c>
      <c r="M3926" t="b">
        <f>TrafficData[[#This Row],[pendingCourt]]+TrafficData[[#This Row],[disposedCourt]]=TrafficData[[#This Row],[totalCourt]]</f>
        <v>1</v>
      </c>
      <c r="N3926" t="b">
        <f>AND(TrafficData[[#This Row],[disposedChallan]]&lt;=TrafficData[[#This Row],[totalChallan]],TrafficData[[#This Row],[pendingChallan]]&lt;=TrafficData[[#This Row],[totalChallan]])</f>
        <v>1</v>
      </c>
      <c r="O3926" t="b">
        <f>AND(TrafficData[[#This Row],[pendingAmount]]&lt;=TrafficData[[#This Row],[totalAmount]],TrafficData[[#This Row],[disposedAmount]]&lt;=TrafficData[[#This Row],[totalAmount]])</f>
        <v>1</v>
      </c>
      <c r="P3926" t="b">
        <f>AND(TrafficData[[#This Row],[pendingCourt]]&lt;=TrafficData[[#This Row],[totalCourt]],TrafficData[[#This Row],[disposedCourt]]&lt;=TrafficData[[#This Row],[totalCourt]])</f>
        <v>1</v>
      </c>
    </row>
    <row r="3927" spans="1:16">
      <c r="A3927" s="1">
        <v>45931</v>
      </c>
      <c r="B3927">
        <v>243496</v>
      </c>
      <c r="C3927">
        <v>49473</v>
      </c>
      <c r="D3927">
        <v>194023</v>
      </c>
      <c r="E3927">
        <v>369890971</v>
      </c>
      <c r="F3927">
        <v>76400750</v>
      </c>
      <c r="G3927">
        <v>446291721</v>
      </c>
      <c r="H3927">
        <v>101199</v>
      </c>
      <c r="I3927">
        <v>3179</v>
      </c>
      <c r="J3927">
        <v>104378</v>
      </c>
      <c r="K3927" t="b">
        <f>TrafficData[[#This Row],[disposedChallan]]+TrafficData[[#This Row],[pendingChallan]]=TrafficData[[#This Row],[totalChallan]]</f>
        <v>1</v>
      </c>
      <c r="L3927" t="b">
        <f>TrafficData[[#This Row],[pendingAmount]]+TrafficData[[#This Row],[disposedAmount]]=TrafficData[[#This Row],[totalAmount]]</f>
        <v>1</v>
      </c>
      <c r="M3927" t="b">
        <f>TrafficData[[#This Row],[pendingCourt]]+TrafficData[[#This Row],[disposedCourt]]=TrafficData[[#This Row],[totalCourt]]</f>
        <v>1</v>
      </c>
      <c r="N3927" t="b">
        <f>AND(TrafficData[[#This Row],[disposedChallan]]&lt;=TrafficData[[#This Row],[totalChallan]],TrafficData[[#This Row],[pendingChallan]]&lt;=TrafficData[[#This Row],[totalChallan]])</f>
        <v>1</v>
      </c>
      <c r="O3927" t="b">
        <f>AND(TrafficData[[#This Row],[pendingAmount]]&lt;=TrafficData[[#This Row],[totalAmount]],TrafficData[[#This Row],[disposedAmount]]&lt;=TrafficData[[#This Row],[totalAmount]])</f>
        <v>1</v>
      </c>
      <c r="P3927" t="b">
        <f>AND(TrafficData[[#This Row],[pendingCourt]]&lt;=TrafficData[[#This Row],[totalCourt]],TrafficData[[#This Row],[disposedCourt]]&lt;=TrafficData[[#This Row],[totalCourt]])</f>
        <v>1</v>
      </c>
    </row>
    <row r="3928" spans="1:16">
      <c r="A3928" s="1">
        <v>45932</v>
      </c>
      <c r="B3928">
        <v>207523</v>
      </c>
      <c r="C3928">
        <v>42046</v>
      </c>
      <c r="D3928">
        <v>165477</v>
      </c>
      <c r="E3928">
        <v>306684784</v>
      </c>
      <c r="F3928">
        <v>55192651</v>
      </c>
      <c r="G3928">
        <v>361877435</v>
      </c>
      <c r="H3928">
        <v>83784</v>
      </c>
      <c r="I3928">
        <v>2730</v>
      </c>
      <c r="J3928">
        <v>86514</v>
      </c>
      <c r="K3928" t="b">
        <f>TrafficData[[#This Row],[disposedChallan]]+TrafficData[[#This Row],[pendingChallan]]=TrafficData[[#This Row],[totalChallan]]</f>
        <v>1</v>
      </c>
      <c r="L3928" t="b">
        <f>TrafficData[[#This Row],[pendingAmount]]+TrafficData[[#This Row],[disposedAmount]]=TrafficData[[#This Row],[totalAmount]]</f>
        <v>1</v>
      </c>
      <c r="M3928" t="b">
        <f>TrafficData[[#This Row],[pendingCourt]]+TrafficData[[#This Row],[disposedCourt]]=TrafficData[[#This Row],[totalCourt]]</f>
        <v>1</v>
      </c>
      <c r="N3928" t="b">
        <f>AND(TrafficData[[#This Row],[disposedChallan]]&lt;=TrafficData[[#This Row],[totalChallan]],TrafficData[[#This Row],[pendingChallan]]&lt;=TrafficData[[#This Row],[totalChallan]])</f>
        <v>1</v>
      </c>
      <c r="O3928" t="b">
        <f>AND(TrafficData[[#This Row],[pendingAmount]]&lt;=TrafficData[[#This Row],[totalAmount]],TrafficData[[#This Row],[disposedAmount]]&lt;=TrafficData[[#This Row],[totalAmount]])</f>
        <v>1</v>
      </c>
      <c r="P3928" t="b">
        <f>AND(TrafficData[[#This Row],[pendingCourt]]&lt;=TrafficData[[#This Row],[totalCourt]],TrafficData[[#This Row],[disposedCourt]]&lt;=TrafficData[[#This Row],[totalCourt]])</f>
        <v>1</v>
      </c>
    </row>
    <row r="3929" spans="1:16">
      <c r="A3929" s="1">
        <v>45933</v>
      </c>
      <c r="B3929">
        <v>242990</v>
      </c>
      <c r="C3929">
        <v>49463</v>
      </c>
      <c r="D3929">
        <v>193527</v>
      </c>
      <c r="E3929">
        <v>377483379</v>
      </c>
      <c r="F3929">
        <v>82329959</v>
      </c>
      <c r="G3929">
        <v>459813338</v>
      </c>
      <c r="H3929">
        <v>98472</v>
      </c>
      <c r="I3929">
        <v>3095</v>
      </c>
      <c r="J3929">
        <v>101567</v>
      </c>
      <c r="K3929" t="b">
        <f>TrafficData[[#This Row],[disposedChallan]]+TrafficData[[#This Row],[pendingChallan]]=TrafficData[[#This Row],[totalChallan]]</f>
        <v>1</v>
      </c>
      <c r="L3929" t="b">
        <f>TrafficData[[#This Row],[pendingAmount]]+TrafficData[[#This Row],[disposedAmount]]=TrafficData[[#This Row],[totalAmount]]</f>
        <v>1</v>
      </c>
      <c r="M3929" t="b">
        <f>TrafficData[[#This Row],[pendingCourt]]+TrafficData[[#This Row],[disposedCourt]]=TrafficData[[#This Row],[totalCourt]]</f>
        <v>1</v>
      </c>
      <c r="N3929" t="b">
        <f>AND(TrafficData[[#This Row],[disposedChallan]]&lt;=TrafficData[[#This Row],[totalChallan]],TrafficData[[#This Row],[pendingChallan]]&lt;=TrafficData[[#This Row],[totalChallan]])</f>
        <v>1</v>
      </c>
      <c r="O3929" t="b">
        <f>AND(TrafficData[[#This Row],[pendingAmount]]&lt;=TrafficData[[#This Row],[totalAmount]],TrafficData[[#This Row],[disposedAmount]]&lt;=TrafficData[[#This Row],[totalAmount]])</f>
        <v>1</v>
      </c>
      <c r="P3929" t="b">
        <f>AND(TrafficData[[#This Row],[pendingCourt]]&lt;=TrafficData[[#This Row],[totalCourt]],TrafficData[[#This Row],[disposedCourt]]&lt;=TrafficData[[#This Row],[totalCourt]])</f>
        <v>1</v>
      </c>
    </row>
    <row r="3930" spans="1:16">
      <c r="A3930" s="1">
        <v>45934</v>
      </c>
      <c r="B3930">
        <v>255227</v>
      </c>
      <c r="C3930">
        <v>52545</v>
      </c>
      <c r="D3930">
        <v>202682</v>
      </c>
      <c r="E3930">
        <v>404074762</v>
      </c>
      <c r="F3930">
        <v>93738221</v>
      </c>
      <c r="G3930">
        <v>497812983</v>
      </c>
      <c r="H3930">
        <v>101488</v>
      </c>
      <c r="I3930">
        <v>3308</v>
      </c>
      <c r="J3930">
        <v>104796</v>
      </c>
      <c r="K3930" t="b">
        <f>TrafficData[[#This Row],[disposedChallan]]+TrafficData[[#This Row],[pendingChallan]]=TrafficData[[#This Row],[totalChallan]]</f>
        <v>1</v>
      </c>
      <c r="L3930" t="b">
        <f>TrafficData[[#This Row],[pendingAmount]]+TrafficData[[#This Row],[disposedAmount]]=TrafficData[[#This Row],[totalAmount]]</f>
        <v>1</v>
      </c>
      <c r="M3930" t="b">
        <f>TrafficData[[#This Row],[pendingCourt]]+TrafficData[[#This Row],[disposedCourt]]=TrafficData[[#This Row],[totalCourt]]</f>
        <v>1</v>
      </c>
      <c r="N3930" t="b">
        <f>AND(TrafficData[[#This Row],[disposedChallan]]&lt;=TrafficData[[#This Row],[totalChallan]],TrafficData[[#This Row],[pendingChallan]]&lt;=TrafficData[[#This Row],[totalChallan]])</f>
        <v>1</v>
      </c>
      <c r="O3930" t="b">
        <f>AND(TrafficData[[#This Row],[pendingAmount]]&lt;=TrafficData[[#This Row],[totalAmount]],TrafficData[[#This Row],[disposedAmount]]&lt;=TrafficData[[#This Row],[totalAmount]])</f>
        <v>1</v>
      </c>
      <c r="P3930" t="b">
        <f>AND(TrafficData[[#This Row],[pendingCourt]]&lt;=TrafficData[[#This Row],[totalCourt]],TrafficData[[#This Row],[disposedCourt]]&lt;=TrafficData[[#This Row],[totalCourt]])</f>
        <v>1</v>
      </c>
    </row>
    <row r="3931" spans="1:16">
      <c r="A3931" s="1">
        <v>45935</v>
      </c>
      <c r="B3931">
        <v>246284</v>
      </c>
      <c r="C3931">
        <v>49573</v>
      </c>
      <c r="D3931">
        <v>196711</v>
      </c>
      <c r="E3931">
        <v>366138408</v>
      </c>
      <c r="F3931">
        <v>75184725</v>
      </c>
      <c r="G3931">
        <v>441323133</v>
      </c>
      <c r="H3931">
        <v>98735</v>
      </c>
      <c r="I3931">
        <v>3023</v>
      </c>
      <c r="J3931">
        <v>101758</v>
      </c>
      <c r="K3931" t="b">
        <f>TrafficData[[#This Row],[disposedChallan]]+TrafficData[[#This Row],[pendingChallan]]=TrafficData[[#This Row],[totalChallan]]</f>
        <v>1</v>
      </c>
      <c r="L3931" t="b">
        <f>TrafficData[[#This Row],[pendingAmount]]+TrafficData[[#This Row],[disposedAmount]]=TrafficData[[#This Row],[totalAmount]]</f>
        <v>1</v>
      </c>
      <c r="M3931" t="b">
        <f>TrafficData[[#This Row],[pendingCourt]]+TrafficData[[#This Row],[disposedCourt]]=TrafficData[[#This Row],[totalCourt]]</f>
        <v>1</v>
      </c>
      <c r="N3931" t="b">
        <f>AND(TrafficData[[#This Row],[disposedChallan]]&lt;=TrafficData[[#This Row],[totalChallan]],TrafficData[[#This Row],[pendingChallan]]&lt;=TrafficData[[#This Row],[totalChallan]])</f>
        <v>1</v>
      </c>
      <c r="O3931" t="b">
        <f>AND(TrafficData[[#This Row],[pendingAmount]]&lt;=TrafficData[[#This Row],[totalAmount]],TrafficData[[#This Row],[disposedAmount]]&lt;=TrafficData[[#This Row],[totalAmount]])</f>
        <v>1</v>
      </c>
      <c r="P3931" t="b">
        <f>AND(TrafficData[[#This Row],[pendingCourt]]&lt;=TrafficData[[#This Row],[totalCourt]],TrafficData[[#This Row],[disposedCourt]]&lt;=TrafficData[[#This Row],[totalCourt]])</f>
        <v>1</v>
      </c>
    </row>
    <row r="3932" spans="1:16">
      <c r="A3932" s="1">
        <v>45936</v>
      </c>
      <c r="B3932">
        <v>256980</v>
      </c>
      <c r="C3932">
        <v>52012</v>
      </c>
      <c r="D3932">
        <v>204968</v>
      </c>
      <c r="E3932">
        <v>412355619</v>
      </c>
      <c r="F3932">
        <v>97047782</v>
      </c>
      <c r="G3932">
        <v>509403401</v>
      </c>
      <c r="H3932">
        <v>98801</v>
      </c>
      <c r="I3932">
        <v>3027</v>
      </c>
      <c r="J3932">
        <v>101828</v>
      </c>
      <c r="K3932" t="b">
        <f>TrafficData[[#This Row],[disposedChallan]]+TrafficData[[#This Row],[pendingChallan]]=TrafficData[[#This Row],[totalChallan]]</f>
        <v>1</v>
      </c>
      <c r="L3932" t="b">
        <f>TrafficData[[#This Row],[pendingAmount]]+TrafficData[[#This Row],[disposedAmount]]=TrafficData[[#This Row],[totalAmount]]</f>
        <v>1</v>
      </c>
      <c r="M3932" t="b">
        <f>TrafficData[[#This Row],[pendingCourt]]+TrafficData[[#This Row],[disposedCourt]]=TrafficData[[#This Row],[totalCourt]]</f>
        <v>1</v>
      </c>
      <c r="N3932" t="b">
        <f>AND(TrafficData[[#This Row],[disposedChallan]]&lt;=TrafficData[[#This Row],[totalChallan]],TrafficData[[#This Row],[pendingChallan]]&lt;=TrafficData[[#This Row],[totalChallan]])</f>
        <v>1</v>
      </c>
      <c r="O3932" t="b">
        <f>AND(TrafficData[[#This Row],[pendingAmount]]&lt;=TrafficData[[#This Row],[totalAmount]],TrafficData[[#This Row],[disposedAmount]]&lt;=TrafficData[[#This Row],[totalAmount]])</f>
        <v>1</v>
      </c>
      <c r="P3932" t="b">
        <f>AND(TrafficData[[#This Row],[pendingCourt]]&lt;=TrafficData[[#This Row],[totalCourt]],TrafficData[[#This Row],[disposedCourt]]&lt;=TrafficData[[#This Row],[totalCourt]])</f>
        <v>1</v>
      </c>
    </row>
    <row r="3933" spans="1:16">
      <c r="A3933" s="1">
        <v>45937</v>
      </c>
      <c r="B3933">
        <v>262912</v>
      </c>
      <c r="C3933">
        <v>54212</v>
      </c>
      <c r="D3933">
        <v>208700</v>
      </c>
      <c r="E3933">
        <v>395557053</v>
      </c>
      <c r="F3933">
        <v>105491991</v>
      </c>
      <c r="G3933">
        <v>501049044</v>
      </c>
      <c r="H3933">
        <v>95381</v>
      </c>
      <c r="I3933">
        <v>3030</v>
      </c>
      <c r="J3933">
        <v>98411</v>
      </c>
      <c r="K3933" t="b">
        <f>TrafficData[[#This Row],[disposedChallan]]+TrafficData[[#This Row],[pendingChallan]]=TrafficData[[#This Row],[totalChallan]]</f>
        <v>1</v>
      </c>
      <c r="L3933" t="b">
        <f>TrafficData[[#This Row],[pendingAmount]]+TrafficData[[#This Row],[disposedAmount]]=TrafficData[[#This Row],[totalAmount]]</f>
        <v>1</v>
      </c>
      <c r="M3933" t="b">
        <f>TrafficData[[#This Row],[pendingCourt]]+TrafficData[[#This Row],[disposedCourt]]=TrafficData[[#This Row],[totalCourt]]</f>
        <v>1</v>
      </c>
      <c r="N3933" t="b">
        <f>AND(TrafficData[[#This Row],[disposedChallan]]&lt;=TrafficData[[#This Row],[totalChallan]],TrafficData[[#This Row],[pendingChallan]]&lt;=TrafficData[[#This Row],[totalChallan]])</f>
        <v>1</v>
      </c>
      <c r="O3933" t="b">
        <f>AND(TrafficData[[#This Row],[pendingAmount]]&lt;=TrafficData[[#This Row],[totalAmount]],TrafficData[[#This Row],[disposedAmount]]&lt;=TrafficData[[#This Row],[totalAmount]])</f>
        <v>1</v>
      </c>
      <c r="P3933" t="b">
        <f>AND(TrafficData[[#This Row],[pendingCourt]]&lt;=TrafficData[[#This Row],[totalCourt]],TrafficData[[#This Row],[disposedCourt]]&lt;=TrafficData[[#This Row],[totalCourt]])</f>
        <v>1</v>
      </c>
    </row>
    <row r="3934" spans="1:16">
      <c r="A3934" s="1">
        <v>45938</v>
      </c>
      <c r="B3934">
        <v>283406</v>
      </c>
      <c r="C3934">
        <v>55704</v>
      </c>
      <c r="D3934">
        <v>227702</v>
      </c>
      <c r="E3934">
        <v>449346769</v>
      </c>
      <c r="F3934">
        <v>110302691</v>
      </c>
      <c r="G3934">
        <v>559649460</v>
      </c>
      <c r="H3934">
        <v>105397</v>
      </c>
      <c r="I3934">
        <v>3391</v>
      </c>
      <c r="J3934">
        <v>108788</v>
      </c>
      <c r="K3934" t="b">
        <f>TrafficData[[#This Row],[disposedChallan]]+TrafficData[[#This Row],[pendingChallan]]=TrafficData[[#This Row],[totalChallan]]</f>
        <v>1</v>
      </c>
      <c r="L3934" t="b">
        <f>TrafficData[[#This Row],[pendingAmount]]+TrafficData[[#This Row],[disposedAmount]]=TrafficData[[#This Row],[totalAmount]]</f>
        <v>1</v>
      </c>
      <c r="M3934" t="b">
        <f>TrafficData[[#This Row],[pendingCourt]]+TrafficData[[#This Row],[disposedCourt]]=TrafficData[[#This Row],[totalCourt]]</f>
        <v>1</v>
      </c>
      <c r="N3934" t="b">
        <f>AND(TrafficData[[#This Row],[disposedChallan]]&lt;=TrafficData[[#This Row],[totalChallan]],TrafficData[[#This Row],[pendingChallan]]&lt;=TrafficData[[#This Row],[totalChallan]])</f>
        <v>1</v>
      </c>
      <c r="O3934" t="b">
        <f>AND(TrafficData[[#This Row],[pendingAmount]]&lt;=TrafficData[[#This Row],[totalAmount]],TrafficData[[#This Row],[disposedAmount]]&lt;=TrafficData[[#This Row],[totalAmount]])</f>
        <v>1</v>
      </c>
      <c r="P3934" t="b">
        <f>AND(TrafficData[[#This Row],[pendingCourt]]&lt;=TrafficData[[#This Row],[totalCourt]],TrafficData[[#This Row],[disposedCourt]]&lt;=TrafficData[[#This Row],[totalCourt]])</f>
        <v>1</v>
      </c>
    </row>
    <row r="3935" spans="1:16">
      <c r="A3935" s="1">
        <v>45939</v>
      </c>
      <c r="B3935">
        <v>279034</v>
      </c>
      <c r="C3935">
        <v>56319</v>
      </c>
      <c r="D3935">
        <v>222715</v>
      </c>
      <c r="E3935">
        <v>450654851</v>
      </c>
      <c r="F3935">
        <v>116546830</v>
      </c>
      <c r="G3935">
        <v>567201681</v>
      </c>
      <c r="H3935">
        <v>105467</v>
      </c>
      <c r="I3935">
        <v>3383</v>
      </c>
      <c r="J3935">
        <v>108850</v>
      </c>
      <c r="K3935" t="b">
        <f>TrafficData[[#This Row],[disposedChallan]]+TrafficData[[#This Row],[pendingChallan]]=TrafficData[[#This Row],[totalChallan]]</f>
        <v>1</v>
      </c>
      <c r="L3935" t="b">
        <f>TrafficData[[#This Row],[pendingAmount]]+TrafficData[[#This Row],[disposedAmount]]=TrafficData[[#This Row],[totalAmount]]</f>
        <v>1</v>
      </c>
      <c r="M3935" t="b">
        <f>TrafficData[[#This Row],[pendingCourt]]+TrafficData[[#This Row],[disposedCourt]]=TrafficData[[#This Row],[totalCourt]]</f>
        <v>1</v>
      </c>
      <c r="N3935" t="b">
        <f>AND(TrafficData[[#This Row],[disposedChallan]]&lt;=TrafficData[[#This Row],[totalChallan]],TrafficData[[#This Row],[pendingChallan]]&lt;=TrafficData[[#This Row],[totalChallan]])</f>
        <v>1</v>
      </c>
      <c r="O3935" t="b">
        <f>AND(TrafficData[[#This Row],[pendingAmount]]&lt;=TrafficData[[#This Row],[totalAmount]],TrafficData[[#This Row],[disposedAmount]]&lt;=TrafficData[[#This Row],[totalAmount]])</f>
        <v>1</v>
      </c>
      <c r="P3935" t="b">
        <f>AND(TrafficData[[#This Row],[pendingCourt]]&lt;=TrafficData[[#This Row],[totalCourt]],TrafficData[[#This Row],[disposedCourt]]&lt;=TrafficData[[#This Row],[totalCourt]])</f>
        <v>1</v>
      </c>
    </row>
    <row r="3936" spans="1:16">
      <c r="A3936" s="1">
        <v>45940</v>
      </c>
      <c r="B3936">
        <v>261257</v>
      </c>
      <c r="C3936">
        <v>53072</v>
      </c>
      <c r="D3936">
        <v>208185</v>
      </c>
      <c r="E3936">
        <v>418557325</v>
      </c>
      <c r="F3936">
        <v>102340744</v>
      </c>
      <c r="G3936">
        <v>520898069</v>
      </c>
      <c r="H3936">
        <v>98267</v>
      </c>
      <c r="I3936">
        <v>3109</v>
      </c>
      <c r="J3936">
        <v>101376</v>
      </c>
      <c r="K3936" t="b">
        <f>TrafficData[[#This Row],[disposedChallan]]+TrafficData[[#This Row],[pendingChallan]]=TrafficData[[#This Row],[totalChallan]]</f>
        <v>1</v>
      </c>
      <c r="L3936" t="b">
        <f>TrafficData[[#This Row],[pendingAmount]]+TrafficData[[#This Row],[disposedAmount]]=TrafficData[[#This Row],[totalAmount]]</f>
        <v>1</v>
      </c>
      <c r="M3936" t="b">
        <f>TrafficData[[#This Row],[pendingCourt]]+TrafficData[[#This Row],[disposedCourt]]=TrafficData[[#This Row],[totalCourt]]</f>
        <v>1</v>
      </c>
      <c r="N3936" t="b">
        <f>AND(TrafficData[[#This Row],[disposedChallan]]&lt;=TrafficData[[#This Row],[totalChallan]],TrafficData[[#This Row],[pendingChallan]]&lt;=TrafficData[[#This Row],[totalChallan]])</f>
        <v>1</v>
      </c>
      <c r="O3936" t="b">
        <f>AND(TrafficData[[#This Row],[pendingAmount]]&lt;=TrafficData[[#This Row],[totalAmount]],TrafficData[[#This Row],[disposedAmount]]&lt;=TrafficData[[#This Row],[totalAmount]])</f>
        <v>1</v>
      </c>
      <c r="P3936" t="b">
        <f>AND(TrafficData[[#This Row],[pendingCourt]]&lt;=TrafficData[[#This Row],[totalCourt]],TrafficData[[#This Row],[disposedCourt]]&lt;=TrafficData[[#This Row],[totalCourt]])</f>
        <v>1</v>
      </c>
    </row>
    <row r="3937" spans="1:16">
      <c r="A3937" s="1">
        <v>45941</v>
      </c>
      <c r="B3937">
        <v>275546</v>
      </c>
      <c r="C3937">
        <v>55180</v>
      </c>
      <c r="D3937">
        <v>220366</v>
      </c>
      <c r="E3937">
        <v>423093276</v>
      </c>
      <c r="F3937">
        <v>79595219</v>
      </c>
      <c r="G3937">
        <v>502688495</v>
      </c>
      <c r="H3937">
        <v>98326</v>
      </c>
      <c r="I3937">
        <v>3582</v>
      </c>
      <c r="J3937">
        <v>101908</v>
      </c>
      <c r="K3937" t="b">
        <f>TrafficData[[#This Row],[disposedChallan]]+TrafficData[[#This Row],[pendingChallan]]=TrafficData[[#This Row],[totalChallan]]</f>
        <v>1</v>
      </c>
      <c r="L3937" t="b">
        <f>TrafficData[[#This Row],[pendingAmount]]+TrafficData[[#This Row],[disposedAmount]]=TrafficData[[#This Row],[totalAmount]]</f>
        <v>1</v>
      </c>
      <c r="M3937" t="b">
        <f>TrafficData[[#This Row],[pendingCourt]]+TrafficData[[#This Row],[disposedCourt]]=TrafficData[[#This Row],[totalCourt]]</f>
        <v>1</v>
      </c>
      <c r="N3937" t="b">
        <f>AND(TrafficData[[#This Row],[disposedChallan]]&lt;=TrafficData[[#This Row],[totalChallan]],TrafficData[[#This Row],[pendingChallan]]&lt;=TrafficData[[#This Row],[totalChallan]])</f>
        <v>1</v>
      </c>
      <c r="O3937" t="b">
        <f>AND(TrafficData[[#This Row],[pendingAmount]]&lt;=TrafficData[[#This Row],[totalAmount]],TrafficData[[#This Row],[disposedAmount]]&lt;=TrafficData[[#This Row],[totalAmount]])</f>
        <v>1</v>
      </c>
      <c r="P3937" t="b">
        <f>AND(TrafficData[[#This Row],[pendingCourt]]&lt;=TrafficData[[#This Row],[totalCourt]],TrafficData[[#This Row],[disposedCourt]]&lt;=TrafficData[[#This Row],[totalCourt]])</f>
        <v>1</v>
      </c>
    </row>
    <row r="3938" spans="1:16">
      <c r="A3938" s="1">
        <v>45942</v>
      </c>
      <c r="B3938">
        <v>255377</v>
      </c>
      <c r="C3938">
        <v>50526</v>
      </c>
      <c r="D3938">
        <v>204851</v>
      </c>
      <c r="E3938">
        <v>415392958</v>
      </c>
      <c r="F3938">
        <v>73568191</v>
      </c>
      <c r="G3938">
        <v>488961149</v>
      </c>
      <c r="H3938">
        <v>91126</v>
      </c>
      <c r="I3938">
        <v>3251</v>
      </c>
      <c r="J3938">
        <v>94377</v>
      </c>
      <c r="K3938" t="b">
        <f>TrafficData[[#This Row],[disposedChallan]]+TrafficData[[#This Row],[pendingChallan]]=TrafficData[[#This Row],[totalChallan]]</f>
        <v>1</v>
      </c>
      <c r="L3938" t="b">
        <f>TrafficData[[#This Row],[pendingAmount]]+TrafficData[[#This Row],[disposedAmount]]=TrafficData[[#This Row],[totalAmount]]</f>
        <v>1</v>
      </c>
      <c r="M3938" t="b">
        <f>TrafficData[[#This Row],[pendingCourt]]+TrafficData[[#This Row],[disposedCourt]]=TrafficData[[#This Row],[totalCourt]]</f>
        <v>1</v>
      </c>
      <c r="N3938" t="b">
        <f>AND(TrafficData[[#This Row],[disposedChallan]]&lt;=TrafficData[[#This Row],[totalChallan]],TrafficData[[#This Row],[pendingChallan]]&lt;=TrafficData[[#This Row],[totalChallan]])</f>
        <v>1</v>
      </c>
      <c r="O3938" t="b">
        <f>AND(TrafficData[[#This Row],[pendingAmount]]&lt;=TrafficData[[#This Row],[totalAmount]],TrafficData[[#This Row],[disposedAmount]]&lt;=TrafficData[[#This Row],[totalAmount]])</f>
        <v>1</v>
      </c>
      <c r="P3938" t="b">
        <f>AND(TrafficData[[#This Row],[pendingCourt]]&lt;=TrafficData[[#This Row],[totalCourt]],TrafficData[[#This Row],[disposedCourt]]&lt;=TrafficData[[#This Row],[totalCourt]])</f>
        <v>1</v>
      </c>
    </row>
    <row r="3939" spans="1:16">
      <c r="A3939" s="1">
        <v>45943</v>
      </c>
      <c r="B3939">
        <v>282562</v>
      </c>
      <c r="C3939">
        <v>55053</v>
      </c>
      <c r="D3939">
        <v>227509</v>
      </c>
      <c r="E3939">
        <v>479381281</v>
      </c>
      <c r="F3939">
        <v>103914832</v>
      </c>
      <c r="G3939">
        <v>583296113</v>
      </c>
      <c r="H3939">
        <v>103027</v>
      </c>
      <c r="I3939">
        <v>3502</v>
      </c>
      <c r="J3939">
        <v>106529</v>
      </c>
      <c r="K3939" t="b">
        <f>TrafficData[[#This Row],[disposedChallan]]+TrafficData[[#This Row],[pendingChallan]]=TrafficData[[#This Row],[totalChallan]]</f>
        <v>1</v>
      </c>
      <c r="L3939" t="b">
        <f>TrafficData[[#This Row],[pendingAmount]]+TrafficData[[#This Row],[disposedAmount]]=TrafficData[[#This Row],[totalAmount]]</f>
        <v>1</v>
      </c>
      <c r="M3939" t="b">
        <f>TrafficData[[#This Row],[pendingCourt]]+TrafficData[[#This Row],[disposedCourt]]=TrafficData[[#This Row],[totalCourt]]</f>
        <v>1</v>
      </c>
      <c r="N3939" t="b">
        <f>AND(TrafficData[[#This Row],[disposedChallan]]&lt;=TrafficData[[#This Row],[totalChallan]],TrafficData[[#This Row],[pendingChallan]]&lt;=TrafficData[[#This Row],[totalChallan]])</f>
        <v>1</v>
      </c>
      <c r="O3939" t="b">
        <f>AND(TrafficData[[#This Row],[pendingAmount]]&lt;=TrafficData[[#This Row],[totalAmount]],TrafficData[[#This Row],[disposedAmount]]&lt;=TrafficData[[#This Row],[totalAmount]])</f>
        <v>1</v>
      </c>
      <c r="P3939" t="b">
        <f>AND(TrafficData[[#This Row],[pendingCourt]]&lt;=TrafficData[[#This Row],[totalCourt]],TrafficData[[#This Row],[disposedCourt]]&lt;=TrafficData[[#This Row],[totalCourt]])</f>
        <v>1</v>
      </c>
    </row>
    <row r="3940" spans="1:16">
      <c r="A3940" s="1">
        <v>45944</v>
      </c>
      <c r="B3940">
        <v>292662</v>
      </c>
      <c r="C3940">
        <v>56614</v>
      </c>
      <c r="D3940">
        <v>236048</v>
      </c>
      <c r="E3940">
        <v>490294870</v>
      </c>
      <c r="F3940">
        <v>115115278</v>
      </c>
      <c r="G3940">
        <v>605410148</v>
      </c>
      <c r="H3940">
        <v>105363</v>
      </c>
      <c r="I3940">
        <v>3287</v>
      </c>
      <c r="J3940">
        <v>108650</v>
      </c>
      <c r="K3940" t="b">
        <f>TrafficData[[#This Row],[disposedChallan]]+TrafficData[[#This Row],[pendingChallan]]=TrafficData[[#This Row],[totalChallan]]</f>
        <v>1</v>
      </c>
      <c r="L3940" t="b">
        <f>TrafficData[[#This Row],[pendingAmount]]+TrafficData[[#This Row],[disposedAmount]]=TrafficData[[#This Row],[totalAmount]]</f>
        <v>1</v>
      </c>
      <c r="M3940" t="b">
        <f>TrafficData[[#This Row],[pendingCourt]]+TrafficData[[#This Row],[disposedCourt]]=TrafficData[[#This Row],[totalCourt]]</f>
        <v>1</v>
      </c>
      <c r="N3940" t="b">
        <f>AND(TrafficData[[#This Row],[disposedChallan]]&lt;=TrafficData[[#This Row],[totalChallan]],TrafficData[[#This Row],[pendingChallan]]&lt;=TrafficData[[#This Row],[totalChallan]])</f>
        <v>1</v>
      </c>
      <c r="O3940" t="b">
        <f>AND(TrafficData[[#This Row],[pendingAmount]]&lt;=TrafficData[[#This Row],[totalAmount]],TrafficData[[#This Row],[disposedAmount]]&lt;=TrafficData[[#This Row],[totalAmount]])</f>
        <v>1</v>
      </c>
      <c r="P3940" t="b">
        <f>AND(TrafficData[[#This Row],[pendingCourt]]&lt;=TrafficData[[#This Row],[totalCourt]],TrafficData[[#This Row],[disposedCourt]]&lt;=TrafficData[[#This Row],[totalCourt]])</f>
        <v>1</v>
      </c>
    </row>
    <row r="3941" spans="1:16">
      <c r="A3941" s="1">
        <v>45945</v>
      </c>
      <c r="B3941">
        <v>296452</v>
      </c>
      <c r="C3941">
        <v>55099</v>
      </c>
      <c r="D3941">
        <v>241353</v>
      </c>
      <c r="E3941">
        <v>504032565</v>
      </c>
      <c r="F3941">
        <v>114562032</v>
      </c>
      <c r="G3941">
        <v>618594597</v>
      </c>
      <c r="H3941">
        <v>106063</v>
      </c>
      <c r="I3941">
        <v>3399</v>
      </c>
      <c r="J3941">
        <v>109462</v>
      </c>
      <c r="K3941" t="b">
        <f>TrafficData[[#This Row],[disposedChallan]]+TrafficData[[#This Row],[pendingChallan]]=TrafficData[[#This Row],[totalChallan]]</f>
        <v>1</v>
      </c>
      <c r="L3941" t="b">
        <f>TrafficData[[#This Row],[pendingAmount]]+TrafficData[[#This Row],[disposedAmount]]=TrafficData[[#This Row],[totalAmount]]</f>
        <v>1</v>
      </c>
      <c r="M3941" t="b">
        <f>TrafficData[[#This Row],[pendingCourt]]+TrafficData[[#This Row],[disposedCourt]]=TrafficData[[#This Row],[totalCourt]]</f>
        <v>1</v>
      </c>
      <c r="N3941" t="b">
        <f>AND(TrafficData[[#This Row],[disposedChallan]]&lt;=TrafficData[[#This Row],[totalChallan]],TrafficData[[#This Row],[pendingChallan]]&lt;=TrafficData[[#This Row],[totalChallan]])</f>
        <v>1</v>
      </c>
      <c r="O3941" t="b">
        <f>AND(TrafficData[[#This Row],[pendingAmount]]&lt;=TrafficData[[#This Row],[totalAmount]],TrafficData[[#This Row],[disposedAmount]]&lt;=TrafficData[[#This Row],[totalAmount]])</f>
        <v>1</v>
      </c>
      <c r="P3941" t="b">
        <f>AND(TrafficData[[#This Row],[pendingCourt]]&lt;=TrafficData[[#This Row],[totalCourt]],TrafficData[[#This Row],[disposedCourt]]&lt;=TrafficData[[#This Row],[totalCourt]])</f>
        <v>1</v>
      </c>
    </row>
    <row r="3942" spans="1:16">
      <c r="A3942" s="1">
        <v>45946</v>
      </c>
      <c r="B3942">
        <v>285165</v>
      </c>
      <c r="C3942">
        <v>54692</v>
      </c>
      <c r="D3942">
        <v>230473</v>
      </c>
      <c r="E3942">
        <v>480226700</v>
      </c>
      <c r="F3942">
        <v>105152956</v>
      </c>
      <c r="G3942">
        <v>585379656</v>
      </c>
      <c r="H3942">
        <v>106497</v>
      </c>
      <c r="I3942">
        <v>3326</v>
      </c>
      <c r="J3942">
        <v>109823</v>
      </c>
      <c r="K3942" t="b">
        <f>TrafficData[[#This Row],[disposedChallan]]+TrafficData[[#This Row],[pendingChallan]]=TrafficData[[#This Row],[totalChallan]]</f>
        <v>1</v>
      </c>
      <c r="L3942" t="b">
        <f>TrafficData[[#This Row],[pendingAmount]]+TrafficData[[#This Row],[disposedAmount]]=TrafficData[[#This Row],[totalAmount]]</f>
        <v>1</v>
      </c>
      <c r="M3942" t="b">
        <f>TrafficData[[#This Row],[pendingCourt]]+TrafficData[[#This Row],[disposedCourt]]=TrafficData[[#This Row],[totalCourt]]</f>
        <v>1</v>
      </c>
      <c r="N3942" t="b">
        <f>AND(TrafficData[[#This Row],[disposedChallan]]&lt;=TrafficData[[#This Row],[totalChallan]],TrafficData[[#This Row],[pendingChallan]]&lt;=TrafficData[[#This Row],[totalChallan]])</f>
        <v>1</v>
      </c>
      <c r="O3942" t="b">
        <f>AND(TrafficData[[#This Row],[pendingAmount]]&lt;=TrafficData[[#This Row],[totalAmount]],TrafficData[[#This Row],[disposedAmount]]&lt;=TrafficData[[#This Row],[totalAmount]])</f>
        <v>1</v>
      </c>
      <c r="P3942" t="b">
        <f>AND(TrafficData[[#This Row],[pendingCourt]]&lt;=TrafficData[[#This Row],[totalCourt]],TrafficData[[#This Row],[disposedCourt]]&lt;=TrafficData[[#This Row],[totalCourt]])</f>
        <v>1</v>
      </c>
    </row>
    <row r="3943" spans="1:16">
      <c r="A3943" s="1">
        <v>45947</v>
      </c>
      <c r="B3943">
        <v>276014</v>
      </c>
      <c r="C3943">
        <v>52117</v>
      </c>
      <c r="D3943">
        <v>223897</v>
      </c>
      <c r="E3943">
        <v>462964990</v>
      </c>
      <c r="F3943">
        <v>89944132</v>
      </c>
      <c r="G3943">
        <v>552909122</v>
      </c>
      <c r="H3943">
        <v>99497</v>
      </c>
      <c r="I3943">
        <v>3237</v>
      </c>
      <c r="J3943">
        <v>102734</v>
      </c>
      <c r="K3943" t="b">
        <f>TrafficData[[#This Row],[disposedChallan]]+TrafficData[[#This Row],[pendingChallan]]=TrafficData[[#This Row],[totalChallan]]</f>
        <v>1</v>
      </c>
      <c r="L3943" t="b">
        <f>TrafficData[[#This Row],[pendingAmount]]+TrafficData[[#This Row],[disposedAmount]]=TrafficData[[#This Row],[totalAmount]]</f>
        <v>1</v>
      </c>
      <c r="M3943" t="b">
        <f>TrafficData[[#This Row],[pendingCourt]]+TrafficData[[#This Row],[disposedCourt]]=TrafficData[[#This Row],[totalCourt]]</f>
        <v>1</v>
      </c>
      <c r="N3943" t="b">
        <f>AND(TrafficData[[#This Row],[disposedChallan]]&lt;=TrafficData[[#This Row],[totalChallan]],TrafficData[[#This Row],[pendingChallan]]&lt;=TrafficData[[#This Row],[totalChallan]])</f>
        <v>1</v>
      </c>
      <c r="O3943" t="b">
        <f>AND(TrafficData[[#This Row],[pendingAmount]]&lt;=TrafficData[[#This Row],[totalAmount]],TrafficData[[#This Row],[disposedAmount]]&lt;=TrafficData[[#This Row],[totalAmount]])</f>
        <v>1</v>
      </c>
      <c r="P3943" t="b">
        <f>AND(TrafficData[[#This Row],[pendingCourt]]&lt;=TrafficData[[#This Row],[totalCourt]],TrafficData[[#This Row],[disposedCourt]]&lt;=TrafficData[[#This Row],[totalCourt]])</f>
        <v>1</v>
      </c>
    </row>
    <row r="3944" spans="1:16">
      <c r="A3944" s="1">
        <v>45948</v>
      </c>
      <c r="B3944">
        <v>255922</v>
      </c>
      <c r="C3944">
        <v>47679</v>
      </c>
      <c r="D3944">
        <v>208243</v>
      </c>
      <c r="E3944">
        <v>413903513</v>
      </c>
      <c r="F3944">
        <v>67763165</v>
      </c>
      <c r="G3944">
        <v>481666678</v>
      </c>
      <c r="H3944">
        <v>88576</v>
      </c>
      <c r="I3944">
        <v>2925</v>
      </c>
      <c r="J3944">
        <v>91501</v>
      </c>
      <c r="K3944" t="b">
        <f>TrafficData[[#This Row],[disposedChallan]]+TrafficData[[#This Row],[pendingChallan]]=TrafficData[[#This Row],[totalChallan]]</f>
        <v>1</v>
      </c>
      <c r="L3944" t="b">
        <f>TrafficData[[#This Row],[pendingAmount]]+TrafficData[[#This Row],[disposedAmount]]=TrafficData[[#This Row],[totalAmount]]</f>
        <v>1</v>
      </c>
      <c r="M3944" t="b">
        <f>TrafficData[[#This Row],[pendingCourt]]+TrafficData[[#This Row],[disposedCourt]]=TrafficData[[#This Row],[totalCourt]]</f>
        <v>1</v>
      </c>
      <c r="N3944" t="b">
        <f>AND(TrafficData[[#This Row],[disposedChallan]]&lt;=TrafficData[[#This Row],[totalChallan]],TrafficData[[#This Row],[pendingChallan]]&lt;=TrafficData[[#This Row],[totalChallan]])</f>
        <v>1</v>
      </c>
      <c r="O3944" t="b">
        <f>AND(TrafficData[[#This Row],[pendingAmount]]&lt;=TrafficData[[#This Row],[totalAmount]],TrafficData[[#This Row],[disposedAmount]]&lt;=TrafficData[[#This Row],[totalAmount]])</f>
        <v>1</v>
      </c>
      <c r="P3944" t="b">
        <f>AND(TrafficData[[#This Row],[pendingCourt]]&lt;=TrafficData[[#This Row],[totalCourt]],TrafficData[[#This Row],[disposedCourt]]&lt;=TrafficData[[#This Row],[totalCourt]])</f>
        <v>1</v>
      </c>
    </row>
    <row r="3945" spans="1:16">
      <c r="A3945" s="1">
        <v>45949</v>
      </c>
      <c r="B3945">
        <v>213453</v>
      </c>
      <c r="C3945">
        <v>38820</v>
      </c>
      <c r="D3945">
        <v>174633</v>
      </c>
      <c r="E3945">
        <v>319639407</v>
      </c>
      <c r="F3945">
        <v>45616979</v>
      </c>
      <c r="G3945">
        <v>365256386</v>
      </c>
      <c r="H3945">
        <v>77744</v>
      </c>
      <c r="I3945">
        <v>2349</v>
      </c>
      <c r="J3945">
        <v>80093</v>
      </c>
      <c r="K3945" t="b">
        <f>TrafficData[[#This Row],[disposedChallan]]+TrafficData[[#This Row],[pendingChallan]]=TrafficData[[#This Row],[totalChallan]]</f>
        <v>1</v>
      </c>
      <c r="L3945" t="b">
        <f>TrafficData[[#This Row],[pendingAmount]]+TrafficData[[#This Row],[disposedAmount]]=TrafficData[[#This Row],[totalAmount]]</f>
        <v>1</v>
      </c>
      <c r="M3945" t="b">
        <f>TrafficData[[#This Row],[pendingCourt]]+TrafficData[[#This Row],[disposedCourt]]=TrafficData[[#This Row],[totalCourt]]</f>
        <v>1</v>
      </c>
      <c r="N3945" t="b">
        <f>AND(TrafficData[[#This Row],[disposedChallan]]&lt;=TrafficData[[#This Row],[totalChallan]],TrafficData[[#This Row],[pendingChallan]]&lt;=TrafficData[[#This Row],[totalChallan]])</f>
        <v>1</v>
      </c>
      <c r="O3945" t="b">
        <f>AND(TrafficData[[#This Row],[pendingAmount]]&lt;=TrafficData[[#This Row],[totalAmount]],TrafficData[[#This Row],[disposedAmount]]&lt;=TrafficData[[#This Row],[totalAmount]])</f>
        <v>1</v>
      </c>
      <c r="P3945" t="b">
        <f>AND(TrafficData[[#This Row],[pendingCourt]]&lt;=TrafficData[[#This Row],[totalCourt]],TrafficData[[#This Row],[disposedCourt]]&lt;=TrafficData[[#This Row],[totalCourt]])</f>
        <v>1</v>
      </c>
    </row>
    <row r="3946" spans="1:16">
      <c r="A3946" s="1">
        <v>45950</v>
      </c>
      <c r="B3946">
        <v>157314</v>
      </c>
      <c r="C3946">
        <v>26761</v>
      </c>
      <c r="D3946">
        <v>130553</v>
      </c>
      <c r="E3946">
        <v>219069462</v>
      </c>
      <c r="F3946">
        <v>29718261</v>
      </c>
      <c r="G3946">
        <v>248787723</v>
      </c>
      <c r="H3946">
        <v>58626</v>
      </c>
      <c r="I3946">
        <v>1719</v>
      </c>
      <c r="J3946">
        <v>60345</v>
      </c>
      <c r="K3946" t="b">
        <f>TrafficData[[#This Row],[disposedChallan]]+TrafficData[[#This Row],[pendingChallan]]=TrafficData[[#This Row],[totalChallan]]</f>
        <v>1</v>
      </c>
      <c r="L3946" t="b">
        <f>TrafficData[[#This Row],[pendingAmount]]+TrafficData[[#This Row],[disposedAmount]]=TrafficData[[#This Row],[totalAmount]]</f>
        <v>1</v>
      </c>
      <c r="M3946" t="b">
        <f>TrafficData[[#This Row],[pendingCourt]]+TrafficData[[#This Row],[disposedCourt]]=TrafficData[[#This Row],[totalCourt]]</f>
        <v>1</v>
      </c>
      <c r="N3946" t="b">
        <f>AND(TrafficData[[#This Row],[disposedChallan]]&lt;=TrafficData[[#This Row],[totalChallan]],TrafficData[[#This Row],[pendingChallan]]&lt;=TrafficData[[#This Row],[totalChallan]])</f>
        <v>1</v>
      </c>
      <c r="O3946" t="b">
        <f>AND(TrafficData[[#This Row],[pendingAmount]]&lt;=TrafficData[[#This Row],[totalAmount]],TrafficData[[#This Row],[disposedAmount]]&lt;=TrafficData[[#This Row],[totalAmount]])</f>
        <v>1</v>
      </c>
      <c r="P3946" t="b">
        <f>AND(TrafficData[[#This Row],[pendingCourt]]&lt;=TrafficData[[#This Row],[totalCourt]],TrafficData[[#This Row],[disposedCourt]]&lt;=TrafficData[[#This Row],[totalCourt]])</f>
        <v>1</v>
      </c>
    </row>
    <row r="3947" spans="1:16">
      <c r="A3947" s="1">
        <v>45951</v>
      </c>
      <c r="B3947">
        <v>193124</v>
      </c>
      <c r="C3947">
        <v>33741</v>
      </c>
      <c r="D3947">
        <v>159383</v>
      </c>
      <c r="E3947">
        <v>309236468</v>
      </c>
      <c r="F3947">
        <v>40242891</v>
      </c>
      <c r="G3947">
        <v>349479359</v>
      </c>
      <c r="H3947">
        <v>69916</v>
      </c>
      <c r="I3947">
        <v>2153</v>
      </c>
      <c r="J3947">
        <v>72069</v>
      </c>
      <c r="K3947" t="b">
        <f>TrafficData[[#This Row],[disposedChallan]]+TrafficData[[#This Row],[pendingChallan]]=TrafficData[[#This Row],[totalChallan]]</f>
        <v>1</v>
      </c>
      <c r="L3947" t="b">
        <f>TrafficData[[#This Row],[pendingAmount]]+TrafficData[[#This Row],[disposedAmount]]=TrafficData[[#This Row],[totalAmount]]</f>
        <v>1</v>
      </c>
      <c r="M3947" t="b">
        <f>TrafficData[[#This Row],[pendingCourt]]+TrafficData[[#This Row],[disposedCourt]]=TrafficData[[#This Row],[totalCourt]]</f>
        <v>1</v>
      </c>
      <c r="N3947" t="b">
        <f>AND(TrafficData[[#This Row],[disposedChallan]]&lt;=TrafficData[[#This Row],[totalChallan]],TrafficData[[#This Row],[pendingChallan]]&lt;=TrafficData[[#This Row],[totalChallan]])</f>
        <v>1</v>
      </c>
      <c r="O3947" t="b">
        <f>AND(TrafficData[[#This Row],[pendingAmount]]&lt;=TrafficData[[#This Row],[totalAmount]],TrafficData[[#This Row],[disposedAmount]]&lt;=TrafficData[[#This Row],[totalAmount]])</f>
        <v>1</v>
      </c>
      <c r="P3947" t="b">
        <f>AND(TrafficData[[#This Row],[pendingCourt]]&lt;=TrafficData[[#This Row],[totalCourt]],TrafficData[[#This Row],[disposedCourt]]&lt;=TrafficData[[#This Row],[totalCourt]])</f>
        <v>1</v>
      </c>
    </row>
    <row r="3948" spans="1:16">
      <c r="A3948" s="1">
        <v>45952</v>
      </c>
      <c r="B3948">
        <v>222078</v>
      </c>
      <c r="C3948">
        <v>40002</v>
      </c>
      <c r="D3948">
        <v>182076</v>
      </c>
      <c r="E3948">
        <v>376857644</v>
      </c>
      <c r="F3948">
        <v>52946408</v>
      </c>
      <c r="G3948">
        <v>429804052</v>
      </c>
      <c r="H3948">
        <v>77205</v>
      </c>
      <c r="I3948">
        <v>2384</v>
      </c>
      <c r="J3948">
        <v>79589</v>
      </c>
      <c r="K3948" t="b">
        <f>TrafficData[[#This Row],[disposedChallan]]+TrafficData[[#This Row],[pendingChallan]]=TrafficData[[#This Row],[totalChallan]]</f>
        <v>1</v>
      </c>
      <c r="L3948" t="b">
        <f>TrafficData[[#This Row],[pendingAmount]]+TrafficData[[#This Row],[disposedAmount]]=TrafficData[[#This Row],[totalAmount]]</f>
        <v>1</v>
      </c>
      <c r="M3948" t="b">
        <f>TrafficData[[#This Row],[pendingCourt]]+TrafficData[[#This Row],[disposedCourt]]=TrafficData[[#This Row],[totalCourt]]</f>
        <v>1</v>
      </c>
      <c r="N3948" t="b">
        <f>AND(TrafficData[[#This Row],[disposedChallan]]&lt;=TrafficData[[#This Row],[totalChallan]],TrafficData[[#This Row],[pendingChallan]]&lt;=TrafficData[[#This Row],[totalChallan]])</f>
        <v>1</v>
      </c>
      <c r="O3948" t="b">
        <f>AND(TrafficData[[#This Row],[pendingAmount]]&lt;=TrafficData[[#This Row],[totalAmount]],TrafficData[[#This Row],[disposedAmount]]&lt;=TrafficData[[#This Row],[totalAmount]])</f>
        <v>1</v>
      </c>
      <c r="P3948" t="b">
        <f>AND(TrafficData[[#This Row],[pendingCourt]]&lt;=TrafficData[[#This Row],[totalCourt]],TrafficData[[#This Row],[disposedCourt]]&lt;=TrafficData[[#This Row],[totalCourt]])</f>
        <v>1</v>
      </c>
    </row>
    <row r="3949" spans="1:16">
      <c r="A3949" s="1">
        <v>45953</v>
      </c>
      <c r="B3949">
        <v>235805</v>
      </c>
      <c r="C3949">
        <v>43345</v>
      </c>
      <c r="D3949">
        <v>192460</v>
      </c>
      <c r="E3949">
        <v>396070977</v>
      </c>
      <c r="F3949">
        <v>61572308</v>
      </c>
      <c r="G3949">
        <v>457643285</v>
      </c>
      <c r="H3949">
        <v>79721</v>
      </c>
      <c r="I3949">
        <v>2540</v>
      </c>
      <c r="J3949">
        <v>82261</v>
      </c>
      <c r="K3949" t="b">
        <f>TrafficData[[#This Row],[disposedChallan]]+TrafficData[[#This Row],[pendingChallan]]=TrafficData[[#This Row],[totalChallan]]</f>
        <v>1</v>
      </c>
      <c r="L3949" t="b">
        <f>TrafficData[[#This Row],[pendingAmount]]+TrafficData[[#This Row],[disposedAmount]]=TrafficData[[#This Row],[totalAmount]]</f>
        <v>1</v>
      </c>
      <c r="M3949" t="b">
        <f>TrafficData[[#This Row],[pendingCourt]]+TrafficData[[#This Row],[disposedCourt]]=TrafficData[[#This Row],[totalCourt]]</f>
        <v>1</v>
      </c>
      <c r="N3949" t="b">
        <f>AND(TrafficData[[#This Row],[disposedChallan]]&lt;=TrafficData[[#This Row],[totalChallan]],TrafficData[[#This Row],[pendingChallan]]&lt;=TrafficData[[#This Row],[totalChallan]])</f>
        <v>1</v>
      </c>
      <c r="O3949" t="b">
        <f>AND(TrafficData[[#This Row],[pendingAmount]]&lt;=TrafficData[[#This Row],[totalAmount]],TrafficData[[#This Row],[disposedAmount]]&lt;=TrafficData[[#This Row],[totalAmount]])</f>
        <v>1</v>
      </c>
      <c r="P3949" t="b">
        <f>AND(TrafficData[[#This Row],[pendingCourt]]&lt;=TrafficData[[#This Row],[totalCourt]],TrafficData[[#This Row],[disposedCourt]]&lt;=TrafficData[[#This Row],[totalCourt]])</f>
        <v>1</v>
      </c>
    </row>
    <row r="3950" spans="1:16">
      <c r="A3950" s="1">
        <v>45954</v>
      </c>
      <c r="B3950">
        <v>265205</v>
      </c>
      <c r="C3950">
        <v>50496</v>
      </c>
      <c r="D3950">
        <v>214709</v>
      </c>
      <c r="E3950">
        <v>448426417</v>
      </c>
      <c r="F3950">
        <v>81689007</v>
      </c>
      <c r="G3950">
        <v>530115424</v>
      </c>
      <c r="H3950">
        <v>91783</v>
      </c>
      <c r="I3950">
        <v>2749</v>
      </c>
      <c r="J3950">
        <v>94532</v>
      </c>
      <c r="K3950" t="b">
        <f>TrafficData[[#This Row],[disposedChallan]]+TrafficData[[#This Row],[pendingChallan]]=TrafficData[[#This Row],[totalChallan]]</f>
        <v>1</v>
      </c>
      <c r="L3950" t="b">
        <f>TrafficData[[#This Row],[pendingAmount]]+TrafficData[[#This Row],[disposedAmount]]=TrafficData[[#This Row],[totalAmount]]</f>
        <v>1</v>
      </c>
      <c r="M3950" t="b">
        <f>TrafficData[[#This Row],[pendingCourt]]+TrafficData[[#This Row],[disposedCourt]]=TrafficData[[#This Row],[totalCourt]]</f>
        <v>1</v>
      </c>
      <c r="N3950" t="b">
        <f>AND(TrafficData[[#This Row],[disposedChallan]]&lt;=TrafficData[[#This Row],[totalChallan]],TrafficData[[#This Row],[pendingChallan]]&lt;=TrafficData[[#This Row],[totalChallan]])</f>
        <v>1</v>
      </c>
      <c r="O3950" t="b">
        <f>AND(TrafficData[[#This Row],[pendingAmount]]&lt;=TrafficData[[#This Row],[totalAmount]],TrafficData[[#This Row],[disposedAmount]]&lt;=TrafficData[[#This Row],[totalAmount]])</f>
        <v>1</v>
      </c>
      <c r="P3950" t="b">
        <f>AND(TrafficData[[#This Row],[pendingCourt]]&lt;=TrafficData[[#This Row],[totalCourt]],TrafficData[[#This Row],[disposedCourt]]&lt;=TrafficData[[#This Row],[totalCourt]])</f>
        <v>1</v>
      </c>
    </row>
    <row r="3951" spans="1:16">
      <c r="A3951" s="1">
        <v>45955</v>
      </c>
      <c r="B3951">
        <v>264950</v>
      </c>
      <c r="C3951">
        <v>52475</v>
      </c>
      <c r="D3951">
        <v>212475</v>
      </c>
      <c r="E3951">
        <v>455608045</v>
      </c>
      <c r="F3951">
        <v>88660683</v>
      </c>
      <c r="G3951">
        <v>544268728</v>
      </c>
      <c r="H3951">
        <v>92350</v>
      </c>
      <c r="I3951">
        <v>2832</v>
      </c>
      <c r="J3951">
        <v>95182</v>
      </c>
      <c r="K3951" t="b">
        <f>TrafficData[[#This Row],[disposedChallan]]+TrafficData[[#This Row],[pendingChallan]]=TrafficData[[#This Row],[totalChallan]]</f>
        <v>1</v>
      </c>
      <c r="L3951" t="b">
        <f>TrafficData[[#This Row],[pendingAmount]]+TrafficData[[#This Row],[disposedAmount]]=TrafficData[[#This Row],[totalAmount]]</f>
        <v>1</v>
      </c>
      <c r="M3951" t="b">
        <f>TrafficData[[#This Row],[pendingCourt]]+TrafficData[[#This Row],[disposedCourt]]=TrafficData[[#This Row],[totalCourt]]</f>
        <v>1</v>
      </c>
      <c r="N3951" t="b">
        <f>AND(TrafficData[[#This Row],[disposedChallan]]&lt;=TrafficData[[#This Row],[totalChallan]],TrafficData[[#This Row],[pendingChallan]]&lt;=TrafficData[[#This Row],[totalChallan]])</f>
        <v>1</v>
      </c>
      <c r="O3951" t="b">
        <f>AND(TrafficData[[#This Row],[pendingAmount]]&lt;=TrafficData[[#This Row],[totalAmount]],TrafficData[[#This Row],[disposedAmount]]&lt;=TrafficData[[#This Row],[totalAmount]])</f>
        <v>1</v>
      </c>
      <c r="P3951" t="b">
        <f>AND(TrafficData[[#This Row],[pendingCourt]]&lt;=TrafficData[[#This Row],[totalCourt]],TrafficData[[#This Row],[disposedCourt]]&lt;=TrafficData[[#This Row],[totalCourt]])</f>
        <v>1</v>
      </c>
    </row>
    <row r="3952" spans="1:16">
      <c r="A3952" s="1">
        <v>45956</v>
      </c>
      <c r="B3952">
        <v>234845</v>
      </c>
      <c r="C3952">
        <v>46148</v>
      </c>
      <c r="D3952">
        <v>188697</v>
      </c>
      <c r="E3952">
        <v>376917373</v>
      </c>
      <c r="F3952">
        <v>70028815</v>
      </c>
      <c r="G3952">
        <v>446946188</v>
      </c>
      <c r="H3952">
        <v>82801</v>
      </c>
      <c r="I3952">
        <v>2409</v>
      </c>
      <c r="J3952">
        <v>85210</v>
      </c>
      <c r="K3952" t="b">
        <f>TrafficData[[#This Row],[disposedChallan]]+TrafficData[[#This Row],[pendingChallan]]=TrafficData[[#This Row],[totalChallan]]</f>
        <v>1</v>
      </c>
      <c r="L3952" t="b">
        <f>TrafficData[[#This Row],[pendingAmount]]+TrafficData[[#This Row],[disposedAmount]]=TrafficData[[#This Row],[totalAmount]]</f>
        <v>1</v>
      </c>
      <c r="M3952" t="b">
        <f>TrafficData[[#This Row],[pendingCourt]]+TrafficData[[#This Row],[disposedCourt]]=TrafficData[[#This Row],[totalCourt]]</f>
        <v>1</v>
      </c>
      <c r="N3952" t="b">
        <f>AND(TrafficData[[#This Row],[disposedChallan]]&lt;=TrafficData[[#This Row],[totalChallan]],TrafficData[[#This Row],[pendingChallan]]&lt;=TrafficData[[#This Row],[totalChallan]])</f>
        <v>1</v>
      </c>
      <c r="O3952" t="b">
        <f>AND(TrafficData[[#This Row],[pendingAmount]]&lt;=TrafficData[[#This Row],[totalAmount]],TrafficData[[#This Row],[disposedAmount]]&lt;=TrafficData[[#This Row],[totalAmount]])</f>
        <v>1</v>
      </c>
      <c r="P3952" t="b">
        <f>AND(TrafficData[[#This Row],[pendingCourt]]&lt;=TrafficData[[#This Row],[totalCourt]],TrafficData[[#This Row],[disposedCourt]]&lt;=TrafficData[[#This Row],[totalCourt]])</f>
        <v>1</v>
      </c>
    </row>
    <row r="3953" spans="1:16">
      <c r="A3953" s="1">
        <v>45957</v>
      </c>
      <c r="B3953">
        <v>219112</v>
      </c>
      <c r="C3953">
        <v>40557</v>
      </c>
      <c r="D3953">
        <v>178555</v>
      </c>
      <c r="E3953">
        <v>381477049</v>
      </c>
      <c r="F3953">
        <v>75127882</v>
      </c>
      <c r="G3953">
        <v>456604931</v>
      </c>
      <c r="H3953">
        <v>83193</v>
      </c>
      <c r="I3953">
        <v>2324</v>
      </c>
      <c r="J3953">
        <v>85517</v>
      </c>
      <c r="K3953" t="b">
        <f>TrafficData[[#This Row],[disposedChallan]]+TrafficData[[#This Row],[pendingChallan]]=TrafficData[[#This Row],[totalChallan]]</f>
        <v>1</v>
      </c>
      <c r="L3953" t="b">
        <f>TrafficData[[#This Row],[pendingAmount]]+TrafficData[[#This Row],[disposedAmount]]=TrafficData[[#This Row],[totalAmount]]</f>
        <v>1</v>
      </c>
      <c r="M3953" t="b">
        <f>TrafficData[[#This Row],[pendingCourt]]+TrafficData[[#This Row],[disposedCourt]]=TrafficData[[#This Row],[totalCourt]]</f>
        <v>1</v>
      </c>
      <c r="N3953" t="b">
        <f>AND(TrafficData[[#This Row],[disposedChallan]]&lt;=TrafficData[[#This Row],[totalChallan]],TrafficData[[#This Row],[pendingChallan]]&lt;=TrafficData[[#This Row],[totalChallan]])</f>
        <v>1</v>
      </c>
      <c r="O3953" t="b">
        <f>AND(TrafficData[[#This Row],[pendingAmount]]&lt;=TrafficData[[#This Row],[totalAmount]],TrafficData[[#This Row],[disposedAmount]]&lt;=TrafficData[[#This Row],[totalAmount]])</f>
        <v>1</v>
      </c>
      <c r="P3953" t="b">
        <f>AND(TrafficData[[#This Row],[pendingCourt]]&lt;=TrafficData[[#This Row],[totalCourt]],TrafficData[[#This Row],[disposedCourt]]&lt;=TrafficData[[#This Row],[totalCourt]])</f>
        <v>1</v>
      </c>
    </row>
    <row r="3954" spans="1:16">
      <c r="A3954" s="1">
        <v>45958</v>
      </c>
      <c r="B3954">
        <v>233675</v>
      </c>
      <c r="C3954">
        <v>42929</v>
      </c>
      <c r="D3954">
        <v>190746</v>
      </c>
      <c r="E3954">
        <v>404111397</v>
      </c>
      <c r="F3954">
        <v>84388721</v>
      </c>
      <c r="G3954">
        <v>488500118</v>
      </c>
      <c r="H3954">
        <v>90834</v>
      </c>
      <c r="I3954">
        <v>2426</v>
      </c>
      <c r="J3954">
        <v>93260</v>
      </c>
      <c r="K3954" t="b">
        <f>TrafficData[[#This Row],[disposedChallan]]+TrafficData[[#This Row],[pendingChallan]]=TrafficData[[#This Row],[totalChallan]]</f>
        <v>1</v>
      </c>
      <c r="L3954" t="b">
        <f>TrafficData[[#This Row],[pendingAmount]]+TrafficData[[#This Row],[disposedAmount]]=TrafficData[[#This Row],[totalAmount]]</f>
        <v>1</v>
      </c>
      <c r="M3954" t="b">
        <f>TrafficData[[#This Row],[pendingCourt]]+TrafficData[[#This Row],[disposedCourt]]=TrafficData[[#This Row],[totalCourt]]</f>
        <v>1</v>
      </c>
      <c r="N3954" t="b">
        <f>AND(TrafficData[[#This Row],[disposedChallan]]&lt;=TrafficData[[#This Row],[totalChallan]],TrafficData[[#This Row],[pendingChallan]]&lt;=TrafficData[[#This Row],[totalChallan]])</f>
        <v>1</v>
      </c>
      <c r="O3954" t="b">
        <f>AND(TrafficData[[#This Row],[pendingAmount]]&lt;=TrafficData[[#This Row],[totalAmount]],TrafficData[[#This Row],[disposedAmount]]&lt;=TrafficData[[#This Row],[totalAmount]])</f>
        <v>1</v>
      </c>
      <c r="P3954" t="b">
        <f>AND(TrafficData[[#This Row],[pendingCourt]]&lt;=TrafficData[[#This Row],[totalCourt]],TrafficData[[#This Row],[disposedCourt]]&lt;=TrafficData[[#This Row],[totalCourt]])</f>
        <v>1</v>
      </c>
    </row>
    <row r="3955" spans="1:16">
      <c r="A3955" s="1">
        <v>45959</v>
      </c>
      <c r="B3955">
        <v>248524</v>
      </c>
      <c r="C3955">
        <v>47720</v>
      </c>
      <c r="D3955">
        <v>200804</v>
      </c>
      <c r="E3955">
        <v>411128617</v>
      </c>
      <c r="F3955">
        <v>85917241</v>
      </c>
      <c r="G3955">
        <v>497045858</v>
      </c>
      <c r="H3955">
        <v>95873</v>
      </c>
      <c r="I3955">
        <v>2578</v>
      </c>
      <c r="J3955">
        <v>98451</v>
      </c>
      <c r="K3955" t="b">
        <f>TrafficData[[#This Row],[disposedChallan]]+TrafficData[[#This Row],[pendingChallan]]=TrafficData[[#This Row],[totalChallan]]</f>
        <v>1</v>
      </c>
      <c r="L3955" t="b">
        <f>TrafficData[[#This Row],[pendingAmount]]+TrafficData[[#This Row],[disposedAmount]]=TrafficData[[#This Row],[totalAmount]]</f>
        <v>1</v>
      </c>
      <c r="M3955" t="b">
        <f>TrafficData[[#This Row],[pendingCourt]]+TrafficData[[#This Row],[disposedCourt]]=TrafficData[[#This Row],[totalCourt]]</f>
        <v>1</v>
      </c>
      <c r="N3955" t="b">
        <f>AND(TrafficData[[#This Row],[disposedChallan]]&lt;=TrafficData[[#This Row],[totalChallan]],TrafficData[[#This Row],[pendingChallan]]&lt;=TrafficData[[#This Row],[totalChallan]])</f>
        <v>1</v>
      </c>
      <c r="O3955" t="b">
        <f>AND(TrafficData[[#This Row],[pendingAmount]]&lt;=TrafficData[[#This Row],[totalAmount]],TrafficData[[#This Row],[disposedAmount]]&lt;=TrafficData[[#This Row],[totalAmount]])</f>
        <v>1</v>
      </c>
      <c r="P3955" t="b">
        <f>AND(TrafficData[[#This Row],[pendingCourt]]&lt;=TrafficData[[#This Row],[totalCourt]],TrafficData[[#This Row],[disposedCourt]]&lt;=TrafficData[[#This Row],[totalCourt]])</f>
        <v>1</v>
      </c>
    </row>
    <row r="3956" spans="1:16">
      <c r="A3956" s="1">
        <v>45960</v>
      </c>
      <c r="B3956">
        <v>232109</v>
      </c>
      <c r="C3956">
        <v>46306</v>
      </c>
      <c r="D3956">
        <v>185803</v>
      </c>
      <c r="E3956">
        <v>381731257</v>
      </c>
      <c r="F3956">
        <v>83499935</v>
      </c>
      <c r="G3956">
        <v>465231192</v>
      </c>
      <c r="H3956">
        <v>83066</v>
      </c>
      <c r="I3956">
        <v>2254</v>
      </c>
      <c r="J3956">
        <v>85320</v>
      </c>
      <c r="K3956" t="b">
        <f>TrafficData[[#This Row],[disposedChallan]]+TrafficData[[#This Row],[pendingChallan]]=TrafficData[[#This Row],[totalChallan]]</f>
        <v>1</v>
      </c>
      <c r="L3956" t="b">
        <f>TrafficData[[#This Row],[pendingAmount]]+TrafficData[[#This Row],[disposedAmount]]=TrafficData[[#This Row],[totalAmount]]</f>
        <v>1</v>
      </c>
      <c r="M3956" t="b">
        <f>TrafficData[[#This Row],[pendingCourt]]+TrafficData[[#This Row],[disposedCourt]]=TrafficData[[#This Row],[totalCourt]]</f>
        <v>1</v>
      </c>
      <c r="N3956" t="b">
        <f>AND(TrafficData[[#This Row],[disposedChallan]]&lt;=TrafficData[[#This Row],[totalChallan]],TrafficData[[#This Row],[pendingChallan]]&lt;=TrafficData[[#This Row],[totalChallan]])</f>
        <v>1</v>
      </c>
      <c r="O3956" t="b">
        <f>AND(TrafficData[[#This Row],[pendingAmount]]&lt;=TrafficData[[#This Row],[totalAmount]],TrafficData[[#This Row],[disposedAmount]]&lt;=TrafficData[[#This Row],[totalAmount]])</f>
        <v>1</v>
      </c>
      <c r="P3956" t="b">
        <f>AND(TrafficData[[#This Row],[pendingCourt]]&lt;=TrafficData[[#This Row],[totalCourt]],TrafficData[[#This Row],[disposedCourt]]&lt;=TrafficData[[#This Row],[totalCourt]])</f>
        <v>1</v>
      </c>
    </row>
    <row r="3957" spans="1:16">
      <c r="A3957" s="1">
        <v>45961</v>
      </c>
      <c r="B3957">
        <v>234040</v>
      </c>
      <c r="C3957">
        <v>45282</v>
      </c>
      <c r="D3957">
        <v>188758</v>
      </c>
      <c r="E3957">
        <v>370814461</v>
      </c>
      <c r="F3957">
        <v>76253770</v>
      </c>
      <c r="G3957">
        <v>447068231</v>
      </c>
      <c r="H3957">
        <v>81191</v>
      </c>
      <c r="I3957">
        <v>2031</v>
      </c>
      <c r="J3957">
        <v>83222</v>
      </c>
      <c r="K3957" t="b">
        <f>TrafficData[[#This Row],[disposedChallan]]+TrafficData[[#This Row],[pendingChallan]]=TrafficData[[#This Row],[totalChallan]]</f>
        <v>1</v>
      </c>
      <c r="L3957" t="b">
        <f>TrafficData[[#This Row],[pendingAmount]]+TrafficData[[#This Row],[disposedAmount]]=TrafficData[[#This Row],[totalAmount]]</f>
        <v>1</v>
      </c>
      <c r="M3957" t="b">
        <f>TrafficData[[#This Row],[pendingCourt]]+TrafficData[[#This Row],[disposedCourt]]=TrafficData[[#This Row],[totalCourt]]</f>
        <v>1</v>
      </c>
      <c r="N3957" t="b">
        <f>AND(TrafficData[[#This Row],[disposedChallan]]&lt;=TrafficData[[#This Row],[totalChallan]],TrafficData[[#This Row],[pendingChallan]]&lt;=TrafficData[[#This Row],[totalChallan]])</f>
        <v>1</v>
      </c>
      <c r="O3957" t="b">
        <f>AND(TrafficData[[#This Row],[pendingAmount]]&lt;=TrafficData[[#This Row],[totalAmount]],TrafficData[[#This Row],[disposedAmount]]&lt;=TrafficData[[#This Row],[totalAmount]])</f>
        <v>1</v>
      </c>
      <c r="P3957" t="b">
        <f>AND(TrafficData[[#This Row],[pendingCourt]]&lt;=TrafficData[[#This Row],[totalCourt]],TrafficData[[#This Row],[disposedCourt]]&lt;=TrafficData[[#This Row],[totalCourt]])</f>
        <v>1</v>
      </c>
    </row>
    <row r="3958" spans="1:16">
      <c r="A3958" s="1">
        <v>45962</v>
      </c>
      <c r="B3958">
        <v>257010</v>
      </c>
      <c r="C3958">
        <v>53065</v>
      </c>
      <c r="D3958">
        <v>203945</v>
      </c>
      <c r="E3958">
        <v>384228877</v>
      </c>
      <c r="F3958">
        <v>90069079</v>
      </c>
      <c r="G3958">
        <v>474297956</v>
      </c>
      <c r="H3958">
        <v>90698</v>
      </c>
      <c r="I3958">
        <v>2263</v>
      </c>
      <c r="J3958">
        <v>92961</v>
      </c>
      <c r="K3958" t="b">
        <f>TrafficData[[#This Row],[disposedChallan]]+TrafficData[[#This Row],[pendingChallan]]=TrafficData[[#This Row],[totalChallan]]</f>
        <v>1</v>
      </c>
      <c r="L3958" t="b">
        <f>TrafficData[[#This Row],[pendingAmount]]+TrafficData[[#This Row],[disposedAmount]]=TrafficData[[#This Row],[totalAmount]]</f>
        <v>1</v>
      </c>
      <c r="M3958" t="b">
        <f>TrafficData[[#This Row],[pendingCourt]]+TrafficData[[#This Row],[disposedCourt]]=TrafficData[[#This Row],[totalCourt]]</f>
        <v>1</v>
      </c>
      <c r="N3958" t="b">
        <f>AND(TrafficData[[#This Row],[disposedChallan]]&lt;=TrafficData[[#This Row],[totalChallan]],TrafficData[[#This Row],[pendingChallan]]&lt;=TrafficData[[#This Row],[totalChallan]])</f>
        <v>1</v>
      </c>
      <c r="O3958" t="b">
        <f>AND(TrafficData[[#This Row],[pendingAmount]]&lt;=TrafficData[[#This Row],[totalAmount]],TrafficData[[#This Row],[disposedAmount]]&lt;=TrafficData[[#This Row],[totalAmount]])</f>
        <v>1</v>
      </c>
      <c r="P3958" t="b">
        <f>AND(TrafficData[[#This Row],[pendingCourt]]&lt;=TrafficData[[#This Row],[totalCourt]],TrafficData[[#This Row],[disposedCourt]]&lt;=TrafficData[[#This Row],[totalCourt]])</f>
        <v>1</v>
      </c>
    </row>
    <row r="3959" spans="1:16">
      <c r="A3959" s="1">
        <v>45963</v>
      </c>
      <c r="B3959">
        <v>252590</v>
      </c>
      <c r="C3959">
        <v>49480</v>
      </c>
      <c r="D3959">
        <v>203110</v>
      </c>
      <c r="E3959">
        <v>353203595</v>
      </c>
      <c r="F3959">
        <v>73079543</v>
      </c>
      <c r="G3959">
        <v>426283138</v>
      </c>
      <c r="H3959">
        <v>93383</v>
      </c>
      <c r="I3959">
        <v>1940</v>
      </c>
      <c r="J3959">
        <v>95323</v>
      </c>
      <c r="K3959" t="b">
        <f>TrafficData[[#This Row],[disposedChallan]]+TrafficData[[#This Row],[pendingChallan]]=TrafficData[[#This Row],[totalChallan]]</f>
        <v>1</v>
      </c>
      <c r="L3959" t="b">
        <f>TrafficData[[#This Row],[pendingAmount]]+TrafficData[[#This Row],[disposedAmount]]=TrafficData[[#This Row],[totalAmount]]</f>
        <v>1</v>
      </c>
      <c r="M3959" t="b">
        <f>TrafficData[[#This Row],[pendingCourt]]+TrafficData[[#This Row],[disposedCourt]]=TrafficData[[#This Row],[totalCourt]]</f>
        <v>1</v>
      </c>
      <c r="N3959" t="b">
        <f>AND(TrafficData[[#This Row],[disposedChallan]]&lt;=TrafficData[[#This Row],[totalChallan]],TrafficData[[#This Row],[pendingChallan]]&lt;=TrafficData[[#This Row],[totalChallan]])</f>
        <v>1</v>
      </c>
      <c r="O3959" t="b">
        <f>AND(TrafficData[[#This Row],[pendingAmount]]&lt;=TrafficData[[#This Row],[totalAmount]],TrafficData[[#This Row],[disposedAmount]]&lt;=TrafficData[[#This Row],[totalAmount]])</f>
        <v>1</v>
      </c>
      <c r="P3959" t="b">
        <f>AND(TrafficData[[#This Row],[pendingCourt]]&lt;=TrafficData[[#This Row],[totalCourt]],TrafficData[[#This Row],[disposedCourt]]&lt;=TrafficData[[#This Row],[totalCourt]])</f>
        <v>1</v>
      </c>
    </row>
    <row r="3960" spans="1:16">
      <c r="A3960" s="1">
        <v>45964</v>
      </c>
      <c r="B3960">
        <v>281338</v>
      </c>
      <c r="C3960">
        <v>51734</v>
      </c>
      <c r="D3960">
        <v>229604</v>
      </c>
      <c r="E3960">
        <v>441846535</v>
      </c>
      <c r="F3960">
        <v>94968104</v>
      </c>
      <c r="G3960">
        <v>536814639</v>
      </c>
      <c r="H3960">
        <v>94116</v>
      </c>
      <c r="I3960">
        <v>2352</v>
      </c>
      <c r="J3960">
        <v>96468</v>
      </c>
      <c r="K3960" t="b">
        <f>TrafficData[[#This Row],[disposedChallan]]+TrafficData[[#This Row],[pendingChallan]]=TrafficData[[#This Row],[totalChallan]]</f>
        <v>1</v>
      </c>
      <c r="L3960" t="b">
        <f>TrafficData[[#This Row],[pendingAmount]]+TrafficData[[#This Row],[disposedAmount]]=TrafficData[[#This Row],[totalAmount]]</f>
        <v>1</v>
      </c>
      <c r="M3960" t="b">
        <f>TrafficData[[#This Row],[pendingCourt]]+TrafficData[[#This Row],[disposedCourt]]=TrafficData[[#This Row],[totalCourt]]</f>
        <v>1</v>
      </c>
      <c r="N3960" t="b">
        <f>AND(TrafficData[[#This Row],[disposedChallan]]&lt;=TrafficData[[#This Row],[totalChallan]],TrafficData[[#This Row],[pendingChallan]]&lt;=TrafficData[[#This Row],[totalChallan]])</f>
        <v>1</v>
      </c>
      <c r="O3960" t="b">
        <f>AND(TrafficData[[#This Row],[pendingAmount]]&lt;=TrafficData[[#This Row],[totalAmount]],TrafficData[[#This Row],[disposedAmount]]&lt;=TrafficData[[#This Row],[totalAmount]])</f>
        <v>1</v>
      </c>
      <c r="P3960" t="b">
        <f>AND(TrafficData[[#This Row],[pendingCourt]]&lt;=TrafficData[[#This Row],[totalCourt]],TrafficData[[#This Row],[disposedCourt]]&lt;=TrafficData[[#This Row],[totalCourt]])</f>
        <v>1</v>
      </c>
    </row>
    <row r="3961" spans="1:16">
      <c r="A3961" s="1">
        <v>45965</v>
      </c>
      <c r="B3961">
        <v>283882</v>
      </c>
      <c r="C3961">
        <v>52773</v>
      </c>
      <c r="D3961">
        <v>231109</v>
      </c>
      <c r="E3961">
        <v>449569806</v>
      </c>
      <c r="F3961">
        <v>109057163</v>
      </c>
      <c r="G3961">
        <v>558626969</v>
      </c>
      <c r="H3961">
        <v>91998</v>
      </c>
      <c r="I3961">
        <v>2377</v>
      </c>
      <c r="J3961">
        <v>94375</v>
      </c>
      <c r="K3961" t="b">
        <f>TrafficData[[#This Row],[disposedChallan]]+TrafficData[[#This Row],[pendingChallan]]=TrafficData[[#This Row],[totalChallan]]</f>
        <v>1</v>
      </c>
      <c r="L3961" t="b">
        <f>TrafficData[[#This Row],[pendingAmount]]+TrafficData[[#This Row],[disposedAmount]]=TrafficData[[#This Row],[totalAmount]]</f>
        <v>1</v>
      </c>
      <c r="M3961" t="b">
        <f>TrafficData[[#This Row],[pendingCourt]]+TrafficData[[#This Row],[disposedCourt]]=TrafficData[[#This Row],[totalCourt]]</f>
        <v>1</v>
      </c>
      <c r="N3961" t="b">
        <f>AND(TrafficData[[#This Row],[disposedChallan]]&lt;=TrafficData[[#This Row],[totalChallan]],TrafficData[[#This Row],[pendingChallan]]&lt;=TrafficData[[#This Row],[totalChallan]])</f>
        <v>1</v>
      </c>
      <c r="O3961" t="b">
        <f>AND(TrafficData[[#This Row],[pendingAmount]]&lt;=TrafficData[[#This Row],[totalAmount]],TrafficData[[#This Row],[disposedAmount]]&lt;=TrafficData[[#This Row],[totalAmount]])</f>
        <v>1</v>
      </c>
      <c r="P3961" t="b">
        <f>AND(TrafficData[[#This Row],[pendingCourt]]&lt;=TrafficData[[#This Row],[totalCourt]],TrafficData[[#This Row],[disposedCourt]]&lt;=TrafficData[[#This Row],[totalCourt]])</f>
        <v>1</v>
      </c>
    </row>
    <row r="3962" spans="1:16">
      <c r="A3962" s="1">
        <v>45966</v>
      </c>
      <c r="B3962">
        <v>293871</v>
      </c>
      <c r="C3962">
        <v>53638</v>
      </c>
      <c r="D3962">
        <v>240233</v>
      </c>
      <c r="E3962">
        <v>448671345</v>
      </c>
      <c r="F3962">
        <v>95114026</v>
      </c>
      <c r="G3962">
        <v>543785371</v>
      </c>
      <c r="H3962">
        <v>94968</v>
      </c>
      <c r="I3962">
        <v>2346</v>
      </c>
      <c r="J3962">
        <v>97314</v>
      </c>
      <c r="K3962" t="b">
        <f>TrafficData[[#This Row],[disposedChallan]]+TrafficData[[#This Row],[pendingChallan]]=TrafficData[[#This Row],[totalChallan]]</f>
        <v>1</v>
      </c>
      <c r="L3962" t="b">
        <f>TrafficData[[#This Row],[pendingAmount]]+TrafficData[[#This Row],[disposedAmount]]=TrafficData[[#This Row],[totalAmount]]</f>
        <v>1</v>
      </c>
      <c r="M3962" t="b">
        <f>TrafficData[[#This Row],[pendingCourt]]+TrafficData[[#This Row],[disposedCourt]]=TrafficData[[#This Row],[totalCourt]]</f>
        <v>1</v>
      </c>
      <c r="N3962" t="b">
        <f>AND(TrafficData[[#This Row],[disposedChallan]]&lt;=TrafficData[[#This Row],[totalChallan]],TrafficData[[#This Row],[pendingChallan]]&lt;=TrafficData[[#This Row],[totalChallan]])</f>
        <v>1</v>
      </c>
      <c r="O3962" t="b">
        <f>AND(TrafficData[[#This Row],[pendingAmount]]&lt;=TrafficData[[#This Row],[totalAmount]],TrafficData[[#This Row],[disposedAmount]]&lt;=TrafficData[[#This Row],[totalAmount]])</f>
        <v>1</v>
      </c>
      <c r="P3962" t="b">
        <f>AND(TrafficData[[#This Row],[pendingCourt]]&lt;=TrafficData[[#This Row],[totalCourt]],TrafficData[[#This Row],[disposedCourt]]&lt;=TrafficData[[#This Row],[totalCourt]])</f>
        <v>1</v>
      </c>
    </row>
    <row r="3963" spans="1:16">
      <c r="A3963" s="1">
        <v>45967</v>
      </c>
      <c r="B3963">
        <v>309149</v>
      </c>
      <c r="C3963">
        <v>56299</v>
      </c>
      <c r="D3963">
        <v>252850</v>
      </c>
      <c r="E3963">
        <v>482217448</v>
      </c>
      <c r="F3963">
        <v>103786970</v>
      </c>
      <c r="G3963">
        <v>586004418</v>
      </c>
      <c r="H3963">
        <v>95238</v>
      </c>
      <c r="I3963">
        <v>2424</v>
      </c>
      <c r="J3963">
        <v>97662</v>
      </c>
      <c r="K3963" t="b">
        <f>TrafficData[[#This Row],[disposedChallan]]+TrafficData[[#This Row],[pendingChallan]]=TrafficData[[#This Row],[totalChallan]]</f>
        <v>1</v>
      </c>
      <c r="L3963" t="b">
        <f>TrafficData[[#This Row],[pendingAmount]]+TrafficData[[#This Row],[disposedAmount]]=TrafficData[[#This Row],[totalAmount]]</f>
        <v>1</v>
      </c>
      <c r="M3963" t="b">
        <f>TrafficData[[#This Row],[pendingCourt]]+TrafficData[[#This Row],[disposedCourt]]=TrafficData[[#This Row],[totalCourt]]</f>
        <v>1</v>
      </c>
      <c r="N3963" t="b">
        <f>AND(TrafficData[[#This Row],[disposedChallan]]&lt;=TrafficData[[#This Row],[totalChallan]],TrafficData[[#This Row],[pendingChallan]]&lt;=TrafficData[[#This Row],[totalChallan]])</f>
        <v>1</v>
      </c>
      <c r="O3963" t="b">
        <f>AND(TrafficData[[#This Row],[pendingAmount]]&lt;=TrafficData[[#This Row],[totalAmount]],TrafficData[[#This Row],[disposedAmount]]&lt;=TrafficData[[#This Row],[totalAmount]])</f>
        <v>1</v>
      </c>
      <c r="P3963" t="b">
        <f>AND(TrafficData[[#This Row],[pendingCourt]]&lt;=TrafficData[[#This Row],[totalCourt]],TrafficData[[#This Row],[disposedCourt]]&lt;=TrafficData[[#This Row],[totalCourt]])</f>
        <v>1</v>
      </c>
    </row>
    <row r="3964" spans="1:16">
      <c r="A3964" s="1">
        <v>45968</v>
      </c>
      <c r="B3964">
        <v>297245</v>
      </c>
      <c r="C3964">
        <v>54682</v>
      </c>
      <c r="D3964">
        <v>242563</v>
      </c>
      <c r="E3964">
        <v>469718392</v>
      </c>
      <c r="F3964">
        <v>101103521</v>
      </c>
      <c r="G3964">
        <v>570821913</v>
      </c>
      <c r="H3964">
        <v>86991</v>
      </c>
      <c r="I3964">
        <v>2370</v>
      </c>
      <c r="J3964">
        <v>89361</v>
      </c>
      <c r="K3964" t="b">
        <f>TrafficData[[#This Row],[disposedChallan]]+TrafficData[[#This Row],[pendingChallan]]=TrafficData[[#This Row],[totalChallan]]</f>
        <v>1</v>
      </c>
      <c r="L3964" t="b">
        <f>TrafficData[[#This Row],[pendingAmount]]+TrafficData[[#This Row],[disposedAmount]]=TrafficData[[#This Row],[totalAmount]]</f>
        <v>1</v>
      </c>
      <c r="M3964" t="b">
        <f>TrafficData[[#This Row],[pendingCourt]]+TrafficData[[#This Row],[disposedCourt]]=TrafficData[[#This Row],[totalCourt]]</f>
        <v>1</v>
      </c>
      <c r="N3964" t="b">
        <f>AND(TrafficData[[#This Row],[disposedChallan]]&lt;=TrafficData[[#This Row],[totalChallan]],TrafficData[[#This Row],[pendingChallan]]&lt;=TrafficData[[#This Row],[totalChallan]])</f>
        <v>1</v>
      </c>
      <c r="O3964" t="b">
        <f>AND(TrafficData[[#This Row],[pendingAmount]]&lt;=TrafficData[[#This Row],[totalAmount]],TrafficData[[#This Row],[disposedAmount]]&lt;=TrafficData[[#This Row],[totalAmount]])</f>
        <v>1</v>
      </c>
      <c r="P3964" t="b">
        <f>AND(TrafficData[[#This Row],[pendingCourt]]&lt;=TrafficData[[#This Row],[totalCourt]],TrafficData[[#This Row],[disposedCourt]]&lt;=TrafficData[[#This Row],[totalCourt]])</f>
        <v>1</v>
      </c>
    </row>
    <row r="3965" spans="1:16">
      <c r="A3965" s="1">
        <v>45969</v>
      </c>
      <c r="B3965">
        <v>285152</v>
      </c>
      <c r="C3965">
        <v>54543</v>
      </c>
      <c r="D3965">
        <v>230609</v>
      </c>
      <c r="E3965">
        <v>406635400</v>
      </c>
      <c r="F3965">
        <v>81562467</v>
      </c>
      <c r="G3965">
        <v>488197867</v>
      </c>
      <c r="H3965">
        <v>86458</v>
      </c>
      <c r="I3965">
        <v>2162</v>
      </c>
      <c r="J3965">
        <v>88620</v>
      </c>
      <c r="K3965" t="b">
        <f>TrafficData[[#This Row],[disposedChallan]]+TrafficData[[#This Row],[pendingChallan]]=TrafficData[[#This Row],[totalChallan]]</f>
        <v>1</v>
      </c>
      <c r="L3965" t="b">
        <f>TrafficData[[#This Row],[pendingAmount]]+TrafficData[[#This Row],[disposedAmount]]=TrafficData[[#This Row],[totalAmount]]</f>
        <v>1</v>
      </c>
      <c r="M3965" t="b">
        <f>TrafficData[[#This Row],[pendingCourt]]+TrafficData[[#This Row],[disposedCourt]]=TrafficData[[#This Row],[totalCourt]]</f>
        <v>1</v>
      </c>
      <c r="N3965" t="b">
        <f>AND(TrafficData[[#This Row],[disposedChallan]]&lt;=TrafficData[[#This Row],[totalChallan]],TrafficData[[#This Row],[pendingChallan]]&lt;=TrafficData[[#This Row],[totalChallan]])</f>
        <v>1</v>
      </c>
      <c r="O3965" t="b">
        <f>AND(TrafficData[[#This Row],[pendingAmount]]&lt;=TrafficData[[#This Row],[totalAmount]],TrafficData[[#This Row],[disposedAmount]]&lt;=TrafficData[[#This Row],[totalAmount]])</f>
        <v>1</v>
      </c>
      <c r="P3965" t="b">
        <f>AND(TrafficData[[#This Row],[pendingCourt]]&lt;=TrafficData[[#This Row],[totalCourt]],TrafficData[[#This Row],[disposedCourt]]&lt;=TrafficData[[#This Row],[totalCourt]])</f>
        <v>1</v>
      </c>
    </row>
    <row r="3966" spans="1:16">
      <c r="A3966" s="1">
        <v>45970</v>
      </c>
      <c r="B3966">
        <v>281507</v>
      </c>
      <c r="C3966">
        <v>51148</v>
      </c>
      <c r="D3966">
        <v>230359</v>
      </c>
      <c r="E3966">
        <v>423312111</v>
      </c>
      <c r="F3966">
        <v>72110931</v>
      </c>
      <c r="G3966">
        <v>495423042</v>
      </c>
      <c r="H3966">
        <v>85685</v>
      </c>
      <c r="I3966">
        <v>2112</v>
      </c>
      <c r="J3966">
        <v>87797</v>
      </c>
      <c r="K3966" t="b">
        <f>TrafficData[[#This Row],[disposedChallan]]+TrafficData[[#This Row],[pendingChallan]]=TrafficData[[#This Row],[totalChallan]]</f>
        <v>1</v>
      </c>
      <c r="L3966" t="b">
        <f>TrafficData[[#This Row],[pendingAmount]]+TrafficData[[#This Row],[disposedAmount]]=TrafficData[[#This Row],[totalAmount]]</f>
        <v>1</v>
      </c>
      <c r="M3966" t="b">
        <f>TrafficData[[#This Row],[pendingCourt]]+TrafficData[[#This Row],[disposedCourt]]=TrafficData[[#This Row],[totalCourt]]</f>
        <v>1</v>
      </c>
      <c r="N3966" t="b">
        <f>AND(TrafficData[[#This Row],[disposedChallan]]&lt;=TrafficData[[#This Row],[totalChallan]],TrafficData[[#This Row],[pendingChallan]]&lt;=TrafficData[[#This Row],[totalChallan]])</f>
        <v>1</v>
      </c>
      <c r="O3966" t="b">
        <f>AND(TrafficData[[#This Row],[pendingAmount]]&lt;=TrafficData[[#This Row],[totalAmount]],TrafficData[[#This Row],[disposedAmount]]&lt;=TrafficData[[#This Row],[totalAmount]])</f>
        <v>1</v>
      </c>
      <c r="P3966" t="b">
        <f>AND(TrafficData[[#This Row],[pendingCourt]]&lt;=TrafficData[[#This Row],[totalCourt]],TrafficData[[#This Row],[disposedCourt]]&lt;=TrafficData[[#This Row],[totalCourt]])</f>
        <v>1</v>
      </c>
    </row>
    <row r="3967" spans="1:16">
      <c r="A3967" s="1">
        <v>45971</v>
      </c>
      <c r="B3967">
        <v>312285</v>
      </c>
      <c r="C3967">
        <v>51852</v>
      </c>
      <c r="D3967">
        <v>260433</v>
      </c>
      <c r="E3967">
        <v>499940960</v>
      </c>
      <c r="F3967">
        <v>92959093</v>
      </c>
      <c r="G3967">
        <v>592900053</v>
      </c>
      <c r="H3967">
        <v>96343</v>
      </c>
      <c r="I3967">
        <v>2380</v>
      </c>
      <c r="J3967">
        <v>98723</v>
      </c>
      <c r="K3967" t="b">
        <f>TrafficData[[#This Row],[disposedChallan]]+TrafficData[[#This Row],[pendingChallan]]=TrafficData[[#This Row],[totalChallan]]</f>
        <v>1</v>
      </c>
      <c r="L3967" t="b">
        <f>TrafficData[[#This Row],[pendingAmount]]+TrafficData[[#This Row],[disposedAmount]]=TrafficData[[#This Row],[totalAmount]]</f>
        <v>1</v>
      </c>
      <c r="M3967" t="b">
        <f>TrafficData[[#This Row],[pendingCourt]]+TrafficData[[#This Row],[disposedCourt]]=TrafficData[[#This Row],[totalCourt]]</f>
        <v>1</v>
      </c>
      <c r="N3967" t="b">
        <f>AND(TrafficData[[#This Row],[disposedChallan]]&lt;=TrafficData[[#This Row],[totalChallan]],TrafficData[[#This Row],[pendingChallan]]&lt;=TrafficData[[#This Row],[totalChallan]])</f>
        <v>1</v>
      </c>
      <c r="O3967" t="b">
        <f>AND(TrafficData[[#This Row],[pendingAmount]]&lt;=TrafficData[[#This Row],[totalAmount]],TrafficData[[#This Row],[disposedAmount]]&lt;=TrafficData[[#This Row],[totalAmount]])</f>
        <v>1</v>
      </c>
      <c r="P3967" t="b">
        <f>AND(TrafficData[[#This Row],[pendingCourt]]&lt;=TrafficData[[#This Row],[totalCourt]],TrafficData[[#This Row],[disposedCourt]]&lt;=TrafficData[[#This Row],[totalCourt]])</f>
        <v>1</v>
      </c>
    </row>
    <row r="3968" spans="1:16">
      <c r="A3968" s="1">
        <v>45972</v>
      </c>
      <c r="B3968">
        <v>315623</v>
      </c>
      <c r="C3968">
        <v>54948</v>
      </c>
      <c r="D3968">
        <v>260675</v>
      </c>
      <c r="E3968">
        <v>518563320</v>
      </c>
      <c r="F3968">
        <v>102192451</v>
      </c>
      <c r="G3968">
        <v>620755771</v>
      </c>
      <c r="H3968">
        <v>99547</v>
      </c>
      <c r="I3968">
        <v>2398</v>
      </c>
      <c r="J3968">
        <v>101945</v>
      </c>
      <c r="K3968" t="b">
        <f>TrafficData[[#This Row],[disposedChallan]]+TrafficData[[#This Row],[pendingChallan]]=TrafficData[[#This Row],[totalChallan]]</f>
        <v>1</v>
      </c>
      <c r="L3968" t="b">
        <f>TrafficData[[#This Row],[pendingAmount]]+TrafficData[[#This Row],[disposedAmount]]=TrafficData[[#This Row],[totalAmount]]</f>
        <v>1</v>
      </c>
      <c r="M3968" t="b">
        <f>TrafficData[[#This Row],[pendingCourt]]+TrafficData[[#This Row],[disposedCourt]]=TrafficData[[#This Row],[totalCourt]]</f>
        <v>1</v>
      </c>
      <c r="N3968" t="b">
        <f>AND(TrafficData[[#This Row],[disposedChallan]]&lt;=TrafficData[[#This Row],[totalChallan]],TrafficData[[#This Row],[pendingChallan]]&lt;=TrafficData[[#This Row],[totalChallan]])</f>
        <v>1</v>
      </c>
      <c r="O3968" t="b">
        <f>AND(TrafficData[[#This Row],[pendingAmount]]&lt;=TrafficData[[#This Row],[totalAmount]],TrafficData[[#This Row],[disposedAmount]]&lt;=TrafficData[[#This Row],[totalAmount]])</f>
        <v>1</v>
      </c>
      <c r="P3968" t="b">
        <f>AND(TrafficData[[#This Row],[pendingCourt]]&lt;=TrafficData[[#This Row],[totalCourt]],TrafficData[[#This Row],[disposedCourt]]&lt;=TrafficData[[#This Row],[totalCourt]])</f>
        <v>1</v>
      </c>
    </row>
    <row r="3969" spans="1:16">
      <c r="A3969" s="1">
        <v>45973</v>
      </c>
      <c r="B3969">
        <v>322801</v>
      </c>
      <c r="C3969">
        <v>56248</v>
      </c>
      <c r="D3969">
        <v>266553</v>
      </c>
      <c r="E3969">
        <v>532235298</v>
      </c>
      <c r="F3969">
        <v>105577990</v>
      </c>
      <c r="G3969">
        <v>637813288</v>
      </c>
      <c r="H3969">
        <v>96482</v>
      </c>
      <c r="I3969">
        <v>2214</v>
      </c>
      <c r="J3969">
        <v>98696</v>
      </c>
      <c r="K3969" t="b">
        <f>TrafficData[[#This Row],[disposedChallan]]+TrafficData[[#This Row],[pendingChallan]]=TrafficData[[#This Row],[totalChallan]]</f>
        <v>1</v>
      </c>
      <c r="L3969" t="b">
        <f>TrafficData[[#This Row],[pendingAmount]]+TrafficData[[#This Row],[disposedAmount]]=TrafficData[[#This Row],[totalAmount]]</f>
        <v>1</v>
      </c>
      <c r="M3969" t="b">
        <f>TrafficData[[#This Row],[pendingCourt]]+TrafficData[[#This Row],[disposedCourt]]=TrafficData[[#This Row],[totalCourt]]</f>
        <v>1</v>
      </c>
      <c r="N3969" t="b">
        <f>AND(TrafficData[[#This Row],[disposedChallan]]&lt;=TrafficData[[#This Row],[totalChallan]],TrafficData[[#This Row],[pendingChallan]]&lt;=TrafficData[[#This Row],[totalChallan]])</f>
        <v>1</v>
      </c>
      <c r="O3969" t="b">
        <f>AND(TrafficData[[#This Row],[pendingAmount]]&lt;=TrafficData[[#This Row],[totalAmount]],TrafficData[[#This Row],[disposedAmount]]&lt;=TrafficData[[#This Row],[totalAmount]])</f>
        <v>1</v>
      </c>
      <c r="P3969" t="b">
        <f>AND(TrafficData[[#This Row],[pendingCourt]]&lt;=TrafficData[[#This Row],[totalCourt]],TrafficData[[#This Row],[disposedCourt]]&lt;=TrafficData[[#This Row],[totalCourt]])</f>
        <v>1</v>
      </c>
    </row>
    <row r="3970" spans="1:16">
      <c r="A3970" s="1">
        <v>45974</v>
      </c>
      <c r="B3970">
        <v>330124</v>
      </c>
      <c r="C3970">
        <v>55399</v>
      </c>
      <c r="D3970">
        <v>274725</v>
      </c>
      <c r="E3970">
        <v>536925663</v>
      </c>
      <c r="F3970">
        <v>99809765</v>
      </c>
      <c r="G3970">
        <v>636735428</v>
      </c>
      <c r="H3970">
        <v>95543</v>
      </c>
      <c r="I3970">
        <v>2414</v>
      </c>
      <c r="J3970">
        <v>97957</v>
      </c>
      <c r="K3970" t="b">
        <f>TrafficData[[#This Row],[disposedChallan]]+TrafficData[[#This Row],[pendingChallan]]=TrafficData[[#This Row],[totalChallan]]</f>
        <v>1</v>
      </c>
      <c r="L3970" t="b">
        <f>TrafficData[[#This Row],[pendingAmount]]+TrafficData[[#This Row],[disposedAmount]]=TrafficData[[#This Row],[totalAmount]]</f>
        <v>1</v>
      </c>
      <c r="M3970" t="b">
        <f>TrafficData[[#This Row],[pendingCourt]]+TrafficData[[#This Row],[disposedCourt]]=TrafficData[[#This Row],[totalCourt]]</f>
        <v>1</v>
      </c>
      <c r="N3970" t="b">
        <f>AND(TrafficData[[#This Row],[disposedChallan]]&lt;=TrafficData[[#This Row],[totalChallan]],TrafficData[[#This Row],[pendingChallan]]&lt;=TrafficData[[#This Row],[totalChallan]])</f>
        <v>1</v>
      </c>
      <c r="O3970" t="b">
        <f>AND(TrafficData[[#This Row],[pendingAmount]]&lt;=TrafficData[[#This Row],[totalAmount]],TrafficData[[#This Row],[disposedAmount]]&lt;=TrafficData[[#This Row],[totalAmount]])</f>
        <v>1</v>
      </c>
      <c r="P3970" t="b">
        <f>AND(TrafficData[[#This Row],[pendingCourt]]&lt;=TrafficData[[#This Row],[totalCourt]],TrafficData[[#This Row],[disposedCourt]]&lt;=TrafficData[[#This Row],[totalCourt]])</f>
        <v>1</v>
      </c>
    </row>
    <row r="3971" spans="1:16">
      <c r="A3971" s="1">
        <v>45975</v>
      </c>
      <c r="B3971">
        <v>319788</v>
      </c>
      <c r="C3971">
        <v>53214</v>
      </c>
      <c r="D3971">
        <v>266574</v>
      </c>
      <c r="E3971">
        <v>528062547</v>
      </c>
      <c r="F3971">
        <v>95429464</v>
      </c>
      <c r="G3971">
        <v>623492011</v>
      </c>
      <c r="H3971">
        <v>94661</v>
      </c>
      <c r="I3971">
        <v>2411</v>
      </c>
      <c r="J3971">
        <v>97072</v>
      </c>
      <c r="K3971" t="b">
        <f>TrafficData[[#This Row],[disposedChallan]]+TrafficData[[#This Row],[pendingChallan]]=TrafficData[[#This Row],[totalChallan]]</f>
        <v>1</v>
      </c>
      <c r="L3971" t="b">
        <f>TrafficData[[#This Row],[pendingAmount]]+TrafficData[[#This Row],[disposedAmount]]=TrafficData[[#This Row],[totalAmount]]</f>
        <v>1</v>
      </c>
      <c r="M3971" t="b">
        <f>TrafficData[[#This Row],[pendingCourt]]+TrafficData[[#This Row],[disposedCourt]]=TrafficData[[#This Row],[totalCourt]]</f>
        <v>1</v>
      </c>
      <c r="N3971" t="b">
        <f>AND(TrafficData[[#This Row],[disposedChallan]]&lt;=TrafficData[[#This Row],[totalChallan]],TrafficData[[#This Row],[pendingChallan]]&lt;=TrafficData[[#This Row],[totalChallan]])</f>
        <v>1</v>
      </c>
      <c r="O3971" t="b">
        <f>AND(TrafficData[[#This Row],[pendingAmount]]&lt;=TrafficData[[#This Row],[totalAmount]],TrafficData[[#This Row],[disposedAmount]]&lt;=TrafficData[[#This Row],[totalAmount]])</f>
        <v>1</v>
      </c>
      <c r="P3971" t="b">
        <f>AND(TrafficData[[#This Row],[pendingCourt]]&lt;=TrafficData[[#This Row],[totalCourt]],TrafficData[[#This Row],[disposedCourt]]&lt;=TrafficData[[#This Row],[totalCourt]])</f>
        <v>1</v>
      </c>
    </row>
    <row r="3972" spans="1:16">
      <c r="A3972" s="1">
        <v>45976</v>
      </c>
      <c r="B3972">
        <v>332710</v>
      </c>
      <c r="C3972">
        <v>52122</v>
      </c>
      <c r="D3972">
        <v>280588</v>
      </c>
      <c r="E3972">
        <v>518792922</v>
      </c>
      <c r="F3972">
        <v>81742697</v>
      </c>
      <c r="G3972">
        <v>600535619</v>
      </c>
      <c r="H3972">
        <v>98346</v>
      </c>
      <c r="I3972">
        <v>3203</v>
      </c>
      <c r="J3972">
        <v>101549</v>
      </c>
      <c r="K3972" t="b">
        <f>TrafficData[[#This Row],[disposedChallan]]+TrafficData[[#This Row],[pendingChallan]]=TrafficData[[#This Row],[totalChallan]]</f>
        <v>1</v>
      </c>
      <c r="L3972" t="b">
        <f>TrafficData[[#This Row],[pendingAmount]]+TrafficData[[#This Row],[disposedAmount]]=TrafficData[[#This Row],[totalAmount]]</f>
        <v>1</v>
      </c>
      <c r="M3972" t="b">
        <f>TrafficData[[#This Row],[pendingCourt]]+TrafficData[[#This Row],[disposedCourt]]=TrafficData[[#This Row],[totalCourt]]</f>
        <v>1</v>
      </c>
      <c r="N3972" t="b">
        <f>AND(TrafficData[[#This Row],[disposedChallan]]&lt;=TrafficData[[#This Row],[totalChallan]],TrafficData[[#This Row],[pendingChallan]]&lt;=TrafficData[[#This Row],[totalChallan]])</f>
        <v>1</v>
      </c>
      <c r="O3972" t="b">
        <f>AND(TrafficData[[#This Row],[pendingAmount]]&lt;=TrafficData[[#This Row],[totalAmount]],TrafficData[[#This Row],[disposedAmount]]&lt;=TrafficData[[#This Row],[totalAmount]])</f>
        <v>1</v>
      </c>
      <c r="P3972" t="b">
        <f>AND(TrafficData[[#This Row],[pendingCourt]]&lt;=TrafficData[[#This Row],[totalCourt]],TrafficData[[#This Row],[disposedCourt]]&lt;=TrafficData[[#This Row],[totalCourt]])</f>
        <v>1</v>
      </c>
    </row>
    <row r="3973" spans="1:16">
      <c r="A3973" s="1">
        <v>45977</v>
      </c>
      <c r="B3973">
        <v>300011</v>
      </c>
      <c r="C3973">
        <v>48949</v>
      </c>
      <c r="D3973">
        <v>251062</v>
      </c>
      <c r="E3973">
        <v>436105904</v>
      </c>
      <c r="F3973">
        <v>63982029</v>
      </c>
      <c r="G3973">
        <v>500087933</v>
      </c>
      <c r="H3973">
        <v>52455</v>
      </c>
      <c r="I3973">
        <v>1943</v>
      </c>
      <c r="J3973">
        <v>54398</v>
      </c>
      <c r="K3973" t="b">
        <f>TrafficData[[#This Row],[disposedChallan]]+TrafficData[[#This Row],[pendingChallan]]=TrafficData[[#This Row],[totalChallan]]</f>
        <v>1</v>
      </c>
      <c r="L3973" t="b">
        <f>TrafficData[[#This Row],[pendingAmount]]+TrafficData[[#This Row],[disposedAmount]]=TrafficData[[#This Row],[totalAmount]]</f>
        <v>1</v>
      </c>
      <c r="M3973" t="b">
        <f>TrafficData[[#This Row],[pendingCourt]]+TrafficData[[#This Row],[disposedCourt]]=TrafficData[[#This Row],[totalCourt]]</f>
        <v>1</v>
      </c>
      <c r="N3973" t="b">
        <f>AND(TrafficData[[#This Row],[disposedChallan]]&lt;=TrafficData[[#This Row],[totalChallan]],TrafficData[[#This Row],[pendingChallan]]&lt;=TrafficData[[#This Row],[totalChallan]])</f>
        <v>1</v>
      </c>
      <c r="O3973" t="b">
        <f>AND(TrafficData[[#This Row],[pendingAmount]]&lt;=TrafficData[[#This Row],[totalAmount]],TrafficData[[#This Row],[disposedAmount]]&lt;=TrafficData[[#This Row],[totalAmount]])</f>
        <v>1</v>
      </c>
      <c r="P3973" t="b">
        <f>AND(TrafficData[[#This Row],[pendingCourt]]&lt;=TrafficData[[#This Row],[totalCourt]],TrafficData[[#This Row],[disposedCourt]]&lt;=TrafficData[[#This Row],[totalCourt]])</f>
        <v>1</v>
      </c>
    </row>
    <row r="3974" spans="1:16">
      <c r="A3974" s="1">
        <v>45978</v>
      </c>
      <c r="B3974">
        <v>327914</v>
      </c>
      <c r="C3974">
        <v>52422</v>
      </c>
      <c r="D3974">
        <v>275492</v>
      </c>
      <c r="E3974">
        <v>531605261</v>
      </c>
      <c r="F3974">
        <v>83700983</v>
      </c>
      <c r="G3974">
        <v>615306244</v>
      </c>
      <c r="H3974">
        <v>60809</v>
      </c>
      <c r="I3974">
        <v>2321</v>
      </c>
      <c r="J3974">
        <v>63130</v>
      </c>
      <c r="K3974" t="b">
        <f>TrafficData[[#This Row],[disposedChallan]]+TrafficData[[#This Row],[pendingChallan]]=TrafficData[[#This Row],[totalChallan]]</f>
        <v>1</v>
      </c>
      <c r="L3974" t="b">
        <f>TrafficData[[#This Row],[pendingAmount]]+TrafficData[[#This Row],[disposedAmount]]=TrafficData[[#This Row],[totalAmount]]</f>
        <v>1</v>
      </c>
      <c r="M3974" t="b">
        <f>TrafficData[[#This Row],[pendingCourt]]+TrafficData[[#This Row],[disposedCourt]]=TrafficData[[#This Row],[totalCourt]]</f>
        <v>1</v>
      </c>
      <c r="N3974" t="b">
        <f>AND(TrafficData[[#This Row],[disposedChallan]]&lt;=TrafficData[[#This Row],[totalChallan]],TrafficData[[#This Row],[pendingChallan]]&lt;=TrafficData[[#This Row],[totalChallan]])</f>
        <v>1</v>
      </c>
      <c r="O3974" t="b">
        <f>AND(TrafficData[[#This Row],[pendingAmount]]&lt;=TrafficData[[#This Row],[totalAmount]],TrafficData[[#This Row],[disposedAmount]]&lt;=TrafficData[[#This Row],[totalAmount]])</f>
        <v>1</v>
      </c>
      <c r="P3974" t="b">
        <f>AND(TrafficData[[#This Row],[pendingCourt]]&lt;=TrafficData[[#This Row],[totalCourt]],TrafficData[[#This Row],[disposedCourt]]&lt;=TrafficData[[#This Row],[totalCourt]])</f>
        <v>1</v>
      </c>
    </row>
    <row r="3975" spans="1:16">
      <c r="A3975" s="1">
        <v>45979</v>
      </c>
      <c r="B3975">
        <v>330422</v>
      </c>
      <c r="C3975">
        <v>52614</v>
      </c>
      <c r="D3975">
        <v>277808</v>
      </c>
      <c r="E3975">
        <v>544432703</v>
      </c>
      <c r="F3975">
        <v>95814517</v>
      </c>
      <c r="G3975">
        <v>640247220</v>
      </c>
      <c r="H3975">
        <v>61155</v>
      </c>
      <c r="I3975">
        <v>2224</v>
      </c>
      <c r="J3975">
        <v>63379</v>
      </c>
      <c r="K3975" t="b">
        <f>TrafficData[[#This Row],[disposedChallan]]+TrafficData[[#This Row],[pendingChallan]]=TrafficData[[#This Row],[totalChallan]]</f>
        <v>1</v>
      </c>
      <c r="L3975" t="b">
        <f>TrafficData[[#This Row],[pendingAmount]]+TrafficData[[#This Row],[disposedAmount]]=TrafficData[[#This Row],[totalAmount]]</f>
        <v>1</v>
      </c>
      <c r="M3975" t="b">
        <f>TrafficData[[#This Row],[pendingCourt]]+TrafficData[[#This Row],[disposedCourt]]=TrafficData[[#This Row],[totalCourt]]</f>
        <v>1</v>
      </c>
      <c r="N3975" t="b">
        <f>AND(TrafficData[[#This Row],[disposedChallan]]&lt;=TrafficData[[#This Row],[totalChallan]],TrafficData[[#This Row],[pendingChallan]]&lt;=TrafficData[[#This Row],[totalChallan]])</f>
        <v>1</v>
      </c>
      <c r="O3975" t="b">
        <f>AND(TrafficData[[#This Row],[pendingAmount]]&lt;=TrafficData[[#This Row],[totalAmount]],TrafficData[[#This Row],[disposedAmount]]&lt;=TrafficData[[#This Row],[totalAmount]])</f>
        <v>1</v>
      </c>
      <c r="P3975" t="b">
        <f>AND(TrafficData[[#This Row],[pendingCourt]]&lt;=TrafficData[[#This Row],[totalCourt]],TrafficData[[#This Row],[disposedCourt]]&lt;=TrafficData[[#This Row],[totalCourt]])</f>
        <v>1</v>
      </c>
    </row>
    <row r="3976" spans="1:16">
      <c r="A3976" s="1">
        <v>45980</v>
      </c>
      <c r="B3976">
        <v>332423</v>
      </c>
      <c r="C3976">
        <v>52281</v>
      </c>
      <c r="D3976">
        <v>280142</v>
      </c>
      <c r="E3976">
        <v>556865657</v>
      </c>
      <c r="F3976">
        <v>99373534</v>
      </c>
      <c r="G3976">
        <v>656239191</v>
      </c>
      <c r="H3976">
        <v>60366</v>
      </c>
      <c r="I3976">
        <v>2198</v>
      </c>
      <c r="J3976">
        <v>62564</v>
      </c>
      <c r="K3976" t="b">
        <f>TrafficData[[#This Row],[disposedChallan]]+TrafficData[[#This Row],[pendingChallan]]=TrafficData[[#This Row],[totalChallan]]</f>
        <v>1</v>
      </c>
      <c r="L3976" t="b">
        <f>TrafficData[[#This Row],[pendingAmount]]+TrafficData[[#This Row],[disposedAmount]]=TrafficData[[#This Row],[totalAmount]]</f>
        <v>1</v>
      </c>
      <c r="M3976" t="b">
        <f>TrafficData[[#This Row],[pendingCourt]]+TrafficData[[#This Row],[disposedCourt]]=TrafficData[[#This Row],[totalCourt]]</f>
        <v>1</v>
      </c>
      <c r="N3976" t="b">
        <f>AND(TrafficData[[#This Row],[disposedChallan]]&lt;=TrafficData[[#This Row],[totalChallan]],TrafficData[[#This Row],[pendingChallan]]&lt;=TrafficData[[#This Row],[totalChallan]])</f>
        <v>1</v>
      </c>
      <c r="O3976" t="b">
        <f>AND(TrafficData[[#This Row],[pendingAmount]]&lt;=TrafficData[[#This Row],[totalAmount]],TrafficData[[#This Row],[disposedAmount]]&lt;=TrafficData[[#This Row],[totalAmount]])</f>
        <v>1</v>
      </c>
      <c r="P3976" t="b">
        <f>AND(TrafficData[[#This Row],[pendingCourt]]&lt;=TrafficData[[#This Row],[totalCourt]],TrafficData[[#This Row],[disposedCourt]]&lt;=TrafficData[[#This Row],[totalCourt]])</f>
        <v>1</v>
      </c>
    </row>
    <row r="3977" spans="1:16">
      <c r="A3977" s="1">
        <v>45981</v>
      </c>
      <c r="B3977">
        <v>331999</v>
      </c>
      <c r="C3977">
        <v>52313</v>
      </c>
      <c r="D3977">
        <v>279686</v>
      </c>
      <c r="E3977">
        <v>543667379</v>
      </c>
      <c r="F3977">
        <v>89981341</v>
      </c>
      <c r="G3977">
        <v>633648720</v>
      </c>
      <c r="H3977">
        <v>60365</v>
      </c>
      <c r="I3977">
        <v>2222</v>
      </c>
      <c r="J3977">
        <v>62587</v>
      </c>
      <c r="K3977" t="b">
        <f>TrafficData[[#This Row],[disposedChallan]]+TrafficData[[#This Row],[pendingChallan]]=TrafficData[[#This Row],[totalChallan]]</f>
        <v>1</v>
      </c>
      <c r="L3977" t="b">
        <f>TrafficData[[#This Row],[pendingAmount]]+TrafficData[[#This Row],[disposedAmount]]=TrafficData[[#This Row],[totalAmount]]</f>
        <v>1</v>
      </c>
      <c r="M3977" t="b">
        <f>TrafficData[[#This Row],[pendingCourt]]+TrafficData[[#This Row],[disposedCourt]]=TrafficData[[#This Row],[totalCourt]]</f>
        <v>1</v>
      </c>
      <c r="N3977" t="b">
        <f>AND(TrafficData[[#This Row],[disposedChallan]]&lt;=TrafficData[[#This Row],[totalChallan]],TrafficData[[#This Row],[pendingChallan]]&lt;=TrafficData[[#This Row],[totalChallan]])</f>
        <v>1</v>
      </c>
      <c r="O3977" t="b">
        <f>AND(TrafficData[[#This Row],[pendingAmount]]&lt;=TrafficData[[#This Row],[totalAmount]],TrafficData[[#This Row],[disposedAmount]]&lt;=TrafficData[[#This Row],[totalAmount]])</f>
        <v>1</v>
      </c>
      <c r="P3977" t="b">
        <f>AND(TrafficData[[#This Row],[pendingCourt]]&lt;=TrafficData[[#This Row],[totalCourt]],TrafficData[[#This Row],[disposedCourt]]&lt;=TrafficData[[#This Row],[totalCourt]])</f>
        <v>1</v>
      </c>
    </row>
    <row r="3978" spans="1:16">
      <c r="A3978" s="1">
        <v>45982</v>
      </c>
      <c r="B3978">
        <v>329886</v>
      </c>
      <c r="C3978">
        <v>51392</v>
      </c>
      <c r="D3978">
        <v>278494</v>
      </c>
      <c r="E3978">
        <v>534412890</v>
      </c>
      <c r="F3978">
        <v>84167178</v>
      </c>
      <c r="G3978">
        <v>618580068</v>
      </c>
      <c r="H3978">
        <v>59564</v>
      </c>
      <c r="I3978">
        <v>2353</v>
      </c>
      <c r="J3978">
        <v>61917</v>
      </c>
      <c r="K3978" t="b">
        <f>TrafficData[[#This Row],[disposedChallan]]+TrafficData[[#This Row],[pendingChallan]]=TrafficData[[#This Row],[totalChallan]]</f>
        <v>1</v>
      </c>
      <c r="L3978" t="b">
        <f>TrafficData[[#This Row],[pendingAmount]]+TrafficData[[#This Row],[disposedAmount]]=TrafficData[[#This Row],[totalAmount]]</f>
        <v>1</v>
      </c>
      <c r="M3978" t="b">
        <f>TrafficData[[#This Row],[pendingCourt]]+TrafficData[[#This Row],[disposedCourt]]=TrafficData[[#This Row],[totalCourt]]</f>
        <v>1</v>
      </c>
      <c r="N3978" t="b">
        <f>AND(TrafficData[[#This Row],[disposedChallan]]&lt;=TrafficData[[#This Row],[totalChallan]],TrafficData[[#This Row],[pendingChallan]]&lt;=TrafficData[[#This Row],[totalChallan]])</f>
        <v>1</v>
      </c>
      <c r="O3978" t="b">
        <f>AND(TrafficData[[#This Row],[pendingAmount]]&lt;=TrafficData[[#This Row],[totalAmount]],TrafficData[[#This Row],[disposedAmount]]&lt;=TrafficData[[#This Row],[totalAmount]])</f>
        <v>1</v>
      </c>
      <c r="P3978" t="b">
        <f>AND(TrafficData[[#This Row],[pendingCourt]]&lt;=TrafficData[[#This Row],[totalCourt]],TrafficData[[#This Row],[disposedCourt]]&lt;=TrafficData[[#This Row],[totalCourt]])</f>
        <v>1</v>
      </c>
    </row>
    <row r="3979" spans="1:16">
      <c r="A3979" s="1">
        <v>45983</v>
      </c>
      <c r="B3979">
        <v>318408</v>
      </c>
      <c r="C3979">
        <v>51399</v>
      </c>
      <c r="D3979">
        <v>267009</v>
      </c>
      <c r="E3979">
        <v>512742229</v>
      </c>
      <c r="F3979">
        <v>74436823</v>
      </c>
      <c r="G3979">
        <v>587179052</v>
      </c>
      <c r="H3979">
        <v>53852</v>
      </c>
      <c r="I3979">
        <v>2204</v>
      </c>
      <c r="J3979">
        <v>56056</v>
      </c>
      <c r="K3979" t="b">
        <f>TrafficData[[#This Row],[disposedChallan]]+TrafficData[[#This Row],[pendingChallan]]=TrafficData[[#This Row],[totalChallan]]</f>
        <v>1</v>
      </c>
      <c r="L3979" t="b">
        <f>TrafficData[[#This Row],[pendingAmount]]+TrafficData[[#This Row],[disposedAmount]]=TrafficData[[#This Row],[totalAmount]]</f>
        <v>1</v>
      </c>
      <c r="M3979" t="b">
        <f>TrafficData[[#This Row],[pendingCourt]]+TrafficData[[#This Row],[disposedCourt]]=TrafficData[[#This Row],[totalCourt]]</f>
        <v>1</v>
      </c>
      <c r="N3979" t="b">
        <f>AND(TrafficData[[#This Row],[disposedChallan]]&lt;=TrafficData[[#This Row],[totalChallan]],TrafficData[[#This Row],[pendingChallan]]&lt;=TrafficData[[#This Row],[totalChallan]])</f>
        <v>1</v>
      </c>
      <c r="O3979" t="b">
        <f>AND(TrafficData[[#This Row],[pendingAmount]]&lt;=TrafficData[[#This Row],[totalAmount]],TrafficData[[#This Row],[disposedAmount]]&lt;=TrafficData[[#This Row],[totalAmount]])</f>
        <v>1</v>
      </c>
      <c r="P3979" t="b">
        <f>AND(TrafficData[[#This Row],[pendingCourt]]&lt;=TrafficData[[#This Row],[totalCourt]],TrafficData[[#This Row],[disposedCourt]]&lt;=TrafficData[[#This Row],[totalCourt]])</f>
        <v>1</v>
      </c>
    </row>
    <row r="3980" spans="1:16">
      <c r="A3980" s="1">
        <v>45984</v>
      </c>
      <c r="B3980">
        <v>284393</v>
      </c>
      <c r="C3980">
        <v>44513</v>
      </c>
      <c r="D3980">
        <v>239880</v>
      </c>
      <c r="E3980">
        <v>455902315</v>
      </c>
      <c r="F3980">
        <v>57578946</v>
      </c>
      <c r="G3980">
        <v>513481261</v>
      </c>
      <c r="H3980">
        <v>44363</v>
      </c>
      <c r="I3980">
        <v>1839</v>
      </c>
      <c r="J3980">
        <v>46202</v>
      </c>
      <c r="K3980" t="b">
        <f>TrafficData[[#This Row],[disposedChallan]]+TrafficData[[#This Row],[pendingChallan]]=TrafficData[[#This Row],[totalChallan]]</f>
        <v>1</v>
      </c>
      <c r="L3980" t="b">
        <f>TrafficData[[#This Row],[pendingAmount]]+TrafficData[[#This Row],[disposedAmount]]=TrafficData[[#This Row],[totalAmount]]</f>
        <v>1</v>
      </c>
      <c r="M3980" t="b">
        <f>TrafficData[[#This Row],[pendingCourt]]+TrafficData[[#This Row],[disposedCourt]]=TrafficData[[#This Row],[totalCourt]]</f>
        <v>1</v>
      </c>
      <c r="N3980" t="b">
        <f>AND(TrafficData[[#This Row],[disposedChallan]]&lt;=TrafficData[[#This Row],[totalChallan]],TrafficData[[#This Row],[pendingChallan]]&lt;=TrafficData[[#This Row],[totalChallan]])</f>
        <v>1</v>
      </c>
      <c r="O3980" t="b">
        <f>AND(TrafficData[[#This Row],[pendingAmount]]&lt;=TrafficData[[#This Row],[totalAmount]],TrafficData[[#This Row],[disposedAmount]]&lt;=TrafficData[[#This Row],[totalAmount]])</f>
        <v>1</v>
      </c>
      <c r="P3980" t="b">
        <f>AND(TrafficData[[#This Row],[pendingCourt]]&lt;=TrafficData[[#This Row],[totalCourt]],TrafficData[[#This Row],[disposedCourt]]&lt;=TrafficData[[#This Row],[totalCourt]])</f>
        <v>1</v>
      </c>
    </row>
    <row r="3981" spans="1:16">
      <c r="A3981" s="1">
        <v>45985</v>
      </c>
      <c r="B3981">
        <v>295356</v>
      </c>
      <c r="C3981">
        <v>44868</v>
      </c>
      <c r="D3981">
        <v>250488</v>
      </c>
      <c r="E3981">
        <v>491468844</v>
      </c>
      <c r="F3981">
        <v>72773323</v>
      </c>
      <c r="G3981">
        <v>564242167</v>
      </c>
      <c r="H3981">
        <v>49541</v>
      </c>
      <c r="I3981">
        <v>1910</v>
      </c>
      <c r="J3981">
        <v>51451</v>
      </c>
      <c r="K3981" t="b">
        <f>TrafficData[[#This Row],[disposedChallan]]+TrafficData[[#This Row],[pendingChallan]]=TrafficData[[#This Row],[totalChallan]]</f>
        <v>1</v>
      </c>
      <c r="L3981" t="b">
        <f>TrafficData[[#This Row],[pendingAmount]]+TrafficData[[#This Row],[disposedAmount]]=TrafficData[[#This Row],[totalAmount]]</f>
        <v>1</v>
      </c>
      <c r="M3981" t="b">
        <f>TrafficData[[#This Row],[pendingCourt]]+TrafficData[[#This Row],[disposedCourt]]=TrafficData[[#This Row],[totalCourt]]</f>
        <v>1</v>
      </c>
      <c r="N3981" t="b">
        <f>AND(TrafficData[[#This Row],[disposedChallan]]&lt;=TrafficData[[#This Row],[totalChallan]],TrafficData[[#This Row],[pendingChallan]]&lt;=TrafficData[[#This Row],[totalChallan]])</f>
        <v>1</v>
      </c>
      <c r="O3981" t="b">
        <f>AND(TrafficData[[#This Row],[pendingAmount]]&lt;=TrafficData[[#This Row],[totalAmount]],TrafficData[[#This Row],[disposedAmount]]&lt;=TrafficData[[#This Row],[totalAmount]])</f>
        <v>1</v>
      </c>
      <c r="P3981" t="b">
        <f>AND(TrafficData[[#This Row],[pendingCourt]]&lt;=TrafficData[[#This Row],[totalCourt]],TrafficData[[#This Row],[disposedCourt]]&lt;=TrafficData[[#This Row],[totalCourt]])</f>
        <v>1</v>
      </c>
    </row>
    <row r="3982" spans="1:16">
      <c r="A3982" s="1">
        <v>45986</v>
      </c>
      <c r="B3982">
        <v>316243</v>
      </c>
      <c r="C3982">
        <v>47165</v>
      </c>
      <c r="D3982">
        <v>269078</v>
      </c>
      <c r="E3982">
        <v>503162213</v>
      </c>
      <c r="F3982">
        <v>75974785</v>
      </c>
      <c r="G3982">
        <v>579136998</v>
      </c>
      <c r="H3982">
        <v>51388</v>
      </c>
      <c r="I3982">
        <v>1930</v>
      </c>
      <c r="J3982">
        <v>53318</v>
      </c>
      <c r="K3982" t="b">
        <f>TrafficData[[#This Row],[disposedChallan]]+TrafficData[[#This Row],[pendingChallan]]=TrafficData[[#This Row],[totalChallan]]</f>
        <v>1</v>
      </c>
      <c r="L3982" t="b">
        <f>TrafficData[[#This Row],[pendingAmount]]+TrafficData[[#This Row],[disposedAmount]]=TrafficData[[#This Row],[totalAmount]]</f>
        <v>1</v>
      </c>
      <c r="M3982" t="b">
        <f>TrafficData[[#This Row],[pendingCourt]]+TrafficData[[#This Row],[disposedCourt]]=TrafficData[[#This Row],[totalCourt]]</f>
        <v>1</v>
      </c>
      <c r="N3982" t="b">
        <f>AND(TrafficData[[#This Row],[disposedChallan]]&lt;=TrafficData[[#This Row],[totalChallan]],TrafficData[[#This Row],[pendingChallan]]&lt;=TrafficData[[#This Row],[totalChallan]])</f>
        <v>1</v>
      </c>
      <c r="O3982" t="b">
        <f>AND(TrafficData[[#This Row],[pendingAmount]]&lt;=TrafficData[[#This Row],[totalAmount]],TrafficData[[#This Row],[disposedAmount]]&lt;=TrafficData[[#This Row],[totalAmount]])</f>
        <v>1</v>
      </c>
      <c r="P3982" t="b">
        <f>AND(TrafficData[[#This Row],[pendingCourt]]&lt;=TrafficData[[#This Row],[totalCourt]],TrafficData[[#This Row],[disposedCourt]]&lt;=TrafficData[[#This Row],[totalCourt]])</f>
        <v>1</v>
      </c>
    </row>
    <row r="3983" spans="1:16">
      <c r="A3983" s="1">
        <v>45987</v>
      </c>
      <c r="B3983">
        <v>319978</v>
      </c>
      <c r="C3983">
        <v>48118</v>
      </c>
      <c r="D3983">
        <v>271860</v>
      </c>
      <c r="E3983">
        <v>532614259</v>
      </c>
      <c r="F3983">
        <v>85627790</v>
      </c>
      <c r="G3983">
        <v>618242049</v>
      </c>
      <c r="H3983">
        <v>50722</v>
      </c>
      <c r="I3983">
        <v>1986</v>
      </c>
      <c r="J3983">
        <v>52708</v>
      </c>
      <c r="K3983" t="b">
        <f>TrafficData[[#This Row],[disposedChallan]]+TrafficData[[#This Row],[pendingChallan]]=TrafficData[[#This Row],[totalChallan]]</f>
        <v>1</v>
      </c>
      <c r="L3983" t="b">
        <f>TrafficData[[#This Row],[pendingAmount]]+TrafficData[[#This Row],[disposedAmount]]=TrafficData[[#This Row],[totalAmount]]</f>
        <v>1</v>
      </c>
      <c r="M3983" t="b">
        <f>TrafficData[[#This Row],[pendingCourt]]+TrafficData[[#This Row],[disposedCourt]]=TrafficData[[#This Row],[totalCourt]]</f>
        <v>1</v>
      </c>
      <c r="N3983" t="b">
        <f>AND(TrafficData[[#This Row],[disposedChallan]]&lt;=TrafficData[[#This Row],[totalChallan]],TrafficData[[#This Row],[pendingChallan]]&lt;=TrafficData[[#This Row],[totalChallan]])</f>
        <v>1</v>
      </c>
      <c r="O3983" t="b">
        <f>AND(TrafficData[[#This Row],[pendingAmount]]&lt;=TrafficData[[#This Row],[totalAmount]],TrafficData[[#This Row],[disposedAmount]]&lt;=TrafficData[[#This Row],[totalAmount]])</f>
        <v>1</v>
      </c>
      <c r="P3983" t="b">
        <f>AND(TrafficData[[#This Row],[pendingCourt]]&lt;=TrafficData[[#This Row],[totalCourt]],TrafficData[[#This Row],[disposedCourt]]&lt;=TrafficData[[#This Row],[totalCourt]])</f>
        <v>1</v>
      </c>
    </row>
    <row r="3984" spans="1:16">
      <c r="A3984" s="1">
        <v>45988</v>
      </c>
      <c r="B3984">
        <v>323364</v>
      </c>
      <c r="C3984">
        <v>50949</v>
      </c>
      <c r="D3984">
        <v>272415</v>
      </c>
      <c r="E3984">
        <v>519976717</v>
      </c>
      <c r="F3984">
        <v>88710663</v>
      </c>
      <c r="G3984">
        <v>608687380</v>
      </c>
      <c r="H3984">
        <v>54297</v>
      </c>
      <c r="I3984">
        <v>1915</v>
      </c>
      <c r="J3984">
        <v>56212</v>
      </c>
      <c r="K3984" t="b">
        <f>TrafficData[[#This Row],[disposedChallan]]+TrafficData[[#This Row],[pendingChallan]]=TrafficData[[#This Row],[totalChallan]]</f>
        <v>1</v>
      </c>
      <c r="L3984" t="b">
        <f>TrafficData[[#This Row],[pendingAmount]]+TrafficData[[#This Row],[disposedAmount]]=TrafficData[[#This Row],[totalAmount]]</f>
        <v>1</v>
      </c>
      <c r="M3984" t="b">
        <f>TrafficData[[#This Row],[pendingCourt]]+TrafficData[[#This Row],[disposedCourt]]=TrafficData[[#This Row],[totalCourt]]</f>
        <v>1</v>
      </c>
      <c r="N3984" t="b">
        <f>AND(TrafficData[[#This Row],[disposedChallan]]&lt;=TrafficData[[#This Row],[totalChallan]],TrafficData[[#This Row],[pendingChallan]]&lt;=TrafficData[[#This Row],[totalChallan]])</f>
        <v>1</v>
      </c>
      <c r="O3984" t="b">
        <f>AND(TrafficData[[#This Row],[pendingAmount]]&lt;=TrafficData[[#This Row],[totalAmount]],TrafficData[[#This Row],[disposedAmount]]&lt;=TrafficData[[#This Row],[totalAmount]])</f>
        <v>1</v>
      </c>
      <c r="P3984" t="b">
        <f>AND(TrafficData[[#This Row],[pendingCourt]]&lt;=TrafficData[[#This Row],[totalCourt]],TrafficData[[#This Row],[disposedCourt]]&lt;=TrafficData[[#This Row],[totalCourt]])</f>
        <v>1</v>
      </c>
    </row>
    <row r="3985" spans="1:16">
      <c r="A3985" s="1">
        <v>45989</v>
      </c>
      <c r="B3985">
        <v>318198</v>
      </c>
      <c r="C3985">
        <v>49263</v>
      </c>
      <c r="D3985">
        <v>268935</v>
      </c>
      <c r="E3985">
        <v>496573241</v>
      </c>
      <c r="F3985">
        <v>82228611</v>
      </c>
      <c r="G3985">
        <v>578801852</v>
      </c>
      <c r="H3985">
        <v>50396</v>
      </c>
      <c r="I3985">
        <v>1941</v>
      </c>
      <c r="J3985">
        <v>52337</v>
      </c>
      <c r="K3985" t="b">
        <f>TrafficData[[#This Row],[disposedChallan]]+TrafficData[[#This Row],[pendingChallan]]=TrafficData[[#This Row],[totalChallan]]</f>
        <v>1</v>
      </c>
      <c r="L3985" t="b">
        <f>TrafficData[[#This Row],[pendingAmount]]+TrafficData[[#This Row],[disposedAmount]]=TrafficData[[#This Row],[totalAmount]]</f>
        <v>1</v>
      </c>
      <c r="M3985" t="b">
        <f>TrafficData[[#This Row],[pendingCourt]]+TrafficData[[#This Row],[disposedCourt]]=TrafficData[[#This Row],[totalCourt]]</f>
        <v>1</v>
      </c>
      <c r="N3985" t="b">
        <f>AND(TrafficData[[#This Row],[disposedChallan]]&lt;=TrafficData[[#This Row],[totalChallan]],TrafficData[[#This Row],[pendingChallan]]&lt;=TrafficData[[#This Row],[totalChallan]])</f>
        <v>1</v>
      </c>
      <c r="O3985" t="b">
        <f>AND(TrafficData[[#This Row],[pendingAmount]]&lt;=TrafficData[[#This Row],[totalAmount]],TrafficData[[#This Row],[disposedAmount]]&lt;=TrafficData[[#This Row],[totalAmount]])</f>
        <v>1</v>
      </c>
      <c r="P3985" t="b">
        <f>AND(TrafficData[[#This Row],[pendingCourt]]&lt;=TrafficData[[#This Row],[totalCourt]],TrafficData[[#This Row],[disposedCourt]]&lt;=TrafficData[[#This Row],[totalCourt]])</f>
        <v>1</v>
      </c>
    </row>
    <row r="3986" spans="1:16">
      <c r="A3986" s="1">
        <v>45990</v>
      </c>
      <c r="B3986">
        <v>315080</v>
      </c>
      <c r="C3986">
        <v>49841</v>
      </c>
      <c r="D3986">
        <v>265239</v>
      </c>
      <c r="E3986">
        <v>499885265</v>
      </c>
      <c r="F3986">
        <v>73393210</v>
      </c>
      <c r="G3986">
        <v>573278475</v>
      </c>
      <c r="H3986">
        <v>47096</v>
      </c>
      <c r="I3986">
        <v>1950</v>
      </c>
      <c r="J3986">
        <v>49046</v>
      </c>
      <c r="K3986" t="b">
        <f>TrafficData[[#This Row],[disposedChallan]]+TrafficData[[#This Row],[pendingChallan]]=TrafficData[[#This Row],[totalChallan]]</f>
        <v>1</v>
      </c>
      <c r="L3986" t="b">
        <f>TrafficData[[#This Row],[pendingAmount]]+TrafficData[[#This Row],[disposedAmount]]=TrafficData[[#This Row],[totalAmount]]</f>
        <v>1</v>
      </c>
      <c r="M3986" t="b">
        <f>TrafficData[[#This Row],[pendingCourt]]+TrafficData[[#This Row],[disposedCourt]]=TrafficData[[#This Row],[totalCourt]]</f>
        <v>1</v>
      </c>
      <c r="N3986" t="b">
        <f>AND(TrafficData[[#This Row],[disposedChallan]]&lt;=TrafficData[[#This Row],[totalChallan]],TrafficData[[#This Row],[pendingChallan]]&lt;=TrafficData[[#This Row],[totalChallan]])</f>
        <v>1</v>
      </c>
      <c r="O3986" t="b">
        <f>AND(TrafficData[[#This Row],[pendingAmount]]&lt;=TrafficData[[#This Row],[totalAmount]],TrafficData[[#This Row],[disposedAmount]]&lt;=TrafficData[[#This Row],[totalAmount]])</f>
        <v>1</v>
      </c>
      <c r="P3986" t="b">
        <f>AND(TrafficData[[#This Row],[pendingCourt]]&lt;=TrafficData[[#This Row],[totalCourt]],TrafficData[[#This Row],[disposedCourt]]&lt;=TrafficData[[#This Row],[totalCourt]])</f>
        <v>1</v>
      </c>
    </row>
    <row r="3987" spans="1:16">
      <c r="A3987" s="1">
        <v>45991</v>
      </c>
      <c r="B3987">
        <v>275395</v>
      </c>
      <c r="C3987">
        <v>41530</v>
      </c>
      <c r="D3987">
        <v>233865</v>
      </c>
      <c r="E3987">
        <v>404146463</v>
      </c>
      <c r="F3987">
        <v>52658349</v>
      </c>
      <c r="G3987">
        <v>456804812</v>
      </c>
      <c r="H3987">
        <v>38868</v>
      </c>
      <c r="I3987">
        <v>1561</v>
      </c>
      <c r="J3987">
        <v>40429</v>
      </c>
      <c r="K3987" t="b">
        <f>TrafficData[[#This Row],[disposedChallan]]+TrafficData[[#This Row],[pendingChallan]]=TrafficData[[#This Row],[totalChallan]]</f>
        <v>1</v>
      </c>
      <c r="L3987" t="b">
        <f>TrafficData[[#This Row],[pendingAmount]]+TrafficData[[#This Row],[disposedAmount]]=TrafficData[[#This Row],[totalAmount]]</f>
        <v>1</v>
      </c>
      <c r="M3987" t="b">
        <f>TrafficData[[#This Row],[pendingCourt]]+TrafficData[[#This Row],[disposedCourt]]=TrafficData[[#This Row],[totalCourt]]</f>
        <v>1</v>
      </c>
      <c r="N3987" t="b">
        <f>AND(TrafficData[[#This Row],[disposedChallan]]&lt;=TrafficData[[#This Row],[totalChallan]],TrafficData[[#This Row],[pendingChallan]]&lt;=TrafficData[[#This Row],[totalChallan]])</f>
        <v>1</v>
      </c>
      <c r="O3987" t="b">
        <f>AND(TrafficData[[#This Row],[pendingAmount]]&lt;=TrafficData[[#This Row],[totalAmount]],TrafficData[[#This Row],[disposedAmount]]&lt;=TrafficData[[#This Row],[totalAmount]])</f>
        <v>1</v>
      </c>
      <c r="P3987" t="b">
        <f>AND(TrafficData[[#This Row],[pendingCourt]]&lt;=TrafficData[[#This Row],[totalCourt]],TrafficData[[#This Row],[disposedCourt]]&lt;=TrafficData[[#This Row],[totalCourt]])</f>
        <v>1</v>
      </c>
    </row>
    <row r="3988" spans="1:16">
      <c r="A3988" s="1">
        <v>45992</v>
      </c>
      <c r="B3988">
        <v>284080</v>
      </c>
      <c r="C3988">
        <v>49674</v>
      </c>
      <c r="D3988">
        <v>234406</v>
      </c>
      <c r="E3988">
        <v>457698035</v>
      </c>
      <c r="F3988">
        <v>88841010</v>
      </c>
      <c r="G3988">
        <v>546539045</v>
      </c>
      <c r="H3988">
        <v>47282</v>
      </c>
      <c r="I3988">
        <v>1646</v>
      </c>
      <c r="J3988">
        <v>48928</v>
      </c>
      <c r="K3988" t="b">
        <f>TrafficData[[#This Row],[disposedChallan]]+TrafficData[[#This Row],[pendingChallan]]=TrafficData[[#This Row],[totalChallan]]</f>
        <v>1</v>
      </c>
      <c r="L3988" t="b">
        <f>TrafficData[[#This Row],[pendingAmount]]+TrafficData[[#This Row],[disposedAmount]]=TrafficData[[#This Row],[totalAmount]]</f>
        <v>1</v>
      </c>
      <c r="M3988" t="b">
        <f>TrafficData[[#This Row],[pendingCourt]]+TrafficData[[#This Row],[disposedCourt]]=TrafficData[[#This Row],[totalCourt]]</f>
        <v>1</v>
      </c>
      <c r="N3988" t="b">
        <f>AND(TrafficData[[#This Row],[disposedChallan]]&lt;=TrafficData[[#This Row],[totalChallan]],TrafficData[[#This Row],[pendingChallan]]&lt;=TrafficData[[#This Row],[totalChallan]])</f>
        <v>1</v>
      </c>
      <c r="O3988" t="b">
        <f>AND(TrafficData[[#This Row],[pendingAmount]]&lt;=TrafficData[[#This Row],[totalAmount]],TrafficData[[#This Row],[disposedAmount]]&lt;=TrafficData[[#This Row],[totalAmount]])</f>
        <v>1</v>
      </c>
      <c r="P3988" t="b">
        <f>AND(TrafficData[[#This Row],[pendingCourt]]&lt;=TrafficData[[#This Row],[totalCourt]],TrafficData[[#This Row],[disposedCourt]]&lt;=TrafficData[[#This Row],[totalCourt]])</f>
        <v>1</v>
      </c>
    </row>
    <row r="3989" spans="1:16">
      <c r="A3989" s="1">
        <v>45993</v>
      </c>
      <c r="B3989">
        <v>280307</v>
      </c>
      <c r="C3989">
        <v>50911</v>
      </c>
      <c r="D3989">
        <v>229396</v>
      </c>
      <c r="E3989">
        <v>472826768</v>
      </c>
      <c r="F3989">
        <v>96955769</v>
      </c>
      <c r="G3989">
        <v>569782537</v>
      </c>
      <c r="H3989">
        <v>39334</v>
      </c>
      <c r="I3989">
        <v>1603</v>
      </c>
      <c r="J3989">
        <v>40937</v>
      </c>
      <c r="K3989" t="b">
        <f>TrafficData[[#This Row],[disposedChallan]]+TrafficData[[#This Row],[pendingChallan]]=TrafficData[[#This Row],[totalChallan]]</f>
        <v>1</v>
      </c>
      <c r="L3989" t="b">
        <f>TrafficData[[#This Row],[pendingAmount]]+TrafficData[[#This Row],[disposedAmount]]=TrafficData[[#This Row],[totalAmount]]</f>
        <v>1</v>
      </c>
      <c r="M3989" t="b">
        <f>TrafficData[[#This Row],[pendingCourt]]+TrafficData[[#This Row],[disposedCourt]]=TrafficData[[#This Row],[totalCourt]]</f>
        <v>1</v>
      </c>
      <c r="N3989" t="b">
        <f>AND(TrafficData[[#This Row],[disposedChallan]]&lt;=TrafficData[[#This Row],[totalChallan]],TrafficData[[#This Row],[pendingChallan]]&lt;=TrafficData[[#This Row],[totalChallan]])</f>
        <v>1</v>
      </c>
      <c r="O3989" t="b">
        <f>AND(TrafficData[[#This Row],[pendingAmount]]&lt;=TrafficData[[#This Row],[totalAmount]],TrafficData[[#This Row],[disposedAmount]]&lt;=TrafficData[[#This Row],[totalAmount]])</f>
        <v>1</v>
      </c>
      <c r="P3989" t="b">
        <f>AND(TrafficData[[#This Row],[pendingCourt]]&lt;=TrafficData[[#This Row],[totalCourt]],TrafficData[[#This Row],[disposedCourt]]&lt;=TrafficData[[#This Row],[totalCourt]])</f>
        <v>1</v>
      </c>
    </row>
    <row r="3990" spans="1:16">
      <c r="A3990" s="1">
        <v>45994</v>
      </c>
      <c r="B3990">
        <v>284547</v>
      </c>
      <c r="C3990">
        <v>51510</v>
      </c>
      <c r="D3990">
        <v>233037</v>
      </c>
      <c r="E3990">
        <v>474198091</v>
      </c>
      <c r="F3990">
        <v>102505283</v>
      </c>
      <c r="G3990">
        <v>576703374</v>
      </c>
      <c r="H3990">
        <v>41012</v>
      </c>
      <c r="I3990">
        <v>1753</v>
      </c>
      <c r="J3990">
        <v>42765</v>
      </c>
      <c r="K3990" t="b">
        <f>TrafficData[[#This Row],[disposedChallan]]+TrafficData[[#This Row],[pendingChallan]]=TrafficData[[#This Row],[totalChallan]]</f>
        <v>1</v>
      </c>
      <c r="L3990" t="b">
        <f>TrafficData[[#This Row],[pendingAmount]]+TrafficData[[#This Row],[disposedAmount]]=TrafficData[[#This Row],[totalAmount]]</f>
        <v>1</v>
      </c>
      <c r="M3990" t="b">
        <f>TrafficData[[#This Row],[pendingCourt]]+TrafficData[[#This Row],[disposedCourt]]=TrafficData[[#This Row],[totalCourt]]</f>
        <v>1</v>
      </c>
      <c r="N3990" t="b">
        <f>AND(TrafficData[[#This Row],[disposedChallan]]&lt;=TrafficData[[#This Row],[totalChallan]],TrafficData[[#This Row],[pendingChallan]]&lt;=TrafficData[[#This Row],[totalChallan]])</f>
        <v>1</v>
      </c>
      <c r="O3990" t="b">
        <f>AND(TrafficData[[#This Row],[pendingAmount]]&lt;=TrafficData[[#This Row],[totalAmount]],TrafficData[[#This Row],[disposedAmount]]&lt;=TrafficData[[#This Row],[totalAmount]])</f>
        <v>1</v>
      </c>
      <c r="P3990" t="b">
        <f>AND(TrafficData[[#This Row],[pendingCourt]]&lt;=TrafficData[[#This Row],[totalCourt]],TrafficData[[#This Row],[disposedCourt]]&lt;=TrafficData[[#This Row],[totalCourt]])</f>
        <v>1</v>
      </c>
    </row>
    <row r="3991" spans="1:16">
      <c r="A3991" s="1">
        <v>45995</v>
      </c>
      <c r="B3991">
        <v>273381</v>
      </c>
      <c r="C3991">
        <v>49283</v>
      </c>
      <c r="D3991">
        <v>224098</v>
      </c>
      <c r="E3991">
        <v>473755728</v>
      </c>
      <c r="F3991">
        <v>99451035</v>
      </c>
      <c r="G3991">
        <v>573206763</v>
      </c>
      <c r="H3991">
        <v>38732</v>
      </c>
      <c r="I3991">
        <v>1604</v>
      </c>
      <c r="J3991">
        <v>40336</v>
      </c>
      <c r="K3991" t="b">
        <f>TrafficData[[#This Row],[disposedChallan]]+TrafficData[[#This Row],[pendingChallan]]=TrafficData[[#This Row],[totalChallan]]</f>
        <v>1</v>
      </c>
      <c r="L3991" t="b">
        <f>TrafficData[[#This Row],[pendingAmount]]+TrafficData[[#This Row],[disposedAmount]]=TrafficData[[#This Row],[totalAmount]]</f>
        <v>1</v>
      </c>
      <c r="M3991" t="b">
        <f>TrafficData[[#This Row],[pendingCourt]]+TrafficData[[#This Row],[disposedCourt]]=TrafficData[[#This Row],[totalCourt]]</f>
        <v>1</v>
      </c>
      <c r="N3991" t="b">
        <f>AND(TrafficData[[#This Row],[disposedChallan]]&lt;=TrafficData[[#This Row],[totalChallan]],TrafficData[[#This Row],[pendingChallan]]&lt;=TrafficData[[#This Row],[totalChallan]])</f>
        <v>1</v>
      </c>
      <c r="O3991" t="b">
        <f>AND(TrafficData[[#This Row],[pendingAmount]]&lt;=TrafficData[[#This Row],[totalAmount]],TrafficData[[#This Row],[disposedAmount]]&lt;=TrafficData[[#This Row],[totalAmount]])</f>
        <v>1</v>
      </c>
      <c r="P3991" t="b">
        <f>AND(TrafficData[[#This Row],[pendingCourt]]&lt;=TrafficData[[#This Row],[totalCourt]],TrafficData[[#This Row],[disposedCourt]]&lt;=TrafficData[[#This Row],[totalCourt]])</f>
        <v>1</v>
      </c>
    </row>
    <row r="3992" spans="1:16">
      <c r="A3992" s="1">
        <v>45996</v>
      </c>
      <c r="B3992">
        <v>265402</v>
      </c>
      <c r="C3992">
        <v>46985</v>
      </c>
      <c r="D3992">
        <v>218417</v>
      </c>
      <c r="E3992">
        <v>453320362</v>
      </c>
      <c r="F3992">
        <v>92972736</v>
      </c>
      <c r="G3992">
        <v>546293098</v>
      </c>
      <c r="H3992">
        <v>37697</v>
      </c>
      <c r="I3992">
        <v>1441</v>
      </c>
      <c r="J3992">
        <v>39138</v>
      </c>
      <c r="K3992" t="b">
        <f>TrafficData[[#This Row],[disposedChallan]]+TrafficData[[#This Row],[pendingChallan]]=TrafficData[[#This Row],[totalChallan]]</f>
        <v>1</v>
      </c>
      <c r="L3992" t="b">
        <f>TrafficData[[#This Row],[pendingAmount]]+TrafficData[[#This Row],[disposedAmount]]=TrafficData[[#This Row],[totalAmount]]</f>
        <v>1</v>
      </c>
      <c r="M3992" t="b">
        <f>TrafficData[[#This Row],[pendingCourt]]+TrafficData[[#This Row],[disposedCourt]]=TrafficData[[#This Row],[totalCourt]]</f>
        <v>1</v>
      </c>
      <c r="N3992" t="b">
        <f>AND(TrafficData[[#This Row],[disposedChallan]]&lt;=TrafficData[[#This Row],[totalChallan]],TrafficData[[#This Row],[pendingChallan]]&lt;=TrafficData[[#This Row],[totalChallan]])</f>
        <v>1</v>
      </c>
      <c r="O3992" t="b">
        <f>AND(TrafficData[[#This Row],[pendingAmount]]&lt;=TrafficData[[#This Row],[totalAmount]],TrafficData[[#This Row],[disposedAmount]]&lt;=TrafficData[[#This Row],[totalAmount]])</f>
        <v>1</v>
      </c>
      <c r="P3992" t="b">
        <f>AND(TrafficData[[#This Row],[pendingCourt]]&lt;=TrafficData[[#This Row],[totalCourt]],TrafficData[[#This Row],[disposedCourt]]&lt;=TrafficData[[#This Row],[totalCourt]])</f>
        <v>1</v>
      </c>
    </row>
    <row r="3993" spans="1:16">
      <c r="A3993" s="1">
        <v>45997</v>
      </c>
      <c r="B3993">
        <v>269462</v>
      </c>
      <c r="C3993">
        <v>46951</v>
      </c>
      <c r="D3993">
        <v>222511</v>
      </c>
      <c r="E3993">
        <v>447472767</v>
      </c>
      <c r="F3993">
        <v>81701319</v>
      </c>
      <c r="G3993">
        <v>529174086</v>
      </c>
      <c r="H3993">
        <v>39063</v>
      </c>
      <c r="I3993">
        <v>1703</v>
      </c>
      <c r="J3993">
        <v>40766</v>
      </c>
      <c r="K3993" t="b">
        <f>TrafficData[[#This Row],[disposedChallan]]+TrafficData[[#This Row],[pendingChallan]]=TrafficData[[#This Row],[totalChallan]]</f>
        <v>1</v>
      </c>
      <c r="L3993" t="b">
        <f>TrafficData[[#This Row],[pendingAmount]]+TrafficData[[#This Row],[disposedAmount]]=TrafficData[[#This Row],[totalAmount]]</f>
        <v>1</v>
      </c>
      <c r="M3993" t="b">
        <f>TrafficData[[#This Row],[pendingCourt]]+TrafficData[[#This Row],[disposedCourt]]=TrafficData[[#This Row],[totalCourt]]</f>
        <v>1</v>
      </c>
      <c r="N3993" t="b">
        <f>AND(TrafficData[[#This Row],[disposedChallan]]&lt;=TrafficData[[#This Row],[totalChallan]],TrafficData[[#This Row],[pendingChallan]]&lt;=TrafficData[[#This Row],[totalChallan]])</f>
        <v>1</v>
      </c>
      <c r="O3993" t="b">
        <f>AND(TrafficData[[#This Row],[pendingAmount]]&lt;=TrafficData[[#This Row],[totalAmount]],TrafficData[[#This Row],[disposedAmount]]&lt;=TrafficData[[#This Row],[totalAmount]])</f>
        <v>1</v>
      </c>
      <c r="P3993" t="b">
        <f>AND(TrafficData[[#This Row],[pendingCourt]]&lt;=TrafficData[[#This Row],[totalCourt]],TrafficData[[#This Row],[disposedCourt]]&lt;=TrafficData[[#This Row],[totalCourt]])</f>
        <v>1</v>
      </c>
    </row>
    <row r="3994" spans="1:16">
      <c r="A3994" s="1">
        <v>45998</v>
      </c>
      <c r="B3994">
        <v>267820</v>
      </c>
      <c r="C3994">
        <v>45249</v>
      </c>
      <c r="D3994">
        <v>222571</v>
      </c>
      <c r="E3994">
        <v>422277471</v>
      </c>
      <c r="F3994">
        <v>62222685</v>
      </c>
      <c r="G3994">
        <v>484500156</v>
      </c>
      <c r="H3994">
        <v>34803</v>
      </c>
      <c r="I3994">
        <v>1517</v>
      </c>
      <c r="J3994">
        <v>36320</v>
      </c>
      <c r="K3994" t="b">
        <f>TrafficData[[#This Row],[disposedChallan]]+TrafficData[[#This Row],[pendingChallan]]=TrafficData[[#This Row],[totalChallan]]</f>
        <v>1</v>
      </c>
      <c r="L3994" t="b">
        <f>TrafficData[[#This Row],[pendingAmount]]+TrafficData[[#This Row],[disposedAmount]]=TrafficData[[#This Row],[totalAmount]]</f>
        <v>1</v>
      </c>
      <c r="M3994" t="b">
        <f>TrafficData[[#This Row],[pendingCourt]]+TrafficData[[#This Row],[disposedCourt]]=TrafficData[[#This Row],[totalCourt]]</f>
        <v>1</v>
      </c>
      <c r="N3994" t="b">
        <f>AND(TrafficData[[#This Row],[disposedChallan]]&lt;=TrafficData[[#This Row],[totalChallan]],TrafficData[[#This Row],[pendingChallan]]&lt;=TrafficData[[#This Row],[totalChallan]])</f>
        <v>1</v>
      </c>
      <c r="O3994" t="b">
        <f>AND(TrafficData[[#This Row],[pendingAmount]]&lt;=TrafficData[[#This Row],[totalAmount]],TrafficData[[#This Row],[disposedAmount]]&lt;=TrafficData[[#This Row],[totalAmount]])</f>
        <v>1</v>
      </c>
      <c r="P3994" t="b">
        <f>AND(TrafficData[[#This Row],[pendingCourt]]&lt;=TrafficData[[#This Row],[totalCourt]],TrafficData[[#This Row],[disposedCourt]]&lt;=TrafficData[[#This Row],[totalCourt]])</f>
        <v>1</v>
      </c>
    </row>
    <row r="3995" spans="1:16">
      <c r="A3995" s="1">
        <v>45999</v>
      </c>
      <c r="B3995">
        <v>285634</v>
      </c>
      <c r="C3995">
        <v>47923</v>
      </c>
      <c r="D3995">
        <v>237711</v>
      </c>
      <c r="E3995">
        <v>497169517</v>
      </c>
      <c r="F3995">
        <v>90666272</v>
      </c>
      <c r="G3995">
        <v>587835789</v>
      </c>
      <c r="H3995">
        <v>40375</v>
      </c>
      <c r="I3995">
        <v>1509</v>
      </c>
      <c r="J3995">
        <v>41884</v>
      </c>
      <c r="K3995" t="b">
        <f>TrafficData[[#This Row],[disposedChallan]]+TrafficData[[#This Row],[pendingChallan]]=TrafficData[[#This Row],[totalChallan]]</f>
        <v>1</v>
      </c>
      <c r="L3995" t="b">
        <f>TrafficData[[#This Row],[pendingAmount]]+TrafficData[[#This Row],[disposedAmount]]=TrafficData[[#This Row],[totalAmount]]</f>
        <v>1</v>
      </c>
      <c r="M3995" t="b">
        <f>TrafficData[[#This Row],[pendingCourt]]+TrafficData[[#This Row],[disposedCourt]]=TrafficData[[#This Row],[totalCourt]]</f>
        <v>1</v>
      </c>
      <c r="N3995" t="b">
        <f>AND(TrafficData[[#This Row],[disposedChallan]]&lt;=TrafficData[[#This Row],[totalChallan]],TrafficData[[#This Row],[pendingChallan]]&lt;=TrafficData[[#This Row],[totalChallan]])</f>
        <v>1</v>
      </c>
      <c r="O3995" t="b">
        <f>AND(TrafficData[[#This Row],[pendingAmount]]&lt;=TrafficData[[#This Row],[totalAmount]],TrafficData[[#This Row],[disposedAmount]]&lt;=TrafficData[[#This Row],[totalAmount]])</f>
        <v>1</v>
      </c>
      <c r="P3995" t="b">
        <f>AND(TrafficData[[#This Row],[pendingCourt]]&lt;=TrafficData[[#This Row],[totalCourt]],TrafficData[[#This Row],[disposedCourt]]&lt;=TrafficData[[#This Row],[totalCourt]])</f>
        <v>1</v>
      </c>
    </row>
    <row r="3996" spans="1:16">
      <c r="A3996" s="1">
        <v>46000</v>
      </c>
      <c r="B3996">
        <v>289285</v>
      </c>
      <c r="C3996">
        <v>47513</v>
      </c>
      <c r="D3996">
        <v>241772</v>
      </c>
      <c r="E3996">
        <v>497524744</v>
      </c>
      <c r="F3996">
        <v>98423698</v>
      </c>
      <c r="G3996">
        <v>595948442</v>
      </c>
      <c r="H3996">
        <v>39760</v>
      </c>
      <c r="I3996">
        <v>1501</v>
      </c>
      <c r="J3996">
        <v>41261</v>
      </c>
      <c r="K3996" t="b">
        <f>TrafficData[[#This Row],[disposedChallan]]+TrafficData[[#This Row],[pendingChallan]]=TrafficData[[#This Row],[totalChallan]]</f>
        <v>1</v>
      </c>
      <c r="L3996" t="b">
        <f>TrafficData[[#This Row],[pendingAmount]]+TrafficData[[#This Row],[disposedAmount]]=TrafficData[[#This Row],[totalAmount]]</f>
        <v>1</v>
      </c>
      <c r="M3996" t="b">
        <f>TrafficData[[#This Row],[pendingCourt]]+TrafficData[[#This Row],[disposedCourt]]=TrafficData[[#This Row],[totalCourt]]</f>
        <v>1</v>
      </c>
      <c r="N3996" t="b">
        <f>AND(TrafficData[[#This Row],[disposedChallan]]&lt;=TrafficData[[#This Row],[totalChallan]],TrafficData[[#This Row],[pendingChallan]]&lt;=TrafficData[[#This Row],[totalChallan]])</f>
        <v>1</v>
      </c>
      <c r="O3996" t="b">
        <f>AND(TrafficData[[#This Row],[pendingAmount]]&lt;=TrafficData[[#This Row],[totalAmount]],TrafficData[[#This Row],[disposedAmount]]&lt;=TrafficData[[#This Row],[totalAmount]])</f>
        <v>1</v>
      </c>
      <c r="P3996" t="b">
        <f>AND(TrafficData[[#This Row],[pendingCourt]]&lt;=TrafficData[[#This Row],[totalCourt]],TrafficData[[#This Row],[disposedCourt]]&lt;=TrafficData[[#This Row],[totalCourt]])</f>
        <v>1</v>
      </c>
    </row>
    <row r="3997" spans="1:16">
      <c r="A3997" s="1">
        <v>46001</v>
      </c>
      <c r="B3997">
        <v>288495</v>
      </c>
      <c r="C3997">
        <v>48279</v>
      </c>
      <c r="D3997">
        <v>240216</v>
      </c>
      <c r="E3997">
        <v>494344923</v>
      </c>
      <c r="F3997">
        <v>101313562</v>
      </c>
      <c r="G3997">
        <v>595658485</v>
      </c>
      <c r="H3997">
        <v>41538</v>
      </c>
      <c r="I3997">
        <v>1702</v>
      </c>
      <c r="J3997">
        <v>43240</v>
      </c>
      <c r="K3997" t="b">
        <f>TrafficData[[#This Row],[disposedChallan]]+TrafficData[[#This Row],[pendingChallan]]=TrafficData[[#This Row],[totalChallan]]</f>
        <v>1</v>
      </c>
      <c r="L3997" t="b">
        <f>TrafficData[[#This Row],[pendingAmount]]+TrafficData[[#This Row],[disposedAmount]]=TrafficData[[#This Row],[totalAmount]]</f>
        <v>1</v>
      </c>
      <c r="M3997" t="b">
        <f>TrafficData[[#This Row],[pendingCourt]]+TrafficData[[#This Row],[disposedCourt]]=TrafficData[[#This Row],[totalCourt]]</f>
        <v>1</v>
      </c>
      <c r="N3997" t="b">
        <f>AND(TrafficData[[#This Row],[disposedChallan]]&lt;=TrafficData[[#This Row],[totalChallan]],TrafficData[[#This Row],[pendingChallan]]&lt;=TrafficData[[#This Row],[totalChallan]])</f>
        <v>1</v>
      </c>
      <c r="O3997" t="b">
        <f>AND(TrafficData[[#This Row],[pendingAmount]]&lt;=TrafficData[[#This Row],[totalAmount]],TrafficData[[#This Row],[disposedAmount]]&lt;=TrafficData[[#This Row],[totalAmount]])</f>
        <v>1</v>
      </c>
      <c r="P3997" t="b">
        <f>AND(TrafficData[[#This Row],[pendingCourt]]&lt;=TrafficData[[#This Row],[totalCourt]],TrafficData[[#This Row],[disposedCourt]]&lt;=TrafficData[[#This Row],[totalCourt]])</f>
        <v>1</v>
      </c>
    </row>
    <row r="3998" spans="1:16">
      <c r="A3998" s="1">
        <v>46002</v>
      </c>
      <c r="B3998">
        <v>287572</v>
      </c>
      <c r="C3998">
        <v>45288</v>
      </c>
      <c r="D3998">
        <v>242284</v>
      </c>
      <c r="E3998">
        <v>499991590</v>
      </c>
      <c r="F3998">
        <v>92621387</v>
      </c>
      <c r="G3998">
        <v>592612977</v>
      </c>
      <c r="H3998">
        <v>41225</v>
      </c>
      <c r="I3998">
        <v>1396</v>
      </c>
      <c r="J3998">
        <v>42621</v>
      </c>
      <c r="K3998" t="b">
        <f>TrafficData[[#This Row],[disposedChallan]]+TrafficData[[#This Row],[pendingChallan]]=TrafficData[[#This Row],[totalChallan]]</f>
        <v>1</v>
      </c>
      <c r="L3998" t="b">
        <f>TrafficData[[#This Row],[pendingAmount]]+TrafficData[[#This Row],[disposedAmount]]=TrafficData[[#This Row],[totalAmount]]</f>
        <v>1</v>
      </c>
      <c r="M3998" t="b">
        <f>TrafficData[[#This Row],[pendingCourt]]+TrafficData[[#This Row],[disposedCourt]]=TrafficData[[#This Row],[totalCourt]]</f>
        <v>1</v>
      </c>
      <c r="N3998" t="b">
        <f>AND(TrafficData[[#This Row],[disposedChallan]]&lt;=TrafficData[[#This Row],[totalChallan]],TrafficData[[#This Row],[pendingChallan]]&lt;=TrafficData[[#This Row],[totalChallan]])</f>
        <v>1</v>
      </c>
      <c r="O3998" t="b">
        <f>AND(TrafficData[[#This Row],[pendingAmount]]&lt;=TrafficData[[#This Row],[totalAmount]],TrafficData[[#This Row],[disposedAmount]]&lt;=TrafficData[[#This Row],[totalAmount]])</f>
        <v>1</v>
      </c>
      <c r="P3998" t="b">
        <f>AND(TrafficData[[#This Row],[pendingCourt]]&lt;=TrafficData[[#This Row],[totalCourt]],TrafficData[[#This Row],[disposedCourt]]&lt;=TrafficData[[#This Row],[totalCourt]])</f>
        <v>1</v>
      </c>
    </row>
    <row r="3999" spans="1:16">
      <c r="A3999" s="1">
        <v>46003</v>
      </c>
      <c r="B3999">
        <v>292997</v>
      </c>
      <c r="C3999">
        <v>45608</v>
      </c>
      <c r="D3999">
        <v>247389</v>
      </c>
      <c r="E3999">
        <v>493839800</v>
      </c>
      <c r="F3999">
        <v>92091834</v>
      </c>
      <c r="G3999">
        <v>585931634</v>
      </c>
      <c r="H3999">
        <v>42863</v>
      </c>
      <c r="I3999">
        <v>1436</v>
      </c>
      <c r="J3999">
        <v>44299</v>
      </c>
      <c r="K3999" t="b">
        <f>TrafficData[[#This Row],[disposedChallan]]+TrafficData[[#This Row],[pendingChallan]]=TrafficData[[#This Row],[totalChallan]]</f>
        <v>1</v>
      </c>
      <c r="L3999" t="b">
        <f>TrafficData[[#This Row],[pendingAmount]]+TrafficData[[#This Row],[disposedAmount]]=TrafficData[[#This Row],[totalAmount]]</f>
        <v>1</v>
      </c>
      <c r="M3999" t="b">
        <f>TrafficData[[#This Row],[pendingCourt]]+TrafficData[[#This Row],[disposedCourt]]=TrafficData[[#This Row],[totalCourt]]</f>
        <v>1</v>
      </c>
      <c r="N3999" t="b">
        <f>AND(TrafficData[[#This Row],[disposedChallan]]&lt;=TrafficData[[#This Row],[totalChallan]],TrafficData[[#This Row],[pendingChallan]]&lt;=TrafficData[[#This Row],[totalChallan]])</f>
        <v>1</v>
      </c>
      <c r="O3999" t="b">
        <f>AND(TrafficData[[#This Row],[pendingAmount]]&lt;=TrafficData[[#This Row],[totalAmount]],TrafficData[[#This Row],[disposedAmount]]&lt;=TrafficData[[#This Row],[totalAmount]])</f>
        <v>1</v>
      </c>
      <c r="P3999" t="b">
        <f>AND(TrafficData[[#This Row],[pendingCourt]]&lt;=TrafficData[[#This Row],[totalCourt]],TrafficData[[#This Row],[disposedCourt]]&lt;=TrafficData[[#This Row],[totalCourt]])</f>
        <v>1</v>
      </c>
    </row>
    <row r="4000" spans="1:16">
      <c r="A4000" s="1">
        <v>46004</v>
      </c>
      <c r="B4000">
        <v>285511</v>
      </c>
      <c r="C4000">
        <v>42145</v>
      </c>
      <c r="D4000">
        <v>243366</v>
      </c>
      <c r="E4000">
        <v>481413048</v>
      </c>
      <c r="F4000">
        <v>66181140</v>
      </c>
      <c r="G4000">
        <v>547594188</v>
      </c>
      <c r="H4000">
        <v>40867</v>
      </c>
      <c r="I4000">
        <v>1444</v>
      </c>
      <c r="J4000">
        <v>42311</v>
      </c>
      <c r="K4000" t="b">
        <f>TrafficData[[#This Row],[disposedChallan]]+TrafficData[[#This Row],[pendingChallan]]=TrafficData[[#This Row],[totalChallan]]</f>
        <v>1</v>
      </c>
      <c r="L4000" t="b">
        <f>TrafficData[[#This Row],[pendingAmount]]+TrafficData[[#This Row],[disposedAmount]]=TrafficData[[#This Row],[totalAmount]]</f>
        <v>1</v>
      </c>
      <c r="M4000" t="b">
        <f>TrafficData[[#This Row],[pendingCourt]]+TrafficData[[#This Row],[disposedCourt]]=TrafficData[[#This Row],[totalCourt]]</f>
        <v>1</v>
      </c>
      <c r="N4000" t="b">
        <f>AND(TrafficData[[#This Row],[disposedChallan]]&lt;=TrafficData[[#This Row],[totalChallan]],TrafficData[[#This Row],[pendingChallan]]&lt;=TrafficData[[#This Row],[totalChallan]])</f>
        <v>1</v>
      </c>
      <c r="O4000" t="b">
        <f>AND(TrafficData[[#This Row],[pendingAmount]]&lt;=TrafficData[[#This Row],[totalAmount]],TrafficData[[#This Row],[disposedAmount]]&lt;=TrafficData[[#This Row],[totalAmount]])</f>
        <v>1</v>
      </c>
      <c r="P4000" t="b">
        <f>AND(TrafficData[[#This Row],[pendingCourt]]&lt;=TrafficData[[#This Row],[totalCourt]],TrafficData[[#This Row],[disposedCourt]]&lt;=TrafficData[[#This Row],[totalCourt]])</f>
        <v>1</v>
      </c>
    </row>
    <row r="4001" spans="1:16">
      <c r="A4001" s="1">
        <v>46005</v>
      </c>
      <c r="B4001">
        <v>269233</v>
      </c>
      <c r="C4001">
        <v>40280</v>
      </c>
      <c r="D4001">
        <v>228953</v>
      </c>
      <c r="E4001">
        <v>433221466</v>
      </c>
      <c r="F4001">
        <v>57190556</v>
      </c>
      <c r="G4001">
        <v>490412022</v>
      </c>
      <c r="H4001">
        <v>37971</v>
      </c>
      <c r="I4001">
        <v>1292</v>
      </c>
      <c r="J4001">
        <v>39263</v>
      </c>
      <c r="K4001" t="b">
        <f>TrafficData[[#This Row],[disposedChallan]]+TrafficData[[#This Row],[pendingChallan]]=TrafficData[[#This Row],[totalChallan]]</f>
        <v>1</v>
      </c>
      <c r="L4001" t="b">
        <f>TrafficData[[#This Row],[pendingAmount]]+TrafficData[[#This Row],[disposedAmount]]=TrafficData[[#This Row],[totalAmount]]</f>
        <v>1</v>
      </c>
      <c r="M4001" t="b">
        <f>TrafficData[[#This Row],[pendingCourt]]+TrafficData[[#This Row],[disposedCourt]]=TrafficData[[#This Row],[totalCourt]]</f>
        <v>1</v>
      </c>
      <c r="N4001" t="b">
        <f>AND(TrafficData[[#This Row],[disposedChallan]]&lt;=TrafficData[[#This Row],[totalChallan]],TrafficData[[#This Row],[pendingChallan]]&lt;=TrafficData[[#This Row],[totalChallan]])</f>
        <v>1</v>
      </c>
      <c r="O4001" t="b">
        <f>AND(TrafficData[[#This Row],[pendingAmount]]&lt;=TrafficData[[#This Row],[totalAmount]],TrafficData[[#This Row],[disposedAmount]]&lt;=TrafficData[[#This Row],[totalAmount]])</f>
        <v>1</v>
      </c>
      <c r="P4001" t="b">
        <f>AND(TrafficData[[#This Row],[pendingCourt]]&lt;=TrafficData[[#This Row],[totalCourt]],TrafficData[[#This Row],[disposedCourt]]&lt;=TrafficData[[#This Row],[totalCourt]])</f>
        <v>1</v>
      </c>
    </row>
    <row r="4002" spans="1:16">
      <c r="A4002" s="1">
        <v>46006</v>
      </c>
      <c r="B4002">
        <v>297330</v>
      </c>
      <c r="C4002">
        <v>45023</v>
      </c>
      <c r="D4002">
        <v>252307</v>
      </c>
      <c r="E4002">
        <v>511517590</v>
      </c>
      <c r="F4002">
        <v>78016187</v>
      </c>
      <c r="G4002">
        <v>589533777</v>
      </c>
      <c r="H4002">
        <v>42704</v>
      </c>
      <c r="I4002">
        <v>1234</v>
      </c>
      <c r="J4002">
        <v>43938</v>
      </c>
      <c r="K4002" t="b">
        <f>TrafficData[[#This Row],[disposedChallan]]+TrafficData[[#This Row],[pendingChallan]]=TrafficData[[#This Row],[totalChallan]]</f>
        <v>1</v>
      </c>
      <c r="L4002" t="b">
        <f>TrafficData[[#This Row],[pendingAmount]]+TrafficData[[#This Row],[disposedAmount]]=TrafficData[[#This Row],[totalAmount]]</f>
        <v>1</v>
      </c>
      <c r="M4002" t="b">
        <f>TrafficData[[#This Row],[pendingCourt]]+TrafficData[[#This Row],[disposedCourt]]=TrafficData[[#This Row],[totalCourt]]</f>
        <v>1</v>
      </c>
      <c r="N4002" t="b">
        <f>AND(TrafficData[[#This Row],[disposedChallan]]&lt;=TrafficData[[#This Row],[totalChallan]],TrafficData[[#This Row],[pendingChallan]]&lt;=TrafficData[[#This Row],[totalChallan]])</f>
        <v>1</v>
      </c>
      <c r="O4002" t="b">
        <f>AND(TrafficData[[#This Row],[pendingAmount]]&lt;=TrafficData[[#This Row],[totalAmount]],TrafficData[[#This Row],[disposedAmount]]&lt;=TrafficData[[#This Row],[totalAmount]])</f>
        <v>1</v>
      </c>
      <c r="P4002" t="b">
        <f>AND(TrafficData[[#This Row],[pendingCourt]]&lt;=TrafficData[[#This Row],[totalCourt]],TrafficData[[#This Row],[disposedCourt]]&lt;=TrafficData[[#This Row],[totalCourt]])</f>
        <v>1</v>
      </c>
    </row>
    <row r="4003" spans="1:16">
      <c r="A4003" s="1">
        <v>46007</v>
      </c>
      <c r="B4003">
        <v>293319</v>
      </c>
      <c r="C4003">
        <v>44344</v>
      </c>
      <c r="D4003">
        <v>248975</v>
      </c>
      <c r="E4003">
        <v>494680576</v>
      </c>
      <c r="F4003">
        <v>92525084</v>
      </c>
      <c r="G4003">
        <v>587205660</v>
      </c>
      <c r="H4003">
        <v>40378</v>
      </c>
      <c r="I4003">
        <v>1209</v>
      </c>
      <c r="J4003">
        <v>41587</v>
      </c>
      <c r="K4003" t="b">
        <f>TrafficData[[#This Row],[disposedChallan]]+TrafficData[[#This Row],[pendingChallan]]=TrafficData[[#This Row],[totalChallan]]</f>
        <v>1</v>
      </c>
      <c r="L4003" t="b">
        <f>TrafficData[[#This Row],[pendingAmount]]+TrafficData[[#This Row],[disposedAmount]]=TrafficData[[#This Row],[totalAmount]]</f>
        <v>1</v>
      </c>
      <c r="M4003" t="b">
        <f>TrafficData[[#This Row],[pendingCourt]]+TrafficData[[#This Row],[disposedCourt]]=TrafficData[[#This Row],[totalCourt]]</f>
        <v>1</v>
      </c>
      <c r="N4003" t="b">
        <f>AND(TrafficData[[#This Row],[disposedChallan]]&lt;=TrafficData[[#This Row],[totalChallan]],TrafficData[[#This Row],[pendingChallan]]&lt;=TrafficData[[#This Row],[totalChallan]])</f>
        <v>1</v>
      </c>
      <c r="O4003" t="b">
        <f>AND(TrafficData[[#This Row],[pendingAmount]]&lt;=TrafficData[[#This Row],[totalAmount]],TrafficData[[#This Row],[disposedAmount]]&lt;=TrafficData[[#This Row],[totalAmount]])</f>
        <v>1</v>
      </c>
      <c r="P4003" t="b">
        <f>AND(TrafficData[[#This Row],[pendingCourt]]&lt;=TrafficData[[#This Row],[totalCourt]],TrafficData[[#This Row],[disposedCourt]]&lt;=TrafficData[[#This Row],[totalCourt]])</f>
        <v>1</v>
      </c>
    </row>
    <row r="4004" spans="1:16">
      <c r="A4004" s="1">
        <v>46008</v>
      </c>
      <c r="B4004">
        <v>293594</v>
      </c>
      <c r="C4004">
        <v>45943</v>
      </c>
      <c r="D4004">
        <v>247651</v>
      </c>
      <c r="E4004">
        <v>544545088</v>
      </c>
      <c r="F4004">
        <v>92535332</v>
      </c>
      <c r="G4004">
        <v>637080420</v>
      </c>
      <c r="H4004">
        <v>41262</v>
      </c>
      <c r="I4004">
        <v>1187</v>
      </c>
      <c r="J4004">
        <v>42449</v>
      </c>
      <c r="K4004" t="b">
        <f>TrafficData[[#This Row],[disposedChallan]]+TrafficData[[#This Row],[pendingChallan]]=TrafficData[[#This Row],[totalChallan]]</f>
        <v>1</v>
      </c>
      <c r="L4004" t="b">
        <f>TrafficData[[#This Row],[pendingAmount]]+TrafficData[[#This Row],[disposedAmount]]=TrafficData[[#This Row],[totalAmount]]</f>
        <v>1</v>
      </c>
      <c r="M4004" t="b">
        <f>TrafficData[[#This Row],[pendingCourt]]+TrafficData[[#This Row],[disposedCourt]]=TrafficData[[#This Row],[totalCourt]]</f>
        <v>1</v>
      </c>
      <c r="N4004" t="b">
        <f>AND(TrafficData[[#This Row],[disposedChallan]]&lt;=TrafficData[[#This Row],[totalChallan]],TrafficData[[#This Row],[pendingChallan]]&lt;=TrafficData[[#This Row],[totalChallan]])</f>
        <v>1</v>
      </c>
      <c r="O4004" t="b">
        <f>AND(TrafficData[[#This Row],[pendingAmount]]&lt;=TrafficData[[#This Row],[totalAmount]],TrafficData[[#This Row],[disposedAmount]]&lt;=TrafficData[[#This Row],[totalAmount]])</f>
        <v>1</v>
      </c>
      <c r="P4004" t="b">
        <f>AND(TrafficData[[#This Row],[pendingCourt]]&lt;=TrafficData[[#This Row],[totalCourt]],TrafficData[[#This Row],[disposedCourt]]&lt;=TrafficData[[#This Row],[totalCourt]])</f>
        <v>1</v>
      </c>
    </row>
    <row r="4005" spans="1:16">
      <c r="A4005" s="1">
        <v>46009</v>
      </c>
      <c r="B4005">
        <v>297905</v>
      </c>
      <c r="C4005">
        <v>45725</v>
      </c>
      <c r="D4005">
        <v>252180</v>
      </c>
      <c r="E4005">
        <v>555481448</v>
      </c>
      <c r="F4005">
        <v>85986419</v>
      </c>
      <c r="G4005">
        <v>641467867</v>
      </c>
      <c r="H4005">
        <v>43803</v>
      </c>
      <c r="I4005">
        <v>1198</v>
      </c>
      <c r="J4005">
        <v>45001</v>
      </c>
      <c r="K4005" t="b">
        <f>TrafficData[[#This Row],[disposedChallan]]+TrafficData[[#This Row],[pendingChallan]]=TrafficData[[#This Row],[totalChallan]]</f>
        <v>1</v>
      </c>
      <c r="L4005" t="b">
        <f>TrafficData[[#This Row],[pendingAmount]]+TrafficData[[#This Row],[disposedAmount]]=TrafficData[[#This Row],[totalAmount]]</f>
        <v>1</v>
      </c>
      <c r="M4005" t="b">
        <f>TrafficData[[#This Row],[pendingCourt]]+TrafficData[[#This Row],[disposedCourt]]=TrafficData[[#This Row],[totalCourt]]</f>
        <v>1</v>
      </c>
      <c r="N4005" t="b">
        <f>AND(TrafficData[[#This Row],[disposedChallan]]&lt;=TrafficData[[#This Row],[totalChallan]],TrafficData[[#This Row],[pendingChallan]]&lt;=TrafficData[[#This Row],[totalChallan]])</f>
        <v>1</v>
      </c>
      <c r="O4005" t="b">
        <f>AND(TrafficData[[#This Row],[pendingAmount]]&lt;=TrafficData[[#This Row],[totalAmount]],TrafficData[[#This Row],[disposedAmount]]&lt;=TrafficData[[#This Row],[totalAmount]])</f>
        <v>1</v>
      </c>
      <c r="P4005" t="b">
        <f>AND(TrafficData[[#This Row],[pendingCourt]]&lt;=TrafficData[[#This Row],[totalCourt]],TrafficData[[#This Row],[disposedCourt]]&lt;=TrafficData[[#This Row],[totalCourt]])</f>
        <v>1</v>
      </c>
    </row>
    <row r="4006" spans="1:16">
      <c r="A4006" s="1">
        <v>46010</v>
      </c>
      <c r="B4006">
        <v>294971</v>
      </c>
      <c r="C4006">
        <v>45944</v>
      </c>
      <c r="D4006">
        <v>249027</v>
      </c>
      <c r="E4006">
        <v>534912879</v>
      </c>
      <c r="F4006">
        <v>85649663</v>
      </c>
      <c r="G4006">
        <v>620562542</v>
      </c>
      <c r="H4006">
        <v>40767</v>
      </c>
      <c r="I4006">
        <v>1184</v>
      </c>
      <c r="J4006">
        <v>41951</v>
      </c>
      <c r="K4006" t="b">
        <f>TrafficData[[#This Row],[disposedChallan]]+TrafficData[[#This Row],[pendingChallan]]=TrafficData[[#This Row],[totalChallan]]</f>
        <v>1</v>
      </c>
      <c r="L4006" t="b">
        <f>TrafficData[[#This Row],[pendingAmount]]+TrafficData[[#This Row],[disposedAmount]]=TrafficData[[#This Row],[totalAmount]]</f>
        <v>1</v>
      </c>
      <c r="M4006" t="b">
        <f>TrafficData[[#This Row],[pendingCourt]]+TrafficData[[#This Row],[disposedCourt]]=TrafficData[[#This Row],[totalCourt]]</f>
        <v>1</v>
      </c>
      <c r="N4006" t="b">
        <f>AND(TrafficData[[#This Row],[disposedChallan]]&lt;=TrafficData[[#This Row],[totalChallan]],TrafficData[[#This Row],[pendingChallan]]&lt;=TrafficData[[#This Row],[totalChallan]])</f>
        <v>1</v>
      </c>
      <c r="O4006" t="b">
        <f>AND(TrafficData[[#This Row],[pendingAmount]]&lt;=TrafficData[[#This Row],[totalAmount]],TrafficData[[#This Row],[disposedAmount]]&lt;=TrafficData[[#This Row],[totalAmount]])</f>
        <v>1</v>
      </c>
      <c r="P4006" t="b">
        <f>AND(TrafficData[[#This Row],[pendingCourt]]&lt;=TrafficData[[#This Row],[totalCourt]],TrafficData[[#This Row],[disposedCourt]]&lt;=TrafficData[[#This Row],[totalCourt]])</f>
        <v>1</v>
      </c>
    </row>
    <row r="4007" spans="1:16">
      <c r="A4007" s="1">
        <v>46011</v>
      </c>
      <c r="B4007">
        <v>281650</v>
      </c>
      <c r="C4007">
        <v>44052</v>
      </c>
      <c r="D4007">
        <v>237598</v>
      </c>
      <c r="E4007">
        <v>516649263</v>
      </c>
      <c r="F4007">
        <v>72618265</v>
      </c>
      <c r="G4007">
        <v>589267528</v>
      </c>
      <c r="H4007">
        <v>39038</v>
      </c>
      <c r="I4007">
        <v>1238</v>
      </c>
      <c r="J4007">
        <v>40276</v>
      </c>
      <c r="K4007" t="b">
        <f>TrafficData[[#This Row],[disposedChallan]]+TrafficData[[#This Row],[pendingChallan]]=TrafficData[[#This Row],[totalChallan]]</f>
        <v>1</v>
      </c>
      <c r="L4007" t="b">
        <f>TrafficData[[#This Row],[pendingAmount]]+TrafficData[[#This Row],[disposedAmount]]=TrafficData[[#This Row],[totalAmount]]</f>
        <v>1</v>
      </c>
      <c r="M4007" t="b">
        <f>TrafficData[[#This Row],[pendingCourt]]+TrafficData[[#This Row],[disposedCourt]]=TrafficData[[#This Row],[totalCourt]]</f>
        <v>1</v>
      </c>
      <c r="N4007" t="b">
        <f>AND(TrafficData[[#This Row],[disposedChallan]]&lt;=TrafficData[[#This Row],[totalChallan]],TrafficData[[#This Row],[pendingChallan]]&lt;=TrafficData[[#This Row],[totalChallan]])</f>
        <v>1</v>
      </c>
      <c r="O4007" t="b">
        <f>AND(TrafficData[[#This Row],[pendingAmount]]&lt;=TrafficData[[#This Row],[totalAmount]],TrafficData[[#This Row],[disposedAmount]]&lt;=TrafficData[[#This Row],[totalAmount]])</f>
        <v>1</v>
      </c>
      <c r="P4007" t="b">
        <f>AND(TrafficData[[#This Row],[pendingCourt]]&lt;=TrafficData[[#This Row],[totalCourt]],TrafficData[[#This Row],[disposedCourt]]&lt;=TrafficData[[#This Row],[totalCourt]])</f>
        <v>1</v>
      </c>
    </row>
    <row r="4008" spans="1:16">
      <c r="A4008" s="1">
        <v>46012</v>
      </c>
      <c r="B4008">
        <v>267488</v>
      </c>
      <c r="C4008">
        <v>39370</v>
      </c>
      <c r="D4008">
        <v>228118</v>
      </c>
      <c r="E4008">
        <v>475247417</v>
      </c>
      <c r="F4008">
        <v>54905718</v>
      </c>
      <c r="G4008">
        <v>530153135</v>
      </c>
      <c r="H4008">
        <v>37512</v>
      </c>
      <c r="I4008">
        <v>1007</v>
      </c>
      <c r="J4008">
        <v>38519</v>
      </c>
      <c r="K4008" t="b">
        <f>TrafficData[[#This Row],[disposedChallan]]+TrafficData[[#This Row],[pendingChallan]]=TrafficData[[#This Row],[totalChallan]]</f>
        <v>1</v>
      </c>
      <c r="L4008" t="b">
        <f>TrafficData[[#This Row],[pendingAmount]]+TrafficData[[#This Row],[disposedAmount]]=TrafficData[[#This Row],[totalAmount]]</f>
        <v>1</v>
      </c>
      <c r="M4008" t="b">
        <f>TrafficData[[#This Row],[pendingCourt]]+TrafficData[[#This Row],[disposedCourt]]=TrafficData[[#This Row],[totalCourt]]</f>
        <v>1</v>
      </c>
      <c r="N4008" t="b">
        <f>AND(TrafficData[[#This Row],[disposedChallan]]&lt;=TrafficData[[#This Row],[totalChallan]],TrafficData[[#This Row],[pendingChallan]]&lt;=TrafficData[[#This Row],[totalChallan]])</f>
        <v>1</v>
      </c>
      <c r="O4008" t="b">
        <f>AND(TrafficData[[#This Row],[pendingAmount]]&lt;=TrafficData[[#This Row],[totalAmount]],TrafficData[[#This Row],[disposedAmount]]&lt;=TrafficData[[#This Row],[totalAmount]])</f>
        <v>1</v>
      </c>
      <c r="P4008" t="b">
        <f>AND(TrafficData[[#This Row],[pendingCourt]]&lt;=TrafficData[[#This Row],[totalCourt]],TrafficData[[#This Row],[disposedCourt]]&lt;=TrafficData[[#This Row],[totalCourt]])</f>
        <v>1</v>
      </c>
    </row>
    <row r="4009" spans="1:16">
      <c r="A4009" s="1">
        <v>46013</v>
      </c>
      <c r="B4009">
        <v>303202</v>
      </c>
      <c r="C4009">
        <v>44126</v>
      </c>
      <c r="D4009">
        <v>259076</v>
      </c>
      <c r="E4009">
        <v>543022969</v>
      </c>
      <c r="F4009">
        <v>81699743</v>
      </c>
      <c r="G4009">
        <v>624722712</v>
      </c>
      <c r="H4009">
        <v>43364</v>
      </c>
      <c r="I4009">
        <v>1167</v>
      </c>
      <c r="J4009">
        <v>44531</v>
      </c>
      <c r="K4009" t="b">
        <f>TrafficData[[#This Row],[disposedChallan]]+TrafficData[[#This Row],[pendingChallan]]=TrafficData[[#This Row],[totalChallan]]</f>
        <v>1</v>
      </c>
      <c r="L4009" t="b">
        <f>TrafficData[[#This Row],[pendingAmount]]+TrafficData[[#This Row],[disposedAmount]]=TrafficData[[#This Row],[totalAmount]]</f>
        <v>1</v>
      </c>
      <c r="M4009" t="b">
        <f>TrafficData[[#This Row],[pendingCourt]]+TrafficData[[#This Row],[disposedCourt]]=TrafficData[[#This Row],[totalCourt]]</f>
        <v>1</v>
      </c>
      <c r="N4009" t="b">
        <f>AND(TrafficData[[#This Row],[disposedChallan]]&lt;=TrafficData[[#This Row],[totalChallan]],TrafficData[[#This Row],[pendingChallan]]&lt;=TrafficData[[#This Row],[totalChallan]])</f>
        <v>1</v>
      </c>
      <c r="O4009" t="b">
        <f>AND(TrafficData[[#This Row],[pendingAmount]]&lt;=TrafficData[[#This Row],[totalAmount]],TrafficData[[#This Row],[disposedAmount]]&lt;=TrafficData[[#This Row],[totalAmount]])</f>
        <v>1</v>
      </c>
      <c r="P4009" t="b">
        <f>AND(TrafficData[[#This Row],[pendingCourt]]&lt;=TrafficData[[#This Row],[totalCourt]],TrafficData[[#This Row],[disposedCourt]]&lt;=TrafficData[[#This Row],[totalCourt]])</f>
        <v>1</v>
      </c>
    </row>
    <row r="4010" spans="1:16">
      <c r="A4010" s="1">
        <v>46014</v>
      </c>
      <c r="B4010">
        <v>295607</v>
      </c>
      <c r="C4010">
        <v>43387</v>
      </c>
      <c r="D4010">
        <v>252220</v>
      </c>
      <c r="E4010">
        <v>537106063</v>
      </c>
      <c r="F4010">
        <v>86415551</v>
      </c>
      <c r="G4010">
        <v>623521614</v>
      </c>
      <c r="H4010">
        <v>43112</v>
      </c>
      <c r="I4010">
        <v>1069</v>
      </c>
      <c r="J4010">
        <v>44181</v>
      </c>
      <c r="K4010" t="b">
        <f>TrafficData[[#This Row],[disposedChallan]]+TrafficData[[#This Row],[pendingChallan]]=TrafficData[[#This Row],[totalChallan]]</f>
        <v>1</v>
      </c>
      <c r="L4010" t="b">
        <f>TrafficData[[#This Row],[pendingAmount]]+TrafficData[[#This Row],[disposedAmount]]=TrafficData[[#This Row],[totalAmount]]</f>
        <v>1</v>
      </c>
      <c r="M4010" t="b">
        <f>TrafficData[[#This Row],[pendingCourt]]+TrafficData[[#This Row],[disposedCourt]]=TrafficData[[#This Row],[totalCourt]]</f>
        <v>1</v>
      </c>
      <c r="N4010" t="b">
        <f>AND(TrafficData[[#This Row],[disposedChallan]]&lt;=TrafficData[[#This Row],[totalChallan]],TrafficData[[#This Row],[pendingChallan]]&lt;=TrafficData[[#This Row],[totalChallan]])</f>
        <v>1</v>
      </c>
      <c r="O4010" t="b">
        <f>AND(TrafficData[[#This Row],[pendingAmount]]&lt;=TrafficData[[#This Row],[totalAmount]],TrafficData[[#This Row],[disposedAmount]]&lt;=TrafficData[[#This Row],[totalAmount]])</f>
        <v>1</v>
      </c>
      <c r="P4010" t="b">
        <f>AND(TrafficData[[#This Row],[pendingCourt]]&lt;=TrafficData[[#This Row],[totalCourt]],TrafficData[[#This Row],[disposedCourt]]&lt;=TrafficData[[#This Row],[totalCourt]])</f>
        <v>1</v>
      </c>
    </row>
    <row r="4011" spans="1:16">
      <c r="A4011" s="1">
        <v>46015</v>
      </c>
      <c r="B4011">
        <v>287532</v>
      </c>
      <c r="C4011">
        <v>43004</v>
      </c>
      <c r="D4011">
        <v>244528</v>
      </c>
      <c r="E4011">
        <v>518555791</v>
      </c>
      <c r="F4011">
        <v>86367971</v>
      </c>
      <c r="G4011">
        <v>604923762</v>
      </c>
      <c r="H4011">
        <v>41259</v>
      </c>
      <c r="I4011">
        <v>1064</v>
      </c>
      <c r="J4011">
        <v>42323</v>
      </c>
      <c r="K4011" t="b">
        <f>TrafficData[[#This Row],[disposedChallan]]+TrafficData[[#This Row],[pendingChallan]]=TrafficData[[#This Row],[totalChallan]]</f>
        <v>1</v>
      </c>
      <c r="L4011" t="b">
        <f>TrafficData[[#This Row],[pendingAmount]]+TrafficData[[#This Row],[disposedAmount]]=TrafficData[[#This Row],[totalAmount]]</f>
        <v>1</v>
      </c>
      <c r="M4011" t="b">
        <f>TrafficData[[#This Row],[pendingCourt]]+TrafficData[[#This Row],[disposedCourt]]=TrafficData[[#This Row],[totalCourt]]</f>
        <v>1</v>
      </c>
      <c r="N4011" t="b">
        <f>AND(TrafficData[[#This Row],[disposedChallan]]&lt;=TrafficData[[#This Row],[totalChallan]],TrafficData[[#This Row],[pendingChallan]]&lt;=TrafficData[[#This Row],[totalChallan]])</f>
        <v>1</v>
      </c>
      <c r="O4011" t="b">
        <f>AND(TrafficData[[#This Row],[pendingAmount]]&lt;=TrafficData[[#This Row],[totalAmount]],TrafficData[[#This Row],[disposedAmount]]&lt;=TrafficData[[#This Row],[totalAmount]])</f>
        <v>1</v>
      </c>
      <c r="P4011" t="b">
        <f>AND(TrafficData[[#This Row],[pendingCourt]]&lt;=TrafficData[[#This Row],[totalCourt]],TrafficData[[#This Row],[disposedCourt]]&lt;=TrafficData[[#This Row],[totalCourt]])</f>
        <v>1</v>
      </c>
    </row>
    <row r="4012" spans="1:16">
      <c r="A4012" s="1">
        <v>46016</v>
      </c>
      <c r="B4012">
        <v>263161</v>
      </c>
      <c r="C4012">
        <v>37076</v>
      </c>
      <c r="D4012">
        <v>226085</v>
      </c>
      <c r="E4012">
        <v>384715920</v>
      </c>
      <c r="F4012">
        <v>59339434</v>
      </c>
      <c r="G4012">
        <v>444055354</v>
      </c>
      <c r="H4012">
        <v>38888</v>
      </c>
      <c r="I4012">
        <v>949</v>
      </c>
      <c r="J4012">
        <v>39837</v>
      </c>
      <c r="K4012" t="b">
        <f>TrafficData[[#This Row],[disposedChallan]]+TrafficData[[#This Row],[pendingChallan]]=TrafficData[[#This Row],[totalChallan]]</f>
        <v>1</v>
      </c>
      <c r="L4012" t="b">
        <f>TrafficData[[#This Row],[pendingAmount]]+TrafficData[[#This Row],[disposedAmount]]=TrafficData[[#This Row],[totalAmount]]</f>
        <v>1</v>
      </c>
      <c r="M4012" t="b">
        <f>TrafficData[[#This Row],[pendingCourt]]+TrafficData[[#This Row],[disposedCourt]]=TrafficData[[#This Row],[totalCourt]]</f>
        <v>1</v>
      </c>
      <c r="N4012" t="b">
        <f>AND(TrafficData[[#This Row],[disposedChallan]]&lt;=TrafficData[[#This Row],[totalChallan]],TrafficData[[#This Row],[pendingChallan]]&lt;=TrafficData[[#This Row],[totalChallan]])</f>
        <v>1</v>
      </c>
      <c r="O4012" t="b">
        <f>AND(TrafficData[[#This Row],[pendingAmount]]&lt;=TrafficData[[#This Row],[totalAmount]],TrafficData[[#This Row],[disposedAmount]]&lt;=TrafficData[[#This Row],[totalAmount]])</f>
        <v>1</v>
      </c>
      <c r="P4012" t="b">
        <f>AND(TrafficData[[#This Row],[pendingCourt]]&lt;=TrafficData[[#This Row],[totalCourt]],TrafficData[[#This Row],[disposedCourt]]&lt;=TrafficData[[#This Row],[totalCourt]])</f>
        <v>1</v>
      </c>
    </row>
    <row r="4013" spans="1:16">
      <c r="A4013" s="1">
        <v>46017</v>
      </c>
      <c r="B4013">
        <v>272025</v>
      </c>
      <c r="C4013">
        <v>40918</v>
      </c>
      <c r="D4013">
        <v>231107</v>
      </c>
      <c r="E4013">
        <v>411699423</v>
      </c>
      <c r="F4013">
        <v>73347968</v>
      </c>
      <c r="G4013">
        <v>485047391</v>
      </c>
      <c r="H4013">
        <v>36927</v>
      </c>
      <c r="I4013">
        <v>1051</v>
      </c>
      <c r="J4013">
        <v>37978</v>
      </c>
      <c r="K4013" t="b">
        <f>TrafficData[[#This Row],[disposedChallan]]+TrafficData[[#This Row],[pendingChallan]]=TrafficData[[#This Row],[totalChallan]]</f>
        <v>1</v>
      </c>
      <c r="L4013" t="b">
        <f>TrafficData[[#This Row],[pendingAmount]]+TrafficData[[#This Row],[disposedAmount]]=TrafficData[[#This Row],[totalAmount]]</f>
        <v>1</v>
      </c>
      <c r="M4013" t="b">
        <f>TrafficData[[#This Row],[pendingCourt]]+TrafficData[[#This Row],[disposedCourt]]=TrafficData[[#This Row],[totalCourt]]</f>
        <v>1</v>
      </c>
      <c r="N4013" t="b">
        <f>AND(TrafficData[[#This Row],[disposedChallan]]&lt;=TrafficData[[#This Row],[totalChallan]],TrafficData[[#This Row],[pendingChallan]]&lt;=TrafficData[[#This Row],[totalChallan]])</f>
        <v>1</v>
      </c>
      <c r="O4013" t="b">
        <f>AND(TrafficData[[#This Row],[pendingAmount]]&lt;=TrafficData[[#This Row],[totalAmount]],TrafficData[[#This Row],[disposedAmount]]&lt;=TrafficData[[#This Row],[totalAmount]])</f>
        <v>1</v>
      </c>
      <c r="P4013" t="b">
        <f>AND(TrafficData[[#This Row],[pendingCourt]]&lt;=TrafficData[[#This Row],[totalCourt]],TrafficData[[#This Row],[disposedCourt]]&lt;=TrafficData[[#This Row],[totalCourt]])</f>
        <v>1</v>
      </c>
    </row>
    <row r="4014" spans="1:16">
      <c r="A4014" s="1">
        <v>46018</v>
      </c>
      <c r="B4014">
        <v>274970</v>
      </c>
      <c r="C4014">
        <v>41576</v>
      </c>
      <c r="D4014">
        <v>233394</v>
      </c>
      <c r="E4014">
        <v>452577586</v>
      </c>
      <c r="F4014">
        <v>65026112</v>
      </c>
      <c r="G4014">
        <v>517603698</v>
      </c>
      <c r="H4014">
        <v>36401</v>
      </c>
      <c r="I4014">
        <v>1073</v>
      </c>
      <c r="J4014">
        <v>37474</v>
      </c>
      <c r="K4014" t="b">
        <f>TrafficData[[#This Row],[disposedChallan]]+TrafficData[[#This Row],[pendingChallan]]=TrafficData[[#This Row],[totalChallan]]</f>
        <v>1</v>
      </c>
      <c r="L4014" t="b">
        <f>TrafficData[[#This Row],[pendingAmount]]+TrafficData[[#This Row],[disposedAmount]]=TrafficData[[#This Row],[totalAmount]]</f>
        <v>1</v>
      </c>
      <c r="M4014" t="b">
        <f>TrafficData[[#This Row],[pendingCourt]]+TrafficData[[#This Row],[disposedCourt]]=TrafficData[[#This Row],[totalCourt]]</f>
        <v>1</v>
      </c>
      <c r="N4014" t="b">
        <f>AND(TrafficData[[#This Row],[disposedChallan]]&lt;=TrafficData[[#This Row],[totalChallan]],TrafficData[[#This Row],[pendingChallan]]&lt;=TrafficData[[#This Row],[totalChallan]])</f>
        <v>1</v>
      </c>
      <c r="O4014" t="b">
        <f>AND(TrafficData[[#This Row],[pendingAmount]]&lt;=TrafficData[[#This Row],[totalAmount]],TrafficData[[#This Row],[disposedAmount]]&lt;=TrafficData[[#This Row],[totalAmount]])</f>
        <v>1</v>
      </c>
      <c r="P4014" t="b">
        <f>AND(TrafficData[[#This Row],[pendingCourt]]&lt;=TrafficData[[#This Row],[totalCourt]],TrafficData[[#This Row],[disposedCourt]]&lt;=TrafficData[[#This Row],[totalCourt]])</f>
        <v>1</v>
      </c>
    </row>
    <row r="4015" spans="1:16">
      <c r="A4015" s="1">
        <v>46019</v>
      </c>
      <c r="B4015">
        <v>251313</v>
      </c>
      <c r="C4015">
        <v>36803</v>
      </c>
      <c r="D4015">
        <v>214510</v>
      </c>
      <c r="E4015">
        <v>354391245</v>
      </c>
      <c r="F4015">
        <v>48164276</v>
      </c>
      <c r="G4015">
        <v>402555521</v>
      </c>
      <c r="H4015">
        <v>34488</v>
      </c>
      <c r="I4015">
        <v>905</v>
      </c>
      <c r="J4015">
        <v>35393</v>
      </c>
      <c r="K4015" t="b">
        <f>TrafficData[[#This Row],[disposedChallan]]+TrafficData[[#This Row],[pendingChallan]]=TrafficData[[#This Row],[totalChallan]]</f>
        <v>1</v>
      </c>
      <c r="L4015" t="b">
        <f>TrafficData[[#This Row],[pendingAmount]]+TrafficData[[#This Row],[disposedAmount]]=TrafficData[[#This Row],[totalAmount]]</f>
        <v>1</v>
      </c>
      <c r="M4015" t="b">
        <f>TrafficData[[#This Row],[pendingCourt]]+TrafficData[[#This Row],[disposedCourt]]=TrafficData[[#This Row],[totalCourt]]</f>
        <v>1</v>
      </c>
      <c r="N4015" t="b">
        <f>AND(TrafficData[[#This Row],[disposedChallan]]&lt;=TrafficData[[#This Row],[totalChallan]],TrafficData[[#This Row],[pendingChallan]]&lt;=TrafficData[[#This Row],[totalChallan]])</f>
        <v>1</v>
      </c>
      <c r="O4015" t="b">
        <f>AND(TrafficData[[#This Row],[pendingAmount]]&lt;=TrafficData[[#This Row],[totalAmount]],TrafficData[[#This Row],[disposedAmount]]&lt;=TrafficData[[#This Row],[totalAmount]])</f>
        <v>1</v>
      </c>
      <c r="P4015" t="b">
        <f>AND(TrafficData[[#This Row],[pendingCourt]]&lt;=TrafficData[[#This Row],[totalCourt]],TrafficData[[#This Row],[disposedCourt]]&lt;=TrafficData[[#This Row],[totalCourt]])</f>
        <v>1</v>
      </c>
    </row>
    <row r="4016" spans="1:16">
      <c r="A4016" s="1">
        <v>46020</v>
      </c>
      <c r="B4016">
        <v>275093</v>
      </c>
      <c r="C4016">
        <v>40832</v>
      </c>
      <c r="D4016">
        <v>234261</v>
      </c>
      <c r="E4016">
        <v>449130843</v>
      </c>
      <c r="F4016">
        <v>62896921</v>
      </c>
      <c r="G4016">
        <v>512027764</v>
      </c>
      <c r="H4016">
        <v>39807</v>
      </c>
      <c r="I4016">
        <v>1000</v>
      </c>
      <c r="J4016">
        <v>40807</v>
      </c>
      <c r="K4016" t="b">
        <f>TrafficData[[#This Row],[disposedChallan]]+TrafficData[[#This Row],[pendingChallan]]=TrafficData[[#This Row],[totalChallan]]</f>
        <v>1</v>
      </c>
      <c r="L4016" t="b">
        <f>TrafficData[[#This Row],[pendingAmount]]+TrafficData[[#This Row],[disposedAmount]]=TrafficData[[#This Row],[totalAmount]]</f>
        <v>1</v>
      </c>
      <c r="M4016" t="b">
        <f>TrafficData[[#This Row],[pendingCourt]]+TrafficData[[#This Row],[disposedCourt]]=TrafficData[[#This Row],[totalCourt]]</f>
        <v>1</v>
      </c>
      <c r="N4016" t="b">
        <f>AND(TrafficData[[#This Row],[disposedChallan]]&lt;=TrafficData[[#This Row],[totalChallan]],TrafficData[[#This Row],[pendingChallan]]&lt;=TrafficData[[#This Row],[totalChallan]])</f>
        <v>1</v>
      </c>
      <c r="O4016" t="b">
        <f>AND(TrafficData[[#This Row],[pendingAmount]]&lt;=TrafficData[[#This Row],[totalAmount]],TrafficData[[#This Row],[disposedAmount]]&lt;=TrafficData[[#This Row],[totalAmount]])</f>
        <v>1</v>
      </c>
      <c r="P4016" t="b">
        <f>AND(TrafficData[[#This Row],[pendingCourt]]&lt;=TrafficData[[#This Row],[totalCourt]],TrafficData[[#This Row],[disposedCourt]]&lt;=TrafficData[[#This Row],[totalCourt]])</f>
        <v>1</v>
      </c>
    </row>
    <row r="4017" spans="1:16">
      <c r="A4017" s="1">
        <v>46021</v>
      </c>
      <c r="B4017">
        <v>287402</v>
      </c>
      <c r="C4017">
        <v>41415</v>
      </c>
      <c r="D4017">
        <v>245987</v>
      </c>
      <c r="E4017">
        <v>498750894</v>
      </c>
      <c r="F4017">
        <v>71748621</v>
      </c>
      <c r="G4017">
        <v>570499515</v>
      </c>
      <c r="H4017">
        <v>37855</v>
      </c>
      <c r="I4017">
        <v>1032</v>
      </c>
      <c r="J4017">
        <v>38887</v>
      </c>
      <c r="K4017" t="b">
        <f>TrafficData[[#This Row],[disposedChallan]]+TrafficData[[#This Row],[pendingChallan]]=TrafficData[[#This Row],[totalChallan]]</f>
        <v>1</v>
      </c>
      <c r="L4017" t="b">
        <f>TrafficData[[#This Row],[pendingAmount]]+TrafficData[[#This Row],[disposedAmount]]=TrafficData[[#This Row],[totalAmount]]</f>
        <v>1</v>
      </c>
      <c r="M4017" t="b">
        <f>TrafficData[[#This Row],[pendingCourt]]+TrafficData[[#This Row],[disposedCourt]]=TrafficData[[#This Row],[totalCourt]]</f>
        <v>1</v>
      </c>
      <c r="N4017" t="b">
        <f>AND(TrafficData[[#This Row],[disposedChallan]]&lt;=TrafficData[[#This Row],[totalChallan]],TrafficData[[#This Row],[pendingChallan]]&lt;=TrafficData[[#This Row],[totalChallan]])</f>
        <v>1</v>
      </c>
      <c r="O4017" t="b">
        <f>AND(TrafficData[[#This Row],[pendingAmount]]&lt;=TrafficData[[#This Row],[totalAmount]],TrafficData[[#This Row],[disposedAmount]]&lt;=TrafficData[[#This Row],[totalAmount]])</f>
        <v>1</v>
      </c>
      <c r="P4017" t="b">
        <f>AND(TrafficData[[#This Row],[pendingCourt]]&lt;=TrafficData[[#This Row],[totalCourt]],TrafficData[[#This Row],[disposedCourt]]&lt;=TrafficData[[#This Row],[totalCourt]])</f>
        <v>1</v>
      </c>
    </row>
    <row r="4018" spans="1:16">
      <c r="A4018" s="1">
        <v>46022</v>
      </c>
      <c r="B4018">
        <v>277330</v>
      </c>
      <c r="C4018">
        <v>37757</v>
      </c>
      <c r="D4018">
        <v>239573</v>
      </c>
      <c r="E4018">
        <v>487144164</v>
      </c>
      <c r="F4018">
        <v>62457197</v>
      </c>
      <c r="G4018">
        <v>549601361</v>
      </c>
      <c r="H4018">
        <v>39809</v>
      </c>
      <c r="I4018">
        <v>1099</v>
      </c>
      <c r="J4018">
        <v>40908</v>
      </c>
      <c r="K4018" t="b">
        <f>TrafficData[[#This Row],[disposedChallan]]+TrafficData[[#This Row],[pendingChallan]]=TrafficData[[#This Row],[totalChallan]]</f>
        <v>1</v>
      </c>
      <c r="L4018" t="b">
        <f>TrafficData[[#This Row],[pendingAmount]]+TrafficData[[#This Row],[disposedAmount]]=TrafficData[[#This Row],[totalAmount]]</f>
        <v>1</v>
      </c>
      <c r="M4018" t="b">
        <f>TrafficData[[#This Row],[pendingCourt]]+TrafficData[[#This Row],[disposedCourt]]=TrafficData[[#This Row],[totalCourt]]</f>
        <v>1</v>
      </c>
      <c r="N4018" t="b">
        <f>AND(TrafficData[[#This Row],[disposedChallan]]&lt;=TrafficData[[#This Row],[totalChallan]],TrafficData[[#This Row],[pendingChallan]]&lt;=TrafficData[[#This Row],[totalChallan]])</f>
        <v>1</v>
      </c>
      <c r="O4018" t="b">
        <f>AND(TrafficData[[#This Row],[pendingAmount]]&lt;=TrafficData[[#This Row],[totalAmount]],TrafficData[[#This Row],[disposedAmount]]&lt;=TrafficData[[#This Row],[totalAmount]])</f>
        <v>1</v>
      </c>
      <c r="P4018" t="b">
        <f>AND(TrafficData[[#This Row],[pendingCourt]]&lt;=TrafficData[[#This Row],[totalCourt]],TrafficData[[#This Row],[disposedCourt]]&lt;=TrafficData[[#This Row],[totalCourt]])</f>
        <v>1</v>
      </c>
    </row>
    <row r="4019" spans="1:16">
      <c r="A4019" s="1">
        <v>46023</v>
      </c>
      <c r="B4019">
        <v>237939</v>
      </c>
      <c r="C4019">
        <v>31780</v>
      </c>
      <c r="D4019">
        <v>206159</v>
      </c>
      <c r="E4019">
        <v>391863523</v>
      </c>
      <c r="F4019">
        <v>49982392</v>
      </c>
      <c r="G4019">
        <v>441845915</v>
      </c>
      <c r="H4019">
        <v>30234</v>
      </c>
      <c r="I4019">
        <v>789</v>
      </c>
      <c r="J4019">
        <v>31023</v>
      </c>
      <c r="K4019" t="b">
        <f>TrafficData[[#This Row],[disposedChallan]]+TrafficData[[#This Row],[pendingChallan]]=TrafficData[[#This Row],[totalChallan]]</f>
        <v>1</v>
      </c>
      <c r="L4019" t="b">
        <f>TrafficData[[#This Row],[pendingAmount]]+TrafficData[[#This Row],[disposedAmount]]=TrafficData[[#This Row],[totalAmount]]</f>
        <v>1</v>
      </c>
      <c r="M4019" t="b">
        <f>TrafficData[[#This Row],[pendingCourt]]+TrafficData[[#This Row],[disposedCourt]]=TrafficData[[#This Row],[totalCourt]]</f>
        <v>1</v>
      </c>
      <c r="N4019" t="b">
        <f>AND(TrafficData[[#This Row],[disposedChallan]]&lt;=TrafficData[[#This Row],[totalChallan]],TrafficData[[#This Row],[pendingChallan]]&lt;=TrafficData[[#This Row],[totalChallan]])</f>
        <v>1</v>
      </c>
      <c r="O4019" t="b">
        <f>AND(TrafficData[[#This Row],[pendingAmount]]&lt;=TrafficData[[#This Row],[totalAmount]],TrafficData[[#This Row],[disposedAmount]]&lt;=TrafficData[[#This Row],[totalAmount]])</f>
        <v>1</v>
      </c>
      <c r="P4019" t="b">
        <f>AND(TrafficData[[#This Row],[pendingCourt]]&lt;=TrafficData[[#This Row],[totalCourt]],TrafficData[[#This Row],[disposedCourt]]&lt;=TrafficData[[#This Row],[totalCourt]])</f>
        <v>1</v>
      </c>
    </row>
    <row r="4020" spans="1:16">
      <c r="A4020" s="1">
        <v>46024</v>
      </c>
      <c r="B4020">
        <v>297429</v>
      </c>
      <c r="C4020">
        <v>45603</v>
      </c>
      <c r="D4020">
        <v>251826</v>
      </c>
      <c r="E4020">
        <v>470858078</v>
      </c>
      <c r="F4020">
        <v>75942950</v>
      </c>
      <c r="G4020">
        <v>546801028</v>
      </c>
      <c r="H4020">
        <v>36558</v>
      </c>
      <c r="I4020">
        <v>839</v>
      </c>
      <c r="J4020">
        <v>37397</v>
      </c>
      <c r="K4020" t="b">
        <f>TrafficData[[#This Row],[disposedChallan]]+TrafficData[[#This Row],[pendingChallan]]=TrafficData[[#This Row],[totalChallan]]</f>
        <v>1</v>
      </c>
      <c r="L4020" t="b">
        <f>TrafficData[[#This Row],[pendingAmount]]+TrafficData[[#This Row],[disposedAmount]]=TrafficData[[#This Row],[totalAmount]]</f>
        <v>1</v>
      </c>
      <c r="M4020" t="b">
        <f>TrafficData[[#This Row],[pendingCourt]]+TrafficData[[#This Row],[disposedCourt]]=TrafficData[[#This Row],[totalCourt]]</f>
        <v>1</v>
      </c>
      <c r="N4020" t="b">
        <f>AND(TrafficData[[#This Row],[disposedChallan]]&lt;=TrafficData[[#This Row],[totalChallan]],TrafficData[[#This Row],[pendingChallan]]&lt;=TrafficData[[#This Row],[totalChallan]])</f>
        <v>1</v>
      </c>
      <c r="O4020" t="b">
        <f>AND(TrafficData[[#This Row],[pendingAmount]]&lt;=TrafficData[[#This Row],[totalAmount]],TrafficData[[#This Row],[disposedAmount]]&lt;=TrafficData[[#This Row],[totalAmount]])</f>
        <v>1</v>
      </c>
      <c r="P4020" t="b">
        <f>AND(TrafficData[[#This Row],[pendingCourt]]&lt;=TrafficData[[#This Row],[totalCourt]],TrafficData[[#This Row],[disposedCourt]]&lt;=TrafficData[[#This Row],[totalCourt]])</f>
        <v>1</v>
      </c>
    </row>
    <row r="4021" spans="1:16">
      <c r="A4021" s="1">
        <v>46025</v>
      </c>
      <c r="B4021">
        <v>292558</v>
      </c>
      <c r="C4021">
        <v>44789</v>
      </c>
      <c r="D4021">
        <v>247769</v>
      </c>
      <c r="E4021">
        <v>470708388</v>
      </c>
      <c r="F4021">
        <v>69488178</v>
      </c>
      <c r="G4021">
        <v>540196566</v>
      </c>
      <c r="H4021">
        <v>33729</v>
      </c>
      <c r="I4021">
        <v>973</v>
      </c>
      <c r="J4021">
        <v>34702</v>
      </c>
      <c r="K4021" t="b">
        <f>TrafficData[[#This Row],[disposedChallan]]+TrafficData[[#This Row],[pendingChallan]]=TrafficData[[#This Row],[totalChallan]]</f>
        <v>1</v>
      </c>
      <c r="L4021" t="b">
        <f>TrafficData[[#This Row],[pendingAmount]]+TrafficData[[#This Row],[disposedAmount]]=TrafficData[[#This Row],[totalAmount]]</f>
        <v>1</v>
      </c>
      <c r="M4021" t="b">
        <f>TrafficData[[#This Row],[pendingCourt]]+TrafficData[[#This Row],[disposedCourt]]=TrafficData[[#This Row],[totalCourt]]</f>
        <v>1</v>
      </c>
      <c r="N4021" t="b">
        <f>AND(TrafficData[[#This Row],[disposedChallan]]&lt;=TrafficData[[#This Row],[totalChallan]],TrafficData[[#This Row],[pendingChallan]]&lt;=TrafficData[[#This Row],[totalChallan]])</f>
        <v>1</v>
      </c>
      <c r="O4021" t="b">
        <f>AND(TrafficData[[#This Row],[pendingAmount]]&lt;=TrafficData[[#This Row],[totalAmount]],TrafficData[[#This Row],[disposedAmount]]&lt;=TrafficData[[#This Row],[totalAmount]])</f>
        <v>1</v>
      </c>
      <c r="P4021" t="b">
        <f>AND(TrafficData[[#This Row],[pendingCourt]]&lt;=TrafficData[[#This Row],[totalCourt]],TrafficData[[#This Row],[disposedCourt]]&lt;=TrafficData[[#This Row],[totalCourt]])</f>
        <v>1</v>
      </c>
    </row>
    <row r="4022" spans="1:16">
      <c r="A4022" s="1">
        <v>46026</v>
      </c>
      <c r="B4022">
        <v>284379</v>
      </c>
      <c r="C4022">
        <v>41367</v>
      </c>
      <c r="D4022">
        <v>243012</v>
      </c>
      <c r="E4022">
        <v>454295176</v>
      </c>
      <c r="F4022">
        <v>59016389</v>
      </c>
      <c r="G4022">
        <v>513311565</v>
      </c>
      <c r="H4022">
        <v>37820</v>
      </c>
      <c r="I4022">
        <v>997</v>
      </c>
      <c r="J4022">
        <v>38817</v>
      </c>
      <c r="K4022" t="b">
        <f>TrafficData[[#This Row],[disposedChallan]]+TrafficData[[#This Row],[pendingChallan]]=TrafficData[[#This Row],[totalChallan]]</f>
        <v>1</v>
      </c>
      <c r="L4022" t="b">
        <f>TrafficData[[#This Row],[pendingAmount]]+TrafficData[[#This Row],[disposedAmount]]=TrafficData[[#This Row],[totalAmount]]</f>
        <v>1</v>
      </c>
      <c r="M4022" t="b">
        <f>TrafficData[[#This Row],[pendingCourt]]+TrafficData[[#This Row],[disposedCourt]]=TrafficData[[#This Row],[totalCourt]]</f>
        <v>1</v>
      </c>
      <c r="N4022" t="b">
        <f>AND(TrafficData[[#This Row],[disposedChallan]]&lt;=TrafficData[[#This Row],[totalChallan]],TrafficData[[#This Row],[pendingChallan]]&lt;=TrafficData[[#This Row],[totalChallan]])</f>
        <v>1</v>
      </c>
      <c r="O4022" t="b">
        <f>AND(TrafficData[[#This Row],[pendingAmount]]&lt;=TrafficData[[#This Row],[totalAmount]],TrafficData[[#This Row],[disposedAmount]]&lt;=TrafficData[[#This Row],[totalAmount]])</f>
        <v>1</v>
      </c>
      <c r="P4022" t="b">
        <f>AND(TrafficData[[#This Row],[pendingCourt]]&lt;=TrafficData[[#This Row],[totalCourt]],TrafficData[[#This Row],[disposedCourt]]&lt;=TrafficData[[#This Row],[totalCourt]])</f>
        <v>1</v>
      </c>
    </row>
    <row r="4023" spans="1:16">
      <c r="A4023" s="1">
        <v>46027</v>
      </c>
      <c r="B4023">
        <v>308929</v>
      </c>
      <c r="C4023">
        <v>46283</v>
      </c>
      <c r="D4023">
        <v>262646</v>
      </c>
      <c r="E4023">
        <v>497718559</v>
      </c>
      <c r="F4023">
        <v>85069025</v>
      </c>
      <c r="G4023">
        <v>582787584</v>
      </c>
      <c r="H4023">
        <v>36212</v>
      </c>
      <c r="I4023">
        <v>953</v>
      </c>
      <c r="J4023">
        <v>37165</v>
      </c>
      <c r="K4023" t="b">
        <f>TrafficData[[#This Row],[disposedChallan]]+TrafficData[[#This Row],[pendingChallan]]=TrafficData[[#This Row],[totalChallan]]</f>
        <v>1</v>
      </c>
      <c r="L4023" t="b">
        <f>TrafficData[[#This Row],[pendingAmount]]+TrafficData[[#This Row],[disposedAmount]]=TrafficData[[#This Row],[totalAmount]]</f>
        <v>1</v>
      </c>
      <c r="M4023" t="b">
        <f>TrafficData[[#This Row],[pendingCourt]]+TrafficData[[#This Row],[disposedCourt]]=TrafficData[[#This Row],[totalCourt]]</f>
        <v>1</v>
      </c>
      <c r="N4023" t="b">
        <f>AND(TrafficData[[#This Row],[disposedChallan]]&lt;=TrafficData[[#This Row],[totalChallan]],TrafficData[[#This Row],[pendingChallan]]&lt;=TrafficData[[#This Row],[totalChallan]])</f>
        <v>1</v>
      </c>
      <c r="O4023" t="b">
        <f>AND(TrafficData[[#This Row],[pendingAmount]]&lt;=TrafficData[[#This Row],[totalAmount]],TrafficData[[#This Row],[disposedAmount]]&lt;=TrafficData[[#This Row],[totalAmount]])</f>
        <v>1</v>
      </c>
      <c r="P4023" t="b">
        <f>AND(TrafficData[[#This Row],[pendingCourt]]&lt;=TrafficData[[#This Row],[totalCourt]],TrafficData[[#This Row],[disposedCourt]]&lt;=TrafficData[[#This Row],[totalCourt]])</f>
        <v>1</v>
      </c>
    </row>
    <row r="4024" spans="1:16">
      <c r="A4024" s="1">
        <v>46028</v>
      </c>
      <c r="B4024">
        <v>305473</v>
      </c>
      <c r="C4024">
        <v>45367</v>
      </c>
      <c r="D4024">
        <v>260106</v>
      </c>
      <c r="E4024">
        <v>508839432</v>
      </c>
      <c r="F4024">
        <v>92983053</v>
      </c>
      <c r="G4024">
        <v>601822485</v>
      </c>
      <c r="H4024">
        <v>36683</v>
      </c>
      <c r="I4024">
        <v>943</v>
      </c>
      <c r="J4024">
        <v>37626</v>
      </c>
      <c r="K4024" t="b">
        <f>TrafficData[[#This Row],[disposedChallan]]+TrafficData[[#This Row],[pendingChallan]]=TrafficData[[#This Row],[totalChallan]]</f>
        <v>1</v>
      </c>
      <c r="L4024" t="b">
        <f>TrafficData[[#This Row],[pendingAmount]]+TrafficData[[#This Row],[disposedAmount]]=TrafficData[[#This Row],[totalAmount]]</f>
        <v>1</v>
      </c>
      <c r="M4024" t="b">
        <f>TrafficData[[#This Row],[pendingCourt]]+TrafficData[[#This Row],[disposedCourt]]=TrafficData[[#This Row],[totalCourt]]</f>
        <v>1</v>
      </c>
      <c r="N4024" t="b">
        <f>AND(TrafficData[[#This Row],[disposedChallan]]&lt;=TrafficData[[#This Row],[totalChallan]],TrafficData[[#This Row],[pendingChallan]]&lt;=TrafficData[[#This Row],[totalChallan]])</f>
        <v>1</v>
      </c>
      <c r="O4024" t="b">
        <f>AND(TrafficData[[#This Row],[pendingAmount]]&lt;=TrafficData[[#This Row],[totalAmount]],TrafficData[[#This Row],[disposedAmount]]&lt;=TrafficData[[#This Row],[totalAmount]])</f>
        <v>1</v>
      </c>
      <c r="P4024" t="b">
        <f>AND(TrafficData[[#This Row],[pendingCourt]]&lt;=TrafficData[[#This Row],[totalCourt]],TrafficData[[#This Row],[disposedCourt]]&lt;=TrafficData[[#This Row],[totalCourt]])</f>
        <v>1</v>
      </c>
    </row>
    <row r="4025" spans="1:16">
      <c r="A4025" s="1">
        <v>46029</v>
      </c>
      <c r="B4025">
        <v>320516</v>
      </c>
      <c r="C4025">
        <v>47792</v>
      </c>
      <c r="D4025">
        <v>272724</v>
      </c>
      <c r="E4025">
        <v>565996093</v>
      </c>
      <c r="F4025">
        <v>93149973</v>
      </c>
      <c r="G4025">
        <v>659146066</v>
      </c>
      <c r="H4025">
        <v>38485</v>
      </c>
      <c r="I4025">
        <v>944</v>
      </c>
      <c r="J4025">
        <v>39429</v>
      </c>
      <c r="K4025" t="b">
        <f>TrafficData[[#This Row],[disposedChallan]]+TrafficData[[#This Row],[pendingChallan]]=TrafficData[[#This Row],[totalChallan]]</f>
        <v>1</v>
      </c>
      <c r="L4025" t="b">
        <f>TrafficData[[#This Row],[pendingAmount]]+TrafficData[[#This Row],[disposedAmount]]=TrafficData[[#This Row],[totalAmount]]</f>
        <v>1</v>
      </c>
      <c r="M4025" t="b">
        <f>TrafficData[[#This Row],[pendingCourt]]+TrafficData[[#This Row],[disposedCourt]]=TrafficData[[#This Row],[totalCourt]]</f>
        <v>1</v>
      </c>
      <c r="N4025" t="b">
        <f>AND(TrafficData[[#This Row],[disposedChallan]]&lt;=TrafficData[[#This Row],[totalChallan]],TrafficData[[#This Row],[pendingChallan]]&lt;=TrafficData[[#This Row],[totalChallan]])</f>
        <v>1</v>
      </c>
      <c r="O4025" t="b">
        <f>AND(TrafficData[[#This Row],[pendingAmount]]&lt;=TrafficData[[#This Row],[totalAmount]],TrafficData[[#This Row],[disposedAmount]]&lt;=TrafficData[[#This Row],[totalAmount]])</f>
        <v>1</v>
      </c>
      <c r="P4025" t="b">
        <f>AND(TrafficData[[#This Row],[pendingCourt]]&lt;=TrafficData[[#This Row],[totalCourt]],TrafficData[[#This Row],[disposedCourt]]&lt;=TrafficData[[#This Row],[totalCourt]])</f>
        <v>1</v>
      </c>
    </row>
    <row r="4026" spans="1:16">
      <c r="A4026" s="1">
        <v>46030</v>
      </c>
      <c r="B4026">
        <v>311700</v>
      </c>
      <c r="C4026">
        <v>46047</v>
      </c>
      <c r="D4026">
        <v>265653</v>
      </c>
      <c r="E4026">
        <v>534442793</v>
      </c>
      <c r="F4026">
        <v>95496534</v>
      </c>
      <c r="G4026">
        <v>629939327</v>
      </c>
      <c r="H4026">
        <v>35101</v>
      </c>
      <c r="I4026">
        <v>901</v>
      </c>
      <c r="J4026">
        <v>36002</v>
      </c>
      <c r="K4026" t="b">
        <f>TrafficData[[#This Row],[disposedChallan]]+TrafficData[[#This Row],[pendingChallan]]=TrafficData[[#This Row],[totalChallan]]</f>
        <v>1</v>
      </c>
      <c r="L4026" t="b">
        <f>TrafficData[[#This Row],[pendingAmount]]+TrafficData[[#This Row],[disposedAmount]]=TrafficData[[#This Row],[totalAmount]]</f>
        <v>1</v>
      </c>
      <c r="M4026" t="b">
        <f>TrafficData[[#This Row],[pendingCourt]]+TrafficData[[#This Row],[disposedCourt]]=TrafficData[[#This Row],[totalCourt]]</f>
        <v>1</v>
      </c>
      <c r="N4026" t="b">
        <f>AND(TrafficData[[#This Row],[disposedChallan]]&lt;=TrafficData[[#This Row],[totalChallan]],TrafficData[[#This Row],[pendingChallan]]&lt;=TrafficData[[#This Row],[totalChallan]])</f>
        <v>1</v>
      </c>
      <c r="O4026" t="b">
        <f>AND(TrafficData[[#This Row],[pendingAmount]]&lt;=TrafficData[[#This Row],[totalAmount]],TrafficData[[#This Row],[disposedAmount]]&lt;=TrafficData[[#This Row],[totalAmount]])</f>
        <v>1</v>
      </c>
      <c r="P4026" t="b">
        <f>AND(TrafficData[[#This Row],[pendingCourt]]&lt;=TrafficData[[#This Row],[totalCourt]],TrafficData[[#This Row],[disposedCourt]]&lt;=TrafficData[[#This Row],[totalCourt]])</f>
        <v>1</v>
      </c>
    </row>
    <row r="4027" spans="1:16">
      <c r="A4027" s="1">
        <v>46031</v>
      </c>
      <c r="B4027">
        <v>308525</v>
      </c>
      <c r="C4027">
        <v>43489</v>
      </c>
      <c r="D4027">
        <v>265036</v>
      </c>
      <c r="E4027">
        <v>513298212</v>
      </c>
      <c r="F4027">
        <v>82984998</v>
      </c>
      <c r="G4027">
        <v>596283210</v>
      </c>
      <c r="H4027">
        <v>33097</v>
      </c>
      <c r="I4027">
        <v>753</v>
      </c>
      <c r="J4027">
        <v>33850</v>
      </c>
      <c r="K4027" t="b">
        <f>TrafficData[[#This Row],[disposedChallan]]+TrafficData[[#This Row],[pendingChallan]]=TrafficData[[#This Row],[totalChallan]]</f>
        <v>1</v>
      </c>
      <c r="L4027" t="b">
        <f>TrafficData[[#This Row],[pendingAmount]]+TrafficData[[#This Row],[disposedAmount]]=TrafficData[[#This Row],[totalAmount]]</f>
        <v>1</v>
      </c>
      <c r="M4027" t="b">
        <f>TrafficData[[#This Row],[pendingCourt]]+TrafficData[[#This Row],[disposedCourt]]=TrafficData[[#This Row],[totalCourt]]</f>
        <v>1</v>
      </c>
      <c r="N4027" t="b">
        <f>AND(TrafficData[[#This Row],[disposedChallan]]&lt;=TrafficData[[#This Row],[totalChallan]],TrafficData[[#This Row],[pendingChallan]]&lt;=TrafficData[[#This Row],[totalChallan]])</f>
        <v>1</v>
      </c>
      <c r="O4027" t="b">
        <f>AND(TrafficData[[#This Row],[pendingAmount]]&lt;=TrafficData[[#This Row],[totalAmount]],TrafficData[[#This Row],[disposedAmount]]&lt;=TrafficData[[#This Row],[totalAmount]])</f>
        <v>1</v>
      </c>
      <c r="P4027" t="b">
        <f>AND(TrafficData[[#This Row],[pendingCourt]]&lt;=TrafficData[[#This Row],[totalCourt]],TrafficData[[#This Row],[disposedCourt]]&lt;=TrafficData[[#This Row],[totalCourt]])</f>
        <v>1</v>
      </c>
    </row>
    <row r="4028" spans="1:16">
      <c r="A4028" s="1">
        <v>46032</v>
      </c>
      <c r="B4028">
        <v>306890</v>
      </c>
      <c r="C4028">
        <v>42652</v>
      </c>
      <c r="D4028">
        <v>264238</v>
      </c>
      <c r="E4028">
        <v>504245833</v>
      </c>
      <c r="F4028">
        <v>70471377</v>
      </c>
      <c r="G4028">
        <v>574717210</v>
      </c>
      <c r="H4028">
        <v>30975</v>
      </c>
      <c r="I4028">
        <v>773</v>
      </c>
      <c r="J4028">
        <v>31748</v>
      </c>
      <c r="K4028" t="b">
        <f>TrafficData[[#This Row],[disposedChallan]]+TrafficData[[#This Row],[pendingChallan]]=TrafficData[[#This Row],[totalChallan]]</f>
        <v>1</v>
      </c>
      <c r="L4028" t="b">
        <f>TrafficData[[#This Row],[pendingAmount]]+TrafficData[[#This Row],[disposedAmount]]=TrafficData[[#This Row],[totalAmount]]</f>
        <v>1</v>
      </c>
      <c r="M4028" t="b">
        <f>TrafficData[[#This Row],[pendingCourt]]+TrafficData[[#This Row],[disposedCourt]]=TrafficData[[#This Row],[totalCourt]]</f>
        <v>1</v>
      </c>
      <c r="N4028" t="b">
        <f>AND(TrafficData[[#This Row],[disposedChallan]]&lt;=TrafficData[[#This Row],[totalChallan]],TrafficData[[#This Row],[pendingChallan]]&lt;=TrafficData[[#This Row],[totalChallan]])</f>
        <v>1</v>
      </c>
      <c r="O4028" t="b">
        <f>AND(TrafficData[[#This Row],[pendingAmount]]&lt;=TrafficData[[#This Row],[totalAmount]],TrafficData[[#This Row],[disposedAmount]]&lt;=TrafficData[[#This Row],[totalAmount]])</f>
        <v>1</v>
      </c>
      <c r="P4028" t="b">
        <f>AND(TrafficData[[#This Row],[pendingCourt]]&lt;=TrafficData[[#This Row],[totalCourt]],TrafficData[[#This Row],[disposedCourt]]&lt;=TrafficData[[#This Row],[totalCourt]])</f>
        <v>1</v>
      </c>
    </row>
    <row r="4029" spans="1:16">
      <c r="A4029" s="1">
        <v>46033</v>
      </c>
      <c r="B4029">
        <v>280817</v>
      </c>
      <c r="C4029">
        <v>36446</v>
      </c>
      <c r="D4029">
        <v>244371</v>
      </c>
      <c r="E4029">
        <v>457205289</v>
      </c>
      <c r="F4029">
        <v>49265160</v>
      </c>
      <c r="G4029">
        <v>506470449</v>
      </c>
      <c r="H4029">
        <v>30386</v>
      </c>
      <c r="I4029">
        <v>700</v>
      </c>
      <c r="J4029">
        <v>31086</v>
      </c>
      <c r="K4029" t="b">
        <f>TrafficData[[#This Row],[disposedChallan]]+TrafficData[[#This Row],[pendingChallan]]=TrafficData[[#This Row],[totalChallan]]</f>
        <v>1</v>
      </c>
      <c r="L4029" t="b">
        <f>TrafficData[[#This Row],[pendingAmount]]+TrafficData[[#This Row],[disposedAmount]]=TrafficData[[#This Row],[totalAmount]]</f>
        <v>1</v>
      </c>
      <c r="M4029" t="b">
        <f>TrafficData[[#This Row],[pendingCourt]]+TrafficData[[#This Row],[disposedCourt]]=TrafficData[[#This Row],[totalCourt]]</f>
        <v>1</v>
      </c>
      <c r="N4029" t="b">
        <f>AND(TrafficData[[#This Row],[disposedChallan]]&lt;=TrafficData[[#This Row],[totalChallan]],TrafficData[[#This Row],[pendingChallan]]&lt;=TrafficData[[#This Row],[totalChallan]])</f>
        <v>1</v>
      </c>
      <c r="O4029" t="b">
        <f>AND(TrafficData[[#This Row],[pendingAmount]]&lt;=TrafficData[[#This Row],[totalAmount]],TrafficData[[#This Row],[disposedAmount]]&lt;=TrafficData[[#This Row],[totalAmount]])</f>
        <v>1</v>
      </c>
      <c r="P4029" t="b">
        <f>AND(TrafficData[[#This Row],[pendingCourt]]&lt;=TrafficData[[#This Row],[totalCourt]],TrafficData[[#This Row],[disposedCourt]]&lt;=TrafficData[[#This Row],[totalCourt]])</f>
        <v>1</v>
      </c>
    </row>
    <row r="4030" spans="1:16">
      <c r="A4030" s="1">
        <v>46034</v>
      </c>
      <c r="B4030">
        <v>298223</v>
      </c>
      <c r="C4030">
        <v>40743</v>
      </c>
      <c r="D4030">
        <v>257480</v>
      </c>
      <c r="E4030">
        <v>515393675</v>
      </c>
      <c r="F4030">
        <v>73035320</v>
      </c>
      <c r="G4030">
        <v>588428995</v>
      </c>
      <c r="H4030">
        <v>32311</v>
      </c>
      <c r="I4030">
        <v>663</v>
      </c>
      <c r="J4030">
        <v>32974</v>
      </c>
      <c r="K4030" t="b">
        <f>TrafficData[[#This Row],[disposedChallan]]+TrafficData[[#This Row],[pendingChallan]]=TrafficData[[#This Row],[totalChallan]]</f>
        <v>1</v>
      </c>
      <c r="L4030" t="b">
        <f>TrafficData[[#This Row],[pendingAmount]]+TrafficData[[#This Row],[disposedAmount]]=TrafficData[[#This Row],[totalAmount]]</f>
        <v>1</v>
      </c>
      <c r="M4030" t="b">
        <f>TrafficData[[#This Row],[pendingCourt]]+TrafficData[[#This Row],[disposedCourt]]=TrafficData[[#This Row],[totalCourt]]</f>
        <v>1</v>
      </c>
      <c r="N4030" t="b">
        <f>AND(TrafficData[[#This Row],[disposedChallan]]&lt;=TrafficData[[#This Row],[totalChallan]],TrafficData[[#This Row],[pendingChallan]]&lt;=TrafficData[[#This Row],[totalChallan]])</f>
        <v>1</v>
      </c>
      <c r="O4030" t="b">
        <f>AND(TrafficData[[#This Row],[pendingAmount]]&lt;=TrafficData[[#This Row],[totalAmount]],TrafficData[[#This Row],[disposedAmount]]&lt;=TrafficData[[#This Row],[totalAmount]])</f>
        <v>1</v>
      </c>
      <c r="P4030" t="b">
        <f>AND(TrafficData[[#This Row],[pendingCourt]]&lt;=TrafficData[[#This Row],[totalCourt]],TrafficData[[#This Row],[disposedCourt]]&lt;=TrafficData[[#This Row],[totalCourt]])</f>
        <v>1</v>
      </c>
    </row>
    <row r="4031" spans="1:16">
      <c r="A4031" s="1">
        <v>46035</v>
      </c>
      <c r="B4031">
        <v>290418</v>
      </c>
      <c r="C4031">
        <v>39013</v>
      </c>
      <c r="D4031">
        <v>251405</v>
      </c>
      <c r="E4031">
        <v>498903377</v>
      </c>
      <c r="F4031">
        <v>78664342</v>
      </c>
      <c r="G4031">
        <v>577567719</v>
      </c>
      <c r="H4031">
        <v>31361</v>
      </c>
      <c r="I4031">
        <v>912</v>
      </c>
      <c r="J4031">
        <v>32273</v>
      </c>
      <c r="K4031" t="b">
        <f>TrafficData[[#This Row],[disposedChallan]]+TrafficData[[#This Row],[pendingChallan]]=TrafficData[[#This Row],[totalChallan]]</f>
        <v>1</v>
      </c>
      <c r="L4031" t="b">
        <f>TrafficData[[#This Row],[pendingAmount]]+TrafficData[[#This Row],[disposedAmount]]=TrafficData[[#This Row],[totalAmount]]</f>
        <v>1</v>
      </c>
      <c r="M4031" t="b">
        <f>TrafficData[[#This Row],[pendingCourt]]+TrafficData[[#This Row],[disposedCourt]]=TrafficData[[#This Row],[totalCourt]]</f>
        <v>1</v>
      </c>
      <c r="N4031" t="b">
        <f>AND(TrafficData[[#This Row],[disposedChallan]]&lt;=TrafficData[[#This Row],[totalChallan]],TrafficData[[#This Row],[pendingChallan]]&lt;=TrafficData[[#This Row],[totalChallan]])</f>
        <v>1</v>
      </c>
      <c r="O4031" t="b">
        <f>AND(TrafficData[[#This Row],[pendingAmount]]&lt;=TrafficData[[#This Row],[totalAmount]],TrafficData[[#This Row],[disposedAmount]]&lt;=TrafficData[[#This Row],[totalAmount]])</f>
        <v>1</v>
      </c>
      <c r="P4031" t="b">
        <f>AND(TrafficData[[#This Row],[pendingCourt]]&lt;=TrafficData[[#This Row],[totalCourt]],TrafficData[[#This Row],[disposedCourt]]&lt;=TrafficData[[#This Row],[totalCourt]])</f>
        <v>1</v>
      </c>
    </row>
    <row r="4032" spans="1:16">
      <c r="A4032" s="1">
        <v>46036</v>
      </c>
      <c r="B4032">
        <v>258178</v>
      </c>
      <c r="C4032">
        <v>31297</v>
      </c>
      <c r="D4032">
        <v>226881</v>
      </c>
      <c r="E4032">
        <v>448526933</v>
      </c>
      <c r="F4032">
        <v>63321975</v>
      </c>
      <c r="G4032">
        <v>511848908</v>
      </c>
      <c r="H4032">
        <v>29793</v>
      </c>
      <c r="I4032">
        <v>677</v>
      </c>
      <c r="J4032">
        <v>30470</v>
      </c>
      <c r="K4032" t="b">
        <f>TrafficData[[#This Row],[disposedChallan]]+TrafficData[[#This Row],[pendingChallan]]=TrafficData[[#This Row],[totalChallan]]</f>
        <v>1</v>
      </c>
      <c r="L4032" t="b">
        <f>TrafficData[[#This Row],[pendingAmount]]+TrafficData[[#This Row],[disposedAmount]]=TrafficData[[#This Row],[totalAmount]]</f>
        <v>1</v>
      </c>
      <c r="M4032" t="b">
        <f>TrafficData[[#This Row],[pendingCourt]]+TrafficData[[#This Row],[disposedCourt]]=TrafficData[[#This Row],[totalCourt]]</f>
        <v>1</v>
      </c>
      <c r="N4032" t="b">
        <f>AND(TrafficData[[#This Row],[disposedChallan]]&lt;=TrafficData[[#This Row],[totalChallan]],TrafficData[[#This Row],[pendingChallan]]&lt;=TrafficData[[#This Row],[totalChallan]])</f>
        <v>1</v>
      </c>
      <c r="O4032" t="b">
        <f>AND(TrafficData[[#This Row],[pendingAmount]]&lt;=TrafficData[[#This Row],[totalAmount]],TrafficData[[#This Row],[disposedAmount]]&lt;=TrafficData[[#This Row],[totalAmount]])</f>
        <v>1</v>
      </c>
      <c r="P4032" t="b">
        <f>AND(TrafficData[[#This Row],[pendingCourt]]&lt;=TrafficData[[#This Row],[totalCourt]],TrafficData[[#This Row],[disposedCourt]]&lt;=TrafficData[[#This Row],[totalCourt]])</f>
        <v>1</v>
      </c>
    </row>
    <row r="4033" spans="1:16">
      <c r="A4033" s="1">
        <v>46037</v>
      </c>
      <c r="B4033">
        <v>249702</v>
      </c>
      <c r="C4033">
        <v>32372</v>
      </c>
      <c r="D4033">
        <v>217330</v>
      </c>
      <c r="E4033">
        <v>439964003</v>
      </c>
      <c r="F4033">
        <v>61888100</v>
      </c>
      <c r="G4033">
        <v>501852103</v>
      </c>
      <c r="H4033">
        <v>25783</v>
      </c>
      <c r="I4033">
        <v>616</v>
      </c>
      <c r="J4033">
        <v>26399</v>
      </c>
      <c r="K4033" t="b">
        <f>TrafficData[[#This Row],[disposedChallan]]+TrafficData[[#This Row],[pendingChallan]]=TrafficData[[#This Row],[totalChallan]]</f>
        <v>1</v>
      </c>
      <c r="L4033" t="b">
        <f>TrafficData[[#This Row],[pendingAmount]]+TrafficData[[#This Row],[disposedAmount]]=TrafficData[[#This Row],[totalAmount]]</f>
        <v>1</v>
      </c>
      <c r="M4033" t="b">
        <f>TrafficData[[#This Row],[pendingCourt]]+TrafficData[[#This Row],[disposedCourt]]=TrafficData[[#This Row],[totalCourt]]</f>
        <v>1</v>
      </c>
      <c r="N4033" t="b">
        <f>AND(TrafficData[[#This Row],[disposedChallan]]&lt;=TrafficData[[#This Row],[totalChallan]],TrafficData[[#This Row],[pendingChallan]]&lt;=TrafficData[[#This Row],[totalChallan]])</f>
        <v>1</v>
      </c>
      <c r="O4033" t="b">
        <f>AND(TrafficData[[#This Row],[pendingAmount]]&lt;=TrafficData[[#This Row],[totalAmount]],TrafficData[[#This Row],[disposedAmount]]&lt;=TrafficData[[#This Row],[totalAmount]])</f>
        <v>1</v>
      </c>
      <c r="P4033" t="b">
        <f>AND(TrafficData[[#This Row],[pendingCourt]]&lt;=TrafficData[[#This Row],[totalCourt]],TrafficData[[#This Row],[disposedCourt]]&lt;=TrafficData[[#This Row],[totalCourt]])</f>
        <v>1</v>
      </c>
    </row>
    <row r="4034" spans="1:16">
      <c r="A4034" s="1">
        <v>46038</v>
      </c>
      <c r="B4034">
        <v>272880</v>
      </c>
      <c r="C4034">
        <v>35681</v>
      </c>
      <c r="D4034">
        <v>237199</v>
      </c>
      <c r="E4034">
        <v>465911753</v>
      </c>
      <c r="F4034">
        <v>72524395</v>
      </c>
      <c r="G4034">
        <v>538436148</v>
      </c>
      <c r="H4034">
        <v>28445</v>
      </c>
      <c r="I4034">
        <v>665</v>
      </c>
      <c r="J4034">
        <v>29110</v>
      </c>
      <c r="K4034" t="b">
        <f>TrafficData[[#This Row],[disposedChallan]]+TrafficData[[#This Row],[pendingChallan]]=TrafficData[[#This Row],[totalChallan]]</f>
        <v>1</v>
      </c>
      <c r="L4034" t="b">
        <f>TrafficData[[#This Row],[pendingAmount]]+TrafficData[[#This Row],[disposedAmount]]=TrafficData[[#This Row],[totalAmount]]</f>
        <v>1</v>
      </c>
      <c r="M4034" t="b">
        <f>TrafficData[[#This Row],[pendingCourt]]+TrafficData[[#This Row],[disposedCourt]]=TrafficData[[#This Row],[totalCourt]]</f>
        <v>1</v>
      </c>
      <c r="N4034" t="b">
        <f>AND(TrafficData[[#This Row],[disposedChallan]]&lt;=TrafficData[[#This Row],[totalChallan]],TrafficData[[#This Row],[pendingChallan]]&lt;=TrafficData[[#This Row],[totalChallan]])</f>
        <v>1</v>
      </c>
      <c r="O4034" t="b">
        <f>AND(TrafficData[[#This Row],[pendingAmount]]&lt;=TrafficData[[#This Row],[totalAmount]],TrafficData[[#This Row],[disposedAmount]]&lt;=TrafficData[[#This Row],[totalAmount]])</f>
        <v>1</v>
      </c>
      <c r="P4034" t="b">
        <f>AND(TrafficData[[#This Row],[pendingCourt]]&lt;=TrafficData[[#This Row],[totalCourt]],TrafficData[[#This Row],[disposedCourt]]&lt;=TrafficData[[#This Row],[totalCourt]])</f>
        <v>1</v>
      </c>
    </row>
    <row r="4035" spans="1:16">
      <c r="A4035" s="1">
        <v>46039</v>
      </c>
      <c r="B4035">
        <v>267745</v>
      </c>
      <c r="C4035">
        <v>38563</v>
      </c>
      <c r="D4035">
        <v>229182</v>
      </c>
      <c r="E4035">
        <v>427273450</v>
      </c>
      <c r="F4035">
        <v>67055656</v>
      </c>
      <c r="G4035">
        <v>494329106</v>
      </c>
      <c r="H4035">
        <v>22775</v>
      </c>
      <c r="I4035">
        <v>556</v>
      </c>
      <c r="J4035">
        <v>23331</v>
      </c>
      <c r="K4035" t="b">
        <f>TrafficData[[#This Row],[disposedChallan]]+TrafficData[[#This Row],[pendingChallan]]=TrafficData[[#This Row],[totalChallan]]</f>
        <v>1</v>
      </c>
      <c r="L4035" t="b">
        <f>TrafficData[[#This Row],[pendingAmount]]+TrafficData[[#This Row],[disposedAmount]]=TrafficData[[#This Row],[totalAmount]]</f>
        <v>1</v>
      </c>
      <c r="M4035" t="b">
        <f>TrafficData[[#This Row],[pendingCourt]]+TrafficData[[#This Row],[disposedCourt]]=TrafficData[[#This Row],[totalCourt]]</f>
        <v>1</v>
      </c>
      <c r="N4035" t="b">
        <f>AND(TrafficData[[#This Row],[disposedChallan]]&lt;=TrafficData[[#This Row],[totalChallan]],TrafficData[[#This Row],[pendingChallan]]&lt;=TrafficData[[#This Row],[totalChallan]])</f>
        <v>1</v>
      </c>
      <c r="O4035" t="b">
        <f>AND(TrafficData[[#This Row],[pendingAmount]]&lt;=TrafficData[[#This Row],[totalAmount]],TrafficData[[#This Row],[disposedAmount]]&lt;=TrafficData[[#This Row],[totalAmount]])</f>
        <v>1</v>
      </c>
      <c r="P4035" t="b">
        <f>AND(TrafficData[[#This Row],[pendingCourt]]&lt;=TrafficData[[#This Row],[totalCourt]],TrafficData[[#This Row],[disposedCourt]]&lt;=TrafficData[[#This Row],[totalCourt]])</f>
        <v>1</v>
      </c>
    </row>
    <row r="4036" spans="1:16">
      <c r="A4036" s="1">
        <v>46040</v>
      </c>
      <c r="B4036">
        <v>263957</v>
      </c>
      <c r="C4036">
        <v>35122</v>
      </c>
      <c r="D4036">
        <v>228835</v>
      </c>
      <c r="E4036">
        <v>432527554</v>
      </c>
      <c r="F4036">
        <v>50414538</v>
      </c>
      <c r="G4036">
        <v>482942092</v>
      </c>
      <c r="H4036">
        <v>29076</v>
      </c>
      <c r="I4036">
        <v>661</v>
      </c>
      <c r="J4036">
        <v>29737</v>
      </c>
      <c r="K4036" t="b">
        <f>TrafficData[[#This Row],[disposedChallan]]+TrafficData[[#This Row],[pendingChallan]]=TrafficData[[#This Row],[totalChallan]]</f>
        <v>1</v>
      </c>
      <c r="L4036" t="b">
        <f>TrafficData[[#This Row],[pendingAmount]]+TrafficData[[#This Row],[disposedAmount]]=TrafficData[[#This Row],[totalAmount]]</f>
        <v>1</v>
      </c>
      <c r="M4036" t="b">
        <f>TrafficData[[#This Row],[pendingCourt]]+TrafficData[[#This Row],[disposedCourt]]=TrafficData[[#This Row],[totalCourt]]</f>
        <v>1</v>
      </c>
      <c r="N4036" t="b">
        <f>AND(TrafficData[[#This Row],[disposedChallan]]&lt;=TrafficData[[#This Row],[totalChallan]],TrafficData[[#This Row],[pendingChallan]]&lt;=TrafficData[[#This Row],[totalChallan]])</f>
        <v>1</v>
      </c>
      <c r="O4036" t="b">
        <f>AND(TrafficData[[#This Row],[pendingAmount]]&lt;=TrafficData[[#This Row],[totalAmount]],TrafficData[[#This Row],[disposedAmount]]&lt;=TrafficData[[#This Row],[totalAmount]])</f>
        <v>1</v>
      </c>
      <c r="P4036" t="b">
        <f>AND(TrafficData[[#This Row],[pendingCourt]]&lt;=TrafficData[[#This Row],[totalCourt]],TrafficData[[#This Row],[disposedCourt]]&lt;=TrafficData[[#This Row],[totalCourt]])</f>
        <v>1</v>
      </c>
    </row>
    <row r="4037" spans="1:16">
      <c r="A4037" s="1">
        <v>46041</v>
      </c>
      <c r="B4037">
        <v>285197</v>
      </c>
      <c r="C4037">
        <v>38849</v>
      </c>
      <c r="D4037">
        <v>246348</v>
      </c>
      <c r="E4037">
        <v>461334771</v>
      </c>
      <c r="F4037">
        <v>72861211</v>
      </c>
      <c r="G4037">
        <v>534195982</v>
      </c>
      <c r="H4037">
        <v>24302</v>
      </c>
      <c r="I4037">
        <v>572</v>
      </c>
      <c r="J4037">
        <v>24874</v>
      </c>
      <c r="K4037" t="b">
        <f>TrafficData[[#This Row],[disposedChallan]]+TrafficData[[#This Row],[pendingChallan]]=TrafficData[[#This Row],[totalChallan]]</f>
        <v>1</v>
      </c>
      <c r="L4037" t="b">
        <f>TrafficData[[#This Row],[pendingAmount]]+TrafficData[[#This Row],[disposedAmount]]=TrafficData[[#This Row],[totalAmount]]</f>
        <v>1</v>
      </c>
      <c r="M4037" t="b">
        <f>TrafficData[[#This Row],[pendingCourt]]+TrafficData[[#This Row],[disposedCourt]]=TrafficData[[#This Row],[totalCourt]]</f>
        <v>1</v>
      </c>
      <c r="N4037" t="b">
        <f>AND(TrafficData[[#This Row],[disposedChallan]]&lt;=TrafficData[[#This Row],[totalChallan]],TrafficData[[#This Row],[pendingChallan]]&lt;=TrafficData[[#This Row],[totalChallan]])</f>
        <v>1</v>
      </c>
      <c r="O4037" t="b">
        <f>AND(TrafficData[[#This Row],[pendingAmount]]&lt;=TrafficData[[#This Row],[totalAmount]],TrafficData[[#This Row],[disposedAmount]]&lt;=TrafficData[[#This Row],[totalAmount]])</f>
        <v>1</v>
      </c>
      <c r="P4037" t="b">
        <f>AND(TrafficData[[#This Row],[pendingCourt]]&lt;=TrafficData[[#This Row],[totalCourt]],TrafficData[[#This Row],[disposedCourt]]&lt;=TrafficData[[#This Row],[totalCourt]])</f>
        <v>1</v>
      </c>
    </row>
    <row r="4038" spans="1:16">
      <c r="A4038" s="1">
        <v>46042</v>
      </c>
      <c r="B4038">
        <v>286707</v>
      </c>
      <c r="C4038">
        <v>40417</v>
      </c>
      <c r="D4038">
        <v>246290</v>
      </c>
      <c r="E4038">
        <v>457591146</v>
      </c>
      <c r="F4038">
        <v>81827075</v>
      </c>
      <c r="G4038">
        <v>539418221</v>
      </c>
      <c r="H4038">
        <v>23125</v>
      </c>
      <c r="I4038">
        <v>497</v>
      </c>
      <c r="J4038">
        <v>23622</v>
      </c>
      <c r="K4038" t="b">
        <f>TrafficData[[#This Row],[disposedChallan]]+TrafficData[[#This Row],[pendingChallan]]=TrafficData[[#This Row],[totalChallan]]</f>
        <v>1</v>
      </c>
      <c r="L4038" t="b">
        <f>TrafficData[[#This Row],[pendingAmount]]+TrafficData[[#This Row],[disposedAmount]]=TrafficData[[#This Row],[totalAmount]]</f>
        <v>1</v>
      </c>
      <c r="M4038" t="b">
        <f>TrafficData[[#This Row],[pendingCourt]]+TrafficData[[#This Row],[disposedCourt]]=TrafficData[[#This Row],[totalCourt]]</f>
        <v>1</v>
      </c>
      <c r="N4038" t="b">
        <f>AND(TrafficData[[#This Row],[disposedChallan]]&lt;=TrafficData[[#This Row],[totalChallan]],TrafficData[[#This Row],[pendingChallan]]&lt;=TrafficData[[#This Row],[totalChallan]])</f>
        <v>1</v>
      </c>
      <c r="O4038" t="b">
        <f>AND(TrafficData[[#This Row],[pendingAmount]]&lt;=TrafficData[[#This Row],[totalAmount]],TrafficData[[#This Row],[disposedAmount]]&lt;=TrafficData[[#This Row],[totalAmount]])</f>
        <v>1</v>
      </c>
      <c r="P4038" t="b">
        <f>AND(TrafficData[[#This Row],[pendingCourt]]&lt;=TrafficData[[#This Row],[totalCourt]],TrafficData[[#This Row],[disposedCourt]]&lt;=TrafficData[[#This Row],[totalCourt]])</f>
        <v>1</v>
      </c>
    </row>
    <row r="4039" spans="1:16">
      <c r="A4039" s="1">
        <v>46043</v>
      </c>
      <c r="B4039">
        <v>283845</v>
      </c>
      <c r="C4039">
        <v>40585</v>
      </c>
      <c r="D4039">
        <v>243260</v>
      </c>
      <c r="E4039">
        <v>461052520</v>
      </c>
      <c r="F4039">
        <v>78654967</v>
      </c>
      <c r="G4039">
        <v>539707487</v>
      </c>
      <c r="H4039">
        <v>22126</v>
      </c>
      <c r="I4039">
        <v>454</v>
      </c>
      <c r="J4039">
        <v>22580</v>
      </c>
      <c r="K4039" t="b">
        <f>TrafficData[[#This Row],[disposedChallan]]+TrafficData[[#This Row],[pendingChallan]]=TrafficData[[#This Row],[totalChallan]]</f>
        <v>1</v>
      </c>
      <c r="L4039" t="b">
        <f>TrafficData[[#This Row],[pendingAmount]]+TrafficData[[#This Row],[disposedAmount]]=TrafficData[[#This Row],[totalAmount]]</f>
        <v>1</v>
      </c>
      <c r="M4039" t="b">
        <f>TrafficData[[#This Row],[pendingCourt]]+TrafficData[[#This Row],[disposedCourt]]=TrafficData[[#This Row],[totalCourt]]</f>
        <v>1</v>
      </c>
      <c r="N4039" t="b">
        <f>AND(TrafficData[[#This Row],[disposedChallan]]&lt;=TrafficData[[#This Row],[totalChallan]],TrafficData[[#This Row],[pendingChallan]]&lt;=TrafficData[[#This Row],[totalChallan]])</f>
        <v>1</v>
      </c>
      <c r="O4039" t="b">
        <f>AND(TrafficData[[#This Row],[pendingAmount]]&lt;=TrafficData[[#This Row],[totalAmount]],TrafficData[[#This Row],[disposedAmount]]&lt;=TrafficData[[#This Row],[totalAmount]])</f>
        <v>1</v>
      </c>
      <c r="P4039" t="b">
        <f>AND(TrafficData[[#This Row],[pendingCourt]]&lt;=TrafficData[[#This Row],[totalCourt]],TrafficData[[#This Row],[disposedCourt]]&lt;=TrafficData[[#This Row],[totalCourt]])</f>
        <v>1</v>
      </c>
    </row>
    <row r="4040" spans="1:16">
      <c r="A4040" s="1">
        <v>46044</v>
      </c>
      <c r="B4040">
        <v>291447</v>
      </c>
      <c r="C4040">
        <v>39958</v>
      </c>
      <c r="D4040">
        <v>251489</v>
      </c>
      <c r="E4040">
        <v>487029454</v>
      </c>
      <c r="F4040">
        <v>76919260</v>
      </c>
      <c r="G4040">
        <v>563948714</v>
      </c>
      <c r="H4040">
        <v>26444</v>
      </c>
      <c r="I4040">
        <v>500</v>
      </c>
      <c r="J4040">
        <v>26944</v>
      </c>
      <c r="K4040" t="b">
        <f>TrafficData[[#This Row],[disposedChallan]]+TrafficData[[#This Row],[pendingChallan]]=TrafficData[[#This Row],[totalChallan]]</f>
        <v>1</v>
      </c>
      <c r="L4040" t="b">
        <f>TrafficData[[#This Row],[pendingAmount]]+TrafficData[[#This Row],[disposedAmount]]=TrafficData[[#This Row],[totalAmount]]</f>
        <v>1</v>
      </c>
      <c r="M4040" t="b">
        <f>TrafficData[[#This Row],[pendingCourt]]+TrafficData[[#This Row],[disposedCourt]]=TrafficData[[#This Row],[totalCourt]]</f>
        <v>1</v>
      </c>
      <c r="N4040" t="b">
        <f>AND(TrafficData[[#This Row],[disposedChallan]]&lt;=TrafficData[[#This Row],[totalChallan]],TrafficData[[#This Row],[pendingChallan]]&lt;=TrafficData[[#This Row],[totalChallan]])</f>
        <v>1</v>
      </c>
      <c r="O4040" t="b">
        <f>AND(TrafficData[[#This Row],[pendingAmount]]&lt;=TrafficData[[#This Row],[totalAmount]],TrafficData[[#This Row],[disposedAmount]]&lt;=TrafficData[[#This Row],[totalAmount]])</f>
        <v>1</v>
      </c>
      <c r="P4040" t="b">
        <f>AND(TrafficData[[#This Row],[pendingCourt]]&lt;=TrafficData[[#This Row],[totalCourt]],TrafficData[[#This Row],[disposedCourt]]&lt;=TrafficData[[#This Row],[totalCourt]])</f>
        <v>1</v>
      </c>
    </row>
    <row r="4041" spans="1:16">
      <c r="A4041" s="1">
        <v>46045</v>
      </c>
      <c r="B4041">
        <v>229715</v>
      </c>
      <c r="C4041">
        <v>31386</v>
      </c>
      <c r="D4041">
        <v>198329</v>
      </c>
      <c r="E4041">
        <v>348784234</v>
      </c>
      <c r="F4041">
        <v>56925402</v>
      </c>
      <c r="G4041">
        <v>405709636</v>
      </c>
      <c r="H4041">
        <v>13913</v>
      </c>
      <c r="I4041">
        <v>281</v>
      </c>
      <c r="J4041">
        <v>14194</v>
      </c>
      <c r="K4041" t="b">
        <f>TrafficData[[#This Row],[disposedChallan]]+TrafficData[[#This Row],[pendingChallan]]=TrafficData[[#This Row],[totalChallan]]</f>
        <v>1</v>
      </c>
      <c r="L4041" t="b">
        <f>TrafficData[[#This Row],[pendingAmount]]+TrafficData[[#This Row],[disposedAmount]]=TrafficData[[#This Row],[totalAmount]]</f>
        <v>1</v>
      </c>
      <c r="M4041" t="b">
        <f>TrafficData[[#This Row],[pendingCourt]]+TrafficData[[#This Row],[disposedCourt]]=TrafficData[[#This Row],[totalCourt]]</f>
        <v>1</v>
      </c>
      <c r="N4041" t="b">
        <f>AND(TrafficData[[#This Row],[disposedChallan]]&lt;=TrafficData[[#This Row],[totalChallan]],TrafficData[[#This Row],[pendingChallan]]&lt;=TrafficData[[#This Row],[totalChallan]])</f>
        <v>1</v>
      </c>
      <c r="O4041" t="b">
        <f>AND(TrafficData[[#This Row],[pendingAmount]]&lt;=TrafficData[[#This Row],[totalAmount]],TrafficData[[#This Row],[disposedAmount]]&lt;=TrafficData[[#This Row],[totalAmount]])</f>
        <v>1</v>
      </c>
      <c r="P4041" t="b">
        <f>AND(TrafficData[[#This Row],[pendingCourt]]&lt;=TrafficData[[#This Row],[totalCourt]],TrafficData[[#This Row],[disposedCourt]]&lt;=TrafficData[[#This Row],[totalCourt]])</f>
        <v>1</v>
      </c>
    </row>
    <row r="4042" spans="1:16">
      <c r="A4042" s="1">
        <v>46046</v>
      </c>
      <c r="B4042">
        <v>279695</v>
      </c>
      <c r="C4042">
        <v>36884</v>
      </c>
      <c r="D4042">
        <v>242811</v>
      </c>
      <c r="E4042">
        <v>469336161</v>
      </c>
      <c r="F4042">
        <v>61041492</v>
      </c>
      <c r="G4042">
        <v>530377653</v>
      </c>
      <c r="H4042">
        <v>24528</v>
      </c>
      <c r="I4042">
        <v>509</v>
      </c>
      <c r="J4042">
        <v>25037</v>
      </c>
      <c r="K4042" t="b">
        <f>TrafficData[[#This Row],[disposedChallan]]+TrafficData[[#This Row],[pendingChallan]]=TrafficData[[#This Row],[totalChallan]]</f>
        <v>1</v>
      </c>
      <c r="L4042" t="b">
        <f>TrafficData[[#This Row],[pendingAmount]]+TrafficData[[#This Row],[disposedAmount]]=TrafficData[[#This Row],[totalAmount]]</f>
        <v>1</v>
      </c>
      <c r="M4042" t="b">
        <f>TrafficData[[#This Row],[pendingCourt]]+TrafficData[[#This Row],[disposedCourt]]=TrafficData[[#This Row],[totalCourt]]</f>
        <v>1</v>
      </c>
      <c r="N4042" t="b">
        <f>AND(TrafficData[[#This Row],[disposedChallan]]&lt;=TrafficData[[#This Row],[totalChallan]],TrafficData[[#This Row],[pendingChallan]]&lt;=TrafficData[[#This Row],[totalChallan]])</f>
        <v>1</v>
      </c>
      <c r="O4042" t="b">
        <f>AND(TrafficData[[#This Row],[pendingAmount]]&lt;=TrafficData[[#This Row],[totalAmount]],TrafficData[[#This Row],[disposedAmount]]&lt;=TrafficData[[#This Row],[totalAmount]])</f>
        <v>1</v>
      </c>
      <c r="P4042" t="b">
        <f>AND(TrafficData[[#This Row],[pendingCourt]]&lt;=TrafficData[[#This Row],[totalCourt]],TrafficData[[#This Row],[disposedCourt]]&lt;=TrafficData[[#This Row],[totalCourt]])</f>
        <v>1</v>
      </c>
    </row>
    <row r="4043" spans="1:16">
      <c r="A4043" s="1">
        <v>46047</v>
      </c>
      <c r="B4043">
        <v>251323</v>
      </c>
      <c r="C4043">
        <v>31639</v>
      </c>
      <c r="D4043">
        <v>219684</v>
      </c>
      <c r="E4043">
        <v>393648442</v>
      </c>
      <c r="F4043">
        <v>44993389</v>
      </c>
      <c r="G4043">
        <v>438641831</v>
      </c>
      <c r="H4043">
        <v>20201</v>
      </c>
      <c r="I4043">
        <v>330</v>
      </c>
      <c r="J4043">
        <v>20531</v>
      </c>
      <c r="K4043" t="b">
        <f>TrafficData[[#This Row],[disposedChallan]]+TrafficData[[#This Row],[pendingChallan]]=TrafficData[[#This Row],[totalChallan]]</f>
        <v>1</v>
      </c>
      <c r="L4043" t="b">
        <f>TrafficData[[#This Row],[pendingAmount]]+TrafficData[[#This Row],[disposedAmount]]=TrafficData[[#This Row],[totalAmount]]</f>
        <v>1</v>
      </c>
      <c r="M4043" t="b">
        <f>TrafficData[[#This Row],[pendingCourt]]+TrafficData[[#This Row],[disposedCourt]]=TrafficData[[#This Row],[totalCourt]]</f>
        <v>1</v>
      </c>
      <c r="N4043" t="b">
        <f>AND(TrafficData[[#This Row],[disposedChallan]]&lt;=TrafficData[[#This Row],[totalChallan]],TrafficData[[#This Row],[pendingChallan]]&lt;=TrafficData[[#This Row],[totalChallan]])</f>
        <v>1</v>
      </c>
      <c r="O4043" t="b">
        <f>AND(TrafficData[[#This Row],[pendingAmount]]&lt;=TrafficData[[#This Row],[totalAmount]],TrafficData[[#This Row],[disposedAmount]]&lt;=TrafficData[[#This Row],[totalAmount]])</f>
        <v>1</v>
      </c>
      <c r="P4043" t="b">
        <f>AND(TrafficData[[#This Row],[pendingCourt]]&lt;=TrafficData[[#This Row],[totalCourt]],TrafficData[[#This Row],[disposedCourt]]&lt;=TrafficData[[#This Row],[totalCourt]])</f>
        <v>1</v>
      </c>
    </row>
    <row r="4044" spans="1:16">
      <c r="A4044" s="1">
        <v>46048</v>
      </c>
      <c r="B4044">
        <v>191126</v>
      </c>
      <c r="C4044">
        <v>22011</v>
      </c>
      <c r="D4044">
        <v>169115</v>
      </c>
      <c r="E4044">
        <v>294310256</v>
      </c>
      <c r="F4044">
        <v>28032264</v>
      </c>
      <c r="G4044">
        <v>322342520</v>
      </c>
      <c r="H4044">
        <v>8224</v>
      </c>
      <c r="I4044">
        <v>159</v>
      </c>
      <c r="J4044">
        <v>8383</v>
      </c>
      <c r="K4044" t="b">
        <f>TrafficData[[#This Row],[disposedChallan]]+TrafficData[[#This Row],[pendingChallan]]=TrafficData[[#This Row],[totalChallan]]</f>
        <v>1</v>
      </c>
      <c r="L4044" t="b">
        <f>TrafficData[[#This Row],[pendingAmount]]+TrafficData[[#This Row],[disposedAmount]]=TrafficData[[#This Row],[totalAmount]]</f>
        <v>1</v>
      </c>
      <c r="M4044" t="b">
        <f>TrafficData[[#This Row],[pendingCourt]]+TrafficData[[#This Row],[disposedCourt]]=TrafficData[[#This Row],[totalCourt]]</f>
        <v>1</v>
      </c>
      <c r="N4044" t="b">
        <f>AND(TrafficData[[#This Row],[disposedChallan]]&lt;=TrafficData[[#This Row],[totalChallan]],TrafficData[[#This Row],[pendingChallan]]&lt;=TrafficData[[#This Row],[totalChallan]])</f>
        <v>1</v>
      </c>
      <c r="O4044" t="b">
        <f>AND(TrafficData[[#This Row],[pendingAmount]]&lt;=TrafficData[[#This Row],[totalAmount]],TrafficData[[#This Row],[disposedAmount]]&lt;=TrafficData[[#This Row],[totalAmount]])</f>
        <v>1</v>
      </c>
      <c r="P4044" t="b">
        <f>AND(TrafficData[[#This Row],[pendingCourt]]&lt;=TrafficData[[#This Row],[totalCourt]],TrafficData[[#This Row],[disposedCourt]]&lt;=TrafficData[[#This Row],[totalCourt]])</f>
        <v>1</v>
      </c>
    </row>
    <row r="4045" spans="1:16">
      <c r="A4045" s="1">
        <v>46049</v>
      </c>
      <c r="B4045">
        <v>258242</v>
      </c>
      <c r="C4045">
        <v>35088</v>
      </c>
      <c r="D4045">
        <v>223154</v>
      </c>
      <c r="E4045">
        <v>414914111</v>
      </c>
      <c r="F4045">
        <v>61374972</v>
      </c>
      <c r="G4045">
        <v>476289083</v>
      </c>
      <c r="H4045">
        <v>18431</v>
      </c>
      <c r="I4045">
        <v>336</v>
      </c>
      <c r="J4045">
        <v>18767</v>
      </c>
      <c r="K4045" t="b">
        <f>TrafficData[[#This Row],[disposedChallan]]+TrafficData[[#This Row],[pendingChallan]]=TrafficData[[#This Row],[totalChallan]]</f>
        <v>1</v>
      </c>
      <c r="L4045" t="b">
        <f>TrafficData[[#This Row],[pendingAmount]]+TrafficData[[#This Row],[disposedAmount]]=TrafficData[[#This Row],[totalAmount]]</f>
        <v>1</v>
      </c>
      <c r="M4045" t="b">
        <f>TrafficData[[#This Row],[pendingCourt]]+TrafficData[[#This Row],[disposedCourt]]=TrafficData[[#This Row],[totalCourt]]</f>
        <v>1</v>
      </c>
      <c r="N4045" t="b">
        <f>AND(TrafficData[[#This Row],[disposedChallan]]&lt;=TrafficData[[#This Row],[totalChallan]],TrafficData[[#This Row],[pendingChallan]]&lt;=TrafficData[[#This Row],[totalChallan]])</f>
        <v>1</v>
      </c>
      <c r="O4045" t="b">
        <f>AND(TrafficData[[#This Row],[pendingAmount]]&lt;=TrafficData[[#This Row],[totalAmount]],TrafficData[[#This Row],[disposedAmount]]&lt;=TrafficData[[#This Row],[totalAmount]])</f>
        <v>1</v>
      </c>
      <c r="P4045" t="b">
        <f>AND(TrafficData[[#This Row],[pendingCourt]]&lt;=TrafficData[[#This Row],[totalCourt]],TrafficData[[#This Row],[disposedCourt]]&lt;=TrafficData[[#This Row],[totalCourt]])</f>
        <v>1</v>
      </c>
    </row>
    <row r="4046" spans="1:16">
      <c r="A4046" s="1">
        <v>46050</v>
      </c>
      <c r="B4046">
        <v>277413</v>
      </c>
      <c r="C4046">
        <v>38699</v>
      </c>
      <c r="D4046">
        <v>238714</v>
      </c>
      <c r="E4046">
        <v>460962660</v>
      </c>
      <c r="F4046">
        <v>70064179</v>
      </c>
      <c r="G4046">
        <v>531026839</v>
      </c>
      <c r="H4046">
        <v>20743</v>
      </c>
      <c r="I4046">
        <v>378</v>
      </c>
      <c r="J4046">
        <v>21121</v>
      </c>
      <c r="K4046" t="b">
        <f>TrafficData[[#This Row],[disposedChallan]]+TrafficData[[#This Row],[pendingChallan]]=TrafficData[[#This Row],[totalChallan]]</f>
        <v>1</v>
      </c>
      <c r="L4046" t="b">
        <f>TrafficData[[#This Row],[pendingAmount]]+TrafficData[[#This Row],[disposedAmount]]=TrafficData[[#This Row],[totalAmount]]</f>
        <v>1</v>
      </c>
      <c r="M4046" t="b">
        <f>TrafficData[[#This Row],[pendingCourt]]+TrafficData[[#This Row],[disposedCourt]]=TrafficData[[#This Row],[totalCourt]]</f>
        <v>1</v>
      </c>
      <c r="N4046" t="b">
        <f>AND(TrafficData[[#This Row],[disposedChallan]]&lt;=TrafficData[[#This Row],[totalChallan]],TrafficData[[#This Row],[pendingChallan]]&lt;=TrafficData[[#This Row],[totalChallan]])</f>
        <v>1</v>
      </c>
      <c r="O4046" t="b">
        <f>AND(TrafficData[[#This Row],[pendingAmount]]&lt;=TrafficData[[#This Row],[totalAmount]],TrafficData[[#This Row],[disposedAmount]]&lt;=TrafficData[[#This Row],[totalAmount]])</f>
        <v>1</v>
      </c>
      <c r="P4046" t="b">
        <f>AND(TrafficData[[#This Row],[pendingCourt]]&lt;=TrafficData[[#This Row],[totalCourt]],TrafficData[[#This Row],[disposedCourt]]&lt;=TrafficData[[#This Row],[totalCourt]])</f>
        <v>1</v>
      </c>
    </row>
    <row r="4047" spans="1:16">
      <c r="A4047" s="1">
        <v>46051</v>
      </c>
      <c r="B4047">
        <v>287230</v>
      </c>
      <c r="C4047">
        <v>42951</v>
      </c>
      <c r="D4047">
        <v>244279</v>
      </c>
      <c r="E4047">
        <v>464996692</v>
      </c>
      <c r="F4047">
        <v>77004537</v>
      </c>
      <c r="G4047">
        <v>542001229</v>
      </c>
      <c r="H4047">
        <v>21686</v>
      </c>
      <c r="I4047">
        <v>433</v>
      </c>
      <c r="J4047">
        <v>22119</v>
      </c>
      <c r="K4047" t="b">
        <f>TrafficData[[#This Row],[disposedChallan]]+TrafficData[[#This Row],[pendingChallan]]=TrafficData[[#This Row],[totalChallan]]</f>
        <v>1</v>
      </c>
      <c r="L4047" t="b">
        <f>TrafficData[[#This Row],[pendingAmount]]+TrafficData[[#This Row],[disposedAmount]]=TrafficData[[#This Row],[totalAmount]]</f>
        <v>1</v>
      </c>
      <c r="M4047" t="b">
        <f>TrafficData[[#This Row],[pendingCourt]]+TrafficData[[#This Row],[disposedCourt]]=TrafficData[[#This Row],[totalCourt]]</f>
        <v>1</v>
      </c>
      <c r="N4047" t="b">
        <f>AND(TrafficData[[#This Row],[disposedChallan]]&lt;=TrafficData[[#This Row],[totalChallan]],TrafficData[[#This Row],[pendingChallan]]&lt;=TrafficData[[#This Row],[totalChallan]])</f>
        <v>1</v>
      </c>
      <c r="O4047" t="b">
        <f>AND(TrafficData[[#This Row],[pendingAmount]]&lt;=TrafficData[[#This Row],[totalAmount]],TrafficData[[#This Row],[disposedAmount]]&lt;=TrafficData[[#This Row],[totalAmount]])</f>
        <v>1</v>
      </c>
      <c r="P4047" t="b">
        <f>AND(TrafficData[[#This Row],[pendingCourt]]&lt;=TrafficData[[#This Row],[totalCourt]],TrafficData[[#This Row],[disposedCourt]]&lt;=TrafficData[[#This Row],[totalCourt]])</f>
        <v>1</v>
      </c>
    </row>
    <row r="4048" spans="1:16">
      <c r="A4048" s="1">
        <v>46052</v>
      </c>
      <c r="B4048">
        <v>272162</v>
      </c>
      <c r="C4048">
        <v>40686</v>
      </c>
      <c r="D4048">
        <v>231476</v>
      </c>
      <c r="E4048">
        <v>431335616</v>
      </c>
      <c r="F4048">
        <v>67045636</v>
      </c>
      <c r="G4048">
        <v>498381252</v>
      </c>
      <c r="H4048">
        <v>16824</v>
      </c>
      <c r="I4048">
        <v>338</v>
      </c>
      <c r="J4048">
        <v>17162</v>
      </c>
      <c r="K4048" t="b">
        <f>TrafficData[[#This Row],[disposedChallan]]+TrafficData[[#This Row],[pendingChallan]]=TrafficData[[#This Row],[totalChallan]]</f>
        <v>1</v>
      </c>
      <c r="L4048" t="b">
        <f>TrafficData[[#This Row],[pendingAmount]]+TrafficData[[#This Row],[disposedAmount]]=TrafficData[[#This Row],[totalAmount]]</f>
        <v>1</v>
      </c>
      <c r="M4048" t="b">
        <f>TrafficData[[#This Row],[pendingCourt]]+TrafficData[[#This Row],[disposedCourt]]=TrafficData[[#This Row],[totalCourt]]</f>
        <v>1</v>
      </c>
      <c r="N4048" t="b">
        <f>AND(TrafficData[[#This Row],[disposedChallan]]&lt;=TrafficData[[#This Row],[totalChallan]],TrafficData[[#This Row],[pendingChallan]]&lt;=TrafficData[[#This Row],[totalChallan]])</f>
        <v>1</v>
      </c>
      <c r="O4048" t="b">
        <f>AND(TrafficData[[#This Row],[pendingAmount]]&lt;=TrafficData[[#This Row],[totalAmount]],TrafficData[[#This Row],[disposedAmount]]&lt;=TrafficData[[#This Row],[totalAmount]])</f>
        <v>1</v>
      </c>
      <c r="P4048" t="b">
        <f>AND(TrafficData[[#This Row],[pendingCourt]]&lt;=TrafficData[[#This Row],[totalCourt]],TrafficData[[#This Row],[disposedCourt]]&lt;=TrafficData[[#This Row],[totalCourt]])</f>
        <v>1</v>
      </c>
    </row>
    <row r="4049" spans="1:16">
      <c r="A4049" s="1">
        <v>46053</v>
      </c>
      <c r="B4049">
        <v>253134</v>
      </c>
      <c r="C4049">
        <v>38090</v>
      </c>
      <c r="D4049">
        <v>215044</v>
      </c>
      <c r="E4049">
        <v>408853455</v>
      </c>
      <c r="F4049">
        <v>51144369</v>
      </c>
      <c r="G4049">
        <v>459997824</v>
      </c>
      <c r="H4049">
        <v>16837</v>
      </c>
      <c r="I4049">
        <v>377</v>
      </c>
      <c r="J4049">
        <v>17214</v>
      </c>
      <c r="K4049" t="b">
        <f>TrafficData[[#This Row],[disposedChallan]]+TrafficData[[#This Row],[pendingChallan]]=TrafficData[[#This Row],[totalChallan]]</f>
        <v>1</v>
      </c>
      <c r="L4049" t="b">
        <f>TrafficData[[#This Row],[pendingAmount]]+TrafficData[[#This Row],[disposedAmount]]=TrafficData[[#This Row],[totalAmount]]</f>
        <v>1</v>
      </c>
      <c r="M4049" t="b">
        <f>TrafficData[[#This Row],[pendingCourt]]+TrafficData[[#This Row],[disposedCourt]]=TrafficData[[#This Row],[totalCourt]]</f>
        <v>1</v>
      </c>
      <c r="N4049" t="b">
        <f>AND(TrafficData[[#This Row],[disposedChallan]]&lt;=TrafficData[[#This Row],[totalChallan]],TrafficData[[#This Row],[pendingChallan]]&lt;=TrafficData[[#This Row],[totalChallan]])</f>
        <v>1</v>
      </c>
      <c r="O4049" t="b">
        <f>AND(TrafficData[[#This Row],[pendingAmount]]&lt;=TrafficData[[#This Row],[totalAmount]],TrafficData[[#This Row],[disposedAmount]]&lt;=TrafficData[[#This Row],[totalAmount]])</f>
        <v>1</v>
      </c>
      <c r="P4049" t="b">
        <f>AND(TrafficData[[#This Row],[pendingCourt]]&lt;=TrafficData[[#This Row],[totalCourt]],TrafficData[[#This Row],[disposedCourt]]&lt;=TrafficData[[#This Row],[totalCourt]])</f>
        <v>1</v>
      </c>
    </row>
    <row r="4050" spans="1:16">
      <c r="A4050" s="1">
        <v>46054</v>
      </c>
      <c r="B4050">
        <v>224412</v>
      </c>
      <c r="C4050">
        <v>31372</v>
      </c>
      <c r="D4050">
        <v>193040</v>
      </c>
      <c r="E4050">
        <v>348526648</v>
      </c>
      <c r="F4050">
        <v>48097659</v>
      </c>
      <c r="G4050">
        <v>396624307</v>
      </c>
      <c r="H4050">
        <v>16179</v>
      </c>
      <c r="I4050">
        <v>294</v>
      </c>
      <c r="J4050">
        <v>16473</v>
      </c>
      <c r="K4050" t="b">
        <f>TrafficData[[#This Row],[disposedChallan]]+TrafficData[[#This Row],[pendingChallan]]=TrafficData[[#This Row],[totalChallan]]</f>
        <v>1</v>
      </c>
      <c r="L4050" t="b">
        <f>TrafficData[[#This Row],[pendingAmount]]+TrafficData[[#This Row],[disposedAmount]]=TrafficData[[#This Row],[totalAmount]]</f>
        <v>1</v>
      </c>
      <c r="M4050" t="b">
        <f>TrafficData[[#This Row],[pendingCourt]]+TrafficData[[#This Row],[disposedCourt]]=TrafficData[[#This Row],[totalCourt]]</f>
        <v>1</v>
      </c>
      <c r="N4050" t="b">
        <f>AND(TrafficData[[#This Row],[disposedChallan]]&lt;=TrafficData[[#This Row],[totalChallan]],TrafficData[[#This Row],[pendingChallan]]&lt;=TrafficData[[#This Row],[totalChallan]])</f>
        <v>1</v>
      </c>
      <c r="O4050" t="b">
        <f>AND(TrafficData[[#This Row],[pendingAmount]]&lt;=TrafficData[[#This Row],[totalAmount]],TrafficData[[#This Row],[disposedAmount]]&lt;=TrafficData[[#This Row],[totalAmount]])</f>
        <v>1</v>
      </c>
      <c r="P4050" t="b">
        <f>AND(TrafficData[[#This Row],[pendingCourt]]&lt;=TrafficData[[#This Row],[totalCourt]],TrafficData[[#This Row],[disposedCourt]]&lt;=TrafficData[[#This Row],[totalCourt]])</f>
        <v>1</v>
      </c>
    </row>
    <row r="4051" spans="1:16">
      <c r="A4051" s="1">
        <v>46055</v>
      </c>
      <c r="B4051">
        <v>262525</v>
      </c>
      <c r="C4051">
        <v>38884</v>
      </c>
      <c r="D4051">
        <v>223641</v>
      </c>
      <c r="E4051">
        <v>440925959</v>
      </c>
      <c r="F4051">
        <v>79833695</v>
      </c>
      <c r="G4051">
        <v>520759654</v>
      </c>
      <c r="H4051">
        <v>20824</v>
      </c>
      <c r="I4051">
        <v>257</v>
      </c>
      <c r="J4051">
        <v>21081</v>
      </c>
      <c r="K4051" t="b">
        <f>TrafficData[[#This Row],[disposedChallan]]+TrafficData[[#This Row],[pendingChallan]]=TrafficData[[#This Row],[totalChallan]]</f>
        <v>1</v>
      </c>
      <c r="L4051" t="b">
        <f>TrafficData[[#This Row],[pendingAmount]]+TrafficData[[#This Row],[disposedAmount]]=TrafficData[[#This Row],[totalAmount]]</f>
        <v>1</v>
      </c>
      <c r="M4051" t="b">
        <f>TrafficData[[#This Row],[pendingCourt]]+TrafficData[[#This Row],[disposedCourt]]=TrafficData[[#This Row],[totalCourt]]</f>
        <v>1</v>
      </c>
      <c r="N4051" t="b">
        <f>AND(TrafficData[[#This Row],[disposedChallan]]&lt;=TrafficData[[#This Row],[totalChallan]],TrafficData[[#This Row],[pendingChallan]]&lt;=TrafficData[[#This Row],[totalChallan]])</f>
        <v>1</v>
      </c>
      <c r="O4051" t="b">
        <f>AND(TrafficData[[#This Row],[pendingAmount]]&lt;=TrafficData[[#This Row],[totalAmount]],TrafficData[[#This Row],[disposedAmount]]&lt;=TrafficData[[#This Row],[totalAmount]])</f>
        <v>1</v>
      </c>
      <c r="P4051" t="b">
        <f>AND(TrafficData[[#This Row],[pendingCourt]]&lt;=TrafficData[[#This Row],[totalCourt]],TrafficData[[#This Row],[disposedCourt]]&lt;=TrafficData[[#This Row],[totalCourt]])</f>
        <v>1</v>
      </c>
    </row>
    <row r="4052" spans="1:16">
      <c r="A4052" s="1">
        <v>46056</v>
      </c>
      <c r="B4052">
        <v>266069</v>
      </c>
      <c r="C4052">
        <v>38259</v>
      </c>
      <c r="D4052">
        <v>227810</v>
      </c>
      <c r="E4052">
        <v>449894967</v>
      </c>
      <c r="F4052">
        <v>88118089</v>
      </c>
      <c r="G4052">
        <v>538013056</v>
      </c>
      <c r="H4052">
        <v>22078</v>
      </c>
      <c r="I4052">
        <v>285</v>
      </c>
      <c r="J4052">
        <v>22363</v>
      </c>
      <c r="K4052" t="b">
        <f>TrafficData[[#This Row],[disposedChallan]]+TrafficData[[#This Row],[pendingChallan]]=TrafficData[[#This Row],[totalChallan]]</f>
        <v>1</v>
      </c>
      <c r="L4052" t="b">
        <f>TrafficData[[#This Row],[pendingAmount]]+TrafficData[[#This Row],[disposedAmount]]=TrafficData[[#This Row],[totalAmount]]</f>
        <v>1</v>
      </c>
      <c r="M4052" t="b">
        <f>TrafficData[[#This Row],[pendingCourt]]+TrafficData[[#This Row],[disposedCourt]]=TrafficData[[#This Row],[totalCourt]]</f>
        <v>1</v>
      </c>
      <c r="N4052" t="b">
        <f>AND(TrafficData[[#This Row],[disposedChallan]]&lt;=TrafficData[[#This Row],[totalChallan]],TrafficData[[#This Row],[pendingChallan]]&lt;=TrafficData[[#This Row],[totalChallan]])</f>
        <v>1</v>
      </c>
      <c r="O4052" t="b">
        <f>AND(TrafficData[[#This Row],[pendingAmount]]&lt;=TrafficData[[#This Row],[totalAmount]],TrafficData[[#This Row],[disposedAmount]]&lt;=TrafficData[[#This Row],[totalAmount]])</f>
        <v>1</v>
      </c>
      <c r="P4052" t="b">
        <f>AND(TrafficData[[#This Row],[pendingCourt]]&lt;=TrafficData[[#This Row],[totalCourt]],TrafficData[[#This Row],[disposedCourt]]&lt;=TrafficData[[#This Row],[totalCourt]])</f>
        <v>1</v>
      </c>
    </row>
    <row r="4053" spans="1:16">
      <c r="A4053" s="1">
        <v>46057</v>
      </c>
      <c r="B4053">
        <v>268438</v>
      </c>
      <c r="C4053">
        <v>36725</v>
      </c>
      <c r="D4053">
        <v>231713</v>
      </c>
      <c r="E4053">
        <v>453592893</v>
      </c>
      <c r="F4053">
        <v>81669231</v>
      </c>
      <c r="G4053">
        <v>535262124</v>
      </c>
      <c r="H4053">
        <v>20679</v>
      </c>
      <c r="I4053">
        <v>286</v>
      </c>
      <c r="J4053">
        <v>20965</v>
      </c>
      <c r="K4053" t="b">
        <f>TrafficData[[#This Row],[disposedChallan]]+TrafficData[[#This Row],[pendingChallan]]=TrafficData[[#This Row],[totalChallan]]</f>
        <v>1</v>
      </c>
      <c r="L4053" t="b">
        <f>TrafficData[[#This Row],[pendingAmount]]+TrafficData[[#This Row],[disposedAmount]]=TrafficData[[#This Row],[totalAmount]]</f>
        <v>1</v>
      </c>
      <c r="M4053" t="b">
        <f>TrafficData[[#This Row],[pendingCourt]]+TrafficData[[#This Row],[disposedCourt]]=TrafficData[[#This Row],[totalCourt]]</f>
        <v>1</v>
      </c>
      <c r="N4053" t="b">
        <f>AND(TrafficData[[#This Row],[disposedChallan]]&lt;=TrafficData[[#This Row],[totalChallan]],TrafficData[[#This Row],[pendingChallan]]&lt;=TrafficData[[#This Row],[totalChallan]])</f>
        <v>1</v>
      </c>
      <c r="O4053" t="b">
        <f>AND(TrafficData[[#This Row],[pendingAmount]]&lt;=TrafficData[[#This Row],[totalAmount]],TrafficData[[#This Row],[disposedAmount]]&lt;=TrafficData[[#This Row],[totalAmount]])</f>
        <v>1</v>
      </c>
      <c r="P4053" t="b">
        <f>AND(TrafficData[[#This Row],[pendingCourt]]&lt;=TrafficData[[#This Row],[totalCourt]],TrafficData[[#This Row],[disposedCourt]]&lt;=TrafficData[[#This Row],[totalCourt]])</f>
        <v>1</v>
      </c>
    </row>
    <row r="4054" spans="1:16">
      <c r="A4054" s="1">
        <v>46058</v>
      </c>
      <c r="B4054">
        <v>268447</v>
      </c>
      <c r="C4054">
        <v>37351</v>
      </c>
      <c r="D4054">
        <v>231096</v>
      </c>
      <c r="E4054">
        <v>462030965</v>
      </c>
      <c r="F4054">
        <v>86806096</v>
      </c>
      <c r="G4054">
        <v>548837061</v>
      </c>
      <c r="H4054">
        <v>19864</v>
      </c>
      <c r="I4054">
        <v>223</v>
      </c>
      <c r="J4054">
        <v>20087</v>
      </c>
      <c r="K4054" t="b">
        <f>TrafficData[[#This Row],[disposedChallan]]+TrafficData[[#This Row],[pendingChallan]]=TrafficData[[#This Row],[totalChallan]]</f>
        <v>1</v>
      </c>
      <c r="L4054" t="b">
        <f>TrafficData[[#This Row],[pendingAmount]]+TrafficData[[#This Row],[disposedAmount]]=TrafficData[[#This Row],[totalAmount]]</f>
        <v>1</v>
      </c>
      <c r="M4054" t="b">
        <f>TrafficData[[#This Row],[pendingCourt]]+TrafficData[[#This Row],[disposedCourt]]=TrafficData[[#This Row],[totalCourt]]</f>
        <v>1</v>
      </c>
      <c r="N4054" t="b">
        <f>AND(TrafficData[[#This Row],[disposedChallan]]&lt;=TrafficData[[#This Row],[totalChallan]],TrafficData[[#This Row],[pendingChallan]]&lt;=TrafficData[[#This Row],[totalChallan]])</f>
        <v>1</v>
      </c>
      <c r="O4054" t="b">
        <f>AND(TrafficData[[#This Row],[pendingAmount]]&lt;=TrafficData[[#This Row],[totalAmount]],TrafficData[[#This Row],[disposedAmount]]&lt;=TrafficData[[#This Row],[totalAmount]])</f>
        <v>1</v>
      </c>
      <c r="P4054" t="b">
        <f>AND(TrafficData[[#This Row],[pendingCourt]]&lt;=TrafficData[[#This Row],[totalCourt]],TrafficData[[#This Row],[disposedCourt]]&lt;=TrafficData[[#This Row],[totalCourt]])</f>
        <v>1</v>
      </c>
    </row>
    <row r="4055" spans="1:16">
      <c r="A4055" s="1">
        <v>46059</v>
      </c>
      <c r="B4055">
        <v>256490</v>
      </c>
      <c r="C4055">
        <v>34604</v>
      </c>
      <c r="D4055">
        <v>221886</v>
      </c>
      <c r="E4055">
        <v>437436457</v>
      </c>
      <c r="F4055">
        <v>82065754</v>
      </c>
      <c r="G4055">
        <v>519502211</v>
      </c>
      <c r="H4055">
        <v>19800</v>
      </c>
      <c r="I4055">
        <v>176</v>
      </c>
      <c r="J4055">
        <v>19976</v>
      </c>
      <c r="K4055" t="b">
        <f>TrafficData[[#This Row],[disposedChallan]]+TrafficData[[#This Row],[pendingChallan]]=TrafficData[[#This Row],[totalChallan]]</f>
        <v>1</v>
      </c>
      <c r="L4055" t="b">
        <f>TrafficData[[#This Row],[pendingAmount]]+TrafficData[[#This Row],[disposedAmount]]=TrafficData[[#This Row],[totalAmount]]</f>
        <v>1</v>
      </c>
      <c r="M4055" t="b">
        <f>TrafficData[[#This Row],[pendingCourt]]+TrafficData[[#This Row],[disposedCourt]]=TrafficData[[#This Row],[totalCourt]]</f>
        <v>1</v>
      </c>
      <c r="N4055" t="b">
        <f>AND(TrafficData[[#This Row],[disposedChallan]]&lt;=TrafficData[[#This Row],[totalChallan]],TrafficData[[#This Row],[pendingChallan]]&lt;=TrafficData[[#This Row],[totalChallan]])</f>
        <v>1</v>
      </c>
      <c r="O4055" t="b">
        <f>AND(TrafficData[[#This Row],[pendingAmount]]&lt;=TrafficData[[#This Row],[totalAmount]],TrafficData[[#This Row],[disposedAmount]]&lt;=TrafficData[[#This Row],[totalAmount]])</f>
        <v>1</v>
      </c>
      <c r="P4055" t="b">
        <f>AND(TrafficData[[#This Row],[pendingCourt]]&lt;=TrafficData[[#This Row],[totalCourt]],TrafficData[[#This Row],[disposedCourt]]&lt;=TrafficData[[#This Row],[totalCourt]])</f>
        <v>1</v>
      </c>
    </row>
    <row r="4056" spans="1:16">
      <c r="A4056" s="1">
        <v>46060</v>
      </c>
      <c r="B4056">
        <v>252749</v>
      </c>
      <c r="C4056">
        <v>35620</v>
      </c>
      <c r="D4056">
        <v>217129</v>
      </c>
      <c r="E4056">
        <v>423543508</v>
      </c>
      <c r="F4056">
        <v>70864741</v>
      </c>
      <c r="G4056">
        <v>494408249</v>
      </c>
      <c r="H4056">
        <v>18328</v>
      </c>
      <c r="I4056">
        <v>215</v>
      </c>
      <c r="J4056">
        <v>18543</v>
      </c>
      <c r="K4056" t="b">
        <f>TrafficData[[#This Row],[disposedChallan]]+TrafficData[[#This Row],[pendingChallan]]=TrafficData[[#This Row],[totalChallan]]</f>
        <v>1</v>
      </c>
      <c r="L4056" t="b">
        <f>TrafficData[[#This Row],[pendingAmount]]+TrafficData[[#This Row],[disposedAmount]]=TrafficData[[#This Row],[totalAmount]]</f>
        <v>1</v>
      </c>
      <c r="M4056" t="b">
        <f>TrafficData[[#This Row],[pendingCourt]]+TrafficData[[#This Row],[disposedCourt]]=TrafficData[[#This Row],[totalCourt]]</f>
        <v>1</v>
      </c>
      <c r="N4056" t="b">
        <f>AND(TrafficData[[#This Row],[disposedChallan]]&lt;=TrafficData[[#This Row],[totalChallan]],TrafficData[[#This Row],[pendingChallan]]&lt;=TrafficData[[#This Row],[totalChallan]])</f>
        <v>1</v>
      </c>
      <c r="O4056" t="b">
        <f>AND(TrafficData[[#This Row],[pendingAmount]]&lt;=TrafficData[[#This Row],[totalAmount]],TrafficData[[#This Row],[disposedAmount]]&lt;=TrafficData[[#This Row],[totalAmount]])</f>
        <v>1</v>
      </c>
      <c r="P4056" t="b">
        <f>AND(TrafficData[[#This Row],[pendingCourt]]&lt;=TrafficData[[#This Row],[totalCourt]],TrafficData[[#This Row],[disposedCourt]]&lt;=TrafficData[[#This Row],[totalCourt]])</f>
        <v>1</v>
      </c>
    </row>
    <row r="4057" spans="1:16">
      <c r="A4057" s="1">
        <v>46061</v>
      </c>
      <c r="B4057">
        <v>221014</v>
      </c>
      <c r="C4057">
        <v>28665</v>
      </c>
      <c r="D4057">
        <v>192349</v>
      </c>
      <c r="E4057">
        <v>349366595</v>
      </c>
      <c r="F4057">
        <v>47593442</v>
      </c>
      <c r="G4057">
        <v>396960037</v>
      </c>
      <c r="H4057">
        <v>14924</v>
      </c>
      <c r="I4057">
        <v>109</v>
      </c>
      <c r="J4057">
        <v>15033</v>
      </c>
      <c r="K4057" t="b">
        <f>TrafficData[[#This Row],[disposedChallan]]+TrafficData[[#This Row],[pendingChallan]]=TrafficData[[#This Row],[totalChallan]]</f>
        <v>1</v>
      </c>
      <c r="L4057" t="b">
        <f>TrafficData[[#This Row],[pendingAmount]]+TrafficData[[#This Row],[disposedAmount]]=TrafficData[[#This Row],[totalAmount]]</f>
        <v>1</v>
      </c>
      <c r="M4057" t="b">
        <f>TrafficData[[#This Row],[pendingCourt]]+TrafficData[[#This Row],[disposedCourt]]=TrafficData[[#This Row],[totalCourt]]</f>
        <v>1</v>
      </c>
      <c r="N4057" t="b">
        <f>AND(TrafficData[[#This Row],[disposedChallan]]&lt;=TrafficData[[#This Row],[totalChallan]],TrafficData[[#This Row],[pendingChallan]]&lt;=TrafficData[[#This Row],[totalChallan]])</f>
        <v>1</v>
      </c>
      <c r="O4057" t="b">
        <f>AND(TrafficData[[#This Row],[pendingAmount]]&lt;=TrafficData[[#This Row],[totalAmount]],TrafficData[[#This Row],[disposedAmount]]&lt;=TrafficData[[#This Row],[totalAmount]])</f>
        <v>1</v>
      </c>
      <c r="P4057" t="b">
        <f>AND(TrafficData[[#This Row],[pendingCourt]]&lt;=TrafficData[[#This Row],[totalCourt]],TrafficData[[#This Row],[disposedCourt]]&lt;=TrafficData[[#This Row],[totalCourt]])</f>
        <v>1</v>
      </c>
    </row>
    <row r="4058" spans="1:16">
      <c r="A4058" s="1">
        <v>46062</v>
      </c>
      <c r="B4058">
        <v>242251</v>
      </c>
      <c r="C4058">
        <v>33045</v>
      </c>
      <c r="D4058">
        <v>209206</v>
      </c>
      <c r="E4058">
        <v>399248914</v>
      </c>
      <c r="F4058">
        <v>72117659</v>
      </c>
      <c r="G4058">
        <v>471366573</v>
      </c>
      <c r="H4058">
        <v>13240</v>
      </c>
      <c r="I4058">
        <v>107</v>
      </c>
      <c r="J4058">
        <v>13347</v>
      </c>
      <c r="K4058" t="b">
        <f>TrafficData[[#This Row],[disposedChallan]]+TrafficData[[#This Row],[pendingChallan]]=TrafficData[[#This Row],[totalChallan]]</f>
        <v>1</v>
      </c>
      <c r="L4058" t="b">
        <f>TrafficData[[#This Row],[pendingAmount]]+TrafficData[[#This Row],[disposedAmount]]=TrafficData[[#This Row],[totalAmount]]</f>
        <v>1</v>
      </c>
      <c r="M4058" t="b">
        <f>TrafficData[[#This Row],[pendingCourt]]+TrafficData[[#This Row],[disposedCourt]]=TrafficData[[#This Row],[totalCourt]]</f>
        <v>1</v>
      </c>
      <c r="N4058" t="b">
        <f>AND(TrafficData[[#This Row],[disposedChallan]]&lt;=TrafficData[[#This Row],[totalChallan]],TrafficData[[#This Row],[pendingChallan]]&lt;=TrafficData[[#This Row],[totalChallan]])</f>
        <v>1</v>
      </c>
      <c r="O4058" t="b">
        <f>AND(TrafficData[[#This Row],[pendingAmount]]&lt;=TrafficData[[#This Row],[totalAmount]],TrafficData[[#This Row],[disposedAmount]]&lt;=TrafficData[[#This Row],[totalAmount]])</f>
        <v>1</v>
      </c>
      <c r="P4058" t="b">
        <f>AND(TrafficData[[#This Row],[pendingCourt]]&lt;=TrafficData[[#This Row],[totalCourt]],TrafficData[[#This Row],[disposedCourt]]&lt;=TrafficData[[#This Row],[totalCourt]])</f>
        <v>1</v>
      </c>
    </row>
    <row r="4059" spans="1:16">
      <c r="A4059" s="1">
        <v>46063</v>
      </c>
      <c r="B4059">
        <v>235459</v>
      </c>
      <c r="C4059">
        <v>30908</v>
      </c>
      <c r="D4059">
        <v>204551</v>
      </c>
      <c r="E4059">
        <v>409291982</v>
      </c>
      <c r="F4059">
        <v>75390316</v>
      </c>
      <c r="G4059">
        <v>484682298</v>
      </c>
      <c r="H4059">
        <v>13867</v>
      </c>
      <c r="I4059">
        <v>86</v>
      </c>
      <c r="J4059">
        <v>13953</v>
      </c>
      <c r="K4059" t="b">
        <f>TrafficData[[#This Row],[disposedChallan]]+TrafficData[[#This Row],[pendingChallan]]=TrafficData[[#This Row],[totalChallan]]</f>
        <v>1</v>
      </c>
      <c r="L4059" t="b">
        <f>TrafficData[[#This Row],[pendingAmount]]+TrafficData[[#This Row],[disposedAmount]]=TrafficData[[#This Row],[totalAmount]]</f>
        <v>1</v>
      </c>
      <c r="M4059" t="b">
        <f>TrafficData[[#This Row],[pendingCourt]]+TrafficData[[#This Row],[disposedCourt]]=TrafficData[[#This Row],[totalCourt]]</f>
        <v>1</v>
      </c>
      <c r="N4059" t="b">
        <f>AND(TrafficData[[#This Row],[disposedChallan]]&lt;=TrafficData[[#This Row],[totalChallan]],TrafficData[[#This Row],[pendingChallan]]&lt;=TrafficData[[#This Row],[totalChallan]])</f>
        <v>1</v>
      </c>
      <c r="O4059" t="b">
        <f>AND(TrafficData[[#This Row],[pendingAmount]]&lt;=TrafficData[[#This Row],[totalAmount]],TrafficData[[#This Row],[disposedAmount]]&lt;=TrafficData[[#This Row],[totalAmount]])</f>
        <v>1</v>
      </c>
      <c r="P4059" t="b">
        <f>AND(TrafficData[[#This Row],[pendingCourt]]&lt;=TrafficData[[#This Row],[totalCourt]],TrafficData[[#This Row],[disposedCourt]]&lt;=TrafficData[[#This Row],[totalCourt]])</f>
        <v>1</v>
      </c>
    </row>
    <row r="4060" spans="1:16">
      <c r="A4060" s="1">
        <v>46064</v>
      </c>
      <c r="B4060">
        <v>234315</v>
      </c>
      <c r="C4060">
        <v>31543</v>
      </c>
      <c r="D4060">
        <v>202772</v>
      </c>
      <c r="E4060">
        <v>405939091</v>
      </c>
      <c r="F4060">
        <v>73253910</v>
      </c>
      <c r="G4060">
        <v>479193001</v>
      </c>
      <c r="H4060">
        <v>13760</v>
      </c>
      <c r="I4060">
        <v>44</v>
      </c>
      <c r="J4060">
        <v>13804</v>
      </c>
      <c r="K4060" t="b">
        <f>TrafficData[[#This Row],[disposedChallan]]+TrafficData[[#This Row],[pendingChallan]]=TrafficData[[#This Row],[totalChallan]]</f>
        <v>1</v>
      </c>
      <c r="L4060" t="b">
        <f>TrafficData[[#This Row],[pendingAmount]]+TrafficData[[#This Row],[disposedAmount]]=TrafficData[[#This Row],[totalAmount]]</f>
        <v>1</v>
      </c>
      <c r="M4060" t="b">
        <f>TrafficData[[#This Row],[pendingCourt]]+TrafficData[[#This Row],[disposedCourt]]=TrafficData[[#This Row],[totalCourt]]</f>
        <v>1</v>
      </c>
      <c r="N4060" t="b">
        <f>AND(TrafficData[[#This Row],[disposedChallan]]&lt;=TrafficData[[#This Row],[totalChallan]],TrafficData[[#This Row],[pendingChallan]]&lt;=TrafficData[[#This Row],[totalChallan]])</f>
        <v>1</v>
      </c>
      <c r="O4060" t="b">
        <f>AND(TrafficData[[#This Row],[pendingAmount]]&lt;=TrafficData[[#This Row],[totalAmount]],TrafficData[[#This Row],[disposedAmount]]&lt;=TrafficData[[#This Row],[totalAmount]])</f>
        <v>1</v>
      </c>
      <c r="P4060" t="b">
        <f>AND(TrafficData[[#This Row],[pendingCourt]]&lt;=TrafficData[[#This Row],[totalCourt]],TrafficData[[#This Row],[disposedCourt]]&lt;=TrafficData[[#This Row],[totalCourt]])</f>
        <v>1</v>
      </c>
    </row>
    <row r="4061" spans="1:16">
      <c r="A4061" s="1">
        <v>46065</v>
      </c>
      <c r="B4061">
        <v>185594</v>
      </c>
      <c r="C4061">
        <v>24278</v>
      </c>
      <c r="D4061">
        <v>161316</v>
      </c>
      <c r="E4061">
        <v>307489891</v>
      </c>
      <c r="F4061">
        <v>54353608</v>
      </c>
      <c r="G4061">
        <v>361843499</v>
      </c>
      <c r="H4061">
        <v>8896</v>
      </c>
      <c r="I4061">
        <v>16</v>
      </c>
      <c r="J4061">
        <v>8912</v>
      </c>
      <c r="K4061" t="b">
        <f>TrafficData[[#This Row],[disposedChallan]]+TrafficData[[#This Row],[pendingChallan]]=TrafficData[[#This Row],[totalChallan]]</f>
        <v>1</v>
      </c>
      <c r="L4061" t="b">
        <f>TrafficData[[#This Row],[pendingAmount]]+TrafficData[[#This Row],[disposedAmount]]=TrafficData[[#This Row],[totalAmount]]</f>
        <v>1</v>
      </c>
      <c r="M4061" t="b">
        <f>TrafficData[[#This Row],[pendingCourt]]+TrafficData[[#This Row],[disposedCourt]]=TrafficData[[#This Row],[totalCourt]]</f>
        <v>1</v>
      </c>
      <c r="N4061" t="b">
        <f>AND(TrafficData[[#This Row],[disposedChallan]]&lt;=TrafficData[[#This Row],[totalChallan]],TrafficData[[#This Row],[pendingChallan]]&lt;=TrafficData[[#This Row],[totalChallan]])</f>
        <v>1</v>
      </c>
      <c r="O4061" t="b">
        <f>AND(TrafficData[[#This Row],[pendingAmount]]&lt;=TrafficData[[#This Row],[totalAmount]],TrafficData[[#This Row],[disposedAmount]]&lt;=TrafficData[[#This Row],[totalAmount]])</f>
        <v>1</v>
      </c>
      <c r="P4061" t="b">
        <f>AND(TrafficData[[#This Row],[pendingCourt]]&lt;=TrafficData[[#This Row],[totalCourt]],TrafficData[[#This Row],[disposedCourt]]&lt;=TrafficData[[#This Row],[totalCourt]])</f>
        <v>1</v>
      </c>
    </row>
    <row r="4062" spans="1:16">
      <c r="A4062" s="1">
        <v>46066</v>
      </c>
      <c r="B4062">
        <v>5990</v>
      </c>
      <c r="C4062">
        <v>81</v>
      </c>
      <c r="D4062">
        <v>5909</v>
      </c>
      <c r="E4062">
        <v>16886196</v>
      </c>
      <c r="F4062">
        <v>113550</v>
      </c>
      <c r="G4062">
        <v>16999746</v>
      </c>
      <c r="H4062">
        <v>30</v>
      </c>
      <c r="I4062">
        <v>0</v>
      </c>
      <c r="J4062">
        <v>30</v>
      </c>
      <c r="K4062" t="b">
        <f>TrafficData[[#This Row],[disposedChallan]]+TrafficData[[#This Row],[pendingChallan]]=TrafficData[[#This Row],[totalChallan]]</f>
        <v>1</v>
      </c>
      <c r="L4062" t="b">
        <f>TrafficData[[#This Row],[pendingAmount]]+TrafficData[[#This Row],[disposedAmount]]=TrafficData[[#This Row],[totalAmount]]</f>
        <v>1</v>
      </c>
      <c r="M4062" t="b">
        <f>TrafficData[[#This Row],[pendingCourt]]+TrafficData[[#This Row],[disposedCourt]]=TrafficData[[#This Row],[totalCourt]]</f>
        <v>1</v>
      </c>
      <c r="N4062" t="b">
        <f>AND(TrafficData[[#This Row],[disposedChallan]]&lt;=TrafficData[[#This Row],[totalChallan]],TrafficData[[#This Row],[pendingChallan]]&lt;=TrafficData[[#This Row],[totalChallan]])</f>
        <v>1</v>
      </c>
      <c r="O4062" t="b">
        <f>AND(TrafficData[[#This Row],[pendingAmount]]&lt;=TrafficData[[#This Row],[totalAmount]],TrafficData[[#This Row],[disposedAmount]]&lt;=TrafficData[[#This Row],[totalAmount]])</f>
        <v>1</v>
      </c>
      <c r="P4062" t="b">
        <f>AND(TrafficData[[#This Row],[pendingCourt]]&lt;=TrafficData[[#This Row],[totalCourt]],TrafficData[[#This Row],[disposedCourt]]&lt;=TrafficData[[#This Row],[totalCourt]])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03DC-B2FA-46C1-99C7-64CD315EFA8B}">
  <dimension ref="A1:E11"/>
  <sheetViews>
    <sheetView showGridLines="0" zoomScale="90" zoomScaleNormal="90" workbookViewId="0">
      <pane ySplit="1" topLeftCell="A2" activePane="bottomLeft" state="frozen"/>
      <selection pane="bottomLeft" activeCell="H4" sqref="H4"/>
    </sheetView>
  </sheetViews>
  <sheetFormatPr defaultRowHeight="14.4"/>
  <cols>
    <col min="1" max="1" width="18.33203125" bestFit="1" customWidth="1"/>
    <col min="2" max="2" width="47.21875" customWidth="1"/>
    <col min="3" max="3" width="16.77734375" bestFit="1" customWidth="1"/>
    <col min="4" max="4" width="13.44140625" bestFit="1" customWidth="1"/>
    <col min="5" max="5" width="63.21875" bestFit="1" customWidth="1"/>
  </cols>
  <sheetData>
    <row r="1" spans="1: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ht="45" customHeight="1">
      <c r="A2" s="24" t="s">
        <v>0</v>
      </c>
      <c r="B2" s="24" t="s">
        <v>15</v>
      </c>
      <c r="C2" s="24" t="s">
        <v>16</v>
      </c>
      <c r="D2" s="28">
        <v>42005</v>
      </c>
      <c r="E2" s="24" t="s">
        <v>34</v>
      </c>
    </row>
    <row r="3" spans="1:5" ht="45" customHeight="1">
      <c r="A3" s="24" t="s">
        <v>1</v>
      </c>
      <c r="B3" s="24" t="s">
        <v>17</v>
      </c>
      <c r="C3" s="24" t="s">
        <v>18</v>
      </c>
      <c r="D3" s="28">
        <v>120</v>
      </c>
      <c r="E3" s="24" t="s">
        <v>35</v>
      </c>
    </row>
    <row r="4" spans="1:5" ht="45" customHeight="1">
      <c r="A4" s="24" t="s">
        <v>2</v>
      </c>
      <c r="B4" s="24" t="s">
        <v>19</v>
      </c>
      <c r="C4" s="24" t="s">
        <v>18</v>
      </c>
      <c r="D4" s="28">
        <v>29</v>
      </c>
      <c r="E4" s="24" t="s">
        <v>36</v>
      </c>
    </row>
    <row r="5" spans="1:5" ht="45" customHeight="1">
      <c r="A5" s="24" t="s">
        <v>3</v>
      </c>
      <c r="B5" s="24" t="s">
        <v>20</v>
      </c>
      <c r="C5" s="24" t="s">
        <v>18</v>
      </c>
      <c r="D5" s="28">
        <v>91</v>
      </c>
      <c r="E5" s="24" t="s">
        <v>37</v>
      </c>
    </row>
    <row r="6" spans="1:5" ht="45" customHeight="1">
      <c r="A6" s="24" t="s">
        <v>4</v>
      </c>
      <c r="B6" s="24" t="s">
        <v>21</v>
      </c>
      <c r="C6" s="24" t="s">
        <v>22</v>
      </c>
      <c r="D6" s="28">
        <v>588600</v>
      </c>
      <c r="E6" s="24" t="s">
        <v>38</v>
      </c>
    </row>
    <row r="7" spans="1:5" ht="45" customHeight="1">
      <c r="A7" s="24" t="s">
        <v>5</v>
      </c>
      <c r="B7" s="24" t="s">
        <v>23</v>
      </c>
      <c r="C7" s="24" t="s">
        <v>22</v>
      </c>
      <c r="D7" s="28">
        <v>116860</v>
      </c>
      <c r="E7" s="24" t="s">
        <v>39</v>
      </c>
    </row>
    <row r="8" spans="1:5" ht="45" customHeight="1">
      <c r="A8" s="24" t="s">
        <v>6</v>
      </c>
      <c r="B8" s="24" t="s">
        <v>24</v>
      </c>
      <c r="C8" s="24" t="s">
        <v>22</v>
      </c>
      <c r="D8" s="28">
        <v>705460</v>
      </c>
      <c r="E8" s="24" t="s">
        <v>40</v>
      </c>
    </row>
    <row r="9" spans="1:5" ht="45" customHeight="1">
      <c r="A9" s="24" t="s">
        <v>7</v>
      </c>
      <c r="B9" s="24" t="s">
        <v>25</v>
      </c>
      <c r="C9" s="24" t="s">
        <v>18</v>
      </c>
      <c r="D9" s="28">
        <v>1</v>
      </c>
      <c r="E9" s="24" t="s">
        <v>41</v>
      </c>
    </row>
    <row r="10" spans="1:5" ht="45" customHeight="1">
      <c r="A10" s="24" t="s">
        <v>8</v>
      </c>
      <c r="B10" s="24" t="s">
        <v>26</v>
      </c>
      <c r="C10" s="24" t="s">
        <v>18</v>
      </c>
      <c r="D10" s="28">
        <v>0</v>
      </c>
      <c r="E10" s="24" t="s">
        <v>42</v>
      </c>
    </row>
    <row r="11" spans="1:5" ht="45" customHeight="1">
      <c r="A11" s="24" t="s">
        <v>9</v>
      </c>
      <c r="B11" s="24" t="s">
        <v>27</v>
      </c>
      <c r="C11" s="24" t="s">
        <v>18</v>
      </c>
      <c r="D11" s="28">
        <v>1</v>
      </c>
      <c r="E11" s="24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C797-6947-49C5-9A5A-AB0E462192B0}">
  <dimension ref="A1:AC114"/>
  <sheetViews>
    <sheetView showGridLines="0" workbookViewId="0">
      <selection activeCell="J23" sqref="J23"/>
    </sheetView>
  </sheetViews>
  <sheetFormatPr defaultRowHeight="14.4"/>
  <cols>
    <col min="1" max="1" width="22.33203125" bestFit="1" customWidth="1"/>
    <col min="2" max="2" width="20.33203125" bestFit="1" customWidth="1"/>
    <col min="5" max="5" width="15.6640625" bestFit="1" customWidth="1"/>
    <col min="6" max="6" width="21.44140625" bestFit="1" customWidth="1"/>
    <col min="7" max="7" width="22.5546875" bestFit="1" customWidth="1"/>
    <col min="8" max="8" width="20.77734375" bestFit="1" customWidth="1"/>
    <col min="9" max="9" width="18.44140625" bestFit="1" customWidth="1"/>
    <col min="10" max="10" width="21.5546875" bestFit="1" customWidth="1"/>
    <col min="11" max="11" width="22.109375" bestFit="1" customWidth="1"/>
    <col min="12" max="12" width="17.21875" bestFit="1" customWidth="1"/>
    <col min="15" max="15" width="54.21875" bestFit="1" customWidth="1"/>
    <col min="16" max="16" width="14.33203125" bestFit="1" customWidth="1"/>
    <col min="17" max="17" width="18.21875" bestFit="1" customWidth="1"/>
    <col min="18" max="18" width="17.21875" bestFit="1" customWidth="1"/>
  </cols>
  <sheetData>
    <row r="1" spans="1:29" ht="33.6">
      <c r="A1" s="31" t="s">
        <v>93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spans="1:29" ht="15.6">
      <c r="Q2" s="7"/>
      <c r="R2" s="7"/>
    </row>
    <row r="3" spans="1:29" ht="21">
      <c r="E3" s="33" t="s">
        <v>84</v>
      </c>
      <c r="F3" s="33"/>
      <c r="G3" s="33"/>
      <c r="H3" s="33"/>
      <c r="I3" s="33"/>
      <c r="J3" s="33"/>
      <c r="K3" s="33"/>
      <c r="O3" s="30" t="s">
        <v>94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9">
      <c r="E4" s="20" t="s">
        <v>64</v>
      </c>
      <c r="F4" t="s">
        <v>78</v>
      </c>
      <c r="G4" t="s">
        <v>79</v>
      </c>
      <c r="H4" t="s">
        <v>80</v>
      </c>
      <c r="I4" t="s">
        <v>81</v>
      </c>
      <c r="J4" t="s">
        <v>83</v>
      </c>
      <c r="K4" t="s">
        <v>82</v>
      </c>
      <c r="R4" s="8"/>
    </row>
    <row r="5" spans="1:29" ht="21">
      <c r="A5" s="32" t="s">
        <v>44</v>
      </c>
      <c r="B5" s="32"/>
      <c r="C5" s="32"/>
      <c r="E5" s="21" t="s">
        <v>66</v>
      </c>
      <c r="F5" s="22">
        <v>112492</v>
      </c>
      <c r="G5">
        <v>14952</v>
      </c>
      <c r="H5">
        <v>97540</v>
      </c>
      <c r="I5">
        <v>274505013</v>
      </c>
      <c r="J5" s="23">
        <v>219092716</v>
      </c>
      <c r="K5" s="23">
        <v>55412297</v>
      </c>
      <c r="P5" s="29" t="s">
        <v>99</v>
      </c>
      <c r="Q5" s="29"/>
      <c r="R5" s="29"/>
      <c r="V5" s="29" t="s">
        <v>100</v>
      </c>
      <c r="W5" s="29"/>
      <c r="X5" s="29"/>
      <c r="Y5" s="29"/>
      <c r="Z5" s="29"/>
    </row>
    <row r="6" spans="1:29" ht="15.6">
      <c r="A6" s="25" t="s">
        <v>45</v>
      </c>
      <c r="B6" s="25" t="s">
        <v>95</v>
      </c>
      <c r="E6" s="21" t="s">
        <v>67</v>
      </c>
      <c r="F6" s="22">
        <v>404445</v>
      </c>
      <c r="G6">
        <v>42776</v>
      </c>
      <c r="H6">
        <v>361669</v>
      </c>
      <c r="I6">
        <v>442931780</v>
      </c>
      <c r="J6" s="23">
        <v>340367847</v>
      </c>
      <c r="K6" s="23">
        <v>102563933</v>
      </c>
    </row>
    <row r="7" spans="1:29" ht="15.6">
      <c r="A7" s="26" t="s">
        <v>47</v>
      </c>
      <c r="B7" s="27">
        <v>4061</v>
      </c>
      <c r="E7" s="21" t="s">
        <v>68</v>
      </c>
      <c r="F7" s="22">
        <v>593048</v>
      </c>
      <c r="G7">
        <v>289394</v>
      </c>
      <c r="H7">
        <v>303654</v>
      </c>
      <c r="I7">
        <v>1757967913</v>
      </c>
      <c r="J7" s="23">
        <v>584287433</v>
      </c>
      <c r="K7" s="23">
        <v>1173680480</v>
      </c>
    </row>
    <row r="8" spans="1:29" ht="15.6">
      <c r="A8" s="26" t="s">
        <v>48</v>
      </c>
      <c r="B8" s="27">
        <v>416513606</v>
      </c>
      <c r="E8" s="21" t="s">
        <v>69</v>
      </c>
      <c r="F8" s="22">
        <v>4317842</v>
      </c>
      <c r="G8">
        <v>3366850</v>
      </c>
      <c r="H8">
        <v>950992</v>
      </c>
      <c r="I8">
        <v>8702586933</v>
      </c>
      <c r="J8" s="23">
        <v>2016267241</v>
      </c>
      <c r="K8" s="23">
        <v>6686319692</v>
      </c>
    </row>
    <row r="9" spans="1:29" ht="15.6">
      <c r="A9" s="26" t="s">
        <v>49</v>
      </c>
      <c r="B9" s="27">
        <v>159154225</v>
      </c>
      <c r="E9" s="21" t="s">
        <v>70</v>
      </c>
      <c r="F9" s="22">
        <v>20628507</v>
      </c>
      <c r="G9">
        <v>13441022</v>
      </c>
      <c r="H9">
        <v>7187485</v>
      </c>
      <c r="I9">
        <v>19851997107</v>
      </c>
      <c r="J9" s="23">
        <v>4264870093</v>
      </c>
      <c r="K9" s="23">
        <v>15587127014</v>
      </c>
    </row>
    <row r="10" spans="1:29" ht="15.6">
      <c r="A10" s="26" t="s">
        <v>50</v>
      </c>
      <c r="B10" s="27">
        <v>257359381</v>
      </c>
      <c r="E10" s="21" t="s">
        <v>71</v>
      </c>
      <c r="F10" s="22">
        <v>41190446</v>
      </c>
      <c r="G10">
        <v>18689557</v>
      </c>
      <c r="H10">
        <v>22500889</v>
      </c>
      <c r="I10">
        <v>41135235485</v>
      </c>
      <c r="J10" s="23">
        <v>21050666729</v>
      </c>
      <c r="K10" s="23">
        <v>20084568756</v>
      </c>
    </row>
    <row r="11" spans="1:29" ht="15.6">
      <c r="A11" s="26" t="s">
        <v>51</v>
      </c>
      <c r="B11" s="25" t="s">
        <v>96</v>
      </c>
      <c r="E11" s="21" t="s">
        <v>72</v>
      </c>
      <c r="F11" s="22">
        <v>42401371</v>
      </c>
      <c r="G11">
        <v>20597664</v>
      </c>
      <c r="H11">
        <v>21803707</v>
      </c>
      <c r="I11">
        <v>50365081755</v>
      </c>
      <c r="J11" s="23">
        <v>24409206177</v>
      </c>
      <c r="K11" s="23">
        <v>25955875578</v>
      </c>
    </row>
    <row r="12" spans="1:29" ht="15.6">
      <c r="A12" s="26" t="s">
        <v>52</v>
      </c>
      <c r="B12" s="25" t="s">
        <v>97</v>
      </c>
      <c r="E12" s="21" t="s">
        <v>73</v>
      </c>
      <c r="F12" s="22">
        <v>47649749</v>
      </c>
      <c r="G12">
        <v>23999582</v>
      </c>
      <c r="H12">
        <v>23650167</v>
      </c>
      <c r="I12">
        <v>72718986864</v>
      </c>
      <c r="J12" s="23">
        <v>36057961570</v>
      </c>
      <c r="K12" s="23">
        <v>36661025294</v>
      </c>
    </row>
    <row r="13" spans="1:29" ht="15.6">
      <c r="A13" s="26" t="s">
        <v>53</v>
      </c>
      <c r="B13" s="25" t="s">
        <v>98</v>
      </c>
      <c r="E13" s="21" t="s">
        <v>74</v>
      </c>
      <c r="F13" s="22">
        <v>67911658</v>
      </c>
      <c r="G13">
        <v>27837346</v>
      </c>
      <c r="H13">
        <v>40074312</v>
      </c>
      <c r="I13">
        <v>107652904030</v>
      </c>
      <c r="J13" s="23">
        <v>65165178521</v>
      </c>
      <c r="K13" s="23">
        <v>42487725509</v>
      </c>
    </row>
    <row r="14" spans="1:29" ht="15.6">
      <c r="A14" s="26" t="s">
        <v>54</v>
      </c>
      <c r="B14" s="27">
        <v>150671674</v>
      </c>
      <c r="E14" s="21" t="s">
        <v>75</v>
      </c>
      <c r="F14" s="22">
        <v>81892378</v>
      </c>
      <c r="G14">
        <v>26316839</v>
      </c>
      <c r="H14">
        <v>55575539</v>
      </c>
      <c r="I14">
        <v>128768546344</v>
      </c>
      <c r="J14" s="23">
        <v>88702822632</v>
      </c>
      <c r="K14" s="23">
        <v>40065723712</v>
      </c>
    </row>
    <row r="15" spans="1:29" ht="15.6">
      <c r="A15" s="26" t="s">
        <v>55</v>
      </c>
      <c r="B15" s="27">
        <v>22594442</v>
      </c>
      <c r="E15" s="21" t="s">
        <v>76</v>
      </c>
      <c r="F15" s="22">
        <v>97884423</v>
      </c>
      <c r="G15">
        <v>22955259</v>
      </c>
      <c r="H15">
        <v>74929164</v>
      </c>
      <c r="I15">
        <v>182009985610</v>
      </c>
      <c r="J15" s="23">
        <v>144158997231</v>
      </c>
      <c r="K15" s="23">
        <v>37850988379</v>
      </c>
    </row>
    <row r="16" spans="1:29" ht="15.6">
      <c r="A16" s="26" t="s">
        <v>56</v>
      </c>
      <c r="B16" s="27">
        <v>128077232</v>
      </c>
      <c r="E16" s="21" t="s">
        <v>77</v>
      </c>
      <c r="F16" s="22">
        <v>11527247</v>
      </c>
      <c r="G16">
        <v>1602984</v>
      </c>
      <c r="H16">
        <v>9924263</v>
      </c>
      <c r="I16">
        <v>22035216563</v>
      </c>
      <c r="J16" s="23">
        <v>19056295705</v>
      </c>
      <c r="K16" s="23">
        <v>2978920858</v>
      </c>
    </row>
    <row r="17" spans="1:26">
      <c r="E17" s="21" t="s">
        <v>65</v>
      </c>
      <c r="F17" s="22">
        <v>416513606</v>
      </c>
      <c r="G17">
        <v>159154225</v>
      </c>
      <c r="H17">
        <v>257359381</v>
      </c>
      <c r="I17" s="23">
        <v>635715945397</v>
      </c>
      <c r="J17" s="23">
        <v>406026013895</v>
      </c>
      <c r="K17" s="23">
        <v>229689931502</v>
      </c>
    </row>
    <row r="19" spans="1:26" ht="15.6">
      <c r="A19" s="9" t="s">
        <v>57</v>
      </c>
      <c r="B19" s="12" t="s">
        <v>46</v>
      </c>
      <c r="E19" s="13" t="s">
        <v>85</v>
      </c>
      <c r="F19" s="13" t="s">
        <v>48</v>
      </c>
      <c r="G19" s="13" t="s">
        <v>49</v>
      </c>
      <c r="H19" s="13" t="s">
        <v>50</v>
      </c>
    </row>
    <row r="20" spans="1:26">
      <c r="A20" s="10" t="s">
        <v>58</v>
      </c>
      <c r="B20" s="11">
        <f>SUM(TrafficData[disposedChallan])/SUM(TrafficData[totalChallan])</f>
        <v>0.38211050661331819</v>
      </c>
      <c r="E20" s="10">
        <v>2015</v>
      </c>
      <c r="F20" s="10">
        <v>112492</v>
      </c>
      <c r="G20" s="10">
        <v>14952</v>
      </c>
      <c r="H20" s="10">
        <v>97540</v>
      </c>
    </row>
    <row r="21" spans="1:26" ht="15.6">
      <c r="A21" s="10" t="s">
        <v>59</v>
      </c>
      <c r="B21" s="11">
        <f>SUM(TrafficData[pendingChallan])/SUM(TrafficData[totalChallan])</f>
        <v>0.61788949338668187</v>
      </c>
      <c r="E21" s="10">
        <v>2016</v>
      </c>
      <c r="F21" s="10">
        <v>404445</v>
      </c>
      <c r="G21" s="10">
        <v>42776</v>
      </c>
      <c r="H21" s="10">
        <v>361669</v>
      </c>
      <c r="P21" s="29" t="s">
        <v>101</v>
      </c>
      <c r="Q21" s="29"/>
      <c r="R21" s="29"/>
      <c r="V21" s="29" t="s">
        <v>102</v>
      </c>
      <c r="W21" s="29"/>
      <c r="X21" s="29"/>
      <c r="Y21" s="29"/>
      <c r="Z21" s="29"/>
    </row>
    <row r="22" spans="1:26">
      <c r="A22" s="10" t="s">
        <v>60</v>
      </c>
      <c r="B22" s="11">
        <f>SUM(TrafficData[disposedAmount])/SUM(TrafficData[totalAmount])</f>
        <v>0.36130906132700558</v>
      </c>
      <c r="E22" s="10">
        <v>2017</v>
      </c>
      <c r="F22" s="10">
        <v>593048</v>
      </c>
      <c r="G22" s="10">
        <v>289394</v>
      </c>
      <c r="H22" s="10">
        <v>303654</v>
      </c>
    </row>
    <row r="23" spans="1:26">
      <c r="A23" s="10" t="s">
        <v>61</v>
      </c>
      <c r="B23" s="11">
        <f>SUM(TrafficData[pendingAmount])/SUM(TrafficData[totalAmount])</f>
        <v>0.63869093867299442</v>
      </c>
      <c r="E23" s="10">
        <v>2018</v>
      </c>
      <c r="F23" s="10">
        <v>4317842</v>
      </c>
      <c r="G23" s="10">
        <v>3366850</v>
      </c>
      <c r="H23" s="10">
        <v>950992</v>
      </c>
    </row>
    <row r="24" spans="1:26">
      <c r="A24" s="10" t="s">
        <v>62</v>
      </c>
      <c r="B24" s="11">
        <f>SUM(TrafficData[disposedCourt])/SUM(TrafficData[totalCourt])</f>
        <v>0.14995812683411217</v>
      </c>
      <c r="E24" s="10">
        <v>2019</v>
      </c>
      <c r="F24" s="10">
        <v>20628507</v>
      </c>
      <c r="G24" s="10">
        <v>13441022</v>
      </c>
      <c r="H24" s="10">
        <v>7187485</v>
      </c>
    </row>
    <row r="25" spans="1:26">
      <c r="A25" s="10" t="s">
        <v>63</v>
      </c>
      <c r="B25" s="11">
        <f>SUM(TrafficData[pendingCourt])/SUM(TrafficData[totalCourt])</f>
        <v>0.85004187316588786</v>
      </c>
      <c r="E25" s="10">
        <v>2020</v>
      </c>
      <c r="F25" s="10">
        <v>41190446</v>
      </c>
      <c r="G25" s="10">
        <v>18689557</v>
      </c>
      <c r="H25" s="10">
        <v>22500889</v>
      </c>
    </row>
    <row r="26" spans="1:26">
      <c r="E26" s="10">
        <v>2021</v>
      </c>
      <c r="F26" s="10">
        <v>42401371</v>
      </c>
      <c r="G26" s="10">
        <v>20597664</v>
      </c>
      <c r="H26" s="10">
        <v>21803707</v>
      </c>
    </row>
    <row r="27" spans="1:26">
      <c r="E27" s="10">
        <v>2022</v>
      </c>
      <c r="F27" s="10">
        <v>47649749</v>
      </c>
      <c r="G27" s="10">
        <v>23999582</v>
      </c>
      <c r="H27" s="10">
        <v>23650167</v>
      </c>
    </row>
    <row r="28" spans="1:26">
      <c r="E28" s="10">
        <v>2023</v>
      </c>
      <c r="F28" s="10">
        <v>67911658</v>
      </c>
      <c r="G28" s="10">
        <v>27837346</v>
      </c>
      <c r="H28" s="10">
        <v>40074312</v>
      </c>
    </row>
    <row r="29" spans="1:26">
      <c r="E29" s="10">
        <v>2024</v>
      </c>
      <c r="F29" s="10">
        <v>81892378</v>
      </c>
      <c r="G29" s="10">
        <v>26316839</v>
      </c>
      <c r="H29" s="10">
        <v>55575539</v>
      </c>
    </row>
    <row r="30" spans="1:26">
      <c r="E30" s="10">
        <v>2025</v>
      </c>
      <c r="F30" s="10">
        <v>97884423</v>
      </c>
      <c r="G30" s="10">
        <v>22955259</v>
      </c>
      <c r="H30" s="10">
        <v>74929164</v>
      </c>
    </row>
    <row r="31" spans="1:26">
      <c r="E31" s="10">
        <v>2026</v>
      </c>
      <c r="F31" s="10">
        <v>11527247</v>
      </c>
      <c r="G31" s="10">
        <v>1602984</v>
      </c>
      <c r="H31" s="10">
        <v>9924263</v>
      </c>
    </row>
    <row r="33" spans="5:27" ht="15.6">
      <c r="E33" s="13" t="s">
        <v>85</v>
      </c>
      <c r="F33" s="13" t="s">
        <v>51</v>
      </c>
      <c r="G33" s="13" t="s">
        <v>86</v>
      </c>
    </row>
    <row r="34" spans="5:27">
      <c r="E34" s="10">
        <v>2015</v>
      </c>
      <c r="F34" s="10">
        <v>274505013</v>
      </c>
      <c r="G34" s="10">
        <v>55412297</v>
      </c>
    </row>
    <row r="35" spans="5:27">
      <c r="E35" s="10">
        <v>2016</v>
      </c>
      <c r="F35" s="10">
        <v>442931780</v>
      </c>
      <c r="G35" s="10">
        <v>102563933</v>
      </c>
    </row>
    <row r="36" spans="5:27" ht="15.6">
      <c r="E36" s="10">
        <v>2017</v>
      </c>
      <c r="F36" s="10">
        <v>1757967913</v>
      </c>
      <c r="G36" s="10">
        <v>1173680480</v>
      </c>
      <c r="W36" s="29" t="s">
        <v>104</v>
      </c>
      <c r="X36" s="29"/>
      <c r="Y36" s="29"/>
      <c r="Z36" s="29"/>
      <c r="AA36" s="29"/>
    </row>
    <row r="37" spans="5:27" ht="15.6">
      <c r="E37" s="10">
        <v>2018</v>
      </c>
      <c r="F37" s="10">
        <v>8702586933</v>
      </c>
      <c r="G37" s="10">
        <v>6686319692</v>
      </c>
      <c r="Q37" s="29" t="s">
        <v>103</v>
      </c>
      <c r="R37" s="29"/>
      <c r="S37" s="29"/>
    </row>
    <row r="38" spans="5:27">
      <c r="E38" s="10">
        <v>2019</v>
      </c>
      <c r="F38" s="10">
        <v>19851997107</v>
      </c>
      <c r="G38" s="10">
        <v>15587127014</v>
      </c>
    </row>
    <row r="39" spans="5:27">
      <c r="E39" s="10">
        <v>2020</v>
      </c>
      <c r="F39" s="10">
        <v>41135235485</v>
      </c>
      <c r="G39" s="10">
        <v>20084568756</v>
      </c>
    </row>
    <row r="40" spans="5:27">
      <c r="E40" s="10">
        <v>2021</v>
      </c>
      <c r="F40" s="10">
        <v>50365081755</v>
      </c>
      <c r="G40" s="10">
        <v>25955875578</v>
      </c>
    </row>
    <row r="41" spans="5:27">
      <c r="E41" s="10">
        <v>2022</v>
      </c>
      <c r="F41" s="10">
        <v>72718986864</v>
      </c>
      <c r="G41" s="10">
        <v>36661025294</v>
      </c>
    </row>
    <row r="42" spans="5:27">
      <c r="E42" s="10">
        <v>2023</v>
      </c>
      <c r="F42" s="10">
        <v>107653000000</v>
      </c>
      <c r="G42" s="10">
        <v>42487725509</v>
      </c>
    </row>
    <row r="43" spans="5:27">
      <c r="E43" s="10">
        <v>2024</v>
      </c>
      <c r="F43" s="10">
        <v>128769000000</v>
      </c>
      <c r="G43" s="10">
        <v>40065723712</v>
      </c>
    </row>
    <row r="44" spans="5:27">
      <c r="E44" s="10">
        <v>2025</v>
      </c>
      <c r="F44" s="10">
        <v>182010000000</v>
      </c>
      <c r="G44" s="10">
        <v>37850988379</v>
      </c>
    </row>
    <row r="45" spans="5:27">
      <c r="E45" s="10">
        <v>2026</v>
      </c>
      <c r="F45" s="10">
        <v>22035216563</v>
      </c>
      <c r="G45" s="10">
        <v>2978920858</v>
      </c>
    </row>
    <row r="48" spans="5:27" ht="15.6">
      <c r="E48" s="13" t="s">
        <v>85</v>
      </c>
      <c r="F48" s="14" t="s">
        <v>53</v>
      </c>
    </row>
    <row r="49" spans="5:28">
      <c r="E49" s="10">
        <v>2015</v>
      </c>
      <c r="F49" s="10">
        <v>219092716</v>
      </c>
    </row>
    <row r="50" spans="5:28">
      <c r="E50" s="10">
        <v>2016</v>
      </c>
      <c r="F50" s="10">
        <v>340367847</v>
      </c>
    </row>
    <row r="51" spans="5:28">
      <c r="E51" s="10">
        <v>2017</v>
      </c>
      <c r="F51" s="10">
        <v>584287433</v>
      </c>
    </row>
    <row r="52" spans="5:28">
      <c r="E52" s="10">
        <v>2018</v>
      </c>
      <c r="F52" s="10">
        <v>2016267241</v>
      </c>
    </row>
    <row r="53" spans="5:28">
      <c r="E53" s="10">
        <v>2019</v>
      </c>
      <c r="F53" s="10">
        <v>4264870093</v>
      </c>
    </row>
    <row r="54" spans="5:28" ht="15.6">
      <c r="E54" s="10">
        <v>2020</v>
      </c>
      <c r="F54" s="10">
        <v>21050666729</v>
      </c>
      <c r="W54" s="29" t="s">
        <v>106</v>
      </c>
      <c r="X54" s="29"/>
      <c r="Y54" s="29"/>
      <c r="Z54" s="29"/>
      <c r="AA54" s="29"/>
      <c r="AB54" s="29"/>
    </row>
    <row r="55" spans="5:28" ht="15.6">
      <c r="E55" s="10">
        <v>2021</v>
      </c>
      <c r="F55" s="10">
        <v>24409206177</v>
      </c>
      <c r="Q55" s="29" t="s">
        <v>105</v>
      </c>
      <c r="R55" s="29"/>
      <c r="S55" s="29"/>
      <c r="T55" s="29"/>
    </row>
    <row r="56" spans="5:28">
      <c r="E56" s="10">
        <v>2022</v>
      </c>
      <c r="F56" s="10">
        <v>36057961570</v>
      </c>
    </row>
    <row r="57" spans="5:28">
      <c r="E57" s="10">
        <v>2023</v>
      </c>
      <c r="F57" s="10">
        <v>65165178521</v>
      </c>
    </row>
    <row r="58" spans="5:28">
      <c r="E58" s="10">
        <v>2024</v>
      </c>
      <c r="F58" s="10">
        <v>88702822632</v>
      </c>
    </row>
    <row r="59" spans="5:28">
      <c r="E59" s="10">
        <v>2025</v>
      </c>
      <c r="F59" s="10">
        <v>144159000000</v>
      </c>
    </row>
    <row r="60" spans="5:28">
      <c r="E60" s="10">
        <v>2026</v>
      </c>
      <c r="F60" s="10">
        <v>19056295705</v>
      </c>
    </row>
    <row r="63" spans="5:28" ht="15.6">
      <c r="E63" s="15" t="s">
        <v>87</v>
      </c>
      <c r="F63" s="15" t="s">
        <v>88</v>
      </c>
    </row>
    <row r="64" spans="5:28">
      <c r="E64" s="10" t="s">
        <v>89</v>
      </c>
      <c r="F64" s="10">
        <v>159154225</v>
      </c>
    </row>
    <row r="65" spans="5:6">
      <c r="E65" s="10" t="s">
        <v>90</v>
      </c>
      <c r="F65" s="10">
        <v>257359381</v>
      </c>
    </row>
    <row r="78" spans="5:6" ht="15.6">
      <c r="E78" s="13" t="s">
        <v>87</v>
      </c>
      <c r="F78" s="13" t="s">
        <v>91</v>
      </c>
    </row>
    <row r="79" spans="5:6">
      <c r="E79" s="10" t="s">
        <v>89</v>
      </c>
      <c r="F79" s="10">
        <v>22594442</v>
      </c>
    </row>
    <row r="80" spans="5:6">
      <c r="E80" s="10" t="s">
        <v>90</v>
      </c>
      <c r="F80" s="10">
        <v>128077232</v>
      </c>
    </row>
    <row r="95" spans="5:6" ht="15.6">
      <c r="E95" s="14" t="s">
        <v>85</v>
      </c>
      <c r="F95" s="14" t="s">
        <v>60</v>
      </c>
    </row>
    <row r="96" spans="5:6">
      <c r="E96" s="16">
        <v>2015</v>
      </c>
      <c r="F96" s="17">
        <v>0.2019</v>
      </c>
    </row>
    <row r="97" spans="5:6">
      <c r="E97" s="16">
        <v>2016</v>
      </c>
      <c r="F97" s="17">
        <v>0.23150000000000001</v>
      </c>
    </row>
    <row r="98" spans="5:6">
      <c r="E98" s="16">
        <v>2017</v>
      </c>
      <c r="F98" s="17">
        <v>0.66800000000000004</v>
      </c>
    </row>
    <row r="99" spans="5:6">
      <c r="E99" s="16">
        <v>2018</v>
      </c>
      <c r="F99" s="17">
        <v>0.76829999999999998</v>
      </c>
    </row>
    <row r="100" spans="5:6">
      <c r="E100" s="16">
        <v>2019</v>
      </c>
      <c r="F100" s="17">
        <v>0.78520000000000001</v>
      </c>
    </row>
    <row r="101" spans="5:6">
      <c r="E101" s="16">
        <v>2020</v>
      </c>
      <c r="F101" s="17">
        <v>0.48830000000000001</v>
      </c>
    </row>
    <row r="102" spans="5:6">
      <c r="E102" s="16">
        <v>2021</v>
      </c>
      <c r="F102" s="17">
        <v>0.51539999999999997</v>
      </c>
    </row>
    <row r="103" spans="5:6">
      <c r="E103" s="16">
        <v>2022</v>
      </c>
      <c r="F103" s="17">
        <v>0.50409999999999999</v>
      </c>
    </row>
    <row r="104" spans="5:6">
      <c r="E104" s="16">
        <v>2023</v>
      </c>
      <c r="F104" s="17">
        <v>0.3947</v>
      </c>
    </row>
    <row r="105" spans="5:6">
      <c r="E105" s="16">
        <v>2024</v>
      </c>
      <c r="F105" s="17">
        <v>0.31109999999999999</v>
      </c>
    </row>
    <row r="106" spans="5:6">
      <c r="E106" s="16">
        <v>2025</v>
      </c>
      <c r="F106" s="17">
        <v>0.20799999999999999</v>
      </c>
    </row>
    <row r="107" spans="5:6">
      <c r="E107" s="16">
        <v>2026</v>
      </c>
      <c r="F107" s="17">
        <v>0.13519999999999999</v>
      </c>
    </row>
    <row r="111" spans="5:6">
      <c r="E111" s="18" t="s">
        <v>92</v>
      </c>
      <c r="F111" s="19" t="s">
        <v>88</v>
      </c>
    </row>
    <row r="112" spans="5:6">
      <c r="E112" s="10" t="s">
        <v>48</v>
      </c>
      <c r="F112" s="10">
        <v>416513606</v>
      </c>
    </row>
    <row r="113" spans="5:6">
      <c r="E113" s="10" t="s">
        <v>49</v>
      </c>
      <c r="F113" s="10">
        <v>159154225</v>
      </c>
    </row>
    <row r="114" spans="5:6">
      <c r="E114" s="10" t="s">
        <v>50</v>
      </c>
      <c r="F114" s="10">
        <v>257359381</v>
      </c>
    </row>
  </sheetData>
  <mergeCells count="12">
    <mergeCell ref="O3:AB3"/>
    <mergeCell ref="A1:AC1"/>
    <mergeCell ref="P5:R5"/>
    <mergeCell ref="V5:Z5"/>
    <mergeCell ref="A5:C5"/>
    <mergeCell ref="E3:K3"/>
    <mergeCell ref="Q55:T55"/>
    <mergeCell ref="W54:AB54"/>
    <mergeCell ref="P21:R21"/>
    <mergeCell ref="V21:Z21"/>
    <mergeCell ref="Q37:S37"/>
    <mergeCell ref="W36:AA36"/>
  </mergeCell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D79F8-7E9F-4EA0-8EAB-8E22D85ED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TrafficData</vt:lpstr>
      <vt:lpstr>Data Dictionary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kumari</dc:creator>
  <cp:lastModifiedBy>Sanjana kumari</cp:lastModifiedBy>
  <dcterms:created xsi:type="dcterms:W3CDTF">2026-09-22T05:30:21Z</dcterms:created>
  <dcterms:modified xsi:type="dcterms:W3CDTF">2026-09-24T05:41:49Z</dcterms:modified>
</cp:coreProperties>
</file>